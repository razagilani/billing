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CESFSVR-S1\CES-Share\Orig\PricingMatrix\AutomatedPricingMatrix\PJM_Reports\"/>
    </mc:Choice>
  </mc:AlternateContent>
  <bookViews>
    <workbookView xWindow="720" yWindow="615" windowWidth="14670" windowHeight="6525" activeTab="3"/>
  </bookViews>
  <sheets>
    <sheet name="Matrix" sheetId="11" r:id="rId1"/>
    <sheet name="PA" sheetId="1" r:id="rId2"/>
    <sheet name="OH" sheetId="2" r:id="rId3"/>
    <sheet name="IL" sheetId="3" r:id="rId4"/>
    <sheet name="NJ" sheetId="4" r:id="rId5"/>
    <sheet name="MD" sheetId="5" r:id="rId6"/>
    <sheet name="Matrix_prices" sheetId="64" state="hidden" r:id="rId7"/>
    <sheet name="PA_prices" sheetId="65" state="hidden" r:id="rId8"/>
    <sheet name="OH_prices" sheetId="66" state="hidden" r:id="rId9"/>
    <sheet name="IL_prices" sheetId="67" state="hidden" r:id="rId10"/>
    <sheet name="NJ_prices" sheetId="68" state="hidden" r:id="rId11"/>
    <sheet name="MD_prices" sheetId="69" state="hidden" r:id="rId12"/>
    <sheet name="Main" sheetId="62" state="veryHidden" r:id="rId13"/>
    <sheet name="LMPMain" sheetId="10" state="veryHidden" r:id="rId14"/>
  </sheets>
  <externalReferences>
    <externalReference r:id="rId15"/>
    <externalReference r:id="rId16"/>
    <externalReference r:id="rId17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0</definedName>
    <definedName name="_AtRisk_SimSetting_ReportsList" hidden="1">0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3" hidden="1">IL!$C$13:$H$49</definedName>
    <definedName name="_xlnm._FilterDatabase" localSheetId="13" hidden="1">LMPMain!$A$8:$V$895</definedName>
    <definedName name="_xlnm._FilterDatabase" localSheetId="12" hidden="1">Main!$B$8:$U$895</definedName>
    <definedName name="_xlnm._FilterDatabase" localSheetId="0" hidden="1">Matrix!$C$13:$N$13</definedName>
    <definedName name="_xlnm._FilterDatabase" localSheetId="5" hidden="1">MD!$C$13:$H$301</definedName>
    <definedName name="_xlnm._FilterDatabase" localSheetId="4" hidden="1">NJ!$C$13:$H$265</definedName>
    <definedName name="_xlnm._FilterDatabase" localSheetId="2" hidden="1">OH!$C$13:$H$229</definedName>
    <definedName name="_xlnm._FilterDatabase" localSheetId="1" hidden="1">PA!$C$13:$H$445</definedName>
    <definedName name="list_Mth" localSheetId="12">OFFSET([1]Adders!$T$15,0,0,Main!$B$5,1)</definedName>
    <definedName name="list_Mth">OFFSET(#REF!,0,0,LMPMain!$B$5,1)</definedName>
    <definedName name="_xlnm.Print_Area" localSheetId="3">IL!$C$14:$N$59</definedName>
    <definedName name="_xlnm.Print_Area" localSheetId="13">LMPMain!$B$1:$U$895</definedName>
    <definedName name="_xlnm.Print_Area" localSheetId="12">Main!$B$1:$U$895</definedName>
    <definedName name="_xlnm.Print_Area" localSheetId="0">Matrix!$C$5:$N$13</definedName>
    <definedName name="_xlnm.Print_Area" localSheetId="5">MD!$C$14:$N$311</definedName>
    <definedName name="_xlnm.Print_Area" localSheetId="4">NJ!$C$14:$N$275</definedName>
    <definedName name="_xlnm.Print_Area" localSheetId="2">OH!$C$14:$N$239</definedName>
    <definedName name="_xlnm.Print_Area" localSheetId="1">PA!$C$5:$N$455</definedName>
    <definedName name="_xlnm.Print_Titles" localSheetId="3">IL!$5:$13</definedName>
    <definedName name="_xlnm.Print_Titles" localSheetId="13">LMPMain!$1:$8</definedName>
    <definedName name="_xlnm.Print_Titles" localSheetId="12">Main!$1:$8</definedName>
    <definedName name="_xlnm.Print_Titles" localSheetId="0">Matrix!$5:$13</definedName>
    <definedName name="_xlnm.Print_Titles" localSheetId="5">MD!$5:$13</definedName>
    <definedName name="_xlnm.Print_Titles" localSheetId="4">NJ!$5:$13</definedName>
    <definedName name="_xlnm.Print_Titles" localSheetId="2">OH!$5:$13</definedName>
    <definedName name="_xlnm.Print_Titles" localSheetId="1">PA!$5:$13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0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2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</definedNames>
  <calcPr calcId="152511"/>
</workbook>
</file>

<file path=xl/calcChain.xml><?xml version="1.0" encoding="utf-8"?>
<calcChain xmlns="http://schemas.openxmlformats.org/spreadsheetml/2006/main">
  <c r="C8" i="11" l="1"/>
  <c r="H14" i="11" l="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450" i="11"/>
  <c r="H451" i="11"/>
  <c r="H452" i="11"/>
  <c r="H453" i="11"/>
  <c r="H454" i="11"/>
  <c r="H455" i="11"/>
  <c r="H456" i="11"/>
  <c r="H457" i="11"/>
  <c r="H458" i="11"/>
  <c r="H459" i="11"/>
  <c r="H460" i="11"/>
  <c r="H461" i="11"/>
  <c r="H462" i="11"/>
  <c r="H463" i="11"/>
  <c r="H464" i="11"/>
  <c r="H465" i="11"/>
  <c r="H466" i="11"/>
  <c r="H467" i="11"/>
  <c r="H468" i="11"/>
  <c r="H469" i="11"/>
  <c r="H470" i="11"/>
  <c r="H471" i="11"/>
  <c r="H472" i="11"/>
  <c r="H473" i="11"/>
  <c r="H474" i="11"/>
  <c r="H475" i="11"/>
  <c r="H476" i="11"/>
  <c r="H477" i="11"/>
  <c r="H478" i="11"/>
  <c r="H479" i="11"/>
  <c r="H480" i="11"/>
  <c r="H481" i="11"/>
  <c r="H482" i="11"/>
  <c r="H483" i="11"/>
  <c r="H484" i="11"/>
  <c r="H485" i="11"/>
  <c r="H486" i="11"/>
  <c r="H487" i="11"/>
  <c r="H488" i="11"/>
  <c r="H489" i="11"/>
  <c r="H490" i="11"/>
  <c r="H491" i="11"/>
  <c r="H492" i="11"/>
  <c r="H493" i="11"/>
  <c r="H494" i="11"/>
  <c r="H495" i="11"/>
  <c r="H496" i="11"/>
  <c r="H497" i="11"/>
  <c r="H498" i="11"/>
  <c r="H499" i="11"/>
  <c r="H500" i="11"/>
  <c r="H501" i="11"/>
  <c r="H502" i="11"/>
  <c r="H503" i="11"/>
  <c r="H504" i="11"/>
  <c r="H505" i="11"/>
  <c r="H506" i="11"/>
  <c r="H507" i="11"/>
  <c r="H508" i="11"/>
  <c r="H509" i="11"/>
  <c r="H510" i="11"/>
  <c r="H511" i="11"/>
  <c r="H512" i="11"/>
  <c r="H513" i="11"/>
  <c r="H514" i="11"/>
  <c r="H515" i="11"/>
  <c r="H516" i="11"/>
  <c r="H517" i="11"/>
  <c r="H518" i="11"/>
  <c r="H519" i="11"/>
  <c r="H520" i="11"/>
  <c r="H521" i="11"/>
  <c r="H522" i="11"/>
  <c r="H523" i="11"/>
  <c r="H524" i="11"/>
  <c r="H525" i="11"/>
  <c r="H526" i="11"/>
  <c r="H527" i="11"/>
  <c r="H528" i="11"/>
  <c r="H529" i="11"/>
  <c r="H530" i="11"/>
  <c r="H531" i="11"/>
  <c r="H532" i="11"/>
  <c r="H533" i="11"/>
  <c r="H534" i="11"/>
  <c r="H535" i="11"/>
  <c r="H536" i="11"/>
  <c r="H537" i="11"/>
  <c r="H538" i="11"/>
  <c r="H539" i="11"/>
  <c r="H540" i="11"/>
  <c r="H541" i="11"/>
  <c r="H542" i="11"/>
  <c r="H543" i="11"/>
  <c r="H544" i="11"/>
  <c r="H545" i="11"/>
  <c r="H546" i="11"/>
  <c r="H547" i="11"/>
  <c r="H548" i="11"/>
  <c r="H549" i="11"/>
  <c r="H550" i="11"/>
  <c r="H551" i="11"/>
  <c r="H552" i="11"/>
  <c r="H553" i="11"/>
  <c r="H554" i="11"/>
  <c r="H555" i="11"/>
  <c r="H556" i="11"/>
  <c r="H557" i="11"/>
  <c r="H558" i="11"/>
  <c r="H559" i="11"/>
  <c r="H560" i="11"/>
  <c r="H561" i="11"/>
  <c r="H562" i="11"/>
  <c r="H563" i="11"/>
  <c r="H564" i="11"/>
  <c r="H565" i="11"/>
  <c r="H566" i="11"/>
  <c r="H567" i="11"/>
  <c r="H568" i="11"/>
  <c r="H569" i="11"/>
  <c r="H570" i="11"/>
  <c r="H571" i="11"/>
  <c r="H572" i="11"/>
  <c r="H573" i="11"/>
  <c r="H574" i="11"/>
  <c r="H575" i="11"/>
  <c r="H576" i="11"/>
  <c r="H577" i="11"/>
  <c r="H578" i="11"/>
  <c r="H579" i="11"/>
  <c r="H580" i="11"/>
  <c r="H581" i="11"/>
  <c r="H582" i="11"/>
  <c r="H583" i="11"/>
  <c r="H584" i="11"/>
  <c r="H585" i="11"/>
  <c r="H586" i="11"/>
  <c r="H587" i="11"/>
  <c r="H588" i="11"/>
  <c r="H589" i="11"/>
  <c r="H590" i="11"/>
  <c r="H591" i="11"/>
  <c r="H592" i="11"/>
  <c r="H593" i="11"/>
  <c r="H594" i="11"/>
  <c r="H595" i="11"/>
  <c r="H596" i="11"/>
  <c r="H597" i="11"/>
  <c r="H598" i="11"/>
  <c r="H599" i="11"/>
  <c r="H600" i="11"/>
  <c r="H601" i="11"/>
  <c r="H602" i="11"/>
  <c r="H603" i="11"/>
  <c r="H604" i="11"/>
  <c r="H605" i="11"/>
  <c r="H606" i="11"/>
  <c r="H607" i="11"/>
  <c r="H608" i="11"/>
  <c r="H609" i="11"/>
  <c r="H610" i="11"/>
  <c r="H611" i="11"/>
  <c r="H612" i="11"/>
  <c r="H613" i="11"/>
  <c r="H614" i="11"/>
  <c r="H615" i="11"/>
  <c r="H616" i="11"/>
  <c r="H617" i="11"/>
  <c r="H618" i="11"/>
  <c r="H619" i="11"/>
  <c r="H620" i="11"/>
  <c r="H621" i="11"/>
  <c r="H622" i="11"/>
  <c r="H623" i="11"/>
  <c r="H624" i="11"/>
  <c r="H625" i="11"/>
  <c r="H626" i="11"/>
  <c r="H627" i="11"/>
  <c r="H628" i="11"/>
  <c r="H629" i="11"/>
  <c r="H630" i="11"/>
  <c r="H631" i="11"/>
  <c r="H632" i="11"/>
  <c r="H633" i="11"/>
  <c r="H634" i="11"/>
  <c r="H635" i="11"/>
  <c r="H636" i="11"/>
  <c r="H637" i="11"/>
  <c r="H638" i="11"/>
  <c r="H639" i="11"/>
  <c r="H640" i="11"/>
  <c r="H641" i="11"/>
  <c r="H642" i="11"/>
  <c r="H643" i="11"/>
  <c r="H644" i="11"/>
  <c r="H645" i="11"/>
  <c r="H646" i="11"/>
  <c r="H647" i="11"/>
  <c r="H648" i="11"/>
  <c r="H649" i="11"/>
  <c r="H650" i="11"/>
  <c r="H651" i="11"/>
  <c r="H652" i="11"/>
  <c r="H653" i="11"/>
  <c r="H654" i="11"/>
  <c r="H655" i="11"/>
  <c r="H656" i="11"/>
  <c r="H657" i="11"/>
  <c r="H658" i="11"/>
  <c r="H659" i="11"/>
  <c r="H660" i="11"/>
  <c r="H661" i="11"/>
  <c r="H662" i="11"/>
  <c r="H663" i="11"/>
  <c r="H664" i="11"/>
  <c r="H665" i="11"/>
  <c r="H666" i="11"/>
  <c r="H667" i="11"/>
  <c r="H668" i="11"/>
  <c r="H669" i="11"/>
  <c r="H670" i="11"/>
  <c r="H671" i="11"/>
  <c r="H672" i="11"/>
  <c r="H673" i="11"/>
  <c r="H674" i="11"/>
  <c r="H675" i="11"/>
  <c r="H676" i="11"/>
  <c r="H677" i="11"/>
  <c r="H678" i="11"/>
  <c r="H679" i="11"/>
  <c r="H680" i="11"/>
  <c r="H681" i="11"/>
  <c r="H682" i="11"/>
  <c r="H683" i="11"/>
  <c r="H684" i="11"/>
  <c r="H685" i="11"/>
  <c r="H686" i="11"/>
  <c r="H687" i="11"/>
  <c r="H688" i="11"/>
  <c r="H689" i="11"/>
  <c r="H690" i="11"/>
  <c r="H691" i="11"/>
  <c r="H692" i="11"/>
  <c r="H693" i="11"/>
  <c r="H694" i="11"/>
  <c r="H695" i="11"/>
  <c r="H696" i="11"/>
  <c r="H697" i="11"/>
  <c r="H698" i="11"/>
  <c r="H699" i="11"/>
  <c r="H700" i="11"/>
  <c r="H701" i="11"/>
  <c r="H702" i="11"/>
  <c r="H703" i="11"/>
  <c r="H704" i="11"/>
  <c r="H705" i="11"/>
  <c r="H706" i="11"/>
  <c r="H707" i="11"/>
  <c r="H708" i="11"/>
  <c r="H709" i="11"/>
  <c r="H710" i="11"/>
  <c r="H711" i="11"/>
  <c r="H712" i="11"/>
  <c r="H713" i="11"/>
  <c r="H714" i="11"/>
  <c r="H715" i="11"/>
  <c r="H716" i="11"/>
  <c r="H717" i="11"/>
  <c r="H718" i="11"/>
  <c r="H719" i="11"/>
  <c r="H720" i="11"/>
  <c r="H721" i="11"/>
  <c r="H722" i="11"/>
  <c r="H723" i="11"/>
  <c r="H724" i="11"/>
  <c r="H725" i="11"/>
  <c r="H726" i="11"/>
  <c r="H727" i="11"/>
  <c r="H728" i="11"/>
  <c r="H729" i="11"/>
  <c r="H730" i="11"/>
  <c r="H731" i="11"/>
  <c r="H732" i="11"/>
  <c r="H733" i="11"/>
  <c r="H734" i="11"/>
  <c r="H735" i="11"/>
  <c r="H736" i="11"/>
  <c r="H737" i="11"/>
  <c r="H738" i="11"/>
  <c r="H739" i="11"/>
  <c r="H740" i="11"/>
  <c r="H741" i="11"/>
  <c r="H742" i="11"/>
  <c r="H743" i="11"/>
  <c r="H744" i="11"/>
  <c r="H745" i="11"/>
  <c r="H746" i="11"/>
  <c r="H747" i="11"/>
  <c r="H748" i="11"/>
  <c r="H749" i="11"/>
  <c r="H750" i="11"/>
  <c r="H751" i="11"/>
  <c r="H752" i="11"/>
  <c r="H753" i="11"/>
  <c r="H754" i="11"/>
  <c r="H755" i="11"/>
  <c r="H756" i="11"/>
  <c r="H757" i="11"/>
  <c r="H758" i="11"/>
  <c r="H759" i="11"/>
  <c r="H760" i="11"/>
  <c r="H761" i="11"/>
  <c r="H762" i="11"/>
  <c r="H763" i="11"/>
  <c r="H764" i="11"/>
  <c r="H765" i="11"/>
  <c r="H766" i="11"/>
  <c r="H767" i="11"/>
  <c r="H768" i="11"/>
  <c r="H769" i="11"/>
  <c r="H770" i="11"/>
  <c r="H771" i="11"/>
  <c r="H772" i="11"/>
  <c r="H773" i="11"/>
  <c r="H774" i="11"/>
  <c r="H775" i="11"/>
  <c r="H776" i="11"/>
  <c r="H777" i="11"/>
  <c r="H778" i="11"/>
  <c r="H779" i="11"/>
  <c r="H780" i="11"/>
  <c r="H781" i="11"/>
  <c r="H782" i="11"/>
  <c r="H783" i="11"/>
  <c r="H784" i="11"/>
  <c r="H785" i="11"/>
  <c r="H786" i="11"/>
  <c r="H787" i="11"/>
  <c r="H788" i="11"/>
  <c r="H789" i="11"/>
  <c r="H790" i="11"/>
  <c r="H791" i="11"/>
  <c r="H792" i="11"/>
  <c r="H793" i="11"/>
  <c r="H794" i="11"/>
  <c r="H795" i="11"/>
  <c r="H796" i="11"/>
  <c r="H797" i="11"/>
  <c r="H798" i="11"/>
  <c r="H799" i="11"/>
  <c r="H800" i="11"/>
  <c r="H801" i="11"/>
  <c r="H802" i="11"/>
  <c r="H803" i="11"/>
  <c r="H804" i="11"/>
  <c r="H805" i="11"/>
  <c r="H806" i="11"/>
  <c r="H807" i="11"/>
  <c r="H808" i="11"/>
  <c r="H809" i="11"/>
  <c r="H810" i="11"/>
  <c r="H811" i="11"/>
  <c r="H812" i="11"/>
  <c r="H813" i="11"/>
  <c r="H814" i="11"/>
  <c r="H815" i="11"/>
  <c r="H816" i="11"/>
  <c r="H817" i="11"/>
  <c r="H818" i="11"/>
  <c r="H819" i="11"/>
  <c r="H820" i="11"/>
  <c r="H821" i="11"/>
  <c r="H822" i="11"/>
  <c r="H823" i="11"/>
  <c r="H824" i="11"/>
  <c r="H825" i="11"/>
  <c r="H826" i="11"/>
  <c r="H827" i="11"/>
  <c r="H828" i="11"/>
  <c r="H829" i="11"/>
  <c r="H830" i="11"/>
  <c r="H831" i="11"/>
  <c r="H832" i="11"/>
  <c r="H833" i="11"/>
  <c r="H834" i="11"/>
  <c r="H835" i="11"/>
  <c r="H836" i="11"/>
  <c r="H837" i="11"/>
  <c r="H838" i="11"/>
  <c r="H839" i="11"/>
  <c r="H840" i="11"/>
  <c r="H841" i="11"/>
  <c r="H842" i="11"/>
  <c r="H843" i="11"/>
  <c r="H844" i="11"/>
  <c r="H845" i="11"/>
  <c r="H846" i="11"/>
  <c r="H847" i="11"/>
  <c r="H848" i="11"/>
  <c r="H849" i="11"/>
  <c r="H850" i="11"/>
  <c r="H851" i="11"/>
  <c r="H852" i="11"/>
  <c r="H853" i="11"/>
  <c r="H854" i="11"/>
  <c r="H855" i="11"/>
  <c r="H856" i="11"/>
  <c r="H857" i="11"/>
  <c r="H858" i="11"/>
  <c r="H859" i="11"/>
  <c r="H860" i="11"/>
  <c r="H861" i="11"/>
  <c r="H862" i="11"/>
  <c r="H863" i="11"/>
  <c r="H864" i="11"/>
  <c r="H865" i="11"/>
  <c r="H866" i="11"/>
  <c r="H867" i="11"/>
  <c r="H868" i="11"/>
  <c r="H869" i="11"/>
  <c r="H870" i="11"/>
  <c r="H871" i="11"/>
  <c r="H872" i="11"/>
  <c r="H873" i="11"/>
  <c r="H874" i="11"/>
  <c r="H875" i="11"/>
  <c r="H876" i="11"/>
  <c r="H877" i="11"/>
  <c r="H878" i="11"/>
  <c r="H879" i="11"/>
  <c r="H880" i="11"/>
  <c r="H881" i="11"/>
  <c r="H882" i="11"/>
  <c r="H883" i="11"/>
  <c r="H884" i="11"/>
  <c r="H885" i="11"/>
  <c r="H886" i="11"/>
  <c r="H887" i="11"/>
  <c r="H888" i="11"/>
  <c r="H889" i="11"/>
  <c r="H890" i="11"/>
  <c r="H891" i="11"/>
  <c r="H892" i="11"/>
  <c r="H893" i="11"/>
  <c r="H894" i="11"/>
  <c r="H895" i="11"/>
  <c r="H896" i="11"/>
  <c r="H897" i="11"/>
  <c r="H898" i="11"/>
  <c r="H899" i="11"/>
  <c r="H900" i="11"/>
  <c r="H901" i="11"/>
  <c r="H902" i="11"/>
  <c r="H903" i="11"/>
  <c r="H904" i="11"/>
  <c r="H905" i="11"/>
  <c r="H906" i="11"/>
  <c r="H907" i="11"/>
  <c r="H908" i="11"/>
  <c r="H909" i="11"/>
  <c r="H910" i="11"/>
  <c r="H911" i="11"/>
  <c r="H912" i="11"/>
  <c r="H913" i="11"/>
  <c r="H914" i="11"/>
  <c r="H915" i="11"/>
  <c r="H916" i="11"/>
  <c r="H917" i="11"/>
  <c r="H918" i="11"/>
  <c r="H919" i="11"/>
  <c r="H920" i="11"/>
  <c r="H921" i="11"/>
  <c r="H922" i="11"/>
  <c r="H923" i="11"/>
  <c r="H924" i="11"/>
  <c r="H925" i="11"/>
  <c r="H926" i="11"/>
  <c r="H927" i="11"/>
  <c r="H928" i="11"/>
  <c r="H929" i="11"/>
  <c r="H930" i="11"/>
  <c r="H931" i="11"/>
  <c r="H932" i="11"/>
  <c r="H933" i="11"/>
  <c r="H934" i="11"/>
  <c r="H935" i="11"/>
  <c r="H936" i="11"/>
  <c r="H937" i="11"/>
  <c r="H938" i="11"/>
  <c r="H939" i="11"/>
  <c r="H940" i="11"/>
  <c r="H941" i="11"/>
  <c r="H942" i="11"/>
  <c r="H943" i="11"/>
  <c r="H944" i="11"/>
  <c r="H945" i="11"/>
  <c r="H946" i="11"/>
  <c r="H947" i="11"/>
  <c r="H948" i="11"/>
  <c r="H949" i="11"/>
  <c r="H950" i="11"/>
  <c r="H951" i="11"/>
  <c r="H952" i="11"/>
  <c r="H953" i="11"/>
  <c r="H954" i="11"/>
  <c r="H955" i="11"/>
  <c r="H956" i="11"/>
  <c r="H957" i="11"/>
  <c r="H958" i="11"/>
  <c r="H959" i="11"/>
  <c r="H960" i="11"/>
  <c r="H961" i="11"/>
  <c r="H962" i="11"/>
  <c r="H963" i="11"/>
  <c r="H964" i="11"/>
  <c r="H965" i="11"/>
  <c r="H966" i="11"/>
  <c r="H967" i="11"/>
  <c r="H968" i="11"/>
  <c r="H969" i="11"/>
  <c r="H970" i="11"/>
  <c r="H971" i="11"/>
  <c r="H972" i="11"/>
  <c r="H973" i="11"/>
  <c r="H974" i="11"/>
  <c r="H975" i="11"/>
  <c r="H976" i="11"/>
  <c r="H977" i="11"/>
  <c r="H978" i="11"/>
  <c r="H979" i="11"/>
  <c r="H980" i="11"/>
  <c r="H981" i="11"/>
  <c r="H982" i="11"/>
  <c r="H983" i="11"/>
  <c r="H984" i="11"/>
  <c r="H985" i="11"/>
  <c r="H986" i="11"/>
  <c r="H987" i="11"/>
  <c r="H988" i="11"/>
  <c r="H989" i="11"/>
  <c r="H990" i="11"/>
  <c r="H991" i="11"/>
  <c r="H992" i="11"/>
  <c r="H993" i="11"/>
  <c r="H994" i="11"/>
  <c r="H995" i="11"/>
  <c r="H996" i="11"/>
  <c r="H997" i="11"/>
  <c r="H998" i="11"/>
  <c r="H999" i="11"/>
  <c r="H1000" i="11"/>
  <c r="H1001" i="11"/>
  <c r="H1002" i="11"/>
  <c r="H1003" i="11"/>
  <c r="H1004" i="11"/>
  <c r="H1005" i="11"/>
  <c r="H1006" i="11"/>
  <c r="H1007" i="11"/>
  <c r="H1008" i="11"/>
  <c r="H1009" i="11"/>
  <c r="H1010" i="11"/>
  <c r="H1011" i="11"/>
  <c r="H1012" i="11"/>
  <c r="H1013" i="11"/>
  <c r="H1014" i="11"/>
  <c r="H1015" i="11"/>
  <c r="H1016" i="11"/>
  <c r="H1017" i="11"/>
  <c r="H1018" i="11"/>
  <c r="H1019" i="11"/>
  <c r="H1020" i="11"/>
  <c r="H1021" i="11"/>
  <c r="H1022" i="11"/>
  <c r="H1023" i="11"/>
  <c r="H1024" i="11"/>
  <c r="H1025" i="11"/>
  <c r="H1026" i="11"/>
  <c r="H1027" i="11"/>
  <c r="H1028" i="11"/>
  <c r="H1029" i="11"/>
  <c r="H1030" i="11"/>
  <c r="H1031" i="11"/>
  <c r="H1032" i="11"/>
  <c r="H1033" i="11"/>
  <c r="H1034" i="11"/>
  <c r="H1035" i="11"/>
  <c r="H1036" i="11"/>
  <c r="H1037" i="11"/>
  <c r="H1038" i="11"/>
  <c r="H1039" i="11"/>
  <c r="H1040" i="11"/>
  <c r="H1041" i="11"/>
  <c r="H1042" i="11"/>
  <c r="H1043" i="11"/>
  <c r="H1044" i="11"/>
  <c r="H1045" i="11"/>
  <c r="H1046" i="11"/>
  <c r="H1047" i="11"/>
  <c r="H1048" i="11"/>
  <c r="H1049" i="11"/>
  <c r="H1050" i="11"/>
  <c r="H1051" i="11"/>
  <c r="H1052" i="11"/>
  <c r="H1053" i="11"/>
  <c r="H1054" i="11"/>
  <c r="H1055" i="11"/>
  <c r="H1056" i="11"/>
  <c r="H1057" i="11"/>
  <c r="H1058" i="11"/>
  <c r="H1059" i="11"/>
  <c r="H1060" i="11"/>
  <c r="H1061" i="11"/>
  <c r="H1062" i="11"/>
  <c r="H1063" i="11"/>
  <c r="H1064" i="11"/>
  <c r="H1065" i="11"/>
  <c r="H1066" i="11"/>
  <c r="H1067" i="11"/>
  <c r="H1068" i="11"/>
  <c r="H1069" i="11"/>
  <c r="H1070" i="11"/>
  <c r="H1071" i="11"/>
  <c r="H1072" i="11"/>
  <c r="H1073" i="11"/>
  <c r="H1074" i="11"/>
  <c r="H1075" i="11"/>
  <c r="H1076" i="11"/>
  <c r="H1077" i="11"/>
  <c r="H1078" i="11"/>
  <c r="H1079" i="11"/>
  <c r="H1080" i="11"/>
  <c r="H1081" i="11"/>
  <c r="H1082" i="11"/>
  <c r="H1083" i="11"/>
  <c r="H1084" i="11"/>
  <c r="H1085" i="11"/>
  <c r="H1086" i="11"/>
  <c r="H1087" i="11"/>
  <c r="H1088" i="11"/>
  <c r="H1089" i="11"/>
  <c r="H1090" i="11"/>
  <c r="H1091" i="11"/>
  <c r="H1092" i="11"/>
  <c r="H1093" i="11"/>
  <c r="H1094" i="11"/>
  <c r="H1095" i="11"/>
  <c r="H1096" i="11"/>
  <c r="H1097" i="11"/>
  <c r="H1098" i="11"/>
  <c r="H1099" i="11"/>
  <c r="H1100" i="11"/>
  <c r="H1101" i="11"/>
  <c r="H1102" i="11"/>
  <c r="H1103" i="11"/>
  <c r="H1104" i="11"/>
  <c r="H1105" i="11"/>
  <c r="H1106" i="11"/>
  <c r="H1107" i="11"/>
  <c r="H1108" i="11"/>
  <c r="H1109" i="11"/>
  <c r="H1110" i="11"/>
  <c r="H1111" i="11"/>
  <c r="H1112" i="11"/>
  <c r="H1113" i="11"/>
  <c r="H1114" i="11"/>
  <c r="H1115" i="11"/>
  <c r="H1116" i="11"/>
  <c r="H1117" i="11"/>
  <c r="H1118" i="11"/>
  <c r="H1119" i="11"/>
  <c r="H1120" i="11"/>
  <c r="H1121" i="11"/>
  <c r="H1122" i="11"/>
  <c r="H1123" i="11"/>
  <c r="H1124" i="11"/>
  <c r="H1125" i="11"/>
  <c r="H1126" i="11"/>
  <c r="H1127" i="11"/>
  <c r="H1128" i="11"/>
  <c r="H1129" i="11"/>
  <c r="H1130" i="11"/>
  <c r="H1131" i="11"/>
  <c r="H1132" i="11"/>
  <c r="H1133" i="11"/>
  <c r="H1134" i="11"/>
  <c r="H1135" i="11"/>
  <c r="H1136" i="11"/>
  <c r="H1137" i="11"/>
  <c r="H1138" i="11"/>
  <c r="H1139" i="11"/>
  <c r="H1140" i="11"/>
  <c r="H1141" i="11"/>
  <c r="H1142" i="11"/>
  <c r="H1143" i="11"/>
  <c r="H1144" i="11"/>
  <c r="H1145" i="11"/>
  <c r="H1146" i="11"/>
  <c r="H1147" i="11"/>
  <c r="H1148" i="11"/>
  <c r="H1149" i="11"/>
  <c r="H1150" i="11"/>
  <c r="H1151" i="11"/>
  <c r="H1152" i="11"/>
  <c r="H1153" i="11"/>
  <c r="H1154" i="11"/>
  <c r="H1155" i="11"/>
  <c r="H1156" i="11"/>
  <c r="H1157" i="11"/>
  <c r="H1158" i="11"/>
  <c r="H1159" i="11"/>
  <c r="H1160" i="11"/>
  <c r="H1161" i="11"/>
  <c r="H1162" i="11"/>
  <c r="H1163" i="11"/>
  <c r="H1164" i="11"/>
  <c r="H1165" i="11"/>
  <c r="H1166" i="11"/>
  <c r="H1167" i="11"/>
  <c r="H1168" i="11"/>
  <c r="H1169" i="11"/>
  <c r="H1170" i="11"/>
  <c r="H1171" i="11"/>
  <c r="H1172" i="11"/>
  <c r="H1173" i="11"/>
  <c r="H1174" i="11"/>
  <c r="H1175" i="11"/>
  <c r="H1176" i="11"/>
  <c r="H1177" i="11"/>
  <c r="H1178" i="11"/>
  <c r="H1179" i="11"/>
  <c r="H1180" i="11"/>
  <c r="H1181" i="11"/>
  <c r="H1182" i="11"/>
  <c r="H1183" i="11"/>
  <c r="H1184" i="11"/>
  <c r="H1185" i="11"/>
  <c r="H1186" i="11"/>
  <c r="H1187" i="11"/>
  <c r="H1188" i="11"/>
  <c r="H1189" i="11"/>
  <c r="H1190" i="11"/>
  <c r="H1191" i="11"/>
  <c r="H1192" i="11"/>
  <c r="H1193" i="11"/>
  <c r="H1194" i="11"/>
  <c r="H1195" i="11"/>
  <c r="H1196" i="11"/>
  <c r="H1197" i="11"/>
  <c r="H1198" i="11"/>
  <c r="H1199" i="11"/>
  <c r="H1200" i="11"/>
  <c r="H1201" i="11"/>
  <c r="H1202" i="11"/>
  <c r="H1203" i="11"/>
  <c r="H1204" i="11"/>
  <c r="H1205" i="11"/>
  <c r="H1206" i="11"/>
  <c r="H1207" i="11"/>
  <c r="H1208" i="11"/>
  <c r="H1209" i="11"/>
  <c r="H1210" i="11"/>
  <c r="H1211" i="11"/>
  <c r="H1212" i="11"/>
  <c r="H1213" i="11"/>
  <c r="H1214" i="11"/>
  <c r="H1215" i="11"/>
  <c r="H1216" i="11"/>
  <c r="H1217" i="11"/>
  <c r="H1218" i="11"/>
  <c r="H1219" i="11"/>
  <c r="H1220" i="11"/>
  <c r="H1221" i="11"/>
  <c r="H1222" i="11"/>
  <c r="H1223" i="11"/>
  <c r="H1224" i="11"/>
  <c r="H1225" i="11"/>
  <c r="H1226" i="11"/>
  <c r="H1227" i="11"/>
  <c r="H1228" i="11"/>
  <c r="H1229" i="11"/>
  <c r="H1230" i="11"/>
  <c r="H1231" i="11"/>
  <c r="H1232" i="11"/>
  <c r="H1233" i="11"/>
  <c r="H1234" i="11"/>
  <c r="H1235" i="11"/>
  <c r="H1236" i="11"/>
  <c r="H1237" i="11"/>
  <c r="H1238" i="11"/>
  <c r="H1239" i="11"/>
  <c r="H1240" i="11"/>
  <c r="H1241" i="11"/>
  <c r="H1242" i="11"/>
  <c r="H1243" i="11"/>
  <c r="H1244" i="11"/>
  <c r="H1245" i="11"/>
  <c r="H1246" i="11"/>
  <c r="H1247" i="11"/>
  <c r="H1248" i="11"/>
  <c r="H1249" i="11"/>
  <c r="H1250" i="11"/>
  <c r="H1251" i="11"/>
  <c r="H1252" i="11"/>
  <c r="H1253" i="11"/>
  <c r="H1254" i="11"/>
  <c r="H1255" i="11"/>
  <c r="H1256" i="11"/>
  <c r="H1257" i="11"/>
  <c r="H1258" i="11"/>
  <c r="H1259" i="11"/>
  <c r="H1260" i="11"/>
  <c r="H1261" i="11"/>
  <c r="H1262" i="11"/>
  <c r="H1263" i="11"/>
  <c r="H1264" i="11"/>
  <c r="H1265" i="11"/>
  <c r="H1266" i="11"/>
  <c r="H1267" i="11"/>
  <c r="H1268" i="11"/>
  <c r="H1269" i="11"/>
  <c r="H1270" i="11"/>
  <c r="H1271" i="11"/>
  <c r="H1272" i="11"/>
  <c r="H1273" i="11"/>
  <c r="C1235" i="11" l="1"/>
  <c r="D1235" i="11"/>
  <c r="E1235" i="11"/>
  <c r="F1235" i="11"/>
  <c r="G1235" i="11"/>
  <c r="I1235" i="11"/>
  <c r="J1235" i="11"/>
  <c r="K1235" i="11"/>
  <c r="L1235" i="11"/>
  <c r="M1235" i="11"/>
  <c r="N1235" i="11"/>
  <c r="C1236" i="11"/>
  <c r="D1236" i="11"/>
  <c r="E1236" i="11"/>
  <c r="F1236" i="11"/>
  <c r="G1236" i="11"/>
  <c r="I1236" i="11"/>
  <c r="J1236" i="11"/>
  <c r="K1236" i="11"/>
  <c r="L1236" i="11"/>
  <c r="M1236" i="11"/>
  <c r="N1236" i="11"/>
  <c r="C1237" i="11"/>
  <c r="D1237" i="11"/>
  <c r="E1237" i="11"/>
  <c r="F1237" i="11"/>
  <c r="G1237" i="11"/>
  <c r="I1237" i="11"/>
  <c r="J1237" i="11"/>
  <c r="K1237" i="11"/>
  <c r="L1237" i="11"/>
  <c r="M1237" i="11"/>
  <c r="N1237" i="11"/>
  <c r="C1238" i="11"/>
  <c r="D1238" i="11"/>
  <c r="E1238" i="11"/>
  <c r="F1238" i="11"/>
  <c r="G1238" i="11"/>
  <c r="I1238" i="11"/>
  <c r="J1238" i="11"/>
  <c r="K1238" i="11"/>
  <c r="L1238" i="11"/>
  <c r="M1238" i="11"/>
  <c r="N1238" i="11"/>
  <c r="C1239" i="11"/>
  <c r="D1239" i="11"/>
  <c r="E1239" i="11"/>
  <c r="F1239" i="11"/>
  <c r="G1239" i="11"/>
  <c r="I1239" i="11"/>
  <c r="J1239" i="11"/>
  <c r="K1239" i="11"/>
  <c r="L1239" i="11"/>
  <c r="M1239" i="11"/>
  <c r="N1239" i="11"/>
  <c r="C1240" i="11"/>
  <c r="D1240" i="11"/>
  <c r="E1240" i="11"/>
  <c r="F1240" i="11"/>
  <c r="G1240" i="11"/>
  <c r="I1240" i="11"/>
  <c r="J1240" i="11"/>
  <c r="K1240" i="11"/>
  <c r="L1240" i="11"/>
  <c r="M1240" i="11"/>
  <c r="N1240" i="11"/>
  <c r="C1241" i="11"/>
  <c r="D1241" i="11"/>
  <c r="E1241" i="11"/>
  <c r="F1241" i="11"/>
  <c r="G1241" i="11"/>
  <c r="I1241" i="11"/>
  <c r="J1241" i="11"/>
  <c r="K1241" i="11"/>
  <c r="L1241" i="11"/>
  <c r="M1241" i="11"/>
  <c r="N1241" i="11"/>
  <c r="C1242" i="11"/>
  <c r="D1242" i="11"/>
  <c r="E1242" i="11"/>
  <c r="F1242" i="11"/>
  <c r="G1242" i="11"/>
  <c r="I1242" i="11"/>
  <c r="J1242" i="11"/>
  <c r="K1242" i="11"/>
  <c r="L1242" i="11"/>
  <c r="M1242" i="11"/>
  <c r="N1242" i="11"/>
  <c r="C1243" i="11"/>
  <c r="D1243" i="11"/>
  <c r="E1243" i="11"/>
  <c r="F1243" i="11"/>
  <c r="G1243" i="11"/>
  <c r="I1243" i="11"/>
  <c r="J1243" i="11"/>
  <c r="K1243" i="11"/>
  <c r="L1243" i="11"/>
  <c r="M1243" i="11"/>
  <c r="N1243" i="11"/>
  <c r="C1244" i="11"/>
  <c r="D1244" i="11"/>
  <c r="E1244" i="11"/>
  <c r="F1244" i="11"/>
  <c r="G1244" i="11"/>
  <c r="I1244" i="11"/>
  <c r="J1244" i="11"/>
  <c r="K1244" i="11"/>
  <c r="L1244" i="11"/>
  <c r="M1244" i="11"/>
  <c r="N1244" i="11"/>
  <c r="C1245" i="11"/>
  <c r="D1245" i="11"/>
  <c r="E1245" i="11"/>
  <c r="F1245" i="11"/>
  <c r="G1245" i="11"/>
  <c r="I1245" i="11"/>
  <c r="J1245" i="11"/>
  <c r="K1245" i="11"/>
  <c r="L1245" i="11"/>
  <c r="M1245" i="11"/>
  <c r="N1245" i="11"/>
  <c r="C1246" i="11"/>
  <c r="D1246" i="11"/>
  <c r="E1246" i="11"/>
  <c r="F1246" i="11"/>
  <c r="G1246" i="11"/>
  <c r="I1246" i="11"/>
  <c r="J1246" i="11"/>
  <c r="K1246" i="11"/>
  <c r="L1246" i="11"/>
  <c r="M1246" i="11"/>
  <c r="N1246" i="11"/>
  <c r="C1247" i="11"/>
  <c r="D1247" i="11"/>
  <c r="E1247" i="11"/>
  <c r="F1247" i="11"/>
  <c r="G1247" i="11"/>
  <c r="I1247" i="11"/>
  <c r="J1247" i="11"/>
  <c r="K1247" i="11"/>
  <c r="L1247" i="11"/>
  <c r="M1247" i="11"/>
  <c r="N1247" i="11"/>
  <c r="C1248" i="11"/>
  <c r="D1248" i="11"/>
  <c r="E1248" i="11"/>
  <c r="F1248" i="11"/>
  <c r="G1248" i="11"/>
  <c r="I1248" i="11"/>
  <c r="J1248" i="11"/>
  <c r="K1248" i="11"/>
  <c r="L1248" i="11"/>
  <c r="M1248" i="11"/>
  <c r="N1248" i="11"/>
  <c r="C1249" i="11"/>
  <c r="D1249" i="11"/>
  <c r="E1249" i="11"/>
  <c r="F1249" i="11"/>
  <c r="G1249" i="11"/>
  <c r="I1249" i="11"/>
  <c r="J1249" i="11"/>
  <c r="K1249" i="11"/>
  <c r="L1249" i="11"/>
  <c r="M1249" i="11"/>
  <c r="N1249" i="11"/>
  <c r="C1250" i="11"/>
  <c r="D1250" i="11"/>
  <c r="E1250" i="11"/>
  <c r="F1250" i="11"/>
  <c r="G1250" i="11"/>
  <c r="I1250" i="11"/>
  <c r="J1250" i="11"/>
  <c r="K1250" i="11"/>
  <c r="L1250" i="11"/>
  <c r="M1250" i="11"/>
  <c r="N1250" i="11"/>
  <c r="C1251" i="11"/>
  <c r="D1251" i="11"/>
  <c r="E1251" i="11"/>
  <c r="F1251" i="11"/>
  <c r="G1251" i="11"/>
  <c r="I1251" i="11"/>
  <c r="J1251" i="11"/>
  <c r="K1251" i="11"/>
  <c r="L1251" i="11"/>
  <c r="M1251" i="11"/>
  <c r="N1251" i="11"/>
  <c r="C1252" i="11"/>
  <c r="D1252" i="11"/>
  <c r="E1252" i="11"/>
  <c r="F1252" i="11"/>
  <c r="G1252" i="11"/>
  <c r="I1252" i="11"/>
  <c r="J1252" i="11"/>
  <c r="K1252" i="11"/>
  <c r="L1252" i="11"/>
  <c r="M1252" i="11"/>
  <c r="N1252" i="11"/>
  <c r="C1253" i="11"/>
  <c r="D1253" i="11"/>
  <c r="E1253" i="11"/>
  <c r="F1253" i="11"/>
  <c r="G1253" i="11"/>
  <c r="I1253" i="11"/>
  <c r="J1253" i="11"/>
  <c r="K1253" i="11"/>
  <c r="L1253" i="11"/>
  <c r="M1253" i="11"/>
  <c r="N1253" i="11"/>
  <c r="C1254" i="11"/>
  <c r="D1254" i="11"/>
  <c r="E1254" i="11"/>
  <c r="F1254" i="11"/>
  <c r="G1254" i="11"/>
  <c r="I1254" i="11"/>
  <c r="J1254" i="11"/>
  <c r="K1254" i="11"/>
  <c r="L1254" i="11"/>
  <c r="M1254" i="11"/>
  <c r="N1254" i="11"/>
  <c r="C1255" i="11"/>
  <c r="D1255" i="11"/>
  <c r="E1255" i="11"/>
  <c r="F1255" i="11"/>
  <c r="G1255" i="11"/>
  <c r="I1255" i="11"/>
  <c r="J1255" i="11"/>
  <c r="K1255" i="11"/>
  <c r="L1255" i="11"/>
  <c r="M1255" i="11"/>
  <c r="N1255" i="11"/>
  <c r="C1256" i="11"/>
  <c r="D1256" i="11"/>
  <c r="E1256" i="11"/>
  <c r="F1256" i="11"/>
  <c r="G1256" i="11"/>
  <c r="I1256" i="11"/>
  <c r="J1256" i="11"/>
  <c r="K1256" i="11"/>
  <c r="L1256" i="11"/>
  <c r="M1256" i="11"/>
  <c r="N1256" i="11"/>
  <c r="C1257" i="11"/>
  <c r="D1257" i="11"/>
  <c r="E1257" i="11"/>
  <c r="F1257" i="11"/>
  <c r="G1257" i="11"/>
  <c r="I1257" i="11"/>
  <c r="J1257" i="11"/>
  <c r="K1257" i="11"/>
  <c r="L1257" i="11"/>
  <c r="M1257" i="11"/>
  <c r="N1257" i="11"/>
  <c r="C1258" i="11"/>
  <c r="D1258" i="11"/>
  <c r="E1258" i="11"/>
  <c r="F1258" i="11"/>
  <c r="G1258" i="11"/>
  <c r="I1258" i="11"/>
  <c r="J1258" i="11"/>
  <c r="K1258" i="11"/>
  <c r="L1258" i="11"/>
  <c r="M1258" i="11"/>
  <c r="N1258" i="11"/>
  <c r="C1259" i="11"/>
  <c r="D1259" i="11"/>
  <c r="E1259" i="11"/>
  <c r="F1259" i="11"/>
  <c r="G1259" i="11"/>
  <c r="I1259" i="11"/>
  <c r="J1259" i="11"/>
  <c r="K1259" i="11"/>
  <c r="L1259" i="11"/>
  <c r="M1259" i="11"/>
  <c r="N1259" i="11"/>
  <c r="C1260" i="11"/>
  <c r="D1260" i="11"/>
  <c r="E1260" i="11"/>
  <c r="F1260" i="11"/>
  <c r="G1260" i="11"/>
  <c r="I1260" i="11"/>
  <c r="J1260" i="11"/>
  <c r="K1260" i="11"/>
  <c r="L1260" i="11"/>
  <c r="M1260" i="11"/>
  <c r="N1260" i="11"/>
  <c r="C1261" i="11"/>
  <c r="D1261" i="11"/>
  <c r="E1261" i="11"/>
  <c r="F1261" i="11"/>
  <c r="G1261" i="11"/>
  <c r="I1261" i="11"/>
  <c r="J1261" i="11"/>
  <c r="K1261" i="11"/>
  <c r="L1261" i="11"/>
  <c r="M1261" i="11"/>
  <c r="N1261" i="11"/>
  <c r="C1262" i="11"/>
  <c r="D1262" i="11"/>
  <c r="E1262" i="11"/>
  <c r="F1262" i="11"/>
  <c r="G1262" i="11"/>
  <c r="I1262" i="11"/>
  <c r="J1262" i="11"/>
  <c r="K1262" i="11"/>
  <c r="L1262" i="11"/>
  <c r="M1262" i="11"/>
  <c r="N1262" i="11"/>
  <c r="C1263" i="11"/>
  <c r="D1263" i="11"/>
  <c r="E1263" i="11"/>
  <c r="F1263" i="11"/>
  <c r="G1263" i="11"/>
  <c r="I1263" i="11"/>
  <c r="J1263" i="11"/>
  <c r="K1263" i="11"/>
  <c r="L1263" i="11"/>
  <c r="M1263" i="11"/>
  <c r="N1263" i="11"/>
  <c r="C1264" i="11"/>
  <c r="D1264" i="11"/>
  <c r="E1264" i="11"/>
  <c r="F1264" i="11"/>
  <c r="G1264" i="11"/>
  <c r="I1264" i="11"/>
  <c r="J1264" i="11"/>
  <c r="K1264" i="11"/>
  <c r="L1264" i="11"/>
  <c r="M1264" i="11"/>
  <c r="N1264" i="11"/>
  <c r="C1265" i="11"/>
  <c r="D1265" i="11"/>
  <c r="E1265" i="11"/>
  <c r="F1265" i="11"/>
  <c r="G1265" i="11"/>
  <c r="I1265" i="11"/>
  <c r="J1265" i="11"/>
  <c r="K1265" i="11"/>
  <c r="L1265" i="11"/>
  <c r="M1265" i="11"/>
  <c r="N1265" i="11"/>
  <c r="C1266" i="11"/>
  <c r="D1266" i="11"/>
  <c r="E1266" i="11"/>
  <c r="F1266" i="11"/>
  <c r="G1266" i="11"/>
  <c r="I1266" i="11"/>
  <c r="J1266" i="11"/>
  <c r="K1266" i="11"/>
  <c r="L1266" i="11"/>
  <c r="M1266" i="11"/>
  <c r="N1266" i="11"/>
  <c r="C1267" i="11"/>
  <c r="D1267" i="11"/>
  <c r="E1267" i="11"/>
  <c r="F1267" i="11"/>
  <c r="G1267" i="11"/>
  <c r="I1267" i="11"/>
  <c r="J1267" i="11"/>
  <c r="K1267" i="11"/>
  <c r="L1267" i="11"/>
  <c r="M1267" i="11"/>
  <c r="N1267" i="11"/>
  <c r="C1268" i="11"/>
  <c r="D1268" i="11"/>
  <c r="E1268" i="11"/>
  <c r="F1268" i="11"/>
  <c r="G1268" i="11"/>
  <c r="I1268" i="11"/>
  <c r="J1268" i="11"/>
  <c r="K1268" i="11"/>
  <c r="L1268" i="11"/>
  <c r="M1268" i="11"/>
  <c r="N1268" i="11"/>
  <c r="C1269" i="11"/>
  <c r="D1269" i="11"/>
  <c r="E1269" i="11"/>
  <c r="F1269" i="11"/>
  <c r="G1269" i="11"/>
  <c r="I1269" i="11"/>
  <c r="J1269" i="11"/>
  <c r="K1269" i="11"/>
  <c r="L1269" i="11"/>
  <c r="M1269" i="11"/>
  <c r="N1269" i="11"/>
  <c r="C1270" i="11"/>
  <c r="D1270" i="11"/>
  <c r="E1270" i="11"/>
  <c r="F1270" i="11"/>
  <c r="G1270" i="11"/>
  <c r="I1270" i="11"/>
  <c r="J1270" i="11"/>
  <c r="K1270" i="11"/>
  <c r="L1270" i="11"/>
  <c r="M1270" i="11"/>
  <c r="N1270" i="11"/>
  <c r="C1271" i="11"/>
  <c r="D1271" i="11"/>
  <c r="E1271" i="11"/>
  <c r="F1271" i="11"/>
  <c r="G1271" i="11"/>
  <c r="I1271" i="11"/>
  <c r="J1271" i="11"/>
  <c r="K1271" i="11"/>
  <c r="L1271" i="11"/>
  <c r="M1271" i="11"/>
  <c r="N1271" i="11"/>
  <c r="C1272" i="11"/>
  <c r="D1272" i="11"/>
  <c r="E1272" i="11"/>
  <c r="F1272" i="11"/>
  <c r="G1272" i="11"/>
  <c r="I1272" i="11"/>
  <c r="J1272" i="11"/>
  <c r="K1272" i="11"/>
  <c r="L1272" i="11"/>
  <c r="M1272" i="11"/>
  <c r="N1272" i="11"/>
  <c r="C1273" i="11"/>
  <c r="D1273" i="11"/>
  <c r="E1273" i="11"/>
  <c r="F1273" i="11"/>
  <c r="G1273" i="11"/>
  <c r="I1273" i="11"/>
  <c r="J1273" i="11"/>
  <c r="K1273" i="11"/>
  <c r="L1273" i="11"/>
  <c r="M1273" i="11"/>
  <c r="N1273" i="11"/>
  <c r="C873" i="11"/>
  <c r="D873" i="11"/>
  <c r="E873" i="11"/>
  <c r="F873" i="11"/>
  <c r="G873" i="11"/>
  <c r="I873" i="11"/>
  <c r="J873" i="11"/>
  <c r="K873" i="11"/>
  <c r="L873" i="11"/>
  <c r="M873" i="11"/>
  <c r="N873" i="11"/>
  <c r="C874" i="11"/>
  <c r="D874" i="11"/>
  <c r="E874" i="11"/>
  <c r="F874" i="11"/>
  <c r="G874" i="11"/>
  <c r="I874" i="11"/>
  <c r="J874" i="11"/>
  <c r="K874" i="11"/>
  <c r="L874" i="11"/>
  <c r="M874" i="11"/>
  <c r="N874" i="11"/>
  <c r="C875" i="11"/>
  <c r="D875" i="11"/>
  <c r="E875" i="11"/>
  <c r="F875" i="11"/>
  <c r="G875" i="11"/>
  <c r="I875" i="11"/>
  <c r="J875" i="11"/>
  <c r="K875" i="11"/>
  <c r="L875" i="11"/>
  <c r="M875" i="11"/>
  <c r="N875" i="11"/>
  <c r="C876" i="11"/>
  <c r="D876" i="11"/>
  <c r="E876" i="11"/>
  <c r="F876" i="11"/>
  <c r="G876" i="11"/>
  <c r="I876" i="11"/>
  <c r="J876" i="11"/>
  <c r="K876" i="11"/>
  <c r="L876" i="11"/>
  <c r="M876" i="11"/>
  <c r="N876" i="11"/>
  <c r="C877" i="11"/>
  <c r="D877" i="11"/>
  <c r="E877" i="11"/>
  <c r="F877" i="11"/>
  <c r="G877" i="11"/>
  <c r="I877" i="11"/>
  <c r="J877" i="11"/>
  <c r="K877" i="11"/>
  <c r="L877" i="11"/>
  <c r="M877" i="11"/>
  <c r="N877" i="11"/>
  <c r="C878" i="11"/>
  <c r="D878" i="11"/>
  <c r="E878" i="11"/>
  <c r="F878" i="11"/>
  <c r="G878" i="11"/>
  <c r="I878" i="11"/>
  <c r="J878" i="11"/>
  <c r="K878" i="11"/>
  <c r="L878" i="11"/>
  <c r="M878" i="11"/>
  <c r="N878" i="11"/>
  <c r="C879" i="11"/>
  <c r="D879" i="11"/>
  <c r="E879" i="11"/>
  <c r="F879" i="11"/>
  <c r="G879" i="11"/>
  <c r="I879" i="11"/>
  <c r="J879" i="11"/>
  <c r="K879" i="11"/>
  <c r="L879" i="11"/>
  <c r="M879" i="11"/>
  <c r="N879" i="11"/>
  <c r="C880" i="11"/>
  <c r="D880" i="11"/>
  <c r="E880" i="11"/>
  <c r="F880" i="11"/>
  <c r="G880" i="11"/>
  <c r="I880" i="11"/>
  <c r="J880" i="11"/>
  <c r="K880" i="11"/>
  <c r="L880" i="11"/>
  <c r="M880" i="11"/>
  <c r="N880" i="11"/>
  <c r="C881" i="11"/>
  <c r="D881" i="11"/>
  <c r="E881" i="11"/>
  <c r="F881" i="11"/>
  <c r="G881" i="11"/>
  <c r="I881" i="11"/>
  <c r="J881" i="11"/>
  <c r="K881" i="11"/>
  <c r="L881" i="11"/>
  <c r="M881" i="11"/>
  <c r="N881" i="11"/>
  <c r="C882" i="11"/>
  <c r="D882" i="11"/>
  <c r="E882" i="11"/>
  <c r="F882" i="11"/>
  <c r="G882" i="11"/>
  <c r="I882" i="11"/>
  <c r="J882" i="11"/>
  <c r="K882" i="11"/>
  <c r="L882" i="11"/>
  <c r="M882" i="11"/>
  <c r="N882" i="11"/>
  <c r="C883" i="11"/>
  <c r="D883" i="11"/>
  <c r="E883" i="11"/>
  <c r="F883" i="11"/>
  <c r="G883" i="11"/>
  <c r="I883" i="11"/>
  <c r="J883" i="11"/>
  <c r="K883" i="11"/>
  <c r="L883" i="11"/>
  <c r="M883" i="11"/>
  <c r="N883" i="11"/>
  <c r="C884" i="11"/>
  <c r="D884" i="11"/>
  <c r="E884" i="11"/>
  <c r="F884" i="11"/>
  <c r="G884" i="11"/>
  <c r="I884" i="11"/>
  <c r="J884" i="11"/>
  <c r="K884" i="11"/>
  <c r="L884" i="11"/>
  <c r="M884" i="11"/>
  <c r="N884" i="11"/>
  <c r="C885" i="11"/>
  <c r="D885" i="11"/>
  <c r="E885" i="11"/>
  <c r="F885" i="11"/>
  <c r="G885" i="11"/>
  <c r="I885" i="11"/>
  <c r="J885" i="11"/>
  <c r="K885" i="11"/>
  <c r="L885" i="11"/>
  <c r="M885" i="11"/>
  <c r="N885" i="11"/>
  <c r="C886" i="11"/>
  <c r="D886" i="11"/>
  <c r="E886" i="11"/>
  <c r="F886" i="11"/>
  <c r="G886" i="11"/>
  <c r="I886" i="11"/>
  <c r="J886" i="11"/>
  <c r="K886" i="11"/>
  <c r="L886" i="11"/>
  <c r="M886" i="11"/>
  <c r="N886" i="11"/>
  <c r="C887" i="11"/>
  <c r="D887" i="11"/>
  <c r="E887" i="11"/>
  <c r="F887" i="11"/>
  <c r="G887" i="11"/>
  <c r="I887" i="11"/>
  <c r="J887" i="11"/>
  <c r="K887" i="11"/>
  <c r="L887" i="11"/>
  <c r="M887" i="11"/>
  <c r="N887" i="11"/>
  <c r="C888" i="11"/>
  <c r="D888" i="11"/>
  <c r="E888" i="11"/>
  <c r="F888" i="11"/>
  <c r="G888" i="11"/>
  <c r="I888" i="11"/>
  <c r="J888" i="11"/>
  <c r="K888" i="11"/>
  <c r="L888" i="11"/>
  <c r="M888" i="11"/>
  <c r="N888" i="11"/>
  <c r="C889" i="11"/>
  <c r="D889" i="11"/>
  <c r="E889" i="11"/>
  <c r="F889" i="11"/>
  <c r="G889" i="11"/>
  <c r="I889" i="11"/>
  <c r="J889" i="11"/>
  <c r="K889" i="11"/>
  <c r="L889" i="11"/>
  <c r="M889" i="11"/>
  <c r="N889" i="11"/>
  <c r="C890" i="11"/>
  <c r="D890" i="11"/>
  <c r="E890" i="11"/>
  <c r="F890" i="11"/>
  <c r="G890" i="11"/>
  <c r="I890" i="11"/>
  <c r="J890" i="11"/>
  <c r="K890" i="11"/>
  <c r="L890" i="11"/>
  <c r="M890" i="11"/>
  <c r="N890" i="11"/>
  <c r="C891" i="11"/>
  <c r="D891" i="11"/>
  <c r="E891" i="11"/>
  <c r="F891" i="11"/>
  <c r="G891" i="11"/>
  <c r="I891" i="11"/>
  <c r="J891" i="11"/>
  <c r="K891" i="11"/>
  <c r="L891" i="11"/>
  <c r="M891" i="11"/>
  <c r="N891" i="11"/>
  <c r="C892" i="11"/>
  <c r="D892" i="11"/>
  <c r="E892" i="11"/>
  <c r="F892" i="11"/>
  <c r="G892" i="11"/>
  <c r="I892" i="11"/>
  <c r="J892" i="11"/>
  <c r="K892" i="11"/>
  <c r="L892" i="11"/>
  <c r="M892" i="11"/>
  <c r="N892" i="11"/>
  <c r="C893" i="11"/>
  <c r="D893" i="11"/>
  <c r="E893" i="11"/>
  <c r="F893" i="11"/>
  <c r="G893" i="11"/>
  <c r="I893" i="11"/>
  <c r="J893" i="11"/>
  <c r="K893" i="11"/>
  <c r="L893" i="11"/>
  <c r="M893" i="11"/>
  <c r="N893" i="11"/>
  <c r="C894" i="11"/>
  <c r="D894" i="11"/>
  <c r="E894" i="11"/>
  <c r="F894" i="11"/>
  <c r="G894" i="11"/>
  <c r="I894" i="11"/>
  <c r="J894" i="11"/>
  <c r="K894" i="11"/>
  <c r="L894" i="11"/>
  <c r="M894" i="11"/>
  <c r="N894" i="11"/>
  <c r="C895" i="11"/>
  <c r="D895" i="11"/>
  <c r="E895" i="11"/>
  <c r="F895" i="11"/>
  <c r="G895" i="11"/>
  <c r="I895" i="11"/>
  <c r="J895" i="11"/>
  <c r="K895" i="11"/>
  <c r="L895" i="11"/>
  <c r="M895" i="11"/>
  <c r="N895" i="11"/>
  <c r="C896" i="11"/>
  <c r="D896" i="11"/>
  <c r="E896" i="11"/>
  <c r="F896" i="11"/>
  <c r="G896" i="11"/>
  <c r="I896" i="11"/>
  <c r="J896" i="11"/>
  <c r="K896" i="11"/>
  <c r="L896" i="11"/>
  <c r="M896" i="11"/>
  <c r="N896" i="11"/>
  <c r="C897" i="11"/>
  <c r="D897" i="11"/>
  <c r="E897" i="11"/>
  <c r="F897" i="11"/>
  <c r="G897" i="11"/>
  <c r="I897" i="11"/>
  <c r="J897" i="11"/>
  <c r="K897" i="11"/>
  <c r="L897" i="11"/>
  <c r="M897" i="11"/>
  <c r="N897" i="11"/>
  <c r="C898" i="11"/>
  <c r="D898" i="11"/>
  <c r="E898" i="11"/>
  <c r="F898" i="11"/>
  <c r="G898" i="11"/>
  <c r="I898" i="11"/>
  <c r="J898" i="11"/>
  <c r="K898" i="11"/>
  <c r="L898" i="11"/>
  <c r="M898" i="11"/>
  <c r="N898" i="11"/>
  <c r="C899" i="11"/>
  <c r="D899" i="11"/>
  <c r="E899" i="11"/>
  <c r="F899" i="11"/>
  <c r="G899" i="11"/>
  <c r="I899" i="11"/>
  <c r="J899" i="11"/>
  <c r="K899" i="11"/>
  <c r="L899" i="11"/>
  <c r="M899" i="11"/>
  <c r="N899" i="11"/>
  <c r="C900" i="11"/>
  <c r="D900" i="11"/>
  <c r="E900" i="11"/>
  <c r="F900" i="11"/>
  <c r="G900" i="11"/>
  <c r="I900" i="11"/>
  <c r="J900" i="11"/>
  <c r="K900" i="11"/>
  <c r="L900" i="11"/>
  <c r="M900" i="11"/>
  <c r="N900" i="11"/>
  <c r="C901" i="11"/>
  <c r="D901" i="11"/>
  <c r="E901" i="11"/>
  <c r="F901" i="11"/>
  <c r="G901" i="11"/>
  <c r="I901" i="11"/>
  <c r="J901" i="11"/>
  <c r="K901" i="11"/>
  <c r="L901" i="11"/>
  <c r="M901" i="11"/>
  <c r="N901" i="11"/>
  <c r="C902" i="11"/>
  <c r="D902" i="11"/>
  <c r="E902" i="11"/>
  <c r="F902" i="11"/>
  <c r="G902" i="11"/>
  <c r="I902" i="11"/>
  <c r="J902" i="11"/>
  <c r="K902" i="11"/>
  <c r="L902" i="11"/>
  <c r="M902" i="11"/>
  <c r="N902" i="11"/>
  <c r="C903" i="11"/>
  <c r="D903" i="11"/>
  <c r="E903" i="11"/>
  <c r="F903" i="11"/>
  <c r="G903" i="11"/>
  <c r="I903" i="11"/>
  <c r="J903" i="11"/>
  <c r="K903" i="11"/>
  <c r="L903" i="11"/>
  <c r="M903" i="11"/>
  <c r="N903" i="11"/>
  <c r="C904" i="11"/>
  <c r="D904" i="11"/>
  <c r="E904" i="11"/>
  <c r="F904" i="11"/>
  <c r="G904" i="11"/>
  <c r="I904" i="11"/>
  <c r="J904" i="11"/>
  <c r="K904" i="11"/>
  <c r="L904" i="11"/>
  <c r="M904" i="11"/>
  <c r="N904" i="11"/>
  <c r="C905" i="11"/>
  <c r="D905" i="11"/>
  <c r="E905" i="11"/>
  <c r="F905" i="11"/>
  <c r="G905" i="11"/>
  <c r="I905" i="11"/>
  <c r="J905" i="11"/>
  <c r="K905" i="11"/>
  <c r="L905" i="11"/>
  <c r="M905" i="11"/>
  <c r="N905" i="11"/>
  <c r="C906" i="11"/>
  <c r="D906" i="11"/>
  <c r="E906" i="11"/>
  <c r="F906" i="11"/>
  <c r="G906" i="11"/>
  <c r="I906" i="11"/>
  <c r="J906" i="11"/>
  <c r="K906" i="11"/>
  <c r="L906" i="11"/>
  <c r="M906" i="11"/>
  <c r="N906" i="11"/>
  <c r="C907" i="11"/>
  <c r="D907" i="11"/>
  <c r="E907" i="11"/>
  <c r="F907" i="11"/>
  <c r="G907" i="11"/>
  <c r="I907" i="11"/>
  <c r="J907" i="11"/>
  <c r="K907" i="11"/>
  <c r="L907" i="11"/>
  <c r="M907" i="11"/>
  <c r="N907" i="11"/>
  <c r="C908" i="11"/>
  <c r="D908" i="11"/>
  <c r="E908" i="11"/>
  <c r="F908" i="11"/>
  <c r="G908" i="11"/>
  <c r="I908" i="11"/>
  <c r="J908" i="11"/>
  <c r="K908" i="11"/>
  <c r="L908" i="11"/>
  <c r="M908" i="11"/>
  <c r="N908" i="11"/>
  <c r="C909" i="11"/>
  <c r="D909" i="11"/>
  <c r="E909" i="11"/>
  <c r="F909" i="11"/>
  <c r="G909" i="11"/>
  <c r="I909" i="11"/>
  <c r="J909" i="11"/>
  <c r="K909" i="11"/>
  <c r="L909" i="11"/>
  <c r="M909" i="11"/>
  <c r="N909" i="11"/>
  <c r="C910" i="11"/>
  <c r="D910" i="11"/>
  <c r="E910" i="11"/>
  <c r="F910" i="11"/>
  <c r="G910" i="11"/>
  <c r="I910" i="11"/>
  <c r="J910" i="11"/>
  <c r="K910" i="11"/>
  <c r="L910" i="11"/>
  <c r="M910" i="11"/>
  <c r="N910" i="11"/>
  <c r="C911" i="11"/>
  <c r="D911" i="11"/>
  <c r="E911" i="11"/>
  <c r="F911" i="11"/>
  <c r="G911" i="11"/>
  <c r="I911" i="11"/>
  <c r="J911" i="11"/>
  <c r="K911" i="11"/>
  <c r="L911" i="11"/>
  <c r="M911" i="11"/>
  <c r="N911" i="11"/>
  <c r="C912" i="11"/>
  <c r="D912" i="11"/>
  <c r="E912" i="11"/>
  <c r="F912" i="11"/>
  <c r="G912" i="11"/>
  <c r="I912" i="11"/>
  <c r="J912" i="11"/>
  <c r="K912" i="11"/>
  <c r="L912" i="11"/>
  <c r="M912" i="11"/>
  <c r="N912" i="11"/>
  <c r="C913" i="11"/>
  <c r="D913" i="11"/>
  <c r="E913" i="11"/>
  <c r="F913" i="11"/>
  <c r="G913" i="11"/>
  <c r="I913" i="11"/>
  <c r="J913" i="11"/>
  <c r="K913" i="11"/>
  <c r="L913" i="11"/>
  <c r="M913" i="11"/>
  <c r="N913" i="11"/>
  <c r="C914" i="11"/>
  <c r="D914" i="11"/>
  <c r="E914" i="11"/>
  <c r="F914" i="11"/>
  <c r="G914" i="11"/>
  <c r="I914" i="11"/>
  <c r="J914" i="11"/>
  <c r="K914" i="11"/>
  <c r="L914" i="11"/>
  <c r="M914" i="11"/>
  <c r="N914" i="11"/>
  <c r="C915" i="11"/>
  <c r="D915" i="11"/>
  <c r="E915" i="11"/>
  <c r="F915" i="11"/>
  <c r="G915" i="11"/>
  <c r="I915" i="11"/>
  <c r="J915" i="11"/>
  <c r="K915" i="11"/>
  <c r="L915" i="11"/>
  <c r="M915" i="11"/>
  <c r="N915" i="11"/>
  <c r="C916" i="11"/>
  <c r="D916" i="11"/>
  <c r="E916" i="11"/>
  <c r="F916" i="11"/>
  <c r="G916" i="11"/>
  <c r="I916" i="11"/>
  <c r="J916" i="11"/>
  <c r="K916" i="11"/>
  <c r="L916" i="11"/>
  <c r="M916" i="11"/>
  <c r="N916" i="11"/>
  <c r="C917" i="11"/>
  <c r="D917" i="11"/>
  <c r="E917" i="11"/>
  <c r="F917" i="11"/>
  <c r="G917" i="11"/>
  <c r="I917" i="11"/>
  <c r="J917" i="11"/>
  <c r="K917" i="11"/>
  <c r="L917" i="11"/>
  <c r="M917" i="11"/>
  <c r="N917" i="11"/>
  <c r="C918" i="11"/>
  <c r="D918" i="11"/>
  <c r="E918" i="11"/>
  <c r="F918" i="11"/>
  <c r="G918" i="11"/>
  <c r="I918" i="11"/>
  <c r="J918" i="11"/>
  <c r="K918" i="11"/>
  <c r="L918" i="11"/>
  <c r="M918" i="11"/>
  <c r="N918" i="11"/>
  <c r="C919" i="11"/>
  <c r="D919" i="11"/>
  <c r="E919" i="11"/>
  <c r="F919" i="11"/>
  <c r="G919" i="11"/>
  <c r="I919" i="11"/>
  <c r="J919" i="11"/>
  <c r="K919" i="11"/>
  <c r="L919" i="11"/>
  <c r="M919" i="11"/>
  <c r="N919" i="11"/>
  <c r="C920" i="11"/>
  <c r="D920" i="11"/>
  <c r="E920" i="11"/>
  <c r="F920" i="11"/>
  <c r="G920" i="11"/>
  <c r="I920" i="11"/>
  <c r="J920" i="11"/>
  <c r="K920" i="11"/>
  <c r="L920" i="11"/>
  <c r="M920" i="11"/>
  <c r="N920" i="11"/>
  <c r="C921" i="11"/>
  <c r="D921" i="11"/>
  <c r="E921" i="11"/>
  <c r="F921" i="11"/>
  <c r="G921" i="11"/>
  <c r="I921" i="11"/>
  <c r="J921" i="11"/>
  <c r="K921" i="11"/>
  <c r="L921" i="11"/>
  <c r="M921" i="11"/>
  <c r="N921" i="11"/>
  <c r="C922" i="11"/>
  <c r="D922" i="11"/>
  <c r="E922" i="11"/>
  <c r="F922" i="11"/>
  <c r="G922" i="11"/>
  <c r="I922" i="11"/>
  <c r="J922" i="11"/>
  <c r="K922" i="11"/>
  <c r="L922" i="11"/>
  <c r="M922" i="11"/>
  <c r="N922" i="11"/>
  <c r="C923" i="11"/>
  <c r="D923" i="11"/>
  <c r="E923" i="11"/>
  <c r="F923" i="11"/>
  <c r="G923" i="11"/>
  <c r="I923" i="11"/>
  <c r="J923" i="11"/>
  <c r="K923" i="11"/>
  <c r="L923" i="11"/>
  <c r="M923" i="11"/>
  <c r="N923" i="11"/>
  <c r="C924" i="11"/>
  <c r="D924" i="11"/>
  <c r="E924" i="11"/>
  <c r="F924" i="11"/>
  <c r="G924" i="11"/>
  <c r="I924" i="11"/>
  <c r="J924" i="11"/>
  <c r="K924" i="11"/>
  <c r="L924" i="11"/>
  <c r="M924" i="11"/>
  <c r="N924" i="11"/>
  <c r="C925" i="11"/>
  <c r="D925" i="11"/>
  <c r="E925" i="11"/>
  <c r="F925" i="11"/>
  <c r="G925" i="11"/>
  <c r="I925" i="11"/>
  <c r="J925" i="11"/>
  <c r="K925" i="11"/>
  <c r="L925" i="11"/>
  <c r="M925" i="11"/>
  <c r="N925" i="11"/>
  <c r="C926" i="11"/>
  <c r="D926" i="11"/>
  <c r="E926" i="11"/>
  <c r="F926" i="11"/>
  <c r="G926" i="11"/>
  <c r="I926" i="11"/>
  <c r="J926" i="11"/>
  <c r="K926" i="11"/>
  <c r="L926" i="11"/>
  <c r="M926" i="11"/>
  <c r="N926" i="11"/>
  <c r="C927" i="11"/>
  <c r="D927" i="11"/>
  <c r="E927" i="11"/>
  <c r="F927" i="11"/>
  <c r="G927" i="11"/>
  <c r="I927" i="11"/>
  <c r="J927" i="11"/>
  <c r="K927" i="11"/>
  <c r="L927" i="11"/>
  <c r="M927" i="11"/>
  <c r="N927" i="11"/>
  <c r="C928" i="11"/>
  <c r="D928" i="11"/>
  <c r="E928" i="11"/>
  <c r="F928" i="11"/>
  <c r="G928" i="11"/>
  <c r="I928" i="11"/>
  <c r="J928" i="11"/>
  <c r="K928" i="11"/>
  <c r="L928" i="11"/>
  <c r="M928" i="11"/>
  <c r="N928" i="11"/>
  <c r="C929" i="11"/>
  <c r="D929" i="11"/>
  <c r="E929" i="11"/>
  <c r="F929" i="11"/>
  <c r="G929" i="11"/>
  <c r="I929" i="11"/>
  <c r="J929" i="11"/>
  <c r="K929" i="11"/>
  <c r="L929" i="11"/>
  <c r="M929" i="11"/>
  <c r="N929" i="11"/>
  <c r="C930" i="11"/>
  <c r="D930" i="11"/>
  <c r="E930" i="11"/>
  <c r="F930" i="11"/>
  <c r="G930" i="11"/>
  <c r="I930" i="11"/>
  <c r="J930" i="11"/>
  <c r="K930" i="11"/>
  <c r="L930" i="11"/>
  <c r="M930" i="11"/>
  <c r="N930" i="11"/>
  <c r="C931" i="11"/>
  <c r="D931" i="11"/>
  <c r="E931" i="11"/>
  <c r="F931" i="11"/>
  <c r="G931" i="11"/>
  <c r="I931" i="11"/>
  <c r="J931" i="11"/>
  <c r="K931" i="11"/>
  <c r="L931" i="11"/>
  <c r="M931" i="11"/>
  <c r="N931" i="11"/>
  <c r="C932" i="11"/>
  <c r="D932" i="11"/>
  <c r="E932" i="11"/>
  <c r="F932" i="11"/>
  <c r="G932" i="11"/>
  <c r="I932" i="11"/>
  <c r="J932" i="11"/>
  <c r="K932" i="11"/>
  <c r="L932" i="11"/>
  <c r="M932" i="11"/>
  <c r="N932" i="11"/>
  <c r="C933" i="11"/>
  <c r="D933" i="11"/>
  <c r="E933" i="11"/>
  <c r="F933" i="11"/>
  <c r="G933" i="11"/>
  <c r="I933" i="11"/>
  <c r="J933" i="11"/>
  <c r="K933" i="11"/>
  <c r="L933" i="11"/>
  <c r="M933" i="11"/>
  <c r="N933" i="11"/>
  <c r="C934" i="11"/>
  <c r="D934" i="11"/>
  <c r="E934" i="11"/>
  <c r="F934" i="11"/>
  <c r="G934" i="11"/>
  <c r="I934" i="11"/>
  <c r="J934" i="11"/>
  <c r="K934" i="11"/>
  <c r="L934" i="11"/>
  <c r="M934" i="11"/>
  <c r="N934" i="11"/>
  <c r="C935" i="11"/>
  <c r="D935" i="11"/>
  <c r="E935" i="11"/>
  <c r="F935" i="11"/>
  <c r="G935" i="11"/>
  <c r="I935" i="11"/>
  <c r="J935" i="11"/>
  <c r="K935" i="11"/>
  <c r="L935" i="11"/>
  <c r="M935" i="11"/>
  <c r="N935" i="11"/>
  <c r="C936" i="11"/>
  <c r="D936" i="11"/>
  <c r="E936" i="11"/>
  <c r="F936" i="11"/>
  <c r="G936" i="11"/>
  <c r="I936" i="11"/>
  <c r="J936" i="11"/>
  <c r="K936" i="11"/>
  <c r="L936" i="11"/>
  <c r="M936" i="11"/>
  <c r="N936" i="11"/>
  <c r="C937" i="11"/>
  <c r="D937" i="11"/>
  <c r="E937" i="11"/>
  <c r="F937" i="11"/>
  <c r="G937" i="11"/>
  <c r="I937" i="11"/>
  <c r="J937" i="11"/>
  <c r="K937" i="11"/>
  <c r="L937" i="11"/>
  <c r="M937" i="11"/>
  <c r="N937" i="11"/>
  <c r="C938" i="11"/>
  <c r="D938" i="11"/>
  <c r="E938" i="11"/>
  <c r="F938" i="11"/>
  <c r="G938" i="11"/>
  <c r="I938" i="11"/>
  <c r="J938" i="11"/>
  <c r="K938" i="11"/>
  <c r="L938" i="11"/>
  <c r="M938" i="11"/>
  <c r="N938" i="11"/>
  <c r="C939" i="11"/>
  <c r="D939" i="11"/>
  <c r="E939" i="11"/>
  <c r="F939" i="11"/>
  <c r="G939" i="11"/>
  <c r="I939" i="11"/>
  <c r="J939" i="11"/>
  <c r="K939" i="11"/>
  <c r="L939" i="11"/>
  <c r="M939" i="11"/>
  <c r="N939" i="11"/>
  <c r="C940" i="11"/>
  <c r="D940" i="11"/>
  <c r="E940" i="11"/>
  <c r="F940" i="11"/>
  <c r="G940" i="11"/>
  <c r="I940" i="11"/>
  <c r="J940" i="11"/>
  <c r="K940" i="11"/>
  <c r="L940" i="11"/>
  <c r="M940" i="11"/>
  <c r="N940" i="11"/>
  <c r="C941" i="11"/>
  <c r="D941" i="11"/>
  <c r="E941" i="11"/>
  <c r="F941" i="11"/>
  <c r="G941" i="11"/>
  <c r="I941" i="11"/>
  <c r="J941" i="11"/>
  <c r="K941" i="11"/>
  <c r="L941" i="11"/>
  <c r="M941" i="11"/>
  <c r="N941" i="11"/>
  <c r="C942" i="11"/>
  <c r="D942" i="11"/>
  <c r="E942" i="11"/>
  <c r="F942" i="11"/>
  <c r="G942" i="11"/>
  <c r="I942" i="11"/>
  <c r="J942" i="11"/>
  <c r="K942" i="11"/>
  <c r="L942" i="11"/>
  <c r="M942" i="11"/>
  <c r="N942" i="11"/>
  <c r="C943" i="11"/>
  <c r="D943" i="11"/>
  <c r="E943" i="11"/>
  <c r="F943" i="11"/>
  <c r="G943" i="11"/>
  <c r="I943" i="11"/>
  <c r="J943" i="11"/>
  <c r="K943" i="11"/>
  <c r="L943" i="11"/>
  <c r="M943" i="11"/>
  <c r="N943" i="11"/>
  <c r="C944" i="11"/>
  <c r="D944" i="11"/>
  <c r="E944" i="11"/>
  <c r="F944" i="11"/>
  <c r="G944" i="11"/>
  <c r="I944" i="11"/>
  <c r="J944" i="11"/>
  <c r="K944" i="11"/>
  <c r="L944" i="11"/>
  <c r="M944" i="11"/>
  <c r="N944" i="11"/>
  <c r="C945" i="11"/>
  <c r="D945" i="11"/>
  <c r="E945" i="11"/>
  <c r="F945" i="11"/>
  <c r="G945" i="11"/>
  <c r="I945" i="11"/>
  <c r="J945" i="11"/>
  <c r="K945" i="11"/>
  <c r="L945" i="11"/>
  <c r="M945" i="11"/>
  <c r="N945" i="11"/>
  <c r="C946" i="11"/>
  <c r="D946" i="11"/>
  <c r="E946" i="11"/>
  <c r="F946" i="11"/>
  <c r="G946" i="11"/>
  <c r="I946" i="11"/>
  <c r="J946" i="11"/>
  <c r="K946" i="11"/>
  <c r="L946" i="11"/>
  <c r="M946" i="11"/>
  <c r="N946" i="11"/>
  <c r="C947" i="11"/>
  <c r="D947" i="11"/>
  <c r="E947" i="11"/>
  <c r="F947" i="11"/>
  <c r="G947" i="11"/>
  <c r="I947" i="11"/>
  <c r="J947" i="11"/>
  <c r="K947" i="11"/>
  <c r="L947" i="11"/>
  <c r="M947" i="11"/>
  <c r="N947" i="11"/>
  <c r="C948" i="11"/>
  <c r="D948" i="11"/>
  <c r="E948" i="11"/>
  <c r="F948" i="11"/>
  <c r="G948" i="11"/>
  <c r="I948" i="11"/>
  <c r="J948" i="11"/>
  <c r="K948" i="11"/>
  <c r="L948" i="11"/>
  <c r="M948" i="11"/>
  <c r="N948" i="11"/>
  <c r="C949" i="11"/>
  <c r="D949" i="11"/>
  <c r="E949" i="11"/>
  <c r="F949" i="11"/>
  <c r="G949" i="11"/>
  <c r="I949" i="11"/>
  <c r="J949" i="11"/>
  <c r="K949" i="11"/>
  <c r="L949" i="11"/>
  <c r="M949" i="11"/>
  <c r="N949" i="11"/>
  <c r="C950" i="11"/>
  <c r="D950" i="11"/>
  <c r="E950" i="11"/>
  <c r="F950" i="11"/>
  <c r="G950" i="11"/>
  <c r="I950" i="11"/>
  <c r="J950" i="11"/>
  <c r="K950" i="11"/>
  <c r="L950" i="11"/>
  <c r="M950" i="11"/>
  <c r="N950" i="11"/>
  <c r="C951" i="11"/>
  <c r="D951" i="11"/>
  <c r="E951" i="11"/>
  <c r="F951" i="11"/>
  <c r="G951" i="11"/>
  <c r="I951" i="11"/>
  <c r="J951" i="11"/>
  <c r="K951" i="11"/>
  <c r="L951" i="11"/>
  <c r="M951" i="11"/>
  <c r="N951" i="11"/>
  <c r="C952" i="11"/>
  <c r="D952" i="11"/>
  <c r="E952" i="11"/>
  <c r="F952" i="11"/>
  <c r="G952" i="11"/>
  <c r="I952" i="11"/>
  <c r="J952" i="11"/>
  <c r="K952" i="11"/>
  <c r="L952" i="11"/>
  <c r="M952" i="11"/>
  <c r="N952" i="11"/>
  <c r="C953" i="11"/>
  <c r="D953" i="11"/>
  <c r="E953" i="11"/>
  <c r="F953" i="11"/>
  <c r="G953" i="11"/>
  <c r="I953" i="11"/>
  <c r="J953" i="11"/>
  <c r="K953" i="11"/>
  <c r="L953" i="11"/>
  <c r="M953" i="11"/>
  <c r="N953" i="11"/>
  <c r="C954" i="11"/>
  <c r="D954" i="11"/>
  <c r="E954" i="11"/>
  <c r="F954" i="11"/>
  <c r="G954" i="11"/>
  <c r="I954" i="11"/>
  <c r="J954" i="11"/>
  <c r="K954" i="11"/>
  <c r="L954" i="11"/>
  <c r="M954" i="11"/>
  <c r="N954" i="11"/>
  <c r="C955" i="11"/>
  <c r="D955" i="11"/>
  <c r="E955" i="11"/>
  <c r="F955" i="11"/>
  <c r="G955" i="11"/>
  <c r="I955" i="11"/>
  <c r="J955" i="11"/>
  <c r="K955" i="11"/>
  <c r="L955" i="11"/>
  <c r="M955" i="11"/>
  <c r="N955" i="11"/>
  <c r="C956" i="11"/>
  <c r="D956" i="11"/>
  <c r="E956" i="11"/>
  <c r="F956" i="11"/>
  <c r="G956" i="11"/>
  <c r="I956" i="11"/>
  <c r="J956" i="11"/>
  <c r="K956" i="11"/>
  <c r="L956" i="11"/>
  <c r="M956" i="11"/>
  <c r="N956" i="11"/>
  <c r="C957" i="11"/>
  <c r="D957" i="11"/>
  <c r="E957" i="11"/>
  <c r="F957" i="11"/>
  <c r="G957" i="11"/>
  <c r="I957" i="11"/>
  <c r="J957" i="11"/>
  <c r="K957" i="11"/>
  <c r="L957" i="11"/>
  <c r="M957" i="11"/>
  <c r="N957" i="11"/>
  <c r="C958" i="11"/>
  <c r="D958" i="11"/>
  <c r="E958" i="11"/>
  <c r="F958" i="11"/>
  <c r="G958" i="11"/>
  <c r="I958" i="11"/>
  <c r="J958" i="11"/>
  <c r="K958" i="11"/>
  <c r="L958" i="11"/>
  <c r="M958" i="11"/>
  <c r="N958" i="11"/>
  <c r="C959" i="11"/>
  <c r="D959" i="11"/>
  <c r="E959" i="11"/>
  <c r="F959" i="11"/>
  <c r="G959" i="11"/>
  <c r="I959" i="11"/>
  <c r="J959" i="11"/>
  <c r="K959" i="11"/>
  <c r="L959" i="11"/>
  <c r="M959" i="11"/>
  <c r="N959" i="11"/>
  <c r="C960" i="11"/>
  <c r="D960" i="11"/>
  <c r="E960" i="11"/>
  <c r="F960" i="11"/>
  <c r="G960" i="11"/>
  <c r="I960" i="11"/>
  <c r="J960" i="11"/>
  <c r="K960" i="11"/>
  <c r="L960" i="11"/>
  <c r="M960" i="11"/>
  <c r="N960" i="11"/>
  <c r="C961" i="11"/>
  <c r="D961" i="11"/>
  <c r="E961" i="11"/>
  <c r="F961" i="11"/>
  <c r="G961" i="11"/>
  <c r="I961" i="11"/>
  <c r="J961" i="11"/>
  <c r="K961" i="11"/>
  <c r="L961" i="11"/>
  <c r="M961" i="11"/>
  <c r="N961" i="11"/>
  <c r="C962" i="11"/>
  <c r="D962" i="11"/>
  <c r="E962" i="11"/>
  <c r="F962" i="11"/>
  <c r="G962" i="11"/>
  <c r="I962" i="11"/>
  <c r="J962" i="11"/>
  <c r="K962" i="11"/>
  <c r="L962" i="11"/>
  <c r="M962" i="11"/>
  <c r="N962" i="11"/>
  <c r="C963" i="11"/>
  <c r="D963" i="11"/>
  <c r="E963" i="11"/>
  <c r="F963" i="11"/>
  <c r="G963" i="11"/>
  <c r="I963" i="11"/>
  <c r="J963" i="11"/>
  <c r="K963" i="11"/>
  <c r="L963" i="11"/>
  <c r="M963" i="11"/>
  <c r="N963" i="11"/>
  <c r="C964" i="11"/>
  <c r="D964" i="11"/>
  <c r="E964" i="11"/>
  <c r="F964" i="11"/>
  <c r="G964" i="11"/>
  <c r="I964" i="11"/>
  <c r="J964" i="11"/>
  <c r="K964" i="11"/>
  <c r="L964" i="11"/>
  <c r="M964" i="11"/>
  <c r="N964" i="11"/>
  <c r="C965" i="11"/>
  <c r="D965" i="11"/>
  <c r="E965" i="11"/>
  <c r="F965" i="11"/>
  <c r="G965" i="11"/>
  <c r="I965" i="11"/>
  <c r="J965" i="11"/>
  <c r="K965" i="11"/>
  <c r="L965" i="11"/>
  <c r="M965" i="11"/>
  <c r="N965" i="11"/>
  <c r="C966" i="11"/>
  <c r="D966" i="11"/>
  <c r="E966" i="11"/>
  <c r="F966" i="11"/>
  <c r="G966" i="11"/>
  <c r="I966" i="11"/>
  <c r="J966" i="11"/>
  <c r="K966" i="11"/>
  <c r="L966" i="11"/>
  <c r="M966" i="11"/>
  <c r="N966" i="11"/>
  <c r="C967" i="11"/>
  <c r="D967" i="11"/>
  <c r="E967" i="11"/>
  <c r="F967" i="11"/>
  <c r="G967" i="11"/>
  <c r="I967" i="11"/>
  <c r="J967" i="11"/>
  <c r="K967" i="11"/>
  <c r="L967" i="11"/>
  <c r="M967" i="11"/>
  <c r="N967" i="11"/>
  <c r="C968" i="11"/>
  <c r="D968" i="11"/>
  <c r="E968" i="11"/>
  <c r="F968" i="11"/>
  <c r="G968" i="11"/>
  <c r="I968" i="11"/>
  <c r="J968" i="11"/>
  <c r="K968" i="11"/>
  <c r="L968" i="11"/>
  <c r="M968" i="11"/>
  <c r="N968" i="11"/>
  <c r="C969" i="11"/>
  <c r="D969" i="11"/>
  <c r="E969" i="11"/>
  <c r="F969" i="11"/>
  <c r="G969" i="11"/>
  <c r="I969" i="11"/>
  <c r="J969" i="11"/>
  <c r="K969" i="11"/>
  <c r="L969" i="11"/>
  <c r="M969" i="11"/>
  <c r="N969" i="11"/>
  <c r="C970" i="11"/>
  <c r="D970" i="11"/>
  <c r="E970" i="11"/>
  <c r="F970" i="11"/>
  <c r="G970" i="11"/>
  <c r="I970" i="11"/>
  <c r="J970" i="11"/>
  <c r="K970" i="11"/>
  <c r="L970" i="11"/>
  <c r="M970" i="11"/>
  <c r="N970" i="11"/>
  <c r="C971" i="11"/>
  <c r="D971" i="11"/>
  <c r="E971" i="11"/>
  <c r="F971" i="11"/>
  <c r="G971" i="11"/>
  <c r="I971" i="11"/>
  <c r="J971" i="11"/>
  <c r="K971" i="11"/>
  <c r="L971" i="11"/>
  <c r="M971" i="11"/>
  <c r="N971" i="11"/>
  <c r="C972" i="11"/>
  <c r="D972" i="11"/>
  <c r="E972" i="11"/>
  <c r="F972" i="11"/>
  <c r="G972" i="11"/>
  <c r="I972" i="11"/>
  <c r="J972" i="11"/>
  <c r="K972" i="11"/>
  <c r="L972" i="11"/>
  <c r="M972" i="11"/>
  <c r="N972" i="11"/>
  <c r="C973" i="11"/>
  <c r="D973" i="11"/>
  <c r="E973" i="11"/>
  <c r="F973" i="11"/>
  <c r="G973" i="11"/>
  <c r="I973" i="11"/>
  <c r="J973" i="11"/>
  <c r="K973" i="11"/>
  <c r="L973" i="11"/>
  <c r="M973" i="11"/>
  <c r="N973" i="11"/>
  <c r="C974" i="11"/>
  <c r="D974" i="11"/>
  <c r="E974" i="11"/>
  <c r="F974" i="11"/>
  <c r="G974" i="11"/>
  <c r="I974" i="11"/>
  <c r="J974" i="11"/>
  <c r="K974" i="11"/>
  <c r="L974" i="11"/>
  <c r="M974" i="11"/>
  <c r="N974" i="11"/>
  <c r="C975" i="11"/>
  <c r="D975" i="11"/>
  <c r="E975" i="11"/>
  <c r="F975" i="11"/>
  <c r="G975" i="11"/>
  <c r="I975" i="11"/>
  <c r="J975" i="11"/>
  <c r="K975" i="11"/>
  <c r="L975" i="11"/>
  <c r="M975" i="11"/>
  <c r="N975" i="11"/>
  <c r="C976" i="11"/>
  <c r="D976" i="11"/>
  <c r="E976" i="11"/>
  <c r="F976" i="11"/>
  <c r="G976" i="11"/>
  <c r="I976" i="11"/>
  <c r="J976" i="11"/>
  <c r="K976" i="11"/>
  <c r="L976" i="11"/>
  <c r="M976" i="11"/>
  <c r="N976" i="11"/>
  <c r="C977" i="11"/>
  <c r="D977" i="11"/>
  <c r="E977" i="11"/>
  <c r="F977" i="11"/>
  <c r="G977" i="11"/>
  <c r="I977" i="11"/>
  <c r="J977" i="11"/>
  <c r="K977" i="11"/>
  <c r="L977" i="11"/>
  <c r="M977" i="11"/>
  <c r="N977" i="11"/>
  <c r="C978" i="11"/>
  <c r="D978" i="11"/>
  <c r="E978" i="11"/>
  <c r="F978" i="11"/>
  <c r="G978" i="11"/>
  <c r="I978" i="11"/>
  <c r="J978" i="11"/>
  <c r="K978" i="11"/>
  <c r="L978" i="11"/>
  <c r="M978" i="11"/>
  <c r="N978" i="11"/>
  <c r="C979" i="11"/>
  <c r="D979" i="11"/>
  <c r="E979" i="11"/>
  <c r="F979" i="11"/>
  <c r="G979" i="11"/>
  <c r="I979" i="11"/>
  <c r="J979" i="11"/>
  <c r="K979" i="11"/>
  <c r="L979" i="11"/>
  <c r="M979" i="11"/>
  <c r="N979" i="11"/>
  <c r="C980" i="11"/>
  <c r="D980" i="11"/>
  <c r="E980" i="11"/>
  <c r="F980" i="11"/>
  <c r="G980" i="11"/>
  <c r="I980" i="11"/>
  <c r="J980" i="11"/>
  <c r="K980" i="11"/>
  <c r="L980" i="11"/>
  <c r="M980" i="11"/>
  <c r="N980" i="11"/>
  <c r="C981" i="11"/>
  <c r="D981" i="11"/>
  <c r="E981" i="11"/>
  <c r="F981" i="11"/>
  <c r="G981" i="11"/>
  <c r="I981" i="11"/>
  <c r="J981" i="11"/>
  <c r="K981" i="11"/>
  <c r="L981" i="11"/>
  <c r="M981" i="11"/>
  <c r="N981" i="11"/>
  <c r="C982" i="11"/>
  <c r="D982" i="11"/>
  <c r="E982" i="11"/>
  <c r="F982" i="11"/>
  <c r="G982" i="11"/>
  <c r="I982" i="11"/>
  <c r="J982" i="11"/>
  <c r="K982" i="11"/>
  <c r="L982" i="11"/>
  <c r="M982" i="11"/>
  <c r="N982" i="11"/>
  <c r="C983" i="11"/>
  <c r="D983" i="11"/>
  <c r="E983" i="11"/>
  <c r="F983" i="11"/>
  <c r="G983" i="11"/>
  <c r="I983" i="11"/>
  <c r="J983" i="11"/>
  <c r="K983" i="11"/>
  <c r="L983" i="11"/>
  <c r="M983" i="11"/>
  <c r="N983" i="11"/>
  <c r="C984" i="11"/>
  <c r="D984" i="11"/>
  <c r="E984" i="11"/>
  <c r="F984" i="11"/>
  <c r="G984" i="11"/>
  <c r="I984" i="11"/>
  <c r="J984" i="11"/>
  <c r="K984" i="11"/>
  <c r="L984" i="11"/>
  <c r="M984" i="11"/>
  <c r="N984" i="11"/>
  <c r="C985" i="11"/>
  <c r="D985" i="11"/>
  <c r="E985" i="11"/>
  <c r="F985" i="11"/>
  <c r="G985" i="11"/>
  <c r="I985" i="11"/>
  <c r="J985" i="11"/>
  <c r="K985" i="11"/>
  <c r="L985" i="11"/>
  <c r="M985" i="11"/>
  <c r="N985" i="11"/>
  <c r="C986" i="11"/>
  <c r="D986" i="11"/>
  <c r="E986" i="11"/>
  <c r="F986" i="11"/>
  <c r="G986" i="11"/>
  <c r="I986" i="11"/>
  <c r="J986" i="11"/>
  <c r="K986" i="11"/>
  <c r="L986" i="11"/>
  <c r="M986" i="11"/>
  <c r="N986" i="11"/>
  <c r="C987" i="11"/>
  <c r="D987" i="11"/>
  <c r="E987" i="11"/>
  <c r="F987" i="11"/>
  <c r="G987" i="11"/>
  <c r="I987" i="11"/>
  <c r="J987" i="11"/>
  <c r="K987" i="11"/>
  <c r="L987" i="11"/>
  <c r="M987" i="11"/>
  <c r="N987" i="11"/>
  <c r="C988" i="11"/>
  <c r="D988" i="11"/>
  <c r="E988" i="11"/>
  <c r="F988" i="11"/>
  <c r="G988" i="11"/>
  <c r="I988" i="11"/>
  <c r="J988" i="11"/>
  <c r="K988" i="11"/>
  <c r="L988" i="11"/>
  <c r="M988" i="11"/>
  <c r="N988" i="11"/>
  <c r="C989" i="11"/>
  <c r="D989" i="11"/>
  <c r="E989" i="11"/>
  <c r="F989" i="11"/>
  <c r="G989" i="11"/>
  <c r="I989" i="11"/>
  <c r="J989" i="11"/>
  <c r="K989" i="11"/>
  <c r="L989" i="11"/>
  <c r="M989" i="11"/>
  <c r="N989" i="11"/>
  <c r="C990" i="11"/>
  <c r="D990" i="11"/>
  <c r="E990" i="11"/>
  <c r="F990" i="11"/>
  <c r="G990" i="11"/>
  <c r="I990" i="11"/>
  <c r="J990" i="11"/>
  <c r="K990" i="11"/>
  <c r="L990" i="11"/>
  <c r="M990" i="11"/>
  <c r="N990" i="11"/>
  <c r="C991" i="11"/>
  <c r="D991" i="11"/>
  <c r="E991" i="11"/>
  <c r="F991" i="11"/>
  <c r="G991" i="11"/>
  <c r="I991" i="11"/>
  <c r="J991" i="11"/>
  <c r="K991" i="11"/>
  <c r="L991" i="11"/>
  <c r="M991" i="11"/>
  <c r="N991" i="11"/>
  <c r="C992" i="11"/>
  <c r="D992" i="11"/>
  <c r="E992" i="11"/>
  <c r="F992" i="11"/>
  <c r="G992" i="11"/>
  <c r="I992" i="11"/>
  <c r="J992" i="11"/>
  <c r="K992" i="11"/>
  <c r="L992" i="11"/>
  <c r="M992" i="11"/>
  <c r="N992" i="11"/>
  <c r="C993" i="11"/>
  <c r="D993" i="11"/>
  <c r="E993" i="11"/>
  <c r="F993" i="11"/>
  <c r="G993" i="11"/>
  <c r="I993" i="11"/>
  <c r="J993" i="11"/>
  <c r="K993" i="11"/>
  <c r="L993" i="11"/>
  <c r="M993" i="11"/>
  <c r="N993" i="11"/>
  <c r="C994" i="11"/>
  <c r="D994" i="11"/>
  <c r="E994" i="11"/>
  <c r="F994" i="11"/>
  <c r="G994" i="11"/>
  <c r="I994" i="11"/>
  <c r="J994" i="11"/>
  <c r="K994" i="11"/>
  <c r="L994" i="11"/>
  <c r="M994" i="11"/>
  <c r="N994" i="11"/>
  <c r="C995" i="11"/>
  <c r="D995" i="11"/>
  <c r="E995" i="11"/>
  <c r="F995" i="11"/>
  <c r="G995" i="11"/>
  <c r="I995" i="11"/>
  <c r="J995" i="11"/>
  <c r="K995" i="11"/>
  <c r="L995" i="11"/>
  <c r="M995" i="11"/>
  <c r="N995" i="11"/>
  <c r="C996" i="11"/>
  <c r="D996" i="11"/>
  <c r="E996" i="11"/>
  <c r="F996" i="11"/>
  <c r="G996" i="11"/>
  <c r="I996" i="11"/>
  <c r="J996" i="11"/>
  <c r="K996" i="11"/>
  <c r="L996" i="11"/>
  <c r="M996" i="11"/>
  <c r="N996" i="11"/>
  <c r="C997" i="11"/>
  <c r="D997" i="11"/>
  <c r="E997" i="11"/>
  <c r="F997" i="11"/>
  <c r="G997" i="11"/>
  <c r="I997" i="11"/>
  <c r="J997" i="11"/>
  <c r="K997" i="11"/>
  <c r="L997" i="11"/>
  <c r="M997" i="11"/>
  <c r="N997" i="11"/>
  <c r="C998" i="11"/>
  <c r="D998" i="11"/>
  <c r="E998" i="11"/>
  <c r="F998" i="11"/>
  <c r="G998" i="11"/>
  <c r="I998" i="11"/>
  <c r="J998" i="11"/>
  <c r="K998" i="11"/>
  <c r="L998" i="11"/>
  <c r="M998" i="11"/>
  <c r="N998" i="11"/>
  <c r="C999" i="11"/>
  <c r="D999" i="11"/>
  <c r="E999" i="11"/>
  <c r="F999" i="11"/>
  <c r="G999" i="11"/>
  <c r="I999" i="11"/>
  <c r="J999" i="11"/>
  <c r="K999" i="11"/>
  <c r="L999" i="11"/>
  <c r="M999" i="11"/>
  <c r="N999" i="11"/>
  <c r="C1000" i="11"/>
  <c r="D1000" i="11"/>
  <c r="E1000" i="11"/>
  <c r="F1000" i="11"/>
  <c r="G1000" i="11"/>
  <c r="I1000" i="11"/>
  <c r="J1000" i="11"/>
  <c r="K1000" i="11"/>
  <c r="L1000" i="11"/>
  <c r="M1000" i="11"/>
  <c r="N1000" i="11"/>
  <c r="C1001" i="11"/>
  <c r="D1001" i="11"/>
  <c r="E1001" i="11"/>
  <c r="F1001" i="11"/>
  <c r="G1001" i="11"/>
  <c r="I1001" i="11"/>
  <c r="J1001" i="11"/>
  <c r="K1001" i="11"/>
  <c r="L1001" i="11"/>
  <c r="M1001" i="11"/>
  <c r="N1001" i="11"/>
  <c r="C1002" i="11"/>
  <c r="D1002" i="11"/>
  <c r="E1002" i="11"/>
  <c r="F1002" i="11"/>
  <c r="G1002" i="11"/>
  <c r="I1002" i="11"/>
  <c r="J1002" i="11"/>
  <c r="K1002" i="11"/>
  <c r="L1002" i="11"/>
  <c r="M1002" i="11"/>
  <c r="N1002" i="11"/>
  <c r="C1003" i="11"/>
  <c r="D1003" i="11"/>
  <c r="E1003" i="11"/>
  <c r="F1003" i="11"/>
  <c r="G1003" i="11"/>
  <c r="I1003" i="11"/>
  <c r="J1003" i="11"/>
  <c r="K1003" i="11"/>
  <c r="L1003" i="11"/>
  <c r="M1003" i="11"/>
  <c r="N1003" i="11"/>
  <c r="C1004" i="11"/>
  <c r="D1004" i="11"/>
  <c r="E1004" i="11"/>
  <c r="F1004" i="11"/>
  <c r="G1004" i="11"/>
  <c r="I1004" i="11"/>
  <c r="J1004" i="11"/>
  <c r="K1004" i="11"/>
  <c r="L1004" i="11"/>
  <c r="M1004" i="11"/>
  <c r="N1004" i="11"/>
  <c r="C1005" i="11"/>
  <c r="D1005" i="11"/>
  <c r="E1005" i="11"/>
  <c r="F1005" i="11"/>
  <c r="G1005" i="11"/>
  <c r="I1005" i="11"/>
  <c r="J1005" i="11"/>
  <c r="K1005" i="11"/>
  <c r="L1005" i="11"/>
  <c r="M1005" i="11"/>
  <c r="N1005" i="11"/>
  <c r="C1006" i="11"/>
  <c r="D1006" i="11"/>
  <c r="E1006" i="11"/>
  <c r="F1006" i="11"/>
  <c r="G1006" i="11"/>
  <c r="I1006" i="11"/>
  <c r="J1006" i="11"/>
  <c r="K1006" i="11"/>
  <c r="L1006" i="11"/>
  <c r="M1006" i="11"/>
  <c r="N1006" i="11"/>
  <c r="C1007" i="11"/>
  <c r="D1007" i="11"/>
  <c r="E1007" i="11"/>
  <c r="F1007" i="11"/>
  <c r="G1007" i="11"/>
  <c r="I1007" i="11"/>
  <c r="J1007" i="11"/>
  <c r="K1007" i="11"/>
  <c r="L1007" i="11"/>
  <c r="M1007" i="11"/>
  <c r="N1007" i="11"/>
  <c r="C1008" i="11"/>
  <c r="D1008" i="11"/>
  <c r="E1008" i="11"/>
  <c r="F1008" i="11"/>
  <c r="G1008" i="11"/>
  <c r="I1008" i="11"/>
  <c r="J1008" i="11"/>
  <c r="K1008" i="11"/>
  <c r="L1008" i="11"/>
  <c r="M1008" i="11"/>
  <c r="N1008" i="11"/>
  <c r="C1009" i="11"/>
  <c r="D1009" i="11"/>
  <c r="E1009" i="11"/>
  <c r="F1009" i="11"/>
  <c r="G1009" i="11"/>
  <c r="I1009" i="11"/>
  <c r="J1009" i="11"/>
  <c r="K1009" i="11"/>
  <c r="L1009" i="11"/>
  <c r="M1009" i="11"/>
  <c r="N1009" i="11"/>
  <c r="C1010" i="11"/>
  <c r="D1010" i="11"/>
  <c r="E1010" i="11"/>
  <c r="F1010" i="11"/>
  <c r="G1010" i="11"/>
  <c r="I1010" i="11"/>
  <c r="J1010" i="11"/>
  <c r="K1010" i="11"/>
  <c r="L1010" i="11"/>
  <c r="M1010" i="11"/>
  <c r="N1010" i="11"/>
  <c r="C1011" i="11"/>
  <c r="D1011" i="11"/>
  <c r="E1011" i="11"/>
  <c r="F1011" i="11"/>
  <c r="G1011" i="11"/>
  <c r="I1011" i="11"/>
  <c r="J1011" i="11"/>
  <c r="K1011" i="11"/>
  <c r="L1011" i="11"/>
  <c r="M1011" i="11"/>
  <c r="N1011" i="11"/>
  <c r="C1012" i="11"/>
  <c r="D1012" i="11"/>
  <c r="E1012" i="11"/>
  <c r="F1012" i="11"/>
  <c r="G1012" i="11"/>
  <c r="I1012" i="11"/>
  <c r="J1012" i="11"/>
  <c r="K1012" i="11"/>
  <c r="L1012" i="11"/>
  <c r="M1012" i="11"/>
  <c r="N1012" i="11"/>
  <c r="C1013" i="11"/>
  <c r="D1013" i="11"/>
  <c r="E1013" i="11"/>
  <c r="F1013" i="11"/>
  <c r="G1013" i="11"/>
  <c r="I1013" i="11"/>
  <c r="J1013" i="11"/>
  <c r="K1013" i="11"/>
  <c r="L1013" i="11"/>
  <c r="M1013" i="11"/>
  <c r="N1013" i="11"/>
  <c r="C1014" i="11"/>
  <c r="D1014" i="11"/>
  <c r="E1014" i="11"/>
  <c r="F1014" i="11"/>
  <c r="G1014" i="11"/>
  <c r="I1014" i="11"/>
  <c r="J1014" i="11"/>
  <c r="K1014" i="11"/>
  <c r="L1014" i="11"/>
  <c r="M1014" i="11"/>
  <c r="N1014" i="11"/>
  <c r="C1015" i="11"/>
  <c r="D1015" i="11"/>
  <c r="E1015" i="11"/>
  <c r="F1015" i="11"/>
  <c r="G1015" i="11"/>
  <c r="I1015" i="11"/>
  <c r="J1015" i="11"/>
  <c r="K1015" i="11"/>
  <c r="L1015" i="11"/>
  <c r="M1015" i="11"/>
  <c r="N1015" i="11"/>
  <c r="C1016" i="11"/>
  <c r="D1016" i="11"/>
  <c r="E1016" i="11"/>
  <c r="F1016" i="11"/>
  <c r="G1016" i="11"/>
  <c r="I1016" i="11"/>
  <c r="J1016" i="11"/>
  <c r="K1016" i="11"/>
  <c r="L1016" i="11"/>
  <c r="M1016" i="11"/>
  <c r="N1016" i="11"/>
  <c r="C1017" i="11"/>
  <c r="D1017" i="11"/>
  <c r="E1017" i="11"/>
  <c r="F1017" i="11"/>
  <c r="G1017" i="11"/>
  <c r="I1017" i="11"/>
  <c r="J1017" i="11"/>
  <c r="K1017" i="11"/>
  <c r="L1017" i="11"/>
  <c r="M1017" i="11"/>
  <c r="N1017" i="11"/>
  <c r="C1018" i="11"/>
  <c r="D1018" i="11"/>
  <c r="E1018" i="11"/>
  <c r="F1018" i="11"/>
  <c r="G1018" i="11"/>
  <c r="I1018" i="11"/>
  <c r="J1018" i="11"/>
  <c r="K1018" i="11"/>
  <c r="L1018" i="11"/>
  <c r="M1018" i="11"/>
  <c r="N1018" i="11"/>
  <c r="C1019" i="11"/>
  <c r="D1019" i="11"/>
  <c r="E1019" i="11"/>
  <c r="F1019" i="11"/>
  <c r="G1019" i="11"/>
  <c r="I1019" i="11"/>
  <c r="J1019" i="11"/>
  <c r="K1019" i="11"/>
  <c r="L1019" i="11"/>
  <c r="M1019" i="11"/>
  <c r="N1019" i="11"/>
  <c r="C1020" i="11"/>
  <c r="D1020" i="11"/>
  <c r="E1020" i="11"/>
  <c r="F1020" i="11"/>
  <c r="G1020" i="11"/>
  <c r="I1020" i="11"/>
  <c r="J1020" i="11"/>
  <c r="K1020" i="11"/>
  <c r="L1020" i="11"/>
  <c r="M1020" i="11"/>
  <c r="N1020" i="11"/>
  <c r="C1021" i="11"/>
  <c r="D1021" i="11"/>
  <c r="E1021" i="11"/>
  <c r="F1021" i="11"/>
  <c r="G1021" i="11"/>
  <c r="I1021" i="11"/>
  <c r="J1021" i="11"/>
  <c r="K1021" i="11"/>
  <c r="L1021" i="11"/>
  <c r="M1021" i="11"/>
  <c r="N1021" i="11"/>
  <c r="C1022" i="11"/>
  <c r="D1022" i="11"/>
  <c r="E1022" i="11"/>
  <c r="F1022" i="11"/>
  <c r="G1022" i="11"/>
  <c r="I1022" i="11"/>
  <c r="J1022" i="11"/>
  <c r="K1022" i="11"/>
  <c r="L1022" i="11"/>
  <c r="M1022" i="11"/>
  <c r="N1022" i="11"/>
  <c r="C1023" i="11"/>
  <c r="D1023" i="11"/>
  <c r="E1023" i="11"/>
  <c r="F1023" i="11"/>
  <c r="G1023" i="11"/>
  <c r="I1023" i="11"/>
  <c r="J1023" i="11"/>
  <c r="K1023" i="11"/>
  <c r="L1023" i="11"/>
  <c r="M1023" i="11"/>
  <c r="N1023" i="11"/>
  <c r="C1024" i="11"/>
  <c r="D1024" i="11"/>
  <c r="E1024" i="11"/>
  <c r="F1024" i="11"/>
  <c r="G1024" i="11"/>
  <c r="I1024" i="11"/>
  <c r="J1024" i="11"/>
  <c r="K1024" i="11"/>
  <c r="L1024" i="11"/>
  <c r="M1024" i="11"/>
  <c r="N1024" i="11"/>
  <c r="C1025" i="11"/>
  <c r="D1025" i="11"/>
  <c r="E1025" i="11"/>
  <c r="F1025" i="11"/>
  <c r="G1025" i="11"/>
  <c r="I1025" i="11"/>
  <c r="J1025" i="11"/>
  <c r="K1025" i="11"/>
  <c r="L1025" i="11"/>
  <c r="M1025" i="11"/>
  <c r="N1025" i="11"/>
  <c r="C1026" i="11"/>
  <c r="D1026" i="11"/>
  <c r="E1026" i="11"/>
  <c r="F1026" i="11"/>
  <c r="G1026" i="11"/>
  <c r="I1026" i="11"/>
  <c r="J1026" i="11"/>
  <c r="K1026" i="11"/>
  <c r="L1026" i="11"/>
  <c r="M1026" i="11"/>
  <c r="N1026" i="11"/>
  <c r="C1027" i="11"/>
  <c r="D1027" i="11"/>
  <c r="E1027" i="11"/>
  <c r="F1027" i="11"/>
  <c r="G1027" i="11"/>
  <c r="I1027" i="11"/>
  <c r="J1027" i="11"/>
  <c r="K1027" i="11"/>
  <c r="L1027" i="11"/>
  <c r="M1027" i="11"/>
  <c r="N1027" i="11"/>
  <c r="C1028" i="11"/>
  <c r="D1028" i="11"/>
  <c r="E1028" i="11"/>
  <c r="F1028" i="11"/>
  <c r="G1028" i="11"/>
  <c r="I1028" i="11"/>
  <c r="J1028" i="11"/>
  <c r="K1028" i="11"/>
  <c r="L1028" i="11"/>
  <c r="M1028" i="11"/>
  <c r="N1028" i="11"/>
  <c r="C1029" i="11"/>
  <c r="D1029" i="11"/>
  <c r="E1029" i="11"/>
  <c r="F1029" i="11"/>
  <c r="G1029" i="11"/>
  <c r="I1029" i="11"/>
  <c r="J1029" i="11"/>
  <c r="K1029" i="11"/>
  <c r="L1029" i="11"/>
  <c r="M1029" i="11"/>
  <c r="N1029" i="11"/>
  <c r="C1030" i="11"/>
  <c r="D1030" i="11"/>
  <c r="E1030" i="11"/>
  <c r="F1030" i="11"/>
  <c r="G1030" i="11"/>
  <c r="I1030" i="11"/>
  <c r="J1030" i="11"/>
  <c r="K1030" i="11"/>
  <c r="L1030" i="11"/>
  <c r="M1030" i="11"/>
  <c r="N1030" i="11"/>
  <c r="C1031" i="11"/>
  <c r="D1031" i="11"/>
  <c r="E1031" i="11"/>
  <c r="F1031" i="11"/>
  <c r="G1031" i="11"/>
  <c r="I1031" i="11"/>
  <c r="J1031" i="11"/>
  <c r="K1031" i="11"/>
  <c r="L1031" i="11"/>
  <c r="M1031" i="11"/>
  <c r="N1031" i="11"/>
  <c r="C1032" i="11"/>
  <c r="D1032" i="11"/>
  <c r="E1032" i="11"/>
  <c r="F1032" i="11"/>
  <c r="G1032" i="11"/>
  <c r="I1032" i="11"/>
  <c r="J1032" i="11"/>
  <c r="K1032" i="11"/>
  <c r="L1032" i="11"/>
  <c r="M1032" i="11"/>
  <c r="N1032" i="11"/>
  <c r="C1033" i="11"/>
  <c r="D1033" i="11"/>
  <c r="E1033" i="11"/>
  <c r="F1033" i="11"/>
  <c r="G1033" i="11"/>
  <c r="I1033" i="11"/>
  <c r="J1033" i="11"/>
  <c r="K1033" i="11"/>
  <c r="L1033" i="11"/>
  <c r="M1033" i="11"/>
  <c r="N1033" i="11"/>
  <c r="C1034" i="11"/>
  <c r="D1034" i="11"/>
  <c r="E1034" i="11"/>
  <c r="F1034" i="11"/>
  <c r="G1034" i="11"/>
  <c r="I1034" i="11"/>
  <c r="J1034" i="11"/>
  <c r="K1034" i="11"/>
  <c r="L1034" i="11"/>
  <c r="M1034" i="11"/>
  <c r="N1034" i="11"/>
  <c r="C1035" i="11"/>
  <c r="D1035" i="11"/>
  <c r="E1035" i="11"/>
  <c r="F1035" i="11"/>
  <c r="G1035" i="11"/>
  <c r="I1035" i="11"/>
  <c r="J1035" i="11"/>
  <c r="K1035" i="11"/>
  <c r="L1035" i="11"/>
  <c r="M1035" i="11"/>
  <c r="N1035" i="11"/>
  <c r="C1036" i="11"/>
  <c r="D1036" i="11"/>
  <c r="E1036" i="11"/>
  <c r="F1036" i="11"/>
  <c r="G1036" i="11"/>
  <c r="I1036" i="11"/>
  <c r="J1036" i="11"/>
  <c r="K1036" i="11"/>
  <c r="L1036" i="11"/>
  <c r="M1036" i="11"/>
  <c r="N1036" i="11"/>
  <c r="C1037" i="11"/>
  <c r="D1037" i="11"/>
  <c r="E1037" i="11"/>
  <c r="F1037" i="11"/>
  <c r="G1037" i="11"/>
  <c r="I1037" i="11"/>
  <c r="J1037" i="11"/>
  <c r="K1037" i="11"/>
  <c r="L1037" i="11"/>
  <c r="M1037" i="11"/>
  <c r="N1037" i="11"/>
  <c r="C1038" i="11"/>
  <c r="D1038" i="11"/>
  <c r="E1038" i="11"/>
  <c r="F1038" i="11"/>
  <c r="G1038" i="11"/>
  <c r="I1038" i="11"/>
  <c r="J1038" i="11"/>
  <c r="K1038" i="11"/>
  <c r="L1038" i="11"/>
  <c r="M1038" i="11"/>
  <c r="N1038" i="11"/>
  <c r="C1039" i="11"/>
  <c r="D1039" i="11"/>
  <c r="E1039" i="11"/>
  <c r="F1039" i="11"/>
  <c r="G1039" i="11"/>
  <c r="I1039" i="11"/>
  <c r="J1039" i="11"/>
  <c r="K1039" i="11"/>
  <c r="L1039" i="11"/>
  <c r="M1039" i="11"/>
  <c r="N1039" i="11"/>
  <c r="C1040" i="11"/>
  <c r="D1040" i="11"/>
  <c r="E1040" i="11"/>
  <c r="F1040" i="11"/>
  <c r="G1040" i="11"/>
  <c r="I1040" i="11"/>
  <c r="J1040" i="11"/>
  <c r="K1040" i="11"/>
  <c r="L1040" i="11"/>
  <c r="M1040" i="11"/>
  <c r="N1040" i="11"/>
  <c r="C1041" i="11"/>
  <c r="D1041" i="11"/>
  <c r="E1041" i="11"/>
  <c r="F1041" i="11"/>
  <c r="G1041" i="11"/>
  <c r="I1041" i="11"/>
  <c r="J1041" i="11"/>
  <c r="K1041" i="11"/>
  <c r="L1041" i="11"/>
  <c r="M1041" i="11"/>
  <c r="N1041" i="11"/>
  <c r="C1042" i="11"/>
  <c r="D1042" i="11"/>
  <c r="E1042" i="11"/>
  <c r="F1042" i="11"/>
  <c r="G1042" i="11"/>
  <c r="I1042" i="11"/>
  <c r="J1042" i="11"/>
  <c r="K1042" i="11"/>
  <c r="L1042" i="11"/>
  <c r="M1042" i="11"/>
  <c r="N1042" i="11"/>
  <c r="C1043" i="11"/>
  <c r="D1043" i="11"/>
  <c r="E1043" i="11"/>
  <c r="F1043" i="11"/>
  <c r="G1043" i="11"/>
  <c r="I1043" i="11"/>
  <c r="J1043" i="11"/>
  <c r="K1043" i="11"/>
  <c r="L1043" i="11"/>
  <c r="M1043" i="11"/>
  <c r="N1043" i="11"/>
  <c r="C1044" i="11"/>
  <c r="D1044" i="11"/>
  <c r="E1044" i="11"/>
  <c r="F1044" i="11"/>
  <c r="G1044" i="11"/>
  <c r="I1044" i="11"/>
  <c r="J1044" i="11"/>
  <c r="K1044" i="11"/>
  <c r="L1044" i="11"/>
  <c r="M1044" i="11"/>
  <c r="N1044" i="11"/>
  <c r="C1045" i="11"/>
  <c r="D1045" i="11"/>
  <c r="E1045" i="11"/>
  <c r="F1045" i="11"/>
  <c r="G1045" i="11"/>
  <c r="I1045" i="11"/>
  <c r="J1045" i="11"/>
  <c r="K1045" i="11"/>
  <c r="L1045" i="11"/>
  <c r="M1045" i="11"/>
  <c r="N1045" i="11"/>
  <c r="C1046" i="11"/>
  <c r="D1046" i="11"/>
  <c r="E1046" i="11"/>
  <c r="F1046" i="11"/>
  <c r="G1046" i="11"/>
  <c r="I1046" i="11"/>
  <c r="J1046" i="11"/>
  <c r="K1046" i="11"/>
  <c r="L1046" i="11"/>
  <c r="M1046" i="11"/>
  <c r="N1046" i="11"/>
  <c r="C1047" i="11"/>
  <c r="D1047" i="11"/>
  <c r="E1047" i="11"/>
  <c r="F1047" i="11"/>
  <c r="G1047" i="11"/>
  <c r="I1047" i="11"/>
  <c r="J1047" i="11"/>
  <c r="K1047" i="11"/>
  <c r="L1047" i="11"/>
  <c r="M1047" i="11"/>
  <c r="N1047" i="11"/>
  <c r="C1048" i="11"/>
  <c r="D1048" i="11"/>
  <c r="E1048" i="11"/>
  <c r="F1048" i="11"/>
  <c r="G1048" i="11"/>
  <c r="I1048" i="11"/>
  <c r="J1048" i="11"/>
  <c r="K1048" i="11"/>
  <c r="L1048" i="11"/>
  <c r="M1048" i="11"/>
  <c r="N1048" i="11"/>
  <c r="C1049" i="11"/>
  <c r="D1049" i="11"/>
  <c r="E1049" i="11"/>
  <c r="F1049" i="11"/>
  <c r="G1049" i="11"/>
  <c r="I1049" i="11"/>
  <c r="J1049" i="11"/>
  <c r="K1049" i="11"/>
  <c r="L1049" i="11"/>
  <c r="M1049" i="11"/>
  <c r="N1049" i="11"/>
  <c r="C1050" i="11"/>
  <c r="D1050" i="11"/>
  <c r="E1050" i="11"/>
  <c r="F1050" i="11"/>
  <c r="G1050" i="11"/>
  <c r="I1050" i="11"/>
  <c r="J1050" i="11"/>
  <c r="K1050" i="11"/>
  <c r="L1050" i="11"/>
  <c r="M1050" i="11"/>
  <c r="N1050" i="11"/>
  <c r="C1051" i="11"/>
  <c r="D1051" i="11"/>
  <c r="E1051" i="11"/>
  <c r="F1051" i="11"/>
  <c r="G1051" i="11"/>
  <c r="I1051" i="11"/>
  <c r="J1051" i="11"/>
  <c r="K1051" i="11"/>
  <c r="L1051" i="11"/>
  <c r="M1051" i="11"/>
  <c r="N1051" i="11"/>
  <c r="C1052" i="11"/>
  <c r="D1052" i="11"/>
  <c r="E1052" i="11"/>
  <c r="F1052" i="11"/>
  <c r="G1052" i="11"/>
  <c r="I1052" i="11"/>
  <c r="J1052" i="11"/>
  <c r="K1052" i="11"/>
  <c r="L1052" i="11"/>
  <c r="M1052" i="11"/>
  <c r="N1052" i="11"/>
  <c r="C1053" i="11"/>
  <c r="D1053" i="11"/>
  <c r="E1053" i="11"/>
  <c r="F1053" i="11"/>
  <c r="G1053" i="11"/>
  <c r="I1053" i="11"/>
  <c r="J1053" i="11"/>
  <c r="K1053" i="11"/>
  <c r="L1053" i="11"/>
  <c r="M1053" i="11"/>
  <c r="N1053" i="11"/>
  <c r="C1054" i="11"/>
  <c r="D1054" i="11"/>
  <c r="E1054" i="11"/>
  <c r="F1054" i="11"/>
  <c r="G1054" i="11"/>
  <c r="I1054" i="11"/>
  <c r="J1054" i="11"/>
  <c r="K1054" i="11"/>
  <c r="L1054" i="11"/>
  <c r="M1054" i="11"/>
  <c r="N1054" i="11"/>
  <c r="C1055" i="11"/>
  <c r="D1055" i="11"/>
  <c r="E1055" i="11"/>
  <c r="F1055" i="11"/>
  <c r="G1055" i="11"/>
  <c r="I1055" i="11"/>
  <c r="J1055" i="11"/>
  <c r="K1055" i="11"/>
  <c r="L1055" i="11"/>
  <c r="M1055" i="11"/>
  <c r="N1055" i="11"/>
  <c r="C1056" i="11"/>
  <c r="D1056" i="11"/>
  <c r="E1056" i="11"/>
  <c r="F1056" i="11"/>
  <c r="G1056" i="11"/>
  <c r="I1056" i="11"/>
  <c r="J1056" i="11"/>
  <c r="K1056" i="11"/>
  <c r="L1056" i="11"/>
  <c r="M1056" i="11"/>
  <c r="N1056" i="11"/>
  <c r="C1057" i="11"/>
  <c r="D1057" i="11"/>
  <c r="E1057" i="11"/>
  <c r="F1057" i="11"/>
  <c r="G1057" i="11"/>
  <c r="I1057" i="11"/>
  <c r="J1057" i="11"/>
  <c r="K1057" i="11"/>
  <c r="L1057" i="11"/>
  <c r="M1057" i="11"/>
  <c r="N1057" i="11"/>
  <c r="C1058" i="11"/>
  <c r="D1058" i="11"/>
  <c r="E1058" i="11"/>
  <c r="F1058" i="11"/>
  <c r="G1058" i="11"/>
  <c r="I1058" i="11"/>
  <c r="J1058" i="11"/>
  <c r="K1058" i="11"/>
  <c r="L1058" i="11"/>
  <c r="M1058" i="11"/>
  <c r="N1058" i="11"/>
  <c r="C1059" i="11"/>
  <c r="D1059" i="11"/>
  <c r="E1059" i="11"/>
  <c r="F1059" i="11"/>
  <c r="G1059" i="11"/>
  <c r="I1059" i="11"/>
  <c r="J1059" i="11"/>
  <c r="K1059" i="11"/>
  <c r="L1059" i="11"/>
  <c r="M1059" i="11"/>
  <c r="N1059" i="11"/>
  <c r="C1060" i="11"/>
  <c r="D1060" i="11"/>
  <c r="E1060" i="11"/>
  <c r="F1060" i="11"/>
  <c r="G1060" i="11"/>
  <c r="I1060" i="11"/>
  <c r="J1060" i="11"/>
  <c r="K1060" i="11"/>
  <c r="L1060" i="11"/>
  <c r="M1060" i="11"/>
  <c r="N1060" i="11"/>
  <c r="C1061" i="11"/>
  <c r="D1061" i="11"/>
  <c r="E1061" i="11"/>
  <c r="F1061" i="11"/>
  <c r="G1061" i="11"/>
  <c r="I1061" i="11"/>
  <c r="J1061" i="11"/>
  <c r="K1061" i="11"/>
  <c r="L1061" i="11"/>
  <c r="M1061" i="11"/>
  <c r="N1061" i="11"/>
  <c r="C1062" i="11"/>
  <c r="D1062" i="11"/>
  <c r="E1062" i="11"/>
  <c r="F1062" i="11"/>
  <c r="G1062" i="11"/>
  <c r="I1062" i="11"/>
  <c r="J1062" i="11"/>
  <c r="K1062" i="11"/>
  <c r="L1062" i="11"/>
  <c r="M1062" i="11"/>
  <c r="N1062" i="11"/>
  <c r="C1063" i="11"/>
  <c r="D1063" i="11"/>
  <c r="E1063" i="11"/>
  <c r="F1063" i="11"/>
  <c r="G1063" i="11"/>
  <c r="I1063" i="11"/>
  <c r="J1063" i="11"/>
  <c r="K1063" i="11"/>
  <c r="L1063" i="11"/>
  <c r="M1063" i="11"/>
  <c r="N1063" i="11"/>
  <c r="C1064" i="11"/>
  <c r="D1064" i="11"/>
  <c r="E1064" i="11"/>
  <c r="F1064" i="11"/>
  <c r="G1064" i="11"/>
  <c r="I1064" i="11"/>
  <c r="J1064" i="11"/>
  <c r="K1064" i="11"/>
  <c r="L1064" i="11"/>
  <c r="M1064" i="11"/>
  <c r="N1064" i="11"/>
  <c r="C1065" i="11"/>
  <c r="D1065" i="11"/>
  <c r="E1065" i="11"/>
  <c r="F1065" i="11"/>
  <c r="G1065" i="11"/>
  <c r="I1065" i="11"/>
  <c r="J1065" i="11"/>
  <c r="K1065" i="11"/>
  <c r="L1065" i="11"/>
  <c r="M1065" i="11"/>
  <c r="N1065" i="11"/>
  <c r="C1066" i="11"/>
  <c r="D1066" i="11"/>
  <c r="E1066" i="11"/>
  <c r="F1066" i="11"/>
  <c r="G1066" i="11"/>
  <c r="I1066" i="11"/>
  <c r="J1066" i="11"/>
  <c r="K1066" i="11"/>
  <c r="L1066" i="11"/>
  <c r="M1066" i="11"/>
  <c r="N1066" i="11"/>
  <c r="C1067" i="11"/>
  <c r="D1067" i="11"/>
  <c r="E1067" i="11"/>
  <c r="F1067" i="11"/>
  <c r="G1067" i="11"/>
  <c r="I1067" i="11"/>
  <c r="J1067" i="11"/>
  <c r="K1067" i="11"/>
  <c r="L1067" i="11"/>
  <c r="M1067" i="11"/>
  <c r="N1067" i="11"/>
  <c r="C1068" i="11"/>
  <c r="D1068" i="11"/>
  <c r="E1068" i="11"/>
  <c r="F1068" i="11"/>
  <c r="G1068" i="11"/>
  <c r="I1068" i="11"/>
  <c r="J1068" i="11"/>
  <c r="K1068" i="11"/>
  <c r="L1068" i="11"/>
  <c r="M1068" i="11"/>
  <c r="N1068" i="11"/>
  <c r="C1069" i="11"/>
  <c r="D1069" i="11"/>
  <c r="E1069" i="11"/>
  <c r="F1069" i="11"/>
  <c r="G1069" i="11"/>
  <c r="I1069" i="11"/>
  <c r="J1069" i="11"/>
  <c r="K1069" i="11"/>
  <c r="L1069" i="11"/>
  <c r="M1069" i="11"/>
  <c r="N1069" i="11"/>
  <c r="C1070" i="11"/>
  <c r="D1070" i="11"/>
  <c r="E1070" i="11"/>
  <c r="F1070" i="11"/>
  <c r="G1070" i="11"/>
  <c r="I1070" i="11"/>
  <c r="J1070" i="11"/>
  <c r="K1070" i="11"/>
  <c r="L1070" i="11"/>
  <c r="M1070" i="11"/>
  <c r="N1070" i="11"/>
  <c r="C1071" i="11"/>
  <c r="D1071" i="11"/>
  <c r="E1071" i="11"/>
  <c r="F1071" i="11"/>
  <c r="G1071" i="11"/>
  <c r="I1071" i="11"/>
  <c r="J1071" i="11"/>
  <c r="K1071" i="11"/>
  <c r="L1071" i="11"/>
  <c r="M1071" i="11"/>
  <c r="N1071" i="11"/>
  <c r="C1072" i="11"/>
  <c r="D1072" i="11"/>
  <c r="E1072" i="11"/>
  <c r="F1072" i="11"/>
  <c r="G1072" i="11"/>
  <c r="I1072" i="11"/>
  <c r="J1072" i="11"/>
  <c r="K1072" i="11"/>
  <c r="L1072" i="11"/>
  <c r="M1072" i="11"/>
  <c r="N1072" i="11"/>
  <c r="C1073" i="11"/>
  <c r="D1073" i="11"/>
  <c r="E1073" i="11"/>
  <c r="F1073" i="11"/>
  <c r="G1073" i="11"/>
  <c r="I1073" i="11"/>
  <c r="J1073" i="11"/>
  <c r="K1073" i="11"/>
  <c r="L1073" i="11"/>
  <c r="M1073" i="11"/>
  <c r="N1073" i="11"/>
  <c r="C1074" i="11"/>
  <c r="D1074" i="11"/>
  <c r="E1074" i="11"/>
  <c r="F1074" i="11"/>
  <c r="G1074" i="11"/>
  <c r="I1074" i="11"/>
  <c r="J1074" i="11"/>
  <c r="K1074" i="11"/>
  <c r="L1074" i="11"/>
  <c r="M1074" i="11"/>
  <c r="N1074" i="11"/>
  <c r="C1075" i="11"/>
  <c r="D1075" i="11"/>
  <c r="E1075" i="11"/>
  <c r="F1075" i="11"/>
  <c r="G1075" i="11"/>
  <c r="I1075" i="11"/>
  <c r="J1075" i="11"/>
  <c r="K1075" i="11"/>
  <c r="L1075" i="11"/>
  <c r="M1075" i="11"/>
  <c r="N1075" i="11"/>
  <c r="C1076" i="11"/>
  <c r="D1076" i="11"/>
  <c r="E1076" i="11"/>
  <c r="F1076" i="11"/>
  <c r="G1076" i="11"/>
  <c r="I1076" i="11"/>
  <c r="J1076" i="11"/>
  <c r="K1076" i="11"/>
  <c r="L1076" i="11"/>
  <c r="M1076" i="11"/>
  <c r="N1076" i="11"/>
  <c r="C1077" i="11"/>
  <c r="D1077" i="11"/>
  <c r="E1077" i="11"/>
  <c r="F1077" i="11"/>
  <c r="G1077" i="11"/>
  <c r="I1077" i="11"/>
  <c r="J1077" i="11"/>
  <c r="K1077" i="11"/>
  <c r="L1077" i="11"/>
  <c r="M1077" i="11"/>
  <c r="N1077" i="11"/>
  <c r="C1078" i="11"/>
  <c r="D1078" i="11"/>
  <c r="E1078" i="11"/>
  <c r="F1078" i="11"/>
  <c r="G1078" i="11"/>
  <c r="I1078" i="11"/>
  <c r="J1078" i="11"/>
  <c r="K1078" i="11"/>
  <c r="L1078" i="11"/>
  <c r="M1078" i="11"/>
  <c r="N1078" i="11"/>
  <c r="C1079" i="11"/>
  <c r="D1079" i="11"/>
  <c r="E1079" i="11"/>
  <c r="F1079" i="11"/>
  <c r="G1079" i="11"/>
  <c r="I1079" i="11"/>
  <c r="J1079" i="11"/>
  <c r="K1079" i="11"/>
  <c r="L1079" i="11"/>
  <c r="M1079" i="11"/>
  <c r="N1079" i="11"/>
  <c r="C1080" i="11"/>
  <c r="D1080" i="11"/>
  <c r="E1080" i="11"/>
  <c r="F1080" i="11"/>
  <c r="G1080" i="11"/>
  <c r="I1080" i="11"/>
  <c r="J1080" i="11"/>
  <c r="K1080" i="11"/>
  <c r="L1080" i="11"/>
  <c r="M1080" i="11"/>
  <c r="N1080" i="11"/>
  <c r="C1081" i="11"/>
  <c r="D1081" i="11"/>
  <c r="E1081" i="11"/>
  <c r="F1081" i="11"/>
  <c r="G1081" i="11"/>
  <c r="I1081" i="11"/>
  <c r="J1081" i="11"/>
  <c r="K1081" i="11"/>
  <c r="L1081" i="11"/>
  <c r="M1081" i="11"/>
  <c r="N1081" i="11"/>
  <c r="C1082" i="11"/>
  <c r="D1082" i="11"/>
  <c r="E1082" i="11"/>
  <c r="F1082" i="11"/>
  <c r="G1082" i="11"/>
  <c r="I1082" i="11"/>
  <c r="J1082" i="11"/>
  <c r="K1082" i="11"/>
  <c r="L1082" i="11"/>
  <c r="M1082" i="11"/>
  <c r="N1082" i="11"/>
  <c r="C1083" i="11"/>
  <c r="D1083" i="11"/>
  <c r="E1083" i="11"/>
  <c r="F1083" i="11"/>
  <c r="G1083" i="11"/>
  <c r="I1083" i="11"/>
  <c r="J1083" i="11"/>
  <c r="K1083" i="11"/>
  <c r="L1083" i="11"/>
  <c r="M1083" i="11"/>
  <c r="N1083" i="11"/>
  <c r="C1084" i="11"/>
  <c r="D1084" i="11"/>
  <c r="E1084" i="11"/>
  <c r="F1084" i="11"/>
  <c r="G1084" i="11"/>
  <c r="I1084" i="11"/>
  <c r="J1084" i="11"/>
  <c r="K1084" i="11"/>
  <c r="L1084" i="11"/>
  <c r="M1084" i="11"/>
  <c r="N1084" i="11"/>
  <c r="C1085" i="11"/>
  <c r="D1085" i="11"/>
  <c r="E1085" i="11"/>
  <c r="F1085" i="11"/>
  <c r="G1085" i="11"/>
  <c r="I1085" i="11"/>
  <c r="J1085" i="11"/>
  <c r="K1085" i="11"/>
  <c r="L1085" i="11"/>
  <c r="M1085" i="11"/>
  <c r="N1085" i="11"/>
  <c r="C1086" i="11"/>
  <c r="D1086" i="11"/>
  <c r="E1086" i="11"/>
  <c r="F1086" i="11"/>
  <c r="G1086" i="11"/>
  <c r="I1086" i="11"/>
  <c r="J1086" i="11"/>
  <c r="K1086" i="11"/>
  <c r="L1086" i="11"/>
  <c r="M1086" i="11"/>
  <c r="N1086" i="11"/>
  <c r="C1087" i="11"/>
  <c r="D1087" i="11"/>
  <c r="E1087" i="11"/>
  <c r="F1087" i="11"/>
  <c r="G1087" i="11"/>
  <c r="I1087" i="11"/>
  <c r="J1087" i="11"/>
  <c r="K1087" i="11"/>
  <c r="L1087" i="11"/>
  <c r="M1087" i="11"/>
  <c r="N1087" i="11"/>
  <c r="C1088" i="11"/>
  <c r="D1088" i="11"/>
  <c r="E1088" i="11"/>
  <c r="F1088" i="11"/>
  <c r="G1088" i="11"/>
  <c r="I1088" i="11"/>
  <c r="J1088" i="11"/>
  <c r="K1088" i="11"/>
  <c r="L1088" i="11"/>
  <c r="M1088" i="11"/>
  <c r="N1088" i="11"/>
  <c r="C1089" i="11"/>
  <c r="D1089" i="11"/>
  <c r="E1089" i="11"/>
  <c r="F1089" i="11"/>
  <c r="G1089" i="11"/>
  <c r="I1089" i="11"/>
  <c r="J1089" i="11"/>
  <c r="K1089" i="11"/>
  <c r="L1089" i="11"/>
  <c r="M1089" i="11"/>
  <c r="N1089" i="11"/>
  <c r="C1090" i="11"/>
  <c r="D1090" i="11"/>
  <c r="E1090" i="11"/>
  <c r="F1090" i="11"/>
  <c r="G1090" i="11"/>
  <c r="I1090" i="11"/>
  <c r="J1090" i="11"/>
  <c r="K1090" i="11"/>
  <c r="L1090" i="11"/>
  <c r="M1090" i="11"/>
  <c r="N1090" i="11"/>
  <c r="C1091" i="11"/>
  <c r="D1091" i="11"/>
  <c r="E1091" i="11"/>
  <c r="F1091" i="11"/>
  <c r="G1091" i="11"/>
  <c r="I1091" i="11"/>
  <c r="J1091" i="11"/>
  <c r="K1091" i="11"/>
  <c r="L1091" i="11"/>
  <c r="M1091" i="11"/>
  <c r="N1091" i="11"/>
  <c r="C1092" i="11"/>
  <c r="D1092" i="11"/>
  <c r="E1092" i="11"/>
  <c r="F1092" i="11"/>
  <c r="G1092" i="11"/>
  <c r="I1092" i="11"/>
  <c r="J1092" i="11"/>
  <c r="K1092" i="11"/>
  <c r="L1092" i="11"/>
  <c r="M1092" i="11"/>
  <c r="N1092" i="11"/>
  <c r="C1093" i="11"/>
  <c r="D1093" i="11"/>
  <c r="E1093" i="11"/>
  <c r="F1093" i="11"/>
  <c r="G1093" i="11"/>
  <c r="I1093" i="11"/>
  <c r="J1093" i="11"/>
  <c r="K1093" i="11"/>
  <c r="L1093" i="11"/>
  <c r="M1093" i="11"/>
  <c r="N1093" i="11"/>
  <c r="C1094" i="11"/>
  <c r="D1094" i="11"/>
  <c r="E1094" i="11"/>
  <c r="F1094" i="11"/>
  <c r="G1094" i="11"/>
  <c r="I1094" i="11"/>
  <c r="J1094" i="11"/>
  <c r="K1094" i="11"/>
  <c r="L1094" i="11"/>
  <c r="M1094" i="11"/>
  <c r="N1094" i="11"/>
  <c r="C1095" i="11"/>
  <c r="D1095" i="11"/>
  <c r="E1095" i="11"/>
  <c r="F1095" i="11"/>
  <c r="G1095" i="11"/>
  <c r="I1095" i="11"/>
  <c r="J1095" i="11"/>
  <c r="K1095" i="11"/>
  <c r="L1095" i="11"/>
  <c r="M1095" i="11"/>
  <c r="N1095" i="11"/>
  <c r="C1096" i="11"/>
  <c r="D1096" i="11"/>
  <c r="E1096" i="11"/>
  <c r="F1096" i="11"/>
  <c r="G1096" i="11"/>
  <c r="I1096" i="11"/>
  <c r="J1096" i="11"/>
  <c r="K1096" i="11"/>
  <c r="L1096" i="11"/>
  <c r="M1096" i="11"/>
  <c r="N1096" i="11"/>
  <c r="C1097" i="11"/>
  <c r="D1097" i="11"/>
  <c r="E1097" i="11"/>
  <c r="F1097" i="11"/>
  <c r="G1097" i="11"/>
  <c r="I1097" i="11"/>
  <c r="J1097" i="11"/>
  <c r="K1097" i="11"/>
  <c r="L1097" i="11"/>
  <c r="M1097" i="11"/>
  <c r="N1097" i="11"/>
  <c r="C1098" i="11"/>
  <c r="D1098" i="11"/>
  <c r="E1098" i="11"/>
  <c r="F1098" i="11"/>
  <c r="G1098" i="11"/>
  <c r="I1098" i="11"/>
  <c r="J1098" i="11"/>
  <c r="K1098" i="11"/>
  <c r="L1098" i="11"/>
  <c r="M1098" i="11"/>
  <c r="N1098" i="11"/>
  <c r="C1099" i="11"/>
  <c r="D1099" i="11"/>
  <c r="E1099" i="11"/>
  <c r="F1099" i="11"/>
  <c r="G1099" i="11"/>
  <c r="I1099" i="11"/>
  <c r="J1099" i="11"/>
  <c r="K1099" i="11"/>
  <c r="L1099" i="11"/>
  <c r="M1099" i="11"/>
  <c r="N1099" i="11"/>
  <c r="C1100" i="11"/>
  <c r="D1100" i="11"/>
  <c r="E1100" i="11"/>
  <c r="F1100" i="11"/>
  <c r="G1100" i="11"/>
  <c r="I1100" i="11"/>
  <c r="J1100" i="11"/>
  <c r="K1100" i="11"/>
  <c r="L1100" i="11"/>
  <c r="M1100" i="11"/>
  <c r="N1100" i="11"/>
  <c r="C1101" i="11"/>
  <c r="D1101" i="11"/>
  <c r="E1101" i="11"/>
  <c r="F1101" i="11"/>
  <c r="G1101" i="11"/>
  <c r="I1101" i="11"/>
  <c r="J1101" i="11"/>
  <c r="K1101" i="11"/>
  <c r="L1101" i="11"/>
  <c r="M1101" i="11"/>
  <c r="N1101" i="11"/>
  <c r="C1102" i="11"/>
  <c r="D1102" i="11"/>
  <c r="E1102" i="11"/>
  <c r="F1102" i="11"/>
  <c r="G1102" i="11"/>
  <c r="I1102" i="11"/>
  <c r="J1102" i="11"/>
  <c r="K1102" i="11"/>
  <c r="L1102" i="11"/>
  <c r="M1102" i="11"/>
  <c r="N1102" i="11"/>
  <c r="C1103" i="11"/>
  <c r="D1103" i="11"/>
  <c r="E1103" i="11"/>
  <c r="F1103" i="11"/>
  <c r="G1103" i="11"/>
  <c r="I1103" i="11"/>
  <c r="J1103" i="11"/>
  <c r="K1103" i="11"/>
  <c r="L1103" i="11"/>
  <c r="M1103" i="11"/>
  <c r="N1103" i="11"/>
  <c r="C1104" i="11"/>
  <c r="D1104" i="11"/>
  <c r="E1104" i="11"/>
  <c r="F1104" i="11"/>
  <c r="G1104" i="11"/>
  <c r="I1104" i="11"/>
  <c r="J1104" i="11"/>
  <c r="K1104" i="11"/>
  <c r="L1104" i="11"/>
  <c r="M1104" i="11"/>
  <c r="N1104" i="11"/>
  <c r="C1105" i="11"/>
  <c r="D1105" i="11"/>
  <c r="E1105" i="11"/>
  <c r="F1105" i="11"/>
  <c r="G1105" i="11"/>
  <c r="I1105" i="11"/>
  <c r="J1105" i="11"/>
  <c r="K1105" i="11"/>
  <c r="L1105" i="11"/>
  <c r="M1105" i="11"/>
  <c r="N1105" i="11"/>
  <c r="C1106" i="11"/>
  <c r="D1106" i="11"/>
  <c r="E1106" i="11"/>
  <c r="F1106" i="11"/>
  <c r="G1106" i="11"/>
  <c r="I1106" i="11"/>
  <c r="J1106" i="11"/>
  <c r="K1106" i="11"/>
  <c r="L1106" i="11"/>
  <c r="M1106" i="11"/>
  <c r="N1106" i="11"/>
  <c r="C1107" i="11"/>
  <c r="D1107" i="11"/>
  <c r="E1107" i="11"/>
  <c r="F1107" i="11"/>
  <c r="G1107" i="11"/>
  <c r="I1107" i="11"/>
  <c r="J1107" i="11"/>
  <c r="K1107" i="11"/>
  <c r="L1107" i="11"/>
  <c r="M1107" i="11"/>
  <c r="N1107" i="11"/>
  <c r="C1108" i="11"/>
  <c r="D1108" i="11"/>
  <c r="E1108" i="11"/>
  <c r="F1108" i="11"/>
  <c r="G1108" i="11"/>
  <c r="I1108" i="11"/>
  <c r="J1108" i="11"/>
  <c r="K1108" i="11"/>
  <c r="L1108" i="11"/>
  <c r="M1108" i="11"/>
  <c r="N1108" i="11"/>
  <c r="C1109" i="11"/>
  <c r="D1109" i="11"/>
  <c r="E1109" i="11"/>
  <c r="F1109" i="11"/>
  <c r="G1109" i="11"/>
  <c r="I1109" i="11"/>
  <c r="J1109" i="11"/>
  <c r="K1109" i="11"/>
  <c r="L1109" i="11"/>
  <c r="M1109" i="11"/>
  <c r="N1109" i="11"/>
  <c r="C1110" i="11"/>
  <c r="D1110" i="11"/>
  <c r="E1110" i="11"/>
  <c r="F1110" i="11"/>
  <c r="G1110" i="11"/>
  <c r="I1110" i="11"/>
  <c r="J1110" i="11"/>
  <c r="K1110" i="11"/>
  <c r="L1110" i="11"/>
  <c r="M1110" i="11"/>
  <c r="N1110" i="11"/>
  <c r="C1111" i="11"/>
  <c r="D1111" i="11"/>
  <c r="E1111" i="11"/>
  <c r="F1111" i="11"/>
  <c r="G1111" i="11"/>
  <c r="I1111" i="11"/>
  <c r="J1111" i="11"/>
  <c r="K1111" i="11"/>
  <c r="L1111" i="11"/>
  <c r="M1111" i="11"/>
  <c r="N1111" i="11"/>
  <c r="C1112" i="11"/>
  <c r="D1112" i="11"/>
  <c r="E1112" i="11"/>
  <c r="F1112" i="11"/>
  <c r="G1112" i="11"/>
  <c r="I1112" i="11"/>
  <c r="J1112" i="11"/>
  <c r="K1112" i="11"/>
  <c r="L1112" i="11"/>
  <c r="M1112" i="11"/>
  <c r="N1112" i="11"/>
  <c r="C1113" i="11"/>
  <c r="D1113" i="11"/>
  <c r="E1113" i="11"/>
  <c r="F1113" i="11"/>
  <c r="G1113" i="11"/>
  <c r="I1113" i="11"/>
  <c r="J1113" i="11"/>
  <c r="K1113" i="11"/>
  <c r="L1113" i="11"/>
  <c r="M1113" i="11"/>
  <c r="N1113" i="11"/>
  <c r="C1114" i="11"/>
  <c r="D1114" i="11"/>
  <c r="E1114" i="11"/>
  <c r="F1114" i="11"/>
  <c r="G1114" i="11"/>
  <c r="I1114" i="11"/>
  <c r="J1114" i="11"/>
  <c r="K1114" i="11"/>
  <c r="L1114" i="11"/>
  <c r="M1114" i="11"/>
  <c r="N1114" i="11"/>
  <c r="C1115" i="11"/>
  <c r="D1115" i="11"/>
  <c r="E1115" i="11"/>
  <c r="F1115" i="11"/>
  <c r="G1115" i="11"/>
  <c r="I1115" i="11"/>
  <c r="J1115" i="11"/>
  <c r="K1115" i="11"/>
  <c r="L1115" i="11"/>
  <c r="M1115" i="11"/>
  <c r="N1115" i="11"/>
  <c r="C1116" i="11"/>
  <c r="D1116" i="11"/>
  <c r="E1116" i="11"/>
  <c r="F1116" i="11"/>
  <c r="G1116" i="11"/>
  <c r="I1116" i="11"/>
  <c r="J1116" i="11"/>
  <c r="K1116" i="11"/>
  <c r="L1116" i="11"/>
  <c r="M1116" i="11"/>
  <c r="N1116" i="11"/>
  <c r="C1117" i="11"/>
  <c r="D1117" i="11"/>
  <c r="E1117" i="11"/>
  <c r="F1117" i="11"/>
  <c r="G1117" i="11"/>
  <c r="I1117" i="11"/>
  <c r="J1117" i="11"/>
  <c r="K1117" i="11"/>
  <c r="L1117" i="11"/>
  <c r="M1117" i="11"/>
  <c r="N1117" i="11"/>
  <c r="C1118" i="11"/>
  <c r="D1118" i="11"/>
  <c r="E1118" i="11"/>
  <c r="F1118" i="11"/>
  <c r="G1118" i="11"/>
  <c r="I1118" i="11"/>
  <c r="J1118" i="11"/>
  <c r="K1118" i="11"/>
  <c r="L1118" i="11"/>
  <c r="M1118" i="11"/>
  <c r="N1118" i="11"/>
  <c r="C1119" i="11"/>
  <c r="D1119" i="11"/>
  <c r="E1119" i="11"/>
  <c r="F1119" i="11"/>
  <c r="G1119" i="11"/>
  <c r="I1119" i="11"/>
  <c r="J1119" i="11"/>
  <c r="K1119" i="11"/>
  <c r="L1119" i="11"/>
  <c r="M1119" i="11"/>
  <c r="N1119" i="11"/>
  <c r="C1120" i="11"/>
  <c r="D1120" i="11"/>
  <c r="E1120" i="11"/>
  <c r="F1120" i="11"/>
  <c r="G1120" i="11"/>
  <c r="I1120" i="11"/>
  <c r="J1120" i="11"/>
  <c r="K1120" i="11"/>
  <c r="L1120" i="11"/>
  <c r="M1120" i="11"/>
  <c r="N1120" i="11"/>
  <c r="C1121" i="11"/>
  <c r="D1121" i="11"/>
  <c r="E1121" i="11"/>
  <c r="F1121" i="11"/>
  <c r="G1121" i="11"/>
  <c r="I1121" i="11"/>
  <c r="J1121" i="11"/>
  <c r="K1121" i="11"/>
  <c r="L1121" i="11"/>
  <c r="M1121" i="11"/>
  <c r="N1121" i="11"/>
  <c r="C1122" i="11"/>
  <c r="D1122" i="11"/>
  <c r="E1122" i="11"/>
  <c r="F1122" i="11"/>
  <c r="G1122" i="11"/>
  <c r="I1122" i="11"/>
  <c r="J1122" i="11"/>
  <c r="K1122" i="11"/>
  <c r="L1122" i="11"/>
  <c r="M1122" i="11"/>
  <c r="N1122" i="11"/>
  <c r="C1123" i="11"/>
  <c r="D1123" i="11"/>
  <c r="E1123" i="11"/>
  <c r="F1123" i="11"/>
  <c r="G1123" i="11"/>
  <c r="I1123" i="11"/>
  <c r="J1123" i="11"/>
  <c r="K1123" i="11"/>
  <c r="L1123" i="11"/>
  <c r="M1123" i="11"/>
  <c r="N1123" i="11"/>
  <c r="C1124" i="11"/>
  <c r="D1124" i="11"/>
  <c r="E1124" i="11"/>
  <c r="F1124" i="11"/>
  <c r="G1124" i="11"/>
  <c r="I1124" i="11"/>
  <c r="J1124" i="11"/>
  <c r="K1124" i="11"/>
  <c r="L1124" i="11"/>
  <c r="M1124" i="11"/>
  <c r="N1124" i="11"/>
  <c r="C1125" i="11"/>
  <c r="D1125" i="11"/>
  <c r="E1125" i="11"/>
  <c r="F1125" i="11"/>
  <c r="G1125" i="11"/>
  <c r="I1125" i="11"/>
  <c r="J1125" i="11"/>
  <c r="K1125" i="11"/>
  <c r="L1125" i="11"/>
  <c r="M1125" i="11"/>
  <c r="N1125" i="11"/>
  <c r="C1126" i="11"/>
  <c r="D1126" i="11"/>
  <c r="E1126" i="11"/>
  <c r="F1126" i="11"/>
  <c r="G1126" i="11"/>
  <c r="I1126" i="11"/>
  <c r="J1126" i="11"/>
  <c r="K1126" i="11"/>
  <c r="L1126" i="11"/>
  <c r="M1126" i="11"/>
  <c r="N1126" i="11"/>
  <c r="C1127" i="11"/>
  <c r="D1127" i="11"/>
  <c r="E1127" i="11"/>
  <c r="F1127" i="11"/>
  <c r="G1127" i="11"/>
  <c r="I1127" i="11"/>
  <c r="J1127" i="11"/>
  <c r="K1127" i="11"/>
  <c r="L1127" i="11"/>
  <c r="M1127" i="11"/>
  <c r="N1127" i="11"/>
  <c r="C1128" i="11"/>
  <c r="D1128" i="11"/>
  <c r="E1128" i="11"/>
  <c r="F1128" i="11"/>
  <c r="G1128" i="11"/>
  <c r="I1128" i="11"/>
  <c r="J1128" i="11"/>
  <c r="K1128" i="11"/>
  <c r="L1128" i="11"/>
  <c r="M1128" i="11"/>
  <c r="N1128" i="11"/>
  <c r="C1129" i="11"/>
  <c r="D1129" i="11"/>
  <c r="E1129" i="11"/>
  <c r="F1129" i="11"/>
  <c r="G1129" i="11"/>
  <c r="I1129" i="11"/>
  <c r="J1129" i="11"/>
  <c r="K1129" i="11"/>
  <c r="L1129" i="11"/>
  <c r="M1129" i="11"/>
  <c r="N1129" i="11"/>
  <c r="C1130" i="11"/>
  <c r="D1130" i="11"/>
  <c r="E1130" i="11"/>
  <c r="F1130" i="11"/>
  <c r="G1130" i="11"/>
  <c r="I1130" i="11"/>
  <c r="J1130" i="11"/>
  <c r="K1130" i="11"/>
  <c r="L1130" i="11"/>
  <c r="M1130" i="11"/>
  <c r="N1130" i="11"/>
  <c r="C1131" i="11"/>
  <c r="D1131" i="11"/>
  <c r="E1131" i="11"/>
  <c r="F1131" i="11"/>
  <c r="G1131" i="11"/>
  <c r="I1131" i="11"/>
  <c r="J1131" i="11"/>
  <c r="K1131" i="11"/>
  <c r="L1131" i="11"/>
  <c r="M1131" i="11"/>
  <c r="N1131" i="11"/>
  <c r="C1132" i="11"/>
  <c r="D1132" i="11"/>
  <c r="E1132" i="11"/>
  <c r="F1132" i="11"/>
  <c r="G1132" i="11"/>
  <c r="I1132" i="11"/>
  <c r="J1132" i="11"/>
  <c r="K1132" i="11"/>
  <c r="L1132" i="11"/>
  <c r="M1132" i="11"/>
  <c r="N1132" i="11"/>
  <c r="C1133" i="11"/>
  <c r="D1133" i="11"/>
  <c r="E1133" i="11"/>
  <c r="F1133" i="11"/>
  <c r="G1133" i="11"/>
  <c r="I1133" i="11"/>
  <c r="J1133" i="11"/>
  <c r="K1133" i="11"/>
  <c r="L1133" i="11"/>
  <c r="M1133" i="11"/>
  <c r="N1133" i="11"/>
  <c r="C1134" i="11"/>
  <c r="D1134" i="11"/>
  <c r="E1134" i="11"/>
  <c r="F1134" i="11"/>
  <c r="G1134" i="11"/>
  <c r="I1134" i="11"/>
  <c r="J1134" i="11"/>
  <c r="K1134" i="11"/>
  <c r="L1134" i="11"/>
  <c r="M1134" i="11"/>
  <c r="N1134" i="11"/>
  <c r="C1135" i="11"/>
  <c r="D1135" i="11"/>
  <c r="E1135" i="11"/>
  <c r="F1135" i="11"/>
  <c r="G1135" i="11"/>
  <c r="I1135" i="11"/>
  <c r="J1135" i="11"/>
  <c r="K1135" i="11"/>
  <c r="L1135" i="11"/>
  <c r="M1135" i="11"/>
  <c r="N1135" i="11"/>
  <c r="C1136" i="11"/>
  <c r="D1136" i="11"/>
  <c r="E1136" i="11"/>
  <c r="F1136" i="11"/>
  <c r="G1136" i="11"/>
  <c r="I1136" i="11"/>
  <c r="J1136" i="11"/>
  <c r="K1136" i="11"/>
  <c r="L1136" i="11"/>
  <c r="M1136" i="11"/>
  <c r="N1136" i="11"/>
  <c r="C1137" i="11"/>
  <c r="D1137" i="11"/>
  <c r="E1137" i="11"/>
  <c r="F1137" i="11"/>
  <c r="G1137" i="11"/>
  <c r="I1137" i="11"/>
  <c r="J1137" i="11"/>
  <c r="K1137" i="11"/>
  <c r="L1137" i="11"/>
  <c r="M1137" i="11"/>
  <c r="N1137" i="11"/>
  <c r="C1138" i="11"/>
  <c r="D1138" i="11"/>
  <c r="E1138" i="11"/>
  <c r="F1138" i="11"/>
  <c r="G1138" i="11"/>
  <c r="I1138" i="11"/>
  <c r="J1138" i="11"/>
  <c r="K1138" i="11"/>
  <c r="L1138" i="11"/>
  <c r="M1138" i="11"/>
  <c r="N1138" i="11"/>
  <c r="C1139" i="11"/>
  <c r="D1139" i="11"/>
  <c r="E1139" i="11"/>
  <c r="F1139" i="11"/>
  <c r="G1139" i="11"/>
  <c r="I1139" i="11"/>
  <c r="J1139" i="11"/>
  <c r="K1139" i="11"/>
  <c r="L1139" i="11"/>
  <c r="M1139" i="11"/>
  <c r="N1139" i="11"/>
  <c r="C1140" i="11"/>
  <c r="D1140" i="11"/>
  <c r="E1140" i="11"/>
  <c r="F1140" i="11"/>
  <c r="G1140" i="11"/>
  <c r="I1140" i="11"/>
  <c r="J1140" i="11"/>
  <c r="K1140" i="11"/>
  <c r="L1140" i="11"/>
  <c r="M1140" i="11"/>
  <c r="N1140" i="11"/>
  <c r="C1141" i="11"/>
  <c r="D1141" i="11"/>
  <c r="E1141" i="11"/>
  <c r="F1141" i="11"/>
  <c r="G1141" i="11"/>
  <c r="I1141" i="11"/>
  <c r="J1141" i="11"/>
  <c r="K1141" i="11"/>
  <c r="L1141" i="11"/>
  <c r="M1141" i="11"/>
  <c r="N1141" i="11"/>
  <c r="C1142" i="11"/>
  <c r="D1142" i="11"/>
  <c r="E1142" i="11"/>
  <c r="F1142" i="11"/>
  <c r="G1142" i="11"/>
  <c r="I1142" i="11"/>
  <c r="J1142" i="11"/>
  <c r="K1142" i="11"/>
  <c r="L1142" i="11"/>
  <c r="M1142" i="11"/>
  <c r="N1142" i="11"/>
  <c r="C1143" i="11"/>
  <c r="D1143" i="11"/>
  <c r="E1143" i="11"/>
  <c r="F1143" i="11"/>
  <c r="G1143" i="11"/>
  <c r="I1143" i="11"/>
  <c r="J1143" i="11"/>
  <c r="K1143" i="11"/>
  <c r="L1143" i="11"/>
  <c r="M1143" i="11"/>
  <c r="N1143" i="11"/>
  <c r="C1144" i="11"/>
  <c r="D1144" i="11"/>
  <c r="E1144" i="11"/>
  <c r="F1144" i="11"/>
  <c r="G1144" i="11"/>
  <c r="I1144" i="11"/>
  <c r="J1144" i="11"/>
  <c r="K1144" i="11"/>
  <c r="L1144" i="11"/>
  <c r="M1144" i="11"/>
  <c r="N1144" i="11"/>
  <c r="C1145" i="11"/>
  <c r="D1145" i="11"/>
  <c r="E1145" i="11"/>
  <c r="F1145" i="11"/>
  <c r="G1145" i="11"/>
  <c r="I1145" i="11"/>
  <c r="J1145" i="11"/>
  <c r="K1145" i="11"/>
  <c r="L1145" i="11"/>
  <c r="M1145" i="11"/>
  <c r="N1145" i="11"/>
  <c r="C1146" i="11"/>
  <c r="D1146" i="11"/>
  <c r="E1146" i="11"/>
  <c r="F1146" i="11"/>
  <c r="G1146" i="11"/>
  <c r="I1146" i="11"/>
  <c r="J1146" i="11"/>
  <c r="K1146" i="11"/>
  <c r="L1146" i="11"/>
  <c r="M1146" i="11"/>
  <c r="N1146" i="11"/>
  <c r="C1147" i="11"/>
  <c r="D1147" i="11"/>
  <c r="E1147" i="11"/>
  <c r="F1147" i="11"/>
  <c r="G1147" i="11"/>
  <c r="I1147" i="11"/>
  <c r="J1147" i="11"/>
  <c r="K1147" i="11"/>
  <c r="L1147" i="11"/>
  <c r="M1147" i="11"/>
  <c r="N1147" i="11"/>
  <c r="C1148" i="11"/>
  <c r="D1148" i="11"/>
  <c r="E1148" i="11"/>
  <c r="F1148" i="11"/>
  <c r="G1148" i="11"/>
  <c r="I1148" i="11"/>
  <c r="J1148" i="11"/>
  <c r="K1148" i="11"/>
  <c r="L1148" i="11"/>
  <c r="M1148" i="11"/>
  <c r="N1148" i="11"/>
  <c r="C1149" i="11"/>
  <c r="D1149" i="11"/>
  <c r="E1149" i="11"/>
  <c r="F1149" i="11"/>
  <c r="G1149" i="11"/>
  <c r="I1149" i="11"/>
  <c r="J1149" i="11"/>
  <c r="K1149" i="11"/>
  <c r="L1149" i="11"/>
  <c r="M1149" i="11"/>
  <c r="N1149" i="11"/>
  <c r="C1150" i="11"/>
  <c r="D1150" i="11"/>
  <c r="E1150" i="11"/>
  <c r="F1150" i="11"/>
  <c r="G1150" i="11"/>
  <c r="I1150" i="11"/>
  <c r="J1150" i="11"/>
  <c r="K1150" i="11"/>
  <c r="L1150" i="11"/>
  <c r="M1150" i="11"/>
  <c r="N1150" i="11"/>
  <c r="C1151" i="11"/>
  <c r="D1151" i="11"/>
  <c r="E1151" i="11"/>
  <c r="F1151" i="11"/>
  <c r="G1151" i="11"/>
  <c r="I1151" i="11"/>
  <c r="J1151" i="11"/>
  <c r="K1151" i="11"/>
  <c r="L1151" i="11"/>
  <c r="M1151" i="11"/>
  <c r="N1151" i="11"/>
  <c r="C1152" i="11"/>
  <c r="D1152" i="11"/>
  <c r="E1152" i="11"/>
  <c r="F1152" i="11"/>
  <c r="G1152" i="11"/>
  <c r="I1152" i="11"/>
  <c r="J1152" i="11"/>
  <c r="K1152" i="11"/>
  <c r="L1152" i="11"/>
  <c r="M1152" i="11"/>
  <c r="N1152" i="11"/>
  <c r="C1153" i="11"/>
  <c r="D1153" i="11"/>
  <c r="E1153" i="11"/>
  <c r="F1153" i="11"/>
  <c r="G1153" i="11"/>
  <c r="I1153" i="11"/>
  <c r="J1153" i="11"/>
  <c r="K1153" i="11"/>
  <c r="L1153" i="11"/>
  <c r="M1153" i="11"/>
  <c r="N1153" i="11"/>
  <c r="C1154" i="11"/>
  <c r="D1154" i="11"/>
  <c r="E1154" i="11"/>
  <c r="F1154" i="11"/>
  <c r="G1154" i="11"/>
  <c r="I1154" i="11"/>
  <c r="J1154" i="11"/>
  <c r="K1154" i="11"/>
  <c r="L1154" i="11"/>
  <c r="M1154" i="11"/>
  <c r="N1154" i="11"/>
  <c r="C1155" i="11"/>
  <c r="D1155" i="11"/>
  <c r="E1155" i="11"/>
  <c r="F1155" i="11"/>
  <c r="G1155" i="11"/>
  <c r="I1155" i="11"/>
  <c r="J1155" i="11"/>
  <c r="K1155" i="11"/>
  <c r="L1155" i="11"/>
  <c r="M1155" i="11"/>
  <c r="N1155" i="11"/>
  <c r="C1156" i="11"/>
  <c r="D1156" i="11"/>
  <c r="E1156" i="11"/>
  <c r="F1156" i="11"/>
  <c r="G1156" i="11"/>
  <c r="I1156" i="11"/>
  <c r="J1156" i="11"/>
  <c r="K1156" i="11"/>
  <c r="L1156" i="11"/>
  <c r="M1156" i="11"/>
  <c r="N1156" i="11"/>
  <c r="C1157" i="11"/>
  <c r="D1157" i="11"/>
  <c r="E1157" i="11"/>
  <c r="F1157" i="11"/>
  <c r="G1157" i="11"/>
  <c r="I1157" i="11"/>
  <c r="J1157" i="11"/>
  <c r="K1157" i="11"/>
  <c r="L1157" i="11"/>
  <c r="M1157" i="11"/>
  <c r="N1157" i="11"/>
  <c r="C1158" i="11"/>
  <c r="D1158" i="11"/>
  <c r="E1158" i="11"/>
  <c r="F1158" i="11"/>
  <c r="G1158" i="11"/>
  <c r="I1158" i="11"/>
  <c r="J1158" i="11"/>
  <c r="K1158" i="11"/>
  <c r="L1158" i="11"/>
  <c r="M1158" i="11"/>
  <c r="N1158" i="11"/>
  <c r="C1159" i="11"/>
  <c r="D1159" i="11"/>
  <c r="E1159" i="11"/>
  <c r="F1159" i="11"/>
  <c r="G1159" i="11"/>
  <c r="I1159" i="11"/>
  <c r="J1159" i="11"/>
  <c r="K1159" i="11"/>
  <c r="L1159" i="11"/>
  <c r="M1159" i="11"/>
  <c r="N1159" i="11"/>
  <c r="C1160" i="11"/>
  <c r="D1160" i="11"/>
  <c r="E1160" i="11"/>
  <c r="F1160" i="11"/>
  <c r="G1160" i="11"/>
  <c r="I1160" i="11"/>
  <c r="J1160" i="11"/>
  <c r="K1160" i="11"/>
  <c r="L1160" i="11"/>
  <c r="M1160" i="11"/>
  <c r="N1160" i="11"/>
  <c r="C1161" i="11"/>
  <c r="D1161" i="11"/>
  <c r="E1161" i="11"/>
  <c r="F1161" i="11"/>
  <c r="G1161" i="11"/>
  <c r="I1161" i="11"/>
  <c r="J1161" i="11"/>
  <c r="K1161" i="11"/>
  <c r="L1161" i="11"/>
  <c r="M1161" i="11"/>
  <c r="N1161" i="11"/>
  <c r="C1162" i="11"/>
  <c r="D1162" i="11"/>
  <c r="E1162" i="11"/>
  <c r="F1162" i="11"/>
  <c r="G1162" i="11"/>
  <c r="I1162" i="11"/>
  <c r="J1162" i="11"/>
  <c r="K1162" i="11"/>
  <c r="L1162" i="11"/>
  <c r="M1162" i="11"/>
  <c r="N1162" i="11"/>
  <c r="C1163" i="11"/>
  <c r="D1163" i="11"/>
  <c r="E1163" i="11"/>
  <c r="F1163" i="11"/>
  <c r="G1163" i="11"/>
  <c r="I1163" i="11"/>
  <c r="J1163" i="11"/>
  <c r="K1163" i="11"/>
  <c r="L1163" i="11"/>
  <c r="M1163" i="11"/>
  <c r="N1163" i="11"/>
  <c r="C1164" i="11"/>
  <c r="D1164" i="11"/>
  <c r="E1164" i="11"/>
  <c r="F1164" i="11"/>
  <c r="G1164" i="11"/>
  <c r="I1164" i="11"/>
  <c r="J1164" i="11"/>
  <c r="K1164" i="11"/>
  <c r="L1164" i="11"/>
  <c r="M1164" i="11"/>
  <c r="N1164" i="11"/>
  <c r="C1165" i="11"/>
  <c r="D1165" i="11"/>
  <c r="E1165" i="11"/>
  <c r="F1165" i="11"/>
  <c r="G1165" i="11"/>
  <c r="I1165" i="11"/>
  <c r="J1165" i="11"/>
  <c r="K1165" i="11"/>
  <c r="L1165" i="11"/>
  <c r="M1165" i="11"/>
  <c r="N1165" i="11"/>
  <c r="C1166" i="11"/>
  <c r="D1166" i="11"/>
  <c r="E1166" i="11"/>
  <c r="F1166" i="11"/>
  <c r="G1166" i="11"/>
  <c r="I1166" i="11"/>
  <c r="J1166" i="11"/>
  <c r="K1166" i="11"/>
  <c r="L1166" i="11"/>
  <c r="M1166" i="11"/>
  <c r="N1166" i="11"/>
  <c r="C1167" i="11"/>
  <c r="D1167" i="11"/>
  <c r="E1167" i="11"/>
  <c r="F1167" i="11"/>
  <c r="G1167" i="11"/>
  <c r="I1167" i="11"/>
  <c r="J1167" i="11"/>
  <c r="K1167" i="11"/>
  <c r="L1167" i="11"/>
  <c r="M1167" i="11"/>
  <c r="N1167" i="11"/>
  <c r="C1168" i="11"/>
  <c r="D1168" i="11"/>
  <c r="E1168" i="11"/>
  <c r="F1168" i="11"/>
  <c r="G1168" i="11"/>
  <c r="I1168" i="11"/>
  <c r="J1168" i="11"/>
  <c r="K1168" i="11"/>
  <c r="L1168" i="11"/>
  <c r="M1168" i="11"/>
  <c r="N1168" i="11"/>
  <c r="C1169" i="11"/>
  <c r="D1169" i="11"/>
  <c r="E1169" i="11"/>
  <c r="F1169" i="11"/>
  <c r="G1169" i="11"/>
  <c r="I1169" i="11"/>
  <c r="J1169" i="11"/>
  <c r="K1169" i="11"/>
  <c r="L1169" i="11"/>
  <c r="M1169" i="11"/>
  <c r="N1169" i="11"/>
  <c r="C1170" i="11"/>
  <c r="D1170" i="11"/>
  <c r="E1170" i="11"/>
  <c r="F1170" i="11"/>
  <c r="G1170" i="11"/>
  <c r="I1170" i="11"/>
  <c r="J1170" i="11"/>
  <c r="K1170" i="11"/>
  <c r="L1170" i="11"/>
  <c r="M1170" i="11"/>
  <c r="N1170" i="11"/>
  <c r="C1171" i="11"/>
  <c r="D1171" i="11"/>
  <c r="E1171" i="11"/>
  <c r="F1171" i="11"/>
  <c r="G1171" i="11"/>
  <c r="I1171" i="11"/>
  <c r="J1171" i="11"/>
  <c r="K1171" i="11"/>
  <c r="L1171" i="11"/>
  <c r="M1171" i="11"/>
  <c r="N1171" i="11"/>
  <c r="C1172" i="11"/>
  <c r="D1172" i="11"/>
  <c r="E1172" i="11"/>
  <c r="F1172" i="11"/>
  <c r="G1172" i="11"/>
  <c r="I1172" i="11"/>
  <c r="J1172" i="11"/>
  <c r="K1172" i="11"/>
  <c r="L1172" i="11"/>
  <c r="M1172" i="11"/>
  <c r="N1172" i="11"/>
  <c r="C1173" i="11"/>
  <c r="D1173" i="11"/>
  <c r="E1173" i="11"/>
  <c r="F1173" i="11"/>
  <c r="G1173" i="11"/>
  <c r="I1173" i="11"/>
  <c r="J1173" i="11"/>
  <c r="K1173" i="11"/>
  <c r="L1173" i="11"/>
  <c r="M1173" i="11"/>
  <c r="N1173" i="11"/>
  <c r="C1174" i="11"/>
  <c r="D1174" i="11"/>
  <c r="E1174" i="11"/>
  <c r="F1174" i="11"/>
  <c r="G1174" i="11"/>
  <c r="I1174" i="11"/>
  <c r="J1174" i="11"/>
  <c r="K1174" i="11"/>
  <c r="L1174" i="11"/>
  <c r="M1174" i="11"/>
  <c r="N1174" i="11"/>
  <c r="C1175" i="11"/>
  <c r="D1175" i="11"/>
  <c r="E1175" i="11"/>
  <c r="F1175" i="11"/>
  <c r="G1175" i="11"/>
  <c r="I1175" i="11"/>
  <c r="J1175" i="11"/>
  <c r="K1175" i="11"/>
  <c r="L1175" i="11"/>
  <c r="M1175" i="11"/>
  <c r="N1175" i="11"/>
  <c r="C1176" i="11"/>
  <c r="D1176" i="11"/>
  <c r="E1176" i="11"/>
  <c r="F1176" i="11"/>
  <c r="G1176" i="11"/>
  <c r="I1176" i="11"/>
  <c r="J1176" i="11"/>
  <c r="K1176" i="11"/>
  <c r="L1176" i="11"/>
  <c r="M1176" i="11"/>
  <c r="N1176" i="11"/>
  <c r="C1177" i="11"/>
  <c r="D1177" i="11"/>
  <c r="E1177" i="11"/>
  <c r="F1177" i="11"/>
  <c r="G1177" i="11"/>
  <c r="I1177" i="11"/>
  <c r="J1177" i="11"/>
  <c r="K1177" i="11"/>
  <c r="L1177" i="11"/>
  <c r="M1177" i="11"/>
  <c r="N1177" i="11"/>
  <c r="C1178" i="11"/>
  <c r="D1178" i="11"/>
  <c r="E1178" i="11"/>
  <c r="F1178" i="11"/>
  <c r="G1178" i="11"/>
  <c r="I1178" i="11"/>
  <c r="J1178" i="11"/>
  <c r="K1178" i="11"/>
  <c r="L1178" i="11"/>
  <c r="M1178" i="11"/>
  <c r="N1178" i="11"/>
  <c r="C1179" i="11"/>
  <c r="D1179" i="11"/>
  <c r="E1179" i="11"/>
  <c r="F1179" i="11"/>
  <c r="G1179" i="11"/>
  <c r="I1179" i="11"/>
  <c r="J1179" i="11"/>
  <c r="K1179" i="11"/>
  <c r="L1179" i="11"/>
  <c r="M1179" i="11"/>
  <c r="N1179" i="11"/>
  <c r="C1180" i="11"/>
  <c r="D1180" i="11"/>
  <c r="E1180" i="11"/>
  <c r="F1180" i="11"/>
  <c r="G1180" i="11"/>
  <c r="I1180" i="11"/>
  <c r="J1180" i="11"/>
  <c r="K1180" i="11"/>
  <c r="L1180" i="11"/>
  <c r="M1180" i="11"/>
  <c r="N1180" i="11"/>
  <c r="C1181" i="11"/>
  <c r="D1181" i="11"/>
  <c r="E1181" i="11"/>
  <c r="F1181" i="11"/>
  <c r="G1181" i="11"/>
  <c r="I1181" i="11"/>
  <c r="J1181" i="11"/>
  <c r="K1181" i="11"/>
  <c r="L1181" i="11"/>
  <c r="M1181" i="11"/>
  <c r="N1181" i="11"/>
  <c r="C1182" i="11"/>
  <c r="D1182" i="11"/>
  <c r="E1182" i="11"/>
  <c r="F1182" i="11"/>
  <c r="G1182" i="11"/>
  <c r="I1182" i="11"/>
  <c r="J1182" i="11"/>
  <c r="K1182" i="11"/>
  <c r="L1182" i="11"/>
  <c r="M1182" i="11"/>
  <c r="N1182" i="11"/>
  <c r="C1183" i="11"/>
  <c r="D1183" i="11"/>
  <c r="E1183" i="11"/>
  <c r="F1183" i="11"/>
  <c r="G1183" i="11"/>
  <c r="I1183" i="11"/>
  <c r="J1183" i="11"/>
  <c r="K1183" i="11"/>
  <c r="L1183" i="11"/>
  <c r="M1183" i="11"/>
  <c r="N1183" i="11"/>
  <c r="C1184" i="11"/>
  <c r="D1184" i="11"/>
  <c r="E1184" i="11"/>
  <c r="F1184" i="11"/>
  <c r="G1184" i="11"/>
  <c r="I1184" i="11"/>
  <c r="J1184" i="11"/>
  <c r="K1184" i="11"/>
  <c r="L1184" i="11"/>
  <c r="M1184" i="11"/>
  <c r="N1184" i="11"/>
  <c r="C1185" i="11"/>
  <c r="D1185" i="11"/>
  <c r="E1185" i="11"/>
  <c r="F1185" i="11"/>
  <c r="G1185" i="11"/>
  <c r="I1185" i="11"/>
  <c r="J1185" i="11"/>
  <c r="K1185" i="11"/>
  <c r="L1185" i="11"/>
  <c r="M1185" i="11"/>
  <c r="N1185" i="11"/>
  <c r="C1186" i="11"/>
  <c r="D1186" i="11"/>
  <c r="E1186" i="11"/>
  <c r="F1186" i="11"/>
  <c r="G1186" i="11"/>
  <c r="I1186" i="11"/>
  <c r="J1186" i="11"/>
  <c r="K1186" i="11"/>
  <c r="L1186" i="11"/>
  <c r="M1186" i="11"/>
  <c r="N1186" i="11"/>
  <c r="C1187" i="11"/>
  <c r="D1187" i="11"/>
  <c r="E1187" i="11"/>
  <c r="F1187" i="11"/>
  <c r="G1187" i="11"/>
  <c r="I1187" i="11"/>
  <c r="J1187" i="11"/>
  <c r="K1187" i="11"/>
  <c r="L1187" i="11"/>
  <c r="M1187" i="11"/>
  <c r="N1187" i="11"/>
  <c r="C1188" i="11"/>
  <c r="D1188" i="11"/>
  <c r="E1188" i="11"/>
  <c r="F1188" i="11"/>
  <c r="G1188" i="11"/>
  <c r="I1188" i="11"/>
  <c r="J1188" i="11"/>
  <c r="K1188" i="11"/>
  <c r="L1188" i="11"/>
  <c r="M1188" i="11"/>
  <c r="N1188" i="11"/>
  <c r="C1189" i="11"/>
  <c r="D1189" i="11"/>
  <c r="E1189" i="11"/>
  <c r="F1189" i="11"/>
  <c r="G1189" i="11"/>
  <c r="I1189" i="11"/>
  <c r="J1189" i="11"/>
  <c r="K1189" i="11"/>
  <c r="L1189" i="11"/>
  <c r="M1189" i="11"/>
  <c r="N1189" i="11"/>
  <c r="C1190" i="11"/>
  <c r="D1190" i="11"/>
  <c r="E1190" i="11"/>
  <c r="F1190" i="11"/>
  <c r="G1190" i="11"/>
  <c r="I1190" i="11"/>
  <c r="J1190" i="11"/>
  <c r="K1190" i="11"/>
  <c r="L1190" i="11"/>
  <c r="M1190" i="11"/>
  <c r="N1190" i="11"/>
  <c r="C1191" i="11"/>
  <c r="D1191" i="11"/>
  <c r="E1191" i="11"/>
  <c r="F1191" i="11"/>
  <c r="G1191" i="11"/>
  <c r="I1191" i="11"/>
  <c r="J1191" i="11"/>
  <c r="K1191" i="11"/>
  <c r="L1191" i="11"/>
  <c r="M1191" i="11"/>
  <c r="N1191" i="11"/>
  <c r="C1192" i="11"/>
  <c r="D1192" i="11"/>
  <c r="E1192" i="11"/>
  <c r="F1192" i="11"/>
  <c r="G1192" i="11"/>
  <c r="I1192" i="11"/>
  <c r="J1192" i="11"/>
  <c r="K1192" i="11"/>
  <c r="L1192" i="11"/>
  <c r="M1192" i="11"/>
  <c r="N1192" i="11"/>
  <c r="C1193" i="11"/>
  <c r="D1193" i="11"/>
  <c r="E1193" i="11"/>
  <c r="F1193" i="11"/>
  <c r="G1193" i="11"/>
  <c r="I1193" i="11"/>
  <c r="J1193" i="11"/>
  <c r="K1193" i="11"/>
  <c r="L1193" i="11"/>
  <c r="M1193" i="11"/>
  <c r="N1193" i="11"/>
  <c r="C1194" i="11"/>
  <c r="D1194" i="11"/>
  <c r="E1194" i="11"/>
  <c r="F1194" i="11"/>
  <c r="G1194" i="11"/>
  <c r="I1194" i="11"/>
  <c r="J1194" i="11"/>
  <c r="K1194" i="11"/>
  <c r="L1194" i="11"/>
  <c r="M1194" i="11"/>
  <c r="N1194" i="11"/>
  <c r="C1195" i="11"/>
  <c r="D1195" i="11"/>
  <c r="E1195" i="11"/>
  <c r="F1195" i="11"/>
  <c r="G1195" i="11"/>
  <c r="I1195" i="11"/>
  <c r="J1195" i="11"/>
  <c r="K1195" i="11"/>
  <c r="L1195" i="11"/>
  <c r="M1195" i="11"/>
  <c r="N1195" i="11"/>
  <c r="C1196" i="11"/>
  <c r="D1196" i="11"/>
  <c r="E1196" i="11"/>
  <c r="F1196" i="11"/>
  <c r="G1196" i="11"/>
  <c r="I1196" i="11"/>
  <c r="J1196" i="11"/>
  <c r="K1196" i="11"/>
  <c r="L1196" i="11"/>
  <c r="M1196" i="11"/>
  <c r="N1196" i="11"/>
  <c r="C1197" i="11"/>
  <c r="D1197" i="11"/>
  <c r="E1197" i="11"/>
  <c r="F1197" i="11"/>
  <c r="G1197" i="11"/>
  <c r="I1197" i="11"/>
  <c r="J1197" i="11"/>
  <c r="K1197" i="11"/>
  <c r="L1197" i="11"/>
  <c r="M1197" i="11"/>
  <c r="N1197" i="11"/>
  <c r="C1198" i="11"/>
  <c r="D1198" i="11"/>
  <c r="E1198" i="11"/>
  <c r="F1198" i="11"/>
  <c r="G1198" i="11"/>
  <c r="I1198" i="11"/>
  <c r="J1198" i="11"/>
  <c r="K1198" i="11"/>
  <c r="L1198" i="11"/>
  <c r="M1198" i="11"/>
  <c r="N1198" i="11"/>
  <c r="C1199" i="11"/>
  <c r="D1199" i="11"/>
  <c r="E1199" i="11"/>
  <c r="F1199" i="11"/>
  <c r="G1199" i="11"/>
  <c r="I1199" i="11"/>
  <c r="J1199" i="11"/>
  <c r="K1199" i="11"/>
  <c r="L1199" i="11"/>
  <c r="M1199" i="11"/>
  <c r="N1199" i="11"/>
  <c r="C1200" i="11"/>
  <c r="D1200" i="11"/>
  <c r="E1200" i="11"/>
  <c r="F1200" i="11"/>
  <c r="G1200" i="11"/>
  <c r="I1200" i="11"/>
  <c r="J1200" i="11"/>
  <c r="K1200" i="11"/>
  <c r="L1200" i="11"/>
  <c r="M1200" i="11"/>
  <c r="N1200" i="11"/>
  <c r="C1201" i="11"/>
  <c r="D1201" i="11"/>
  <c r="E1201" i="11"/>
  <c r="F1201" i="11"/>
  <c r="G1201" i="11"/>
  <c r="I1201" i="11"/>
  <c r="J1201" i="11"/>
  <c r="K1201" i="11"/>
  <c r="L1201" i="11"/>
  <c r="M1201" i="11"/>
  <c r="N1201" i="11"/>
  <c r="C1202" i="11"/>
  <c r="D1202" i="11"/>
  <c r="E1202" i="11"/>
  <c r="F1202" i="11"/>
  <c r="G1202" i="11"/>
  <c r="I1202" i="11"/>
  <c r="J1202" i="11"/>
  <c r="K1202" i="11"/>
  <c r="L1202" i="11"/>
  <c r="M1202" i="11"/>
  <c r="N1202" i="11"/>
  <c r="C1203" i="11"/>
  <c r="D1203" i="11"/>
  <c r="E1203" i="11"/>
  <c r="F1203" i="11"/>
  <c r="G1203" i="11"/>
  <c r="I1203" i="11"/>
  <c r="J1203" i="11"/>
  <c r="K1203" i="11"/>
  <c r="L1203" i="11"/>
  <c r="M1203" i="11"/>
  <c r="N1203" i="11"/>
  <c r="C1204" i="11"/>
  <c r="D1204" i="11"/>
  <c r="E1204" i="11"/>
  <c r="F1204" i="11"/>
  <c r="G1204" i="11"/>
  <c r="I1204" i="11"/>
  <c r="J1204" i="11"/>
  <c r="K1204" i="11"/>
  <c r="L1204" i="11"/>
  <c r="M1204" i="11"/>
  <c r="N1204" i="11"/>
  <c r="C1205" i="11"/>
  <c r="D1205" i="11"/>
  <c r="E1205" i="11"/>
  <c r="F1205" i="11"/>
  <c r="G1205" i="11"/>
  <c r="I1205" i="11"/>
  <c r="J1205" i="11"/>
  <c r="K1205" i="11"/>
  <c r="L1205" i="11"/>
  <c r="M1205" i="11"/>
  <c r="N1205" i="11"/>
  <c r="C1206" i="11"/>
  <c r="D1206" i="11"/>
  <c r="E1206" i="11"/>
  <c r="F1206" i="11"/>
  <c r="G1206" i="11"/>
  <c r="I1206" i="11"/>
  <c r="J1206" i="11"/>
  <c r="K1206" i="11"/>
  <c r="L1206" i="11"/>
  <c r="M1206" i="11"/>
  <c r="N1206" i="11"/>
  <c r="C1207" i="11"/>
  <c r="D1207" i="11"/>
  <c r="E1207" i="11"/>
  <c r="F1207" i="11"/>
  <c r="G1207" i="11"/>
  <c r="I1207" i="11"/>
  <c r="J1207" i="11"/>
  <c r="K1207" i="11"/>
  <c r="L1207" i="11"/>
  <c r="M1207" i="11"/>
  <c r="N1207" i="11"/>
  <c r="C1208" i="11"/>
  <c r="D1208" i="11"/>
  <c r="E1208" i="11"/>
  <c r="F1208" i="11"/>
  <c r="G1208" i="11"/>
  <c r="I1208" i="11"/>
  <c r="J1208" i="11"/>
  <c r="K1208" i="11"/>
  <c r="L1208" i="11"/>
  <c r="M1208" i="11"/>
  <c r="N1208" i="11"/>
  <c r="C1209" i="11"/>
  <c r="D1209" i="11"/>
  <c r="E1209" i="11"/>
  <c r="F1209" i="11"/>
  <c r="G1209" i="11"/>
  <c r="I1209" i="11"/>
  <c r="J1209" i="11"/>
  <c r="K1209" i="11"/>
  <c r="L1209" i="11"/>
  <c r="M1209" i="11"/>
  <c r="N1209" i="11"/>
  <c r="C1210" i="11"/>
  <c r="D1210" i="11"/>
  <c r="E1210" i="11"/>
  <c r="F1210" i="11"/>
  <c r="G1210" i="11"/>
  <c r="I1210" i="11"/>
  <c r="J1210" i="11"/>
  <c r="K1210" i="11"/>
  <c r="L1210" i="11"/>
  <c r="M1210" i="11"/>
  <c r="N1210" i="11"/>
  <c r="C1211" i="11"/>
  <c r="D1211" i="11"/>
  <c r="E1211" i="11"/>
  <c r="F1211" i="11"/>
  <c r="G1211" i="11"/>
  <c r="I1211" i="11"/>
  <c r="J1211" i="11"/>
  <c r="K1211" i="11"/>
  <c r="L1211" i="11"/>
  <c r="M1211" i="11"/>
  <c r="N1211" i="11"/>
  <c r="C1212" i="11"/>
  <c r="D1212" i="11"/>
  <c r="E1212" i="11"/>
  <c r="F1212" i="11"/>
  <c r="G1212" i="11"/>
  <c r="I1212" i="11"/>
  <c r="J1212" i="11"/>
  <c r="K1212" i="11"/>
  <c r="L1212" i="11"/>
  <c r="M1212" i="11"/>
  <c r="N1212" i="11"/>
  <c r="C1213" i="11"/>
  <c r="D1213" i="11"/>
  <c r="E1213" i="11"/>
  <c r="F1213" i="11"/>
  <c r="G1213" i="11"/>
  <c r="I1213" i="11"/>
  <c r="J1213" i="11"/>
  <c r="K1213" i="11"/>
  <c r="L1213" i="11"/>
  <c r="M1213" i="11"/>
  <c r="N1213" i="11"/>
  <c r="C1214" i="11"/>
  <c r="D1214" i="11"/>
  <c r="E1214" i="11"/>
  <c r="F1214" i="11"/>
  <c r="G1214" i="11"/>
  <c r="I1214" i="11"/>
  <c r="J1214" i="11"/>
  <c r="K1214" i="11"/>
  <c r="L1214" i="11"/>
  <c r="M1214" i="11"/>
  <c r="N1214" i="11"/>
  <c r="C1215" i="11"/>
  <c r="D1215" i="11"/>
  <c r="E1215" i="11"/>
  <c r="F1215" i="11"/>
  <c r="G1215" i="11"/>
  <c r="I1215" i="11"/>
  <c r="J1215" i="11"/>
  <c r="K1215" i="11"/>
  <c r="L1215" i="11"/>
  <c r="M1215" i="11"/>
  <c r="N1215" i="11"/>
  <c r="C1216" i="11"/>
  <c r="D1216" i="11"/>
  <c r="E1216" i="11"/>
  <c r="F1216" i="11"/>
  <c r="G1216" i="11"/>
  <c r="I1216" i="11"/>
  <c r="J1216" i="11"/>
  <c r="K1216" i="11"/>
  <c r="L1216" i="11"/>
  <c r="M1216" i="11"/>
  <c r="N1216" i="11"/>
  <c r="C1217" i="11"/>
  <c r="D1217" i="11"/>
  <c r="E1217" i="11"/>
  <c r="F1217" i="11"/>
  <c r="G1217" i="11"/>
  <c r="I1217" i="11"/>
  <c r="J1217" i="11"/>
  <c r="K1217" i="11"/>
  <c r="L1217" i="11"/>
  <c r="M1217" i="11"/>
  <c r="N1217" i="11"/>
  <c r="C1218" i="11"/>
  <c r="D1218" i="11"/>
  <c r="E1218" i="11"/>
  <c r="F1218" i="11"/>
  <c r="G1218" i="11"/>
  <c r="I1218" i="11"/>
  <c r="J1218" i="11"/>
  <c r="K1218" i="11"/>
  <c r="L1218" i="11"/>
  <c r="M1218" i="11"/>
  <c r="N1218" i="11"/>
  <c r="C1219" i="11"/>
  <c r="D1219" i="11"/>
  <c r="E1219" i="11"/>
  <c r="F1219" i="11"/>
  <c r="G1219" i="11"/>
  <c r="I1219" i="11"/>
  <c r="J1219" i="11"/>
  <c r="K1219" i="11"/>
  <c r="L1219" i="11"/>
  <c r="M1219" i="11"/>
  <c r="N1219" i="11"/>
  <c r="C1220" i="11"/>
  <c r="D1220" i="11"/>
  <c r="E1220" i="11"/>
  <c r="F1220" i="11"/>
  <c r="G1220" i="11"/>
  <c r="I1220" i="11"/>
  <c r="J1220" i="11"/>
  <c r="K1220" i="11"/>
  <c r="L1220" i="11"/>
  <c r="M1220" i="11"/>
  <c r="N1220" i="11"/>
  <c r="C1221" i="11"/>
  <c r="D1221" i="11"/>
  <c r="E1221" i="11"/>
  <c r="F1221" i="11"/>
  <c r="G1221" i="11"/>
  <c r="I1221" i="11"/>
  <c r="J1221" i="11"/>
  <c r="K1221" i="11"/>
  <c r="L1221" i="11"/>
  <c r="M1221" i="11"/>
  <c r="N1221" i="11"/>
  <c r="C1222" i="11"/>
  <c r="D1222" i="11"/>
  <c r="E1222" i="11"/>
  <c r="F1222" i="11"/>
  <c r="G1222" i="11"/>
  <c r="I1222" i="11"/>
  <c r="J1222" i="11"/>
  <c r="K1222" i="11"/>
  <c r="L1222" i="11"/>
  <c r="M1222" i="11"/>
  <c r="N1222" i="11"/>
  <c r="C1223" i="11"/>
  <c r="D1223" i="11"/>
  <c r="E1223" i="11"/>
  <c r="F1223" i="11"/>
  <c r="G1223" i="11"/>
  <c r="I1223" i="11"/>
  <c r="J1223" i="11"/>
  <c r="K1223" i="11"/>
  <c r="L1223" i="11"/>
  <c r="M1223" i="11"/>
  <c r="N1223" i="11"/>
  <c r="C1224" i="11"/>
  <c r="D1224" i="11"/>
  <c r="E1224" i="11"/>
  <c r="F1224" i="11"/>
  <c r="G1224" i="11"/>
  <c r="I1224" i="11"/>
  <c r="J1224" i="11"/>
  <c r="K1224" i="11"/>
  <c r="L1224" i="11"/>
  <c r="M1224" i="11"/>
  <c r="N1224" i="11"/>
  <c r="C1225" i="11"/>
  <c r="D1225" i="11"/>
  <c r="E1225" i="11"/>
  <c r="F1225" i="11"/>
  <c r="G1225" i="11"/>
  <c r="I1225" i="11"/>
  <c r="J1225" i="11"/>
  <c r="K1225" i="11"/>
  <c r="L1225" i="11"/>
  <c r="M1225" i="11"/>
  <c r="N1225" i="11"/>
  <c r="C1226" i="11"/>
  <c r="D1226" i="11"/>
  <c r="E1226" i="11"/>
  <c r="F1226" i="11"/>
  <c r="G1226" i="11"/>
  <c r="I1226" i="11"/>
  <c r="J1226" i="11"/>
  <c r="K1226" i="11"/>
  <c r="L1226" i="11"/>
  <c r="M1226" i="11"/>
  <c r="N1226" i="11"/>
  <c r="C1227" i="11"/>
  <c r="D1227" i="11"/>
  <c r="E1227" i="11"/>
  <c r="F1227" i="11"/>
  <c r="G1227" i="11"/>
  <c r="I1227" i="11"/>
  <c r="J1227" i="11"/>
  <c r="K1227" i="11"/>
  <c r="L1227" i="11"/>
  <c r="M1227" i="11"/>
  <c r="N1227" i="11"/>
  <c r="C1228" i="11"/>
  <c r="D1228" i="11"/>
  <c r="E1228" i="11"/>
  <c r="F1228" i="11"/>
  <c r="G1228" i="11"/>
  <c r="I1228" i="11"/>
  <c r="J1228" i="11"/>
  <c r="K1228" i="11"/>
  <c r="L1228" i="11"/>
  <c r="M1228" i="11"/>
  <c r="N1228" i="11"/>
  <c r="C1229" i="11"/>
  <c r="D1229" i="11"/>
  <c r="E1229" i="11"/>
  <c r="F1229" i="11"/>
  <c r="G1229" i="11"/>
  <c r="I1229" i="11"/>
  <c r="J1229" i="11"/>
  <c r="K1229" i="11"/>
  <c r="L1229" i="11"/>
  <c r="M1229" i="11"/>
  <c r="N1229" i="11"/>
  <c r="C1230" i="11"/>
  <c r="D1230" i="11"/>
  <c r="E1230" i="11"/>
  <c r="F1230" i="11"/>
  <c r="G1230" i="11"/>
  <c r="I1230" i="11"/>
  <c r="J1230" i="11"/>
  <c r="K1230" i="11"/>
  <c r="L1230" i="11"/>
  <c r="M1230" i="11"/>
  <c r="N1230" i="11"/>
  <c r="C1231" i="11"/>
  <c r="D1231" i="11"/>
  <c r="E1231" i="11"/>
  <c r="F1231" i="11"/>
  <c r="G1231" i="11"/>
  <c r="I1231" i="11"/>
  <c r="J1231" i="11"/>
  <c r="K1231" i="11"/>
  <c r="L1231" i="11"/>
  <c r="M1231" i="11"/>
  <c r="N1231" i="11"/>
  <c r="C1232" i="11"/>
  <c r="D1232" i="11"/>
  <c r="E1232" i="11"/>
  <c r="F1232" i="11"/>
  <c r="G1232" i="11"/>
  <c r="I1232" i="11"/>
  <c r="J1232" i="11"/>
  <c r="K1232" i="11"/>
  <c r="L1232" i="11"/>
  <c r="M1232" i="11"/>
  <c r="N1232" i="11"/>
  <c r="C1233" i="11"/>
  <c r="D1233" i="11"/>
  <c r="E1233" i="11"/>
  <c r="F1233" i="11"/>
  <c r="G1233" i="11"/>
  <c r="I1233" i="11"/>
  <c r="J1233" i="11"/>
  <c r="K1233" i="11"/>
  <c r="L1233" i="11"/>
  <c r="M1233" i="11"/>
  <c r="N1233" i="11"/>
  <c r="C1234" i="11"/>
  <c r="D1234" i="11"/>
  <c r="E1234" i="11"/>
  <c r="F1234" i="11"/>
  <c r="G1234" i="11"/>
  <c r="I1234" i="11"/>
  <c r="J1234" i="11"/>
  <c r="K1234" i="11"/>
  <c r="L1234" i="11"/>
  <c r="M1234" i="11"/>
  <c r="N1234" i="11"/>
  <c r="C719" i="11"/>
  <c r="D719" i="11"/>
  <c r="E719" i="11"/>
  <c r="F719" i="11"/>
  <c r="G719" i="11"/>
  <c r="I719" i="11"/>
  <c r="J719" i="11"/>
  <c r="K719" i="11"/>
  <c r="L719" i="11"/>
  <c r="M719" i="11"/>
  <c r="N719" i="11"/>
  <c r="C720" i="11"/>
  <c r="D720" i="11"/>
  <c r="E720" i="11"/>
  <c r="F720" i="11"/>
  <c r="G720" i="11"/>
  <c r="I720" i="11"/>
  <c r="J720" i="11"/>
  <c r="K720" i="11"/>
  <c r="L720" i="11"/>
  <c r="M720" i="11"/>
  <c r="N720" i="11"/>
  <c r="C721" i="11"/>
  <c r="D721" i="11"/>
  <c r="E721" i="11"/>
  <c r="F721" i="11"/>
  <c r="G721" i="11"/>
  <c r="I721" i="11"/>
  <c r="J721" i="11"/>
  <c r="K721" i="11"/>
  <c r="L721" i="11"/>
  <c r="M721" i="11"/>
  <c r="N721" i="11"/>
  <c r="C722" i="11"/>
  <c r="D722" i="11"/>
  <c r="E722" i="11"/>
  <c r="F722" i="11"/>
  <c r="G722" i="11"/>
  <c r="I722" i="11"/>
  <c r="J722" i="11"/>
  <c r="K722" i="11"/>
  <c r="L722" i="11"/>
  <c r="M722" i="11"/>
  <c r="N722" i="11"/>
  <c r="C723" i="11"/>
  <c r="D723" i="11"/>
  <c r="E723" i="11"/>
  <c r="F723" i="11"/>
  <c r="G723" i="11"/>
  <c r="I723" i="11"/>
  <c r="J723" i="11"/>
  <c r="K723" i="11"/>
  <c r="L723" i="11"/>
  <c r="M723" i="11"/>
  <c r="N723" i="11"/>
  <c r="C724" i="11"/>
  <c r="D724" i="11"/>
  <c r="E724" i="11"/>
  <c r="F724" i="11"/>
  <c r="G724" i="11"/>
  <c r="I724" i="11"/>
  <c r="J724" i="11"/>
  <c r="K724" i="11"/>
  <c r="L724" i="11"/>
  <c r="M724" i="11"/>
  <c r="N724" i="11"/>
  <c r="C725" i="11"/>
  <c r="D725" i="11"/>
  <c r="E725" i="11"/>
  <c r="F725" i="11"/>
  <c r="G725" i="11"/>
  <c r="I725" i="11"/>
  <c r="J725" i="11"/>
  <c r="K725" i="11"/>
  <c r="L725" i="11"/>
  <c r="M725" i="11"/>
  <c r="N725" i="11"/>
  <c r="C726" i="11"/>
  <c r="D726" i="11"/>
  <c r="E726" i="11"/>
  <c r="F726" i="11"/>
  <c r="G726" i="11"/>
  <c r="I726" i="11"/>
  <c r="J726" i="11"/>
  <c r="K726" i="11"/>
  <c r="L726" i="11"/>
  <c r="M726" i="11"/>
  <c r="N726" i="11"/>
  <c r="C727" i="11"/>
  <c r="D727" i="11"/>
  <c r="E727" i="11"/>
  <c r="F727" i="11"/>
  <c r="G727" i="11"/>
  <c r="I727" i="11"/>
  <c r="J727" i="11"/>
  <c r="K727" i="11"/>
  <c r="L727" i="11"/>
  <c r="M727" i="11"/>
  <c r="N727" i="11"/>
  <c r="C728" i="11"/>
  <c r="D728" i="11"/>
  <c r="E728" i="11"/>
  <c r="F728" i="11"/>
  <c r="G728" i="11"/>
  <c r="I728" i="11"/>
  <c r="J728" i="11"/>
  <c r="K728" i="11"/>
  <c r="L728" i="11"/>
  <c r="M728" i="11"/>
  <c r="N728" i="11"/>
  <c r="C729" i="11"/>
  <c r="D729" i="11"/>
  <c r="E729" i="11"/>
  <c r="F729" i="11"/>
  <c r="G729" i="11"/>
  <c r="I729" i="11"/>
  <c r="J729" i="11"/>
  <c r="K729" i="11"/>
  <c r="L729" i="11"/>
  <c r="M729" i="11"/>
  <c r="N729" i="11"/>
  <c r="C730" i="11"/>
  <c r="D730" i="11"/>
  <c r="E730" i="11"/>
  <c r="F730" i="11"/>
  <c r="G730" i="11"/>
  <c r="I730" i="11"/>
  <c r="J730" i="11"/>
  <c r="K730" i="11"/>
  <c r="L730" i="11"/>
  <c r="M730" i="11"/>
  <c r="N730" i="11"/>
  <c r="C731" i="11"/>
  <c r="D731" i="11"/>
  <c r="E731" i="11"/>
  <c r="F731" i="11"/>
  <c r="G731" i="11"/>
  <c r="I731" i="11"/>
  <c r="J731" i="11"/>
  <c r="K731" i="11"/>
  <c r="L731" i="11"/>
  <c r="M731" i="11"/>
  <c r="N731" i="11"/>
  <c r="C732" i="11"/>
  <c r="D732" i="11"/>
  <c r="E732" i="11"/>
  <c r="F732" i="11"/>
  <c r="G732" i="11"/>
  <c r="I732" i="11"/>
  <c r="J732" i="11"/>
  <c r="K732" i="11"/>
  <c r="L732" i="11"/>
  <c r="M732" i="11"/>
  <c r="N732" i="11"/>
  <c r="C733" i="11"/>
  <c r="D733" i="11"/>
  <c r="E733" i="11"/>
  <c r="F733" i="11"/>
  <c r="G733" i="11"/>
  <c r="I733" i="11"/>
  <c r="J733" i="11"/>
  <c r="K733" i="11"/>
  <c r="L733" i="11"/>
  <c r="M733" i="11"/>
  <c r="N733" i="11"/>
  <c r="C734" i="11"/>
  <c r="D734" i="11"/>
  <c r="E734" i="11"/>
  <c r="F734" i="11"/>
  <c r="G734" i="11"/>
  <c r="I734" i="11"/>
  <c r="J734" i="11"/>
  <c r="K734" i="11"/>
  <c r="L734" i="11"/>
  <c r="M734" i="11"/>
  <c r="N734" i="11"/>
  <c r="C735" i="11"/>
  <c r="D735" i="11"/>
  <c r="E735" i="11"/>
  <c r="F735" i="11"/>
  <c r="G735" i="11"/>
  <c r="I735" i="11"/>
  <c r="J735" i="11"/>
  <c r="K735" i="11"/>
  <c r="L735" i="11"/>
  <c r="M735" i="11"/>
  <c r="N735" i="11"/>
  <c r="C736" i="11"/>
  <c r="D736" i="11"/>
  <c r="E736" i="11"/>
  <c r="F736" i="11"/>
  <c r="G736" i="11"/>
  <c r="I736" i="11"/>
  <c r="J736" i="11"/>
  <c r="K736" i="11"/>
  <c r="L736" i="11"/>
  <c r="M736" i="11"/>
  <c r="N736" i="11"/>
  <c r="C737" i="11"/>
  <c r="D737" i="11"/>
  <c r="E737" i="11"/>
  <c r="F737" i="11"/>
  <c r="G737" i="11"/>
  <c r="I737" i="11"/>
  <c r="J737" i="11"/>
  <c r="K737" i="11"/>
  <c r="L737" i="11"/>
  <c r="M737" i="11"/>
  <c r="N737" i="11"/>
  <c r="C738" i="11"/>
  <c r="D738" i="11"/>
  <c r="E738" i="11"/>
  <c r="F738" i="11"/>
  <c r="G738" i="11"/>
  <c r="I738" i="11"/>
  <c r="J738" i="11"/>
  <c r="K738" i="11"/>
  <c r="L738" i="11"/>
  <c r="M738" i="11"/>
  <c r="N738" i="11"/>
  <c r="C739" i="11"/>
  <c r="D739" i="11"/>
  <c r="E739" i="11"/>
  <c r="F739" i="11"/>
  <c r="G739" i="11"/>
  <c r="I739" i="11"/>
  <c r="J739" i="11"/>
  <c r="K739" i="11"/>
  <c r="L739" i="11"/>
  <c r="M739" i="11"/>
  <c r="N739" i="11"/>
  <c r="C740" i="11"/>
  <c r="D740" i="11"/>
  <c r="E740" i="11"/>
  <c r="F740" i="11"/>
  <c r="G740" i="11"/>
  <c r="I740" i="11"/>
  <c r="J740" i="11"/>
  <c r="K740" i="11"/>
  <c r="L740" i="11"/>
  <c r="M740" i="11"/>
  <c r="N740" i="11"/>
  <c r="C741" i="11"/>
  <c r="D741" i="11"/>
  <c r="E741" i="11"/>
  <c r="F741" i="11"/>
  <c r="G741" i="11"/>
  <c r="I741" i="11"/>
  <c r="J741" i="11"/>
  <c r="K741" i="11"/>
  <c r="L741" i="11"/>
  <c r="M741" i="11"/>
  <c r="N741" i="11"/>
  <c r="C742" i="11"/>
  <c r="D742" i="11"/>
  <c r="E742" i="11"/>
  <c r="F742" i="11"/>
  <c r="G742" i="11"/>
  <c r="I742" i="11"/>
  <c r="J742" i="11"/>
  <c r="K742" i="11"/>
  <c r="L742" i="11"/>
  <c r="M742" i="11"/>
  <c r="N742" i="11"/>
  <c r="C743" i="11"/>
  <c r="D743" i="11"/>
  <c r="E743" i="11"/>
  <c r="F743" i="11"/>
  <c r="G743" i="11"/>
  <c r="I743" i="11"/>
  <c r="J743" i="11"/>
  <c r="K743" i="11"/>
  <c r="L743" i="11"/>
  <c r="M743" i="11"/>
  <c r="N743" i="11"/>
  <c r="C744" i="11"/>
  <c r="D744" i="11"/>
  <c r="E744" i="11"/>
  <c r="F744" i="11"/>
  <c r="G744" i="11"/>
  <c r="I744" i="11"/>
  <c r="J744" i="11"/>
  <c r="K744" i="11"/>
  <c r="L744" i="11"/>
  <c r="M744" i="11"/>
  <c r="N744" i="11"/>
  <c r="C745" i="11"/>
  <c r="D745" i="11"/>
  <c r="E745" i="11"/>
  <c r="F745" i="11"/>
  <c r="G745" i="11"/>
  <c r="I745" i="11"/>
  <c r="J745" i="11"/>
  <c r="K745" i="11"/>
  <c r="L745" i="11"/>
  <c r="M745" i="11"/>
  <c r="N745" i="11"/>
  <c r="C746" i="11"/>
  <c r="D746" i="11"/>
  <c r="E746" i="11"/>
  <c r="F746" i="11"/>
  <c r="G746" i="11"/>
  <c r="I746" i="11"/>
  <c r="J746" i="11"/>
  <c r="K746" i="11"/>
  <c r="L746" i="11"/>
  <c r="M746" i="11"/>
  <c r="N746" i="11"/>
  <c r="C747" i="11"/>
  <c r="D747" i="11"/>
  <c r="E747" i="11"/>
  <c r="F747" i="11"/>
  <c r="G747" i="11"/>
  <c r="I747" i="11"/>
  <c r="J747" i="11"/>
  <c r="K747" i="11"/>
  <c r="L747" i="11"/>
  <c r="M747" i="11"/>
  <c r="N747" i="11"/>
  <c r="C748" i="11"/>
  <c r="D748" i="11"/>
  <c r="E748" i="11"/>
  <c r="F748" i="11"/>
  <c r="G748" i="11"/>
  <c r="I748" i="11"/>
  <c r="J748" i="11"/>
  <c r="K748" i="11"/>
  <c r="L748" i="11"/>
  <c r="M748" i="11"/>
  <c r="N748" i="11"/>
  <c r="C749" i="11"/>
  <c r="D749" i="11"/>
  <c r="E749" i="11"/>
  <c r="F749" i="11"/>
  <c r="G749" i="11"/>
  <c r="I749" i="11"/>
  <c r="J749" i="11"/>
  <c r="K749" i="11"/>
  <c r="L749" i="11"/>
  <c r="M749" i="11"/>
  <c r="N749" i="11"/>
  <c r="C750" i="11"/>
  <c r="D750" i="11"/>
  <c r="E750" i="11"/>
  <c r="F750" i="11"/>
  <c r="G750" i="11"/>
  <c r="I750" i="11"/>
  <c r="J750" i="11"/>
  <c r="K750" i="11"/>
  <c r="L750" i="11"/>
  <c r="M750" i="11"/>
  <c r="N750" i="11"/>
  <c r="C751" i="11"/>
  <c r="D751" i="11"/>
  <c r="E751" i="11"/>
  <c r="F751" i="11"/>
  <c r="G751" i="11"/>
  <c r="I751" i="11"/>
  <c r="J751" i="11"/>
  <c r="K751" i="11"/>
  <c r="L751" i="11"/>
  <c r="M751" i="11"/>
  <c r="N751" i="11"/>
  <c r="C752" i="11"/>
  <c r="D752" i="11"/>
  <c r="E752" i="11"/>
  <c r="F752" i="11"/>
  <c r="G752" i="11"/>
  <c r="I752" i="11"/>
  <c r="J752" i="11"/>
  <c r="K752" i="11"/>
  <c r="L752" i="11"/>
  <c r="M752" i="11"/>
  <c r="N752" i="11"/>
  <c r="C753" i="11"/>
  <c r="D753" i="11"/>
  <c r="E753" i="11"/>
  <c r="F753" i="11"/>
  <c r="G753" i="11"/>
  <c r="I753" i="11"/>
  <c r="J753" i="11"/>
  <c r="K753" i="11"/>
  <c r="L753" i="11"/>
  <c r="M753" i="11"/>
  <c r="N753" i="11"/>
  <c r="C754" i="11"/>
  <c r="D754" i="11"/>
  <c r="E754" i="11"/>
  <c r="F754" i="11"/>
  <c r="G754" i="11"/>
  <c r="I754" i="11"/>
  <c r="J754" i="11"/>
  <c r="K754" i="11"/>
  <c r="L754" i="11"/>
  <c r="M754" i="11"/>
  <c r="N754" i="11"/>
  <c r="C755" i="11"/>
  <c r="D755" i="11"/>
  <c r="E755" i="11"/>
  <c r="F755" i="11"/>
  <c r="G755" i="11"/>
  <c r="I755" i="11"/>
  <c r="J755" i="11"/>
  <c r="K755" i="11"/>
  <c r="L755" i="11"/>
  <c r="M755" i="11"/>
  <c r="N755" i="11"/>
  <c r="C756" i="11"/>
  <c r="D756" i="11"/>
  <c r="E756" i="11"/>
  <c r="F756" i="11"/>
  <c r="G756" i="11"/>
  <c r="I756" i="11"/>
  <c r="J756" i="11"/>
  <c r="K756" i="11"/>
  <c r="L756" i="11"/>
  <c r="M756" i="11"/>
  <c r="N756" i="11"/>
  <c r="C757" i="11"/>
  <c r="D757" i="11"/>
  <c r="E757" i="11"/>
  <c r="F757" i="11"/>
  <c r="G757" i="11"/>
  <c r="I757" i="11"/>
  <c r="J757" i="11"/>
  <c r="K757" i="11"/>
  <c r="L757" i="11"/>
  <c r="M757" i="11"/>
  <c r="N757" i="11"/>
  <c r="C758" i="11"/>
  <c r="D758" i="11"/>
  <c r="E758" i="11"/>
  <c r="F758" i="11"/>
  <c r="G758" i="11"/>
  <c r="I758" i="11"/>
  <c r="J758" i="11"/>
  <c r="K758" i="11"/>
  <c r="L758" i="11"/>
  <c r="M758" i="11"/>
  <c r="N758" i="11"/>
  <c r="C759" i="11"/>
  <c r="D759" i="11"/>
  <c r="E759" i="11"/>
  <c r="F759" i="11"/>
  <c r="G759" i="11"/>
  <c r="I759" i="11"/>
  <c r="J759" i="11"/>
  <c r="K759" i="11"/>
  <c r="L759" i="11"/>
  <c r="M759" i="11"/>
  <c r="N759" i="11"/>
  <c r="C760" i="11"/>
  <c r="D760" i="11"/>
  <c r="E760" i="11"/>
  <c r="F760" i="11"/>
  <c r="G760" i="11"/>
  <c r="I760" i="11"/>
  <c r="J760" i="11"/>
  <c r="K760" i="11"/>
  <c r="L760" i="11"/>
  <c r="M760" i="11"/>
  <c r="N760" i="11"/>
  <c r="C761" i="11"/>
  <c r="D761" i="11"/>
  <c r="E761" i="11"/>
  <c r="F761" i="11"/>
  <c r="G761" i="11"/>
  <c r="I761" i="11"/>
  <c r="J761" i="11"/>
  <c r="K761" i="11"/>
  <c r="L761" i="11"/>
  <c r="M761" i="11"/>
  <c r="N761" i="11"/>
  <c r="C762" i="11"/>
  <c r="D762" i="11"/>
  <c r="E762" i="11"/>
  <c r="F762" i="11"/>
  <c r="G762" i="11"/>
  <c r="I762" i="11"/>
  <c r="J762" i="11"/>
  <c r="K762" i="11"/>
  <c r="L762" i="11"/>
  <c r="M762" i="11"/>
  <c r="N762" i="11"/>
  <c r="C763" i="11"/>
  <c r="D763" i="11"/>
  <c r="E763" i="11"/>
  <c r="F763" i="11"/>
  <c r="G763" i="11"/>
  <c r="I763" i="11"/>
  <c r="J763" i="11"/>
  <c r="K763" i="11"/>
  <c r="L763" i="11"/>
  <c r="M763" i="11"/>
  <c r="N763" i="11"/>
  <c r="C764" i="11"/>
  <c r="D764" i="11"/>
  <c r="E764" i="11"/>
  <c r="F764" i="11"/>
  <c r="G764" i="11"/>
  <c r="I764" i="11"/>
  <c r="J764" i="11"/>
  <c r="K764" i="11"/>
  <c r="L764" i="11"/>
  <c r="M764" i="11"/>
  <c r="N764" i="11"/>
  <c r="C765" i="11"/>
  <c r="D765" i="11"/>
  <c r="E765" i="11"/>
  <c r="F765" i="11"/>
  <c r="G765" i="11"/>
  <c r="I765" i="11"/>
  <c r="J765" i="11"/>
  <c r="K765" i="11"/>
  <c r="L765" i="11"/>
  <c r="M765" i="11"/>
  <c r="N765" i="11"/>
  <c r="C766" i="11"/>
  <c r="D766" i="11"/>
  <c r="E766" i="11"/>
  <c r="F766" i="11"/>
  <c r="G766" i="11"/>
  <c r="I766" i="11"/>
  <c r="J766" i="11"/>
  <c r="K766" i="11"/>
  <c r="L766" i="11"/>
  <c r="M766" i="11"/>
  <c r="N766" i="11"/>
  <c r="C767" i="11"/>
  <c r="D767" i="11"/>
  <c r="E767" i="11"/>
  <c r="F767" i="11"/>
  <c r="G767" i="11"/>
  <c r="I767" i="11"/>
  <c r="J767" i="11"/>
  <c r="K767" i="11"/>
  <c r="L767" i="11"/>
  <c r="M767" i="11"/>
  <c r="N767" i="11"/>
  <c r="C768" i="11"/>
  <c r="D768" i="11"/>
  <c r="E768" i="11"/>
  <c r="F768" i="11"/>
  <c r="G768" i="11"/>
  <c r="I768" i="11"/>
  <c r="J768" i="11"/>
  <c r="K768" i="11"/>
  <c r="L768" i="11"/>
  <c r="M768" i="11"/>
  <c r="N768" i="11"/>
  <c r="C769" i="11"/>
  <c r="D769" i="11"/>
  <c r="E769" i="11"/>
  <c r="F769" i="11"/>
  <c r="G769" i="11"/>
  <c r="I769" i="11"/>
  <c r="J769" i="11"/>
  <c r="K769" i="11"/>
  <c r="L769" i="11"/>
  <c r="M769" i="11"/>
  <c r="N769" i="11"/>
  <c r="C770" i="11"/>
  <c r="D770" i="11"/>
  <c r="E770" i="11"/>
  <c r="F770" i="11"/>
  <c r="G770" i="11"/>
  <c r="I770" i="11"/>
  <c r="J770" i="11"/>
  <c r="K770" i="11"/>
  <c r="L770" i="11"/>
  <c r="M770" i="11"/>
  <c r="N770" i="11"/>
  <c r="C771" i="11"/>
  <c r="D771" i="11"/>
  <c r="E771" i="11"/>
  <c r="F771" i="11"/>
  <c r="G771" i="11"/>
  <c r="I771" i="11"/>
  <c r="J771" i="11"/>
  <c r="K771" i="11"/>
  <c r="L771" i="11"/>
  <c r="M771" i="11"/>
  <c r="N771" i="11"/>
  <c r="C772" i="11"/>
  <c r="D772" i="11"/>
  <c r="E772" i="11"/>
  <c r="F772" i="11"/>
  <c r="G772" i="11"/>
  <c r="I772" i="11"/>
  <c r="J772" i="11"/>
  <c r="K772" i="11"/>
  <c r="L772" i="11"/>
  <c r="M772" i="11"/>
  <c r="N772" i="11"/>
  <c r="C773" i="11"/>
  <c r="D773" i="11"/>
  <c r="E773" i="11"/>
  <c r="F773" i="11"/>
  <c r="G773" i="11"/>
  <c r="I773" i="11"/>
  <c r="J773" i="11"/>
  <c r="K773" i="11"/>
  <c r="L773" i="11"/>
  <c r="M773" i="11"/>
  <c r="N773" i="11"/>
  <c r="C774" i="11"/>
  <c r="D774" i="11"/>
  <c r="E774" i="11"/>
  <c r="F774" i="11"/>
  <c r="G774" i="11"/>
  <c r="I774" i="11"/>
  <c r="J774" i="11"/>
  <c r="K774" i="11"/>
  <c r="L774" i="11"/>
  <c r="M774" i="11"/>
  <c r="N774" i="11"/>
  <c r="C775" i="11"/>
  <c r="D775" i="11"/>
  <c r="E775" i="11"/>
  <c r="F775" i="11"/>
  <c r="G775" i="11"/>
  <c r="I775" i="11"/>
  <c r="J775" i="11"/>
  <c r="K775" i="11"/>
  <c r="L775" i="11"/>
  <c r="M775" i="11"/>
  <c r="N775" i="11"/>
  <c r="C776" i="11"/>
  <c r="D776" i="11"/>
  <c r="E776" i="11"/>
  <c r="F776" i="11"/>
  <c r="G776" i="11"/>
  <c r="I776" i="11"/>
  <c r="J776" i="11"/>
  <c r="K776" i="11"/>
  <c r="L776" i="11"/>
  <c r="M776" i="11"/>
  <c r="N776" i="11"/>
  <c r="C777" i="11"/>
  <c r="D777" i="11"/>
  <c r="E777" i="11"/>
  <c r="F777" i="11"/>
  <c r="G777" i="11"/>
  <c r="I777" i="11"/>
  <c r="J777" i="11"/>
  <c r="K777" i="11"/>
  <c r="L777" i="11"/>
  <c r="M777" i="11"/>
  <c r="N777" i="11"/>
  <c r="C778" i="11"/>
  <c r="D778" i="11"/>
  <c r="E778" i="11"/>
  <c r="F778" i="11"/>
  <c r="G778" i="11"/>
  <c r="I778" i="11"/>
  <c r="J778" i="11"/>
  <c r="K778" i="11"/>
  <c r="L778" i="11"/>
  <c r="M778" i="11"/>
  <c r="N778" i="11"/>
  <c r="C779" i="11"/>
  <c r="D779" i="11"/>
  <c r="E779" i="11"/>
  <c r="F779" i="11"/>
  <c r="G779" i="11"/>
  <c r="I779" i="11"/>
  <c r="J779" i="11"/>
  <c r="K779" i="11"/>
  <c r="L779" i="11"/>
  <c r="M779" i="11"/>
  <c r="N779" i="11"/>
  <c r="C780" i="11"/>
  <c r="D780" i="11"/>
  <c r="E780" i="11"/>
  <c r="F780" i="11"/>
  <c r="G780" i="11"/>
  <c r="I780" i="11"/>
  <c r="J780" i="11"/>
  <c r="K780" i="11"/>
  <c r="L780" i="11"/>
  <c r="M780" i="11"/>
  <c r="N780" i="11"/>
  <c r="C781" i="11"/>
  <c r="D781" i="11"/>
  <c r="E781" i="11"/>
  <c r="F781" i="11"/>
  <c r="G781" i="11"/>
  <c r="I781" i="11"/>
  <c r="J781" i="11"/>
  <c r="K781" i="11"/>
  <c r="L781" i="11"/>
  <c r="M781" i="11"/>
  <c r="N781" i="11"/>
  <c r="C782" i="11"/>
  <c r="D782" i="11"/>
  <c r="E782" i="11"/>
  <c r="F782" i="11"/>
  <c r="G782" i="11"/>
  <c r="I782" i="11"/>
  <c r="J782" i="11"/>
  <c r="K782" i="11"/>
  <c r="L782" i="11"/>
  <c r="M782" i="11"/>
  <c r="N782" i="11"/>
  <c r="C783" i="11"/>
  <c r="D783" i="11"/>
  <c r="E783" i="11"/>
  <c r="F783" i="11"/>
  <c r="G783" i="11"/>
  <c r="I783" i="11"/>
  <c r="J783" i="11"/>
  <c r="K783" i="11"/>
  <c r="L783" i="11"/>
  <c r="M783" i="11"/>
  <c r="N783" i="11"/>
  <c r="C784" i="11"/>
  <c r="D784" i="11"/>
  <c r="E784" i="11"/>
  <c r="F784" i="11"/>
  <c r="G784" i="11"/>
  <c r="I784" i="11"/>
  <c r="J784" i="11"/>
  <c r="K784" i="11"/>
  <c r="L784" i="11"/>
  <c r="M784" i="11"/>
  <c r="N784" i="11"/>
  <c r="C785" i="11"/>
  <c r="D785" i="11"/>
  <c r="E785" i="11"/>
  <c r="F785" i="11"/>
  <c r="G785" i="11"/>
  <c r="I785" i="11"/>
  <c r="J785" i="11"/>
  <c r="K785" i="11"/>
  <c r="L785" i="11"/>
  <c r="M785" i="11"/>
  <c r="N785" i="11"/>
  <c r="C786" i="11"/>
  <c r="D786" i="11"/>
  <c r="E786" i="11"/>
  <c r="F786" i="11"/>
  <c r="G786" i="11"/>
  <c r="I786" i="11"/>
  <c r="J786" i="11"/>
  <c r="K786" i="11"/>
  <c r="L786" i="11"/>
  <c r="M786" i="11"/>
  <c r="N786" i="11"/>
  <c r="C787" i="11"/>
  <c r="D787" i="11"/>
  <c r="E787" i="11"/>
  <c r="F787" i="11"/>
  <c r="G787" i="11"/>
  <c r="I787" i="11"/>
  <c r="J787" i="11"/>
  <c r="K787" i="11"/>
  <c r="L787" i="11"/>
  <c r="M787" i="11"/>
  <c r="N787" i="11"/>
  <c r="C788" i="11"/>
  <c r="D788" i="11"/>
  <c r="E788" i="11"/>
  <c r="F788" i="11"/>
  <c r="G788" i="11"/>
  <c r="I788" i="11"/>
  <c r="J788" i="11"/>
  <c r="K788" i="11"/>
  <c r="L788" i="11"/>
  <c r="M788" i="11"/>
  <c r="N788" i="11"/>
  <c r="C789" i="11"/>
  <c r="D789" i="11"/>
  <c r="E789" i="11"/>
  <c r="F789" i="11"/>
  <c r="G789" i="11"/>
  <c r="I789" i="11"/>
  <c r="J789" i="11"/>
  <c r="K789" i="11"/>
  <c r="L789" i="11"/>
  <c r="M789" i="11"/>
  <c r="N789" i="11"/>
  <c r="C790" i="11"/>
  <c r="D790" i="11"/>
  <c r="E790" i="11"/>
  <c r="F790" i="11"/>
  <c r="G790" i="11"/>
  <c r="I790" i="11"/>
  <c r="J790" i="11"/>
  <c r="K790" i="11"/>
  <c r="L790" i="11"/>
  <c r="M790" i="11"/>
  <c r="N790" i="11"/>
  <c r="C791" i="11"/>
  <c r="D791" i="11"/>
  <c r="E791" i="11"/>
  <c r="F791" i="11"/>
  <c r="G791" i="11"/>
  <c r="I791" i="11"/>
  <c r="J791" i="11"/>
  <c r="K791" i="11"/>
  <c r="L791" i="11"/>
  <c r="M791" i="11"/>
  <c r="N791" i="11"/>
  <c r="C792" i="11"/>
  <c r="D792" i="11"/>
  <c r="E792" i="11"/>
  <c r="F792" i="11"/>
  <c r="G792" i="11"/>
  <c r="I792" i="11"/>
  <c r="J792" i="11"/>
  <c r="K792" i="11"/>
  <c r="L792" i="11"/>
  <c r="M792" i="11"/>
  <c r="N792" i="11"/>
  <c r="C793" i="11"/>
  <c r="D793" i="11"/>
  <c r="E793" i="11"/>
  <c r="F793" i="11"/>
  <c r="G793" i="11"/>
  <c r="I793" i="11"/>
  <c r="J793" i="11"/>
  <c r="K793" i="11"/>
  <c r="L793" i="11"/>
  <c r="M793" i="11"/>
  <c r="N793" i="11"/>
  <c r="C794" i="11"/>
  <c r="D794" i="11"/>
  <c r="E794" i="11"/>
  <c r="F794" i="11"/>
  <c r="G794" i="11"/>
  <c r="I794" i="11"/>
  <c r="J794" i="11"/>
  <c r="K794" i="11"/>
  <c r="L794" i="11"/>
  <c r="M794" i="11"/>
  <c r="N794" i="11"/>
  <c r="C795" i="11"/>
  <c r="D795" i="11"/>
  <c r="E795" i="11"/>
  <c r="F795" i="11"/>
  <c r="G795" i="11"/>
  <c r="I795" i="11"/>
  <c r="J795" i="11"/>
  <c r="K795" i="11"/>
  <c r="L795" i="11"/>
  <c r="M795" i="11"/>
  <c r="N795" i="11"/>
  <c r="C796" i="11"/>
  <c r="D796" i="11"/>
  <c r="E796" i="11"/>
  <c r="F796" i="11"/>
  <c r="G796" i="11"/>
  <c r="I796" i="11"/>
  <c r="J796" i="11"/>
  <c r="K796" i="11"/>
  <c r="L796" i="11"/>
  <c r="M796" i="11"/>
  <c r="N796" i="11"/>
  <c r="C797" i="11"/>
  <c r="D797" i="11"/>
  <c r="E797" i="11"/>
  <c r="F797" i="11"/>
  <c r="G797" i="11"/>
  <c r="I797" i="11"/>
  <c r="J797" i="11"/>
  <c r="K797" i="11"/>
  <c r="L797" i="11"/>
  <c r="M797" i="11"/>
  <c r="N797" i="11"/>
  <c r="C798" i="11"/>
  <c r="D798" i="11"/>
  <c r="E798" i="11"/>
  <c r="F798" i="11"/>
  <c r="G798" i="11"/>
  <c r="I798" i="11"/>
  <c r="J798" i="11"/>
  <c r="K798" i="11"/>
  <c r="L798" i="11"/>
  <c r="M798" i="11"/>
  <c r="N798" i="11"/>
  <c r="C799" i="11"/>
  <c r="D799" i="11"/>
  <c r="E799" i="11"/>
  <c r="F799" i="11"/>
  <c r="G799" i="11"/>
  <c r="I799" i="11"/>
  <c r="J799" i="11"/>
  <c r="K799" i="11"/>
  <c r="L799" i="11"/>
  <c r="M799" i="11"/>
  <c r="N799" i="11"/>
  <c r="C800" i="11"/>
  <c r="D800" i="11"/>
  <c r="E800" i="11"/>
  <c r="F800" i="11"/>
  <c r="G800" i="11"/>
  <c r="I800" i="11"/>
  <c r="J800" i="11"/>
  <c r="K800" i="11"/>
  <c r="L800" i="11"/>
  <c r="M800" i="11"/>
  <c r="N800" i="11"/>
  <c r="C801" i="11"/>
  <c r="D801" i="11"/>
  <c r="E801" i="11"/>
  <c r="F801" i="11"/>
  <c r="G801" i="11"/>
  <c r="I801" i="11"/>
  <c r="J801" i="11"/>
  <c r="K801" i="11"/>
  <c r="L801" i="11"/>
  <c r="M801" i="11"/>
  <c r="N801" i="11"/>
  <c r="C802" i="11"/>
  <c r="D802" i="11"/>
  <c r="E802" i="11"/>
  <c r="F802" i="11"/>
  <c r="G802" i="11"/>
  <c r="I802" i="11"/>
  <c r="J802" i="11"/>
  <c r="K802" i="11"/>
  <c r="L802" i="11"/>
  <c r="M802" i="11"/>
  <c r="N802" i="11"/>
  <c r="C803" i="11"/>
  <c r="D803" i="11"/>
  <c r="E803" i="11"/>
  <c r="F803" i="11"/>
  <c r="G803" i="11"/>
  <c r="I803" i="11"/>
  <c r="J803" i="11"/>
  <c r="K803" i="11"/>
  <c r="L803" i="11"/>
  <c r="M803" i="11"/>
  <c r="N803" i="11"/>
  <c r="C804" i="11"/>
  <c r="D804" i="11"/>
  <c r="E804" i="11"/>
  <c r="F804" i="11"/>
  <c r="G804" i="11"/>
  <c r="I804" i="11"/>
  <c r="J804" i="11"/>
  <c r="K804" i="11"/>
  <c r="L804" i="11"/>
  <c r="M804" i="11"/>
  <c r="N804" i="11"/>
  <c r="C805" i="11"/>
  <c r="D805" i="11"/>
  <c r="E805" i="11"/>
  <c r="F805" i="11"/>
  <c r="G805" i="11"/>
  <c r="I805" i="11"/>
  <c r="J805" i="11"/>
  <c r="K805" i="11"/>
  <c r="L805" i="11"/>
  <c r="M805" i="11"/>
  <c r="N805" i="11"/>
  <c r="C806" i="11"/>
  <c r="D806" i="11"/>
  <c r="E806" i="11"/>
  <c r="F806" i="11"/>
  <c r="G806" i="11"/>
  <c r="I806" i="11"/>
  <c r="J806" i="11"/>
  <c r="K806" i="11"/>
  <c r="L806" i="11"/>
  <c r="M806" i="11"/>
  <c r="N806" i="11"/>
  <c r="C807" i="11"/>
  <c r="D807" i="11"/>
  <c r="E807" i="11"/>
  <c r="F807" i="11"/>
  <c r="G807" i="11"/>
  <c r="I807" i="11"/>
  <c r="J807" i="11"/>
  <c r="K807" i="11"/>
  <c r="L807" i="11"/>
  <c r="M807" i="11"/>
  <c r="N807" i="11"/>
  <c r="C808" i="11"/>
  <c r="D808" i="11"/>
  <c r="E808" i="11"/>
  <c r="F808" i="11"/>
  <c r="G808" i="11"/>
  <c r="I808" i="11"/>
  <c r="J808" i="11"/>
  <c r="K808" i="11"/>
  <c r="L808" i="11"/>
  <c r="M808" i="11"/>
  <c r="N808" i="11"/>
  <c r="C809" i="11"/>
  <c r="D809" i="11"/>
  <c r="E809" i="11"/>
  <c r="F809" i="11"/>
  <c r="G809" i="11"/>
  <c r="I809" i="11"/>
  <c r="J809" i="11"/>
  <c r="K809" i="11"/>
  <c r="L809" i="11"/>
  <c r="M809" i="11"/>
  <c r="N809" i="11"/>
  <c r="C810" i="11"/>
  <c r="D810" i="11"/>
  <c r="E810" i="11"/>
  <c r="F810" i="11"/>
  <c r="G810" i="11"/>
  <c r="I810" i="11"/>
  <c r="J810" i="11"/>
  <c r="K810" i="11"/>
  <c r="L810" i="11"/>
  <c r="M810" i="11"/>
  <c r="N810" i="11"/>
  <c r="C811" i="11"/>
  <c r="D811" i="11"/>
  <c r="E811" i="11"/>
  <c r="F811" i="11"/>
  <c r="G811" i="11"/>
  <c r="I811" i="11"/>
  <c r="J811" i="11"/>
  <c r="K811" i="11"/>
  <c r="L811" i="11"/>
  <c r="M811" i="11"/>
  <c r="N811" i="11"/>
  <c r="C812" i="11"/>
  <c r="D812" i="11"/>
  <c r="E812" i="11"/>
  <c r="F812" i="11"/>
  <c r="G812" i="11"/>
  <c r="I812" i="11"/>
  <c r="J812" i="11"/>
  <c r="K812" i="11"/>
  <c r="L812" i="11"/>
  <c r="M812" i="11"/>
  <c r="N812" i="11"/>
  <c r="C813" i="11"/>
  <c r="D813" i="11"/>
  <c r="E813" i="11"/>
  <c r="F813" i="11"/>
  <c r="G813" i="11"/>
  <c r="I813" i="11"/>
  <c r="J813" i="11"/>
  <c r="K813" i="11"/>
  <c r="L813" i="11"/>
  <c r="M813" i="11"/>
  <c r="N813" i="11"/>
  <c r="C814" i="11"/>
  <c r="D814" i="11"/>
  <c r="E814" i="11"/>
  <c r="F814" i="11"/>
  <c r="G814" i="11"/>
  <c r="I814" i="11"/>
  <c r="J814" i="11"/>
  <c r="K814" i="11"/>
  <c r="L814" i="11"/>
  <c r="M814" i="11"/>
  <c r="N814" i="11"/>
  <c r="C815" i="11"/>
  <c r="D815" i="11"/>
  <c r="E815" i="11"/>
  <c r="F815" i="11"/>
  <c r="G815" i="11"/>
  <c r="I815" i="11"/>
  <c r="J815" i="11"/>
  <c r="K815" i="11"/>
  <c r="L815" i="11"/>
  <c r="M815" i="11"/>
  <c r="N815" i="11"/>
  <c r="C816" i="11"/>
  <c r="D816" i="11"/>
  <c r="E816" i="11"/>
  <c r="F816" i="11"/>
  <c r="G816" i="11"/>
  <c r="I816" i="11"/>
  <c r="J816" i="11"/>
  <c r="K816" i="11"/>
  <c r="L816" i="11"/>
  <c r="M816" i="11"/>
  <c r="N816" i="11"/>
  <c r="C817" i="11"/>
  <c r="D817" i="11"/>
  <c r="E817" i="11"/>
  <c r="F817" i="11"/>
  <c r="G817" i="11"/>
  <c r="I817" i="11"/>
  <c r="J817" i="11"/>
  <c r="K817" i="11"/>
  <c r="L817" i="11"/>
  <c r="M817" i="11"/>
  <c r="N817" i="11"/>
  <c r="C818" i="11"/>
  <c r="D818" i="11"/>
  <c r="E818" i="11"/>
  <c r="F818" i="11"/>
  <c r="G818" i="11"/>
  <c r="I818" i="11"/>
  <c r="J818" i="11"/>
  <c r="K818" i="11"/>
  <c r="L818" i="11"/>
  <c r="M818" i="11"/>
  <c r="N818" i="11"/>
  <c r="C819" i="11"/>
  <c r="D819" i="11"/>
  <c r="E819" i="11"/>
  <c r="F819" i="11"/>
  <c r="G819" i="11"/>
  <c r="I819" i="11"/>
  <c r="J819" i="11"/>
  <c r="K819" i="11"/>
  <c r="L819" i="11"/>
  <c r="M819" i="11"/>
  <c r="N819" i="11"/>
  <c r="C820" i="11"/>
  <c r="D820" i="11"/>
  <c r="E820" i="11"/>
  <c r="F820" i="11"/>
  <c r="G820" i="11"/>
  <c r="I820" i="11"/>
  <c r="J820" i="11"/>
  <c r="K820" i="11"/>
  <c r="L820" i="11"/>
  <c r="M820" i="11"/>
  <c r="N820" i="11"/>
  <c r="C821" i="11"/>
  <c r="D821" i="11"/>
  <c r="E821" i="11"/>
  <c r="F821" i="11"/>
  <c r="G821" i="11"/>
  <c r="I821" i="11"/>
  <c r="J821" i="11"/>
  <c r="K821" i="11"/>
  <c r="L821" i="11"/>
  <c r="M821" i="11"/>
  <c r="N821" i="11"/>
  <c r="C822" i="11"/>
  <c r="D822" i="11"/>
  <c r="E822" i="11"/>
  <c r="F822" i="11"/>
  <c r="G822" i="11"/>
  <c r="I822" i="11"/>
  <c r="J822" i="11"/>
  <c r="K822" i="11"/>
  <c r="L822" i="11"/>
  <c r="M822" i="11"/>
  <c r="N822" i="11"/>
  <c r="C823" i="11"/>
  <c r="D823" i="11"/>
  <c r="E823" i="11"/>
  <c r="F823" i="11"/>
  <c r="G823" i="11"/>
  <c r="I823" i="11"/>
  <c r="J823" i="11"/>
  <c r="K823" i="11"/>
  <c r="L823" i="11"/>
  <c r="M823" i="11"/>
  <c r="N823" i="11"/>
  <c r="C824" i="11"/>
  <c r="D824" i="11"/>
  <c r="E824" i="11"/>
  <c r="F824" i="11"/>
  <c r="G824" i="11"/>
  <c r="I824" i="11"/>
  <c r="J824" i="11"/>
  <c r="K824" i="11"/>
  <c r="L824" i="11"/>
  <c r="M824" i="11"/>
  <c r="N824" i="11"/>
  <c r="C825" i="11"/>
  <c r="D825" i="11"/>
  <c r="E825" i="11"/>
  <c r="F825" i="11"/>
  <c r="G825" i="11"/>
  <c r="I825" i="11"/>
  <c r="J825" i="11"/>
  <c r="K825" i="11"/>
  <c r="L825" i="11"/>
  <c r="M825" i="11"/>
  <c r="N825" i="11"/>
  <c r="C826" i="11"/>
  <c r="D826" i="11"/>
  <c r="E826" i="11"/>
  <c r="F826" i="11"/>
  <c r="G826" i="11"/>
  <c r="I826" i="11"/>
  <c r="J826" i="11"/>
  <c r="K826" i="11"/>
  <c r="L826" i="11"/>
  <c r="M826" i="11"/>
  <c r="N826" i="11"/>
  <c r="C827" i="11"/>
  <c r="D827" i="11"/>
  <c r="E827" i="11"/>
  <c r="F827" i="11"/>
  <c r="G827" i="11"/>
  <c r="I827" i="11"/>
  <c r="J827" i="11"/>
  <c r="K827" i="11"/>
  <c r="L827" i="11"/>
  <c r="M827" i="11"/>
  <c r="N827" i="11"/>
  <c r="C828" i="11"/>
  <c r="D828" i="11"/>
  <c r="E828" i="11"/>
  <c r="F828" i="11"/>
  <c r="G828" i="11"/>
  <c r="I828" i="11"/>
  <c r="J828" i="11"/>
  <c r="K828" i="11"/>
  <c r="L828" i="11"/>
  <c r="M828" i="11"/>
  <c r="N828" i="11"/>
  <c r="C829" i="11"/>
  <c r="D829" i="11"/>
  <c r="E829" i="11"/>
  <c r="F829" i="11"/>
  <c r="G829" i="11"/>
  <c r="I829" i="11"/>
  <c r="J829" i="11"/>
  <c r="K829" i="11"/>
  <c r="L829" i="11"/>
  <c r="M829" i="11"/>
  <c r="N829" i="11"/>
  <c r="C830" i="11"/>
  <c r="D830" i="11"/>
  <c r="E830" i="11"/>
  <c r="F830" i="11"/>
  <c r="G830" i="11"/>
  <c r="I830" i="11"/>
  <c r="J830" i="11"/>
  <c r="K830" i="11"/>
  <c r="L830" i="11"/>
  <c r="M830" i="11"/>
  <c r="N830" i="11"/>
  <c r="C831" i="11"/>
  <c r="D831" i="11"/>
  <c r="E831" i="11"/>
  <c r="F831" i="11"/>
  <c r="G831" i="11"/>
  <c r="I831" i="11"/>
  <c r="J831" i="11"/>
  <c r="K831" i="11"/>
  <c r="L831" i="11"/>
  <c r="M831" i="11"/>
  <c r="N831" i="11"/>
  <c r="C832" i="11"/>
  <c r="D832" i="11"/>
  <c r="E832" i="11"/>
  <c r="F832" i="11"/>
  <c r="G832" i="11"/>
  <c r="I832" i="11"/>
  <c r="J832" i="11"/>
  <c r="K832" i="11"/>
  <c r="L832" i="11"/>
  <c r="M832" i="11"/>
  <c r="N832" i="11"/>
  <c r="C833" i="11"/>
  <c r="D833" i="11"/>
  <c r="E833" i="11"/>
  <c r="F833" i="11"/>
  <c r="G833" i="11"/>
  <c r="I833" i="11"/>
  <c r="J833" i="11"/>
  <c r="K833" i="11"/>
  <c r="L833" i="11"/>
  <c r="M833" i="11"/>
  <c r="N833" i="11"/>
  <c r="C834" i="11"/>
  <c r="D834" i="11"/>
  <c r="E834" i="11"/>
  <c r="F834" i="11"/>
  <c r="G834" i="11"/>
  <c r="I834" i="11"/>
  <c r="J834" i="11"/>
  <c r="K834" i="11"/>
  <c r="L834" i="11"/>
  <c r="M834" i="11"/>
  <c r="N834" i="11"/>
  <c r="C835" i="11"/>
  <c r="D835" i="11"/>
  <c r="E835" i="11"/>
  <c r="F835" i="11"/>
  <c r="G835" i="11"/>
  <c r="I835" i="11"/>
  <c r="J835" i="11"/>
  <c r="K835" i="11"/>
  <c r="L835" i="11"/>
  <c r="M835" i="11"/>
  <c r="N835" i="11"/>
  <c r="C836" i="11"/>
  <c r="D836" i="11"/>
  <c r="E836" i="11"/>
  <c r="F836" i="11"/>
  <c r="G836" i="11"/>
  <c r="I836" i="11"/>
  <c r="J836" i="11"/>
  <c r="K836" i="11"/>
  <c r="L836" i="11"/>
  <c r="M836" i="11"/>
  <c r="N836" i="11"/>
  <c r="C837" i="11"/>
  <c r="D837" i="11"/>
  <c r="E837" i="11"/>
  <c r="F837" i="11"/>
  <c r="G837" i="11"/>
  <c r="I837" i="11"/>
  <c r="J837" i="11"/>
  <c r="K837" i="11"/>
  <c r="L837" i="11"/>
  <c r="M837" i="11"/>
  <c r="N837" i="11"/>
  <c r="C838" i="11"/>
  <c r="D838" i="11"/>
  <c r="E838" i="11"/>
  <c r="F838" i="11"/>
  <c r="G838" i="11"/>
  <c r="I838" i="11"/>
  <c r="J838" i="11"/>
  <c r="K838" i="11"/>
  <c r="L838" i="11"/>
  <c r="M838" i="11"/>
  <c r="N838" i="11"/>
  <c r="C839" i="11"/>
  <c r="D839" i="11"/>
  <c r="E839" i="11"/>
  <c r="F839" i="11"/>
  <c r="G839" i="11"/>
  <c r="I839" i="11"/>
  <c r="J839" i="11"/>
  <c r="K839" i="11"/>
  <c r="L839" i="11"/>
  <c r="M839" i="11"/>
  <c r="N839" i="11"/>
  <c r="C840" i="11"/>
  <c r="D840" i="11"/>
  <c r="E840" i="11"/>
  <c r="F840" i="11"/>
  <c r="G840" i="11"/>
  <c r="I840" i="11"/>
  <c r="J840" i="11"/>
  <c r="K840" i="11"/>
  <c r="L840" i="11"/>
  <c r="M840" i="11"/>
  <c r="N840" i="11"/>
  <c r="C841" i="11"/>
  <c r="D841" i="11"/>
  <c r="E841" i="11"/>
  <c r="F841" i="11"/>
  <c r="G841" i="11"/>
  <c r="I841" i="11"/>
  <c r="J841" i="11"/>
  <c r="K841" i="11"/>
  <c r="L841" i="11"/>
  <c r="M841" i="11"/>
  <c r="N841" i="11"/>
  <c r="C842" i="11"/>
  <c r="D842" i="11"/>
  <c r="E842" i="11"/>
  <c r="F842" i="11"/>
  <c r="G842" i="11"/>
  <c r="I842" i="11"/>
  <c r="J842" i="11"/>
  <c r="K842" i="11"/>
  <c r="L842" i="11"/>
  <c r="M842" i="11"/>
  <c r="N842" i="11"/>
  <c r="C843" i="11"/>
  <c r="D843" i="11"/>
  <c r="E843" i="11"/>
  <c r="F843" i="11"/>
  <c r="G843" i="11"/>
  <c r="I843" i="11"/>
  <c r="J843" i="11"/>
  <c r="K843" i="11"/>
  <c r="L843" i="11"/>
  <c r="M843" i="11"/>
  <c r="N843" i="11"/>
  <c r="C844" i="11"/>
  <c r="D844" i="11"/>
  <c r="E844" i="11"/>
  <c r="F844" i="11"/>
  <c r="G844" i="11"/>
  <c r="I844" i="11"/>
  <c r="J844" i="11"/>
  <c r="K844" i="11"/>
  <c r="L844" i="11"/>
  <c r="M844" i="11"/>
  <c r="N844" i="11"/>
  <c r="C845" i="11"/>
  <c r="D845" i="11"/>
  <c r="E845" i="11"/>
  <c r="F845" i="11"/>
  <c r="G845" i="11"/>
  <c r="I845" i="11"/>
  <c r="J845" i="11"/>
  <c r="K845" i="11"/>
  <c r="L845" i="11"/>
  <c r="M845" i="11"/>
  <c r="N845" i="11"/>
  <c r="C846" i="11"/>
  <c r="D846" i="11"/>
  <c r="E846" i="11"/>
  <c r="F846" i="11"/>
  <c r="G846" i="11"/>
  <c r="I846" i="11"/>
  <c r="J846" i="11"/>
  <c r="K846" i="11"/>
  <c r="L846" i="11"/>
  <c r="M846" i="11"/>
  <c r="N846" i="11"/>
  <c r="C847" i="11"/>
  <c r="D847" i="11"/>
  <c r="E847" i="11"/>
  <c r="F847" i="11"/>
  <c r="G847" i="11"/>
  <c r="I847" i="11"/>
  <c r="J847" i="11"/>
  <c r="K847" i="11"/>
  <c r="L847" i="11"/>
  <c r="M847" i="11"/>
  <c r="N847" i="11"/>
  <c r="C848" i="11"/>
  <c r="D848" i="11"/>
  <c r="E848" i="11"/>
  <c r="F848" i="11"/>
  <c r="G848" i="11"/>
  <c r="I848" i="11"/>
  <c r="J848" i="11"/>
  <c r="K848" i="11"/>
  <c r="L848" i="11"/>
  <c r="M848" i="11"/>
  <c r="N848" i="11"/>
  <c r="C849" i="11"/>
  <c r="D849" i="11"/>
  <c r="E849" i="11"/>
  <c r="F849" i="11"/>
  <c r="G849" i="11"/>
  <c r="I849" i="11"/>
  <c r="J849" i="11"/>
  <c r="K849" i="11"/>
  <c r="L849" i="11"/>
  <c r="M849" i="11"/>
  <c r="N849" i="11"/>
  <c r="C850" i="11"/>
  <c r="D850" i="11"/>
  <c r="E850" i="11"/>
  <c r="F850" i="11"/>
  <c r="G850" i="11"/>
  <c r="I850" i="11"/>
  <c r="J850" i="11"/>
  <c r="K850" i="11"/>
  <c r="L850" i="11"/>
  <c r="M850" i="11"/>
  <c r="N850" i="11"/>
  <c r="C851" i="11"/>
  <c r="D851" i="11"/>
  <c r="E851" i="11"/>
  <c r="F851" i="11"/>
  <c r="G851" i="11"/>
  <c r="I851" i="11"/>
  <c r="J851" i="11"/>
  <c r="K851" i="11"/>
  <c r="L851" i="11"/>
  <c r="M851" i="11"/>
  <c r="N851" i="11"/>
  <c r="C852" i="11"/>
  <c r="D852" i="11"/>
  <c r="E852" i="11"/>
  <c r="F852" i="11"/>
  <c r="G852" i="11"/>
  <c r="I852" i="11"/>
  <c r="J852" i="11"/>
  <c r="K852" i="11"/>
  <c r="L852" i="11"/>
  <c r="M852" i="11"/>
  <c r="N852" i="11"/>
  <c r="C853" i="11"/>
  <c r="D853" i="11"/>
  <c r="E853" i="11"/>
  <c r="F853" i="11"/>
  <c r="G853" i="11"/>
  <c r="I853" i="11"/>
  <c r="J853" i="11"/>
  <c r="K853" i="11"/>
  <c r="L853" i="11"/>
  <c r="M853" i="11"/>
  <c r="N853" i="11"/>
  <c r="C854" i="11"/>
  <c r="D854" i="11"/>
  <c r="E854" i="11"/>
  <c r="F854" i="11"/>
  <c r="G854" i="11"/>
  <c r="I854" i="11"/>
  <c r="J854" i="11"/>
  <c r="K854" i="11"/>
  <c r="L854" i="11"/>
  <c r="M854" i="11"/>
  <c r="N854" i="11"/>
  <c r="C855" i="11"/>
  <c r="D855" i="11"/>
  <c r="E855" i="11"/>
  <c r="F855" i="11"/>
  <c r="G855" i="11"/>
  <c r="I855" i="11"/>
  <c r="J855" i="11"/>
  <c r="K855" i="11"/>
  <c r="L855" i="11"/>
  <c r="M855" i="11"/>
  <c r="N855" i="11"/>
  <c r="C856" i="11"/>
  <c r="D856" i="11"/>
  <c r="E856" i="11"/>
  <c r="F856" i="11"/>
  <c r="G856" i="11"/>
  <c r="I856" i="11"/>
  <c r="J856" i="11"/>
  <c r="K856" i="11"/>
  <c r="L856" i="11"/>
  <c r="M856" i="11"/>
  <c r="N856" i="11"/>
  <c r="C857" i="11"/>
  <c r="D857" i="11"/>
  <c r="E857" i="11"/>
  <c r="F857" i="11"/>
  <c r="G857" i="11"/>
  <c r="I857" i="11"/>
  <c r="J857" i="11"/>
  <c r="K857" i="11"/>
  <c r="L857" i="11"/>
  <c r="M857" i="11"/>
  <c r="N857" i="11"/>
  <c r="C858" i="11"/>
  <c r="D858" i="11"/>
  <c r="E858" i="11"/>
  <c r="F858" i="11"/>
  <c r="G858" i="11"/>
  <c r="I858" i="11"/>
  <c r="J858" i="11"/>
  <c r="K858" i="11"/>
  <c r="L858" i="11"/>
  <c r="M858" i="11"/>
  <c r="N858" i="11"/>
  <c r="C859" i="11"/>
  <c r="D859" i="11"/>
  <c r="E859" i="11"/>
  <c r="F859" i="11"/>
  <c r="G859" i="11"/>
  <c r="I859" i="11"/>
  <c r="J859" i="11"/>
  <c r="K859" i="11"/>
  <c r="L859" i="11"/>
  <c r="M859" i="11"/>
  <c r="N859" i="11"/>
  <c r="C860" i="11"/>
  <c r="D860" i="11"/>
  <c r="E860" i="11"/>
  <c r="F860" i="11"/>
  <c r="G860" i="11"/>
  <c r="I860" i="11"/>
  <c r="J860" i="11"/>
  <c r="K860" i="11"/>
  <c r="L860" i="11"/>
  <c r="M860" i="11"/>
  <c r="N860" i="11"/>
  <c r="C861" i="11"/>
  <c r="D861" i="11"/>
  <c r="E861" i="11"/>
  <c r="F861" i="11"/>
  <c r="G861" i="11"/>
  <c r="I861" i="11"/>
  <c r="J861" i="11"/>
  <c r="K861" i="11"/>
  <c r="L861" i="11"/>
  <c r="M861" i="11"/>
  <c r="N861" i="11"/>
  <c r="C862" i="11"/>
  <c r="D862" i="11"/>
  <c r="E862" i="11"/>
  <c r="F862" i="11"/>
  <c r="G862" i="11"/>
  <c r="I862" i="11"/>
  <c r="J862" i="11"/>
  <c r="K862" i="11"/>
  <c r="L862" i="11"/>
  <c r="M862" i="11"/>
  <c r="N862" i="11"/>
  <c r="C863" i="11"/>
  <c r="D863" i="11"/>
  <c r="E863" i="11"/>
  <c r="F863" i="11"/>
  <c r="G863" i="11"/>
  <c r="I863" i="11"/>
  <c r="J863" i="11"/>
  <c r="K863" i="11"/>
  <c r="L863" i="11"/>
  <c r="M863" i="11"/>
  <c r="N863" i="11"/>
  <c r="C864" i="11"/>
  <c r="D864" i="11"/>
  <c r="E864" i="11"/>
  <c r="F864" i="11"/>
  <c r="G864" i="11"/>
  <c r="I864" i="11"/>
  <c r="J864" i="11"/>
  <c r="K864" i="11"/>
  <c r="L864" i="11"/>
  <c r="M864" i="11"/>
  <c r="N864" i="11"/>
  <c r="C865" i="11"/>
  <c r="D865" i="11"/>
  <c r="E865" i="11"/>
  <c r="F865" i="11"/>
  <c r="G865" i="11"/>
  <c r="I865" i="11"/>
  <c r="J865" i="11"/>
  <c r="K865" i="11"/>
  <c r="L865" i="11"/>
  <c r="M865" i="11"/>
  <c r="N865" i="11"/>
  <c r="C866" i="11"/>
  <c r="D866" i="11"/>
  <c r="E866" i="11"/>
  <c r="F866" i="11"/>
  <c r="G866" i="11"/>
  <c r="I866" i="11"/>
  <c r="J866" i="11"/>
  <c r="K866" i="11"/>
  <c r="L866" i="11"/>
  <c r="M866" i="11"/>
  <c r="N866" i="11"/>
  <c r="C867" i="11"/>
  <c r="D867" i="11"/>
  <c r="E867" i="11"/>
  <c r="F867" i="11"/>
  <c r="G867" i="11"/>
  <c r="I867" i="11"/>
  <c r="J867" i="11"/>
  <c r="K867" i="11"/>
  <c r="L867" i="11"/>
  <c r="M867" i="11"/>
  <c r="N867" i="11"/>
  <c r="C868" i="11"/>
  <c r="D868" i="11"/>
  <c r="E868" i="11"/>
  <c r="F868" i="11"/>
  <c r="G868" i="11"/>
  <c r="I868" i="11"/>
  <c r="J868" i="11"/>
  <c r="K868" i="11"/>
  <c r="L868" i="11"/>
  <c r="M868" i="11"/>
  <c r="N868" i="11"/>
  <c r="C869" i="11"/>
  <c r="D869" i="11"/>
  <c r="E869" i="11"/>
  <c r="F869" i="11"/>
  <c r="G869" i="11"/>
  <c r="I869" i="11"/>
  <c r="J869" i="11"/>
  <c r="K869" i="11"/>
  <c r="L869" i="11"/>
  <c r="M869" i="11"/>
  <c r="N869" i="11"/>
  <c r="C870" i="11"/>
  <c r="D870" i="11"/>
  <c r="E870" i="11"/>
  <c r="F870" i="11"/>
  <c r="G870" i="11"/>
  <c r="I870" i="11"/>
  <c r="J870" i="11"/>
  <c r="K870" i="11"/>
  <c r="L870" i="11"/>
  <c r="M870" i="11"/>
  <c r="N870" i="11"/>
  <c r="C871" i="11"/>
  <c r="D871" i="11"/>
  <c r="E871" i="11"/>
  <c r="F871" i="11"/>
  <c r="G871" i="11"/>
  <c r="I871" i="11"/>
  <c r="J871" i="11"/>
  <c r="K871" i="11"/>
  <c r="L871" i="11"/>
  <c r="M871" i="11"/>
  <c r="N871" i="11"/>
  <c r="C872" i="11"/>
  <c r="D872" i="11"/>
  <c r="E872" i="11"/>
  <c r="F872" i="11"/>
  <c r="G872" i="11"/>
  <c r="I872" i="11"/>
  <c r="J872" i="11"/>
  <c r="K872" i="11"/>
  <c r="L872" i="11"/>
  <c r="M872" i="11"/>
  <c r="N872" i="11"/>
  <c r="C83" i="11"/>
  <c r="D83" i="11"/>
  <c r="E83" i="11"/>
  <c r="F83" i="11"/>
  <c r="G83" i="11"/>
  <c r="I83" i="11"/>
  <c r="J83" i="11"/>
  <c r="K83" i="11"/>
  <c r="L83" i="11"/>
  <c r="M83" i="11"/>
  <c r="N83" i="11"/>
  <c r="C84" i="11"/>
  <c r="D84" i="11"/>
  <c r="E84" i="11"/>
  <c r="F84" i="11"/>
  <c r="G84" i="11"/>
  <c r="I84" i="11"/>
  <c r="J84" i="11"/>
  <c r="K84" i="11"/>
  <c r="L84" i="11"/>
  <c r="M84" i="11"/>
  <c r="N84" i="11"/>
  <c r="C85" i="11"/>
  <c r="D85" i="11"/>
  <c r="E85" i="11"/>
  <c r="F85" i="11"/>
  <c r="G85" i="11"/>
  <c r="I85" i="11"/>
  <c r="J85" i="11"/>
  <c r="K85" i="11"/>
  <c r="L85" i="11"/>
  <c r="M85" i="11"/>
  <c r="N85" i="11"/>
  <c r="C86" i="11"/>
  <c r="D86" i="11"/>
  <c r="E86" i="11"/>
  <c r="F86" i="11"/>
  <c r="G86" i="11"/>
  <c r="I86" i="11"/>
  <c r="J86" i="11"/>
  <c r="K86" i="11"/>
  <c r="L86" i="11"/>
  <c r="M86" i="11"/>
  <c r="N86" i="11"/>
  <c r="C87" i="11"/>
  <c r="D87" i="11"/>
  <c r="E87" i="11"/>
  <c r="F87" i="11"/>
  <c r="G87" i="11"/>
  <c r="I87" i="11"/>
  <c r="J87" i="11"/>
  <c r="K87" i="11"/>
  <c r="L87" i="11"/>
  <c r="M87" i="11"/>
  <c r="N87" i="11"/>
  <c r="C88" i="11"/>
  <c r="D88" i="11"/>
  <c r="E88" i="11"/>
  <c r="F88" i="11"/>
  <c r="G88" i="11"/>
  <c r="I88" i="11"/>
  <c r="J88" i="11"/>
  <c r="K88" i="11"/>
  <c r="L88" i="11"/>
  <c r="M88" i="11"/>
  <c r="N88" i="11"/>
  <c r="C89" i="11"/>
  <c r="D89" i="11"/>
  <c r="E89" i="11"/>
  <c r="F89" i="11"/>
  <c r="G89" i="11"/>
  <c r="I89" i="11"/>
  <c r="J89" i="11"/>
  <c r="K89" i="11"/>
  <c r="L89" i="11"/>
  <c r="M89" i="11"/>
  <c r="N89" i="11"/>
  <c r="C90" i="11"/>
  <c r="D90" i="11"/>
  <c r="E90" i="11"/>
  <c r="F90" i="11"/>
  <c r="G90" i="11"/>
  <c r="I90" i="11"/>
  <c r="J90" i="11"/>
  <c r="K90" i="11"/>
  <c r="L90" i="11"/>
  <c r="M90" i="11"/>
  <c r="N90" i="11"/>
  <c r="C91" i="11"/>
  <c r="D91" i="11"/>
  <c r="E91" i="11"/>
  <c r="F91" i="11"/>
  <c r="G91" i="11"/>
  <c r="I91" i="11"/>
  <c r="J91" i="11"/>
  <c r="K91" i="11"/>
  <c r="L91" i="11"/>
  <c r="M91" i="11"/>
  <c r="N91" i="11"/>
  <c r="C92" i="11"/>
  <c r="D92" i="11"/>
  <c r="E92" i="11"/>
  <c r="F92" i="11"/>
  <c r="G92" i="11"/>
  <c r="I92" i="11"/>
  <c r="J92" i="11"/>
  <c r="K92" i="11"/>
  <c r="L92" i="11"/>
  <c r="M92" i="11"/>
  <c r="N92" i="11"/>
  <c r="C93" i="11"/>
  <c r="D93" i="11"/>
  <c r="E93" i="11"/>
  <c r="F93" i="11"/>
  <c r="G93" i="11"/>
  <c r="I93" i="11"/>
  <c r="J93" i="11"/>
  <c r="K93" i="11"/>
  <c r="L93" i="11"/>
  <c r="M93" i="11"/>
  <c r="N93" i="11"/>
  <c r="C94" i="11"/>
  <c r="D94" i="11"/>
  <c r="E94" i="11"/>
  <c r="F94" i="11"/>
  <c r="G94" i="11"/>
  <c r="I94" i="11"/>
  <c r="J94" i="11"/>
  <c r="K94" i="11"/>
  <c r="L94" i="11"/>
  <c r="M94" i="11"/>
  <c r="N94" i="11"/>
  <c r="C95" i="11"/>
  <c r="D95" i="11"/>
  <c r="E95" i="11"/>
  <c r="F95" i="11"/>
  <c r="G95" i="11"/>
  <c r="I95" i="11"/>
  <c r="J95" i="11"/>
  <c r="K95" i="11"/>
  <c r="L95" i="11"/>
  <c r="M95" i="11"/>
  <c r="N95" i="11"/>
  <c r="C96" i="11"/>
  <c r="D96" i="11"/>
  <c r="E96" i="11"/>
  <c r="F96" i="11"/>
  <c r="G96" i="11"/>
  <c r="I96" i="11"/>
  <c r="J96" i="11"/>
  <c r="K96" i="11"/>
  <c r="L96" i="11"/>
  <c r="M96" i="11"/>
  <c r="N96" i="11"/>
  <c r="C97" i="11"/>
  <c r="D97" i="11"/>
  <c r="E97" i="11"/>
  <c r="F97" i="11"/>
  <c r="G97" i="11"/>
  <c r="I97" i="11"/>
  <c r="J97" i="11"/>
  <c r="K97" i="11"/>
  <c r="L97" i="11"/>
  <c r="M97" i="11"/>
  <c r="N97" i="11"/>
  <c r="C98" i="11"/>
  <c r="D98" i="11"/>
  <c r="E98" i="11"/>
  <c r="F98" i="11"/>
  <c r="G98" i="11"/>
  <c r="I98" i="11"/>
  <c r="J98" i="11"/>
  <c r="K98" i="11"/>
  <c r="L98" i="11"/>
  <c r="M98" i="11"/>
  <c r="N98" i="11"/>
  <c r="C99" i="11"/>
  <c r="D99" i="11"/>
  <c r="E99" i="11"/>
  <c r="F99" i="11"/>
  <c r="G99" i="11"/>
  <c r="I99" i="11"/>
  <c r="J99" i="11"/>
  <c r="K99" i="11"/>
  <c r="L99" i="11"/>
  <c r="M99" i="11"/>
  <c r="N99" i="11"/>
  <c r="C100" i="11"/>
  <c r="D100" i="11"/>
  <c r="E100" i="11"/>
  <c r="F100" i="11"/>
  <c r="G100" i="11"/>
  <c r="I100" i="11"/>
  <c r="J100" i="11"/>
  <c r="K100" i="11"/>
  <c r="L100" i="11"/>
  <c r="M100" i="11"/>
  <c r="N100" i="11"/>
  <c r="C101" i="11"/>
  <c r="D101" i="11"/>
  <c r="E101" i="11"/>
  <c r="F101" i="11"/>
  <c r="G101" i="11"/>
  <c r="I101" i="11"/>
  <c r="J101" i="11"/>
  <c r="K101" i="11"/>
  <c r="L101" i="11"/>
  <c r="M101" i="11"/>
  <c r="N101" i="11"/>
  <c r="C102" i="11"/>
  <c r="D102" i="11"/>
  <c r="E102" i="11"/>
  <c r="F102" i="11"/>
  <c r="G102" i="11"/>
  <c r="I102" i="11"/>
  <c r="J102" i="11"/>
  <c r="K102" i="11"/>
  <c r="L102" i="11"/>
  <c r="M102" i="11"/>
  <c r="N102" i="11"/>
  <c r="C103" i="11"/>
  <c r="D103" i="11"/>
  <c r="E103" i="11"/>
  <c r="F103" i="11"/>
  <c r="G103" i="11"/>
  <c r="I103" i="11"/>
  <c r="J103" i="11"/>
  <c r="K103" i="11"/>
  <c r="L103" i="11"/>
  <c r="M103" i="11"/>
  <c r="N103" i="11"/>
  <c r="C104" i="11"/>
  <c r="D104" i="11"/>
  <c r="E104" i="11"/>
  <c r="F104" i="11"/>
  <c r="G104" i="11"/>
  <c r="I104" i="11"/>
  <c r="J104" i="11"/>
  <c r="K104" i="11"/>
  <c r="L104" i="11"/>
  <c r="M104" i="11"/>
  <c r="N104" i="11"/>
  <c r="C105" i="11"/>
  <c r="D105" i="11"/>
  <c r="E105" i="11"/>
  <c r="F105" i="11"/>
  <c r="G105" i="11"/>
  <c r="I105" i="11"/>
  <c r="J105" i="11"/>
  <c r="K105" i="11"/>
  <c r="L105" i="11"/>
  <c r="M105" i="11"/>
  <c r="N105" i="11"/>
  <c r="C106" i="11"/>
  <c r="D106" i="11"/>
  <c r="E106" i="11"/>
  <c r="F106" i="11"/>
  <c r="G106" i="11"/>
  <c r="I106" i="11"/>
  <c r="J106" i="11"/>
  <c r="K106" i="11"/>
  <c r="L106" i="11"/>
  <c r="M106" i="11"/>
  <c r="N106" i="11"/>
  <c r="C107" i="11"/>
  <c r="D107" i="11"/>
  <c r="E107" i="11"/>
  <c r="F107" i="11"/>
  <c r="G107" i="11"/>
  <c r="I107" i="11"/>
  <c r="J107" i="11"/>
  <c r="K107" i="11"/>
  <c r="L107" i="11"/>
  <c r="M107" i="11"/>
  <c r="N107" i="11"/>
  <c r="C108" i="11"/>
  <c r="D108" i="11"/>
  <c r="E108" i="11"/>
  <c r="F108" i="11"/>
  <c r="G108" i="11"/>
  <c r="I108" i="11"/>
  <c r="J108" i="11"/>
  <c r="K108" i="11"/>
  <c r="L108" i="11"/>
  <c r="M108" i="11"/>
  <c r="N108" i="11"/>
  <c r="C109" i="11"/>
  <c r="D109" i="11"/>
  <c r="E109" i="11"/>
  <c r="F109" i="11"/>
  <c r="G109" i="11"/>
  <c r="I109" i="11"/>
  <c r="J109" i="11"/>
  <c r="K109" i="11"/>
  <c r="L109" i="11"/>
  <c r="M109" i="11"/>
  <c r="N109" i="11"/>
  <c r="C110" i="11"/>
  <c r="D110" i="11"/>
  <c r="E110" i="11"/>
  <c r="F110" i="11"/>
  <c r="G110" i="11"/>
  <c r="I110" i="11"/>
  <c r="J110" i="11"/>
  <c r="K110" i="11"/>
  <c r="L110" i="11"/>
  <c r="M110" i="11"/>
  <c r="N110" i="11"/>
  <c r="C111" i="11"/>
  <c r="D111" i="11"/>
  <c r="E111" i="11"/>
  <c r="F111" i="11"/>
  <c r="G111" i="11"/>
  <c r="I111" i="11"/>
  <c r="J111" i="11"/>
  <c r="K111" i="11"/>
  <c r="L111" i="11"/>
  <c r="M111" i="11"/>
  <c r="N111" i="11"/>
  <c r="C112" i="11"/>
  <c r="D112" i="11"/>
  <c r="E112" i="11"/>
  <c r="F112" i="11"/>
  <c r="G112" i="11"/>
  <c r="I112" i="11"/>
  <c r="J112" i="11"/>
  <c r="K112" i="11"/>
  <c r="L112" i="11"/>
  <c r="M112" i="11"/>
  <c r="N112" i="11"/>
  <c r="C113" i="11"/>
  <c r="D113" i="11"/>
  <c r="E113" i="11"/>
  <c r="F113" i="11"/>
  <c r="G113" i="11"/>
  <c r="I113" i="11"/>
  <c r="J113" i="11"/>
  <c r="K113" i="11"/>
  <c r="L113" i="11"/>
  <c r="M113" i="11"/>
  <c r="N113" i="11"/>
  <c r="C114" i="11"/>
  <c r="D114" i="11"/>
  <c r="E114" i="11"/>
  <c r="F114" i="11"/>
  <c r="G114" i="11"/>
  <c r="I114" i="11"/>
  <c r="J114" i="11"/>
  <c r="K114" i="11"/>
  <c r="L114" i="11"/>
  <c r="M114" i="11"/>
  <c r="N114" i="11"/>
  <c r="C115" i="11"/>
  <c r="D115" i="11"/>
  <c r="E115" i="11"/>
  <c r="F115" i="11"/>
  <c r="G115" i="11"/>
  <c r="I115" i="11"/>
  <c r="J115" i="11"/>
  <c r="K115" i="11"/>
  <c r="L115" i="11"/>
  <c r="M115" i="11"/>
  <c r="N115" i="11"/>
  <c r="C116" i="11"/>
  <c r="D116" i="11"/>
  <c r="E116" i="11"/>
  <c r="F116" i="11"/>
  <c r="G116" i="11"/>
  <c r="I116" i="11"/>
  <c r="J116" i="11"/>
  <c r="K116" i="11"/>
  <c r="L116" i="11"/>
  <c r="M116" i="11"/>
  <c r="N116" i="11"/>
  <c r="C117" i="11"/>
  <c r="D117" i="11"/>
  <c r="E117" i="11"/>
  <c r="F117" i="11"/>
  <c r="G117" i="11"/>
  <c r="I117" i="11"/>
  <c r="J117" i="11"/>
  <c r="K117" i="11"/>
  <c r="L117" i="11"/>
  <c r="M117" i="11"/>
  <c r="N117" i="11"/>
  <c r="C118" i="11"/>
  <c r="D118" i="11"/>
  <c r="E118" i="11"/>
  <c r="F118" i="11"/>
  <c r="G118" i="11"/>
  <c r="I118" i="11"/>
  <c r="J118" i="11"/>
  <c r="K118" i="11"/>
  <c r="L118" i="11"/>
  <c r="M118" i="11"/>
  <c r="N118" i="11"/>
  <c r="C119" i="11"/>
  <c r="D119" i="11"/>
  <c r="E119" i="11"/>
  <c r="F119" i="11"/>
  <c r="G119" i="11"/>
  <c r="I119" i="11"/>
  <c r="J119" i="11"/>
  <c r="K119" i="11"/>
  <c r="L119" i="11"/>
  <c r="M119" i="11"/>
  <c r="N119" i="11"/>
  <c r="C120" i="11"/>
  <c r="D120" i="11"/>
  <c r="E120" i="11"/>
  <c r="F120" i="11"/>
  <c r="G120" i="11"/>
  <c r="I120" i="11"/>
  <c r="J120" i="11"/>
  <c r="K120" i="11"/>
  <c r="L120" i="11"/>
  <c r="M120" i="11"/>
  <c r="N120" i="11"/>
  <c r="C121" i="11"/>
  <c r="D121" i="11"/>
  <c r="E121" i="11"/>
  <c r="F121" i="11"/>
  <c r="G121" i="11"/>
  <c r="I121" i="11"/>
  <c r="J121" i="11"/>
  <c r="K121" i="11"/>
  <c r="L121" i="11"/>
  <c r="M121" i="11"/>
  <c r="N121" i="11"/>
  <c r="C122" i="11"/>
  <c r="D122" i="11"/>
  <c r="E122" i="11"/>
  <c r="F122" i="11"/>
  <c r="G122" i="11"/>
  <c r="I122" i="11"/>
  <c r="J122" i="11"/>
  <c r="K122" i="11"/>
  <c r="L122" i="11"/>
  <c r="M122" i="11"/>
  <c r="N122" i="11"/>
  <c r="C123" i="11"/>
  <c r="D123" i="11"/>
  <c r="E123" i="11"/>
  <c r="F123" i="11"/>
  <c r="G123" i="11"/>
  <c r="I123" i="11"/>
  <c r="J123" i="11"/>
  <c r="K123" i="11"/>
  <c r="L123" i="11"/>
  <c r="M123" i="11"/>
  <c r="N123" i="11"/>
  <c r="C124" i="11"/>
  <c r="D124" i="11"/>
  <c r="E124" i="11"/>
  <c r="F124" i="11"/>
  <c r="G124" i="11"/>
  <c r="I124" i="11"/>
  <c r="J124" i="11"/>
  <c r="K124" i="11"/>
  <c r="L124" i="11"/>
  <c r="M124" i="11"/>
  <c r="N124" i="11"/>
  <c r="C125" i="11"/>
  <c r="D125" i="11"/>
  <c r="E125" i="11"/>
  <c r="F125" i="11"/>
  <c r="G125" i="11"/>
  <c r="I125" i="11"/>
  <c r="J125" i="11"/>
  <c r="K125" i="11"/>
  <c r="L125" i="11"/>
  <c r="M125" i="11"/>
  <c r="N125" i="11"/>
  <c r="C126" i="11"/>
  <c r="D126" i="11"/>
  <c r="E126" i="11"/>
  <c r="F126" i="11"/>
  <c r="G126" i="11"/>
  <c r="I126" i="11"/>
  <c r="J126" i="11"/>
  <c r="K126" i="11"/>
  <c r="L126" i="11"/>
  <c r="M126" i="11"/>
  <c r="N126" i="11"/>
  <c r="C127" i="11"/>
  <c r="D127" i="11"/>
  <c r="E127" i="11"/>
  <c r="F127" i="11"/>
  <c r="G127" i="11"/>
  <c r="I127" i="11"/>
  <c r="J127" i="11"/>
  <c r="K127" i="11"/>
  <c r="L127" i="11"/>
  <c r="M127" i="11"/>
  <c r="N127" i="11"/>
  <c r="C128" i="11"/>
  <c r="D128" i="11"/>
  <c r="E128" i="11"/>
  <c r="F128" i="11"/>
  <c r="G128" i="11"/>
  <c r="I128" i="11"/>
  <c r="J128" i="11"/>
  <c r="K128" i="11"/>
  <c r="L128" i="11"/>
  <c r="M128" i="11"/>
  <c r="N128" i="11"/>
  <c r="C129" i="11"/>
  <c r="D129" i="11"/>
  <c r="E129" i="11"/>
  <c r="F129" i="11"/>
  <c r="G129" i="11"/>
  <c r="I129" i="11"/>
  <c r="J129" i="11"/>
  <c r="K129" i="11"/>
  <c r="L129" i="11"/>
  <c r="M129" i="11"/>
  <c r="N129" i="11"/>
  <c r="C130" i="11"/>
  <c r="D130" i="11"/>
  <c r="E130" i="11"/>
  <c r="F130" i="11"/>
  <c r="G130" i="11"/>
  <c r="I130" i="11"/>
  <c r="J130" i="11"/>
  <c r="K130" i="11"/>
  <c r="L130" i="11"/>
  <c r="M130" i="11"/>
  <c r="N130" i="11"/>
  <c r="C131" i="11"/>
  <c r="D131" i="11"/>
  <c r="E131" i="11"/>
  <c r="F131" i="11"/>
  <c r="G131" i="11"/>
  <c r="I131" i="11"/>
  <c r="J131" i="11"/>
  <c r="K131" i="11"/>
  <c r="L131" i="11"/>
  <c r="M131" i="11"/>
  <c r="N131" i="11"/>
  <c r="C132" i="11"/>
  <c r="D132" i="11"/>
  <c r="E132" i="11"/>
  <c r="F132" i="11"/>
  <c r="G132" i="11"/>
  <c r="I132" i="11"/>
  <c r="J132" i="11"/>
  <c r="K132" i="11"/>
  <c r="L132" i="11"/>
  <c r="M132" i="11"/>
  <c r="N132" i="11"/>
  <c r="C133" i="11"/>
  <c r="D133" i="11"/>
  <c r="E133" i="11"/>
  <c r="F133" i="11"/>
  <c r="G133" i="11"/>
  <c r="I133" i="11"/>
  <c r="J133" i="11"/>
  <c r="K133" i="11"/>
  <c r="L133" i="11"/>
  <c r="M133" i="11"/>
  <c r="N133" i="11"/>
  <c r="C134" i="11"/>
  <c r="D134" i="11"/>
  <c r="E134" i="11"/>
  <c r="F134" i="11"/>
  <c r="G134" i="11"/>
  <c r="I134" i="11"/>
  <c r="J134" i="11"/>
  <c r="K134" i="11"/>
  <c r="L134" i="11"/>
  <c r="M134" i="11"/>
  <c r="N134" i="11"/>
  <c r="C135" i="11"/>
  <c r="D135" i="11"/>
  <c r="E135" i="11"/>
  <c r="F135" i="11"/>
  <c r="G135" i="11"/>
  <c r="I135" i="11"/>
  <c r="J135" i="11"/>
  <c r="K135" i="11"/>
  <c r="L135" i="11"/>
  <c r="M135" i="11"/>
  <c r="N135" i="11"/>
  <c r="C136" i="11"/>
  <c r="D136" i="11"/>
  <c r="E136" i="11"/>
  <c r="F136" i="11"/>
  <c r="G136" i="11"/>
  <c r="I136" i="11"/>
  <c r="J136" i="11"/>
  <c r="K136" i="11"/>
  <c r="L136" i="11"/>
  <c r="M136" i="11"/>
  <c r="N136" i="11"/>
  <c r="C137" i="11"/>
  <c r="D137" i="11"/>
  <c r="E137" i="11"/>
  <c r="F137" i="11"/>
  <c r="G137" i="11"/>
  <c r="I137" i="11"/>
  <c r="J137" i="11"/>
  <c r="K137" i="11"/>
  <c r="L137" i="11"/>
  <c r="M137" i="11"/>
  <c r="N137" i="11"/>
  <c r="C138" i="11"/>
  <c r="D138" i="11"/>
  <c r="E138" i="11"/>
  <c r="F138" i="11"/>
  <c r="G138" i="11"/>
  <c r="I138" i="11"/>
  <c r="J138" i="11"/>
  <c r="K138" i="11"/>
  <c r="L138" i="11"/>
  <c r="M138" i="11"/>
  <c r="N138" i="11"/>
  <c r="C139" i="11"/>
  <c r="D139" i="11"/>
  <c r="E139" i="11"/>
  <c r="F139" i="11"/>
  <c r="G139" i="11"/>
  <c r="I139" i="11"/>
  <c r="J139" i="11"/>
  <c r="K139" i="11"/>
  <c r="L139" i="11"/>
  <c r="M139" i="11"/>
  <c r="N139" i="11"/>
  <c r="C140" i="11"/>
  <c r="D140" i="11"/>
  <c r="E140" i="11"/>
  <c r="F140" i="11"/>
  <c r="G140" i="11"/>
  <c r="I140" i="11"/>
  <c r="J140" i="11"/>
  <c r="K140" i="11"/>
  <c r="L140" i="11"/>
  <c r="M140" i="11"/>
  <c r="N140" i="11"/>
  <c r="C141" i="11"/>
  <c r="D141" i="11"/>
  <c r="E141" i="11"/>
  <c r="F141" i="11"/>
  <c r="G141" i="11"/>
  <c r="I141" i="11"/>
  <c r="J141" i="11"/>
  <c r="K141" i="11"/>
  <c r="L141" i="11"/>
  <c r="M141" i="11"/>
  <c r="N141" i="11"/>
  <c r="C142" i="11"/>
  <c r="D142" i="11"/>
  <c r="E142" i="11"/>
  <c r="F142" i="11"/>
  <c r="G142" i="11"/>
  <c r="I142" i="11"/>
  <c r="J142" i="11"/>
  <c r="K142" i="11"/>
  <c r="L142" i="11"/>
  <c r="M142" i="11"/>
  <c r="N142" i="11"/>
  <c r="C143" i="11"/>
  <c r="D143" i="11"/>
  <c r="E143" i="11"/>
  <c r="F143" i="11"/>
  <c r="G143" i="11"/>
  <c r="I143" i="11"/>
  <c r="J143" i="11"/>
  <c r="K143" i="11"/>
  <c r="L143" i="11"/>
  <c r="M143" i="11"/>
  <c r="N143" i="11"/>
  <c r="C144" i="11"/>
  <c r="D144" i="11"/>
  <c r="E144" i="11"/>
  <c r="F144" i="11"/>
  <c r="G144" i="11"/>
  <c r="I144" i="11"/>
  <c r="J144" i="11"/>
  <c r="K144" i="11"/>
  <c r="L144" i="11"/>
  <c r="M144" i="11"/>
  <c r="N144" i="11"/>
  <c r="C145" i="11"/>
  <c r="D145" i="11"/>
  <c r="E145" i="11"/>
  <c r="F145" i="11"/>
  <c r="G145" i="11"/>
  <c r="I145" i="11"/>
  <c r="J145" i="11"/>
  <c r="K145" i="11"/>
  <c r="L145" i="11"/>
  <c r="M145" i="11"/>
  <c r="N145" i="11"/>
  <c r="C146" i="11"/>
  <c r="D146" i="11"/>
  <c r="E146" i="11"/>
  <c r="F146" i="11"/>
  <c r="G146" i="11"/>
  <c r="I146" i="11"/>
  <c r="J146" i="11"/>
  <c r="K146" i="11"/>
  <c r="L146" i="11"/>
  <c r="M146" i="11"/>
  <c r="N146" i="11"/>
  <c r="C147" i="11"/>
  <c r="D147" i="11"/>
  <c r="E147" i="11"/>
  <c r="F147" i="11"/>
  <c r="G147" i="11"/>
  <c r="I147" i="11"/>
  <c r="J147" i="11"/>
  <c r="K147" i="11"/>
  <c r="L147" i="11"/>
  <c r="M147" i="11"/>
  <c r="N147" i="11"/>
  <c r="C148" i="11"/>
  <c r="D148" i="11"/>
  <c r="E148" i="11"/>
  <c r="F148" i="11"/>
  <c r="G148" i="11"/>
  <c r="I148" i="11"/>
  <c r="J148" i="11"/>
  <c r="K148" i="11"/>
  <c r="L148" i="11"/>
  <c r="M148" i="11"/>
  <c r="N148" i="11"/>
  <c r="C149" i="11"/>
  <c r="D149" i="11"/>
  <c r="E149" i="11"/>
  <c r="F149" i="11"/>
  <c r="G149" i="11"/>
  <c r="I149" i="11"/>
  <c r="J149" i="11"/>
  <c r="K149" i="11"/>
  <c r="L149" i="11"/>
  <c r="M149" i="11"/>
  <c r="N149" i="11"/>
  <c r="C150" i="11"/>
  <c r="D150" i="11"/>
  <c r="E150" i="11"/>
  <c r="F150" i="11"/>
  <c r="G150" i="11"/>
  <c r="I150" i="11"/>
  <c r="J150" i="11"/>
  <c r="K150" i="11"/>
  <c r="L150" i="11"/>
  <c r="M150" i="11"/>
  <c r="N150" i="11"/>
  <c r="C151" i="11"/>
  <c r="D151" i="11"/>
  <c r="E151" i="11"/>
  <c r="F151" i="11"/>
  <c r="G151" i="11"/>
  <c r="I151" i="11"/>
  <c r="J151" i="11"/>
  <c r="K151" i="11"/>
  <c r="L151" i="11"/>
  <c r="M151" i="11"/>
  <c r="N151" i="11"/>
  <c r="C152" i="11"/>
  <c r="D152" i="11"/>
  <c r="E152" i="11"/>
  <c r="F152" i="11"/>
  <c r="G152" i="11"/>
  <c r="I152" i="11"/>
  <c r="J152" i="11"/>
  <c r="K152" i="11"/>
  <c r="L152" i="11"/>
  <c r="M152" i="11"/>
  <c r="N152" i="11"/>
  <c r="C153" i="11"/>
  <c r="D153" i="11"/>
  <c r="E153" i="11"/>
  <c r="F153" i="11"/>
  <c r="G153" i="11"/>
  <c r="I153" i="11"/>
  <c r="J153" i="11"/>
  <c r="K153" i="11"/>
  <c r="L153" i="11"/>
  <c r="M153" i="11"/>
  <c r="N153" i="11"/>
  <c r="C154" i="11"/>
  <c r="D154" i="11"/>
  <c r="E154" i="11"/>
  <c r="F154" i="11"/>
  <c r="G154" i="11"/>
  <c r="I154" i="11"/>
  <c r="J154" i="11"/>
  <c r="K154" i="11"/>
  <c r="L154" i="11"/>
  <c r="M154" i="11"/>
  <c r="N154" i="11"/>
  <c r="C155" i="11"/>
  <c r="D155" i="11"/>
  <c r="E155" i="11"/>
  <c r="F155" i="11"/>
  <c r="G155" i="11"/>
  <c r="I155" i="11"/>
  <c r="J155" i="11"/>
  <c r="K155" i="11"/>
  <c r="L155" i="11"/>
  <c r="M155" i="11"/>
  <c r="N155" i="11"/>
  <c r="C156" i="11"/>
  <c r="D156" i="11"/>
  <c r="E156" i="11"/>
  <c r="F156" i="11"/>
  <c r="G156" i="11"/>
  <c r="I156" i="11"/>
  <c r="J156" i="11"/>
  <c r="K156" i="11"/>
  <c r="L156" i="11"/>
  <c r="M156" i="11"/>
  <c r="N156" i="11"/>
  <c r="C157" i="11"/>
  <c r="D157" i="11"/>
  <c r="E157" i="11"/>
  <c r="F157" i="11"/>
  <c r="G157" i="11"/>
  <c r="I157" i="11"/>
  <c r="J157" i="11"/>
  <c r="K157" i="11"/>
  <c r="L157" i="11"/>
  <c r="M157" i="11"/>
  <c r="N157" i="11"/>
  <c r="C158" i="11"/>
  <c r="D158" i="11"/>
  <c r="E158" i="11"/>
  <c r="F158" i="11"/>
  <c r="G158" i="11"/>
  <c r="I158" i="11"/>
  <c r="J158" i="11"/>
  <c r="K158" i="11"/>
  <c r="L158" i="11"/>
  <c r="M158" i="11"/>
  <c r="N158" i="11"/>
  <c r="C159" i="11"/>
  <c r="D159" i="11"/>
  <c r="E159" i="11"/>
  <c r="F159" i="11"/>
  <c r="G159" i="11"/>
  <c r="I159" i="11"/>
  <c r="J159" i="11"/>
  <c r="K159" i="11"/>
  <c r="L159" i="11"/>
  <c r="M159" i="11"/>
  <c r="N159" i="11"/>
  <c r="C160" i="11"/>
  <c r="D160" i="11"/>
  <c r="E160" i="11"/>
  <c r="F160" i="11"/>
  <c r="G160" i="11"/>
  <c r="I160" i="11"/>
  <c r="J160" i="11"/>
  <c r="K160" i="11"/>
  <c r="L160" i="11"/>
  <c r="M160" i="11"/>
  <c r="N160" i="11"/>
  <c r="C161" i="11"/>
  <c r="D161" i="11"/>
  <c r="E161" i="11"/>
  <c r="F161" i="11"/>
  <c r="G161" i="11"/>
  <c r="I161" i="11"/>
  <c r="J161" i="11"/>
  <c r="K161" i="11"/>
  <c r="L161" i="11"/>
  <c r="M161" i="11"/>
  <c r="N161" i="11"/>
  <c r="C162" i="11"/>
  <c r="D162" i="11"/>
  <c r="E162" i="11"/>
  <c r="F162" i="11"/>
  <c r="G162" i="11"/>
  <c r="I162" i="11"/>
  <c r="J162" i="11"/>
  <c r="K162" i="11"/>
  <c r="L162" i="11"/>
  <c r="M162" i="11"/>
  <c r="N162" i="11"/>
  <c r="C163" i="11"/>
  <c r="D163" i="11"/>
  <c r="E163" i="11"/>
  <c r="F163" i="11"/>
  <c r="G163" i="11"/>
  <c r="I163" i="11"/>
  <c r="J163" i="11"/>
  <c r="K163" i="11"/>
  <c r="L163" i="11"/>
  <c r="M163" i="11"/>
  <c r="N163" i="11"/>
  <c r="C164" i="11"/>
  <c r="D164" i="11"/>
  <c r="E164" i="11"/>
  <c r="F164" i="11"/>
  <c r="G164" i="11"/>
  <c r="I164" i="11"/>
  <c r="J164" i="11"/>
  <c r="K164" i="11"/>
  <c r="L164" i="11"/>
  <c r="M164" i="11"/>
  <c r="N164" i="11"/>
  <c r="C165" i="11"/>
  <c r="D165" i="11"/>
  <c r="E165" i="11"/>
  <c r="F165" i="11"/>
  <c r="G165" i="11"/>
  <c r="I165" i="11"/>
  <c r="J165" i="11"/>
  <c r="K165" i="11"/>
  <c r="L165" i="11"/>
  <c r="M165" i="11"/>
  <c r="N165" i="11"/>
  <c r="C166" i="11"/>
  <c r="D166" i="11"/>
  <c r="E166" i="11"/>
  <c r="F166" i="11"/>
  <c r="G166" i="11"/>
  <c r="I166" i="11"/>
  <c r="J166" i="11"/>
  <c r="K166" i="11"/>
  <c r="L166" i="11"/>
  <c r="M166" i="11"/>
  <c r="N166" i="11"/>
  <c r="C167" i="11"/>
  <c r="D167" i="11"/>
  <c r="E167" i="11"/>
  <c r="F167" i="11"/>
  <c r="G167" i="11"/>
  <c r="I167" i="11"/>
  <c r="J167" i="11"/>
  <c r="K167" i="11"/>
  <c r="L167" i="11"/>
  <c r="M167" i="11"/>
  <c r="N167" i="11"/>
  <c r="C168" i="11"/>
  <c r="D168" i="11"/>
  <c r="E168" i="11"/>
  <c r="F168" i="11"/>
  <c r="G168" i="11"/>
  <c r="I168" i="11"/>
  <c r="J168" i="11"/>
  <c r="K168" i="11"/>
  <c r="L168" i="11"/>
  <c r="M168" i="11"/>
  <c r="N168" i="11"/>
  <c r="C169" i="11"/>
  <c r="D169" i="11"/>
  <c r="E169" i="11"/>
  <c r="F169" i="11"/>
  <c r="G169" i="11"/>
  <c r="I169" i="11"/>
  <c r="J169" i="11"/>
  <c r="K169" i="11"/>
  <c r="L169" i="11"/>
  <c r="M169" i="11"/>
  <c r="N169" i="11"/>
  <c r="C170" i="11"/>
  <c r="D170" i="11"/>
  <c r="E170" i="11"/>
  <c r="F170" i="11"/>
  <c r="G170" i="11"/>
  <c r="I170" i="11"/>
  <c r="J170" i="11"/>
  <c r="K170" i="11"/>
  <c r="L170" i="11"/>
  <c r="M170" i="11"/>
  <c r="N170" i="11"/>
  <c r="C171" i="11"/>
  <c r="D171" i="11"/>
  <c r="E171" i="11"/>
  <c r="F171" i="11"/>
  <c r="G171" i="11"/>
  <c r="I171" i="11"/>
  <c r="J171" i="11"/>
  <c r="K171" i="11"/>
  <c r="L171" i="11"/>
  <c r="M171" i="11"/>
  <c r="N171" i="11"/>
  <c r="C172" i="11"/>
  <c r="D172" i="11"/>
  <c r="E172" i="11"/>
  <c r="F172" i="11"/>
  <c r="G172" i="11"/>
  <c r="I172" i="11"/>
  <c r="J172" i="11"/>
  <c r="K172" i="11"/>
  <c r="L172" i="11"/>
  <c r="M172" i="11"/>
  <c r="N172" i="11"/>
  <c r="C173" i="11"/>
  <c r="D173" i="11"/>
  <c r="E173" i="11"/>
  <c r="F173" i="11"/>
  <c r="G173" i="11"/>
  <c r="I173" i="11"/>
  <c r="J173" i="11"/>
  <c r="K173" i="11"/>
  <c r="L173" i="11"/>
  <c r="M173" i="11"/>
  <c r="N173" i="11"/>
  <c r="C174" i="11"/>
  <c r="D174" i="11"/>
  <c r="E174" i="11"/>
  <c r="F174" i="11"/>
  <c r="G174" i="11"/>
  <c r="I174" i="11"/>
  <c r="J174" i="11"/>
  <c r="K174" i="11"/>
  <c r="L174" i="11"/>
  <c r="M174" i="11"/>
  <c r="N174" i="11"/>
  <c r="C175" i="11"/>
  <c r="D175" i="11"/>
  <c r="E175" i="11"/>
  <c r="F175" i="11"/>
  <c r="G175" i="11"/>
  <c r="I175" i="11"/>
  <c r="J175" i="11"/>
  <c r="K175" i="11"/>
  <c r="L175" i="11"/>
  <c r="M175" i="11"/>
  <c r="N175" i="11"/>
  <c r="C176" i="11"/>
  <c r="D176" i="11"/>
  <c r="E176" i="11"/>
  <c r="F176" i="11"/>
  <c r="G176" i="11"/>
  <c r="I176" i="11"/>
  <c r="J176" i="11"/>
  <c r="K176" i="11"/>
  <c r="L176" i="11"/>
  <c r="M176" i="11"/>
  <c r="N176" i="11"/>
  <c r="C177" i="11"/>
  <c r="D177" i="11"/>
  <c r="E177" i="11"/>
  <c r="F177" i="11"/>
  <c r="G177" i="11"/>
  <c r="I177" i="11"/>
  <c r="J177" i="11"/>
  <c r="K177" i="11"/>
  <c r="L177" i="11"/>
  <c r="M177" i="11"/>
  <c r="N177" i="11"/>
  <c r="C178" i="11"/>
  <c r="D178" i="11"/>
  <c r="E178" i="11"/>
  <c r="F178" i="11"/>
  <c r="G178" i="11"/>
  <c r="I178" i="11"/>
  <c r="J178" i="11"/>
  <c r="K178" i="11"/>
  <c r="L178" i="11"/>
  <c r="M178" i="11"/>
  <c r="N178" i="11"/>
  <c r="C179" i="11"/>
  <c r="D179" i="11"/>
  <c r="E179" i="11"/>
  <c r="F179" i="11"/>
  <c r="G179" i="11"/>
  <c r="I179" i="11"/>
  <c r="J179" i="11"/>
  <c r="K179" i="11"/>
  <c r="L179" i="11"/>
  <c r="M179" i="11"/>
  <c r="N179" i="11"/>
  <c r="C180" i="11"/>
  <c r="D180" i="11"/>
  <c r="E180" i="11"/>
  <c r="F180" i="11"/>
  <c r="G180" i="11"/>
  <c r="I180" i="11"/>
  <c r="J180" i="11"/>
  <c r="K180" i="11"/>
  <c r="L180" i="11"/>
  <c r="M180" i="11"/>
  <c r="N180" i="11"/>
  <c r="C181" i="11"/>
  <c r="D181" i="11"/>
  <c r="E181" i="11"/>
  <c r="F181" i="11"/>
  <c r="G181" i="11"/>
  <c r="I181" i="11"/>
  <c r="J181" i="11"/>
  <c r="K181" i="11"/>
  <c r="L181" i="11"/>
  <c r="M181" i="11"/>
  <c r="N181" i="11"/>
  <c r="C182" i="11"/>
  <c r="D182" i="11"/>
  <c r="E182" i="11"/>
  <c r="F182" i="11"/>
  <c r="G182" i="11"/>
  <c r="I182" i="11"/>
  <c r="J182" i="11"/>
  <c r="K182" i="11"/>
  <c r="L182" i="11"/>
  <c r="M182" i="11"/>
  <c r="N182" i="11"/>
  <c r="C183" i="11"/>
  <c r="D183" i="11"/>
  <c r="E183" i="11"/>
  <c r="F183" i="11"/>
  <c r="G183" i="11"/>
  <c r="I183" i="11"/>
  <c r="J183" i="11"/>
  <c r="K183" i="11"/>
  <c r="L183" i="11"/>
  <c r="M183" i="11"/>
  <c r="N183" i="11"/>
  <c r="C184" i="11"/>
  <c r="D184" i="11"/>
  <c r="E184" i="11"/>
  <c r="F184" i="11"/>
  <c r="G184" i="11"/>
  <c r="I184" i="11"/>
  <c r="J184" i="11"/>
  <c r="K184" i="11"/>
  <c r="L184" i="11"/>
  <c r="M184" i="11"/>
  <c r="N184" i="11"/>
  <c r="C185" i="11"/>
  <c r="D185" i="11"/>
  <c r="E185" i="11"/>
  <c r="F185" i="11"/>
  <c r="G185" i="11"/>
  <c r="I185" i="11"/>
  <c r="J185" i="11"/>
  <c r="K185" i="11"/>
  <c r="L185" i="11"/>
  <c r="M185" i="11"/>
  <c r="N185" i="11"/>
  <c r="C186" i="11"/>
  <c r="D186" i="11"/>
  <c r="E186" i="11"/>
  <c r="F186" i="11"/>
  <c r="G186" i="11"/>
  <c r="I186" i="11"/>
  <c r="J186" i="11"/>
  <c r="K186" i="11"/>
  <c r="L186" i="11"/>
  <c r="M186" i="11"/>
  <c r="N186" i="11"/>
  <c r="C187" i="11"/>
  <c r="D187" i="11"/>
  <c r="E187" i="11"/>
  <c r="F187" i="11"/>
  <c r="G187" i="11"/>
  <c r="I187" i="11"/>
  <c r="J187" i="11"/>
  <c r="K187" i="11"/>
  <c r="L187" i="11"/>
  <c r="M187" i="11"/>
  <c r="N187" i="11"/>
  <c r="C188" i="11"/>
  <c r="D188" i="11"/>
  <c r="E188" i="11"/>
  <c r="F188" i="11"/>
  <c r="G188" i="11"/>
  <c r="I188" i="11"/>
  <c r="J188" i="11"/>
  <c r="K188" i="11"/>
  <c r="L188" i="11"/>
  <c r="M188" i="11"/>
  <c r="N188" i="11"/>
  <c r="C189" i="11"/>
  <c r="D189" i="11"/>
  <c r="E189" i="11"/>
  <c r="F189" i="11"/>
  <c r="G189" i="11"/>
  <c r="I189" i="11"/>
  <c r="J189" i="11"/>
  <c r="K189" i="11"/>
  <c r="L189" i="11"/>
  <c r="M189" i="11"/>
  <c r="N189" i="11"/>
  <c r="C190" i="11"/>
  <c r="D190" i="11"/>
  <c r="E190" i="11"/>
  <c r="F190" i="11"/>
  <c r="G190" i="11"/>
  <c r="I190" i="11"/>
  <c r="J190" i="11"/>
  <c r="K190" i="11"/>
  <c r="L190" i="11"/>
  <c r="M190" i="11"/>
  <c r="N190" i="11"/>
  <c r="C191" i="11"/>
  <c r="D191" i="11"/>
  <c r="E191" i="11"/>
  <c r="F191" i="11"/>
  <c r="G191" i="11"/>
  <c r="I191" i="11"/>
  <c r="J191" i="11"/>
  <c r="K191" i="11"/>
  <c r="L191" i="11"/>
  <c r="M191" i="11"/>
  <c r="N191" i="11"/>
  <c r="C192" i="11"/>
  <c r="D192" i="11"/>
  <c r="E192" i="11"/>
  <c r="F192" i="11"/>
  <c r="G192" i="11"/>
  <c r="I192" i="11"/>
  <c r="J192" i="11"/>
  <c r="K192" i="11"/>
  <c r="L192" i="11"/>
  <c r="M192" i="11"/>
  <c r="N192" i="11"/>
  <c r="C193" i="11"/>
  <c r="D193" i="11"/>
  <c r="E193" i="11"/>
  <c r="F193" i="11"/>
  <c r="G193" i="11"/>
  <c r="I193" i="11"/>
  <c r="J193" i="11"/>
  <c r="K193" i="11"/>
  <c r="L193" i="11"/>
  <c r="M193" i="11"/>
  <c r="N193" i="11"/>
  <c r="C194" i="11"/>
  <c r="D194" i="11"/>
  <c r="E194" i="11"/>
  <c r="F194" i="11"/>
  <c r="G194" i="11"/>
  <c r="I194" i="11"/>
  <c r="J194" i="11"/>
  <c r="K194" i="11"/>
  <c r="L194" i="11"/>
  <c r="M194" i="11"/>
  <c r="N194" i="11"/>
  <c r="C195" i="11"/>
  <c r="D195" i="11"/>
  <c r="E195" i="11"/>
  <c r="F195" i="11"/>
  <c r="G195" i="11"/>
  <c r="I195" i="11"/>
  <c r="J195" i="11"/>
  <c r="K195" i="11"/>
  <c r="L195" i="11"/>
  <c r="M195" i="11"/>
  <c r="N195" i="11"/>
  <c r="C196" i="11"/>
  <c r="D196" i="11"/>
  <c r="E196" i="11"/>
  <c r="F196" i="11"/>
  <c r="G196" i="11"/>
  <c r="I196" i="11"/>
  <c r="J196" i="11"/>
  <c r="K196" i="11"/>
  <c r="L196" i="11"/>
  <c r="M196" i="11"/>
  <c r="N196" i="11"/>
  <c r="C197" i="11"/>
  <c r="D197" i="11"/>
  <c r="E197" i="11"/>
  <c r="F197" i="11"/>
  <c r="G197" i="11"/>
  <c r="I197" i="11"/>
  <c r="J197" i="11"/>
  <c r="K197" i="11"/>
  <c r="L197" i="11"/>
  <c r="M197" i="11"/>
  <c r="N197" i="11"/>
  <c r="C198" i="11"/>
  <c r="D198" i="11"/>
  <c r="E198" i="11"/>
  <c r="F198" i="11"/>
  <c r="G198" i="11"/>
  <c r="I198" i="11"/>
  <c r="J198" i="11"/>
  <c r="K198" i="11"/>
  <c r="L198" i="11"/>
  <c r="M198" i="11"/>
  <c r="N198" i="11"/>
  <c r="C199" i="11"/>
  <c r="D199" i="11"/>
  <c r="E199" i="11"/>
  <c r="F199" i="11"/>
  <c r="G199" i="11"/>
  <c r="I199" i="11"/>
  <c r="J199" i="11"/>
  <c r="K199" i="11"/>
  <c r="L199" i="11"/>
  <c r="M199" i="11"/>
  <c r="N199" i="11"/>
  <c r="C200" i="11"/>
  <c r="D200" i="11"/>
  <c r="E200" i="11"/>
  <c r="F200" i="11"/>
  <c r="G200" i="11"/>
  <c r="I200" i="11"/>
  <c r="J200" i="11"/>
  <c r="K200" i="11"/>
  <c r="L200" i="11"/>
  <c r="M200" i="11"/>
  <c r="N200" i="11"/>
  <c r="C201" i="11"/>
  <c r="D201" i="11"/>
  <c r="E201" i="11"/>
  <c r="F201" i="11"/>
  <c r="G201" i="11"/>
  <c r="I201" i="11"/>
  <c r="J201" i="11"/>
  <c r="K201" i="11"/>
  <c r="L201" i="11"/>
  <c r="M201" i="11"/>
  <c r="N201" i="11"/>
  <c r="C202" i="11"/>
  <c r="D202" i="11"/>
  <c r="E202" i="11"/>
  <c r="F202" i="11"/>
  <c r="G202" i="11"/>
  <c r="I202" i="11"/>
  <c r="J202" i="11"/>
  <c r="K202" i="11"/>
  <c r="L202" i="11"/>
  <c r="M202" i="11"/>
  <c r="N202" i="11"/>
  <c r="C203" i="11"/>
  <c r="D203" i="11"/>
  <c r="E203" i="11"/>
  <c r="F203" i="11"/>
  <c r="G203" i="11"/>
  <c r="I203" i="11"/>
  <c r="J203" i="11"/>
  <c r="K203" i="11"/>
  <c r="L203" i="11"/>
  <c r="M203" i="11"/>
  <c r="N203" i="11"/>
  <c r="C204" i="11"/>
  <c r="D204" i="11"/>
  <c r="E204" i="11"/>
  <c r="F204" i="11"/>
  <c r="G204" i="11"/>
  <c r="I204" i="11"/>
  <c r="J204" i="11"/>
  <c r="K204" i="11"/>
  <c r="L204" i="11"/>
  <c r="M204" i="11"/>
  <c r="N204" i="11"/>
  <c r="C205" i="11"/>
  <c r="D205" i="11"/>
  <c r="E205" i="11"/>
  <c r="F205" i="11"/>
  <c r="G205" i="11"/>
  <c r="I205" i="11"/>
  <c r="J205" i="11"/>
  <c r="K205" i="11"/>
  <c r="L205" i="11"/>
  <c r="M205" i="11"/>
  <c r="N205" i="11"/>
  <c r="C206" i="11"/>
  <c r="D206" i="11"/>
  <c r="E206" i="11"/>
  <c r="F206" i="11"/>
  <c r="G206" i="11"/>
  <c r="I206" i="11"/>
  <c r="J206" i="11"/>
  <c r="K206" i="11"/>
  <c r="L206" i="11"/>
  <c r="M206" i="11"/>
  <c r="N206" i="11"/>
  <c r="C207" i="11"/>
  <c r="D207" i="11"/>
  <c r="E207" i="11"/>
  <c r="F207" i="11"/>
  <c r="G207" i="11"/>
  <c r="I207" i="11"/>
  <c r="J207" i="11"/>
  <c r="K207" i="11"/>
  <c r="L207" i="11"/>
  <c r="M207" i="11"/>
  <c r="N207" i="11"/>
  <c r="C208" i="11"/>
  <c r="D208" i="11"/>
  <c r="E208" i="11"/>
  <c r="F208" i="11"/>
  <c r="G208" i="11"/>
  <c r="I208" i="11"/>
  <c r="J208" i="11"/>
  <c r="K208" i="11"/>
  <c r="L208" i="11"/>
  <c r="M208" i="11"/>
  <c r="N208" i="11"/>
  <c r="C209" i="11"/>
  <c r="D209" i="11"/>
  <c r="E209" i="11"/>
  <c r="F209" i="11"/>
  <c r="G209" i="11"/>
  <c r="I209" i="11"/>
  <c r="J209" i="11"/>
  <c r="K209" i="11"/>
  <c r="L209" i="11"/>
  <c r="M209" i="11"/>
  <c r="N209" i="11"/>
  <c r="C210" i="11"/>
  <c r="D210" i="11"/>
  <c r="E210" i="11"/>
  <c r="F210" i="11"/>
  <c r="G210" i="11"/>
  <c r="I210" i="11"/>
  <c r="J210" i="11"/>
  <c r="K210" i="11"/>
  <c r="L210" i="11"/>
  <c r="M210" i="11"/>
  <c r="N210" i="11"/>
  <c r="C211" i="11"/>
  <c r="D211" i="11"/>
  <c r="E211" i="11"/>
  <c r="F211" i="11"/>
  <c r="G211" i="11"/>
  <c r="I211" i="11"/>
  <c r="J211" i="11"/>
  <c r="K211" i="11"/>
  <c r="L211" i="11"/>
  <c r="M211" i="11"/>
  <c r="N211" i="11"/>
  <c r="C212" i="11"/>
  <c r="D212" i="11"/>
  <c r="E212" i="11"/>
  <c r="F212" i="11"/>
  <c r="G212" i="11"/>
  <c r="I212" i="11"/>
  <c r="J212" i="11"/>
  <c r="K212" i="11"/>
  <c r="L212" i="11"/>
  <c r="M212" i="11"/>
  <c r="N212" i="11"/>
  <c r="C213" i="11"/>
  <c r="D213" i="11"/>
  <c r="E213" i="11"/>
  <c r="F213" i="11"/>
  <c r="G213" i="11"/>
  <c r="I213" i="11"/>
  <c r="J213" i="11"/>
  <c r="K213" i="11"/>
  <c r="L213" i="11"/>
  <c r="M213" i="11"/>
  <c r="N213" i="11"/>
  <c r="C214" i="11"/>
  <c r="D214" i="11"/>
  <c r="E214" i="11"/>
  <c r="F214" i="11"/>
  <c r="G214" i="11"/>
  <c r="I214" i="11"/>
  <c r="J214" i="11"/>
  <c r="K214" i="11"/>
  <c r="L214" i="11"/>
  <c r="M214" i="11"/>
  <c r="N214" i="11"/>
  <c r="C215" i="11"/>
  <c r="D215" i="11"/>
  <c r="E215" i="11"/>
  <c r="F215" i="11"/>
  <c r="G215" i="11"/>
  <c r="I215" i="11"/>
  <c r="J215" i="11"/>
  <c r="K215" i="11"/>
  <c r="L215" i="11"/>
  <c r="M215" i="11"/>
  <c r="N215" i="11"/>
  <c r="C216" i="11"/>
  <c r="D216" i="11"/>
  <c r="E216" i="11"/>
  <c r="F216" i="11"/>
  <c r="G216" i="11"/>
  <c r="I216" i="11"/>
  <c r="J216" i="11"/>
  <c r="K216" i="11"/>
  <c r="L216" i="11"/>
  <c r="M216" i="11"/>
  <c r="N216" i="11"/>
  <c r="C217" i="11"/>
  <c r="D217" i="11"/>
  <c r="E217" i="11"/>
  <c r="F217" i="11"/>
  <c r="G217" i="11"/>
  <c r="I217" i="11"/>
  <c r="J217" i="11"/>
  <c r="K217" i="11"/>
  <c r="L217" i="11"/>
  <c r="M217" i="11"/>
  <c r="N217" i="11"/>
  <c r="C218" i="11"/>
  <c r="D218" i="11"/>
  <c r="E218" i="11"/>
  <c r="F218" i="11"/>
  <c r="G218" i="11"/>
  <c r="I218" i="11"/>
  <c r="J218" i="11"/>
  <c r="K218" i="11"/>
  <c r="L218" i="11"/>
  <c r="M218" i="11"/>
  <c r="N218" i="11"/>
  <c r="C219" i="11"/>
  <c r="D219" i="11"/>
  <c r="E219" i="11"/>
  <c r="F219" i="11"/>
  <c r="G219" i="11"/>
  <c r="I219" i="11"/>
  <c r="J219" i="11"/>
  <c r="K219" i="11"/>
  <c r="L219" i="11"/>
  <c r="M219" i="11"/>
  <c r="N219" i="11"/>
  <c r="C220" i="11"/>
  <c r="D220" i="11"/>
  <c r="E220" i="11"/>
  <c r="F220" i="11"/>
  <c r="G220" i="11"/>
  <c r="I220" i="11"/>
  <c r="J220" i="11"/>
  <c r="K220" i="11"/>
  <c r="L220" i="11"/>
  <c r="M220" i="11"/>
  <c r="N220" i="11"/>
  <c r="C221" i="11"/>
  <c r="D221" i="11"/>
  <c r="E221" i="11"/>
  <c r="F221" i="11"/>
  <c r="G221" i="11"/>
  <c r="I221" i="11"/>
  <c r="J221" i="11"/>
  <c r="K221" i="11"/>
  <c r="L221" i="11"/>
  <c r="M221" i="11"/>
  <c r="N221" i="11"/>
  <c r="C222" i="11"/>
  <c r="D222" i="11"/>
  <c r="E222" i="11"/>
  <c r="F222" i="11"/>
  <c r="G222" i="11"/>
  <c r="I222" i="11"/>
  <c r="J222" i="11"/>
  <c r="K222" i="11"/>
  <c r="L222" i="11"/>
  <c r="M222" i="11"/>
  <c r="N222" i="11"/>
  <c r="C223" i="11"/>
  <c r="D223" i="11"/>
  <c r="E223" i="11"/>
  <c r="F223" i="11"/>
  <c r="G223" i="11"/>
  <c r="I223" i="11"/>
  <c r="J223" i="11"/>
  <c r="K223" i="11"/>
  <c r="L223" i="11"/>
  <c r="M223" i="11"/>
  <c r="N223" i="11"/>
  <c r="C224" i="11"/>
  <c r="D224" i="11"/>
  <c r="E224" i="11"/>
  <c r="F224" i="11"/>
  <c r="G224" i="11"/>
  <c r="I224" i="11"/>
  <c r="J224" i="11"/>
  <c r="K224" i="11"/>
  <c r="L224" i="11"/>
  <c r="M224" i="11"/>
  <c r="N224" i="11"/>
  <c r="C225" i="11"/>
  <c r="D225" i="11"/>
  <c r="E225" i="11"/>
  <c r="F225" i="11"/>
  <c r="G225" i="11"/>
  <c r="I225" i="11"/>
  <c r="J225" i="11"/>
  <c r="K225" i="11"/>
  <c r="L225" i="11"/>
  <c r="M225" i="11"/>
  <c r="N225" i="11"/>
  <c r="C226" i="11"/>
  <c r="D226" i="11"/>
  <c r="E226" i="11"/>
  <c r="F226" i="11"/>
  <c r="G226" i="11"/>
  <c r="I226" i="11"/>
  <c r="J226" i="11"/>
  <c r="K226" i="11"/>
  <c r="L226" i="11"/>
  <c r="M226" i="11"/>
  <c r="N226" i="11"/>
  <c r="C227" i="11"/>
  <c r="D227" i="11"/>
  <c r="E227" i="11"/>
  <c r="F227" i="11"/>
  <c r="G227" i="11"/>
  <c r="I227" i="11"/>
  <c r="J227" i="11"/>
  <c r="K227" i="11"/>
  <c r="L227" i="11"/>
  <c r="M227" i="11"/>
  <c r="N227" i="11"/>
  <c r="C228" i="11"/>
  <c r="D228" i="11"/>
  <c r="E228" i="11"/>
  <c r="F228" i="11"/>
  <c r="G228" i="11"/>
  <c r="I228" i="11"/>
  <c r="J228" i="11"/>
  <c r="K228" i="11"/>
  <c r="L228" i="11"/>
  <c r="M228" i="11"/>
  <c r="N228" i="11"/>
  <c r="C229" i="11"/>
  <c r="D229" i="11"/>
  <c r="E229" i="11"/>
  <c r="F229" i="11"/>
  <c r="G229" i="11"/>
  <c r="I229" i="11"/>
  <c r="J229" i="11"/>
  <c r="K229" i="11"/>
  <c r="L229" i="11"/>
  <c r="M229" i="11"/>
  <c r="N229" i="11"/>
  <c r="C230" i="11"/>
  <c r="D230" i="11"/>
  <c r="E230" i="11"/>
  <c r="F230" i="11"/>
  <c r="G230" i="11"/>
  <c r="I230" i="11"/>
  <c r="J230" i="11"/>
  <c r="K230" i="11"/>
  <c r="L230" i="11"/>
  <c r="M230" i="11"/>
  <c r="N230" i="11"/>
  <c r="C231" i="11"/>
  <c r="D231" i="11"/>
  <c r="E231" i="11"/>
  <c r="F231" i="11"/>
  <c r="G231" i="11"/>
  <c r="I231" i="11"/>
  <c r="J231" i="11"/>
  <c r="K231" i="11"/>
  <c r="L231" i="11"/>
  <c r="M231" i="11"/>
  <c r="N231" i="11"/>
  <c r="C232" i="11"/>
  <c r="D232" i="11"/>
  <c r="E232" i="11"/>
  <c r="F232" i="11"/>
  <c r="G232" i="11"/>
  <c r="I232" i="11"/>
  <c r="J232" i="11"/>
  <c r="K232" i="11"/>
  <c r="L232" i="11"/>
  <c r="M232" i="11"/>
  <c r="N232" i="11"/>
  <c r="C233" i="11"/>
  <c r="D233" i="11"/>
  <c r="E233" i="11"/>
  <c r="F233" i="11"/>
  <c r="G233" i="11"/>
  <c r="I233" i="11"/>
  <c r="J233" i="11"/>
  <c r="K233" i="11"/>
  <c r="L233" i="11"/>
  <c r="M233" i="11"/>
  <c r="N233" i="11"/>
  <c r="C234" i="11"/>
  <c r="D234" i="11"/>
  <c r="E234" i="11"/>
  <c r="F234" i="11"/>
  <c r="G234" i="11"/>
  <c r="I234" i="11"/>
  <c r="J234" i="11"/>
  <c r="K234" i="11"/>
  <c r="L234" i="11"/>
  <c r="M234" i="11"/>
  <c r="N234" i="11"/>
  <c r="C235" i="11"/>
  <c r="D235" i="11"/>
  <c r="E235" i="11"/>
  <c r="F235" i="11"/>
  <c r="G235" i="11"/>
  <c r="I235" i="11"/>
  <c r="J235" i="11"/>
  <c r="K235" i="11"/>
  <c r="L235" i="11"/>
  <c r="M235" i="11"/>
  <c r="N235" i="11"/>
  <c r="C236" i="11"/>
  <c r="D236" i="11"/>
  <c r="E236" i="11"/>
  <c r="F236" i="11"/>
  <c r="G236" i="11"/>
  <c r="I236" i="11"/>
  <c r="J236" i="11"/>
  <c r="K236" i="11"/>
  <c r="L236" i="11"/>
  <c r="M236" i="11"/>
  <c r="N236" i="11"/>
  <c r="C237" i="11"/>
  <c r="D237" i="11"/>
  <c r="E237" i="11"/>
  <c r="F237" i="11"/>
  <c r="G237" i="11"/>
  <c r="I237" i="11"/>
  <c r="J237" i="11"/>
  <c r="K237" i="11"/>
  <c r="L237" i="11"/>
  <c r="M237" i="11"/>
  <c r="N237" i="11"/>
  <c r="C238" i="11"/>
  <c r="D238" i="11"/>
  <c r="E238" i="11"/>
  <c r="F238" i="11"/>
  <c r="G238" i="11"/>
  <c r="I238" i="11"/>
  <c r="J238" i="11"/>
  <c r="K238" i="11"/>
  <c r="L238" i="11"/>
  <c r="M238" i="11"/>
  <c r="N238" i="11"/>
  <c r="C239" i="11"/>
  <c r="D239" i="11"/>
  <c r="E239" i="11"/>
  <c r="F239" i="11"/>
  <c r="G239" i="11"/>
  <c r="I239" i="11"/>
  <c r="J239" i="11"/>
  <c r="K239" i="11"/>
  <c r="L239" i="11"/>
  <c r="M239" i="11"/>
  <c r="N239" i="11"/>
  <c r="C240" i="11"/>
  <c r="D240" i="11"/>
  <c r="E240" i="11"/>
  <c r="F240" i="11"/>
  <c r="G240" i="11"/>
  <c r="I240" i="11"/>
  <c r="J240" i="11"/>
  <c r="K240" i="11"/>
  <c r="L240" i="11"/>
  <c r="M240" i="11"/>
  <c r="N240" i="11"/>
  <c r="C241" i="11"/>
  <c r="D241" i="11"/>
  <c r="E241" i="11"/>
  <c r="F241" i="11"/>
  <c r="G241" i="11"/>
  <c r="I241" i="11"/>
  <c r="J241" i="11"/>
  <c r="K241" i="11"/>
  <c r="L241" i="11"/>
  <c r="M241" i="11"/>
  <c r="N241" i="11"/>
  <c r="C242" i="11"/>
  <c r="D242" i="11"/>
  <c r="E242" i="11"/>
  <c r="F242" i="11"/>
  <c r="G242" i="11"/>
  <c r="I242" i="11"/>
  <c r="J242" i="11"/>
  <c r="K242" i="11"/>
  <c r="L242" i="11"/>
  <c r="M242" i="11"/>
  <c r="N242" i="11"/>
  <c r="C243" i="11"/>
  <c r="D243" i="11"/>
  <c r="E243" i="11"/>
  <c r="F243" i="11"/>
  <c r="G243" i="11"/>
  <c r="I243" i="11"/>
  <c r="J243" i="11"/>
  <c r="K243" i="11"/>
  <c r="L243" i="11"/>
  <c r="M243" i="11"/>
  <c r="N243" i="11"/>
  <c r="C244" i="11"/>
  <c r="D244" i="11"/>
  <c r="E244" i="11"/>
  <c r="F244" i="11"/>
  <c r="G244" i="11"/>
  <c r="I244" i="11"/>
  <c r="J244" i="11"/>
  <c r="K244" i="11"/>
  <c r="L244" i="11"/>
  <c r="M244" i="11"/>
  <c r="N244" i="11"/>
  <c r="C245" i="11"/>
  <c r="D245" i="11"/>
  <c r="E245" i="11"/>
  <c r="F245" i="11"/>
  <c r="G245" i="11"/>
  <c r="I245" i="11"/>
  <c r="J245" i="11"/>
  <c r="K245" i="11"/>
  <c r="L245" i="11"/>
  <c r="M245" i="11"/>
  <c r="N245" i="11"/>
  <c r="C246" i="11"/>
  <c r="D246" i="11"/>
  <c r="E246" i="11"/>
  <c r="F246" i="11"/>
  <c r="G246" i="11"/>
  <c r="I246" i="11"/>
  <c r="J246" i="11"/>
  <c r="K246" i="11"/>
  <c r="L246" i="11"/>
  <c r="M246" i="11"/>
  <c r="N246" i="11"/>
  <c r="C247" i="11"/>
  <c r="D247" i="11"/>
  <c r="E247" i="11"/>
  <c r="F247" i="11"/>
  <c r="G247" i="11"/>
  <c r="I247" i="11"/>
  <c r="J247" i="11"/>
  <c r="K247" i="11"/>
  <c r="L247" i="11"/>
  <c r="M247" i="11"/>
  <c r="N247" i="11"/>
  <c r="C248" i="11"/>
  <c r="D248" i="11"/>
  <c r="E248" i="11"/>
  <c r="F248" i="11"/>
  <c r="G248" i="11"/>
  <c r="I248" i="11"/>
  <c r="J248" i="11"/>
  <c r="K248" i="11"/>
  <c r="L248" i="11"/>
  <c r="M248" i="11"/>
  <c r="N248" i="11"/>
  <c r="C249" i="11"/>
  <c r="D249" i="11"/>
  <c r="E249" i="11"/>
  <c r="F249" i="11"/>
  <c r="G249" i="11"/>
  <c r="I249" i="11"/>
  <c r="J249" i="11"/>
  <c r="K249" i="11"/>
  <c r="L249" i="11"/>
  <c r="M249" i="11"/>
  <c r="N249" i="11"/>
  <c r="C250" i="11"/>
  <c r="D250" i="11"/>
  <c r="E250" i="11"/>
  <c r="F250" i="11"/>
  <c r="G250" i="11"/>
  <c r="I250" i="11"/>
  <c r="J250" i="11"/>
  <c r="K250" i="11"/>
  <c r="L250" i="11"/>
  <c r="M250" i="11"/>
  <c r="N250" i="11"/>
  <c r="C251" i="11"/>
  <c r="D251" i="11"/>
  <c r="E251" i="11"/>
  <c r="F251" i="11"/>
  <c r="G251" i="11"/>
  <c r="I251" i="11"/>
  <c r="J251" i="11"/>
  <c r="K251" i="11"/>
  <c r="L251" i="11"/>
  <c r="M251" i="11"/>
  <c r="N251" i="11"/>
  <c r="C252" i="11"/>
  <c r="D252" i="11"/>
  <c r="E252" i="11"/>
  <c r="F252" i="11"/>
  <c r="G252" i="11"/>
  <c r="I252" i="11"/>
  <c r="J252" i="11"/>
  <c r="K252" i="11"/>
  <c r="L252" i="11"/>
  <c r="M252" i="11"/>
  <c r="N252" i="11"/>
  <c r="C253" i="11"/>
  <c r="D253" i="11"/>
  <c r="E253" i="11"/>
  <c r="F253" i="11"/>
  <c r="G253" i="11"/>
  <c r="I253" i="11"/>
  <c r="J253" i="11"/>
  <c r="K253" i="11"/>
  <c r="L253" i="11"/>
  <c r="M253" i="11"/>
  <c r="N253" i="11"/>
  <c r="C254" i="11"/>
  <c r="D254" i="11"/>
  <c r="E254" i="11"/>
  <c r="F254" i="11"/>
  <c r="G254" i="11"/>
  <c r="I254" i="11"/>
  <c r="J254" i="11"/>
  <c r="K254" i="11"/>
  <c r="L254" i="11"/>
  <c r="M254" i="11"/>
  <c r="N254" i="11"/>
  <c r="C255" i="11"/>
  <c r="D255" i="11"/>
  <c r="E255" i="11"/>
  <c r="F255" i="11"/>
  <c r="G255" i="11"/>
  <c r="I255" i="11"/>
  <c r="J255" i="11"/>
  <c r="K255" i="11"/>
  <c r="L255" i="11"/>
  <c r="M255" i="11"/>
  <c r="N255" i="11"/>
  <c r="C256" i="11"/>
  <c r="D256" i="11"/>
  <c r="E256" i="11"/>
  <c r="F256" i="11"/>
  <c r="G256" i="11"/>
  <c r="I256" i="11"/>
  <c r="J256" i="11"/>
  <c r="K256" i="11"/>
  <c r="L256" i="11"/>
  <c r="M256" i="11"/>
  <c r="N256" i="11"/>
  <c r="C257" i="11"/>
  <c r="D257" i="11"/>
  <c r="E257" i="11"/>
  <c r="F257" i="11"/>
  <c r="G257" i="11"/>
  <c r="I257" i="11"/>
  <c r="J257" i="11"/>
  <c r="K257" i="11"/>
  <c r="L257" i="11"/>
  <c r="M257" i="11"/>
  <c r="N257" i="11"/>
  <c r="C258" i="11"/>
  <c r="D258" i="11"/>
  <c r="E258" i="11"/>
  <c r="F258" i="11"/>
  <c r="G258" i="11"/>
  <c r="I258" i="11"/>
  <c r="J258" i="11"/>
  <c r="K258" i="11"/>
  <c r="L258" i="11"/>
  <c r="M258" i="11"/>
  <c r="N258" i="11"/>
  <c r="C259" i="11"/>
  <c r="D259" i="11"/>
  <c r="E259" i="11"/>
  <c r="F259" i="11"/>
  <c r="G259" i="11"/>
  <c r="I259" i="11"/>
  <c r="J259" i="11"/>
  <c r="K259" i="11"/>
  <c r="L259" i="11"/>
  <c r="M259" i="11"/>
  <c r="N259" i="11"/>
  <c r="C260" i="11"/>
  <c r="D260" i="11"/>
  <c r="E260" i="11"/>
  <c r="F260" i="11"/>
  <c r="G260" i="11"/>
  <c r="I260" i="11"/>
  <c r="J260" i="11"/>
  <c r="K260" i="11"/>
  <c r="L260" i="11"/>
  <c r="M260" i="11"/>
  <c r="N260" i="11"/>
  <c r="C261" i="11"/>
  <c r="D261" i="11"/>
  <c r="E261" i="11"/>
  <c r="F261" i="11"/>
  <c r="G261" i="11"/>
  <c r="I261" i="11"/>
  <c r="J261" i="11"/>
  <c r="K261" i="11"/>
  <c r="L261" i="11"/>
  <c r="M261" i="11"/>
  <c r="N261" i="11"/>
  <c r="C262" i="11"/>
  <c r="D262" i="11"/>
  <c r="E262" i="11"/>
  <c r="F262" i="11"/>
  <c r="G262" i="11"/>
  <c r="I262" i="11"/>
  <c r="J262" i="11"/>
  <c r="K262" i="11"/>
  <c r="L262" i="11"/>
  <c r="M262" i="11"/>
  <c r="N262" i="11"/>
  <c r="C263" i="11"/>
  <c r="D263" i="11"/>
  <c r="E263" i="11"/>
  <c r="F263" i="11"/>
  <c r="G263" i="11"/>
  <c r="I263" i="11"/>
  <c r="J263" i="11"/>
  <c r="K263" i="11"/>
  <c r="L263" i="11"/>
  <c r="M263" i="11"/>
  <c r="N263" i="11"/>
  <c r="C264" i="11"/>
  <c r="D264" i="11"/>
  <c r="E264" i="11"/>
  <c r="F264" i="11"/>
  <c r="G264" i="11"/>
  <c r="I264" i="11"/>
  <c r="J264" i="11"/>
  <c r="K264" i="11"/>
  <c r="L264" i="11"/>
  <c r="M264" i="11"/>
  <c r="N264" i="11"/>
  <c r="C265" i="11"/>
  <c r="D265" i="11"/>
  <c r="E265" i="11"/>
  <c r="F265" i="11"/>
  <c r="G265" i="11"/>
  <c r="I265" i="11"/>
  <c r="J265" i="11"/>
  <c r="K265" i="11"/>
  <c r="L265" i="11"/>
  <c r="M265" i="11"/>
  <c r="N265" i="11"/>
  <c r="C266" i="11"/>
  <c r="D266" i="11"/>
  <c r="E266" i="11"/>
  <c r="F266" i="11"/>
  <c r="G266" i="11"/>
  <c r="I266" i="11"/>
  <c r="J266" i="11"/>
  <c r="K266" i="11"/>
  <c r="L266" i="11"/>
  <c r="M266" i="11"/>
  <c r="N266" i="11"/>
  <c r="C267" i="11"/>
  <c r="D267" i="11"/>
  <c r="E267" i="11"/>
  <c r="F267" i="11"/>
  <c r="G267" i="11"/>
  <c r="I267" i="11"/>
  <c r="J267" i="11"/>
  <c r="K267" i="11"/>
  <c r="L267" i="11"/>
  <c r="M267" i="11"/>
  <c r="N267" i="11"/>
  <c r="C268" i="11"/>
  <c r="D268" i="11"/>
  <c r="E268" i="11"/>
  <c r="F268" i="11"/>
  <c r="G268" i="11"/>
  <c r="I268" i="11"/>
  <c r="J268" i="11"/>
  <c r="K268" i="11"/>
  <c r="L268" i="11"/>
  <c r="M268" i="11"/>
  <c r="N268" i="11"/>
  <c r="C269" i="11"/>
  <c r="D269" i="11"/>
  <c r="E269" i="11"/>
  <c r="F269" i="11"/>
  <c r="G269" i="11"/>
  <c r="I269" i="11"/>
  <c r="J269" i="11"/>
  <c r="K269" i="11"/>
  <c r="L269" i="11"/>
  <c r="M269" i="11"/>
  <c r="N269" i="11"/>
  <c r="C270" i="11"/>
  <c r="D270" i="11"/>
  <c r="E270" i="11"/>
  <c r="F270" i="11"/>
  <c r="G270" i="11"/>
  <c r="I270" i="11"/>
  <c r="J270" i="11"/>
  <c r="K270" i="11"/>
  <c r="L270" i="11"/>
  <c r="M270" i="11"/>
  <c r="N270" i="11"/>
  <c r="C271" i="11"/>
  <c r="D271" i="11"/>
  <c r="E271" i="11"/>
  <c r="F271" i="11"/>
  <c r="G271" i="11"/>
  <c r="I271" i="11"/>
  <c r="J271" i="11"/>
  <c r="K271" i="11"/>
  <c r="L271" i="11"/>
  <c r="M271" i="11"/>
  <c r="N271" i="11"/>
  <c r="C272" i="11"/>
  <c r="D272" i="11"/>
  <c r="E272" i="11"/>
  <c r="F272" i="11"/>
  <c r="G272" i="11"/>
  <c r="I272" i="11"/>
  <c r="J272" i="11"/>
  <c r="K272" i="11"/>
  <c r="L272" i="11"/>
  <c r="M272" i="11"/>
  <c r="N272" i="11"/>
  <c r="C273" i="11"/>
  <c r="D273" i="11"/>
  <c r="E273" i="11"/>
  <c r="F273" i="11"/>
  <c r="G273" i="11"/>
  <c r="I273" i="11"/>
  <c r="J273" i="11"/>
  <c r="K273" i="11"/>
  <c r="L273" i="11"/>
  <c r="M273" i="11"/>
  <c r="N273" i="11"/>
  <c r="C274" i="11"/>
  <c r="D274" i="11"/>
  <c r="E274" i="11"/>
  <c r="F274" i="11"/>
  <c r="G274" i="11"/>
  <c r="I274" i="11"/>
  <c r="J274" i="11"/>
  <c r="K274" i="11"/>
  <c r="L274" i="11"/>
  <c r="M274" i="11"/>
  <c r="N274" i="11"/>
  <c r="C275" i="11"/>
  <c r="D275" i="11"/>
  <c r="E275" i="11"/>
  <c r="F275" i="11"/>
  <c r="G275" i="11"/>
  <c r="I275" i="11"/>
  <c r="J275" i="11"/>
  <c r="K275" i="11"/>
  <c r="L275" i="11"/>
  <c r="M275" i="11"/>
  <c r="N275" i="11"/>
  <c r="C276" i="11"/>
  <c r="D276" i="11"/>
  <c r="E276" i="11"/>
  <c r="F276" i="11"/>
  <c r="G276" i="11"/>
  <c r="I276" i="11"/>
  <c r="J276" i="11"/>
  <c r="K276" i="11"/>
  <c r="L276" i="11"/>
  <c r="M276" i="11"/>
  <c r="N276" i="11"/>
  <c r="C277" i="11"/>
  <c r="D277" i="11"/>
  <c r="E277" i="11"/>
  <c r="F277" i="11"/>
  <c r="G277" i="11"/>
  <c r="I277" i="11"/>
  <c r="J277" i="11"/>
  <c r="K277" i="11"/>
  <c r="L277" i="11"/>
  <c r="M277" i="11"/>
  <c r="N277" i="11"/>
  <c r="C278" i="11"/>
  <c r="D278" i="11"/>
  <c r="E278" i="11"/>
  <c r="F278" i="11"/>
  <c r="G278" i="11"/>
  <c r="I278" i="11"/>
  <c r="J278" i="11"/>
  <c r="K278" i="11"/>
  <c r="L278" i="11"/>
  <c r="M278" i="11"/>
  <c r="N278" i="11"/>
  <c r="C279" i="11"/>
  <c r="D279" i="11"/>
  <c r="E279" i="11"/>
  <c r="F279" i="11"/>
  <c r="G279" i="11"/>
  <c r="I279" i="11"/>
  <c r="J279" i="11"/>
  <c r="K279" i="11"/>
  <c r="L279" i="11"/>
  <c r="M279" i="11"/>
  <c r="N279" i="11"/>
  <c r="C280" i="11"/>
  <c r="D280" i="11"/>
  <c r="E280" i="11"/>
  <c r="F280" i="11"/>
  <c r="G280" i="11"/>
  <c r="I280" i="11"/>
  <c r="J280" i="11"/>
  <c r="K280" i="11"/>
  <c r="L280" i="11"/>
  <c r="M280" i="11"/>
  <c r="N280" i="11"/>
  <c r="C281" i="11"/>
  <c r="D281" i="11"/>
  <c r="E281" i="11"/>
  <c r="F281" i="11"/>
  <c r="G281" i="11"/>
  <c r="I281" i="11"/>
  <c r="J281" i="11"/>
  <c r="K281" i="11"/>
  <c r="L281" i="11"/>
  <c r="M281" i="11"/>
  <c r="N281" i="11"/>
  <c r="C282" i="11"/>
  <c r="D282" i="11"/>
  <c r="E282" i="11"/>
  <c r="F282" i="11"/>
  <c r="G282" i="11"/>
  <c r="I282" i="11"/>
  <c r="J282" i="11"/>
  <c r="K282" i="11"/>
  <c r="L282" i="11"/>
  <c r="M282" i="11"/>
  <c r="N282" i="11"/>
  <c r="C283" i="11"/>
  <c r="D283" i="11"/>
  <c r="E283" i="11"/>
  <c r="F283" i="11"/>
  <c r="G283" i="11"/>
  <c r="I283" i="11"/>
  <c r="J283" i="11"/>
  <c r="K283" i="11"/>
  <c r="L283" i="11"/>
  <c r="M283" i="11"/>
  <c r="N283" i="11"/>
  <c r="C284" i="11"/>
  <c r="D284" i="11"/>
  <c r="E284" i="11"/>
  <c r="F284" i="11"/>
  <c r="G284" i="11"/>
  <c r="I284" i="11"/>
  <c r="J284" i="11"/>
  <c r="K284" i="11"/>
  <c r="L284" i="11"/>
  <c r="M284" i="11"/>
  <c r="N284" i="11"/>
  <c r="C285" i="11"/>
  <c r="D285" i="11"/>
  <c r="E285" i="11"/>
  <c r="F285" i="11"/>
  <c r="G285" i="11"/>
  <c r="I285" i="11"/>
  <c r="J285" i="11"/>
  <c r="K285" i="11"/>
  <c r="L285" i="11"/>
  <c r="M285" i="11"/>
  <c r="N285" i="11"/>
  <c r="C286" i="11"/>
  <c r="D286" i="11"/>
  <c r="E286" i="11"/>
  <c r="F286" i="11"/>
  <c r="G286" i="11"/>
  <c r="I286" i="11"/>
  <c r="J286" i="11"/>
  <c r="K286" i="11"/>
  <c r="L286" i="11"/>
  <c r="M286" i="11"/>
  <c r="N286" i="11"/>
  <c r="C287" i="11"/>
  <c r="D287" i="11"/>
  <c r="E287" i="11"/>
  <c r="F287" i="11"/>
  <c r="G287" i="11"/>
  <c r="I287" i="11"/>
  <c r="J287" i="11"/>
  <c r="K287" i="11"/>
  <c r="L287" i="11"/>
  <c r="M287" i="11"/>
  <c r="N287" i="11"/>
  <c r="C288" i="11"/>
  <c r="D288" i="11"/>
  <c r="E288" i="11"/>
  <c r="F288" i="11"/>
  <c r="G288" i="11"/>
  <c r="I288" i="11"/>
  <c r="J288" i="11"/>
  <c r="K288" i="11"/>
  <c r="L288" i="11"/>
  <c r="M288" i="11"/>
  <c r="N288" i="11"/>
  <c r="C289" i="11"/>
  <c r="D289" i="11"/>
  <c r="E289" i="11"/>
  <c r="F289" i="11"/>
  <c r="G289" i="11"/>
  <c r="I289" i="11"/>
  <c r="J289" i="11"/>
  <c r="K289" i="11"/>
  <c r="L289" i="11"/>
  <c r="M289" i="11"/>
  <c r="N289" i="11"/>
  <c r="C290" i="11"/>
  <c r="D290" i="11"/>
  <c r="E290" i="11"/>
  <c r="F290" i="11"/>
  <c r="G290" i="11"/>
  <c r="I290" i="11"/>
  <c r="J290" i="11"/>
  <c r="K290" i="11"/>
  <c r="L290" i="11"/>
  <c r="M290" i="11"/>
  <c r="N290" i="11"/>
  <c r="C291" i="11"/>
  <c r="D291" i="11"/>
  <c r="E291" i="11"/>
  <c r="F291" i="11"/>
  <c r="G291" i="11"/>
  <c r="I291" i="11"/>
  <c r="J291" i="11"/>
  <c r="K291" i="11"/>
  <c r="L291" i="11"/>
  <c r="M291" i="11"/>
  <c r="N291" i="11"/>
  <c r="C292" i="11"/>
  <c r="D292" i="11"/>
  <c r="E292" i="11"/>
  <c r="F292" i="11"/>
  <c r="G292" i="11"/>
  <c r="I292" i="11"/>
  <c r="J292" i="11"/>
  <c r="K292" i="11"/>
  <c r="L292" i="11"/>
  <c r="M292" i="11"/>
  <c r="N292" i="11"/>
  <c r="C293" i="11"/>
  <c r="D293" i="11"/>
  <c r="E293" i="11"/>
  <c r="F293" i="11"/>
  <c r="G293" i="11"/>
  <c r="I293" i="11"/>
  <c r="J293" i="11"/>
  <c r="K293" i="11"/>
  <c r="L293" i="11"/>
  <c r="M293" i="11"/>
  <c r="N293" i="11"/>
  <c r="C294" i="11"/>
  <c r="D294" i="11"/>
  <c r="E294" i="11"/>
  <c r="F294" i="11"/>
  <c r="G294" i="11"/>
  <c r="I294" i="11"/>
  <c r="J294" i="11"/>
  <c r="K294" i="11"/>
  <c r="L294" i="11"/>
  <c r="M294" i="11"/>
  <c r="N294" i="11"/>
  <c r="C295" i="11"/>
  <c r="D295" i="11"/>
  <c r="E295" i="11"/>
  <c r="F295" i="11"/>
  <c r="G295" i="11"/>
  <c r="I295" i="11"/>
  <c r="J295" i="11"/>
  <c r="K295" i="11"/>
  <c r="L295" i="11"/>
  <c r="M295" i="11"/>
  <c r="N295" i="11"/>
  <c r="C296" i="11"/>
  <c r="D296" i="11"/>
  <c r="E296" i="11"/>
  <c r="F296" i="11"/>
  <c r="G296" i="11"/>
  <c r="I296" i="11"/>
  <c r="J296" i="11"/>
  <c r="K296" i="11"/>
  <c r="L296" i="11"/>
  <c r="M296" i="11"/>
  <c r="N296" i="11"/>
  <c r="C297" i="11"/>
  <c r="D297" i="11"/>
  <c r="E297" i="11"/>
  <c r="F297" i="11"/>
  <c r="G297" i="11"/>
  <c r="I297" i="11"/>
  <c r="J297" i="11"/>
  <c r="K297" i="11"/>
  <c r="L297" i="11"/>
  <c r="M297" i="11"/>
  <c r="N297" i="11"/>
  <c r="C298" i="11"/>
  <c r="D298" i="11"/>
  <c r="E298" i="11"/>
  <c r="F298" i="11"/>
  <c r="G298" i="11"/>
  <c r="I298" i="11"/>
  <c r="J298" i="11"/>
  <c r="K298" i="11"/>
  <c r="L298" i="11"/>
  <c r="M298" i="11"/>
  <c r="N298" i="11"/>
  <c r="C299" i="11"/>
  <c r="D299" i="11"/>
  <c r="E299" i="11"/>
  <c r="F299" i="11"/>
  <c r="G299" i="11"/>
  <c r="I299" i="11"/>
  <c r="J299" i="11"/>
  <c r="K299" i="11"/>
  <c r="L299" i="11"/>
  <c r="M299" i="11"/>
  <c r="N299" i="11"/>
  <c r="C300" i="11"/>
  <c r="D300" i="11"/>
  <c r="E300" i="11"/>
  <c r="F300" i="11"/>
  <c r="G300" i="11"/>
  <c r="I300" i="11"/>
  <c r="J300" i="11"/>
  <c r="K300" i="11"/>
  <c r="L300" i="11"/>
  <c r="M300" i="11"/>
  <c r="N300" i="11"/>
  <c r="C301" i="11"/>
  <c r="D301" i="11"/>
  <c r="E301" i="11"/>
  <c r="F301" i="11"/>
  <c r="G301" i="11"/>
  <c r="I301" i="11"/>
  <c r="J301" i="11"/>
  <c r="K301" i="11"/>
  <c r="L301" i="11"/>
  <c r="M301" i="11"/>
  <c r="N301" i="11"/>
  <c r="C302" i="11"/>
  <c r="D302" i="11"/>
  <c r="E302" i="11"/>
  <c r="F302" i="11"/>
  <c r="G302" i="11"/>
  <c r="I302" i="11"/>
  <c r="J302" i="11"/>
  <c r="K302" i="11"/>
  <c r="L302" i="11"/>
  <c r="M302" i="11"/>
  <c r="N302" i="11"/>
  <c r="C303" i="11"/>
  <c r="D303" i="11"/>
  <c r="E303" i="11"/>
  <c r="F303" i="11"/>
  <c r="G303" i="11"/>
  <c r="I303" i="11"/>
  <c r="J303" i="11"/>
  <c r="K303" i="11"/>
  <c r="L303" i="11"/>
  <c r="M303" i="11"/>
  <c r="N303" i="11"/>
  <c r="C304" i="11"/>
  <c r="D304" i="11"/>
  <c r="E304" i="11"/>
  <c r="F304" i="11"/>
  <c r="G304" i="11"/>
  <c r="I304" i="11"/>
  <c r="J304" i="11"/>
  <c r="K304" i="11"/>
  <c r="L304" i="11"/>
  <c r="M304" i="11"/>
  <c r="N304" i="11"/>
  <c r="C305" i="11"/>
  <c r="D305" i="11"/>
  <c r="E305" i="11"/>
  <c r="F305" i="11"/>
  <c r="G305" i="11"/>
  <c r="I305" i="11"/>
  <c r="J305" i="11"/>
  <c r="K305" i="11"/>
  <c r="L305" i="11"/>
  <c r="M305" i="11"/>
  <c r="N305" i="11"/>
  <c r="C306" i="11"/>
  <c r="D306" i="11"/>
  <c r="E306" i="11"/>
  <c r="F306" i="11"/>
  <c r="G306" i="11"/>
  <c r="I306" i="11"/>
  <c r="J306" i="11"/>
  <c r="K306" i="11"/>
  <c r="L306" i="11"/>
  <c r="M306" i="11"/>
  <c r="N306" i="11"/>
  <c r="C307" i="11"/>
  <c r="D307" i="11"/>
  <c r="E307" i="11"/>
  <c r="F307" i="11"/>
  <c r="G307" i="11"/>
  <c r="I307" i="11"/>
  <c r="J307" i="11"/>
  <c r="K307" i="11"/>
  <c r="L307" i="11"/>
  <c r="M307" i="11"/>
  <c r="N307" i="11"/>
  <c r="C308" i="11"/>
  <c r="D308" i="11"/>
  <c r="E308" i="11"/>
  <c r="F308" i="11"/>
  <c r="G308" i="11"/>
  <c r="I308" i="11"/>
  <c r="J308" i="11"/>
  <c r="K308" i="11"/>
  <c r="L308" i="11"/>
  <c r="M308" i="11"/>
  <c r="N308" i="11"/>
  <c r="C309" i="11"/>
  <c r="D309" i="11"/>
  <c r="E309" i="11"/>
  <c r="F309" i="11"/>
  <c r="G309" i="11"/>
  <c r="I309" i="11"/>
  <c r="J309" i="11"/>
  <c r="K309" i="11"/>
  <c r="L309" i="11"/>
  <c r="M309" i="11"/>
  <c r="N309" i="11"/>
  <c r="C310" i="11"/>
  <c r="D310" i="11"/>
  <c r="E310" i="11"/>
  <c r="F310" i="11"/>
  <c r="G310" i="11"/>
  <c r="I310" i="11"/>
  <c r="J310" i="11"/>
  <c r="K310" i="11"/>
  <c r="L310" i="11"/>
  <c r="M310" i="11"/>
  <c r="N310" i="11"/>
  <c r="C311" i="11"/>
  <c r="D311" i="11"/>
  <c r="E311" i="11"/>
  <c r="F311" i="11"/>
  <c r="G311" i="11"/>
  <c r="I311" i="11"/>
  <c r="J311" i="11"/>
  <c r="K311" i="11"/>
  <c r="L311" i="11"/>
  <c r="M311" i="11"/>
  <c r="N311" i="11"/>
  <c r="C312" i="11"/>
  <c r="D312" i="11"/>
  <c r="E312" i="11"/>
  <c r="F312" i="11"/>
  <c r="G312" i="11"/>
  <c r="I312" i="11"/>
  <c r="J312" i="11"/>
  <c r="K312" i="11"/>
  <c r="L312" i="11"/>
  <c r="M312" i="11"/>
  <c r="N312" i="11"/>
  <c r="C313" i="11"/>
  <c r="D313" i="11"/>
  <c r="E313" i="11"/>
  <c r="F313" i="11"/>
  <c r="G313" i="11"/>
  <c r="I313" i="11"/>
  <c r="J313" i="11"/>
  <c r="K313" i="11"/>
  <c r="L313" i="11"/>
  <c r="M313" i="11"/>
  <c r="N313" i="11"/>
  <c r="C314" i="11"/>
  <c r="D314" i="11"/>
  <c r="E314" i="11"/>
  <c r="F314" i="11"/>
  <c r="G314" i="11"/>
  <c r="I314" i="11"/>
  <c r="J314" i="11"/>
  <c r="K314" i="11"/>
  <c r="L314" i="11"/>
  <c r="M314" i="11"/>
  <c r="N314" i="11"/>
  <c r="C315" i="11"/>
  <c r="D315" i="11"/>
  <c r="E315" i="11"/>
  <c r="F315" i="11"/>
  <c r="G315" i="11"/>
  <c r="I315" i="11"/>
  <c r="J315" i="11"/>
  <c r="K315" i="11"/>
  <c r="L315" i="11"/>
  <c r="M315" i="11"/>
  <c r="N315" i="11"/>
  <c r="C316" i="11"/>
  <c r="D316" i="11"/>
  <c r="E316" i="11"/>
  <c r="F316" i="11"/>
  <c r="G316" i="11"/>
  <c r="I316" i="11"/>
  <c r="J316" i="11"/>
  <c r="K316" i="11"/>
  <c r="L316" i="11"/>
  <c r="M316" i="11"/>
  <c r="N316" i="11"/>
  <c r="C317" i="11"/>
  <c r="D317" i="11"/>
  <c r="E317" i="11"/>
  <c r="F317" i="11"/>
  <c r="G317" i="11"/>
  <c r="I317" i="11"/>
  <c r="J317" i="11"/>
  <c r="K317" i="11"/>
  <c r="L317" i="11"/>
  <c r="M317" i="11"/>
  <c r="N317" i="11"/>
  <c r="C318" i="11"/>
  <c r="D318" i="11"/>
  <c r="E318" i="11"/>
  <c r="F318" i="11"/>
  <c r="G318" i="11"/>
  <c r="I318" i="11"/>
  <c r="J318" i="11"/>
  <c r="K318" i="11"/>
  <c r="L318" i="11"/>
  <c r="M318" i="11"/>
  <c r="N318" i="11"/>
  <c r="C319" i="11"/>
  <c r="D319" i="11"/>
  <c r="E319" i="11"/>
  <c r="F319" i="11"/>
  <c r="G319" i="11"/>
  <c r="I319" i="11"/>
  <c r="J319" i="11"/>
  <c r="K319" i="11"/>
  <c r="L319" i="11"/>
  <c r="M319" i="11"/>
  <c r="N319" i="11"/>
  <c r="C320" i="11"/>
  <c r="D320" i="11"/>
  <c r="E320" i="11"/>
  <c r="F320" i="11"/>
  <c r="G320" i="11"/>
  <c r="I320" i="11"/>
  <c r="J320" i="11"/>
  <c r="K320" i="11"/>
  <c r="L320" i="11"/>
  <c r="M320" i="11"/>
  <c r="N320" i="11"/>
  <c r="C321" i="11"/>
  <c r="D321" i="11"/>
  <c r="E321" i="11"/>
  <c r="F321" i="11"/>
  <c r="G321" i="11"/>
  <c r="I321" i="11"/>
  <c r="J321" i="11"/>
  <c r="K321" i="11"/>
  <c r="L321" i="11"/>
  <c r="M321" i="11"/>
  <c r="N321" i="11"/>
  <c r="C322" i="11"/>
  <c r="D322" i="11"/>
  <c r="E322" i="11"/>
  <c r="F322" i="11"/>
  <c r="G322" i="11"/>
  <c r="I322" i="11"/>
  <c r="J322" i="11"/>
  <c r="K322" i="11"/>
  <c r="L322" i="11"/>
  <c r="M322" i="11"/>
  <c r="N322" i="11"/>
  <c r="C323" i="11"/>
  <c r="D323" i="11"/>
  <c r="E323" i="11"/>
  <c r="F323" i="11"/>
  <c r="G323" i="11"/>
  <c r="I323" i="11"/>
  <c r="J323" i="11"/>
  <c r="K323" i="11"/>
  <c r="L323" i="11"/>
  <c r="M323" i="11"/>
  <c r="N323" i="11"/>
  <c r="C324" i="11"/>
  <c r="D324" i="11"/>
  <c r="E324" i="11"/>
  <c r="F324" i="11"/>
  <c r="G324" i="11"/>
  <c r="I324" i="11"/>
  <c r="J324" i="11"/>
  <c r="K324" i="11"/>
  <c r="L324" i="11"/>
  <c r="M324" i="11"/>
  <c r="N324" i="11"/>
  <c r="C325" i="11"/>
  <c r="D325" i="11"/>
  <c r="E325" i="11"/>
  <c r="F325" i="11"/>
  <c r="G325" i="11"/>
  <c r="I325" i="11"/>
  <c r="J325" i="11"/>
  <c r="K325" i="11"/>
  <c r="L325" i="11"/>
  <c r="M325" i="11"/>
  <c r="N325" i="11"/>
  <c r="C326" i="11"/>
  <c r="D326" i="11"/>
  <c r="E326" i="11"/>
  <c r="F326" i="11"/>
  <c r="G326" i="11"/>
  <c r="I326" i="11"/>
  <c r="J326" i="11"/>
  <c r="K326" i="11"/>
  <c r="L326" i="11"/>
  <c r="M326" i="11"/>
  <c r="N326" i="11"/>
  <c r="C327" i="11"/>
  <c r="D327" i="11"/>
  <c r="E327" i="11"/>
  <c r="F327" i="11"/>
  <c r="G327" i="11"/>
  <c r="I327" i="11"/>
  <c r="J327" i="11"/>
  <c r="K327" i="11"/>
  <c r="L327" i="11"/>
  <c r="M327" i="11"/>
  <c r="N327" i="11"/>
  <c r="C328" i="11"/>
  <c r="D328" i="11"/>
  <c r="E328" i="11"/>
  <c r="F328" i="11"/>
  <c r="G328" i="11"/>
  <c r="I328" i="11"/>
  <c r="J328" i="11"/>
  <c r="K328" i="11"/>
  <c r="L328" i="11"/>
  <c r="M328" i="11"/>
  <c r="N328" i="11"/>
  <c r="C329" i="11"/>
  <c r="D329" i="11"/>
  <c r="E329" i="11"/>
  <c r="F329" i="11"/>
  <c r="G329" i="11"/>
  <c r="I329" i="11"/>
  <c r="J329" i="11"/>
  <c r="K329" i="11"/>
  <c r="L329" i="11"/>
  <c r="M329" i="11"/>
  <c r="N329" i="11"/>
  <c r="C330" i="11"/>
  <c r="D330" i="11"/>
  <c r="E330" i="11"/>
  <c r="F330" i="11"/>
  <c r="G330" i="11"/>
  <c r="I330" i="11"/>
  <c r="J330" i="11"/>
  <c r="K330" i="11"/>
  <c r="L330" i="11"/>
  <c r="M330" i="11"/>
  <c r="N330" i="11"/>
  <c r="C331" i="11"/>
  <c r="D331" i="11"/>
  <c r="E331" i="11"/>
  <c r="F331" i="11"/>
  <c r="G331" i="11"/>
  <c r="I331" i="11"/>
  <c r="J331" i="11"/>
  <c r="K331" i="11"/>
  <c r="L331" i="11"/>
  <c r="M331" i="11"/>
  <c r="N331" i="11"/>
  <c r="C332" i="11"/>
  <c r="D332" i="11"/>
  <c r="E332" i="11"/>
  <c r="F332" i="11"/>
  <c r="G332" i="11"/>
  <c r="I332" i="11"/>
  <c r="J332" i="11"/>
  <c r="K332" i="11"/>
  <c r="L332" i="11"/>
  <c r="M332" i="11"/>
  <c r="N332" i="11"/>
  <c r="C333" i="11"/>
  <c r="D333" i="11"/>
  <c r="E333" i="11"/>
  <c r="F333" i="11"/>
  <c r="G333" i="11"/>
  <c r="I333" i="11"/>
  <c r="J333" i="11"/>
  <c r="K333" i="11"/>
  <c r="L333" i="11"/>
  <c r="M333" i="11"/>
  <c r="N333" i="11"/>
  <c r="C334" i="11"/>
  <c r="D334" i="11"/>
  <c r="E334" i="11"/>
  <c r="F334" i="11"/>
  <c r="G334" i="11"/>
  <c r="I334" i="11"/>
  <c r="J334" i="11"/>
  <c r="K334" i="11"/>
  <c r="L334" i="11"/>
  <c r="M334" i="11"/>
  <c r="N334" i="11"/>
  <c r="C335" i="11"/>
  <c r="D335" i="11"/>
  <c r="E335" i="11"/>
  <c r="F335" i="11"/>
  <c r="G335" i="11"/>
  <c r="I335" i="11"/>
  <c r="J335" i="11"/>
  <c r="K335" i="11"/>
  <c r="L335" i="11"/>
  <c r="M335" i="11"/>
  <c r="N335" i="11"/>
  <c r="C336" i="11"/>
  <c r="D336" i="11"/>
  <c r="E336" i="11"/>
  <c r="F336" i="11"/>
  <c r="G336" i="11"/>
  <c r="I336" i="11"/>
  <c r="J336" i="11"/>
  <c r="K336" i="11"/>
  <c r="L336" i="11"/>
  <c r="M336" i="11"/>
  <c r="N336" i="11"/>
  <c r="C337" i="11"/>
  <c r="D337" i="11"/>
  <c r="E337" i="11"/>
  <c r="F337" i="11"/>
  <c r="G337" i="11"/>
  <c r="I337" i="11"/>
  <c r="J337" i="11"/>
  <c r="K337" i="11"/>
  <c r="L337" i="11"/>
  <c r="M337" i="11"/>
  <c r="N337" i="11"/>
  <c r="C338" i="11"/>
  <c r="D338" i="11"/>
  <c r="E338" i="11"/>
  <c r="F338" i="11"/>
  <c r="G338" i="11"/>
  <c r="I338" i="11"/>
  <c r="J338" i="11"/>
  <c r="K338" i="11"/>
  <c r="L338" i="11"/>
  <c r="M338" i="11"/>
  <c r="N338" i="11"/>
  <c r="C339" i="11"/>
  <c r="D339" i="11"/>
  <c r="E339" i="11"/>
  <c r="F339" i="11"/>
  <c r="G339" i="11"/>
  <c r="I339" i="11"/>
  <c r="J339" i="11"/>
  <c r="K339" i="11"/>
  <c r="L339" i="11"/>
  <c r="M339" i="11"/>
  <c r="N339" i="11"/>
  <c r="C340" i="11"/>
  <c r="D340" i="11"/>
  <c r="E340" i="11"/>
  <c r="F340" i="11"/>
  <c r="G340" i="11"/>
  <c r="I340" i="11"/>
  <c r="J340" i="11"/>
  <c r="K340" i="11"/>
  <c r="L340" i="11"/>
  <c r="M340" i="11"/>
  <c r="N340" i="11"/>
  <c r="C341" i="11"/>
  <c r="D341" i="11"/>
  <c r="E341" i="11"/>
  <c r="F341" i="11"/>
  <c r="G341" i="11"/>
  <c r="I341" i="11"/>
  <c r="J341" i="11"/>
  <c r="K341" i="11"/>
  <c r="L341" i="11"/>
  <c r="M341" i="11"/>
  <c r="N341" i="11"/>
  <c r="C342" i="11"/>
  <c r="D342" i="11"/>
  <c r="E342" i="11"/>
  <c r="F342" i="11"/>
  <c r="G342" i="11"/>
  <c r="I342" i="11"/>
  <c r="J342" i="11"/>
  <c r="K342" i="11"/>
  <c r="L342" i="11"/>
  <c r="M342" i="11"/>
  <c r="N342" i="11"/>
  <c r="C343" i="11"/>
  <c r="D343" i="11"/>
  <c r="E343" i="11"/>
  <c r="F343" i="11"/>
  <c r="G343" i="11"/>
  <c r="I343" i="11"/>
  <c r="J343" i="11"/>
  <c r="K343" i="11"/>
  <c r="L343" i="11"/>
  <c r="M343" i="11"/>
  <c r="N343" i="11"/>
  <c r="C344" i="11"/>
  <c r="D344" i="11"/>
  <c r="E344" i="11"/>
  <c r="F344" i="11"/>
  <c r="G344" i="11"/>
  <c r="I344" i="11"/>
  <c r="J344" i="11"/>
  <c r="K344" i="11"/>
  <c r="L344" i="11"/>
  <c r="M344" i="11"/>
  <c r="N344" i="11"/>
  <c r="C345" i="11"/>
  <c r="D345" i="11"/>
  <c r="E345" i="11"/>
  <c r="F345" i="11"/>
  <c r="G345" i="11"/>
  <c r="I345" i="11"/>
  <c r="J345" i="11"/>
  <c r="K345" i="11"/>
  <c r="L345" i="11"/>
  <c r="M345" i="11"/>
  <c r="N345" i="11"/>
  <c r="C346" i="11"/>
  <c r="D346" i="11"/>
  <c r="E346" i="11"/>
  <c r="F346" i="11"/>
  <c r="G346" i="11"/>
  <c r="I346" i="11"/>
  <c r="J346" i="11"/>
  <c r="K346" i="11"/>
  <c r="L346" i="11"/>
  <c r="M346" i="11"/>
  <c r="N346" i="11"/>
  <c r="C347" i="11"/>
  <c r="D347" i="11"/>
  <c r="E347" i="11"/>
  <c r="F347" i="11"/>
  <c r="G347" i="11"/>
  <c r="I347" i="11"/>
  <c r="J347" i="11"/>
  <c r="K347" i="11"/>
  <c r="L347" i="11"/>
  <c r="M347" i="11"/>
  <c r="N347" i="11"/>
  <c r="C348" i="11"/>
  <c r="D348" i="11"/>
  <c r="E348" i="11"/>
  <c r="F348" i="11"/>
  <c r="G348" i="11"/>
  <c r="I348" i="11"/>
  <c r="J348" i="11"/>
  <c r="K348" i="11"/>
  <c r="L348" i="11"/>
  <c r="M348" i="11"/>
  <c r="N348" i="11"/>
  <c r="C349" i="11"/>
  <c r="D349" i="11"/>
  <c r="E349" i="11"/>
  <c r="F349" i="11"/>
  <c r="G349" i="11"/>
  <c r="I349" i="11"/>
  <c r="J349" i="11"/>
  <c r="K349" i="11"/>
  <c r="L349" i="11"/>
  <c r="M349" i="11"/>
  <c r="N349" i="11"/>
  <c r="C350" i="11"/>
  <c r="D350" i="11"/>
  <c r="E350" i="11"/>
  <c r="F350" i="11"/>
  <c r="G350" i="11"/>
  <c r="I350" i="11"/>
  <c r="J350" i="11"/>
  <c r="K350" i="11"/>
  <c r="L350" i="11"/>
  <c r="M350" i="11"/>
  <c r="N350" i="11"/>
  <c r="C351" i="11"/>
  <c r="D351" i="11"/>
  <c r="E351" i="11"/>
  <c r="F351" i="11"/>
  <c r="G351" i="11"/>
  <c r="I351" i="11"/>
  <c r="J351" i="11"/>
  <c r="K351" i="11"/>
  <c r="L351" i="11"/>
  <c r="M351" i="11"/>
  <c r="N351" i="11"/>
  <c r="C352" i="11"/>
  <c r="D352" i="11"/>
  <c r="E352" i="11"/>
  <c r="F352" i="11"/>
  <c r="G352" i="11"/>
  <c r="I352" i="11"/>
  <c r="J352" i="11"/>
  <c r="K352" i="11"/>
  <c r="L352" i="11"/>
  <c r="M352" i="11"/>
  <c r="N352" i="11"/>
  <c r="C353" i="11"/>
  <c r="D353" i="11"/>
  <c r="E353" i="11"/>
  <c r="F353" i="11"/>
  <c r="G353" i="11"/>
  <c r="I353" i="11"/>
  <c r="J353" i="11"/>
  <c r="K353" i="11"/>
  <c r="L353" i="11"/>
  <c r="M353" i="11"/>
  <c r="N353" i="11"/>
  <c r="C354" i="11"/>
  <c r="D354" i="11"/>
  <c r="E354" i="11"/>
  <c r="F354" i="11"/>
  <c r="G354" i="11"/>
  <c r="I354" i="11"/>
  <c r="J354" i="11"/>
  <c r="K354" i="11"/>
  <c r="L354" i="11"/>
  <c r="M354" i="11"/>
  <c r="N354" i="11"/>
  <c r="C355" i="11"/>
  <c r="D355" i="11"/>
  <c r="E355" i="11"/>
  <c r="F355" i="11"/>
  <c r="G355" i="11"/>
  <c r="I355" i="11"/>
  <c r="J355" i="11"/>
  <c r="K355" i="11"/>
  <c r="L355" i="11"/>
  <c r="M355" i="11"/>
  <c r="N355" i="11"/>
  <c r="C356" i="11"/>
  <c r="D356" i="11"/>
  <c r="E356" i="11"/>
  <c r="F356" i="11"/>
  <c r="G356" i="11"/>
  <c r="I356" i="11"/>
  <c r="J356" i="11"/>
  <c r="K356" i="11"/>
  <c r="L356" i="11"/>
  <c r="M356" i="11"/>
  <c r="N356" i="11"/>
  <c r="C357" i="11"/>
  <c r="D357" i="11"/>
  <c r="E357" i="11"/>
  <c r="F357" i="11"/>
  <c r="G357" i="11"/>
  <c r="I357" i="11"/>
  <c r="J357" i="11"/>
  <c r="K357" i="11"/>
  <c r="L357" i="11"/>
  <c r="M357" i="11"/>
  <c r="N357" i="11"/>
  <c r="C358" i="11"/>
  <c r="D358" i="11"/>
  <c r="E358" i="11"/>
  <c r="F358" i="11"/>
  <c r="G358" i="11"/>
  <c r="I358" i="11"/>
  <c r="J358" i="11"/>
  <c r="K358" i="11"/>
  <c r="L358" i="11"/>
  <c r="M358" i="11"/>
  <c r="N358" i="11"/>
  <c r="C359" i="11"/>
  <c r="D359" i="11"/>
  <c r="E359" i="11"/>
  <c r="F359" i="11"/>
  <c r="G359" i="11"/>
  <c r="I359" i="11"/>
  <c r="J359" i="11"/>
  <c r="K359" i="11"/>
  <c r="L359" i="11"/>
  <c r="M359" i="11"/>
  <c r="N359" i="11"/>
  <c r="C360" i="11"/>
  <c r="D360" i="11"/>
  <c r="E360" i="11"/>
  <c r="F360" i="11"/>
  <c r="G360" i="11"/>
  <c r="I360" i="11"/>
  <c r="J360" i="11"/>
  <c r="K360" i="11"/>
  <c r="L360" i="11"/>
  <c r="M360" i="11"/>
  <c r="N360" i="11"/>
  <c r="C361" i="11"/>
  <c r="D361" i="11"/>
  <c r="E361" i="11"/>
  <c r="F361" i="11"/>
  <c r="G361" i="11"/>
  <c r="I361" i="11"/>
  <c r="J361" i="11"/>
  <c r="K361" i="11"/>
  <c r="L361" i="11"/>
  <c r="M361" i="11"/>
  <c r="N361" i="11"/>
  <c r="C362" i="11"/>
  <c r="D362" i="11"/>
  <c r="E362" i="11"/>
  <c r="F362" i="11"/>
  <c r="G362" i="11"/>
  <c r="I362" i="11"/>
  <c r="J362" i="11"/>
  <c r="K362" i="11"/>
  <c r="L362" i="11"/>
  <c r="M362" i="11"/>
  <c r="N362" i="11"/>
  <c r="C363" i="11"/>
  <c r="D363" i="11"/>
  <c r="E363" i="11"/>
  <c r="F363" i="11"/>
  <c r="G363" i="11"/>
  <c r="I363" i="11"/>
  <c r="J363" i="11"/>
  <c r="K363" i="11"/>
  <c r="L363" i="11"/>
  <c r="M363" i="11"/>
  <c r="N363" i="11"/>
  <c r="C364" i="11"/>
  <c r="D364" i="11"/>
  <c r="E364" i="11"/>
  <c r="F364" i="11"/>
  <c r="G364" i="11"/>
  <c r="I364" i="11"/>
  <c r="J364" i="11"/>
  <c r="K364" i="11"/>
  <c r="L364" i="11"/>
  <c r="M364" i="11"/>
  <c r="N364" i="11"/>
  <c r="C365" i="11"/>
  <c r="D365" i="11"/>
  <c r="E365" i="11"/>
  <c r="F365" i="11"/>
  <c r="G365" i="11"/>
  <c r="I365" i="11"/>
  <c r="J365" i="11"/>
  <c r="K365" i="11"/>
  <c r="L365" i="11"/>
  <c r="M365" i="11"/>
  <c r="N365" i="11"/>
  <c r="C366" i="11"/>
  <c r="D366" i="11"/>
  <c r="E366" i="11"/>
  <c r="F366" i="11"/>
  <c r="G366" i="11"/>
  <c r="I366" i="11"/>
  <c r="J366" i="11"/>
  <c r="K366" i="11"/>
  <c r="L366" i="11"/>
  <c r="M366" i="11"/>
  <c r="N366" i="11"/>
  <c r="C367" i="11"/>
  <c r="D367" i="11"/>
  <c r="E367" i="11"/>
  <c r="F367" i="11"/>
  <c r="G367" i="11"/>
  <c r="I367" i="11"/>
  <c r="J367" i="11"/>
  <c r="K367" i="11"/>
  <c r="L367" i="11"/>
  <c r="M367" i="11"/>
  <c r="N367" i="11"/>
  <c r="C368" i="11"/>
  <c r="D368" i="11"/>
  <c r="E368" i="11"/>
  <c r="F368" i="11"/>
  <c r="G368" i="11"/>
  <c r="I368" i="11"/>
  <c r="J368" i="11"/>
  <c r="K368" i="11"/>
  <c r="L368" i="11"/>
  <c r="M368" i="11"/>
  <c r="N368" i="11"/>
  <c r="C369" i="11"/>
  <c r="D369" i="11"/>
  <c r="E369" i="11"/>
  <c r="F369" i="11"/>
  <c r="G369" i="11"/>
  <c r="I369" i="11"/>
  <c r="J369" i="11"/>
  <c r="K369" i="11"/>
  <c r="L369" i="11"/>
  <c r="M369" i="11"/>
  <c r="N369" i="11"/>
  <c r="C370" i="11"/>
  <c r="D370" i="11"/>
  <c r="E370" i="11"/>
  <c r="F370" i="11"/>
  <c r="G370" i="11"/>
  <c r="I370" i="11"/>
  <c r="J370" i="11"/>
  <c r="K370" i="11"/>
  <c r="L370" i="11"/>
  <c r="M370" i="11"/>
  <c r="N370" i="11"/>
  <c r="C371" i="11"/>
  <c r="D371" i="11"/>
  <c r="E371" i="11"/>
  <c r="F371" i="11"/>
  <c r="G371" i="11"/>
  <c r="I371" i="11"/>
  <c r="J371" i="11"/>
  <c r="K371" i="11"/>
  <c r="L371" i="11"/>
  <c r="M371" i="11"/>
  <c r="N371" i="11"/>
  <c r="C372" i="11"/>
  <c r="D372" i="11"/>
  <c r="E372" i="11"/>
  <c r="F372" i="11"/>
  <c r="G372" i="11"/>
  <c r="I372" i="11"/>
  <c r="J372" i="11"/>
  <c r="K372" i="11"/>
  <c r="L372" i="11"/>
  <c r="M372" i="11"/>
  <c r="N372" i="11"/>
  <c r="C373" i="11"/>
  <c r="D373" i="11"/>
  <c r="E373" i="11"/>
  <c r="F373" i="11"/>
  <c r="G373" i="11"/>
  <c r="I373" i="11"/>
  <c r="J373" i="11"/>
  <c r="K373" i="11"/>
  <c r="L373" i="11"/>
  <c r="M373" i="11"/>
  <c r="N373" i="11"/>
  <c r="C374" i="11"/>
  <c r="D374" i="11"/>
  <c r="E374" i="11"/>
  <c r="F374" i="11"/>
  <c r="G374" i="11"/>
  <c r="I374" i="11"/>
  <c r="J374" i="11"/>
  <c r="K374" i="11"/>
  <c r="L374" i="11"/>
  <c r="M374" i="11"/>
  <c r="N374" i="11"/>
  <c r="C375" i="11"/>
  <c r="D375" i="11"/>
  <c r="E375" i="11"/>
  <c r="F375" i="11"/>
  <c r="G375" i="11"/>
  <c r="I375" i="11"/>
  <c r="J375" i="11"/>
  <c r="K375" i="11"/>
  <c r="L375" i="11"/>
  <c r="M375" i="11"/>
  <c r="N375" i="11"/>
  <c r="C376" i="11"/>
  <c r="D376" i="11"/>
  <c r="E376" i="11"/>
  <c r="F376" i="11"/>
  <c r="G376" i="11"/>
  <c r="I376" i="11"/>
  <c r="J376" i="11"/>
  <c r="K376" i="11"/>
  <c r="L376" i="11"/>
  <c r="M376" i="11"/>
  <c r="N376" i="11"/>
  <c r="C377" i="11"/>
  <c r="D377" i="11"/>
  <c r="E377" i="11"/>
  <c r="F377" i="11"/>
  <c r="G377" i="11"/>
  <c r="I377" i="11"/>
  <c r="J377" i="11"/>
  <c r="K377" i="11"/>
  <c r="L377" i="11"/>
  <c r="M377" i="11"/>
  <c r="N377" i="11"/>
  <c r="C378" i="11"/>
  <c r="D378" i="11"/>
  <c r="E378" i="11"/>
  <c r="F378" i="11"/>
  <c r="G378" i="11"/>
  <c r="I378" i="11"/>
  <c r="J378" i="11"/>
  <c r="K378" i="11"/>
  <c r="L378" i="11"/>
  <c r="M378" i="11"/>
  <c r="N378" i="11"/>
  <c r="C379" i="11"/>
  <c r="D379" i="11"/>
  <c r="E379" i="11"/>
  <c r="F379" i="11"/>
  <c r="G379" i="11"/>
  <c r="I379" i="11"/>
  <c r="J379" i="11"/>
  <c r="K379" i="11"/>
  <c r="L379" i="11"/>
  <c r="M379" i="11"/>
  <c r="N379" i="11"/>
  <c r="C380" i="11"/>
  <c r="D380" i="11"/>
  <c r="E380" i="11"/>
  <c r="F380" i="11"/>
  <c r="G380" i="11"/>
  <c r="I380" i="11"/>
  <c r="J380" i="11"/>
  <c r="K380" i="11"/>
  <c r="L380" i="11"/>
  <c r="M380" i="11"/>
  <c r="N380" i="11"/>
  <c r="C381" i="11"/>
  <c r="D381" i="11"/>
  <c r="E381" i="11"/>
  <c r="F381" i="11"/>
  <c r="G381" i="11"/>
  <c r="I381" i="11"/>
  <c r="J381" i="11"/>
  <c r="K381" i="11"/>
  <c r="L381" i="11"/>
  <c r="M381" i="11"/>
  <c r="N381" i="11"/>
  <c r="C382" i="11"/>
  <c r="D382" i="11"/>
  <c r="E382" i="11"/>
  <c r="F382" i="11"/>
  <c r="G382" i="11"/>
  <c r="I382" i="11"/>
  <c r="J382" i="11"/>
  <c r="K382" i="11"/>
  <c r="L382" i="11"/>
  <c r="M382" i="11"/>
  <c r="N382" i="11"/>
  <c r="C383" i="11"/>
  <c r="D383" i="11"/>
  <c r="E383" i="11"/>
  <c r="F383" i="11"/>
  <c r="G383" i="11"/>
  <c r="I383" i="11"/>
  <c r="J383" i="11"/>
  <c r="K383" i="11"/>
  <c r="L383" i="11"/>
  <c r="M383" i="11"/>
  <c r="N383" i="11"/>
  <c r="C384" i="11"/>
  <c r="D384" i="11"/>
  <c r="E384" i="11"/>
  <c r="F384" i="11"/>
  <c r="G384" i="11"/>
  <c r="I384" i="11"/>
  <c r="J384" i="11"/>
  <c r="K384" i="11"/>
  <c r="L384" i="11"/>
  <c r="M384" i="11"/>
  <c r="N384" i="11"/>
  <c r="C385" i="11"/>
  <c r="D385" i="11"/>
  <c r="E385" i="11"/>
  <c r="F385" i="11"/>
  <c r="G385" i="11"/>
  <c r="I385" i="11"/>
  <c r="J385" i="11"/>
  <c r="K385" i="11"/>
  <c r="L385" i="11"/>
  <c r="M385" i="11"/>
  <c r="N385" i="11"/>
  <c r="C386" i="11"/>
  <c r="D386" i="11"/>
  <c r="E386" i="11"/>
  <c r="F386" i="11"/>
  <c r="G386" i="11"/>
  <c r="I386" i="11"/>
  <c r="J386" i="11"/>
  <c r="K386" i="11"/>
  <c r="L386" i="11"/>
  <c r="M386" i="11"/>
  <c r="N386" i="11"/>
  <c r="C387" i="11"/>
  <c r="D387" i="11"/>
  <c r="E387" i="11"/>
  <c r="F387" i="11"/>
  <c r="G387" i="11"/>
  <c r="I387" i="11"/>
  <c r="J387" i="11"/>
  <c r="K387" i="11"/>
  <c r="L387" i="11"/>
  <c r="M387" i="11"/>
  <c r="N387" i="11"/>
  <c r="C388" i="11"/>
  <c r="D388" i="11"/>
  <c r="E388" i="11"/>
  <c r="F388" i="11"/>
  <c r="G388" i="11"/>
  <c r="I388" i="11"/>
  <c r="J388" i="11"/>
  <c r="K388" i="11"/>
  <c r="L388" i="11"/>
  <c r="M388" i="11"/>
  <c r="N388" i="11"/>
  <c r="C389" i="11"/>
  <c r="D389" i="11"/>
  <c r="E389" i="11"/>
  <c r="F389" i="11"/>
  <c r="G389" i="11"/>
  <c r="I389" i="11"/>
  <c r="J389" i="11"/>
  <c r="K389" i="11"/>
  <c r="L389" i="11"/>
  <c r="M389" i="11"/>
  <c r="N389" i="11"/>
  <c r="C390" i="11"/>
  <c r="D390" i="11"/>
  <c r="E390" i="11"/>
  <c r="F390" i="11"/>
  <c r="G390" i="11"/>
  <c r="I390" i="11"/>
  <c r="J390" i="11"/>
  <c r="K390" i="11"/>
  <c r="L390" i="11"/>
  <c r="M390" i="11"/>
  <c r="N390" i="11"/>
  <c r="C391" i="11"/>
  <c r="D391" i="11"/>
  <c r="E391" i="11"/>
  <c r="F391" i="11"/>
  <c r="G391" i="11"/>
  <c r="I391" i="11"/>
  <c r="J391" i="11"/>
  <c r="K391" i="11"/>
  <c r="L391" i="11"/>
  <c r="M391" i="11"/>
  <c r="N391" i="11"/>
  <c r="C392" i="11"/>
  <c r="D392" i="11"/>
  <c r="E392" i="11"/>
  <c r="F392" i="11"/>
  <c r="G392" i="11"/>
  <c r="I392" i="11"/>
  <c r="J392" i="11"/>
  <c r="K392" i="11"/>
  <c r="L392" i="11"/>
  <c r="M392" i="11"/>
  <c r="N392" i="11"/>
  <c r="C393" i="11"/>
  <c r="D393" i="11"/>
  <c r="E393" i="11"/>
  <c r="F393" i="11"/>
  <c r="G393" i="11"/>
  <c r="I393" i="11"/>
  <c r="J393" i="11"/>
  <c r="K393" i="11"/>
  <c r="L393" i="11"/>
  <c r="M393" i="11"/>
  <c r="N393" i="11"/>
  <c r="C394" i="11"/>
  <c r="D394" i="11"/>
  <c r="E394" i="11"/>
  <c r="F394" i="11"/>
  <c r="G394" i="11"/>
  <c r="I394" i="11"/>
  <c r="J394" i="11"/>
  <c r="K394" i="11"/>
  <c r="L394" i="11"/>
  <c r="M394" i="11"/>
  <c r="N394" i="11"/>
  <c r="C395" i="11"/>
  <c r="D395" i="11"/>
  <c r="E395" i="11"/>
  <c r="F395" i="11"/>
  <c r="G395" i="11"/>
  <c r="I395" i="11"/>
  <c r="J395" i="11"/>
  <c r="K395" i="11"/>
  <c r="L395" i="11"/>
  <c r="M395" i="11"/>
  <c r="N395" i="11"/>
  <c r="C396" i="11"/>
  <c r="D396" i="11"/>
  <c r="E396" i="11"/>
  <c r="F396" i="11"/>
  <c r="G396" i="11"/>
  <c r="I396" i="11"/>
  <c r="J396" i="11"/>
  <c r="K396" i="11"/>
  <c r="L396" i="11"/>
  <c r="M396" i="11"/>
  <c r="N396" i="11"/>
  <c r="C397" i="11"/>
  <c r="D397" i="11"/>
  <c r="E397" i="11"/>
  <c r="F397" i="11"/>
  <c r="G397" i="11"/>
  <c r="I397" i="11"/>
  <c r="J397" i="11"/>
  <c r="K397" i="11"/>
  <c r="L397" i="11"/>
  <c r="M397" i="11"/>
  <c r="N397" i="11"/>
  <c r="C398" i="11"/>
  <c r="D398" i="11"/>
  <c r="E398" i="11"/>
  <c r="F398" i="11"/>
  <c r="G398" i="11"/>
  <c r="I398" i="11"/>
  <c r="J398" i="11"/>
  <c r="K398" i="11"/>
  <c r="L398" i="11"/>
  <c r="M398" i="11"/>
  <c r="N398" i="11"/>
  <c r="C399" i="11"/>
  <c r="D399" i="11"/>
  <c r="E399" i="11"/>
  <c r="F399" i="11"/>
  <c r="G399" i="11"/>
  <c r="I399" i="11"/>
  <c r="J399" i="11"/>
  <c r="K399" i="11"/>
  <c r="L399" i="11"/>
  <c r="M399" i="11"/>
  <c r="N399" i="11"/>
  <c r="C400" i="11"/>
  <c r="D400" i="11"/>
  <c r="E400" i="11"/>
  <c r="F400" i="11"/>
  <c r="G400" i="11"/>
  <c r="I400" i="11"/>
  <c r="J400" i="11"/>
  <c r="K400" i="11"/>
  <c r="L400" i="11"/>
  <c r="M400" i="11"/>
  <c r="N400" i="11"/>
  <c r="C401" i="11"/>
  <c r="D401" i="11"/>
  <c r="E401" i="11"/>
  <c r="F401" i="11"/>
  <c r="G401" i="11"/>
  <c r="I401" i="11"/>
  <c r="J401" i="11"/>
  <c r="K401" i="11"/>
  <c r="L401" i="11"/>
  <c r="M401" i="11"/>
  <c r="N401" i="11"/>
  <c r="C402" i="11"/>
  <c r="D402" i="11"/>
  <c r="E402" i="11"/>
  <c r="F402" i="11"/>
  <c r="G402" i="11"/>
  <c r="I402" i="11"/>
  <c r="J402" i="11"/>
  <c r="K402" i="11"/>
  <c r="L402" i="11"/>
  <c r="M402" i="11"/>
  <c r="N402" i="11"/>
  <c r="C403" i="11"/>
  <c r="D403" i="11"/>
  <c r="E403" i="11"/>
  <c r="F403" i="11"/>
  <c r="G403" i="11"/>
  <c r="I403" i="11"/>
  <c r="J403" i="11"/>
  <c r="K403" i="11"/>
  <c r="L403" i="11"/>
  <c r="M403" i="11"/>
  <c r="N403" i="11"/>
  <c r="C404" i="11"/>
  <c r="D404" i="11"/>
  <c r="E404" i="11"/>
  <c r="F404" i="11"/>
  <c r="G404" i="11"/>
  <c r="I404" i="11"/>
  <c r="J404" i="11"/>
  <c r="K404" i="11"/>
  <c r="L404" i="11"/>
  <c r="M404" i="11"/>
  <c r="N404" i="11"/>
  <c r="C405" i="11"/>
  <c r="D405" i="11"/>
  <c r="E405" i="11"/>
  <c r="F405" i="11"/>
  <c r="G405" i="11"/>
  <c r="I405" i="11"/>
  <c r="J405" i="11"/>
  <c r="K405" i="11"/>
  <c r="L405" i="11"/>
  <c r="M405" i="11"/>
  <c r="N405" i="11"/>
  <c r="C406" i="11"/>
  <c r="D406" i="11"/>
  <c r="E406" i="11"/>
  <c r="F406" i="11"/>
  <c r="G406" i="11"/>
  <c r="I406" i="11"/>
  <c r="J406" i="11"/>
  <c r="K406" i="11"/>
  <c r="L406" i="11"/>
  <c r="M406" i="11"/>
  <c r="N406" i="11"/>
  <c r="C407" i="11"/>
  <c r="D407" i="11"/>
  <c r="E407" i="11"/>
  <c r="F407" i="11"/>
  <c r="G407" i="11"/>
  <c r="I407" i="11"/>
  <c r="J407" i="11"/>
  <c r="K407" i="11"/>
  <c r="L407" i="11"/>
  <c r="M407" i="11"/>
  <c r="N407" i="11"/>
  <c r="C408" i="11"/>
  <c r="D408" i="11"/>
  <c r="E408" i="11"/>
  <c r="F408" i="11"/>
  <c r="G408" i="11"/>
  <c r="I408" i="11"/>
  <c r="J408" i="11"/>
  <c r="K408" i="11"/>
  <c r="L408" i="11"/>
  <c r="M408" i="11"/>
  <c r="N408" i="11"/>
  <c r="C409" i="11"/>
  <c r="D409" i="11"/>
  <c r="E409" i="11"/>
  <c r="F409" i="11"/>
  <c r="G409" i="11"/>
  <c r="I409" i="11"/>
  <c r="J409" i="11"/>
  <c r="K409" i="11"/>
  <c r="L409" i="11"/>
  <c r="M409" i="11"/>
  <c r="N409" i="11"/>
  <c r="C410" i="11"/>
  <c r="D410" i="11"/>
  <c r="E410" i="11"/>
  <c r="F410" i="11"/>
  <c r="G410" i="11"/>
  <c r="I410" i="11"/>
  <c r="J410" i="11"/>
  <c r="K410" i="11"/>
  <c r="L410" i="11"/>
  <c r="M410" i="11"/>
  <c r="N410" i="11"/>
  <c r="C411" i="11"/>
  <c r="D411" i="11"/>
  <c r="E411" i="11"/>
  <c r="F411" i="11"/>
  <c r="G411" i="11"/>
  <c r="I411" i="11"/>
  <c r="J411" i="11"/>
  <c r="K411" i="11"/>
  <c r="L411" i="11"/>
  <c r="M411" i="11"/>
  <c r="N411" i="11"/>
  <c r="C412" i="11"/>
  <c r="D412" i="11"/>
  <c r="E412" i="11"/>
  <c r="F412" i="11"/>
  <c r="G412" i="11"/>
  <c r="I412" i="11"/>
  <c r="J412" i="11"/>
  <c r="K412" i="11"/>
  <c r="L412" i="11"/>
  <c r="M412" i="11"/>
  <c r="N412" i="11"/>
  <c r="C413" i="11"/>
  <c r="D413" i="11"/>
  <c r="E413" i="11"/>
  <c r="F413" i="11"/>
  <c r="G413" i="11"/>
  <c r="I413" i="11"/>
  <c r="J413" i="11"/>
  <c r="K413" i="11"/>
  <c r="L413" i="11"/>
  <c r="M413" i="11"/>
  <c r="N413" i="11"/>
  <c r="C414" i="11"/>
  <c r="D414" i="11"/>
  <c r="E414" i="11"/>
  <c r="F414" i="11"/>
  <c r="G414" i="11"/>
  <c r="I414" i="11"/>
  <c r="J414" i="11"/>
  <c r="K414" i="11"/>
  <c r="L414" i="11"/>
  <c r="M414" i="11"/>
  <c r="N414" i="11"/>
  <c r="C415" i="11"/>
  <c r="D415" i="11"/>
  <c r="E415" i="11"/>
  <c r="F415" i="11"/>
  <c r="G415" i="11"/>
  <c r="I415" i="11"/>
  <c r="J415" i="11"/>
  <c r="K415" i="11"/>
  <c r="L415" i="11"/>
  <c r="M415" i="11"/>
  <c r="N415" i="11"/>
  <c r="C416" i="11"/>
  <c r="D416" i="11"/>
  <c r="E416" i="11"/>
  <c r="F416" i="11"/>
  <c r="G416" i="11"/>
  <c r="I416" i="11"/>
  <c r="J416" i="11"/>
  <c r="K416" i="11"/>
  <c r="L416" i="11"/>
  <c r="M416" i="11"/>
  <c r="N416" i="11"/>
  <c r="C417" i="11"/>
  <c r="D417" i="11"/>
  <c r="E417" i="11"/>
  <c r="F417" i="11"/>
  <c r="G417" i="11"/>
  <c r="I417" i="11"/>
  <c r="J417" i="11"/>
  <c r="K417" i="11"/>
  <c r="L417" i="11"/>
  <c r="M417" i="11"/>
  <c r="N417" i="11"/>
  <c r="C418" i="11"/>
  <c r="D418" i="11"/>
  <c r="E418" i="11"/>
  <c r="F418" i="11"/>
  <c r="G418" i="11"/>
  <c r="I418" i="11"/>
  <c r="J418" i="11"/>
  <c r="K418" i="11"/>
  <c r="L418" i="11"/>
  <c r="M418" i="11"/>
  <c r="N418" i="11"/>
  <c r="C419" i="11"/>
  <c r="D419" i="11"/>
  <c r="E419" i="11"/>
  <c r="F419" i="11"/>
  <c r="G419" i="11"/>
  <c r="I419" i="11"/>
  <c r="J419" i="11"/>
  <c r="K419" i="11"/>
  <c r="L419" i="11"/>
  <c r="M419" i="11"/>
  <c r="N419" i="11"/>
  <c r="C420" i="11"/>
  <c r="D420" i="11"/>
  <c r="E420" i="11"/>
  <c r="F420" i="11"/>
  <c r="G420" i="11"/>
  <c r="I420" i="11"/>
  <c r="J420" i="11"/>
  <c r="K420" i="11"/>
  <c r="L420" i="11"/>
  <c r="M420" i="11"/>
  <c r="N420" i="11"/>
  <c r="C421" i="11"/>
  <c r="D421" i="11"/>
  <c r="E421" i="11"/>
  <c r="F421" i="11"/>
  <c r="G421" i="11"/>
  <c r="I421" i="11"/>
  <c r="J421" i="11"/>
  <c r="K421" i="11"/>
  <c r="L421" i="11"/>
  <c r="M421" i="11"/>
  <c r="N421" i="11"/>
  <c r="C422" i="11"/>
  <c r="D422" i="11"/>
  <c r="E422" i="11"/>
  <c r="F422" i="11"/>
  <c r="G422" i="11"/>
  <c r="I422" i="11"/>
  <c r="J422" i="11"/>
  <c r="K422" i="11"/>
  <c r="L422" i="11"/>
  <c r="M422" i="11"/>
  <c r="N422" i="11"/>
  <c r="C423" i="11"/>
  <c r="D423" i="11"/>
  <c r="E423" i="11"/>
  <c r="F423" i="11"/>
  <c r="G423" i="11"/>
  <c r="I423" i="11"/>
  <c r="J423" i="11"/>
  <c r="K423" i="11"/>
  <c r="L423" i="11"/>
  <c r="M423" i="11"/>
  <c r="N423" i="11"/>
  <c r="C424" i="11"/>
  <c r="D424" i="11"/>
  <c r="E424" i="11"/>
  <c r="F424" i="11"/>
  <c r="G424" i="11"/>
  <c r="I424" i="11"/>
  <c r="J424" i="11"/>
  <c r="K424" i="11"/>
  <c r="L424" i="11"/>
  <c r="M424" i="11"/>
  <c r="N424" i="11"/>
  <c r="C425" i="11"/>
  <c r="D425" i="11"/>
  <c r="E425" i="11"/>
  <c r="F425" i="11"/>
  <c r="G425" i="11"/>
  <c r="I425" i="11"/>
  <c r="J425" i="11"/>
  <c r="K425" i="11"/>
  <c r="L425" i="11"/>
  <c r="M425" i="11"/>
  <c r="N425" i="11"/>
  <c r="C426" i="11"/>
  <c r="D426" i="11"/>
  <c r="E426" i="11"/>
  <c r="F426" i="11"/>
  <c r="G426" i="11"/>
  <c r="I426" i="11"/>
  <c r="J426" i="11"/>
  <c r="K426" i="11"/>
  <c r="L426" i="11"/>
  <c r="M426" i="11"/>
  <c r="N426" i="11"/>
  <c r="C427" i="11"/>
  <c r="D427" i="11"/>
  <c r="E427" i="11"/>
  <c r="F427" i="11"/>
  <c r="G427" i="11"/>
  <c r="I427" i="11"/>
  <c r="J427" i="11"/>
  <c r="K427" i="11"/>
  <c r="L427" i="11"/>
  <c r="M427" i="11"/>
  <c r="N427" i="11"/>
  <c r="C428" i="11"/>
  <c r="D428" i="11"/>
  <c r="E428" i="11"/>
  <c r="F428" i="11"/>
  <c r="G428" i="11"/>
  <c r="I428" i="11"/>
  <c r="J428" i="11"/>
  <c r="K428" i="11"/>
  <c r="L428" i="11"/>
  <c r="M428" i="11"/>
  <c r="N428" i="11"/>
  <c r="C429" i="11"/>
  <c r="D429" i="11"/>
  <c r="E429" i="11"/>
  <c r="F429" i="11"/>
  <c r="G429" i="11"/>
  <c r="I429" i="11"/>
  <c r="J429" i="11"/>
  <c r="K429" i="11"/>
  <c r="L429" i="11"/>
  <c r="M429" i="11"/>
  <c r="N429" i="11"/>
  <c r="C430" i="11"/>
  <c r="D430" i="11"/>
  <c r="E430" i="11"/>
  <c r="F430" i="11"/>
  <c r="G430" i="11"/>
  <c r="I430" i="11"/>
  <c r="J430" i="11"/>
  <c r="K430" i="11"/>
  <c r="L430" i="11"/>
  <c r="M430" i="11"/>
  <c r="N430" i="11"/>
  <c r="C431" i="11"/>
  <c r="D431" i="11"/>
  <c r="E431" i="11"/>
  <c r="F431" i="11"/>
  <c r="G431" i="11"/>
  <c r="I431" i="11"/>
  <c r="J431" i="11"/>
  <c r="K431" i="11"/>
  <c r="L431" i="11"/>
  <c r="M431" i="11"/>
  <c r="N431" i="11"/>
  <c r="C432" i="11"/>
  <c r="D432" i="11"/>
  <c r="E432" i="11"/>
  <c r="F432" i="11"/>
  <c r="G432" i="11"/>
  <c r="I432" i="11"/>
  <c r="J432" i="11"/>
  <c r="K432" i="11"/>
  <c r="L432" i="11"/>
  <c r="M432" i="11"/>
  <c r="N432" i="11"/>
  <c r="C433" i="11"/>
  <c r="D433" i="11"/>
  <c r="E433" i="11"/>
  <c r="F433" i="11"/>
  <c r="G433" i="11"/>
  <c r="I433" i="11"/>
  <c r="J433" i="11"/>
  <c r="K433" i="11"/>
  <c r="L433" i="11"/>
  <c r="M433" i="11"/>
  <c r="N433" i="11"/>
  <c r="C434" i="11"/>
  <c r="D434" i="11"/>
  <c r="E434" i="11"/>
  <c r="F434" i="11"/>
  <c r="G434" i="11"/>
  <c r="I434" i="11"/>
  <c r="J434" i="11"/>
  <c r="K434" i="11"/>
  <c r="L434" i="11"/>
  <c r="M434" i="11"/>
  <c r="N434" i="11"/>
  <c r="C435" i="11"/>
  <c r="D435" i="11"/>
  <c r="E435" i="11"/>
  <c r="F435" i="11"/>
  <c r="G435" i="11"/>
  <c r="I435" i="11"/>
  <c r="J435" i="11"/>
  <c r="K435" i="11"/>
  <c r="L435" i="11"/>
  <c r="M435" i="11"/>
  <c r="N435" i="11"/>
  <c r="C436" i="11"/>
  <c r="D436" i="11"/>
  <c r="E436" i="11"/>
  <c r="F436" i="11"/>
  <c r="G436" i="11"/>
  <c r="I436" i="11"/>
  <c r="J436" i="11"/>
  <c r="K436" i="11"/>
  <c r="L436" i="11"/>
  <c r="M436" i="11"/>
  <c r="N436" i="11"/>
  <c r="C437" i="11"/>
  <c r="D437" i="11"/>
  <c r="E437" i="11"/>
  <c r="F437" i="11"/>
  <c r="G437" i="11"/>
  <c r="I437" i="11"/>
  <c r="J437" i="11"/>
  <c r="K437" i="11"/>
  <c r="L437" i="11"/>
  <c r="M437" i="11"/>
  <c r="N437" i="11"/>
  <c r="C438" i="11"/>
  <c r="D438" i="11"/>
  <c r="E438" i="11"/>
  <c r="F438" i="11"/>
  <c r="G438" i="11"/>
  <c r="I438" i="11"/>
  <c r="J438" i="11"/>
  <c r="K438" i="11"/>
  <c r="L438" i="11"/>
  <c r="M438" i="11"/>
  <c r="N438" i="11"/>
  <c r="C439" i="11"/>
  <c r="D439" i="11"/>
  <c r="E439" i="11"/>
  <c r="F439" i="11"/>
  <c r="G439" i="11"/>
  <c r="I439" i="11"/>
  <c r="J439" i="11"/>
  <c r="K439" i="11"/>
  <c r="L439" i="11"/>
  <c r="M439" i="11"/>
  <c r="N439" i="11"/>
  <c r="C440" i="11"/>
  <c r="D440" i="11"/>
  <c r="E440" i="11"/>
  <c r="F440" i="11"/>
  <c r="G440" i="11"/>
  <c r="I440" i="11"/>
  <c r="J440" i="11"/>
  <c r="K440" i="11"/>
  <c r="L440" i="11"/>
  <c r="M440" i="11"/>
  <c r="N440" i="11"/>
  <c r="C441" i="11"/>
  <c r="D441" i="11"/>
  <c r="E441" i="11"/>
  <c r="F441" i="11"/>
  <c r="G441" i="11"/>
  <c r="I441" i="11"/>
  <c r="J441" i="11"/>
  <c r="K441" i="11"/>
  <c r="L441" i="11"/>
  <c r="M441" i="11"/>
  <c r="N441" i="11"/>
  <c r="C442" i="11"/>
  <c r="D442" i="11"/>
  <c r="E442" i="11"/>
  <c r="F442" i="11"/>
  <c r="G442" i="11"/>
  <c r="I442" i="11"/>
  <c r="J442" i="11"/>
  <c r="K442" i="11"/>
  <c r="L442" i="11"/>
  <c r="M442" i="11"/>
  <c r="N442" i="11"/>
  <c r="C443" i="11"/>
  <c r="D443" i="11"/>
  <c r="E443" i="11"/>
  <c r="F443" i="11"/>
  <c r="G443" i="11"/>
  <c r="I443" i="11"/>
  <c r="J443" i="11"/>
  <c r="K443" i="11"/>
  <c r="L443" i="11"/>
  <c r="M443" i="11"/>
  <c r="N443" i="11"/>
  <c r="C444" i="11"/>
  <c r="D444" i="11"/>
  <c r="E444" i="11"/>
  <c r="F444" i="11"/>
  <c r="G444" i="11"/>
  <c r="I444" i="11"/>
  <c r="J444" i="11"/>
  <c r="K444" i="11"/>
  <c r="L444" i="11"/>
  <c r="M444" i="11"/>
  <c r="N444" i="11"/>
  <c r="C445" i="11"/>
  <c r="D445" i="11"/>
  <c r="E445" i="11"/>
  <c r="F445" i="11"/>
  <c r="G445" i="11"/>
  <c r="I445" i="11"/>
  <c r="J445" i="11"/>
  <c r="K445" i="11"/>
  <c r="L445" i="11"/>
  <c r="M445" i="11"/>
  <c r="N445" i="11"/>
  <c r="C446" i="11"/>
  <c r="D446" i="11"/>
  <c r="E446" i="11"/>
  <c r="F446" i="11"/>
  <c r="G446" i="11"/>
  <c r="I446" i="11"/>
  <c r="J446" i="11"/>
  <c r="K446" i="11"/>
  <c r="L446" i="11"/>
  <c r="M446" i="11"/>
  <c r="N446" i="11"/>
  <c r="C447" i="11"/>
  <c r="D447" i="11"/>
  <c r="E447" i="11"/>
  <c r="F447" i="11"/>
  <c r="G447" i="11"/>
  <c r="I447" i="11"/>
  <c r="J447" i="11"/>
  <c r="K447" i="11"/>
  <c r="L447" i="11"/>
  <c r="M447" i="11"/>
  <c r="N447" i="11"/>
  <c r="C448" i="11"/>
  <c r="D448" i="11"/>
  <c r="E448" i="11"/>
  <c r="F448" i="11"/>
  <c r="G448" i="11"/>
  <c r="I448" i="11"/>
  <c r="J448" i="11"/>
  <c r="K448" i="11"/>
  <c r="L448" i="11"/>
  <c r="M448" i="11"/>
  <c r="N448" i="11"/>
  <c r="C449" i="11"/>
  <c r="D449" i="11"/>
  <c r="E449" i="11"/>
  <c r="F449" i="11"/>
  <c r="G449" i="11"/>
  <c r="I449" i="11"/>
  <c r="J449" i="11"/>
  <c r="K449" i="11"/>
  <c r="L449" i="11"/>
  <c r="M449" i="11"/>
  <c r="N449" i="11"/>
  <c r="C450" i="11"/>
  <c r="D450" i="11"/>
  <c r="E450" i="11"/>
  <c r="F450" i="11"/>
  <c r="G450" i="11"/>
  <c r="I450" i="11"/>
  <c r="J450" i="11"/>
  <c r="K450" i="11"/>
  <c r="L450" i="11"/>
  <c r="M450" i="11"/>
  <c r="N450" i="11"/>
  <c r="C451" i="11"/>
  <c r="D451" i="11"/>
  <c r="E451" i="11"/>
  <c r="F451" i="11"/>
  <c r="G451" i="11"/>
  <c r="I451" i="11"/>
  <c r="J451" i="11"/>
  <c r="K451" i="11"/>
  <c r="L451" i="11"/>
  <c r="M451" i="11"/>
  <c r="N451" i="11"/>
  <c r="C452" i="11"/>
  <c r="D452" i="11"/>
  <c r="E452" i="11"/>
  <c r="F452" i="11"/>
  <c r="G452" i="11"/>
  <c r="I452" i="11"/>
  <c r="J452" i="11"/>
  <c r="K452" i="11"/>
  <c r="L452" i="11"/>
  <c r="M452" i="11"/>
  <c r="N452" i="11"/>
  <c r="C453" i="11"/>
  <c r="D453" i="11"/>
  <c r="E453" i="11"/>
  <c r="F453" i="11"/>
  <c r="G453" i="11"/>
  <c r="I453" i="11"/>
  <c r="J453" i="11"/>
  <c r="K453" i="11"/>
  <c r="L453" i="11"/>
  <c r="M453" i="11"/>
  <c r="N453" i="11"/>
  <c r="C454" i="11"/>
  <c r="D454" i="11"/>
  <c r="E454" i="11"/>
  <c r="F454" i="11"/>
  <c r="G454" i="11"/>
  <c r="I454" i="11"/>
  <c r="J454" i="11"/>
  <c r="K454" i="11"/>
  <c r="L454" i="11"/>
  <c r="M454" i="11"/>
  <c r="N454" i="11"/>
  <c r="C455" i="11"/>
  <c r="D455" i="11"/>
  <c r="E455" i="11"/>
  <c r="F455" i="11"/>
  <c r="G455" i="11"/>
  <c r="I455" i="11"/>
  <c r="J455" i="11"/>
  <c r="K455" i="11"/>
  <c r="L455" i="11"/>
  <c r="M455" i="11"/>
  <c r="N455" i="11"/>
  <c r="C456" i="11"/>
  <c r="D456" i="11"/>
  <c r="E456" i="11"/>
  <c r="F456" i="11"/>
  <c r="G456" i="11"/>
  <c r="I456" i="11"/>
  <c r="J456" i="11"/>
  <c r="K456" i="11"/>
  <c r="L456" i="11"/>
  <c r="M456" i="11"/>
  <c r="N456" i="11"/>
  <c r="C457" i="11"/>
  <c r="D457" i="11"/>
  <c r="E457" i="11"/>
  <c r="F457" i="11"/>
  <c r="G457" i="11"/>
  <c r="I457" i="11"/>
  <c r="J457" i="11"/>
  <c r="K457" i="11"/>
  <c r="L457" i="11"/>
  <c r="M457" i="11"/>
  <c r="N457" i="11"/>
  <c r="C458" i="11"/>
  <c r="D458" i="11"/>
  <c r="E458" i="11"/>
  <c r="F458" i="11"/>
  <c r="G458" i="11"/>
  <c r="I458" i="11"/>
  <c r="J458" i="11"/>
  <c r="K458" i="11"/>
  <c r="L458" i="11"/>
  <c r="M458" i="11"/>
  <c r="N458" i="11"/>
  <c r="C459" i="11"/>
  <c r="D459" i="11"/>
  <c r="E459" i="11"/>
  <c r="F459" i="11"/>
  <c r="G459" i="11"/>
  <c r="I459" i="11"/>
  <c r="J459" i="11"/>
  <c r="K459" i="11"/>
  <c r="L459" i="11"/>
  <c r="M459" i="11"/>
  <c r="N459" i="11"/>
  <c r="C460" i="11"/>
  <c r="D460" i="11"/>
  <c r="E460" i="11"/>
  <c r="F460" i="11"/>
  <c r="G460" i="11"/>
  <c r="I460" i="11"/>
  <c r="J460" i="11"/>
  <c r="K460" i="11"/>
  <c r="L460" i="11"/>
  <c r="M460" i="11"/>
  <c r="N460" i="11"/>
  <c r="C461" i="11"/>
  <c r="D461" i="11"/>
  <c r="E461" i="11"/>
  <c r="F461" i="11"/>
  <c r="G461" i="11"/>
  <c r="I461" i="11"/>
  <c r="J461" i="11"/>
  <c r="K461" i="11"/>
  <c r="L461" i="11"/>
  <c r="M461" i="11"/>
  <c r="N461" i="11"/>
  <c r="C462" i="11"/>
  <c r="D462" i="11"/>
  <c r="E462" i="11"/>
  <c r="F462" i="11"/>
  <c r="G462" i="11"/>
  <c r="I462" i="11"/>
  <c r="J462" i="11"/>
  <c r="K462" i="11"/>
  <c r="L462" i="11"/>
  <c r="M462" i="11"/>
  <c r="N462" i="11"/>
  <c r="C463" i="11"/>
  <c r="D463" i="11"/>
  <c r="E463" i="11"/>
  <c r="F463" i="11"/>
  <c r="G463" i="11"/>
  <c r="I463" i="11"/>
  <c r="J463" i="11"/>
  <c r="K463" i="11"/>
  <c r="L463" i="11"/>
  <c r="M463" i="11"/>
  <c r="N463" i="11"/>
  <c r="C464" i="11"/>
  <c r="D464" i="11"/>
  <c r="E464" i="11"/>
  <c r="F464" i="11"/>
  <c r="G464" i="11"/>
  <c r="I464" i="11"/>
  <c r="J464" i="11"/>
  <c r="K464" i="11"/>
  <c r="L464" i="11"/>
  <c r="M464" i="11"/>
  <c r="N464" i="11"/>
  <c r="C465" i="11"/>
  <c r="D465" i="11"/>
  <c r="E465" i="11"/>
  <c r="F465" i="11"/>
  <c r="G465" i="11"/>
  <c r="I465" i="11"/>
  <c r="J465" i="11"/>
  <c r="K465" i="11"/>
  <c r="L465" i="11"/>
  <c r="M465" i="11"/>
  <c r="N465" i="11"/>
  <c r="C466" i="11"/>
  <c r="D466" i="11"/>
  <c r="E466" i="11"/>
  <c r="F466" i="11"/>
  <c r="G466" i="11"/>
  <c r="I466" i="11"/>
  <c r="J466" i="11"/>
  <c r="K466" i="11"/>
  <c r="L466" i="11"/>
  <c r="M466" i="11"/>
  <c r="N466" i="11"/>
  <c r="C467" i="11"/>
  <c r="D467" i="11"/>
  <c r="E467" i="11"/>
  <c r="F467" i="11"/>
  <c r="G467" i="11"/>
  <c r="I467" i="11"/>
  <c r="J467" i="11"/>
  <c r="K467" i="11"/>
  <c r="L467" i="11"/>
  <c r="M467" i="11"/>
  <c r="N467" i="11"/>
  <c r="C468" i="11"/>
  <c r="D468" i="11"/>
  <c r="E468" i="11"/>
  <c r="F468" i="11"/>
  <c r="G468" i="11"/>
  <c r="I468" i="11"/>
  <c r="J468" i="11"/>
  <c r="K468" i="11"/>
  <c r="L468" i="11"/>
  <c r="M468" i="11"/>
  <c r="N468" i="11"/>
  <c r="C469" i="11"/>
  <c r="D469" i="11"/>
  <c r="E469" i="11"/>
  <c r="F469" i="11"/>
  <c r="G469" i="11"/>
  <c r="I469" i="11"/>
  <c r="J469" i="11"/>
  <c r="K469" i="11"/>
  <c r="L469" i="11"/>
  <c r="M469" i="11"/>
  <c r="N469" i="11"/>
  <c r="C470" i="11"/>
  <c r="D470" i="11"/>
  <c r="E470" i="11"/>
  <c r="F470" i="11"/>
  <c r="G470" i="11"/>
  <c r="I470" i="11"/>
  <c r="J470" i="11"/>
  <c r="K470" i="11"/>
  <c r="L470" i="11"/>
  <c r="M470" i="11"/>
  <c r="N470" i="11"/>
  <c r="C471" i="11"/>
  <c r="D471" i="11"/>
  <c r="E471" i="11"/>
  <c r="F471" i="11"/>
  <c r="G471" i="11"/>
  <c r="I471" i="11"/>
  <c r="J471" i="11"/>
  <c r="K471" i="11"/>
  <c r="L471" i="11"/>
  <c r="M471" i="11"/>
  <c r="N471" i="11"/>
  <c r="C472" i="11"/>
  <c r="D472" i="11"/>
  <c r="E472" i="11"/>
  <c r="F472" i="11"/>
  <c r="G472" i="11"/>
  <c r="I472" i="11"/>
  <c r="J472" i="11"/>
  <c r="K472" i="11"/>
  <c r="L472" i="11"/>
  <c r="M472" i="11"/>
  <c r="N472" i="11"/>
  <c r="C473" i="11"/>
  <c r="D473" i="11"/>
  <c r="E473" i="11"/>
  <c r="F473" i="11"/>
  <c r="G473" i="11"/>
  <c r="I473" i="11"/>
  <c r="J473" i="11"/>
  <c r="K473" i="11"/>
  <c r="L473" i="11"/>
  <c r="M473" i="11"/>
  <c r="N473" i="11"/>
  <c r="C474" i="11"/>
  <c r="D474" i="11"/>
  <c r="E474" i="11"/>
  <c r="F474" i="11"/>
  <c r="G474" i="11"/>
  <c r="I474" i="11"/>
  <c r="J474" i="11"/>
  <c r="K474" i="11"/>
  <c r="L474" i="11"/>
  <c r="M474" i="11"/>
  <c r="N474" i="11"/>
  <c r="C475" i="11"/>
  <c r="D475" i="11"/>
  <c r="E475" i="11"/>
  <c r="F475" i="11"/>
  <c r="G475" i="11"/>
  <c r="I475" i="11"/>
  <c r="J475" i="11"/>
  <c r="K475" i="11"/>
  <c r="L475" i="11"/>
  <c r="M475" i="11"/>
  <c r="N475" i="11"/>
  <c r="C476" i="11"/>
  <c r="D476" i="11"/>
  <c r="E476" i="11"/>
  <c r="F476" i="11"/>
  <c r="G476" i="11"/>
  <c r="I476" i="11"/>
  <c r="J476" i="11"/>
  <c r="K476" i="11"/>
  <c r="L476" i="11"/>
  <c r="M476" i="11"/>
  <c r="N476" i="11"/>
  <c r="C477" i="11"/>
  <c r="D477" i="11"/>
  <c r="E477" i="11"/>
  <c r="F477" i="11"/>
  <c r="G477" i="11"/>
  <c r="I477" i="11"/>
  <c r="J477" i="11"/>
  <c r="K477" i="11"/>
  <c r="L477" i="11"/>
  <c r="M477" i="11"/>
  <c r="N477" i="11"/>
  <c r="C478" i="11"/>
  <c r="D478" i="11"/>
  <c r="E478" i="11"/>
  <c r="F478" i="11"/>
  <c r="G478" i="11"/>
  <c r="I478" i="11"/>
  <c r="J478" i="11"/>
  <c r="K478" i="11"/>
  <c r="L478" i="11"/>
  <c r="M478" i="11"/>
  <c r="N478" i="11"/>
  <c r="C479" i="11"/>
  <c r="D479" i="11"/>
  <c r="E479" i="11"/>
  <c r="F479" i="11"/>
  <c r="G479" i="11"/>
  <c r="I479" i="11"/>
  <c r="J479" i="11"/>
  <c r="K479" i="11"/>
  <c r="L479" i="11"/>
  <c r="M479" i="11"/>
  <c r="N479" i="11"/>
  <c r="C480" i="11"/>
  <c r="D480" i="11"/>
  <c r="E480" i="11"/>
  <c r="F480" i="11"/>
  <c r="G480" i="11"/>
  <c r="I480" i="11"/>
  <c r="J480" i="11"/>
  <c r="K480" i="11"/>
  <c r="L480" i="11"/>
  <c r="M480" i="11"/>
  <c r="N480" i="11"/>
  <c r="C481" i="11"/>
  <c r="D481" i="11"/>
  <c r="E481" i="11"/>
  <c r="F481" i="11"/>
  <c r="G481" i="11"/>
  <c r="I481" i="11"/>
  <c r="J481" i="11"/>
  <c r="K481" i="11"/>
  <c r="L481" i="11"/>
  <c r="M481" i="11"/>
  <c r="N481" i="11"/>
  <c r="C482" i="11"/>
  <c r="D482" i="11"/>
  <c r="E482" i="11"/>
  <c r="F482" i="11"/>
  <c r="G482" i="11"/>
  <c r="I482" i="11"/>
  <c r="J482" i="11"/>
  <c r="K482" i="11"/>
  <c r="L482" i="11"/>
  <c r="M482" i="11"/>
  <c r="N482" i="11"/>
  <c r="C483" i="11"/>
  <c r="D483" i="11"/>
  <c r="E483" i="11"/>
  <c r="F483" i="11"/>
  <c r="G483" i="11"/>
  <c r="I483" i="11"/>
  <c r="J483" i="11"/>
  <c r="K483" i="11"/>
  <c r="L483" i="11"/>
  <c r="M483" i="11"/>
  <c r="N483" i="11"/>
  <c r="C484" i="11"/>
  <c r="D484" i="11"/>
  <c r="E484" i="11"/>
  <c r="F484" i="11"/>
  <c r="G484" i="11"/>
  <c r="I484" i="11"/>
  <c r="J484" i="11"/>
  <c r="K484" i="11"/>
  <c r="L484" i="11"/>
  <c r="M484" i="11"/>
  <c r="N484" i="11"/>
  <c r="C485" i="11"/>
  <c r="D485" i="11"/>
  <c r="E485" i="11"/>
  <c r="F485" i="11"/>
  <c r="G485" i="11"/>
  <c r="I485" i="11"/>
  <c r="J485" i="11"/>
  <c r="K485" i="11"/>
  <c r="L485" i="11"/>
  <c r="M485" i="11"/>
  <c r="N485" i="11"/>
  <c r="C486" i="11"/>
  <c r="D486" i="11"/>
  <c r="E486" i="11"/>
  <c r="F486" i="11"/>
  <c r="G486" i="11"/>
  <c r="I486" i="11"/>
  <c r="J486" i="11"/>
  <c r="K486" i="11"/>
  <c r="L486" i="11"/>
  <c r="M486" i="11"/>
  <c r="N486" i="11"/>
  <c r="C487" i="11"/>
  <c r="D487" i="11"/>
  <c r="E487" i="11"/>
  <c r="F487" i="11"/>
  <c r="G487" i="11"/>
  <c r="I487" i="11"/>
  <c r="J487" i="11"/>
  <c r="K487" i="11"/>
  <c r="L487" i="11"/>
  <c r="M487" i="11"/>
  <c r="N487" i="11"/>
  <c r="C488" i="11"/>
  <c r="D488" i="11"/>
  <c r="E488" i="11"/>
  <c r="F488" i="11"/>
  <c r="G488" i="11"/>
  <c r="I488" i="11"/>
  <c r="J488" i="11"/>
  <c r="K488" i="11"/>
  <c r="L488" i="11"/>
  <c r="M488" i="11"/>
  <c r="N488" i="11"/>
  <c r="C489" i="11"/>
  <c r="D489" i="11"/>
  <c r="E489" i="11"/>
  <c r="F489" i="11"/>
  <c r="G489" i="11"/>
  <c r="I489" i="11"/>
  <c r="J489" i="11"/>
  <c r="K489" i="11"/>
  <c r="L489" i="11"/>
  <c r="M489" i="11"/>
  <c r="N489" i="11"/>
  <c r="C490" i="11"/>
  <c r="D490" i="11"/>
  <c r="E490" i="11"/>
  <c r="F490" i="11"/>
  <c r="G490" i="11"/>
  <c r="I490" i="11"/>
  <c r="J490" i="11"/>
  <c r="K490" i="11"/>
  <c r="L490" i="11"/>
  <c r="M490" i="11"/>
  <c r="N490" i="11"/>
  <c r="C491" i="11"/>
  <c r="D491" i="11"/>
  <c r="E491" i="11"/>
  <c r="F491" i="11"/>
  <c r="G491" i="11"/>
  <c r="I491" i="11"/>
  <c r="J491" i="11"/>
  <c r="K491" i="11"/>
  <c r="L491" i="11"/>
  <c r="M491" i="11"/>
  <c r="N491" i="11"/>
  <c r="C492" i="11"/>
  <c r="D492" i="11"/>
  <c r="E492" i="11"/>
  <c r="F492" i="11"/>
  <c r="G492" i="11"/>
  <c r="I492" i="11"/>
  <c r="J492" i="11"/>
  <c r="K492" i="11"/>
  <c r="L492" i="11"/>
  <c r="M492" i="11"/>
  <c r="N492" i="11"/>
  <c r="C493" i="11"/>
  <c r="D493" i="11"/>
  <c r="E493" i="11"/>
  <c r="F493" i="11"/>
  <c r="G493" i="11"/>
  <c r="I493" i="11"/>
  <c r="J493" i="11"/>
  <c r="K493" i="11"/>
  <c r="L493" i="11"/>
  <c r="M493" i="11"/>
  <c r="N493" i="11"/>
  <c r="C494" i="11"/>
  <c r="D494" i="11"/>
  <c r="E494" i="11"/>
  <c r="F494" i="11"/>
  <c r="G494" i="11"/>
  <c r="I494" i="11"/>
  <c r="J494" i="11"/>
  <c r="K494" i="11"/>
  <c r="L494" i="11"/>
  <c r="M494" i="11"/>
  <c r="N494" i="11"/>
  <c r="C495" i="11"/>
  <c r="D495" i="11"/>
  <c r="E495" i="11"/>
  <c r="F495" i="11"/>
  <c r="G495" i="11"/>
  <c r="I495" i="11"/>
  <c r="J495" i="11"/>
  <c r="K495" i="11"/>
  <c r="L495" i="11"/>
  <c r="M495" i="11"/>
  <c r="N495" i="11"/>
  <c r="C496" i="11"/>
  <c r="D496" i="11"/>
  <c r="E496" i="11"/>
  <c r="F496" i="11"/>
  <c r="G496" i="11"/>
  <c r="I496" i="11"/>
  <c r="J496" i="11"/>
  <c r="K496" i="11"/>
  <c r="L496" i="11"/>
  <c r="M496" i="11"/>
  <c r="N496" i="11"/>
  <c r="C497" i="11"/>
  <c r="D497" i="11"/>
  <c r="E497" i="11"/>
  <c r="F497" i="11"/>
  <c r="G497" i="11"/>
  <c r="I497" i="11"/>
  <c r="J497" i="11"/>
  <c r="K497" i="11"/>
  <c r="L497" i="11"/>
  <c r="M497" i="11"/>
  <c r="N497" i="11"/>
  <c r="C498" i="11"/>
  <c r="D498" i="11"/>
  <c r="E498" i="11"/>
  <c r="F498" i="11"/>
  <c r="G498" i="11"/>
  <c r="I498" i="11"/>
  <c r="J498" i="11"/>
  <c r="K498" i="11"/>
  <c r="L498" i="11"/>
  <c r="M498" i="11"/>
  <c r="N498" i="11"/>
  <c r="C499" i="11"/>
  <c r="D499" i="11"/>
  <c r="E499" i="11"/>
  <c r="F499" i="11"/>
  <c r="G499" i="11"/>
  <c r="I499" i="11"/>
  <c r="J499" i="11"/>
  <c r="K499" i="11"/>
  <c r="L499" i="11"/>
  <c r="M499" i="11"/>
  <c r="N499" i="11"/>
  <c r="C500" i="11"/>
  <c r="D500" i="11"/>
  <c r="E500" i="11"/>
  <c r="F500" i="11"/>
  <c r="G500" i="11"/>
  <c r="I500" i="11"/>
  <c r="J500" i="11"/>
  <c r="K500" i="11"/>
  <c r="L500" i="11"/>
  <c r="M500" i="11"/>
  <c r="N500" i="11"/>
  <c r="C501" i="11"/>
  <c r="D501" i="11"/>
  <c r="E501" i="11"/>
  <c r="F501" i="11"/>
  <c r="G501" i="11"/>
  <c r="I501" i="11"/>
  <c r="J501" i="11"/>
  <c r="K501" i="11"/>
  <c r="L501" i="11"/>
  <c r="M501" i="11"/>
  <c r="N501" i="11"/>
  <c r="C502" i="11"/>
  <c r="D502" i="11"/>
  <c r="E502" i="11"/>
  <c r="F502" i="11"/>
  <c r="G502" i="11"/>
  <c r="I502" i="11"/>
  <c r="J502" i="11"/>
  <c r="K502" i="11"/>
  <c r="L502" i="11"/>
  <c r="M502" i="11"/>
  <c r="N502" i="11"/>
  <c r="C503" i="11"/>
  <c r="D503" i="11"/>
  <c r="E503" i="11"/>
  <c r="F503" i="11"/>
  <c r="G503" i="11"/>
  <c r="I503" i="11"/>
  <c r="J503" i="11"/>
  <c r="K503" i="11"/>
  <c r="L503" i="11"/>
  <c r="M503" i="11"/>
  <c r="N503" i="11"/>
  <c r="C504" i="11"/>
  <c r="D504" i="11"/>
  <c r="E504" i="11"/>
  <c r="F504" i="11"/>
  <c r="G504" i="11"/>
  <c r="I504" i="11"/>
  <c r="J504" i="11"/>
  <c r="K504" i="11"/>
  <c r="L504" i="11"/>
  <c r="M504" i="11"/>
  <c r="N504" i="11"/>
  <c r="C505" i="11"/>
  <c r="D505" i="11"/>
  <c r="E505" i="11"/>
  <c r="F505" i="11"/>
  <c r="G505" i="11"/>
  <c r="I505" i="11"/>
  <c r="J505" i="11"/>
  <c r="K505" i="11"/>
  <c r="L505" i="11"/>
  <c r="M505" i="11"/>
  <c r="N505" i="11"/>
  <c r="C506" i="11"/>
  <c r="D506" i="11"/>
  <c r="E506" i="11"/>
  <c r="F506" i="11"/>
  <c r="G506" i="11"/>
  <c r="I506" i="11"/>
  <c r="J506" i="11"/>
  <c r="K506" i="11"/>
  <c r="L506" i="11"/>
  <c r="M506" i="11"/>
  <c r="N506" i="11"/>
  <c r="C507" i="11"/>
  <c r="D507" i="11"/>
  <c r="E507" i="11"/>
  <c r="F507" i="11"/>
  <c r="G507" i="11"/>
  <c r="I507" i="11"/>
  <c r="J507" i="11"/>
  <c r="K507" i="11"/>
  <c r="L507" i="11"/>
  <c r="M507" i="11"/>
  <c r="N507" i="11"/>
  <c r="C508" i="11"/>
  <c r="D508" i="11"/>
  <c r="E508" i="11"/>
  <c r="F508" i="11"/>
  <c r="G508" i="11"/>
  <c r="I508" i="11"/>
  <c r="J508" i="11"/>
  <c r="K508" i="11"/>
  <c r="L508" i="11"/>
  <c r="M508" i="11"/>
  <c r="N508" i="11"/>
  <c r="C509" i="11"/>
  <c r="D509" i="11"/>
  <c r="E509" i="11"/>
  <c r="F509" i="11"/>
  <c r="G509" i="11"/>
  <c r="I509" i="11"/>
  <c r="J509" i="11"/>
  <c r="K509" i="11"/>
  <c r="L509" i="11"/>
  <c r="M509" i="11"/>
  <c r="N509" i="11"/>
  <c r="C510" i="11"/>
  <c r="D510" i="11"/>
  <c r="E510" i="11"/>
  <c r="F510" i="11"/>
  <c r="G510" i="11"/>
  <c r="I510" i="11"/>
  <c r="J510" i="11"/>
  <c r="K510" i="11"/>
  <c r="L510" i="11"/>
  <c r="M510" i="11"/>
  <c r="N510" i="11"/>
  <c r="C511" i="11"/>
  <c r="D511" i="11"/>
  <c r="E511" i="11"/>
  <c r="F511" i="11"/>
  <c r="G511" i="11"/>
  <c r="I511" i="11"/>
  <c r="J511" i="11"/>
  <c r="K511" i="11"/>
  <c r="L511" i="11"/>
  <c r="M511" i="11"/>
  <c r="N511" i="11"/>
  <c r="C512" i="11"/>
  <c r="D512" i="11"/>
  <c r="E512" i="11"/>
  <c r="F512" i="11"/>
  <c r="G512" i="11"/>
  <c r="I512" i="11"/>
  <c r="J512" i="11"/>
  <c r="K512" i="11"/>
  <c r="L512" i="11"/>
  <c r="M512" i="11"/>
  <c r="N512" i="11"/>
  <c r="C513" i="11"/>
  <c r="D513" i="11"/>
  <c r="E513" i="11"/>
  <c r="F513" i="11"/>
  <c r="G513" i="11"/>
  <c r="I513" i="11"/>
  <c r="J513" i="11"/>
  <c r="K513" i="11"/>
  <c r="L513" i="11"/>
  <c r="M513" i="11"/>
  <c r="N513" i="11"/>
  <c r="C514" i="11"/>
  <c r="D514" i="11"/>
  <c r="E514" i="11"/>
  <c r="F514" i="11"/>
  <c r="G514" i="11"/>
  <c r="I514" i="11"/>
  <c r="J514" i="11"/>
  <c r="K514" i="11"/>
  <c r="L514" i="11"/>
  <c r="M514" i="11"/>
  <c r="N514" i="11"/>
  <c r="C515" i="11"/>
  <c r="D515" i="11"/>
  <c r="E515" i="11"/>
  <c r="F515" i="11"/>
  <c r="G515" i="11"/>
  <c r="I515" i="11"/>
  <c r="J515" i="11"/>
  <c r="K515" i="11"/>
  <c r="L515" i="11"/>
  <c r="M515" i="11"/>
  <c r="N515" i="11"/>
  <c r="C516" i="11"/>
  <c r="D516" i="11"/>
  <c r="E516" i="11"/>
  <c r="F516" i="11"/>
  <c r="G516" i="11"/>
  <c r="I516" i="11"/>
  <c r="J516" i="11"/>
  <c r="K516" i="11"/>
  <c r="L516" i="11"/>
  <c r="M516" i="11"/>
  <c r="N516" i="11"/>
  <c r="C517" i="11"/>
  <c r="D517" i="11"/>
  <c r="E517" i="11"/>
  <c r="F517" i="11"/>
  <c r="G517" i="11"/>
  <c r="I517" i="11"/>
  <c r="J517" i="11"/>
  <c r="K517" i="11"/>
  <c r="L517" i="11"/>
  <c r="M517" i="11"/>
  <c r="N517" i="11"/>
  <c r="C518" i="11"/>
  <c r="D518" i="11"/>
  <c r="E518" i="11"/>
  <c r="F518" i="11"/>
  <c r="G518" i="11"/>
  <c r="I518" i="11"/>
  <c r="J518" i="11"/>
  <c r="K518" i="11"/>
  <c r="L518" i="11"/>
  <c r="M518" i="11"/>
  <c r="N518" i="11"/>
  <c r="C519" i="11"/>
  <c r="D519" i="11"/>
  <c r="E519" i="11"/>
  <c r="F519" i="11"/>
  <c r="G519" i="11"/>
  <c r="I519" i="11"/>
  <c r="J519" i="11"/>
  <c r="K519" i="11"/>
  <c r="L519" i="11"/>
  <c r="M519" i="11"/>
  <c r="N519" i="11"/>
  <c r="C520" i="11"/>
  <c r="D520" i="11"/>
  <c r="E520" i="11"/>
  <c r="F520" i="11"/>
  <c r="G520" i="11"/>
  <c r="I520" i="11"/>
  <c r="J520" i="11"/>
  <c r="K520" i="11"/>
  <c r="L520" i="11"/>
  <c r="M520" i="11"/>
  <c r="N520" i="11"/>
  <c r="C521" i="11"/>
  <c r="D521" i="11"/>
  <c r="E521" i="11"/>
  <c r="F521" i="11"/>
  <c r="G521" i="11"/>
  <c r="I521" i="11"/>
  <c r="J521" i="11"/>
  <c r="K521" i="11"/>
  <c r="L521" i="11"/>
  <c r="M521" i="11"/>
  <c r="N521" i="11"/>
  <c r="C522" i="11"/>
  <c r="D522" i="11"/>
  <c r="E522" i="11"/>
  <c r="F522" i="11"/>
  <c r="G522" i="11"/>
  <c r="I522" i="11"/>
  <c r="J522" i="11"/>
  <c r="K522" i="11"/>
  <c r="L522" i="11"/>
  <c r="M522" i="11"/>
  <c r="N522" i="11"/>
  <c r="C523" i="11"/>
  <c r="D523" i="11"/>
  <c r="E523" i="11"/>
  <c r="F523" i="11"/>
  <c r="G523" i="11"/>
  <c r="I523" i="11"/>
  <c r="J523" i="11"/>
  <c r="K523" i="11"/>
  <c r="L523" i="11"/>
  <c r="M523" i="11"/>
  <c r="N523" i="11"/>
  <c r="C524" i="11"/>
  <c r="D524" i="11"/>
  <c r="E524" i="11"/>
  <c r="F524" i="11"/>
  <c r="G524" i="11"/>
  <c r="I524" i="11"/>
  <c r="J524" i="11"/>
  <c r="K524" i="11"/>
  <c r="L524" i="11"/>
  <c r="M524" i="11"/>
  <c r="N524" i="11"/>
  <c r="C525" i="11"/>
  <c r="D525" i="11"/>
  <c r="E525" i="11"/>
  <c r="F525" i="11"/>
  <c r="G525" i="11"/>
  <c r="I525" i="11"/>
  <c r="J525" i="11"/>
  <c r="K525" i="11"/>
  <c r="L525" i="11"/>
  <c r="M525" i="11"/>
  <c r="N525" i="11"/>
  <c r="C526" i="11"/>
  <c r="D526" i="11"/>
  <c r="E526" i="11"/>
  <c r="F526" i="11"/>
  <c r="G526" i="11"/>
  <c r="I526" i="11"/>
  <c r="J526" i="11"/>
  <c r="K526" i="11"/>
  <c r="L526" i="11"/>
  <c r="M526" i="11"/>
  <c r="N526" i="11"/>
  <c r="C527" i="11"/>
  <c r="D527" i="11"/>
  <c r="E527" i="11"/>
  <c r="F527" i="11"/>
  <c r="G527" i="11"/>
  <c r="I527" i="11"/>
  <c r="J527" i="11"/>
  <c r="K527" i="11"/>
  <c r="L527" i="11"/>
  <c r="M527" i="11"/>
  <c r="N527" i="11"/>
  <c r="C528" i="11"/>
  <c r="D528" i="11"/>
  <c r="E528" i="11"/>
  <c r="F528" i="11"/>
  <c r="G528" i="11"/>
  <c r="I528" i="11"/>
  <c r="J528" i="11"/>
  <c r="K528" i="11"/>
  <c r="L528" i="11"/>
  <c r="M528" i="11"/>
  <c r="N528" i="11"/>
  <c r="C529" i="11"/>
  <c r="D529" i="11"/>
  <c r="E529" i="11"/>
  <c r="F529" i="11"/>
  <c r="G529" i="11"/>
  <c r="I529" i="11"/>
  <c r="J529" i="11"/>
  <c r="K529" i="11"/>
  <c r="L529" i="11"/>
  <c r="M529" i="11"/>
  <c r="N529" i="11"/>
  <c r="C530" i="11"/>
  <c r="D530" i="11"/>
  <c r="E530" i="11"/>
  <c r="F530" i="11"/>
  <c r="G530" i="11"/>
  <c r="I530" i="11"/>
  <c r="J530" i="11"/>
  <c r="K530" i="11"/>
  <c r="L530" i="11"/>
  <c r="M530" i="11"/>
  <c r="N530" i="11"/>
  <c r="C531" i="11"/>
  <c r="D531" i="11"/>
  <c r="E531" i="11"/>
  <c r="F531" i="11"/>
  <c r="G531" i="11"/>
  <c r="I531" i="11"/>
  <c r="J531" i="11"/>
  <c r="K531" i="11"/>
  <c r="L531" i="11"/>
  <c r="M531" i="11"/>
  <c r="N531" i="11"/>
  <c r="C532" i="11"/>
  <c r="D532" i="11"/>
  <c r="E532" i="11"/>
  <c r="F532" i="11"/>
  <c r="G532" i="11"/>
  <c r="I532" i="11"/>
  <c r="J532" i="11"/>
  <c r="K532" i="11"/>
  <c r="L532" i="11"/>
  <c r="M532" i="11"/>
  <c r="N532" i="11"/>
  <c r="C533" i="11"/>
  <c r="D533" i="11"/>
  <c r="E533" i="11"/>
  <c r="F533" i="11"/>
  <c r="G533" i="11"/>
  <c r="I533" i="11"/>
  <c r="J533" i="11"/>
  <c r="K533" i="11"/>
  <c r="L533" i="11"/>
  <c r="M533" i="11"/>
  <c r="N533" i="11"/>
  <c r="C534" i="11"/>
  <c r="D534" i="11"/>
  <c r="E534" i="11"/>
  <c r="F534" i="11"/>
  <c r="G534" i="11"/>
  <c r="I534" i="11"/>
  <c r="J534" i="11"/>
  <c r="K534" i="11"/>
  <c r="L534" i="11"/>
  <c r="M534" i="11"/>
  <c r="N534" i="11"/>
  <c r="C535" i="11"/>
  <c r="D535" i="11"/>
  <c r="E535" i="11"/>
  <c r="F535" i="11"/>
  <c r="G535" i="11"/>
  <c r="I535" i="11"/>
  <c r="J535" i="11"/>
  <c r="K535" i="11"/>
  <c r="L535" i="11"/>
  <c r="M535" i="11"/>
  <c r="N535" i="11"/>
  <c r="C536" i="11"/>
  <c r="D536" i="11"/>
  <c r="E536" i="11"/>
  <c r="F536" i="11"/>
  <c r="G536" i="11"/>
  <c r="I536" i="11"/>
  <c r="J536" i="11"/>
  <c r="K536" i="11"/>
  <c r="L536" i="11"/>
  <c r="M536" i="11"/>
  <c r="N536" i="11"/>
  <c r="C537" i="11"/>
  <c r="D537" i="11"/>
  <c r="E537" i="11"/>
  <c r="F537" i="11"/>
  <c r="G537" i="11"/>
  <c r="I537" i="11"/>
  <c r="J537" i="11"/>
  <c r="K537" i="11"/>
  <c r="L537" i="11"/>
  <c r="M537" i="11"/>
  <c r="N537" i="11"/>
  <c r="C538" i="11"/>
  <c r="D538" i="11"/>
  <c r="E538" i="11"/>
  <c r="F538" i="11"/>
  <c r="G538" i="11"/>
  <c r="I538" i="11"/>
  <c r="J538" i="11"/>
  <c r="K538" i="11"/>
  <c r="L538" i="11"/>
  <c r="M538" i="11"/>
  <c r="N538" i="11"/>
  <c r="C539" i="11"/>
  <c r="D539" i="11"/>
  <c r="E539" i="11"/>
  <c r="F539" i="11"/>
  <c r="G539" i="11"/>
  <c r="I539" i="11"/>
  <c r="J539" i="11"/>
  <c r="K539" i="11"/>
  <c r="L539" i="11"/>
  <c r="M539" i="11"/>
  <c r="N539" i="11"/>
  <c r="C540" i="11"/>
  <c r="D540" i="11"/>
  <c r="E540" i="11"/>
  <c r="F540" i="11"/>
  <c r="G540" i="11"/>
  <c r="I540" i="11"/>
  <c r="J540" i="11"/>
  <c r="K540" i="11"/>
  <c r="L540" i="11"/>
  <c r="M540" i="11"/>
  <c r="N540" i="11"/>
  <c r="C541" i="11"/>
  <c r="D541" i="11"/>
  <c r="E541" i="11"/>
  <c r="F541" i="11"/>
  <c r="G541" i="11"/>
  <c r="I541" i="11"/>
  <c r="J541" i="11"/>
  <c r="K541" i="11"/>
  <c r="L541" i="11"/>
  <c r="M541" i="11"/>
  <c r="N541" i="11"/>
  <c r="C542" i="11"/>
  <c r="D542" i="11"/>
  <c r="E542" i="11"/>
  <c r="F542" i="11"/>
  <c r="G542" i="11"/>
  <c r="I542" i="11"/>
  <c r="J542" i="11"/>
  <c r="K542" i="11"/>
  <c r="L542" i="11"/>
  <c r="M542" i="11"/>
  <c r="N542" i="11"/>
  <c r="C543" i="11"/>
  <c r="D543" i="11"/>
  <c r="E543" i="11"/>
  <c r="F543" i="11"/>
  <c r="G543" i="11"/>
  <c r="I543" i="11"/>
  <c r="J543" i="11"/>
  <c r="K543" i="11"/>
  <c r="L543" i="11"/>
  <c r="M543" i="11"/>
  <c r="N543" i="11"/>
  <c r="C544" i="11"/>
  <c r="D544" i="11"/>
  <c r="E544" i="11"/>
  <c r="F544" i="11"/>
  <c r="G544" i="11"/>
  <c r="I544" i="11"/>
  <c r="J544" i="11"/>
  <c r="K544" i="11"/>
  <c r="L544" i="11"/>
  <c r="M544" i="11"/>
  <c r="N544" i="11"/>
  <c r="C545" i="11"/>
  <c r="D545" i="11"/>
  <c r="E545" i="11"/>
  <c r="F545" i="11"/>
  <c r="G545" i="11"/>
  <c r="I545" i="11"/>
  <c r="J545" i="11"/>
  <c r="K545" i="11"/>
  <c r="L545" i="11"/>
  <c r="M545" i="11"/>
  <c r="N545" i="11"/>
  <c r="C546" i="11"/>
  <c r="D546" i="11"/>
  <c r="E546" i="11"/>
  <c r="F546" i="11"/>
  <c r="G546" i="11"/>
  <c r="I546" i="11"/>
  <c r="J546" i="11"/>
  <c r="K546" i="11"/>
  <c r="L546" i="11"/>
  <c r="M546" i="11"/>
  <c r="N546" i="11"/>
  <c r="C547" i="11"/>
  <c r="D547" i="11"/>
  <c r="E547" i="11"/>
  <c r="F547" i="11"/>
  <c r="G547" i="11"/>
  <c r="I547" i="11"/>
  <c r="J547" i="11"/>
  <c r="K547" i="11"/>
  <c r="L547" i="11"/>
  <c r="M547" i="11"/>
  <c r="N547" i="11"/>
  <c r="C548" i="11"/>
  <c r="D548" i="11"/>
  <c r="E548" i="11"/>
  <c r="F548" i="11"/>
  <c r="G548" i="11"/>
  <c r="I548" i="11"/>
  <c r="J548" i="11"/>
  <c r="K548" i="11"/>
  <c r="L548" i="11"/>
  <c r="M548" i="11"/>
  <c r="N548" i="11"/>
  <c r="C549" i="11"/>
  <c r="D549" i="11"/>
  <c r="E549" i="11"/>
  <c r="F549" i="11"/>
  <c r="G549" i="11"/>
  <c r="I549" i="11"/>
  <c r="J549" i="11"/>
  <c r="K549" i="11"/>
  <c r="L549" i="11"/>
  <c r="M549" i="11"/>
  <c r="N549" i="11"/>
  <c r="C550" i="11"/>
  <c r="D550" i="11"/>
  <c r="E550" i="11"/>
  <c r="F550" i="11"/>
  <c r="G550" i="11"/>
  <c r="I550" i="11"/>
  <c r="J550" i="11"/>
  <c r="K550" i="11"/>
  <c r="L550" i="11"/>
  <c r="M550" i="11"/>
  <c r="N550" i="11"/>
  <c r="C551" i="11"/>
  <c r="D551" i="11"/>
  <c r="E551" i="11"/>
  <c r="F551" i="11"/>
  <c r="G551" i="11"/>
  <c r="I551" i="11"/>
  <c r="J551" i="11"/>
  <c r="K551" i="11"/>
  <c r="L551" i="11"/>
  <c r="M551" i="11"/>
  <c r="N551" i="11"/>
  <c r="C552" i="11"/>
  <c r="D552" i="11"/>
  <c r="E552" i="11"/>
  <c r="F552" i="11"/>
  <c r="G552" i="11"/>
  <c r="I552" i="11"/>
  <c r="J552" i="11"/>
  <c r="K552" i="11"/>
  <c r="L552" i="11"/>
  <c r="M552" i="11"/>
  <c r="N552" i="11"/>
  <c r="C553" i="11"/>
  <c r="D553" i="11"/>
  <c r="E553" i="11"/>
  <c r="F553" i="11"/>
  <c r="G553" i="11"/>
  <c r="I553" i="11"/>
  <c r="J553" i="11"/>
  <c r="K553" i="11"/>
  <c r="L553" i="11"/>
  <c r="M553" i="11"/>
  <c r="N553" i="11"/>
  <c r="C554" i="11"/>
  <c r="D554" i="11"/>
  <c r="E554" i="11"/>
  <c r="F554" i="11"/>
  <c r="G554" i="11"/>
  <c r="I554" i="11"/>
  <c r="J554" i="11"/>
  <c r="K554" i="11"/>
  <c r="L554" i="11"/>
  <c r="M554" i="11"/>
  <c r="N554" i="11"/>
  <c r="C555" i="11"/>
  <c r="D555" i="11"/>
  <c r="E555" i="11"/>
  <c r="F555" i="11"/>
  <c r="G555" i="11"/>
  <c r="I555" i="11"/>
  <c r="J555" i="11"/>
  <c r="K555" i="11"/>
  <c r="L555" i="11"/>
  <c r="M555" i="11"/>
  <c r="N555" i="11"/>
  <c r="C556" i="11"/>
  <c r="D556" i="11"/>
  <c r="E556" i="11"/>
  <c r="F556" i="11"/>
  <c r="G556" i="11"/>
  <c r="I556" i="11"/>
  <c r="J556" i="11"/>
  <c r="K556" i="11"/>
  <c r="L556" i="11"/>
  <c r="M556" i="11"/>
  <c r="N556" i="11"/>
  <c r="C557" i="11"/>
  <c r="D557" i="11"/>
  <c r="E557" i="11"/>
  <c r="F557" i="11"/>
  <c r="G557" i="11"/>
  <c r="I557" i="11"/>
  <c r="J557" i="11"/>
  <c r="K557" i="11"/>
  <c r="L557" i="11"/>
  <c r="M557" i="11"/>
  <c r="N557" i="11"/>
  <c r="C558" i="11"/>
  <c r="D558" i="11"/>
  <c r="E558" i="11"/>
  <c r="F558" i="11"/>
  <c r="G558" i="11"/>
  <c r="I558" i="11"/>
  <c r="J558" i="11"/>
  <c r="K558" i="11"/>
  <c r="L558" i="11"/>
  <c r="M558" i="11"/>
  <c r="N558" i="11"/>
  <c r="C559" i="11"/>
  <c r="D559" i="11"/>
  <c r="E559" i="11"/>
  <c r="F559" i="11"/>
  <c r="G559" i="11"/>
  <c r="I559" i="11"/>
  <c r="J559" i="11"/>
  <c r="K559" i="11"/>
  <c r="L559" i="11"/>
  <c r="M559" i="11"/>
  <c r="N559" i="11"/>
  <c r="C560" i="11"/>
  <c r="D560" i="11"/>
  <c r="E560" i="11"/>
  <c r="F560" i="11"/>
  <c r="G560" i="11"/>
  <c r="I560" i="11"/>
  <c r="J560" i="11"/>
  <c r="K560" i="11"/>
  <c r="L560" i="11"/>
  <c r="M560" i="11"/>
  <c r="N560" i="11"/>
  <c r="C561" i="11"/>
  <c r="D561" i="11"/>
  <c r="E561" i="11"/>
  <c r="F561" i="11"/>
  <c r="G561" i="11"/>
  <c r="I561" i="11"/>
  <c r="J561" i="11"/>
  <c r="K561" i="11"/>
  <c r="L561" i="11"/>
  <c r="M561" i="11"/>
  <c r="N561" i="11"/>
  <c r="C562" i="11"/>
  <c r="D562" i="11"/>
  <c r="E562" i="11"/>
  <c r="F562" i="11"/>
  <c r="G562" i="11"/>
  <c r="I562" i="11"/>
  <c r="J562" i="11"/>
  <c r="K562" i="11"/>
  <c r="L562" i="11"/>
  <c r="M562" i="11"/>
  <c r="N562" i="11"/>
  <c r="C563" i="11"/>
  <c r="D563" i="11"/>
  <c r="E563" i="11"/>
  <c r="F563" i="11"/>
  <c r="G563" i="11"/>
  <c r="I563" i="11"/>
  <c r="J563" i="11"/>
  <c r="K563" i="11"/>
  <c r="L563" i="11"/>
  <c r="M563" i="11"/>
  <c r="N563" i="11"/>
  <c r="C564" i="11"/>
  <c r="D564" i="11"/>
  <c r="E564" i="11"/>
  <c r="F564" i="11"/>
  <c r="G564" i="11"/>
  <c r="I564" i="11"/>
  <c r="J564" i="11"/>
  <c r="K564" i="11"/>
  <c r="L564" i="11"/>
  <c r="M564" i="11"/>
  <c r="N564" i="11"/>
  <c r="C565" i="11"/>
  <c r="D565" i="11"/>
  <c r="E565" i="11"/>
  <c r="F565" i="11"/>
  <c r="G565" i="11"/>
  <c r="I565" i="11"/>
  <c r="J565" i="11"/>
  <c r="K565" i="11"/>
  <c r="L565" i="11"/>
  <c r="M565" i="11"/>
  <c r="N565" i="11"/>
  <c r="C566" i="11"/>
  <c r="D566" i="11"/>
  <c r="E566" i="11"/>
  <c r="F566" i="11"/>
  <c r="G566" i="11"/>
  <c r="I566" i="11"/>
  <c r="J566" i="11"/>
  <c r="K566" i="11"/>
  <c r="L566" i="11"/>
  <c r="M566" i="11"/>
  <c r="N566" i="11"/>
  <c r="C567" i="11"/>
  <c r="D567" i="11"/>
  <c r="E567" i="11"/>
  <c r="F567" i="11"/>
  <c r="G567" i="11"/>
  <c r="I567" i="11"/>
  <c r="J567" i="11"/>
  <c r="K567" i="11"/>
  <c r="L567" i="11"/>
  <c r="M567" i="11"/>
  <c r="N567" i="11"/>
  <c r="C568" i="11"/>
  <c r="D568" i="11"/>
  <c r="E568" i="11"/>
  <c r="F568" i="11"/>
  <c r="G568" i="11"/>
  <c r="I568" i="11"/>
  <c r="J568" i="11"/>
  <c r="K568" i="11"/>
  <c r="L568" i="11"/>
  <c r="M568" i="11"/>
  <c r="N568" i="11"/>
  <c r="C569" i="11"/>
  <c r="D569" i="11"/>
  <c r="E569" i="11"/>
  <c r="F569" i="11"/>
  <c r="G569" i="11"/>
  <c r="I569" i="11"/>
  <c r="J569" i="11"/>
  <c r="K569" i="11"/>
  <c r="L569" i="11"/>
  <c r="M569" i="11"/>
  <c r="N569" i="11"/>
  <c r="C570" i="11"/>
  <c r="D570" i="11"/>
  <c r="E570" i="11"/>
  <c r="F570" i="11"/>
  <c r="G570" i="11"/>
  <c r="I570" i="11"/>
  <c r="J570" i="11"/>
  <c r="K570" i="11"/>
  <c r="L570" i="11"/>
  <c r="M570" i="11"/>
  <c r="N570" i="11"/>
  <c r="C571" i="11"/>
  <c r="D571" i="11"/>
  <c r="E571" i="11"/>
  <c r="F571" i="11"/>
  <c r="G571" i="11"/>
  <c r="I571" i="11"/>
  <c r="J571" i="11"/>
  <c r="K571" i="11"/>
  <c r="L571" i="11"/>
  <c r="M571" i="11"/>
  <c r="N571" i="11"/>
  <c r="C572" i="11"/>
  <c r="D572" i="11"/>
  <c r="E572" i="11"/>
  <c r="F572" i="11"/>
  <c r="G572" i="11"/>
  <c r="I572" i="11"/>
  <c r="J572" i="11"/>
  <c r="K572" i="11"/>
  <c r="L572" i="11"/>
  <c r="M572" i="11"/>
  <c r="N572" i="11"/>
  <c r="C573" i="11"/>
  <c r="D573" i="11"/>
  <c r="E573" i="11"/>
  <c r="F573" i="11"/>
  <c r="G573" i="11"/>
  <c r="I573" i="11"/>
  <c r="J573" i="11"/>
  <c r="K573" i="11"/>
  <c r="L573" i="11"/>
  <c r="M573" i="11"/>
  <c r="N573" i="11"/>
  <c r="C574" i="11"/>
  <c r="D574" i="11"/>
  <c r="E574" i="11"/>
  <c r="F574" i="11"/>
  <c r="G574" i="11"/>
  <c r="I574" i="11"/>
  <c r="J574" i="11"/>
  <c r="K574" i="11"/>
  <c r="L574" i="11"/>
  <c r="M574" i="11"/>
  <c r="N574" i="11"/>
  <c r="C575" i="11"/>
  <c r="D575" i="11"/>
  <c r="E575" i="11"/>
  <c r="F575" i="11"/>
  <c r="G575" i="11"/>
  <c r="I575" i="11"/>
  <c r="J575" i="11"/>
  <c r="K575" i="11"/>
  <c r="L575" i="11"/>
  <c r="M575" i="11"/>
  <c r="N575" i="11"/>
  <c r="C576" i="11"/>
  <c r="D576" i="11"/>
  <c r="E576" i="11"/>
  <c r="F576" i="11"/>
  <c r="G576" i="11"/>
  <c r="I576" i="11"/>
  <c r="J576" i="11"/>
  <c r="K576" i="11"/>
  <c r="L576" i="11"/>
  <c r="M576" i="11"/>
  <c r="N576" i="11"/>
  <c r="C577" i="11"/>
  <c r="D577" i="11"/>
  <c r="E577" i="11"/>
  <c r="F577" i="11"/>
  <c r="G577" i="11"/>
  <c r="I577" i="11"/>
  <c r="J577" i="11"/>
  <c r="K577" i="11"/>
  <c r="L577" i="11"/>
  <c r="M577" i="11"/>
  <c r="N577" i="11"/>
  <c r="C578" i="11"/>
  <c r="D578" i="11"/>
  <c r="E578" i="11"/>
  <c r="F578" i="11"/>
  <c r="G578" i="11"/>
  <c r="I578" i="11"/>
  <c r="J578" i="11"/>
  <c r="K578" i="11"/>
  <c r="L578" i="11"/>
  <c r="M578" i="11"/>
  <c r="N578" i="11"/>
  <c r="C579" i="11"/>
  <c r="D579" i="11"/>
  <c r="E579" i="11"/>
  <c r="F579" i="11"/>
  <c r="G579" i="11"/>
  <c r="I579" i="11"/>
  <c r="J579" i="11"/>
  <c r="K579" i="11"/>
  <c r="L579" i="11"/>
  <c r="M579" i="11"/>
  <c r="N579" i="11"/>
  <c r="C580" i="11"/>
  <c r="D580" i="11"/>
  <c r="E580" i="11"/>
  <c r="F580" i="11"/>
  <c r="G580" i="11"/>
  <c r="I580" i="11"/>
  <c r="J580" i="11"/>
  <c r="K580" i="11"/>
  <c r="L580" i="11"/>
  <c r="M580" i="11"/>
  <c r="N580" i="11"/>
  <c r="C581" i="11"/>
  <c r="D581" i="11"/>
  <c r="E581" i="11"/>
  <c r="F581" i="11"/>
  <c r="G581" i="11"/>
  <c r="I581" i="11"/>
  <c r="J581" i="11"/>
  <c r="K581" i="11"/>
  <c r="L581" i="11"/>
  <c r="M581" i="11"/>
  <c r="N581" i="11"/>
  <c r="C582" i="11"/>
  <c r="D582" i="11"/>
  <c r="E582" i="11"/>
  <c r="F582" i="11"/>
  <c r="G582" i="11"/>
  <c r="I582" i="11"/>
  <c r="J582" i="11"/>
  <c r="K582" i="11"/>
  <c r="L582" i="11"/>
  <c r="M582" i="11"/>
  <c r="N582" i="11"/>
  <c r="C583" i="11"/>
  <c r="D583" i="11"/>
  <c r="E583" i="11"/>
  <c r="F583" i="11"/>
  <c r="G583" i="11"/>
  <c r="I583" i="11"/>
  <c r="J583" i="11"/>
  <c r="K583" i="11"/>
  <c r="L583" i="11"/>
  <c r="M583" i="11"/>
  <c r="N583" i="11"/>
  <c r="C584" i="11"/>
  <c r="D584" i="11"/>
  <c r="E584" i="11"/>
  <c r="F584" i="11"/>
  <c r="G584" i="11"/>
  <c r="I584" i="11"/>
  <c r="J584" i="11"/>
  <c r="K584" i="11"/>
  <c r="L584" i="11"/>
  <c r="M584" i="11"/>
  <c r="N584" i="11"/>
  <c r="C585" i="11"/>
  <c r="D585" i="11"/>
  <c r="E585" i="11"/>
  <c r="F585" i="11"/>
  <c r="G585" i="11"/>
  <c r="I585" i="11"/>
  <c r="J585" i="11"/>
  <c r="K585" i="11"/>
  <c r="L585" i="11"/>
  <c r="M585" i="11"/>
  <c r="N585" i="11"/>
  <c r="C586" i="11"/>
  <c r="D586" i="11"/>
  <c r="E586" i="11"/>
  <c r="F586" i="11"/>
  <c r="G586" i="11"/>
  <c r="I586" i="11"/>
  <c r="J586" i="11"/>
  <c r="K586" i="11"/>
  <c r="L586" i="11"/>
  <c r="M586" i="11"/>
  <c r="N586" i="11"/>
  <c r="C587" i="11"/>
  <c r="D587" i="11"/>
  <c r="E587" i="11"/>
  <c r="F587" i="11"/>
  <c r="G587" i="11"/>
  <c r="I587" i="11"/>
  <c r="J587" i="11"/>
  <c r="K587" i="11"/>
  <c r="L587" i="11"/>
  <c r="M587" i="11"/>
  <c r="N587" i="11"/>
  <c r="C588" i="11"/>
  <c r="D588" i="11"/>
  <c r="E588" i="11"/>
  <c r="F588" i="11"/>
  <c r="G588" i="11"/>
  <c r="I588" i="11"/>
  <c r="J588" i="11"/>
  <c r="K588" i="11"/>
  <c r="L588" i="11"/>
  <c r="M588" i="11"/>
  <c r="N588" i="11"/>
  <c r="C589" i="11"/>
  <c r="D589" i="11"/>
  <c r="E589" i="11"/>
  <c r="F589" i="11"/>
  <c r="G589" i="11"/>
  <c r="I589" i="11"/>
  <c r="J589" i="11"/>
  <c r="K589" i="11"/>
  <c r="L589" i="11"/>
  <c r="M589" i="11"/>
  <c r="N589" i="11"/>
  <c r="C590" i="11"/>
  <c r="D590" i="11"/>
  <c r="E590" i="11"/>
  <c r="F590" i="11"/>
  <c r="G590" i="11"/>
  <c r="I590" i="11"/>
  <c r="J590" i="11"/>
  <c r="K590" i="11"/>
  <c r="L590" i="11"/>
  <c r="M590" i="11"/>
  <c r="N590" i="11"/>
  <c r="C591" i="11"/>
  <c r="D591" i="11"/>
  <c r="E591" i="11"/>
  <c r="F591" i="11"/>
  <c r="G591" i="11"/>
  <c r="I591" i="11"/>
  <c r="J591" i="11"/>
  <c r="K591" i="11"/>
  <c r="L591" i="11"/>
  <c r="M591" i="11"/>
  <c r="N591" i="11"/>
  <c r="C592" i="11"/>
  <c r="D592" i="11"/>
  <c r="E592" i="11"/>
  <c r="F592" i="11"/>
  <c r="G592" i="11"/>
  <c r="I592" i="11"/>
  <c r="J592" i="11"/>
  <c r="K592" i="11"/>
  <c r="L592" i="11"/>
  <c r="M592" i="11"/>
  <c r="N592" i="11"/>
  <c r="C593" i="11"/>
  <c r="D593" i="11"/>
  <c r="E593" i="11"/>
  <c r="F593" i="11"/>
  <c r="G593" i="11"/>
  <c r="I593" i="11"/>
  <c r="J593" i="11"/>
  <c r="K593" i="11"/>
  <c r="L593" i="11"/>
  <c r="M593" i="11"/>
  <c r="N593" i="11"/>
  <c r="C594" i="11"/>
  <c r="D594" i="11"/>
  <c r="E594" i="11"/>
  <c r="F594" i="11"/>
  <c r="G594" i="11"/>
  <c r="I594" i="11"/>
  <c r="J594" i="11"/>
  <c r="K594" i="11"/>
  <c r="L594" i="11"/>
  <c r="M594" i="11"/>
  <c r="N594" i="11"/>
  <c r="C595" i="11"/>
  <c r="D595" i="11"/>
  <c r="E595" i="11"/>
  <c r="F595" i="11"/>
  <c r="G595" i="11"/>
  <c r="I595" i="11"/>
  <c r="J595" i="11"/>
  <c r="K595" i="11"/>
  <c r="L595" i="11"/>
  <c r="M595" i="11"/>
  <c r="N595" i="11"/>
  <c r="C596" i="11"/>
  <c r="D596" i="11"/>
  <c r="E596" i="11"/>
  <c r="F596" i="11"/>
  <c r="G596" i="11"/>
  <c r="I596" i="11"/>
  <c r="J596" i="11"/>
  <c r="K596" i="11"/>
  <c r="L596" i="11"/>
  <c r="M596" i="11"/>
  <c r="N596" i="11"/>
  <c r="C597" i="11"/>
  <c r="D597" i="11"/>
  <c r="E597" i="11"/>
  <c r="F597" i="11"/>
  <c r="G597" i="11"/>
  <c r="I597" i="11"/>
  <c r="J597" i="11"/>
  <c r="K597" i="11"/>
  <c r="L597" i="11"/>
  <c r="M597" i="11"/>
  <c r="N597" i="11"/>
  <c r="C598" i="11"/>
  <c r="D598" i="11"/>
  <c r="E598" i="11"/>
  <c r="F598" i="11"/>
  <c r="G598" i="11"/>
  <c r="I598" i="11"/>
  <c r="J598" i="11"/>
  <c r="K598" i="11"/>
  <c r="L598" i="11"/>
  <c r="M598" i="11"/>
  <c r="N598" i="11"/>
  <c r="C599" i="11"/>
  <c r="D599" i="11"/>
  <c r="E599" i="11"/>
  <c r="F599" i="11"/>
  <c r="G599" i="11"/>
  <c r="I599" i="11"/>
  <c r="J599" i="11"/>
  <c r="K599" i="11"/>
  <c r="L599" i="11"/>
  <c r="M599" i="11"/>
  <c r="N599" i="11"/>
  <c r="C600" i="11"/>
  <c r="D600" i="11"/>
  <c r="E600" i="11"/>
  <c r="F600" i="11"/>
  <c r="G600" i="11"/>
  <c r="I600" i="11"/>
  <c r="J600" i="11"/>
  <c r="K600" i="11"/>
  <c r="L600" i="11"/>
  <c r="M600" i="11"/>
  <c r="N600" i="11"/>
  <c r="C601" i="11"/>
  <c r="D601" i="11"/>
  <c r="E601" i="11"/>
  <c r="F601" i="11"/>
  <c r="G601" i="11"/>
  <c r="I601" i="11"/>
  <c r="J601" i="11"/>
  <c r="K601" i="11"/>
  <c r="L601" i="11"/>
  <c r="M601" i="11"/>
  <c r="N601" i="11"/>
  <c r="C602" i="11"/>
  <c r="D602" i="11"/>
  <c r="E602" i="11"/>
  <c r="F602" i="11"/>
  <c r="G602" i="11"/>
  <c r="I602" i="11"/>
  <c r="J602" i="11"/>
  <c r="K602" i="11"/>
  <c r="L602" i="11"/>
  <c r="M602" i="11"/>
  <c r="N602" i="11"/>
  <c r="C603" i="11"/>
  <c r="D603" i="11"/>
  <c r="E603" i="11"/>
  <c r="F603" i="11"/>
  <c r="G603" i="11"/>
  <c r="I603" i="11"/>
  <c r="J603" i="11"/>
  <c r="K603" i="11"/>
  <c r="L603" i="11"/>
  <c r="M603" i="11"/>
  <c r="N603" i="11"/>
  <c r="C604" i="11"/>
  <c r="D604" i="11"/>
  <c r="E604" i="11"/>
  <c r="F604" i="11"/>
  <c r="G604" i="11"/>
  <c r="I604" i="11"/>
  <c r="J604" i="11"/>
  <c r="K604" i="11"/>
  <c r="L604" i="11"/>
  <c r="M604" i="11"/>
  <c r="N604" i="11"/>
  <c r="C605" i="11"/>
  <c r="D605" i="11"/>
  <c r="E605" i="11"/>
  <c r="F605" i="11"/>
  <c r="G605" i="11"/>
  <c r="I605" i="11"/>
  <c r="J605" i="11"/>
  <c r="K605" i="11"/>
  <c r="L605" i="11"/>
  <c r="M605" i="11"/>
  <c r="N605" i="11"/>
  <c r="C606" i="11"/>
  <c r="D606" i="11"/>
  <c r="E606" i="11"/>
  <c r="F606" i="11"/>
  <c r="G606" i="11"/>
  <c r="I606" i="11"/>
  <c r="J606" i="11"/>
  <c r="K606" i="11"/>
  <c r="L606" i="11"/>
  <c r="M606" i="11"/>
  <c r="N606" i="11"/>
  <c r="C607" i="11"/>
  <c r="D607" i="11"/>
  <c r="E607" i="11"/>
  <c r="F607" i="11"/>
  <c r="G607" i="11"/>
  <c r="I607" i="11"/>
  <c r="J607" i="11"/>
  <c r="K607" i="11"/>
  <c r="L607" i="11"/>
  <c r="M607" i="11"/>
  <c r="N607" i="11"/>
  <c r="C608" i="11"/>
  <c r="D608" i="11"/>
  <c r="E608" i="11"/>
  <c r="F608" i="11"/>
  <c r="G608" i="11"/>
  <c r="I608" i="11"/>
  <c r="J608" i="11"/>
  <c r="K608" i="11"/>
  <c r="L608" i="11"/>
  <c r="M608" i="11"/>
  <c r="N608" i="11"/>
  <c r="C609" i="11"/>
  <c r="D609" i="11"/>
  <c r="E609" i="11"/>
  <c r="F609" i="11"/>
  <c r="G609" i="11"/>
  <c r="I609" i="11"/>
  <c r="J609" i="11"/>
  <c r="K609" i="11"/>
  <c r="L609" i="11"/>
  <c r="M609" i="11"/>
  <c r="N609" i="11"/>
  <c r="C610" i="11"/>
  <c r="D610" i="11"/>
  <c r="E610" i="11"/>
  <c r="F610" i="11"/>
  <c r="G610" i="11"/>
  <c r="I610" i="11"/>
  <c r="J610" i="11"/>
  <c r="K610" i="11"/>
  <c r="L610" i="11"/>
  <c r="M610" i="11"/>
  <c r="N610" i="11"/>
  <c r="C611" i="11"/>
  <c r="D611" i="11"/>
  <c r="E611" i="11"/>
  <c r="F611" i="11"/>
  <c r="G611" i="11"/>
  <c r="I611" i="11"/>
  <c r="J611" i="11"/>
  <c r="K611" i="11"/>
  <c r="L611" i="11"/>
  <c r="M611" i="11"/>
  <c r="N611" i="11"/>
  <c r="C612" i="11"/>
  <c r="D612" i="11"/>
  <c r="E612" i="11"/>
  <c r="F612" i="11"/>
  <c r="G612" i="11"/>
  <c r="I612" i="11"/>
  <c r="J612" i="11"/>
  <c r="K612" i="11"/>
  <c r="L612" i="11"/>
  <c r="M612" i="11"/>
  <c r="N612" i="11"/>
  <c r="C613" i="11"/>
  <c r="D613" i="11"/>
  <c r="E613" i="11"/>
  <c r="F613" i="11"/>
  <c r="G613" i="11"/>
  <c r="I613" i="11"/>
  <c r="J613" i="11"/>
  <c r="K613" i="11"/>
  <c r="L613" i="11"/>
  <c r="M613" i="11"/>
  <c r="N613" i="11"/>
  <c r="C614" i="11"/>
  <c r="D614" i="11"/>
  <c r="E614" i="11"/>
  <c r="F614" i="11"/>
  <c r="G614" i="11"/>
  <c r="I614" i="11"/>
  <c r="J614" i="11"/>
  <c r="K614" i="11"/>
  <c r="L614" i="11"/>
  <c r="M614" i="11"/>
  <c r="N614" i="11"/>
  <c r="C615" i="11"/>
  <c r="D615" i="11"/>
  <c r="E615" i="11"/>
  <c r="F615" i="11"/>
  <c r="G615" i="11"/>
  <c r="I615" i="11"/>
  <c r="J615" i="11"/>
  <c r="K615" i="11"/>
  <c r="L615" i="11"/>
  <c r="M615" i="11"/>
  <c r="N615" i="11"/>
  <c r="C616" i="11"/>
  <c r="D616" i="11"/>
  <c r="E616" i="11"/>
  <c r="F616" i="11"/>
  <c r="G616" i="11"/>
  <c r="I616" i="11"/>
  <c r="J616" i="11"/>
  <c r="K616" i="11"/>
  <c r="L616" i="11"/>
  <c r="M616" i="11"/>
  <c r="N616" i="11"/>
  <c r="C617" i="11"/>
  <c r="D617" i="11"/>
  <c r="E617" i="11"/>
  <c r="F617" i="11"/>
  <c r="G617" i="11"/>
  <c r="I617" i="11"/>
  <c r="J617" i="11"/>
  <c r="K617" i="11"/>
  <c r="L617" i="11"/>
  <c r="M617" i="11"/>
  <c r="N617" i="11"/>
  <c r="C618" i="11"/>
  <c r="D618" i="11"/>
  <c r="E618" i="11"/>
  <c r="F618" i="11"/>
  <c r="G618" i="11"/>
  <c r="I618" i="11"/>
  <c r="J618" i="11"/>
  <c r="K618" i="11"/>
  <c r="L618" i="11"/>
  <c r="M618" i="11"/>
  <c r="N618" i="11"/>
  <c r="C619" i="11"/>
  <c r="D619" i="11"/>
  <c r="E619" i="11"/>
  <c r="F619" i="11"/>
  <c r="G619" i="11"/>
  <c r="I619" i="11"/>
  <c r="J619" i="11"/>
  <c r="K619" i="11"/>
  <c r="L619" i="11"/>
  <c r="M619" i="11"/>
  <c r="N619" i="11"/>
  <c r="C620" i="11"/>
  <c r="D620" i="11"/>
  <c r="E620" i="11"/>
  <c r="F620" i="11"/>
  <c r="G620" i="11"/>
  <c r="I620" i="11"/>
  <c r="J620" i="11"/>
  <c r="K620" i="11"/>
  <c r="L620" i="11"/>
  <c r="M620" i="11"/>
  <c r="N620" i="11"/>
  <c r="C621" i="11"/>
  <c r="D621" i="11"/>
  <c r="E621" i="11"/>
  <c r="F621" i="11"/>
  <c r="G621" i="11"/>
  <c r="I621" i="11"/>
  <c r="J621" i="11"/>
  <c r="K621" i="11"/>
  <c r="L621" i="11"/>
  <c r="M621" i="11"/>
  <c r="N621" i="11"/>
  <c r="C622" i="11"/>
  <c r="D622" i="11"/>
  <c r="E622" i="11"/>
  <c r="F622" i="11"/>
  <c r="G622" i="11"/>
  <c r="I622" i="11"/>
  <c r="J622" i="11"/>
  <c r="K622" i="11"/>
  <c r="L622" i="11"/>
  <c r="M622" i="11"/>
  <c r="N622" i="11"/>
  <c r="C623" i="11"/>
  <c r="D623" i="11"/>
  <c r="E623" i="11"/>
  <c r="F623" i="11"/>
  <c r="G623" i="11"/>
  <c r="I623" i="11"/>
  <c r="J623" i="11"/>
  <c r="K623" i="11"/>
  <c r="L623" i="11"/>
  <c r="M623" i="11"/>
  <c r="N623" i="11"/>
  <c r="C624" i="11"/>
  <c r="D624" i="11"/>
  <c r="E624" i="11"/>
  <c r="F624" i="11"/>
  <c r="G624" i="11"/>
  <c r="I624" i="11"/>
  <c r="J624" i="11"/>
  <c r="K624" i="11"/>
  <c r="L624" i="11"/>
  <c r="M624" i="11"/>
  <c r="N624" i="11"/>
  <c r="C625" i="11"/>
  <c r="D625" i="11"/>
  <c r="E625" i="11"/>
  <c r="F625" i="11"/>
  <c r="G625" i="11"/>
  <c r="I625" i="11"/>
  <c r="J625" i="11"/>
  <c r="K625" i="11"/>
  <c r="L625" i="11"/>
  <c r="M625" i="11"/>
  <c r="N625" i="11"/>
  <c r="C626" i="11"/>
  <c r="D626" i="11"/>
  <c r="E626" i="11"/>
  <c r="F626" i="11"/>
  <c r="G626" i="11"/>
  <c r="I626" i="11"/>
  <c r="J626" i="11"/>
  <c r="K626" i="11"/>
  <c r="L626" i="11"/>
  <c r="M626" i="11"/>
  <c r="N626" i="11"/>
  <c r="C627" i="11"/>
  <c r="D627" i="11"/>
  <c r="E627" i="11"/>
  <c r="F627" i="11"/>
  <c r="G627" i="11"/>
  <c r="I627" i="11"/>
  <c r="J627" i="11"/>
  <c r="K627" i="11"/>
  <c r="L627" i="11"/>
  <c r="M627" i="11"/>
  <c r="N627" i="11"/>
  <c r="C628" i="11"/>
  <c r="D628" i="11"/>
  <c r="E628" i="11"/>
  <c r="F628" i="11"/>
  <c r="G628" i="11"/>
  <c r="I628" i="11"/>
  <c r="J628" i="11"/>
  <c r="K628" i="11"/>
  <c r="L628" i="11"/>
  <c r="M628" i="11"/>
  <c r="N628" i="11"/>
  <c r="C629" i="11"/>
  <c r="D629" i="11"/>
  <c r="E629" i="11"/>
  <c r="F629" i="11"/>
  <c r="G629" i="11"/>
  <c r="I629" i="11"/>
  <c r="J629" i="11"/>
  <c r="K629" i="11"/>
  <c r="L629" i="11"/>
  <c r="M629" i="11"/>
  <c r="N629" i="11"/>
  <c r="C630" i="11"/>
  <c r="D630" i="11"/>
  <c r="E630" i="11"/>
  <c r="F630" i="11"/>
  <c r="G630" i="11"/>
  <c r="I630" i="11"/>
  <c r="J630" i="11"/>
  <c r="K630" i="11"/>
  <c r="L630" i="11"/>
  <c r="M630" i="11"/>
  <c r="N630" i="11"/>
  <c r="C631" i="11"/>
  <c r="D631" i="11"/>
  <c r="E631" i="11"/>
  <c r="F631" i="11"/>
  <c r="G631" i="11"/>
  <c r="I631" i="11"/>
  <c r="J631" i="11"/>
  <c r="K631" i="11"/>
  <c r="L631" i="11"/>
  <c r="M631" i="11"/>
  <c r="N631" i="11"/>
  <c r="C632" i="11"/>
  <c r="D632" i="11"/>
  <c r="E632" i="11"/>
  <c r="F632" i="11"/>
  <c r="G632" i="11"/>
  <c r="I632" i="11"/>
  <c r="J632" i="11"/>
  <c r="K632" i="11"/>
  <c r="L632" i="11"/>
  <c r="M632" i="11"/>
  <c r="N632" i="11"/>
  <c r="C633" i="11"/>
  <c r="D633" i="11"/>
  <c r="E633" i="11"/>
  <c r="F633" i="11"/>
  <c r="G633" i="11"/>
  <c r="I633" i="11"/>
  <c r="J633" i="11"/>
  <c r="K633" i="11"/>
  <c r="L633" i="11"/>
  <c r="M633" i="11"/>
  <c r="N633" i="11"/>
  <c r="C634" i="11"/>
  <c r="D634" i="11"/>
  <c r="E634" i="11"/>
  <c r="F634" i="11"/>
  <c r="G634" i="11"/>
  <c r="I634" i="11"/>
  <c r="J634" i="11"/>
  <c r="K634" i="11"/>
  <c r="L634" i="11"/>
  <c r="M634" i="11"/>
  <c r="N634" i="11"/>
  <c r="C635" i="11"/>
  <c r="D635" i="11"/>
  <c r="E635" i="11"/>
  <c r="F635" i="11"/>
  <c r="G635" i="11"/>
  <c r="I635" i="11"/>
  <c r="J635" i="11"/>
  <c r="K635" i="11"/>
  <c r="L635" i="11"/>
  <c r="M635" i="11"/>
  <c r="N635" i="11"/>
  <c r="C636" i="11"/>
  <c r="D636" i="11"/>
  <c r="E636" i="11"/>
  <c r="F636" i="11"/>
  <c r="G636" i="11"/>
  <c r="I636" i="11"/>
  <c r="J636" i="11"/>
  <c r="K636" i="11"/>
  <c r="L636" i="11"/>
  <c r="M636" i="11"/>
  <c r="N636" i="11"/>
  <c r="C637" i="11"/>
  <c r="D637" i="11"/>
  <c r="E637" i="11"/>
  <c r="F637" i="11"/>
  <c r="G637" i="11"/>
  <c r="I637" i="11"/>
  <c r="J637" i="11"/>
  <c r="K637" i="11"/>
  <c r="L637" i="11"/>
  <c r="M637" i="11"/>
  <c r="N637" i="11"/>
  <c r="C638" i="11"/>
  <c r="D638" i="11"/>
  <c r="E638" i="11"/>
  <c r="F638" i="11"/>
  <c r="G638" i="11"/>
  <c r="I638" i="11"/>
  <c r="J638" i="11"/>
  <c r="K638" i="11"/>
  <c r="L638" i="11"/>
  <c r="M638" i="11"/>
  <c r="N638" i="11"/>
  <c r="C639" i="11"/>
  <c r="D639" i="11"/>
  <c r="E639" i="11"/>
  <c r="F639" i="11"/>
  <c r="G639" i="11"/>
  <c r="I639" i="11"/>
  <c r="J639" i="11"/>
  <c r="K639" i="11"/>
  <c r="L639" i="11"/>
  <c r="M639" i="11"/>
  <c r="N639" i="11"/>
  <c r="C640" i="11"/>
  <c r="D640" i="11"/>
  <c r="E640" i="11"/>
  <c r="F640" i="11"/>
  <c r="G640" i="11"/>
  <c r="I640" i="11"/>
  <c r="J640" i="11"/>
  <c r="K640" i="11"/>
  <c r="L640" i="11"/>
  <c r="M640" i="11"/>
  <c r="N640" i="11"/>
  <c r="C641" i="11"/>
  <c r="D641" i="11"/>
  <c r="E641" i="11"/>
  <c r="F641" i="11"/>
  <c r="G641" i="11"/>
  <c r="I641" i="11"/>
  <c r="J641" i="11"/>
  <c r="K641" i="11"/>
  <c r="L641" i="11"/>
  <c r="M641" i="11"/>
  <c r="N641" i="11"/>
  <c r="C642" i="11"/>
  <c r="D642" i="11"/>
  <c r="E642" i="11"/>
  <c r="F642" i="11"/>
  <c r="G642" i="11"/>
  <c r="I642" i="11"/>
  <c r="J642" i="11"/>
  <c r="K642" i="11"/>
  <c r="L642" i="11"/>
  <c r="M642" i="11"/>
  <c r="N642" i="11"/>
  <c r="C643" i="11"/>
  <c r="D643" i="11"/>
  <c r="E643" i="11"/>
  <c r="F643" i="11"/>
  <c r="G643" i="11"/>
  <c r="I643" i="11"/>
  <c r="J643" i="11"/>
  <c r="K643" i="11"/>
  <c r="L643" i="11"/>
  <c r="M643" i="11"/>
  <c r="N643" i="11"/>
  <c r="C644" i="11"/>
  <c r="D644" i="11"/>
  <c r="E644" i="11"/>
  <c r="F644" i="11"/>
  <c r="G644" i="11"/>
  <c r="I644" i="11"/>
  <c r="J644" i="11"/>
  <c r="K644" i="11"/>
  <c r="L644" i="11"/>
  <c r="M644" i="11"/>
  <c r="N644" i="11"/>
  <c r="C645" i="11"/>
  <c r="D645" i="11"/>
  <c r="E645" i="11"/>
  <c r="F645" i="11"/>
  <c r="G645" i="11"/>
  <c r="I645" i="11"/>
  <c r="J645" i="11"/>
  <c r="K645" i="11"/>
  <c r="L645" i="11"/>
  <c r="M645" i="11"/>
  <c r="N645" i="11"/>
  <c r="C646" i="11"/>
  <c r="D646" i="11"/>
  <c r="E646" i="11"/>
  <c r="F646" i="11"/>
  <c r="G646" i="11"/>
  <c r="I646" i="11"/>
  <c r="J646" i="11"/>
  <c r="K646" i="11"/>
  <c r="L646" i="11"/>
  <c r="M646" i="11"/>
  <c r="N646" i="11"/>
  <c r="C647" i="11"/>
  <c r="D647" i="11"/>
  <c r="E647" i="11"/>
  <c r="F647" i="11"/>
  <c r="G647" i="11"/>
  <c r="I647" i="11"/>
  <c r="J647" i="11"/>
  <c r="K647" i="11"/>
  <c r="L647" i="11"/>
  <c r="M647" i="11"/>
  <c r="N647" i="11"/>
  <c r="C648" i="11"/>
  <c r="D648" i="11"/>
  <c r="E648" i="11"/>
  <c r="F648" i="11"/>
  <c r="G648" i="11"/>
  <c r="I648" i="11"/>
  <c r="J648" i="11"/>
  <c r="K648" i="11"/>
  <c r="L648" i="11"/>
  <c r="M648" i="11"/>
  <c r="N648" i="11"/>
  <c r="C649" i="11"/>
  <c r="D649" i="11"/>
  <c r="E649" i="11"/>
  <c r="F649" i="11"/>
  <c r="G649" i="11"/>
  <c r="I649" i="11"/>
  <c r="J649" i="11"/>
  <c r="K649" i="11"/>
  <c r="L649" i="11"/>
  <c r="M649" i="11"/>
  <c r="N649" i="11"/>
  <c r="C650" i="11"/>
  <c r="D650" i="11"/>
  <c r="E650" i="11"/>
  <c r="F650" i="11"/>
  <c r="G650" i="11"/>
  <c r="I650" i="11"/>
  <c r="J650" i="11"/>
  <c r="K650" i="11"/>
  <c r="L650" i="11"/>
  <c r="M650" i="11"/>
  <c r="N650" i="11"/>
  <c r="C651" i="11"/>
  <c r="D651" i="11"/>
  <c r="E651" i="11"/>
  <c r="F651" i="11"/>
  <c r="G651" i="11"/>
  <c r="I651" i="11"/>
  <c r="J651" i="11"/>
  <c r="K651" i="11"/>
  <c r="L651" i="11"/>
  <c r="M651" i="11"/>
  <c r="N651" i="11"/>
  <c r="C652" i="11"/>
  <c r="D652" i="11"/>
  <c r="E652" i="11"/>
  <c r="F652" i="11"/>
  <c r="G652" i="11"/>
  <c r="I652" i="11"/>
  <c r="J652" i="11"/>
  <c r="K652" i="11"/>
  <c r="L652" i="11"/>
  <c r="M652" i="11"/>
  <c r="N652" i="11"/>
  <c r="C653" i="11"/>
  <c r="D653" i="11"/>
  <c r="E653" i="11"/>
  <c r="F653" i="11"/>
  <c r="G653" i="11"/>
  <c r="I653" i="11"/>
  <c r="J653" i="11"/>
  <c r="K653" i="11"/>
  <c r="L653" i="11"/>
  <c r="M653" i="11"/>
  <c r="N653" i="11"/>
  <c r="C654" i="11"/>
  <c r="D654" i="11"/>
  <c r="E654" i="11"/>
  <c r="F654" i="11"/>
  <c r="G654" i="11"/>
  <c r="I654" i="11"/>
  <c r="J654" i="11"/>
  <c r="K654" i="11"/>
  <c r="L654" i="11"/>
  <c r="M654" i="11"/>
  <c r="N654" i="11"/>
  <c r="C655" i="11"/>
  <c r="D655" i="11"/>
  <c r="E655" i="11"/>
  <c r="F655" i="11"/>
  <c r="G655" i="11"/>
  <c r="I655" i="11"/>
  <c r="J655" i="11"/>
  <c r="K655" i="11"/>
  <c r="L655" i="11"/>
  <c r="M655" i="11"/>
  <c r="N655" i="11"/>
  <c r="C656" i="11"/>
  <c r="D656" i="11"/>
  <c r="E656" i="11"/>
  <c r="F656" i="11"/>
  <c r="G656" i="11"/>
  <c r="I656" i="11"/>
  <c r="J656" i="11"/>
  <c r="K656" i="11"/>
  <c r="L656" i="11"/>
  <c r="M656" i="11"/>
  <c r="N656" i="11"/>
  <c r="C657" i="11"/>
  <c r="D657" i="11"/>
  <c r="E657" i="11"/>
  <c r="F657" i="11"/>
  <c r="G657" i="11"/>
  <c r="I657" i="11"/>
  <c r="J657" i="11"/>
  <c r="K657" i="11"/>
  <c r="L657" i="11"/>
  <c r="M657" i="11"/>
  <c r="N657" i="11"/>
  <c r="C658" i="11"/>
  <c r="D658" i="11"/>
  <c r="E658" i="11"/>
  <c r="F658" i="11"/>
  <c r="G658" i="11"/>
  <c r="I658" i="11"/>
  <c r="J658" i="11"/>
  <c r="K658" i="11"/>
  <c r="L658" i="11"/>
  <c r="M658" i="11"/>
  <c r="N658" i="11"/>
  <c r="C659" i="11"/>
  <c r="D659" i="11"/>
  <c r="E659" i="11"/>
  <c r="F659" i="11"/>
  <c r="G659" i="11"/>
  <c r="I659" i="11"/>
  <c r="J659" i="11"/>
  <c r="K659" i="11"/>
  <c r="L659" i="11"/>
  <c r="M659" i="11"/>
  <c r="N659" i="11"/>
  <c r="C660" i="11"/>
  <c r="D660" i="11"/>
  <c r="E660" i="11"/>
  <c r="F660" i="11"/>
  <c r="G660" i="11"/>
  <c r="I660" i="11"/>
  <c r="J660" i="11"/>
  <c r="K660" i="11"/>
  <c r="L660" i="11"/>
  <c r="M660" i="11"/>
  <c r="N660" i="11"/>
  <c r="C661" i="11"/>
  <c r="D661" i="11"/>
  <c r="E661" i="11"/>
  <c r="F661" i="11"/>
  <c r="G661" i="11"/>
  <c r="I661" i="11"/>
  <c r="J661" i="11"/>
  <c r="K661" i="11"/>
  <c r="L661" i="11"/>
  <c r="M661" i="11"/>
  <c r="N661" i="11"/>
  <c r="C662" i="11"/>
  <c r="D662" i="11"/>
  <c r="E662" i="11"/>
  <c r="F662" i="11"/>
  <c r="G662" i="11"/>
  <c r="I662" i="11"/>
  <c r="J662" i="11"/>
  <c r="K662" i="11"/>
  <c r="L662" i="11"/>
  <c r="M662" i="11"/>
  <c r="N662" i="11"/>
  <c r="C663" i="11"/>
  <c r="D663" i="11"/>
  <c r="E663" i="11"/>
  <c r="F663" i="11"/>
  <c r="G663" i="11"/>
  <c r="I663" i="11"/>
  <c r="J663" i="11"/>
  <c r="K663" i="11"/>
  <c r="L663" i="11"/>
  <c r="M663" i="11"/>
  <c r="N663" i="11"/>
  <c r="C664" i="11"/>
  <c r="D664" i="11"/>
  <c r="E664" i="11"/>
  <c r="F664" i="11"/>
  <c r="G664" i="11"/>
  <c r="I664" i="11"/>
  <c r="J664" i="11"/>
  <c r="K664" i="11"/>
  <c r="L664" i="11"/>
  <c r="M664" i="11"/>
  <c r="N664" i="11"/>
  <c r="C665" i="11"/>
  <c r="D665" i="11"/>
  <c r="E665" i="11"/>
  <c r="F665" i="11"/>
  <c r="G665" i="11"/>
  <c r="I665" i="11"/>
  <c r="J665" i="11"/>
  <c r="K665" i="11"/>
  <c r="L665" i="11"/>
  <c r="M665" i="11"/>
  <c r="N665" i="11"/>
  <c r="C666" i="11"/>
  <c r="D666" i="11"/>
  <c r="E666" i="11"/>
  <c r="F666" i="11"/>
  <c r="G666" i="11"/>
  <c r="I666" i="11"/>
  <c r="J666" i="11"/>
  <c r="K666" i="11"/>
  <c r="L666" i="11"/>
  <c r="M666" i="11"/>
  <c r="N666" i="11"/>
  <c r="C667" i="11"/>
  <c r="D667" i="11"/>
  <c r="E667" i="11"/>
  <c r="F667" i="11"/>
  <c r="G667" i="11"/>
  <c r="I667" i="11"/>
  <c r="J667" i="11"/>
  <c r="K667" i="11"/>
  <c r="L667" i="11"/>
  <c r="M667" i="11"/>
  <c r="N667" i="11"/>
  <c r="C668" i="11"/>
  <c r="D668" i="11"/>
  <c r="E668" i="11"/>
  <c r="F668" i="11"/>
  <c r="G668" i="11"/>
  <c r="I668" i="11"/>
  <c r="J668" i="11"/>
  <c r="K668" i="11"/>
  <c r="L668" i="11"/>
  <c r="M668" i="11"/>
  <c r="N668" i="11"/>
  <c r="C669" i="11"/>
  <c r="D669" i="11"/>
  <c r="E669" i="11"/>
  <c r="F669" i="11"/>
  <c r="G669" i="11"/>
  <c r="I669" i="11"/>
  <c r="J669" i="11"/>
  <c r="K669" i="11"/>
  <c r="L669" i="11"/>
  <c r="M669" i="11"/>
  <c r="N669" i="11"/>
  <c r="C670" i="11"/>
  <c r="D670" i="11"/>
  <c r="E670" i="11"/>
  <c r="F670" i="11"/>
  <c r="G670" i="11"/>
  <c r="I670" i="11"/>
  <c r="J670" i="11"/>
  <c r="K670" i="11"/>
  <c r="L670" i="11"/>
  <c r="M670" i="11"/>
  <c r="N670" i="11"/>
  <c r="C671" i="11"/>
  <c r="D671" i="11"/>
  <c r="E671" i="11"/>
  <c r="F671" i="11"/>
  <c r="G671" i="11"/>
  <c r="I671" i="11"/>
  <c r="J671" i="11"/>
  <c r="K671" i="11"/>
  <c r="L671" i="11"/>
  <c r="M671" i="11"/>
  <c r="N671" i="11"/>
  <c r="C672" i="11"/>
  <c r="D672" i="11"/>
  <c r="E672" i="11"/>
  <c r="F672" i="11"/>
  <c r="G672" i="11"/>
  <c r="I672" i="11"/>
  <c r="J672" i="11"/>
  <c r="K672" i="11"/>
  <c r="L672" i="11"/>
  <c r="M672" i="11"/>
  <c r="N672" i="11"/>
  <c r="C673" i="11"/>
  <c r="D673" i="11"/>
  <c r="E673" i="11"/>
  <c r="F673" i="11"/>
  <c r="G673" i="11"/>
  <c r="I673" i="11"/>
  <c r="J673" i="11"/>
  <c r="K673" i="11"/>
  <c r="L673" i="11"/>
  <c r="M673" i="11"/>
  <c r="N673" i="11"/>
  <c r="C674" i="11"/>
  <c r="D674" i="11"/>
  <c r="E674" i="11"/>
  <c r="F674" i="11"/>
  <c r="G674" i="11"/>
  <c r="I674" i="11"/>
  <c r="J674" i="11"/>
  <c r="K674" i="11"/>
  <c r="L674" i="11"/>
  <c r="M674" i="11"/>
  <c r="N674" i="11"/>
  <c r="C675" i="11"/>
  <c r="D675" i="11"/>
  <c r="E675" i="11"/>
  <c r="F675" i="11"/>
  <c r="G675" i="11"/>
  <c r="I675" i="11"/>
  <c r="J675" i="11"/>
  <c r="K675" i="11"/>
  <c r="L675" i="11"/>
  <c r="M675" i="11"/>
  <c r="N675" i="11"/>
  <c r="C676" i="11"/>
  <c r="D676" i="11"/>
  <c r="E676" i="11"/>
  <c r="F676" i="11"/>
  <c r="G676" i="11"/>
  <c r="I676" i="11"/>
  <c r="J676" i="11"/>
  <c r="K676" i="11"/>
  <c r="L676" i="11"/>
  <c r="M676" i="11"/>
  <c r="N676" i="11"/>
  <c r="C677" i="11"/>
  <c r="D677" i="11"/>
  <c r="E677" i="11"/>
  <c r="F677" i="11"/>
  <c r="G677" i="11"/>
  <c r="I677" i="11"/>
  <c r="J677" i="11"/>
  <c r="K677" i="11"/>
  <c r="L677" i="11"/>
  <c r="M677" i="11"/>
  <c r="N677" i="11"/>
  <c r="C678" i="11"/>
  <c r="D678" i="11"/>
  <c r="E678" i="11"/>
  <c r="F678" i="11"/>
  <c r="G678" i="11"/>
  <c r="I678" i="11"/>
  <c r="J678" i="11"/>
  <c r="K678" i="11"/>
  <c r="L678" i="11"/>
  <c r="M678" i="11"/>
  <c r="N678" i="11"/>
  <c r="C679" i="11"/>
  <c r="D679" i="11"/>
  <c r="E679" i="11"/>
  <c r="F679" i="11"/>
  <c r="G679" i="11"/>
  <c r="I679" i="11"/>
  <c r="J679" i="11"/>
  <c r="K679" i="11"/>
  <c r="L679" i="11"/>
  <c r="M679" i="11"/>
  <c r="N679" i="11"/>
  <c r="C680" i="11"/>
  <c r="D680" i="11"/>
  <c r="E680" i="11"/>
  <c r="F680" i="11"/>
  <c r="G680" i="11"/>
  <c r="I680" i="11"/>
  <c r="J680" i="11"/>
  <c r="K680" i="11"/>
  <c r="L680" i="11"/>
  <c r="M680" i="11"/>
  <c r="N680" i="11"/>
  <c r="C681" i="11"/>
  <c r="D681" i="11"/>
  <c r="E681" i="11"/>
  <c r="F681" i="11"/>
  <c r="G681" i="11"/>
  <c r="I681" i="11"/>
  <c r="J681" i="11"/>
  <c r="K681" i="11"/>
  <c r="L681" i="11"/>
  <c r="M681" i="11"/>
  <c r="N681" i="11"/>
  <c r="C682" i="11"/>
  <c r="D682" i="11"/>
  <c r="E682" i="11"/>
  <c r="F682" i="11"/>
  <c r="G682" i="11"/>
  <c r="I682" i="11"/>
  <c r="J682" i="11"/>
  <c r="K682" i="11"/>
  <c r="L682" i="11"/>
  <c r="M682" i="11"/>
  <c r="N682" i="11"/>
  <c r="C683" i="11"/>
  <c r="D683" i="11"/>
  <c r="E683" i="11"/>
  <c r="F683" i="11"/>
  <c r="G683" i="11"/>
  <c r="I683" i="11"/>
  <c r="J683" i="11"/>
  <c r="K683" i="11"/>
  <c r="L683" i="11"/>
  <c r="M683" i="11"/>
  <c r="N683" i="11"/>
  <c r="C684" i="11"/>
  <c r="D684" i="11"/>
  <c r="E684" i="11"/>
  <c r="F684" i="11"/>
  <c r="G684" i="11"/>
  <c r="I684" i="11"/>
  <c r="J684" i="11"/>
  <c r="K684" i="11"/>
  <c r="L684" i="11"/>
  <c r="M684" i="11"/>
  <c r="N684" i="11"/>
  <c r="C685" i="11"/>
  <c r="D685" i="11"/>
  <c r="E685" i="11"/>
  <c r="F685" i="11"/>
  <c r="G685" i="11"/>
  <c r="I685" i="11"/>
  <c r="J685" i="11"/>
  <c r="K685" i="11"/>
  <c r="L685" i="11"/>
  <c r="M685" i="11"/>
  <c r="N685" i="11"/>
  <c r="C686" i="11"/>
  <c r="D686" i="11"/>
  <c r="E686" i="11"/>
  <c r="F686" i="11"/>
  <c r="G686" i="11"/>
  <c r="I686" i="11"/>
  <c r="J686" i="11"/>
  <c r="K686" i="11"/>
  <c r="L686" i="11"/>
  <c r="M686" i="11"/>
  <c r="N686" i="11"/>
  <c r="C687" i="11"/>
  <c r="D687" i="11"/>
  <c r="E687" i="11"/>
  <c r="F687" i="11"/>
  <c r="G687" i="11"/>
  <c r="I687" i="11"/>
  <c r="J687" i="11"/>
  <c r="K687" i="11"/>
  <c r="L687" i="11"/>
  <c r="M687" i="11"/>
  <c r="N687" i="11"/>
  <c r="C688" i="11"/>
  <c r="D688" i="11"/>
  <c r="E688" i="11"/>
  <c r="F688" i="11"/>
  <c r="G688" i="11"/>
  <c r="I688" i="11"/>
  <c r="J688" i="11"/>
  <c r="K688" i="11"/>
  <c r="L688" i="11"/>
  <c r="M688" i="11"/>
  <c r="N688" i="11"/>
  <c r="C689" i="11"/>
  <c r="D689" i="11"/>
  <c r="E689" i="11"/>
  <c r="F689" i="11"/>
  <c r="G689" i="11"/>
  <c r="I689" i="11"/>
  <c r="J689" i="11"/>
  <c r="K689" i="11"/>
  <c r="L689" i="11"/>
  <c r="M689" i="11"/>
  <c r="N689" i="11"/>
  <c r="C690" i="11"/>
  <c r="D690" i="11"/>
  <c r="E690" i="11"/>
  <c r="F690" i="11"/>
  <c r="G690" i="11"/>
  <c r="I690" i="11"/>
  <c r="J690" i="11"/>
  <c r="K690" i="11"/>
  <c r="L690" i="11"/>
  <c r="M690" i="11"/>
  <c r="N690" i="11"/>
  <c r="C691" i="11"/>
  <c r="D691" i="11"/>
  <c r="E691" i="11"/>
  <c r="F691" i="11"/>
  <c r="G691" i="11"/>
  <c r="I691" i="11"/>
  <c r="J691" i="11"/>
  <c r="K691" i="11"/>
  <c r="L691" i="11"/>
  <c r="M691" i="11"/>
  <c r="N691" i="11"/>
  <c r="C692" i="11"/>
  <c r="D692" i="11"/>
  <c r="E692" i="11"/>
  <c r="F692" i="11"/>
  <c r="G692" i="11"/>
  <c r="I692" i="11"/>
  <c r="J692" i="11"/>
  <c r="K692" i="11"/>
  <c r="L692" i="11"/>
  <c r="M692" i="11"/>
  <c r="N692" i="11"/>
  <c r="C693" i="11"/>
  <c r="D693" i="11"/>
  <c r="E693" i="11"/>
  <c r="F693" i="11"/>
  <c r="G693" i="11"/>
  <c r="I693" i="11"/>
  <c r="J693" i="11"/>
  <c r="K693" i="11"/>
  <c r="L693" i="11"/>
  <c r="M693" i="11"/>
  <c r="N693" i="11"/>
  <c r="C694" i="11"/>
  <c r="D694" i="11"/>
  <c r="E694" i="11"/>
  <c r="F694" i="11"/>
  <c r="G694" i="11"/>
  <c r="I694" i="11"/>
  <c r="J694" i="11"/>
  <c r="K694" i="11"/>
  <c r="L694" i="11"/>
  <c r="M694" i="11"/>
  <c r="N694" i="11"/>
  <c r="C695" i="11"/>
  <c r="D695" i="11"/>
  <c r="E695" i="11"/>
  <c r="F695" i="11"/>
  <c r="G695" i="11"/>
  <c r="I695" i="11"/>
  <c r="J695" i="11"/>
  <c r="K695" i="11"/>
  <c r="L695" i="11"/>
  <c r="M695" i="11"/>
  <c r="N695" i="11"/>
  <c r="C696" i="11"/>
  <c r="D696" i="11"/>
  <c r="E696" i="11"/>
  <c r="F696" i="11"/>
  <c r="G696" i="11"/>
  <c r="I696" i="11"/>
  <c r="J696" i="11"/>
  <c r="K696" i="11"/>
  <c r="L696" i="11"/>
  <c r="M696" i="11"/>
  <c r="N696" i="11"/>
  <c r="C697" i="11"/>
  <c r="D697" i="11"/>
  <c r="E697" i="11"/>
  <c r="F697" i="11"/>
  <c r="G697" i="11"/>
  <c r="I697" i="11"/>
  <c r="J697" i="11"/>
  <c r="K697" i="11"/>
  <c r="L697" i="11"/>
  <c r="M697" i="11"/>
  <c r="N697" i="11"/>
  <c r="C698" i="11"/>
  <c r="D698" i="11"/>
  <c r="E698" i="11"/>
  <c r="F698" i="11"/>
  <c r="G698" i="11"/>
  <c r="I698" i="11"/>
  <c r="J698" i="11"/>
  <c r="K698" i="11"/>
  <c r="L698" i="11"/>
  <c r="M698" i="11"/>
  <c r="N698" i="11"/>
  <c r="C699" i="11"/>
  <c r="D699" i="11"/>
  <c r="E699" i="11"/>
  <c r="F699" i="11"/>
  <c r="G699" i="11"/>
  <c r="I699" i="11"/>
  <c r="J699" i="11"/>
  <c r="K699" i="11"/>
  <c r="L699" i="11"/>
  <c r="M699" i="11"/>
  <c r="N699" i="11"/>
  <c r="C700" i="11"/>
  <c r="D700" i="11"/>
  <c r="E700" i="11"/>
  <c r="F700" i="11"/>
  <c r="G700" i="11"/>
  <c r="I700" i="11"/>
  <c r="J700" i="11"/>
  <c r="K700" i="11"/>
  <c r="L700" i="11"/>
  <c r="M700" i="11"/>
  <c r="N700" i="11"/>
  <c r="C701" i="11"/>
  <c r="D701" i="11"/>
  <c r="E701" i="11"/>
  <c r="F701" i="11"/>
  <c r="G701" i="11"/>
  <c r="I701" i="11"/>
  <c r="J701" i="11"/>
  <c r="K701" i="11"/>
  <c r="L701" i="11"/>
  <c r="M701" i="11"/>
  <c r="N701" i="11"/>
  <c r="C702" i="11"/>
  <c r="D702" i="11"/>
  <c r="E702" i="11"/>
  <c r="F702" i="11"/>
  <c r="G702" i="11"/>
  <c r="I702" i="11"/>
  <c r="J702" i="11"/>
  <c r="K702" i="11"/>
  <c r="L702" i="11"/>
  <c r="M702" i="11"/>
  <c r="N702" i="11"/>
  <c r="C703" i="11"/>
  <c r="D703" i="11"/>
  <c r="E703" i="11"/>
  <c r="F703" i="11"/>
  <c r="G703" i="11"/>
  <c r="I703" i="11"/>
  <c r="J703" i="11"/>
  <c r="K703" i="11"/>
  <c r="L703" i="11"/>
  <c r="M703" i="11"/>
  <c r="N703" i="11"/>
  <c r="C704" i="11"/>
  <c r="D704" i="11"/>
  <c r="E704" i="11"/>
  <c r="F704" i="11"/>
  <c r="G704" i="11"/>
  <c r="I704" i="11"/>
  <c r="J704" i="11"/>
  <c r="K704" i="11"/>
  <c r="L704" i="11"/>
  <c r="M704" i="11"/>
  <c r="N704" i="11"/>
  <c r="C705" i="11"/>
  <c r="D705" i="11"/>
  <c r="E705" i="11"/>
  <c r="F705" i="11"/>
  <c r="G705" i="11"/>
  <c r="I705" i="11"/>
  <c r="J705" i="11"/>
  <c r="K705" i="11"/>
  <c r="L705" i="11"/>
  <c r="M705" i="11"/>
  <c r="N705" i="11"/>
  <c r="C706" i="11"/>
  <c r="D706" i="11"/>
  <c r="E706" i="11"/>
  <c r="F706" i="11"/>
  <c r="G706" i="11"/>
  <c r="I706" i="11"/>
  <c r="J706" i="11"/>
  <c r="K706" i="11"/>
  <c r="L706" i="11"/>
  <c r="M706" i="11"/>
  <c r="N706" i="11"/>
  <c r="C707" i="11"/>
  <c r="D707" i="11"/>
  <c r="E707" i="11"/>
  <c r="F707" i="11"/>
  <c r="G707" i="11"/>
  <c r="I707" i="11"/>
  <c r="J707" i="11"/>
  <c r="K707" i="11"/>
  <c r="L707" i="11"/>
  <c r="M707" i="11"/>
  <c r="N707" i="11"/>
  <c r="C708" i="11"/>
  <c r="D708" i="11"/>
  <c r="E708" i="11"/>
  <c r="F708" i="11"/>
  <c r="G708" i="11"/>
  <c r="I708" i="11"/>
  <c r="J708" i="11"/>
  <c r="K708" i="11"/>
  <c r="L708" i="11"/>
  <c r="M708" i="11"/>
  <c r="N708" i="11"/>
  <c r="C709" i="11"/>
  <c r="D709" i="11"/>
  <c r="E709" i="11"/>
  <c r="F709" i="11"/>
  <c r="G709" i="11"/>
  <c r="I709" i="11"/>
  <c r="J709" i="11"/>
  <c r="K709" i="11"/>
  <c r="L709" i="11"/>
  <c r="M709" i="11"/>
  <c r="N709" i="11"/>
  <c r="C710" i="11"/>
  <c r="D710" i="11"/>
  <c r="E710" i="11"/>
  <c r="F710" i="11"/>
  <c r="G710" i="11"/>
  <c r="I710" i="11"/>
  <c r="J710" i="11"/>
  <c r="K710" i="11"/>
  <c r="L710" i="11"/>
  <c r="M710" i="11"/>
  <c r="N710" i="11"/>
  <c r="C711" i="11"/>
  <c r="D711" i="11"/>
  <c r="E711" i="11"/>
  <c r="F711" i="11"/>
  <c r="G711" i="11"/>
  <c r="I711" i="11"/>
  <c r="J711" i="11"/>
  <c r="K711" i="11"/>
  <c r="L711" i="11"/>
  <c r="M711" i="11"/>
  <c r="N711" i="11"/>
  <c r="C712" i="11"/>
  <c r="D712" i="11"/>
  <c r="E712" i="11"/>
  <c r="F712" i="11"/>
  <c r="G712" i="11"/>
  <c r="I712" i="11"/>
  <c r="J712" i="11"/>
  <c r="K712" i="11"/>
  <c r="L712" i="11"/>
  <c r="M712" i="11"/>
  <c r="N712" i="11"/>
  <c r="C713" i="11"/>
  <c r="D713" i="11"/>
  <c r="E713" i="11"/>
  <c r="F713" i="11"/>
  <c r="G713" i="11"/>
  <c r="I713" i="11"/>
  <c r="J713" i="11"/>
  <c r="K713" i="11"/>
  <c r="L713" i="11"/>
  <c r="M713" i="11"/>
  <c r="N713" i="11"/>
  <c r="C714" i="11"/>
  <c r="D714" i="11"/>
  <c r="E714" i="11"/>
  <c r="F714" i="11"/>
  <c r="G714" i="11"/>
  <c r="I714" i="11"/>
  <c r="J714" i="11"/>
  <c r="K714" i="11"/>
  <c r="L714" i="11"/>
  <c r="M714" i="11"/>
  <c r="N714" i="11"/>
  <c r="C715" i="11"/>
  <c r="D715" i="11"/>
  <c r="E715" i="11"/>
  <c r="F715" i="11"/>
  <c r="G715" i="11"/>
  <c r="I715" i="11"/>
  <c r="J715" i="11"/>
  <c r="K715" i="11"/>
  <c r="L715" i="11"/>
  <c r="M715" i="11"/>
  <c r="N715" i="11"/>
  <c r="C716" i="11"/>
  <c r="D716" i="11"/>
  <c r="E716" i="11"/>
  <c r="F716" i="11"/>
  <c r="G716" i="11"/>
  <c r="I716" i="11"/>
  <c r="J716" i="11"/>
  <c r="K716" i="11"/>
  <c r="L716" i="11"/>
  <c r="M716" i="11"/>
  <c r="N716" i="11"/>
  <c r="C717" i="11"/>
  <c r="D717" i="11"/>
  <c r="E717" i="11"/>
  <c r="F717" i="11"/>
  <c r="G717" i="11"/>
  <c r="I717" i="11"/>
  <c r="J717" i="11"/>
  <c r="K717" i="11"/>
  <c r="L717" i="11"/>
  <c r="M717" i="11"/>
  <c r="N717" i="11"/>
  <c r="C718" i="11"/>
  <c r="D718" i="11"/>
  <c r="E718" i="11"/>
  <c r="F718" i="11"/>
  <c r="G718" i="11"/>
  <c r="I718" i="11"/>
  <c r="J718" i="11"/>
  <c r="K718" i="11"/>
  <c r="L718" i="11"/>
  <c r="M718" i="11"/>
  <c r="N718" i="11"/>
  <c r="C8" i="5"/>
  <c r="C8" i="4"/>
  <c r="C8" i="3"/>
  <c r="C8" i="2"/>
  <c r="C8" i="1"/>
  <c r="I15" i="5"/>
  <c r="J15" i="5"/>
  <c r="K15" i="5"/>
  <c r="L15" i="5"/>
  <c r="M15" i="5"/>
  <c r="N15" i="5"/>
  <c r="I16" i="5"/>
  <c r="J16" i="5"/>
  <c r="K16" i="5"/>
  <c r="L16" i="5"/>
  <c r="M16" i="5"/>
  <c r="N16" i="5"/>
  <c r="I17" i="5"/>
  <c r="J17" i="5"/>
  <c r="K17" i="5"/>
  <c r="L17" i="5"/>
  <c r="M17" i="5"/>
  <c r="N17" i="5"/>
  <c r="I18" i="5"/>
  <c r="J18" i="5"/>
  <c r="K18" i="5"/>
  <c r="L18" i="5"/>
  <c r="M18" i="5"/>
  <c r="N18" i="5"/>
  <c r="I19" i="5"/>
  <c r="J19" i="5"/>
  <c r="K19" i="5"/>
  <c r="L19" i="5"/>
  <c r="M19" i="5"/>
  <c r="N19" i="5"/>
  <c r="I20" i="5"/>
  <c r="J20" i="5"/>
  <c r="K20" i="5"/>
  <c r="L20" i="5"/>
  <c r="M20" i="5"/>
  <c r="N20" i="5"/>
  <c r="I21" i="5"/>
  <c r="J21" i="5"/>
  <c r="K21" i="5"/>
  <c r="L21" i="5"/>
  <c r="M21" i="5"/>
  <c r="N21" i="5"/>
  <c r="I22" i="5"/>
  <c r="J22" i="5"/>
  <c r="K22" i="5"/>
  <c r="L22" i="5"/>
  <c r="M22" i="5"/>
  <c r="N22" i="5"/>
  <c r="I23" i="5"/>
  <c r="J23" i="5"/>
  <c r="K23" i="5"/>
  <c r="L23" i="5"/>
  <c r="M23" i="5"/>
  <c r="N23" i="5"/>
  <c r="I24" i="5"/>
  <c r="J24" i="5"/>
  <c r="K24" i="5"/>
  <c r="L24" i="5"/>
  <c r="M24" i="5"/>
  <c r="N24" i="5"/>
  <c r="I25" i="5"/>
  <c r="J25" i="5"/>
  <c r="K25" i="5"/>
  <c r="L25" i="5"/>
  <c r="M25" i="5"/>
  <c r="N25" i="5"/>
  <c r="I26" i="5"/>
  <c r="J26" i="5"/>
  <c r="K26" i="5"/>
  <c r="L26" i="5"/>
  <c r="M26" i="5"/>
  <c r="N26" i="5"/>
  <c r="I27" i="5"/>
  <c r="J27" i="5"/>
  <c r="K27" i="5"/>
  <c r="L27" i="5"/>
  <c r="M27" i="5"/>
  <c r="N27" i="5"/>
  <c r="I28" i="5"/>
  <c r="J28" i="5"/>
  <c r="K28" i="5"/>
  <c r="L28" i="5"/>
  <c r="M28" i="5"/>
  <c r="N28" i="5"/>
  <c r="I29" i="5"/>
  <c r="J29" i="5"/>
  <c r="K29" i="5"/>
  <c r="L29" i="5"/>
  <c r="M29" i="5"/>
  <c r="N29" i="5"/>
  <c r="I30" i="5"/>
  <c r="J30" i="5"/>
  <c r="K30" i="5"/>
  <c r="L30" i="5"/>
  <c r="M30" i="5"/>
  <c r="N30" i="5"/>
  <c r="I31" i="5"/>
  <c r="J31" i="5"/>
  <c r="K31" i="5"/>
  <c r="L31" i="5"/>
  <c r="M31" i="5"/>
  <c r="N31" i="5"/>
  <c r="I32" i="5"/>
  <c r="J32" i="5"/>
  <c r="K32" i="5"/>
  <c r="L32" i="5"/>
  <c r="M32" i="5"/>
  <c r="N32" i="5"/>
  <c r="I33" i="5"/>
  <c r="J33" i="5"/>
  <c r="K33" i="5"/>
  <c r="L33" i="5"/>
  <c r="M33" i="5"/>
  <c r="N33" i="5"/>
  <c r="I34" i="5"/>
  <c r="J34" i="5"/>
  <c r="K34" i="5"/>
  <c r="L34" i="5"/>
  <c r="M34" i="5"/>
  <c r="N34" i="5"/>
  <c r="I35" i="5"/>
  <c r="J35" i="5"/>
  <c r="K35" i="5"/>
  <c r="L35" i="5"/>
  <c r="M35" i="5"/>
  <c r="N35" i="5"/>
  <c r="I36" i="5"/>
  <c r="J36" i="5"/>
  <c r="K36" i="5"/>
  <c r="L36" i="5"/>
  <c r="M36" i="5"/>
  <c r="N36" i="5"/>
  <c r="I37" i="5"/>
  <c r="J37" i="5"/>
  <c r="K37" i="5"/>
  <c r="L37" i="5"/>
  <c r="M37" i="5"/>
  <c r="N37" i="5"/>
  <c r="I38" i="5"/>
  <c r="J38" i="5"/>
  <c r="K38" i="5"/>
  <c r="L38" i="5"/>
  <c r="M38" i="5"/>
  <c r="N38" i="5"/>
  <c r="I39" i="5"/>
  <c r="J39" i="5"/>
  <c r="K39" i="5"/>
  <c r="L39" i="5"/>
  <c r="M39" i="5"/>
  <c r="N39" i="5"/>
  <c r="I40" i="5"/>
  <c r="J40" i="5"/>
  <c r="K40" i="5"/>
  <c r="L40" i="5"/>
  <c r="M40" i="5"/>
  <c r="N40" i="5"/>
  <c r="I41" i="5"/>
  <c r="J41" i="5"/>
  <c r="K41" i="5"/>
  <c r="L41" i="5"/>
  <c r="M41" i="5"/>
  <c r="N41" i="5"/>
  <c r="I42" i="5"/>
  <c r="J42" i="5"/>
  <c r="K42" i="5"/>
  <c r="L42" i="5"/>
  <c r="M42" i="5"/>
  <c r="N42" i="5"/>
  <c r="I43" i="5"/>
  <c r="J43" i="5"/>
  <c r="K43" i="5"/>
  <c r="L43" i="5"/>
  <c r="M43" i="5"/>
  <c r="N43" i="5"/>
  <c r="I44" i="5"/>
  <c r="J44" i="5"/>
  <c r="K44" i="5"/>
  <c r="L44" i="5"/>
  <c r="M44" i="5"/>
  <c r="N44" i="5"/>
  <c r="I45" i="5"/>
  <c r="J45" i="5"/>
  <c r="K45" i="5"/>
  <c r="L45" i="5"/>
  <c r="M45" i="5"/>
  <c r="N45" i="5"/>
  <c r="I46" i="5"/>
  <c r="J46" i="5"/>
  <c r="K46" i="5"/>
  <c r="L46" i="5"/>
  <c r="M46" i="5"/>
  <c r="N46" i="5"/>
  <c r="I47" i="5"/>
  <c r="J47" i="5"/>
  <c r="K47" i="5"/>
  <c r="L47" i="5"/>
  <c r="M47" i="5"/>
  <c r="N47" i="5"/>
  <c r="I48" i="5"/>
  <c r="J48" i="5"/>
  <c r="K48" i="5"/>
  <c r="L48" i="5"/>
  <c r="M48" i="5"/>
  <c r="N48" i="5"/>
  <c r="I49" i="5"/>
  <c r="J49" i="5"/>
  <c r="K49" i="5"/>
  <c r="L49" i="5"/>
  <c r="M49" i="5"/>
  <c r="N49" i="5"/>
  <c r="I50" i="5"/>
  <c r="J50" i="5"/>
  <c r="K50" i="5"/>
  <c r="L50" i="5"/>
  <c r="M50" i="5"/>
  <c r="N50" i="5"/>
  <c r="I51" i="5"/>
  <c r="J51" i="5"/>
  <c r="K51" i="5"/>
  <c r="L51" i="5"/>
  <c r="M51" i="5"/>
  <c r="N51" i="5"/>
  <c r="I52" i="5"/>
  <c r="J52" i="5"/>
  <c r="K52" i="5"/>
  <c r="L52" i="5"/>
  <c r="M52" i="5"/>
  <c r="N52" i="5"/>
  <c r="I53" i="5"/>
  <c r="J53" i="5"/>
  <c r="K53" i="5"/>
  <c r="L53" i="5"/>
  <c r="M53" i="5"/>
  <c r="N53" i="5"/>
  <c r="I54" i="5"/>
  <c r="J54" i="5"/>
  <c r="K54" i="5"/>
  <c r="L54" i="5"/>
  <c r="M54" i="5"/>
  <c r="N54" i="5"/>
  <c r="I55" i="5"/>
  <c r="J55" i="5"/>
  <c r="K55" i="5"/>
  <c r="L55" i="5"/>
  <c r="M55" i="5"/>
  <c r="N55" i="5"/>
  <c r="I56" i="5"/>
  <c r="J56" i="5"/>
  <c r="K56" i="5"/>
  <c r="L56" i="5"/>
  <c r="M56" i="5"/>
  <c r="N56" i="5"/>
  <c r="I57" i="5"/>
  <c r="J57" i="5"/>
  <c r="K57" i="5"/>
  <c r="L57" i="5"/>
  <c r="M57" i="5"/>
  <c r="N57" i="5"/>
  <c r="I58" i="5"/>
  <c r="J58" i="5"/>
  <c r="K58" i="5"/>
  <c r="L58" i="5"/>
  <c r="M58" i="5"/>
  <c r="N58" i="5"/>
  <c r="I59" i="5"/>
  <c r="J59" i="5"/>
  <c r="K59" i="5"/>
  <c r="L59" i="5"/>
  <c r="M59" i="5"/>
  <c r="N59" i="5"/>
  <c r="I60" i="5"/>
  <c r="J60" i="5"/>
  <c r="K60" i="5"/>
  <c r="L60" i="5"/>
  <c r="M60" i="5"/>
  <c r="N60" i="5"/>
  <c r="I61" i="5"/>
  <c r="J61" i="5"/>
  <c r="K61" i="5"/>
  <c r="L61" i="5"/>
  <c r="M61" i="5"/>
  <c r="N61" i="5"/>
  <c r="I62" i="5"/>
  <c r="J62" i="5"/>
  <c r="K62" i="5"/>
  <c r="L62" i="5"/>
  <c r="M62" i="5"/>
  <c r="N62" i="5"/>
  <c r="I63" i="5"/>
  <c r="J63" i="5"/>
  <c r="K63" i="5"/>
  <c r="L63" i="5"/>
  <c r="M63" i="5"/>
  <c r="N63" i="5"/>
  <c r="I64" i="5"/>
  <c r="J64" i="5"/>
  <c r="K64" i="5"/>
  <c r="L64" i="5"/>
  <c r="M64" i="5"/>
  <c r="N64" i="5"/>
  <c r="I65" i="5"/>
  <c r="J65" i="5"/>
  <c r="K65" i="5"/>
  <c r="L65" i="5"/>
  <c r="M65" i="5"/>
  <c r="N65" i="5"/>
  <c r="I66" i="5"/>
  <c r="J66" i="5"/>
  <c r="K66" i="5"/>
  <c r="L66" i="5"/>
  <c r="M66" i="5"/>
  <c r="N66" i="5"/>
  <c r="I67" i="5"/>
  <c r="J67" i="5"/>
  <c r="K67" i="5"/>
  <c r="L67" i="5"/>
  <c r="M67" i="5"/>
  <c r="N67" i="5"/>
  <c r="I68" i="5"/>
  <c r="J68" i="5"/>
  <c r="K68" i="5"/>
  <c r="L68" i="5"/>
  <c r="M68" i="5"/>
  <c r="N68" i="5"/>
  <c r="I69" i="5"/>
  <c r="J69" i="5"/>
  <c r="K69" i="5"/>
  <c r="L69" i="5"/>
  <c r="M69" i="5"/>
  <c r="N69" i="5"/>
  <c r="I70" i="5"/>
  <c r="J70" i="5"/>
  <c r="K70" i="5"/>
  <c r="L70" i="5"/>
  <c r="M70" i="5"/>
  <c r="N70" i="5"/>
  <c r="I71" i="5"/>
  <c r="J71" i="5"/>
  <c r="K71" i="5"/>
  <c r="L71" i="5"/>
  <c r="M71" i="5"/>
  <c r="N71" i="5"/>
  <c r="I72" i="5"/>
  <c r="J72" i="5"/>
  <c r="K72" i="5"/>
  <c r="L72" i="5"/>
  <c r="M72" i="5"/>
  <c r="N72" i="5"/>
  <c r="I73" i="5"/>
  <c r="J73" i="5"/>
  <c r="K73" i="5"/>
  <c r="L73" i="5"/>
  <c r="M73" i="5"/>
  <c r="N73" i="5"/>
  <c r="I74" i="5"/>
  <c r="J74" i="5"/>
  <c r="K74" i="5"/>
  <c r="L74" i="5"/>
  <c r="M74" i="5"/>
  <c r="N74" i="5"/>
  <c r="I75" i="5"/>
  <c r="J75" i="5"/>
  <c r="K75" i="5"/>
  <c r="L75" i="5"/>
  <c r="M75" i="5"/>
  <c r="N75" i="5"/>
  <c r="I76" i="5"/>
  <c r="J76" i="5"/>
  <c r="K76" i="5"/>
  <c r="L76" i="5"/>
  <c r="M76" i="5"/>
  <c r="N76" i="5"/>
  <c r="I77" i="5"/>
  <c r="J77" i="5"/>
  <c r="K77" i="5"/>
  <c r="L77" i="5"/>
  <c r="M77" i="5"/>
  <c r="N77" i="5"/>
  <c r="I78" i="5"/>
  <c r="J78" i="5"/>
  <c r="K78" i="5"/>
  <c r="L78" i="5"/>
  <c r="M78" i="5"/>
  <c r="N78" i="5"/>
  <c r="I79" i="5"/>
  <c r="J79" i="5"/>
  <c r="K79" i="5"/>
  <c r="L79" i="5"/>
  <c r="M79" i="5"/>
  <c r="N79" i="5"/>
  <c r="I80" i="5"/>
  <c r="J80" i="5"/>
  <c r="K80" i="5"/>
  <c r="L80" i="5"/>
  <c r="M80" i="5"/>
  <c r="N80" i="5"/>
  <c r="I81" i="5"/>
  <c r="J81" i="5"/>
  <c r="K81" i="5"/>
  <c r="L81" i="5"/>
  <c r="M81" i="5"/>
  <c r="N81" i="5"/>
  <c r="I82" i="5"/>
  <c r="J82" i="5"/>
  <c r="K82" i="5"/>
  <c r="L82" i="5"/>
  <c r="M82" i="5"/>
  <c r="N82" i="5"/>
  <c r="I83" i="5"/>
  <c r="J83" i="5"/>
  <c r="K83" i="5"/>
  <c r="L83" i="5"/>
  <c r="M83" i="5"/>
  <c r="N83" i="5"/>
  <c r="I84" i="5"/>
  <c r="J84" i="5"/>
  <c r="K84" i="5"/>
  <c r="L84" i="5"/>
  <c r="M84" i="5"/>
  <c r="N84" i="5"/>
  <c r="I85" i="5"/>
  <c r="J85" i="5"/>
  <c r="K85" i="5"/>
  <c r="L85" i="5"/>
  <c r="M85" i="5"/>
  <c r="N85" i="5"/>
  <c r="I86" i="5"/>
  <c r="J86" i="5"/>
  <c r="K86" i="5"/>
  <c r="L86" i="5"/>
  <c r="M86" i="5"/>
  <c r="N86" i="5"/>
  <c r="I87" i="5"/>
  <c r="J87" i="5"/>
  <c r="K87" i="5"/>
  <c r="L87" i="5"/>
  <c r="M87" i="5"/>
  <c r="N87" i="5"/>
  <c r="I88" i="5"/>
  <c r="J88" i="5"/>
  <c r="K88" i="5"/>
  <c r="L88" i="5"/>
  <c r="M88" i="5"/>
  <c r="N88" i="5"/>
  <c r="I89" i="5"/>
  <c r="J89" i="5"/>
  <c r="K89" i="5"/>
  <c r="L89" i="5"/>
  <c r="M89" i="5"/>
  <c r="N89" i="5"/>
  <c r="I90" i="5"/>
  <c r="J90" i="5"/>
  <c r="K90" i="5"/>
  <c r="L90" i="5"/>
  <c r="M90" i="5"/>
  <c r="N90" i="5"/>
  <c r="I91" i="5"/>
  <c r="J91" i="5"/>
  <c r="K91" i="5"/>
  <c r="L91" i="5"/>
  <c r="M91" i="5"/>
  <c r="N91" i="5"/>
  <c r="I92" i="5"/>
  <c r="J92" i="5"/>
  <c r="K92" i="5"/>
  <c r="L92" i="5"/>
  <c r="M92" i="5"/>
  <c r="N92" i="5"/>
  <c r="I93" i="5"/>
  <c r="J93" i="5"/>
  <c r="K93" i="5"/>
  <c r="L93" i="5"/>
  <c r="M93" i="5"/>
  <c r="N93" i="5"/>
  <c r="I94" i="5"/>
  <c r="J94" i="5"/>
  <c r="K94" i="5"/>
  <c r="L94" i="5"/>
  <c r="M94" i="5"/>
  <c r="N94" i="5"/>
  <c r="I95" i="5"/>
  <c r="J95" i="5"/>
  <c r="K95" i="5"/>
  <c r="L95" i="5"/>
  <c r="M95" i="5"/>
  <c r="N95" i="5"/>
  <c r="I96" i="5"/>
  <c r="J96" i="5"/>
  <c r="K96" i="5"/>
  <c r="L96" i="5"/>
  <c r="M96" i="5"/>
  <c r="N96" i="5"/>
  <c r="I97" i="5"/>
  <c r="J97" i="5"/>
  <c r="K97" i="5"/>
  <c r="L97" i="5"/>
  <c r="M97" i="5"/>
  <c r="N97" i="5"/>
  <c r="I98" i="5"/>
  <c r="J98" i="5"/>
  <c r="K98" i="5"/>
  <c r="L98" i="5"/>
  <c r="M98" i="5"/>
  <c r="N98" i="5"/>
  <c r="I99" i="5"/>
  <c r="J99" i="5"/>
  <c r="K99" i="5"/>
  <c r="L99" i="5"/>
  <c r="M99" i="5"/>
  <c r="N99" i="5"/>
  <c r="I100" i="5"/>
  <c r="J100" i="5"/>
  <c r="K100" i="5"/>
  <c r="L100" i="5"/>
  <c r="M100" i="5"/>
  <c r="N100" i="5"/>
  <c r="I101" i="5"/>
  <c r="J101" i="5"/>
  <c r="K101" i="5"/>
  <c r="L101" i="5"/>
  <c r="M101" i="5"/>
  <c r="N101" i="5"/>
  <c r="I102" i="5"/>
  <c r="J102" i="5"/>
  <c r="K102" i="5"/>
  <c r="L102" i="5"/>
  <c r="M102" i="5"/>
  <c r="N102" i="5"/>
  <c r="I103" i="5"/>
  <c r="J103" i="5"/>
  <c r="K103" i="5"/>
  <c r="L103" i="5"/>
  <c r="M103" i="5"/>
  <c r="N103" i="5"/>
  <c r="I104" i="5"/>
  <c r="J104" i="5"/>
  <c r="K104" i="5"/>
  <c r="L104" i="5"/>
  <c r="M104" i="5"/>
  <c r="N104" i="5"/>
  <c r="I105" i="5"/>
  <c r="J105" i="5"/>
  <c r="K105" i="5"/>
  <c r="L105" i="5"/>
  <c r="M105" i="5"/>
  <c r="N105" i="5"/>
  <c r="I106" i="5"/>
  <c r="J106" i="5"/>
  <c r="K106" i="5"/>
  <c r="L106" i="5"/>
  <c r="M106" i="5"/>
  <c r="N106" i="5"/>
  <c r="I107" i="5"/>
  <c r="J107" i="5"/>
  <c r="K107" i="5"/>
  <c r="L107" i="5"/>
  <c r="M107" i="5"/>
  <c r="N107" i="5"/>
  <c r="I108" i="5"/>
  <c r="J108" i="5"/>
  <c r="K108" i="5"/>
  <c r="L108" i="5"/>
  <c r="M108" i="5"/>
  <c r="N108" i="5"/>
  <c r="I109" i="5"/>
  <c r="J109" i="5"/>
  <c r="K109" i="5"/>
  <c r="L109" i="5"/>
  <c r="M109" i="5"/>
  <c r="N109" i="5"/>
  <c r="I110" i="5"/>
  <c r="J110" i="5"/>
  <c r="K110" i="5"/>
  <c r="L110" i="5"/>
  <c r="M110" i="5"/>
  <c r="N110" i="5"/>
  <c r="I111" i="5"/>
  <c r="J111" i="5"/>
  <c r="K111" i="5"/>
  <c r="L111" i="5"/>
  <c r="M111" i="5"/>
  <c r="N111" i="5"/>
  <c r="I112" i="5"/>
  <c r="J112" i="5"/>
  <c r="K112" i="5"/>
  <c r="L112" i="5"/>
  <c r="M112" i="5"/>
  <c r="N112" i="5"/>
  <c r="I113" i="5"/>
  <c r="J113" i="5"/>
  <c r="K113" i="5"/>
  <c r="L113" i="5"/>
  <c r="M113" i="5"/>
  <c r="N113" i="5"/>
  <c r="I114" i="5"/>
  <c r="J114" i="5"/>
  <c r="K114" i="5"/>
  <c r="L114" i="5"/>
  <c r="M114" i="5"/>
  <c r="N114" i="5"/>
  <c r="I115" i="5"/>
  <c r="J115" i="5"/>
  <c r="K115" i="5"/>
  <c r="L115" i="5"/>
  <c r="M115" i="5"/>
  <c r="N115" i="5"/>
  <c r="I116" i="5"/>
  <c r="J116" i="5"/>
  <c r="K116" i="5"/>
  <c r="L116" i="5"/>
  <c r="M116" i="5"/>
  <c r="N116" i="5"/>
  <c r="I117" i="5"/>
  <c r="J117" i="5"/>
  <c r="K117" i="5"/>
  <c r="L117" i="5"/>
  <c r="M117" i="5"/>
  <c r="N117" i="5"/>
  <c r="I118" i="5"/>
  <c r="J118" i="5"/>
  <c r="K118" i="5"/>
  <c r="L118" i="5"/>
  <c r="M118" i="5"/>
  <c r="N118" i="5"/>
  <c r="I119" i="5"/>
  <c r="J119" i="5"/>
  <c r="K119" i="5"/>
  <c r="L119" i="5"/>
  <c r="M119" i="5"/>
  <c r="N119" i="5"/>
  <c r="I120" i="5"/>
  <c r="J120" i="5"/>
  <c r="K120" i="5"/>
  <c r="L120" i="5"/>
  <c r="M120" i="5"/>
  <c r="N120" i="5"/>
  <c r="I121" i="5"/>
  <c r="J121" i="5"/>
  <c r="K121" i="5"/>
  <c r="L121" i="5"/>
  <c r="M121" i="5"/>
  <c r="N121" i="5"/>
  <c r="I122" i="5"/>
  <c r="J122" i="5"/>
  <c r="K122" i="5"/>
  <c r="L122" i="5"/>
  <c r="M122" i="5"/>
  <c r="N122" i="5"/>
  <c r="I123" i="5"/>
  <c r="J123" i="5"/>
  <c r="K123" i="5"/>
  <c r="L123" i="5"/>
  <c r="M123" i="5"/>
  <c r="N123" i="5"/>
  <c r="I124" i="5"/>
  <c r="J124" i="5"/>
  <c r="K124" i="5"/>
  <c r="L124" i="5"/>
  <c r="M124" i="5"/>
  <c r="N124" i="5"/>
  <c r="I125" i="5"/>
  <c r="J125" i="5"/>
  <c r="K125" i="5"/>
  <c r="L125" i="5"/>
  <c r="M125" i="5"/>
  <c r="N125" i="5"/>
  <c r="I126" i="5"/>
  <c r="J126" i="5"/>
  <c r="K126" i="5"/>
  <c r="L126" i="5"/>
  <c r="M126" i="5"/>
  <c r="N126" i="5"/>
  <c r="I127" i="5"/>
  <c r="J127" i="5"/>
  <c r="K127" i="5"/>
  <c r="L127" i="5"/>
  <c r="M127" i="5"/>
  <c r="N127" i="5"/>
  <c r="I128" i="5"/>
  <c r="J128" i="5"/>
  <c r="K128" i="5"/>
  <c r="L128" i="5"/>
  <c r="M128" i="5"/>
  <c r="N128" i="5"/>
  <c r="I129" i="5"/>
  <c r="J129" i="5"/>
  <c r="K129" i="5"/>
  <c r="L129" i="5"/>
  <c r="M129" i="5"/>
  <c r="N129" i="5"/>
  <c r="I130" i="5"/>
  <c r="J130" i="5"/>
  <c r="K130" i="5"/>
  <c r="L130" i="5"/>
  <c r="M130" i="5"/>
  <c r="N130" i="5"/>
  <c r="I131" i="5"/>
  <c r="J131" i="5"/>
  <c r="K131" i="5"/>
  <c r="L131" i="5"/>
  <c r="M131" i="5"/>
  <c r="N131" i="5"/>
  <c r="I132" i="5"/>
  <c r="J132" i="5"/>
  <c r="K132" i="5"/>
  <c r="L132" i="5"/>
  <c r="M132" i="5"/>
  <c r="N132" i="5"/>
  <c r="I133" i="5"/>
  <c r="J133" i="5"/>
  <c r="K133" i="5"/>
  <c r="L133" i="5"/>
  <c r="M133" i="5"/>
  <c r="N133" i="5"/>
  <c r="I134" i="5"/>
  <c r="J134" i="5"/>
  <c r="K134" i="5"/>
  <c r="L134" i="5"/>
  <c r="M134" i="5"/>
  <c r="N134" i="5"/>
  <c r="I135" i="5"/>
  <c r="J135" i="5"/>
  <c r="K135" i="5"/>
  <c r="L135" i="5"/>
  <c r="M135" i="5"/>
  <c r="N135" i="5"/>
  <c r="I136" i="5"/>
  <c r="J136" i="5"/>
  <c r="K136" i="5"/>
  <c r="L136" i="5"/>
  <c r="M136" i="5"/>
  <c r="N136" i="5"/>
  <c r="I137" i="5"/>
  <c r="J137" i="5"/>
  <c r="K137" i="5"/>
  <c r="L137" i="5"/>
  <c r="M137" i="5"/>
  <c r="N137" i="5"/>
  <c r="I138" i="5"/>
  <c r="J138" i="5"/>
  <c r="K138" i="5"/>
  <c r="L138" i="5"/>
  <c r="M138" i="5"/>
  <c r="N138" i="5"/>
  <c r="I139" i="5"/>
  <c r="J139" i="5"/>
  <c r="K139" i="5"/>
  <c r="L139" i="5"/>
  <c r="M139" i="5"/>
  <c r="N139" i="5"/>
  <c r="I140" i="5"/>
  <c r="J140" i="5"/>
  <c r="K140" i="5"/>
  <c r="L140" i="5"/>
  <c r="M140" i="5"/>
  <c r="N140" i="5"/>
  <c r="I141" i="5"/>
  <c r="J141" i="5"/>
  <c r="K141" i="5"/>
  <c r="L141" i="5"/>
  <c r="M141" i="5"/>
  <c r="N141" i="5"/>
  <c r="I142" i="5"/>
  <c r="J142" i="5"/>
  <c r="K142" i="5"/>
  <c r="L142" i="5"/>
  <c r="M142" i="5"/>
  <c r="N142" i="5"/>
  <c r="I143" i="5"/>
  <c r="J143" i="5"/>
  <c r="K143" i="5"/>
  <c r="L143" i="5"/>
  <c r="M143" i="5"/>
  <c r="N143" i="5"/>
  <c r="I144" i="5"/>
  <c r="J144" i="5"/>
  <c r="K144" i="5"/>
  <c r="L144" i="5"/>
  <c r="M144" i="5"/>
  <c r="N144" i="5"/>
  <c r="I145" i="5"/>
  <c r="J145" i="5"/>
  <c r="K145" i="5"/>
  <c r="L145" i="5"/>
  <c r="M145" i="5"/>
  <c r="N145" i="5"/>
  <c r="I146" i="5"/>
  <c r="J146" i="5"/>
  <c r="K146" i="5"/>
  <c r="L146" i="5"/>
  <c r="M146" i="5"/>
  <c r="N146" i="5"/>
  <c r="I147" i="5"/>
  <c r="J147" i="5"/>
  <c r="K147" i="5"/>
  <c r="L147" i="5"/>
  <c r="M147" i="5"/>
  <c r="N147" i="5"/>
  <c r="I148" i="5"/>
  <c r="J148" i="5"/>
  <c r="K148" i="5"/>
  <c r="L148" i="5"/>
  <c r="M148" i="5"/>
  <c r="N148" i="5"/>
  <c r="I149" i="5"/>
  <c r="J149" i="5"/>
  <c r="K149" i="5"/>
  <c r="L149" i="5"/>
  <c r="M149" i="5"/>
  <c r="N149" i="5"/>
  <c r="I150" i="5"/>
  <c r="J150" i="5"/>
  <c r="K150" i="5"/>
  <c r="L150" i="5"/>
  <c r="M150" i="5"/>
  <c r="N150" i="5"/>
  <c r="I151" i="5"/>
  <c r="J151" i="5"/>
  <c r="K151" i="5"/>
  <c r="L151" i="5"/>
  <c r="M151" i="5"/>
  <c r="N151" i="5"/>
  <c r="I152" i="5"/>
  <c r="J152" i="5"/>
  <c r="K152" i="5"/>
  <c r="L152" i="5"/>
  <c r="M152" i="5"/>
  <c r="N152" i="5"/>
  <c r="I153" i="5"/>
  <c r="J153" i="5"/>
  <c r="K153" i="5"/>
  <c r="L153" i="5"/>
  <c r="M153" i="5"/>
  <c r="N153" i="5"/>
  <c r="I154" i="5"/>
  <c r="J154" i="5"/>
  <c r="K154" i="5"/>
  <c r="L154" i="5"/>
  <c r="M154" i="5"/>
  <c r="N154" i="5"/>
  <c r="I155" i="5"/>
  <c r="J155" i="5"/>
  <c r="K155" i="5"/>
  <c r="L155" i="5"/>
  <c r="M155" i="5"/>
  <c r="N155" i="5"/>
  <c r="I156" i="5"/>
  <c r="J156" i="5"/>
  <c r="K156" i="5"/>
  <c r="L156" i="5"/>
  <c r="M156" i="5"/>
  <c r="N156" i="5"/>
  <c r="I157" i="5"/>
  <c r="J157" i="5"/>
  <c r="K157" i="5"/>
  <c r="L157" i="5"/>
  <c r="M157" i="5"/>
  <c r="N157" i="5"/>
  <c r="I158" i="5"/>
  <c r="J158" i="5"/>
  <c r="K158" i="5"/>
  <c r="L158" i="5"/>
  <c r="M158" i="5"/>
  <c r="N158" i="5"/>
  <c r="I159" i="5"/>
  <c r="J159" i="5"/>
  <c r="K159" i="5"/>
  <c r="L159" i="5"/>
  <c r="M159" i="5"/>
  <c r="N159" i="5"/>
  <c r="I160" i="5"/>
  <c r="J160" i="5"/>
  <c r="K160" i="5"/>
  <c r="L160" i="5"/>
  <c r="M160" i="5"/>
  <c r="N160" i="5"/>
  <c r="I161" i="5"/>
  <c r="J161" i="5"/>
  <c r="K161" i="5"/>
  <c r="L161" i="5"/>
  <c r="M161" i="5"/>
  <c r="N161" i="5"/>
  <c r="I162" i="5"/>
  <c r="J162" i="5"/>
  <c r="K162" i="5"/>
  <c r="L162" i="5"/>
  <c r="M162" i="5"/>
  <c r="N162" i="5"/>
  <c r="I163" i="5"/>
  <c r="J163" i="5"/>
  <c r="K163" i="5"/>
  <c r="L163" i="5"/>
  <c r="M163" i="5"/>
  <c r="N163" i="5"/>
  <c r="I164" i="5"/>
  <c r="J164" i="5"/>
  <c r="K164" i="5"/>
  <c r="L164" i="5"/>
  <c r="M164" i="5"/>
  <c r="N164" i="5"/>
  <c r="I165" i="5"/>
  <c r="J165" i="5"/>
  <c r="K165" i="5"/>
  <c r="L165" i="5"/>
  <c r="M165" i="5"/>
  <c r="N165" i="5"/>
  <c r="I166" i="5"/>
  <c r="J166" i="5"/>
  <c r="K166" i="5"/>
  <c r="L166" i="5"/>
  <c r="M166" i="5"/>
  <c r="N166" i="5"/>
  <c r="I167" i="5"/>
  <c r="J167" i="5"/>
  <c r="K167" i="5"/>
  <c r="L167" i="5"/>
  <c r="M167" i="5"/>
  <c r="N167" i="5"/>
  <c r="I168" i="5"/>
  <c r="J168" i="5"/>
  <c r="K168" i="5"/>
  <c r="L168" i="5"/>
  <c r="M168" i="5"/>
  <c r="N168" i="5"/>
  <c r="I169" i="5"/>
  <c r="J169" i="5"/>
  <c r="K169" i="5"/>
  <c r="L169" i="5"/>
  <c r="M169" i="5"/>
  <c r="N169" i="5"/>
  <c r="I170" i="5"/>
  <c r="J170" i="5"/>
  <c r="K170" i="5"/>
  <c r="L170" i="5"/>
  <c r="M170" i="5"/>
  <c r="N170" i="5"/>
  <c r="I171" i="5"/>
  <c r="J171" i="5"/>
  <c r="K171" i="5"/>
  <c r="L171" i="5"/>
  <c r="M171" i="5"/>
  <c r="N171" i="5"/>
  <c r="I172" i="5"/>
  <c r="J172" i="5"/>
  <c r="K172" i="5"/>
  <c r="L172" i="5"/>
  <c r="M172" i="5"/>
  <c r="N172" i="5"/>
  <c r="I173" i="5"/>
  <c r="J173" i="5"/>
  <c r="K173" i="5"/>
  <c r="L173" i="5"/>
  <c r="M173" i="5"/>
  <c r="N173" i="5"/>
  <c r="I174" i="5"/>
  <c r="J174" i="5"/>
  <c r="K174" i="5"/>
  <c r="L174" i="5"/>
  <c r="M174" i="5"/>
  <c r="N174" i="5"/>
  <c r="I175" i="5"/>
  <c r="J175" i="5"/>
  <c r="K175" i="5"/>
  <c r="L175" i="5"/>
  <c r="M175" i="5"/>
  <c r="N175" i="5"/>
  <c r="I176" i="5"/>
  <c r="J176" i="5"/>
  <c r="K176" i="5"/>
  <c r="L176" i="5"/>
  <c r="M176" i="5"/>
  <c r="N176" i="5"/>
  <c r="I177" i="5"/>
  <c r="J177" i="5"/>
  <c r="K177" i="5"/>
  <c r="L177" i="5"/>
  <c r="M177" i="5"/>
  <c r="N177" i="5"/>
  <c r="I178" i="5"/>
  <c r="J178" i="5"/>
  <c r="K178" i="5"/>
  <c r="L178" i="5"/>
  <c r="M178" i="5"/>
  <c r="N178" i="5"/>
  <c r="I179" i="5"/>
  <c r="J179" i="5"/>
  <c r="K179" i="5"/>
  <c r="L179" i="5"/>
  <c r="M179" i="5"/>
  <c r="N179" i="5"/>
  <c r="I180" i="5"/>
  <c r="J180" i="5"/>
  <c r="K180" i="5"/>
  <c r="L180" i="5"/>
  <c r="M180" i="5"/>
  <c r="N180" i="5"/>
  <c r="I181" i="5"/>
  <c r="J181" i="5"/>
  <c r="K181" i="5"/>
  <c r="L181" i="5"/>
  <c r="M181" i="5"/>
  <c r="N181" i="5"/>
  <c r="I182" i="5"/>
  <c r="J182" i="5"/>
  <c r="K182" i="5"/>
  <c r="L182" i="5"/>
  <c r="M182" i="5"/>
  <c r="N182" i="5"/>
  <c r="I183" i="5"/>
  <c r="J183" i="5"/>
  <c r="K183" i="5"/>
  <c r="L183" i="5"/>
  <c r="M183" i="5"/>
  <c r="N183" i="5"/>
  <c r="I184" i="5"/>
  <c r="J184" i="5"/>
  <c r="K184" i="5"/>
  <c r="L184" i="5"/>
  <c r="M184" i="5"/>
  <c r="N184" i="5"/>
  <c r="I185" i="5"/>
  <c r="J185" i="5"/>
  <c r="K185" i="5"/>
  <c r="L185" i="5"/>
  <c r="M185" i="5"/>
  <c r="N185" i="5"/>
  <c r="I186" i="5"/>
  <c r="J186" i="5"/>
  <c r="K186" i="5"/>
  <c r="L186" i="5"/>
  <c r="M186" i="5"/>
  <c r="N186" i="5"/>
  <c r="I187" i="5"/>
  <c r="J187" i="5"/>
  <c r="K187" i="5"/>
  <c r="L187" i="5"/>
  <c r="M187" i="5"/>
  <c r="N187" i="5"/>
  <c r="I188" i="5"/>
  <c r="J188" i="5"/>
  <c r="K188" i="5"/>
  <c r="L188" i="5"/>
  <c r="M188" i="5"/>
  <c r="N188" i="5"/>
  <c r="I189" i="5"/>
  <c r="J189" i="5"/>
  <c r="K189" i="5"/>
  <c r="L189" i="5"/>
  <c r="M189" i="5"/>
  <c r="N189" i="5"/>
  <c r="I190" i="5"/>
  <c r="J190" i="5"/>
  <c r="K190" i="5"/>
  <c r="L190" i="5"/>
  <c r="M190" i="5"/>
  <c r="N190" i="5"/>
  <c r="I191" i="5"/>
  <c r="J191" i="5"/>
  <c r="K191" i="5"/>
  <c r="L191" i="5"/>
  <c r="M191" i="5"/>
  <c r="N191" i="5"/>
  <c r="I192" i="5"/>
  <c r="J192" i="5"/>
  <c r="K192" i="5"/>
  <c r="L192" i="5"/>
  <c r="M192" i="5"/>
  <c r="N192" i="5"/>
  <c r="I193" i="5"/>
  <c r="J193" i="5"/>
  <c r="K193" i="5"/>
  <c r="L193" i="5"/>
  <c r="M193" i="5"/>
  <c r="N193" i="5"/>
  <c r="I194" i="5"/>
  <c r="J194" i="5"/>
  <c r="K194" i="5"/>
  <c r="L194" i="5"/>
  <c r="M194" i="5"/>
  <c r="N194" i="5"/>
  <c r="I195" i="5"/>
  <c r="J195" i="5"/>
  <c r="K195" i="5"/>
  <c r="L195" i="5"/>
  <c r="M195" i="5"/>
  <c r="N195" i="5"/>
  <c r="I196" i="5"/>
  <c r="J196" i="5"/>
  <c r="K196" i="5"/>
  <c r="L196" i="5"/>
  <c r="M196" i="5"/>
  <c r="N196" i="5"/>
  <c r="I197" i="5"/>
  <c r="J197" i="5"/>
  <c r="K197" i="5"/>
  <c r="L197" i="5"/>
  <c r="M197" i="5"/>
  <c r="N197" i="5"/>
  <c r="I198" i="5"/>
  <c r="J198" i="5"/>
  <c r="K198" i="5"/>
  <c r="L198" i="5"/>
  <c r="M198" i="5"/>
  <c r="N198" i="5"/>
  <c r="I199" i="5"/>
  <c r="J199" i="5"/>
  <c r="K199" i="5"/>
  <c r="L199" i="5"/>
  <c r="M199" i="5"/>
  <c r="N199" i="5"/>
  <c r="I200" i="5"/>
  <c r="J200" i="5"/>
  <c r="K200" i="5"/>
  <c r="L200" i="5"/>
  <c r="M200" i="5"/>
  <c r="N200" i="5"/>
  <c r="I201" i="5"/>
  <c r="J201" i="5"/>
  <c r="K201" i="5"/>
  <c r="L201" i="5"/>
  <c r="M201" i="5"/>
  <c r="N201" i="5"/>
  <c r="I202" i="5"/>
  <c r="J202" i="5"/>
  <c r="K202" i="5"/>
  <c r="L202" i="5"/>
  <c r="M202" i="5"/>
  <c r="N202" i="5"/>
  <c r="I203" i="5"/>
  <c r="J203" i="5"/>
  <c r="K203" i="5"/>
  <c r="L203" i="5"/>
  <c r="M203" i="5"/>
  <c r="N203" i="5"/>
  <c r="I204" i="5"/>
  <c r="J204" i="5"/>
  <c r="K204" i="5"/>
  <c r="L204" i="5"/>
  <c r="M204" i="5"/>
  <c r="N204" i="5"/>
  <c r="I205" i="5"/>
  <c r="J205" i="5"/>
  <c r="K205" i="5"/>
  <c r="L205" i="5"/>
  <c r="M205" i="5"/>
  <c r="N205" i="5"/>
  <c r="I206" i="5"/>
  <c r="J206" i="5"/>
  <c r="K206" i="5"/>
  <c r="L206" i="5"/>
  <c r="M206" i="5"/>
  <c r="N206" i="5"/>
  <c r="I207" i="5"/>
  <c r="J207" i="5"/>
  <c r="K207" i="5"/>
  <c r="L207" i="5"/>
  <c r="M207" i="5"/>
  <c r="N207" i="5"/>
  <c r="I208" i="5"/>
  <c r="J208" i="5"/>
  <c r="K208" i="5"/>
  <c r="L208" i="5"/>
  <c r="M208" i="5"/>
  <c r="N208" i="5"/>
  <c r="I209" i="5"/>
  <c r="J209" i="5"/>
  <c r="K209" i="5"/>
  <c r="L209" i="5"/>
  <c r="M209" i="5"/>
  <c r="N209" i="5"/>
  <c r="I210" i="5"/>
  <c r="J210" i="5"/>
  <c r="K210" i="5"/>
  <c r="L210" i="5"/>
  <c r="M210" i="5"/>
  <c r="N210" i="5"/>
  <c r="I211" i="5"/>
  <c r="J211" i="5"/>
  <c r="K211" i="5"/>
  <c r="L211" i="5"/>
  <c r="M211" i="5"/>
  <c r="N211" i="5"/>
  <c r="I212" i="5"/>
  <c r="J212" i="5"/>
  <c r="K212" i="5"/>
  <c r="L212" i="5"/>
  <c r="M212" i="5"/>
  <c r="N212" i="5"/>
  <c r="I213" i="5"/>
  <c r="J213" i="5"/>
  <c r="K213" i="5"/>
  <c r="L213" i="5"/>
  <c r="M213" i="5"/>
  <c r="N213" i="5"/>
  <c r="I214" i="5"/>
  <c r="J214" i="5"/>
  <c r="K214" i="5"/>
  <c r="L214" i="5"/>
  <c r="M214" i="5"/>
  <c r="N214" i="5"/>
  <c r="I215" i="5"/>
  <c r="J215" i="5"/>
  <c r="K215" i="5"/>
  <c r="L215" i="5"/>
  <c r="M215" i="5"/>
  <c r="N215" i="5"/>
  <c r="I216" i="5"/>
  <c r="J216" i="5"/>
  <c r="K216" i="5"/>
  <c r="L216" i="5"/>
  <c r="M216" i="5"/>
  <c r="N216" i="5"/>
  <c r="I217" i="5"/>
  <c r="J217" i="5"/>
  <c r="K217" i="5"/>
  <c r="L217" i="5"/>
  <c r="M217" i="5"/>
  <c r="N217" i="5"/>
  <c r="I218" i="5"/>
  <c r="J218" i="5"/>
  <c r="K218" i="5"/>
  <c r="L218" i="5"/>
  <c r="M218" i="5"/>
  <c r="N218" i="5"/>
  <c r="I219" i="5"/>
  <c r="J219" i="5"/>
  <c r="K219" i="5"/>
  <c r="L219" i="5"/>
  <c r="M219" i="5"/>
  <c r="N219" i="5"/>
  <c r="I220" i="5"/>
  <c r="J220" i="5"/>
  <c r="K220" i="5"/>
  <c r="L220" i="5"/>
  <c r="M220" i="5"/>
  <c r="N220" i="5"/>
  <c r="I221" i="5"/>
  <c r="J221" i="5"/>
  <c r="K221" i="5"/>
  <c r="L221" i="5"/>
  <c r="M221" i="5"/>
  <c r="N221" i="5"/>
  <c r="I222" i="5"/>
  <c r="J222" i="5"/>
  <c r="K222" i="5"/>
  <c r="L222" i="5"/>
  <c r="M222" i="5"/>
  <c r="N222" i="5"/>
  <c r="I223" i="5"/>
  <c r="J223" i="5"/>
  <c r="K223" i="5"/>
  <c r="L223" i="5"/>
  <c r="M223" i="5"/>
  <c r="N223" i="5"/>
  <c r="I224" i="5"/>
  <c r="J224" i="5"/>
  <c r="K224" i="5"/>
  <c r="L224" i="5"/>
  <c r="M224" i="5"/>
  <c r="N224" i="5"/>
  <c r="I225" i="5"/>
  <c r="J225" i="5"/>
  <c r="K225" i="5"/>
  <c r="L225" i="5"/>
  <c r="M225" i="5"/>
  <c r="N225" i="5"/>
  <c r="I226" i="5"/>
  <c r="J226" i="5"/>
  <c r="K226" i="5"/>
  <c r="L226" i="5"/>
  <c r="M226" i="5"/>
  <c r="N226" i="5"/>
  <c r="I227" i="5"/>
  <c r="J227" i="5"/>
  <c r="K227" i="5"/>
  <c r="L227" i="5"/>
  <c r="M227" i="5"/>
  <c r="N227" i="5"/>
  <c r="I228" i="5"/>
  <c r="J228" i="5"/>
  <c r="K228" i="5"/>
  <c r="L228" i="5"/>
  <c r="M228" i="5"/>
  <c r="N228" i="5"/>
  <c r="I229" i="5"/>
  <c r="J229" i="5"/>
  <c r="K229" i="5"/>
  <c r="L229" i="5"/>
  <c r="M229" i="5"/>
  <c r="N229" i="5"/>
  <c r="I230" i="5"/>
  <c r="J230" i="5"/>
  <c r="K230" i="5"/>
  <c r="L230" i="5"/>
  <c r="M230" i="5"/>
  <c r="N230" i="5"/>
  <c r="I231" i="5"/>
  <c r="J231" i="5"/>
  <c r="K231" i="5"/>
  <c r="L231" i="5"/>
  <c r="M231" i="5"/>
  <c r="N231" i="5"/>
  <c r="I232" i="5"/>
  <c r="J232" i="5"/>
  <c r="K232" i="5"/>
  <c r="L232" i="5"/>
  <c r="M232" i="5"/>
  <c r="N232" i="5"/>
  <c r="I233" i="5"/>
  <c r="J233" i="5"/>
  <c r="K233" i="5"/>
  <c r="L233" i="5"/>
  <c r="M233" i="5"/>
  <c r="N233" i="5"/>
  <c r="I234" i="5"/>
  <c r="J234" i="5"/>
  <c r="K234" i="5"/>
  <c r="L234" i="5"/>
  <c r="M234" i="5"/>
  <c r="N234" i="5"/>
  <c r="I235" i="5"/>
  <c r="J235" i="5"/>
  <c r="K235" i="5"/>
  <c r="L235" i="5"/>
  <c r="M235" i="5"/>
  <c r="N235" i="5"/>
  <c r="I236" i="5"/>
  <c r="J236" i="5"/>
  <c r="K236" i="5"/>
  <c r="L236" i="5"/>
  <c r="M236" i="5"/>
  <c r="N236" i="5"/>
  <c r="I237" i="5"/>
  <c r="J237" i="5"/>
  <c r="K237" i="5"/>
  <c r="L237" i="5"/>
  <c r="M237" i="5"/>
  <c r="N237" i="5"/>
  <c r="I238" i="5"/>
  <c r="J238" i="5"/>
  <c r="K238" i="5"/>
  <c r="L238" i="5"/>
  <c r="M238" i="5"/>
  <c r="N238" i="5"/>
  <c r="I239" i="5"/>
  <c r="J239" i="5"/>
  <c r="K239" i="5"/>
  <c r="L239" i="5"/>
  <c r="M239" i="5"/>
  <c r="N239" i="5"/>
  <c r="I240" i="5"/>
  <c r="J240" i="5"/>
  <c r="K240" i="5"/>
  <c r="L240" i="5"/>
  <c r="M240" i="5"/>
  <c r="N240" i="5"/>
  <c r="I241" i="5"/>
  <c r="J241" i="5"/>
  <c r="K241" i="5"/>
  <c r="L241" i="5"/>
  <c r="M241" i="5"/>
  <c r="N241" i="5"/>
  <c r="I242" i="5"/>
  <c r="J242" i="5"/>
  <c r="K242" i="5"/>
  <c r="L242" i="5"/>
  <c r="M242" i="5"/>
  <c r="N242" i="5"/>
  <c r="I243" i="5"/>
  <c r="J243" i="5"/>
  <c r="K243" i="5"/>
  <c r="L243" i="5"/>
  <c r="M243" i="5"/>
  <c r="N243" i="5"/>
  <c r="I244" i="5"/>
  <c r="J244" i="5"/>
  <c r="K244" i="5"/>
  <c r="L244" i="5"/>
  <c r="M244" i="5"/>
  <c r="N244" i="5"/>
  <c r="I245" i="5"/>
  <c r="J245" i="5"/>
  <c r="K245" i="5"/>
  <c r="L245" i="5"/>
  <c r="M245" i="5"/>
  <c r="N245" i="5"/>
  <c r="I246" i="5"/>
  <c r="J246" i="5"/>
  <c r="K246" i="5"/>
  <c r="L246" i="5"/>
  <c r="M246" i="5"/>
  <c r="N246" i="5"/>
  <c r="I247" i="5"/>
  <c r="J247" i="5"/>
  <c r="K247" i="5"/>
  <c r="L247" i="5"/>
  <c r="M247" i="5"/>
  <c r="N247" i="5"/>
  <c r="I248" i="5"/>
  <c r="J248" i="5"/>
  <c r="K248" i="5"/>
  <c r="L248" i="5"/>
  <c r="M248" i="5"/>
  <c r="N248" i="5"/>
  <c r="I249" i="5"/>
  <c r="J249" i="5"/>
  <c r="K249" i="5"/>
  <c r="L249" i="5"/>
  <c r="M249" i="5"/>
  <c r="N249" i="5"/>
  <c r="I250" i="5"/>
  <c r="J250" i="5"/>
  <c r="K250" i="5"/>
  <c r="L250" i="5"/>
  <c r="M250" i="5"/>
  <c r="N250" i="5"/>
  <c r="I251" i="5"/>
  <c r="J251" i="5"/>
  <c r="K251" i="5"/>
  <c r="L251" i="5"/>
  <c r="M251" i="5"/>
  <c r="N251" i="5"/>
  <c r="I252" i="5"/>
  <c r="J252" i="5"/>
  <c r="K252" i="5"/>
  <c r="L252" i="5"/>
  <c r="M252" i="5"/>
  <c r="N252" i="5"/>
  <c r="I253" i="5"/>
  <c r="J253" i="5"/>
  <c r="K253" i="5"/>
  <c r="L253" i="5"/>
  <c r="M253" i="5"/>
  <c r="N253" i="5"/>
  <c r="I254" i="5"/>
  <c r="J254" i="5"/>
  <c r="K254" i="5"/>
  <c r="L254" i="5"/>
  <c r="M254" i="5"/>
  <c r="N254" i="5"/>
  <c r="I255" i="5"/>
  <c r="J255" i="5"/>
  <c r="K255" i="5"/>
  <c r="L255" i="5"/>
  <c r="M255" i="5"/>
  <c r="N255" i="5"/>
  <c r="I256" i="5"/>
  <c r="J256" i="5"/>
  <c r="K256" i="5"/>
  <c r="L256" i="5"/>
  <c r="M256" i="5"/>
  <c r="N256" i="5"/>
  <c r="I257" i="5"/>
  <c r="J257" i="5"/>
  <c r="K257" i="5"/>
  <c r="L257" i="5"/>
  <c r="M257" i="5"/>
  <c r="N257" i="5"/>
  <c r="I258" i="5"/>
  <c r="J258" i="5"/>
  <c r="K258" i="5"/>
  <c r="L258" i="5"/>
  <c r="M258" i="5"/>
  <c r="N258" i="5"/>
  <c r="I259" i="5"/>
  <c r="J259" i="5"/>
  <c r="K259" i="5"/>
  <c r="L259" i="5"/>
  <c r="M259" i="5"/>
  <c r="N259" i="5"/>
  <c r="I260" i="5"/>
  <c r="J260" i="5"/>
  <c r="K260" i="5"/>
  <c r="L260" i="5"/>
  <c r="M260" i="5"/>
  <c r="N260" i="5"/>
  <c r="I261" i="5"/>
  <c r="J261" i="5"/>
  <c r="K261" i="5"/>
  <c r="L261" i="5"/>
  <c r="M261" i="5"/>
  <c r="N261" i="5"/>
  <c r="I262" i="5"/>
  <c r="J262" i="5"/>
  <c r="K262" i="5"/>
  <c r="L262" i="5"/>
  <c r="M262" i="5"/>
  <c r="N262" i="5"/>
  <c r="I263" i="5"/>
  <c r="J263" i="5"/>
  <c r="K263" i="5"/>
  <c r="L263" i="5"/>
  <c r="M263" i="5"/>
  <c r="N263" i="5"/>
  <c r="I264" i="5"/>
  <c r="J264" i="5"/>
  <c r="K264" i="5"/>
  <c r="L264" i="5"/>
  <c r="M264" i="5"/>
  <c r="N264" i="5"/>
  <c r="I265" i="5"/>
  <c r="J265" i="5"/>
  <c r="K265" i="5"/>
  <c r="L265" i="5"/>
  <c r="M265" i="5"/>
  <c r="N265" i="5"/>
  <c r="I266" i="5"/>
  <c r="J266" i="5"/>
  <c r="K266" i="5"/>
  <c r="L266" i="5"/>
  <c r="M266" i="5"/>
  <c r="N266" i="5"/>
  <c r="I267" i="5"/>
  <c r="J267" i="5"/>
  <c r="K267" i="5"/>
  <c r="L267" i="5"/>
  <c r="M267" i="5"/>
  <c r="N267" i="5"/>
  <c r="I268" i="5"/>
  <c r="J268" i="5"/>
  <c r="K268" i="5"/>
  <c r="L268" i="5"/>
  <c r="M268" i="5"/>
  <c r="N268" i="5"/>
  <c r="I269" i="5"/>
  <c r="J269" i="5"/>
  <c r="K269" i="5"/>
  <c r="L269" i="5"/>
  <c r="M269" i="5"/>
  <c r="N269" i="5"/>
  <c r="I270" i="5"/>
  <c r="J270" i="5"/>
  <c r="K270" i="5"/>
  <c r="L270" i="5"/>
  <c r="M270" i="5"/>
  <c r="N270" i="5"/>
  <c r="I271" i="5"/>
  <c r="J271" i="5"/>
  <c r="K271" i="5"/>
  <c r="L271" i="5"/>
  <c r="M271" i="5"/>
  <c r="N271" i="5"/>
  <c r="I272" i="5"/>
  <c r="J272" i="5"/>
  <c r="K272" i="5"/>
  <c r="L272" i="5"/>
  <c r="M272" i="5"/>
  <c r="N272" i="5"/>
  <c r="I273" i="5"/>
  <c r="J273" i="5"/>
  <c r="K273" i="5"/>
  <c r="L273" i="5"/>
  <c r="M273" i="5"/>
  <c r="N273" i="5"/>
  <c r="I274" i="5"/>
  <c r="J274" i="5"/>
  <c r="K274" i="5"/>
  <c r="L274" i="5"/>
  <c r="M274" i="5"/>
  <c r="N274" i="5"/>
  <c r="I275" i="5"/>
  <c r="J275" i="5"/>
  <c r="K275" i="5"/>
  <c r="L275" i="5"/>
  <c r="M275" i="5"/>
  <c r="N275" i="5"/>
  <c r="I276" i="5"/>
  <c r="J276" i="5"/>
  <c r="K276" i="5"/>
  <c r="L276" i="5"/>
  <c r="M276" i="5"/>
  <c r="N276" i="5"/>
  <c r="I277" i="5"/>
  <c r="J277" i="5"/>
  <c r="K277" i="5"/>
  <c r="L277" i="5"/>
  <c r="M277" i="5"/>
  <c r="N277" i="5"/>
  <c r="I278" i="5"/>
  <c r="J278" i="5"/>
  <c r="K278" i="5"/>
  <c r="L278" i="5"/>
  <c r="M278" i="5"/>
  <c r="N278" i="5"/>
  <c r="I279" i="5"/>
  <c r="J279" i="5"/>
  <c r="K279" i="5"/>
  <c r="L279" i="5"/>
  <c r="M279" i="5"/>
  <c r="N279" i="5"/>
  <c r="I280" i="5"/>
  <c r="J280" i="5"/>
  <c r="K280" i="5"/>
  <c r="L280" i="5"/>
  <c r="M280" i="5"/>
  <c r="N280" i="5"/>
  <c r="I281" i="5"/>
  <c r="J281" i="5"/>
  <c r="K281" i="5"/>
  <c r="L281" i="5"/>
  <c r="M281" i="5"/>
  <c r="N281" i="5"/>
  <c r="I282" i="5"/>
  <c r="J282" i="5"/>
  <c r="K282" i="5"/>
  <c r="L282" i="5"/>
  <c r="M282" i="5"/>
  <c r="N282" i="5"/>
  <c r="I283" i="5"/>
  <c r="J283" i="5"/>
  <c r="K283" i="5"/>
  <c r="L283" i="5"/>
  <c r="M283" i="5"/>
  <c r="N283" i="5"/>
  <c r="I284" i="5"/>
  <c r="J284" i="5"/>
  <c r="K284" i="5"/>
  <c r="L284" i="5"/>
  <c r="M284" i="5"/>
  <c r="N284" i="5"/>
  <c r="I285" i="5"/>
  <c r="J285" i="5"/>
  <c r="K285" i="5"/>
  <c r="L285" i="5"/>
  <c r="M285" i="5"/>
  <c r="N285" i="5"/>
  <c r="I286" i="5"/>
  <c r="J286" i="5"/>
  <c r="K286" i="5"/>
  <c r="L286" i="5"/>
  <c r="M286" i="5"/>
  <c r="N286" i="5"/>
  <c r="I287" i="5"/>
  <c r="J287" i="5"/>
  <c r="K287" i="5"/>
  <c r="L287" i="5"/>
  <c r="M287" i="5"/>
  <c r="N287" i="5"/>
  <c r="I288" i="5"/>
  <c r="J288" i="5"/>
  <c r="K288" i="5"/>
  <c r="L288" i="5"/>
  <c r="M288" i="5"/>
  <c r="N288" i="5"/>
  <c r="I289" i="5"/>
  <c r="J289" i="5"/>
  <c r="K289" i="5"/>
  <c r="L289" i="5"/>
  <c r="M289" i="5"/>
  <c r="N289" i="5"/>
  <c r="I290" i="5"/>
  <c r="J290" i="5"/>
  <c r="K290" i="5"/>
  <c r="L290" i="5"/>
  <c r="M290" i="5"/>
  <c r="N290" i="5"/>
  <c r="I291" i="5"/>
  <c r="J291" i="5"/>
  <c r="K291" i="5"/>
  <c r="L291" i="5"/>
  <c r="M291" i="5"/>
  <c r="N291" i="5"/>
  <c r="I292" i="5"/>
  <c r="J292" i="5"/>
  <c r="K292" i="5"/>
  <c r="L292" i="5"/>
  <c r="M292" i="5"/>
  <c r="N292" i="5"/>
  <c r="I293" i="5"/>
  <c r="J293" i="5"/>
  <c r="K293" i="5"/>
  <c r="L293" i="5"/>
  <c r="M293" i="5"/>
  <c r="N293" i="5"/>
  <c r="I294" i="5"/>
  <c r="J294" i="5"/>
  <c r="K294" i="5"/>
  <c r="L294" i="5"/>
  <c r="M294" i="5"/>
  <c r="N294" i="5"/>
  <c r="I295" i="5"/>
  <c r="J295" i="5"/>
  <c r="K295" i="5"/>
  <c r="L295" i="5"/>
  <c r="M295" i="5"/>
  <c r="N295" i="5"/>
  <c r="I296" i="5"/>
  <c r="J296" i="5"/>
  <c r="K296" i="5"/>
  <c r="L296" i="5"/>
  <c r="M296" i="5"/>
  <c r="N296" i="5"/>
  <c r="I297" i="5"/>
  <c r="J297" i="5"/>
  <c r="K297" i="5"/>
  <c r="L297" i="5"/>
  <c r="M297" i="5"/>
  <c r="N297" i="5"/>
  <c r="I298" i="5"/>
  <c r="J298" i="5"/>
  <c r="K298" i="5"/>
  <c r="L298" i="5"/>
  <c r="M298" i="5"/>
  <c r="N298" i="5"/>
  <c r="I299" i="5"/>
  <c r="J299" i="5"/>
  <c r="K299" i="5"/>
  <c r="L299" i="5"/>
  <c r="M299" i="5"/>
  <c r="N299" i="5"/>
  <c r="I300" i="5"/>
  <c r="J300" i="5"/>
  <c r="K300" i="5"/>
  <c r="L300" i="5"/>
  <c r="M300" i="5"/>
  <c r="N300" i="5"/>
  <c r="I301" i="5"/>
  <c r="J301" i="5"/>
  <c r="K301" i="5"/>
  <c r="L301" i="5"/>
  <c r="M301" i="5"/>
  <c r="N301" i="5"/>
  <c r="J14" i="5"/>
  <c r="K14" i="5"/>
  <c r="L14" i="5"/>
  <c r="M14" i="5"/>
  <c r="N14" i="5"/>
  <c r="I14" i="5"/>
  <c r="I15" i="4"/>
  <c r="J15" i="4"/>
  <c r="K15" i="4"/>
  <c r="L15" i="4"/>
  <c r="M15" i="4"/>
  <c r="N15" i="4"/>
  <c r="I16" i="4"/>
  <c r="J16" i="4"/>
  <c r="K16" i="4"/>
  <c r="L16" i="4"/>
  <c r="M16" i="4"/>
  <c r="N16" i="4"/>
  <c r="I17" i="4"/>
  <c r="J17" i="4"/>
  <c r="K17" i="4"/>
  <c r="L17" i="4"/>
  <c r="M17" i="4"/>
  <c r="N17" i="4"/>
  <c r="I18" i="4"/>
  <c r="J18" i="4"/>
  <c r="K18" i="4"/>
  <c r="L18" i="4"/>
  <c r="M18" i="4"/>
  <c r="N18" i="4"/>
  <c r="I19" i="4"/>
  <c r="J19" i="4"/>
  <c r="K19" i="4"/>
  <c r="L19" i="4"/>
  <c r="M19" i="4"/>
  <c r="N19" i="4"/>
  <c r="I20" i="4"/>
  <c r="J20" i="4"/>
  <c r="K20" i="4"/>
  <c r="L20" i="4"/>
  <c r="M20" i="4"/>
  <c r="N20" i="4"/>
  <c r="I21" i="4"/>
  <c r="J21" i="4"/>
  <c r="K21" i="4"/>
  <c r="L21" i="4"/>
  <c r="M21" i="4"/>
  <c r="N21" i="4"/>
  <c r="I22" i="4"/>
  <c r="J22" i="4"/>
  <c r="K22" i="4"/>
  <c r="L22" i="4"/>
  <c r="M22" i="4"/>
  <c r="N22" i="4"/>
  <c r="I23" i="4"/>
  <c r="J23" i="4"/>
  <c r="K23" i="4"/>
  <c r="L23" i="4"/>
  <c r="M23" i="4"/>
  <c r="N23" i="4"/>
  <c r="I24" i="4"/>
  <c r="J24" i="4"/>
  <c r="K24" i="4"/>
  <c r="L24" i="4"/>
  <c r="M24" i="4"/>
  <c r="N24" i="4"/>
  <c r="I25" i="4"/>
  <c r="J25" i="4"/>
  <c r="K25" i="4"/>
  <c r="L25" i="4"/>
  <c r="M25" i="4"/>
  <c r="N25" i="4"/>
  <c r="I26" i="4"/>
  <c r="J26" i="4"/>
  <c r="K26" i="4"/>
  <c r="L26" i="4"/>
  <c r="M26" i="4"/>
  <c r="N26" i="4"/>
  <c r="I27" i="4"/>
  <c r="J27" i="4"/>
  <c r="K27" i="4"/>
  <c r="L27" i="4"/>
  <c r="M27" i="4"/>
  <c r="N27" i="4"/>
  <c r="I28" i="4"/>
  <c r="J28" i="4"/>
  <c r="K28" i="4"/>
  <c r="L28" i="4"/>
  <c r="M28" i="4"/>
  <c r="N28" i="4"/>
  <c r="I29" i="4"/>
  <c r="J29" i="4"/>
  <c r="K29" i="4"/>
  <c r="L29" i="4"/>
  <c r="M29" i="4"/>
  <c r="N29" i="4"/>
  <c r="I30" i="4"/>
  <c r="J30" i="4"/>
  <c r="K30" i="4"/>
  <c r="L30" i="4"/>
  <c r="M30" i="4"/>
  <c r="N30" i="4"/>
  <c r="I31" i="4"/>
  <c r="J31" i="4"/>
  <c r="K31" i="4"/>
  <c r="L31" i="4"/>
  <c r="M31" i="4"/>
  <c r="N31" i="4"/>
  <c r="I32" i="4"/>
  <c r="J32" i="4"/>
  <c r="K32" i="4"/>
  <c r="L32" i="4"/>
  <c r="M32" i="4"/>
  <c r="N32" i="4"/>
  <c r="I33" i="4"/>
  <c r="J33" i="4"/>
  <c r="K33" i="4"/>
  <c r="L33" i="4"/>
  <c r="M33" i="4"/>
  <c r="N33" i="4"/>
  <c r="I34" i="4"/>
  <c r="J34" i="4"/>
  <c r="K34" i="4"/>
  <c r="L34" i="4"/>
  <c r="M34" i="4"/>
  <c r="N34" i="4"/>
  <c r="I35" i="4"/>
  <c r="J35" i="4"/>
  <c r="K35" i="4"/>
  <c r="L35" i="4"/>
  <c r="M35" i="4"/>
  <c r="N35" i="4"/>
  <c r="I36" i="4"/>
  <c r="J36" i="4"/>
  <c r="K36" i="4"/>
  <c r="L36" i="4"/>
  <c r="M36" i="4"/>
  <c r="N36" i="4"/>
  <c r="I37" i="4"/>
  <c r="J37" i="4"/>
  <c r="K37" i="4"/>
  <c r="L37" i="4"/>
  <c r="M37" i="4"/>
  <c r="N37" i="4"/>
  <c r="I38" i="4"/>
  <c r="J38" i="4"/>
  <c r="K38" i="4"/>
  <c r="L38" i="4"/>
  <c r="M38" i="4"/>
  <c r="N38" i="4"/>
  <c r="I39" i="4"/>
  <c r="J39" i="4"/>
  <c r="K39" i="4"/>
  <c r="L39" i="4"/>
  <c r="M39" i="4"/>
  <c r="N39" i="4"/>
  <c r="I40" i="4"/>
  <c r="J40" i="4"/>
  <c r="K40" i="4"/>
  <c r="L40" i="4"/>
  <c r="M40" i="4"/>
  <c r="N40" i="4"/>
  <c r="I41" i="4"/>
  <c r="J41" i="4"/>
  <c r="K41" i="4"/>
  <c r="L41" i="4"/>
  <c r="M41" i="4"/>
  <c r="N41" i="4"/>
  <c r="I42" i="4"/>
  <c r="J42" i="4"/>
  <c r="K42" i="4"/>
  <c r="L42" i="4"/>
  <c r="M42" i="4"/>
  <c r="N42" i="4"/>
  <c r="I43" i="4"/>
  <c r="J43" i="4"/>
  <c r="K43" i="4"/>
  <c r="L43" i="4"/>
  <c r="M43" i="4"/>
  <c r="N43" i="4"/>
  <c r="I44" i="4"/>
  <c r="J44" i="4"/>
  <c r="K44" i="4"/>
  <c r="L44" i="4"/>
  <c r="M44" i="4"/>
  <c r="N44" i="4"/>
  <c r="I45" i="4"/>
  <c r="J45" i="4"/>
  <c r="K45" i="4"/>
  <c r="L45" i="4"/>
  <c r="M45" i="4"/>
  <c r="N45" i="4"/>
  <c r="I46" i="4"/>
  <c r="J46" i="4"/>
  <c r="K46" i="4"/>
  <c r="L46" i="4"/>
  <c r="M46" i="4"/>
  <c r="N46" i="4"/>
  <c r="I47" i="4"/>
  <c r="J47" i="4"/>
  <c r="K47" i="4"/>
  <c r="L47" i="4"/>
  <c r="M47" i="4"/>
  <c r="N47" i="4"/>
  <c r="I48" i="4"/>
  <c r="J48" i="4"/>
  <c r="K48" i="4"/>
  <c r="L48" i="4"/>
  <c r="M48" i="4"/>
  <c r="N48" i="4"/>
  <c r="I49" i="4"/>
  <c r="J49" i="4"/>
  <c r="K49" i="4"/>
  <c r="L49" i="4"/>
  <c r="M49" i="4"/>
  <c r="N49" i="4"/>
  <c r="I50" i="4"/>
  <c r="J50" i="4"/>
  <c r="K50" i="4"/>
  <c r="L50" i="4"/>
  <c r="M50" i="4"/>
  <c r="N50" i="4"/>
  <c r="I51" i="4"/>
  <c r="J51" i="4"/>
  <c r="K51" i="4"/>
  <c r="L51" i="4"/>
  <c r="M51" i="4"/>
  <c r="N51" i="4"/>
  <c r="I52" i="4"/>
  <c r="J52" i="4"/>
  <c r="K52" i="4"/>
  <c r="L52" i="4"/>
  <c r="M52" i="4"/>
  <c r="N52" i="4"/>
  <c r="I53" i="4"/>
  <c r="J53" i="4"/>
  <c r="K53" i="4"/>
  <c r="L53" i="4"/>
  <c r="M53" i="4"/>
  <c r="N53" i="4"/>
  <c r="I54" i="4"/>
  <c r="J54" i="4"/>
  <c r="K54" i="4"/>
  <c r="L54" i="4"/>
  <c r="M54" i="4"/>
  <c r="N54" i="4"/>
  <c r="I55" i="4"/>
  <c r="J55" i="4"/>
  <c r="K55" i="4"/>
  <c r="L55" i="4"/>
  <c r="M55" i="4"/>
  <c r="N55" i="4"/>
  <c r="I56" i="4"/>
  <c r="J56" i="4"/>
  <c r="K56" i="4"/>
  <c r="L56" i="4"/>
  <c r="M56" i="4"/>
  <c r="N56" i="4"/>
  <c r="I57" i="4"/>
  <c r="J57" i="4"/>
  <c r="K57" i="4"/>
  <c r="L57" i="4"/>
  <c r="M57" i="4"/>
  <c r="N57" i="4"/>
  <c r="I58" i="4"/>
  <c r="J58" i="4"/>
  <c r="K58" i="4"/>
  <c r="L58" i="4"/>
  <c r="M58" i="4"/>
  <c r="N58" i="4"/>
  <c r="I59" i="4"/>
  <c r="J59" i="4"/>
  <c r="K59" i="4"/>
  <c r="L59" i="4"/>
  <c r="M59" i="4"/>
  <c r="N59" i="4"/>
  <c r="I60" i="4"/>
  <c r="J60" i="4"/>
  <c r="K60" i="4"/>
  <c r="L60" i="4"/>
  <c r="M60" i="4"/>
  <c r="N60" i="4"/>
  <c r="I61" i="4"/>
  <c r="J61" i="4"/>
  <c r="K61" i="4"/>
  <c r="L61" i="4"/>
  <c r="M61" i="4"/>
  <c r="N61" i="4"/>
  <c r="I62" i="4"/>
  <c r="J62" i="4"/>
  <c r="K62" i="4"/>
  <c r="L62" i="4"/>
  <c r="M62" i="4"/>
  <c r="N62" i="4"/>
  <c r="I63" i="4"/>
  <c r="J63" i="4"/>
  <c r="K63" i="4"/>
  <c r="L63" i="4"/>
  <c r="M63" i="4"/>
  <c r="N63" i="4"/>
  <c r="I64" i="4"/>
  <c r="J64" i="4"/>
  <c r="K64" i="4"/>
  <c r="L64" i="4"/>
  <c r="M64" i="4"/>
  <c r="N64" i="4"/>
  <c r="I65" i="4"/>
  <c r="J65" i="4"/>
  <c r="K65" i="4"/>
  <c r="L65" i="4"/>
  <c r="M65" i="4"/>
  <c r="N65" i="4"/>
  <c r="I66" i="4"/>
  <c r="J66" i="4"/>
  <c r="K66" i="4"/>
  <c r="L66" i="4"/>
  <c r="M66" i="4"/>
  <c r="N66" i="4"/>
  <c r="I67" i="4"/>
  <c r="J67" i="4"/>
  <c r="K67" i="4"/>
  <c r="L67" i="4"/>
  <c r="M67" i="4"/>
  <c r="N67" i="4"/>
  <c r="I68" i="4"/>
  <c r="J68" i="4"/>
  <c r="K68" i="4"/>
  <c r="L68" i="4"/>
  <c r="M68" i="4"/>
  <c r="N68" i="4"/>
  <c r="I69" i="4"/>
  <c r="J69" i="4"/>
  <c r="K69" i="4"/>
  <c r="L69" i="4"/>
  <c r="M69" i="4"/>
  <c r="N69" i="4"/>
  <c r="I70" i="4"/>
  <c r="J70" i="4"/>
  <c r="K70" i="4"/>
  <c r="L70" i="4"/>
  <c r="M70" i="4"/>
  <c r="N70" i="4"/>
  <c r="I71" i="4"/>
  <c r="J71" i="4"/>
  <c r="K71" i="4"/>
  <c r="L71" i="4"/>
  <c r="M71" i="4"/>
  <c r="N71" i="4"/>
  <c r="I72" i="4"/>
  <c r="J72" i="4"/>
  <c r="K72" i="4"/>
  <c r="L72" i="4"/>
  <c r="M72" i="4"/>
  <c r="N72" i="4"/>
  <c r="I73" i="4"/>
  <c r="J73" i="4"/>
  <c r="K73" i="4"/>
  <c r="L73" i="4"/>
  <c r="M73" i="4"/>
  <c r="N73" i="4"/>
  <c r="I74" i="4"/>
  <c r="J74" i="4"/>
  <c r="K74" i="4"/>
  <c r="L74" i="4"/>
  <c r="M74" i="4"/>
  <c r="N74" i="4"/>
  <c r="I75" i="4"/>
  <c r="J75" i="4"/>
  <c r="K75" i="4"/>
  <c r="L75" i="4"/>
  <c r="M75" i="4"/>
  <c r="N75" i="4"/>
  <c r="I76" i="4"/>
  <c r="J76" i="4"/>
  <c r="K76" i="4"/>
  <c r="L76" i="4"/>
  <c r="M76" i="4"/>
  <c r="N76" i="4"/>
  <c r="I77" i="4"/>
  <c r="J77" i="4"/>
  <c r="K77" i="4"/>
  <c r="L77" i="4"/>
  <c r="M77" i="4"/>
  <c r="N77" i="4"/>
  <c r="I78" i="4"/>
  <c r="J78" i="4"/>
  <c r="K78" i="4"/>
  <c r="L78" i="4"/>
  <c r="M78" i="4"/>
  <c r="N78" i="4"/>
  <c r="I79" i="4"/>
  <c r="J79" i="4"/>
  <c r="K79" i="4"/>
  <c r="L79" i="4"/>
  <c r="M79" i="4"/>
  <c r="N79" i="4"/>
  <c r="I80" i="4"/>
  <c r="J80" i="4"/>
  <c r="K80" i="4"/>
  <c r="L80" i="4"/>
  <c r="M80" i="4"/>
  <c r="N80" i="4"/>
  <c r="I81" i="4"/>
  <c r="J81" i="4"/>
  <c r="K81" i="4"/>
  <c r="L81" i="4"/>
  <c r="M81" i="4"/>
  <c r="N81" i="4"/>
  <c r="I82" i="4"/>
  <c r="J82" i="4"/>
  <c r="K82" i="4"/>
  <c r="L82" i="4"/>
  <c r="M82" i="4"/>
  <c r="N82" i="4"/>
  <c r="I83" i="4"/>
  <c r="J83" i="4"/>
  <c r="K83" i="4"/>
  <c r="L83" i="4"/>
  <c r="M83" i="4"/>
  <c r="N83" i="4"/>
  <c r="I84" i="4"/>
  <c r="J84" i="4"/>
  <c r="K84" i="4"/>
  <c r="L84" i="4"/>
  <c r="M84" i="4"/>
  <c r="N84" i="4"/>
  <c r="I85" i="4"/>
  <c r="J85" i="4"/>
  <c r="K85" i="4"/>
  <c r="L85" i="4"/>
  <c r="M85" i="4"/>
  <c r="N85" i="4"/>
  <c r="I86" i="4"/>
  <c r="J86" i="4"/>
  <c r="K86" i="4"/>
  <c r="L86" i="4"/>
  <c r="M86" i="4"/>
  <c r="N86" i="4"/>
  <c r="I87" i="4"/>
  <c r="J87" i="4"/>
  <c r="K87" i="4"/>
  <c r="L87" i="4"/>
  <c r="M87" i="4"/>
  <c r="N87" i="4"/>
  <c r="I88" i="4"/>
  <c r="J88" i="4"/>
  <c r="K88" i="4"/>
  <c r="L88" i="4"/>
  <c r="M88" i="4"/>
  <c r="N88" i="4"/>
  <c r="I89" i="4"/>
  <c r="J89" i="4"/>
  <c r="K89" i="4"/>
  <c r="L89" i="4"/>
  <c r="M89" i="4"/>
  <c r="N89" i="4"/>
  <c r="I90" i="4"/>
  <c r="J90" i="4"/>
  <c r="K90" i="4"/>
  <c r="L90" i="4"/>
  <c r="M90" i="4"/>
  <c r="N90" i="4"/>
  <c r="I91" i="4"/>
  <c r="J91" i="4"/>
  <c r="K91" i="4"/>
  <c r="L91" i="4"/>
  <c r="M91" i="4"/>
  <c r="N91" i="4"/>
  <c r="I92" i="4"/>
  <c r="J92" i="4"/>
  <c r="K92" i="4"/>
  <c r="L92" i="4"/>
  <c r="M92" i="4"/>
  <c r="N92" i="4"/>
  <c r="I93" i="4"/>
  <c r="J93" i="4"/>
  <c r="K93" i="4"/>
  <c r="L93" i="4"/>
  <c r="M93" i="4"/>
  <c r="N93" i="4"/>
  <c r="I94" i="4"/>
  <c r="J94" i="4"/>
  <c r="K94" i="4"/>
  <c r="L94" i="4"/>
  <c r="M94" i="4"/>
  <c r="N94" i="4"/>
  <c r="I95" i="4"/>
  <c r="J95" i="4"/>
  <c r="K95" i="4"/>
  <c r="L95" i="4"/>
  <c r="M95" i="4"/>
  <c r="N95" i="4"/>
  <c r="I96" i="4"/>
  <c r="J96" i="4"/>
  <c r="K96" i="4"/>
  <c r="L96" i="4"/>
  <c r="M96" i="4"/>
  <c r="N96" i="4"/>
  <c r="I97" i="4"/>
  <c r="J97" i="4"/>
  <c r="K97" i="4"/>
  <c r="L97" i="4"/>
  <c r="M97" i="4"/>
  <c r="N97" i="4"/>
  <c r="I98" i="4"/>
  <c r="J98" i="4"/>
  <c r="K98" i="4"/>
  <c r="L98" i="4"/>
  <c r="M98" i="4"/>
  <c r="N98" i="4"/>
  <c r="I99" i="4"/>
  <c r="J99" i="4"/>
  <c r="K99" i="4"/>
  <c r="L99" i="4"/>
  <c r="M99" i="4"/>
  <c r="N99" i="4"/>
  <c r="I100" i="4"/>
  <c r="J100" i="4"/>
  <c r="K100" i="4"/>
  <c r="L100" i="4"/>
  <c r="M100" i="4"/>
  <c r="N100" i="4"/>
  <c r="I101" i="4"/>
  <c r="J101" i="4"/>
  <c r="K101" i="4"/>
  <c r="L101" i="4"/>
  <c r="M101" i="4"/>
  <c r="N101" i="4"/>
  <c r="I102" i="4"/>
  <c r="J102" i="4"/>
  <c r="K102" i="4"/>
  <c r="L102" i="4"/>
  <c r="M102" i="4"/>
  <c r="N102" i="4"/>
  <c r="I103" i="4"/>
  <c r="J103" i="4"/>
  <c r="K103" i="4"/>
  <c r="L103" i="4"/>
  <c r="M103" i="4"/>
  <c r="N103" i="4"/>
  <c r="I104" i="4"/>
  <c r="J104" i="4"/>
  <c r="K104" i="4"/>
  <c r="L104" i="4"/>
  <c r="M104" i="4"/>
  <c r="N104" i="4"/>
  <c r="I105" i="4"/>
  <c r="J105" i="4"/>
  <c r="K105" i="4"/>
  <c r="L105" i="4"/>
  <c r="M105" i="4"/>
  <c r="N105" i="4"/>
  <c r="I106" i="4"/>
  <c r="J106" i="4"/>
  <c r="K106" i="4"/>
  <c r="L106" i="4"/>
  <c r="M106" i="4"/>
  <c r="N106" i="4"/>
  <c r="I107" i="4"/>
  <c r="J107" i="4"/>
  <c r="K107" i="4"/>
  <c r="L107" i="4"/>
  <c r="M107" i="4"/>
  <c r="N107" i="4"/>
  <c r="I108" i="4"/>
  <c r="J108" i="4"/>
  <c r="K108" i="4"/>
  <c r="L108" i="4"/>
  <c r="M108" i="4"/>
  <c r="N108" i="4"/>
  <c r="I109" i="4"/>
  <c r="J109" i="4"/>
  <c r="K109" i="4"/>
  <c r="L109" i="4"/>
  <c r="M109" i="4"/>
  <c r="N109" i="4"/>
  <c r="I110" i="4"/>
  <c r="J110" i="4"/>
  <c r="K110" i="4"/>
  <c r="L110" i="4"/>
  <c r="M110" i="4"/>
  <c r="N110" i="4"/>
  <c r="I111" i="4"/>
  <c r="J111" i="4"/>
  <c r="K111" i="4"/>
  <c r="L111" i="4"/>
  <c r="M111" i="4"/>
  <c r="N111" i="4"/>
  <c r="I112" i="4"/>
  <c r="J112" i="4"/>
  <c r="K112" i="4"/>
  <c r="L112" i="4"/>
  <c r="M112" i="4"/>
  <c r="N112" i="4"/>
  <c r="I113" i="4"/>
  <c r="J113" i="4"/>
  <c r="K113" i="4"/>
  <c r="L113" i="4"/>
  <c r="M113" i="4"/>
  <c r="N113" i="4"/>
  <c r="I114" i="4"/>
  <c r="J114" i="4"/>
  <c r="K114" i="4"/>
  <c r="L114" i="4"/>
  <c r="M114" i="4"/>
  <c r="N114" i="4"/>
  <c r="I115" i="4"/>
  <c r="J115" i="4"/>
  <c r="K115" i="4"/>
  <c r="L115" i="4"/>
  <c r="M115" i="4"/>
  <c r="N115" i="4"/>
  <c r="I116" i="4"/>
  <c r="J116" i="4"/>
  <c r="K116" i="4"/>
  <c r="L116" i="4"/>
  <c r="M116" i="4"/>
  <c r="N116" i="4"/>
  <c r="I117" i="4"/>
  <c r="J117" i="4"/>
  <c r="K117" i="4"/>
  <c r="L117" i="4"/>
  <c r="M117" i="4"/>
  <c r="N117" i="4"/>
  <c r="I118" i="4"/>
  <c r="J118" i="4"/>
  <c r="K118" i="4"/>
  <c r="L118" i="4"/>
  <c r="M118" i="4"/>
  <c r="N118" i="4"/>
  <c r="I119" i="4"/>
  <c r="J119" i="4"/>
  <c r="K119" i="4"/>
  <c r="L119" i="4"/>
  <c r="M119" i="4"/>
  <c r="N119" i="4"/>
  <c r="I120" i="4"/>
  <c r="J120" i="4"/>
  <c r="K120" i="4"/>
  <c r="L120" i="4"/>
  <c r="M120" i="4"/>
  <c r="N120" i="4"/>
  <c r="I121" i="4"/>
  <c r="J121" i="4"/>
  <c r="K121" i="4"/>
  <c r="L121" i="4"/>
  <c r="M121" i="4"/>
  <c r="N121" i="4"/>
  <c r="I122" i="4"/>
  <c r="J122" i="4"/>
  <c r="K122" i="4"/>
  <c r="L122" i="4"/>
  <c r="M122" i="4"/>
  <c r="N122" i="4"/>
  <c r="I123" i="4"/>
  <c r="J123" i="4"/>
  <c r="K123" i="4"/>
  <c r="L123" i="4"/>
  <c r="M123" i="4"/>
  <c r="N123" i="4"/>
  <c r="I124" i="4"/>
  <c r="J124" i="4"/>
  <c r="K124" i="4"/>
  <c r="L124" i="4"/>
  <c r="M124" i="4"/>
  <c r="N124" i="4"/>
  <c r="I125" i="4"/>
  <c r="J125" i="4"/>
  <c r="K125" i="4"/>
  <c r="L125" i="4"/>
  <c r="M125" i="4"/>
  <c r="N125" i="4"/>
  <c r="I126" i="4"/>
  <c r="J126" i="4"/>
  <c r="K126" i="4"/>
  <c r="L126" i="4"/>
  <c r="M126" i="4"/>
  <c r="N126" i="4"/>
  <c r="I127" i="4"/>
  <c r="J127" i="4"/>
  <c r="K127" i="4"/>
  <c r="L127" i="4"/>
  <c r="M127" i="4"/>
  <c r="N127" i="4"/>
  <c r="I128" i="4"/>
  <c r="J128" i="4"/>
  <c r="K128" i="4"/>
  <c r="L128" i="4"/>
  <c r="M128" i="4"/>
  <c r="N128" i="4"/>
  <c r="I129" i="4"/>
  <c r="J129" i="4"/>
  <c r="K129" i="4"/>
  <c r="L129" i="4"/>
  <c r="M129" i="4"/>
  <c r="N129" i="4"/>
  <c r="I130" i="4"/>
  <c r="J130" i="4"/>
  <c r="K130" i="4"/>
  <c r="L130" i="4"/>
  <c r="M130" i="4"/>
  <c r="N130" i="4"/>
  <c r="I131" i="4"/>
  <c r="J131" i="4"/>
  <c r="K131" i="4"/>
  <c r="L131" i="4"/>
  <c r="M131" i="4"/>
  <c r="N131" i="4"/>
  <c r="I132" i="4"/>
  <c r="J132" i="4"/>
  <c r="K132" i="4"/>
  <c r="L132" i="4"/>
  <c r="M132" i="4"/>
  <c r="N132" i="4"/>
  <c r="I133" i="4"/>
  <c r="J133" i="4"/>
  <c r="K133" i="4"/>
  <c r="L133" i="4"/>
  <c r="M133" i="4"/>
  <c r="N133" i="4"/>
  <c r="I134" i="4"/>
  <c r="J134" i="4"/>
  <c r="K134" i="4"/>
  <c r="L134" i="4"/>
  <c r="M134" i="4"/>
  <c r="N134" i="4"/>
  <c r="I135" i="4"/>
  <c r="J135" i="4"/>
  <c r="K135" i="4"/>
  <c r="L135" i="4"/>
  <c r="M135" i="4"/>
  <c r="N135" i="4"/>
  <c r="I136" i="4"/>
  <c r="J136" i="4"/>
  <c r="K136" i="4"/>
  <c r="L136" i="4"/>
  <c r="M136" i="4"/>
  <c r="N136" i="4"/>
  <c r="I137" i="4"/>
  <c r="J137" i="4"/>
  <c r="K137" i="4"/>
  <c r="L137" i="4"/>
  <c r="M137" i="4"/>
  <c r="N137" i="4"/>
  <c r="I138" i="4"/>
  <c r="J138" i="4"/>
  <c r="K138" i="4"/>
  <c r="L138" i="4"/>
  <c r="M138" i="4"/>
  <c r="N138" i="4"/>
  <c r="I139" i="4"/>
  <c r="J139" i="4"/>
  <c r="K139" i="4"/>
  <c r="L139" i="4"/>
  <c r="M139" i="4"/>
  <c r="N139" i="4"/>
  <c r="I140" i="4"/>
  <c r="J140" i="4"/>
  <c r="K140" i="4"/>
  <c r="L140" i="4"/>
  <c r="M140" i="4"/>
  <c r="N140" i="4"/>
  <c r="I141" i="4"/>
  <c r="J141" i="4"/>
  <c r="K141" i="4"/>
  <c r="L141" i="4"/>
  <c r="M141" i="4"/>
  <c r="N141" i="4"/>
  <c r="I142" i="4"/>
  <c r="J142" i="4"/>
  <c r="K142" i="4"/>
  <c r="L142" i="4"/>
  <c r="M142" i="4"/>
  <c r="N142" i="4"/>
  <c r="I143" i="4"/>
  <c r="J143" i="4"/>
  <c r="K143" i="4"/>
  <c r="L143" i="4"/>
  <c r="M143" i="4"/>
  <c r="N143" i="4"/>
  <c r="I144" i="4"/>
  <c r="J144" i="4"/>
  <c r="K144" i="4"/>
  <c r="L144" i="4"/>
  <c r="M144" i="4"/>
  <c r="N144" i="4"/>
  <c r="I145" i="4"/>
  <c r="J145" i="4"/>
  <c r="K145" i="4"/>
  <c r="L145" i="4"/>
  <c r="M145" i="4"/>
  <c r="N145" i="4"/>
  <c r="I146" i="4"/>
  <c r="J146" i="4"/>
  <c r="K146" i="4"/>
  <c r="L146" i="4"/>
  <c r="M146" i="4"/>
  <c r="N146" i="4"/>
  <c r="I147" i="4"/>
  <c r="J147" i="4"/>
  <c r="K147" i="4"/>
  <c r="L147" i="4"/>
  <c r="M147" i="4"/>
  <c r="N147" i="4"/>
  <c r="I148" i="4"/>
  <c r="J148" i="4"/>
  <c r="K148" i="4"/>
  <c r="L148" i="4"/>
  <c r="M148" i="4"/>
  <c r="N148" i="4"/>
  <c r="I149" i="4"/>
  <c r="J149" i="4"/>
  <c r="K149" i="4"/>
  <c r="L149" i="4"/>
  <c r="M149" i="4"/>
  <c r="N149" i="4"/>
  <c r="I150" i="4"/>
  <c r="J150" i="4"/>
  <c r="K150" i="4"/>
  <c r="L150" i="4"/>
  <c r="M150" i="4"/>
  <c r="N150" i="4"/>
  <c r="I151" i="4"/>
  <c r="J151" i="4"/>
  <c r="K151" i="4"/>
  <c r="L151" i="4"/>
  <c r="M151" i="4"/>
  <c r="N151" i="4"/>
  <c r="I152" i="4"/>
  <c r="J152" i="4"/>
  <c r="K152" i="4"/>
  <c r="L152" i="4"/>
  <c r="M152" i="4"/>
  <c r="N152" i="4"/>
  <c r="I153" i="4"/>
  <c r="J153" i="4"/>
  <c r="K153" i="4"/>
  <c r="L153" i="4"/>
  <c r="M153" i="4"/>
  <c r="N153" i="4"/>
  <c r="I154" i="4"/>
  <c r="J154" i="4"/>
  <c r="K154" i="4"/>
  <c r="L154" i="4"/>
  <c r="M154" i="4"/>
  <c r="N154" i="4"/>
  <c r="I155" i="4"/>
  <c r="J155" i="4"/>
  <c r="K155" i="4"/>
  <c r="L155" i="4"/>
  <c r="M155" i="4"/>
  <c r="N155" i="4"/>
  <c r="I156" i="4"/>
  <c r="J156" i="4"/>
  <c r="K156" i="4"/>
  <c r="L156" i="4"/>
  <c r="M156" i="4"/>
  <c r="N156" i="4"/>
  <c r="I157" i="4"/>
  <c r="J157" i="4"/>
  <c r="K157" i="4"/>
  <c r="L157" i="4"/>
  <c r="M157" i="4"/>
  <c r="N157" i="4"/>
  <c r="I158" i="4"/>
  <c r="J158" i="4"/>
  <c r="K158" i="4"/>
  <c r="L158" i="4"/>
  <c r="M158" i="4"/>
  <c r="N158" i="4"/>
  <c r="I159" i="4"/>
  <c r="J159" i="4"/>
  <c r="K159" i="4"/>
  <c r="L159" i="4"/>
  <c r="M159" i="4"/>
  <c r="N159" i="4"/>
  <c r="I160" i="4"/>
  <c r="J160" i="4"/>
  <c r="K160" i="4"/>
  <c r="L160" i="4"/>
  <c r="M160" i="4"/>
  <c r="N160" i="4"/>
  <c r="I161" i="4"/>
  <c r="J161" i="4"/>
  <c r="K161" i="4"/>
  <c r="L161" i="4"/>
  <c r="M161" i="4"/>
  <c r="N161" i="4"/>
  <c r="I162" i="4"/>
  <c r="J162" i="4"/>
  <c r="K162" i="4"/>
  <c r="L162" i="4"/>
  <c r="M162" i="4"/>
  <c r="N162" i="4"/>
  <c r="I163" i="4"/>
  <c r="J163" i="4"/>
  <c r="K163" i="4"/>
  <c r="L163" i="4"/>
  <c r="M163" i="4"/>
  <c r="N163" i="4"/>
  <c r="I164" i="4"/>
  <c r="J164" i="4"/>
  <c r="K164" i="4"/>
  <c r="L164" i="4"/>
  <c r="M164" i="4"/>
  <c r="N164" i="4"/>
  <c r="I165" i="4"/>
  <c r="J165" i="4"/>
  <c r="K165" i="4"/>
  <c r="L165" i="4"/>
  <c r="M165" i="4"/>
  <c r="N165" i="4"/>
  <c r="I166" i="4"/>
  <c r="J166" i="4"/>
  <c r="K166" i="4"/>
  <c r="L166" i="4"/>
  <c r="M166" i="4"/>
  <c r="N166" i="4"/>
  <c r="I167" i="4"/>
  <c r="J167" i="4"/>
  <c r="K167" i="4"/>
  <c r="L167" i="4"/>
  <c r="M167" i="4"/>
  <c r="N167" i="4"/>
  <c r="I168" i="4"/>
  <c r="J168" i="4"/>
  <c r="K168" i="4"/>
  <c r="L168" i="4"/>
  <c r="M168" i="4"/>
  <c r="N168" i="4"/>
  <c r="I169" i="4"/>
  <c r="J169" i="4"/>
  <c r="K169" i="4"/>
  <c r="L169" i="4"/>
  <c r="M169" i="4"/>
  <c r="N169" i="4"/>
  <c r="I170" i="4"/>
  <c r="J170" i="4"/>
  <c r="K170" i="4"/>
  <c r="L170" i="4"/>
  <c r="M170" i="4"/>
  <c r="N170" i="4"/>
  <c r="I171" i="4"/>
  <c r="J171" i="4"/>
  <c r="K171" i="4"/>
  <c r="L171" i="4"/>
  <c r="M171" i="4"/>
  <c r="N171" i="4"/>
  <c r="I172" i="4"/>
  <c r="J172" i="4"/>
  <c r="K172" i="4"/>
  <c r="L172" i="4"/>
  <c r="M172" i="4"/>
  <c r="N172" i="4"/>
  <c r="I173" i="4"/>
  <c r="J173" i="4"/>
  <c r="K173" i="4"/>
  <c r="L173" i="4"/>
  <c r="M173" i="4"/>
  <c r="N173" i="4"/>
  <c r="I174" i="4"/>
  <c r="J174" i="4"/>
  <c r="K174" i="4"/>
  <c r="L174" i="4"/>
  <c r="M174" i="4"/>
  <c r="N174" i="4"/>
  <c r="I175" i="4"/>
  <c r="J175" i="4"/>
  <c r="K175" i="4"/>
  <c r="L175" i="4"/>
  <c r="M175" i="4"/>
  <c r="N175" i="4"/>
  <c r="I176" i="4"/>
  <c r="J176" i="4"/>
  <c r="K176" i="4"/>
  <c r="L176" i="4"/>
  <c r="M176" i="4"/>
  <c r="N176" i="4"/>
  <c r="I177" i="4"/>
  <c r="J177" i="4"/>
  <c r="K177" i="4"/>
  <c r="L177" i="4"/>
  <c r="M177" i="4"/>
  <c r="N177" i="4"/>
  <c r="I178" i="4"/>
  <c r="J178" i="4"/>
  <c r="K178" i="4"/>
  <c r="L178" i="4"/>
  <c r="M178" i="4"/>
  <c r="N178" i="4"/>
  <c r="I179" i="4"/>
  <c r="J179" i="4"/>
  <c r="K179" i="4"/>
  <c r="L179" i="4"/>
  <c r="M179" i="4"/>
  <c r="N179" i="4"/>
  <c r="I180" i="4"/>
  <c r="J180" i="4"/>
  <c r="K180" i="4"/>
  <c r="L180" i="4"/>
  <c r="M180" i="4"/>
  <c r="N180" i="4"/>
  <c r="I181" i="4"/>
  <c r="J181" i="4"/>
  <c r="K181" i="4"/>
  <c r="L181" i="4"/>
  <c r="M181" i="4"/>
  <c r="N181" i="4"/>
  <c r="I182" i="4"/>
  <c r="J182" i="4"/>
  <c r="K182" i="4"/>
  <c r="L182" i="4"/>
  <c r="M182" i="4"/>
  <c r="N182" i="4"/>
  <c r="I183" i="4"/>
  <c r="J183" i="4"/>
  <c r="K183" i="4"/>
  <c r="L183" i="4"/>
  <c r="M183" i="4"/>
  <c r="N183" i="4"/>
  <c r="I184" i="4"/>
  <c r="J184" i="4"/>
  <c r="K184" i="4"/>
  <c r="L184" i="4"/>
  <c r="M184" i="4"/>
  <c r="N184" i="4"/>
  <c r="I185" i="4"/>
  <c r="J185" i="4"/>
  <c r="K185" i="4"/>
  <c r="L185" i="4"/>
  <c r="M185" i="4"/>
  <c r="N185" i="4"/>
  <c r="I186" i="4"/>
  <c r="J186" i="4"/>
  <c r="K186" i="4"/>
  <c r="L186" i="4"/>
  <c r="M186" i="4"/>
  <c r="N186" i="4"/>
  <c r="I187" i="4"/>
  <c r="J187" i="4"/>
  <c r="K187" i="4"/>
  <c r="L187" i="4"/>
  <c r="M187" i="4"/>
  <c r="N187" i="4"/>
  <c r="I188" i="4"/>
  <c r="J188" i="4"/>
  <c r="K188" i="4"/>
  <c r="L188" i="4"/>
  <c r="M188" i="4"/>
  <c r="N188" i="4"/>
  <c r="I189" i="4"/>
  <c r="J189" i="4"/>
  <c r="K189" i="4"/>
  <c r="L189" i="4"/>
  <c r="M189" i="4"/>
  <c r="N189" i="4"/>
  <c r="I190" i="4"/>
  <c r="J190" i="4"/>
  <c r="K190" i="4"/>
  <c r="L190" i="4"/>
  <c r="M190" i="4"/>
  <c r="N190" i="4"/>
  <c r="I191" i="4"/>
  <c r="J191" i="4"/>
  <c r="K191" i="4"/>
  <c r="L191" i="4"/>
  <c r="M191" i="4"/>
  <c r="N191" i="4"/>
  <c r="I192" i="4"/>
  <c r="J192" i="4"/>
  <c r="K192" i="4"/>
  <c r="L192" i="4"/>
  <c r="M192" i="4"/>
  <c r="N192" i="4"/>
  <c r="I193" i="4"/>
  <c r="J193" i="4"/>
  <c r="K193" i="4"/>
  <c r="L193" i="4"/>
  <c r="M193" i="4"/>
  <c r="N193" i="4"/>
  <c r="I194" i="4"/>
  <c r="J194" i="4"/>
  <c r="K194" i="4"/>
  <c r="L194" i="4"/>
  <c r="M194" i="4"/>
  <c r="N194" i="4"/>
  <c r="I195" i="4"/>
  <c r="J195" i="4"/>
  <c r="K195" i="4"/>
  <c r="L195" i="4"/>
  <c r="M195" i="4"/>
  <c r="N195" i="4"/>
  <c r="I196" i="4"/>
  <c r="J196" i="4"/>
  <c r="K196" i="4"/>
  <c r="L196" i="4"/>
  <c r="M196" i="4"/>
  <c r="N196" i="4"/>
  <c r="I197" i="4"/>
  <c r="J197" i="4"/>
  <c r="K197" i="4"/>
  <c r="L197" i="4"/>
  <c r="M197" i="4"/>
  <c r="N197" i="4"/>
  <c r="I198" i="4"/>
  <c r="J198" i="4"/>
  <c r="K198" i="4"/>
  <c r="L198" i="4"/>
  <c r="M198" i="4"/>
  <c r="N198" i="4"/>
  <c r="I199" i="4"/>
  <c r="J199" i="4"/>
  <c r="K199" i="4"/>
  <c r="L199" i="4"/>
  <c r="M199" i="4"/>
  <c r="N199" i="4"/>
  <c r="I200" i="4"/>
  <c r="J200" i="4"/>
  <c r="K200" i="4"/>
  <c r="L200" i="4"/>
  <c r="M200" i="4"/>
  <c r="N200" i="4"/>
  <c r="I201" i="4"/>
  <c r="J201" i="4"/>
  <c r="K201" i="4"/>
  <c r="L201" i="4"/>
  <c r="M201" i="4"/>
  <c r="N201" i="4"/>
  <c r="I202" i="4"/>
  <c r="J202" i="4"/>
  <c r="K202" i="4"/>
  <c r="L202" i="4"/>
  <c r="M202" i="4"/>
  <c r="N202" i="4"/>
  <c r="I203" i="4"/>
  <c r="J203" i="4"/>
  <c r="K203" i="4"/>
  <c r="L203" i="4"/>
  <c r="M203" i="4"/>
  <c r="N203" i="4"/>
  <c r="I204" i="4"/>
  <c r="J204" i="4"/>
  <c r="K204" i="4"/>
  <c r="L204" i="4"/>
  <c r="M204" i="4"/>
  <c r="N204" i="4"/>
  <c r="I205" i="4"/>
  <c r="J205" i="4"/>
  <c r="K205" i="4"/>
  <c r="L205" i="4"/>
  <c r="M205" i="4"/>
  <c r="N205" i="4"/>
  <c r="I206" i="4"/>
  <c r="J206" i="4"/>
  <c r="K206" i="4"/>
  <c r="L206" i="4"/>
  <c r="M206" i="4"/>
  <c r="N206" i="4"/>
  <c r="I207" i="4"/>
  <c r="J207" i="4"/>
  <c r="K207" i="4"/>
  <c r="L207" i="4"/>
  <c r="M207" i="4"/>
  <c r="N207" i="4"/>
  <c r="I208" i="4"/>
  <c r="J208" i="4"/>
  <c r="K208" i="4"/>
  <c r="L208" i="4"/>
  <c r="M208" i="4"/>
  <c r="N208" i="4"/>
  <c r="I209" i="4"/>
  <c r="J209" i="4"/>
  <c r="K209" i="4"/>
  <c r="L209" i="4"/>
  <c r="M209" i="4"/>
  <c r="N209" i="4"/>
  <c r="I210" i="4"/>
  <c r="J210" i="4"/>
  <c r="K210" i="4"/>
  <c r="L210" i="4"/>
  <c r="M210" i="4"/>
  <c r="N210" i="4"/>
  <c r="I211" i="4"/>
  <c r="J211" i="4"/>
  <c r="K211" i="4"/>
  <c r="L211" i="4"/>
  <c r="M211" i="4"/>
  <c r="N211" i="4"/>
  <c r="I212" i="4"/>
  <c r="J212" i="4"/>
  <c r="K212" i="4"/>
  <c r="L212" i="4"/>
  <c r="M212" i="4"/>
  <c r="N212" i="4"/>
  <c r="I213" i="4"/>
  <c r="J213" i="4"/>
  <c r="K213" i="4"/>
  <c r="L213" i="4"/>
  <c r="M213" i="4"/>
  <c r="N213" i="4"/>
  <c r="I214" i="4"/>
  <c r="J214" i="4"/>
  <c r="K214" i="4"/>
  <c r="L214" i="4"/>
  <c r="M214" i="4"/>
  <c r="N214" i="4"/>
  <c r="I215" i="4"/>
  <c r="J215" i="4"/>
  <c r="K215" i="4"/>
  <c r="L215" i="4"/>
  <c r="M215" i="4"/>
  <c r="N215" i="4"/>
  <c r="I216" i="4"/>
  <c r="J216" i="4"/>
  <c r="K216" i="4"/>
  <c r="L216" i="4"/>
  <c r="M216" i="4"/>
  <c r="N216" i="4"/>
  <c r="I217" i="4"/>
  <c r="J217" i="4"/>
  <c r="K217" i="4"/>
  <c r="L217" i="4"/>
  <c r="M217" i="4"/>
  <c r="N217" i="4"/>
  <c r="I218" i="4"/>
  <c r="J218" i="4"/>
  <c r="K218" i="4"/>
  <c r="L218" i="4"/>
  <c r="M218" i="4"/>
  <c r="N218" i="4"/>
  <c r="I219" i="4"/>
  <c r="J219" i="4"/>
  <c r="K219" i="4"/>
  <c r="L219" i="4"/>
  <c r="M219" i="4"/>
  <c r="N219" i="4"/>
  <c r="I220" i="4"/>
  <c r="J220" i="4"/>
  <c r="K220" i="4"/>
  <c r="L220" i="4"/>
  <c r="M220" i="4"/>
  <c r="N220" i="4"/>
  <c r="I221" i="4"/>
  <c r="J221" i="4"/>
  <c r="K221" i="4"/>
  <c r="L221" i="4"/>
  <c r="M221" i="4"/>
  <c r="N221" i="4"/>
  <c r="I222" i="4"/>
  <c r="J222" i="4"/>
  <c r="K222" i="4"/>
  <c r="L222" i="4"/>
  <c r="M222" i="4"/>
  <c r="N222" i="4"/>
  <c r="I223" i="4"/>
  <c r="J223" i="4"/>
  <c r="K223" i="4"/>
  <c r="L223" i="4"/>
  <c r="M223" i="4"/>
  <c r="N223" i="4"/>
  <c r="I224" i="4"/>
  <c r="J224" i="4"/>
  <c r="K224" i="4"/>
  <c r="L224" i="4"/>
  <c r="M224" i="4"/>
  <c r="N224" i="4"/>
  <c r="I225" i="4"/>
  <c r="J225" i="4"/>
  <c r="K225" i="4"/>
  <c r="L225" i="4"/>
  <c r="M225" i="4"/>
  <c r="N225" i="4"/>
  <c r="I226" i="4"/>
  <c r="J226" i="4"/>
  <c r="K226" i="4"/>
  <c r="L226" i="4"/>
  <c r="M226" i="4"/>
  <c r="N226" i="4"/>
  <c r="I227" i="4"/>
  <c r="J227" i="4"/>
  <c r="K227" i="4"/>
  <c r="L227" i="4"/>
  <c r="M227" i="4"/>
  <c r="N227" i="4"/>
  <c r="I228" i="4"/>
  <c r="J228" i="4"/>
  <c r="K228" i="4"/>
  <c r="L228" i="4"/>
  <c r="M228" i="4"/>
  <c r="N228" i="4"/>
  <c r="I229" i="4"/>
  <c r="J229" i="4"/>
  <c r="K229" i="4"/>
  <c r="L229" i="4"/>
  <c r="M229" i="4"/>
  <c r="N229" i="4"/>
  <c r="I230" i="4"/>
  <c r="J230" i="4"/>
  <c r="K230" i="4"/>
  <c r="L230" i="4"/>
  <c r="M230" i="4"/>
  <c r="N230" i="4"/>
  <c r="I231" i="4"/>
  <c r="J231" i="4"/>
  <c r="K231" i="4"/>
  <c r="L231" i="4"/>
  <c r="M231" i="4"/>
  <c r="N231" i="4"/>
  <c r="I232" i="4"/>
  <c r="J232" i="4"/>
  <c r="K232" i="4"/>
  <c r="L232" i="4"/>
  <c r="M232" i="4"/>
  <c r="N232" i="4"/>
  <c r="I233" i="4"/>
  <c r="J233" i="4"/>
  <c r="K233" i="4"/>
  <c r="L233" i="4"/>
  <c r="M233" i="4"/>
  <c r="N233" i="4"/>
  <c r="I234" i="4"/>
  <c r="J234" i="4"/>
  <c r="K234" i="4"/>
  <c r="L234" i="4"/>
  <c r="M234" i="4"/>
  <c r="N234" i="4"/>
  <c r="I235" i="4"/>
  <c r="J235" i="4"/>
  <c r="K235" i="4"/>
  <c r="L235" i="4"/>
  <c r="M235" i="4"/>
  <c r="N235" i="4"/>
  <c r="I236" i="4"/>
  <c r="J236" i="4"/>
  <c r="K236" i="4"/>
  <c r="L236" i="4"/>
  <c r="M236" i="4"/>
  <c r="N236" i="4"/>
  <c r="I237" i="4"/>
  <c r="J237" i="4"/>
  <c r="K237" i="4"/>
  <c r="L237" i="4"/>
  <c r="M237" i="4"/>
  <c r="N237" i="4"/>
  <c r="I238" i="4"/>
  <c r="J238" i="4"/>
  <c r="K238" i="4"/>
  <c r="L238" i="4"/>
  <c r="M238" i="4"/>
  <c r="N238" i="4"/>
  <c r="I239" i="4"/>
  <c r="J239" i="4"/>
  <c r="K239" i="4"/>
  <c r="L239" i="4"/>
  <c r="M239" i="4"/>
  <c r="N239" i="4"/>
  <c r="I240" i="4"/>
  <c r="J240" i="4"/>
  <c r="K240" i="4"/>
  <c r="L240" i="4"/>
  <c r="M240" i="4"/>
  <c r="N240" i="4"/>
  <c r="I241" i="4"/>
  <c r="J241" i="4"/>
  <c r="K241" i="4"/>
  <c r="L241" i="4"/>
  <c r="M241" i="4"/>
  <c r="N241" i="4"/>
  <c r="I242" i="4"/>
  <c r="J242" i="4"/>
  <c r="K242" i="4"/>
  <c r="L242" i="4"/>
  <c r="M242" i="4"/>
  <c r="N242" i="4"/>
  <c r="I243" i="4"/>
  <c r="J243" i="4"/>
  <c r="K243" i="4"/>
  <c r="L243" i="4"/>
  <c r="M243" i="4"/>
  <c r="N243" i="4"/>
  <c r="I244" i="4"/>
  <c r="J244" i="4"/>
  <c r="K244" i="4"/>
  <c r="L244" i="4"/>
  <c r="M244" i="4"/>
  <c r="N244" i="4"/>
  <c r="I245" i="4"/>
  <c r="J245" i="4"/>
  <c r="K245" i="4"/>
  <c r="L245" i="4"/>
  <c r="M245" i="4"/>
  <c r="N245" i="4"/>
  <c r="I246" i="4"/>
  <c r="J246" i="4"/>
  <c r="K246" i="4"/>
  <c r="L246" i="4"/>
  <c r="M246" i="4"/>
  <c r="N246" i="4"/>
  <c r="I247" i="4"/>
  <c r="J247" i="4"/>
  <c r="K247" i="4"/>
  <c r="L247" i="4"/>
  <c r="M247" i="4"/>
  <c r="N247" i="4"/>
  <c r="I248" i="4"/>
  <c r="J248" i="4"/>
  <c r="K248" i="4"/>
  <c r="L248" i="4"/>
  <c r="M248" i="4"/>
  <c r="N248" i="4"/>
  <c r="I249" i="4"/>
  <c r="J249" i="4"/>
  <c r="K249" i="4"/>
  <c r="L249" i="4"/>
  <c r="M249" i="4"/>
  <c r="N249" i="4"/>
  <c r="I250" i="4"/>
  <c r="J250" i="4"/>
  <c r="K250" i="4"/>
  <c r="L250" i="4"/>
  <c r="M250" i="4"/>
  <c r="N250" i="4"/>
  <c r="I251" i="4"/>
  <c r="J251" i="4"/>
  <c r="K251" i="4"/>
  <c r="L251" i="4"/>
  <c r="M251" i="4"/>
  <c r="N251" i="4"/>
  <c r="I252" i="4"/>
  <c r="J252" i="4"/>
  <c r="K252" i="4"/>
  <c r="L252" i="4"/>
  <c r="M252" i="4"/>
  <c r="N252" i="4"/>
  <c r="I253" i="4"/>
  <c r="J253" i="4"/>
  <c r="K253" i="4"/>
  <c r="L253" i="4"/>
  <c r="M253" i="4"/>
  <c r="N253" i="4"/>
  <c r="I254" i="4"/>
  <c r="J254" i="4"/>
  <c r="K254" i="4"/>
  <c r="L254" i="4"/>
  <c r="M254" i="4"/>
  <c r="N254" i="4"/>
  <c r="I255" i="4"/>
  <c r="J255" i="4"/>
  <c r="K255" i="4"/>
  <c r="L255" i="4"/>
  <c r="M255" i="4"/>
  <c r="N255" i="4"/>
  <c r="I256" i="4"/>
  <c r="J256" i="4"/>
  <c r="K256" i="4"/>
  <c r="L256" i="4"/>
  <c r="M256" i="4"/>
  <c r="N256" i="4"/>
  <c r="I257" i="4"/>
  <c r="J257" i="4"/>
  <c r="K257" i="4"/>
  <c r="L257" i="4"/>
  <c r="M257" i="4"/>
  <c r="N257" i="4"/>
  <c r="I258" i="4"/>
  <c r="J258" i="4"/>
  <c r="K258" i="4"/>
  <c r="L258" i="4"/>
  <c r="M258" i="4"/>
  <c r="N258" i="4"/>
  <c r="I259" i="4"/>
  <c r="J259" i="4"/>
  <c r="K259" i="4"/>
  <c r="L259" i="4"/>
  <c r="M259" i="4"/>
  <c r="N259" i="4"/>
  <c r="I260" i="4"/>
  <c r="J260" i="4"/>
  <c r="K260" i="4"/>
  <c r="L260" i="4"/>
  <c r="M260" i="4"/>
  <c r="N260" i="4"/>
  <c r="I261" i="4"/>
  <c r="J261" i="4"/>
  <c r="K261" i="4"/>
  <c r="L261" i="4"/>
  <c r="M261" i="4"/>
  <c r="N261" i="4"/>
  <c r="I262" i="4"/>
  <c r="J262" i="4"/>
  <c r="K262" i="4"/>
  <c r="L262" i="4"/>
  <c r="M262" i="4"/>
  <c r="N262" i="4"/>
  <c r="I263" i="4"/>
  <c r="J263" i="4"/>
  <c r="K263" i="4"/>
  <c r="L263" i="4"/>
  <c r="M263" i="4"/>
  <c r="N263" i="4"/>
  <c r="I264" i="4"/>
  <c r="J264" i="4"/>
  <c r="K264" i="4"/>
  <c r="L264" i="4"/>
  <c r="M264" i="4"/>
  <c r="N264" i="4"/>
  <c r="I265" i="4"/>
  <c r="J265" i="4"/>
  <c r="K265" i="4"/>
  <c r="L265" i="4"/>
  <c r="M265" i="4"/>
  <c r="N265" i="4"/>
  <c r="J14" i="4"/>
  <c r="K14" i="4"/>
  <c r="L14" i="4"/>
  <c r="M14" i="4"/>
  <c r="N14" i="4"/>
  <c r="I14" i="4"/>
  <c r="I14" i="3"/>
  <c r="J14" i="3"/>
  <c r="K14" i="3"/>
  <c r="L14" i="3"/>
  <c r="M14" i="3"/>
  <c r="N14" i="3"/>
  <c r="I15" i="3"/>
  <c r="J15" i="3"/>
  <c r="K15" i="3"/>
  <c r="L15" i="3"/>
  <c r="M15" i="3"/>
  <c r="N15" i="3"/>
  <c r="I16" i="3"/>
  <c r="J16" i="3"/>
  <c r="K16" i="3"/>
  <c r="L16" i="3"/>
  <c r="M16" i="3"/>
  <c r="N16" i="3"/>
  <c r="I17" i="3"/>
  <c r="J17" i="3"/>
  <c r="K17" i="3"/>
  <c r="L17" i="3"/>
  <c r="M17" i="3"/>
  <c r="N17" i="3"/>
  <c r="I18" i="3"/>
  <c r="J18" i="3"/>
  <c r="K18" i="3"/>
  <c r="L18" i="3"/>
  <c r="M18" i="3"/>
  <c r="N18" i="3"/>
  <c r="I19" i="3"/>
  <c r="J19" i="3"/>
  <c r="K19" i="3"/>
  <c r="L19" i="3"/>
  <c r="M19" i="3"/>
  <c r="N19" i="3"/>
  <c r="I20" i="3"/>
  <c r="J20" i="3"/>
  <c r="K20" i="3"/>
  <c r="L20" i="3"/>
  <c r="M20" i="3"/>
  <c r="N20" i="3"/>
  <c r="I21" i="3"/>
  <c r="J21" i="3"/>
  <c r="K21" i="3"/>
  <c r="L21" i="3"/>
  <c r="M21" i="3"/>
  <c r="N21" i="3"/>
  <c r="I22" i="3"/>
  <c r="J22" i="3"/>
  <c r="K22" i="3"/>
  <c r="L22" i="3"/>
  <c r="M22" i="3"/>
  <c r="N22" i="3"/>
  <c r="I23" i="3"/>
  <c r="J23" i="3"/>
  <c r="K23" i="3"/>
  <c r="L23" i="3"/>
  <c r="M23" i="3"/>
  <c r="N23" i="3"/>
  <c r="I24" i="3"/>
  <c r="J24" i="3"/>
  <c r="K24" i="3"/>
  <c r="L24" i="3"/>
  <c r="M24" i="3"/>
  <c r="N24" i="3"/>
  <c r="I25" i="3"/>
  <c r="J25" i="3"/>
  <c r="K25" i="3"/>
  <c r="L25" i="3"/>
  <c r="M25" i="3"/>
  <c r="N25" i="3"/>
  <c r="I26" i="3"/>
  <c r="J26" i="3"/>
  <c r="K26" i="3"/>
  <c r="L26" i="3"/>
  <c r="M26" i="3"/>
  <c r="N26" i="3"/>
  <c r="I27" i="3"/>
  <c r="J27" i="3"/>
  <c r="K27" i="3"/>
  <c r="L27" i="3"/>
  <c r="M27" i="3"/>
  <c r="N27" i="3"/>
  <c r="I28" i="3"/>
  <c r="J28" i="3"/>
  <c r="K28" i="3"/>
  <c r="L28" i="3"/>
  <c r="M28" i="3"/>
  <c r="N28" i="3"/>
  <c r="I29" i="3"/>
  <c r="J29" i="3"/>
  <c r="K29" i="3"/>
  <c r="L29" i="3"/>
  <c r="M29" i="3"/>
  <c r="N29" i="3"/>
  <c r="I30" i="3"/>
  <c r="J30" i="3"/>
  <c r="K30" i="3"/>
  <c r="L30" i="3"/>
  <c r="M30" i="3"/>
  <c r="N30" i="3"/>
  <c r="I31" i="3"/>
  <c r="J31" i="3"/>
  <c r="K31" i="3"/>
  <c r="L31" i="3"/>
  <c r="M31" i="3"/>
  <c r="N31" i="3"/>
  <c r="I32" i="3"/>
  <c r="J32" i="3"/>
  <c r="K32" i="3"/>
  <c r="L32" i="3"/>
  <c r="M32" i="3"/>
  <c r="N32" i="3"/>
  <c r="I33" i="3"/>
  <c r="J33" i="3"/>
  <c r="K33" i="3"/>
  <c r="L33" i="3"/>
  <c r="M33" i="3"/>
  <c r="N33" i="3"/>
  <c r="I34" i="3"/>
  <c r="J34" i="3"/>
  <c r="K34" i="3"/>
  <c r="L34" i="3"/>
  <c r="M34" i="3"/>
  <c r="N34" i="3"/>
  <c r="I35" i="3"/>
  <c r="J35" i="3"/>
  <c r="K35" i="3"/>
  <c r="L35" i="3"/>
  <c r="M35" i="3"/>
  <c r="N35" i="3"/>
  <c r="I36" i="3"/>
  <c r="J36" i="3"/>
  <c r="K36" i="3"/>
  <c r="L36" i="3"/>
  <c r="M36" i="3"/>
  <c r="N36" i="3"/>
  <c r="I37" i="3"/>
  <c r="J37" i="3"/>
  <c r="K37" i="3"/>
  <c r="L37" i="3"/>
  <c r="M37" i="3"/>
  <c r="N37" i="3"/>
  <c r="I38" i="3"/>
  <c r="J38" i="3"/>
  <c r="K38" i="3"/>
  <c r="L38" i="3"/>
  <c r="M38" i="3"/>
  <c r="N38" i="3"/>
  <c r="I39" i="3"/>
  <c r="J39" i="3"/>
  <c r="K39" i="3"/>
  <c r="L39" i="3"/>
  <c r="M39" i="3"/>
  <c r="N39" i="3"/>
  <c r="I40" i="3"/>
  <c r="J40" i="3"/>
  <c r="K40" i="3"/>
  <c r="L40" i="3"/>
  <c r="M40" i="3"/>
  <c r="N40" i="3"/>
  <c r="I41" i="3"/>
  <c r="J41" i="3"/>
  <c r="K41" i="3"/>
  <c r="L41" i="3"/>
  <c r="M41" i="3"/>
  <c r="N41" i="3"/>
  <c r="I42" i="3"/>
  <c r="J42" i="3"/>
  <c r="K42" i="3"/>
  <c r="L42" i="3"/>
  <c r="M42" i="3"/>
  <c r="N42" i="3"/>
  <c r="I43" i="3"/>
  <c r="J43" i="3"/>
  <c r="K43" i="3"/>
  <c r="L43" i="3"/>
  <c r="M43" i="3"/>
  <c r="N43" i="3"/>
  <c r="I44" i="3"/>
  <c r="J44" i="3"/>
  <c r="K44" i="3"/>
  <c r="L44" i="3"/>
  <c r="M44" i="3"/>
  <c r="N44" i="3"/>
  <c r="I45" i="3"/>
  <c r="J45" i="3"/>
  <c r="K45" i="3"/>
  <c r="L45" i="3"/>
  <c r="M45" i="3"/>
  <c r="N45" i="3"/>
  <c r="I46" i="3"/>
  <c r="J46" i="3"/>
  <c r="K46" i="3"/>
  <c r="L46" i="3"/>
  <c r="M46" i="3"/>
  <c r="N46" i="3"/>
  <c r="I47" i="3"/>
  <c r="J47" i="3"/>
  <c r="K47" i="3"/>
  <c r="L47" i="3"/>
  <c r="M47" i="3"/>
  <c r="N47" i="3"/>
  <c r="I48" i="3"/>
  <c r="J48" i="3"/>
  <c r="K48" i="3"/>
  <c r="L48" i="3"/>
  <c r="M48" i="3"/>
  <c r="N48" i="3"/>
  <c r="I49" i="3"/>
  <c r="J49" i="3"/>
  <c r="K49" i="3"/>
  <c r="L49" i="3"/>
  <c r="M49" i="3"/>
  <c r="N49" i="3"/>
  <c r="I15" i="2"/>
  <c r="J15" i="2"/>
  <c r="K15" i="2"/>
  <c r="L15" i="2"/>
  <c r="M15" i="2"/>
  <c r="N15" i="2"/>
  <c r="I16" i="2"/>
  <c r="J16" i="2"/>
  <c r="K16" i="2"/>
  <c r="L16" i="2"/>
  <c r="M16" i="2"/>
  <c r="N16" i="2"/>
  <c r="I17" i="2"/>
  <c r="J17" i="2"/>
  <c r="K17" i="2"/>
  <c r="L17" i="2"/>
  <c r="M17" i="2"/>
  <c r="N17" i="2"/>
  <c r="I18" i="2"/>
  <c r="J18" i="2"/>
  <c r="K18" i="2"/>
  <c r="L18" i="2"/>
  <c r="M18" i="2"/>
  <c r="N18" i="2"/>
  <c r="I19" i="2"/>
  <c r="J19" i="2"/>
  <c r="K19" i="2"/>
  <c r="L19" i="2"/>
  <c r="M19" i="2"/>
  <c r="N19" i="2"/>
  <c r="I20" i="2"/>
  <c r="J20" i="2"/>
  <c r="K20" i="2"/>
  <c r="L20" i="2"/>
  <c r="M20" i="2"/>
  <c r="N20" i="2"/>
  <c r="I21" i="2"/>
  <c r="J21" i="2"/>
  <c r="K21" i="2"/>
  <c r="L21" i="2"/>
  <c r="M21" i="2"/>
  <c r="N21" i="2"/>
  <c r="I22" i="2"/>
  <c r="J22" i="2"/>
  <c r="K22" i="2"/>
  <c r="L22" i="2"/>
  <c r="M22" i="2"/>
  <c r="N22" i="2"/>
  <c r="I23" i="2"/>
  <c r="J23" i="2"/>
  <c r="K23" i="2"/>
  <c r="L23" i="2"/>
  <c r="M23" i="2"/>
  <c r="N23" i="2"/>
  <c r="I24" i="2"/>
  <c r="J24" i="2"/>
  <c r="K24" i="2"/>
  <c r="L24" i="2"/>
  <c r="M24" i="2"/>
  <c r="N24" i="2"/>
  <c r="I25" i="2"/>
  <c r="J25" i="2"/>
  <c r="K25" i="2"/>
  <c r="L25" i="2"/>
  <c r="M25" i="2"/>
  <c r="N25" i="2"/>
  <c r="I26" i="2"/>
  <c r="J26" i="2"/>
  <c r="K26" i="2"/>
  <c r="L26" i="2"/>
  <c r="M26" i="2"/>
  <c r="N26" i="2"/>
  <c r="I27" i="2"/>
  <c r="J27" i="2"/>
  <c r="K27" i="2"/>
  <c r="L27" i="2"/>
  <c r="M27" i="2"/>
  <c r="N27" i="2"/>
  <c r="I28" i="2"/>
  <c r="J28" i="2"/>
  <c r="K28" i="2"/>
  <c r="L28" i="2"/>
  <c r="M28" i="2"/>
  <c r="N28" i="2"/>
  <c r="I29" i="2"/>
  <c r="J29" i="2"/>
  <c r="K29" i="2"/>
  <c r="L29" i="2"/>
  <c r="M29" i="2"/>
  <c r="N29" i="2"/>
  <c r="I30" i="2"/>
  <c r="J30" i="2"/>
  <c r="K30" i="2"/>
  <c r="L30" i="2"/>
  <c r="M30" i="2"/>
  <c r="N30" i="2"/>
  <c r="I31" i="2"/>
  <c r="J31" i="2"/>
  <c r="K31" i="2"/>
  <c r="L31" i="2"/>
  <c r="M31" i="2"/>
  <c r="N31" i="2"/>
  <c r="I32" i="2"/>
  <c r="J32" i="2"/>
  <c r="K32" i="2"/>
  <c r="L32" i="2"/>
  <c r="M32" i="2"/>
  <c r="N32" i="2"/>
  <c r="I33" i="2"/>
  <c r="J33" i="2"/>
  <c r="K33" i="2"/>
  <c r="L33" i="2"/>
  <c r="M33" i="2"/>
  <c r="N33" i="2"/>
  <c r="I34" i="2"/>
  <c r="J34" i="2"/>
  <c r="K34" i="2"/>
  <c r="L34" i="2"/>
  <c r="M34" i="2"/>
  <c r="N34" i="2"/>
  <c r="I35" i="2"/>
  <c r="J35" i="2"/>
  <c r="K35" i="2"/>
  <c r="L35" i="2"/>
  <c r="M35" i="2"/>
  <c r="N35" i="2"/>
  <c r="I36" i="2"/>
  <c r="J36" i="2"/>
  <c r="K36" i="2"/>
  <c r="L36" i="2"/>
  <c r="M36" i="2"/>
  <c r="N36" i="2"/>
  <c r="I37" i="2"/>
  <c r="J37" i="2"/>
  <c r="K37" i="2"/>
  <c r="L37" i="2"/>
  <c r="M37" i="2"/>
  <c r="N37" i="2"/>
  <c r="I38" i="2"/>
  <c r="J38" i="2"/>
  <c r="K38" i="2"/>
  <c r="L38" i="2"/>
  <c r="M38" i="2"/>
  <c r="N38" i="2"/>
  <c r="I39" i="2"/>
  <c r="J39" i="2"/>
  <c r="K39" i="2"/>
  <c r="L39" i="2"/>
  <c r="M39" i="2"/>
  <c r="N39" i="2"/>
  <c r="I40" i="2"/>
  <c r="J40" i="2"/>
  <c r="K40" i="2"/>
  <c r="L40" i="2"/>
  <c r="M40" i="2"/>
  <c r="N40" i="2"/>
  <c r="I41" i="2"/>
  <c r="J41" i="2"/>
  <c r="K41" i="2"/>
  <c r="L41" i="2"/>
  <c r="M41" i="2"/>
  <c r="N41" i="2"/>
  <c r="I42" i="2"/>
  <c r="J42" i="2"/>
  <c r="K42" i="2"/>
  <c r="L42" i="2"/>
  <c r="M42" i="2"/>
  <c r="N42" i="2"/>
  <c r="I43" i="2"/>
  <c r="J43" i="2"/>
  <c r="K43" i="2"/>
  <c r="L43" i="2"/>
  <c r="M43" i="2"/>
  <c r="N43" i="2"/>
  <c r="I44" i="2"/>
  <c r="J44" i="2"/>
  <c r="K44" i="2"/>
  <c r="L44" i="2"/>
  <c r="M44" i="2"/>
  <c r="N44" i="2"/>
  <c r="I45" i="2"/>
  <c r="J45" i="2"/>
  <c r="K45" i="2"/>
  <c r="L45" i="2"/>
  <c r="M45" i="2"/>
  <c r="N45" i="2"/>
  <c r="I46" i="2"/>
  <c r="J46" i="2"/>
  <c r="K46" i="2"/>
  <c r="L46" i="2"/>
  <c r="M46" i="2"/>
  <c r="N46" i="2"/>
  <c r="I47" i="2"/>
  <c r="J47" i="2"/>
  <c r="K47" i="2"/>
  <c r="L47" i="2"/>
  <c r="M47" i="2"/>
  <c r="N47" i="2"/>
  <c r="I48" i="2"/>
  <c r="J48" i="2"/>
  <c r="K48" i="2"/>
  <c r="L48" i="2"/>
  <c r="M48" i="2"/>
  <c r="N48" i="2"/>
  <c r="I49" i="2"/>
  <c r="J49" i="2"/>
  <c r="K49" i="2"/>
  <c r="L49" i="2"/>
  <c r="M49" i="2"/>
  <c r="N49" i="2"/>
  <c r="I50" i="2"/>
  <c r="J50" i="2"/>
  <c r="K50" i="2"/>
  <c r="L50" i="2"/>
  <c r="M50" i="2"/>
  <c r="N50" i="2"/>
  <c r="I51" i="2"/>
  <c r="J51" i="2"/>
  <c r="K51" i="2"/>
  <c r="L51" i="2"/>
  <c r="M51" i="2"/>
  <c r="N51" i="2"/>
  <c r="I52" i="2"/>
  <c r="J52" i="2"/>
  <c r="K52" i="2"/>
  <c r="L52" i="2"/>
  <c r="M52" i="2"/>
  <c r="N52" i="2"/>
  <c r="I53" i="2"/>
  <c r="J53" i="2"/>
  <c r="K53" i="2"/>
  <c r="L53" i="2"/>
  <c r="M53" i="2"/>
  <c r="N53" i="2"/>
  <c r="I54" i="2"/>
  <c r="J54" i="2"/>
  <c r="K54" i="2"/>
  <c r="L54" i="2"/>
  <c r="M54" i="2"/>
  <c r="N54" i="2"/>
  <c r="I55" i="2"/>
  <c r="J55" i="2"/>
  <c r="K55" i="2"/>
  <c r="L55" i="2"/>
  <c r="M55" i="2"/>
  <c r="N55" i="2"/>
  <c r="I56" i="2"/>
  <c r="J56" i="2"/>
  <c r="K56" i="2"/>
  <c r="L56" i="2"/>
  <c r="M56" i="2"/>
  <c r="N56" i="2"/>
  <c r="I57" i="2"/>
  <c r="J57" i="2"/>
  <c r="K57" i="2"/>
  <c r="L57" i="2"/>
  <c r="M57" i="2"/>
  <c r="N57" i="2"/>
  <c r="I58" i="2"/>
  <c r="J58" i="2"/>
  <c r="K58" i="2"/>
  <c r="L58" i="2"/>
  <c r="M58" i="2"/>
  <c r="N58" i="2"/>
  <c r="I59" i="2"/>
  <c r="J59" i="2"/>
  <c r="K59" i="2"/>
  <c r="L59" i="2"/>
  <c r="M59" i="2"/>
  <c r="N59" i="2"/>
  <c r="I60" i="2"/>
  <c r="J60" i="2"/>
  <c r="K60" i="2"/>
  <c r="L60" i="2"/>
  <c r="M60" i="2"/>
  <c r="N60" i="2"/>
  <c r="I61" i="2"/>
  <c r="J61" i="2"/>
  <c r="K61" i="2"/>
  <c r="L61" i="2"/>
  <c r="M61" i="2"/>
  <c r="N61" i="2"/>
  <c r="I62" i="2"/>
  <c r="J62" i="2"/>
  <c r="K62" i="2"/>
  <c r="L62" i="2"/>
  <c r="M62" i="2"/>
  <c r="N62" i="2"/>
  <c r="I63" i="2"/>
  <c r="J63" i="2"/>
  <c r="K63" i="2"/>
  <c r="L63" i="2"/>
  <c r="M63" i="2"/>
  <c r="N63" i="2"/>
  <c r="I64" i="2"/>
  <c r="J64" i="2"/>
  <c r="K64" i="2"/>
  <c r="L64" i="2"/>
  <c r="M64" i="2"/>
  <c r="N64" i="2"/>
  <c r="I65" i="2"/>
  <c r="J65" i="2"/>
  <c r="K65" i="2"/>
  <c r="L65" i="2"/>
  <c r="M65" i="2"/>
  <c r="N65" i="2"/>
  <c r="I66" i="2"/>
  <c r="J66" i="2"/>
  <c r="K66" i="2"/>
  <c r="L66" i="2"/>
  <c r="M66" i="2"/>
  <c r="N66" i="2"/>
  <c r="I67" i="2"/>
  <c r="J67" i="2"/>
  <c r="K67" i="2"/>
  <c r="L67" i="2"/>
  <c r="M67" i="2"/>
  <c r="N67" i="2"/>
  <c r="I68" i="2"/>
  <c r="J68" i="2"/>
  <c r="K68" i="2"/>
  <c r="L68" i="2"/>
  <c r="M68" i="2"/>
  <c r="N68" i="2"/>
  <c r="I69" i="2"/>
  <c r="J69" i="2"/>
  <c r="K69" i="2"/>
  <c r="L69" i="2"/>
  <c r="M69" i="2"/>
  <c r="N69" i="2"/>
  <c r="I70" i="2"/>
  <c r="J70" i="2"/>
  <c r="K70" i="2"/>
  <c r="L70" i="2"/>
  <c r="M70" i="2"/>
  <c r="N70" i="2"/>
  <c r="I71" i="2"/>
  <c r="J71" i="2"/>
  <c r="K71" i="2"/>
  <c r="L71" i="2"/>
  <c r="M71" i="2"/>
  <c r="N71" i="2"/>
  <c r="I72" i="2"/>
  <c r="J72" i="2"/>
  <c r="K72" i="2"/>
  <c r="L72" i="2"/>
  <c r="M72" i="2"/>
  <c r="N72" i="2"/>
  <c r="I73" i="2"/>
  <c r="J73" i="2"/>
  <c r="K73" i="2"/>
  <c r="L73" i="2"/>
  <c r="M73" i="2"/>
  <c r="N73" i="2"/>
  <c r="I74" i="2"/>
  <c r="J74" i="2"/>
  <c r="K74" i="2"/>
  <c r="L74" i="2"/>
  <c r="M74" i="2"/>
  <c r="N74" i="2"/>
  <c r="I75" i="2"/>
  <c r="J75" i="2"/>
  <c r="K75" i="2"/>
  <c r="L75" i="2"/>
  <c r="M75" i="2"/>
  <c r="N75" i="2"/>
  <c r="I76" i="2"/>
  <c r="J76" i="2"/>
  <c r="K76" i="2"/>
  <c r="L76" i="2"/>
  <c r="M76" i="2"/>
  <c r="N76" i="2"/>
  <c r="I77" i="2"/>
  <c r="J77" i="2"/>
  <c r="K77" i="2"/>
  <c r="L77" i="2"/>
  <c r="M77" i="2"/>
  <c r="N77" i="2"/>
  <c r="I78" i="2"/>
  <c r="J78" i="2"/>
  <c r="K78" i="2"/>
  <c r="L78" i="2"/>
  <c r="M78" i="2"/>
  <c r="N78" i="2"/>
  <c r="I79" i="2"/>
  <c r="J79" i="2"/>
  <c r="K79" i="2"/>
  <c r="L79" i="2"/>
  <c r="M79" i="2"/>
  <c r="N79" i="2"/>
  <c r="I80" i="2"/>
  <c r="J80" i="2"/>
  <c r="K80" i="2"/>
  <c r="L80" i="2"/>
  <c r="M80" i="2"/>
  <c r="N80" i="2"/>
  <c r="I81" i="2"/>
  <c r="J81" i="2"/>
  <c r="K81" i="2"/>
  <c r="L81" i="2"/>
  <c r="M81" i="2"/>
  <c r="N81" i="2"/>
  <c r="I82" i="2"/>
  <c r="J82" i="2"/>
  <c r="K82" i="2"/>
  <c r="L82" i="2"/>
  <c r="M82" i="2"/>
  <c r="N82" i="2"/>
  <c r="I83" i="2"/>
  <c r="J83" i="2"/>
  <c r="K83" i="2"/>
  <c r="L83" i="2"/>
  <c r="M83" i="2"/>
  <c r="N83" i="2"/>
  <c r="I84" i="2"/>
  <c r="J84" i="2"/>
  <c r="K84" i="2"/>
  <c r="L84" i="2"/>
  <c r="M84" i="2"/>
  <c r="N84" i="2"/>
  <c r="I85" i="2"/>
  <c r="J85" i="2"/>
  <c r="K85" i="2"/>
  <c r="L85" i="2"/>
  <c r="M85" i="2"/>
  <c r="N85" i="2"/>
  <c r="I86" i="2"/>
  <c r="J86" i="2"/>
  <c r="K86" i="2"/>
  <c r="L86" i="2"/>
  <c r="M86" i="2"/>
  <c r="N86" i="2"/>
  <c r="I87" i="2"/>
  <c r="J87" i="2"/>
  <c r="K87" i="2"/>
  <c r="L87" i="2"/>
  <c r="M87" i="2"/>
  <c r="N87" i="2"/>
  <c r="I88" i="2"/>
  <c r="J88" i="2"/>
  <c r="K88" i="2"/>
  <c r="L88" i="2"/>
  <c r="M88" i="2"/>
  <c r="N88" i="2"/>
  <c r="I89" i="2"/>
  <c r="J89" i="2"/>
  <c r="K89" i="2"/>
  <c r="L89" i="2"/>
  <c r="M89" i="2"/>
  <c r="N89" i="2"/>
  <c r="I90" i="2"/>
  <c r="J90" i="2"/>
  <c r="K90" i="2"/>
  <c r="L90" i="2"/>
  <c r="M90" i="2"/>
  <c r="N90" i="2"/>
  <c r="I91" i="2"/>
  <c r="J91" i="2"/>
  <c r="K91" i="2"/>
  <c r="L91" i="2"/>
  <c r="M91" i="2"/>
  <c r="N91" i="2"/>
  <c r="I92" i="2"/>
  <c r="J92" i="2"/>
  <c r="K92" i="2"/>
  <c r="L92" i="2"/>
  <c r="M92" i="2"/>
  <c r="N92" i="2"/>
  <c r="I93" i="2"/>
  <c r="J93" i="2"/>
  <c r="K93" i="2"/>
  <c r="L93" i="2"/>
  <c r="M93" i="2"/>
  <c r="N93" i="2"/>
  <c r="I94" i="2"/>
  <c r="J94" i="2"/>
  <c r="K94" i="2"/>
  <c r="L94" i="2"/>
  <c r="M94" i="2"/>
  <c r="N94" i="2"/>
  <c r="I95" i="2"/>
  <c r="J95" i="2"/>
  <c r="K95" i="2"/>
  <c r="L95" i="2"/>
  <c r="M95" i="2"/>
  <c r="N95" i="2"/>
  <c r="I96" i="2"/>
  <c r="J96" i="2"/>
  <c r="K96" i="2"/>
  <c r="L96" i="2"/>
  <c r="M96" i="2"/>
  <c r="N96" i="2"/>
  <c r="I97" i="2"/>
  <c r="J97" i="2"/>
  <c r="K97" i="2"/>
  <c r="L97" i="2"/>
  <c r="M97" i="2"/>
  <c r="N97" i="2"/>
  <c r="I98" i="2"/>
  <c r="J98" i="2"/>
  <c r="K98" i="2"/>
  <c r="L98" i="2"/>
  <c r="M98" i="2"/>
  <c r="N98" i="2"/>
  <c r="I99" i="2"/>
  <c r="J99" i="2"/>
  <c r="K99" i="2"/>
  <c r="L99" i="2"/>
  <c r="M99" i="2"/>
  <c r="N99" i="2"/>
  <c r="I100" i="2"/>
  <c r="J100" i="2"/>
  <c r="K100" i="2"/>
  <c r="L100" i="2"/>
  <c r="M100" i="2"/>
  <c r="N100" i="2"/>
  <c r="I101" i="2"/>
  <c r="J101" i="2"/>
  <c r="K101" i="2"/>
  <c r="L101" i="2"/>
  <c r="M101" i="2"/>
  <c r="N101" i="2"/>
  <c r="I102" i="2"/>
  <c r="J102" i="2"/>
  <c r="K102" i="2"/>
  <c r="L102" i="2"/>
  <c r="M102" i="2"/>
  <c r="N102" i="2"/>
  <c r="I103" i="2"/>
  <c r="J103" i="2"/>
  <c r="K103" i="2"/>
  <c r="L103" i="2"/>
  <c r="M103" i="2"/>
  <c r="N103" i="2"/>
  <c r="I104" i="2"/>
  <c r="J104" i="2"/>
  <c r="K104" i="2"/>
  <c r="L104" i="2"/>
  <c r="M104" i="2"/>
  <c r="N104" i="2"/>
  <c r="I105" i="2"/>
  <c r="J105" i="2"/>
  <c r="K105" i="2"/>
  <c r="L105" i="2"/>
  <c r="M105" i="2"/>
  <c r="N105" i="2"/>
  <c r="I106" i="2"/>
  <c r="J106" i="2"/>
  <c r="K106" i="2"/>
  <c r="L106" i="2"/>
  <c r="M106" i="2"/>
  <c r="N106" i="2"/>
  <c r="I107" i="2"/>
  <c r="J107" i="2"/>
  <c r="K107" i="2"/>
  <c r="L107" i="2"/>
  <c r="M107" i="2"/>
  <c r="N107" i="2"/>
  <c r="I108" i="2"/>
  <c r="J108" i="2"/>
  <c r="K108" i="2"/>
  <c r="L108" i="2"/>
  <c r="M108" i="2"/>
  <c r="N108" i="2"/>
  <c r="I109" i="2"/>
  <c r="J109" i="2"/>
  <c r="K109" i="2"/>
  <c r="L109" i="2"/>
  <c r="M109" i="2"/>
  <c r="N109" i="2"/>
  <c r="I110" i="2"/>
  <c r="J110" i="2"/>
  <c r="K110" i="2"/>
  <c r="L110" i="2"/>
  <c r="M110" i="2"/>
  <c r="N110" i="2"/>
  <c r="I111" i="2"/>
  <c r="J111" i="2"/>
  <c r="K111" i="2"/>
  <c r="L111" i="2"/>
  <c r="M111" i="2"/>
  <c r="N111" i="2"/>
  <c r="I112" i="2"/>
  <c r="J112" i="2"/>
  <c r="K112" i="2"/>
  <c r="L112" i="2"/>
  <c r="M112" i="2"/>
  <c r="N112" i="2"/>
  <c r="I113" i="2"/>
  <c r="J113" i="2"/>
  <c r="K113" i="2"/>
  <c r="L113" i="2"/>
  <c r="M113" i="2"/>
  <c r="N113" i="2"/>
  <c r="I114" i="2"/>
  <c r="J114" i="2"/>
  <c r="K114" i="2"/>
  <c r="L114" i="2"/>
  <c r="M114" i="2"/>
  <c r="N114" i="2"/>
  <c r="I115" i="2"/>
  <c r="J115" i="2"/>
  <c r="K115" i="2"/>
  <c r="L115" i="2"/>
  <c r="M115" i="2"/>
  <c r="N115" i="2"/>
  <c r="I116" i="2"/>
  <c r="J116" i="2"/>
  <c r="K116" i="2"/>
  <c r="L116" i="2"/>
  <c r="M116" i="2"/>
  <c r="N116" i="2"/>
  <c r="I117" i="2"/>
  <c r="J117" i="2"/>
  <c r="K117" i="2"/>
  <c r="L117" i="2"/>
  <c r="M117" i="2"/>
  <c r="N117" i="2"/>
  <c r="I118" i="2"/>
  <c r="J118" i="2"/>
  <c r="K118" i="2"/>
  <c r="L118" i="2"/>
  <c r="M118" i="2"/>
  <c r="N118" i="2"/>
  <c r="I119" i="2"/>
  <c r="J119" i="2"/>
  <c r="K119" i="2"/>
  <c r="L119" i="2"/>
  <c r="M119" i="2"/>
  <c r="N119" i="2"/>
  <c r="I120" i="2"/>
  <c r="J120" i="2"/>
  <c r="K120" i="2"/>
  <c r="L120" i="2"/>
  <c r="M120" i="2"/>
  <c r="N120" i="2"/>
  <c r="I121" i="2"/>
  <c r="J121" i="2"/>
  <c r="K121" i="2"/>
  <c r="L121" i="2"/>
  <c r="M121" i="2"/>
  <c r="N121" i="2"/>
  <c r="I122" i="2"/>
  <c r="J122" i="2"/>
  <c r="K122" i="2"/>
  <c r="L122" i="2"/>
  <c r="M122" i="2"/>
  <c r="N122" i="2"/>
  <c r="I123" i="2"/>
  <c r="J123" i="2"/>
  <c r="K123" i="2"/>
  <c r="L123" i="2"/>
  <c r="M123" i="2"/>
  <c r="N123" i="2"/>
  <c r="I124" i="2"/>
  <c r="J124" i="2"/>
  <c r="K124" i="2"/>
  <c r="L124" i="2"/>
  <c r="M124" i="2"/>
  <c r="N124" i="2"/>
  <c r="I125" i="2"/>
  <c r="J125" i="2"/>
  <c r="K125" i="2"/>
  <c r="L125" i="2"/>
  <c r="M125" i="2"/>
  <c r="N125" i="2"/>
  <c r="I126" i="2"/>
  <c r="J126" i="2"/>
  <c r="K126" i="2"/>
  <c r="L126" i="2"/>
  <c r="M126" i="2"/>
  <c r="N126" i="2"/>
  <c r="I127" i="2"/>
  <c r="J127" i="2"/>
  <c r="K127" i="2"/>
  <c r="L127" i="2"/>
  <c r="M127" i="2"/>
  <c r="N127" i="2"/>
  <c r="I128" i="2"/>
  <c r="J128" i="2"/>
  <c r="K128" i="2"/>
  <c r="L128" i="2"/>
  <c r="M128" i="2"/>
  <c r="N128" i="2"/>
  <c r="I129" i="2"/>
  <c r="J129" i="2"/>
  <c r="K129" i="2"/>
  <c r="L129" i="2"/>
  <c r="M129" i="2"/>
  <c r="N129" i="2"/>
  <c r="I130" i="2"/>
  <c r="J130" i="2"/>
  <c r="K130" i="2"/>
  <c r="L130" i="2"/>
  <c r="M130" i="2"/>
  <c r="N130" i="2"/>
  <c r="I131" i="2"/>
  <c r="J131" i="2"/>
  <c r="K131" i="2"/>
  <c r="L131" i="2"/>
  <c r="M131" i="2"/>
  <c r="N131" i="2"/>
  <c r="I132" i="2"/>
  <c r="J132" i="2"/>
  <c r="K132" i="2"/>
  <c r="L132" i="2"/>
  <c r="M132" i="2"/>
  <c r="N132" i="2"/>
  <c r="I133" i="2"/>
  <c r="J133" i="2"/>
  <c r="K133" i="2"/>
  <c r="L133" i="2"/>
  <c r="M133" i="2"/>
  <c r="N133" i="2"/>
  <c r="I134" i="2"/>
  <c r="J134" i="2"/>
  <c r="K134" i="2"/>
  <c r="L134" i="2"/>
  <c r="M134" i="2"/>
  <c r="N134" i="2"/>
  <c r="I135" i="2"/>
  <c r="J135" i="2"/>
  <c r="K135" i="2"/>
  <c r="L135" i="2"/>
  <c r="M135" i="2"/>
  <c r="N135" i="2"/>
  <c r="I136" i="2"/>
  <c r="J136" i="2"/>
  <c r="K136" i="2"/>
  <c r="L136" i="2"/>
  <c r="M136" i="2"/>
  <c r="N136" i="2"/>
  <c r="I137" i="2"/>
  <c r="J137" i="2"/>
  <c r="K137" i="2"/>
  <c r="L137" i="2"/>
  <c r="M137" i="2"/>
  <c r="N137" i="2"/>
  <c r="I138" i="2"/>
  <c r="J138" i="2"/>
  <c r="K138" i="2"/>
  <c r="L138" i="2"/>
  <c r="M138" i="2"/>
  <c r="N138" i="2"/>
  <c r="I139" i="2"/>
  <c r="J139" i="2"/>
  <c r="K139" i="2"/>
  <c r="L139" i="2"/>
  <c r="M139" i="2"/>
  <c r="N139" i="2"/>
  <c r="I140" i="2"/>
  <c r="J140" i="2"/>
  <c r="K140" i="2"/>
  <c r="L140" i="2"/>
  <c r="M140" i="2"/>
  <c r="N140" i="2"/>
  <c r="I141" i="2"/>
  <c r="J141" i="2"/>
  <c r="K141" i="2"/>
  <c r="L141" i="2"/>
  <c r="M141" i="2"/>
  <c r="N141" i="2"/>
  <c r="I142" i="2"/>
  <c r="J142" i="2"/>
  <c r="K142" i="2"/>
  <c r="L142" i="2"/>
  <c r="M142" i="2"/>
  <c r="N142" i="2"/>
  <c r="I143" i="2"/>
  <c r="J143" i="2"/>
  <c r="K143" i="2"/>
  <c r="L143" i="2"/>
  <c r="M143" i="2"/>
  <c r="N143" i="2"/>
  <c r="I144" i="2"/>
  <c r="J144" i="2"/>
  <c r="K144" i="2"/>
  <c r="L144" i="2"/>
  <c r="M144" i="2"/>
  <c r="N144" i="2"/>
  <c r="I145" i="2"/>
  <c r="J145" i="2"/>
  <c r="K145" i="2"/>
  <c r="L145" i="2"/>
  <c r="M145" i="2"/>
  <c r="N145" i="2"/>
  <c r="I146" i="2"/>
  <c r="J146" i="2"/>
  <c r="K146" i="2"/>
  <c r="L146" i="2"/>
  <c r="M146" i="2"/>
  <c r="N146" i="2"/>
  <c r="I147" i="2"/>
  <c r="J147" i="2"/>
  <c r="K147" i="2"/>
  <c r="L147" i="2"/>
  <c r="M147" i="2"/>
  <c r="N147" i="2"/>
  <c r="I148" i="2"/>
  <c r="J148" i="2"/>
  <c r="K148" i="2"/>
  <c r="L148" i="2"/>
  <c r="M148" i="2"/>
  <c r="N148" i="2"/>
  <c r="I149" i="2"/>
  <c r="J149" i="2"/>
  <c r="K149" i="2"/>
  <c r="L149" i="2"/>
  <c r="M149" i="2"/>
  <c r="N149" i="2"/>
  <c r="I150" i="2"/>
  <c r="J150" i="2"/>
  <c r="K150" i="2"/>
  <c r="L150" i="2"/>
  <c r="M150" i="2"/>
  <c r="N150" i="2"/>
  <c r="I151" i="2"/>
  <c r="J151" i="2"/>
  <c r="K151" i="2"/>
  <c r="L151" i="2"/>
  <c r="M151" i="2"/>
  <c r="N151" i="2"/>
  <c r="I152" i="2"/>
  <c r="J152" i="2"/>
  <c r="K152" i="2"/>
  <c r="L152" i="2"/>
  <c r="M152" i="2"/>
  <c r="N152" i="2"/>
  <c r="I153" i="2"/>
  <c r="J153" i="2"/>
  <c r="K153" i="2"/>
  <c r="L153" i="2"/>
  <c r="M153" i="2"/>
  <c r="N153" i="2"/>
  <c r="I154" i="2"/>
  <c r="J154" i="2"/>
  <c r="K154" i="2"/>
  <c r="L154" i="2"/>
  <c r="M154" i="2"/>
  <c r="N154" i="2"/>
  <c r="I155" i="2"/>
  <c r="J155" i="2"/>
  <c r="K155" i="2"/>
  <c r="L155" i="2"/>
  <c r="M155" i="2"/>
  <c r="N155" i="2"/>
  <c r="I156" i="2"/>
  <c r="J156" i="2"/>
  <c r="K156" i="2"/>
  <c r="L156" i="2"/>
  <c r="M156" i="2"/>
  <c r="N156" i="2"/>
  <c r="I157" i="2"/>
  <c r="J157" i="2"/>
  <c r="K157" i="2"/>
  <c r="L157" i="2"/>
  <c r="M157" i="2"/>
  <c r="N157" i="2"/>
  <c r="I158" i="2"/>
  <c r="J158" i="2"/>
  <c r="K158" i="2"/>
  <c r="L158" i="2"/>
  <c r="M158" i="2"/>
  <c r="N158" i="2"/>
  <c r="I159" i="2"/>
  <c r="J159" i="2"/>
  <c r="K159" i="2"/>
  <c r="L159" i="2"/>
  <c r="M159" i="2"/>
  <c r="N159" i="2"/>
  <c r="I160" i="2"/>
  <c r="J160" i="2"/>
  <c r="K160" i="2"/>
  <c r="L160" i="2"/>
  <c r="M160" i="2"/>
  <c r="N160" i="2"/>
  <c r="I161" i="2"/>
  <c r="J161" i="2"/>
  <c r="K161" i="2"/>
  <c r="L161" i="2"/>
  <c r="M161" i="2"/>
  <c r="N161" i="2"/>
  <c r="I162" i="2"/>
  <c r="J162" i="2"/>
  <c r="K162" i="2"/>
  <c r="L162" i="2"/>
  <c r="M162" i="2"/>
  <c r="N162" i="2"/>
  <c r="I163" i="2"/>
  <c r="J163" i="2"/>
  <c r="K163" i="2"/>
  <c r="L163" i="2"/>
  <c r="M163" i="2"/>
  <c r="N163" i="2"/>
  <c r="I164" i="2"/>
  <c r="J164" i="2"/>
  <c r="K164" i="2"/>
  <c r="L164" i="2"/>
  <c r="M164" i="2"/>
  <c r="N164" i="2"/>
  <c r="I165" i="2"/>
  <c r="J165" i="2"/>
  <c r="K165" i="2"/>
  <c r="L165" i="2"/>
  <c r="M165" i="2"/>
  <c r="N165" i="2"/>
  <c r="I166" i="2"/>
  <c r="J166" i="2"/>
  <c r="K166" i="2"/>
  <c r="L166" i="2"/>
  <c r="M166" i="2"/>
  <c r="N166" i="2"/>
  <c r="I167" i="2"/>
  <c r="J167" i="2"/>
  <c r="K167" i="2"/>
  <c r="L167" i="2"/>
  <c r="M167" i="2"/>
  <c r="N167" i="2"/>
  <c r="I168" i="2"/>
  <c r="J168" i="2"/>
  <c r="K168" i="2"/>
  <c r="L168" i="2"/>
  <c r="M168" i="2"/>
  <c r="N168" i="2"/>
  <c r="I169" i="2"/>
  <c r="J169" i="2"/>
  <c r="K169" i="2"/>
  <c r="L169" i="2"/>
  <c r="M169" i="2"/>
  <c r="N169" i="2"/>
  <c r="I170" i="2"/>
  <c r="J170" i="2"/>
  <c r="K170" i="2"/>
  <c r="L170" i="2"/>
  <c r="M170" i="2"/>
  <c r="N170" i="2"/>
  <c r="I171" i="2"/>
  <c r="J171" i="2"/>
  <c r="K171" i="2"/>
  <c r="L171" i="2"/>
  <c r="M171" i="2"/>
  <c r="N171" i="2"/>
  <c r="I172" i="2"/>
  <c r="J172" i="2"/>
  <c r="K172" i="2"/>
  <c r="L172" i="2"/>
  <c r="M172" i="2"/>
  <c r="N172" i="2"/>
  <c r="I173" i="2"/>
  <c r="J173" i="2"/>
  <c r="K173" i="2"/>
  <c r="L173" i="2"/>
  <c r="M173" i="2"/>
  <c r="N173" i="2"/>
  <c r="I174" i="2"/>
  <c r="J174" i="2"/>
  <c r="K174" i="2"/>
  <c r="L174" i="2"/>
  <c r="M174" i="2"/>
  <c r="N174" i="2"/>
  <c r="I175" i="2"/>
  <c r="J175" i="2"/>
  <c r="K175" i="2"/>
  <c r="L175" i="2"/>
  <c r="M175" i="2"/>
  <c r="N175" i="2"/>
  <c r="I176" i="2"/>
  <c r="J176" i="2"/>
  <c r="K176" i="2"/>
  <c r="L176" i="2"/>
  <c r="M176" i="2"/>
  <c r="N176" i="2"/>
  <c r="I177" i="2"/>
  <c r="J177" i="2"/>
  <c r="K177" i="2"/>
  <c r="L177" i="2"/>
  <c r="M177" i="2"/>
  <c r="N177" i="2"/>
  <c r="I178" i="2"/>
  <c r="J178" i="2"/>
  <c r="K178" i="2"/>
  <c r="L178" i="2"/>
  <c r="M178" i="2"/>
  <c r="N178" i="2"/>
  <c r="I179" i="2"/>
  <c r="J179" i="2"/>
  <c r="K179" i="2"/>
  <c r="L179" i="2"/>
  <c r="M179" i="2"/>
  <c r="N179" i="2"/>
  <c r="I180" i="2"/>
  <c r="J180" i="2"/>
  <c r="K180" i="2"/>
  <c r="L180" i="2"/>
  <c r="M180" i="2"/>
  <c r="N180" i="2"/>
  <c r="I181" i="2"/>
  <c r="J181" i="2"/>
  <c r="K181" i="2"/>
  <c r="L181" i="2"/>
  <c r="M181" i="2"/>
  <c r="N181" i="2"/>
  <c r="I182" i="2"/>
  <c r="J182" i="2"/>
  <c r="K182" i="2"/>
  <c r="L182" i="2"/>
  <c r="M182" i="2"/>
  <c r="N182" i="2"/>
  <c r="I183" i="2"/>
  <c r="J183" i="2"/>
  <c r="K183" i="2"/>
  <c r="L183" i="2"/>
  <c r="M183" i="2"/>
  <c r="N183" i="2"/>
  <c r="I184" i="2"/>
  <c r="J184" i="2"/>
  <c r="K184" i="2"/>
  <c r="L184" i="2"/>
  <c r="M184" i="2"/>
  <c r="N184" i="2"/>
  <c r="I185" i="2"/>
  <c r="J185" i="2"/>
  <c r="K185" i="2"/>
  <c r="L185" i="2"/>
  <c r="M185" i="2"/>
  <c r="N185" i="2"/>
  <c r="I186" i="2"/>
  <c r="J186" i="2"/>
  <c r="K186" i="2"/>
  <c r="L186" i="2"/>
  <c r="M186" i="2"/>
  <c r="N186" i="2"/>
  <c r="I187" i="2"/>
  <c r="J187" i="2"/>
  <c r="K187" i="2"/>
  <c r="L187" i="2"/>
  <c r="M187" i="2"/>
  <c r="N187" i="2"/>
  <c r="I188" i="2"/>
  <c r="J188" i="2"/>
  <c r="K188" i="2"/>
  <c r="L188" i="2"/>
  <c r="M188" i="2"/>
  <c r="N188" i="2"/>
  <c r="I189" i="2"/>
  <c r="J189" i="2"/>
  <c r="K189" i="2"/>
  <c r="L189" i="2"/>
  <c r="M189" i="2"/>
  <c r="N189" i="2"/>
  <c r="I190" i="2"/>
  <c r="J190" i="2"/>
  <c r="K190" i="2"/>
  <c r="L190" i="2"/>
  <c r="M190" i="2"/>
  <c r="N190" i="2"/>
  <c r="I191" i="2"/>
  <c r="J191" i="2"/>
  <c r="K191" i="2"/>
  <c r="L191" i="2"/>
  <c r="M191" i="2"/>
  <c r="N191" i="2"/>
  <c r="I192" i="2"/>
  <c r="J192" i="2"/>
  <c r="K192" i="2"/>
  <c r="L192" i="2"/>
  <c r="M192" i="2"/>
  <c r="N192" i="2"/>
  <c r="I193" i="2"/>
  <c r="J193" i="2"/>
  <c r="K193" i="2"/>
  <c r="L193" i="2"/>
  <c r="M193" i="2"/>
  <c r="N193" i="2"/>
  <c r="I194" i="2"/>
  <c r="J194" i="2"/>
  <c r="K194" i="2"/>
  <c r="L194" i="2"/>
  <c r="M194" i="2"/>
  <c r="N194" i="2"/>
  <c r="I195" i="2"/>
  <c r="J195" i="2"/>
  <c r="K195" i="2"/>
  <c r="L195" i="2"/>
  <c r="M195" i="2"/>
  <c r="N195" i="2"/>
  <c r="I196" i="2"/>
  <c r="J196" i="2"/>
  <c r="K196" i="2"/>
  <c r="L196" i="2"/>
  <c r="M196" i="2"/>
  <c r="N196" i="2"/>
  <c r="I197" i="2"/>
  <c r="J197" i="2"/>
  <c r="K197" i="2"/>
  <c r="L197" i="2"/>
  <c r="M197" i="2"/>
  <c r="N197" i="2"/>
  <c r="I198" i="2"/>
  <c r="J198" i="2"/>
  <c r="K198" i="2"/>
  <c r="L198" i="2"/>
  <c r="M198" i="2"/>
  <c r="N198" i="2"/>
  <c r="I199" i="2"/>
  <c r="J199" i="2"/>
  <c r="K199" i="2"/>
  <c r="L199" i="2"/>
  <c r="M199" i="2"/>
  <c r="N199" i="2"/>
  <c r="I200" i="2"/>
  <c r="J200" i="2"/>
  <c r="K200" i="2"/>
  <c r="L200" i="2"/>
  <c r="M200" i="2"/>
  <c r="N200" i="2"/>
  <c r="I201" i="2"/>
  <c r="J201" i="2"/>
  <c r="K201" i="2"/>
  <c r="L201" i="2"/>
  <c r="M201" i="2"/>
  <c r="N201" i="2"/>
  <c r="I202" i="2"/>
  <c r="J202" i="2"/>
  <c r="K202" i="2"/>
  <c r="L202" i="2"/>
  <c r="M202" i="2"/>
  <c r="N202" i="2"/>
  <c r="I203" i="2"/>
  <c r="J203" i="2"/>
  <c r="K203" i="2"/>
  <c r="L203" i="2"/>
  <c r="M203" i="2"/>
  <c r="N203" i="2"/>
  <c r="I204" i="2"/>
  <c r="J204" i="2"/>
  <c r="K204" i="2"/>
  <c r="L204" i="2"/>
  <c r="M204" i="2"/>
  <c r="N204" i="2"/>
  <c r="I205" i="2"/>
  <c r="J205" i="2"/>
  <c r="K205" i="2"/>
  <c r="L205" i="2"/>
  <c r="M205" i="2"/>
  <c r="N205" i="2"/>
  <c r="I206" i="2"/>
  <c r="J206" i="2"/>
  <c r="K206" i="2"/>
  <c r="L206" i="2"/>
  <c r="M206" i="2"/>
  <c r="N206" i="2"/>
  <c r="I207" i="2"/>
  <c r="J207" i="2"/>
  <c r="K207" i="2"/>
  <c r="L207" i="2"/>
  <c r="M207" i="2"/>
  <c r="N207" i="2"/>
  <c r="I208" i="2"/>
  <c r="J208" i="2"/>
  <c r="K208" i="2"/>
  <c r="L208" i="2"/>
  <c r="M208" i="2"/>
  <c r="N208" i="2"/>
  <c r="I209" i="2"/>
  <c r="J209" i="2"/>
  <c r="K209" i="2"/>
  <c r="L209" i="2"/>
  <c r="M209" i="2"/>
  <c r="N209" i="2"/>
  <c r="I210" i="2"/>
  <c r="J210" i="2"/>
  <c r="K210" i="2"/>
  <c r="L210" i="2"/>
  <c r="M210" i="2"/>
  <c r="N210" i="2"/>
  <c r="I211" i="2"/>
  <c r="J211" i="2"/>
  <c r="K211" i="2"/>
  <c r="L211" i="2"/>
  <c r="M211" i="2"/>
  <c r="N211" i="2"/>
  <c r="I212" i="2"/>
  <c r="J212" i="2"/>
  <c r="K212" i="2"/>
  <c r="L212" i="2"/>
  <c r="M212" i="2"/>
  <c r="N212" i="2"/>
  <c r="I213" i="2"/>
  <c r="J213" i="2"/>
  <c r="K213" i="2"/>
  <c r="L213" i="2"/>
  <c r="M213" i="2"/>
  <c r="N213" i="2"/>
  <c r="I214" i="2"/>
  <c r="J214" i="2"/>
  <c r="K214" i="2"/>
  <c r="L214" i="2"/>
  <c r="M214" i="2"/>
  <c r="N214" i="2"/>
  <c r="I215" i="2"/>
  <c r="J215" i="2"/>
  <c r="K215" i="2"/>
  <c r="L215" i="2"/>
  <c r="M215" i="2"/>
  <c r="N215" i="2"/>
  <c r="I216" i="2"/>
  <c r="J216" i="2"/>
  <c r="K216" i="2"/>
  <c r="L216" i="2"/>
  <c r="M216" i="2"/>
  <c r="N216" i="2"/>
  <c r="I217" i="2"/>
  <c r="J217" i="2"/>
  <c r="K217" i="2"/>
  <c r="L217" i="2"/>
  <c r="M217" i="2"/>
  <c r="N217" i="2"/>
  <c r="I218" i="2"/>
  <c r="J218" i="2"/>
  <c r="K218" i="2"/>
  <c r="L218" i="2"/>
  <c r="M218" i="2"/>
  <c r="N218" i="2"/>
  <c r="I219" i="2"/>
  <c r="J219" i="2"/>
  <c r="K219" i="2"/>
  <c r="L219" i="2"/>
  <c r="M219" i="2"/>
  <c r="N219" i="2"/>
  <c r="I220" i="2"/>
  <c r="J220" i="2"/>
  <c r="K220" i="2"/>
  <c r="L220" i="2"/>
  <c r="M220" i="2"/>
  <c r="N220" i="2"/>
  <c r="I221" i="2"/>
  <c r="J221" i="2"/>
  <c r="K221" i="2"/>
  <c r="L221" i="2"/>
  <c r="M221" i="2"/>
  <c r="N221" i="2"/>
  <c r="I222" i="2"/>
  <c r="J222" i="2"/>
  <c r="K222" i="2"/>
  <c r="L222" i="2"/>
  <c r="M222" i="2"/>
  <c r="N222" i="2"/>
  <c r="I223" i="2"/>
  <c r="J223" i="2"/>
  <c r="K223" i="2"/>
  <c r="L223" i="2"/>
  <c r="M223" i="2"/>
  <c r="N223" i="2"/>
  <c r="I224" i="2"/>
  <c r="J224" i="2"/>
  <c r="K224" i="2"/>
  <c r="L224" i="2"/>
  <c r="M224" i="2"/>
  <c r="N224" i="2"/>
  <c r="I225" i="2"/>
  <c r="J225" i="2"/>
  <c r="K225" i="2"/>
  <c r="L225" i="2"/>
  <c r="M225" i="2"/>
  <c r="N225" i="2"/>
  <c r="I226" i="2"/>
  <c r="J226" i="2"/>
  <c r="K226" i="2"/>
  <c r="L226" i="2"/>
  <c r="M226" i="2"/>
  <c r="N226" i="2"/>
  <c r="I227" i="2"/>
  <c r="J227" i="2"/>
  <c r="K227" i="2"/>
  <c r="L227" i="2"/>
  <c r="M227" i="2"/>
  <c r="N227" i="2"/>
  <c r="I228" i="2"/>
  <c r="J228" i="2"/>
  <c r="K228" i="2"/>
  <c r="L228" i="2"/>
  <c r="M228" i="2"/>
  <c r="N228" i="2"/>
  <c r="I229" i="2"/>
  <c r="J229" i="2"/>
  <c r="K229" i="2"/>
  <c r="L229" i="2"/>
  <c r="M229" i="2"/>
  <c r="N229" i="2"/>
  <c r="J14" i="2"/>
  <c r="K14" i="2"/>
  <c r="L14" i="2"/>
  <c r="M14" i="2"/>
  <c r="N14" i="2"/>
  <c r="I14" i="2"/>
  <c r="I15" i="1"/>
  <c r="J15" i="1"/>
  <c r="K15" i="1"/>
  <c r="L15" i="1"/>
  <c r="M15" i="1"/>
  <c r="N15" i="1"/>
  <c r="I16" i="1"/>
  <c r="J16" i="1"/>
  <c r="K16" i="1"/>
  <c r="L16" i="1"/>
  <c r="M16" i="1"/>
  <c r="N16" i="1"/>
  <c r="I17" i="1"/>
  <c r="J17" i="1"/>
  <c r="K17" i="1"/>
  <c r="L17" i="1"/>
  <c r="M17" i="1"/>
  <c r="N17" i="1"/>
  <c r="I18" i="1"/>
  <c r="J18" i="1"/>
  <c r="K18" i="1"/>
  <c r="L18" i="1"/>
  <c r="M18" i="1"/>
  <c r="N18" i="1"/>
  <c r="I19" i="1"/>
  <c r="J19" i="1"/>
  <c r="K19" i="1"/>
  <c r="L19" i="1"/>
  <c r="M19" i="1"/>
  <c r="N19" i="1"/>
  <c r="I20" i="1"/>
  <c r="J20" i="1"/>
  <c r="K20" i="1"/>
  <c r="L20" i="1"/>
  <c r="M20" i="1"/>
  <c r="N20" i="1"/>
  <c r="I21" i="1"/>
  <c r="J21" i="1"/>
  <c r="K21" i="1"/>
  <c r="L21" i="1"/>
  <c r="M21" i="1"/>
  <c r="N21" i="1"/>
  <c r="I22" i="1"/>
  <c r="J22" i="1"/>
  <c r="K22" i="1"/>
  <c r="L22" i="1"/>
  <c r="M22" i="1"/>
  <c r="N22" i="1"/>
  <c r="I23" i="1"/>
  <c r="J23" i="1"/>
  <c r="K23" i="1"/>
  <c r="L23" i="1"/>
  <c r="M23" i="1"/>
  <c r="N23" i="1"/>
  <c r="I24" i="1"/>
  <c r="J24" i="1"/>
  <c r="K24" i="1"/>
  <c r="L24" i="1"/>
  <c r="M24" i="1"/>
  <c r="N24" i="1"/>
  <c r="I25" i="1"/>
  <c r="J25" i="1"/>
  <c r="K25" i="1"/>
  <c r="L25" i="1"/>
  <c r="M25" i="1"/>
  <c r="N25" i="1"/>
  <c r="I26" i="1"/>
  <c r="J26" i="1"/>
  <c r="K26" i="1"/>
  <c r="L26" i="1"/>
  <c r="M26" i="1"/>
  <c r="N26" i="1"/>
  <c r="I27" i="1"/>
  <c r="J27" i="1"/>
  <c r="K27" i="1"/>
  <c r="L27" i="1"/>
  <c r="M27" i="1"/>
  <c r="N27" i="1"/>
  <c r="I28" i="1"/>
  <c r="J28" i="1"/>
  <c r="K28" i="1"/>
  <c r="L28" i="1"/>
  <c r="M28" i="1"/>
  <c r="N28" i="1"/>
  <c r="I29" i="1"/>
  <c r="J29" i="1"/>
  <c r="K29" i="1"/>
  <c r="L29" i="1"/>
  <c r="M29" i="1"/>
  <c r="N29" i="1"/>
  <c r="I30" i="1"/>
  <c r="J30" i="1"/>
  <c r="K30" i="1"/>
  <c r="L30" i="1"/>
  <c r="M30" i="1"/>
  <c r="N30" i="1"/>
  <c r="I31" i="1"/>
  <c r="J31" i="1"/>
  <c r="K31" i="1"/>
  <c r="L31" i="1"/>
  <c r="M31" i="1"/>
  <c r="N31" i="1"/>
  <c r="I32" i="1"/>
  <c r="J32" i="1"/>
  <c r="K32" i="1"/>
  <c r="L32" i="1"/>
  <c r="M32" i="1"/>
  <c r="N32" i="1"/>
  <c r="I33" i="1"/>
  <c r="J33" i="1"/>
  <c r="K33" i="1"/>
  <c r="L33" i="1"/>
  <c r="M33" i="1"/>
  <c r="N33" i="1"/>
  <c r="I34" i="1"/>
  <c r="J34" i="1"/>
  <c r="K34" i="1"/>
  <c r="L34" i="1"/>
  <c r="M34" i="1"/>
  <c r="N34" i="1"/>
  <c r="I35" i="1"/>
  <c r="J35" i="1"/>
  <c r="K35" i="1"/>
  <c r="L35" i="1"/>
  <c r="M35" i="1"/>
  <c r="N35" i="1"/>
  <c r="I36" i="1"/>
  <c r="J36" i="1"/>
  <c r="K36" i="1"/>
  <c r="L36" i="1"/>
  <c r="M36" i="1"/>
  <c r="N36" i="1"/>
  <c r="I37" i="1"/>
  <c r="J37" i="1"/>
  <c r="K37" i="1"/>
  <c r="L37" i="1"/>
  <c r="M37" i="1"/>
  <c r="N37" i="1"/>
  <c r="I38" i="1"/>
  <c r="J38" i="1"/>
  <c r="K38" i="1"/>
  <c r="L38" i="1"/>
  <c r="M38" i="1"/>
  <c r="N38" i="1"/>
  <c r="I39" i="1"/>
  <c r="J39" i="1"/>
  <c r="K39" i="1"/>
  <c r="L39" i="1"/>
  <c r="M39" i="1"/>
  <c r="N39" i="1"/>
  <c r="I40" i="1"/>
  <c r="J40" i="1"/>
  <c r="K40" i="1"/>
  <c r="L40" i="1"/>
  <c r="M40" i="1"/>
  <c r="N40" i="1"/>
  <c r="I41" i="1"/>
  <c r="J41" i="1"/>
  <c r="K41" i="1"/>
  <c r="L41" i="1"/>
  <c r="M41" i="1"/>
  <c r="N41" i="1"/>
  <c r="I42" i="1"/>
  <c r="J42" i="1"/>
  <c r="K42" i="1"/>
  <c r="L42" i="1"/>
  <c r="M42" i="1"/>
  <c r="N42" i="1"/>
  <c r="I43" i="1"/>
  <c r="J43" i="1"/>
  <c r="K43" i="1"/>
  <c r="L43" i="1"/>
  <c r="M43" i="1"/>
  <c r="N43" i="1"/>
  <c r="I44" i="1"/>
  <c r="J44" i="1"/>
  <c r="K44" i="1"/>
  <c r="L44" i="1"/>
  <c r="M44" i="1"/>
  <c r="N44" i="1"/>
  <c r="I45" i="1"/>
  <c r="J45" i="1"/>
  <c r="K45" i="1"/>
  <c r="L45" i="1"/>
  <c r="M45" i="1"/>
  <c r="N45" i="1"/>
  <c r="I46" i="1"/>
  <c r="J46" i="1"/>
  <c r="K46" i="1"/>
  <c r="L46" i="1"/>
  <c r="M46" i="1"/>
  <c r="N46" i="1"/>
  <c r="I47" i="1"/>
  <c r="J47" i="1"/>
  <c r="K47" i="1"/>
  <c r="L47" i="1"/>
  <c r="M47" i="1"/>
  <c r="N47" i="1"/>
  <c r="I48" i="1"/>
  <c r="J48" i="1"/>
  <c r="K48" i="1"/>
  <c r="L48" i="1"/>
  <c r="M48" i="1"/>
  <c r="N48" i="1"/>
  <c r="I49" i="1"/>
  <c r="J49" i="1"/>
  <c r="K49" i="1"/>
  <c r="L49" i="1"/>
  <c r="M49" i="1"/>
  <c r="N49" i="1"/>
  <c r="I50" i="1"/>
  <c r="J50" i="1"/>
  <c r="K50" i="1"/>
  <c r="L50" i="1"/>
  <c r="M50" i="1"/>
  <c r="N50" i="1"/>
  <c r="I51" i="1"/>
  <c r="J51" i="1"/>
  <c r="K51" i="1"/>
  <c r="L51" i="1"/>
  <c r="M51" i="1"/>
  <c r="N51" i="1"/>
  <c r="I52" i="1"/>
  <c r="J52" i="1"/>
  <c r="K52" i="1"/>
  <c r="L52" i="1"/>
  <c r="M52" i="1"/>
  <c r="N52" i="1"/>
  <c r="I53" i="1"/>
  <c r="J53" i="1"/>
  <c r="K53" i="1"/>
  <c r="L53" i="1"/>
  <c r="M53" i="1"/>
  <c r="N53" i="1"/>
  <c r="I54" i="1"/>
  <c r="J54" i="1"/>
  <c r="K54" i="1"/>
  <c r="L54" i="1"/>
  <c r="M54" i="1"/>
  <c r="N54" i="1"/>
  <c r="I55" i="1"/>
  <c r="J55" i="1"/>
  <c r="K55" i="1"/>
  <c r="L55" i="1"/>
  <c r="M55" i="1"/>
  <c r="N55" i="1"/>
  <c r="I56" i="1"/>
  <c r="J56" i="1"/>
  <c r="K56" i="1"/>
  <c r="L56" i="1"/>
  <c r="M56" i="1"/>
  <c r="N56" i="1"/>
  <c r="I57" i="1"/>
  <c r="J57" i="1"/>
  <c r="K57" i="1"/>
  <c r="L57" i="1"/>
  <c r="M57" i="1"/>
  <c r="N57" i="1"/>
  <c r="I58" i="1"/>
  <c r="J58" i="1"/>
  <c r="K58" i="1"/>
  <c r="L58" i="1"/>
  <c r="M58" i="1"/>
  <c r="N58" i="1"/>
  <c r="I59" i="1"/>
  <c r="J59" i="1"/>
  <c r="K59" i="1"/>
  <c r="L59" i="1"/>
  <c r="M59" i="1"/>
  <c r="N59" i="1"/>
  <c r="I60" i="1"/>
  <c r="J60" i="1"/>
  <c r="K60" i="1"/>
  <c r="L60" i="1"/>
  <c r="M60" i="1"/>
  <c r="N60" i="1"/>
  <c r="I61" i="1"/>
  <c r="J61" i="1"/>
  <c r="K61" i="1"/>
  <c r="L61" i="1"/>
  <c r="M61" i="1"/>
  <c r="N61" i="1"/>
  <c r="I62" i="1"/>
  <c r="J62" i="1"/>
  <c r="K62" i="1"/>
  <c r="L62" i="1"/>
  <c r="M62" i="1"/>
  <c r="N62" i="1"/>
  <c r="I63" i="1"/>
  <c r="J63" i="1"/>
  <c r="K63" i="1"/>
  <c r="L63" i="1"/>
  <c r="M63" i="1"/>
  <c r="N63" i="1"/>
  <c r="I64" i="1"/>
  <c r="J64" i="1"/>
  <c r="K64" i="1"/>
  <c r="L64" i="1"/>
  <c r="M64" i="1"/>
  <c r="N64" i="1"/>
  <c r="I65" i="1"/>
  <c r="J65" i="1"/>
  <c r="K65" i="1"/>
  <c r="L65" i="1"/>
  <c r="M65" i="1"/>
  <c r="N65" i="1"/>
  <c r="I66" i="1"/>
  <c r="J66" i="1"/>
  <c r="K66" i="1"/>
  <c r="L66" i="1"/>
  <c r="M66" i="1"/>
  <c r="N66" i="1"/>
  <c r="I67" i="1"/>
  <c r="J67" i="1"/>
  <c r="K67" i="1"/>
  <c r="L67" i="1"/>
  <c r="M67" i="1"/>
  <c r="N67" i="1"/>
  <c r="I68" i="1"/>
  <c r="J68" i="1"/>
  <c r="K68" i="1"/>
  <c r="L68" i="1"/>
  <c r="M68" i="1"/>
  <c r="N68" i="1"/>
  <c r="I69" i="1"/>
  <c r="J69" i="1"/>
  <c r="K69" i="1"/>
  <c r="L69" i="1"/>
  <c r="M69" i="1"/>
  <c r="N69" i="1"/>
  <c r="I70" i="1"/>
  <c r="J70" i="1"/>
  <c r="K70" i="1"/>
  <c r="L70" i="1"/>
  <c r="M70" i="1"/>
  <c r="N70" i="1"/>
  <c r="I71" i="1"/>
  <c r="J71" i="1"/>
  <c r="K71" i="1"/>
  <c r="L71" i="1"/>
  <c r="M71" i="1"/>
  <c r="N71" i="1"/>
  <c r="I72" i="1"/>
  <c r="J72" i="1"/>
  <c r="K72" i="1"/>
  <c r="L72" i="1"/>
  <c r="M72" i="1"/>
  <c r="N72" i="1"/>
  <c r="I73" i="1"/>
  <c r="J73" i="1"/>
  <c r="K73" i="1"/>
  <c r="L73" i="1"/>
  <c r="M73" i="1"/>
  <c r="N73" i="1"/>
  <c r="I74" i="1"/>
  <c r="J74" i="1"/>
  <c r="K74" i="1"/>
  <c r="L74" i="1"/>
  <c r="M74" i="1"/>
  <c r="N74" i="1"/>
  <c r="I75" i="1"/>
  <c r="J75" i="1"/>
  <c r="K75" i="1"/>
  <c r="L75" i="1"/>
  <c r="M75" i="1"/>
  <c r="N75" i="1"/>
  <c r="I76" i="1"/>
  <c r="J76" i="1"/>
  <c r="K76" i="1"/>
  <c r="L76" i="1"/>
  <c r="M76" i="1"/>
  <c r="N76" i="1"/>
  <c r="I77" i="1"/>
  <c r="J77" i="1"/>
  <c r="K77" i="1"/>
  <c r="L77" i="1"/>
  <c r="M77" i="1"/>
  <c r="N77" i="1"/>
  <c r="I78" i="1"/>
  <c r="J78" i="1"/>
  <c r="K78" i="1"/>
  <c r="L78" i="1"/>
  <c r="M78" i="1"/>
  <c r="N78" i="1"/>
  <c r="I79" i="1"/>
  <c r="J79" i="1"/>
  <c r="K79" i="1"/>
  <c r="L79" i="1"/>
  <c r="M79" i="1"/>
  <c r="N79" i="1"/>
  <c r="I80" i="1"/>
  <c r="J80" i="1"/>
  <c r="K80" i="1"/>
  <c r="L80" i="1"/>
  <c r="M80" i="1"/>
  <c r="N80" i="1"/>
  <c r="I81" i="1"/>
  <c r="J81" i="1"/>
  <c r="K81" i="1"/>
  <c r="L81" i="1"/>
  <c r="M81" i="1"/>
  <c r="N81" i="1"/>
  <c r="I82" i="1"/>
  <c r="J82" i="1"/>
  <c r="K82" i="1"/>
  <c r="L82" i="1"/>
  <c r="M82" i="1"/>
  <c r="N82" i="1"/>
  <c r="I83" i="1"/>
  <c r="J83" i="1"/>
  <c r="K83" i="1"/>
  <c r="L83" i="1"/>
  <c r="M83" i="1"/>
  <c r="N83" i="1"/>
  <c r="I84" i="1"/>
  <c r="J84" i="1"/>
  <c r="K84" i="1"/>
  <c r="L84" i="1"/>
  <c r="M84" i="1"/>
  <c r="N84" i="1"/>
  <c r="I85" i="1"/>
  <c r="J85" i="1"/>
  <c r="K85" i="1"/>
  <c r="L85" i="1"/>
  <c r="M85" i="1"/>
  <c r="N85" i="1"/>
  <c r="I86" i="1"/>
  <c r="J86" i="1"/>
  <c r="K86" i="1"/>
  <c r="L86" i="1"/>
  <c r="M86" i="1"/>
  <c r="N86" i="1"/>
  <c r="I87" i="1"/>
  <c r="J87" i="1"/>
  <c r="K87" i="1"/>
  <c r="L87" i="1"/>
  <c r="M87" i="1"/>
  <c r="N87" i="1"/>
  <c r="I88" i="1"/>
  <c r="J88" i="1"/>
  <c r="K88" i="1"/>
  <c r="L88" i="1"/>
  <c r="M88" i="1"/>
  <c r="N88" i="1"/>
  <c r="I89" i="1"/>
  <c r="J89" i="1"/>
  <c r="K89" i="1"/>
  <c r="L89" i="1"/>
  <c r="M89" i="1"/>
  <c r="N89" i="1"/>
  <c r="I90" i="1"/>
  <c r="J90" i="1"/>
  <c r="K90" i="1"/>
  <c r="L90" i="1"/>
  <c r="M90" i="1"/>
  <c r="N90" i="1"/>
  <c r="I91" i="1"/>
  <c r="J91" i="1"/>
  <c r="K91" i="1"/>
  <c r="L91" i="1"/>
  <c r="M91" i="1"/>
  <c r="N91" i="1"/>
  <c r="I92" i="1"/>
  <c r="J92" i="1"/>
  <c r="K92" i="1"/>
  <c r="L92" i="1"/>
  <c r="M92" i="1"/>
  <c r="N92" i="1"/>
  <c r="I93" i="1"/>
  <c r="J93" i="1"/>
  <c r="K93" i="1"/>
  <c r="L93" i="1"/>
  <c r="M93" i="1"/>
  <c r="N93" i="1"/>
  <c r="I94" i="1"/>
  <c r="J94" i="1"/>
  <c r="K94" i="1"/>
  <c r="L94" i="1"/>
  <c r="M94" i="1"/>
  <c r="N94" i="1"/>
  <c r="I95" i="1"/>
  <c r="J95" i="1"/>
  <c r="K95" i="1"/>
  <c r="L95" i="1"/>
  <c r="M95" i="1"/>
  <c r="N95" i="1"/>
  <c r="I96" i="1"/>
  <c r="J96" i="1"/>
  <c r="K96" i="1"/>
  <c r="L96" i="1"/>
  <c r="M96" i="1"/>
  <c r="N96" i="1"/>
  <c r="I97" i="1"/>
  <c r="J97" i="1"/>
  <c r="K97" i="1"/>
  <c r="L97" i="1"/>
  <c r="M97" i="1"/>
  <c r="N97" i="1"/>
  <c r="I98" i="1"/>
  <c r="J98" i="1"/>
  <c r="K98" i="1"/>
  <c r="L98" i="1"/>
  <c r="M98" i="1"/>
  <c r="N98" i="1"/>
  <c r="I99" i="1"/>
  <c r="J99" i="1"/>
  <c r="K99" i="1"/>
  <c r="L99" i="1"/>
  <c r="M99" i="1"/>
  <c r="N99" i="1"/>
  <c r="I100" i="1"/>
  <c r="J100" i="1"/>
  <c r="K100" i="1"/>
  <c r="L100" i="1"/>
  <c r="M100" i="1"/>
  <c r="N100" i="1"/>
  <c r="I101" i="1"/>
  <c r="J101" i="1"/>
  <c r="K101" i="1"/>
  <c r="L101" i="1"/>
  <c r="M101" i="1"/>
  <c r="N101" i="1"/>
  <c r="I102" i="1"/>
  <c r="J102" i="1"/>
  <c r="K102" i="1"/>
  <c r="L102" i="1"/>
  <c r="M102" i="1"/>
  <c r="N102" i="1"/>
  <c r="I103" i="1"/>
  <c r="J103" i="1"/>
  <c r="K103" i="1"/>
  <c r="L103" i="1"/>
  <c r="M103" i="1"/>
  <c r="N103" i="1"/>
  <c r="I104" i="1"/>
  <c r="J104" i="1"/>
  <c r="K104" i="1"/>
  <c r="L104" i="1"/>
  <c r="M104" i="1"/>
  <c r="N104" i="1"/>
  <c r="I105" i="1"/>
  <c r="J105" i="1"/>
  <c r="K105" i="1"/>
  <c r="L105" i="1"/>
  <c r="M105" i="1"/>
  <c r="N105" i="1"/>
  <c r="I106" i="1"/>
  <c r="J106" i="1"/>
  <c r="K106" i="1"/>
  <c r="L106" i="1"/>
  <c r="M106" i="1"/>
  <c r="N106" i="1"/>
  <c r="I107" i="1"/>
  <c r="J107" i="1"/>
  <c r="K107" i="1"/>
  <c r="L107" i="1"/>
  <c r="M107" i="1"/>
  <c r="N107" i="1"/>
  <c r="I108" i="1"/>
  <c r="J108" i="1"/>
  <c r="K108" i="1"/>
  <c r="L108" i="1"/>
  <c r="M108" i="1"/>
  <c r="N108" i="1"/>
  <c r="I109" i="1"/>
  <c r="J109" i="1"/>
  <c r="K109" i="1"/>
  <c r="L109" i="1"/>
  <c r="M109" i="1"/>
  <c r="N109" i="1"/>
  <c r="I110" i="1"/>
  <c r="J110" i="1"/>
  <c r="K110" i="1"/>
  <c r="L110" i="1"/>
  <c r="M110" i="1"/>
  <c r="N110" i="1"/>
  <c r="I111" i="1"/>
  <c r="J111" i="1"/>
  <c r="K111" i="1"/>
  <c r="L111" i="1"/>
  <c r="M111" i="1"/>
  <c r="N111" i="1"/>
  <c r="I112" i="1"/>
  <c r="J112" i="1"/>
  <c r="K112" i="1"/>
  <c r="L112" i="1"/>
  <c r="M112" i="1"/>
  <c r="N112" i="1"/>
  <c r="I113" i="1"/>
  <c r="J113" i="1"/>
  <c r="K113" i="1"/>
  <c r="L113" i="1"/>
  <c r="M113" i="1"/>
  <c r="N113" i="1"/>
  <c r="I114" i="1"/>
  <c r="J114" i="1"/>
  <c r="K114" i="1"/>
  <c r="L114" i="1"/>
  <c r="M114" i="1"/>
  <c r="N114" i="1"/>
  <c r="I115" i="1"/>
  <c r="J115" i="1"/>
  <c r="K115" i="1"/>
  <c r="L115" i="1"/>
  <c r="M115" i="1"/>
  <c r="N115" i="1"/>
  <c r="I116" i="1"/>
  <c r="J116" i="1"/>
  <c r="K116" i="1"/>
  <c r="L116" i="1"/>
  <c r="M116" i="1"/>
  <c r="N116" i="1"/>
  <c r="I117" i="1"/>
  <c r="J117" i="1"/>
  <c r="K117" i="1"/>
  <c r="L117" i="1"/>
  <c r="M117" i="1"/>
  <c r="N117" i="1"/>
  <c r="I118" i="1"/>
  <c r="J118" i="1"/>
  <c r="K118" i="1"/>
  <c r="L118" i="1"/>
  <c r="M118" i="1"/>
  <c r="N118" i="1"/>
  <c r="I119" i="1"/>
  <c r="J119" i="1"/>
  <c r="K119" i="1"/>
  <c r="L119" i="1"/>
  <c r="M119" i="1"/>
  <c r="N119" i="1"/>
  <c r="I120" i="1"/>
  <c r="J120" i="1"/>
  <c r="K120" i="1"/>
  <c r="L120" i="1"/>
  <c r="M120" i="1"/>
  <c r="N120" i="1"/>
  <c r="I121" i="1"/>
  <c r="J121" i="1"/>
  <c r="K121" i="1"/>
  <c r="L121" i="1"/>
  <c r="M121" i="1"/>
  <c r="N121" i="1"/>
  <c r="I122" i="1"/>
  <c r="J122" i="1"/>
  <c r="K122" i="1"/>
  <c r="L122" i="1"/>
  <c r="M122" i="1"/>
  <c r="N122" i="1"/>
  <c r="I123" i="1"/>
  <c r="J123" i="1"/>
  <c r="K123" i="1"/>
  <c r="L123" i="1"/>
  <c r="M123" i="1"/>
  <c r="N123" i="1"/>
  <c r="I124" i="1"/>
  <c r="J124" i="1"/>
  <c r="K124" i="1"/>
  <c r="L124" i="1"/>
  <c r="M124" i="1"/>
  <c r="N124" i="1"/>
  <c r="I125" i="1"/>
  <c r="J125" i="1"/>
  <c r="K125" i="1"/>
  <c r="L125" i="1"/>
  <c r="M125" i="1"/>
  <c r="N125" i="1"/>
  <c r="I126" i="1"/>
  <c r="J126" i="1"/>
  <c r="K126" i="1"/>
  <c r="L126" i="1"/>
  <c r="M126" i="1"/>
  <c r="N126" i="1"/>
  <c r="I127" i="1"/>
  <c r="J127" i="1"/>
  <c r="K127" i="1"/>
  <c r="L127" i="1"/>
  <c r="M127" i="1"/>
  <c r="N127" i="1"/>
  <c r="I128" i="1"/>
  <c r="J128" i="1"/>
  <c r="K128" i="1"/>
  <c r="L128" i="1"/>
  <c r="M128" i="1"/>
  <c r="N128" i="1"/>
  <c r="I129" i="1"/>
  <c r="J129" i="1"/>
  <c r="K129" i="1"/>
  <c r="L129" i="1"/>
  <c r="M129" i="1"/>
  <c r="N129" i="1"/>
  <c r="I130" i="1"/>
  <c r="J130" i="1"/>
  <c r="K130" i="1"/>
  <c r="L130" i="1"/>
  <c r="M130" i="1"/>
  <c r="N130" i="1"/>
  <c r="I131" i="1"/>
  <c r="J131" i="1"/>
  <c r="K131" i="1"/>
  <c r="L131" i="1"/>
  <c r="M131" i="1"/>
  <c r="N131" i="1"/>
  <c r="I132" i="1"/>
  <c r="J132" i="1"/>
  <c r="K132" i="1"/>
  <c r="L132" i="1"/>
  <c r="M132" i="1"/>
  <c r="N132" i="1"/>
  <c r="I133" i="1"/>
  <c r="J133" i="1"/>
  <c r="K133" i="1"/>
  <c r="L133" i="1"/>
  <c r="M133" i="1"/>
  <c r="N133" i="1"/>
  <c r="I134" i="1"/>
  <c r="J134" i="1"/>
  <c r="K134" i="1"/>
  <c r="L134" i="1"/>
  <c r="M134" i="1"/>
  <c r="N134" i="1"/>
  <c r="I135" i="1"/>
  <c r="J135" i="1"/>
  <c r="K135" i="1"/>
  <c r="L135" i="1"/>
  <c r="M135" i="1"/>
  <c r="N135" i="1"/>
  <c r="I136" i="1"/>
  <c r="J136" i="1"/>
  <c r="K136" i="1"/>
  <c r="L136" i="1"/>
  <c r="M136" i="1"/>
  <c r="N136" i="1"/>
  <c r="I137" i="1"/>
  <c r="J137" i="1"/>
  <c r="K137" i="1"/>
  <c r="L137" i="1"/>
  <c r="M137" i="1"/>
  <c r="N137" i="1"/>
  <c r="I138" i="1"/>
  <c r="J138" i="1"/>
  <c r="K138" i="1"/>
  <c r="L138" i="1"/>
  <c r="M138" i="1"/>
  <c r="N138" i="1"/>
  <c r="I139" i="1"/>
  <c r="J139" i="1"/>
  <c r="K139" i="1"/>
  <c r="L139" i="1"/>
  <c r="M139" i="1"/>
  <c r="N139" i="1"/>
  <c r="I140" i="1"/>
  <c r="J140" i="1"/>
  <c r="K140" i="1"/>
  <c r="L140" i="1"/>
  <c r="M140" i="1"/>
  <c r="N140" i="1"/>
  <c r="I141" i="1"/>
  <c r="J141" i="1"/>
  <c r="K141" i="1"/>
  <c r="L141" i="1"/>
  <c r="M141" i="1"/>
  <c r="N141" i="1"/>
  <c r="I142" i="1"/>
  <c r="J142" i="1"/>
  <c r="K142" i="1"/>
  <c r="L142" i="1"/>
  <c r="M142" i="1"/>
  <c r="N142" i="1"/>
  <c r="I143" i="1"/>
  <c r="J143" i="1"/>
  <c r="K143" i="1"/>
  <c r="L143" i="1"/>
  <c r="M143" i="1"/>
  <c r="N143" i="1"/>
  <c r="I144" i="1"/>
  <c r="J144" i="1"/>
  <c r="K144" i="1"/>
  <c r="L144" i="1"/>
  <c r="M144" i="1"/>
  <c r="N144" i="1"/>
  <c r="I145" i="1"/>
  <c r="J145" i="1"/>
  <c r="K145" i="1"/>
  <c r="L145" i="1"/>
  <c r="M145" i="1"/>
  <c r="N145" i="1"/>
  <c r="I146" i="1"/>
  <c r="J146" i="1"/>
  <c r="K146" i="1"/>
  <c r="L146" i="1"/>
  <c r="M146" i="1"/>
  <c r="N146" i="1"/>
  <c r="I147" i="1"/>
  <c r="J147" i="1"/>
  <c r="K147" i="1"/>
  <c r="L147" i="1"/>
  <c r="M147" i="1"/>
  <c r="N147" i="1"/>
  <c r="I148" i="1"/>
  <c r="J148" i="1"/>
  <c r="K148" i="1"/>
  <c r="L148" i="1"/>
  <c r="M148" i="1"/>
  <c r="N148" i="1"/>
  <c r="I149" i="1"/>
  <c r="J149" i="1"/>
  <c r="K149" i="1"/>
  <c r="L149" i="1"/>
  <c r="M149" i="1"/>
  <c r="N149" i="1"/>
  <c r="I150" i="1"/>
  <c r="J150" i="1"/>
  <c r="K150" i="1"/>
  <c r="L150" i="1"/>
  <c r="M150" i="1"/>
  <c r="N150" i="1"/>
  <c r="I151" i="1"/>
  <c r="J151" i="1"/>
  <c r="K151" i="1"/>
  <c r="L151" i="1"/>
  <c r="M151" i="1"/>
  <c r="N151" i="1"/>
  <c r="I152" i="1"/>
  <c r="J152" i="1"/>
  <c r="K152" i="1"/>
  <c r="L152" i="1"/>
  <c r="M152" i="1"/>
  <c r="N152" i="1"/>
  <c r="I153" i="1"/>
  <c r="J153" i="1"/>
  <c r="K153" i="1"/>
  <c r="L153" i="1"/>
  <c r="M153" i="1"/>
  <c r="N153" i="1"/>
  <c r="I154" i="1"/>
  <c r="J154" i="1"/>
  <c r="K154" i="1"/>
  <c r="L154" i="1"/>
  <c r="M154" i="1"/>
  <c r="N154" i="1"/>
  <c r="I155" i="1"/>
  <c r="J155" i="1"/>
  <c r="K155" i="1"/>
  <c r="L155" i="1"/>
  <c r="M155" i="1"/>
  <c r="N155" i="1"/>
  <c r="I156" i="1"/>
  <c r="J156" i="1"/>
  <c r="K156" i="1"/>
  <c r="L156" i="1"/>
  <c r="M156" i="1"/>
  <c r="N156" i="1"/>
  <c r="I157" i="1"/>
  <c r="J157" i="1"/>
  <c r="K157" i="1"/>
  <c r="L157" i="1"/>
  <c r="M157" i="1"/>
  <c r="N157" i="1"/>
  <c r="I158" i="1"/>
  <c r="J158" i="1"/>
  <c r="K158" i="1"/>
  <c r="L158" i="1"/>
  <c r="M158" i="1"/>
  <c r="N158" i="1"/>
  <c r="I159" i="1"/>
  <c r="J159" i="1"/>
  <c r="K159" i="1"/>
  <c r="L159" i="1"/>
  <c r="M159" i="1"/>
  <c r="N159" i="1"/>
  <c r="I160" i="1"/>
  <c r="J160" i="1"/>
  <c r="K160" i="1"/>
  <c r="L160" i="1"/>
  <c r="M160" i="1"/>
  <c r="N160" i="1"/>
  <c r="I161" i="1"/>
  <c r="J161" i="1"/>
  <c r="K161" i="1"/>
  <c r="L161" i="1"/>
  <c r="M161" i="1"/>
  <c r="N161" i="1"/>
  <c r="I162" i="1"/>
  <c r="J162" i="1"/>
  <c r="K162" i="1"/>
  <c r="L162" i="1"/>
  <c r="M162" i="1"/>
  <c r="N162" i="1"/>
  <c r="I163" i="1"/>
  <c r="J163" i="1"/>
  <c r="K163" i="1"/>
  <c r="L163" i="1"/>
  <c r="M163" i="1"/>
  <c r="N163" i="1"/>
  <c r="I164" i="1"/>
  <c r="J164" i="1"/>
  <c r="K164" i="1"/>
  <c r="L164" i="1"/>
  <c r="M164" i="1"/>
  <c r="N164" i="1"/>
  <c r="I165" i="1"/>
  <c r="J165" i="1"/>
  <c r="K165" i="1"/>
  <c r="L165" i="1"/>
  <c r="M165" i="1"/>
  <c r="N165" i="1"/>
  <c r="I166" i="1"/>
  <c r="J166" i="1"/>
  <c r="K166" i="1"/>
  <c r="L166" i="1"/>
  <c r="M166" i="1"/>
  <c r="N166" i="1"/>
  <c r="I167" i="1"/>
  <c r="J167" i="1"/>
  <c r="K167" i="1"/>
  <c r="L167" i="1"/>
  <c r="M167" i="1"/>
  <c r="N167" i="1"/>
  <c r="I168" i="1"/>
  <c r="J168" i="1"/>
  <c r="K168" i="1"/>
  <c r="L168" i="1"/>
  <c r="M168" i="1"/>
  <c r="N168" i="1"/>
  <c r="I169" i="1"/>
  <c r="J169" i="1"/>
  <c r="K169" i="1"/>
  <c r="L169" i="1"/>
  <c r="M169" i="1"/>
  <c r="N169" i="1"/>
  <c r="I170" i="1"/>
  <c r="J170" i="1"/>
  <c r="K170" i="1"/>
  <c r="L170" i="1"/>
  <c r="M170" i="1"/>
  <c r="N170" i="1"/>
  <c r="I171" i="1"/>
  <c r="J171" i="1"/>
  <c r="K171" i="1"/>
  <c r="L171" i="1"/>
  <c r="M171" i="1"/>
  <c r="N171" i="1"/>
  <c r="I172" i="1"/>
  <c r="J172" i="1"/>
  <c r="K172" i="1"/>
  <c r="L172" i="1"/>
  <c r="M172" i="1"/>
  <c r="N172" i="1"/>
  <c r="I173" i="1"/>
  <c r="J173" i="1"/>
  <c r="K173" i="1"/>
  <c r="L173" i="1"/>
  <c r="M173" i="1"/>
  <c r="N173" i="1"/>
  <c r="I174" i="1"/>
  <c r="J174" i="1"/>
  <c r="K174" i="1"/>
  <c r="L174" i="1"/>
  <c r="M174" i="1"/>
  <c r="N174" i="1"/>
  <c r="I175" i="1"/>
  <c r="J175" i="1"/>
  <c r="K175" i="1"/>
  <c r="L175" i="1"/>
  <c r="M175" i="1"/>
  <c r="N175" i="1"/>
  <c r="I176" i="1"/>
  <c r="J176" i="1"/>
  <c r="K176" i="1"/>
  <c r="L176" i="1"/>
  <c r="M176" i="1"/>
  <c r="N176" i="1"/>
  <c r="I177" i="1"/>
  <c r="J177" i="1"/>
  <c r="K177" i="1"/>
  <c r="L177" i="1"/>
  <c r="M177" i="1"/>
  <c r="N177" i="1"/>
  <c r="I178" i="1"/>
  <c r="J178" i="1"/>
  <c r="K178" i="1"/>
  <c r="L178" i="1"/>
  <c r="M178" i="1"/>
  <c r="N178" i="1"/>
  <c r="I179" i="1"/>
  <c r="J179" i="1"/>
  <c r="K179" i="1"/>
  <c r="L179" i="1"/>
  <c r="M179" i="1"/>
  <c r="N179" i="1"/>
  <c r="I180" i="1"/>
  <c r="J180" i="1"/>
  <c r="K180" i="1"/>
  <c r="L180" i="1"/>
  <c r="M180" i="1"/>
  <c r="N180" i="1"/>
  <c r="I181" i="1"/>
  <c r="J181" i="1"/>
  <c r="K181" i="1"/>
  <c r="L181" i="1"/>
  <c r="M181" i="1"/>
  <c r="N181" i="1"/>
  <c r="I182" i="1"/>
  <c r="J182" i="1"/>
  <c r="K182" i="1"/>
  <c r="L182" i="1"/>
  <c r="M182" i="1"/>
  <c r="N182" i="1"/>
  <c r="I183" i="1"/>
  <c r="J183" i="1"/>
  <c r="K183" i="1"/>
  <c r="L183" i="1"/>
  <c r="M183" i="1"/>
  <c r="N183" i="1"/>
  <c r="I184" i="1"/>
  <c r="J184" i="1"/>
  <c r="K184" i="1"/>
  <c r="L184" i="1"/>
  <c r="M184" i="1"/>
  <c r="N184" i="1"/>
  <c r="I185" i="1"/>
  <c r="J185" i="1"/>
  <c r="K185" i="1"/>
  <c r="L185" i="1"/>
  <c r="M185" i="1"/>
  <c r="N185" i="1"/>
  <c r="I186" i="1"/>
  <c r="J186" i="1"/>
  <c r="K186" i="1"/>
  <c r="L186" i="1"/>
  <c r="M186" i="1"/>
  <c r="N186" i="1"/>
  <c r="I187" i="1"/>
  <c r="J187" i="1"/>
  <c r="K187" i="1"/>
  <c r="L187" i="1"/>
  <c r="M187" i="1"/>
  <c r="N187" i="1"/>
  <c r="I188" i="1"/>
  <c r="J188" i="1"/>
  <c r="K188" i="1"/>
  <c r="L188" i="1"/>
  <c r="M188" i="1"/>
  <c r="N188" i="1"/>
  <c r="I189" i="1"/>
  <c r="J189" i="1"/>
  <c r="K189" i="1"/>
  <c r="L189" i="1"/>
  <c r="M189" i="1"/>
  <c r="N189" i="1"/>
  <c r="I190" i="1"/>
  <c r="J190" i="1"/>
  <c r="K190" i="1"/>
  <c r="L190" i="1"/>
  <c r="M190" i="1"/>
  <c r="N190" i="1"/>
  <c r="I191" i="1"/>
  <c r="J191" i="1"/>
  <c r="K191" i="1"/>
  <c r="L191" i="1"/>
  <c r="M191" i="1"/>
  <c r="N191" i="1"/>
  <c r="I192" i="1"/>
  <c r="J192" i="1"/>
  <c r="K192" i="1"/>
  <c r="L192" i="1"/>
  <c r="M192" i="1"/>
  <c r="N192" i="1"/>
  <c r="I193" i="1"/>
  <c r="J193" i="1"/>
  <c r="K193" i="1"/>
  <c r="L193" i="1"/>
  <c r="M193" i="1"/>
  <c r="N193" i="1"/>
  <c r="I194" i="1"/>
  <c r="J194" i="1"/>
  <c r="K194" i="1"/>
  <c r="L194" i="1"/>
  <c r="M194" i="1"/>
  <c r="N194" i="1"/>
  <c r="I195" i="1"/>
  <c r="J195" i="1"/>
  <c r="K195" i="1"/>
  <c r="L195" i="1"/>
  <c r="M195" i="1"/>
  <c r="N195" i="1"/>
  <c r="I196" i="1"/>
  <c r="J196" i="1"/>
  <c r="K196" i="1"/>
  <c r="L196" i="1"/>
  <c r="M196" i="1"/>
  <c r="N196" i="1"/>
  <c r="I197" i="1"/>
  <c r="J197" i="1"/>
  <c r="K197" i="1"/>
  <c r="L197" i="1"/>
  <c r="M197" i="1"/>
  <c r="N197" i="1"/>
  <c r="I198" i="1"/>
  <c r="J198" i="1"/>
  <c r="K198" i="1"/>
  <c r="L198" i="1"/>
  <c r="M198" i="1"/>
  <c r="N198" i="1"/>
  <c r="I199" i="1"/>
  <c r="J199" i="1"/>
  <c r="K199" i="1"/>
  <c r="L199" i="1"/>
  <c r="M199" i="1"/>
  <c r="N199" i="1"/>
  <c r="I200" i="1"/>
  <c r="J200" i="1"/>
  <c r="K200" i="1"/>
  <c r="L200" i="1"/>
  <c r="M200" i="1"/>
  <c r="N200" i="1"/>
  <c r="I201" i="1"/>
  <c r="J201" i="1"/>
  <c r="K201" i="1"/>
  <c r="L201" i="1"/>
  <c r="M201" i="1"/>
  <c r="N201" i="1"/>
  <c r="I202" i="1"/>
  <c r="J202" i="1"/>
  <c r="K202" i="1"/>
  <c r="L202" i="1"/>
  <c r="M202" i="1"/>
  <c r="N202" i="1"/>
  <c r="I203" i="1"/>
  <c r="J203" i="1"/>
  <c r="K203" i="1"/>
  <c r="L203" i="1"/>
  <c r="M203" i="1"/>
  <c r="N203" i="1"/>
  <c r="I204" i="1"/>
  <c r="J204" i="1"/>
  <c r="K204" i="1"/>
  <c r="L204" i="1"/>
  <c r="M204" i="1"/>
  <c r="N204" i="1"/>
  <c r="I205" i="1"/>
  <c r="J205" i="1"/>
  <c r="K205" i="1"/>
  <c r="L205" i="1"/>
  <c r="M205" i="1"/>
  <c r="N205" i="1"/>
  <c r="I206" i="1"/>
  <c r="J206" i="1"/>
  <c r="K206" i="1"/>
  <c r="L206" i="1"/>
  <c r="M206" i="1"/>
  <c r="N206" i="1"/>
  <c r="I207" i="1"/>
  <c r="J207" i="1"/>
  <c r="K207" i="1"/>
  <c r="L207" i="1"/>
  <c r="M207" i="1"/>
  <c r="N207" i="1"/>
  <c r="I208" i="1"/>
  <c r="J208" i="1"/>
  <c r="K208" i="1"/>
  <c r="L208" i="1"/>
  <c r="M208" i="1"/>
  <c r="N208" i="1"/>
  <c r="I209" i="1"/>
  <c r="J209" i="1"/>
  <c r="K209" i="1"/>
  <c r="L209" i="1"/>
  <c r="M209" i="1"/>
  <c r="N209" i="1"/>
  <c r="I210" i="1"/>
  <c r="J210" i="1"/>
  <c r="K210" i="1"/>
  <c r="L210" i="1"/>
  <c r="M210" i="1"/>
  <c r="N210" i="1"/>
  <c r="I211" i="1"/>
  <c r="J211" i="1"/>
  <c r="K211" i="1"/>
  <c r="L211" i="1"/>
  <c r="M211" i="1"/>
  <c r="N211" i="1"/>
  <c r="I212" i="1"/>
  <c r="J212" i="1"/>
  <c r="K212" i="1"/>
  <c r="L212" i="1"/>
  <c r="M212" i="1"/>
  <c r="N212" i="1"/>
  <c r="I213" i="1"/>
  <c r="J213" i="1"/>
  <c r="K213" i="1"/>
  <c r="L213" i="1"/>
  <c r="M213" i="1"/>
  <c r="N213" i="1"/>
  <c r="I214" i="1"/>
  <c r="J214" i="1"/>
  <c r="K214" i="1"/>
  <c r="L214" i="1"/>
  <c r="M214" i="1"/>
  <c r="N214" i="1"/>
  <c r="I215" i="1"/>
  <c r="J215" i="1"/>
  <c r="K215" i="1"/>
  <c r="L215" i="1"/>
  <c r="M215" i="1"/>
  <c r="N215" i="1"/>
  <c r="I216" i="1"/>
  <c r="J216" i="1"/>
  <c r="K216" i="1"/>
  <c r="L216" i="1"/>
  <c r="M216" i="1"/>
  <c r="N216" i="1"/>
  <c r="I217" i="1"/>
  <c r="J217" i="1"/>
  <c r="K217" i="1"/>
  <c r="L217" i="1"/>
  <c r="M217" i="1"/>
  <c r="N217" i="1"/>
  <c r="I218" i="1"/>
  <c r="J218" i="1"/>
  <c r="K218" i="1"/>
  <c r="L218" i="1"/>
  <c r="M218" i="1"/>
  <c r="N218" i="1"/>
  <c r="I219" i="1"/>
  <c r="J219" i="1"/>
  <c r="K219" i="1"/>
  <c r="L219" i="1"/>
  <c r="M219" i="1"/>
  <c r="N219" i="1"/>
  <c r="I220" i="1"/>
  <c r="J220" i="1"/>
  <c r="K220" i="1"/>
  <c r="L220" i="1"/>
  <c r="M220" i="1"/>
  <c r="N220" i="1"/>
  <c r="I221" i="1"/>
  <c r="J221" i="1"/>
  <c r="K221" i="1"/>
  <c r="L221" i="1"/>
  <c r="M221" i="1"/>
  <c r="N221" i="1"/>
  <c r="I222" i="1"/>
  <c r="J222" i="1"/>
  <c r="K222" i="1"/>
  <c r="L222" i="1"/>
  <c r="M222" i="1"/>
  <c r="N222" i="1"/>
  <c r="I223" i="1"/>
  <c r="J223" i="1"/>
  <c r="K223" i="1"/>
  <c r="L223" i="1"/>
  <c r="M223" i="1"/>
  <c r="N223" i="1"/>
  <c r="I224" i="1"/>
  <c r="J224" i="1"/>
  <c r="K224" i="1"/>
  <c r="L224" i="1"/>
  <c r="M224" i="1"/>
  <c r="N224" i="1"/>
  <c r="I225" i="1"/>
  <c r="J225" i="1"/>
  <c r="K225" i="1"/>
  <c r="L225" i="1"/>
  <c r="M225" i="1"/>
  <c r="N225" i="1"/>
  <c r="I226" i="1"/>
  <c r="J226" i="1"/>
  <c r="K226" i="1"/>
  <c r="L226" i="1"/>
  <c r="M226" i="1"/>
  <c r="N226" i="1"/>
  <c r="I227" i="1"/>
  <c r="J227" i="1"/>
  <c r="K227" i="1"/>
  <c r="L227" i="1"/>
  <c r="M227" i="1"/>
  <c r="N227" i="1"/>
  <c r="I228" i="1"/>
  <c r="J228" i="1"/>
  <c r="K228" i="1"/>
  <c r="L228" i="1"/>
  <c r="M228" i="1"/>
  <c r="N228" i="1"/>
  <c r="I229" i="1"/>
  <c r="J229" i="1"/>
  <c r="K229" i="1"/>
  <c r="L229" i="1"/>
  <c r="M229" i="1"/>
  <c r="N229" i="1"/>
  <c r="I230" i="1"/>
  <c r="J230" i="1"/>
  <c r="K230" i="1"/>
  <c r="L230" i="1"/>
  <c r="M230" i="1"/>
  <c r="N230" i="1"/>
  <c r="I231" i="1"/>
  <c r="J231" i="1"/>
  <c r="K231" i="1"/>
  <c r="L231" i="1"/>
  <c r="M231" i="1"/>
  <c r="N231" i="1"/>
  <c r="I232" i="1"/>
  <c r="J232" i="1"/>
  <c r="K232" i="1"/>
  <c r="L232" i="1"/>
  <c r="M232" i="1"/>
  <c r="N232" i="1"/>
  <c r="I233" i="1"/>
  <c r="J233" i="1"/>
  <c r="K233" i="1"/>
  <c r="L233" i="1"/>
  <c r="M233" i="1"/>
  <c r="N233" i="1"/>
  <c r="I234" i="1"/>
  <c r="J234" i="1"/>
  <c r="K234" i="1"/>
  <c r="L234" i="1"/>
  <c r="M234" i="1"/>
  <c r="N234" i="1"/>
  <c r="I235" i="1"/>
  <c r="J235" i="1"/>
  <c r="K235" i="1"/>
  <c r="L235" i="1"/>
  <c r="M235" i="1"/>
  <c r="N235" i="1"/>
  <c r="I236" i="1"/>
  <c r="J236" i="1"/>
  <c r="K236" i="1"/>
  <c r="L236" i="1"/>
  <c r="M236" i="1"/>
  <c r="N236" i="1"/>
  <c r="I237" i="1"/>
  <c r="J237" i="1"/>
  <c r="K237" i="1"/>
  <c r="L237" i="1"/>
  <c r="M237" i="1"/>
  <c r="N237" i="1"/>
  <c r="I238" i="1"/>
  <c r="J238" i="1"/>
  <c r="K238" i="1"/>
  <c r="L238" i="1"/>
  <c r="M238" i="1"/>
  <c r="N238" i="1"/>
  <c r="I239" i="1"/>
  <c r="J239" i="1"/>
  <c r="K239" i="1"/>
  <c r="L239" i="1"/>
  <c r="M239" i="1"/>
  <c r="N239" i="1"/>
  <c r="I240" i="1"/>
  <c r="J240" i="1"/>
  <c r="K240" i="1"/>
  <c r="L240" i="1"/>
  <c r="M240" i="1"/>
  <c r="N240" i="1"/>
  <c r="I241" i="1"/>
  <c r="J241" i="1"/>
  <c r="K241" i="1"/>
  <c r="L241" i="1"/>
  <c r="M241" i="1"/>
  <c r="N241" i="1"/>
  <c r="I242" i="1"/>
  <c r="J242" i="1"/>
  <c r="K242" i="1"/>
  <c r="L242" i="1"/>
  <c r="M242" i="1"/>
  <c r="N242" i="1"/>
  <c r="I243" i="1"/>
  <c r="J243" i="1"/>
  <c r="K243" i="1"/>
  <c r="L243" i="1"/>
  <c r="M243" i="1"/>
  <c r="N243" i="1"/>
  <c r="I244" i="1"/>
  <c r="J244" i="1"/>
  <c r="K244" i="1"/>
  <c r="L244" i="1"/>
  <c r="M244" i="1"/>
  <c r="N244" i="1"/>
  <c r="I245" i="1"/>
  <c r="J245" i="1"/>
  <c r="K245" i="1"/>
  <c r="L245" i="1"/>
  <c r="M245" i="1"/>
  <c r="N245" i="1"/>
  <c r="I246" i="1"/>
  <c r="J246" i="1"/>
  <c r="K246" i="1"/>
  <c r="L246" i="1"/>
  <c r="M246" i="1"/>
  <c r="N246" i="1"/>
  <c r="I247" i="1"/>
  <c r="J247" i="1"/>
  <c r="K247" i="1"/>
  <c r="L247" i="1"/>
  <c r="M247" i="1"/>
  <c r="N247" i="1"/>
  <c r="I248" i="1"/>
  <c r="J248" i="1"/>
  <c r="K248" i="1"/>
  <c r="L248" i="1"/>
  <c r="M248" i="1"/>
  <c r="N248" i="1"/>
  <c r="I249" i="1"/>
  <c r="J249" i="1"/>
  <c r="K249" i="1"/>
  <c r="L249" i="1"/>
  <c r="M249" i="1"/>
  <c r="N249" i="1"/>
  <c r="I250" i="1"/>
  <c r="J250" i="1"/>
  <c r="K250" i="1"/>
  <c r="L250" i="1"/>
  <c r="M250" i="1"/>
  <c r="N250" i="1"/>
  <c r="I251" i="1"/>
  <c r="J251" i="1"/>
  <c r="K251" i="1"/>
  <c r="L251" i="1"/>
  <c r="M251" i="1"/>
  <c r="N251" i="1"/>
  <c r="I252" i="1"/>
  <c r="J252" i="1"/>
  <c r="K252" i="1"/>
  <c r="L252" i="1"/>
  <c r="M252" i="1"/>
  <c r="N252" i="1"/>
  <c r="I253" i="1"/>
  <c r="J253" i="1"/>
  <c r="K253" i="1"/>
  <c r="L253" i="1"/>
  <c r="M253" i="1"/>
  <c r="N253" i="1"/>
  <c r="I254" i="1"/>
  <c r="J254" i="1"/>
  <c r="K254" i="1"/>
  <c r="L254" i="1"/>
  <c r="M254" i="1"/>
  <c r="N254" i="1"/>
  <c r="I255" i="1"/>
  <c r="J255" i="1"/>
  <c r="K255" i="1"/>
  <c r="L255" i="1"/>
  <c r="M255" i="1"/>
  <c r="N255" i="1"/>
  <c r="I256" i="1"/>
  <c r="J256" i="1"/>
  <c r="K256" i="1"/>
  <c r="L256" i="1"/>
  <c r="M256" i="1"/>
  <c r="N256" i="1"/>
  <c r="I257" i="1"/>
  <c r="J257" i="1"/>
  <c r="K257" i="1"/>
  <c r="L257" i="1"/>
  <c r="M257" i="1"/>
  <c r="N257" i="1"/>
  <c r="I258" i="1"/>
  <c r="J258" i="1"/>
  <c r="K258" i="1"/>
  <c r="L258" i="1"/>
  <c r="M258" i="1"/>
  <c r="N258" i="1"/>
  <c r="I259" i="1"/>
  <c r="J259" i="1"/>
  <c r="K259" i="1"/>
  <c r="L259" i="1"/>
  <c r="M259" i="1"/>
  <c r="N259" i="1"/>
  <c r="I260" i="1"/>
  <c r="J260" i="1"/>
  <c r="K260" i="1"/>
  <c r="L260" i="1"/>
  <c r="M260" i="1"/>
  <c r="N260" i="1"/>
  <c r="I261" i="1"/>
  <c r="J261" i="1"/>
  <c r="K261" i="1"/>
  <c r="L261" i="1"/>
  <c r="M261" i="1"/>
  <c r="N261" i="1"/>
  <c r="I262" i="1"/>
  <c r="J262" i="1"/>
  <c r="K262" i="1"/>
  <c r="L262" i="1"/>
  <c r="M262" i="1"/>
  <c r="N262" i="1"/>
  <c r="I263" i="1"/>
  <c r="J263" i="1"/>
  <c r="K263" i="1"/>
  <c r="L263" i="1"/>
  <c r="M263" i="1"/>
  <c r="N263" i="1"/>
  <c r="I264" i="1"/>
  <c r="J264" i="1"/>
  <c r="K264" i="1"/>
  <c r="L264" i="1"/>
  <c r="M264" i="1"/>
  <c r="N264" i="1"/>
  <c r="I265" i="1"/>
  <c r="J265" i="1"/>
  <c r="K265" i="1"/>
  <c r="L265" i="1"/>
  <c r="M265" i="1"/>
  <c r="N265" i="1"/>
  <c r="I266" i="1"/>
  <c r="J266" i="1"/>
  <c r="K266" i="1"/>
  <c r="L266" i="1"/>
  <c r="M266" i="1"/>
  <c r="N266" i="1"/>
  <c r="I267" i="1"/>
  <c r="J267" i="1"/>
  <c r="K267" i="1"/>
  <c r="L267" i="1"/>
  <c r="M267" i="1"/>
  <c r="N267" i="1"/>
  <c r="I268" i="1"/>
  <c r="J268" i="1"/>
  <c r="K268" i="1"/>
  <c r="L268" i="1"/>
  <c r="M268" i="1"/>
  <c r="N268" i="1"/>
  <c r="I269" i="1"/>
  <c r="J269" i="1"/>
  <c r="K269" i="1"/>
  <c r="L269" i="1"/>
  <c r="M269" i="1"/>
  <c r="N269" i="1"/>
  <c r="I270" i="1"/>
  <c r="J270" i="1"/>
  <c r="K270" i="1"/>
  <c r="L270" i="1"/>
  <c r="M270" i="1"/>
  <c r="N270" i="1"/>
  <c r="I271" i="1"/>
  <c r="J271" i="1"/>
  <c r="K271" i="1"/>
  <c r="L271" i="1"/>
  <c r="M271" i="1"/>
  <c r="N271" i="1"/>
  <c r="I272" i="1"/>
  <c r="J272" i="1"/>
  <c r="K272" i="1"/>
  <c r="L272" i="1"/>
  <c r="M272" i="1"/>
  <c r="N272" i="1"/>
  <c r="I273" i="1"/>
  <c r="J273" i="1"/>
  <c r="K273" i="1"/>
  <c r="L273" i="1"/>
  <c r="M273" i="1"/>
  <c r="N273" i="1"/>
  <c r="I274" i="1"/>
  <c r="J274" i="1"/>
  <c r="K274" i="1"/>
  <c r="L274" i="1"/>
  <c r="M274" i="1"/>
  <c r="N274" i="1"/>
  <c r="I275" i="1"/>
  <c r="J275" i="1"/>
  <c r="K275" i="1"/>
  <c r="L275" i="1"/>
  <c r="M275" i="1"/>
  <c r="N275" i="1"/>
  <c r="I276" i="1"/>
  <c r="J276" i="1"/>
  <c r="K276" i="1"/>
  <c r="L276" i="1"/>
  <c r="M276" i="1"/>
  <c r="N276" i="1"/>
  <c r="I277" i="1"/>
  <c r="J277" i="1"/>
  <c r="K277" i="1"/>
  <c r="L277" i="1"/>
  <c r="M277" i="1"/>
  <c r="N277" i="1"/>
  <c r="I278" i="1"/>
  <c r="J278" i="1"/>
  <c r="K278" i="1"/>
  <c r="L278" i="1"/>
  <c r="M278" i="1"/>
  <c r="N278" i="1"/>
  <c r="I279" i="1"/>
  <c r="J279" i="1"/>
  <c r="K279" i="1"/>
  <c r="L279" i="1"/>
  <c r="M279" i="1"/>
  <c r="N279" i="1"/>
  <c r="I280" i="1"/>
  <c r="J280" i="1"/>
  <c r="K280" i="1"/>
  <c r="L280" i="1"/>
  <c r="M280" i="1"/>
  <c r="N280" i="1"/>
  <c r="I281" i="1"/>
  <c r="J281" i="1"/>
  <c r="K281" i="1"/>
  <c r="L281" i="1"/>
  <c r="M281" i="1"/>
  <c r="N281" i="1"/>
  <c r="I282" i="1"/>
  <c r="J282" i="1"/>
  <c r="K282" i="1"/>
  <c r="L282" i="1"/>
  <c r="M282" i="1"/>
  <c r="N282" i="1"/>
  <c r="I283" i="1"/>
  <c r="J283" i="1"/>
  <c r="K283" i="1"/>
  <c r="L283" i="1"/>
  <c r="M283" i="1"/>
  <c r="N283" i="1"/>
  <c r="I284" i="1"/>
  <c r="J284" i="1"/>
  <c r="K284" i="1"/>
  <c r="L284" i="1"/>
  <c r="M284" i="1"/>
  <c r="N284" i="1"/>
  <c r="I285" i="1"/>
  <c r="J285" i="1"/>
  <c r="K285" i="1"/>
  <c r="L285" i="1"/>
  <c r="M285" i="1"/>
  <c r="N285" i="1"/>
  <c r="I286" i="1"/>
  <c r="J286" i="1"/>
  <c r="K286" i="1"/>
  <c r="L286" i="1"/>
  <c r="M286" i="1"/>
  <c r="N286" i="1"/>
  <c r="I287" i="1"/>
  <c r="J287" i="1"/>
  <c r="K287" i="1"/>
  <c r="L287" i="1"/>
  <c r="M287" i="1"/>
  <c r="N287" i="1"/>
  <c r="I288" i="1"/>
  <c r="J288" i="1"/>
  <c r="K288" i="1"/>
  <c r="L288" i="1"/>
  <c r="M288" i="1"/>
  <c r="N288" i="1"/>
  <c r="I289" i="1"/>
  <c r="J289" i="1"/>
  <c r="K289" i="1"/>
  <c r="L289" i="1"/>
  <c r="M289" i="1"/>
  <c r="N289" i="1"/>
  <c r="I290" i="1"/>
  <c r="J290" i="1"/>
  <c r="K290" i="1"/>
  <c r="L290" i="1"/>
  <c r="M290" i="1"/>
  <c r="N290" i="1"/>
  <c r="I291" i="1"/>
  <c r="J291" i="1"/>
  <c r="K291" i="1"/>
  <c r="L291" i="1"/>
  <c r="M291" i="1"/>
  <c r="N291" i="1"/>
  <c r="I292" i="1"/>
  <c r="J292" i="1"/>
  <c r="K292" i="1"/>
  <c r="L292" i="1"/>
  <c r="M292" i="1"/>
  <c r="N292" i="1"/>
  <c r="I293" i="1"/>
  <c r="J293" i="1"/>
  <c r="K293" i="1"/>
  <c r="L293" i="1"/>
  <c r="M293" i="1"/>
  <c r="N293" i="1"/>
  <c r="I294" i="1"/>
  <c r="J294" i="1"/>
  <c r="K294" i="1"/>
  <c r="L294" i="1"/>
  <c r="M294" i="1"/>
  <c r="N294" i="1"/>
  <c r="I295" i="1"/>
  <c r="J295" i="1"/>
  <c r="K295" i="1"/>
  <c r="L295" i="1"/>
  <c r="M295" i="1"/>
  <c r="N295" i="1"/>
  <c r="I296" i="1"/>
  <c r="J296" i="1"/>
  <c r="K296" i="1"/>
  <c r="L296" i="1"/>
  <c r="M296" i="1"/>
  <c r="N296" i="1"/>
  <c r="I297" i="1"/>
  <c r="J297" i="1"/>
  <c r="K297" i="1"/>
  <c r="L297" i="1"/>
  <c r="M297" i="1"/>
  <c r="N297" i="1"/>
  <c r="I298" i="1"/>
  <c r="J298" i="1"/>
  <c r="K298" i="1"/>
  <c r="L298" i="1"/>
  <c r="M298" i="1"/>
  <c r="N298" i="1"/>
  <c r="I299" i="1"/>
  <c r="J299" i="1"/>
  <c r="K299" i="1"/>
  <c r="L299" i="1"/>
  <c r="M299" i="1"/>
  <c r="N299" i="1"/>
  <c r="I300" i="1"/>
  <c r="J300" i="1"/>
  <c r="K300" i="1"/>
  <c r="L300" i="1"/>
  <c r="M300" i="1"/>
  <c r="N300" i="1"/>
  <c r="I301" i="1"/>
  <c r="J301" i="1"/>
  <c r="K301" i="1"/>
  <c r="L301" i="1"/>
  <c r="M301" i="1"/>
  <c r="N301" i="1"/>
  <c r="I302" i="1"/>
  <c r="J302" i="1"/>
  <c r="K302" i="1"/>
  <c r="L302" i="1"/>
  <c r="M302" i="1"/>
  <c r="N302" i="1"/>
  <c r="I303" i="1"/>
  <c r="J303" i="1"/>
  <c r="K303" i="1"/>
  <c r="L303" i="1"/>
  <c r="M303" i="1"/>
  <c r="N303" i="1"/>
  <c r="I304" i="1"/>
  <c r="J304" i="1"/>
  <c r="K304" i="1"/>
  <c r="L304" i="1"/>
  <c r="M304" i="1"/>
  <c r="N304" i="1"/>
  <c r="I305" i="1"/>
  <c r="J305" i="1"/>
  <c r="K305" i="1"/>
  <c r="L305" i="1"/>
  <c r="M305" i="1"/>
  <c r="N305" i="1"/>
  <c r="I306" i="1"/>
  <c r="J306" i="1"/>
  <c r="K306" i="1"/>
  <c r="L306" i="1"/>
  <c r="M306" i="1"/>
  <c r="N306" i="1"/>
  <c r="I307" i="1"/>
  <c r="J307" i="1"/>
  <c r="K307" i="1"/>
  <c r="L307" i="1"/>
  <c r="M307" i="1"/>
  <c r="N307" i="1"/>
  <c r="I308" i="1"/>
  <c r="J308" i="1"/>
  <c r="K308" i="1"/>
  <c r="L308" i="1"/>
  <c r="M308" i="1"/>
  <c r="N308" i="1"/>
  <c r="I309" i="1"/>
  <c r="J309" i="1"/>
  <c r="K309" i="1"/>
  <c r="L309" i="1"/>
  <c r="M309" i="1"/>
  <c r="N309" i="1"/>
  <c r="I310" i="1"/>
  <c r="J310" i="1"/>
  <c r="K310" i="1"/>
  <c r="L310" i="1"/>
  <c r="M310" i="1"/>
  <c r="N310" i="1"/>
  <c r="I311" i="1"/>
  <c r="J311" i="1"/>
  <c r="K311" i="1"/>
  <c r="L311" i="1"/>
  <c r="M311" i="1"/>
  <c r="N311" i="1"/>
  <c r="I312" i="1"/>
  <c r="J312" i="1"/>
  <c r="K312" i="1"/>
  <c r="L312" i="1"/>
  <c r="M312" i="1"/>
  <c r="N312" i="1"/>
  <c r="I313" i="1"/>
  <c r="J313" i="1"/>
  <c r="K313" i="1"/>
  <c r="L313" i="1"/>
  <c r="M313" i="1"/>
  <c r="N313" i="1"/>
  <c r="I314" i="1"/>
  <c r="J314" i="1"/>
  <c r="K314" i="1"/>
  <c r="L314" i="1"/>
  <c r="M314" i="1"/>
  <c r="N314" i="1"/>
  <c r="I315" i="1"/>
  <c r="J315" i="1"/>
  <c r="K315" i="1"/>
  <c r="L315" i="1"/>
  <c r="M315" i="1"/>
  <c r="N315" i="1"/>
  <c r="I316" i="1"/>
  <c r="J316" i="1"/>
  <c r="K316" i="1"/>
  <c r="L316" i="1"/>
  <c r="M316" i="1"/>
  <c r="N316" i="1"/>
  <c r="I317" i="1"/>
  <c r="J317" i="1"/>
  <c r="K317" i="1"/>
  <c r="L317" i="1"/>
  <c r="M317" i="1"/>
  <c r="N317" i="1"/>
  <c r="I318" i="1"/>
  <c r="J318" i="1"/>
  <c r="K318" i="1"/>
  <c r="L318" i="1"/>
  <c r="M318" i="1"/>
  <c r="N318" i="1"/>
  <c r="I319" i="1"/>
  <c r="J319" i="1"/>
  <c r="K319" i="1"/>
  <c r="L319" i="1"/>
  <c r="M319" i="1"/>
  <c r="N319" i="1"/>
  <c r="I320" i="1"/>
  <c r="J320" i="1"/>
  <c r="K320" i="1"/>
  <c r="L320" i="1"/>
  <c r="M320" i="1"/>
  <c r="N320" i="1"/>
  <c r="I321" i="1"/>
  <c r="J321" i="1"/>
  <c r="K321" i="1"/>
  <c r="L321" i="1"/>
  <c r="M321" i="1"/>
  <c r="N321" i="1"/>
  <c r="I322" i="1"/>
  <c r="J322" i="1"/>
  <c r="K322" i="1"/>
  <c r="L322" i="1"/>
  <c r="M322" i="1"/>
  <c r="N322" i="1"/>
  <c r="I323" i="1"/>
  <c r="J323" i="1"/>
  <c r="K323" i="1"/>
  <c r="L323" i="1"/>
  <c r="M323" i="1"/>
  <c r="N323" i="1"/>
  <c r="I324" i="1"/>
  <c r="J324" i="1"/>
  <c r="K324" i="1"/>
  <c r="L324" i="1"/>
  <c r="M324" i="1"/>
  <c r="N324" i="1"/>
  <c r="I325" i="1"/>
  <c r="J325" i="1"/>
  <c r="K325" i="1"/>
  <c r="L325" i="1"/>
  <c r="M325" i="1"/>
  <c r="N325" i="1"/>
  <c r="I326" i="1"/>
  <c r="J326" i="1"/>
  <c r="K326" i="1"/>
  <c r="L326" i="1"/>
  <c r="M326" i="1"/>
  <c r="N326" i="1"/>
  <c r="I327" i="1"/>
  <c r="J327" i="1"/>
  <c r="K327" i="1"/>
  <c r="L327" i="1"/>
  <c r="M327" i="1"/>
  <c r="N327" i="1"/>
  <c r="I328" i="1"/>
  <c r="J328" i="1"/>
  <c r="K328" i="1"/>
  <c r="L328" i="1"/>
  <c r="M328" i="1"/>
  <c r="N328" i="1"/>
  <c r="I329" i="1"/>
  <c r="J329" i="1"/>
  <c r="K329" i="1"/>
  <c r="L329" i="1"/>
  <c r="M329" i="1"/>
  <c r="N329" i="1"/>
  <c r="I330" i="1"/>
  <c r="J330" i="1"/>
  <c r="K330" i="1"/>
  <c r="L330" i="1"/>
  <c r="M330" i="1"/>
  <c r="N330" i="1"/>
  <c r="I331" i="1"/>
  <c r="J331" i="1"/>
  <c r="K331" i="1"/>
  <c r="L331" i="1"/>
  <c r="M331" i="1"/>
  <c r="N331" i="1"/>
  <c r="I332" i="1"/>
  <c r="J332" i="1"/>
  <c r="K332" i="1"/>
  <c r="L332" i="1"/>
  <c r="M332" i="1"/>
  <c r="N332" i="1"/>
  <c r="I333" i="1"/>
  <c r="J333" i="1"/>
  <c r="K333" i="1"/>
  <c r="L333" i="1"/>
  <c r="M333" i="1"/>
  <c r="N333" i="1"/>
  <c r="I334" i="1"/>
  <c r="J334" i="1"/>
  <c r="K334" i="1"/>
  <c r="L334" i="1"/>
  <c r="M334" i="1"/>
  <c r="N334" i="1"/>
  <c r="I335" i="1"/>
  <c r="J335" i="1"/>
  <c r="K335" i="1"/>
  <c r="L335" i="1"/>
  <c r="M335" i="1"/>
  <c r="N335" i="1"/>
  <c r="I336" i="1"/>
  <c r="J336" i="1"/>
  <c r="K336" i="1"/>
  <c r="L336" i="1"/>
  <c r="M336" i="1"/>
  <c r="N336" i="1"/>
  <c r="I337" i="1"/>
  <c r="J337" i="1"/>
  <c r="K337" i="1"/>
  <c r="L337" i="1"/>
  <c r="M337" i="1"/>
  <c r="N337" i="1"/>
  <c r="I338" i="1"/>
  <c r="J338" i="1"/>
  <c r="K338" i="1"/>
  <c r="L338" i="1"/>
  <c r="M338" i="1"/>
  <c r="N338" i="1"/>
  <c r="I339" i="1"/>
  <c r="J339" i="1"/>
  <c r="K339" i="1"/>
  <c r="L339" i="1"/>
  <c r="M339" i="1"/>
  <c r="N339" i="1"/>
  <c r="I340" i="1"/>
  <c r="J340" i="1"/>
  <c r="K340" i="1"/>
  <c r="L340" i="1"/>
  <c r="M340" i="1"/>
  <c r="N340" i="1"/>
  <c r="I341" i="1"/>
  <c r="J341" i="1"/>
  <c r="K341" i="1"/>
  <c r="L341" i="1"/>
  <c r="M341" i="1"/>
  <c r="N341" i="1"/>
  <c r="I342" i="1"/>
  <c r="J342" i="1"/>
  <c r="K342" i="1"/>
  <c r="L342" i="1"/>
  <c r="M342" i="1"/>
  <c r="N342" i="1"/>
  <c r="I343" i="1"/>
  <c r="J343" i="1"/>
  <c r="K343" i="1"/>
  <c r="L343" i="1"/>
  <c r="M343" i="1"/>
  <c r="N343" i="1"/>
  <c r="I344" i="1"/>
  <c r="J344" i="1"/>
  <c r="K344" i="1"/>
  <c r="L344" i="1"/>
  <c r="M344" i="1"/>
  <c r="N344" i="1"/>
  <c r="I345" i="1"/>
  <c r="J345" i="1"/>
  <c r="K345" i="1"/>
  <c r="L345" i="1"/>
  <c r="M345" i="1"/>
  <c r="N345" i="1"/>
  <c r="I346" i="1"/>
  <c r="J346" i="1"/>
  <c r="K346" i="1"/>
  <c r="L346" i="1"/>
  <c r="M346" i="1"/>
  <c r="N346" i="1"/>
  <c r="I347" i="1"/>
  <c r="J347" i="1"/>
  <c r="K347" i="1"/>
  <c r="L347" i="1"/>
  <c r="M347" i="1"/>
  <c r="N347" i="1"/>
  <c r="I348" i="1"/>
  <c r="J348" i="1"/>
  <c r="K348" i="1"/>
  <c r="L348" i="1"/>
  <c r="M348" i="1"/>
  <c r="N348" i="1"/>
  <c r="I349" i="1"/>
  <c r="J349" i="1"/>
  <c r="K349" i="1"/>
  <c r="L349" i="1"/>
  <c r="M349" i="1"/>
  <c r="N349" i="1"/>
  <c r="I350" i="1"/>
  <c r="J350" i="1"/>
  <c r="K350" i="1"/>
  <c r="L350" i="1"/>
  <c r="M350" i="1"/>
  <c r="N350" i="1"/>
  <c r="I351" i="1"/>
  <c r="J351" i="1"/>
  <c r="K351" i="1"/>
  <c r="L351" i="1"/>
  <c r="M351" i="1"/>
  <c r="N351" i="1"/>
  <c r="I352" i="1"/>
  <c r="J352" i="1"/>
  <c r="K352" i="1"/>
  <c r="L352" i="1"/>
  <c r="M352" i="1"/>
  <c r="N352" i="1"/>
  <c r="I353" i="1"/>
  <c r="J353" i="1"/>
  <c r="K353" i="1"/>
  <c r="L353" i="1"/>
  <c r="M353" i="1"/>
  <c r="N353" i="1"/>
  <c r="I354" i="1"/>
  <c r="J354" i="1"/>
  <c r="K354" i="1"/>
  <c r="L354" i="1"/>
  <c r="M354" i="1"/>
  <c r="N354" i="1"/>
  <c r="I355" i="1"/>
  <c r="J355" i="1"/>
  <c r="K355" i="1"/>
  <c r="L355" i="1"/>
  <c r="M355" i="1"/>
  <c r="N355" i="1"/>
  <c r="I356" i="1"/>
  <c r="J356" i="1"/>
  <c r="K356" i="1"/>
  <c r="L356" i="1"/>
  <c r="M356" i="1"/>
  <c r="N356" i="1"/>
  <c r="I357" i="1"/>
  <c r="J357" i="1"/>
  <c r="K357" i="1"/>
  <c r="L357" i="1"/>
  <c r="M357" i="1"/>
  <c r="N357" i="1"/>
  <c r="I358" i="1"/>
  <c r="J358" i="1"/>
  <c r="K358" i="1"/>
  <c r="L358" i="1"/>
  <c r="M358" i="1"/>
  <c r="N358" i="1"/>
  <c r="I359" i="1"/>
  <c r="J359" i="1"/>
  <c r="K359" i="1"/>
  <c r="L359" i="1"/>
  <c r="M359" i="1"/>
  <c r="N359" i="1"/>
  <c r="I360" i="1"/>
  <c r="J360" i="1"/>
  <c r="K360" i="1"/>
  <c r="L360" i="1"/>
  <c r="M360" i="1"/>
  <c r="N360" i="1"/>
  <c r="I361" i="1"/>
  <c r="J361" i="1"/>
  <c r="K361" i="1"/>
  <c r="L361" i="1"/>
  <c r="M361" i="1"/>
  <c r="N361" i="1"/>
  <c r="I362" i="1"/>
  <c r="J362" i="1"/>
  <c r="K362" i="1"/>
  <c r="L362" i="1"/>
  <c r="M362" i="1"/>
  <c r="N362" i="1"/>
  <c r="I363" i="1"/>
  <c r="J363" i="1"/>
  <c r="K363" i="1"/>
  <c r="L363" i="1"/>
  <c r="M363" i="1"/>
  <c r="N363" i="1"/>
  <c r="I364" i="1"/>
  <c r="J364" i="1"/>
  <c r="K364" i="1"/>
  <c r="L364" i="1"/>
  <c r="M364" i="1"/>
  <c r="N364" i="1"/>
  <c r="I365" i="1"/>
  <c r="J365" i="1"/>
  <c r="K365" i="1"/>
  <c r="L365" i="1"/>
  <c r="M365" i="1"/>
  <c r="N365" i="1"/>
  <c r="I366" i="1"/>
  <c r="J366" i="1"/>
  <c r="K366" i="1"/>
  <c r="L366" i="1"/>
  <c r="M366" i="1"/>
  <c r="N366" i="1"/>
  <c r="I367" i="1"/>
  <c r="J367" i="1"/>
  <c r="K367" i="1"/>
  <c r="L367" i="1"/>
  <c r="M367" i="1"/>
  <c r="N367" i="1"/>
  <c r="I368" i="1"/>
  <c r="J368" i="1"/>
  <c r="K368" i="1"/>
  <c r="L368" i="1"/>
  <c r="M368" i="1"/>
  <c r="N368" i="1"/>
  <c r="I369" i="1"/>
  <c r="J369" i="1"/>
  <c r="K369" i="1"/>
  <c r="L369" i="1"/>
  <c r="M369" i="1"/>
  <c r="N369" i="1"/>
  <c r="I370" i="1"/>
  <c r="J370" i="1"/>
  <c r="K370" i="1"/>
  <c r="L370" i="1"/>
  <c r="M370" i="1"/>
  <c r="N370" i="1"/>
  <c r="I371" i="1"/>
  <c r="J371" i="1"/>
  <c r="K371" i="1"/>
  <c r="L371" i="1"/>
  <c r="M371" i="1"/>
  <c r="N371" i="1"/>
  <c r="I372" i="1"/>
  <c r="J372" i="1"/>
  <c r="K372" i="1"/>
  <c r="L372" i="1"/>
  <c r="M372" i="1"/>
  <c r="N372" i="1"/>
  <c r="I373" i="1"/>
  <c r="J373" i="1"/>
  <c r="K373" i="1"/>
  <c r="L373" i="1"/>
  <c r="M373" i="1"/>
  <c r="N373" i="1"/>
  <c r="I374" i="1"/>
  <c r="J374" i="1"/>
  <c r="K374" i="1"/>
  <c r="L374" i="1"/>
  <c r="M374" i="1"/>
  <c r="N374" i="1"/>
  <c r="I375" i="1"/>
  <c r="J375" i="1"/>
  <c r="K375" i="1"/>
  <c r="L375" i="1"/>
  <c r="M375" i="1"/>
  <c r="N375" i="1"/>
  <c r="I376" i="1"/>
  <c r="J376" i="1"/>
  <c r="K376" i="1"/>
  <c r="L376" i="1"/>
  <c r="M376" i="1"/>
  <c r="N376" i="1"/>
  <c r="I377" i="1"/>
  <c r="J377" i="1"/>
  <c r="K377" i="1"/>
  <c r="L377" i="1"/>
  <c r="M377" i="1"/>
  <c r="N377" i="1"/>
  <c r="I378" i="1"/>
  <c r="J378" i="1"/>
  <c r="K378" i="1"/>
  <c r="L378" i="1"/>
  <c r="M378" i="1"/>
  <c r="N378" i="1"/>
  <c r="I379" i="1"/>
  <c r="J379" i="1"/>
  <c r="K379" i="1"/>
  <c r="L379" i="1"/>
  <c r="M379" i="1"/>
  <c r="N379" i="1"/>
  <c r="I380" i="1"/>
  <c r="J380" i="1"/>
  <c r="K380" i="1"/>
  <c r="L380" i="1"/>
  <c r="M380" i="1"/>
  <c r="N380" i="1"/>
  <c r="I381" i="1"/>
  <c r="J381" i="1"/>
  <c r="K381" i="1"/>
  <c r="L381" i="1"/>
  <c r="M381" i="1"/>
  <c r="N381" i="1"/>
  <c r="I382" i="1"/>
  <c r="J382" i="1"/>
  <c r="K382" i="1"/>
  <c r="L382" i="1"/>
  <c r="M382" i="1"/>
  <c r="N382" i="1"/>
  <c r="I383" i="1"/>
  <c r="J383" i="1"/>
  <c r="K383" i="1"/>
  <c r="L383" i="1"/>
  <c r="M383" i="1"/>
  <c r="N383" i="1"/>
  <c r="I384" i="1"/>
  <c r="J384" i="1"/>
  <c r="K384" i="1"/>
  <c r="L384" i="1"/>
  <c r="M384" i="1"/>
  <c r="N384" i="1"/>
  <c r="I385" i="1"/>
  <c r="J385" i="1"/>
  <c r="K385" i="1"/>
  <c r="L385" i="1"/>
  <c r="M385" i="1"/>
  <c r="N385" i="1"/>
  <c r="I386" i="1"/>
  <c r="J386" i="1"/>
  <c r="K386" i="1"/>
  <c r="L386" i="1"/>
  <c r="M386" i="1"/>
  <c r="N386" i="1"/>
  <c r="I387" i="1"/>
  <c r="J387" i="1"/>
  <c r="K387" i="1"/>
  <c r="L387" i="1"/>
  <c r="M387" i="1"/>
  <c r="N387" i="1"/>
  <c r="I388" i="1"/>
  <c r="J388" i="1"/>
  <c r="K388" i="1"/>
  <c r="L388" i="1"/>
  <c r="M388" i="1"/>
  <c r="N388" i="1"/>
  <c r="I389" i="1"/>
  <c r="J389" i="1"/>
  <c r="K389" i="1"/>
  <c r="L389" i="1"/>
  <c r="M389" i="1"/>
  <c r="N389" i="1"/>
  <c r="I390" i="1"/>
  <c r="J390" i="1"/>
  <c r="K390" i="1"/>
  <c r="L390" i="1"/>
  <c r="M390" i="1"/>
  <c r="N390" i="1"/>
  <c r="I391" i="1"/>
  <c r="J391" i="1"/>
  <c r="K391" i="1"/>
  <c r="L391" i="1"/>
  <c r="M391" i="1"/>
  <c r="N391" i="1"/>
  <c r="I392" i="1"/>
  <c r="J392" i="1"/>
  <c r="K392" i="1"/>
  <c r="L392" i="1"/>
  <c r="M392" i="1"/>
  <c r="N392" i="1"/>
  <c r="I393" i="1"/>
  <c r="J393" i="1"/>
  <c r="K393" i="1"/>
  <c r="L393" i="1"/>
  <c r="M393" i="1"/>
  <c r="N393" i="1"/>
  <c r="I394" i="1"/>
  <c r="J394" i="1"/>
  <c r="K394" i="1"/>
  <c r="L394" i="1"/>
  <c r="M394" i="1"/>
  <c r="N394" i="1"/>
  <c r="I395" i="1"/>
  <c r="J395" i="1"/>
  <c r="K395" i="1"/>
  <c r="L395" i="1"/>
  <c r="M395" i="1"/>
  <c r="N395" i="1"/>
  <c r="I396" i="1"/>
  <c r="J396" i="1"/>
  <c r="K396" i="1"/>
  <c r="L396" i="1"/>
  <c r="M396" i="1"/>
  <c r="N396" i="1"/>
  <c r="I397" i="1"/>
  <c r="J397" i="1"/>
  <c r="K397" i="1"/>
  <c r="L397" i="1"/>
  <c r="M397" i="1"/>
  <c r="N397" i="1"/>
  <c r="I398" i="1"/>
  <c r="J398" i="1"/>
  <c r="K398" i="1"/>
  <c r="L398" i="1"/>
  <c r="M398" i="1"/>
  <c r="N398" i="1"/>
  <c r="I399" i="1"/>
  <c r="J399" i="1"/>
  <c r="K399" i="1"/>
  <c r="L399" i="1"/>
  <c r="M399" i="1"/>
  <c r="N399" i="1"/>
  <c r="I400" i="1"/>
  <c r="J400" i="1"/>
  <c r="K400" i="1"/>
  <c r="L400" i="1"/>
  <c r="M400" i="1"/>
  <c r="N400" i="1"/>
  <c r="I401" i="1"/>
  <c r="J401" i="1"/>
  <c r="K401" i="1"/>
  <c r="L401" i="1"/>
  <c r="M401" i="1"/>
  <c r="N401" i="1"/>
  <c r="I402" i="1"/>
  <c r="J402" i="1"/>
  <c r="K402" i="1"/>
  <c r="L402" i="1"/>
  <c r="M402" i="1"/>
  <c r="N402" i="1"/>
  <c r="I403" i="1"/>
  <c r="J403" i="1"/>
  <c r="K403" i="1"/>
  <c r="L403" i="1"/>
  <c r="M403" i="1"/>
  <c r="N403" i="1"/>
  <c r="I404" i="1"/>
  <c r="J404" i="1"/>
  <c r="K404" i="1"/>
  <c r="L404" i="1"/>
  <c r="M404" i="1"/>
  <c r="N404" i="1"/>
  <c r="I405" i="1"/>
  <c r="J405" i="1"/>
  <c r="K405" i="1"/>
  <c r="L405" i="1"/>
  <c r="M405" i="1"/>
  <c r="N405" i="1"/>
  <c r="I406" i="1"/>
  <c r="J406" i="1"/>
  <c r="K406" i="1"/>
  <c r="L406" i="1"/>
  <c r="M406" i="1"/>
  <c r="N406" i="1"/>
  <c r="I407" i="1"/>
  <c r="J407" i="1"/>
  <c r="K407" i="1"/>
  <c r="L407" i="1"/>
  <c r="M407" i="1"/>
  <c r="N407" i="1"/>
  <c r="I408" i="1"/>
  <c r="J408" i="1"/>
  <c r="K408" i="1"/>
  <c r="L408" i="1"/>
  <c r="M408" i="1"/>
  <c r="N408" i="1"/>
  <c r="I409" i="1"/>
  <c r="J409" i="1"/>
  <c r="K409" i="1"/>
  <c r="L409" i="1"/>
  <c r="M409" i="1"/>
  <c r="N409" i="1"/>
  <c r="I410" i="1"/>
  <c r="J410" i="1"/>
  <c r="K410" i="1"/>
  <c r="L410" i="1"/>
  <c r="M410" i="1"/>
  <c r="N410" i="1"/>
  <c r="I411" i="1"/>
  <c r="J411" i="1"/>
  <c r="K411" i="1"/>
  <c r="L411" i="1"/>
  <c r="M411" i="1"/>
  <c r="N411" i="1"/>
  <c r="I412" i="1"/>
  <c r="J412" i="1"/>
  <c r="K412" i="1"/>
  <c r="L412" i="1"/>
  <c r="M412" i="1"/>
  <c r="N412" i="1"/>
  <c r="I413" i="1"/>
  <c r="J413" i="1"/>
  <c r="K413" i="1"/>
  <c r="L413" i="1"/>
  <c r="M413" i="1"/>
  <c r="N413" i="1"/>
  <c r="I414" i="1"/>
  <c r="J414" i="1"/>
  <c r="K414" i="1"/>
  <c r="L414" i="1"/>
  <c r="M414" i="1"/>
  <c r="N414" i="1"/>
  <c r="I415" i="1"/>
  <c r="J415" i="1"/>
  <c r="K415" i="1"/>
  <c r="L415" i="1"/>
  <c r="M415" i="1"/>
  <c r="N415" i="1"/>
  <c r="I416" i="1"/>
  <c r="J416" i="1"/>
  <c r="K416" i="1"/>
  <c r="L416" i="1"/>
  <c r="M416" i="1"/>
  <c r="N416" i="1"/>
  <c r="I417" i="1"/>
  <c r="J417" i="1"/>
  <c r="K417" i="1"/>
  <c r="L417" i="1"/>
  <c r="M417" i="1"/>
  <c r="N417" i="1"/>
  <c r="I418" i="1"/>
  <c r="J418" i="1"/>
  <c r="K418" i="1"/>
  <c r="L418" i="1"/>
  <c r="M418" i="1"/>
  <c r="N418" i="1"/>
  <c r="I419" i="1"/>
  <c r="J419" i="1"/>
  <c r="K419" i="1"/>
  <c r="L419" i="1"/>
  <c r="M419" i="1"/>
  <c r="N419" i="1"/>
  <c r="I420" i="1"/>
  <c r="J420" i="1"/>
  <c r="K420" i="1"/>
  <c r="L420" i="1"/>
  <c r="M420" i="1"/>
  <c r="N420" i="1"/>
  <c r="I421" i="1"/>
  <c r="J421" i="1"/>
  <c r="K421" i="1"/>
  <c r="L421" i="1"/>
  <c r="M421" i="1"/>
  <c r="N421" i="1"/>
  <c r="I422" i="1"/>
  <c r="J422" i="1"/>
  <c r="K422" i="1"/>
  <c r="L422" i="1"/>
  <c r="M422" i="1"/>
  <c r="N422" i="1"/>
  <c r="I423" i="1"/>
  <c r="J423" i="1"/>
  <c r="K423" i="1"/>
  <c r="L423" i="1"/>
  <c r="M423" i="1"/>
  <c r="N423" i="1"/>
  <c r="I424" i="1"/>
  <c r="J424" i="1"/>
  <c r="K424" i="1"/>
  <c r="L424" i="1"/>
  <c r="M424" i="1"/>
  <c r="N424" i="1"/>
  <c r="I425" i="1"/>
  <c r="J425" i="1"/>
  <c r="K425" i="1"/>
  <c r="L425" i="1"/>
  <c r="M425" i="1"/>
  <c r="N425" i="1"/>
  <c r="I426" i="1"/>
  <c r="J426" i="1"/>
  <c r="K426" i="1"/>
  <c r="L426" i="1"/>
  <c r="M426" i="1"/>
  <c r="N426" i="1"/>
  <c r="I427" i="1"/>
  <c r="J427" i="1"/>
  <c r="K427" i="1"/>
  <c r="L427" i="1"/>
  <c r="M427" i="1"/>
  <c r="N427" i="1"/>
  <c r="I428" i="1"/>
  <c r="J428" i="1"/>
  <c r="K428" i="1"/>
  <c r="L428" i="1"/>
  <c r="M428" i="1"/>
  <c r="N428" i="1"/>
  <c r="I429" i="1"/>
  <c r="J429" i="1"/>
  <c r="K429" i="1"/>
  <c r="L429" i="1"/>
  <c r="M429" i="1"/>
  <c r="N429" i="1"/>
  <c r="I430" i="1"/>
  <c r="J430" i="1"/>
  <c r="K430" i="1"/>
  <c r="L430" i="1"/>
  <c r="M430" i="1"/>
  <c r="N430" i="1"/>
  <c r="I431" i="1"/>
  <c r="J431" i="1"/>
  <c r="K431" i="1"/>
  <c r="L431" i="1"/>
  <c r="M431" i="1"/>
  <c r="N431" i="1"/>
  <c r="I432" i="1"/>
  <c r="J432" i="1"/>
  <c r="K432" i="1"/>
  <c r="L432" i="1"/>
  <c r="M432" i="1"/>
  <c r="N432" i="1"/>
  <c r="I433" i="1"/>
  <c r="J433" i="1"/>
  <c r="K433" i="1"/>
  <c r="L433" i="1"/>
  <c r="M433" i="1"/>
  <c r="N433" i="1"/>
  <c r="I434" i="1"/>
  <c r="J434" i="1"/>
  <c r="K434" i="1"/>
  <c r="L434" i="1"/>
  <c r="M434" i="1"/>
  <c r="N434" i="1"/>
  <c r="I435" i="1"/>
  <c r="J435" i="1"/>
  <c r="K435" i="1"/>
  <c r="L435" i="1"/>
  <c r="M435" i="1"/>
  <c r="N435" i="1"/>
  <c r="I436" i="1"/>
  <c r="J436" i="1"/>
  <c r="K436" i="1"/>
  <c r="L436" i="1"/>
  <c r="M436" i="1"/>
  <c r="N436" i="1"/>
  <c r="I437" i="1"/>
  <c r="J437" i="1"/>
  <c r="K437" i="1"/>
  <c r="L437" i="1"/>
  <c r="M437" i="1"/>
  <c r="N437" i="1"/>
  <c r="I438" i="1"/>
  <c r="J438" i="1"/>
  <c r="K438" i="1"/>
  <c r="L438" i="1"/>
  <c r="M438" i="1"/>
  <c r="N438" i="1"/>
  <c r="I439" i="1"/>
  <c r="J439" i="1"/>
  <c r="K439" i="1"/>
  <c r="L439" i="1"/>
  <c r="M439" i="1"/>
  <c r="N439" i="1"/>
  <c r="I440" i="1"/>
  <c r="J440" i="1"/>
  <c r="K440" i="1"/>
  <c r="L440" i="1"/>
  <c r="M440" i="1"/>
  <c r="N440" i="1"/>
  <c r="I441" i="1"/>
  <c r="J441" i="1"/>
  <c r="K441" i="1"/>
  <c r="L441" i="1"/>
  <c r="M441" i="1"/>
  <c r="N441" i="1"/>
  <c r="I442" i="1"/>
  <c r="J442" i="1"/>
  <c r="K442" i="1"/>
  <c r="L442" i="1"/>
  <c r="M442" i="1"/>
  <c r="N442" i="1"/>
  <c r="I443" i="1"/>
  <c r="J443" i="1"/>
  <c r="K443" i="1"/>
  <c r="L443" i="1"/>
  <c r="M443" i="1"/>
  <c r="N443" i="1"/>
  <c r="I444" i="1"/>
  <c r="J444" i="1"/>
  <c r="K444" i="1"/>
  <c r="L444" i="1"/>
  <c r="M444" i="1"/>
  <c r="N444" i="1"/>
  <c r="I445" i="1"/>
  <c r="J445" i="1"/>
  <c r="K445" i="1"/>
  <c r="L445" i="1"/>
  <c r="M445" i="1"/>
  <c r="N445" i="1"/>
  <c r="J14" i="1"/>
  <c r="K14" i="1"/>
  <c r="L14" i="1"/>
  <c r="M14" i="1"/>
  <c r="N14" i="1"/>
  <c r="I14" i="1"/>
  <c r="I14" i="11"/>
  <c r="J14" i="11"/>
  <c r="K14" i="11"/>
  <c r="L14" i="11"/>
  <c r="M14" i="11"/>
  <c r="N14" i="11"/>
  <c r="I15" i="11"/>
  <c r="J15" i="11"/>
  <c r="K15" i="11"/>
  <c r="L15" i="11"/>
  <c r="M15" i="11"/>
  <c r="N15" i="11"/>
  <c r="I16" i="11"/>
  <c r="J16" i="11"/>
  <c r="K16" i="11"/>
  <c r="L16" i="11"/>
  <c r="M16" i="11"/>
  <c r="N16" i="11"/>
  <c r="I17" i="11"/>
  <c r="J17" i="11"/>
  <c r="K17" i="11"/>
  <c r="L17" i="11"/>
  <c r="M17" i="11"/>
  <c r="N17" i="11"/>
  <c r="I18" i="11"/>
  <c r="J18" i="11"/>
  <c r="K18" i="11"/>
  <c r="L18" i="11"/>
  <c r="M18" i="11"/>
  <c r="N18" i="11"/>
  <c r="I19" i="11"/>
  <c r="J19" i="11"/>
  <c r="K19" i="11"/>
  <c r="L19" i="11"/>
  <c r="M19" i="11"/>
  <c r="N19" i="11"/>
  <c r="I20" i="11"/>
  <c r="J20" i="11"/>
  <c r="K20" i="11"/>
  <c r="L20" i="11"/>
  <c r="M20" i="11"/>
  <c r="N20" i="11"/>
  <c r="I21" i="11"/>
  <c r="J21" i="11"/>
  <c r="K21" i="11"/>
  <c r="L21" i="11"/>
  <c r="M21" i="11"/>
  <c r="N21" i="11"/>
  <c r="I22" i="11"/>
  <c r="J22" i="11"/>
  <c r="K22" i="11"/>
  <c r="L22" i="11"/>
  <c r="M22" i="11"/>
  <c r="N22" i="11"/>
  <c r="I23" i="11"/>
  <c r="J23" i="11"/>
  <c r="K23" i="11"/>
  <c r="L23" i="11"/>
  <c r="M23" i="11"/>
  <c r="N23" i="11"/>
  <c r="I24" i="11"/>
  <c r="J24" i="11"/>
  <c r="K24" i="11"/>
  <c r="L24" i="11"/>
  <c r="M24" i="11"/>
  <c r="N24" i="11"/>
  <c r="I25" i="11"/>
  <c r="J25" i="11"/>
  <c r="K25" i="11"/>
  <c r="L25" i="11"/>
  <c r="M25" i="11"/>
  <c r="N25" i="11"/>
  <c r="I26" i="11"/>
  <c r="J26" i="11"/>
  <c r="K26" i="11"/>
  <c r="L26" i="11"/>
  <c r="M26" i="11"/>
  <c r="N26" i="11"/>
  <c r="I27" i="11"/>
  <c r="J27" i="11"/>
  <c r="K27" i="11"/>
  <c r="L27" i="11"/>
  <c r="M27" i="11"/>
  <c r="N27" i="11"/>
  <c r="I28" i="11"/>
  <c r="J28" i="11"/>
  <c r="K28" i="11"/>
  <c r="L28" i="11"/>
  <c r="M28" i="11"/>
  <c r="N28" i="11"/>
  <c r="I29" i="11"/>
  <c r="J29" i="11"/>
  <c r="K29" i="11"/>
  <c r="L29" i="11"/>
  <c r="M29" i="11"/>
  <c r="N29" i="11"/>
  <c r="I30" i="11"/>
  <c r="J30" i="11"/>
  <c r="K30" i="11"/>
  <c r="L30" i="11"/>
  <c r="M30" i="11"/>
  <c r="N30" i="11"/>
  <c r="I31" i="11"/>
  <c r="J31" i="11"/>
  <c r="K31" i="11"/>
  <c r="L31" i="11"/>
  <c r="M31" i="11"/>
  <c r="N31" i="11"/>
  <c r="I32" i="11"/>
  <c r="J32" i="11"/>
  <c r="K32" i="11"/>
  <c r="L32" i="11"/>
  <c r="M32" i="11"/>
  <c r="N32" i="11"/>
  <c r="I33" i="11"/>
  <c r="J33" i="11"/>
  <c r="K33" i="11"/>
  <c r="L33" i="11"/>
  <c r="M33" i="11"/>
  <c r="N33" i="11"/>
  <c r="I34" i="11"/>
  <c r="J34" i="11"/>
  <c r="K34" i="11"/>
  <c r="L34" i="11"/>
  <c r="M34" i="11"/>
  <c r="N34" i="11"/>
  <c r="I35" i="11"/>
  <c r="J35" i="11"/>
  <c r="K35" i="11"/>
  <c r="L35" i="11"/>
  <c r="M35" i="11"/>
  <c r="N35" i="11"/>
  <c r="I36" i="11"/>
  <c r="J36" i="11"/>
  <c r="K36" i="11"/>
  <c r="L36" i="11"/>
  <c r="M36" i="11"/>
  <c r="N36" i="11"/>
  <c r="I37" i="11"/>
  <c r="J37" i="11"/>
  <c r="K37" i="11"/>
  <c r="L37" i="11"/>
  <c r="M37" i="11"/>
  <c r="N37" i="11"/>
  <c r="I38" i="11"/>
  <c r="J38" i="11"/>
  <c r="K38" i="11"/>
  <c r="L38" i="11"/>
  <c r="M38" i="11"/>
  <c r="N38" i="11"/>
  <c r="I39" i="11"/>
  <c r="J39" i="11"/>
  <c r="K39" i="11"/>
  <c r="L39" i="11"/>
  <c r="M39" i="11"/>
  <c r="N39" i="11"/>
  <c r="I40" i="11"/>
  <c r="J40" i="11"/>
  <c r="K40" i="11"/>
  <c r="L40" i="11"/>
  <c r="M40" i="11"/>
  <c r="N40" i="11"/>
  <c r="I41" i="11"/>
  <c r="J41" i="11"/>
  <c r="K41" i="11"/>
  <c r="L41" i="11"/>
  <c r="M41" i="11"/>
  <c r="N41" i="11"/>
  <c r="I42" i="11"/>
  <c r="J42" i="11"/>
  <c r="K42" i="11"/>
  <c r="L42" i="11"/>
  <c r="M42" i="11"/>
  <c r="N42" i="11"/>
  <c r="I43" i="11"/>
  <c r="J43" i="11"/>
  <c r="K43" i="11"/>
  <c r="L43" i="11"/>
  <c r="M43" i="11"/>
  <c r="N43" i="11"/>
  <c r="I44" i="11"/>
  <c r="J44" i="11"/>
  <c r="K44" i="11"/>
  <c r="L44" i="11"/>
  <c r="M44" i="11"/>
  <c r="N44" i="11"/>
  <c r="I45" i="11"/>
  <c r="J45" i="11"/>
  <c r="K45" i="11"/>
  <c r="L45" i="11"/>
  <c r="M45" i="11"/>
  <c r="N45" i="11"/>
  <c r="I46" i="11"/>
  <c r="J46" i="11"/>
  <c r="K46" i="11"/>
  <c r="L46" i="11"/>
  <c r="M46" i="11"/>
  <c r="N46" i="11"/>
  <c r="I47" i="11"/>
  <c r="J47" i="11"/>
  <c r="K47" i="11"/>
  <c r="L47" i="11"/>
  <c r="M47" i="11"/>
  <c r="N47" i="11"/>
  <c r="I48" i="11"/>
  <c r="J48" i="11"/>
  <c r="K48" i="11"/>
  <c r="L48" i="11"/>
  <c r="M48" i="11"/>
  <c r="N48" i="11"/>
  <c r="I49" i="11"/>
  <c r="J49" i="11"/>
  <c r="K49" i="11"/>
  <c r="L49" i="11"/>
  <c r="M49" i="11"/>
  <c r="N49" i="11"/>
  <c r="I50" i="11"/>
  <c r="J50" i="11"/>
  <c r="K50" i="11"/>
  <c r="L50" i="11"/>
  <c r="M50" i="11"/>
  <c r="N50" i="11"/>
  <c r="I51" i="11"/>
  <c r="J51" i="11"/>
  <c r="K51" i="11"/>
  <c r="L51" i="11"/>
  <c r="M51" i="11"/>
  <c r="N51" i="11"/>
  <c r="I52" i="11"/>
  <c r="J52" i="11"/>
  <c r="K52" i="11"/>
  <c r="L52" i="11"/>
  <c r="M52" i="11"/>
  <c r="N52" i="11"/>
  <c r="I53" i="11"/>
  <c r="J53" i="11"/>
  <c r="K53" i="11"/>
  <c r="L53" i="11"/>
  <c r="M53" i="11"/>
  <c r="N53" i="11"/>
  <c r="I54" i="11"/>
  <c r="J54" i="11"/>
  <c r="K54" i="11"/>
  <c r="L54" i="11"/>
  <c r="M54" i="11"/>
  <c r="N54" i="11"/>
  <c r="I55" i="11"/>
  <c r="J55" i="11"/>
  <c r="K55" i="11"/>
  <c r="L55" i="11"/>
  <c r="M55" i="11"/>
  <c r="N55" i="11"/>
  <c r="I56" i="11"/>
  <c r="J56" i="11"/>
  <c r="K56" i="11"/>
  <c r="L56" i="11"/>
  <c r="M56" i="11"/>
  <c r="N56" i="11"/>
  <c r="I57" i="11"/>
  <c r="J57" i="11"/>
  <c r="K57" i="11"/>
  <c r="L57" i="11"/>
  <c r="M57" i="11"/>
  <c r="N57" i="11"/>
  <c r="I58" i="11"/>
  <c r="J58" i="11"/>
  <c r="K58" i="11"/>
  <c r="L58" i="11"/>
  <c r="M58" i="11"/>
  <c r="N58" i="11"/>
  <c r="I59" i="11"/>
  <c r="J59" i="11"/>
  <c r="K59" i="11"/>
  <c r="L59" i="11"/>
  <c r="M59" i="11"/>
  <c r="N59" i="11"/>
  <c r="I60" i="11"/>
  <c r="J60" i="11"/>
  <c r="K60" i="11"/>
  <c r="L60" i="11"/>
  <c r="M60" i="11"/>
  <c r="N60" i="11"/>
  <c r="I61" i="11"/>
  <c r="J61" i="11"/>
  <c r="K61" i="11"/>
  <c r="L61" i="11"/>
  <c r="M61" i="11"/>
  <c r="N61" i="11"/>
  <c r="I62" i="11"/>
  <c r="J62" i="11"/>
  <c r="K62" i="11"/>
  <c r="L62" i="11"/>
  <c r="M62" i="11"/>
  <c r="N62" i="11"/>
  <c r="I63" i="11"/>
  <c r="J63" i="11"/>
  <c r="K63" i="11"/>
  <c r="L63" i="11"/>
  <c r="M63" i="11"/>
  <c r="N63" i="11"/>
  <c r="I64" i="11"/>
  <c r="J64" i="11"/>
  <c r="K64" i="11"/>
  <c r="L64" i="11"/>
  <c r="M64" i="11"/>
  <c r="N64" i="11"/>
  <c r="I65" i="11"/>
  <c r="J65" i="11"/>
  <c r="K65" i="11"/>
  <c r="L65" i="11"/>
  <c r="M65" i="11"/>
  <c r="N65" i="11"/>
  <c r="I66" i="11"/>
  <c r="J66" i="11"/>
  <c r="K66" i="11"/>
  <c r="L66" i="11"/>
  <c r="M66" i="11"/>
  <c r="N66" i="11"/>
  <c r="I67" i="11"/>
  <c r="J67" i="11"/>
  <c r="K67" i="11"/>
  <c r="L67" i="11"/>
  <c r="M67" i="11"/>
  <c r="N67" i="11"/>
  <c r="I68" i="11"/>
  <c r="J68" i="11"/>
  <c r="K68" i="11"/>
  <c r="L68" i="11"/>
  <c r="M68" i="11"/>
  <c r="N68" i="11"/>
  <c r="I69" i="11"/>
  <c r="J69" i="11"/>
  <c r="K69" i="11"/>
  <c r="L69" i="11"/>
  <c r="M69" i="11"/>
  <c r="N69" i="11"/>
  <c r="I70" i="11"/>
  <c r="J70" i="11"/>
  <c r="K70" i="11"/>
  <c r="L70" i="11"/>
  <c r="M70" i="11"/>
  <c r="N70" i="11"/>
  <c r="I71" i="11"/>
  <c r="J71" i="11"/>
  <c r="K71" i="11"/>
  <c r="L71" i="11"/>
  <c r="M71" i="11"/>
  <c r="N71" i="11"/>
  <c r="I72" i="11"/>
  <c r="J72" i="11"/>
  <c r="K72" i="11"/>
  <c r="L72" i="11"/>
  <c r="M72" i="11"/>
  <c r="N72" i="11"/>
  <c r="I73" i="11"/>
  <c r="J73" i="11"/>
  <c r="K73" i="11"/>
  <c r="L73" i="11"/>
  <c r="M73" i="11"/>
  <c r="N73" i="11"/>
  <c r="I74" i="11"/>
  <c r="J74" i="11"/>
  <c r="K74" i="11"/>
  <c r="L74" i="11"/>
  <c r="M74" i="11"/>
  <c r="N74" i="11"/>
  <c r="I75" i="11"/>
  <c r="J75" i="11"/>
  <c r="K75" i="11"/>
  <c r="L75" i="11"/>
  <c r="M75" i="11"/>
  <c r="N75" i="11"/>
  <c r="I76" i="11"/>
  <c r="J76" i="11"/>
  <c r="K76" i="11"/>
  <c r="L76" i="11"/>
  <c r="M76" i="11"/>
  <c r="N76" i="11"/>
  <c r="I77" i="11"/>
  <c r="J77" i="11"/>
  <c r="K77" i="11"/>
  <c r="L77" i="11"/>
  <c r="M77" i="11"/>
  <c r="N77" i="11"/>
  <c r="I78" i="11"/>
  <c r="J78" i="11"/>
  <c r="K78" i="11"/>
  <c r="L78" i="11"/>
  <c r="M78" i="11"/>
  <c r="N78" i="11"/>
  <c r="I79" i="11"/>
  <c r="J79" i="11"/>
  <c r="K79" i="11"/>
  <c r="L79" i="11"/>
  <c r="M79" i="11"/>
  <c r="N79" i="11"/>
  <c r="I80" i="11"/>
  <c r="J80" i="11"/>
  <c r="K80" i="11"/>
  <c r="L80" i="11"/>
  <c r="M80" i="11"/>
  <c r="N80" i="11"/>
  <c r="I81" i="11"/>
  <c r="J81" i="11"/>
  <c r="K81" i="11"/>
  <c r="L81" i="11"/>
  <c r="M81" i="11"/>
  <c r="N81" i="11"/>
  <c r="I82" i="11"/>
  <c r="J82" i="11"/>
  <c r="K82" i="11"/>
  <c r="L82" i="11"/>
  <c r="M82" i="11"/>
  <c r="N82" i="11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16" i="5"/>
  <c r="H15" i="5"/>
  <c r="H14" i="5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16" i="4"/>
  <c r="H15" i="4"/>
  <c r="H14" i="4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16" i="2"/>
  <c r="H15" i="2"/>
  <c r="H14" i="2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C15" i="5"/>
  <c r="D15" i="5"/>
  <c r="E15" i="5"/>
  <c r="F15" i="5"/>
  <c r="G15" i="5"/>
  <c r="C16" i="5"/>
  <c r="D16" i="5"/>
  <c r="E16" i="5"/>
  <c r="F16" i="5"/>
  <c r="G16" i="5"/>
  <c r="C17" i="5"/>
  <c r="D17" i="5"/>
  <c r="E17" i="5"/>
  <c r="F17" i="5"/>
  <c r="G17" i="5"/>
  <c r="C18" i="5"/>
  <c r="D18" i="5"/>
  <c r="E18" i="5"/>
  <c r="F18" i="5"/>
  <c r="G18" i="5"/>
  <c r="C19" i="5"/>
  <c r="D19" i="5"/>
  <c r="E19" i="5"/>
  <c r="F19" i="5"/>
  <c r="G19" i="5"/>
  <c r="C20" i="5"/>
  <c r="D20" i="5"/>
  <c r="E20" i="5"/>
  <c r="F20" i="5"/>
  <c r="G20" i="5"/>
  <c r="C21" i="5"/>
  <c r="D21" i="5"/>
  <c r="E21" i="5"/>
  <c r="F21" i="5"/>
  <c r="G21" i="5"/>
  <c r="C22" i="5"/>
  <c r="D22" i="5"/>
  <c r="E22" i="5"/>
  <c r="F22" i="5"/>
  <c r="G22" i="5"/>
  <c r="C23" i="5"/>
  <c r="D23" i="5"/>
  <c r="E23" i="5"/>
  <c r="F23" i="5"/>
  <c r="G23" i="5"/>
  <c r="C24" i="5"/>
  <c r="D24" i="5"/>
  <c r="E24" i="5"/>
  <c r="F24" i="5"/>
  <c r="G24" i="5"/>
  <c r="C25" i="5"/>
  <c r="D25" i="5"/>
  <c r="E25" i="5"/>
  <c r="F25" i="5"/>
  <c r="G25" i="5"/>
  <c r="C26" i="5"/>
  <c r="D26" i="5"/>
  <c r="E26" i="5"/>
  <c r="F26" i="5"/>
  <c r="G26" i="5"/>
  <c r="C27" i="5"/>
  <c r="D27" i="5"/>
  <c r="E27" i="5"/>
  <c r="F27" i="5"/>
  <c r="G27" i="5"/>
  <c r="C28" i="5"/>
  <c r="D28" i="5"/>
  <c r="E28" i="5"/>
  <c r="F28" i="5"/>
  <c r="G28" i="5"/>
  <c r="C29" i="5"/>
  <c r="D29" i="5"/>
  <c r="E29" i="5"/>
  <c r="F29" i="5"/>
  <c r="G29" i="5"/>
  <c r="C30" i="5"/>
  <c r="D30" i="5"/>
  <c r="E30" i="5"/>
  <c r="F30" i="5"/>
  <c r="G30" i="5"/>
  <c r="C31" i="5"/>
  <c r="D31" i="5"/>
  <c r="E31" i="5"/>
  <c r="F31" i="5"/>
  <c r="G31" i="5"/>
  <c r="C32" i="5"/>
  <c r="D32" i="5"/>
  <c r="E32" i="5"/>
  <c r="F32" i="5"/>
  <c r="G32" i="5"/>
  <c r="C33" i="5"/>
  <c r="D33" i="5"/>
  <c r="E33" i="5"/>
  <c r="F33" i="5"/>
  <c r="G33" i="5"/>
  <c r="C34" i="5"/>
  <c r="D34" i="5"/>
  <c r="E34" i="5"/>
  <c r="F34" i="5"/>
  <c r="G34" i="5"/>
  <c r="C35" i="5"/>
  <c r="D35" i="5"/>
  <c r="E35" i="5"/>
  <c r="F35" i="5"/>
  <c r="G35" i="5"/>
  <c r="C36" i="5"/>
  <c r="D36" i="5"/>
  <c r="E36" i="5"/>
  <c r="F36" i="5"/>
  <c r="G36" i="5"/>
  <c r="C37" i="5"/>
  <c r="D37" i="5"/>
  <c r="E37" i="5"/>
  <c r="F37" i="5"/>
  <c r="G37" i="5"/>
  <c r="C38" i="5"/>
  <c r="D38" i="5"/>
  <c r="E38" i="5"/>
  <c r="F38" i="5"/>
  <c r="G38" i="5"/>
  <c r="C39" i="5"/>
  <c r="D39" i="5"/>
  <c r="E39" i="5"/>
  <c r="F39" i="5"/>
  <c r="G39" i="5"/>
  <c r="C40" i="5"/>
  <c r="D40" i="5"/>
  <c r="E40" i="5"/>
  <c r="F40" i="5"/>
  <c r="G40" i="5"/>
  <c r="C41" i="5"/>
  <c r="D41" i="5"/>
  <c r="E41" i="5"/>
  <c r="F41" i="5"/>
  <c r="G41" i="5"/>
  <c r="C42" i="5"/>
  <c r="D42" i="5"/>
  <c r="E42" i="5"/>
  <c r="F42" i="5"/>
  <c r="G42" i="5"/>
  <c r="C43" i="5"/>
  <c r="D43" i="5"/>
  <c r="E43" i="5"/>
  <c r="F43" i="5"/>
  <c r="G43" i="5"/>
  <c r="C44" i="5"/>
  <c r="D44" i="5"/>
  <c r="E44" i="5"/>
  <c r="F44" i="5"/>
  <c r="G44" i="5"/>
  <c r="C45" i="5"/>
  <c r="D45" i="5"/>
  <c r="E45" i="5"/>
  <c r="F45" i="5"/>
  <c r="G45" i="5"/>
  <c r="C46" i="5"/>
  <c r="D46" i="5"/>
  <c r="E46" i="5"/>
  <c r="F46" i="5"/>
  <c r="G46" i="5"/>
  <c r="C47" i="5"/>
  <c r="D47" i="5"/>
  <c r="E47" i="5"/>
  <c r="F47" i="5"/>
  <c r="G47" i="5"/>
  <c r="C48" i="5"/>
  <c r="D48" i="5"/>
  <c r="E48" i="5"/>
  <c r="F48" i="5"/>
  <c r="G48" i="5"/>
  <c r="C49" i="5"/>
  <c r="D49" i="5"/>
  <c r="E49" i="5"/>
  <c r="F49" i="5"/>
  <c r="G49" i="5"/>
  <c r="C50" i="5"/>
  <c r="D50" i="5"/>
  <c r="E50" i="5"/>
  <c r="F50" i="5"/>
  <c r="G50" i="5"/>
  <c r="C51" i="5"/>
  <c r="D51" i="5"/>
  <c r="E51" i="5"/>
  <c r="F51" i="5"/>
  <c r="G51" i="5"/>
  <c r="C52" i="5"/>
  <c r="D52" i="5"/>
  <c r="E52" i="5"/>
  <c r="F52" i="5"/>
  <c r="G52" i="5"/>
  <c r="C53" i="5"/>
  <c r="D53" i="5"/>
  <c r="E53" i="5"/>
  <c r="F53" i="5"/>
  <c r="G53" i="5"/>
  <c r="C54" i="5"/>
  <c r="D54" i="5"/>
  <c r="E54" i="5"/>
  <c r="F54" i="5"/>
  <c r="G54" i="5"/>
  <c r="C55" i="5"/>
  <c r="D55" i="5"/>
  <c r="E55" i="5"/>
  <c r="F55" i="5"/>
  <c r="G55" i="5"/>
  <c r="C56" i="5"/>
  <c r="D56" i="5"/>
  <c r="E56" i="5"/>
  <c r="F56" i="5"/>
  <c r="G56" i="5"/>
  <c r="C57" i="5"/>
  <c r="D57" i="5"/>
  <c r="E57" i="5"/>
  <c r="F57" i="5"/>
  <c r="G57" i="5"/>
  <c r="C58" i="5"/>
  <c r="D58" i="5"/>
  <c r="E58" i="5"/>
  <c r="F58" i="5"/>
  <c r="G58" i="5"/>
  <c r="C59" i="5"/>
  <c r="D59" i="5"/>
  <c r="E59" i="5"/>
  <c r="F59" i="5"/>
  <c r="G59" i="5"/>
  <c r="C60" i="5"/>
  <c r="D60" i="5"/>
  <c r="E60" i="5"/>
  <c r="F60" i="5"/>
  <c r="G60" i="5"/>
  <c r="C61" i="5"/>
  <c r="D61" i="5"/>
  <c r="E61" i="5"/>
  <c r="F61" i="5"/>
  <c r="G61" i="5"/>
  <c r="C62" i="5"/>
  <c r="D62" i="5"/>
  <c r="E62" i="5"/>
  <c r="F62" i="5"/>
  <c r="G62" i="5"/>
  <c r="C63" i="5"/>
  <c r="D63" i="5"/>
  <c r="E63" i="5"/>
  <c r="F63" i="5"/>
  <c r="G63" i="5"/>
  <c r="C64" i="5"/>
  <c r="D64" i="5"/>
  <c r="E64" i="5"/>
  <c r="F64" i="5"/>
  <c r="G64" i="5"/>
  <c r="C65" i="5"/>
  <c r="D65" i="5"/>
  <c r="E65" i="5"/>
  <c r="F65" i="5"/>
  <c r="G65" i="5"/>
  <c r="C66" i="5"/>
  <c r="D66" i="5"/>
  <c r="E66" i="5"/>
  <c r="F66" i="5"/>
  <c r="G66" i="5"/>
  <c r="C67" i="5"/>
  <c r="D67" i="5"/>
  <c r="E67" i="5"/>
  <c r="F67" i="5"/>
  <c r="G67" i="5"/>
  <c r="C68" i="5"/>
  <c r="D68" i="5"/>
  <c r="E68" i="5"/>
  <c r="F68" i="5"/>
  <c r="G68" i="5"/>
  <c r="C69" i="5"/>
  <c r="D69" i="5"/>
  <c r="E69" i="5"/>
  <c r="F69" i="5"/>
  <c r="G69" i="5"/>
  <c r="C70" i="5"/>
  <c r="D70" i="5"/>
  <c r="E70" i="5"/>
  <c r="F70" i="5"/>
  <c r="G70" i="5"/>
  <c r="C71" i="5"/>
  <c r="D71" i="5"/>
  <c r="E71" i="5"/>
  <c r="F71" i="5"/>
  <c r="G71" i="5"/>
  <c r="C72" i="5"/>
  <c r="D72" i="5"/>
  <c r="E72" i="5"/>
  <c r="F72" i="5"/>
  <c r="G72" i="5"/>
  <c r="C73" i="5"/>
  <c r="D73" i="5"/>
  <c r="E73" i="5"/>
  <c r="F73" i="5"/>
  <c r="G73" i="5"/>
  <c r="C74" i="5"/>
  <c r="D74" i="5"/>
  <c r="E74" i="5"/>
  <c r="F74" i="5"/>
  <c r="G74" i="5"/>
  <c r="C75" i="5"/>
  <c r="D75" i="5"/>
  <c r="E75" i="5"/>
  <c r="F75" i="5"/>
  <c r="G75" i="5"/>
  <c r="C76" i="5"/>
  <c r="D76" i="5"/>
  <c r="E76" i="5"/>
  <c r="F76" i="5"/>
  <c r="G76" i="5"/>
  <c r="C77" i="5"/>
  <c r="D77" i="5"/>
  <c r="E77" i="5"/>
  <c r="F77" i="5"/>
  <c r="G77" i="5"/>
  <c r="C78" i="5"/>
  <c r="D78" i="5"/>
  <c r="E78" i="5"/>
  <c r="F78" i="5"/>
  <c r="G78" i="5"/>
  <c r="C79" i="5"/>
  <c r="D79" i="5"/>
  <c r="E79" i="5"/>
  <c r="F79" i="5"/>
  <c r="G79" i="5"/>
  <c r="C80" i="5"/>
  <c r="D80" i="5"/>
  <c r="E80" i="5"/>
  <c r="F80" i="5"/>
  <c r="G80" i="5"/>
  <c r="C81" i="5"/>
  <c r="D81" i="5"/>
  <c r="E81" i="5"/>
  <c r="F81" i="5"/>
  <c r="G81" i="5"/>
  <c r="C82" i="5"/>
  <c r="D82" i="5"/>
  <c r="E82" i="5"/>
  <c r="F82" i="5"/>
  <c r="G82" i="5"/>
  <c r="C83" i="5"/>
  <c r="D83" i="5"/>
  <c r="E83" i="5"/>
  <c r="F83" i="5"/>
  <c r="G83" i="5"/>
  <c r="C84" i="5"/>
  <c r="D84" i="5"/>
  <c r="E84" i="5"/>
  <c r="F84" i="5"/>
  <c r="G84" i="5"/>
  <c r="C85" i="5"/>
  <c r="D85" i="5"/>
  <c r="E85" i="5"/>
  <c r="F85" i="5"/>
  <c r="G85" i="5"/>
  <c r="C86" i="5"/>
  <c r="D86" i="5"/>
  <c r="E86" i="5"/>
  <c r="F86" i="5"/>
  <c r="G86" i="5"/>
  <c r="C87" i="5"/>
  <c r="D87" i="5"/>
  <c r="E87" i="5"/>
  <c r="F87" i="5"/>
  <c r="G87" i="5"/>
  <c r="C88" i="5"/>
  <c r="D88" i="5"/>
  <c r="E88" i="5"/>
  <c r="F88" i="5"/>
  <c r="G88" i="5"/>
  <c r="C89" i="5"/>
  <c r="D89" i="5"/>
  <c r="E89" i="5"/>
  <c r="F89" i="5"/>
  <c r="G89" i="5"/>
  <c r="C90" i="5"/>
  <c r="D90" i="5"/>
  <c r="E90" i="5"/>
  <c r="F90" i="5"/>
  <c r="G90" i="5"/>
  <c r="C91" i="5"/>
  <c r="D91" i="5"/>
  <c r="E91" i="5"/>
  <c r="F91" i="5"/>
  <c r="G91" i="5"/>
  <c r="C92" i="5"/>
  <c r="D92" i="5"/>
  <c r="E92" i="5"/>
  <c r="F92" i="5"/>
  <c r="G92" i="5"/>
  <c r="C93" i="5"/>
  <c r="D93" i="5"/>
  <c r="E93" i="5"/>
  <c r="F93" i="5"/>
  <c r="G93" i="5"/>
  <c r="C94" i="5"/>
  <c r="D94" i="5"/>
  <c r="E94" i="5"/>
  <c r="F94" i="5"/>
  <c r="G94" i="5"/>
  <c r="C95" i="5"/>
  <c r="D95" i="5"/>
  <c r="E95" i="5"/>
  <c r="F95" i="5"/>
  <c r="G95" i="5"/>
  <c r="C96" i="5"/>
  <c r="D96" i="5"/>
  <c r="E96" i="5"/>
  <c r="F96" i="5"/>
  <c r="G96" i="5"/>
  <c r="C97" i="5"/>
  <c r="D97" i="5"/>
  <c r="E97" i="5"/>
  <c r="F97" i="5"/>
  <c r="G97" i="5"/>
  <c r="C98" i="5"/>
  <c r="D98" i="5"/>
  <c r="E98" i="5"/>
  <c r="F98" i="5"/>
  <c r="G98" i="5"/>
  <c r="C99" i="5"/>
  <c r="D99" i="5"/>
  <c r="E99" i="5"/>
  <c r="F99" i="5"/>
  <c r="G99" i="5"/>
  <c r="C100" i="5"/>
  <c r="D100" i="5"/>
  <c r="E100" i="5"/>
  <c r="F100" i="5"/>
  <c r="G100" i="5"/>
  <c r="C101" i="5"/>
  <c r="D101" i="5"/>
  <c r="E101" i="5"/>
  <c r="F101" i="5"/>
  <c r="G101" i="5"/>
  <c r="C102" i="5"/>
  <c r="D102" i="5"/>
  <c r="E102" i="5"/>
  <c r="F102" i="5"/>
  <c r="G102" i="5"/>
  <c r="C103" i="5"/>
  <c r="D103" i="5"/>
  <c r="E103" i="5"/>
  <c r="F103" i="5"/>
  <c r="G103" i="5"/>
  <c r="C104" i="5"/>
  <c r="D104" i="5"/>
  <c r="E104" i="5"/>
  <c r="F104" i="5"/>
  <c r="G104" i="5"/>
  <c r="C105" i="5"/>
  <c r="D105" i="5"/>
  <c r="E105" i="5"/>
  <c r="F105" i="5"/>
  <c r="G105" i="5"/>
  <c r="C106" i="5"/>
  <c r="D106" i="5"/>
  <c r="E106" i="5"/>
  <c r="F106" i="5"/>
  <c r="G106" i="5"/>
  <c r="C107" i="5"/>
  <c r="D107" i="5"/>
  <c r="E107" i="5"/>
  <c r="F107" i="5"/>
  <c r="G107" i="5"/>
  <c r="C108" i="5"/>
  <c r="D108" i="5"/>
  <c r="E108" i="5"/>
  <c r="F108" i="5"/>
  <c r="G108" i="5"/>
  <c r="C109" i="5"/>
  <c r="D109" i="5"/>
  <c r="E109" i="5"/>
  <c r="F109" i="5"/>
  <c r="G109" i="5"/>
  <c r="C110" i="5"/>
  <c r="D110" i="5"/>
  <c r="E110" i="5"/>
  <c r="F110" i="5"/>
  <c r="G110" i="5"/>
  <c r="C111" i="5"/>
  <c r="D111" i="5"/>
  <c r="E111" i="5"/>
  <c r="F111" i="5"/>
  <c r="G111" i="5"/>
  <c r="C112" i="5"/>
  <c r="D112" i="5"/>
  <c r="E112" i="5"/>
  <c r="F112" i="5"/>
  <c r="G112" i="5"/>
  <c r="C113" i="5"/>
  <c r="D113" i="5"/>
  <c r="E113" i="5"/>
  <c r="F113" i="5"/>
  <c r="G113" i="5"/>
  <c r="C114" i="5"/>
  <c r="D114" i="5"/>
  <c r="E114" i="5"/>
  <c r="F114" i="5"/>
  <c r="G114" i="5"/>
  <c r="C115" i="5"/>
  <c r="D115" i="5"/>
  <c r="E115" i="5"/>
  <c r="F115" i="5"/>
  <c r="G115" i="5"/>
  <c r="C116" i="5"/>
  <c r="D116" i="5"/>
  <c r="E116" i="5"/>
  <c r="F116" i="5"/>
  <c r="G116" i="5"/>
  <c r="C117" i="5"/>
  <c r="D117" i="5"/>
  <c r="E117" i="5"/>
  <c r="F117" i="5"/>
  <c r="G117" i="5"/>
  <c r="C118" i="5"/>
  <c r="D118" i="5"/>
  <c r="E118" i="5"/>
  <c r="F118" i="5"/>
  <c r="G118" i="5"/>
  <c r="C119" i="5"/>
  <c r="D119" i="5"/>
  <c r="E119" i="5"/>
  <c r="F119" i="5"/>
  <c r="G119" i="5"/>
  <c r="C120" i="5"/>
  <c r="D120" i="5"/>
  <c r="E120" i="5"/>
  <c r="F120" i="5"/>
  <c r="G120" i="5"/>
  <c r="C121" i="5"/>
  <c r="D121" i="5"/>
  <c r="E121" i="5"/>
  <c r="F121" i="5"/>
  <c r="G121" i="5"/>
  <c r="C122" i="5"/>
  <c r="D122" i="5"/>
  <c r="E122" i="5"/>
  <c r="F122" i="5"/>
  <c r="G122" i="5"/>
  <c r="C123" i="5"/>
  <c r="D123" i="5"/>
  <c r="E123" i="5"/>
  <c r="F123" i="5"/>
  <c r="G123" i="5"/>
  <c r="C124" i="5"/>
  <c r="D124" i="5"/>
  <c r="E124" i="5"/>
  <c r="F124" i="5"/>
  <c r="G124" i="5"/>
  <c r="C125" i="5"/>
  <c r="D125" i="5"/>
  <c r="E125" i="5"/>
  <c r="F125" i="5"/>
  <c r="G125" i="5"/>
  <c r="C126" i="5"/>
  <c r="D126" i="5"/>
  <c r="E126" i="5"/>
  <c r="F126" i="5"/>
  <c r="G126" i="5"/>
  <c r="C127" i="5"/>
  <c r="D127" i="5"/>
  <c r="E127" i="5"/>
  <c r="F127" i="5"/>
  <c r="G127" i="5"/>
  <c r="C128" i="5"/>
  <c r="D128" i="5"/>
  <c r="E128" i="5"/>
  <c r="F128" i="5"/>
  <c r="G128" i="5"/>
  <c r="C129" i="5"/>
  <c r="D129" i="5"/>
  <c r="E129" i="5"/>
  <c r="F129" i="5"/>
  <c r="G129" i="5"/>
  <c r="C130" i="5"/>
  <c r="D130" i="5"/>
  <c r="E130" i="5"/>
  <c r="F130" i="5"/>
  <c r="G130" i="5"/>
  <c r="C131" i="5"/>
  <c r="D131" i="5"/>
  <c r="E131" i="5"/>
  <c r="F131" i="5"/>
  <c r="G131" i="5"/>
  <c r="C132" i="5"/>
  <c r="D132" i="5"/>
  <c r="E132" i="5"/>
  <c r="F132" i="5"/>
  <c r="G132" i="5"/>
  <c r="C133" i="5"/>
  <c r="D133" i="5"/>
  <c r="E133" i="5"/>
  <c r="F133" i="5"/>
  <c r="G133" i="5"/>
  <c r="C134" i="5"/>
  <c r="D134" i="5"/>
  <c r="E134" i="5"/>
  <c r="F134" i="5"/>
  <c r="G134" i="5"/>
  <c r="C135" i="5"/>
  <c r="D135" i="5"/>
  <c r="E135" i="5"/>
  <c r="F135" i="5"/>
  <c r="G135" i="5"/>
  <c r="C136" i="5"/>
  <c r="D136" i="5"/>
  <c r="E136" i="5"/>
  <c r="F136" i="5"/>
  <c r="G136" i="5"/>
  <c r="C137" i="5"/>
  <c r="D137" i="5"/>
  <c r="E137" i="5"/>
  <c r="F137" i="5"/>
  <c r="G137" i="5"/>
  <c r="C138" i="5"/>
  <c r="D138" i="5"/>
  <c r="E138" i="5"/>
  <c r="F138" i="5"/>
  <c r="G138" i="5"/>
  <c r="C139" i="5"/>
  <c r="D139" i="5"/>
  <c r="E139" i="5"/>
  <c r="F139" i="5"/>
  <c r="G139" i="5"/>
  <c r="C140" i="5"/>
  <c r="D140" i="5"/>
  <c r="E140" i="5"/>
  <c r="F140" i="5"/>
  <c r="G140" i="5"/>
  <c r="C141" i="5"/>
  <c r="D141" i="5"/>
  <c r="E141" i="5"/>
  <c r="F141" i="5"/>
  <c r="G141" i="5"/>
  <c r="C142" i="5"/>
  <c r="D142" i="5"/>
  <c r="E142" i="5"/>
  <c r="F142" i="5"/>
  <c r="G142" i="5"/>
  <c r="C143" i="5"/>
  <c r="D143" i="5"/>
  <c r="E143" i="5"/>
  <c r="F143" i="5"/>
  <c r="G143" i="5"/>
  <c r="C144" i="5"/>
  <c r="D144" i="5"/>
  <c r="E144" i="5"/>
  <c r="F144" i="5"/>
  <c r="G144" i="5"/>
  <c r="C145" i="5"/>
  <c r="D145" i="5"/>
  <c r="E145" i="5"/>
  <c r="F145" i="5"/>
  <c r="G145" i="5"/>
  <c r="C146" i="5"/>
  <c r="D146" i="5"/>
  <c r="E146" i="5"/>
  <c r="F146" i="5"/>
  <c r="G146" i="5"/>
  <c r="C147" i="5"/>
  <c r="D147" i="5"/>
  <c r="E147" i="5"/>
  <c r="F147" i="5"/>
  <c r="G147" i="5"/>
  <c r="C148" i="5"/>
  <c r="D148" i="5"/>
  <c r="E148" i="5"/>
  <c r="F148" i="5"/>
  <c r="G148" i="5"/>
  <c r="C149" i="5"/>
  <c r="D149" i="5"/>
  <c r="E149" i="5"/>
  <c r="F149" i="5"/>
  <c r="G149" i="5"/>
  <c r="C150" i="5"/>
  <c r="D150" i="5"/>
  <c r="E150" i="5"/>
  <c r="F150" i="5"/>
  <c r="G150" i="5"/>
  <c r="C151" i="5"/>
  <c r="D151" i="5"/>
  <c r="E151" i="5"/>
  <c r="F151" i="5"/>
  <c r="G151" i="5"/>
  <c r="C152" i="5"/>
  <c r="D152" i="5"/>
  <c r="E152" i="5"/>
  <c r="F152" i="5"/>
  <c r="G152" i="5"/>
  <c r="C153" i="5"/>
  <c r="D153" i="5"/>
  <c r="E153" i="5"/>
  <c r="F153" i="5"/>
  <c r="G153" i="5"/>
  <c r="C154" i="5"/>
  <c r="D154" i="5"/>
  <c r="E154" i="5"/>
  <c r="F154" i="5"/>
  <c r="G154" i="5"/>
  <c r="C155" i="5"/>
  <c r="D155" i="5"/>
  <c r="E155" i="5"/>
  <c r="F155" i="5"/>
  <c r="G155" i="5"/>
  <c r="C156" i="5"/>
  <c r="D156" i="5"/>
  <c r="E156" i="5"/>
  <c r="F156" i="5"/>
  <c r="G156" i="5"/>
  <c r="C157" i="5"/>
  <c r="D157" i="5"/>
  <c r="E157" i="5"/>
  <c r="F157" i="5"/>
  <c r="G157" i="5"/>
  <c r="C158" i="5"/>
  <c r="D158" i="5"/>
  <c r="E158" i="5"/>
  <c r="F158" i="5"/>
  <c r="G158" i="5"/>
  <c r="C159" i="5"/>
  <c r="D159" i="5"/>
  <c r="E159" i="5"/>
  <c r="F159" i="5"/>
  <c r="G159" i="5"/>
  <c r="C160" i="5"/>
  <c r="D160" i="5"/>
  <c r="E160" i="5"/>
  <c r="F160" i="5"/>
  <c r="G160" i="5"/>
  <c r="C161" i="5"/>
  <c r="D161" i="5"/>
  <c r="E161" i="5"/>
  <c r="F161" i="5"/>
  <c r="G161" i="5"/>
  <c r="C162" i="5"/>
  <c r="D162" i="5"/>
  <c r="E162" i="5"/>
  <c r="F162" i="5"/>
  <c r="G162" i="5"/>
  <c r="C163" i="5"/>
  <c r="D163" i="5"/>
  <c r="E163" i="5"/>
  <c r="F163" i="5"/>
  <c r="G163" i="5"/>
  <c r="C164" i="5"/>
  <c r="D164" i="5"/>
  <c r="E164" i="5"/>
  <c r="F164" i="5"/>
  <c r="G164" i="5"/>
  <c r="C165" i="5"/>
  <c r="D165" i="5"/>
  <c r="E165" i="5"/>
  <c r="F165" i="5"/>
  <c r="G165" i="5"/>
  <c r="C166" i="5"/>
  <c r="D166" i="5"/>
  <c r="E166" i="5"/>
  <c r="F166" i="5"/>
  <c r="G166" i="5"/>
  <c r="C167" i="5"/>
  <c r="D167" i="5"/>
  <c r="E167" i="5"/>
  <c r="F167" i="5"/>
  <c r="G167" i="5"/>
  <c r="C168" i="5"/>
  <c r="D168" i="5"/>
  <c r="E168" i="5"/>
  <c r="F168" i="5"/>
  <c r="G168" i="5"/>
  <c r="C169" i="5"/>
  <c r="D169" i="5"/>
  <c r="E169" i="5"/>
  <c r="F169" i="5"/>
  <c r="G169" i="5"/>
  <c r="C170" i="5"/>
  <c r="D170" i="5"/>
  <c r="E170" i="5"/>
  <c r="F170" i="5"/>
  <c r="G170" i="5"/>
  <c r="C171" i="5"/>
  <c r="D171" i="5"/>
  <c r="E171" i="5"/>
  <c r="F171" i="5"/>
  <c r="G171" i="5"/>
  <c r="C172" i="5"/>
  <c r="D172" i="5"/>
  <c r="E172" i="5"/>
  <c r="F172" i="5"/>
  <c r="G172" i="5"/>
  <c r="C173" i="5"/>
  <c r="D173" i="5"/>
  <c r="E173" i="5"/>
  <c r="F173" i="5"/>
  <c r="G173" i="5"/>
  <c r="C174" i="5"/>
  <c r="D174" i="5"/>
  <c r="E174" i="5"/>
  <c r="F174" i="5"/>
  <c r="G174" i="5"/>
  <c r="C175" i="5"/>
  <c r="D175" i="5"/>
  <c r="E175" i="5"/>
  <c r="F175" i="5"/>
  <c r="G175" i="5"/>
  <c r="C176" i="5"/>
  <c r="D176" i="5"/>
  <c r="E176" i="5"/>
  <c r="F176" i="5"/>
  <c r="G176" i="5"/>
  <c r="C177" i="5"/>
  <c r="D177" i="5"/>
  <c r="E177" i="5"/>
  <c r="F177" i="5"/>
  <c r="G177" i="5"/>
  <c r="C178" i="5"/>
  <c r="D178" i="5"/>
  <c r="E178" i="5"/>
  <c r="F178" i="5"/>
  <c r="G178" i="5"/>
  <c r="C179" i="5"/>
  <c r="D179" i="5"/>
  <c r="E179" i="5"/>
  <c r="F179" i="5"/>
  <c r="G179" i="5"/>
  <c r="C180" i="5"/>
  <c r="D180" i="5"/>
  <c r="E180" i="5"/>
  <c r="F180" i="5"/>
  <c r="G180" i="5"/>
  <c r="C181" i="5"/>
  <c r="D181" i="5"/>
  <c r="E181" i="5"/>
  <c r="F181" i="5"/>
  <c r="G181" i="5"/>
  <c r="C182" i="5"/>
  <c r="D182" i="5"/>
  <c r="E182" i="5"/>
  <c r="F182" i="5"/>
  <c r="G182" i="5"/>
  <c r="C183" i="5"/>
  <c r="D183" i="5"/>
  <c r="E183" i="5"/>
  <c r="F183" i="5"/>
  <c r="G183" i="5"/>
  <c r="C184" i="5"/>
  <c r="D184" i="5"/>
  <c r="E184" i="5"/>
  <c r="F184" i="5"/>
  <c r="G184" i="5"/>
  <c r="C185" i="5"/>
  <c r="D185" i="5"/>
  <c r="E185" i="5"/>
  <c r="F185" i="5"/>
  <c r="G185" i="5"/>
  <c r="C186" i="5"/>
  <c r="D186" i="5"/>
  <c r="E186" i="5"/>
  <c r="F186" i="5"/>
  <c r="G186" i="5"/>
  <c r="C187" i="5"/>
  <c r="D187" i="5"/>
  <c r="E187" i="5"/>
  <c r="F187" i="5"/>
  <c r="G187" i="5"/>
  <c r="C188" i="5"/>
  <c r="D188" i="5"/>
  <c r="E188" i="5"/>
  <c r="F188" i="5"/>
  <c r="G188" i="5"/>
  <c r="C189" i="5"/>
  <c r="D189" i="5"/>
  <c r="E189" i="5"/>
  <c r="F189" i="5"/>
  <c r="G189" i="5"/>
  <c r="C190" i="5"/>
  <c r="D190" i="5"/>
  <c r="E190" i="5"/>
  <c r="F190" i="5"/>
  <c r="G190" i="5"/>
  <c r="C191" i="5"/>
  <c r="D191" i="5"/>
  <c r="E191" i="5"/>
  <c r="F191" i="5"/>
  <c r="G191" i="5"/>
  <c r="C192" i="5"/>
  <c r="D192" i="5"/>
  <c r="E192" i="5"/>
  <c r="F192" i="5"/>
  <c r="G192" i="5"/>
  <c r="C193" i="5"/>
  <c r="D193" i="5"/>
  <c r="E193" i="5"/>
  <c r="F193" i="5"/>
  <c r="G193" i="5"/>
  <c r="C194" i="5"/>
  <c r="D194" i="5"/>
  <c r="E194" i="5"/>
  <c r="F194" i="5"/>
  <c r="G194" i="5"/>
  <c r="C195" i="5"/>
  <c r="D195" i="5"/>
  <c r="E195" i="5"/>
  <c r="F195" i="5"/>
  <c r="G195" i="5"/>
  <c r="C196" i="5"/>
  <c r="D196" i="5"/>
  <c r="E196" i="5"/>
  <c r="F196" i="5"/>
  <c r="G196" i="5"/>
  <c r="C197" i="5"/>
  <c r="D197" i="5"/>
  <c r="E197" i="5"/>
  <c r="F197" i="5"/>
  <c r="G197" i="5"/>
  <c r="C198" i="5"/>
  <c r="D198" i="5"/>
  <c r="E198" i="5"/>
  <c r="F198" i="5"/>
  <c r="G198" i="5"/>
  <c r="C199" i="5"/>
  <c r="D199" i="5"/>
  <c r="E199" i="5"/>
  <c r="F199" i="5"/>
  <c r="G199" i="5"/>
  <c r="C200" i="5"/>
  <c r="D200" i="5"/>
  <c r="E200" i="5"/>
  <c r="F200" i="5"/>
  <c r="G200" i="5"/>
  <c r="C201" i="5"/>
  <c r="D201" i="5"/>
  <c r="E201" i="5"/>
  <c r="F201" i="5"/>
  <c r="G201" i="5"/>
  <c r="C202" i="5"/>
  <c r="D202" i="5"/>
  <c r="E202" i="5"/>
  <c r="F202" i="5"/>
  <c r="G202" i="5"/>
  <c r="C203" i="5"/>
  <c r="D203" i="5"/>
  <c r="E203" i="5"/>
  <c r="F203" i="5"/>
  <c r="G203" i="5"/>
  <c r="C204" i="5"/>
  <c r="D204" i="5"/>
  <c r="E204" i="5"/>
  <c r="F204" i="5"/>
  <c r="G204" i="5"/>
  <c r="C205" i="5"/>
  <c r="D205" i="5"/>
  <c r="E205" i="5"/>
  <c r="F205" i="5"/>
  <c r="G205" i="5"/>
  <c r="C206" i="5"/>
  <c r="D206" i="5"/>
  <c r="E206" i="5"/>
  <c r="F206" i="5"/>
  <c r="G206" i="5"/>
  <c r="C207" i="5"/>
  <c r="D207" i="5"/>
  <c r="E207" i="5"/>
  <c r="F207" i="5"/>
  <c r="G207" i="5"/>
  <c r="C208" i="5"/>
  <c r="D208" i="5"/>
  <c r="E208" i="5"/>
  <c r="F208" i="5"/>
  <c r="G208" i="5"/>
  <c r="C209" i="5"/>
  <c r="D209" i="5"/>
  <c r="E209" i="5"/>
  <c r="F209" i="5"/>
  <c r="G209" i="5"/>
  <c r="C210" i="5"/>
  <c r="D210" i="5"/>
  <c r="E210" i="5"/>
  <c r="F210" i="5"/>
  <c r="G210" i="5"/>
  <c r="C211" i="5"/>
  <c r="D211" i="5"/>
  <c r="E211" i="5"/>
  <c r="F211" i="5"/>
  <c r="G211" i="5"/>
  <c r="C212" i="5"/>
  <c r="D212" i="5"/>
  <c r="E212" i="5"/>
  <c r="F212" i="5"/>
  <c r="G212" i="5"/>
  <c r="C213" i="5"/>
  <c r="D213" i="5"/>
  <c r="E213" i="5"/>
  <c r="F213" i="5"/>
  <c r="G213" i="5"/>
  <c r="C214" i="5"/>
  <c r="D214" i="5"/>
  <c r="E214" i="5"/>
  <c r="F214" i="5"/>
  <c r="G214" i="5"/>
  <c r="C215" i="5"/>
  <c r="D215" i="5"/>
  <c r="E215" i="5"/>
  <c r="F215" i="5"/>
  <c r="G215" i="5"/>
  <c r="C216" i="5"/>
  <c r="D216" i="5"/>
  <c r="E216" i="5"/>
  <c r="F216" i="5"/>
  <c r="G216" i="5"/>
  <c r="C217" i="5"/>
  <c r="D217" i="5"/>
  <c r="E217" i="5"/>
  <c r="F217" i="5"/>
  <c r="G217" i="5"/>
  <c r="C218" i="5"/>
  <c r="D218" i="5"/>
  <c r="E218" i="5"/>
  <c r="F218" i="5"/>
  <c r="G218" i="5"/>
  <c r="C219" i="5"/>
  <c r="D219" i="5"/>
  <c r="E219" i="5"/>
  <c r="F219" i="5"/>
  <c r="G219" i="5"/>
  <c r="C220" i="5"/>
  <c r="D220" i="5"/>
  <c r="E220" i="5"/>
  <c r="F220" i="5"/>
  <c r="G220" i="5"/>
  <c r="C221" i="5"/>
  <c r="D221" i="5"/>
  <c r="E221" i="5"/>
  <c r="F221" i="5"/>
  <c r="G221" i="5"/>
  <c r="C222" i="5"/>
  <c r="D222" i="5"/>
  <c r="E222" i="5"/>
  <c r="F222" i="5"/>
  <c r="G222" i="5"/>
  <c r="C223" i="5"/>
  <c r="D223" i="5"/>
  <c r="E223" i="5"/>
  <c r="F223" i="5"/>
  <c r="G223" i="5"/>
  <c r="C224" i="5"/>
  <c r="D224" i="5"/>
  <c r="E224" i="5"/>
  <c r="F224" i="5"/>
  <c r="G224" i="5"/>
  <c r="C225" i="5"/>
  <c r="D225" i="5"/>
  <c r="E225" i="5"/>
  <c r="F225" i="5"/>
  <c r="G225" i="5"/>
  <c r="C226" i="5"/>
  <c r="D226" i="5"/>
  <c r="E226" i="5"/>
  <c r="F226" i="5"/>
  <c r="G226" i="5"/>
  <c r="C227" i="5"/>
  <c r="D227" i="5"/>
  <c r="E227" i="5"/>
  <c r="F227" i="5"/>
  <c r="G227" i="5"/>
  <c r="C228" i="5"/>
  <c r="D228" i="5"/>
  <c r="E228" i="5"/>
  <c r="F228" i="5"/>
  <c r="G228" i="5"/>
  <c r="C229" i="5"/>
  <c r="D229" i="5"/>
  <c r="E229" i="5"/>
  <c r="F229" i="5"/>
  <c r="G229" i="5"/>
  <c r="C230" i="5"/>
  <c r="D230" i="5"/>
  <c r="E230" i="5"/>
  <c r="F230" i="5"/>
  <c r="G230" i="5"/>
  <c r="C231" i="5"/>
  <c r="D231" i="5"/>
  <c r="E231" i="5"/>
  <c r="F231" i="5"/>
  <c r="G231" i="5"/>
  <c r="C232" i="5"/>
  <c r="D232" i="5"/>
  <c r="E232" i="5"/>
  <c r="F232" i="5"/>
  <c r="G232" i="5"/>
  <c r="C233" i="5"/>
  <c r="D233" i="5"/>
  <c r="E233" i="5"/>
  <c r="F233" i="5"/>
  <c r="G233" i="5"/>
  <c r="C234" i="5"/>
  <c r="D234" i="5"/>
  <c r="E234" i="5"/>
  <c r="F234" i="5"/>
  <c r="G234" i="5"/>
  <c r="C235" i="5"/>
  <c r="D235" i="5"/>
  <c r="E235" i="5"/>
  <c r="F235" i="5"/>
  <c r="G235" i="5"/>
  <c r="C236" i="5"/>
  <c r="D236" i="5"/>
  <c r="E236" i="5"/>
  <c r="F236" i="5"/>
  <c r="G236" i="5"/>
  <c r="C237" i="5"/>
  <c r="D237" i="5"/>
  <c r="E237" i="5"/>
  <c r="F237" i="5"/>
  <c r="G237" i="5"/>
  <c r="C238" i="5"/>
  <c r="D238" i="5"/>
  <c r="E238" i="5"/>
  <c r="F238" i="5"/>
  <c r="G238" i="5"/>
  <c r="C239" i="5"/>
  <c r="D239" i="5"/>
  <c r="E239" i="5"/>
  <c r="F239" i="5"/>
  <c r="G239" i="5"/>
  <c r="C240" i="5"/>
  <c r="D240" i="5"/>
  <c r="E240" i="5"/>
  <c r="F240" i="5"/>
  <c r="G240" i="5"/>
  <c r="C241" i="5"/>
  <c r="D241" i="5"/>
  <c r="E241" i="5"/>
  <c r="F241" i="5"/>
  <c r="G241" i="5"/>
  <c r="C242" i="5"/>
  <c r="D242" i="5"/>
  <c r="E242" i="5"/>
  <c r="F242" i="5"/>
  <c r="G242" i="5"/>
  <c r="C243" i="5"/>
  <c r="D243" i="5"/>
  <c r="E243" i="5"/>
  <c r="F243" i="5"/>
  <c r="G243" i="5"/>
  <c r="C244" i="5"/>
  <c r="D244" i="5"/>
  <c r="E244" i="5"/>
  <c r="F244" i="5"/>
  <c r="G244" i="5"/>
  <c r="C245" i="5"/>
  <c r="D245" i="5"/>
  <c r="E245" i="5"/>
  <c r="F245" i="5"/>
  <c r="G245" i="5"/>
  <c r="C246" i="5"/>
  <c r="D246" i="5"/>
  <c r="E246" i="5"/>
  <c r="F246" i="5"/>
  <c r="G246" i="5"/>
  <c r="C247" i="5"/>
  <c r="D247" i="5"/>
  <c r="E247" i="5"/>
  <c r="F247" i="5"/>
  <c r="G247" i="5"/>
  <c r="C248" i="5"/>
  <c r="D248" i="5"/>
  <c r="E248" i="5"/>
  <c r="F248" i="5"/>
  <c r="G248" i="5"/>
  <c r="C249" i="5"/>
  <c r="D249" i="5"/>
  <c r="E249" i="5"/>
  <c r="F249" i="5"/>
  <c r="G249" i="5"/>
  <c r="C250" i="5"/>
  <c r="D250" i="5"/>
  <c r="E250" i="5"/>
  <c r="F250" i="5"/>
  <c r="G250" i="5"/>
  <c r="C251" i="5"/>
  <c r="D251" i="5"/>
  <c r="E251" i="5"/>
  <c r="F251" i="5"/>
  <c r="G251" i="5"/>
  <c r="C252" i="5"/>
  <c r="D252" i="5"/>
  <c r="E252" i="5"/>
  <c r="F252" i="5"/>
  <c r="G252" i="5"/>
  <c r="C253" i="5"/>
  <c r="D253" i="5"/>
  <c r="E253" i="5"/>
  <c r="F253" i="5"/>
  <c r="G253" i="5"/>
  <c r="C254" i="5"/>
  <c r="D254" i="5"/>
  <c r="E254" i="5"/>
  <c r="F254" i="5"/>
  <c r="G254" i="5"/>
  <c r="C255" i="5"/>
  <c r="D255" i="5"/>
  <c r="E255" i="5"/>
  <c r="F255" i="5"/>
  <c r="G255" i="5"/>
  <c r="C256" i="5"/>
  <c r="D256" i="5"/>
  <c r="E256" i="5"/>
  <c r="F256" i="5"/>
  <c r="G256" i="5"/>
  <c r="C257" i="5"/>
  <c r="D257" i="5"/>
  <c r="E257" i="5"/>
  <c r="F257" i="5"/>
  <c r="G257" i="5"/>
  <c r="C258" i="5"/>
  <c r="D258" i="5"/>
  <c r="E258" i="5"/>
  <c r="F258" i="5"/>
  <c r="G258" i="5"/>
  <c r="C259" i="5"/>
  <c r="D259" i="5"/>
  <c r="E259" i="5"/>
  <c r="F259" i="5"/>
  <c r="G259" i="5"/>
  <c r="C260" i="5"/>
  <c r="D260" i="5"/>
  <c r="E260" i="5"/>
  <c r="F260" i="5"/>
  <c r="G260" i="5"/>
  <c r="C261" i="5"/>
  <c r="D261" i="5"/>
  <c r="E261" i="5"/>
  <c r="F261" i="5"/>
  <c r="G261" i="5"/>
  <c r="C262" i="5"/>
  <c r="D262" i="5"/>
  <c r="E262" i="5"/>
  <c r="F262" i="5"/>
  <c r="G262" i="5"/>
  <c r="C263" i="5"/>
  <c r="D263" i="5"/>
  <c r="E263" i="5"/>
  <c r="F263" i="5"/>
  <c r="G263" i="5"/>
  <c r="C264" i="5"/>
  <c r="D264" i="5"/>
  <c r="E264" i="5"/>
  <c r="F264" i="5"/>
  <c r="G264" i="5"/>
  <c r="C265" i="5"/>
  <c r="D265" i="5"/>
  <c r="E265" i="5"/>
  <c r="F265" i="5"/>
  <c r="G265" i="5"/>
  <c r="C266" i="5"/>
  <c r="D266" i="5"/>
  <c r="E266" i="5"/>
  <c r="F266" i="5"/>
  <c r="G266" i="5"/>
  <c r="C267" i="5"/>
  <c r="D267" i="5"/>
  <c r="E267" i="5"/>
  <c r="F267" i="5"/>
  <c r="G267" i="5"/>
  <c r="C268" i="5"/>
  <c r="D268" i="5"/>
  <c r="E268" i="5"/>
  <c r="F268" i="5"/>
  <c r="G268" i="5"/>
  <c r="C269" i="5"/>
  <c r="D269" i="5"/>
  <c r="E269" i="5"/>
  <c r="F269" i="5"/>
  <c r="G269" i="5"/>
  <c r="C270" i="5"/>
  <c r="D270" i="5"/>
  <c r="E270" i="5"/>
  <c r="F270" i="5"/>
  <c r="G270" i="5"/>
  <c r="C271" i="5"/>
  <c r="D271" i="5"/>
  <c r="E271" i="5"/>
  <c r="F271" i="5"/>
  <c r="G271" i="5"/>
  <c r="C272" i="5"/>
  <c r="D272" i="5"/>
  <c r="E272" i="5"/>
  <c r="F272" i="5"/>
  <c r="G272" i="5"/>
  <c r="C273" i="5"/>
  <c r="D273" i="5"/>
  <c r="E273" i="5"/>
  <c r="F273" i="5"/>
  <c r="G273" i="5"/>
  <c r="C274" i="5"/>
  <c r="D274" i="5"/>
  <c r="E274" i="5"/>
  <c r="F274" i="5"/>
  <c r="G274" i="5"/>
  <c r="C275" i="5"/>
  <c r="D275" i="5"/>
  <c r="E275" i="5"/>
  <c r="F275" i="5"/>
  <c r="G275" i="5"/>
  <c r="C276" i="5"/>
  <c r="D276" i="5"/>
  <c r="E276" i="5"/>
  <c r="F276" i="5"/>
  <c r="G276" i="5"/>
  <c r="C277" i="5"/>
  <c r="D277" i="5"/>
  <c r="E277" i="5"/>
  <c r="F277" i="5"/>
  <c r="G277" i="5"/>
  <c r="C278" i="5"/>
  <c r="D278" i="5"/>
  <c r="E278" i="5"/>
  <c r="F278" i="5"/>
  <c r="G278" i="5"/>
  <c r="C279" i="5"/>
  <c r="D279" i="5"/>
  <c r="E279" i="5"/>
  <c r="F279" i="5"/>
  <c r="G279" i="5"/>
  <c r="C280" i="5"/>
  <c r="D280" i="5"/>
  <c r="E280" i="5"/>
  <c r="F280" i="5"/>
  <c r="G280" i="5"/>
  <c r="C281" i="5"/>
  <c r="D281" i="5"/>
  <c r="E281" i="5"/>
  <c r="F281" i="5"/>
  <c r="G281" i="5"/>
  <c r="C282" i="5"/>
  <c r="D282" i="5"/>
  <c r="E282" i="5"/>
  <c r="F282" i="5"/>
  <c r="G282" i="5"/>
  <c r="C283" i="5"/>
  <c r="D283" i="5"/>
  <c r="E283" i="5"/>
  <c r="F283" i="5"/>
  <c r="G283" i="5"/>
  <c r="C284" i="5"/>
  <c r="D284" i="5"/>
  <c r="E284" i="5"/>
  <c r="F284" i="5"/>
  <c r="G284" i="5"/>
  <c r="C285" i="5"/>
  <c r="D285" i="5"/>
  <c r="E285" i="5"/>
  <c r="F285" i="5"/>
  <c r="G285" i="5"/>
  <c r="C286" i="5"/>
  <c r="D286" i="5"/>
  <c r="E286" i="5"/>
  <c r="F286" i="5"/>
  <c r="G286" i="5"/>
  <c r="C287" i="5"/>
  <c r="D287" i="5"/>
  <c r="E287" i="5"/>
  <c r="F287" i="5"/>
  <c r="G287" i="5"/>
  <c r="C288" i="5"/>
  <c r="D288" i="5"/>
  <c r="E288" i="5"/>
  <c r="F288" i="5"/>
  <c r="G288" i="5"/>
  <c r="C289" i="5"/>
  <c r="D289" i="5"/>
  <c r="E289" i="5"/>
  <c r="F289" i="5"/>
  <c r="G289" i="5"/>
  <c r="C290" i="5"/>
  <c r="D290" i="5"/>
  <c r="E290" i="5"/>
  <c r="F290" i="5"/>
  <c r="G290" i="5"/>
  <c r="C291" i="5"/>
  <c r="D291" i="5"/>
  <c r="E291" i="5"/>
  <c r="F291" i="5"/>
  <c r="G291" i="5"/>
  <c r="C292" i="5"/>
  <c r="D292" i="5"/>
  <c r="E292" i="5"/>
  <c r="F292" i="5"/>
  <c r="G292" i="5"/>
  <c r="C293" i="5"/>
  <c r="D293" i="5"/>
  <c r="E293" i="5"/>
  <c r="F293" i="5"/>
  <c r="G293" i="5"/>
  <c r="C294" i="5"/>
  <c r="D294" i="5"/>
  <c r="E294" i="5"/>
  <c r="F294" i="5"/>
  <c r="G294" i="5"/>
  <c r="C295" i="5"/>
  <c r="D295" i="5"/>
  <c r="E295" i="5"/>
  <c r="F295" i="5"/>
  <c r="G295" i="5"/>
  <c r="C296" i="5"/>
  <c r="D296" i="5"/>
  <c r="E296" i="5"/>
  <c r="F296" i="5"/>
  <c r="G296" i="5"/>
  <c r="C297" i="5"/>
  <c r="D297" i="5"/>
  <c r="E297" i="5"/>
  <c r="F297" i="5"/>
  <c r="G297" i="5"/>
  <c r="C298" i="5"/>
  <c r="D298" i="5"/>
  <c r="E298" i="5"/>
  <c r="F298" i="5"/>
  <c r="G298" i="5"/>
  <c r="C299" i="5"/>
  <c r="D299" i="5"/>
  <c r="E299" i="5"/>
  <c r="F299" i="5"/>
  <c r="G299" i="5"/>
  <c r="C300" i="5"/>
  <c r="D300" i="5"/>
  <c r="E300" i="5"/>
  <c r="F300" i="5"/>
  <c r="G300" i="5"/>
  <c r="C301" i="5"/>
  <c r="D301" i="5"/>
  <c r="E301" i="5"/>
  <c r="F301" i="5"/>
  <c r="G301" i="5"/>
  <c r="D14" i="5"/>
  <c r="E14" i="5"/>
  <c r="F14" i="5"/>
  <c r="G14" i="5"/>
  <c r="C14" i="5"/>
  <c r="C15" i="4"/>
  <c r="D15" i="4"/>
  <c r="E15" i="4"/>
  <c r="F15" i="4"/>
  <c r="G15" i="4"/>
  <c r="C16" i="4"/>
  <c r="D16" i="4"/>
  <c r="E16" i="4"/>
  <c r="F16" i="4"/>
  <c r="G16" i="4"/>
  <c r="C17" i="4"/>
  <c r="D17" i="4"/>
  <c r="E17" i="4"/>
  <c r="F17" i="4"/>
  <c r="G17" i="4"/>
  <c r="C18" i="4"/>
  <c r="D18" i="4"/>
  <c r="E18" i="4"/>
  <c r="F18" i="4"/>
  <c r="G18" i="4"/>
  <c r="C19" i="4"/>
  <c r="D19" i="4"/>
  <c r="E19" i="4"/>
  <c r="F19" i="4"/>
  <c r="G19" i="4"/>
  <c r="C20" i="4"/>
  <c r="D20" i="4"/>
  <c r="E20" i="4"/>
  <c r="F20" i="4"/>
  <c r="G20" i="4"/>
  <c r="C21" i="4"/>
  <c r="D21" i="4"/>
  <c r="E21" i="4"/>
  <c r="F21" i="4"/>
  <c r="G21" i="4"/>
  <c r="C22" i="4"/>
  <c r="D22" i="4"/>
  <c r="E22" i="4"/>
  <c r="F22" i="4"/>
  <c r="G22" i="4"/>
  <c r="C23" i="4"/>
  <c r="D23" i="4"/>
  <c r="E23" i="4"/>
  <c r="F23" i="4"/>
  <c r="G23" i="4"/>
  <c r="C24" i="4"/>
  <c r="D24" i="4"/>
  <c r="E24" i="4"/>
  <c r="F24" i="4"/>
  <c r="G24" i="4"/>
  <c r="C25" i="4"/>
  <c r="D25" i="4"/>
  <c r="E25" i="4"/>
  <c r="F25" i="4"/>
  <c r="G25" i="4"/>
  <c r="C26" i="4"/>
  <c r="D26" i="4"/>
  <c r="E26" i="4"/>
  <c r="F26" i="4"/>
  <c r="G26" i="4"/>
  <c r="C27" i="4"/>
  <c r="D27" i="4"/>
  <c r="E27" i="4"/>
  <c r="F27" i="4"/>
  <c r="G27" i="4"/>
  <c r="C28" i="4"/>
  <c r="D28" i="4"/>
  <c r="E28" i="4"/>
  <c r="F28" i="4"/>
  <c r="G28" i="4"/>
  <c r="C29" i="4"/>
  <c r="D29" i="4"/>
  <c r="E29" i="4"/>
  <c r="F29" i="4"/>
  <c r="G29" i="4"/>
  <c r="C30" i="4"/>
  <c r="D30" i="4"/>
  <c r="E30" i="4"/>
  <c r="F30" i="4"/>
  <c r="G30" i="4"/>
  <c r="C31" i="4"/>
  <c r="D31" i="4"/>
  <c r="E31" i="4"/>
  <c r="F31" i="4"/>
  <c r="G31" i="4"/>
  <c r="C32" i="4"/>
  <c r="D32" i="4"/>
  <c r="E32" i="4"/>
  <c r="F32" i="4"/>
  <c r="G32" i="4"/>
  <c r="C33" i="4"/>
  <c r="D33" i="4"/>
  <c r="E33" i="4"/>
  <c r="F33" i="4"/>
  <c r="G33" i="4"/>
  <c r="C34" i="4"/>
  <c r="D34" i="4"/>
  <c r="E34" i="4"/>
  <c r="F34" i="4"/>
  <c r="G34" i="4"/>
  <c r="C35" i="4"/>
  <c r="D35" i="4"/>
  <c r="E35" i="4"/>
  <c r="F35" i="4"/>
  <c r="G35" i="4"/>
  <c r="C36" i="4"/>
  <c r="D36" i="4"/>
  <c r="E36" i="4"/>
  <c r="F36" i="4"/>
  <c r="G36" i="4"/>
  <c r="C37" i="4"/>
  <c r="D37" i="4"/>
  <c r="E37" i="4"/>
  <c r="F37" i="4"/>
  <c r="G37" i="4"/>
  <c r="C38" i="4"/>
  <c r="D38" i="4"/>
  <c r="E38" i="4"/>
  <c r="F38" i="4"/>
  <c r="G38" i="4"/>
  <c r="C39" i="4"/>
  <c r="D39" i="4"/>
  <c r="E39" i="4"/>
  <c r="F39" i="4"/>
  <c r="G39" i="4"/>
  <c r="C40" i="4"/>
  <c r="D40" i="4"/>
  <c r="E40" i="4"/>
  <c r="F40" i="4"/>
  <c r="G40" i="4"/>
  <c r="C41" i="4"/>
  <c r="D41" i="4"/>
  <c r="E41" i="4"/>
  <c r="F41" i="4"/>
  <c r="G41" i="4"/>
  <c r="C42" i="4"/>
  <c r="D42" i="4"/>
  <c r="E42" i="4"/>
  <c r="F42" i="4"/>
  <c r="G42" i="4"/>
  <c r="C43" i="4"/>
  <c r="D43" i="4"/>
  <c r="E43" i="4"/>
  <c r="F43" i="4"/>
  <c r="G43" i="4"/>
  <c r="C44" i="4"/>
  <c r="D44" i="4"/>
  <c r="E44" i="4"/>
  <c r="F44" i="4"/>
  <c r="G44" i="4"/>
  <c r="C45" i="4"/>
  <c r="D45" i="4"/>
  <c r="E45" i="4"/>
  <c r="F45" i="4"/>
  <c r="G45" i="4"/>
  <c r="C46" i="4"/>
  <c r="D46" i="4"/>
  <c r="E46" i="4"/>
  <c r="F46" i="4"/>
  <c r="G46" i="4"/>
  <c r="C47" i="4"/>
  <c r="D47" i="4"/>
  <c r="E47" i="4"/>
  <c r="F47" i="4"/>
  <c r="G47" i="4"/>
  <c r="C48" i="4"/>
  <c r="D48" i="4"/>
  <c r="E48" i="4"/>
  <c r="F48" i="4"/>
  <c r="G48" i="4"/>
  <c r="C49" i="4"/>
  <c r="D49" i="4"/>
  <c r="E49" i="4"/>
  <c r="F49" i="4"/>
  <c r="G49" i="4"/>
  <c r="C50" i="4"/>
  <c r="D50" i="4"/>
  <c r="E50" i="4"/>
  <c r="F50" i="4"/>
  <c r="G50" i="4"/>
  <c r="C51" i="4"/>
  <c r="D51" i="4"/>
  <c r="E51" i="4"/>
  <c r="F51" i="4"/>
  <c r="G51" i="4"/>
  <c r="C52" i="4"/>
  <c r="D52" i="4"/>
  <c r="E52" i="4"/>
  <c r="F52" i="4"/>
  <c r="G52" i="4"/>
  <c r="C53" i="4"/>
  <c r="D53" i="4"/>
  <c r="E53" i="4"/>
  <c r="F53" i="4"/>
  <c r="G53" i="4"/>
  <c r="C54" i="4"/>
  <c r="D54" i="4"/>
  <c r="E54" i="4"/>
  <c r="F54" i="4"/>
  <c r="G54" i="4"/>
  <c r="C55" i="4"/>
  <c r="D55" i="4"/>
  <c r="E55" i="4"/>
  <c r="F55" i="4"/>
  <c r="G55" i="4"/>
  <c r="C56" i="4"/>
  <c r="D56" i="4"/>
  <c r="E56" i="4"/>
  <c r="F56" i="4"/>
  <c r="G56" i="4"/>
  <c r="C57" i="4"/>
  <c r="D57" i="4"/>
  <c r="E57" i="4"/>
  <c r="F57" i="4"/>
  <c r="G57" i="4"/>
  <c r="C58" i="4"/>
  <c r="D58" i="4"/>
  <c r="E58" i="4"/>
  <c r="F58" i="4"/>
  <c r="G58" i="4"/>
  <c r="C59" i="4"/>
  <c r="D59" i="4"/>
  <c r="E59" i="4"/>
  <c r="F59" i="4"/>
  <c r="G59" i="4"/>
  <c r="C60" i="4"/>
  <c r="D60" i="4"/>
  <c r="E60" i="4"/>
  <c r="F60" i="4"/>
  <c r="G60" i="4"/>
  <c r="C61" i="4"/>
  <c r="D61" i="4"/>
  <c r="E61" i="4"/>
  <c r="F61" i="4"/>
  <c r="G61" i="4"/>
  <c r="C62" i="4"/>
  <c r="D62" i="4"/>
  <c r="E62" i="4"/>
  <c r="F62" i="4"/>
  <c r="G62" i="4"/>
  <c r="C63" i="4"/>
  <c r="D63" i="4"/>
  <c r="E63" i="4"/>
  <c r="F63" i="4"/>
  <c r="G63" i="4"/>
  <c r="C64" i="4"/>
  <c r="D64" i="4"/>
  <c r="E64" i="4"/>
  <c r="F64" i="4"/>
  <c r="G64" i="4"/>
  <c r="C65" i="4"/>
  <c r="D65" i="4"/>
  <c r="E65" i="4"/>
  <c r="F65" i="4"/>
  <c r="G65" i="4"/>
  <c r="C66" i="4"/>
  <c r="D66" i="4"/>
  <c r="E66" i="4"/>
  <c r="F66" i="4"/>
  <c r="G66" i="4"/>
  <c r="C67" i="4"/>
  <c r="D67" i="4"/>
  <c r="E67" i="4"/>
  <c r="F67" i="4"/>
  <c r="G67" i="4"/>
  <c r="C68" i="4"/>
  <c r="D68" i="4"/>
  <c r="E68" i="4"/>
  <c r="F68" i="4"/>
  <c r="G68" i="4"/>
  <c r="C69" i="4"/>
  <c r="D69" i="4"/>
  <c r="E69" i="4"/>
  <c r="F69" i="4"/>
  <c r="G69" i="4"/>
  <c r="C70" i="4"/>
  <c r="D70" i="4"/>
  <c r="E70" i="4"/>
  <c r="F70" i="4"/>
  <c r="G70" i="4"/>
  <c r="C71" i="4"/>
  <c r="D71" i="4"/>
  <c r="E71" i="4"/>
  <c r="F71" i="4"/>
  <c r="G71" i="4"/>
  <c r="C72" i="4"/>
  <c r="D72" i="4"/>
  <c r="E72" i="4"/>
  <c r="F72" i="4"/>
  <c r="G72" i="4"/>
  <c r="C73" i="4"/>
  <c r="D73" i="4"/>
  <c r="E73" i="4"/>
  <c r="F73" i="4"/>
  <c r="G73" i="4"/>
  <c r="C74" i="4"/>
  <c r="D74" i="4"/>
  <c r="E74" i="4"/>
  <c r="F74" i="4"/>
  <c r="G74" i="4"/>
  <c r="C75" i="4"/>
  <c r="D75" i="4"/>
  <c r="E75" i="4"/>
  <c r="F75" i="4"/>
  <c r="G75" i="4"/>
  <c r="C76" i="4"/>
  <c r="D76" i="4"/>
  <c r="E76" i="4"/>
  <c r="F76" i="4"/>
  <c r="G76" i="4"/>
  <c r="C77" i="4"/>
  <c r="D77" i="4"/>
  <c r="E77" i="4"/>
  <c r="F77" i="4"/>
  <c r="G77" i="4"/>
  <c r="C78" i="4"/>
  <c r="D78" i="4"/>
  <c r="E78" i="4"/>
  <c r="F78" i="4"/>
  <c r="G78" i="4"/>
  <c r="C79" i="4"/>
  <c r="D79" i="4"/>
  <c r="E79" i="4"/>
  <c r="F79" i="4"/>
  <c r="G79" i="4"/>
  <c r="C80" i="4"/>
  <c r="D80" i="4"/>
  <c r="E80" i="4"/>
  <c r="F80" i="4"/>
  <c r="G80" i="4"/>
  <c r="C81" i="4"/>
  <c r="D81" i="4"/>
  <c r="E81" i="4"/>
  <c r="F81" i="4"/>
  <c r="G81" i="4"/>
  <c r="C82" i="4"/>
  <c r="D82" i="4"/>
  <c r="E82" i="4"/>
  <c r="F82" i="4"/>
  <c r="G82" i="4"/>
  <c r="C83" i="4"/>
  <c r="D83" i="4"/>
  <c r="E83" i="4"/>
  <c r="F83" i="4"/>
  <c r="G83" i="4"/>
  <c r="C84" i="4"/>
  <c r="D84" i="4"/>
  <c r="E84" i="4"/>
  <c r="F84" i="4"/>
  <c r="G84" i="4"/>
  <c r="C85" i="4"/>
  <c r="D85" i="4"/>
  <c r="E85" i="4"/>
  <c r="F85" i="4"/>
  <c r="G85" i="4"/>
  <c r="C86" i="4"/>
  <c r="D86" i="4"/>
  <c r="E86" i="4"/>
  <c r="F86" i="4"/>
  <c r="G86" i="4"/>
  <c r="C87" i="4"/>
  <c r="D87" i="4"/>
  <c r="E87" i="4"/>
  <c r="F87" i="4"/>
  <c r="G87" i="4"/>
  <c r="C88" i="4"/>
  <c r="D88" i="4"/>
  <c r="E88" i="4"/>
  <c r="F88" i="4"/>
  <c r="G88" i="4"/>
  <c r="C89" i="4"/>
  <c r="D89" i="4"/>
  <c r="E89" i="4"/>
  <c r="F89" i="4"/>
  <c r="G89" i="4"/>
  <c r="C90" i="4"/>
  <c r="D90" i="4"/>
  <c r="E90" i="4"/>
  <c r="F90" i="4"/>
  <c r="G90" i="4"/>
  <c r="C91" i="4"/>
  <c r="D91" i="4"/>
  <c r="E91" i="4"/>
  <c r="F91" i="4"/>
  <c r="G91" i="4"/>
  <c r="C92" i="4"/>
  <c r="D92" i="4"/>
  <c r="E92" i="4"/>
  <c r="F92" i="4"/>
  <c r="G92" i="4"/>
  <c r="C93" i="4"/>
  <c r="D93" i="4"/>
  <c r="E93" i="4"/>
  <c r="F93" i="4"/>
  <c r="G93" i="4"/>
  <c r="C94" i="4"/>
  <c r="D94" i="4"/>
  <c r="E94" i="4"/>
  <c r="F94" i="4"/>
  <c r="G94" i="4"/>
  <c r="C95" i="4"/>
  <c r="D95" i="4"/>
  <c r="E95" i="4"/>
  <c r="F95" i="4"/>
  <c r="G95" i="4"/>
  <c r="C96" i="4"/>
  <c r="D96" i="4"/>
  <c r="E96" i="4"/>
  <c r="F96" i="4"/>
  <c r="G96" i="4"/>
  <c r="C97" i="4"/>
  <c r="D97" i="4"/>
  <c r="E97" i="4"/>
  <c r="F97" i="4"/>
  <c r="G97" i="4"/>
  <c r="C98" i="4"/>
  <c r="D98" i="4"/>
  <c r="E98" i="4"/>
  <c r="F98" i="4"/>
  <c r="G98" i="4"/>
  <c r="C99" i="4"/>
  <c r="D99" i="4"/>
  <c r="E99" i="4"/>
  <c r="F99" i="4"/>
  <c r="G99" i="4"/>
  <c r="C100" i="4"/>
  <c r="D100" i="4"/>
  <c r="E100" i="4"/>
  <c r="F100" i="4"/>
  <c r="G100" i="4"/>
  <c r="C101" i="4"/>
  <c r="D101" i="4"/>
  <c r="E101" i="4"/>
  <c r="F101" i="4"/>
  <c r="G101" i="4"/>
  <c r="C102" i="4"/>
  <c r="D102" i="4"/>
  <c r="E102" i="4"/>
  <c r="F102" i="4"/>
  <c r="G102" i="4"/>
  <c r="C103" i="4"/>
  <c r="D103" i="4"/>
  <c r="E103" i="4"/>
  <c r="F103" i="4"/>
  <c r="G103" i="4"/>
  <c r="C104" i="4"/>
  <c r="D104" i="4"/>
  <c r="E104" i="4"/>
  <c r="F104" i="4"/>
  <c r="G104" i="4"/>
  <c r="C105" i="4"/>
  <c r="D105" i="4"/>
  <c r="E105" i="4"/>
  <c r="F105" i="4"/>
  <c r="G105" i="4"/>
  <c r="C106" i="4"/>
  <c r="D106" i="4"/>
  <c r="E106" i="4"/>
  <c r="F106" i="4"/>
  <c r="G106" i="4"/>
  <c r="C107" i="4"/>
  <c r="D107" i="4"/>
  <c r="E107" i="4"/>
  <c r="F107" i="4"/>
  <c r="G107" i="4"/>
  <c r="C108" i="4"/>
  <c r="D108" i="4"/>
  <c r="E108" i="4"/>
  <c r="F108" i="4"/>
  <c r="G108" i="4"/>
  <c r="C109" i="4"/>
  <c r="D109" i="4"/>
  <c r="E109" i="4"/>
  <c r="F109" i="4"/>
  <c r="G109" i="4"/>
  <c r="C110" i="4"/>
  <c r="D110" i="4"/>
  <c r="E110" i="4"/>
  <c r="F110" i="4"/>
  <c r="G110" i="4"/>
  <c r="C111" i="4"/>
  <c r="D111" i="4"/>
  <c r="E111" i="4"/>
  <c r="F111" i="4"/>
  <c r="G111" i="4"/>
  <c r="C112" i="4"/>
  <c r="D112" i="4"/>
  <c r="E112" i="4"/>
  <c r="F112" i="4"/>
  <c r="G112" i="4"/>
  <c r="C113" i="4"/>
  <c r="D113" i="4"/>
  <c r="E113" i="4"/>
  <c r="F113" i="4"/>
  <c r="G113" i="4"/>
  <c r="C114" i="4"/>
  <c r="D114" i="4"/>
  <c r="E114" i="4"/>
  <c r="F114" i="4"/>
  <c r="G114" i="4"/>
  <c r="C115" i="4"/>
  <c r="D115" i="4"/>
  <c r="E115" i="4"/>
  <c r="F115" i="4"/>
  <c r="G115" i="4"/>
  <c r="C116" i="4"/>
  <c r="D116" i="4"/>
  <c r="E116" i="4"/>
  <c r="F116" i="4"/>
  <c r="G116" i="4"/>
  <c r="C117" i="4"/>
  <c r="D117" i="4"/>
  <c r="E117" i="4"/>
  <c r="F117" i="4"/>
  <c r="G117" i="4"/>
  <c r="C118" i="4"/>
  <c r="D118" i="4"/>
  <c r="E118" i="4"/>
  <c r="F118" i="4"/>
  <c r="G118" i="4"/>
  <c r="C119" i="4"/>
  <c r="D119" i="4"/>
  <c r="E119" i="4"/>
  <c r="F119" i="4"/>
  <c r="G119" i="4"/>
  <c r="C120" i="4"/>
  <c r="D120" i="4"/>
  <c r="E120" i="4"/>
  <c r="F120" i="4"/>
  <c r="G120" i="4"/>
  <c r="C121" i="4"/>
  <c r="D121" i="4"/>
  <c r="E121" i="4"/>
  <c r="F121" i="4"/>
  <c r="G121" i="4"/>
  <c r="C122" i="4"/>
  <c r="D122" i="4"/>
  <c r="E122" i="4"/>
  <c r="F122" i="4"/>
  <c r="G122" i="4"/>
  <c r="C123" i="4"/>
  <c r="D123" i="4"/>
  <c r="E123" i="4"/>
  <c r="F123" i="4"/>
  <c r="G123" i="4"/>
  <c r="C124" i="4"/>
  <c r="D124" i="4"/>
  <c r="E124" i="4"/>
  <c r="F124" i="4"/>
  <c r="G124" i="4"/>
  <c r="C125" i="4"/>
  <c r="D125" i="4"/>
  <c r="E125" i="4"/>
  <c r="F125" i="4"/>
  <c r="G125" i="4"/>
  <c r="C126" i="4"/>
  <c r="D126" i="4"/>
  <c r="E126" i="4"/>
  <c r="F126" i="4"/>
  <c r="G126" i="4"/>
  <c r="C127" i="4"/>
  <c r="D127" i="4"/>
  <c r="E127" i="4"/>
  <c r="F127" i="4"/>
  <c r="G127" i="4"/>
  <c r="C128" i="4"/>
  <c r="D128" i="4"/>
  <c r="E128" i="4"/>
  <c r="F128" i="4"/>
  <c r="G128" i="4"/>
  <c r="C129" i="4"/>
  <c r="D129" i="4"/>
  <c r="E129" i="4"/>
  <c r="F129" i="4"/>
  <c r="G129" i="4"/>
  <c r="C130" i="4"/>
  <c r="D130" i="4"/>
  <c r="E130" i="4"/>
  <c r="F130" i="4"/>
  <c r="G130" i="4"/>
  <c r="C131" i="4"/>
  <c r="D131" i="4"/>
  <c r="E131" i="4"/>
  <c r="F131" i="4"/>
  <c r="G131" i="4"/>
  <c r="C132" i="4"/>
  <c r="D132" i="4"/>
  <c r="E132" i="4"/>
  <c r="F132" i="4"/>
  <c r="G132" i="4"/>
  <c r="C133" i="4"/>
  <c r="D133" i="4"/>
  <c r="E133" i="4"/>
  <c r="F133" i="4"/>
  <c r="G133" i="4"/>
  <c r="C134" i="4"/>
  <c r="D134" i="4"/>
  <c r="E134" i="4"/>
  <c r="F134" i="4"/>
  <c r="G134" i="4"/>
  <c r="C135" i="4"/>
  <c r="D135" i="4"/>
  <c r="E135" i="4"/>
  <c r="F135" i="4"/>
  <c r="G135" i="4"/>
  <c r="C136" i="4"/>
  <c r="D136" i="4"/>
  <c r="E136" i="4"/>
  <c r="F136" i="4"/>
  <c r="G136" i="4"/>
  <c r="C137" i="4"/>
  <c r="D137" i="4"/>
  <c r="E137" i="4"/>
  <c r="F137" i="4"/>
  <c r="G137" i="4"/>
  <c r="C138" i="4"/>
  <c r="D138" i="4"/>
  <c r="E138" i="4"/>
  <c r="F138" i="4"/>
  <c r="G138" i="4"/>
  <c r="C139" i="4"/>
  <c r="D139" i="4"/>
  <c r="E139" i="4"/>
  <c r="F139" i="4"/>
  <c r="G139" i="4"/>
  <c r="C140" i="4"/>
  <c r="D140" i="4"/>
  <c r="E140" i="4"/>
  <c r="F140" i="4"/>
  <c r="G140" i="4"/>
  <c r="C141" i="4"/>
  <c r="D141" i="4"/>
  <c r="E141" i="4"/>
  <c r="F141" i="4"/>
  <c r="G141" i="4"/>
  <c r="C142" i="4"/>
  <c r="D142" i="4"/>
  <c r="E142" i="4"/>
  <c r="F142" i="4"/>
  <c r="G142" i="4"/>
  <c r="C143" i="4"/>
  <c r="D143" i="4"/>
  <c r="E143" i="4"/>
  <c r="F143" i="4"/>
  <c r="G143" i="4"/>
  <c r="C144" i="4"/>
  <c r="D144" i="4"/>
  <c r="E144" i="4"/>
  <c r="F144" i="4"/>
  <c r="G144" i="4"/>
  <c r="C145" i="4"/>
  <c r="D145" i="4"/>
  <c r="E145" i="4"/>
  <c r="F145" i="4"/>
  <c r="G145" i="4"/>
  <c r="C146" i="4"/>
  <c r="D146" i="4"/>
  <c r="E146" i="4"/>
  <c r="F146" i="4"/>
  <c r="G146" i="4"/>
  <c r="C147" i="4"/>
  <c r="D147" i="4"/>
  <c r="E147" i="4"/>
  <c r="F147" i="4"/>
  <c r="G147" i="4"/>
  <c r="C148" i="4"/>
  <c r="D148" i="4"/>
  <c r="E148" i="4"/>
  <c r="F148" i="4"/>
  <c r="G148" i="4"/>
  <c r="C149" i="4"/>
  <c r="D149" i="4"/>
  <c r="E149" i="4"/>
  <c r="F149" i="4"/>
  <c r="G149" i="4"/>
  <c r="C150" i="4"/>
  <c r="D150" i="4"/>
  <c r="E150" i="4"/>
  <c r="F150" i="4"/>
  <c r="G150" i="4"/>
  <c r="C151" i="4"/>
  <c r="D151" i="4"/>
  <c r="E151" i="4"/>
  <c r="F151" i="4"/>
  <c r="G151" i="4"/>
  <c r="C152" i="4"/>
  <c r="D152" i="4"/>
  <c r="E152" i="4"/>
  <c r="F152" i="4"/>
  <c r="G152" i="4"/>
  <c r="C153" i="4"/>
  <c r="D153" i="4"/>
  <c r="E153" i="4"/>
  <c r="F153" i="4"/>
  <c r="G153" i="4"/>
  <c r="C154" i="4"/>
  <c r="D154" i="4"/>
  <c r="E154" i="4"/>
  <c r="F154" i="4"/>
  <c r="G154" i="4"/>
  <c r="C155" i="4"/>
  <c r="D155" i="4"/>
  <c r="E155" i="4"/>
  <c r="F155" i="4"/>
  <c r="G155" i="4"/>
  <c r="C156" i="4"/>
  <c r="D156" i="4"/>
  <c r="E156" i="4"/>
  <c r="F156" i="4"/>
  <c r="G156" i="4"/>
  <c r="C157" i="4"/>
  <c r="D157" i="4"/>
  <c r="E157" i="4"/>
  <c r="F157" i="4"/>
  <c r="G157" i="4"/>
  <c r="C158" i="4"/>
  <c r="D158" i="4"/>
  <c r="E158" i="4"/>
  <c r="F158" i="4"/>
  <c r="G158" i="4"/>
  <c r="C159" i="4"/>
  <c r="D159" i="4"/>
  <c r="E159" i="4"/>
  <c r="F159" i="4"/>
  <c r="G159" i="4"/>
  <c r="C160" i="4"/>
  <c r="D160" i="4"/>
  <c r="E160" i="4"/>
  <c r="F160" i="4"/>
  <c r="G160" i="4"/>
  <c r="C161" i="4"/>
  <c r="D161" i="4"/>
  <c r="E161" i="4"/>
  <c r="F161" i="4"/>
  <c r="G161" i="4"/>
  <c r="C162" i="4"/>
  <c r="D162" i="4"/>
  <c r="E162" i="4"/>
  <c r="F162" i="4"/>
  <c r="G162" i="4"/>
  <c r="C163" i="4"/>
  <c r="D163" i="4"/>
  <c r="E163" i="4"/>
  <c r="F163" i="4"/>
  <c r="G163" i="4"/>
  <c r="C164" i="4"/>
  <c r="D164" i="4"/>
  <c r="E164" i="4"/>
  <c r="F164" i="4"/>
  <c r="G164" i="4"/>
  <c r="C165" i="4"/>
  <c r="D165" i="4"/>
  <c r="E165" i="4"/>
  <c r="F165" i="4"/>
  <c r="G165" i="4"/>
  <c r="C166" i="4"/>
  <c r="D166" i="4"/>
  <c r="E166" i="4"/>
  <c r="F166" i="4"/>
  <c r="G166" i="4"/>
  <c r="C167" i="4"/>
  <c r="D167" i="4"/>
  <c r="E167" i="4"/>
  <c r="F167" i="4"/>
  <c r="G167" i="4"/>
  <c r="C168" i="4"/>
  <c r="D168" i="4"/>
  <c r="E168" i="4"/>
  <c r="F168" i="4"/>
  <c r="G168" i="4"/>
  <c r="C169" i="4"/>
  <c r="D169" i="4"/>
  <c r="E169" i="4"/>
  <c r="F169" i="4"/>
  <c r="G169" i="4"/>
  <c r="C170" i="4"/>
  <c r="D170" i="4"/>
  <c r="E170" i="4"/>
  <c r="F170" i="4"/>
  <c r="G170" i="4"/>
  <c r="C171" i="4"/>
  <c r="D171" i="4"/>
  <c r="E171" i="4"/>
  <c r="F171" i="4"/>
  <c r="G171" i="4"/>
  <c r="C172" i="4"/>
  <c r="D172" i="4"/>
  <c r="E172" i="4"/>
  <c r="F172" i="4"/>
  <c r="G172" i="4"/>
  <c r="C173" i="4"/>
  <c r="D173" i="4"/>
  <c r="E173" i="4"/>
  <c r="F173" i="4"/>
  <c r="G173" i="4"/>
  <c r="C174" i="4"/>
  <c r="D174" i="4"/>
  <c r="E174" i="4"/>
  <c r="F174" i="4"/>
  <c r="G174" i="4"/>
  <c r="C175" i="4"/>
  <c r="D175" i="4"/>
  <c r="E175" i="4"/>
  <c r="F175" i="4"/>
  <c r="G175" i="4"/>
  <c r="C176" i="4"/>
  <c r="D176" i="4"/>
  <c r="E176" i="4"/>
  <c r="F176" i="4"/>
  <c r="G176" i="4"/>
  <c r="C177" i="4"/>
  <c r="D177" i="4"/>
  <c r="E177" i="4"/>
  <c r="F177" i="4"/>
  <c r="G177" i="4"/>
  <c r="C178" i="4"/>
  <c r="D178" i="4"/>
  <c r="E178" i="4"/>
  <c r="F178" i="4"/>
  <c r="G178" i="4"/>
  <c r="C179" i="4"/>
  <c r="D179" i="4"/>
  <c r="E179" i="4"/>
  <c r="F179" i="4"/>
  <c r="G179" i="4"/>
  <c r="C180" i="4"/>
  <c r="D180" i="4"/>
  <c r="E180" i="4"/>
  <c r="F180" i="4"/>
  <c r="G180" i="4"/>
  <c r="C181" i="4"/>
  <c r="D181" i="4"/>
  <c r="E181" i="4"/>
  <c r="F181" i="4"/>
  <c r="G181" i="4"/>
  <c r="C182" i="4"/>
  <c r="D182" i="4"/>
  <c r="E182" i="4"/>
  <c r="F182" i="4"/>
  <c r="G182" i="4"/>
  <c r="C183" i="4"/>
  <c r="D183" i="4"/>
  <c r="E183" i="4"/>
  <c r="F183" i="4"/>
  <c r="G183" i="4"/>
  <c r="C184" i="4"/>
  <c r="D184" i="4"/>
  <c r="E184" i="4"/>
  <c r="F184" i="4"/>
  <c r="G184" i="4"/>
  <c r="C185" i="4"/>
  <c r="D185" i="4"/>
  <c r="E185" i="4"/>
  <c r="F185" i="4"/>
  <c r="G185" i="4"/>
  <c r="C186" i="4"/>
  <c r="D186" i="4"/>
  <c r="E186" i="4"/>
  <c r="F186" i="4"/>
  <c r="G186" i="4"/>
  <c r="C187" i="4"/>
  <c r="D187" i="4"/>
  <c r="E187" i="4"/>
  <c r="F187" i="4"/>
  <c r="G187" i="4"/>
  <c r="C188" i="4"/>
  <c r="D188" i="4"/>
  <c r="E188" i="4"/>
  <c r="F188" i="4"/>
  <c r="G188" i="4"/>
  <c r="C189" i="4"/>
  <c r="D189" i="4"/>
  <c r="E189" i="4"/>
  <c r="F189" i="4"/>
  <c r="G189" i="4"/>
  <c r="C190" i="4"/>
  <c r="D190" i="4"/>
  <c r="E190" i="4"/>
  <c r="F190" i="4"/>
  <c r="G190" i="4"/>
  <c r="C191" i="4"/>
  <c r="D191" i="4"/>
  <c r="E191" i="4"/>
  <c r="F191" i="4"/>
  <c r="G191" i="4"/>
  <c r="C192" i="4"/>
  <c r="D192" i="4"/>
  <c r="E192" i="4"/>
  <c r="F192" i="4"/>
  <c r="G192" i="4"/>
  <c r="C193" i="4"/>
  <c r="D193" i="4"/>
  <c r="E193" i="4"/>
  <c r="F193" i="4"/>
  <c r="G193" i="4"/>
  <c r="C194" i="4"/>
  <c r="D194" i="4"/>
  <c r="E194" i="4"/>
  <c r="F194" i="4"/>
  <c r="G194" i="4"/>
  <c r="C195" i="4"/>
  <c r="D195" i="4"/>
  <c r="E195" i="4"/>
  <c r="F195" i="4"/>
  <c r="G195" i="4"/>
  <c r="C196" i="4"/>
  <c r="D196" i="4"/>
  <c r="E196" i="4"/>
  <c r="F196" i="4"/>
  <c r="G196" i="4"/>
  <c r="C197" i="4"/>
  <c r="D197" i="4"/>
  <c r="E197" i="4"/>
  <c r="F197" i="4"/>
  <c r="G197" i="4"/>
  <c r="C198" i="4"/>
  <c r="D198" i="4"/>
  <c r="E198" i="4"/>
  <c r="F198" i="4"/>
  <c r="G198" i="4"/>
  <c r="C199" i="4"/>
  <c r="D199" i="4"/>
  <c r="E199" i="4"/>
  <c r="F199" i="4"/>
  <c r="G199" i="4"/>
  <c r="C200" i="4"/>
  <c r="D200" i="4"/>
  <c r="E200" i="4"/>
  <c r="F200" i="4"/>
  <c r="G200" i="4"/>
  <c r="C201" i="4"/>
  <c r="D201" i="4"/>
  <c r="E201" i="4"/>
  <c r="F201" i="4"/>
  <c r="G201" i="4"/>
  <c r="C202" i="4"/>
  <c r="D202" i="4"/>
  <c r="E202" i="4"/>
  <c r="F202" i="4"/>
  <c r="G202" i="4"/>
  <c r="C203" i="4"/>
  <c r="D203" i="4"/>
  <c r="E203" i="4"/>
  <c r="F203" i="4"/>
  <c r="G203" i="4"/>
  <c r="C204" i="4"/>
  <c r="D204" i="4"/>
  <c r="E204" i="4"/>
  <c r="F204" i="4"/>
  <c r="G204" i="4"/>
  <c r="C205" i="4"/>
  <c r="D205" i="4"/>
  <c r="E205" i="4"/>
  <c r="F205" i="4"/>
  <c r="G205" i="4"/>
  <c r="C206" i="4"/>
  <c r="D206" i="4"/>
  <c r="E206" i="4"/>
  <c r="F206" i="4"/>
  <c r="G206" i="4"/>
  <c r="C207" i="4"/>
  <c r="D207" i="4"/>
  <c r="E207" i="4"/>
  <c r="F207" i="4"/>
  <c r="G207" i="4"/>
  <c r="C208" i="4"/>
  <c r="D208" i="4"/>
  <c r="E208" i="4"/>
  <c r="F208" i="4"/>
  <c r="G208" i="4"/>
  <c r="C209" i="4"/>
  <c r="D209" i="4"/>
  <c r="E209" i="4"/>
  <c r="F209" i="4"/>
  <c r="G209" i="4"/>
  <c r="C210" i="4"/>
  <c r="D210" i="4"/>
  <c r="E210" i="4"/>
  <c r="F210" i="4"/>
  <c r="G210" i="4"/>
  <c r="C211" i="4"/>
  <c r="D211" i="4"/>
  <c r="E211" i="4"/>
  <c r="F211" i="4"/>
  <c r="G211" i="4"/>
  <c r="C212" i="4"/>
  <c r="D212" i="4"/>
  <c r="E212" i="4"/>
  <c r="F212" i="4"/>
  <c r="G212" i="4"/>
  <c r="C213" i="4"/>
  <c r="D213" i="4"/>
  <c r="E213" i="4"/>
  <c r="F213" i="4"/>
  <c r="G213" i="4"/>
  <c r="C214" i="4"/>
  <c r="D214" i="4"/>
  <c r="E214" i="4"/>
  <c r="F214" i="4"/>
  <c r="G214" i="4"/>
  <c r="C215" i="4"/>
  <c r="D215" i="4"/>
  <c r="E215" i="4"/>
  <c r="F215" i="4"/>
  <c r="G215" i="4"/>
  <c r="C216" i="4"/>
  <c r="D216" i="4"/>
  <c r="E216" i="4"/>
  <c r="F216" i="4"/>
  <c r="G216" i="4"/>
  <c r="C217" i="4"/>
  <c r="D217" i="4"/>
  <c r="E217" i="4"/>
  <c r="F217" i="4"/>
  <c r="G217" i="4"/>
  <c r="C218" i="4"/>
  <c r="D218" i="4"/>
  <c r="E218" i="4"/>
  <c r="F218" i="4"/>
  <c r="G218" i="4"/>
  <c r="C219" i="4"/>
  <c r="D219" i="4"/>
  <c r="E219" i="4"/>
  <c r="F219" i="4"/>
  <c r="G219" i="4"/>
  <c r="C220" i="4"/>
  <c r="D220" i="4"/>
  <c r="E220" i="4"/>
  <c r="F220" i="4"/>
  <c r="G220" i="4"/>
  <c r="C221" i="4"/>
  <c r="D221" i="4"/>
  <c r="E221" i="4"/>
  <c r="F221" i="4"/>
  <c r="G221" i="4"/>
  <c r="C222" i="4"/>
  <c r="D222" i="4"/>
  <c r="E222" i="4"/>
  <c r="F222" i="4"/>
  <c r="G222" i="4"/>
  <c r="C223" i="4"/>
  <c r="D223" i="4"/>
  <c r="E223" i="4"/>
  <c r="F223" i="4"/>
  <c r="G223" i="4"/>
  <c r="C224" i="4"/>
  <c r="D224" i="4"/>
  <c r="E224" i="4"/>
  <c r="F224" i="4"/>
  <c r="G224" i="4"/>
  <c r="C225" i="4"/>
  <c r="D225" i="4"/>
  <c r="E225" i="4"/>
  <c r="F225" i="4"/>
  <c r="G225" i="4"/>
  <c r="C226" i="4"/>
  <c r="D226" i="4"/>
  <c r="E226" i="4"/>
  <c r="F226" i="4"/>
  <c r="G226" i="4"/>
  <c r="C227" i="4"/>
  <c r="D227" i="4"/>
  <c r="E227" i="4"/>
  <c r="F227" i="4"/>
  <c r="G227" i="4"/>
  <c r="C228" i="4"/>
  <c r="D228" i="4"/>
  <c r="E228" i="4"/>
  <c r="F228" i="4"/>
  <c r="G228" i="4"/>
  <c r="C229" i="4"/>
  <c r="D229" i="4"/>
  <c r="E229" i="4"/>
  <c r="F229" i="4"/>
  <c r="G229" i="4"/>
  <c r="C230" i="4"/>
  <c r="D230" i="4"/>
  <c r="E230" i="4"/>
  <c r="F230" i="4"/>
  <c r="G230" i="4"/>
  <c r="C231" i="4"/>
  <c r="D231" i="4"/>
  <c r="E231" i="4"/>
  <c r="F231" i="4"/>
  <c r="G231" i="4"/>
  <c r="C232" i="4"/>
  <c r="D232" i="4"/>
  <c r="E232" i="4"/>
  <c r="F232" i="4"/>
  <c r="G232" i="4"/>
  <c r="C233" i="4"/>
  <c r="D233" i="4"/>
  <c r="E233" i="4"/>
  <c r="F233" i="4"/>
  <c r="G233" i="4"/>
  <c r="C234" i="4"/>
  <c r="D234" i="4"/>
  <c r="E234" i="4"/>
  <c r="F234" i="4"/>
  <c r="G234" i="4"/>
  <c r="C235" i="4"/>
  <c r="D235" i="4"/>
  <c r="E235" i="4"/>
  <c r="F235" i="4"/>
  <c r="G235" i="4"/>
  <c r="C236" i="4"/>
  <c r="D236" i="4"/>
  <c r="E236" i="4"/>
  <c r="F236" i="4"/>
  <c r="G236" i="4"/>
  <c r="C237" i="4"/>
  <c r="D237" i="4"/>
  <c r="E237" i="4"/>
  <c r="F237" i="4"/>
  <c r="G237" i="4"/>
  <c r="C238" i="4"/>
  <c r="D238" i="4"/>
  <c r="E238" i="4"/>
  <c r="F238" i="4"/>
  <c r="G238" i="4"/>
  <c r="C239" i="4"/>
  <c r="D239" i="4"/>
  <c r="E239" i="4"/>
  <c r="F239" i="4"/>
  <c r="G239" i="4"/>
  <c r="C240" i="4"/>
  <c r="D240" i="4"/>
  <c r="E240" i="4"/>
  <c r="F240" i="4"/>
  <c r="G240" i="4"/>
  <c r="C241" i="4"/>
  <c r="D241" i="4"/>
  <c r="E241" i="4"/>
  <c r="F241" i="4"/>
  <c r="G241" i="4"/>
  <c r="C242" i="4"/>
  <c r="D242" i="4"/>
  <c r="E242" i="4"/>
  <c r="F242" i="4"/>
  <c r="G242" i="4"/>
  <c r="C243" i="4"/>
  <c r="D243" i="4"/>
  <c r="E243" i="4"/>
  <c r="F243" i="4"/>
  <c r="G243" i="4"/>
  <c r="C244" i="4"/>
  <c r="D244" i="4"/>
  <c r="E244" i="4"/>
  <c r="F244" i="4"/>
  <c r="G244" i="4"/>
  <c r="C245" i="4"/>
  <c r="D245" i="4"/>
  <c r="E245" i="4"/>
  <c r="F245" i="4"/>
  <c r="G245" i="4"/>
  <c r="C246" i="4"/>
  <c r="D246" i="4"/>
  <c r="E246" i="4"/>
  <c r="F246" i="4"/>
  <c r="G246" i="4"/>
  <c r="C247" i="4"/>
  <c r="D247" i="4"/>
  <c r="E247" i="4"/>
  <c r="F247" i="4"/>
  <c r="G247" i="4"/>
  <c r="C248" i="4"/>
  <c r="D248" i="4"/>
  <c r="E248" i="4"/>
  <c r="F248" i="4"/>
  <c r="G248" i="4"/>
  <c r="C249" i="4"/>
  <c r="D249" i="4"/>
  <c r="E249" i="4"/>
  <c r="F249" i="4"/>
  <c r="G249" i="4"/>
  <c r="C250" i="4"/>
  <c r="D250" i="4"/>
  <c r="E250" i="4"/>
  <c r="F250" i="4"/>
  <c r="G250" i="4"/>
  <c r="C251" i="4"/>
  <c r="D251" i="4"/>
  <c r="E251" i="4"/>
  <c r="F251" i="4"/>
  <c r="G251" i="4"/>
  <c r="C252" i="4"/>
  <c r="D252" i="4"/>
  <c r="E252" i="4"/>
  <c r="F252" i="4"/>
  <c r="G252" i="4"/>
  <c r="C253" i="4"/>
  <c r="D253" i="4"/>
  <c r="E253" i="4"/>
  <c r="F253" i="4"/>
  <c r="G253" i="4"/>
  <c r="C254" i="4"/>
  <c r="D254" i="4"/>
  <c r="E254" i="4"/>
  <c r="F254" i="4"/>
  <c r="G254" i="4"/>
  <c r="C255" i="4"/>
  <c r="D255" i="4"/>
  <c r="E255" i="4"/>
  <c r="F255" i="4"/>
  <c r="G255" i="4"/>
  <c r="C256" i="4"/>
  <c r="D256" i="4"/>
  <c r="E256" i="4"/>
  <c r="F256" i="4"/>
  <c r="G256" i="4"/>
  <c r="C257" i="4"/>
  <c r="D257" i="4"/>
  <c r="E257" i="4"/>
  <c r="F257" i="4"/>
  <c r="G257" i="4"/>
  <c r="C258" i="4"/>
  <c r="D258" i="4"/>
  <c r="E258" i="4"/>
  <c r="F258" i="4"/>
  <c r="G258" i="4"/>
  <c r="C259" i="4"/>
  <c r="D259" i="4"/>
  <c r="E259" i="4"/>
  <c r="F259" i="4"/>
  <c r="G259" i="4"/>
  <c r="C260" i="4"/>
  <c r="D260" i="4"/>
  <c r="E260" i="4"/>
  <c r="F260" i="4"/>
  <c r="G260" i="4"/>
  <c r="C261" i="4"/>
  <c r="D261" i="4"/>
  <c r="E261" i="4"/>
  <c r="F261" i="4"/>
  <c r="G261" i="4"/>
  <c r="C262" i="4"/>
  <c r="D262" i="4"/>
  <c r="E262" i="4"/>
  <c r="F262" i="4"/>
  <c r="G262" i="4"/>
  <c r="C263" i="4"/>
  <c r="D263" i="4"/>
  <c r="E263" i="4"/>
  <c r="F263" i="4"/>
  <c r="G263" i="4"/>
  <c r="C264" i="4"/>
  <c r="D264" i="4"/>
  <c r="E264" i="4"/>
  <c r="F264" i="4"/>
  <c r="G264" i="4"/>
  <c r="C265" i="4"/>
  <c r="D265" i="4"/>
  <c r="E265" i="4"/>
  <c r="F265" i="4"/>
  <c r="G265" i="4"/>
  <c r="D14" i="4"/>
  <c r="E14" i="4"/>
  <c r="F14" i="4"/>
  <c r="G14" i="4"/>
  <c r="C14" i="4"/>
  <c r="C14" i="3"/>
  <c r="D14" i="3"/>
  <c r="E14" i="3"/>
  <c r="F14" i="3"/>
  <c r="G14" i="3"/>
  <c r="C15" i="3"/>
  <c r="D15" i="3"/>
  <c r="E15" i="3"/>
  <c r="F15" i="3"/>
  <c r="G15" i="3"/>
  <c r="C16" i="3"/>
  <c r="D16" i="3"/>
  <c r="E16" i="3"/>
  <c r="F16" i="3"/>
  <c r="G16" i="3"/>
  <c r="C17" i="3"/>
  <c r="D17" i="3"/>
  <c r="E17" i="3"/>
  <c r="F17" i="3"/>
  <c r="G17" i="3"/>
  <c r="C18" i="3"/>
  <c r="D18" i="3"/>
  <c r="E18" i="3"/>
  <c r="F18" i="3"/>
  <c r="G18" i="3"/>
  <c r="C19" i="3"/>
  <c r="D19" i="3"/>
  <c r="E19" i="3"/>
  <c r="F19" i="3"/>
  <c r="G19" i="3"/>
  <c r="C20" i="3"/>
  <c r="D20" i="3"/>
  <c r="E20" i="3"/>
  <c r="F20" i="3"/>
  <c r="G20" i="3"/>
  <c r="C21" i="3"/>
  <c r="D21" i="3"/>
  <c r="E21" i="3"/>
  <c r="F21" i="3"/>
  <c r="G21" i="3"/>
  <c r="C22" i="3"/>
  <c r="D22" i="3"/>
  <c r="E22" i="3"/>
  <c r="F22" i="3"/>
  <c r="G22" i="3"/>
  <c r="C23" i="3"/>
  <c r="D23" i="3"/>
  <c r="E23" i="3"/>
  <c r="F23" i="3"/>
  <c r="G23" i="3"/>
  <c r="C24" i="3"/>
  <c r="D24" i="3"/>
  <c r="E24" i="3"/>
  <c r="F24" i="3"/>
  <c r="G24" i="3"/>
  <c r="C25" i="3"/>
  <c r="D25" i="3"/>
  <c r="E25" i="3"/>
  <c r="F25" i="3"/>
  <c r="G25" i="3"/>
  <c r="C26" i="3"/>
  <c r="D26" i="3"/>
  <c r="E26" i="3"/>
  <c r="F26" i="3"/>
  <c r="G26" i="3"/>
  <c r="C27" i="3"/>
  <c r="D27" i="3"/>
  <c r="E27" i="3"/>
  <c r="F27" i="3"/>
  <c r="G27" i="3"/>
  <c r="C28" i="3"/>
  <c r="D28" i="3"/>
  <c r="E28" i="3"/>
  <c r="F28" i="3"/>
  <c r="G28" i="3"/>
  <c r="C29" i="3"/>
  <c r="D29" i="3"/>
  <c r="E29" i="3"/>
  <c r="F29" i="3"/>
  <c r="G29" i="3"/>
  <c r="C30" i="3"/>
  <c r="D30" i="3"/>
  <c r="E30" i="3"/>
  <c r="F30" i="3"/>
  <c r="G30" i="3"/>
  <c r="C31" i="3"/>
  <c r="D31" i="3"/>
  <c r="E31" i="3"/>
  <c r="F31" i="3"/>
  <c r="G31" i="3"/>
  <c r="C32" i="3"/>
  <c r="D32" i="3"/>
  <c r="E32" i="3"/>
  <c r="F32" i="3"/>
  <c r="G32" i="3"/>
  <c r="C33" i="3"/>
  <c r="D33" i="3"/>
  <c r="E33" i="3"/>
  <c r="F33" i="3"/>
  <c r="G33" i="3"/>
  <c r="C34" i="3"/>
  <c r="D34" i="3"/>
  <c r="E34" i="3"/>
  <c r="F34" i="3"/>
  <c r="G34" i="3"/>
  <c r="C35" i="3"/>
  <c r="D35" i="3"/>
  <c r="E35" i="3"/>
  <c r="F35" i="3"/>
  <c r="G35" i="3"/>
  <c r="C36" i="3"/>
  <c r="D36" i="3"/>
  <c r="E36" i="3"/>
  <c r="F36" i="3"/>
  <c r="G36" i="3"/>
  <c r="C37" i="3"/>
  <c r="D37" i="3"/>
  <c r="E37" i="3"/>
  <c r="F37" i="3"/>
  <c r="G37" i="3"/>
  <c r="C38" i="3"/>
  <c r="D38" i="3"/>
  <c r="E38" i="3"/>
  <c r="F38" i="3"/>
  <c r="G38" i="3"/>
  <c r="C39" i="3"/>
  <c r="D39" i="3"/>
  <c r="E39" i="3"/>
  <c r="F39" i="3"/>
  <c r="G39" i="3"/>
  <c r="C40" i="3"/>
  <c r="D40" i="3"/>
  <c r="E40" i="3"/>
  <c r="F40" i="3"/>
  <c r="G40" i="3"/>
  <c r="C41" i="3"/>
  <c r="D41" i="3"/>
  <c r="E41" i="3"/>
  <c r="F41" i="3"/>
  <c r="G41" i="3"/>
  <c r="C42" i="3"/>
  <c r="D42" i="3"/>
  <c r="E42" i="3"/>
  <c r="F42" i="3"/>
  <c r="G42" i="3"/>
  <c r="C43" i="3"/>
  <c r="D43" i="3"/>
  <c r="E43" i="3"/>
  <c r="F43" i="3"/>
  <c r="G43" i="3"/>
  <c r="C44" i="3"/>
  <c r="D44" i="3"/>
  <c r="E44" i="3"/>
  <c r="F44" i="3"/>
  <c r="G44" i="3"/>
  <c r="C45" i="3"/>
  <c r="D45" i="3"/>
  <c r="E45" i="3"/>
  <c r="F45" i="3"/>
  <c r="G45" i="3"/>
  <c r="C46" i="3"/>
  <c r="D46" i="3"/>
  <c r="E46" i="3"/>
  <c r="F46" i="3"/>
  <c r="G46" i="3"/>
  <c r="C47" i="3"/>
  <c r="D47" i="3"/>
  <c r="E47" i="3"/>
  <c r="F47" i="3"/>
  <c r="G47" i="3"/>
  <c r="C48" i="3"/>
  <c r="D48" i="3"/>
  <c r="E48" i="3"/>
  <c r="F48" i="3"/>
  <c r="G48" i="3"/>
  <c r="C49" i="3"/>
  <c r="D49" i="3"/>
  <c r="E49" i="3"/>
  <c r="F49" i="3"/>
  <c r="G49" i="3"/>
  <c r="C15" i="2"/>
  <c r="D15" i="2"/>
  <c r="E15" i="2"/>
  <c r="F15" i="2"/>
  <c r="G15" i="2"/>
  <c r="C16" i="2"/>
  <c r="D16" i="2"/>
  <c r="E16" i="2"/>
  <c r="F16" i="2"/>
  <c r="G16" i="2"/>
  <c r="C17" i="2"/>
  <c r="D17" i="2"/>
  <c r="E17" i="2"/>
  <c r="F17" i="2"/>
  <c r="G17" i="2"/>
  <c r="C18" i="2"/>
  <c r="D18" i="2"/>
  <c r="E18" i="2"/>
  <c r="F18" i="2"/>
  <c r="G18" i="2"/>
  <c r="C19" i="2"/>
  <c r="D19" i="2"/>
  <c r="E19" i="2"/>
  <c r="F19" i="2"/>
  <c r="G19" i="2"/>
  <c r="C20" i="2"/>
  <c r="D20" i="2"/>
  <c r="E20" i="2"/>
  <c r="F20" i="2"/>
  <c r="G20" i="2"/>
  <c r="C21" i="2"/>
  <c r="D21" i="2"/>
  <c r="E21" i="2"/>
  <c r="F21" i="2"/>
  <c r="G21" i="2"/>
  <c r="C22" i="2"/>
  <c r="D22" i="2"/>
  <c r="E22" i="2"/>
  <c r="F22" i="2"/>
  <c r="G22" i="2"/>
  <c r="C23" i="2"/>
  <c r="D23" i="2"/>
  <c r="E23" i="2"/>
  <c r="F23" i="2"/>
  <c r="G23" i="2"/>
  <c r="C24" i="2"/>
  <c r="D24" i="2"/>
  <c r="E24" i="2"/>
  <c r="F24" i="2"/>
  <c r="G24" i="2"/>
  <c r="C25" i="2"/>
  <c r="D25" i="2"/>
  <c r="E25" i="2"/>
  <c r="F25" i="2"/>
  <c r="G25" i="2"/>
  <c r="C26" i="2"/>
  <c r="D26" i="2"/>
  <c r="E26" i="2"/>
  <c r="F26" i="2"/>
  <c r="G26" i="2"/>
  <c r="C27" i="2"/>
  <c r="D27" i="2"/>
  <c r="E27" i="2"/>
  <c r="F27" i="2"/>
  <c r="G27" i="2"/>
  <c r="C28" i="2"/>
  <c r="D28" i="2"/>
  <c r="E28" i="2"/>
  <c r="F28" i="2"/>
  <c r="G28" i="2"/>
  <c r="C29" i="2"/>
  <c r="D29" i="2"/>
  <c r="E29" i="2"/>
  <c r="F29" i="2"/>
  <c r="G29" i="2"/>
  <c r="C30" i="2"/>
  <c r="D30" i="2"/>
  <c r="E30" i="2"/>
  <c r="F30" i="2"/>
  <c r="G30" i="2"/>
  <c r="C31" i="2"/>
  <c r="D31" i="2"/>
  <c r="E31" i="2"/>
  <c r="F31" i="2"/>
  <c r="G31" i="2"/>
  <c r="C32" i="2"/>
  <c r="D32" i="2"/>
  <c r="E32" i="2"/>
  <c r="F32" i="2"/>
  <c r="G32" i="2"/>
  <c r="C33" i="2"/>
  <c r="D33" i="2"/>
  <c r="E33" i="2"/>
  <c r="F33" i="2"/>
  <c r="G33" i="2"/>
  <c r="C34" i="2"/>
  <c r="D34" i="2"/>
  <c r="E34" i="2"/>
  <c r="F34" i="2"/>
  <c r="G34" i="2"/>
  <c r="C35" i="2"/>
  <c r="D35" i="2"/>
  <c r="E35" i="2"/>
  <c r="F35" i="2"/>
  <c r="G35" i="2"/>
  <c r="C36" i="2"/>
  <c r="D36" i="2"/>
  <c r="E36" i="2"/>
  <c r="F36" i="2"/>
  <c r="G36" i="2"/>
  <c r="C37" i="2"/>
  <c r="D37" i="2"/>
  <c r="E37" i="2"/>
  <c r="F37" i="2"/>
  <c r="G37" i="2"/>
  <c r="C38" i="2"/>
  <c r="D38" i="2"/>
  <c r="E38" i="2"/>
  <c r="F38" i="2"/>
  <c r="G38" i="2"/>
  <c r="C39" i="2"/>
  <c r="D39" i="2"/>
  <c r="E39" i="2"/>
  <c r="F39" i="2"/>
  <c r="G39" i="2"/>
  <c r="C40" i="2"/>
  <c r="D40" i="2"/>
  <c r="E40" i="2"/>
  <c r="F40" i="2"/>
  <c r="G40" i="2"/>
  <c r="C41" i="2"/>
  <c r="D41" i="2"/>
  <c r="E41" i="2"/>
  <c r="F41" i="2"/>
  <c r="G41" i="2"/>
  <c r="C42" i="2"/>
  <c r="D42" i="2"/>
  <c r="E42" i="2"/>
  <c r="F42" i="2"/>
  <c r="G42" i="2"/>
  <c r="C43" i="2"/>
  <c r="D43" i="2"/>
  <c r="E43" i="2"/>
  <c r="F43" i="2"/>
  <c r="G43" i="2"/>
  <c r="C44" i="2"/>
  <c r="D44" i="2"/>
  <c r="E44" i="2"/>
  <c r="F44" i="2"/>
  <c r="G44" i="2"/>
  <c r="C45" i="2"/>
  <c r="D45" i="2"/>
  <c r="E45" i="2"/>
  <c r="F45" i="2"/>
  <c r="G45" i="2"/>
  <c r="C46" i="2"/>
  <c r="D46" i="2"/>
  <c r="E46" i="2"/>
  <c r="F46" i="2"/>
  <c r="G46" i="2"/>
  <c r="C47" i="2"/>
  <c r="D47" i="2"/>
  <c r="E47" i="2"/>
  <c r="F47" i="2"/>
  <c r="G47" i="2"/>
  <c r="C48" i="2"/>
  <c r="D48" i="2"/>
  <c r="E48" i="2"/>
  <c r="F48" i="2"/>
  <c r="G48" i="2"/>
  <c r="C49" i="2"/>
  <c r="D49" i="2"/>
  <c r="E49" i="2"/>
  <c r="F49" i="2"/>
  <c r="G49" i="2"/>
  <c r="C50" i="2"/>
  <c r="D50" i="2"/>
  <c r="E50" i="2"/>
  <c r="F50" i="2"/>
  <c r="G50" i="2"/>
  <c r="C51" i="2"/>
  <c r="D51" i="2"/>
  <c r="E51" i="2"/>
  <c r="F51" i="2"/>
  <c r="G51" i="2"/>
  <c r="C52" i="2"/>
  <c r="D52" i="2"/>
  <c r="E52" i="2"/>
  <c r="F52" i="2"/>
  <c r="G52" i="2"/>
  <c r="C53" i="2"/>
  <c r="D53" i="2"/>
  <c r="E53" i="2"/>
  <c r="F53" i="2"/>
  <c r="G53" i="2"/>
  <c r="C54" i="2"/>
  <c r="D54" i="2"/>
  <c r="E54" i="2"/>
  <c r="F54" i="2"/>
  <c r="G54" i="2"/>
  <c r="C55" i="2"/>
  <c r="D55" i="2"/>
  <c r="E55" i="2"/>
  <c r="F55" i="2"/>
  <c r="G55" i="2"/>
  <c r="C56" i="2"/>
  <c r="D56" i="2"/>
  <c r="E56" i="2"/>
  <c r="F56" i="2"/>
  <c r="G56" i="2"/>
  <c r="C57" i="2"/>
  <c r="D57" i="2"/>
  <c r="E57" i="2"/>
  <c r="F57" i="2"/>
  <c r="G57" i="2"/>
  <c r="C58" i="2"/>
  <c r="D58" i="2"/>
  <c r="E58" i="2"/>
  <c r="F58" i="2"/>
  <c r="G58" i="2"/>
  <c r="C59" i="2"/>
  <c r="D59" i="2"/>
  <c r="E59" i="2"/>
  <c r="F59" i="2"/>
  <c r="G59" i="2"/>
  <c r="C60" i="2"/>
  <c r="D60" i="2"/>
  <c r="E60" i="2"/>
  <c r="F60" i="2"/>
  <c r="G60" i="2"/>
  <c r="C61" i="2"/>
  <c r="D61" i="2"/>
  <c r="E61" i="2"/>
  <c r="F61" i="2"/>
  <c r="G61" i="2"/>
  <c r="C62" i="2"/>
  <c r="D62" i="2"/>
  <c r="E62" i="2"/>
  <c r="F62" i="2"/>
  <c r="G62" i="2"/>
  <c r="C63" i="2"/>
  <c r="D63" i="2"/>
  <c r="E63" i="2"/>
  <c r="F63" i="2"/>
  <c r="G63" i="2"/>
  <c r="C64" i="2"/>
  <c r="D64" i="2"/>
  <c r="E64" i="2"/>
  <c r="F64" i="2"/>
  <c r="G64" i="2"/>
  <c r="C65" i="2"/>
  <c r="D65" i="2"/>
  <c r="E65" i="2"/>
  <c r="F65" i="2"/>
  <c r="G65" i="2"/>
  <c r="C66" i="2"/>
  <c r="D66" i="2"/>
  <c r="E66" i="2"/>
  <c r="F66" i="2"/>
  <c r="G66" i="2"/>
  <c r="C67" i="2"/>
  <c r="D67" i="2"/>
  <c r="E67" i="2"/>
  <c r="F67" i="2"/>
  <c r="G67" i="2"/>
  <c r="C68" i="2"/>
  <c r="D68" i="2"/>
  <c r="E68" i="2"/>
  <c r="F68" i="2"/>
  <c r="G68" i="2"/>
  <c r="C69" i="2"/>
  <c r="D69" i="2"/>
  <c r="E69" i="2"/>
  <c r="F69" i="2"/>
  <c r="G69" i="2"/>
  <c r="C70" i="2"/>
  <c r="D70" i="2"/>
  <c r="E70" i="2"/>
  <c r="F70" i="2"/>
  <c r="G70" i="2"/>
  <c r="C71" i="2"/>
  <c r="D71" i="2"/>
  <c r="E71" i="2"/>
  <c r="F71" i="2"/>
  <c r="G71" i="2"/>
  <c r="C72" i="2"/>
  <c r="D72" i="2"/>
  <c r="E72" i="2"/>
  <c r="F72" i="2"/>
  <c r="G72" i="2"/>
  <c r="C73" i="2"/>
  <c r="D73" i="2"/>
  <c r="E73" i="2"/>
  <c r="F73" i="2"/>
  <c r="G73" i="2"/>
  <c r="C74" i="2"/>
  <c r="D74" i="2"/>
  <c r="E74" i="2"/>
  <c r="F74" i="2"/>
  <c r="G74" i="2"/>
  <c r="C75" i="2"/>
  <c r="D75" i="2"/>
  <c r="E75" i="2"/>
  <c r="F75" i="2"/>
  <c r="G75" i="2"/>
  <c r="C76" i="2"/>
  <c r="D76" i="2"/>
  <c r="E76" i="2"/>
  <c r="F76" i="2"/>
  <c r="G76" i="2"/>
  <c r="C77" i="2"/>
  <c r="D77" i="2"/>
  <c r="E77" i="2"/>
  <c r="F77" i="2"/>
  <c r="G77" i="2"/>
  <c r="C78" i="2"/>
  <c r="D78" i="2"/>
  <c r="E78" i="2"/>
  <c r="F78" i="2"/>
  <c r="G78" i="2"/>
  <c r="C79" i="2"/>
  <c r="D79" i="2"/>
  <c r="E79" i="2"/>
  <c r="F79" i="2"/>
  <c r="G79" i="2"/>
  <c r="C80" i="2"/>
  <c r="D80" i="2"/>
  <c r="E80" i="2"/>
  <c r="F80" i="2"/>
  <c r="G80" i="2"/>
  <c r="C81" i="2"/>
  <c r="D81" i="2"/>
  <c r="E81" i="2"/>
  <c r="F81" i="2"/>
  <c r="G81" i="2"/>
  <c r="C82" i="2"/>
  <c r="D82" i="2"/>
  <c r="E82" i="2"/>
  <c r="F82" i="2"/>
  <c r="G82" i="2"/>
  <c r="C83" i="2"/>
  <c r="D83" i="2"/>
  <c r="E83" i="2"/>
  <c r="F83" i="2"/>
  <c r="G83" i="2"/>
  <c r="C84" i="2"/>
  <c r="D84" i="2"/>
  <c r="E84" i="2"/>
  <c r="F84" i="2"/>
  <c r="G84" i="2"/>
  <c r="C85" i="2"/>
  <c r="D85" i="2"/>
  <c r="E85" i="2"/>
  <c r="F85" i="2"/>
  <c r="G85" i="2"/>
  <c r="C86" i="2"/>
  <c r="D86" i="2"/>
  <c r="E86" i="2"/>
  <c r="F86" i="2"/>
  <c r="G86" i="2"/>
  <c r="C87" i="2"/>
  <c r="D87" i="2"/>
  <c r="E87" i="2"/>
  <c r="F87" i="2"/>
  <c r="G87" i="2"/>
  <c r="C88" i="2"/>
  <c r="D88" i="2"/>
  <c r="E88" i="2"/>
  <c r="F88" i="2"/>
  <c r="G88" i="2"/>
  <c r="C89" i="2"/>
  <c r="D89" i="2"/>
  <c r="E89" i="2"/>
  <c r="F89" i="2"/>
  <c r="G89" i="2"/>
  <c r="C90" i="2"/>
  <c r="D90" i="2"/>
  <c r="E90" i="2"/>
  <c r="F90" i="2"/>
  <c r="G90" i="2"/>
  <c r="C91" i="2"/>
  <c r="D91" i="2"/>
  <c r="E91" i="2"/>
  <c r="F91" i="2"/>
  <c r="G91" i="2"/>
  <c r="C92" i="2"/>
  <c r="D92" i="2"/>
  <c r="E92" i="2"/>
  <c r="F92" i="2"/>
  <c r="G92" i="2"/>
  <c r="C93" i="2"/>
  <c r="D93" i="2"/>
  <c r="E93" i="2"/>
  <c r="F93" i="2"/>
  <c r="G93" i="2"/>
  <c r="C94" i="2"/>
  <c r="D94" i="2"/>
  <c r="E94" i="2"/>
  <c r="F94" i="2"/>
  <c r="G94" i="2"/>
  <c r="C95" i="2"/>
  <c r="D95" i="2"/>
  <c r="E95" i="2"/>
  <c r="F95" i="2"/>
  <c r="G95" i="2"/>
  <c r="C96" i="2"/>
  <c r="D96" i="2"/>
  <c r="E96" i="2"/>
  <c r="F96" i="2"/>
  <c r="G96" i="2"/>
  <c r="C97" i="2"/>
  <c r="D97" i="2"/>
  <c r="E97" i="2"/>
  <c r="F97" i="2"/>
  <c r="G97" i="2"/>
  <c r="C98" i="2"/>
  <c r="D98" i="2"/>
  <c r="E98" i="2"/>
  <c r="F98" i="2"/>
  <c r="G98" i="2"/>
  <c r="C99" i="2"/>
  <c r="D99" i="2"/>
  <c r="E99" i="2"/>
  <c r="F99" i="2"/>
  <c r="G99" i="2"/>
  <c r="C100" i="2"/>
  <c r="D100" i="2"/>
  <c r="E100" i="2"/>
  <c r="F100" i="2"/>
  <c r="G100" i="2"/>
  <c r="C101" i="2"/>
  <c r="D101" i="2"/>
  <c r="E101" i="2"/>
  <c r="F101" i="2"/>
  <c r="G101" i="2"/>
  <c r="C102" i="2"/>
  <c r="D102" i="2"/>
  <c r="E102" i="2"/>
  <c r="F102" i="2"/>
  <c r="G102" i="2"/>
  <c r="C103" i="2"/>
  <c r="D103" i="2"/>
  <c r="E103" i="2"/>
  <c r="F103" i="2"/>
  <c r="G103" i="2"/>
  <c r="C104" i="2"/>
  <c r="D104" i="2"/>
  <c r="E104" i="2"/>
  <c r="F104" i="2"/>
  <c r="G104" i="2"/>
  <c r="C105" i="2"/>
  <c r="D105" i="2"/>
  <c r="E105" i="2"/>
  <c r="F105" i="2"/>
  <c r="G105" i="2"/>
  <c r="C106" i="2"/>
  <c r="D106" i="2"/>
  <c r="E106" i="2"/>
  <c r="F106" i="2"/>
  <c r="G106" i="2"/>
  <c r="C107" i="2"/>
  <c r="D107" i="2"/>
  <c r="E107" i="2"/>
  <c r="F107" i="2"/>
  <c r="G107" i="2"/>
  <c r="C108" i="2"/>
  <c r="D108" i="2"/>
  <c r="E108" i="2"/>
  <c r="F108" i="2"/>
  <c r="G108" i="2"/>
  <c r="C109" i="2"/>
  <c r="D109" i="2"/>
  <c r="E109" i="2"/>
  <c r="F109" i="2"/>
  <c r="G109" i="2"/>
  <c r="C110" i="2"/>
  <c r="D110" i="2"/>
  <c r="E110" i="2"/>
  <c r="F110" i="2"/>
  <c r="G110" i="2"/>
  <c r="C111" i="2"/>
  <c r="D111" i="2"/>
  <c r="E111" i="2"/>
  <c r="F111" i="2"/>
  <c r="G111" i="2"/>
  <c r="C112" i="2"/>
  <c r="D112" i="2"/>
  <c r="E112" i="2"/>
  <c r="F112" i="2"/>
  <c r="G112" i="2"/>
  <c r="C113" i="2"/>
  <c r="D113" i="2"/>
  <c r="E113" i="2"/>
  <c r="F113" i="2"/>
  <c r="G113" i="2"/>
  <c r="C114" i="2"/>
  <c r="D114" i="2"/>
  <c r="E114" i="2"/>
  <c r="F114" i="2"/>
  <c r="G114" i="2"/>
  <c r="C115" i="2"/>
  <c r="D115" i="2"/>
  <c r="E115" i="2"/>
  <c r="F115" i="2"/>
  <c r="G115" i="2"/>
  <c r="C116" i="2"/>
  <c r="D116" i="2"/>
  <c r="E116" i="2"/>
  <c r="F116" i="2"/>
  <c r="G116" i="2"/>
  <c r="C117" i="2"/>
  <c r="D117" i="2"/>
  <c r="E117" i="2"/>
  <c r="F117" i="2"/>
  <c r="G117" i="2"/>
  <c r="C118" i="2"/>
  <c r="D118" i="2"/>
  <c r="E118" i="2"/>
  <c r="F118" i="2"/>
  <c r="G118" i="2"/>
  <c r="C119" i="2"/>
  <c r="D119" i="2"/>
  <c r="E119" i="2"/>
  <c r="F119" i="2"/>
  <c r="G119" i="2"/>
  <c r="C120" i="2"/>
  <c r="D120" i="2"/>
  <c r="E120" i="2"/>
  <c r="F120" i="2"/>
  <c r="G120" i="2"/>
  <c r="C121" i="2"/>
  <c r="D121" i="2"/>
  <c r="E121" i="2"/>
  <c r="F121" i="2"/>
  <c r="G121" i="2"/>
  <c r="C122" i="2"/>
  <c r="D122" i="2"/>
  <c r="E122" i="2"/>
  <c r="F122" i="2"/>
  <c r="G122" i="2"/>
  <c r="C123" i="2"/>
  <c r="D123" i="2"/>
  <c r="E123" i="2"/>
  <c r="F123" i="2"/>
  <c r="G123" i="2"/>
  <c r="C124" i="2"/>
  <c r="D124" i="2"/>
  <c r="E124" i="2"/>
  <c r="F124" i="2"/>
  <c r="G124" i="2"/>
  <c r="C125" i="2"/>
  <c r="D125" i="2"/>
  <c r="E125" i="2"/>
  <c r="F125" i="2"/>
  <c r="G125" i="2"/>
  <c r="C126" i="2"/>
  <c r="D126" i="2"/>
  <c r="E126" i="2"/>
  <c r="F126" i="2"/>
  <c r="G126" i="2"/>
  <c r="C127" i="2"/>
  <c r="D127" i="2"/>
  <c r="E127" i="2"/>
  <c r="F127" i="2"/>
  <c r="G127" i="2"/>
  <c r="C128" i="2"/>
  <c r="D128" i="2"/>
  <c r="E128" i="2"/>
  <c r="F128" i="2"/>
  <c r="G128" i="2"/>
  <c r="C129" i="2"/>
  <c r="D129" i="2"/>
  <c r="E129" i="2"/>
  <c r="F129" i="2"/>
  <c r="G129" i="2"/>
  <c r="C130" i="2"/>
  <c r="D130" i="2"/>
  <c r="E130" i="2"/>
  <c r="F130" i="2"/>
  <c r="G130" i="2"/>
  <c r="C131" i="2"/>
  <c r="D131" i="2"/>
  <c r="E131" i="2"/>
  <c r="F131" i="2"/>
  <c r="G131" i="2"/>
  <c r="C132" i="2"/>
  <c r="D132" i="2"/>
  <c r="E132" i="2"/>
  <c r="F132" i="2"/>
  <c r="G132" i="2"/>
  <c r="C133" i="2"/>
  <c r="D133" i="2"/>
  <c r="E133" i="2"/>
  <c r="F133" i="2"/>
  <c r="G133" i="2"/>
  <c r="C134" i="2"/>
  <c r="D134" i="2"/>
  <c r="E134" i="2"/>
  <c r="F134" i="2"/>
  <c r="G134" i="2"/>
  <c r="C135" i="2"/>
  <c r="D135" i="2"/>
  <c r="E135" i="2"/>
  <c r="F135" i="2"/>
  <c r="G135" i="2"/>
  <c r="C136" i="2"/>
  <c r="D136" i="2"/>
  <c r="E136" i="2"/>
  <c r="F136" i="2"/>
  <c r="G136" i="2"/>
  <c r="C137" i="2"/>
  <c r="D137" i="2"/>
  <c r="E137" i="2"/>
  <c r="F137" i="2"/>
  <c r="G137" i="2"/>
  <c r="C138" i="2"/>
  <c r="D138" i="2"/>
  <c r="E138" i="2"/>
  <c r="F138" i="2"/>
  <c r="G138" i="2"/>
  <c r="C139" i="2"/>
  <c r="D139" i="2"/>
  <c r="E139" i="2"/>
  <c r="F139" i="2"/>
  <c r="G139" i="2"/>
  <c r="C140" i="2"/>
  <c r="D140" i="2"/>
  <c r="E140" i="2"/>
  <c r="F140" i="2"/>
  <c r="G140" i="2"/>
  <c r="C141" i="2"/>
  <c r="D141" i="2"/>
  <c r="E141" i="2"/>
  <c r="F141" i="2"/>
  <c r="G141" i="2"/>
  <c r="C142" i="2"/>
  <c r="D142" i="2"/>
  <c r="E142" i="2"/>
  <c r="F142" i="2"/>
  <c r="G142" i="2"/>
  <c r="C143" i="2"/>
  <c r="D143" i="2"/>
  <c r="E143" i="2"/>
  <c r="F143" i="2"/>
  <c r="G143" i="2"/>
  <c r="C144" i="2"/>
  <c r="D144" i="2"/>
  <c r="E144" i="2"/>
  <c r="F144" i="2"/>
  <c r="G144" i="2"/>
  <c r="C145" i="2"/>
  <c r="D145" i="2"/>
  <c r="E145" i="2"/>
  <c r="F145" i="2"/>
  <c r="G145" i="2"/>
  <c r="C146" i="2"/>
  <c r="D146" i="2"/>
  <c r="E146" i="2"/>
  <c r="F146" i="2"/>
  <c r="G146" i="2"/>
  <c r="C147" i="2"/>
  <c r="D147" i="2"/>
  <c r="E147" i="2"/>
  <c r="F147" i="2"/>
  <c r="G147" i="2"/>
  <c r="C148" i="2"/>
  <c r="D148" i="2"/>
  <c r="E148" i="2"/>
  <c r="F148" i="2"/>
  <c r="G148" i="2"/>
  <c r="C149" i="2"/>
  <c r="D149" i="2"/>
  <c r="E149" i="2"/>
  <c r="F149" i="2"/>
  <c r="G149" i="2"/>
  <c r="C150" i="2"/>
  <c r="D150" i="2"/>
  <c r="E150" i="2"/>
  <c r="F150" i="2"/>
  <c r="G150" i="2"/>
  <c r="C151" i="2"/>
  <c r="D151" i="2"/>
  <c r="E151" i="2"/>
  <c r="F151" i="2"/>
  <c r="G151" i="2"/>
  <c r="C152" i="2"/>
  <c r="D152" i="2"/>
  <c r="E152" i="2"/>
  <c r="F152" i="2"/>
  <c r="G152" i="2"/>
  <c r="C153" i="2"/>
  <c r="D153" i="2"/>
  <c r="E153" i="2"/>
  <c r="F153" i="2"/>
  <c r="G153" i="2"/>
  <c r="C154" i="2"/>
  <c r="D154" i="2"/>
  <c r="E154" i="2"/>
  <c r="F154" i="2"/>
  <c r="G154" i="2"/>
  <c r="C155" i="2"/>
  <c r="D155" i="2"/>
  <c r="E155" i="2"/>
  <c r="F155" i="2"/>
  <c r="G155" i="2"/>
  <c r="C156" i="2"/>
  <c r="D156" i="2"/>
  <c r="E156" i="2"/>
  <c r="F156" i="2"/>
  <c r="G156" i="2"/>
  <c r="C157" i="2"/>
  <c r="D157" i="2"/>
  <c r="E157" i="2"/>
  <c r="F157" i="2"/>
  <c r="G157" i="2"/>
  <c r="C158" i="2"/>
  <c r="D158" i="2"/>
  <c r="E158" i="2"/>
  <c r="F158" i="2"/>
  <c r="G158" i="2"/>
  <c r="C159" i="2"/>
  <c r="D159" i="2"/>
  <c r="E159" i="2"/>
  <c r="F159" i="2"/>
  <c r="G159" i="2"/>
  <c r="C160" i="2"/>
  <c r="D160" i="2"/>
  <c r="E160" i="2"/>
  <c r="F160" i="2"/>
  <c r="G160" i="2"/>
  <c r="C161" i="2"/>
  <c r="D161" i="2"/>
  <c r="E161" i="2"/>
  <c r="F161" i="2"/>
  <c r="G161" i="2"/>
  <c r="C162" i="2"/>
  <c r="D162" i="2"/>
  <c r="E162" i="2"/>
  <c r="F162" i="2"/>
  <c r="G162" i="2"/>
  <c r="C163" i="2"/>
  <c r="D163" i="2"/>
  <c r="E163" i="2"/>
  <c r="F163" i="2"/>
  <c r="G163" i="2"/>
  <c r="C164" i="2"/>
  <c r="D164" i="2"/>
  <c r="E164" i="2"/>
  <c r="F164" i="2"/>
  <c r="G164" i="2"/>
  <c r="C165" i="2"/>
  <c r="D165" i="2"/>
  <c r="E165" i="2"/>
  <c r="F165" i="2"/>
  <c r="G165" i="2"/>
  <c r="C166" i="2"/>
  <c r="D166" i="2"/>
  <c r="E166" i="2"/>
  <c r="F166" i="2"/>
  <c r="G166" i="2"/>
  <c r="C167" i="2"/>
  <c r="D167" i="2"/>
  <c r="E167" i="2"/>
  <c r="F167" i="2"/>
  <c r="G167" i="2"/>
  <c r="C168" i="2"/>
  <c r="D168" i="2"/>
  <c r="E168" i="2"/>
  <c r="F168" i="2"/>
  <c r="G168" i="2"/>
  <c r="C169" i="2"/>
  <c r="D169" i="2"/>
  <c r="E169" i="2"/>
  <c r="F169" i="2"/>
  <c r="G169" i="2"/>
  <c r="C170" i="2"/>
  <c r="D170" i="2"/>
  <c r="E170" i="2"/>
  <c r="F170" i="2"/>
  <c r="G170" i="2"/>
  <c r="C171" i="2"/>
  <c r="D171" i="2"/>
  <c r="E171" i="2"/>
  <c r="F171" i="2"/>
  <c r="G171" i="2"/>
  <c r="C172" i="2"/>
  <c r="D172" i="2"/>
  <c r="E172" i="2"/>
  <c r="F172" i="2"/>
  <c r="G172" i="2"/>
  <c r="C173" i="2"/>
  <c r="D173" i="2"/>
  <c r="E173" i="2"/>
  <c r="F173" i="2"/>
  <c r="G173" i="2"/>
  <c r="C174" i="2"/>
  <c r="D174" i="2"/>
  <c r="E174" i="2"/>
  <c r="F174" i="2"/>
  <c r="G174" i="2"/>
  <c r="C175" i="2"/>
  <c r="D175" i="2"/>
  <c r="E175" i="2"/>
  <c r="F175" i="2"/>
  <c r="G175" i="2"/>
  <c r="C176" i="2"/>
  <c r="D176" i="2"/>
  <c r="E176" i="2"/>
  <c r="F176" i="2"/>
  <c r="G176" i="2"/>
  <c r="C177" i="2"/>
  <c r="D177" i="2"/>
  <c r="E177" i="2"/>
  <c r="F177" i="2"/>
  <c r="G177" i="2"/>
  <c r="C178" i="2"/>
  <c r="D178" i="2"/>
  <c r="E178" i="2"/>
  <c r="F178" i="2"/>
  <c r="G178" i="2"/>
  <c r="C179" i="2"/>
  <c r="D179" i="2"/>
  <c r="E179" i="2"/>
  <c r="F179" i="2"/>
  <c r="G179" i="2"/>
  <c r="C180" i="2"/>
  <c r="D180" i="2"/>
  <c r="E180" i="2"/>
  <c r="F180" i="2"/>
  <c r="G180" i="2"/>
  <c r="C181" i="2"/>
  <c r="D181" i="2"/>
  <c r="E181" i="2"/>
  <c r="F181" i="2"/>
  <c r="G181" i="2"/>
  <c r="C182" i="2"/>
  <c r="D182" i="2"/>
  <c r="E182" i="2"/>
  <c r="F182" i="2"/>
  <c r="G182" i="2"/>
  <c r="C183" i="2"/>
  <c r="D183" i="2"/>
  <c r="E183" i="2"/>
  <c r="F183" i="2"/>
  <c r="G183" i="2"/>
  <c r="C184" i="2"/>
  <c r="D184" i="2"/>
  <c r="E184" i="2"/>
  <c r="F184" i="2"/>
  <c r="G184" i="2"/>
  <c r="C185" i="2"/>
  <c r="D185" i="2"/>
  <c r="E185" i="2"/>
  <c r="F185" i="2"/>
  <c r="G185" i="2"/>
  <c r="C186" i="2"/>
  <c r="D186" i="2"/>
  <c r="E186" i="2"/>
  <c r="F186" i="2"/>
  <c r="G186" i="2"/>
  <c r="C187" i="2"/>
  <c r="D187" i="2"/>
  <c r="E187" i="2"/>
  <c r="F187" i="2"/>
  <c r="G187" i="2"/>
  <c r="C188" i="2"/>
  <c r="D188" i="2"/>
  <c r="E188" i="2"/>
  <c r="F188" i="2"/>
  <c r="G188" i="2"/>
  <c r="C189" i="2"/>
  <c r="D189" i="2"/>
  <c r="E189" i="2"/>
  <c r="F189" i="2"/>
  <c r="G189" i="2"/>
  <c r="C190" i="2"/>
  <c r="D190" i="2"/>
  <c r="E190" i="2"/>
  <c r="F190" i="2"/>
  <c r="G190" i="2"/>
  <c r="C191" i="2"/>
  <c r="D191" i="2"/>
  <c r="E191" i="2"/>
  <c r="F191" i="2"/>
  <c r="G191" i="2"/>
  <c r="C192" i="2"/>
  <c r="D192" i="2"/>
  <c r="E192" i="2"/>
  <c r="F192" i="2"/>
  <c r="G192" i="2"/>
  <c r="C193" i="2"/>
  <c r="D193" i="2"/>
  <c r="E193" i="2"/>
  <c r="F193" i="2"/>
  <c r="G193" i="2"/>
  <c r="C194" i="2"/>
  <c r="D194" i="2"/>
  <c r="E194" i="2"/>
  <c r="F194" i="2"/>
  <c r="G194" i="2"/>
  <c r="C195" i="2"/>
  <c r="D195" i="2"/>
  <c r="E195" i="2"/>
  <c r="F195" i="2"/>
  <c r="G195" i="2"/>
  <c r="C196" i="2"/>
  <c r="D196" i="2"/>
  <c r="E196" i="2"/>
  <c r="F196" i="2"/>
  <c r="G196" i="2"/>
  <c r="C197" i="2"/>
  <c r="D197" i="2"/>
  <c r="E197" i="2"/>
  <c r="F197" i="2"/>
  <c r="G197" i="2"/>
  <c r="C198" i="2"/>
  <c r="D198" i="2"/>
  <c r="E198" i="2"/>
  <c r="F198" i="2"/>
  <c r="G198" i="2"/>
  <c r="C199" i="2"/>
  <c r="D199" i="2"/>
  <c r="E199" i="2"/>
  <c r="F199" i="2"/>
  <c r="G199" i="2"/>
  <c r="C200" i="2"/>
  <c r="D200" i="2"/>
  <c r="E200" i="2"/>
  <c r="F200" i="2"/>
  <c r="G200" i="2"/>
  <c r="C201" i="2"/>
  <c r="D201" i="2"/>
  <c r="E201" i="2"/>
  <c r="F201" i="2"/>
  <c r="G201" i="2"/>
  <c r="C202" i="2"/>
  <c r="D202" i="2"/>
  <c r="E202" i="2"/>
  <c r="F202" i="2"/>
  <c r="G202" i="2"/>
  <c r="C203" i="2"/>
  <c r="D203" i="2"/>
  <c r="E203" i="2"/>
  <c r="F203" i="2"/>
  <c r="G203" i="2"/>
  <c r="C204" i="2"/>
  <c r="D204" i="2"/>
  <c r="E204" i="2"/>
  <c r="F204" i="2"/>
  <c r="G204" i="2"/>
  <c r="C205" i="2"/>
  <c r="D205" i="2"/>
  <c r="E205" i="2"/>
  <c r="F205" i="2"/>
  <c r="G205" i="2"/>
  <c r="C206" i="2"/>
  <c r="D206" i="2"/>
  <c r="E206" i="2"/>
  <c r="F206" i="2"/>
  <c r="G206" i="2"/>
  <c r="C207" i="2"/>
  <c r="D207" i="2"/>
  <c r="E207" i="2"/>
  <c r="F207" i="2"/>
  <c r="G207" i="2"/>
  <c r="C208" i="2"/>
  <c r="D208" i="2"/>
  <c r="E208" i="2"/>
  <c r="F208" i="2"/>
  <c r="G208" i="2"/>
  <c r="C209" i="2"/>
  <c r="D209" i="2"/>
  <c r="E209" i="2"/>
  <c r="F209" i="2"/>
  <c r="G209" i="2"/>
  <c r="C210" i="2"/>
  <c r="D210" i="2"/>
  <c r="E210" i="2"/>
  <c r="F210" i="2"/>
  <c r="G210" i="2"/>
  <c r="C211" i="2"/>
  <c r="D211" i="2"/>
  <c r="E211" i="2"/>
  <c r="F211" i="2"/>
  <c r="G211" i="2"/>
  <c r="C212" i="2"/>
  <c r="D212" i="2"/>
  <c r="E212" i="2"/>
  <c r="F212" i="2"/>
  <c r="G212" i="2"/>
  <c r="C213" i="2"/>
  <c r="D213" i="2"/>
  <c r="E213" i="2"/>
  <c r="F213" i="2"/>
  <c r="G213" i="2"/>
  <c r="C214" i="2"/>
  <c r="D214" i="2"/>
  <c r="E214" i="2"/>
  <c r="F214" i="2"/>
  <c r="G214" i="2"/>
  <c r="C215" i="2"/>
  <c r="D215" i="2"/>
  <c r="E215" i="2"/>
  <c r="F215" i="2"/>
  <c r="G215" i="2"/>
  <c r="C216" i="2"/>
  <c r="D216" i="2"/>
  <c r="E216" i="2"/>
  <c r="F216" i="2"/>
  <c r="G216" i="2"/>
  <c r="C217" i="2"/>
  <c r="D217" i="2"/>
  <c r="E217" i="2"/>
  <c r="F217" i="2"/>
  <c r="G217" i="2"/>
  <c r="C218" i="2"/>
  <c r="D218" i="2"/>
  <c r="E218" i="2"/>
  <c r="F218" i="2"/>
  <c r="G218" i="2"/>
  <c r="C219" i="2"/>
  <c r="D219" i="2"/>
  <c r="E219" i="2"/>
  <c r="F219" i="2"/>
  <c r="G219" i="2"/>
  <c r="C220" i="2"/>
  <c r="D220" i="2"/>
  <c r="E220" i="2"/>
  <c r="F220" i="2"/>
  <c r="G220" i="2"/>
  <c r="C221" i="2"/>
  <c r="D221" i="2"/>
  <c r="E221" i="2"/>
  <c r="F221" i="2"/>
  <c r="G221" i="2"/>
  <c r="C222" i="2"/>
  <c r="D222" i="2"/>
  <c r="E222" i="2"/>
  <c r="F222" i="2"/>
  <c r="G222" i="2"/>
  <c r="C223" i="2"/>
  <c r="D223" i="2"/>
  <c r="E223" i="2"/>
  <c r="F223" i="2"/>
  <c r="G223" i="2"/>
  <c r="C224" i="2"/>
  <c r="D224" i="2"/>
  <c r="E224" i="2"/>
  <c r="F224" i="2"/>
  <c r="G224" i="2"/>
  <c r="C225" i="2"/>
  <c r="D225" i="2"/>
  <c r="E225" i="2"/>
  <c r="F225" i="2"/>
  <c r="G225" i="2"/>
  <c r="C226" i="2"/>
  <c r="D226" i="2"/>
  <c r="E226" i="2"/>
  <c r="F226" i="2"/>
  <c r="G226" i="2"/>
  <c r="C227" i="2"/>
  <c r="D227" i="2"/>
  <c r="E227" i="2"/>
  <c r="F227" i="2"/>
  <c r="G227" i="2"/>
  <c r="C228" i="2"/>
  <c r="D228" i="2"/>
  <c r="E228" i="2"/>
  <c r="F228" i="2"/>
  <c r="G228" i="2"/>
  <c r="C229" i="2"/>
  <c r="D229" i="2"/>
  <c r="E229" i="2"/>
  <c r="F229" i="2"/>
  <c r="G229" i="2"/>
  <c r="D14" i="2"/>
  <c r="E14" i="2"/>
  <c r="F14" i="2"/>
  <c r="G14" i="2"/>
  <c r="C14" i="2"/>
  <c r="C15" i="1"/>
  <c r="D15" i="1"/>
  <c r="E15" i="1"/>
  <c r="F15" i="1"/>
  <c r="G15" i="1"/>
  <c r="C16" i="1"/>
  <c r="D16" i="1"/>
  <c r="E16" i="1"/>
  <c r="F16" i="1"/>
  <c r="G16" i="1"/>
  <c r="C17" i="1"/>
  <c r="D17" i="1"/>
  <c r="E17" i="1"/>
  <c r="F17" i="1"/>
  <c r="G17" i="1"/>
  <c r="C18" i="1"/>
  <c r="D18" i="1"/>
  <c r="E18" i="1"/>
  <c r="F18" i="1"/>
  <c r="G18" i="1"/>
  <c r="C19" i="1"/>
  <c r="D19" i="1"/>
  <c r="E19" i="1"/>
  <c r="F19" i="1"/>
  <c r="G19" i="1"/>
  <c r="C20" i="1"/>
  <c r="D20" i="1"/>
  <c r="E20" i="1"/>
  <c r="F20" i="1"/>
  <c r="G20" i="1"/>
  <c r="C21" i="1"/>
  <c r="D21" i="1"/>
  <c r="E21" i="1"/>
  <c r="F21" i="1"/>
  <c r="G21" i="1"/>
  <c r="C22" i="1"/>
  <c r="D22" i="1"/>
  <c r="E22" i="1"/>
  <c r="F22" i="1"/>
  <c r="G22" i="1"/>
  <c r="C23" i="1"/>
  <c r="D23" i="1"/>
  <c r="E23" i="1"/>
  <c r="F23" i="1"/>
  <c r="G23" i="1"/>
  <c r="C24" i="1"/>
  <c r="D24" i="1"/>
  <c r="E24" i="1"/>
  <c r="F24" i="1"/>
  <c r="G24" i="1"/>
  <c r="C25" i="1"/>
  <c r="D25" i="1"/>
  <c r="E25" i="1"/>
  <c r="F25" i="1"/>
  <c r="G25" i="1"/>
  <c r="C26" i="1"/>
  <c r="D26" i="1"/>
  <c r="E26" i="1"/>
  <c r="F26" i="1"/>
  <c r="G26" i="1"/>
  <c r="C27" i="1"/>
  <c r="D27" i="1"/>
  <c r="E27" i="1"/>
  <c r="F27" i="1"/>
  <c r="G27" i="1"/>
  <c r="C28" i="1"/>
  <c r="D28" i="1"/>
  <c r="E28" i="1"/>
  <c r="F28" i="1"/>
  <c r="G28" i="1"/>
  <c r="C29" i="1"/>
  <c r="D29" i="1"/>
  <c r="E29" i="1"/>
  <c r="F29" i="1"/>
  <c r="G29" i="1"/>
  <c r="C30" i="1"/>
  <c r="D30" i="1"/>
  <c r="E30" i="1"/>
  <c r="F30" i="1"/>
  <c r="G30" i="1"/>
  <c r="C31" i="1"/>
  <c r="D31" i="1"/>
  <c r="E31" i="1"/>
  <c r="F31" i="1"/>
  <c r="G31" i="1"/>
  <c r="C32" i="1"/>
  <c r="D32" i="1"/>
  <c r="E32" i="1"/>
  <c r="F32" i="1"/>
  <c r="G32" i="1"/>
  <c r="C33" i="1"/>
  <c r="D33" i="1"/>
  <c r="E33" i="1"/>
  <c r="F33" i="1"/>
  <c r="G33" i="1"/>
  <c r="C34" i="1"/>
  <c r="D34" i="1"/>
  <c r="E34" i="1"/>
  <c r="F34" i="1"/>
  <c r="G34" i="1"/>
  <c r="C35" i="1"/>
  <c r="D35" i="1"/>
  <c r="E35" i="1"/>
  <c r="F35" i="1"/>
  <c r="G35" i="1"/>
  <c r="C36" i="1"/>
  <c r="D36" i="1"/>
  <c r="E36" i="1"/>
  <c r="F36" i="1"/>
  <c r="G36" i="1"/>
  <c r="C37" i="1"/>
  <c r="D37" i="1"/>
  <c r="E37" i="1"/>
  <c r="F37" i="1"/>
  <c r="G37" i="1"/>
  <c r="C38" i="1"/>
  <c r="D38" i="1"/>
  <c r="E38" i="1"/>
  <c r="F38" i="1"/>
  <c r="G38" i="1"/>
  <c r="C39" i="1"/>
  <c r="D39" i="1"/>
  <c r="E39" i="1"/>
  <c r="F39" i="1"/>
  <c r="G39" i="1"/>
  <c r="C40" i="1"/>
  <c r="D40" i="1"/>
  <c r="E40" i="1"/>
  <c r="F40" i="1"/>
  <c r="G40" i="1"/>
  <c r="C41" i="1"/>
  <c r="D41" i="1"/>
  <c r="E41" i="1"/>
  <c r="F41" i="1"/>
  <c r="G41" i="1"/>
  <c r="C42" i="1"/>
  <c r="D42" i="1"/>
  <c r="E42" i="1"/>
  <c r="F42" i="1"/>
  <c r="G42" i="1"/>
  <c r="C43" i="1"/>
  <c r="D43" i="1"/>
  <c r="E43" i="1"/>
  <c r="F43" i="1"/>
  <c r="G43" i="1"/>
  <c r="C44" i="1"/>
  <c r="D44" i="1"/>
  <c r="E44" i="1"/>
  <c r="F44" i="1"/>
  <c r="G44" i="1"/>
  <c r="C45" i="1"/>
  <c r="D45" i="1"/>
  <c r="E45" i="1"/>
  <c r="F45" i="1"/>
  <c r="G45" i="1"/>
  <c r="C46" i="1"/>
  <c r="D46" i="1"/>
  <c r="E46" i="1"/>
  <c r="F46" i="1"/>
  <c r="G46" i="1"/>
  <c r="C47" i="1"/>
  <c r="D47" i="1"/>
  <c r="E47" i="1"/>
  <c r="F47" i="1"/>
  <c r="G47" i="1"/>
  <c r="C48" i="1"/>
  <c r="D48" i="1"/>
  <c r="E48" i="1"/>
  <c r="F48" i="1"/>
  <c r="G48" i="1"/>
  <c r="C49" i="1"/>
  <c r="D49" i="1"/>
  <c r="E49" i="1"/>
  <c r="F49" i="1"/>
  <c r="G49" i="1"/>
  <c r="C50" i="1"/>
  <c r="D50" i="1"/>
  <c r="E50" i="1"/>
  <c r="F50" i="1"/>
  <c r="G50" i="1"/>
  <c r="C51" i="1"/>
  <c r="D51" i="1"/>
  <c r="E51" i="1"/>
  <c r="F51" i="1"/>
  <c r="G51" i="1"/>
  <c r="C52" i="1"/>
  <c r="D52" i="1"/>
  <c r="E52" i="1"/>
  <c r="F52" i="1"/>
  <c r="G52" i="1"/>
  <c r="C53" i="1"/>
  <c r="D53" i="1"/>
  <c r="E53" i="1"/>
  <c r="F53" i="1"/>
  <c r="G53" i="1"/>
  <c r="C54" i="1"/>
  <c r="D54" i="1"/>
  <c r="E54" i="1"/>
  <c r="F54" i="1"/>
  <c r="G54" i="1"/>
  <c r="C55" i="1"/>
  <c r="D55" i="1"/>
  <c r="E55" i="1"/>
  <c r="F55" i="1"/>
  <c r="G55" i="1"/>
  <c r="C56" i="1"/>
  <c r="D56" i="1"/>
  <c r="E56" i="1"/>
  <c r="F56" i="1"/>
  <c r="G56" i="1"/>
  <c r="C57" i="1"/>
  <c r="D57" i="1"/>
  <c r="E57" i="1"/>
  <c r="F57" i="1"/>
  <c r="G57" i="1"/>
  <c r="C58" i="1"/>
  <c r="D58" i="1"/>
  <c r="E58" i="1"/>
  <c r="F58" i="1"/>
  <c r="G58" i="1"/>
  <c r="C59" i="1"/>
  <c r="D59" i="1"/>
  <c r="E59" i="1"/>
  <c r="F59" i="1"/>
  <c r="G59" i="1"/>
  <c r="C60" i="1"/>
  <c r="D60" i="1"/>
  <c r="E60" i="1"/>
  <c r="F60" i="1"/>
  <c r="G60" i="1"/>
  <c r="C61" i="1"/>
  <c r="D61" i="1"/>
  <c r="E61" i="1"/>
  <c r="F61" i="1"/>
  <c r="G61" i="1"/>
  <c r="C62" i="1"/>
  <c r="D62" i="1"/>
  <c r="E62" i="1"/>
  <c r="F62" i="1"/>
  <c r="G62" i="1"/>
  <c r="C63" i="1"/>
  <c r="D63" i="1"/>
  <c r="E63" i="1"/>
  <c r="F63" i="1"/>
  <c r="G63" i="1"/>
  <c r="C64" i="1"/>
  <c r="D64" i="1"/>
  <c r="E64" i="1"/>
  <c r="F64" i="1"/>
  <c r="G64" i="1"/>
  <c r="C65" i="1"/>
  <c r="D65" i="1"/>
  <c r="E65" i="1"/>
  <c r="F65" i="1"/>
  <c r="G65" i="1"/>
  <c r="C66" i="1"/>
  <c r="D66" i="1"/>
  <c r="E66" i="1"/>
  <c r="F66" i="1"/>
  <c r="G66" i="1"/>
  <c r="C67" i="1"/>
  <c r="D67" i="1"/>
  <c r="E67" i="1"/>
  <c r="F67" i="1"/>
  <c r="G67" i="1"/>
  <c r="C68" i="1"/>
  <c r="D68" i="1"/>
  <c r="E68" i="1"/>
  <c r="F68" i="1"/>
  <c r="G68" i="1"/>
  <c r="C69" i="1"/>
  <c r="D69" i="1"/>
  <c r="E69" i="1"/>
  <c r="F69" i="1"/>
  <c r="G69" i="1"/>
  <c r="C70" i="1"/>
  <c r="D70" i="1"/>
  <c r="E70" i="1"/>
  <c r="F70" i="1"/>
  <c r="G70" i="1"/>
  <c r="C71" i="1"/>
  <c r="D71" i="1"/>
  <c r="E71" i="1"/>
  <c r="F71" i="1"/>
  <c r="G71" i="1"/>
  <c r="C72" i="1"/>
  <c r="D72" i="1"/>
  <c r="E72" i="1"/>
  <c r="F72" i="1"/>
  <c r="G72" i="1"/>
  <c r="C73" i="1"/>
  <c r="D73" i="1"/>
  <c r="E73" i="1"/>
  <c r="F73" i="1"/>
  <c r="G73" i="1"/>
  <c r="C74" i="1"/>
  <c r="D74" i="1"/>
  <c r="E74" i="1"/>
  <c r="F74" i="1"/>
  <c r="G74" i="1"/>
  <c r="C75" i="1"/>
  <c r="D75" i="1"/>
  <c r="E75" i="1"/>
  <c r="F75" i="1"/>
  <c r="G75" i="1"/>
  <c r="C76" i="1"/>
  <c r="D76" i="1"/>
  <c r="E76" i="1"/>
  <c r="F76" i="1"/>
  <c r="G76" i="1"/>
  <c r="C77" i="1"/>
  <c r="D77" i="1"/>
  <c r="E77" i="1"/>
  <c r="F77" i="1"/>
  <c r="G77" i="1"/>
  <c r="C78" i="1"/>
  <c r="D78" i="1"/>
  <c r="E78" i="1"/>
  <c r="F78" i="1"/>
  <c r="G78" i="1"/>
  <c r="C79" i="1"/>
  <c r="D79" i="1"/>
  <c r="E79" i="1"/>
  <c r="F79" i="1"/>
  <c r="G79" i="1"/>
  <c r="C80" i="1"/>
  <c r="D80" i="1"/>
  <c r="E80" i="1"/>
  <c r="F80" i="1"/>
  <c r="G80" i="1"/>
  <c r="C81" i="1"/>
  <c r="D81" i="1"/>
  <c r="E81" i="1"/>
  <c r="F81" i="1"/>
  <c r="G81" i="1"/>
  <c r="C82" i="1"/>
  <c r="D82" i="1"/>
  <c r="E82" i="1"/>
  <c r="F82" i="1"/>
  <c r="G82" i="1"/>
  <c r="C83" i="1"/>
  <c r="D83" i="1"/>
  <c r="E83" i="1"/>
  <c r="F83" i="1"/>
  <c r="G83" i="1"/>
  <c r="C84" i="1"/>
  <c r="D84" i="1"/>
  <c r="E84" i="1"/>
  <c r="F84" i="1"/>
  <c r="G84" i="1"/>
  <c r="C85" i="1"/>
  <c r="D85" i="1"/>
  <c r="E85" i="1"/>
  <c r="F85" i="1"/>
  <c r="G85" i="1"/>
  <c r="C86" i="1"/>
  <c r="D86" i="1"/>
  <c r="E86" i="1"/>
  <c r="F86" i="1"/>
  <c r="G86" i="1"/>
  <c r="C87" i="1"/>
  <c r="D87" i="1"/>
  <c r="E87" i="1"/>
  <c r="F87" i="1"/>
  <c r="G87" i="1"/>
  <c r="C88" i="1"/>
  <c r="D88" i="1"/>
  <c r="E88" i="1"/>
  <c r="F88" i="1"/>
  <c r="G88" i="1"/>
  <c r="C89" i="1"/>
  <c r="D89" i="1"/>
  <c r="E89" i="1"/>
  <c r="F89" i="1"/>
  <c r="G89" i="1"/>
  <c r="C90" i="1"/>
  <c r="D90" i="1"/>
  <c r="E90" i="1"/>
  <c r="F90" i="1"/>
  <c r="G90" i="1"/>
  <c r="C91" i="1"/>
  <c r="D91" i="1"/>
  <c r="E91" i="1"/>
  <c r="F91" i="1"/>
  <c r="G91" i="1"/>
  <c r="C92" i="1"/>
  <c r="D92" i="1"/>
  <c r="E92" i="1"/>
  <c r="F92" i="1"/>
  <c r="G92" i="1"/>
  <c r="C93" i="1"/>
  <c r="D93" i="1"/>
  <c r="E93" i="1"/>
  <c r="F93" i="1"/>
  <c r="G93" i="1"/>
  <c r="C94" i="1"/>
  <c r="D94" i="1"/>
  <c r="E94" i="1"/>
  <c r="F94" i="1"/>
  <c r="G94" i="1"/>
  <c r="C95" i="1"/>
  <c r="D95" i="1"/>
  <c r="E95" i="1"/>
  <c r="F95" i="1"/>
  <c r="G95" i="1"/>
  <c r="C96" i="1"/>
  <c r="D96" i="1"/>
  <c r="E96" i="1"/>
  <c r="F96" i="1"/>
  <c r="G96" i="1"/>
  <c r="C97" i="1"/>
  <c r="D97" i="1"/>
  <c r="E97" i="1"/>
  <c r="F97" i="1"/>
  <c r="G97" i="1"/>
  <c r="C98" i="1"/>
  <c r="D98" i="1"/>
  <c r="E98" i="1"/>
  <c r="F98" i="1"/>
  <c r="G98" i="1"/>
  <c r="C99" i="1"/>
  <c r="D99" i="1"/>
  <c r="E99" i="1"/>
  <c r="F99" i="1"/>
  <c r="G99" i="1"/>
  <c r="C100" i="1"/>
  <c r="D100" i="1"/>
  <c r="E100" i="1"/>
  <c r="F100" i="1"/>
  <c r="G100" i="1"/>
  <c r="C101" i="1"/>
  <c r="D101" i="1"/>
  <c r="E101" i="1"/>
  <c r="F101" i="1"/>
  <c r="G101" i="1"/>
  <c r="C102" i="1"/>
  <c r="D102" i="1"/>
  <c r="E102" i="1"/>
  <c r="F102" i="1"/>
  <c r="G102" i="1"/>
  <c r="C103" i="1"/>
  <c r="D103" i="1"/>
  <c r="E103" i="1"/>
  <c r="F103" i="1"/>
  <c r="G103" i="1"/>
  <c r="C104" i="1"/>
  <c r="D104" i="1"/>
  <c r="E104" i="1"/>
  <c r="F104" i="1"/>
  <c r="G104" i="1"/>
  <c r="C105" i="1"/>
  <c r="D105" i="1"/>
  <c r="E105" i="1"/>
  <c r="F105" i="1"/>
  <c r="G105" i="1"/>
  <c r="C106" i="1"/>
  <c r="D106" i="1"/>
  <c r="E106" i="1"/>
  <c r="F106" i="1"/>
  <c r="G106" i="1"/>
  <c r="C107" i="1"/>
  <c r="D107" i="1"/>
  <c r="E107" i="1"/>
  <c r="F107" i="1"/>
  <c r="G107" i="1"/>
  <c r="C108" i="1"/>
  <c r="D108" i="1"/>
  <c r="E108" i="1"/>
  <c r="F108" i="1"/>
  <c r="G108" i="1"/>
  <c r="C109" i="1"/>
  <c r="D109" i="1"/>
  <c r="E109" i="1"/>
  <c r="F109" i="1"/>
  <c r="G109" i="1"/>
  <c r="C110" i="1"/>
  <c r="D110" i="1"/>
  <c r="E110" i="1"/>
  <c r="F110" i="1"/>
  <c r="G110" i="1"/>
  <c r="C111" i="1"/>
  <c r="D111" i="1"/>
  <c r="E111" i="1"/>
  <c r="F111" i="1"/>
  <c r="G111" i="1"/>
  <c r="C112" i="1"/>
  <c r="D112" i="1"/>
  <c r="E112" i="1"/>
  <c r="F112" i="1"/>
  <c r="G112" i="1"/>
  <c r="C113" i="1"/>
  <c r="D113" i="1"/>
  <c r="E113" i="1"/>
  <c r="F113" i="1"/>
  <c r="G113" i="1"/>
  <c r="C114" i="1"/>
  <c r="D114" i="1"/>
  <c r="E114" i="1"/>
  <c r="F114" i="1"/>
  <c r="G114" i="1"/>
  <c r="C115" i="1"/>
  <c r="D115" i="1"/>
  <c r="E115" i="1"/>
  <c r="F115" i="1"/>
  <c r="G115" i="1"/>
  <c r="C116" i="1"/>
  <c r="D116" i="1"/>
  <c r="E116" i="1"/>
  <c r="F116" i="1"/>
  <c r="G116" i="1"/>
  <c r="C117" i="1"/>
  <c r="D117" i="1"/>
  <c r="E117" i="1"/>
  <c r="F117" i="1"/>
  <c r="G117" i="1"/>
  <c r="C118" i="1"/>
  <c r="D118" i="1"/>
  <c r="E118" i="1"/>
  <c r="F118" i="1"/>
  <c r="G118" i="1"/>
  <c r="C119" i="1"/>
  <c r="D119" i="1"/>
  <c r="E119" i="1"/>
  <c r="F119" i="1"/>
  <c r="G119" i="1"/>
  <c r="C120" i="1"/>
  <c r="D120" i="1"/>
  <c r="E120" i="1"/>
  <c r="F120" i="1"/>
  <c r="G120" i="1"/>
  <c r="C121" i="1"/>
  <c r="D121" i="1"/>
  <c r="E121" i="1"/>
  <c r="F121" i="1"/>
  <c r="G121" i="1"/>
  <c r="C122" i="1"/>
  <c r="D122" i="1"/>
  <c r="E122" i="1"/>
  <c r="F122" i="1"/>
  <c r="G122" i="1"/>
  <c r="C123" i="1"/>
  <c r="D123" i="1"/>
  <c r="E123" i="1"/>
  <c r="F123" i="1"/>
  <c r="G123" i="1"/>
  <c r="C124" i="1"/>
  <c r="D124" i="1"/>
  <c r="E124" i="1"/>
  <c r="F124" i="1"/>
  <c r="G124" i="1"/>
  <c r="C125" i="1"/>
  <c r="D125" i="1"/>
  <c r="E125" i="1"/>
  <c r="F125" i="1"/>
  <c r="G125" i="1"/>
  <c r="C126" i="1"/>
  <c r="D126" i="1"/>
  <c r="E126" i="1"/>
  <c r="F126" i="1"/>
  <c r="G126" i="1"/>
  <c r="C127" i="1"/>
  <c r="D127" i="1"/>
  <c r="E127" i="1"/>
  <c r="F127" i="1"/>
  <c r="G127" i="1"/>
  <c r="C128" i="1"/>
  <c r="D128" i="1"/>
  <c r="E128" i="1"/>
  <c r="F128" i="1"/>
  <c r="G128" i="1"/>
  <c r="C129" i="1"/>
  <c r="D129" i="1"/>
  <c r="E129" i="1"/>
  <c r="F129" i="1"/>
  <c r="G129" i="1"/>
  <c r="C130" i="1"/>
  <c r="D130" i="1"/>
  <c r="E130" i="1"/>
  <c r="F130" i="1"/>
  <c r="G130" i="1"/>
  <c r="C131" i="1"/>
  <c r="D131" i="1"/>
  <c r="E131" i="1"/>
  <c r="F131" i="1"/>
  <c r="G131" i="1"/>
  <c r="C132" i="1"/>
  <c r="D132" i="1"/>
  <c r="E132" i="1"/>
  <c r="F132" i="1"/>
  <c r="G132" i="1"/>
  <c r="C133" i="1"/>
  <c r="D133" i="1"/>
  <c r="E133" i="1"/>
  <c r="F133" i="1"/>
  <c r="G133" i="1"/>
  <c r="C134" i="1"/>
  <c r="D134" i="1"/>
  <c r="E134" i="1"/>
  <c r="F134" i="1"/>
  <c r="G134" i="1"/>
  <c r="C135" i="1"/>
  <c r="D135" i="1"/>
  <c r="E135" i="1"/>
  <c r="F135" i="1"/>
  <c r="G135" i="1"/>
  <c r="C136" i="1"/>
  <c r="D136" i="1"/>
  <c r="E136" i="1"/>
  <c r="F136" i="1"/>
  <c r="G136" i="1"/>
  <c r="C137" i="1"/>
  <c r="D137" i="1"/>
  <c r="E137" i="1"/>
  <c r="F137" i="1"/>
  <c r="G137" i="1"/>
  <c r="C138" i="1"/>
  <c r="D138" i="1"/>
  <c r="E138" i="1"/>
  <c r="F138" i="1"/>
  <c r="G138" i="1"/>
  <c r="C139" i="1"/>
  <c r="D139" i="1"/>
  <c r="E139" i="1"/>
  <c r="F139" i="1"/>
  <c r="G139" i="1"/>
  <c r="C140" i="1"/>
  <c r="D140" i="1"/>
  <c r="E140" i="1"/>
  <c r="F140" i="1"/>
  <c r="G140" i="1"/>
  <c r="C141" i="1"/>
  <c r="D141" i="1"/>
  <c r="E141" i="1"/>
  <c r="F141" i="1"/>
  <c r="G141" i="1"/>
  <c r="C142" i="1"/>
  <c r="D142" i="1"/>
  <c r="E142" i="1"/>
  <c r="F142" i="1"/>
  <c r="G142" i="1"/>
  <c r="C143" i="1"/>
  <c r="D143" i="1"/>
  <c r="E143" i="1"/>
  <c r="F143" i="1"/>
  <c r="G143" i="1"/>
  <c r="C144" i="1"/>
  <c r="D144" i="1"/>
  <c r="E144" i="1"/>
  <c r="F144" i="1"/>
  <c r="G144" i="1"/>
  <c r="C145" i="1"/>
  <c r="D145" i="1"/>
  <c r="E145" i="1"/>
  <c r="F145" i="1"/>
  <c r="G145" i="1"/>
  <c r="C146" i="1"/>
  <c r="D146" i="1"/>
  <c r="E146" i="1"/>
  <c r="F146" i="1"/>
  <c r="G146" i="1"/>
  <c r="C147" i="1"/>
  <c r="D147" i="1"/>
  <c r="E147" i="1"/>
  <c r="F147" i="1"/>
  <c r="G147" i="1"/>
  <c r="C148" i="1"/>
  <c r="D148" i="1"/>
  <c r="E148" i="1"/>
  <c r="F148" i="1"/>
  <c r="G148" i="1"/>
  <c r="C149" i="1"/>
  <c r="D149" i="1"/>
  <c r="E149" i="1"/>
  <c r="F149" i="1"/>
  <c r="G149" i="1"/>
  <c r="C150" i="1"/>
  <c r="D150" i="1"/>
  <c r="E150" i="1"/>
  <c r="F150" i="1"/>
  <c r="G150" i="1"/>
  <c r="C151" i="1"/>
  <c r="D151" i="1"/>
  <c r="E151" i="1"/>
  <c r="F151" i="1"/>
  <c r="G151" i="1"/>
  <c r="C152" i="1"/>
  <c r="D152" i="1"/>
  <c r="E152" i="1"/>
  <c r="F152" i="1"/>
  <c r="G152" i="1"/>
  <c r="C153" i="1"/>
  <c r="D153" i="1"/>
  <c r="E153" i="1"/>
  <c r="F153" i="1"/>
  <c r="G153" i="1"/>
  <c r="C154" i="1"/>
  <c r="D154" i="1"/>
  <c r="E154" i="1"/>
  <c r="F154" i="1"/>
  <c r="G154" i="1"/>
  <c r="C155" i="1"/>
  <c r="D155" i="1"/>
  <c r="E155" i="1"/>
  <c r="F155" i="1"/>
  <c r="G155" i="1"/>
  <c r="C156" i="1"/>
  <c r="D156" i="1"/>
  <c r="E156" i="1"/>
  <c r="F156" i="1"/>
  <c r="G156" i="1"/>
  <c r="C157" i="1"/>
  <c r="D157" i="1"/>
  <c r="E157" i="1"/>
  <c r="F157" i="1"/>
  <c r="G157" i="1"/>
  <c r="C158" i="1"/>
  <c r="D158" i="1"/>
  <c r="E158" i="1"/>
  <c r="F158" i="1"/>
  <c r="G158" i="1"/>
  <c r="C159" i="1"/>
  <c r="D159" i="1"/>
  <c r="E159" i="1"/>
  <c r="F159" i="1"/>
  <c r="G159" i="1"/>
  <c r="C160" i="1"/>
  <c r="D160" i="1"/>
  <c r="E160" i="1"/>
  <c r="F160" i="1"/>
  <c r="G160" i="1"/>
  <c r="C161" i="1"/>
  <c r="D161" i="1"/>
  <c r="E161" i="1"/>
  <c r="F161" i="1"/>
  <c r="G161" i="1"/>
  <c r="C162" i="1"/>
  <c r="D162" i="1"/>
  <c r="E162" i="1"/>
  <c r="F162" i="1"/>
  <c r="G162" i="1"/>
  <c r="C163" i="1"/>
  <c r="D163" i="1"/>
  <c r="E163" i="1"/>
  <c r="F163" i="1"/>
  <c r="G163" i="1"/>
  <c r="C164" i="1"/>
  <c r="D164" i="1"/>
  <c r="E164" i="1"/>
  <c r="F164" i="1"/>
  <c r="G164" i="1"/>
  <c r="C165" i="1"/>
  <c r="D165" i="1"/>
  <c r="E165" i="1"/>
  <c r="F165" i="1"/>
  <c r="G165" i="1"/>
  <c r="C166" i="1"/>
  <c r="D166" i="1"/>
  <c r="E166" i="1"/>
  <c r="F166" i="1"/>
  <c r="G166" i="1"/>
  <c r="C167" i="1"/>
  <c r="D167" i="1"/>
  <c r="E167" i="1"/>
  <c r="F167" i="1"/>
  <c r="G167" i="1"/>
  <c r="C168" i="1"/>
  <c r="D168" i="1"/>
  <c r="E168" i="1"/>
  <c r="F168" i="1"/>
  <c r="G168" i="1"/>
  <c r="C169" i="1"/>
  <c r="D169" i="1"/>
  <c r="E169" i="1"/>
  <c r="F169" i="1"/>
  <c r="G169" i="1"/>
  <c r="C170" i="1"/>
  <c r="D170" i="1"/>
  <c r="E170" i="1"/>
  <c r="F170" i="1"/>
  <c r="G170" i="1"/>
  <c r="C171" i="1"/>
  <c r="D171" i="1"/>
  <c r="E171" i="1"/>
  <c r="F171" i="1"/>
  <c r="G171" i="1"/>
  <c r="C172" i="1"/>
  <c r="D172" i="1"/>
  <c r="E172" i="1"/>
  <c r="F172" i="1"/>
  <c r="G172" i="1"/>
  <c r="C173" i="1"/>
  <c r="D173" i="1"/>
  <c r="E173" i="1"/>
  <c r="F173" i="1"/>
  <c r="G173" i="1"/>
  <c r="C174" i="1"/>
  <c r="D174" i="1"/>
  <c r="E174" i="1"/>
  <c r="F174" i="1"/>
  <c r="G174" i="1"/>
  <c r="C175" i="1"/>
  <c r="D175" i="1"/>
  <c r="E175" i="1"/>
  <c r="F175" i="1"/>
  <c r="G175" i="1"/>
  <c r="C176" i="1"/>
  <c r="D176" i="1"/>
  <c r="E176" i="1"/>
  <c r="F176" i="1"/>
  <c r="G176" i="1"/>
  <c r="C177" i="1"/>
  <c r="D177" i="1"/>
  <c r="E177" i="1"/>
  <c r="F177" i="1"/>
  <c r="G177" i="1"/>
  <c r="C178" i="1"/>
  <c r="D178" i="1"/>
  <c r="E178" i="1"/>
  <c r="F178" i="1"/>
  <c r="G178" i="1"/>
  <c r="C179" i="1"/>
  <c r="D179" i="1"/>
  <c r="E179" i="1"/>
  <c r="F179" i="1"/>
  <c r="G179" i="1"/>
  <c r="C180" i="1"/>
  <c r="D180" i="1"/>
  <c r="E180" i="1"/>
  <c r="F180" i="1"/>
  <c r="G180" i="1"/>
  <c r="C181" i="1"/>
  <c r="D181" i="1"/>
  <c r="E181" i="1"/>
  <c r="F181" i="1"/>
  <c r="G181" i="1"/>
  <c r="C182" i="1"/>
  <c r="D182" i="1"/>
  <c r="E182" i="1"/>
  <c r="F182" i="1"/>
  <c r="G182" i="1"/>
  <c r="C183" i="1"/>
  <c r="D183" i="1"/>
  <c r="E183" i="1"/>
  <c r="F183" i="1"/>
  <c r="G183" i="1"/>
  <c r="C184" i="1"/>
  <c r="D184" i="1"/>
  <c r="E184" i="1"/>
  <c r="F184" i="1"/>
  <c r="G184" i="1"/>
  <c r="C185" i="1"/>
  <c r="D185" i="1"/>
  <c r="E185" i="1"/>
  <c r="F185" i="1"/>
  <c r="G185" i="1"/>
  <c r="C186" i="1"/>
  <c r="D186" i="1"/>
  <c r="E186" i="1"/>
  <c r="F186" i="1"/>
  <c r="G186" i="1"/>
  <c r="C187" i="1"/>
  <c r="D187" i="1"/>
  <c r="E187" i="1"/>
  <c r="F187" i="1"/>
  <c r="G187" i="1"/>
  <c r="C188" i="1"/>
  <c r="D188" i="1"/>
  <c r="E188" i="1"/>
  <c r="F188" i="1"/>
  <c r="G188" i="1"/>
  <c r="C189" i="1"/>
  <c r="D189" i="1"/>
  <c r="E189" i="1"/>
  <c r="F189" i="1"/>
  <c r="G189" i="1"/>
  <c r="C190" i="1"/>
  <c r="D190" i="1"/>
  <c r="E190" i="1"/>
  <c r="F190" i="1"/>
  <c r="G190" i="1"/>
  <c r="C191" i="1"/>
  <c r="D191" i="1"/>
  <c r="E191" i="1"/>
  <c r="F191" i="1"/>
  <c r="G191" i="1"/>
  <c r="C192" i="1"/>
  <c r="D192" i="1"/>
  <c r="E192" i="1"/>
  <c r="F192" i="1"/>
  <c r="G192" i="1"/>
  <c r="C193" i="1"/>
  <c r="D193" i="1"/>
  <c r="E193" i="1"/>
  <c r="F193" i="1"/>
  <c r="G193" i="1"/>
  <c r="C194" i="1"/>
  <c r="D194" i="1"/>
  <c r="E194" i="1"/>
  <c r="F194" i="1"/>
  <c r="G194" i="1"/>
  <c r="C195" i="1"/>
  <c r="D195" i="1"/>
  <c r="E195" i="1"/>
  <c r="F195" i="1"/>
  <c r="G195" i="1"/>
  <c r="C196" i="1"/>
  <c r="D196" i="1"/>
  <c r="E196" i="1"/>
  <c r="F196" i="1"/>
  <c r="G196" i="1"/>
  <c r="C197" i="1"/>
  <c r="D197" i="1"/>
  <c r="E197" i="1"/>
  <c r="F197" i="1"/>
  <c r="G197" i="1"/>
  <c r="C198" i="1"/>
  <c r="D198" i="1"/>
  <c r="E198" i="1"/>
  <c r="F198" i="1"/>
  <c r="G198" i="1"/>
  <c r="C199" i="1"/>
  <c r="D199" i="1"/>
  <c r="E199" i="1"/>
  <c r="F199" i="1"/>
  <c r="G199" i="1"/>
  <c r="C200" i="1"/>
  <c r="D200" i="1"/>
  <c r="E200" i="1"/>
  <c r="F200" i="1"/>
  <c r="G200" i="1"/>
  <c r="C201" i="1"/>
  <c r="D201" i="1"/>
  <c r="E201" i="1"/>
  <c r="F201" i="1"/>
  <c r="G201" i="1"/>
  <c r="C202" i="1"/>
  <c r="D202" i="1"/>
  <c r="E202" i="1"/>
  <c r="F202" i="1"/>
  <c r="G202" i="1"/>
  <c r="C203" i="1"/>
  <c r="D203" i="1"/>
  <c r="E203" i="1"/>
  <c r="F203" i="1"/>
  <c r="G203" i="1"/>
  <c r="C204" i="1"/>
  <c r="D204" i="1"/>
  <c r="E204" i="1"/>
  <c r="F204" i="1"/>
  <c r="G204" i="1"/>
  <c r="C205" i="1"/>
  <c r="D205" i="1"/>
  <c r="E205" i="1"/>
  <c r="F205" i="1"/>
  <c r="G205" i="1"/>
  <c r="C206" i="1"/>
  <c r="D206" i="1"/>
  <c r="E206" i="1"/>
  <c r="F206" i="1"/>
  <c r="G206" i="1"/>
  <c r="C207" i="1"/>
  <c r="D207" i="1"/>
  <c r="E207" i="1"/>
  <c r="F207" i="1"/>
  <c r="G207" i="1"/>
  <c r="C208" i="1"/>
  <c r="D208" i="1"/>
  <c r="E208" i="1"/>
  <c r="F208" i="1"/>
  <c r="G208" i="1"/>
  <c r="C209" i="1"/>
  <c r="D209" i="1"/>
  <c r="E209" i="1"/>
  <c r="F209" i="1"/>
  <c r="G209" i="1"/>
  <c r="C210" i="1"/>
  <c r="D210" i="1"/>
  <c r="E210" i="1"/>
  <c r="F210" i="1"/>
  <c r="G210" i="1"/>
  <c r="C211" i="1"/>
  <c r="D211" i="1"/>
  <c r="E211" i="1"/>
  <c r="F211" i="1"/>
  <c r="G211" i="1"/>
  <c r="C212" i="1"/>
  <c r="D212" i="1"/>
  <c r="E212" i="1"/>
  <c r="F212" i="1"/>
  <c r="G212" i="1"/>
  <c r="C213" i="1"/>
  <c r="D213" i="1"/>
  <c r="E213" i="1"/>
  <c r="F213" i="1"/>
  <c r="G213" i="1"/>
  <c r="C214" i="1"/>
  <c r="D214" i="1"/>
  <c r="E214" i="1"/>
  <c r="F214" i="1"/>
  <c r="G214" i="1"/>
  <c r="C215" i="1"/>
  <c r="D215" i="1"/>
  <c r="E215" i="1"/>
  <c r="F215" i="1"/>
  <c r="G215" i="1"/>
  <c r="C216" i="1"/>
  <c r="D216" i="1"/>
  <c r="E216" i="1"/>
  <c r="F216" i="1"/>
  <c r="G216" i="1"/>
  <c r="C217" i="1"/>
  <c r="D217" i="1"/>
  <c r="E217" i="1"/>
  <c r="F217" i="1"/>
  <c r="G217" i="1"/>
  <c r="C218" i="1"/>
  <c r="D218" i="1"/>
  <c r="E218" i="1"/>
  <c r="F218" i="1"/>
  <c r="G218" i="1"/>
  <c r="C219" i="1"/>
  <c r="D219" i="1"/>
  <c r="E219" i="1"/>
  <c r="F219" i="1"/>
  <c r="G219" i="1"/>
  <c r="C220" i="1"/>
  <c r="D220" i="1"/>
  <c r="E220" i="1"/>
  <c r="F220" i="1"/>
  <c r="G220" i="1"/>
  <c r="C221" i="1"/>
  <c r="D221" i="1"/>
  <c r="E221" i="1"/>
  <c r="F221" i="1"/>
  <c r="G221" i="1"/>
  <c r="C222" i="1"/>
  <c r="D222" i="1"/>
  <c r="E222" i="1"/>
  <c r="F222" i="1"/>
  <c r="G222" i="1"/>
  <c r="C223" i="1"/>
  <c r="D223" i="1"/>
  <c r="E223" i="1"/>
  <c r="F223" i="1"/>
  <c r="G223" i="1"/>
  <c r="C224" i="1"/>
  <c r="D224" i="1"/>
  <c r="E224" i="1"/>
  <c r="F224" i="1"/>
  <c r="G224" i="1"/>
  <c r="C225" i="1"/>
  <c r="D225" i="1"/>
  <c r="E225" i="1"/>
  <c r="F225" i="1"/>
  <c r="G225" i="1"/>
  <c r="C226" i="1"/>
  <c r="D226" i="1"/>
  <c r="E226" i="1"/>
  <c r="F226" i="1"/>
  <c r="G226" i="1"/>
  <c r="C227" i="1"/>
  <c r="D227" i="1"/>
  <c r="E227" i="1"/>
  <c r="F227" i="1"/>
  <c r="G227" i="1"/>
  <c r="C228" i="1"/>
  <c r="D228" i="1"/>
  <c r="E228" i="1"/>
  <c r="F228" i="1"/>
  <c r="G228" i="1"/>
  <c r="C229" i="1"/>
  <c r="D229" i="1"/>
  <c r="E229" i="1"/>
  <c r="F229" i="1"/>
  <c r="G229" i="1"/>
  <c r="C230" i="1"/>
  <c r="D230" i="1"/>
  <c r="E230" i="1"/>
  <c r="F230" i="1"/>
  <c r="G230" i="1"/>
  <c r="C231" i="1"/>
  <c r="D231" i="1"/>
  <c r="E231" i="1"/>
  <c r="F231" i="1"/>
  <c r="G231" i="1"/>
  <c r="C232" i="1"/>
  <c r="D232" i="1"/>
  <c r="E232" i="1"/>
  <c r="F232" i="1"/>
  <c r="G232" i="1"/>
  <c r="C233" i="1"/>
  <c r="D233" i="1"/>
  <c r="E233" i="1"/>
  <c r="F233" i="1"/>
  <c r="G233" i="1"/>
  <c r="C234" i="1"/>
  <c r="D234" i="1"/>
  <c r="E234" i="1"/>
  <c r="F234" i="1"/>
  <c r="G234" i="1"/>
  <c r="C235" i="1"/>
  <c r="D235" i="1"/>
  <c r="E235" i="1"/>
  <c r="F235" i="1"/>
  <c r="G235" i="1"/>
  <c r="C236" i="1"/>
  <c r="D236" i="1"/>
  <c r="E236" i="1"/>
  <c r="F236" i="1"/>
  <c r="G236" i="1"/>
  <c r="C237" i="1"/>
  <c r="D237" i="1"/>
  <c r="E237" i="1"/>
  <c r="F237" i="1"/>
  <c r="G237" i="1"/>
  <c r="C238" i="1"/>
  <c r="D238" i="1"/>
  <c r="E238" i="1"/>
  <c r="F238" i="1"/>
  <c r="G238" i="1"/>
  <c r="C239" i="1"/>
  <c r="D239" i="1"/>
  <c r="E239" i="1"/>
  <c r="F239" i="1"/>
  <c r="G239" i="1"/>
  <c r="C240" i="1"/>
  <c r="D240" i="1"/>
  <c r="E240" i="1"/>
  <c r="F240" i="1"/>
  <c r="G240" i="1"/>
  <c r="C241" i="1"/>
  <c r="D241" i="1"/>
  <c r="E241" i="1"/>
  <c r="F241" i="1"/>
  <c r="G241" i="1"/>
  <c r="C242" i="1"/>
  <c r="D242" i="1"/>
  <c r="E242" i="1"/>
  <c r="F242" i="1"/>
  <c r="G242" i="1"/>
  <c r="C243" i="1"/>
  <c r="D243" i="1"/>
  <c r="E243" i="1"/>
  <c r="F243" i="1"/>
  <c r="G243" i="1"/>
  <c r="C244" i="1"/>
  <c r="D244" i="1"/>
  <c r="E244" i="1"/>
  <c r="F244" i="1"/>
  <c r="G244" i="1"/>
  <c r="C245" i="1"/>
  <c r="D245" i="1"/>
  <c r="E245" i="1"/>
  <c r="F245" i="1"/>
  <c r="G245" i="1"/>
  <c r="C246" i="1"/>
  <c r="D246" i="1"/>
  <c r="E246" i="1"/>
  <c r="F246" i="1"/>
  <c r="G246" i="1"/>
  <c r="C247" i="1"/>
  <c r="D247" i="1"/>
  <c r="E247" i="1"/>
  <c r="F247" i="1"/>
  <c r="G247" i="1"/>
  <c r="C248" i="1"/>
  <c r="D248" i="1"/>
  <c r="E248" i="1"/>
  <c r="F248" i="1"/>
  <c r="G248" i="1"/>
  <c r="C249" i="1"/>
  <c r="D249" i="1"/>
  <c r="E249" i="1"/>
  <c r="F249" i="1"/>
  <c r="G249" i="1"/>
  <c r="C250" i="1"/>
  <c r="D250" i="1"/>
  <c r="E250" i="1"/>
  <c r="F250" i="1"/>
  <c r="G250" i="1"/>
  <c r="C251" i="1"/>
  <c r="D251" i="1"/>
  <c r="E251" i="1"/>
  <c r="F251" i="1"/>
  <c r="G251" i="1"/>
  <c r="C252" i="1"/>
  <c r="D252" i="1"/>
  <c r="E252" i="1"/>
  <c r="F252" i="1"/>
  <c r="G252" i="1"/>
  <c r="C253" i="1"/>
  <c r="D253" i="1"/>
  <c r="E253" i="1"/>
  <c r="F253" i="1"/>
  <c r="G253" i="1"/>
  <c r="C254" i="1"/>
  <c r="D254" i="1"/>
  <c r="E254" i="1"/>
  <c r="F254" i="1"/>
  <c r="G254" i="1"/>
  <c r="C255" i="1"/>
  <c r="D255" i="1"/>
  <c r="E255" i="1"/>
  <c r="F255" i="1"/>
  <c r="G255" i="1"/>
  <c r="C256" i="1"/>
  <c r="D256" i="1"/>
  <c r="E256" i="1"/>
  <c r="F256" i="1"/>
  <c r="G256" i="1"/>
  <c r="C257" i="1"/>
  <c r="D257" i="1"/>
  <c r="E257" i="1"/>
  <c r="F257" i="1"/>
  <c r="G257" i="1"/>
  <c r="C258" i="1"/>
  <c r="D258" i="1"/>
  <c r="E258" i="1"/>
  <c r="F258" i="1"/>
  <c r="G258" i="1"/>
  <c r="C259" i="1"/>
  <c r="D259" i="1"/>
  <c r="E259" i="1"/>
  <c r="F259" i="1"/>
  <c r="G259" i="1"/>
  <c r="C260" i="1"/>
  <c r="D260" i="1"/>
  <c r="E260" i="1"/>
  <c r="F260" i="1"/>
  <c r="G260" i="1"/>
  <c r="C261" i="1"/>
  <c r="D261" i="1"/>
  <c r="E261" i="1"/>
  <c r="F261" i="1"/>
  <c r="G261" i="1"/>
  <c r="C262" i="1"/>
  <c r="D262" i="1"/>
  <c r="E262" i="1"/>
  <c r="F262" i="1"/>
  <c r="G262" i="1"/>
  <c r="C263" i="1"/>
  <c r="D263" i="1"/>
  <c r="E263" i="1"/>
  <c r="F263" i="1"/>
  <c r="G263" i="1"/>
  <c r="C264" i="1"/>
  <c r="D264" i="1"/>
  <c r="E264" i="1"/>
  <c r="F264" i="1"/>
  <c r="G264" i="1"/>
  <c r="C265" i="1"/>
  <c r="D265" i="1"/>
  <c r="E265" i="1"/>
  <c r="F265" i="1"/>
  <c r="G265" i="1"/>
  <c r="C266" i="1"/>
  <c r="D266" i="1"/>
  <c r="E266" i="1"/>
  <c r="F266" i="1"/>
  <c r="G266" i="1"/>
  <c r="C267" i="1"/>
  <c r="D267" i="1"/>
  <c r="E267" i="1"/>
  <c r="F267" i="1"/>
  <c r="G267" i="1"/>
  <c r="C268" i="1"/>
  <c r="D268" i="1"/>
  <c r="E268" i="1"/>
  <c r="F268" i="1"/>
  <c r="G268" i="1"/>
  <c r="C269" i="1"/>
  <c r="D269" i="1"/>
  <c r="E269" i="1"/>
  <c r="F269" i="1"/>
  <c r="G269" i="1"/>
  <c r="C270" i="1"/>
  <c r="D270" i="1"/>
  <c r="E270" i="1"/>
  <c r="F270" i="1"/>
  <c r="G270" i="1"/>
  <c r="C271" i="1"/>
  <c r="D271" i="1"/>
  <c r="E271" i="1"/>
  <c r="F271" i="1"/>
  <c r="G271" i="1"/>
  <c r="C272" i="1"/>
  <c r="D272" i="1"/>
  <c r="E272" i="1"/>
  <c r="F272" i="1"/>
  <c r="G272" i="1"/>
  <c r="C273" i="1"/>
  <c r="D273" i="1"/>
  <c r="E273" i="1"/>
  <c r="F273" i="1"/>
  <c r="G273" i="1"/>
  <c r="C274" i="1"/>
  <c r="D274" i="1"/>
  <c r="E274" i="1"/>
  <c r="F274" i="1"/>
  <c r="G274" i="1"/>
  <c r="C275" i="1"/>
  <c r="D275" i="1"/>
  <c r="E275" i="1"/>
  <c r="F275" i="1"/>
  <c r="G275" i="1"/>
  <c r="C276" i="1"/>
  <c r="D276" i="1"/>
  <c r="E276" i="1"/>
  <c r="F276" i="1"/>
  <c r="G276" i="1"/>
  <c r="C277" i="1"/>
  <c r="D277" i="1"/>
  <c r="E277" i="1"/>
  <c r="F277" i="1"/>
  <c r="G277" i="1"/>
  <c r="C278" i="1"/>
  <c r="D278" i="1"/>
  <c r="E278" i="1"/>
  <c r="F278" i="1"/>
  <c r="G278" i="1"/>
  <c r="C279" i="1"/>
  <c r="D279" i="1"/>
  <c r="E279" i="1"/>
  <c r="F279" i="1"/>
  <c r="G279" i="1"/>
  <c r="C280" i="1"/>
  <c r="D280" i="1"/>
  <c r="E280" i="1"/>
  <c r="F280" i="1"/>
  <c r="G280" i="1"/>
  <c r="C281" i="1"/>
  <c r="D281" i="1"/>
  <c r="E281" i="1"/>
  <c r="F281" i="1"/>
  <c r="G281" i="1"/>
  <c r="C282" i="1"/>
  <c r="D282" i="1"/>
  <c r="E282" i="1"/>
  <c r="F282" i="1"/>
  <c r="G282" i="1"/>
  <c r="C283" i="1"/>
  <c r="D283" i="1"/>
  <c r="E283" i="1"/>
  <c r="F283" i="1"/>
  <c r="G283" i="1"/>
  <c r="C284" i="1"/>
  <c r="D284" i="1"/>
  <c r="E284" i="1"/>
  <c r="F284" i="1"/>
  <c r="G284" i="1"/>
  <c r="C285" i="1"/>
  <c r="D285" i="1"/>
  <c r="E285" i="1"/>
  <c r="F285" i="1"/>
  <c r="G285" i="1"/>
  <c r="C286" i="1"/>
  <c r="D286" i="1"/>
  <c r="E286" i="1"/>
  <c r="F286" i="1"/>
  <c r="G286" i="1"/>
  <c r="C287" i="1"/>
  <c r="D287" i="1"/>
  <c r="E287" i="1"/>
  <c r="F287" i="1"/>
  <c r="G287" i="1"/>
  <c r="C288" i="1"/>
  <c r="D288" i="1"/>
  <c r="E288" i="1"/>
  <c r="F288" i="1"/>
  <c r="G288" i="1"/>
  <c r="C289" i="1"/>
  <c r="D289" i="1"/>
  <c r="E289" i="1"/>
  <c r="F289" i="1"/>
  <c r="G289" i="1"/>
  <c r="C290" i="1"/>
  <c r="D290" i="1"/>
  <c r="E290" i="1"/>
  <c r="F290" i="1"/>
  <c r="G290" i="1"/>
  <c r="C291" i="1"/>
  <c r="D291" i="1"/>
  <c r="E291" i="1"/>
  <c r="F291" i="1"/>
  <c r="G291" i="1"/>
  <c r="C292" i="1"/>
  <c r="D292" i="1"/>
  <c r="E292" i="1"/>
  <c r="F292" i="1"/>
  <c r="G292" i="1"/>
  <c r="C293" i="1"/>
  <c r="D293" i="1"/>
  <c r="E293" i="1"/>
  <c r="F293" i="1"/>
  <c r="G293" i="1"/>
  <c r="C294" i="1"/>
  <c r="D294" i="1"/>
  <c r="E294" i="1"/>
  <c r="F294" i="1"/>
  <c r="G294" i="1"/>
  <c r="C295" i="1"/>
  <c r="D295" i="1"/>
  <c r="E295" i="1"/>
  <c r="F295" i="1"/>
  <c r="G295" i="1"/>
  <c r="C296" i="1"/>
  <c r="D296" i="1"/>
  <c r="E296" i="1"/>
  <c r="F296" i="1"/>
  <c r="G296" i="1"/>
  <c r="C297" i="1"/>
  <c r="D297" i="1"/>
  <c r="E297" i="1"/>
  <c r="F297" i="1"/>
  <c r="G297" i="1"/>
  <c r="C298" i="1"/>
  <c r="D298" i="1"/>
  <c r="E298" i="1"/>
  <c r="F298" i="1"/>
  <c r="G298" i="1"/>
  <c r="C299" i="1"/>
  <c r="D299" i="1"/>
  <c r="E299" i="1"/>
  <c r="F299" i="1"/>
  <c r="G299" i="1"/>
  <c r="C300" i="1"/>
  <c r="D300" i="1"/>
  <c r="E300" i="1"/>
  <c r="F300" i="1"/>
  <c r="G300" i="1"/>
  <c r="C301" i="1"/>
  <c r="D301" i="1"/>
  <c r="E301" i="1"/>
  <c r="F301" i="1"/>
  <c r="G301" i="1"/>
  <c r="C302" i="1"/>
  <c r="D302" i="1"/>
  <c r="E302" i="1"/>
  <c r="F302" i="1"/>
  <c r="G302" i="1"/>
  <c r="C303" i="1"/>
  <c r="D303" i="1"/>
  <c r="E303" i="1"/>
  <c r="F303" i="1"/>
  <c r="G303" i="1"/>
  <c r="C304" i="1"/>
  <c r="D304" i="1"/>
  <c r="E304" i="1"/>
  <c r="F304" i="1"/>
  <c r="G304" i="1"/>
  <c r="C305" i="1"/>
  <c r="D305" i="1"/>
  <c r="E305" i="1"/>
  <c r="F305" i="1"/>
  <c r="G305" i="1"/>
  <c r="C306" i="1"/>
  <c r="D306" i="1"/>
  <c r="E306" i="1"/>
  <c r="F306" i="1"/>
  <c r="G306" i="1"/>
  <c r="C307" i="1"/>
  <c r="D307" i="1"/>
  <c r="E307" i="1"/>
  <c r="F307" i="1"/>
  <c r="G307" i="1"/>
  <c r="C308" i="1"/>
  <c r="D308" i="1"/>
  <c r="E308" i="1"/>
  <c r="F308" i="1"/>
  <c r="G308" i="1"/>
  <c r="C309" i="1"/>
  <c r="D309" i="1"/>
  <c r="E309" i="1"/>
  <c r="F309" i="1"/>
  <c r="G309" i="1"/>
  <c r="C310" i="1"/>
  <c r="D310" i="1"/>
  <c r="E310" i="1"/>
  <c r="F310" i="1"/>
  <c r="G310" i="1"/>
  <c r="C311" i="1"/>
  <c r="D311" i="1"/>
  <c r="E311" i="1"/>
  <c r="F311" i="1"/>
  <c r="G311" i="1"/>
  <c r="C312" i="1"/>
  <c r="D312" i="1"/>
  <c r="E312" i="1"/>
  <c r="F312" i="1"/>
  <c r="G312" i="1"/>
  <c r="C313" i="1"/>
  <c r="D313" i="1"/>
  <c r="E313" i="1"/>
  <c r="F313" i="1"/>
  <c r="G313" i="1"/>
  <c r="C314" i="1"/>
  <c r="D314" i="1"/>
  <c r="E314" i="1"/>
  <c r="F314" i="1"/>
  <c r="G314" i="1"/>
  <c r="C315" i="1"/>
  <c r="D315" i="1"/>
  <c r="E315" i="1"/>
  <c r="F315" i="1"/>
  <c r="G315" i="1"/>
  <c r="C316" i="1"/>
  <c r="D316" i="1"/>
  <c r="E316" i="1"/>
  <c r="F316" i="1"/>
  <c r="G316" i="1"/>
  <c r="C317" i="1"/>
  <c r="D317" i="1"/>
  <c r="E317" i="1"/>
  <c r="F317" i="1"/>
  <c r="G317" i="1"/>
  <c r="C318" i="1"/>
  <c r="D318" i="1"/>
  <c r="E318" i="1"/>
  <c r="F318" i="1"/>
  <c r="G318" i="1"/>
  <c r="C319" i="1"/>
  <c r="D319" i="1"/>
  <c r="E319" i="1"/>
  <c r="F319" i="1"/>
  <c r="G319" i="1"/>
  <c r="C320" i="1"/>
  <c r="D320" i="1"/>
  <c r="E320" i="1"/>
  <c r="F320" i="1"/>
  <c r="G320" i="1"/>
  <c r="C321" i="1"/>
  <c r="D321" i="1"/>
  <c r="E321" i="1"/>
  <c r="F321" i="1"/>
  <c r="G321" i="1"/>
  <c r="C322" i="1"/>
  <c r="D322" i="1"/>
  <c r="E322" i="1"/>
  <c r="F322" i="1"/>
  <c r="G322" i="1"/>
  <c r="C323" i="1"/>
  <c r="D323" i="1"/>
  <c r="E323" i="1"/>
  <c r="F323" i="1"/>
  <c r="G323" i="1"/>
  <c r="C324" i="1"/>
  <c r="D324" i="1"/>
  <c r="E324" i="1"/>
  <c r="F324" i="1"/>
  <c r="G324" i="1"/>
  <c r="C325" i="1"/>
  <c r="D325" i="1"/>
  <c r="E325" i="1"/>
  <c r="F325" i="1"/>
  <c r="G325" i="1"/>
  <c r="C326" i="1"/>
  <c r="D326" i="1"/>
  <c r="E326" i="1"/>
  <c r="F326" i="1"/>
  <c r="G326" i="1"/>
  <c r="C327" i="1"/>
  <c r="D327" i="1"/>
  <c r="E327" i="1"/>
  <c r="F327" i="1"/>
  <c r="G327" i="1"/>
  <c r="C328" i="1"/>
  <c r="D328" i="1"/>
  <c r="E328" i="1"/>
  <c r="F328" i="1"/>
  <c r="G328" i="1"/>
  <c r="C329" i="1"/>
  <c r="D329" i="1"/>
  <c r="E329" i="1"/>
  <c r="F329" i="1"/>
  <c r="G329" i="1"/>
  <c r="C330" i="1"/>
  <c r="D330" i="1"/>
  <c r="E330" i="1"/>
  <c r="F330" i="1"/>
  <c r="G330" i="1"/>
  <c r="C331" i="1"/>
  <c r="D331" i="1"/>
  <c r="E331" i="1"/>
  <c r="F331" i="1"/>
  <c r="G331" i="1"/>
  <c r="C332" i="1"/>
  <c r="D332" i="1"/>
  <c r="E332" i="1"/>
  <c r="F332" i="1"/>
  <c r="G332" i="1"/>
  <c r="C333" i="1"/>
  <c r="D333" i="1"/>
  <c r="E333" i="1"/>
  <c r="F333" i="1"/>
  <c r="G333" i="1"/>
  <c r="C334" i="1"/>
  <c r="D334" i="1"/>
  <c r="E334" i="1"/>
  <c r="F334" i="1"/>
  <c r="G334" i="1"/>
  <c r="C335" i="1"/>
  <c r="D335" i="1"/>
  <c r="E335" i="1"/>
  <c r="F335" i="1"/>
  <c r="G335" i="1"/>
  <c r="C336" i="1"/>
  <c r="D336" i="1"/>
  <c r="E336" i="1"/>
  <c r="F336" i="1"/>
  <c r="G336" i="1"/>
  <c r="C337" i="1"/>
  <c r="D337" i="1"/>
  <c r="E337" i="1"/>
  <c r="F337" i="1"/>
  <c r="G337" i="1"/>
  <c r="C338" i="1"/>
  <c r="D338" i="1"/>
  <c r="E338" i="1"/>
  <c r="F338" i="1"/>
  <c r="G338" i="1"/>
  <c r="C339" i="1"/>
  <c r="D339" i="1"/>
  <c r="E339" i="1"/>
  <c r="F339" i="1"/>
  <c r="G339" i="1"/>
  <c r="C340" i="1"/>
  <c r="D340" i="1"/>
  <c r="E340" i="1"/>
  <c r="F340" i="1"/>
  <c r="G340" i="1"/>
  <c r="C341" i="1"/>
  <c r="D341" i="1"/>
  <c r="E341" i="1"/>
  <c r="F341" i="1"/>
  <c r="G341" i="1"/>
  <c r="C342" i="1"/>
  <c r="D342" i="1"/>
  <c r="E342" i="1"/>
  <c r="F342" i="1"/>
  <c r="G342" i="1"/>
  <c r="C343" i="1"/>
  <c r="D343" i="1"/>
  <c r="E343" i="1"/>
  <c r="F343" i="1"/>
  <c r="G343" i="1"/>
  <c r="C344" i="1"/>
  <c r="D344" i="1"/>
  <c r="E344" i="1"/>
  <c r="F344" i="1"/>
  <c r="G344" i="1"/>
  <c r="C345" i="1"/>
  <c r="D345" i="1"/>
  <c r="E345" i="1"/>
  <c r="F345" i="1"/>
  <c r="G345" i="1"/>
  <c r="C346" i="1"/>
  <c r="D346" i="1"/>
  <c r="E346" i="1"/>
  <c r="F346" i="1"/>
  <c r="G346" i="1"/>
  <c r="C347" i="1"/>
  <c r="D347" i="1"/>
  <c r="E347" i="1"/>
  <c r="F347" i="1"/>
  <c r="G347" i="1"/>
  <c r="C348" i="1"/>
  <c r="D348" i="1"/>
  <c r="E348" i="1"/>
  <c r="F348" i="1"/>
  <c r="G348" i="1"/>
  <c r="C349" i="1"/>
  <c r="D349" i="1"/>
  <c r="E349" i="1"/>
  <c r="F349" i="1"/>
  <c r="G349" i="1"/>
  <c r="C350" i="1"/>
  <c r="D350" i="1"/>
  <c r="E350" i="1"/>
  <c r="F350" i="1"/>
  <c r="G350" i="1"/>
  <c r="C351" i="1"/>
  <c r="D351" i="1"/>
  <c r="E351" i="1"/>
  <c r="F351" i="1"/>
  <c r="G351" i="1"/>
  <c r="C352" i="1"/>
  <c r="D352" i="1"/>
  <c r="E352" i="1"/>
  <c r="F352" i="1"/>
  <c r="G352" i="1"/>
  <c r="C353" i="1"/>
  <c r="D353" i="1"/>
  <c r="E353" i="1"/>
  <c r="F353" i="1"/>
  <c r="G353" i="1"/>
  <c r="C354" i="1"/>
  <c r="D354" i="1"/>
  <c r="E354" i="1"/>
  <c r="F354" i="1"/>
  <c r="G354" i="1"/>
  <c r="C355" i="1"/>
  <c r="D355" i="1"/>
  <c r="E355" i="1"/>
  <c r="F355" i="1"/>
  <c r="G355" i="1"/>
  <c r="C356" i="1"/>
  <c r="D356" i="1"/>
  <c r="E356" i="1"/>
  <c r="F356" i="1"/>
  <c r="G356" i="1"/>
  <c r="C357" i="1"/>
  <c r="D357" i="1"/>
  <c r="E357" i="1"/>
  <c r="F357" i="1"/>
  <c r="G357" i="1"/>
  <c r="C358" i="1"/>
  <c r="D358" i="1"/>
  <c r="E358" i="1"/>
  <c r="F358" i="1"/>
  <c r="G358" i="1"/>
  <c r="C359" i="1"/>
  <c r="D359" i="1"/>
  <c r="E359" i="1"/>
  <c r="F359" i="1"/>
  <c r="G359" i="1"/>
  <c r="C360" i="1"/>
  <c r="D360" i="1"/>
  <c r="E360" i="1"/>
  <c r="F360" i="1"/>
  <c r="G360" i="1"/>
  <c r="C361" i="1"/>
  <c r="D361" i="1"/>
  <c r="E361" i="1"/>
  <c r="F361" i="1"/>
  <c r="G361" i="1"/>
  <c r="C362" i="1"/>
  <c r="D362" i="1"/>
  <c r="E362" i="1"/>
  <c r="F362" i="1"/>
  <c r="G362" i="1"/>
  <c r="C363" i="1"/>
  <c r="D363" i="1"/>
  <c r="E363" i="1"/>
  <c r="F363" i="1"/>
  <c r="G363" i="1"/>
  <c r="C364" i="1"/>
  <c r="D364" i="1"/>
  <c r="E364" i="1"/>
  <c r="F364" i="1"/>
  <c r="G364" i="1"/>
  <c r="C365" i="1"/>
  <c r="D365" i="1"/>
  <c r="E365" i="1"/>
  <c r="F365" i="1"/>
  <c r="G365" i="1"/>
  <c r="C366" i="1"/>
  <c r="D366" i="1"/>
  <c r="E366" i="1"/>
  <c r="F366" i="1"/>
  <c r="G366" i="1"/>
  <c r="C367" i="1"/>
  <c r="D367" i="1"/>
  <c r="E367" i="1"/>
  <c r="F367" i="1"/>
  <c r="G367" i="1"/>
  <c r="C368" i="1"/>
  <c r="D368" i="1"/>
  <c r="E368" i="1"/>
  <c r="F368" i="1"/>
  <c r="G368" i="1"/>
  <c r="C369" i="1"/>
  <c r="D369" i="1"/>
  <c r="E369" i="1"/>
  <c r="F369" i="1"/>
  <c r="G369" i="1"/>
  <c r="C370" i="1"/>
  <c r="D370" i="1"/>
  <c r="E370" i="1"/>
  <c r="F370" i="1"/>
  <c r="G370" i="1"/>
  <c r="C371" i="1"/>
  <c r="D371" i="1"/>
  <c r="E371" i="1"/>
  <c r="F371" i="1"/>
  <c r="G371" i="1"/>
  <c r="C372" i="1"/>
  <c r="D372" i="1"/>
  <c r="E372" i="1"/>
  <c r="F372" i="1"/>
  <c r="G372" i="1"/>
  <c r="C373" i="1"/>
  <c r="D373" i="1"/>
  <c r="E373" i="1"/>
  <c r="F373" i="1"/>
  <c r="G373" i="1"/>
  <c r="C374" i="1"/>
  <c r="D374" i="1"/>
  <c r="E374" i="1"/>
  <c r="F374" i="1"/>
  <c r="G374" i="1"/>
  <c r="C375" i="1"/>
  <c r="D375" i="1"/>
  <c r="E375" i="1"/>
  <c r="F375" i="1"/>
  <c r="G375" i="1"/>
  <c r="C376" i="1"/>
  <c r="D376" i="1"/>
  <c r="E376" i="1"/>
  <c r="F376" i="1"/>
  <c r="G376" i="1"/>
  <c r="C377" i="1"/>
  <c r="D377" i="1"/>
  <c r="E377" i="1"/>
  <c r="F377" i="1"/>
  <c r="G377" i="1"/>
  <c r="C378" i="1"/>
  <c r="D378" i="1"/>
  <c r="E378" i="1"/>
  <c r="F378" i="1"/>
  <c r="G378" i="1"/>
  <c r="C379" i="1"/>
  <c r="D379" i="1"/>
  <c r="E379" i="1"/>
  <c r="F379" i="1"/>
  <c r="G379" i="1"/>
  <c r="C380" i="1"/>
  <c r="D380" i="1"/>
  <c r="E380" i="1"/>
  <c r="F380" i="1"/>
  <c r="G380" i="1"/>
  <c r="C381" i="1"/>
  <c r="D381" i="1"/>
  <c r="E381" i="1"/>
  <c r="F381" i="1"/>
  <c r="G381" i="1"/>
  <c r="C382" i="1"/>
  <c r="D382" i="1"/>
  <c r="E382" i="1"/>
  <c r="F382" i="1"/>
  <c r="G382" i="1"/>
  <c r="C383" i="1"/>
  <c r="D383" i="1"/>
  <c r="E383" i="1"/>
  <c r="F383" i="1"/>
  <c r="G383" i="1"/>
  <c r="C384" i="1"/>
  <c r="D384" i="1"/>
  <c r="E384" i="1"/>
  <c r="F384" i="1"/>
  <c r="G384" i="1"/>
  <c r="C385" i="1"/>
  <c r="D385" i="1"/>
  <c r="E385" i="1"/>
  <c r="F385" i="1"/>
  <c r="G385" i="1"/>
  <c r="C386" i="1"/>
  <c r="D386" i="1"/>
  <c r="E386" i="1"/>
  <c r="F386" i="1"/>
  <c r="G386" i="1"/>
  <c r="C387" i="1"/>
  <c r="D387" i="1"/>
  <c r="E387" i="1"/>
  <c r="F387" i="1"/>
  <c r="G387" i="1"/>
  <c r="C388" i="1"/>
  <c r="D388" i="1"/>
  <c r="E388" i="1"/>
  <c r="F388" i="1"/>
  <c r="G388" i="1"/>
  <c r="C389" i="1"/>
  <c r="D389" i="1"/>
  <c r="E389" i="1"/>
  <c r="F389" i="1"/>
  <c r="G389" i="1"/>
  <c r="C390" i="1"/>
  <c r="D390" i="1"/>
  <c r="E390" i="1"/>
  <c r="F390" i="1"/>
  <c r="G390" i="1"/>
  <c r="C391" i="1"/>
  <c r="D391" i="1"/>
  <c r="E391" i="1"/>
  <c r="F391" i="1"/>
  <c r="G391" i="1"/>
  <c r="C392" i="1"/>
  <c r="D392" i="1"/>
  <c r="E392" i="1"/>
  <c r="F392" i="1"/>
  <c r="G392" i="1"/>
  <c r="C393" i="1"/>
  <c r="D393" i="1"/>
  <c r="E393" i="1"/>
  <c r="F393" i="1"/>
  <c r="G393" i="1"/>
  <c r="C394" i="1"/>
  <c r="D394" i="1"/>
  <c r="E394" i="1"/>
  <c r="F394" i="1"/>
  <c r="G394" i="1"/>
  <c r="C395" i="1"/>
  <c r="D395" i="1"/>
  <c r="E395" i="1"/>
  <c r="F395" i="1"/>
  <c r="G395" i="1"/>
  <c r="C396" i="1"/>
  <c r="D396" i="1"/>
  <c r="E396" i="1"/>
  <c r="F396" i="1"/>
  <c r="G396" i="1"/>
  <c r="C397" i="1"/>
  <c r="D397" i="1"/>
  <c r="E397" i="1"/>
  <c r="F397" i="1"/>
  <c r="G397" i="1"/>
  <c r="C398" i="1"/>
  <c r="D398" i="1"/>
  <c r="E398" i="1"/>
  <c r="F398" i="1"/>
  <c r="G398" i="1"/>
  <c r="C399" i="1"/>
  <c r="D399" i="1"/>
  <c r="E399" i="1"/>
  <c r="F399" i="1"/>
  <c r="G399" i="1"/>
  <c r="C400" i="1"/>
  <c r="D400" i="1"/>
  <c r="E400" i="1"/>
  <c r="F400" i="1"/>
  <c r="G400" i="1"/>
  <c r="C401" i="1"/>
  <c r="D401" i="1"/>
  <c r="E401" i="1"/>
  <c r="F401" i="1"/>
  <c r="G401" i="1"/>
  <c r="C402" i="1"/>
  <c r="D402" i="1"/>
  <c r="E402" i="1"/>
  <c r="F402" i="1"/>
  <c r="G402" i="1"/>
  <c r="C403" i="1"/>
  <c r="D403" i="1"/>
  <c r="E403" i="1"/>
  <c r="F403" i="1"/>
  <c r="G403" i="1"/>
  <c r="C404" i="1"/>
  <c r="D404" i="1"/>
  <c r="E404" i="1"/>
  <c r="F404" i="1"/>
  <c r="G404" i="1"/>
  <c r="C405" i="1"/>
  <c r="D405" i="1"/>
  <c r="E405" i="1"/>
  <c r="F405" i="1"/>
  <c r="G405" i="1"/>
  <c r="C406" i="1"/>
  <c r="D406" i="1"/>
  <c r="E406" i="1"/>
  <c r="F406" i="1"/>
  <c r="G406" i="1"/>
  <c r="C407" i="1"/>
  <c r="D407" i="1"/>
  <c r="E407" i="1"/>
  <c r="F407" i="1"/>
  <c r="G407" i="1"/>
  <c r="C408" i="1"/>
  <c r="D408" i="1"/>
  <c r="E408" i="1"/>
  <c r="F408" i="1"/>
  <c r="G408" i="1"/>
  <c r="C409" i="1"/>
  <c r="D409" i="1"/>
  <c r="E409" i="1"/>
  <c r="F409" i="1"/>
  <c r="G409" i="1"/>
  <c r="C410" i="1"/>
  <c r="D410" i="1"/>
  <c r="E410" i="1"/>
  <c r="F410" i="1"/>
  <c r="G410" i="1"/>
  <c r="C411" i="1"/>
  <c r="D411" i="1"/>
  <c r="E411" i="1"/>
  <c r="F411" i="1"/>
  <c r="G411" i="1"/>
  <c r="C412" i="1"/>
  <c r="D412" i="1"/>
  <c r="E412" i="1"/>
  <c r="F412" i="1"/>
  <c r="G412" i="1"/>
  <c r="C413" i="1"/>
  <c r="D413" i="1"/>
  <c r="E413" i="1"/>
  <c r="F413" i="1"/>
  <c r="G413" i="1"/>
  <c r="C414" i="1"/>
  <c r="D414" i="1"/>
  <c r="E414" i="1"/>
  <c r="F414" i="1"/>
  <c r="G414" i="1"/>
  <c r="C415" i="1"/>
  <c r="D415" i="1"/>
  <c r="E415" i="1"/>
  <c r="F415" i="1"/>
  <c r="G415" i="1"/>
  <c r="C416" i="1"/>
  <c r="D416" i="1"/>
  <c r="E416" i="1"/>
  <c r="F416" i="1"/>
  <c r="G416" i="1"/>
  <c r="C417" i="1"/>
  <c r="D417" i="1"/>
  <c r="E417" i="1"/>
  <c r="F417" i="1"/>
  <c r="G417" i="1"/>
  <c r="C418" i="1"/>
  <c r="D418" i="1"/>
  <c r="E418" i="1"/>
  <c r="F418" i="1"/>
  <c r="G418" i="1"/>
  <c r="C419" i="1"/>
  <c r="D419" i="1"/>
  <c r="E419" i="1"/>
  <c r="F419" i="1"/>
  <c r="G419" i="1"/>
  <c r="C420" i="1"/>
  <c r="D420" i="1"/>
  <c r="E420" i="1"/>
  <c r="F420" i="1"/>
  <c r="G420" i="1"/>
  <c r="C421" i="1"/>
  <c r="D421" i="1"/>
  <c r="E421" i="1"/>
  <c r="F421" i="1"/>
  <c r="G421" i="1"/>
  <c r="C422" i="1"/>
  <c r="D422" i="1"/>
  <c r="E422" i="1"/>
  <c r="F422" i="1"/>
  <c r="G422" i="1"/>
  <c r="C423" i="1"/>
  <c r="D423" i="1"/>
  <c r="E423" i="1"/>
  <c r="F423" i="1"/>
  <c r="G423" i="1"/>
  <c r="C424" i="1"/>
  <c r="D424" i="1"/>
  <c r="E424" i="1"/>
  <c r="F424" i="1"/>
  <c r="G424" i="1"/>
  <c r="C425" i="1"/>
  <c r="D425" i="1"/>
  <c r="E425" i="1"/>
  <c r="F425" i="1"/>
  <c r="G425" i="1"/>
  <c r="C426" i="1"/>
  <c r="D426" i="1"/>
  <c r="E426" i="1"/>
  <c r="F426" i="1"/>
  <c r="G426" i="1"/>
  <c r="C427" i="1"/>
  <c r="D427" i="1"/>
  <c r="E427" i="1"/>
  <c r="F427" i="1"/>
  <c r="G427" i="1"/>
  <c r="C428" i="1"/>
  <c r="D428" i="1"/>
  <c r="E428" i="1"/>
  <c r="F428" i="1"/>
  <c r="G428" i="1"/>
  <c r="C429" i="1"/>
  <c r="D429" i="1"/>
  <c r="E429" i="1"/>
  <c r="F429" i="1"/>
  <c r="G429" i="1"/>
  <c r="C430" i="1"/>
  <c r="D430" i="1"/>
  <c r="E430" i="1"/>
  <c r="F430" i="1"/>
  <c r="G430" i="1"/>
  <c r="C431" i="1"/>
  <c r="D431" i="1"/>
  <c r="E431" i="1"/>
  <c r="F431" i="1"/>
  <c r="G431" i="1"/>
  <c r="C432" i="1"/>
  <c r="D432" i="1"/>
  <c r="E432" i="1"/>
  <c r="F432" i="1"/>
  <c r="G432" i="1"/>
  <c r="C433" i="1"/>
  <c r="D433" i="1"/>
  <c r="E433" i="1"/>
  <c r="F433" i="1"/>
  <c r="G433" i="1"/>
  <c r="C434" i="1"/>
  <c r="D434" i="1"/>
  <c r="E434" i="1"/>
  <c r="F434" i="1"/>
  <c r="G434" i="1"/>
  <c r="C435" i="1"/>
  <c r="D435" i="1"/>
  <c r="E435" i="1"/>
  <c r="F435" i="1"/>
  <c r="G435" i="1"/>
  <c r="C436" i="1"/>
  <c r="D436" i="1"/>
  <c r="E436" i="1"/>
  <c r="F436" i="1"/>
  <c r="G436" i="1"/>
  <c r="C437" i="1"/>
  <c r="D437" i="1"/>
  <c r="E437" i="1"/>
  <c r="F437" i="1"/>
  <c r="G437" i="1"/>
  <c r="C438" i="1"/>
  <c r="D438" i="1"/>
  <c r="E438" i="1"/>
  <c r="F438" i="1"/>
  <c r="G438" i="1"/>
  <c r="C439" i="1"/>
  <c r="D439" i="1"/>
  <c r="E439" i="1"/>
  <c r="F439" i="1"/>
  <c r="G439" i="1"/>
  <c r="C440" i="1"/>
  <c r="D440" i="1"/>
  <c r="E440" i="1"/>
  <c r="F440" i="1"/>
  <c r="G440" i="1"/>
  <c r="C441" i="1"/>
  <c r="D441" i="1"/>
  <c r="E441" i="1"/>
  <c r="F441" i="1"/>
  <c r="G441" i="1"/>
  <c r="C442" i="1"/>
  <c r="D442" i="1"/>
  <c r="E442" i="1"/>
  <c r="F442" i="1"/>
  <c r="G442" i="1"/>
  <c r="C443" i="1"/>
  <c r="D443" i="1"/>
  <c r="E443" i="1"/>
  <c r="F443" i="1"/>
  <c r="G443" i="1"/>
  <c r="C444" i="1"/>
  <c r="D444" i="1"/>
  <c r="E444" i="1"/>
  <c r="F444" i="1"/>
  <c r="G444" i="1"/>
  <c r="C445" i="1"/>
  <c r="D445" i="1"/>
  <c r="E445" i="1"/>
  <c r="F445" i="1"/>
  <c r="G445" i="1"/>
  <c r="D14" i="1"/>
  <c r="E14" i="1"/>
  <c r="F14" i="1"/>
  <c r="G14" i="1"/>
  <c r="C14" i="1"/>
  <c r="C14" i="11"/>
  <c r="D14" i="11"/>
  <c r="E14" i="11"/>
  <c r="F14" i="11"/>
  <c r="G14" i="11"/>
  <c r="C15" i="11"/>
  <c r="D15" i="11"/>
  <c r="E15" i="11"/>
  <c r="F15" i="11"/>
  <c r="G15" i="11"/>
  <c r="C16" i="11"/>
  <c r="D16" i="11"/>
  <c r="E16" i="11"/>
  <c r="F16" i="11"/>
  <c r="G16" i="11"/>
  <c r="C17" i="11"/>
  <c r="D17" i="11"/>
  <c r="E17" i="11"/>
  <c r="F17" i="11"/>
  <c r="G17" i="11"/>
  <c r="C18" i="11"/>
  <c r="D18" i="11"/>
  <c r="E18" i="11"/>
  <c r="F18" i="11"/>
  <c r="G18" i="11"/>
  <c r="C19" i="11"/>
  <c r="D19" i="11"/>
  <c r="E19" i="11"/>
  <c r="F19" i="11"/>
  <c r="G19" i="11"/>
  <c r="C20" i="11"/>
  <c r="D20" i="11"/>
  <c r="E20" i="11"/>
  <c r="F20" i="11"/>
  <c r="G20" i="11"/>
  <c r="C21" i="11"/>
  <c r="D21" i="11"/>
  <c r="E21" i="11"/>
  <c r="F21" i="11"/>
  <c r="G21" i="11"/>
  <c r="C22" i="11"/>
  <c r="D22" i="11"/>
  <c r="E22" i="11"/>
  <c r="F22" i="11"/>
  <c r="G22" i="11"/>
  <c r="C23" i="11"/>
  <c r="D23" i="11"/>
  <c r="E23" i="11"/>
  <c r="F23" i="11"/>
  <c r="G23" i="11"/>
  <c r="C24" i="11"/>
  <c r="D24" i="11"/>
  <c r="E24" i="11"/>
  <c r="F24" i="11"/>
  <c r="G24" i="11"/>
  <c r="C25" i="11"/>
  <c r="D25" i="11"/>
  <c r="E25" i="11"/>
  <c r="F25" i="11"/>
  <c r="G25" i="11"/>
  <c r="C26" i="11"/>
  <c r="D26" i="11"/>
  <c r="E26" i="11"/>
  <c r="F26" i="11"/>
  <c r="G26" i="11"/>
  <c r="C27" i="11"/>
  <c r="D27" i="11"/>
  <c r="E27" i="11"/>
  <c r="F27" i="11"/>
  <c r="G27" i="11"/>
  <c r="C28" i="11"/>
  <c r="D28" i="11"/>
  <c r="E28" i="11"/>
  <c r="F28" i="11"/>
  <c r="G28" i="11"/>
  <c r="C29" i="11"/>
  <c r="D29" i="11"/>
  <c r="E29" i="11"/>
  <c r="F29" i="11"/>
  <c r="G29" i="11"/>
  <c r="C30" i="11"/>
  <c r="D30" i="11"/>
  <c r="E30" i="11"/>
  <c r="F30" i="11"/>
  <c r="G30" i="11"/>
  <c r="C31" i="11"/>
  <c r="D31" i="11"/>
  <c r="E31" i="11"/>
  <c r="F31" i="11"/>
  <c r="G31" i="11"/>
  <c r="C32" i="11"/>
  <c r="D32" i="11"/>
  <c r="E32" i="11"/>
  <c r="F32" i="11"/>
  <c r="G32" i="11"/>
  <c r="C33" i="11"/>
  <c r="D33" i="11"/>
  <c r="E33" i="11"/>
  <c r="F33" i="11"/>
  <c r="G33" i="11"/>
  <c r="C34" i="11"/>
  <c r="D34" i="11"/>
  <c r="E34" i="11"/>
  <c r="F34" i="11"/>
  <c r="G34" i="11"/>
  <c r="C35" i="11"/>
  <c r="D35" i="11"/>
  <c r="E35" i="11"/>
  <c r="F35" i="11"/>
  <c r="G35" i="11"/>
  <c r="C36" i="11"/>
  <c r="D36" i="11"/>
  <c r="E36" i="11"/>
  <c r="F36" i="11"/>
  <c r="G36" i="11"/>
  <c r="C37" i="11"/>
  <c r="D37" i="11"/>
  <c r="E37" i="11"/>
  <c r="F37" i="11"/>
  <c r="G37" i="11"/>
  <c r="C38" i="11"/>
  <c r="D38" i="11"/>
  <c r="E38" i="11"/>
  <c r="F38" i="11"/>
  <c r="G38" i="11"/>
  <c r="C39" i="11"/>
  <c r="D39" i="11"/>
  <c r="E39" i="11"/>
  <c r="F39" i="11"/>
  <c r="G39" i="11"/>
  <c r="C40" i="11"/>
  <c r="D40" i="11"/>
  <c r="E40" i="11"/>
  <c r="F40" i="11"/>
  <c r="G40" i="11"/>
  <c r="C41" i="11"/>
  <c r="D41" i="11"/>
  <c r="E41" i="11"/>
  <c r="F41" i="11"/>
  <c r="G41" i="11"/>
  <c r="C42" i="11"/>
  <c r="D42" i="11"/>
  <c r="E42" i="11"/>
  <c r="F42" i="11"/>
  <c r="G42" i="11"/>
  <c r="C43" i="11"/>
  <c r="D43" i="11"/>
  <c r="E43" i="11"/>
  <c r="F43" i="11"/>
  <c r="G43" i="11"/>
  <c r="C44" i="11"/>
  <c r="D44" i="11"/>
  <c r="E44" i="11"/>
  <c r="F44" i="11"/>
  <c r="G44" i="11"/>
  <c r="C45" i="11"/>
  <c r="D45" i="11"/>
  <c r="E45" i="11"/>
  <c r="F45" i="11"/>
  <c r="G45" i="11"/>
  <c r="C46" i="11"/>
  <c r="D46" i="11"/>
  <c r="E46" i="11"/>
  <c r="F46" i="11"/>
  <c r="G46" i="11"/>
  <c r="C47" i="11"/>
  <c r="D47" i="11"/>
  <c r="E47" i="11"/>
  <c r="F47" i="11"/>
  <c r="G47" i="11"/>
  <c r="C48" i="11"/>
  <c r="D48" i="11"/>
  <c r="E48" i="11"/>
  <c r="F48" i="11"/>
  <c r="G48" i="11"/>
  <c r="C49" i="11"/>
  <c r="D49" i="11"/>
  <c r="E49" i="11"/>
  <c r="F49" i="11"/>
  <c r="G49" i="11"/>
  <c r="C50" i="11"/>
  <c r="D50" i="11"/>
  <c r="E50" i="11"/>
  <c r="F50" i="11"/>
  <c r="G50" i="11"/>
  <c r="C51" i="11"/>
  <c r="D51" i="11"/>
  <c r="E51" i="11"/>
  <c r="F51" i="11"/>
  <c r="G51" i="11"/>
  <c r="C52" i="11"/>
  <c r="D52" i="11"/>
  <c r="E52" i="11"/>
  <c r="F52" i="11"/>
  <c r="G52" i="11"/>
  <c r="C53" i="11"/>
  <c r="D53" i="11"/>
  <c r="E53" i="11"/>
  <c r="F53" i="11"/>
  <c r="G53" i="11"/>
  <c r="C54" i="11"/>
  <c r="D54" i="11"/>
  <c r="E54" i="11"/>
  <c r="F54" i="11"/>
  <c r="G54" i="11"/>
  <c r="C55" i="11"/>
  <c r="D55" i="11"/>
  <c r="E55" i="11"/>
  <c r="F55" i="11"/>
  <c r="G55" i="11"/>
  <c r="C56" i="11"/>
  <c r="D56" i="11"/>
  <c r="E56" i="11"/>
  <c r="F56" i="11"/>
  <c r="G56" i="11"/>
  <c r="C57" i="11"/>
  <c r="D57" i="11"/>
  <c r="E57" i="11"/>
  <c r="F57" i="11"/>
  <c r="G57" i="11"/>
  <c r="C58" i="11"/>
  <c r="D58" i="11"/>
  <c r="E58" i="11"/>
  <c r="F58" i="11"/>
  <c r="G58" i="11"/>
  <c r="C59" i="11"/>
  <c r="D59" i="11"/>
  <c r="E59" i="11"/>
  <c r="F59" i="11"/>
  <c r="G59" i="11"/>
  <c r="C60" i="11"/>
  <c r="D60" i="11"/>
  <c r="E60" i="11"/>
  <c r="F60" i="11"/>
  <c r="G60" i="11"/>
  <c r="C61" i="11"/>
  <c r="D61" i="11"/>
  <c r="E61" i="11"/>
  <c r="F61" i="11"/>
  <c r="G61" i="11"/>
  <c r="C62" i="11"/>
  <c r="D62" i="11"/>
  <c r="E62" i="11"/>
  <c r="F62" i="11"/>
  <c r="G62" i="11"/>
  <c r="C63" i="11"/>
  <c r="D63" i="11"/>
  <c r="E63" i="11"/>
  <c r="F63" i="11"/>
  <c r="G63" i="11"/>
  <c r="C64" i="11"/>
  <c r="D64" i="11"/>
  <c r="E64" i="11"/>
  <c r="F64" i="11"/>
  <c r="G64" i="11"/>
  <c r="C65" i="11"/>
  <c r="D65" i="11"/>
  <c r="E65" i="11"/>
  <c r="F65" i="11"/>
  <c r="G65" i="11"/>
  <c r="C66" i="11"/>
  <c r="D66" i="11"/>
  <c r="E66" i="11"/>
  <c r="F66" i="11"/>
  <c r="G66" i="11"/>
  <c r="C67" i="11"/>
  <c r="D67" i="11"/>
  <c r="E67" i="11"/>
  <c r="F67" i="11"/>
  <c r="G67" i="11"/>
  <c r="C68" i="11"/>
  <c r="D68" i="11"/>
  <c r="E68" i="11"/>
  <c r="F68" i="11"/>
  <c r="G68" i="11"/>
  <c r="C69" i="11"/>
  <c r="D69" i="11"/>
  <c r="E69" i="11"/>
  <c r="F69" i="11"/>
  <c r="G69" i="11"/>
  <c r="C70" i="11"/>
  <c r="D70" i="11"/>
  <c r="E70" i="11"/>
  <c r="F70" i="11"/>
  <c r="G70" i="11"/>
  <c r="C71" i="11"/>
  <c r="D71" i="11"/>
  <c r="E71" i="11"/>
  <c r="F71" i="11"/>
  <c r="G71" i="11"/>
  <c r="C72" i="11"/>
  <c r="D72" i="11"/>
  <c r="E72" i="11"/>
  <c r="F72" i="11"/>
  <c r="G72" i="11"/>
  <c r="C73" i="11"/>
  <c r="D73" i="11"/>
  <c r="E73" i="11"/>
  <c r="F73" i="11"/>
  <c r="G73" i="11"/>
  <c r="C74" i="11"/>
  <c r="D74" i="11"/>
  <c r="E74" i="11"/>
  <c r="F74" i="11"/>
  <c r="G74" i="11"/>
  <c r="C75" i="11"/>
  <c r="D75" i="11"/>
  <c r="E75" i="11"/>
  <c r="F75" i="11"/>
  <c r="G75" i="11"/>
  <c r="C76" i="11"/>
  <c r="D76" i="11"/>
  <c r="E76" i="11"/>
  <c r="F76" i="11"/>
  <c r="G76" i="11"/>
  <c r="C77" i="11"/>
  <c r="D77" i="11"/>
  <c r="E77" i="11"/>
  <c r="F77" i="11"/>
  <c r="G77" i="11"/>
  <c r="C78" i="11"/>
  <c r="D78" i="11"/>
  <c r="E78" i="11"/>
  <c r="F78" i="11"/>
  <c r="G78" i="11"/>
  <c r="C79" i="11"/>
  <c r="D79" i="11"/>
  <c r="E79" i="11"/>
  <c r="F79" i="11"/>
  <c r="G79" i="11"/>
  <c r="C80" i="11"/>
  <c r="D80" i="11"/>
  <c r="E80" i="11"/>
  <c r="F80" i="11"/>
  <c r="G80" i="11"/>
  <c r="C81" i="11"/>
  <c r="D81" i="11"/>
  <c r="E81" i="11"/>
  <c r="F81" i="11"/>
  <c r="G81" i="11"/>
  <c r="C82" i="11"/>
  <c r="D82" i="11"/>
  <c r="E82" i="11"/>
  <c r="F82" i="11"/>
  <c r="G82" i="11"/>
  <c r="L12" i="1"/>
  <c r="U895" i="10"/>
  <c r="T895" i="10"/>
  <c r="S895" i="10"/>
  <c r="R895" i="10"/>
  <c r="Q895" i="10"/>
  <c r="U894" i="10"/>
  <c r="T894" i="10"/>
  <c r="S894" i="10"/>
  <c r="R894" i="10"/>
  <c r="Q894" i="10"/>
  <c r="U893" i="10"/>
  <c r="T893" i="10"/>
  <c r="S893" i="10"/>
  <c r="R893" i="10"/>
  <c r="Q893" i="10"/>
  <c r="U892" i="10"/>
  <c r="T892" i="10"/>
  <c r="S892" i="10"/>
  <c r="R892" i="10"/>
  <c r="Q892" i="10"/>
  <c r="U891" i="10"/>
  <c r="T891" i="10"/>
  <c r="S891" i="10"/>
  <c r="R891" i="10"/>
  <c r="Q891" i="10"/>
  <c r="U890" i="10"/>
  <c r="T890" i="10"/>
  <c r="S890" i="10"/>
  <c r="R890" i="10"/>
  <c r="Q890" i="10"/>
  <c r="U889" i="10"/>
  <c r="T889" i="10"/>
  <c r="S889" i="10"/>
  <c r="R889" i="10"/>
  <c r="Q889" i="10"/>
  <c r="U888" i="10"/>
  <c r="T888" i="10"/>
  <c r="S888" i="10"/>
  <c r="R888" i="10"/>
  <c r="Q888" i="10"/>
  <c r="U887" i="10"/>
  <c r="T887" i="10"/>
  <c r="S887" i="10"/>
  <c r="R887" i="10"/>
  <c r="Q887" i="10"/>
  <c r="U886" i="10"/>
  <c r="T886" i="10"/>
  <c r="S886" i="10"/>
  <c r="R886" i="10"/>
  <c r="Q886" i="10"/>
  <c r="U885" i="10"/>
  <c r="T885" i="10"/>
  <c r="S885" i="10"/>
  <c r="R885" i="10"/>
  <c r="Q885" i="10"/>
  <c r="U884" i="10"/>
  <c r="T884" i="10"/>
  <c r="S884" i="10"/>
  <c r="R884" i="10"/>
  <c r="Q884" i="10"/>
  <c r="U883" i="10"/>
  <c r="T883" i="10"/>
  <c r="S883" i="10"/>
  <c r="R883" i="10"/>
  <c r="Q883" i="10"/>
  <c r="U882" i="10"/>
  <c r="T882" i="10"/>
  <c r="S882" i="10"/>
  <c r="R882" i="10"/>
  <c r="Q882" i="10"/>
  <c r="U881" i="10"/>
  <c r="T881" i="10"/>
  <c r="S881" i="10"/>
  <c r="R881" i="10"/>
  <c r="Q881" i="10"/>
  <c r="U880" i="10"/>
  <c r="T880" i="10"/>
  <c r="S880" i="10"/>
  <c r="R880" i="10"/>
  <c r="Q880" i="10"/>
  <c r="U879" i="10"/>
  <c r="T879" i="10"/>
  <c r="S879" i="10"/>
  <c r="R879" i="10"/>
  <c r="Q879" i="10"/>
  <c r="U878" i="10"/>
  <c r="T878" i="10"/>
  <c r="S878" i="10"/>
  <c r="R878" i="10"/>
  <c r="Q878" i="10"/>
  <c r="U877" i="10"/>
  <c r="T877" i="10"/>
  <c r="S877" i="10"/>
  <c r="R877" i="10"/>
  <c r="Q877" i="10"/>
  <c r="U876" i="10"/>
  <c r="T876" i="10"/>
  <c r="S876" i="10"/>
  <c r="R876" i="10"/>
  <c r="Q876" i="10"/>
  <c r="U875" i="10"/>
  <c r="T875" i="10"/>
  <c r="S875" i="10"/>
  <c r="R875" i="10"/>
  <c r="Q875" i="10"/>
  <c r="U874" i="10"/>
  <c r="T874" i="10"/>
  <c r="S874" i="10"/>
  <c r="R874" i="10"/>
  <c r="Q874" i="10"/>
  <c r="U873" i="10"/>
  <c r="T873" i="10"/>
  <c r="S873" i="10"/>
  <c r="R873" i="10"/>
  <c r="Q873" i="10"/>
  <c r="U872" i="10"/>
  <c r="T872" i="10"/>
  <c r="S872" i="10"/>
  <c r="R872" i="10"/>
  <c r="Q872" i="10"/>
  <c r="U871" i="10"/>
  <c r="T871" i="10"/>
  <c r="S871" i="10"/>
  <c r="R871" i="10"/>
  <c r="Q871" i="10"/>
  <c r="U870" i="10"/>
  <c r="T870" i="10"/>
  <c r="S870" i="10"/>
  <c r="R870" i="10"/>
  <c r="Q870" i="10"/>
  <c r="U869" i="10"/>
  <c r="T869" i="10"/>
  <c r="S869" i="10"/>
  <c r="R869" i="10"/>
  <c r="Q869" i="10"/>
  <c r="U868" i="10"/>
  <c r="T868" i="10"/>
  <c r="S868" i="10"/>
  <c r="R868" i="10"/>
  <c r="Q868" i="10"/>
  <c r="U867" i="10"/>
  <c r="T867" i="10"/>
  <c r="S867" i="10"/>
  <c r="R867" i="10"/>
  <c r="Q867" i="10"/>
  <c r="U866" i="10"/>
  <c r="T866" i="10"/>
  <c r="S866" i="10"/>
  <c r="R866" i="10"/>
  <c r="Q866" i="10"/>
  <c r="U865" i="10"/>
  <c r="T865" i="10"/>
  <c r="S865" i="10"/>
  <c r="R865" i="10"/>
  <c r="Q865" i="10"/>
  <c r="U864" i="10"/>
  <c r="T864" i="10"/>
  <c r="S864" i="10"/>
  <c r="R864" i="10"/>
  <c r="Q864" i="10"/>
  <c r="U863" i="10"/>
  <c r="T863" i="10"/>
  <c r="S863" i="10"/>
  <c r="R863" i="10"/>
  <c r="Q863" i="10"/>
  <c r="U862" i="10"/>
  <c r="T862" i="10"/>
  <c r="S862" i="10"/>
  <c r="R862" i="10"/>
  <c r="Q862" i="10"/>
  <c r="U861" i="10"/>
  <c r="T861" i="10"/>
  <c r="S861" i="10"/>
  <c r="R861" i="10"/>
  <c r="Q861" i="10"/>
  <c r="U860" i="10"/>
  <c r="T860" i="10"/>
  <c r="S860" i="10"/>
  <c r="R860" i="10"/>
  <c r="Q860" i="10"/>
  <c r="U858" i="10"/>
  <c r="T858" i="10"/>
  <c r="S858" i="10"/>
  <c r="R858" i="10"/>
  <c r="Q858" i="10"/>
  <c r="U857" i="10"/>
  <c r="T857" i="10"/>
  <c r="S857" i="10"/>
  <c r="R857" i="10"/>
  <c r="Q857" i="10"/>
  <c r="U856" i="10"/>
  <c r="T856" i="10"/>
  <c r="S856" i="10"/>
  <c r="R856" i="10"/>
  <c r="Q856" i="10"/>
  <c r="U855" i="10"/>
  <c r="T855" i="10"/>
  <c r="S855" i="10"/>
  <c r="R855" i="10"/>
  <c r="Q855" i="10"/>
  <c r="U854" i="10"/>
  <c r="T854" i="10"/>
  <c r="S854" i="10"/>
  <c r="R854" i="10"/>
  <c r="Q854" i="10"/>
  <c r="U853" i="10"/>
  <c r="T853" i="10"/>
  <c r="S853" i="10"/>
  <c r="R853" i="10"/>
  <c r="Q853" i="10"/>
  <c r="U852" i="10"/>
  <c r="T852" i="10"/>
  <c r="S852" i="10"/>
  <c r="R852" i="10"/>
  <c r="Q852" i="10"/>
  <c r="U851" i="10"/>
  <c r="T851" i="10"/>
  <c r="S851" i="10"/>
  <c r="R851" i="10"/>
  <c r="Q851" i="10"/>
  <c r="U850" i="10"/>
  <c r="T850" i="10"/>
  <c r="S850" i="10"/>
  <c r="R850" i="10"/>
  <c r="Q850" i="10"/>
  <c r="U849" i="10"/>
  <c r="T849" i="10"/>
  <c r="S849" i="10"/>
  <c r="R849" i="10"/>
  <c r="Q849" i="10"/>
  <c r="U848" i="10"/>
  <c r="T848" i="10"/>
  <c r="S848" i="10"/>
  <c r="R848" i="10"/>
  <c r="Q848" i="10"/>
  <c r="U847" i="10"/>
  <c r="T847" i="10"/>
  <c r="S847" i="10"/>
  <c r="R847" i="10"/>
  <c r="Q847" i="10"/>
  <c r="U846" i="10"/>
  <c r="T846" i="10"/>
  <c r="S846" i="10"/>
  <c r="R846" i="10"/>
  <c r="Q846" i="10"/>
  <c r="U845" i="10"/>
  <c r="T845" i="10"/>
  <c r="S845" i="10"/>
  <c r="R845" i="10"/>
  <c r="Q845" i="10"/>
  <c r="U844" i="10"/>
  <c r="T844" i="10"/>
  <c r="S844" i="10"/>
  <c r="R844" i="10"/>
  <c r="Q844" i="10"/>
  <c r="U843" i="10"/>
  <c r="T843" i="10"/>
  <c r="S843" i="10"/>
  <c r="R843" i="10"/>
  <c r="Q843" i="10"/>
  <c r="U842" i="10"/>
  <c r="T842" i="10"/>
  <c r="S842" i="10"/>
  <c r="R842" i="10"/>
  <c r="Q842" i="10"/>
  <c r="U841" i="10"/>
  <c r="T841" i="10"/>
  <c r="S841" i="10"/>
  <c r="R841" i="10"/>
  <c r="Q841" i="10"/>
  <c r="U840" i="10"/>
  <c r="T840" i="10"/>
  <c r="S840" i="10"/>
  <c r="R840" i="10"/>
  <c r="Q840" i="10"/>
  <c r="U839" i="10"/>
  <c r="T839" i="10"/>
  <c r="S839" i="10"/>
  <c r="R839" i="10"/>
  <c r="Q839" i="10"/>
  <c r="U838" i="10"/>
  <c r="T838" i="10"/>
  <c r="S838" i="10"/>
  <c r="R838" i="10"/>
  <c r="Q838" i="10"/>
  <c r="U837" i="10"/>
  <c r="T837" i="10"/>
  <c r="S837" i="10"/>
  <c r="R837" i="10"/>
  <c r="Q837" i="10"/>
  <c r="U836" i="10"/>
  <c r="T836" i="10"/>
  <c r="S836" i="10"/>
  <c r="R836" i="10"/>
  <c r="Q836" i="10"/>
  <c r="U835" i="10"/>
  <c r="T835" i="10"/>
  <c r="S835" i="10"/>
  <c r="R835" i="10"/>
  <c r="Q835" i="10"/>
  <c r="U834" i="10"/>
  <c r="T834" i="10"/>
  <c r="S834" i="10"/>
  <c r="R834" i="10"/>
  <c r="Q834" i="10"/>
  <c r="U833" i="10"/>
  <c r="T833" i="10"/>
  <c r="S833" i="10"/>
  <c r="R833" i="10"/>
  <c r="Q833" i="10"/>
  <c r="U832" i="10"/>
  <c r="T832" i="10"/>
  <c r="S832" i="10"/>
  <c r="R832" i="10"/>
  <c r="Q832" i="10"/>
  <c r="U831" i="10"/>
  <c r="T831" i="10"/>
  <c r="S831" i="10"/>
  <c r="R831" i="10"/>
  <c r="Q831" i="10"/>
  <c r="U830" i="10"/>
  <c r="T830" i="10"/>
  <c r="S830" i="10"/>
  <c r="R830" i="10"/>
  <c r="Q830" i="10"/>
  <c r="U829" i="10"/>
  <c r="T829" i="10"/>
  <c r="S829" i="10"/>
  <c r="R829" i="10"/>
  <c r="Q829" i="10"/>
  <c r="U828" i="10"/>
  <c r="T828" i="10"/>
  <c r="S828" i="10"/>
  <c r="R828" i="10"/>
  <c r="Q828" i="10"/>
  <c r="U827" i="10"/>
  <c r="T827" i="10"/>
  <c r="S827" i="10"/>
  <c r="R827" i="10"/>
  <c r="Q827" i="10"/>
  <c r="U826" i="10"/>
  <c r="T826" i="10"/>
  <c r="S826" i="10"/>
  <c r="R826" i="10"/>
  <c r="Q826" i="10"/>
  <c r="U825" i="10"/>
  <c r="T825" i="10"/>
  <c r="S825" i="10"/>
  <c r="R825" i="10"/>
  <c r="Q825" i="10"/>
  <c r="U824" i="10"/>
  <c r="T824" i="10"/>
  <c r="S824" i="10"/>
  <c r="R824" i="10"/>
  <c r="Q824" i="10"/>
  <c r="U823" i="10"/>
  <c r="T823" i="10"/>
  <c r="S823" i="10"/>
  <c r="R823" i="10"/>
  <c r="Q823" i="10"/>
  <c r="U821" i="10"/>
  <c r="T821" i="10"/>
  <c r="S821" i="10"/>
  <c r="R821" i="10"/>
  <c r="Q821" i="10"/>
  <c r="U820" i="10"/>
  <c r="T820" i="10"/>
  <c r="S820" i="10"/>
  <c r="R820" i="10"/>
  <c r="Q820" i="10"/>
  <c r="U819" i="10"/>
  <c r="T819" i="10"/>
  <c r="S819" i="10"/>
  <c r="R819" i="10"/>
  <c r="Q819" i="10"/>
  <c r="U818" i="10"/>
  <c r="T818" i="10"/>
  <c r="S818" i="10"/>
  <c r="R818" i="10"/>
  <c r="Q818" i="10"/>
  <c r="U817" i="10"/>
  <c r="T817" i="10"/>
  <c r="S817" i="10"/>
  <c r="R817" i="10"/>
  <c r="Q817" i="10"/>
  <c r="U816" i="10"/>
  <c r="T816" i="10"/>
  <c r="S816" i="10"/>
  <c r="R816" i="10"/>
  <c r="Q816" i="10"/>
  <c r="U815" i="10"/>
  <c r="T815" i="10"/>
  <c r="S815" i="10"/>
  <c r="R815" i="10"/>
  <c r="Q815" i="10"/>
  <c r="U814" i="10"/>
  <c r="T814" i="10"/>
  <c r="S814" i="10"/>
  <c r="R814" i="10"/>
  <c r="Q814" i="10"/>
  <c r="U813" i="10"/>
  <c r="T813" i="10"/>
  <c r="S813" i="10"/>
  <c r="R813" i="10"/>
  <c r="Q813" i="10"/>
  <c r="U812" i="10"/>
  <c r="T812" i="10"/>
  <c r="S812" i="10"/>
  <c r="R812" i="10"/>
  <c r="Q812" i="10"/>
  <c r="U811" i="10"/>
  <c r="T811" i="10"/>
  <c r="S811" i="10"/>
  <c r="R811" i="10"/>
  <c r="Q811" i="10"/>
  <c r="U810" i="10"/>
  <c r="T810" i="10"/>
  <c r="S810" i="10"/>
  <c r="R810" i="10"/>
  <c r="Q810" i="10"/>
  <c r="U809" i="10"/>
  <c r="T809" i="10"/>
  <c r="S809" i="10"/>
  <c r="R809" i="10"/>
  <c r="Q809" i="10"/>
  <c r="U808" i="10"/>
  <c r="T808" i="10"/>
  <c r="S808" i="10"/>
  <c r="R808" i="10"/>
  <c r="Q808" i="10"/>
  <c r="U807" i="10"/>
  <c r="T807" i="10"/>
  <c r="S807" i="10"/>
  <c r="R807" i="10"/>
  <c r="Q807" i="10"/>
  <c r="U806" i="10"/>
  <c r="T806" i="10"/>
  <c r="S806" i="10"/>
  <c r="R806" i="10"/>
  <c r="Q806" i="10"/>
  <c r="U805" i="10"/>
  <c r="T805" i="10"/>
  <c r="S805" i="10"/>
  <c r="R805" i="10"/>
  <c r="Q805" i="10"/>
  <c r="U804" i="10"/>
  <c r="T804" i="10"/>
  <c r="S804" i="10"/>
  <c r="R804" i="10"/>
  <c r="Q804" i="10"/>
  <c r="U803" i="10"/>
  <c r="T803" i="10"/>
  <c r="S803" i="10"/>
  <c r="R803" i="10"/>
  <c r="Q803" i="10"/>
  <c r="U802" i="10"/>
  <c r="T802" i="10"/>
  <c r="S802" i="10"/>
  <c r="R802" i="10"/>
  <c r="Q802" i="10"/>
  <c r="U801" i="10"/>
  <c r="T801" i="10"/>
  <c r="S801" i="10"/>
  <c r="R801" i="10"/>
  <c r="Q801" i="10"/>
  <c r="U800" i="10"/>
  <c r="T800" i="10"/>
  <c r="S800" i="10"/>
  <c r="R800" i="10"/>
  <c r="Q800" i="10"/>
  <c r="U799" i="10"/>
  <c r="T799" i="10"/>
  <c r="S799" i="10"/>
  <c r="R799" i="10"/>
  <c r="Q799" i="10"/>
  <c r="U798" i="10"/>
  <c r="T798" i="10"/>
  <c r="S798" i="10"/>
  <c r="R798" i="10"/>
  <c r="Q798" i="10"/>
  <c r="U797" i="10"/>
  <c r="T797" i="10"/>
  <c r="S797" i="10"/>
  <c r="R797" i="10"/>
  <c r="Q797" i="10"/>
  <c r="U796" i="10"/>
  <c r="T796" i="10"/>
  <c r="S796" i="10"/>
  <c r="R796" i="10"/>
  <c r="Q796" i="10"/>
  <c r="U795" i="10"/>
  <c r="T795" i="10"/>
  <c r="S795" i="10"/>
  <c r="R795" i="10"/>
  <c r="Q795" i="10"/>
  <c r="U794" i="10"/>
  <c r="T794" i="10"/>
  <c r="S794" i="10"/>
  <c r="R794" i="10"/>
  <c r="Q794" i="10"/>
  <c r="U793" i="10"/>
  <c r="T793" i="10"/>
  <c r="S793" i="10"/>
  <c r="R793" i="10"/>
  <c r="Q793" i="10"/>
  <c r="U792" i="10"/>
  <c r="T792" i="10"/>
  <c r="S792" i="10"/>
  <c r="R792" i="10"/>
  <c r="Q792" i="10"/>
  <c r="U791" i="10"/>
  <c r="T791" i="10"/>
  <c r="S791" i="10"/>
  <c r="R791" i="10"/>
  <c r="Q791" i="10"/>
  <c r="U790" i="10"/>
  <c r="T790" i="10"/>
  <c r="S790" i="10"/>
  <c r="R790" i="10"/>
  <c r="Q790" i="10"/>
  <c r="U789" i="10"/>
  <c r="T789" i="10"/>
  <c r="S789" i="10"/>
  <c r="R789" i="10"/>
  <c r="Q789" i="10"/>
  <c r="U788" i="10"/>
  <c r="T788" i="10"/>
  <c r="S788" i="10"/>
  <c r="R788" i="10"/>
  <c r="Q788" i="10"/>
  <c r="U787" i="10"/>
  <c r="T787" i="10"/>
  <c r="S787" i="10"/>
  <c r="R787" i="10"/>
  <c r="Q787" i="10"/>
  <c r="U786" i="10"/>
  <c r="T786" i="10"/>
  <c r="S786" i="10"/>
  <c r="R786" i="10"/>
  <c r="Q786" i="10"/>
  <c r="U784" i="10"/>
  <c r="T784" i="10"/>
  <c r="S784" i="10"/>
  <c r="R784" i="10"/>
  <c r="Q784" i="10"/>
  <c r="U783" i="10"/>
  <c r="T783" i="10"/>
  <c r="S783" i="10"/>
  <c r="R783" i="10"/>
  <c r="Q783" i="10"/>
  <c r="U782" i="10"/>
  <c r="T782" i="10"/>
  <c r="S782" i="10"/>
  <c r="R782" i="10"/>
  <c r="Q782" i="10"/>
  <c r="U781" i="10"/>
  <c r="T781" i="10"/>
  <c r="S781" i="10"/>
  <c r="R781" i="10"/>
  <c r="Q781" i="10"/>
  <c r="U780" i="10"/>
  <c r="T780" i="10"/>
  <c r="S780" i="10"/>
  <c r="R780" i="10"/>
  <c r="Q780" i="10"/>
  <c r="U779" i="10"/>
  <c r="T779" i="10"/>
  <c r="S779" i="10"/>
  <c r="R779" i="10"/>
  <c r="Q779" i="10"/>
  <c r="U778" i="10"/>
  <c r="T778" i="10"/>
  <c r="S778" i="10"/>
  <c r="R778" i="10"/>
  <c r="Q778" i="10"/>
  <c r="U777" i="10"/>
  <c r="T777" i="10"/>
  <c r="S777" i="10"/>
  <c r="R777" i="10"/>
  <c r="Q777" i="10"/>
  <c r="U776" i="10"/>
  <c r="T776" i="10"/>
  <c r="S776" i="10"/>
  <c r="R776" i="10"/>
  <c r="Q776" i="10"/>
  <c r="U775" i="10"/>
  <c r="T775" i="10"/>
  <c r="S775" i="10"/>
  <c r="R775" i="10"/>
  <c r="Q775" i="10"/>
  <c r="U774" i="10"/>
  <c r="T774" i="10"/>
  <c r="S774" i="10"/>
  <c r="R774" i="10"/>
  <c r="Q774" i="10"/>
  <c r="U773" i="10"/>
  <c r="T773" i="10"/>
  <c r="S773" i="10"/>
  <c r="R773" i="10"/>
  <c r="Q773" i="10"/>
  <c r="U772" i="10"/>
  <c r="T772" i="10"/>
  <c r="S772" i="10"/>
  <c r="R772" i="10"/>
  <c r="Q772" i="10"/>
  <c r="U771" i="10"/>
  <c r="T771" i="10"/>
  <c r="S771" i="10"/>
  <c r="R771" i="10"/>
  <c r="Q771" i="10"/>
  <c r="U770" i="10"/>
  <c r="T770" i="10"/>
  <c r="S770" i="10"/>
  <c r="R770" i="10"/>
  <c r="Q770" i="10"/>
  <c r="U769" i="10"/>
  <c r="T769" i="10"/>
  <c r="S769" i="10"/>
  <c r="R769" i="10"/>
  <c r="Q769" i="10"/>
  <c r="U768" i="10"/>
  <c r="T768" i="10"/>
  <c r="S768" i="10"/>
  <c r="R768" i="10"/>
  <c r="Q768" i="10"/>
  <c r="U767" i="10"/>
  <c r="T767" i="10"/>
  <c r="S767" i="10"/>
  <c r="R767" i="10"/>
  <c r="Q767" i="10"/>
  <c r="U766" i="10"/>
  <c r="T766" i="10"/>
  <c r="S766" i="10"/>
  <c r="R766" i="10"/>
  <c r="Q766" i="10"/>
  <c r="U765" i="10"/>
  <c r="T765" i="10"/>
  <c r="S765" i="10"/>
  <c r="R765" i="10"/>
  <c r="Q765" i="10"/>
  <c r="U764" i="10"/>
  <c r="T764" i="10"/>
  <c r="S764" i="10"/>
  <c r="R764" i="10"/>
  <c r="Q764" i="10"/>
  <c r="U763" i="10"/>
  <c r="T763" i="10"/>
  <c r="S763" i="10"/>
  <c r="R763" i="10"/>
  <c r="Q763" i="10"/>
  <c r="U762" i="10"/>
  <c r="T762" i="10"/>
  <c r="S762" i="10"/>
  <c r="R762" i="10"/>
  <c r="Q762" i="10"/>
  <c r="U761" i="10"/>
  <c r="T761" i="10"/>
  <c r="S761" i="10"/>
  <c r="R761" i="10"/>
  <c r="Q761" i="10"/>
  <c r="U760" i="10"/>
  <c r="T760" i="10"/>
  <c r="S760" i="10"/>
  <c r="R760" i="10"/>
  <c r="Q760" i="10"/>
  <c r="U759" i="10"/>
  <c r="T759" i="10"/>
  <c r="S759" i="10"/>
  <c r="R759" i="10"/>
  <c r="Q759" i="10"/>
  <c r="U758" i="10"/>
  <c r="T758" i="10"/>
  <c r="S758" i="10"/>
  <c r="R758" i="10"/>
  <c r="Q758" i="10"/>
  <c r="U757" i="10"/>
  <c r="T757" i="10"/>
  <c r="S757" i="10"/>
  <c r="R757" i="10"/>
  <c r="Q757" i="10"/>
  <c r="U756" i="10"/>
  <c r="T756" i="10"/>
  <c r="S756" i="10"/>
  <c r="R756" i="10"/>
  <c r="Q756" i="10"/>
  <c r="U755" i="10"/>
  <c r="T755" i="10"/>
  <c r="S755" i="10"/>
  <c r="R755" i="10"/>
  <c r="Q755" i="10"/>
  <c r="U754" i="10"/>
  <c r="T754" i="10"/>
  <c r="S754" i="10"/>
  <c r="R754" i="10"/>
  <c r="Q754" i="10"/>
  <c r="U753" i="10"/>
  <c r="T753" i="10"/>
  <c r="S753" i="10"/>
  <c r="R753" i="10"/>
  <c r="Q753" i="10"/>
  <c r="U752" i="10"/>
  <c r="T752" i="10"/>
  <c r="S752" i="10"/>
  <c r="R752" i="10"/>
  <c r="Q752" i="10"/>
  <c r="U751" i="10"/>
  <c r="T751" i="10"/>
  <c r="S751" i="10"/>
  <c r="R751" i="10"/>
  <c r="Q751" i="10"/>
  <c r="U750" i="10"/>
  <c r="T750" i="10"/>
  <c r="S750" i="10"/>
  <c r="R750" i="10"/>
  <c r="Q750" i="10"/>
  <c r="U749" i="10"/>
  <c r="T749" i="10"/>
  <c r="S749" i="10"/>
  <c r="R749" i="10"/>
  <c r="Q749" i="10"/>
  <c r="U747" i="10"/>
  <c r="T747" i="10"/>
  <c r="S747" i="10"/>
  <c r="R747" i="10"/>
  <c r="Q747" i="10"/>
  <c r="U746" i="10"/>
  <c r="T746" i="10"/>
  <c r="S746" i="10"/>
  <c r="R746" i="10"/>
  <c r="Q746" i="10"/>
  <c r="U745" i="10"/>
  <c r="T745" i="10"/>
  <c r="S745" i="10"/>
  <c r="R745" i="10"/>
  <c r="Q745" i="10"/>
  <c r="U744" i="10"/>
  <c r="T744" i="10"/>
  <c r="S744" i="10"/>
  <c r="R744" i="10"/>
  <c r="Q744" i="10"/>
  <c r="U743" i="10"/>
  <c r="T743" i="10"/>
  <c r="S743" i="10"/>
  <c r="R743" i="10"/>
  <c r="Q743" i="10"/>
  <c r="U742" i="10"/>
  <c r="T742" i="10"/>
  <c r="S742" i="10"/>
  <c r="R742" i="10"/>
  <c r="Q742" i="10"/>
  <c r="U741" i="10"/>
  <c r="T741" i="10"/>
  <c r="S741" i="10"/>
  <c r="R741" i="10"/>
  <c r="Q741" i="10"/>
  <c r="U740" i="10"/>
  <c r="T740" i="10"/>
  <c r="S740" i="10"/>
  <c r="R740" i="10"/>
  <c r="Q740" i="10"/>
  <c r="U739" i="10"/>
  <c r="T739" i="10"/>
  <c r="S739" i="10"/>
  <c r="R739" i="10"/>
  <c r="Q739" i="10"/>
  <c r="U738" i="10"/>
  <c r="T738" i="10"/>
  <c r="S738" i="10"/>
  <c r="R738" i="10"/>
  <c r="Q738" i="10"/>
  <c r="U737" i="10"/>
  <c r="T737" i="10"/>
  <c r="S737" i="10"/>
  <c r="R737" i="10"/>
  <c r="Q737" i="10"/>
  <c r="U736" i="10"/>
  <c r="T736" i="10"/>
  <c r="S736" i="10"/>
  <c r="R736" i="10"/>
  <c r="Q736" i="10"/>
  <c r="U735" i="10"/>
  <c r="T735" i="10"/>
  <c r="S735" i="10"/>
  <c r="R735" i="10"/>
  <c r="Q735" i="10"/>
  <c r="U734" i="10"/>
  <c r="T734" i="10"/>
  <c r="S734" i="10"/>
  <c r="R734" i="10"/>
  <c r="Q734" i="10"/>
  <c r="U733" i="10"/>
  <c r="T733" i="10"/>
  <c r="S733" i="10"/>
  <c r="R733" i="10"/>
  <c r="Q733" i="10"/>
  <c r="U732" i="10"/>
  <c r="T732" i="10"/>
  <c r="S732" i="10"/>
  <c r="R732" i="10"/>
  <c r="Q732" i="10"/>
  <c r="U731" i="10"/>
  <c r="T731" i="10"/>
  <c r="S731" i="10"/>
  <c r="R731" i="10"/>
  <c r="Q731" i="10"/>
  <c r="U730" i="10"/>
  <c r="T730" i="10"/>
  <c r="S730" i="10"/>
  <c r="R730" i="10"/>
  <c r="Q730" i="10"/>
  <c r="U729" i="10"/>
  <c r="T729" i="10"/>
  <c r="S729" i="10"/>
  <c r="R729" i="10"/>
  <c r="Q729" i="10"/>
  <c r="U728" i="10"/>
  <c r="T728" i="10"/>
  <c r="S728" i="10"/>
  <c r="R728" i="10"/>
  <c r="Q728" i="10"/>
  <c r="U727" i="10"/>
  <c r="T727" i="10"/>
  <c r="S727" i="10"/>
  <c r="R727" i="10"/>
  <c r="Q727" i="10"/>
  <c r="U726" i="10"/>
  <c r="T726" i="10"/>
  <c r="S726" i="10"/>
  <c r="R726" i="10"/>
  <c r="Q726" i="10"/>
  <c r="U725" i="10"/>
  <c r="T725" i="10"/>
  <c r="S725" i="10"/>
  <c r="R725" i="10"/>
  <c r="Q725" i="10"/>
  <c r="U724" i="10"/>
  <c r="T724" i="10"/>
  <c r="S724" i="10"/>
  <c r="R724" i="10"/>
  <c r="Q724" i="10"/>
  <c r="U723" i="10"/>
  <c r="T723" i="10"/>
  <c r="S723" i="10"/>
  <c r="R723" i="10"/>
  <c r="Q723" i="10"/>
  <c r="U722" i="10"/>
  <c r="T722" i="10"/>
  <c r="S722" i="10"/>
  <c r="R722" i="10"/>
  <c r="Q722" i="10"/>
  <c r="U721" i="10"/>
  <c r="T721" i="10"/>
  <c r="S721" i="10"/>
  <c r="R721" i="10"/>
  <c r="Q721" i="10"/>
  <c r="U720" i="10"/>
  <c r="T720" i="10"/>
  <c r="S720" i="10"/>
  <c r="R720" i="10"/>
  <c r="Q720" i="10"/>
  <c r="U719" i="10"/>
  <c r="T719" i="10"/>
  <c r="S719" i="10"/>
  <c r="R719" i="10"/>
  <c r="Q719" i="10"/>
  <c r="U718" i="10"/>
  <c r="T718" i="10"/>
  <c r="S718" i="10"/>
  <c r="R718" i="10"/>
  <c r="Q718" i="10"/>
  <c r="U717" i="10"/>
  <c r="T717" i="10"/>
  <c r="S717" i="10"/>
  <c r="R717" i="10"/>
  <c r="Q717" i="10"/>
  <c r="U716" i="10"/>
  <c r="T716" i="10"/>
  <c r="S716" i="10"/>
  <c r="R716" i="10"/>
  <c r="Q716" i="10"/>
  <c r="U715" i="10"/>
  <c r="T715" i="10"/>
  <c r="S715" i="10"/>
  <c r="R715" i="10"/>
  <c r="Q715" i="10"/>
  <c r="U714" i="10"/>
  <c r="T714" i="10"/>
  <c r="S714" i="10"/>
  <c r="R714" i="10"/>
  <c r="Q714" i="10"/>
  <c r="U713" i="10"/>
  <c r="T713" i="10"/>
  <c r="S713" i="10"/>
  <c r="R713" i="10"/>
  <c r="Q713" i="10"/>
  <c r="U712" i="10"/>
  <c r="T712" i="10"/>
  <c r="S712" i="10"/>
  <c r="R712" i="10"/>
  <c r="Q712" i="10"/>
  <c r="U710" i="10"/>
  <c r="T710" i="10"/>
  <c r="S710" i="10"/>
  <c r="R710" i="10"/>
  <c r="Q710" i="10"/>
  <c r="U709" i="10"/>
  <c r="T709" i="10"/>
  <c r="S709" i="10"/>
  <c r="R709" i="10"/>
  <c r="Q709" i="10"/>
  <c r="U708" i="10"/>
  <c r="T708" i="10"/>
  <c r="S708" i="10"/>
  <c r="R708" i="10"/>
  <c r="Q708" i="10"/>
  <c r="U707" i="10"/>
  <c r="T707" i="10"/>
  <c r="S707" i="10"/>
  <c r="R707" i="10"/>
  <c r="Q707" i="10"/>
  <c r="U706" i="10"/>
  <c r="T706" i="10"/>
  <c r="S706" i="10"/>
  <c r="R706" i="10"/>
  <c r="Q706" i="10"/>
  <c r="U705" i="10"/>
  <c r="T705" i="10"/>
  <c r="S705" i="10"/>
  <c r="R705" i="10"/>
  <c r="Q705" i="10"/>
  <c r="U704" i="10"/>
  <c r="T704" i="10"/>
  <c r="S704" i="10"/>
  <c r="R704" i="10"/>
  <c r="Q704" i="10"/>
  <c r="U703" i="10"/>
  <c r="T703" i="10"/>
  <c r="S703" i="10"/>
  <c r="R703" i="10"/>
  <c r="Q703" i="10"/>
  <c r="U702" i="10"/>
  <c r="T702" i="10"/>
  <c r="S702" i="10"/>
  <c r="R702" i="10"/>
  <c r="Q702" i="10"/>
  <c r="U701" i="10"/>
  <c r="T701" i="10"/>
  <c r="S701" i="10"/>
  <c r="R701" i="10"/>
  <c r="Q701" i="10"/>
  <c r="U700" i="10"/>
  <c r="T700" i="10"/>
  <c r="S700" i="10"/>
  <c r="R700" i="10"/>
  <c r="Q700" i="10"/>
  <c r="U699" i="10"/>
  <c r="T699" i="10"/>
  <c r="S699" i="10"/>
  <c r="R699" i="10"/>
  <c r="Q699" i="10"/>
  <c r="U698" i="10"/>
  <c r="T698" i="10"/>
  <c r="S698" i="10"/>
  <c r="R698" i="10"/>
  <c r="Q698" i="10"/>
  <c r="U697" i="10"/>
  <c r="T697" i="10"/>
  <c r="S697" i="10"/>
  <c r="R697" i="10"/>
  <c r="Q697" i="10"/>
  <c r="U696" i="10"/>
  <c r="T696" i="10"/>
  <c r="S696" i="10"/>
  <c r="R696" i="10"/>
  <c r="Q696" i="10"/>
  <c r="U695" i="10"/>
  <c r="T695" i="10"/>
  <c r="S695" i="10"/>
  <c r="R695" i="10"/>
  <c r="Q695" i="10"/>
  <c r="U694" i="10"/>
  <c r="T694" i="10"/>
  <c r="S694" i="10"/>
  <c r="R694" i="10"/>
  <c r="Q694" i="10"/>
  <c r="U693" i="10"/>
  <c r="T693" i="10"/>
  <c r="S693" i="10"/>
  <c r="R693" i="10"/>
  <c r="Q693" i="10"/>
  <c r="U692" i="10"/>
  <c r="T692" i="10"/>
  <c r="S692" i="10"/>
  <c r="R692" i="10"/>
  <c r="Q692" i="10"/>
  <c r="U691" i="10"/>
  <c r="T691" i="10"/>
  <c r="S691" i="10"/>
  <c r="R691" i="10"/>
  <c r="Q691" i="10"/>
  <c r="U690" i="10"/>
  <c r="T690" i="10"/>
  <c r="S690" i="10"/>
  <c r="R690" i="10"/>
  <c r="Q690" i="10"/>
  <c r="U689" i="10"/>
  <c r="T689" i="10"/>
  <c r="S689" i="10"/>
  <c r="R689" i="10"/>
  <c r="Q689" i="10"/>
  <c r="U688" i="10"/>
  <c r="T688" i="10"/>
  <c r="S688" i="10"/>
  <c r="R688" i="10"/>
  <c r="Q688" i="10"/>
  <c r="U687" i="10"/>
  <c r="T687" i="10"/>
  <c r="S687" i="10"/>
  <c r="R687" i="10"/>
  <c r="Q687" i="10"/>
  <c r="U686" i="10"/>
  <c r="T686" i="10"/>
  <c r="S686" i="10"/>
  <c r="R686" i="10"/>
  <c r="Q686" i="10"/>
  <c r="U685" i="10"/>
  <c r="T685" i="10"/>
  <c r="S685" i="10"/>
  <c r="R685" i="10"/>
  <c r="Q685" i="10"/>
  <c r="U684" i="10"/>
  <c r="T684" i="10"/>
  <c r="S684" i="10"/>
  <c r="R684" i="10"/>
  <c r="Q684" i="10"/>
  <c r="U683" i="10"/>
  <c r="T683" i="10"/>
  <c r="S683" i="10"/>
  <c r="R683" i="10"/>
  <c r="Q683" i="10"/>
  <c r="U682" i="10"/>
  <c r="T682" i="10"/>
  <c r="S682" i="10"/>
  <c r="R682" i="10"/>
  <c r="Q682" i="10"/>
  <c r="U681" i="10"/>
  <c r="T681" i="10"/>
  <c r="S681" i="10"/>
  <c r="R681" i="10"/>
  <c r="Q681" i="10"/>
  <c r="U680" i="10"/>
  <c r="T680" i="10"/>
  <c r="S680" i="10"/>
  <c r="R680" i="10"/>
  <c r="Q680" i="10"/>
  <c r="U679" i="10"/>
  <c r="T679" i="10"/>
  <c r="S679" i="10"/>
  <c r="R679" i="10"/>
  <c r="Q679" i="10"/>
  <c r="U678" i="10"/>
  <c r="T678" i="10"/>
  <c r="S678" i="10"/>
  <c r="R678" i="10"/>
  <c r="Q678" i="10"/>
  <c r="U677" i="10"/>
  <c r="T677" i="10"/>
  <c r="S677" i="10"/>
  <c r="R677" i="10"/>
  <c r="Q677" i="10"/>
  <c r="U676" i="10"/>
  <c r="T676" i="10"/>
  <c r="S676" i="10"/>
  <c r="R676" i="10"/>
  <c r="Q676" i="10"/>
  <c r="U675" i="10"/>
  <c r="T675" i="10"/>
  <c r="S675" i="10"/>
  <c r="R675" i="10"/>
  <c r="Q675" i="10"/>
  <c r="U673" i="10"/>
  <c r="T673" i="10"/>
  <c r="S673" i="10"/>
  <c r="R673" i="10"/>
  <c r="Q673" i="10"/>
  <c r="U672" i="10"/>
  <c r="T672" i="10"/>
  <c r="S672" i="10"/>
  <c r="R672" i="10"/>
  <c r="Q672" i="10"/>
  <c r="U671" i="10"/>
  <c r="T671" i="10"/>
  <c r="S671" i="10"/>
  <c r="R671" i="10"/>
  <c r="Q671" i="10"/>
  <c r="U670" i="10"/>
  <c r="T670" i="10"/>
  <c r="S670" i="10"/>
  <c r="R670" i="10"/>
  <c r="Q670" i="10"/>
  <c r="U669" i="10"/>
  <c r="T669" i="10"/>
  <c r="S669" i="10"/>
  <c r="R669" i="10"/>
  <c r="Q669" i="10"/>
  <c r="U668" i="10"/>
  <c r="T668" i="10"/>
  <c r="S668" i="10"/>
  <c r="R668" i="10"/>
  <c r="Q668" i="10"/>
  <c r="U667" i="10"/>
  <c r="T667" i="10"/>
  <c r="S667" i="10"/>
  <c r="R667" i="10"/>
  <c r="Q667" i="10"/>
  <c r="U666" i="10"/>
  <c r="T666" i="10"/>
  <c r="S666" i="10"/>
  <c r="R666" i="10"/>
  <c r="Q666" i="10"/>
  <c r="U665" i="10"/>
  <c r="T665" i="10"/>
  <c r="S665" i="10"/>
  <c r="R665" i="10"/>
  <c r="Q665" i="10"/>
  <c r="U664" i="10"/>
  <c r="T664" i="10"/>
  <c r="S664" i="10"/>
  <c r="R664" i="10"/>
  <c r="Q664" i="10"/>
  <c r="U663" i="10"/>
  <c r="T663" i="10"/>
  <c r="S663" i="10"/>
  <c r="R663" i="10"/>
  <c r="Q663" i="10"/>
  <c r="U662" i="10"/>
  <c r="T662" i="10"/>
  <c r="S662" i="10"/>
  <c r="R662" i="10"/>
  <c r="Q662" i="10"/>
  <c r="U661" i="10"/>
  <c r="T661" i="10"/>
  <c r="S661" i="10"/>
  <c r="R661" i="10"/>
  <c r="Q661" i="10"/>
  <c r="U660" i="10"/>
  <c r="T660" i="10"/>
  <c r="S660" i="10"/>
  <c r="R660" i="10"/>
  <c r="Q660" i="10"/>
  <c r="U659" i="10"/>
  <c r="T659" i="10"/>
  <c r="S659" i="10"/>
  <c r="R659" i="10"/>
  <c r="Q659" i="10"/>
  <c r="U658" i="10"/>
  <c r="T658" i="10"/>
  <c r="S658" i="10"/>
  <c r="R658" i="10"/>
  <c r="Q658" i="10"/>
  <c r="U657" i="10"/>
  <c r="T657" i="10"/>
  <c r="S657" i="10"/>
  <c r="R657" i="10"/>
  <c r="Q657" i="10"/>
  <c r="U656" i="10"/>
  <c r="T656" i="10"/>
  <c r="S656" i="10"/>
  <c r="R656" i="10"/>
  <c r="Q656" i="10"/>
  <c r="U655" i="10"/>
  <c r="T655" i="10"/>
  <c r="S655" i="10"/>
  <c r="R655" i="10"/>
  <c r="Q655" i="10"/>
  <c r="U654" i="10"/>
  <c r="T654" i="10"/>
  <c r="S654" i="10"/>
  <c r="R654" i="10"/>
  <c r="Q654" i="10"/>
  <c r="U653" i="10"/>
  <c r="T653" i="10"/>
  <c r="S653" i="10"/>
  <c r="R653" i="10"/>
  <c r="Q653" i="10"/>
  <c r="U652" i="10"/>
  <c r="T652" i="10"/>
  <c r="S652" i="10"/>
  <c r="R652" i="10"/>
  <c r="Q652" i="10"/>
  <c r="U651" i="10"/>
  <c r="T651" i="10"/>
  <c r="S651" i="10"/>
  <c r="R651" i="10"/>
  <c r="Q651" i="10"/>
  <c r="U650" i="10"/>
  <c r="T650" i="10"/>
  <c r="S650" i="10"/>
  <c r="R650" i="10"/>
  <c r="Q650" i="10"/>
  <c r="U649" i="10"/>
  <c r="T649" i="10"/>
  <c r="S649" i="10"/>
  <c r="R649" i="10"/>
  <c r="Q649" i="10"/>
  <c r="U648" i="10"/>
  <c r="T648" i="10"/>
  <c r="S648" i="10"/>
  <c r="R648" i="10"/>
  <c r="Q648" i="10"/>
  <c r="U647" i="10"/>
  <c r="T647" i="10"/>
  <c r="S647" i="10"/>
  <c r="R647" i="10"/>
  <c r="Q647" i="10"/>
  <c r="U646" i="10"/>
  <c r="T646" i="10"/>
  <c r="S646" i="10"/>
  <c r="R646" i="10"/>
  <c r="Q646" i="10"/>
  <c r="U645" i="10"/>
  <c r="T645" i="10"/>
  <c r="S645" i="10"/>
  <c r="R645" i="10"/>
  <c r="Q645" i="10"/>
  <c r="U644" i="10"/>
  <c r="T644" i="10"/>
  <c r="S644" i="10"/>
  <c r="R644" i="10"/>
  <c r="Q644" i="10"/>
  <c r="U643" i="10"/>
  <c r="T643" i="10"/>
  <c r="S643" i="10"/>
  <c r="R643" i="10"/>
  <c r="Q643" i="10"/>
  <c r="U642" i="10"/>
  <c r="T642" i="10"/>
  <c r="S642" i="10"/>
  <c r="R642" i="10"/>
  <c r="Q642" i="10"/>
  <c r="U641" i="10"/>
  <c r="T641" i="10"/>
  <c r="S641" i="10"/>
  <c r="R641" i="10"/>
  <c r="Q641" i="10"/>
  <c r="U640" i="10"/>
  <c r="T640" i="10"/>
  <c r="S640" i="10"/>
  <c r="R640" i="10"/>
  <c r="Q640" i="10"/>
  <c r="U639" i="10"/>
  <c r="T639" i="10"/>
  <c r="S639" i="10"/>
  <c r="R639" i="10"/>
  <c r="Q639" i="10"/>
  <c r="U638" i="10"/>
  <c r="T638" i="10"/>
  <c r="S638" i="10"/>
  <c r="R638" i="10"/>
  <c r="Q638" i="10"/>
  <c r="U636" i="10"/>
  <c r="T636" i="10"/>
  <c r="S636" i="10"/>
  <c r="R636" i="10"/>
  <c r="Q636" i="10"/>
  <c r="U635" i="10"/>
  <c r="T635" i="10"/>
  <c r="S635" i="10"/>
  <c r="R635" i="10"/>
  <c r="Q635" i="10"/>
  <c r="U634" i="10"/>
  <c r="T634" i="10"/>
  <c r="S634" i="10"/>
  <c r="R634" i="10"/>
  <c r="Q634" i="10"/>
  <c r="U633" i="10"/>
  <c r="T633" i="10"/>
  <c r="S633" i="10"/>
  <c r="R633" i="10"/>
  <c r="Q633" i="10"/>
  <c r="U632" i="10"/>
  <c r="T632" i="10"/>
  <c r="S632" i="10"/>
  <c r="R632" i="10"/>
  <c r="Q632" i="10"/>
  <c r="U631" i="10"/>
  <c r="T631" i="10"/>
  <c r="S631" i="10"/>
  <c r="R631" i="10"/>
  <c r="Q631" i="10"/>
  <c r="U630" i="10"/>
  <c r="T630" i="10"/>
  <c r="S630" i="10"/>
  <c r="R630" i="10"/>
  <c r="Q630" i="10"/>
  <c r="U629" i="10"/>
  <c r="T629" i="10"/>
  <c r="S629" i="10"/>
  <c r="R629" i="10"/>
  <c r="Q629" i="10"/>
  <c r="U628" i="10"/>
  <c r="T628" i="10"/>
  <c r="S628" i="10"/>
  <c r="R628" i="10"/>
  <c r="Q628" i="10"/>
  <c r="U627" i="10"/>
  <c r="T627" i="10"/>
  <c r="S627" i="10"/>
  <c r="R627" i="10"/>
  <c r="Q627" i="10"/>
  <c r="U626" i="10"/>
  <c r="T626" i="10"/>
  <c r="S626" i="10"/>
  <c r="R626" i="10"/>
  <c r="Q626" i="10"/>
  <c r="U625" i="10"/>
  <c r="T625" i="10"/>
  <c r="S625" i="10"/>
  <c r="R625" i="10"/>
  <c r="Q625" i="10"/>
  <c r="U624" i="10"/>
  <c r="T624" i="10"/>
  <c r="S624" i="10"/>
  <c r="R624" i="10"/>
  <c r="Q624" i="10"/>
  <c r="U623" i="10"/>
  <c r="T623" i="10"/>
  <c r="S623" i="10"/>
  <c r="R623" i="10"/>
  <c r="Q623" i="10"/>
  <c r="U622" i="10"/>
  <c r="T622" i="10"/>
  <c r="S622" i="10"/>
  <c r="R622" i="10"/>
  <c r="Q622" i="10"/>
  <c r="U621" i="10"/>
  <c r="T621" i="10"/>
  <c r="S621" i="10"/>
  <c r="R621" i="10"/>
  <c r="Q621" i="10"/>
  <c r="U620" i="10"/>
  <c r="T620" i="10"/>
  <c r="S620" i="10"/>
  <c r="R620" i="10"/>
  <c r="Q620" i="10"/>
  <c r="U619" i="10"/>
  <c r="T619" i="10"/>
  <c r="S619" i="10"/>
  <c r="R619" i="10"/>
  <c r="Q619" i="10"/>
  <c r="U618" i="10"/>
  <c r="T618" i="10"/>
  <c r="S618" i="10"/>
  <c r="R618" i="10"/>
  <c r="Q618" i="10"/>
  <c r="U617" i="10"/>
  <c r="T617" i="10"/>
  <c r="S617" i="10"/>
  <c r="R617" i="10"/>
  <c r="Q617" i="10"/>
  <c r="U616" i="10"/>
  <c r="T616" i="10"/>
  <c r="S616" i="10"/>
  <c r="R616" i="10"/>
  <c r="Q616" i="10"/>
  <c r="U615" i="10"/>
  <c r="T615" i="10"/>
  <c r="S615" i="10"/>
  <c r="R615" i="10"/>
  <c r="Q615" i="10"/>
  <c r="U614" i="10"/>
  <c r="T614" i="10"/>
  <c r="S614" i="10"/>
  <c r="R614" i="10"/>
  <c r="Q614" i="10"/>
  <c r="U613" i="10"/>
  <c r="T613" i="10"/>
  <c r="S613" i="10"/>
  <c r="R613" i="10"/>
  <c r="Q613" i="10"/>
  <c r="U612" i="10"/>
  <c r="T612" i="10"/>
  <c r="S612" i="10"/>
  <c r="R612" i="10"/>
  <c r="Q612" i="10"/>
  <c r="U611" i="10"/>
  <c r="T611" i="10"/>
  <c r="S611" i="10"/>
  <c r="R611" i="10"/>
  <c r="Q611" i="10"/>
  <c r="U610" i="10"/>
  <c r="T610" i="10"/>
  <c r="S610" i="10"/>
  <c r="R610" i="10"/>
  <c r="Q610" i="10"/>
  <c r="U609" i="10"/>
  <c r="T609" i="10"/>
  <c r="S609" i="10"/>
  <c r="R609" i="10"/>
  <c r="Q609" i="10"/>
  <c r="U608" i="10"/>
  <c r="T608" i="10"/>
  <c r="S608" i="10"/>
  <c r="R608" i="10"/>
  <c r="Q608" i="10"/>
  <c r="U607" i="10"/>
  <c r="T607" i="10"/>
  <c r="S607" i="10"/>
  <c r="R607" i="10"/>
  <c r="Q607" i="10"/>
  <c r="U606" i="10"/>
  <c r="T606" i="10"/>
  <c r="S606" i="10"/>
  <c r="R606" i="10"/>
  <c r="Q606" i="10"/>
  <c r="U605" i="10"/>
  <c r="T605" i="10"/>
  <c r="S605" i="10"/>
  <c r="R605" i="10"/>
  <c r="Q605" i="10"/>
  <c r="U604" i="10"/>
  <c r="T604" i="10"/>
  <c r="S604" i="10"/>
  <c r="R604" i="10"/>
  <c r="Q604" i="10"/>
  <c r="U603" i="10"/>
  <c r="T603" i="10"/>
  <c r="S603" i="10"/>
  <c r="R603" i="10"/>
  <c r="Q603" i="10"/>
  <c r="U602" i="10"/>
  <c r="T602" i="10"/>
  <c r="S602" i="10"/>
  <c r="R602" i="10"/>
  <c r="Q602" i="10"/>
  <c r="U601" i="10"/>
  <c r="T601" i="10"/>
  <c r="S601" i="10"/>
  <c r="R601" i="10"/>
  <c r="Q601" i="10"/>
  <c r="U599" i="10"/>
  <c r="T599" i="10"/>
  <c r="S599" i="10"/>
  <c r="R599" i="10"/>
  <c r="Q599" i="10"/>
  <c r="U598" i="10"/>
  <c r="T598" i="10"/>
  <c r="S598" i="10"/>
  <c r="R598" i="10"/>
  <c r="Q598" i="10"/>
  <c r="U597" i="10"/>
  <c r="T597" i="10"/>
  <c r="S597" i="10"/>
  <c r="R597" i="10"/>
  <c r="Q597" i="10"/>
  <c r="U596" i="10"/>
  <c r="T596" i="10"/>
  <c r="S596" i="10"/>
  <c r="R596" i="10"/>
  <c r="Q596" i="10"/>
  <c r="U595" i="10"/>
  <c r="T595" i="10"/>
  <c r="S595" i="10"/>
  <c r="R595" i="10"/>
  <c r="Q595" i="10"/>
  <c r="U594" i="10"/>
  <c r="T594" i="10"/>
  <c r="S594" i="10"/>
  <c r="R594" i="10"/>
  <c r="Q594" i="10"/>
  <c r="U593" i="10"/>
  <c r="T593" i="10"/>
  <c r="S593" i="10"/>
  <c r="R593" i="10"/>
  <c r="Q593" i="10"/>
  <c r="U592" i="10"/>
  <c r="T592" i="10"/>
  <c r="S592" i="10"/>
  <c r="R592" i="10"/>
  <c r="Q592" i="10"/>
  <c r="U591" i="10"/>
  <c r="T591" i="10"/>
  <c r="S591" i="10"/>
  <c r="R591" i="10"/>
  <c r="Q591" i="10"/>
  <c r="U590" i="10"/>
  <c r="T590" i="10"/>
  <c r="S590" i="10"/>
  <c r="R590" i="10"/>
  <c r="Q590" i="10"/>
  <c r="U589" i="10"/>
  <c r="T589" i="10"/>
  <c r="S589" i="10"/>
  <c r="R589" i="10"/>
  <c r="Q589" i="10"/>
  <c r="U588" i="10"/>
  <c r="T588" i="10"/>
  <c r="S588" i="10"/>
  <c r="R588" i="10"/>
  <c r="Q588" i="10"/>
  <c r="U587" i="10"/>
  <c r="T587" i="10"/>
  <c r="S587" i="10"/>
  <c r="R587" i="10"/>
  <c r="Q587" i="10"/>
  <c r="U586" i="10"/>
  <c r="T586" i="10"/>
  <c r="S586" i="10"/>
  <c r="R586" i="10"/>
  <c r="Q586" i="10"/>
  <c r="U585" i="10"/>
  <c r="T585" i="10"/>
  <c r="S585" i="10"/>
  <c r="R585" i="10"/>
  <c r="Q585" i="10"/>
  <c r="U584" i="10"/>
  <c r="T584" i="10"/>
  <c r="S584" i="10"/>
  <c r="R584" i="10"/>
  <c r="Q584" i="10"/>
  <c r="U583" i="10"/>
  <c r="T583" i="10"/>
  <c r="S583" i="10"/>
  <c r="R583" i="10"/>
  <c r="Q583" i="10"/>
  <c r="U582" i="10"/>
  <c r="T582" i="10"/>
  <c r="S582" i="10"/>
  <c r="R582" i="10"/>
  <c r="Q582" i="10"/>
  <c r="U581" i="10"/>
  <c r="T581" i="10"/>
  <c r="S581" i="10"/>
  <c r="R581" i="10"/>
  <c r="Q581" i="10"/>
  <c r="U580" i="10"/>
  <c r="T580" i="10"/>
  <c r="S580" i="10"/>
  <c r="R580" i="10"/>
  <c r="Q580" i="10"/>
  <c r="U579" i="10"/>
  <c r="T579" i="10"/>
  <c r="S579" i="10"/>
  <c r="R579" i="10"/>
  <c r="Q579" i="10"/>
  <c r="U578" i="10"/>
  <c r="T578" i="10"/>
  <c r="S578" i="10"/>
  <c r="R578" i="10"/>
  <c r="Q578" i="10"/>
  <c r="U577" i="10"/>
  <c r="T577" i="10"/>
  <c r="S577" i="10"/>
  <c r="R577" i="10"/>
  <c r="Q577" i="10"/>
  <c r="U576" i="10"/>
  <c r="T576" i="10"/>
  <c r="S576" i="10"/>
  <c r="R576" i="10"/>
  <c r="Q576" i="10"/>
  <c r="U575" i="10"/>
  <c r="T575" i="10"/>
  <c r="S575" i="10"/>
  <c r="R575" i="10"/>
  <c r="Q575" i="10"/>
  <c r="U574" i="10"/>
  <c r="T574" i="10"/>
  <c r="S574" i="10"/>
  <c r="R574" i="10"/>
  <c r="Q574" i="10"/>
  <c r="U573" i="10"/>
  <c r="T573" i="10"/>
  <c r="S573" i="10"/>
  <c r="R573" i="10"/>
  <c r="Q573" i="10"/>
  <c r="U572" i="10"/>
  <c r="T572" i="10"/>
  <c r="S572" i="10"/>
  <c r="R572" i="10"/>
  <c r="Q572" i="10"/>
  <c r="U571" i="10"/>
  <c r="T571" i="10"/>
  <c r="S571" i="10"/>
  <c r="R571" i="10"/>
  <c r="Q571" i="10"/>
  <c r="U570" i="10"/>
  <c r="T570" i="10"/>
  <c r="S570" i="10"/>
  <c r="R570" i="10"/>
  <c r="Q570" i="10"/>
  <c r="U569" i="10"/>
  <c r="T569" i="10"/>
  <c r="S569" i="10"/>
  <c r="R569" i="10"/>
  <c r="Q569" i="10"/>
  <c r="U568" i="10"/>
  <c r="T568" i="10"/>
  <c r="S568" i="10"/>
  <c r="R568" i="10"/>
  <c r="Q568" i="10"/>
  <c r="U567" i="10"/>
  <c r="T567" i="10"/>
  <c r="S567" i="10"/>
  <c r="R567" i="10"/>
  <c r="Q567" i="10"/>
  <c r="U566" i="10"/>
  <c r="T566" i="10"/>
  <c r="S566" i="10"/>
  <c r="R566" i="10"/>
  <c r="Q566" i="10"/>
  <c r="U565" i="10"/>
  <c r="T565" i="10"/>
  <c r="S565" i="10"/>
  <c r="R565" i="10"/>
  <c r="Q565" i="10"/>
  <c r="U564" i="10"/>
  <c r="T564" i="10"/>
  <c r="S564" i="10"/>
  <c r="R564" i="10"/>
  <c r="Q564" i="10"/>
  <c r="U562" i="10"/>
  <c r="T562" i="10"/>
  <c r="S562" i="10"/>
  <c r="R562" i="10"/>
  <c r="Q562" i="10"/>
  <c r="U561" i="10"/>
  <c r="T561" i="10"/>
  <c r="S561" i="10"/>
  <c r="R561" i="10"/>
  <c r="Q561" i="10"/>
  <c r="U560" i="10"/>
  <c r="T560" i="10"/>
  <c r="S560" i="10"/>
  <c r="R560" i="10"/>
  <c r="Q560" i="10"/>
  <c r="U559" i="10"/>
  <c r="T559" i="10"/>
  <c r="S559" i="10"/>
  <c r="R559" i="10"/>
  <c r="Q559" i="10"/>
  <c r="U558" i="10"/>
  <c r="T558" i="10"/>
  <c r="S558" i="10"/>
  <c r="R558" i="10"/>
  <c r="Q558" i="10"/>
  <c r="U557" i="10"/>
  <c r="T557" i="10"/>
  <c r="S557" i="10"/>
  <c r="R557" i="10"/>
  <c r="Q557" i="10"/>
  <c r="U556" i="10"/>
  <c r="T556" i="10"/>
  <c r="S556" i="10"/>
  <c r="R556" i="10"/>
  <c r="Q556" i="10"/>
  <c r="U555" i="10"/>
  <c r="T555" i="10"/>
  <c r="S555" i="10"/>
  <c r="R555" i="10"/>
  <c r="Q555" i="10"/>
  <c r="U554" i="10"/>
  <c r="T554" i="10"/>
  <c r="S554" i="10"/>
  <c r="R554" i="10"/>
  <c r="Q554" i="10"/>
  <c r="U553" i="10"/>
  <c r="T553" i="10"/>
  <c r="S553" i="10"/>
  <c r="R553" i="10"/>
  <c r="Q553" i="10"/>
  <c r="U552" i="10"/>
  <c r="T552" i="10"/>
  <c r="S552" i="10"/>
  <c r="R552" i="10"/>
  <c r="Q552" i="10"/>
  <c r="U551" i="10"/>
  <c r="T551" i="10"/>
  <c r="S551" i="10"/>
  <c r="R551" i="10"/>
  <c r="Q551" i="10"/>
  <c r="U550" i="10"/>
  <c r="T550" i="10"/>
  <c r="S550" i="10"/>
  <c r="R550" i="10"/>
  <c r="Q550" i="10"/>
  <c r="U549" i="10"/>
  <c r="T549" i="10"/>
  <c r="S549" i="10"/>
  <c r="R549" i="10"/>
  <c r="Q549" i="10"/>
  <c r="U548" i="10"/>
  <c r="T548" i="10"/>
  <c r="S548" i="10"/>
  <c r="R548" i="10"/>
  <c r="Q548" i="10"/>
  <c r="U547" i="10"/>
  <c r="T547" i="10"/>
  <c r="S547" i="10"/>
  <c r="R547" i="10"/>
  <c r="Q547" i="10"/>
  <c r="U546" i="10"/>
  <c r="T546" i="10"/>
  <c r="S546" i="10"/>
  <c r="R546" i="10"/>
  <c r="Q546" i="10"/>
  <c r="U545" i="10"/>
  <c r="T545" i="10"/>
  <c r="S545" i="10"/>
  <c r="R545" i="10"/>
  <c r="Q545" i="10"/>
  <c r="U544" i="10"/>
  <c r="T544" i="10"/>
  <c r="S544" i="10"/>
  <c r="R544" i="10"/>
  <c r="Q544" i="10"/>
  <c r="U543" i="10"/>
  <c r="T543" i="10"/>
  <c r="S543" i="10"/>
  <c r="R543" i="10"/>
  <c r="Q543" i="10"/>
  <c r="U542" i="10"/>
  <c r="T542" i="10"/>
  <c r="S542" i="10"/>
  <c r="R542" i="10"/>
  <c r="Q542" i="10"/>
  <c r="U541" i="10"/>
  <c r="T541" i="10"/>
  <c r="S541" i="10"/>
  <c r="R541" i="10"/>
  <c r="Q541" i="10"/>
  <c r="U540" i="10"/>
  <c r="T540" i="10"/>
  <c r="S540" i="10"/>
  <c r="R540" i="10"/>
  <c r="Q540" i="10"/>
  <c r="U539" i="10"/>
  <c r="T539" i="10"/>
  <c r="S539" i="10"/>
  <c r="R539" i="10"/>
  <c r="Q539" i="10"/>
  <c r="U538" i="10"/>
  <c r="T538" i="10"/>
  <c r="S538" i="10"/>
  <c r="R538" i="10"/>
  <c r="Q538" i="10"/>
  <c r="U537" i="10"/>
  <c r="T537" i="10"/>
  <c r="S537" i="10"/>
  <c r="R537" i="10"/>
  <c r="Q537" i="10"/>
  <c r="U536" i="10"/>
  <c r="T536" i="10"/>
  <c r="S536" i="10"/>
  <c r="R536" i="10"/>
  <c r="Q536" i="10"/>
  <c r="U535" i="10"/>
  <c r="T535" i="10"/>
  <c r="S535" i="10"/>
  <c r="R535" i="10"/>
  <c r="Q535" i="10"/>
  <c r="U534" i="10"/>
  <c r="T534" i="10"/>
  <c r="S534" i="10"/>
  <c r="R534" i="10"/>
  <c r="Q534" i="10"/>
  <c r="U533" i="10"/>
  <c r="T533" i="10"/>
  <c r="S533" i="10"/>
  <c r="R533" i="10"/>
  <c r="Q533" i="10"/>
  <c r="U532" i="10"/>
  <c r="T532" i="10"/>
  <c r="S532" i="10"/>
  <c r="R532" i="10"/>
  <c r="Q532" i="10"/>
  <c r="U531" i="10"/>
  <c r="T531" i="10"/>
  <c r="S531" i="10"/>
  <c r="R531" i="10"/>
  <c r="Q531" i="10"/>
  <c r="U530" i="10"/>
  <c r="T530" i="10"/>
  <c r="S530" i="10"/>
  <c r="R530" i="10"/>
  <c r="Q530" i="10"/>
  <c r="U529" i="10"/>
  <c r="T529" i="10"/>
  <c r="S529" i="10"/>
  <c r="R529" i="10"/>
  <c r="Q529" i="10"/>
  <c r="U528" i="10"/>
  <c r="T528" i="10"/>
  <c r="S528" i="10"/>
  <c r="R528" i="10"/>
  <c r="Q528" i="10"/>
  <c r="U527" i="10"/>
  <c r="T527" i="10"/>
  <c r="S527" i="10"/>
  <c r="R527" i="10"/>
  <c r="Q527" i="10"/>
  <c r="U525" i="10"/>
  <c r="T525" i="10"/>
  <c r="S525" i="10"/>
  <c r="R525" i="10"/>
  <c r="Q525" i="10"/>
  <c r="U524" i="10"/>
  <c r="T524" i="10"/>
  <c r="S524" i="10"/>
  <c r="R524" i="10"/>
  <c r="Q524" i="10"/>
  <c r="U523" i="10"/>
  <c r="T523" i="10"/>
  <c r="S523" i="10"/>
  <c r="R523" i="10"/>
  <c r="Q523" i="10"/>
  <c r="U522" i="10"/>
  <c r="T522" i="10"/>
  <c r="S522" i="10"/>
  <c r="R522" i="10"/>
  <c r="Q522" i="10"/>
  <c r="U521" i="10"/>
  <c r="T521" i="10"/>
  <c r="S521" i="10"/>
  <c r="R521" i="10"/>
  <c r="Q521" i="10"/>
  <c r="U520" i="10"/>
  <c r="T520" i="10"/>
  <c r="S520" i="10"/>
  <c r="R520" i="10"/>
  <c r="Q520" i="10"/>
  <c r="U519" i="10"/>
  <c r="T519" i="10"/>
  <c r="S519" i="10"/>
  <c r="R519" i="10"/>
  <c r="Q519" i="10"/>
  <c r="U518" i="10"/>
  <c r="T518" i="10"/>
  <c r="S518" i="10"/>
  <c r="R518" i="10"/>
  <c r="Q518" i="10"/>
  <c r="U517" i="10"/>
  <c r="T517" i="10"/>
  <c r="S517" i="10"/>
  <c r="R517" i="10"/>
  <c r="Q517" i="10"/>
  <c r="U516" i="10"/>
  <c r="T516" i="10"/>
  <c r="S516" i="10"/>
  <c r="R516" i="10"/>
  <c r="Q516" i="10"/>
  <c r="U515" i="10"/>
  <c r="T515" i="10"/>
  <c r="S515" i="10"/>
  <c r="R515" i="10"/>
  <c r="Q515" i="10"/>
  <c r="U514" i="10"/>
  <c r="T514" i="10"/>
  <c r="S514" i="10"/>
  <c r="R514" i="10"/>
  <c r="Q514" i="10"/>
  <c r="U513" i="10"/>
  <c r="T513" i="10"/>
  <c r="S513" i="10"/>
  <c r="R513" i="10"/>
  <c r="Q513" i="10"/>
  <c r="U512" i="10"/>
  <c r="T512" i="10"/>
  <c r="S512" i="10"/>
  <c r="R512" i="10"/>
  <c r="Q512" i="10"/>
  <c r="U511" i="10"/>
  <c r="T511" i="10"/>
  <c r="S511" i="10"/>
  <c r="R511" i="10"/>
  <c r="Q511" i="10"/>
  <c r="U510" i="10"/>
  <c r="T510" i="10"/>
  <c r="S510" i="10"/>
  <c r="R510" i="10"/>
  <c r="Q510" i="10"/>
  <c r="U509" i="10"/>
  <c r="T509" i="10"/>
  <c r="S509" i="10"/>
  <c r="R509" i="10"/>
  <c r="Q509" i="10"/>
  <c r="U508" i="10"/>
  <c r="T508" i="10"/>
  <c r="S508" i="10"/>
  <c r="R508" i="10"/>
  <c r="Q508" i="10"/>
  <c r="U507" i="10"/>
  <c r="T507" i="10"/>
  <c r="S507" i="10"/>
  <c r="R507" i="10"/>
  <c r="Q507" i="10"/>
  <c r="U506" i="10"/>
  <c r="T506" i="10"/>
  <c r="S506" i="10"/>
  <c r="R506" i="10"/>
  <c r="Q506" i="10"/>
  <c r="U505" i="10"/>
  <c r="T505" i="10"/>
  <c r="S505" i="10"/>
  <c r="R505" i="10"/>
  <c r="Q505" i="10"/>
  <c r="U504" i="10"/>
  <c r="T504" i="10"/>
  <c r="S504" i="10"/>
  <c r="R504" i="10"/>
  <c r="Q504" i="10"/>
  <c r="U503" i="10"/>
  <c r="T503" i="10"/>
  <c r="S503" i="10"/>
  <c r="R503" i="10"/>
  <c r="Q503" i="10"/>
  <c r="U502" i="10"/>
  <c r="T502" i="10"/>
  <c r="S502" i="10"/>
  <c r="R502" i="10"/>
  <c r="Q502" i="10"/>
  <c r="U501" i="10"/>
  <c r="T501" i="10"/>
  <c r="S501" i="10"/>
  <c r="R501" i="10"/>
  <c r="Q501" i="10"/>
  <c r="U500" i="10"/>
  <c r="T500" i="10"/>
  <c r="S500" i="10"/>
  <c r="R500" i="10"/>
  <c r="Q500" i="10"/>
  <c r="U499" i="10"/>
  <c r="T499" i="10"/>
  <c r="S499" i="10"/>
  <c r="R499" i="10"/>
  <c r="Q499" i="10"/>
  <c r="U498" i="10"/>
  <c r="T498" i="10"/>
  <c r="S498" i="10"/>
  <c r="R498" i="10"/>
  <c r="Q498" i="10"/>
  <c r="U497" i="10"/>
  <c r="T497" i="10"/>
  <c r="S497" i="10"/>
  <c r="R497" i="10"/>
  <c r="Q497" i="10"/>
  <c r="U496" i="10"/>
  <c r="T496" i="10"/>
  <c r="S496" i="10"/>
  <c r="R496" i="10"/>
  <c r="Q496" i="10"/>
  <c r="U495" i="10"/>
  <c r="T495" i="10"/>
  <c r="S495" i="10"/>
  <c r="R495" i="10"/>
  <c r="Q495" i="10"/>
  <c r="U494" i="10"/>
  <c r="T494" i="10"/>
  <c r="S494" i="10"/>
  <c r="R494" i="10"/>
  <c r="Q494" i="10"/>
  <c r="U493" i="10"/>
  <c r="T493" i="10"/>
  <c r="S493" i="10"/>
  <c r="R493" i="10"/>
  <c r="Q493" i="10"/>
  <c r="U492" i="10"/>
  <c r="T492" i="10"/>
  <c r="S492" i="10"/>
  <c r="R492" i="10"/>
  <c r="Q492" i="10"/>
  <c r="U491" i="10"/>
  <c r="T491" i="10"/>
  <c r="S491" i="10"/>
  <c r="R491" i="10"/>
  <c r="Q491" i="10"/>
  <c r="U490" i="10"/>
  <c r="T490" i="10"/>
  <c r="S490" i="10"/>
  <c r="R490" i="10"/>
  <c r="Q490" i="10"/>
  <c r="U488" i="10"/>
  <c r="T488" i="10"/>
  <c r="S488" i="10"/>
  <c r="R488" i="10"/>
  <c r="Q488" i="10"/>
  <c r="U487" i="10"/>
  <c r="T487" i="10"/>
  <c r="S487" i="10"/>
  <c r="R487" i="10"/>
  <c r="Q487" i="10"/>
  <c r="U486" i="10"/>
  <c r="T486" i="10"/>
  <c r="S486" i="10"/>
  <c r="R486" i="10"/>
  <c r="Q486" i="10"/>
  <c r="U485" i="10"/>
  <c r="T485" i="10"/>
  <c r="S485" i="10"/>
  <c r="R485" i="10"/>
  <c r="Q485" i="10"/>
  <c r="U484" i="10"/>
  <c r="T484" i="10"/>
  <c r="S484" i="10"/>
  <c r="R484" i="10"/>
  <c r="Q484" i="10"/>
  <c r="U483" i="10"/>
  <c r="T483" i="10"/>
  <c r="S483" i="10"/>
  <c r="R483" i="10"/>
  <c r="Q483" i="10"/>
  <c r="U482" i="10"/>
  <c r="T482" i="10"/>
  <c r="S482" i="10"/>
  <c r="R482" i="10"/>
  <c r="Q482" i="10"/>
  <c r="U481" i="10"/>
  <c r="T481" i="10"/>
  <c r="S481" i="10"/>
  <c r="R481" i="10"/>
  <c r="Q481" i="10"/>
  <c r="U480" i="10"/>
  <c r="T480" i="10"/>
  <c r="S480" i="10"/>
  <c r="R480" i="10"/>
  <c r="Q480" i="10"/>
  <c r="U479" i="10"/>
  <c r="T479" i="10"/>
  <c r="S479" i="10"/>
  <c r="R479" i="10"/>
  <c r="Q479" i="10"/>
  <c r="U478" i="10"/>
  <c r="T478" i="10"/>
  <c r="S478" i="10"/>
  <c r="R478" i="10"/>
  <c r="Q478" i="10"/>
  <c r="U477" i="10"/>
  <c r="T477" i="10"/>
  <c r="S477" i="10"/>
  <c r="R477" i="10"/>
  <c r="Q477" i="10"/>
  <c r="U476" i="10"/>
  <c r="T476" i="10"/>
  <c r="S476" i="10"/>
  <c r="R476" i="10"/>
  <c r="Q476" i="10"/>
  <c r="U475" i="10"/>
  <c r="T475" i="10"/>
  <c r="S475" i="10"/>
  <c r="R475" i="10"/>
  <c r="Q475" i="10"/>
  <c r="U474" i="10"/>
  <c r="T474" i="10"/>
  <c r="S474" i="10"/>
  <c r="R474" i="10"/>
  <c r="Q474" i="10"/>
  <c r="U473" i="10"/>
  <c r="T473" i="10"/>
  <c r="S473" i="10"/>
  <c r="R473" i="10"/>
  <c r="Q473" i="10"/>
  <c r="U472" i="10"/>
  <c r="T472" i="10"/>
  <c r="S472" i="10"/>
  <c r="R472" i="10"/>
  <c r="Q472" i="10"/>
  <c r="U471" i="10"/>
  <c r="T471" i="10"/>
  <c r="S471" i="10"/>
  <c r="R471" i="10"/>
  <c r="Q471" i="10"/>
  <c r="U470" i="10"/>
  <c r="T470" i="10"/>
  <c r="S470" i="10"/>
  <c r="R470" i="10"/>
  <c r="Q470" i="10"/>
  <c r="U469" i="10"/>
  <c r="T469" i="10"/>
  <c r="S469" i="10"/>
  <c r="R469" i="10"/>
  <c r="Q469" i="10"/>
  <c r="U468" i="10"/>
  <c r="T468" i="10"/>
  <c r="S468" i="10"/>
  <c r="R468" i="10"/>
  <c r="Q468" i="10"/>
  <c r="U467" i="10"/>
  <c r="T467" i="10"/>
  <c r="S467" i="10"/>
  <c r="R467" i="10"/>
  <c r="Q467" i="10"/>
  <c r="U466" i="10"/>
  <c r="T466" i="10"/>
  <c r="S466" i="10"/>
  <c r="R466" i="10"/>
  <c r="Q466" i="10"/>
  <c r="U465" i="10"/>
  <c r="T465" i="10"/>
  <c r="S465" i="10"/>
  <c r="R465" i="10"/>
  <c r="Q465" i="10"/>
  <c r="U464" i="10"/>
  <c r="T464" i="10"/>
  <c r="S464" i="10"/>
  <c r="R464" i="10"/>
  <c r="Q464" i="10"/>
  <c r="U463" i="10"/>
  <c r="T463" i="10"/>
  <c r="S463" i="10"/>
  <c r="R463" i="10"/>
  <c r="Q463" i="10"/>
  <c r="U462" i="10"/>
  <c r="T462" i="10"/>
  <c r="S462" i="10"/>
  <c r="R462" i="10"/>
  <c r="Q462" i="10"/>
  <c r="U461" i="10"/>
  <c r="T461" i="10"/>
  <c r="S461" i="10"/>
  <c r="R461" i="10"/>
  <c r="Q461" i="10"/>
  <c r="U460" i="10"/>
  <c r="T460" i="10"/>
  <c r="S460" i="10"/>
  <c r="R460" i="10"/>
  <c r="Q460" i="10"/>
  <c r="U459" i="10"/>
  <c r="T459" i="10"/>
  <c r="S459" i="10"/>
  <c r="R459" i="10"/>
  <c r="Q459" i="10"/>
  <c r="U458" i="10"/>
  <c r="T458" i="10"/>
  <c r="S458" i="10"/>
  <c r="R458" i="10"/>
  <c r="Q458" i="10"/>
  <c r="U457" i="10"/>
  <c r="T457" i="10"/>
  <c r="S457" i="10"/>
  <c r="R457" i="10"/>
  <c r="Q457" i="10"/>
  <c r="U456" i="10"/>
  <c r="T456" i="10"/>
  <c r="S456" i="10"/>
  <c r="R456" i="10"/>
  <c r="Q456" i="10"/>
  <c r="U455" i="10"/>
  <c r="T455" i="10"/>
  <c r="S455" i="10"/>
  <c r="R455" i="10"/>
  <c r="Q455" i="10"/>
  <c r="U454" i="10"/>
  <c r="T454" i="10"/>
  <c r="S454" i="10"/>
  <c r="R454" i="10"/>
  <c r="Q454" i="10"/>
  <c r="U453" i="10"/>
  <c r="T453" i="10"/>
  <c r="S453" i="10"/>
  <c r="R453" i="10"/>
  <c r="Q453" i="10"/>
  <c r="U451" i="10"/>
  <c r="T451" i="10"/>
  <c r="S451" i="10"/>
  <c r="R451" i="10"/>
  <c r="Q451" i="10"/>
  <c r="U450" i="10"/>
  <c r="T450" i="10"/>
  <c r="S450" i="10"/>
  <c r="R450" i="10"/>
  <c r="Q450" i="10"/>
  <c r="U449" i="10"/>
  <c r="T449" i="10"/>
  <c r="S449" i="10"/>
  <c r="R449" i="10"/>
  <c r="Q449" i="10"/>
  <c r="U448" i="10"/>
  <c r="T448" i="10"/>
  <c r="S448" i="10"/>
  <c r="R448" i="10"/>
  <c r="Q448" i="10"/>
  <c r="U447" i="10"/>
  <c r="T447" i="10"/>
  <c r="S447" i="10"/>
  <c r="R447" i="10"/>
  <c r="Q447" i="10"/>
  <c r="U446" i="10"/>
  <c r="T446" i="10"/>
  <c r="S446" i="10"/>
  <c r="R446" i="10"/>
  <c r="Q446" i="10"/>
  <c r="U445" i="10"/>
  <c r="T445" i="10"/>
  <c r="S445" i="10"/>
  <c r="R445" i="10"/>
  <c r="Q445" i="10"/>
  <c r="U444" i="10"/>
  <c r="T444" i="10"/>
  <c r="S444" i="10"/>
  <c r="R444" i="10"/>
  <c r="Q444" i="10"/>
  <c r="U443" i="10"/>
  <c r="T443" i="10"/>
  <c r="S443" i="10"/>
  <c r="R443" i="10"/>
  <c r="Q443" i="10"/>
  <c r="U442" i="10"/>
  <c r="T442" i="10"/>
  <c r="S442" i="10"/>
  <c r="R442" i="10"/>
  <c r="Q442" i="10"/>
  <c r="U441" i="10"/>
  <c r="T441" i="10"/>
  <c r="S441" i="10"/>
  <c r="R441" i="10"/>
  <c r="Q441" i="10"/>
  <c r="U440" i="10"/>
  <c r="T440" i="10"/>
  <c r="S440" i="10"/>
  <c r="R440" i="10"/>
  <c r="Q440" i="10"/>
  <c r="U439" i="10"/>
  <c r="T439" i="10"/>
  <c r="S439" i="10"/>
  <c r="R439" i="10"/>
  <c r="Q439" i="10"/>
  <c r="U438" i="10"/>
  <c r="T438" i="10"/>
  <c r="S438" i="10"/>
  <c r="R438" i="10"/>
  <c r="Q438" i="10"/>
  <c r="U437" i="10"/>
  <c r="T437" i="10"/>
  <c r="S437" i="10"/>
  <c r="R437" i="10"/>
  <c r="Q437" i="10"/>
  <c r="U436" i="10"/>
  <c r="T436" i="10"/>
  <c r="S436" i="10"/>
  <c r="R436" i="10"/>
  <c r="Q436" i="10"/>
  <c r="U435" i="10"/>
  <c r="T435" i="10"/>
  <c r="S435" i="10"/>
  <c r="R435" i="10"/>
  <c r="Q435" i="10"/>
  <c r="U434" i="10"/>
  <c r="T434" i="10"/>
  <c r="S434" i="10"/>
  <c r="R434" i="10"/>
  <c r="Q434" i="10"/>
  <c r="U433" i="10"/>
  <c r="T433" i="10"/>
  <c r="S433" i="10"/>
  <c r="R433" i="10"/>
  <c r="Q433" i="10"/>
  <c r="U432" i="10"/>
  <c r="T432" i="10"/>
  <c r="S432" i="10"/>
  <c r="R432" i="10"/>
  <c r="Q432" i="10"/>
  <c r="U431" i="10"/>
  <c r="T431" i="10"/>
  <c r="S431" i="10"/>
  <c r="R431" i="10"/>
  <c r="Q431" i="10"/>
  <c r="U430" i="10"/>
  <c r="T430" i="10"/>
  <c r="S430" i="10"/>
  <c r="R430" i="10"/>
  <c r="Q430" i="10"/>
  <c r="U429" i="10"/>
  <c r="T429" i="10"/>
  <c r="S429" i="10"/>
  <c r="R429" i="10"/>
  <c r="Q429" i="10"/>
  <c r="U428" i="10"/>
  <c r="T428" i="10"/>
  <c r="S428" i="10"/>
  <c r="R428" i="10"/>
  <c r="Q428" i="10"/>
  <c r="U427" i="10"/>
  <c r="T427" i="10"/>
  <c r="S427" i="10"/>
  <c r="R427" i="10"/>
  <c r="Q427" i="10"/>
  <c r="U426" i="10"/>
  <c r="T426" i="10"/>
  <c r="S426" i="10"/>
  <c r="R426" i="10"/>
  <c r="Q426" i="10"/>
  <c r="U425" i="10"/>
  <c r="T425" i="10"/>
  <c r="S425" i="10"/>
  <c r="R425" i="10"/>
  <c r="Q425" i="10"/>
  <c r="U424" i="10"/>
  <c r="T424" i="10"/>
  <c r="S424" i="10"/>
  <c r="R424" i="10"/>
  <c r="Q424" i="10"/>
  <c r="U423" i="10"/>
  <c r="T423" i="10"/>
  <c r="S423" i="10"/>
  <c r="R423" i="10"/>
  <c r="Q423" i="10"/>
  <c r="U422" i="10"/>
  <c r="T422" i="10"/>
  <c r="S422" i="10"/>
  <c r="R422" i="10"/>
  <c r="Q422" i="10"/>
  <c r="U421" i="10"/>
  <c r="T421" i="10"/>
  <c r="S421" i="10"/>
  <c r="R421" i="10"/>
  <c r="Q421" i="10"/>
  <c r="U420" i="10"/>
  <c r="T420" i="10"/>
  <c r="S420" i="10"/>
  <c r="R420" i="10"/>
  <c r="Q420" i="10"/>
  <c r="U419" i="10"/>
  <c r="T419" i="10"/>
  <c r="S419" i="10"/>
  <c r="R419" i="10"/>
  <c r="Q419" i="10"/>
  <c r="U418" i="10"/>
  <c r="T418" i="10"/>
  <c r="S418" i="10"/>
  <c r="R418" i="10"/>
  <c r="Q418" i="10"/>
  <c r="U417" i="10"/>
  <c r="T417" i="10"/>
  <c r="S417" i="10"/>
  <c r="R417" i="10"/>
  <c r="Q417" i="10"/>
  <c r="U416" i="10"/>
  <c r="T416" i="10"/>
  <c r="S416" i="10"/>
  <c r="R416" i="10"/>
  <c r="Q416" i="10"/>
  <c r="U414" i="10"/>
  <c r="T414" i="10"/>
  <c r="S414" i="10"/>
  <c r="R414" i="10"/>
  <c r="Q414" i="10"/>
  <c r="U413" i="10"/>
  <c r="T413" i="10"/>
  <c r="S413" i="10"/>
  <c r="R413" i="10"/>
  <c r="Q413" i="10"/>
  <c r="U412" i="10"/>
  <c r="T412" i="10"/>
  <c r="S412" i="10"/>
  <c r="R412" i="10"/>
  <c r="Q412" i="10"/>
  <c r="U411" i="10"/>
  <c r="T411" i="10"/>
  <c r="S411" i="10"/>
  <c r="R411" i="10"/>
  <c r="Q411" i="10"/>
  <c r="U410" i="10"/>
  <c r="T410" i="10"/>
  <c r="S410" i="10"/>
  <c r="R410" i="10"/>
  <c r="Q410" i="10"/>
  <c r="U409" i="10"/>
  <c r="T409" i="10"/>
  <c r="S409" i="10"/>
  <c r="R409" i="10"/>
  <c r="Q409" i="10"/>
  <c r="U408" i="10"/>
  <c r="T408" i="10"/>
  <c r="S408" i="10"/>
  <c r="R408" i="10"/>
  <c r="Q408" i="10"/>
  <c r="U407" i="10"/>
  <c r="T407" i="10"/>
  <c r="S407" i="10"/>
  <c r="R407" i="10"/>
  <c r="Q407" i="10"/>
  <c r="U406" i="10"/>
  <c r="T406" i="10"/>
  <c r="S406" i="10"/>
  <c r="R406" i="10"/>
  <c r="Q406" i="10"/>
  <c r="U405" i="10"/>
  <c r="T405" i="10"/>
  <c r="S405" i="10"/>
  <c r="R405" i="10"/>
  <c r="Q405" i="10"/>
  <c r="U404" i="10"/>
  <c r="T404" i="10"/>
  <c r="S404" i="10"/>
  <c r="R404" i="10"/>
  <c r="Q404" i="10"/>
  <c r="U403" i="10"/>
  <c r="T403" i="10"/>
  <c r="S403" i="10"/>
  <c r="R403" i="10"/>
  <c r="Q403" i="10"/>
  <c r="U402" i="10"/>
  <c r="T402" i="10"/>
  <c r="S402" i="10"/>
  <c r="R402" i="10"/>
  <c r="Q402" i="10"/>
  <c r="U401" i="10"/>
  <c r="T401" i="10"/>
  <c r="S401" i="10"/>
  <c r="R401" i="10"/>
  <c r="Q401" i="10"/>
  <c r="U400" i="10"/>
  <c r="T400" i="10"/>
  <c r="S400" i="10"/>
  <c r="R400" i="10"/>
  <c r="Q400" i="10"/>
  <c r="U399" i="10"/>
  <c r="T399" i="10"/>
  <c r="S399" i="10"/>
  <c r="R399" i="10"/>
  <c r="Q399" i="10"/>
  <c r="U398" i="10"/>
  <c r="T398" i="10"/>
  <c r="S398" i="10"/>
  <c r="R398" i="10"/>
  <c r="Q398" i="10"/>
  <c r="U397" i="10"/>
  <c r="T397" i="10"/>
  <c r="S397" i="10"/>
  <c r="R397" i="10"/>
  <c r="Q397" i="10"/>
  <c r="U396" i="10"/>
  <c r="T396" i="10"/>
  <c r="S396" i="10"/>
  <c r="R396" i="10"/>
  <c r="Q396" i="10"/>
  <c r="U395" i="10"/>
  <c r="T395" i="10"/>
  <c r="S395" i="10"/>
  <c r="R395" i="10"/>
  <c r="Q395" i="10"/>
  <c r="U394" i="10"/>
  <c r="T394" i="10"/>
  <c r="S394" i="10"/>
  <c r="R394" i="10"/>
  <c r="Q394" i="10"/>
  <c r="U393" i="10"/>
  <c r="T393" i="10"/>
  <c r="S393" i="10"/>
  <c r="R393" i="10"/>
  <c r="Q393" i="10"/>
  <c r="U392" i="10"/>
  <c r="T392" i="10"/>
  <c r="S392" i="10"/>
  <c r="R392" i="10"/>
  <c r="Q392" i="10"/>
  <c r="U391" i="10"/>
  <c r="T391" i="10"/>
  <c r="S391" i="10"/>
  <c r="R391" i="10"/>
  <c r="Q391" i="10"/>
  <c r="U390" i="10"/>
  <c r="T390" i="10"/>
  <c r="S390" i="10"/>
  <c r="R390" i="10"/>
  <c r="Q390" i="10"/>
  <c r="U389" i="10"/>
  <c r="T389" i="10"/>
  <c r="S389" i="10"/>
  <c r="R389" i="10"/>
  <c r="Q389" i="10"/>
  <c r="U388" i="10"/>
  <c r="T388" i="10"/>
  <c r="S388" i="10"/>
  <c r="R388" i="10"/>
  <c r="Q388" i="10"/>
  <c r="U387" i="10"/>
  <c r="T387" i="10"/>
  <c r="S387" i="10"/>
  <c r="R387" i="10"/>
  <c r="Q387" i="10"/>
  <c r="U386" i="10"/>
  <c r="T386" i="10"/>
  <c r="S386" i="10"/>
  <c r="R386" i="10"/>
  <c r="Q386" i="10"/>
  <c r="U385" i="10"/>
  <c r="T385" i="10"/>
  <c r="S385" i="10"/>
  <c r="R385" i="10"/>
  <c r="Q385" i="10"/>
  <c r="U384" i="10"/>
  <c r="T384" i="10"/>
  <c r="S384" i="10"/>
  <c r="R384" i="10"/>
  <c r="Q384" i="10"/>
  <c r="U383" i="10"/>
  <c r="T383" i="10"/>
  <c r="S383" i="10"/>
  <c r="R383" i="10"/>
  <c r="Q383" i="10"/>
  <c r="U382" i="10"/>
  <c r="T382" i="10"/>
  <c r="S382" i="10"/>
  <c r="R382" i="10"/>
  <c r="Q382" i="10"/>
  <c r="U381" i="10"/>
  <c r="T381" i="10"/>
  <c r="S381" i="10"/>
  <c r="R381" i="10"/>
  <c r="Q381" i="10"/>
  <c r="U380" i="10"/>
  <c r="T380" i="10"/>
  <c r="S380" i="10"/>
  <c r="R380" i="10"/>
  <c r="Q380" i="10"/>
  <c r="U379" i="10"/>
  <c r="T379" i="10"/>
  <c r="S379" i="10"/>
  <c r="R379" i="10"/>
  <c r="Q379" i="10"/>
  <c r="U377" i="10"/>
  <c r="T377" i="10"/>
  <c r="S377" i="10"/>
  <c r="R377" i="10"/>
  <c r="Q377" i="10"/>
  <c r="U376" i="10"/>
  <c r="T376" i="10"/>
  <c r="S376" i="10"/>
  <c r="R376" i="10"/>
  <c r="Q376" i="10"/>
  <c r="U375" i="10"/>
  <c r="T375" i="10"/>
  <c r="S375" i="10"/>
  <c r="R375" i="10"/>
  <c r="Q375" i="10"/>
  <c r="U374" i="10"/>
  <c r="T374" i="10"/>
  <c r="S374" i="10"/>
  <c r="R374" i="10"/>
  <c r="Q374" i="10"/>
  <c r="U373" i="10"/>
  <c r="T373" i="10"/>
  <c r="S373" i="10"/>
  <c r="R373" i="10"/>
  <c r="Q373" i="10"/>
  <c r="U372" i="10"/>
  <c r="T372" i="10"/>
  <c r="S372" i="10"/>
  <c r="R372" i="10"/>
  <c r="Q372" i="10"/>
  <c r="U371" i="10"/>
  <c r="T371" i="10"/>
  <c r="S371" i="10"/>
  <c r="R371" i="10"/>
  <c r="Q371" i="10"/>
  <c r="U370" i="10"/>
  <c r="T370" i="10"/>
  <c r="S370" i="10"/>
  <c r="R370" i="10"/>
  <c r="Q370" i="10"/>
  <c r="U369" i="10"/>
  <c r="T369" i="10"/>
  <c r="S369" i="10"/>
  <c r="R369" i="10"/>
  <c r="Q369" i="10"/>
  <c r="U368" i="10"/>
  <c r="T368" i="10"/>
  <c r="S368" i="10"/>
  <c r="R368" i="10"/>
  <c r="Q368" i="10"/>
  <c r="U367" i="10"/>
  <c r="T367" i="10"/>
  <c r="S367" i="10"/>
  <c r="R367" i="10"/>
  <c r="Q367" i="10"/>
  <c r="U366" i="10"/>
  <c r="T366" i="10"/>
  <c r="S366" i="10"/>
  <c r="R366" i="10"/>
  <c r="Q366" i="10"/>
  <c r="U365" i="10"/>
  <c r="T365" i="10"/>
  <c r="S365" i="10"/>
  <c r="R365" i="10"/>
  <c r="Q365" i="10"/>
  <c r="U364" i="10"/>
  <c r="T364" i="10"/>
  <c r="S364" i="10"/>
  <c r="R364" i="10"/>
  <c r="Q364" i="10"/>
  <c r="U363" i="10"/>
  <c r="T363" i="10"/>
  <c r="S363" i="10"/>
  <c r="R363" i="10"/>
  <c r="Q363" i="10"/>
  <c r="U362" i="10"/>
  <c r="T362" i="10"/>
  <c r="S362" i="10"/>
  <c r="R362" i="10"/>
  <c r="Q362" i="10"/>
  <c r="U361" i="10"/>
  <c r="T361" i="10"/>
  <c r="S361" i="10"/>
  <c r="R361" i="10"/>
  <c r="Q361" i="10"/>
  <c r="U360" i="10"/>
  <c r="T360" i="10"/>
  <c r="S360" i="10"/>
  <c r="R360" i="10"/>
  <c r="Q360" i="10"/>
  <c r="U359" i="10"/>
  <c r="T359" i="10"/>
  <c r="S359" i="10"/>
  <c r="R359" i="10"/>
  <c r="Q359" i="10"/>
  <c r="U358" i="10"/>
  <c r="T358" i="10"/>
  <c r="S358" i="10"/>
  <c r="R358" i="10"/>
  <c r="Q358" i="10"/>
  <c r="U357" i="10"/>
  <c r="T357" i="10"/>
  <c r="S357" i="10"/>
  <c r="R357" i="10"/>
  <c r="Q357" i="10"/>
  <c r="U356" i="10"/>
  <c r="T356" i="10"/>
  <c r="S356" i="10"/>
  <c r="R356" i="10"/>
  <c r="Q356" i="10"/>
  <c r="U355" i="10"/>
  <c r="T355" i="10"/>
  <c r="S355" i="10"/>
  <c r="R355" i="10"/>
  <c r="Q355" i="10"/>
  <c r="U354" i="10"/>
  <c r="T354" i="10"/>
  <c r="S354" i="10"/>
  <c r="R354" i="10"/>
  <c r="Q354" i="10"/>
  <c r="U353" i="10"/>
  <c r="T353" i="10"/>
  <c r="S353" i="10"/>
  <c r="R353" i="10"/>
  <c r="Q353" i="10"/>
  <c r="U352" i="10"/>
  <c r="T352" i="10"/>
  <c r="S352" i="10"/>
  <c r="R352" i="10"/>
  <c r="Q352" i="10"/>
  <c r="U351" i="10"/>
  <c r="T351" i="10"/>
  <c r="S351" i="10"/>
  <c r="R351" i="10"/>
  <c r="Q351" i="10"/>
  <c r="U350" i="10"/>
  <c r="T350" i="10"/>
  <c r="S350" i="10"/>
  <c r="R350" i="10"/>
  <c r="Q350" i="10"/>
  <c r="U349" i="10"/>
  <c r="T349" i="10"/>
  <c r="S349" i="10"/>
  <c r="R349" i="10"/>
  <c r="Q349" i="10"/>
  <c r="U348" i="10"/>
  <c r="T348" i="10"/>
  <c r="S348" i="10"/>
  <c r="R348" i="10"/>
  <c r="Q348" i="10"/>
  <c r="U347" i="10"/>
  <c r="T347" i="10"/>
  <c r="S347" i="10"/>
  <c r="R347" i="10"/>
  <c r="Q347" i="10"/>
  <c r="U346" i="10"/>
  <c r="T346" i="10"/>
  <c r="S346" i="10"/>
  <c r="R346" i="10"/>
  <c r="Q346" i="10"/>
  <c r="U345" i="10"/>
  <c r="T345" i="10"/>
  <c r="S345" i="10"/>
  <c r="R345" i="10"/>
  <c r="Q345" i="10"/>
  <c r="U344" i="10"/>
  <c r="T344" i="10"/>
  <c r="S344" i="10"/>
  <c r="R344" i="10"/>
  <c r="Q344" i="10"/>
  <c r="U343" i="10"/>
  <c r="T343" i="10"/>
  <c r="S343" i="10"/>
  <c r="R343" i="10"/>
  <c r="Q343" i="10"/>
  <c r="U342" i="10"/>
  <c r="T342" i="10"/>
  <c r="S342" i="10"/>
  <c r="R342" i="10"/>
  <c r="Q342" i="10"/>
  <c r="U340" i="10"/>
  <c r="T340" i="10"/>
  <c r="S340" i="10"/>
  <c r="R340" i="10"/>
  <c r="Q340" i="10"/>
  <c r="U339" i="10"/>
  <c r="T339" i="10"/>
  <c r="S339" i="10"/>
  <c r="R339" i="10"/>
  <c r="Q339" i="10"/>
  <c r="U338" i="10"/>
  <c r="T338" i="10"/>
  <c r="S338" i="10"/>
  <c r="R338" i="10"/>
  <c r="Q338" i="10"/>
  <c r="U337" i="10"/>
  <c r="T337" i="10"/>
  <c r="S337" i="10"/>
  <c r="R337" i="10"/>
  <c r="Q337" i="10"/>
  <c r="U336" i="10"/>
  <c r="T336" i="10"/>
  <c r="S336" i="10"/>
  <c r="R336" i="10"/>
  <c r="Q336" i="10"/>
  <c r="U335" i="10"/>
  <c r="T335" i="10"/>
  <c r="S335" i="10"/>
  <c r="R335" i="10"/>
  <c r="Q335" i="10"/>
  <c r="U334" i="10"/>
  <c r="T334" i="10"/>
  <c r="S334" i="10"/>
  <c r="R334" i="10"/>
  <c r="Q334" i="10"/>
  <c r="U333" i="10"/>
  <c r="T333" i="10"/>
  <c r="S333" i="10"/>
  <c r="R333" i="10"/>
  <c r="Q333" i="10"/>
  <c r="U332" i="10"/>
  <c r="T332" i="10"/>
  <c r="S332" i="10"/>
  <c r="R332" i="10"/>
  <c r="Q332" i="10"/>
  <c r="U331" i="10"/>
  <c r="T331" i="10"/>
  <c r="S331" i="10"/>
  <c r="R331" i="10"/>
  <c r="Q331" i="10"/>
  <c r="U330" i="10"/>
  <c r="T330" i="10"/>
  <c r="S330" i="10"/>
  <c r="R330" i="10"/>
  <c r="Q330" i="10"/>
  <c r="U329" i="10"/>
  <c r="T329" i="10"/>
  <c r="S329" i="10"/>
  <c r="R329" i="10"/>
  <c r="Q329" i="10"/>
  <c r="U328" i="10"/>
  <c r="T328" i="10"/>
  <c r="S328" i="10"/>
  <c r="R328" i="10"/>
  <c r="Q328" i="10"/>
  <c r="U327" i="10"/>
  <c r="T327" i="10"/>
  <c r="S327" i="10"/>
  <c r="R327" i="10"/>
  <c r="Q327" i="10"/>
  <c r="U326" i="10"/>
  <c r="T326" i="10"/>
  <c r="S326" i="10"/>
  <c r="R326" i="10"/>
  <c r="Q326" i="10"/>
  <c r="U325" i="10"/>
  <c r="T325" i="10"/>
  <c r="S325" i="10"/>
  <c r="R325" i="10"/>
  <c r="Q325" i="10"/>
  <c r="U324" i="10"/>
  <c r="T324" i="10"/>
  <c r="S324" i="10"/>
  <c r="R324" i="10"/>
  <c r="Q324" i="10"/>
  <c r="U323" i="10"/>
  <c r="T323" i="10"/>
  <c r="S323" i="10"/>
  <c r="R323" i="10"/>
  <c r="Q323" i="10"/>
  <c r="U322" i="10"/>
  <c r="T322" i="10"/>
  <c r="S322" i="10"/>
  <c r="R322" i="10"/>
  <c r="Q322" i="10"/>
  <c r="U321" i="10"/>
  <c r="T321" i="10"/>
  <c r="S321" i="10"/>
  <c r="R321" i="10"/>
  <c r="Q321" i="10"/>
  <c r="U320" i="10"/>
  <c r="T320" i="10"/>
  <c r="S320" i="10"/>
  <c r="R320" i="10"/>
  <c r="Q320" i="10"/>
  <c r="U319" i="10"/>
  <c r="T319" i="10"/>
  <c r="S319" i="10"/>
  <c r="R319" i="10"/>
  <c r="Q319" i="10"/>
  <c r="U318" i="10"/>
  <c r="T318" i="10"/>
  <c r="S318" i="10"/>
  <c r="R318" i="10"/>
  <c r="Q318" i="10"/>
  <c r="U317" i="10"/>
  <c r="T317" i="10"/>
  <c r="S317" i="10"/>
  <c r="R317" i="10"/>
  <c r="Q317" i="10"/>
  <c r="U316" i="10"/>
  <c r="T316" i="10"/>
  <c r="S316" i="10"/>
  <c r="R316" i="10"/>
  <c r="Q316" i="10"/>
  <c r="U315" i="10"/>
  <c r="T315" i="10"/>
  <c r="S315" i="10"/>
  <c r="R315" i="10"/>
  <c r="Q315" i="10"/>
  <c r="U314" i="10"/>
  <c r="T314" i="10"/>
  <c r="S314" i="10"/>
  <c r="R314" i="10"/>
  <c r="Q314" i="10"/>
  <c r="U313" i="10"/>
  <c r="T313" i="10"/>
  <c r="S313" i="10"/>
  <c r="R313" i="10"/>
  <c r="Q313" i="10"/>
  <c r="U312" i="10"/>
  <c r="T312" i="10"/>
  <c r="S312" i="10"/>
  <c r="R312" i="10"/>
  <c r="Q312" i="10"/>
  <c r="U311" i="10"/>
  <c r="T311" i="10"/>
  <c r="S311" i="10"/>
  <c r="R311" i="10"/>
  <c r="Q311" i="10"/>
  <c r="U310" i="10"/>
  <c r="T310" i="10"/>
  <c r="S310" i="10"/>
  <c r="R310" i="10"/>
  <c r="Q310" i="10"/>
  <c r="U309" i="10"/>
  <c r="T309" i="10"/>
  <c r="S309" i="10"/>
  <c r="R309" i="10"/>
  <c r="Q309" i="10"/>
  <c r="U308" i="10"/>
  <c r="T308" i="10"/>
  <c r="S308" i="10"/>
  <c r="R308" i="10"/>
  <c r="Q308" i="10"/>
  <c r="U307" i="10"/>
  <c r="T307" i="10"/>
  <c r="S307" i="10"/>
  <c r="R307" i="10"/>
  <c r="Q307" i="10"/>
  <c r="U306" i="10"/>
  <c r="T306" i="10"/>
  <c r="S306" i="10"/>
  <c r="R306" i="10"/>
  <c r="Q306" i="10"/>
  <c r="U305" i="10"/>
  <c r="T305" i="10"/>
  <c r="S305" i="10"/>
  <c r="R305" i="10"/>
  <c r="Q305" i="10"/>
  <c r="U303" i="10"/>
  <c r="T303" i="10"/>
  <c r="S303" i="10"/>
  <c r="R303" i="10"/>
  <c r="Q303" i="10"/>
  <c r="U302" i="10"/>
  <c r="T302" i="10"/>
  <c r="S302" i="10"/>
  <c r="R302" i="10"/>
  <c r="Q302" i="10"/>
  <c r="U301" i="10"/>
  <c r="T301" i="10"/>
  <c r="S301" i="10"/>
  <c r="R301" i="10"/>
  <c r="Q301" i="10"/>
  <c r="U300" i="10"/>
  <c r="T300" i="10"/>
  <c r="S300" i="10"/>
  <c r="R300" i="10"/>
  <c r="Q300" i="10"/>
  <c r="U299" i="10"/>
  <c r="T299" i="10"/>
  <c r="S299" i="10"/>
  <c r="R299" i="10"/>
  <c r="Q299" i="10"/>
  <c r="U298" i="10"/>
  <c r="T298" i="10"/>
  <c r="S298" i="10"/>
  <c r="R298" i="10"/>
  <c r="Q298" i="10"/>
  <c r="U297" i="10"/>
  <c r="T297" i="10"/>
  <c r="S297" i="10"/>
  <c r="R297" i="10"/>
  <c r="Q297" i="10"/>
  <c r="U296" i="10"/>
  <c r="T296" i="10"/>
  <c r="S296" i="10"/>
  <c r="R296" i="10"/>
  <c r="Q296" i="10"/>
  <c r="U295" i="10"/>
  <c r="T295" i="10"/>
  <c r="S295" i="10"/>
  <c r="R295" i="10"/>
  <c r="Q295" i="10"/>
  <c r="U294" i="10"/>
  <c r="T294" i="10"/>
  <c r="S294" i="10"/>
  <c r="R294" i="10"/>
  <c r="Q294" i="10"/>
  <c r="U293" i="10"/>
  <c r="T293" i="10"/>
  <c r="S293" i="10"/>
  <c r="R293" i="10"/>
  <c r="Q293" i="10"/>
  <c r="U292" i="10"/>
  <c r="T292" i="10"/>
  <c r="S292" i="10"/>
  <c r="R292" i="10"/>
  <c r="Q292" i="10"/>
  <c r="U291" i="10"/>
  <c r="T291" i="10"/>
  <c r="S291" i="10"/>
  <c r="R291" i="10"/>
  <c r="Q291" i="10"/>
  <c r="U290" i="10"/>
  <c r="T290" i="10"/>
  <c r="S290" i="10"/>
  <c r="R290" i="10"/>
  <c r="Q290" i="10"/>
  <c r="U289" i="10"/>
  <c r="T289" i="10"/>
  <c r="S289" i="10"/>
  <c r="R289" i="10"/>
  <c r="Q289" i="10"/>
  <c r="U288" i="10"/>
  <c r="T288" i="10"/>
  <c r="S288" i="10"/>
  <c r="R288" i="10"/>
  <c r="Q288" i="10"/>
  <c r="U287" i="10"/>
  <c r="T287" i="10"/>
  <c r="S287" i="10"/>
  <c r="R287" i="10"/>
  <c r="Q287" i="10"/>
  <c r="U286" i="10"/>
  <c r="T286" i="10"/>
  <c r="S286" i="10"/>
  <c r="R286" i="10"/>
  <c r="Q286" i="10"/>
  <c r="U285" i="10"/>
  <c r="T285" i="10"/>
  <c r="S285" i="10"/>
  <c r="R285" i="10"/>
  <c r="Q285" i="10"/>
  <c r="U284" i="10"/>
  <c r="T284" i="10"/>
  <c r="S284" i="10"/>
  <c r="R284" i="10"/>
  <c r="Q284" i="10"/>
  <c r="U283" i="10"/>
  <c r="T283" i="10"/>
  <c r="S283" i="10"/>
  <c r="R283" i="10"/>
  <c r="Q283" i="10"/>
  <c r="U282" i="10"/>
  <c r="T282" i="10"/>
  <c r="S282" i="10"/>
  <c r="R282" i="10"/>
  <c r="Q282" i="10"/>
  <c r="U281" i="10"/>
  <c r="T281" i="10"/>
  <c r="S281" i="10"/>
  <c r="R281" i="10"/>
  <c r="Q281" i="10"/>
  <c r="U280" i="10"/>
  <c r="T280" i="10"/>
  <c r="S280" i="10"/>
  <c r="R280" i="10"/>
  <c r="Q280" i="10"/>
  <c r="U279" i="10"/>
  <c r="T279" i="10"/>
  <c r="S279" i="10"/>
  <c r="R279" i="10"/>
  <c r="Q279" i="10"/>
  <c r="U278" i="10"/>
  <c r="T278" i="10"/>
  <c r="S278" i="10"/>
  <c r="R278" i="10"/>
  <c r="Q278" i="10"/>
  <c r="U277" i="10"/>
  <c r="T277" i="10"/>
  <c r="S277" i="10"/>
  <c r="R277" i="10"/>
  <c r="Q277" i="10"/>
  <c r="U276" i="10"/>
  <c r="T276" i="10"/>
  <c r="S276" i="10"/>
  <c r="R276" i="10"/>
  <c r="Q276" i="10"/>
  <c r="U275" i="10"/>
  <c r="T275" i="10"/>
  <c r="S275" i="10"/>
  <c r="R275" i="10"/>
  <c r="Q275" i="10"/>
  <c r="U274" i="10"/>
  <c r="T274" i="10"/>
  <c r="S274" i="10"/>
  <c r="R274" i="10"/>
  <c r="Q274" i="10"/>
  <c r="U273" i="10"/>
  <c r="T273" i="10"/>
  <c r="S273" i="10"/>
  <c r="R273" i="10"/>
  <c r="Q273" i="10"/>
  <c r="U272" i="10"/>
  <c r="T272" i="10"/>
  <c r="S272" i="10"/>
  <c r="R272" i="10"/>
  <c r="Q272" i="10"/>
  <c r="U271" i="10"/>
  <c r="T271" i="10"/>
  <c r="S271" i="10"/>
  <c r="R271" i="10"/>
  <c r="Q271" i="10"/>
  <c r="U270" i="10"/>
  <c r="T270" i="10"/>
  <c r="S270" i="10"/>
  <c r="R270" i="10"/>
  <c r="Q270" i="10"/>
  <c r="U269" i="10"/>
  <c r="T269" i="10"/>
  <c r="S269" i="10"/>
  <c r="R269" i="10"/>
  <c r="Q269" i="10"/>
  <c r="U268" i="10"/>
  <c r="T268" i="10"/>
  <c r="S268" i="10"/>
  <c r="R268" i="10"/>
  <c r="Q268" i="10"/>
  <c r="U266" i="10"/>
  <c r="T266" i="10"/>
  <c r="S266" i="10"/>
  <c r="R266" i="10"/>
  <c r="Q266" i="10"/>
  <c r="U265" i="10"/>
  <c r="T265" i="10"/>
  <c r="S265" i="10"/>
  <c r="R265" i="10"/>
  <c r="Q265" i="10"/>
  <c r="U264" i="10"/>
  <c r="T264" i="10"/>
  <c r="S264" i="10"/>
  <c r="R264" i="10"/>
  <c r="Q264" i="10"/>
  <c r="U263" i="10"/>
  <c r="T263" i="10"/>
  <c r="S263" i="10"/>
  <c r="R263" i="10"/>
  <c r="Q263" i="10"/>
  <c r="U262" i="10"/>
  <c r="T262" i="10"/>
  <c r="S262" i="10"/>
  <c r="R262" i="10"/>
  <c r="Q262" i="10"/>
  <c r="U261" i="10"/>
  <c r="T261" i="10"/>
  <c r="S261" i="10"/>
  <c r="R261" i="10"/>
  <c r="Q261" i="10"/>
  <c r="U260" i="10"/>
  <c r="T260" i="10"/>
  <c r="S260" i="10"/>
  <c r="R260" i="10"/>
  <c r="Q260" i="10"/>
  <c r="U259" i="10"/>
  <c r="T259" i="10"/>
  <c r="S259" i="10"/>
  <c r="R259" i="10"/>
  <c r="Q259" i="10"/>
  <c r="U258" i="10"/>
  <c r="T258" i="10"/>
  <c r="S258" i="10"/>
  <c r="R258" i="10"/>
  <c r="Q258" i="10"/>
  <c r="U257" i="10"/>
  <c r="T257" i="10"/>
  <c r="S257" i="10"/>
  <c r="R257" i="10"/>
  <c r="Q257" i="10"/>
  <c r="U256" i="10"/>
  <c r="T256" i="10"/>
  <c r="S256" i="10"/>
  <c r="R256" i="10"/>
  <c r="Q256" i="10"/>
  <c r="U255" i="10"/>
  <c r="T255" i="10"/>
  <c r="S255" i="10"/>
  <c r="R255" i="10"/>
  <c r="Q255" i="10"/>
  <c r="U254" i="10"/>
  <c r="T254" i="10"/>
  <c r="S254" i="10"/>
  <c r="R254" i="10"/>
  <c r="Q254" i="10"/>
  <c r="U253" i="10"/>
  <c r="T253" i="10"/>
  <c r="S253" i="10"/>
  <c r="R253" i="10"/>
  <c r="Q253" i="10"/>
  <c r="U252" i="10"/>
  <c r="T252" i="10"/>
  <c r="S252" i="10"/>
  <c r="R252" i="10"/>
  <c r="Q252" i="10"/>
  <c r="U251" i="10"/>
  <c r="T251" i="10"/>
  <c r="S251" i="10"/>
  <c r="R251" i="10"/>
  <c r="Q251" i="10"/>
  <c r="U250" i="10"/>
  <c r="T250" i="10"/>
  <c r="S250" i="10"/>
  <c r="R250" i="10"/>
  <c r="Q250" i="10"/>
  <c r="U249" i="10"/>
  <c r="T249" i="10"/>
  <c r="S249" i="10"/>
  <c r="R249" i="10"/>
  <c r="Q249" i="10"/>
  <c r="U248" i="10"/>
  <c r="T248" i="10"/>
  <c r="S248" i="10"/>
  <c r="R248" i="10"/>
  <c r="Q248" i="10"/>
  <c r="U247" i="10"/>
  <c r="T247" i="10"/>
  <c r="S247" i="10"/>
  <c r="R247" i="10"/>
  <c r="Q247" i="10"/>
  <c r="U246" i="10"/>
  <c r="T246" i="10"/>
  <c r="S246" i="10"/>
  <c r="R246" i="10"/>
  <c r="Q246" i="10"/>
  <c r="U245" i="10"/>
  <c r="T245" i="10"/>
  <c r="S245" i="10"/>
  <c r="R245" i="10"/>
  <c r="Q245" i="10"/>
  <c r="U244" i="10"/>
  <c r="T244" i="10"/>
  <c r="S244" i="10"/>
  <c r="R244" i="10"/>
  <c r="Q244" i="10"/>
  <c r="U243" i="10"/>
  <c r="T243" i="10"/>
  <c r="S243" i="10"/>
  <c r="R243" i="10"/>
  <c r="Q243" i="10"/>
  <c r="U242" i="10"/>
  <c r="T242" i="10"/>
  <c r="S242" i="10"/>
  <c r="R242" i="10"/>
  <c r="Q242" i="10"/>
  <c r="U241" i="10"/>
  <c r="T241" i="10"/>
  <c r="S241" i="10"/>
  <c r="R241" i="10"/>
  <c r="Q241" i="10"/>
  <c r="U240" i="10"/>
  <c r="T240" i="10"/>
  <c r="S240" i="10"/>
  <c r="R240" i="10"/>
  <c r="Q240" i="10"/>
  <c r="U239" i="10"/>
  <c r="T239" i="10"/>
  <c r="S239" i="10"/>
  <c r="R239" i="10"/>
  <c r="Q239" i="10"/>
  <c r="U238" i="10"/>
  <c r="T238" i="10"/>
  <c r="S238" i="10"/>
  <c r="R238" i="10"/>
  <c r="Q238" i="10"/>
  <c r="U237" i="10"/>
  <c r="T237" i="10"/>
  <c r="S237" i="10"/>
  <c r="R237" i="10"/>
  <c r="Q237" i="10"/>
  <c r="U236" i="10"/>
  <c r="T236" i="10"/>
  <c r="S236" i="10"/>
  <c r="R236" i="10"/>
  <c r="Q236" i="10"/>
  <c r="U235" i="10"/>
  <c r="T235" i="10"/>
  <c r="S235" i="10"/>
  <c r="R235" i="10"/>
  <c r="Q235" i="10"/>
  <c r="U234" i="10"/>
  <c r="T234" i="10"/>
  <c r="S234" i="10"/>
  <c r="R234" i="10"/>
  <c r="Q234" i="10"/>
  <c r="U233" i="10"/>
  <c r="T233" i="10"/>
  <c r="S233" i="10"/>
  <c r="R233" i="10"/>
  <c r="Q233" i="10"/>
  <c r="U232" i="10"/>
  <c r="T232" i="10"/>
  <c r="S232" i="10"/>
  <c r="R232" i="10"/>
  <c r="Q232" i="10"/>
  <c r="U231" i="10"/>
  <c r="T231" i="10"/>
  <c r="S231" i="10"/>
  <c r="R231" i="10"/>
  <c r="Q231" i="10"/>
  <c r="U229" i="10"/>
  <c r="T229" i="10"/>
  <c r="S229" i="10"/>
  <c r="R229" i="10"/>
  <c r="Q229" i="10"/>
  <c r="U228" i="10"/>
  <c r="T228" i="10"/>
  <c r="S228" i="10"/>
  <c r="R228" i="10"/>
  <c r="Q228" i="10"/>
  <c r="U227" i="10"/>
  <c r="T227" i="10"/>
  <c r="S227" i="10"/>
  <c r="R227" i="10"/>
  <c r="Q227" i="10"/>
  <c r="U226" i="10"/>
  <c r="T226" i="10"/>
  <c r="S226" i="10"/>
  <c r="R226" i="10"/>
  <c r="Q226" i="10"/>
  <c r="U225" i="10"/>
  <c r="T225" i="10"/>
  <c r="S225" i="10"/>
  <c r="R225" i="10"/>
  <c r="Q225" i="10"/>
  <c r="U224" i="10"/>
  <c r="T224" i="10"/>
  <c r="S224" i="10"/>
  <c r="R224" i="10"/>
  <c r="Q224" i="10"/>
  <c r="U223" i="10"/>
  <c r="T223" i="10"/>
  <c r="S223" i="10"/>
  <c r="R223" i="10"/>
  <c r="Q223" i="10"/>
  <c r="U222" i="10"/>
  <c r="T222" i="10"/>
  <c r="S222" i="10"/>
  <c r="R222" i="10"/>
  <c r="Q222" i="10"/>
  <c r="U221" i="10"/>
  <c r="T221" i="10"/>
  <c r="S221" i="10"/>
  <c r="R221" i="10"/>
  <c r="Q221" i="10"/>
  <c r="U220" i="10"/>
  <c r="T220" i="10"/>
  <c r="S220" i="10"/>
  <c r="R220" i="10"/>
  <c r="Q220" i="10"/>
  <c r="U219" i="10"/>
  <c r="T219" i="10"/>
  <c r="S219" i="10"/>
  <c r="R219" i="10"/>
  <c r="Q219" i="10"/>
  <c r="U218" i="10"/>
  <c r="T218" i="10"/>
  <c r="S218" i="10"/>
  <c r="R218" i="10"/>
  <c r="Q218" i="10"/>
  <c r="U217" i="10"/>
  <c r="T217" i="10"/>
  <c r="S217" i="10"/>
  <c r="R217" i="10"/>
  <c r="Q217" i="10"/>
  <c r="U216" i="10"/>
  <c r="T216" i="10"/>
  <c r="S216" i="10"/>
  <c r="R216" i="10"/>
  <c r="Q216" i="10"/>
  <c r="U215" i="10"/>
  <c r="T215" i="10"/>
  <c r="S215" i="10"/>
  <c r="R215" i="10"/>
  <c r="Q215" i="10"/>
  <c r="U214" i="10"/>
  <c r="T214" i="10"/>
  <c r="S214" i="10"/>
  <c r="R214" i="10"/>
  <c r="Q214" i="10"/>
  <c r="U213" i="10"/>
  <c r="T213" i="10"/>
  <c r="S213" i="10"/>
  <c r="R213" i="10"/>
  <c r="Q213" i="10"/>
  <c r="U212" i="10"/>
  <c r="T212" i="10"/>
  <c r="S212" i="10"/>
  <c r="R212" i="10"/>
  <c r="Q212" i="10"/>
  <c r="U211" i="10"/>
  <c r="T211" i="10"/>
  <c r="S211" i="10"/>
  <c r="R211" i="10"/>
  <c r="Q211" i="10"/>
  <c r="U210" i="10"/>
  <c r="T210" i="10"/>
  <c r="S210" i="10"/>
  <c r="R210" i="10"/>
  <c r="Q210" i="10"/>
  <c r="U209" i="10"/>
  <c r="T209" i="10"/>
  <c r="S209" i="10"/>
  <c r="R209" i="10"/>
  <c r="Q209" i="10"/>
  <c r="U208" i="10"/>
  <c r="T208" i="10"/>
  <c r="S208" i="10"/>
  <c r="R208" i="10"/>
  <c r="Q208" i="10"/>
  <c r="U207" i="10"/>
  <c r="T207" i="10"/>
  <c r="S207" i="10"/>
  <c r="R207" i="10"/>
  <c r="Q207" i="10"/>
  <c r="U206" i="10"/>
  <c r="T206" i="10"/>
  <c r="S206" i="10"/>
  <c r="R206" i="10"/>
  <c r="Q206" i="10"/>
  <c r="U205" i="10"/>
  <c r="T205" i="10"/>
  <c r="S205" i="10"/>
  <c r="R205" i="10"/>
  <c r="Q205" i="10"/>
  <c r="U204" i="10"/>
  <c r="T204" i="10"/>
  <c r="S204" i="10"/>
  <c r="R204" i="10"/>
  <c r="Q204" i="10"/>
  <c r="U203" i="10"/>
  <c r="T203" i="10"/>
  <c r="S203" i="10"/>
  <c r="R203" i="10"/>
  <c r="Q203" i="10"/>
  <c r="U202" i="10"/>
  <c r="T202" i="10"/>
  <c r="S202" i="10"/>
  <c r="R202" i="10"/>
  <c r="Q202" i="10"/>
  <c r="U201" i="10"/>
  <c r="T201" i="10"/>
  <c r="S201" i="10"/>
  <c r="R201" i="10"/>
  <c r="Q201" i="10"/>
  <c r="U200" i="10"/>
  <c r="T200" i="10"/>
  <c r="S200" i="10"/>
  <c r="R200" i="10"/>
  <c r="Q200" i="10"/>
  <c r="U199" i="10"/>
  <c r="T199" i="10"/>
  <c r="S199" i="10"/>
  <c r="R199" i="10"/>
  <c r="Q199" i="10"/>
  <c r="U198" i="10"/>
  <c r="T198" i="10"/>
  <c r="S198" i="10"/>
  <c r="R198" i="10"/>
  <c r="Q198" i="10"/>
  <c r="U197" i="10"/>
  <c r="T197" i="10"/>
  <c r="S197" i="10"/>
  <c r="R197" i="10"/>
  <c r="Q197" i="10"/>
  <c r="U196" i="10"/>
  <c r="T196" i="10"/>
  <c r="S196" i="10"/>
  <c r="R196" i="10"/>
  <c r="Q196" i="10"/>
  <c r="U195" i="10"/>
  <c r="T195" i="10"/>
  <c r="S195" i="10"/>
  <c r="R195" i="10"/>
  <c r="Q195" i="10"/>
  <c r="U194" i="10"/>
  <c r="T194" i="10"/>
  <c r="S194" i="10"/>
  <c r="R194" i="10"/>
  <c r="Q194" i="10"/>
  <c r="U192" i="10"/>
  <c r="T192" i="10"/>
  <c r="S192" i="10"/>
  <c r="R192" i="10"/>
  <c r="Q192" i="10"/>
  <c r="U191" i="10"/>
  <c r="T191" i="10"/>
  <c r="S191" i="10"/>
  <c r="R191" i="10"/>
  <c r="Q191" i="10"/>
  <c r="U190" i="10"/>
  <c r="T190" i="10"/>
  <c r="S190" i="10"/>
  <c r="R190" i="10"/>
  <c r="Q190" i="10"/>
  <c r="U189" i="10"/>
  <c r="T189" i="10"/>
  <c r="S189" i="10"/>
  <c r="R189" i="10"/>
  <c r="Q189" i="10"/>
  <c r="U188" i="10"/>
  <c r="T188" i="10"/>
  <c r="S188" i="10"/>
  <c r="R188" i="10"/>
  <c r="Q188" i="10"/>
  <c r="U187" i="10"/>
  <c r="T187" i="10"/>
  <c r="S187" i="10"/>
  <c r="R187" i="10"/>
  <c r="Q187" i="10"/>
  <c r="U186" i="10"/>
  <c r="T186" i="10"/>
  <c r="S186" i="10"/>
  <c r="R186" i="10"/>
  <c r="Q186" i="10"/>
  <c r="U185" i="10"/>
  <c r="T185" i="10"/>
  <c r="S185" i="10"/>
  <c r="R185" i="10"/>
  <c r="Q185" i="10"/>
  <c r="U184" i="10"/>
  <c r="T184" i="10"/>
  <c r="S184" i="10"/>
  <c r="R184" i="10"/>
  <c r="Q184" i="10"/>
  <c r="U183" i="10"/>
  <c r="T183" i="10"/>
  <c r="S183" i="10"/>
  <c r="R183" i="10"/>
  <c r="Q183" i="10"/>
  <c r="U182" i="10"/>
  <c r="T182" i="10"/>
  <c r="S182" i="10"/>
  <c r="R182" i="10"/>
  <c r="Q182" i="10"/>
  <c r="U181" i="10"/>
  <c r="T181" i="10"/>
  <c r="S181" i="10"/>
  <c r="R181" i="10"/>
  <c r="Q181" i="10"/>
  <c r="U180" i="10"/>
  <c r="T180" i="10"/>
  <c r="S180" i="10"/>
  <c r="R180" i="10"/>
  <c r="Q180" i="10"/>
  <c r="U179" i="10"/>
  <c r="T179" i="10"/>
  <c r="S179" i="10"/>
  <c r="R179" i="10"/>
  <c r="Q179" i="10"/>
  <c r="U178" i="10"/>
  <c r="T178" i="10"/>
  <c r="S178" i="10"/>
  <c r="R178" i="10"/>
  <c r="Q178" i="10"/>
  <c r="U177" i="10"/>
  <c r="T177" i="10"/>
  <c r="S177" i="10"/>
  <c r="R177" i="10"/>
  <c r="Q177" i="10"/>
  <c r="U176" i="10"/>
  <c r="T176" i="10"/>
  <c r="S176" i="10"/>
  <c r="R176" i="10"/>
  <c r="Q176" i="10"/>
  <c r="U175" i="10"/>
  <c r="T175" i="10"/>
  <c r="S175" i="10"/>
  <c r="R175" i="10"/>
  <c r="Q175" i="10"/>
  <c r="U174" i="10"/>
  <c r="T174" i="10"/>
  <c r="S174" i="10"/>
  <c r="R174" i="10"/>
  <c r="Q174" i="10"/>
  <c r="U173" i="10"/>
  <c r="T173" i="10"/>
  <c r="S173" i="10"/>
  <c r="R173" i="10"/>
  <c r="Q173" i="10"/>
  <c r="U172" i="10"/>
  <c r="T172" i="10"/>
  <c r="S172" i="10"/>
  <c r="R172" i="10"/>
  <c r="Q172" i="10"/>
  <c r="U171" i="10"/>
  <c r="T171" i="10"/>
  <c r="S171" i="10"/>
  <c r="R171" i="10"/>
  <c r="Q171" i="10"/>
  <c r="U170" i="10"/>
  <c r="T170" i="10"/>
  <c r="S170" i="10"/>
  <c r="R170" i="10"/>
  <c r="Q170" i="10"/>
  <c r="U169" i="10"/>
  <c r="T169" i="10"/>
  <c r="S169" i="10"/>
  <c r="R169" i="10"/>
  <c r="Q169" i="10"/>
  <c r="U168" i="10"/>
  <c r="T168" i="10"/>
  <c r="S168" i="10"/>
  <c r="R168" i="10"/>
  <c r="Q168" i="10"/>
  <c r="U167" i="10"/>
  <c r="T167" i="10"/>
  <c r="S167" i="10"/>
  <c r="R167" i="10"/>
  <c r="Q167" i="10"/>
  <c r="U166" i="10"/>
  <c r="T166" i="10"/>
  <c r="S166" i="10"/>
  <c r="R166" i="10"/>
  <c r="Q166" i="10"/>
  <c r="U165" i="10"/>
  <c r="T165" i="10"/>
  <c r="S165" i="10"/>
  <c r="R165" i="10"/>
  <c r="Q165" i="10"/>
  <c r="U164" i="10"/>
  <c r="T164" i="10"/>
  <c r="S164" i="10"/>
  <c r="R164" i="10"/>
  <c r="Q164" i="10"/>
  <c r="U163" i="10"/>
  <c r="T163" i="10"/>
  <c r="S163" i="10"/>
  <c r="R163" i="10"/>
  <c r="Q163" i="10"/>
  <c r="U162" i="10"/>
  <c r="T162" i="10"/>
  <c r="S162" i="10"/>
  <c r="R162" i="10"/>
  <c r="Q162" i="10"/>
  <c r="U161" i="10"/>
  <c r="T161" i="10"/>
  <c r="S161" i="10"/>
  <c r="R161" i="10"/>
  <c r="Q161" i="10"/>
  <c r="U160" i="10"/>
  <c r="T160" i="10"/>
  <c r="S160" i="10"/>
  <c r="R160" i="10"/>
  <c r="Q160" i="10"/>
  <c r="U159" i="10"/>
  <c r="T159" i="10"/>
  <c r="S159" i="10"/>
  <c r="R159" i="10"/>
  <c r="Q159" i="10"/>
  <c r="U158" i="10"/>
  <c r="T158" i="10"/>
  <c r="S158" i="10"/>
  <c r="R158" i="10"/>
  <c r="Q158" i="10"/>
  <c r="U157" i="10"/>
  <c r="T157" i="10"/>
  <c r="S157" i="10"/>
  <c r="R157" i="10"/>
  <c r="Q157" i="10"/>
  <c r="U155" i="10"/>
  <c r="T155" i="10"/>
  <c r="S155" i="10"/>
  <c r="R155" i="10"/>
  <c r="Q155" i="10"/>
  <c r="U154" i="10"/>
  <c r="T154" i="10"/>
  <c r="S154" i="10"/>
  <c r="R154" i="10"/>
  <c r="Q154" i="10"/>
  <c r="U153" i="10"/>
  <c r="T153" i="10"/>
  <c r="S153" i="10"/>
  <c r="R153" i="10"/>
  <c r="Q153" i="10"/>
  <c r="U152" i="10"/>
  <c r="T152" i="10"/>
  <c r="S152" i="10"/>
  <c r="R152" i="10"/>
  <c r="Q152" i="10"/>
  <c r="U151" i="10"/>
  <c r="T151" i="10"/>
  <c r="S151" i="10"/>
  <c r="R151" i="10"/>
  <c r="Q151" i="10"/>
  <c r="U150" i="10"/>
  <c r="T150" i="10"/>
  <c r="S150" i="10"/>
  <c r="R150" i="10"/>
  <c r="Q150" i="10"/>
  <c r="U149" i="10"/>
  <c r="T149" i="10"/>
  <c r="S149" i="10"/>
  <c r="R149" i="10"/>
  <c r="Q149" i="10"/>
  <c r="U148" i="10"/>
  <c r="T148" i="10"/>
  <c r="S148" i="10"/>
  <c r="R148" i="10"/>
  <c r="Q148" i="10"/>
  <c r="U147" i="10"/>
  <c r="T147" i="10"/>
  <c r="S147" i="10"/>
  <c r="R147" i="10"/>
  <c r="Q147" i="10"/>
  <c r="U146" i="10"/>
  <c r="T146" i="10"/>
  <c r="S146" i="10"/>
  <c r="R146" i="10"/>
  <c r="Q146" i="10"/>
  <c r="U145" i="10"/>
  <c r="T145" i="10"/>
  <c r="S145" i="10"/>
  <c r="R145" i="10"/>
  <c r="Q145" i="10"/>
  <c r="U144" i="10"/>
  <c r="T144" i="10"/>
  <c r="S144" i="10"/>
  <c r="R144" i="10"/>
  <c r="Q144" i="10"/>
  <c r="U143" i="10"/>
  <c r="T143" i="10"/>
  <c r="S143" i="10"/>
  <c r="R143" i="10"/>
  <c r="Q143" i="10"/>
  <c r="U142" i="10"/>
  <c r="T142" i="10"/>
  <c r="S142" i="10"/>
  <c r="R142" i="10"/>
  <c r="Q142" i="10"/>
  <c r="U141" i="10"/>
  <c r="T141" i="10"/>
  <c r="S141" i="10"/>
  <c r="R141" i="10"/>
  <c r="Q141" i="10"/>
  <c r="U140" i="10"/>
  <c r="T140" i="10"/>
  <c r="S140" i="10"/>
  <c r="R140" i="10"/>
  <c r="Q140" i="10"/>
  <c r="U139" i="10"/>
  <c r="T139" i="10"/>
  <c r="S139" i="10"/>
  <c r="R139" i="10"/>
  <c r="Q139" i="10"/>
  <c r="U138" i="10"/>
  <c r="T138" i="10"/>
  <c r="S138" i="10"/>
  <c r="R138" i="10"/>
  <c r="Q138" i="10"/>
  <c r="U137" i="10"/>
  <c r="T137" i="10"/>
  <c r="S137" i="10"/>
  <c r="R137" i="10"/>
  <c r="Q137" i="10"/>
  <c r="U136" i="10"/>
  <c r="T136" i="10"/>
  <c r="S136" i="10"/>
  <c r="R136" i="10"/>
  <c r="Q136" i="10"/>
  <c r="U135" i="10"/>
  <c r="T135" i="10"/>
  <c r="S135" i="10"/>
  <c r="R135" i="10"/>
  <c r="Q135" i="10"/>
  <c r="U134" i="10"/>
  <c r="T134" i="10"/>
  <c r="S134" i="10"/>
  <c r="R134" i="10"/>
  <c r="Q134" i="10"/>
  <c r="U133" i="10"/>
  <c r="T133" i="10"/>
  <c r="S133" i="10"/>
  <c r="R133" i="10"/>
  <c r="Q133" i="10"/>
  <c r="U132" i="10"/>
  <c r="T132" i="10"/>
  <c r="S132" i="10"/>
  <c r="R132" i="10"/>
  <c r="Q132" i="10"/>
  <c r="U131" i="10"/>
  <c r="T131" i="10"/>
  <c r="S131" i="10"/>
  <c r="R131" i="10"/>
  <c r="Q131" i="10"/>
  <c r="U130" i="10"/>
  <c r="T130" i="10"/>
  <c r="S130" i="10"/>
  <c r="R130" i="10"/>
  <c r="Q130" i="10"/>
  <c r="U129" i="10"/>
  <c r="T129" i="10"/>
  <c r="S129" i="10"/>
  <c r="R129" i="10"/>
  <c r="Q129" i="10"/>
  <c r="U128" i="10"/>
  <c r="T128" i="10"/>
  <c r="S128" i="10"/>
  <c r="R128" i="10"/>
  <c r="Q128" i="10"/>
  <c r="U127" i="10"/>
  <c r="T127" i="10"/>
  <c r="S127" i="10"/>
  <c r="R127" i="10"/>
  <c r="Q127" i="10"/>
  <c r="U126" i="10"/>
  <c r="T126" i="10"/>
  <c r="S126" i="10"/>
  <c r="R126" i="10"/>
  <c r="Q126" i="10"/>
  <c r="U125" i="10"/>
  <c r="T125" i="10"/>
  <c r="S125" i="10"/>
  <c r="R125" i="10"/>
  <c r="Q125" i="10"/>
  <c r="U124" i="10"/>
  <c r="T124" i="10"/>
  <c r="S124" i="10"/>
  <c r="R124" i="10"/>
  <c r="Q124" i="10"/>
  <c r="U123" i="10"/>
  <c r="T123" i="10"/>
  <c r="S123" i="10"/>
  <c r="R123" i="10"/>
  <c r="Q123" i="10"/>
  <c r="U122" i="10"/>
  <c r="T122" i="10"/>
  <c r="S122" i="10"/>
  <c r="R122" i="10"/>
  <c r="Q122" i="10"/>
  <c r="U121" i="10"/>
  <c r="T121" i="10"/>
  <c r="S121" i="10"/>
  <c r="R121" i="10"/>
  <c r="Q121" i="10"/>
  <c r="U120" i="10"/>
  <c r="T120" i="10"/>
  <c r="S120" i="10"/>
  <c r="R120" i="10"/>
  <c r="Q120" i="10"/>
  <c r="U118" i="10"/>
  <c r="T118" i="10"/>
  <c r="S118" i="10"/>
  <c r="R118" i="10"/>
  <c r="Q118" i="10"/>
  <c r="U117" i="10"/>
  <c r="T117" i="10"/>
  <c r="S117" i="10"/>
  <c r="R117" i="10"/>
  <c r="Q117" i="10"/>
  <c r="U116" i="10"/>
  <c r="T116" i="10"/>
  <c r="S116" i="10"/>
  <c r="R116" i="10"/>
  <c r="Q116" i="10"/>
  <c r="U115" i="10"/>
  <c r="T115" i="10"/>
  <c r="S115" i="10"/>
  <c r="R115" i="10"/>
  <c r="Q115" i="10"/>
  <c r="U114" i="10"/>
  <c r="T114" i="10"/>
  <c r="S114" i="10"/>
  <c r="R114" i="10"/>
  <c r="Q114" i="10"/>
  <c r="U113" i="10"/>
  <c r="T113" i="10"/>
  <c r="S113" i="10"/>
  <c r="R113" i="10"/>
  <c r="Q113" i="10"/>
  <c r="U112" i="10"/>
  <c r="T112" i="10"/>
  <c r="S112" i="10"/>
  <c r="R112" i="10"/>
  <c r="Q112" i="10"/>
  <c r="U111" i="10"/>
  <c r="T111" i="10"/>
  <c r="S111" i="10"/>
  <c r="R111" i="10"/>
  <c r="Q111" i="10"/>
  <c r="U110" i="10"/>
  <c r="T110" i="10"/>
  <c r="S110" i="10"/>
  <c r="R110" i="10"/>
  <c r="Q110" i="10"/>
  <c r="U109" i="10"/>
  <c r="T109" i="10"/>
  <c r="S109" i="10"/>
  <c r="R109" i="10"/>
  <c r="Q109" i="10"/>
  <c r="U108" i="10"/>
  <c r="T108" i="10"/>
  <c r="S108" i="10"/>
  <c r="R108" i="10"/>
  <c r="Q108" i="10"/>
  <c r="U107" i="10"/>
  <c r="T107" i="10"/>
  <c r="S107" i="10"/>
  <c r="R107" i="10"/>
  <c r="Q107" i="10"/>
  <c r="U106" i="10"/>
  <c r="T106" i="10"/>
  <c r="S106" i="10"/>
  <c r="R106" i="10"/>
  <c r="Q106" i="10"/>
  <c r="U105" i="10"/>
  <c r="T105" i="10"/>
  <c r="S105" i="10"/>
  <c r="R105" i="10"/>
  <c r="Q105" i="10"/>
  <c r="U104" i="10"/>
  <c r="T104" i="10"/>
  <c r="S104" i="10"/>
  <c r="R104" i="10"/>
  <c r="Q104" i="10"/>
  <c r="U103" i="10"/>
  <c r="T103" i="10"/>
  <c r="S103" i="10"/>
  <c r="R103" i="10"/>
  <c r="Q103" i="10"/>
  <c r="U102" i="10"/>
  <c r="T102" i="10"/>
  <c r="S102" i="10"/>
  <c r="R102" i="10"/>
  <c r="Q102" i="10"/>
  <c r="U101" i="10"/>
  <c r="T101" i="10"/>
  <c r="S101" i="10"/>
  <c r="R101" i="10"/>
  <c r="Q101" i="10"/>
  <c r="U100" i="10"/>
  <c r="T100" i="10"/>
  <c r="S100" i="10"/>
  <c r="R100" i="10"/>
  <c r="Q100" i="10"/>
  <c r="U99" i="10"/>
  <c r="T99" i="10"/>
  <c r="S99" i="10"/>
  <c r="R99" i="10"/>
  <c r="Q99" i="10"/>
  <c r="U98" i="10"/>
  <c r="T98" i="10"/>
  <c r="S98" i="10"/>
  <c r="R98" i="10"/>
  <c r="Q98" i="10"/>
  <c r="U97" i="10"/>
  <c r="T97" i="10"/>
  <c r="S97" i="10"/>
  <c r="R97" i="10"/>
  <c r="Q97" i="10"/>
  <c r="U96" i="10"/>
  <c r="T96" i="10"/>
  <c r="S96" i="10"/>
  <c r="R96" i="10"/>
  <c r="Q96" i="10"/>
  <c r="U95" i="10"/>
  <c r="T95" i="10"/>
  <c r="S95" i="10"/>
  <c r="R95" i="10"/>
  <c r="Q95" i="10"/>
  <c r="U94" i="10"/>
  <c r="T94" i="10"/>
  <c r="S94" i="10"/>
  <c r="R94" i="10"/>
  <c r="Q94" i="10"/>
  <c r="U93" i="10"/>
  <c r="T93" i="10"/>
  <c r="S93" i="10"/>
  <c r="R93" i="10"/>
  <c r="Q93" i="10"/>
  <c r="U92" i="10"/>
  <c r="T92" i="10"/>
  <c r="S92" i="10"/>
  <c r="R92" i="10"/>
  <c r="Q92" i="10"/>
  <c r="U91" i="10"/>
  <c r="T91" i="10"/>
  <c r="S91" i="10"/>
  <c r="R91" i="10"/>
  <c r="Q91" i="10"/>
  <c r="U90" i="10"/>
  <c r="T90" i="10"/>
  <c r="S90" i="10"/>
  <c r="R90" i="10"/>
  <c r="Q90" i="10"/>
  <c r="U89" i="10"/>
  <c r="T89" i="10"/>
  <c r="S89" i="10"/>
  <c r="R89" i="10"/>
  <c r="Q89" i="10"/>
  <c r="U88" i="10"/>
  <c r="T88" i="10"/>
  <c r="S88" i="10"/>
  <c r="R88" i="10"/>
  <c r="Q88" i="10"/>
  <c r="U87" i="10"/>
  <c r="T87" i="10"/>
  <c r="S87" i="10"/>
  <c r="R87" i="10"/>
  <c r="Q87" i="10"/>
  <c r="U86" i="10"/>
  <c r="T86" i="10"/>
  <c r="S86" i="10"/>
  <c r="R86" i="10"/>
  <c r="Q86" i="10"/>
  <c r="U85" i="10"/>
  <c r="T85" i="10"/>
  <c r="S85" i="10"/>
  <c r="R85" i="10"/>
  <c r="Q85" i="10"/>
  <c r="U84" i="10"/>
  <c r="T84" i="10"/>
  <c r="S84" i="10"/>
  <c r="R84" i="10"/>
  <c r="Q84" i="10"/>
  <c r="U83" i="10"/>
  <c r="T83" i="10"/>
  <c r="S83" i="10"/>
  <c r="R83" i="10"/>
  <c r="Q83" i="10"/>
  <c r="U81" i="10"/>
  <c r="T81" i="10"/>
  <c r="S81" i="10"/>
  <c r="R81" i="10"/>
  <c r="Q81" i="10"/>
  <c r="U80" i="10"/>
  <c r="T80" i="10"/>
  <c r="S80" i="10"/>
  <c r="R80" i="10"/>
  <c r="Q80" i="10"/>
  <c r="U79" i="10"/>
  <c r="T79" i="10"/>
  <c r="S79" i="10"/>
  <c r="R79" i="10"/>
  <c r="Q79" i="10"/>
  <c r="U78" i="10"/>
  <c r="T78" i="10"/>
  <c r="S78" i="10"/>
  <c r="R78" i="10"/>
  <c r="Q78" i="10"/>
  <c r="U77" i="10"/>
  <c r="T77" i="10"/>
  <c r="S77" i="10"/>
  <c r="R77" i="10"/>
  <c r="Q77" i="10"/>
  <c r="U76" i="10"/>
  <c r="T76" i="10"/>
  <c r="S76" i="10"/>
  <c r="R76" i="10"/>
  <c r="Q76" i="10"/>
  <c r="U75" i="10"/>
  <c r="T75" i="10"/>
  <c r="S75" i="10"/>
  <c r="R75" i="10"/>
  <c r="Q75" i="10"/>
  <c r="U74" i="10"/>
  <c r="T74" i="10"/>
  <c r="S74" i="10"/>
  <c r="R74" i="10"/>
  <c r="Q74" i="10"/>
  <c r="U73" i="10"/>
  <c r="T73" i="10"/>
  <c r="S73" i="10"/>
  <c r="R73" i="10"/>
  <c r="Q73" i="10"/>
  <c r="U72" i="10"/>
  <c r="T72" i="10"/>
  <c r="S72" i="10"/>
  <c r="R72" i="10"/>
  <c r="Q72" i="10"/>
  <c r="U71" i="10"/>
  <c r="T71" i="10"/>
  <c r="S71" i="10"/>
  <c r="R71" i="10"/>
  <c r="Q71" i="10"/>
  <c r="U70" i="10"/>
  <c r="T70" i="10"/>
  <c r="S70" i="10"/>
  <c r="R70" i="10"/>
  <c r="Q70" i="10"/>
  <c r="U69" i="10"/>
  <c r="T69" i="10"/>
  <c r="S69" i="10"/>
  <c r="R69" i="10"/>
  <c r="Q69" i="10"/>
  <c r="U68" i="10"/>
  <c r="T68" i="10"/>
  <c r="S68" i="10"/>
  <c r="R68" i="10"/>
  <c r="Q68" i="10"/>
  <c r="U67" i="10"/>
  <c r="T67" i="10"/>
  <c r="S67" i="10"/>
  <c r="R67" i="10"/>
  <c r="Q67" i="10"/>
  <c r="U66" i="10"/>
  <c r="T66" i="10"/>
  <c r="S66" i="10"/>
  <c r="R66" i="10"/>
  <c r="Q66" i="10"/>
  <c r="U65" i="10"/>
  <c r="T65" i="10"/>
  <c r="S65" i="10"/>
  <c r="R65" i="10"/>
  <c r="Q65" i="10"/>
  <c r="U64" i="10"/>
  <c r="T64" i="10"/>
  <c r="S64" i="10"/>
  <c r="R64" i="10"/>
  <c r="Q64" i="10"/>
  <c r="U63" i="10"/>
  <c r="T63" i="10"/>
  <c r="S63" i="10"/>
  <c r="R63" i="10"/>
  <c r="Q63" i="10"/>
  <c r="U62" i="10"/>
  <c r="T62" i="10"/>
  <c r="S62" i="10"/>
  <c r="R62" i="10"/>
  <c r="Q62" i="10"/>
  <c r="U61" i="10"/>
  <c r="T61" i="10"/>
  <c r="S61" i="10"/>
  <c r="R61" i="10"/>
  <c r="Q61" i="10"/>
  <c r="U60" i="10"/>
  <c r="T60" i="10"/>
  <c r="S60" i="10"/>
  <c r="R60" i="10"/>
  <c r="Q60" i="10"/>
  <c r="U59" i="10"/>
  <c r="T59" i="10"/>
  <c r="S59" i="10"/>
  <c r="R59" i="10"/>
  <c r="Q59" i="10"/>
  <c r="U58" i="10"/>
  <c r="T58" i="10"/>
  <c r="S58" i="10"/>
  <c r="R58" i="10"/>
  <c r="Q58" i="10"/>
  <c r="U57" i="10"/>
  <c r="T57" i="10"/>
  <c r="S57" i="10"/>
  <c r="R57" i="10"/>
  <c r="Q57" i="10"/>
  <c r="U56" i="10"/>
  <c r="T56" i="10"/>
  <c r="S56" i="10"/>
  <c r="R56" i="10"/>
  <c r="Q56" i="10"/>
  <c r="U55" i="10"/>
  <c r="T55" i="10"/>
  <c r="S55" i="10"/>
  <c r="R55" i="10"/>
  <c r="Q55" i="10"/>
  <c r="U54" i="10"/>
  <c r="T54" i="10"/>
  <c r="S54" i="10"/>
  <c r="R54" i="10"/>
  <c r="Q54" i="10"/>
  <c r="U53" i="10"/>
  <c r="T53" i="10"/>
  <c r="S53" i="10"/>
  <c r="R53" i="10"/>
  <c r="Q53" i="10"/>
  <c r="U52" i="10"/>
  <c r="T52" i="10"/>
  <c r="S52" i="10"/>
  <c r="R52" i="10"/>
  <c r="Q52" i="10"/>
  <c r="U51" i="10"/>
  <c r="T51" i="10"/>
  <c r="S51" i="10"/>
  <c r="R51" i="10"/>
  <c r="Q51" i="10"/>
  <c r="U50" i="10"/>
  <c r="T50" i="10"/>
  <c r="S50" i="10"/>
  <c r="R50" i="10"/>
  <c r="Q50" i="10"/>
  <c r="U49" i="10"/>
  <c r="T49" i="10"/>
  <c r="S49" i="10"/>
  <c r="R49" i="10"/>
  <c r="Q49" i="10"/>
  <c r="U48" i="10"/>
  <c r="T48" i="10"/>
  <c r="S48" i="10"/>
  <c r="R48" i="10"/>
  <c r="Q48" i="10"/>
  <c r="U47" i="10"/>
  <c r="T47" i="10"/>
  <c r="S47" i="10"/>
  <c r="R47" i="10"/>
  <c r="Q47" i="10"/>
  <c r="U46" i="10"/>
  <c r="T46" i="10"/>
  <c r="S46" i="10"/>
  <c r="R46" i="10"/>
  <c r="Q46" i="10"/>
  <c r="U44" i="10"/>
  <c r="T44" i="10"/>
  <c r="S44" i="10"/>
  <c r="R44" i="10"/>
  <c r="Q44" i="10"/>
  <c r="U43" i="10"/>
  <c r="T43" i="10"/>
  <c r="S43" i="10"/>
  <c r="R43" i="10"/>
  <c r="Q43" i="10"/>
  <c r="U42" i="10"/>
  <c r="T42" i="10"/>
  <c r="S42" i="10"/>
  <c r="R42" i="10"/>
  <c r="Q42" i="10"/>
  <c r="U41" i="10"/>
  <c r="T41" i="10"/>
  <c r="S41" i="10"/>
  <c r="R41" i="10"/>
  <c r="Q41" i="10"/>
  <c r="U40" i="10"/>
  <c r="T40" i="10"/>
  <c r="S40" i="10"/>
  <c r="R40" i="10"/>
  <c r="Q40" i="10"/>
  <c r="U39" i="10"/>
  <c r="T39" i="10"/>
  <c r="S39" i="10"/>
  <c r="R39" i="10"/>
  <c r="Q39" i="10"/>
  <c r="U38" i="10"/>
  <c r="T38" i="10"/>
  <c r="S38" i="10"/>
  <c r="R38" i="10"/>
  <c r="Q38" i="10"/>
  <c r="U37" i="10"/>
  <c r="T37" i="10"/>
  <c r="S37" i="10"/>
  <c r="R37" i="10"/>
  <c r="Q37" i="10"/>
  <c r="U36" i="10"/>
  <c r="T36" i="10"/>
  <c r="S36" i="10"/>
  <c r="R36" i="10"/>
  <c r="Q36" i="10"/>
  <c r="U35" i="10"/>
  <c r="T35" i="10"/>
  <c r="S35" i="10"/>
  <c r="R35" i="10"/>
  <c r="Q35" i="10"/>
  <c r="U34" i="10"/>
  <c r="T34" i="10"/>
  <c r="S34" i="10"/>
  <c r="R34" i="10"/>
  <c r="Q34" i="10"/>
  <c r="U33" i="10"/>
  <c r="T33" i="10"/>
  <c r="S33" i="10"/>
  <c r="R33" i="10"/>
  <c r="Q33" i="10"/>
  <c r="U32" i="10"/>
  <c r="T32" i="10"/>
  <c r="S32" i="10"/>
  <c r="R32" i="10"/>
  <c r="Q32" i="10"/>
  <c r="U31" i="10"/>
  <c r="T31" i="10"/>
  <c r="S31" i="10"/>
  <c r="R31" i="10"/>
  <c r="Q31" i="10"/>
  <c r="U30" i="10"/>
  <c r="T30" i="10"/>
  <c r="S30" i="10"/>
  <c r="R30" i="10"/>
  <c r="Q30" i="10"/>
  <c r="U29" i="10"/>
  <c r="T29" i="10"/>
  <c r="S29" i="10"/>
  <c r="R29" i="10"/>
  <c r="Q29" i="10"/>
  <c r="U28" i="10"/>
  <c r="T28" i="10"/>
  <c r="S28" i="10"/>
  <c r="R28" i="10"/>
  <c r="Q28" i="10"/>
  <c r="U27" i="10"/>
  <c r="T27" i="10"/>
  <c r="S27" i="10"/>
  <c r="R27" i="10"/>
  <c r="Q27" i="10"/>
  <c r="U26" i="10"/>
  <c r="T26" i="10"/>
  <c r="S26" i="10"/>
  <c r="R26" i="10"/>
  <c r="Q26" i="10"/>
  <c r="U25" i="10"/>
  <c r="T25" i="10"/>
  <c r="S25" i="10"/>
  <c r="R25" i="10"/>
  <c r="Q25" i="10"/>
  <c r="U24" i="10"/>
  <c r="T24" i="10"/>
  <c r="S24" i="10"/>
  <c r="R24" i="10"/>
  <c r="Q24" i="10"/>
  <c r="U23" i="10"/>
  <c r="T23" i="10"/>
  <c r="S23" i="10"/>
  <c r="R23" i="10"/>
  <c r="Q23" i="10"/>
  <c r="U22" i="10"/>
  <c r="T22" i="10"/>
  <c r="S22" i="10"/>
  <c r="R22" i="10"/>
  <c r="Q22" i="10"/>
  <c r="U21" i="10"/>
  <c r="T21" i="10"/>
  <c r="S21" i="10"/>
  <c r="R21" i="10"/>
  <c r="Q21" i="10"/>
  <c r="U20" i="10"/>
  <c r="T20" i="10"/>
  <c r="S20" i="10"/>
  <c r="R20" i="10"/>
  <c r="Q20" i="10"/>
  <c r="U19" i="10"/>
  <c r="T19" i="10"/>
  <c r="S19" i="10"/>
  <c r="R19" i="10"/>
  <c r="Q19" i="10"/>
  <c r="U18" i="10"/>
  <c r="T18" i="10"/>
  <c r="S18" i="10"/>
  <c r="R18" i="10"/>
  <c r="Q18" i="10"/>
  <c r="U17" i="10"/>
  <c r="T17" i="10"/>
  <c r="S17" i="10"/>
  <c r="R17" i="10"/>
  <c r="Q17" i="10"/>
  <c r="U16" i="10"/>
  <c r="T16" i="10"/>
  <c r="S16" i="10"/>
  <c r="R16" i="10"/>
  <c r="Q16" i="10"/>
  <c r="U15" i="10"/>
  <c r="T15" i="10"/>
  <c r="S15" i="10"/>
  <c r="R15" i="10"/>
  <c r="Q15" i="10"/>
  <c r="U14" i="10"/>
  <c r="T14" i="10"/>
  <c r="S14" i="10"/>
  <c r="R14" i="10"/>
  <c r="Q14" i="10"/>
  <c r="U13" i="10"/>
  <c r="T13" i="10"/>
  <c r="S13" i="10"/>
  <c r="R13" i="10"/>
  <c r="Q13" i="10"/>
  <c r="U12" i="10"/>
  <c r="T12" i="10"/>
  <c r="S12" i="10"/>
  <c r="R12" i="10"/>
  <c r="Q12" i="10"/>
  <c r="U11" i="10"/>
  <c r="T11" i="10"/>
  <c r="S11" i="10"/>
  <c r="R11" i="10"/>
  <c r="Q11" i="10"/>
  <c r="U10" i="10"/>
  <c r="T10" i="10"/>
  <c r="S10" i="10"/>
  <c r="R10" i="10"/>
  <c r="Q10" i="10"/>
  <c r="U9" i="10"/>
  <c r="T9" i="10"/>
  <c r="S9" i="10"/>
  <c r="R9" i="10"/>
  <c r="Q9" i="10"/>
  <c r="I12" i="1"/>
  <c r="L10" i="1"/>
  <c r="M10" i="11"/>
  <c r="L10" i="11"/>
  <c r="I12" i="2"/>
  <c r="I12" i="3"/>
  <c r="I12" i="4"/>
  <c r="I12" i="5"/>
  <c r="A10" i="62"/>
  <c r="A11" i="62"/>
  <c r="A12" i="62"/>
  <c r="A13" i="62"/>
  <c r="A14" i="62"/>
  <c r="A15" i="62"/>
  <c r="A16" i="62" s="1"/>
  <c r="A17" i="62" s="1"/>
  <c r="A18" i="62" s="1"/>
  <c r="A19" i="62" s="1"/>
  <c r="A20" i="62" s="1"/>
  <c r="A21" i="62" s="1"/>
  <c r="A22" i="62" s="1"/>
  <c r="A23" i="62" s="1"/>
  <c r="A24" i="62" s="1"/>
  <c r="A25" i="62" s="1"/>
  <c r="A26" i="62" s="1"/>
  <c r="A27" i="62" s="1"/>
  <c r="A28" i="62" s="1"/>
  <c r="A29" i="62" s="1"/>
  <c r="A30" i="62" s="1"/>
  <c r="A31" i="62" s="1"/>
  <c r="A32" i="62" s="1"/>
  <c r="A33" i="62" s="1"/>
  <c r="A34" i="62" s="1"/>
  <c r="A35" i="62" s="1"/>
  <c r="A36" i="62" s="1"/>
  <c r="A37" i="62" s="1"/>
  <c r="A38" i="62" s="1"/>
  <c r="A39" i="62" s="1"/>
  <c r="A40" i="62" s="1"/>
  <c r="A41" i="62" s="1"/>
  <c r="A42" i="62" s="1"/>
  <c r="A43" i="62" s="1"/>
  <c r="A44" i="62" s="1"/>
  <c r="A45" i="62" s="1"/>
  <c r="A46" i="62" s="1"/>
  <c r="A47" i="62" s="1"/>
  <c r="A48" i="62" s="1"/>
  <c r="A49" i="62" s="1"/>
  <c r="A50" i="62" s="1"/>
  <c r="A51" i="62" s="1"/>
  <c r="A52" i="62" s="1"/>
  <c r="A53" i="62" s="1"/>
  <c r="A54" i="62" s="1"/>
  <c r="A55" i="62" s="1"/>
  <c r="A56" i="62" s="1"/>
  <c r="A57" i="62" s="1"/>
  <c r="A58" i="62" s="1"/>
  <c r="A59" i="62" s="1"/>
  <c r="A60" i="62" s="1"/>
  <c r="A61" i="62" s="1"/>
  <c r="A62" i="62" s="1"/>
  <c r="A63" i="62" s="1"/>
  <c r="A64" i="62" s="1"/>
  <c r="A65" i="62" s="1"/>
  <c r="A66" i="62" s="1"/>
  <c r="A67" i="62" s="1"/>
  <c r="A68" i="62" s="1"/>
  <c r="A69" i="62" s="1"/>
  <c r="A70" i="62" s="1"/>
  <c r="A71" i="62" s="1"/>
  <c r="A72" i="62" s="1"/>
  <c r="A73" i="62" s="1"/>
  <c r="A74" i="62" s="1"/>
  <c r="A75" i="62" s="1"/>
  <c r="A76" i="62" s="1"/>
  <c r="A77" i="62" s="1"/>
  <c r="A78" i="62" s="1"/>
  <c r="A79" i="62" s="1"/>
  <c r="A80" i="62" s="1"/>
  <c r="A81" i="62" s="1"/>
  <c r="A82" i="62" s="1"/>
  <c r="A83" i="62" s="1"/>
  <c r="A84" i="62" s="1"/>
  <c r="A85" i="62" s="1"/>
  <c r="A86" i="62" s="1"/>
  <c r="A87" i="62" s="1"/>
  <c r="A88" i="62" s="1"/>
  <c r="A89" i="62" s="1"/>
  <c r="A90" i="62" s="1"/>
  <c r="A91" i="62" s="1"/>
  <c r="A92" i="62" s="1"/>
  <c r="A93" i="62" s="1"/>
  <c r="A94" i="62" s="1"/>
  <c r="A95" i="62" s="1"/>
  <c r="A96" i="62" s="1"/>
  <c r="A97" i="62" s="1"/>
  <c r="A98" i="62" s="1"/>
  <c r="A99" i="62" s="1"/>
  <c r="A100" i="62" s="1"/>
  <c r="A101" i="62" s="1"/>
  <c r="A102" i="62" s="1"/>
  <c r="A103" i="62" s="1"/>
  <c r="A104" i="62" s="1"/>
  <c r="A105" i="62" s="1"/>
  <c r="A106" i="62" s="1"/>
  <c r="A107" i="62" s="1"/>
  <c r="A108" i="62" s="1"/>
  <c r="A109" i="62" s="1"/>
  <c r="A110" i="62" s="1"/>
  <c r="A111" i="62" s="1"/>
  <c r="A112" i="62" s="1"/>
  <c r="A113" i="62" s="1"/>
  <c r="A114" i="62" s="1"/>
  <c r="A115" i="62" s="1"/>
  <c r="A116" i="62" s="1"/>
  <c r="A117" i="62" s="1"/>
  <c r="A118" i="62" s="1"/>
  <c r="A119" i="62" s="1"/>
  <c r="A120" i="62" s="1"/>
  <c r="A121" i="62" s="1"/>
  <c r="A122" i="62" s="1"/>
  <c r="A123" i="62" s="1"/>
  <c r="A124" i="62" s="1"/>
  <c r="A125" i="62" s="1"/>
  <c r="A126" i="62" s="1"/>
  <c r="A127" i="62" s="1"/>
  <c r="A128" i="62" s="1"/>
  <c r="A129" i="62" s="1"/>
  <c r="A130" i="62" s="1"/>
  <c r="A131" i="62" s="1"/>
  <c r="A132" i="62" s="1"/>
  <c r="A133" i="62" s="1"/>
  <c r="A134" i="62" s="1"/>
  <c r="A135" i="62" s="1"/>
  <c r="A136" i="62" s="1"/>
  <c r="A137" i="62" s="1"/>
  <c r="A138" i="62" s="1"/>
  <c r="A139" i="62" s="1"/>
  <c r="A140" i="62" s="1"/>
  <c r="A141" i="62" s="1"/>
  <c r="A142" i="62" s="1"/>
  <c r="A143" i="62" s="1"/>
  <c r="A144" i="62" s="1"/>
  <c r="A145" i="62" s="1"/>
  <c r="A146" i="62" s="1"/>
  <c r="A147" i="62" s="1"/>
  <c r="A148" i="62" s="1"/>
  <c r="A149" i="62" s="1"/>
  <c r="A150" i="62" s="1"/>
  <c r="A151" i="62" s="1"/>
  <c r="A152" i="62" s="1"/>
  <c r="A153" i="62" s="1"/>
  <c r="A154" i="62" s="1"/>
  <c r="A155" i="62" s="1"/>
  <c r="A156" i="62" s="1"/>
  <c r="A157" i="62" s="1"/>
  <c r="A158" i="62" s="1"/>
  <c r="A159" i="62" s="1"/>
  <c r="A160" i="62" s="1"/>
  <c r="A161" i="62" s="1"/>
  <c r="A162" i="62" s="1"/>
  <c r="A163" i="62" s="1"/>
  <c r="A164" i="62" s="1"/>
  <c r="A165" i="62" s="1"/>
  <c r="A166" i="62" s="1"/>
  <c r="A167" i="62" s="1"/>
  <c r="A168" i="62" s="1"/>
  <c r="A169" i="62" s="1"/>
  <c r="A170" i="62" s="1"/>
  <c r="A171" i="62" s="1"/>
  <c r="A172" i="62" s="1"/>
  <c r="A173" i="62" s="1"/>
  <c r="A174" i="62" s="1"/>
  <c r="A175" i="62" s="1"/>
  <c r="A176" i="62" s="1"/>
  <c r="A177" i="62" s="1"/>
  <c r="A178" i="62" s="1"/>
  <c r="A179" i="62" s="1"/>
  <c r="A180" i="62" s="1"/>
  <c r="A181" i="62" s="1"/>
  <c r="A182" i="62" s="1"/>
  <c r="A183" i="62" s="1"/>
  <c r="A184" i="62" s="1"/>
  <c r="A185" i="62" s="1"/>
  <c r="A186" i="62" s="1"/>
  <c r="A187" i="62" s="1"/>
  <c r="A188" i="62" s="1"/>
  <c r="A189" i="62" s="1"/>
  <c r="A190" i="62" s="1"/>
  <c r="A191" i="62" s="1"/>
  <c r="A192" i="62" s="1"/>
  <c r="A193" i="62" s="1"/>
  <c r="A194" i="62" s="1"/>
  <c r="A195" i="62" s="1"/>
  <c r="A196" i="62" s="1"/>
  <c r="A197" i="62" s="1"/>
  <c r="A198" i="62" s="1"/>
  <c r="A199" i="62" s="1"/>
  <c r="A200" i="62" s="1"/>
  <c r="A201" i="62" s="1"/>
  <c r="A202" i="62" s="1"/>
  <c r="A203" i="62" s="1"/>
  <c r="A204" i="62" s="1"/>
  <c r="A205" i="62" s="1"/>
  <c r="A206" i="62" s="1"/>
  <c r="A207" i="62" s="1"/>
  <c r="A208" i="62" s="1"/>
  <c r="A209" i="62" s="1"/>
  <c r="A210" i="62" s="1"/>
  <c r="A211" i="62" s="1"/>
  <c r="A212" i="62" s="1"/>
  <c r="A213" i="62" s="1"/>
  <c r="A214" i="62" s="1"/>
  <c r="A215" i="62" s="1"/>
  <c r="A216" i="62" s="1"/>
  <c r="A217" i="62" s="1"/>
  <c r="A218" i="62" s="1"/>
  <c r="A219" i="62" s="1"/>
  <c r="A220" i="62" s="1"/>
  <c r="A221" i="62" s="1"/>
  <c r="A222" i="62" s="1"/>
  <c r="A223" i="62" s="1"/>
  <c r="A224" i="62" s="1"/>
  <c r="A225" i="62" s="1"/>
  <c r="A226" i="62" s="1"/>
  <c r="A227" i="62" s="1"/>
  <c r="A228" i="62" s="1"/>
  <c r="A229" i="62" s="1"/>
  <c r="A230" i="62" s="1"/>
  <c r="A231" i="62" s="1"/>
  <c r="A232" i="62" s="1"/>
  <c r="A233" i="62" s="1"/>
  <c r="A234" i="62" s="1"/>
  <c r="A235" i="62" s="1"/>
  <c r="A236" i="62" s="1"/>
  <c r="A237" i="62" s="1"/>
  <c r="A238" i="62" s="1"/>
  <c r="A239" i="62" s="1"/>
  <c r="A240" i="62" s="1"/>
  <c r="A241" i="62" s="1"/>
  <c r="A242" i="62" s="1"/>
  <c r="A243" i="62" s="1"/>
  <c r="A244" i="62" s="1"/>
  <c r="A245" i="62" s="1"/>
  <c r="A246" i="62" s="1"/>
  <c r="A247" i="62" s="1"/>
  <c r="A248" i="62" s="1"/>
  <c r="A249" i="62" s="1"/>
  <c r="A250" i="62" s="1"/>
  <c r="A251" i="62" s="1"/>
  <c r="A252" i="62" s="1"/>
  <c r="A253" i="62" s="1"/>
  <c r="A254" i="62" s="1"/>
  <c r="A255" i="62" s="1"/>
  <c r="A256" i="62" s="1"/>
  <c r="A257" i="62" s="1"/>
  <c r="A258" i="62" s="1"/>
  <c r="A259" i="62" s="1"/>
  <c r="A260" i="62" s="1"/>
  <c r="A261" i="62" s="1"/>
  <c r="A262" i="62" s="1"/>
  <c r="A263" i="62" s="1"/>
  <c r="A264" i="62" s="1"/>
  <c r="A265" i="62" s="1"/>
  <c r="A266" i="62" s="1"/>
  <c r="A267" i="62" s="1"/>
  <c r="A268" i="62" s="1"/>
  <c r="A269" i="62" s="1"/>
  <c r="A270" i="62" s="1"/>
  <c r="A271" i="62" s="1"/>
  <c r="A272" i="62" s="1"/>
  <c r="A273" i="62" s="1"/>
  <c r="A274" i="62" s="1"/>
  <c r="A275" i="62" s="1"/>
  <c r="A276" i="62" s="1"/>
  <c r="A277" i="62" s="1"/>
  <c r="A278" i="62" s="1"/>
  <c r="A279" i="62" s="1"/>
  <c r="A280" i="62" s="1"/>
  <c r="A281" i="62" s="1"/>
  <c r="A282" i="62" s="1"/>
  <c r="A283" i="62" s="1"/>
  <c r="A284" i="62" s="1"/>
  <c r="A285" i="62" s="1"/>
  <c r="A286" i="62" s="1"/>
  <c r="A287" i="62" s="1"/>
  <c r="A288" i="62" s="1"/>
  <c r="A289" i="62" s="1"/>
  <c r="A290" i="62" s="1"/>
  <c r="A291" i="62" s="1"/>
  <c r="A292" i="62" s="1"/>
  <c r="A293" i="62" s="1"/>
  <c r="A294" i="62" s="1"/>
  <c r="A295" i="62" s="1"/>
  <c r="A296" i="62" s="1"/>
  <c r="A297" i="62" s="1"/>
  <c r="A298" i="62" s="1"/>
  <c r="A299" i="62" s="1"/>
  <c r="A300" i="62" s="1"/>
  <c r="A301" i="62" s="1"/>
  <c r="A302" i="62" s="1"/>
  <c r="A303" i="62" s="1"/>
  <c r="A304" i="62" s="1"/>
  <c r="A305" i="62" s="1"/>
  <c r="A306" i="62" s="1"/>
  <c r="A307" i="62" s="1"/>
  <c r="A308" i="62" s="1"/>
  <c r="A309" i="62" s="1"/>
  <c r="A310" i="62" s="1"/>
  <c r="A311" i="62" s="1"/>
  <c r="A312" i="62" s="1"/>
  <c r="A313" i="62" s="1"/>
  <c r="A314" i="62" s="1"/>
  <c r="A315" i="62" s="1"/>
  <c r="A316" i="62" s="1"/>
  <c r="A317" i="62" s="1"/>
  <c r="A318" i="62" s="1"/>
  <c r="A319" i="62" s="1"/>
  <c r="A320" i="62" s="1"/>
  <c r="A321" i="62" s="1"/>
  <c r="A322" i="62" s="1"/>
  <c r="A323" i="62" s="1"/>
  <c r="A324" i="62" s="1"/>
  <c r="A325" i="62" s="1"/>
  <c r="A326" i="62" s="1"/>
  <c r="A327" i="62" s="1"/>
  <c r="A328" i="62" s="1"/>
  <c r="A329" i="62" s="1"/>
  <c r="A330" i="62" s="1"/>
  <c r="A331" i="62" s="1"/>
  <c r="A332" i="62" s="1"/>
  <c r="A333" i="62" s="1"/>
  <c r="A334" i="62" s="1"/>
  <c r="A335" i="62" s="1"/>
  <c r="A336" i="62" s="1"/>
  <c r="A337" i="62" s="1"/>
  <c r="A338" i="62" s="1"/>
  <c r="A339" i="62" s="1"/>
  <c r="A340" i="62" s="1"/>
  <c r="A341" i="62" s="1"/>
  <c r="A342" i="62" s="1"/>
  <c r="A343" i="62" s="1"/>
  <c r="A344" i="62" s="1"/>
  <c r="A345" i="62" s="1"/>
  <c r="A346" i="62" s="1"/>
  <c r="A347" i="62" s="1"/>
  <c r="A348" i="62" s="1"/>
  <c r="A349" i="62" s="1"/>
  <c r="A350" i="62" s="1"/>
  <c r="A351" i="62" s="1"/>
  <c r="A352" i="62" s="1"/>
  <c r="A353" i="62" s="1"/>
  <c r="A354" i="62" s="1"/>
  <c r="A355" i="62" s="1"/>
  <c r="A356" i="62" s="1"/>
  <c r="A357" i="62" s="1"/>
  <c r="A358" i="62" s="1"/>
  <c r="A359" i="62" s="1"/>
  <c r="A360" i="62" s="1"/>
  <c r="A361" i="62" s="1"/>
  <c r="A362" i="62" s="1"/>
  <c r="A363" i="62" s="1"/>
  <c r="A364" i="62" s="1"/>
  <c r="A365" i="62" s="1"/>
  <c r="A366" i="62" s="1"/>
  <c r="A367" i="62" s="1"/>
  <c r="A368" i="62" s="1"/>
  <c r="A369" i="62" s="1"/>
  <c r="A370" i="62" s="1"/>
  <c r="A371" i="62" s="1"/>
  <c r="A372" i="62" s="1"/>
  <c r="A373" i="62" s="1"/>
  <c r="A374" i="62" s="1"/>
  <c r="A375" i="62" s="1"/>
  <c r="A376" i="62" s="1"/>
  <c r="A377" i="62" s="1"/>
  <c r="A378" i="62" s="1"/>
  <c r="A379" i="62" s="1"/>
  <c r="A380" i="62" s="1"/>
  <c r="A381" i="62" s="1"/>
  <c r="A382" i="62" s="1"/>
  <c r="A383" i="62" s="1"/>
  <c r="A384" i="62" s="1"/>
  <c r="A385" i="62" s="1"/>
  <c r="A386" i="62" s="1"/>
  <c r="A387" i="62" s="1"/>
  <c r="A388" i="62" s="1"/>
  <c r="A389" i="62" s="1"/>
  <c r="A390" i="62" s="1"/>
  <c r="A391" i="62" s="1"/>
  <c r="A392" i="62" s="1"/>
  <c r="A393" i="62" s="1"/>
  <c r="A394" i="62" s="1"/>
  <c r="A395" i="62" s="1"/>
  <c r="A396" i="62" s="1"/>
  <c r="A397" i="62" s="1"/>
  <c r="A398" i="62" s="1"/>
  <c r="A399" i="62" s="1"/>
  <c r="A400" i="62" s="1"/>
  <c r="A401" i="62" s="1"/>
  <c r="A402" i="62" s="1"/>
  <c r="A403" i="62" s="1"/>
  <c r="A404" i="62" s="1"/>
  <c r="A405" i="62" s="1"/>
  <c r="A406" i="62" s="1"/>
  <c r="A407" i="62" s="1"/>
  <c r="A408" i="62" s="1"/>
  <c r="A409" i="62" s="1"/>
  <c r="A410" i="62" s="1"/>
  <c r="A411" i="62" s="1"/>
  <c r="A412" i="62" s="1"/>
  <c r="A413" i="62" s="1"/>
  <c r="A414" i="62" s="1"/>
  <c r="A415" i="62" s="1"/>
  <c r="A416" i="62" s="1"/>
  <c r="A417" i="62" s="1"/>
  <c r="A418" i="62" s="1"/>
  <c r="A419" i="62" s="1"/>
  <c r="A420" i="62" s="1"/>
  <c r="A421" i="62" s="1"/>
  <c r="A422" i="62" s="1"/>
  <c r="A423" i="62" s="1"/>
  <c r="A424" i="62" s="1"/>
  <c r="A425" i="62" s="1"/>
  <c r="A426" i="62" s="1"/>
  <c r="A427" i="62" s="1"/>
  <c r="A428" i="62" s="1"/>
  <c r="A429" i="62" s="1"/>
  <c r="A430" i="62" s="1"/>
  <c r="A431" i="62" s="1"/>
  <c r="A432" i="62" s="1"/>
  <c r="A433" i="62" s="1"/>
  <c r="A434" i="62" s="1"/>
  <c r="A435" i="62" s="1"/>
  <c r="A436" i="62" s="1"/>
  <c r="A437" i="62" s="1"/>
  <c r="A438" i="62" s="1"/>
  <c r="A439" i="62" s="1"/>
  <c r="A440" i="62" s="1"/>
  <c r="A441" i="62" s="1"/>
  <c r="A442" i="62" s="1"/>
  <c r="A443" i="62" s="1"/>
  <c r="A444" i="62" s="1"/>
  <c r="A445" i="62" s="1"/>
  <c r="A446" i="62" s="1"/>
  <c r="A447" i="62" s="1"/>
  <c r="A448" i="62" s="1"/>
  <c r="A449" i="62" s="1"/>
  <c r="A450" i="62" s="1"/>
  <c r="A451" i="62" s="1"/>
  <c r="A452" i="62" s="1"/>
  <c r="A453" i="62" s="1"/>
  <c r="A454" i="62" s="1"/>
  <c r="A455" i="62" s="1"/>
  <c r="A456" i="62" s="1"/>
  <c r="A457" i="62" s="1"/>
  <c r="A458" i="62" s="1"/>
  <c r="A459" i="62" s="1"/>
  <c r="A460" i="62" s="1"/>
  <c r="A461" i="62" s="1"/>
  <c r="A462" i="62" s="1"/>
  <c r="A463" i="62" s="1"/>
  <c r="A464" i="62" s="1"/>
  <c r="A465" i="62" s="1"/>
  <c r="A466" i="62" s="1"/>
  <c r="A467" i="62" s="1"/>
  <c r="A468" i="62" s="1"/>
  <c r="A469" i="62" s="1"/>
  <c r="A470" i="62" s="1"/>
  <c r="A471" i="62" s="1"/>
  <c r="A472" i="62" s="1"/>
  <c r="A473" i="62" s="1"/>
  <c r="A474" i="62" s="1"/>
  <c r="A475" i="62" s="1"/>
  <c r="A476" i="62" s="1"/>
  <c r="A477" i="62" s="1"/>
  <c r="A478" i="62" s="1"/>
  <c r="A479" i="62" s="1"/>
  <c r="A480" i="62" s="1"/>
  <c r="A481" i="62" s="1"/>
  <c r="A482" i="62" s="1"/>
  <c r="A483" i="62" s="1"/>
  <c r="A484" i="62" s="1"/>
  <c r="A485" i="62" s="1"/>
  <c r="A486" i="62" s="1"/>
  <c r="A487" i="62" s="1"/>
  <c r="A488" i="62" s="1"/>
  <c r="A489" i="62" s="1"/>
  <c r="A490" i="62" s="1"/>
  <c r="A491" i="62" s="1"/>
  <c r="A492" i="62" s="1"/>
  <c r="A493" i="62" s="1"/>
  <c r="A494" i="62" s="1"/>
  <c r="A495" i="62" s="1"/>
  <c r="A496" i="62" s="1"/>
  <c r="A497" i="62" s="1"/>
  <c r="A498" i="62" s="1"/>
  <c r="A499" i="62" s="1"/>
  <c r="A500" i="62" s="1"/>
  <c r="A501" i="62" s="1"/>
  <c r="A502" i="62" s="1"/>
  <c r="A503" i="62" s="1"/>
  <c r="A504" i="62" s="1"/>
  <c r="A505" i="62" s="1"/>
  <c r="A506" i="62" s="1"/>
  <c r="A507" i="62" s="1"/>
  <c r="A508" i="62" s="1"/>
  <c r="A509" i="62" s="1"/>
  <c r="A510" i="62" s="1"/>
  <c r="A511" i="62" s="1"/>
  <c r="A512" i="62" s="1"/>
  <c r="A513" i="62" s="1"/>
  <c r="A514" i="62" s="1"/>
  <c r="A515" i="62" s="1"/>
  <c r="A516" i="62" s="1"/>
  <c r="A517" i="62" s="1"/>
  <c r="A518" i="62" s="1"/>
  <c r="A519" i="62" s="1"/>
  <c r="A520" i="62" s="1"/>
  <c r="A521" i="62" s="1"/>
  <c r="A522" i="62" s="1"/>
  <c r="A523" i="62" s="1"/>
  <c r="A524" i="62" s="1"/>
  <c r="A525" i="62" s="1"/>
  <c r="A526" i="62" s="1"/>
  <c r="A527" i="62" s="1"/>
  <c r="A528" i="62" s="1"/>
  <c r="A529" i="62" s="1"/>
  <c r="A530" i="62" s="1"/>
  <c r="A531" i="62" s="1"/>
  <c r="A532" i="62" s="1"/>
  <c r="A533" i="62" s="1"/>
  <c r="A534" i="62" s="1"/>
  <c r="A535" i="62" s="1"/>
  <c r="A536" i="62" s="1"/>
  <c r="A537" i="62" s="1"/>
  <c r="A538" i="62" s="1"/>
  <c r="A539" i="62" s="1"/>
  <c r="A540" i="62" s="1"/>
  <c r="A541" i="62" s="1"/>
  <c r="A542" i="62" s="1"/>
  <c r="A543" i="62" s="1"/>
  <c r="A544" i="62" s="1"/>
  <c r="A545" i="62" s="1"/>
  <c r="A546" i="62" s="1"/>
  <c r="A547" i="62" s="1"/>
  <c r="A548" i="62" s="1"/>
  <c r="A549" i="62" s="1"/>
  <c r="A550" i="62" s="1"/>
  <c r="A551" i="62" s="1"/>
  <c r="A552" i="62" s="1"/>
  <c r="A553" i="62" s="1"/>
  <c r="A554" i="62" s="1"/>
  <c r="A555" i="62" s="1"/>
  <c r="A556" i="62" s="1"/>
  <c r="A557" i="62" s="1"/>
  <c r="A558" i="62" s="1"/>
  <c r="A559" i="62" s="1"/>
  <c r="A560" i="62" s="1"/>
  <c r="A561" i="62" s="1"/>
  <c r="A562" i="62" s="1"/>
  <c r="A563" i="62" s="1"/>
  <c r="A564" i="62" s="1"/>
  <c r="A565" i="62" s="1"/>
  <c r="A566" i="62" s="1"/>
  <c r="A567" i="62" s="1"/>
  <c r="A568" i="62" s="1"/>
  <c r="A569" i="62" s="1"/>
  <c r="A570" i="62" s="1"/>
  <c r="A571" i="62" s="1"/>
  <c r="A572" i="62" s="1"/>
  <c r="A573" i="62" s="1"/>
  <c r="A574" i="62" s="1"/>
  <c r="A575" i="62" s="1"/>
  <c r="A576" i="62" s="1"/>
  <c r="A577" i="62" s="1"/>
  <c r="A578" i="62" s="1"/>
  <c r="A579" i="62" s="1"/>
  <c r="A580" i="62" s="1"/>
  <c r="A581" i="62" s="1"/>
  <c r="A582" i="62" s="1"/>
  <c r="A583" i="62" s="1"/>
  <c r="A584" i="62" s="1"/>
  <c r="A585" i="62" s="1"/>
  <c r="A586" i="62" s="1"/>
  <c r="A587" i="62" s="1"/>
  <c r="A588" i="62" s="1"/>
  <c r="A589" i="62" s="1"/>
  <c r="A590" i="62" s="1"/>
  <c r="A591" i="62" s="1"/>
  <c r="A592" i="62" s="1"/>
  <c r="A593" i="62" s="1"/>
  <c r="A594" i="62" s="1"/>
  <c r="A595" i="62" s="1"/>
  <c r="A596" i="62" s="1"/>
  <c r="A597" i="62" s="1"/>
  <c r="A598" i="62" s="1"/>
  <c r="A599" i="62" s="1"/>
  <c r="A600" i="62" s="1"/>
  <c r="A601" i="62" s="1"/>
  <c r="A602" i="62" s="1"/>
  <c r="A603" i="62" s="1"/>
  <c r="A604" i="62" s="1"/>
  <c r="A605" i="62" s="1"/>
  <c r="A606" i="62" s="1"/>
  <c r="A607" i="62" s="1"/>
  <c r="A608" i="62" s="1"/>
  <c r="A609" i="62" s="1"/>
  <c r="A610" i="62" s="1"/>
  <c r="A611" i="62" s="1"/>
  <c r="A612" i="62" s="1"/>
  <c r="A613" i="62" s="1"/>
  <c r="A614" i="62" s="1"/>
  <c r="A615" i="62" s="1"/>
  <c r="A616" i="62" s="1"/>
  <c r="A617" i="62" s="1"/>
  <c r="A618" i="62" s="1"/>
  <c r="A619" i="62" s="1"/>
  <c r="A620" i="62" s="1"/>
  <c r="A621" i="62" s="1"/>
  <c r="A622" i="62" s="1"/>
  <c r="A623" i="62" s="1"/>
  <c r="A624" i="62" s="1"/>
  <c r="A625" i="62" s="1"/>
  <c r="A626" i="62" s="1"/>
  <c r="A627" i="62" s="1"/>
  <c r="A628" i="62" s="1"/>
  <c r="A629" i="62" s="1"/>
  <c r="A630" i="62" s="1"/>
  <c r="A631" i="62" s="1"/>
  <c r="A632" i="62" s="1"/>
  <c r="A633" i="62" s="1"/>
  <c r="A634" i="62" s="1"/>
  <c r="A635" i="62" s="1"/>
  <c r="A636" i="62" s="1"/>
  <c r="A637" i="62" s="1"/>
  <c r="A638" i="62" s="1"/>
  <c r="A639" i="62" s="1"/>
  <c r="A640" i="62" s="1"/>
  <c r="A641" i="62" s="1"/>
  <c r="A642" i="62" s="1"/>
  <c r="A643" i="62" s="1"/>
  <c r="A644" i="62" s="1"/>
  <c r="A645" i="62" s="1"/>
  <c r="A646" i="62" s="1"/>
  <c r="A647" i="62" s="1"/>
  <c r="A648" i="62" s="1"/>
  <c r="A649" i="62" s="1"/>
  <c r="A650" i="62" s="1"/>
  <c r="A651" i="62" s="1"/>
  <c r="A652" i="62" s="1"/>
  <c r="A653" i="62" s="1"/>
  <c r="A654" i="62" s="1"/>
  <c r="A655" i="62" s="1"/>
  <c r="A656" i="62" s="1"/>
  <c r="A657" i="62" s="1"/>
  <c r="A658" i="62" s="1"/>
  <c r="A659" i="62" s="1"/>
  <c r="A660" i="62" s="1"/>
  <c r="A661" i="62" s="1"/>
  <c r="A662" i="62" s="1"/>
  <c r="A663" i="62" s="1"/>
  <c r="A664" i="62" s="1"/>
  <c r="A665" i="62" s="1"/>
  <c r="A666" i="62" s="1"/>
  <c r="A667" i="62" s="1"/>
  <c r="A668" i="62" s="1"/>
  <c r="A669" i="62" s="1"/>
  <c r="A670" i="62" s="1"/>
  <c r="A671" i="62" s="1"/>
  <c r="A672" i="62" s="1"/>
  <c r="A673" i="62" s="1"/>
  <c r="A674" i="62" s="1"/>
  <c r="A675" i="62" s="1"/>
  <c r="A676" i="62" s="1"/>
  <c r="A677" i="62" s="1"/>
  <c r="A678" i="62" s="1"/>
  <c r="A679" i="62" s="1"/>
  <c r="A680" i="62" s="1"/>
  <c r="A681" i="62" s="1"/>
  <c r="A682" i="62" s="1"/>
  <c r="A683" i="62" s="1"/>
  <c r="A684" i="62" s="1"/>
  <c r="A685" i="62" s="1"/>
  <c r="A686" i="62" s="1"/>
  <c r="A687" i="62" s="1"/>
  <c r="A688" i="62" s="1"/>
  <c r="A689" i="62" s="1"/>
  <c r="A690" i="62" s="1"/>
  <c r="A691" i="62" s="1"/>
  <c r="A692" i="62" s="1"/>
  <c r="A693" i="62" s="1"/>
  <c r="A694" i="62" s="1"/>
  <c r="A695" i="62" s="1"/>
  <c r="A696" i="62" s="1"/>
  <c r="A697" i="62" s="1"/>
  <c r="A698" i="62" s="1"/>
  <c r="A699" i="62" s="1"/>
  <c r="A700" i="62" s="1"/>
  <c r="A701" i="62" s="1"/>
  <c r="A702" i="62" s="1"/>
  <c r="A703" i="62" s="1"/>
  <c r="A704" i="62" s="1"/>
  <c r="A705" i="62" s="1"/>
  <c r="A706" i="62" s="1"/>
  <c r="A707" i="62" s="1"/>
  <c r="A708" i="62" s="1"/>
  <c r="A709" i="62" s="1"/>
  <c r="A710" i="62" s="1"/>
  <c r="A711" i="62" s="1"/>
  <c r="A712" i="62" s="1"/>
  <c r="A713" i="62" s="1"/>
  <c r="A714" i="62" s="1"/>
  <c r="A715" i="62" s="1"/>
  <c r="A716" i="62" s="1"/>
  <c r="A717" i="62" s="1"/>
  <c r="A718" i="62" s="1"/>
  <c r="A719" i="62" s="1"/>
  <c r="A720" i="62" s="1"/>
  <c r="A721" i="62" s="1"/>
  <c r="A722" i="62" s="1"/>
  <c r="A723" i="62" s="1"/>
  <c r="A724" i="62" s="1"/>
  <c r="A725" i="62" s="1"/>
  <c r="A726" i="62" s="1"/>
  <c r="A727" i="62" s="1"/>
  <c r="A728" i="62" s="1"/>
  <c r="A729" i="62" s="1"/>
  <c r="A730" i="62" s="1"/>
  <c r="A731" i="62" s="1"/>
  <c r="A732" i="62" s="1"/>
  <c r="A733" i="62" s="1"/>
  <c r="A734" i="62" s="1"/>
  <c r="A735" i="62" s="1"/>
  <c r="A736" i="62" s="1"/>
  <c r="A737" i="62" s="1"/>
  <c r="A738" i="62" s="1"/>
  <c r="A739" i="62" s="1"/>
  <c r="A740" i="62" s="1"/>
  <c r="A741" i="62" s="1"/>
  <c r="A742" i="62" s="1"/>
  <c r="A743" i="62" s="1"/>
  <c r="A744" i="62" s="1"/>
  <c r="A745" i="62" s="1"/>
  <c r="A746" i="62" s="1"/>
  <c r="A747" i="62" s="1"/>
  <c r="A748" i="62" s="1"/>
  <c r="A749" i="62" s="1"/>
  <c r="A750" i="62" s="1"/>
  <c r="A751" i="62" s="1"/>
  <c r="A752" i="62" s="1"/>
  <c r="A753" i="62" s="1"/>
  <c r="A754" i="62" s="1"/>
  <c r="A755" i="62" s="1"/>
  <c r="A756" i="62" s="1"/>
  <c r="A757" i="62" s="1"/>
  <c r="A758" i="62" s="1"/>
  <c r="A759" i="62" s="1"/>
  <c r="A760" i="62" s="1"/>
  <c r="A761" i="62" s="1"/>
  <c r="A762" i="62" s="1"/>
  <c r="A763" i="62" s="1"/>
  <c r="A764" i="62" s="1"/>
  <c r="A765" i="62" s="1"/>
  <c r="A766" i="62" s="1"/>
  <c r="A767" i="62" s="1"/>
  <c r="A768" i="62" s="1"/>
  <c r="A769" i="62" s="1"/>
  <c r="A770" i="62" s="1"/>
  <c r="A771" i="62" s="1"/>
  <c r="A772" i="62" s="1"/>
  <c r="A773" i="62" s="1"/>
  <c r="A774" i="62" s="1"/>
  <c r="A775" i="62" s="1"/>
  <c r="A776" i="62" s="1"/>
  <c r="A777" i="62" s="1"/>
  <c r="A778" i="62" s="1"/>
  <c r="A779" i="62" s="1"/>
  <c r="A780" i="62" s="1"/>
  <c r="A781" i="62" s="1"/>
  <c r="A782" i="62" s="1"/>
  <c r="A783" i="62" s="1"/>
  <c r="A784" i="62" s="1"/>
  <c r="A785" i="62" s="1"/>
  <c r="A786" i="62" s="1"/>
  <c r="A787" i="62" s="1"/>
  <c r="A788" i="62" s="1"/>
  <c r="A789" i="62" s="1"/>
  <c r="A790" i="62" s="1"/>
  <c r="A791" i="62" s="1"/>
  <c r="A792" i="62" s="1"/>
  <c r="A793" i="62" s="1"/>
  <c r="A794" i="62" s="1"/>
  <c r="A795" i="62" s="1"/>
  <c r="A796" i="62" s="1"/>
  <c r="A797" i="62" s="1"/>
  <c r="A798" i="62" s="1"/>
  <c r="A799" i="62" s="1"/>
  <c r="A800" i="62" s="1"/>
  <c r="A801" i="62" s="1"/>
  <c r="A802" i="62" s="1"/>
  <c r="A803" i="62" s="1"/>
  <c r="A804" i="62" s="1"/>
  <c r="A805" i="62" s="1"/>
  <c r="A806" i="62" s="1"/>
  <c r="A807" i="62" s="1"/>
  <c r="A808" i="62" s="1"/>
  <c r="A809" i="62" s="1"/>
  <c r="A810" i="62" s="1"/>
  <c r="A811" i="62" s="1"/>
  <c r="A812" i="62" s="1"/>
  <c r="A813" i="62" s="1"/>
  <c r="A814" i="62" s="1"/>
  <c r="A815" i="62" s="1"/>
  <c r="A816" i="62" s="1"/>
  <c r="A817" i="62" s="1"/>
  <c r="A818" i="62" s="1"/>
  <c r="A819" i="62" s="1"/>
  <c r="A820" i="62" s="1"/>
  <c r="A821" i="62" s="1"/>
  <c r="A822" i="62" s="1"/>
  <c r="A823" i="62" s="1"/>
  <c r="A824" i="62" s="1"/>
  <c r="A825" i="62" s="1"/>
  <c r="A826" i="62" s="1"/>
  <c r="A827" i="62" s="1"/>
  <c r="A828" i="62" s="1"/>
  <c r="A829" i="62" s="1"/>
  <c r="A830" i="62" s="1"/>
  <c r="A831" i="62" s="1"/>
  <c r="A832" i="62" s="1"/>
  <c r="A833" i="62" s="1"/>
  <c r="A834" i="62" s="1"/>
  <c r="A835" i="62" s="1"/>
  <c r="A836" i="62" s="1"/>
  <c r="A837" i="62" s="1"/>
  <c r="A838" i="62" s="1"/>
  <c r="A839" i="62" s="1"/>
  <c r="A840" i="62" s="1"/>
  <c r="A841" i="62" s="1"/>
  <c r="A842" i="62" s="1"/>
  <c r="A843" i="62" s="1"/>
  <c r="A844" i="62" s="1"/>
  <c r="A845" i="62" s="1"/>
  <c r="A846" i="62" s="1"/>
  <c r="A847" i="62" s="1"/>
  <c r="A848" i="62" s="1"/>
  <c r="A849" i="62" s="1"/>
  <c r="A850" i="62" s="1"/>
  <c r="A851" i="62" s="1"/>
  <c r="A852" i="62" s="1"/>
  <c r="A853" i="62" s="1"/>
  <c r="A854" i="62" s="1"/>
  <c r="A855" i="62" s="1"/>
  <c r="A856" i="62" s="1"/>
  <c r="A857" i="62" s="1"/>
  <c r="A858" i="62" s="1"/>
  <c r="A859" i="62" s="1"/>
  <c r="A860" i="62" s="1"/>
  <c r="A861" i="62" s="1"/>
  <c r="A862" i="62" s="1"/>
  <c r="A863" i="62" s="1"/>
  <c r="A864" i="62" s="1"/>
  <c r="A865" i="62" s="1"/>
  <c r="A866" i="62" s="1"/>
  <c r="A867" i="62" s="1"/>
  <c r="A868" i="62" s="1"/>
  <c r="A869" i="62" s="1"/>
  <c r="A870" i="62" s="1"/>
  <c r="A871" i="62" s="1"/>
  <c r="A872" i="62" s="1"/>
  <c r="A873" i="62" s="1"/>
  <c r="A874" i="62" s="1"/>
  <c r="A875" i="62" s="1"/>
  <c r="A876" i="62" s="1"/>
  <c r="A877" i="62" s="1"/>
  <c r="A878" i="62" s="1"/>
  <c r="A879" i="62" s="1"/>
  <c r="A880" i="62" s="1"/>
  <c r="A881" i="62" s="1"/>
  <c r="A882" i="62" s="1"/>
  <c r="A883" i="62" s="1"/>
  <c r="A884" i="62" s="1"/>
  <c r="A885" i="62" s="1"/>
  <c r="A886" i="62" s="1"/>
  <c r="A887" i="62" s="1"/>
  <c r="A888" i="62" s="1"/>
  <c r="A889" i="62" s="1"/>
  <c r="A890" i="62" s="1"/>
  <c r="A891" i="62" s="1"/>
  <c r="A892" i="62" s="1"/>
  <c r="A893" i="62" s="1"/>
  <c r="A894" i="62" s="1"/>
  <c r="A895" i="62" s="1"/>
  <c r="K5" i="10"/>
  <c r="K6" i="10"/>
  <c r="L12" i="5"/>
  <c r="M10" i="5"/>
  <c r="L10" i="5"/>
  <c r="L12" i="4"/>
  <c r="M10" i="4"/>
  <c r="L10" i="4"/>
  <c r="L12" i="3"/>
  <c r="M10" i="3"/>
  <c r="L10" i="3"/>
  <c r="L12" i="2"/>
  <c r="M10" i="2"/>
  <c r="L10" i="2"/>
  <c r="M10" i="1"/>
  <c r="A10" i="10"/>
  <c r="A11" i="10"/>
  <c r="A12" i="10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64" i="10" s="1"/>
  <c r="A65" i="10" s="1"/>
  <c r="A66" i="10" s="1"/>
  <c r="A67" i="10" s="1"/>
  <c r="A68" i="10" s="1"/>
  <c r="A69" i="10" s="1"/>
  <c r="A70" i="10" s="1"/>
  <c r="A71" i="10" s="1"/>
  <c r="A72" i="10" s="1"/>
  <c r="A73" i="10" s="1"/>
  <c r="A74" i="10" s="1"/>
  <c r="A75" i="10" s="1"/>
  <c r="A76" i="10" s="1"/>
  <c r="A77" i="10" s="1"/>
  <c r="A78" i="10" s="1"/>
  <c r="A79" i="10" s="1"/>
  <c r="A80" i="10" s="1"/>
  <c r="A81" i="10" s="1"/>
  <c r="A82" i="10" s="1"/>
  <c r="A83" i="10" s="1"/>
  <c r="A84" i="10" s="1"/>
  <c r="A85" i="10" s="1"/>
  <c r="A86" i="10" s="1"/>
  <c r="A87" i="10" s="1"/>
  <c r="A88" i="10" s="1"/>
  <c r="A89" i="10" s="1"/>
  <c r="A90" i="10" s="1"/>
  <c r="A91" i="10" s="1"/>
  <c r="A92" i="10" s="1"/>
  <c r="A93" i="10" s="1"/>
  <c r="A94" i="10" s="1"/>
  <c r="A95" i="10" s="1"/>
  <c r="A96" i="10" s="1"/>
  <c r="A97" i="10" s="1"/>
  <c r="A98" i="10" s="1"/>
  <c r="A99" i="10" s="1"/>
  <c r="A100" i="10" s="1"/>
  <c r="A101" i="10" s="1"/>
  <c r="A102" i="10" s="1"/>
  <c r="A103" i="10" s="1"/>
  <c r="A104" i="10" s="1"/>
  <c r="A105" i="10" s="1"/>
  <c r="A106" i="10" s="1"/>
  <c r="A107" i="10" s="1"/>
  <c r="A108" i="10" s="1"/>
  <c r="A109" i="10" s="1"/>
  <c r="A110" i="10" s="1"/>
  <c r="A111" i="10" s="1"/>
  <c r="A112" i="10" s="1"/>
  <c r="A113" i="10" s="1"/>
  <c r="A114" i="10" s="1"/>
  <c r="A115" i="10" s="1"/>
  <c r="A116" i="10" s="1"/>
  <c r="A117" i="10" s="1"/>
  <c r="A118" i="10" s="1"/>
  <c r="A119" i="10" s="1"/>
  <c r="A120" i="10" s="1"/>
  <c r="A121" i="10" s="1"/>
  <c r="A122" i="10" s="1"/>
  <c r="A123" i="10" s="1"/>
  <c r="A124" i="10" s="1"/>
  <c r="A125" i="10" s="1"/>
  <c r="A126" i="10" s="1"/>
  <c r="A127" i="10" s="1"/>
  <c r="A128" i="10" s="1"/>
  <c r="A129" i="10" s="1"/>
  <c r="A130" i="10" s="1"/>
  <c r="A131" i="10" s="1"/>
  <c r="A132" i="10" s="1"/>
  <c r="A133" i="10" s="1"/>
  <c r="A134" i="10" s="1"/>
  <c r="A135" i="10" s="1"/>
  <c r="A136" i="10" s="1"/>
  <c r="A137" i="10" s="1"/>
  <c r="A138" i="10" s="1"/>
  <c r="A139" i="10" s="1"/>
  <c r="A140" i="10" s="1"/>
  <c r="A141" i="10" s="1"/>
  <c r="A142" i="10" s="1"/>
  <c r="A143" i="10" s="1"/>
  <c r="A144" i="10" s="1"/>
  <c r="A145" i="10" s="1"/>
  <c r="A146" i="10" s="1"/>
  <c r="A147" i="10" s="1"/>
  <c r="A148" i="10" s="1"/>
  <c r="A149" i="10" s="1"/>
  <c r="A150" i="10" s="1"/>
  <c r="A151" i="10" s="1"/>
  <c r="A152" i="10" s="1"/>
  <c r="A153" i="10" s="1"/>
  <c r="A154" i="10" s="1"/>
  <c r="A155" i="10" s="1"/>
  <c r="A156" i="10" s="1"/>
  <c r="A157" i="10" s="1"/>
  <c r="A158" i="10" s="1"/>
  <c r="A159" i="10" s="1"/>
  <c r="A160" i="10" s="1"/>
  <c r="A161" i="10" s="1"/>
  <c r="A162" i="10" s="1"/>
  <c r="A163" i="10" s="1"/>
  <c r="A164" i="10" s="1"/>
  <c r="A165" i="10" s="1"/>
  <c r="A166" i="10" s="1"/>
  <c r="A167" i="10" s="1"/>
  <c r="A168" i="10" s="1"/>
  <c r="A169" i="10" s="1"/>
  <c r="A170" i="10" s="1"/>
  <c r="A171" i="10" s="1"/>
  <c r="A172" i="10" s="1"/>
  <c r="A173" i="10" s="1"/>
  <c r="A174" i="10" s="1"/>
  <c r="A175" i="10" s="1"/>
  <c r="A176" i="10" s="1"/>
  <c r="A177" i="10" s="1"/>
  <c r="A178" i="10" s="1"/>
  <c r="A179" i="10" s="1"/>
  <c r="A180" i="10" s="1"/>
  <c r="A181" i="10" s="1"/>
  <c r="A182" i="10" s="1"/>
  <c r="A183" i="10" s="1"/>
  <c r="A184" i="10" s="1"/>
  <c r="A185" i="10" s="1"/>
  <c r="A186" i="10" s="1"/>
  <c r="A187" i="10" s="1"/>
  <c r="A188" i="10" s="1"/>
  <c r="A189" i="10" s="1"/>
  <c r="A190" i="10" s="1"/>
  <c r="A191" i="10" s="1"/>
  <c r="A192" i="10" s="1"/>
  <c r="A193" i="10" s="1"/>
  <c r="A194" i="10" s="1"/>
  <c r="A195" i="10" s="1"/>
  <c r="A196" i="10" s="1"/>
  <c r="A197" i="10" s="1"/>
  <c r="A198" i="10" s="1"/>
  <c r="A199" i="10" s="1"/>
  <c r="A200" i="10" s="1"/>
  <c r="A201" i="10" s="1"/>
  <c r="A202" i="10" s="1"/>
  <c r="A203" i="10" s="1"/>
  <c r="A204" i="10" s="1"/>
  <c r="A205" i="10" s="1"/>
  <c r="A206" i="10" s="1"/>
  <c r="A207" i="10" s="1"/>
  <c r="A208" i="10" s="1"/>
  <c r="A209" i="10" s="1"/>
  <c r="A210" i="10" s="1"/>
  <c r="A211" i="10" s="1"/>
  <c r="A212" i="10" s="1"/>
  <c r="A213" i="10" s="1"/>
  <c r="A214" i="10" s="1"/>
  <c r="A215" i="10" s="1"/>
  <c r="A216" i="10" s="1"/>
  <c r="A217" i="10" s="1"/>
  <c r="A218" i="10" s="1"/>
  <c r="A219" i="10" s="1"/>
  <c r="A220" i="10" s="1"/>
  <c r="A221" i="10" s="1"/>
  <c r="A222" i="10" s="1"/>
  <c r="A223" i="10" s="1"/>
  <c r="A224" i="10" s="1"/>
  <c r="A225" i="10" s="1"/>
  <c r="A226" i="10" s="1"/>
  <c r="A227" i="10" s="1"/>
  <c r="A228" i="10" s="1"/>
  <c r="A229" i="10" s="1"/>
  <c r="A230" i="10" s="1"/>
  <c r="A231" i="10" s="1"/>
  <c r="A232" i="10" s="1"/>
  <c r="A233" i="10" s="1"/>
  <c r="A234" i="10" s="1"/>
  <c r="A235" i="10" s="1"/>
  <c r="A236" i="10" s="1"/>
  <c r="A237" i="10" s="1"/>
  <c r="A238" i="10" s="1"/>
  <c r="A239" i="10" s="1"/>
  <c r="A240" i="10" s="1"/>
  <c r="A241" i="10" s="1"/>
  <c r="A242" i="10" s="1"/>
  <c r="A243" i="10" s="1"/>
  <c r="A244" i="10" s="1"/>
  <c r="A245" i="10" s="1"/>
  <c r="A246" i="10" s="1"/>
  <c r="A247" i="10" s="1"/>
  <c r="A248" i="10" s="1"/>
  <c r="A249" i="10" s="1"/>
  <c r="A250" i="10" s="1"/>
  <c r="A251" i="10" s="1"/>
  <c r="A252" i="10" s="1"/>
  <c r="A253" i="10" s="1"/>
  <c r="A254" i="10" s="1"/>
  <c r="A255" i="10" s="1"/>
  <c r="A256" i="10" s="1"/>
  <c r="A257" i="10" s="1"/>
  <c r="A258" i="10" s="1"/>
  <c r="A259" i="10" s="1"/>
  <c r="A260" i="10" s="1"/>
  <c r="A261" i="10" s="1"/>
  <c r="A262" i="10" s="1"/>
  <c r="A263" i="10" s="1"/>
  <c r="A264" i="10" s="1"/>
  <c r="A265" i="10" s="1"/>
  <c r="A266" i="10" s="1"/>
  <c r="A267" i="10" s="1"/>
  <c r="A268" i="10" s="1"/>
  <c r="A269" i="10" s="1"/>
  <c r="A270" i="10" s="1"/>
  <c r="A271" i="10" s="1"/>
  <c r="A272" i="10" s="1"/>
  <c r="A273" i="10" s="1"/>
  <c r="A274" i="10" s="1"/>
  <c r="A275" i="10" s="1"/>
  <c r="A276" i="10" s="1"/>
  <c r="A277" i="10" s="1"/>
  <c r="A278" i="10" s="1"/>
  <c r="A279" i="10" s="1"/>
  <c r="A280" i="10" s="1"/>
  <c r="A281" i="10" s="1"/>
  <c r="A282" i="10" s="1"/>
  <c r="A283" i="10" s="1"/>
  <c r="A284" i="10" s="1"/>
  <c r="A285" i="10" s="1"/>
  <c r="A286" i="10" s="1"/>
  <c r="A287" i="10" s="1"/>
  <c r="A288" i="10" s="1"/>
  <c r="A289" i="10" s="1"/>
  <c r="A290" i="10" s="1"/>
  <c r="A291" i="10" s="1"/>
  <c r="A292" i="10" s="1"/>
  <c r="A293" i="10" s="1"/>
  <c r="A294" i="10" s="1"/>
  <c r="A295" i="10" s="1"/>
  <c r="A296" i="10" s="1"/>
  <c r="A297" i="10" s="1"/>
  <c r="A298" i="10" s="1"/>
  <c r="A299" i="10" s="1"/>
  <c r="A300" i="10" s="1"/>
  <c r="A301" i="10" s="1"/>
  <c r="A302" i="10" s="1"/>
  <c r="A303" i="10" s="1"/>
  <c r="A304" i="10" s="1"/>
  <c r="A305" i="10" s="1"/>
  <c r="A306" i="10" s="1"/>
  <c r="A307" i="10" s="1"/>
  <c r="A308" i="10" s="1"/>
  <c r="A309" i="10" s="1"/>
  <c r="A310" i="10" s="1"/>
  <c r="A311" i="10" s="1"/>
  <c r="A312" i="10" s="1"/>
  <c r="A313" i="10" s="1"/>
  <c r="A314" i="10" s="1"/>
  <c r="A315" i="10" s="1"/>
  <c r="A316" i="10" s="1"/>
  <c r="A317" i="10" s="1"/>
  <c r="A318" i="10" s="1"/>
  <c r="A319" i="10" s="1"/>
  <c r="A320" i="10" s="1"/>
  <c r="A321" i="10" s="1"/>
  <c r="A322" i="10" s="1"/>
  <c r="A323" i="10" s="1"/>
  <c r="A324" i="10" s="1"/>
  <c r="A325" i="10" s="1"/>
  <c r="A326" i="10" s="1"/>
  <c r="A327" i="10" s="1"/>
  <c r="A328" i="10" s="1"/>
  <c r="A329" i="10" s="1"/>
  <c r="A330" i="10" s="1"/>
  <c r="A331" i="10" s="1"/>
  <c r="A332" i="10" s="1"/>
  <c r="A333" i="10" s="1"/>
  <c r="A334" i="10" s="1"/>
  <c r="A335" i="10" s="1"/>
  <c r="A336" i="10" s="1"/>
  <c r="A337" i="10" s="1"/>
  <c r="A338" i="10" s="1"/>
  <c r="A339" i="10" s="1"/>
  <c r="A340" i="10" s="1"/>
  <c r="A341" i="10" s="1"/>
  <c r="A342" i="10" s="1"/>
  <c r="A343" i="10" s="1"/>
  <c r="A344" i="10" s="1"/>
  <c r="A345" i="10" s="1"/>
  <c r="A346" i="10" s="1"/>
  <c r="A347" i="10" s="1"/>
  <c r="A348" i="10" s="1"/>
  <c r="A349" i="10" s="1"/>
  <c r="A350" i="10" s="1"/>
  <c r="A351" i="10" s="1"/>
  <c r="A352" i="10" s="1"/>
  <c r="A353" i="10" s="1"/>
  <c r="A354" i="10" s="1"/>
  <c r="A355" i="10" s="1"/>
  <c r="A356" i="10" s="1"/>
  <c r="A357" i="10" s="1"/>
  <c r="A358" i="10" s="1"/>
  <c r="A359" i="10" s="1"/>
  <c r="A360" i="10" s="1"/>
  <c r="A361" i="10" s="1"/>
  <c r="A362" i="10" s="1"/>
  <c r="A363" i="10" s="1"/>
  <c r="A364" i="10" s="1"/>
  <c r="A365" i="10" s="1"/>
  <c r="A366" i="10" s="1"/>
  <c r="A367" i="10" s="1"/>
  <c r="A368" i="10" s="1"/>
  <c r="A369" i="10" s="1"/>
  <c r="A370" i="10" s="1"/>
  <c r="A371" i="10" s="1"/>
  <c r="A372" i="10" s="1"/>
  <c r="A373" i="10" s="1"/>
  <c r="A374" i="10" s="1"/>
  <c r="A375" i="10" s="1"/>
  <c r="A376" i="10" s="1"/>
  <c r="A377" i="10" s="1"/>
  <c r="A378" i="10" s="1"/>
  <c r="A379" i="10" s="1"/>
  <c r="A380" i="10" s="1"/>
  <c r="A381" i="10" s="1"/>
  <c r="A382" i="10" s="1"/>
  <c r="A383" i="10" s="1"/>
  <c r="A384" i="10" s="1"/>
  <c r="A385" i="10" s="1"/>
  <c r="A386" i="10" s="1"/>
  <c r="A387" i="10" s="1"/>
  <c r="A388" i="10" s="1"/>
  <c r="A389" i="10" s="1"/>
  <c r="A390" i="10" s="1"/>
  <c r="A391" i="10" s="1"/>
  <c r="A392" i="10" s="1"/>
  <c r="A393" i="10" s="1"/>
  <c r="A394" i="10" s="1"/>
  <c r="A395" i="10" s="1"/>
  <c r="A396" i="10" s="1"/>
  <c r="A397" i="10" s="1"/>
  <c r="A398" i="10" s="1"/>
  <c r="A399" i="10" s="1"/>
  <c r="A400" i="10" s="1"/>
  <c r="A401" i="10" s="1"/>
  <c r="A402" i="10" s="1"/>
  <c r="A403" i="10" s="1"/>
  <c r="A404" i="10" s="1"/>
  <c r="A405" i="10" s="1"/>
  <c r="A406" i="10" s="1"/>
  <c r="A407" i="10" s="1"/>
  <c r="A408" i="10" s="1"/>
  <c r="A409" i="10" s="1"/>
  <c r="A410" i="10" s="1"/>
  <c r="A411" i="10" s="1"/>
  <c r="A412" i="10" s="1"/>
  <c r="A413" i="10" s="1"/>
  <c r="A414" i="10" s="1"/>
  <c r="A415" i="10" s="1"/>
  <c r="A416" i="10" s="1"/>
  <c r="A417" i="10" s="1"/>
  <c r="A418" i="10" s="1"/>
  <c r="A419" i="10" s="1"/>
  <c r="A420" i="10" s="1"/>
  <c r="A421" i="10" s="1"/>
  <c r="A422" i="10" s="1"/>
  <c r="A423" i="10" s="1"/>
  <c r="A424" i="10" s="1"/>
  <c r="A425" i="10" s="1"/>
  <c r="A426" i="10" s="1"/>
  <c r="A427" i="10" s="1"/>
  <c r="A428" i="10" s="1"/>
  <c r="A429" i="10" s="1"/>
  <c r="A430" i="10" s="1"/>
  <c r="A431" i="10" s="1"/>
  <c r="A432" i="10" s="1"/>
  <c r="A433" i="10" s="1"/>
  <c r="A434" i="10" s="1"/>
  <c r="A435" i="10" s="1"/>
  <c r="A436" i="10" s="1"/>
  <c r="A437" i="10" s="1"/>
  <c r="A438" i="10" s="1"/>
  <c r="A439" i="10" s="1"/>
  <c r="A440" i="10" s="1"/>
  <c r="A441" i="10" s="1"/>
  <c r="A442" i="10" s="1"/>
  <c r="A443" i="10" s="1"/>
  <c r="A444" i="10" s="1"/>
  <c r="A445" i="10" s="1"/>
  <c r="A446" i="10" s="1"/>
  <c r="A447" i="10" s="1"/>
  <c r="A448" i="10" s="1"/>
  <c r="A449" i="10" s="1"/>
  <c r="A450" i="10" s="1"/>
  <c r="A451" i="10" s="1"/>
  <c r="A452" i="10" s="1"/>
  <c r="A453" i="10" s="1"/>
  <c r="A454" i="10" s="1"/>
  <c r="A455" i="10" s="1"/>
  <c r="A456" i="10" s="1"/>
  <c r="A457" i="10" s="1"/>
  <c r="A458" i="10" s="1"/>
  <c r="A459" i="10" s="1"/>
  <c r="A460" i="10" s="1"/>
  <c r="A461" i="10" s="1"/>
  <c r="A462" i="10" s="1"/>
  <c r="A463" i="10" s="1"/>
  <c r="A464" i="10" s="1"/>
  <c r="A465" i="10" s="1"/>
  <c r="A466" i="10" s="1"/>
  <c r="A467" i="10" s="1"/>
  <c r="A468" i="10" s="1"/>
  <c r="A469" i="10" s="1"/>
  <c r="A470" i="10" s="1"/>
  <c r="A471" i="10" s="1"/>
  <c r="A472" i="10" s="1"/>
  <c r="A473" i="10" s="1"/>
  <c r="A474" i="10" s="1"/>
  <c r="A475" i="10" s="1"/>
  <c r="A476" i="10" s="1"/>
  <c r="A477" i="10" s="1"/>
  <c r="A478" i="10" s="1"/>
  <c r="A479" i="10" s="1"/>
  <c r="A480" i="10" s="1"/>
  <c r="A481" i="10" s="1"/>
  <c r="A482" i="10" s="1"/>
  <c r="A483" i="10" s="1"/>
  <c r="A484" i="10" s="1"/>
  <c r="A485" i="10" s="1"/>
  <c r="A486" i="10" s="1"/>
  <c r="A487" i="10" s="1"/>
  <c r="A488" i="10" s="1"/>
  <c r="A489" i="10" s="1"/>
  <c r="A490" i="10" s="1"/>
  <c r="A491" i="10" s="1"/>
  <c r="A492" i="10" s="1"/>
  <c r="A493" i="10" s="1"/>
  <c r="A494" i="10" s="1"/>
  <c r="A495" i="10" s="1"/>
  <c r="A496" i="10" s="1"/>
  <c r="A497" i="10" s="1"/>
  <c r="A498" i="10" s="1"/>
  <c r="A499" i="10" s="1"/>
  <c r="A500" i="10" s="1"/>
  <c r="A501" i="10" s="1"/>
  <c r="A502" i="10" s="1"/>
  <c r="A503" i="10" s="1"/>
  <c r="A504" i="10" s="1"/>
  <c r="A505" i="10" s="1"/>
  <c r="A506" i="10" s="1"/>
  <c r="A507" i="10" s="1"/>
  <c r="A508" i="10" s="1"/>
  <c r="A509" i="10" s="1"/>
  <c r="A510" i="10" s="1"/>
  <c r="A511" i="10" s="1"/>
  <c r="A512" i="10" s="1"/>
  <c r="A513" i="10" s="1"/>
  <c r="A514" i="10" s="1"/>
  <c r="A515" i="10" s="1"/>
  <c r="A516" i="10" s="1"/>
  <c r="A517" i="10" s="1"/>
  <c r="A518" i="10" s="1"/>
  <c r="A519" i="10" s="1"/>
  <c r="A520" i="10" s="1"/>
  <c r="A521" i="10" s="1"/>
  <c r="A522" i="10" s="1"/>
  <c r="A523" i="10" s="1"/>
  <c r="A524" i="10" s="1"/>
  <c r="A525" i="10" s="1"/>
  <c r="A526" i="10" s="1"/>
  <c r="A527" i="10" s="1"/>
  <c r="A528" i="10" s="1"/>
  <c r="A529" i="10" s="1"/>
  <c r="A530" i="10" s="1"/>
  <c r="A531" i="10" s="1"/>
  <c r="A532" i="10" s="1"/>
  <c r="A533" i="10" s="1"/>
  <c r="A534" i="10" s="1"/>
  <c r="A535" i="10" s="1"/>
  <c r="A536" i="10" s="1"/>
  <c r="A537" i="10" s="1"/>
  <c r="A538" i="10" s="1"/>
  <c r="A539" i="10" s="1"/>
  <c r="A540" i="10" s="1"/>
  <c r="A541" i="10" s="1"/>
  <c r="A542" i="10" s="1"/>
  <c r="A543" i="10" s="1"/>
  <c r="A544" i="10" s="1"/>
  <c r="A545" i="10" s="1"/>
  <c r="A546" i="10" s="1"/>
  <c r="A547" i="10" s="1"/>
  <c r="A548" i="10" s="1"/>
  <c r="A549" i="10" s="1"/>
  <c r="A550" i="10" s="1"/>
  <c r="A551" i="10" s="1"/>
  <c r="A552" i="10" s="1"/>
  <c r="A553" i="10" s="1"/>
  <c r="A554" i="10" s="1"/>
  <c r="A555" i="10" s="1"/>
  <c r="A556" i="10" s="1"/>
  <c r="A557" i="10" s="1"/>
  <c r="A558" i="10" s="1"/>
  <c r="A559" i="10" s="1"/>
  <c r="A560" i="10" s="1"/>
  <c r="A561" i="10" s="1"/>
  <c r="A562" i="10" s="1"/>
  <c r="A563" i="10" s="1"/>
  <c r="A564" i="10" s="1"/>
  <c r="A565" i="10" s="1"/>
  <c r="A566" i="10" s="1"/>
  <c r="A567" i="10" s="1"/>
  <c r="A568" i="10" s="1"/>
  <c r="A569" i="10" s="1"/>
  <c r="A570" i="10" s="1"/>
  <c r="A571" i="10" s="1"/>
  <c r="A572" i="10" s="1"/>
  <c r="A573" i="10" s="1"/>
  <c r="A574" i="10" s="1"/>
  <c r="A575" i="10" s="1"/>
  <c r="A576" i="10" s="1"/>
  <c r="A577" i="10" s="1"/>
  <c r="A578" i="10" s="1"/>
  <c r="A579" i="10" s="1"/>
  <c r="A580" i="10" s="1"/>
  <c r="A581" i="10" s="1"/>
  <c r="A582" i="10" s="1"/>
  <c r="A583" i="10" s="1"/>
  <c r="A584" i="10" s="1"/>
  <c r="A585" i="10" s="1"/>
  <c r="A586" i="10" s="1"/>
  <c r="A587" i="10" s="1"/>
  <c r="A588" i="10" s="1"/>
  <c r="A589" i="10" s="1"/>
  <c r="A590" i="10" s="1"/>
  <c r="A591" i="10" s="1"/>
  <c r="A592" i="10" s="1"/>
  <c r="A593" i="10" s="1"/>
  <c r="A594" i="10" s="1"/>
  <c r="A595" i="10" s="1"/>
  <c r="A596" i="10" s="1"/>
  <c r="A597" i="10" s="1"/>
  <c r="A598" i="10" s="1"/>
  <c r="A599" i="10" s="1"/>
  <c r="A600" i="10" s="1"/>
  <c r="A601" i="10" s="1"/>
  <c r="A602" i="10" s="1"/>
  <c r="A603" i="10" s="1"/>
  <c r="A604" i="10" s="1"/>
  <c r="A605" i="10" s="1"/>
  <c r="A606" i="10" s="1"/>
  <c r="A607" i="10" s="1"/>
  <c r="A608" i="10" s="1"/>
  <c r="A609" i="10" s="1"/>
  <c r="A610" i="10" s="1"/>
  <c r="A611" i="10" s="1"/>
  <c r="A612" i="10" s="1"/>
  <c r="A613" i="10" s="1"/>
  <c r="A614" i="10" s="1"/>
  <c r="A615" i="10" s="1"/>
  <c r="A616" i="10" s="1"/>
  <c r="A617" i="10" s="1"/>
  <c r="A618" i="10" s="1"/>
  <c r="A619" i="10" s="1"/>
  <c r="A620" i="10" s="1"/>
  <c r="A621" i="10" s="1"/>
  <c r="A622" i="10" s="1"/>
  <c r="A623" i="10" s="1"/>
  <c r="A624" i="10" s="1"/>
  <c r="A625" i="10" s="1"/>
  <c r="A626" i="10" s="1"/>
  <c r="A627" i="10" s="1"/>
  <c r="A628" i="10" s="1"/>
  <c r="A629" i="10" s="1"/>
  <c r="A630" i="10" s="1"/>
  <c r="A631" i="10" s="1"/>
  <c r="A632" i="10" s="1"/>
  <c r="A633" i="10" s="1"/>
  <c r="A634" i="10" s="1"/>
  <c r="A635" i="10" s="1"/>
  <c r="A636" i="10" s="1"/>
  <c r="A637" i="10" s="1"/>
  <c r="A638" i="10" s="1"/>
  <c r="A639" i="10" s="1"/>
  <c r="A640" i="10" s="1"/>
  <c r="A641" i="10" s="1"/>
  <c r="A642" i="10" s="1"/>
  <c r="A643" i="10" s="1"/>
  <c r="A644" i="10" s="1"/>
  <c r="A645" i="10" s="1"/>
  <c r="A646" i="10" s="1"/>
  <c r="A647" i="10" s="1"/>
  <c r="A648" i="10" s="1"/>
  <c r="A649" i="10" s="1"/>
  <c r="A650" i="10" s="1"/>
  <c r="A651" i="10" s="1"/>
  <c r="A652" i="10" s="1"/>
  <c r="A653" i="10" s="1"/>
  <c r="A654" i="10" s="1"/>
  <c r="A655" i="10" s="1"/>
  <c r="A656" i="10" s="1"/>
  <c r="A657" i="10" s="1"/>
  <c r="A658" i="10" s="1"/>
  <c r="A659" i="10" s="1"/>
  <c r="A660" i="10" s="1"/>
  <c r="A661" i="10" s="1"/>
  <c r="A662" i="10" s="1"/>
  <c r="A663" i="10" s="1"/>
  <c r="A664" i="10" s="1"/>
  <c r="A665" i="10" s="1"/>
  <c r="A666" i="10" s="1"/>
  <c r="A667" i="10" s="1"/>
  <c r="A668" i="10" s="1"/>
  <c r="A669" i="10" s="1"/>
  <c r="A670" i="10" s="1"/>
  <c r="A671" i="10" s="1"/>
  <c r="A672" i="10" s="1"/>
  <c r="A673" i="10" s="1"/>
  <c r="A674" i="10" s="1"/>
  <c r="A675" i="10" s="1"/>
  <c r="A676" i="10" s="1"/>
  <c r="A677" i="10" s="1"/>
  <c r="A678" i="10" s="1"/>
  <c r="A679" i="10" s="1"/>
  <c r="A680" i="10" s="1"/>
  <c r="A681" i="10" s="1"/>
  <c r="A682" i="10" s="1"/>
  <c r="A683" i="10" s="1"/>
  <c r="A684" i="10" s="1"/>
  <c r="A685" i="10" s="1"/>
  <c r="A686" i="10" s="1"/>
  <c r="A687" i="10" s="1"/>
  <c r="A688" i="10" s="1"/>
  <c r="A689" i="10" s="1"/>
  <c r="A690" i="10" s="1"/>
  <c r="A691" i="10" s="1"/>
  <c r="A692" i="10" s="1"/>
  <c r="A693" i="10" s="1"/>
  <c r="A694" i="10" s="1"/>
  <c r="A695" i="10" s="1"/>
  <c r="A696" i="10" s="1"/>
  <c r="A697" i="10" s="1"/>
  <c r="A698" i="10" s="1"/>
  <c r="A699" i="10" s="1"/>
  <c r="A700" i="10" s="1"/>
  <c r="A701" i="10" s="1"/>
  <c r="A702" i="10" s="1"/>
  <c r="A703" i="10" s="1"/>
  <c r="A704" i="10" s="1"/>
  <c r="A705" i="10" s="1"/>
  <c r="A706" i="10" s="1"/>
  <c r="A707" i="10" s="1"/>
  <c r="A708" i="10" s="1"/>
  <c r="A709" i="10" s="1"/>
  <c r="A710" i="10" s="1"/>
  <c r="A711" i="10" s="1"/>
  <c r="A712" i="10" s="1"/>
  <c r="A713" i="10" s="1"/>
  <c r="A714" i="10" s="1"/>
  <c r="A715" i="10" s="1"/>
  <c r="A716" i="10" s="1"/>
  <c r="A717" i="10" s="1"/>
  <c r="A718" i="10" s="1"/>
  <c r="A719" i="10" s="1"/>
  <c r="A720" i="10" s="1"/>
  <c r="A721" i="10" s="1"/>
  <c r="A722" i="10" s="1"/>
  <c r="A723" i="10" s="1"/>
  <c r="A724" i="10" s="1"/>
  <c r="A725" i="10" s="1"/>
  <c r="A726" i="10" s="1"/>
  <c r="A727" i="10" s="1"/>
  <c r="A728" i="10" s="1"/>
  <c r="A729" i="10" s="1"/>
  <c r="A730" i="10" s="1"/>
  <c r="A731" i="10" s="1"/>
  <c r="A732" i="10" s="1"/>
  <c r="A733" i="10" s="1"/>
  <c r="A734" i="10" s="1"/>
  <c r="A735" i="10" s="1"/>
  <c r="A736" i="10" s="1"/>
  <c r="A737" i="10" s="1"/>
  <c r="A738" i="10" s="1"/>
  <c r="A739" i="10" s="1"/>
  <c r="A740" i="10" s="1"/>
  <c r="A741" i="10" s="1"/>
  <c r="A742" i="10" s="1"/>
  <c r="A743" i="10" s="1"/>
  <c r="A744" i="10" s="1"/>
  <c r="A745" i="10" s="1"/>
  <c r="A746" i="10" s="1"/>
  <c r="A747" i="10" s="1"/>
  <c r="A748" i="10" s="1"/>
  <c r="A749" i="10" s="1"/>
  <c r="A750" i="10" s="1"/>
  <c r="A751" i="10" s="1"/>
  <c r="A752" i="10" s="1"/>
  <c r="A753" i="10" s="1"/>
  <c r="A754" i="10" s="1"/>
  <c r="A755" i="10" s="1"/>
  <c r="A756" i="10" s="1"/>
  <c r="A757" i="10" s="1"/>
  <c r="A758" i="10" s="1"/>
  <c r="A759" i="10" s="1"/>
  <c r="A760" i="10" s="1"/>
  <c r="A761" i="10" s="1"/>
  <c r="A762" i="10" s="1"/>
  <c r="A763" i="10" s="1"/>
  <c r="A764" i="10" s="1"/>
  <c r="A765" i="10" s="1"/>
  <c r="A766" i="10" s="1"/>
  <c r="A767" i="10" s="1"/>
  <c r="A768" i="10" s="1"/>
  <c r="A769" i="10" s="1"/>
  <c r="A770" i="10" s="1"/>
  <c r="A771" i="10" s="1"/>
  <c r="A772" i="10" s="1"/>
  <c r="A773" i="10" s="1"/>
  <c r="A774" i="10" s="1"/>
  <c r="A775" i="10" s="1"/>
  <c r="A776" i="10" s="1"/>
  <c r="A777" i="10" s="1"/>
  <c r="A778" i="10" s="1"/>
  <c r="A779" i="10" s="1"/>
  <c r="A780" i="10" s="1"/>
  <c r="A781" i="10" s="1"/>
  <c r="A782" i="10" s="1"/>
  <c r="A783" i="10" s="1"/>
  <c r="A784" i="10" s="1"/>
  <c r="A785" i="10" s="1"/>
  <c r="A786" i="10" s="1"/>
  <c r="A787" i="10" s="1"/>
  <c r="A788" i="10" s="1"/>
  <c r="A789" i="10" s="1"/>
  <c r="A790" i="10" s="1"/>
  <c r="A791" i="10" s="1"/>
  <c r="A792" i="10" s="1"/>
  <c r="A793" i="10" s="1"/>
  <c r="A794" i="10" s="1"/>
  <c r="A795" i="10" s="1"/>
  <c r="A796" i="10" s="1"/>
  <c r="A797" i="10" s="1"/>
  <c r="A798" i="10" s="1"/>
  <c r="A799" i="10" s="1"/>
  <c r="A800" i="10" s="1"/>
  <c r="A801" i="10" s="1"/>
  <c r="A802" i="10" s="1"/>
  <c r="A803" i="10" s="1"/>
  <c r="A804" i="10" s="1"/>
  <c r="A805" i="10" s="1"/>
  <c r="A806" i="10" s="1"/>
  <c r="A807" i="10" s="1"/>
  <c r="A808" i="10" s="1"/>
  <c r="A809" i="10" s="1"/>
  <c r="A810" i="10" s="1"/>
  <c r="A811" i="10" s="1"/>
  <c r="A812" i="10" s="1"/>
  <c r="A813" i="10" s="1"/>
  <c r="A814" i="10" s="1"/>
  <c r="A815" i="10" s="1"/>
  <c r="A816" i="10" s="1"/>
  <c r="A817" i="10" s="1"/>
  <c r="A818" i="10" s="1"/>
  <c r="A819" i="10" s="1"/>
  <c r="A820" i="10" s="1"/>
  <c r="A821" i="10" s="1"/>
  <c r="A822" i="10" s="1"/>
  <c r="A823" i="10" s="1"/>
  <c r="A824" i="10" s="1"/>
  <c r="A825" i="10" s="1"/>
  <c r="A826" i="10" s="1"/>
  <c r="A827" i="10" s="1"/>
  <c r="A828" i="10" s="1"/>
  <c r="A829" i="10" s="1"/>
  <c r="A830" i="10" s="1"/>
  <c r="A831" i="10" s="1"/>
  <c r="A832" i="10" s="1"/>
  <c r="A833" i="10" s="1"/>
  <c r="A834" i="10" s="1"/>
  <c r="A835" i="10" s="1"/>
  <c r="A836" i="10" s="1"/>
  <c r="A837" i="10" s="1"/>
  <c r="A838" i="10" s="1"/>
  <c r="A839" i="10" s="1"/>
  <c r="A840" i="10" s="1"/>
  <c r="A841" i="10" s="1"/>
  <c r="A842" i="10" s="1"/>
  <c r="A843" i="10" s="1"/>
  <c r="A844" i="10" s="1"/>
  <c r="A845" i="10" s="1"/>
  <c r="A846" i="10" s="1"/>
  <c r="A847" i="10" s="1"/>
  <c r="A848" i="10" s="1"/>
  <c r="A849" i="10" s="1"/>
  <c r="A850" i="10" s="1"/>
  <c r="A851" i="10" s="1"/>
  <c r="A852" i="10" s="1"/>
  <c r="A853" i="10" s="1"/>
  <c r="A854" i="10" s="1"/>
  <c r="A855" i="10" s="1"/>
  <c r="A856" i="10" s="1"/>
  <c r="A857" i="10" s="1"/>
  <c r="A858" i="10" s="1"/>
  <c r="A859" i="10" s="1"/>
  <c r="A860" i="10" s="1"/>
  <c r="A861" i="10" s="1"/>
  <c r="A862" i="10" s="1"/>
  <c r="A863" i="10" s="1"/>
  <c r="A864" i="10" s="1"/>
  <c r="A865" i="10" s="1"/>
  <c r="A866" i="10" s="1"/>
  <c r="A867" i="10" s="1"/>
  <c r="A868" i="10" s="1"/>
  <c r="A869" i="10" s="1"/>
  <c r="A870" i="10" s="1"/>
  <c r="A871" i="10" s="1"/>
  <c r="A872" i="10" s="1"/>
  <c r="A873" i="10" s="1"/>
  <c r="A874" i="10" s="1"/>
  <c r="A875" i="10" s="1"/>
  <c r="A876" i="10" s="1"/>
  <c r="A877" i="10" s="1"/>
  <c r="A878" i="10" s="1"/>
  <c r="A879" i="10" s="1"/>
  <c r="A880" i="10" s="1"/>
  <c r="A881" i="10" s="1"/>
  <c r="A882" i="10" s="1"/>
  <c r="A883" i="10" s="1"/>
  <c r="A884" i="10" s="1"/>
  <c r="A885" i="10" s="1"/>
  <c r="A886" i="10" s="1"/>
  <c r="A887" i="10" s="1"/>
  <c r="A888" i="10" s="1"/>
  <c r="A889" i="10" s="1"/>
  <c r="A890" i="10" s="1"/>
  <c r="A891" i="10" s="1"/>
  <c r="A892" i="10" s="1"/>
  <c r="A893" i="10" s="1"/>
  <c r="A894" i="10" s="1"/>
  <c r="A895" i="10" s="1"/>
  <c r="A13" i="11"/>
  <c r="O9" i="10"/>
  <c r="O10" i="10" l="1"/>
  <c r="O11" i="10" s="1"/>
  <c r="O12" i="10" s="1"/>
  <c r="O13" i="10" s="1"/>
  <c r="O14" i="10" s="1"/>
  <c r="O15" i="10" s="1"/>
  <c r="O16" i="10" s="1"/>
  <c r="O17" i="10" s="1"/>
  <c r="O18" i="10" s="1"/>
  <c r="O19" i="10" s="1"/>
  <c r="O20" i="10" s="1"/>
  <c r="O21" i="10" s="1"/>
  <c r="O22" i="10" s="1"/>
  <c r="O23" i="10" s="1"/>
  <c r="O24" i="10" s="1"/>
  <c r="O25" i="10" s="1"/>
  <c r="O26" i="10" s="1"/>
  <c r="O27" i="10" s="1"/>
  <c r="O28" i="10" s="1"/>
  <c r="O29" i="10" s="1"/>
  <c r="O30" i="10" s="1"/>
  <c r="O31" i="10" s="1"/>
  <c r="O32" i="10" s="1"/>
  <c r="O33" i="10" s="1"/>
  <c r="O34" i="10" s="1"/>
  <c r="O35" i="10" s="1"/>
  <c r="O36" i="10" s="1"/>
  <c r="O37" i="10" s="1"/>
  <c r="O38" i="10" s="1"/>
  <c r="O39" i="10" s="1"/>
  <c r="O40" i="10" s="1"/>
  <c r="O41" i="10" s="1"/>
  <c r="O42" i="10" s="1"/>
  <c r="O43" i="10" s="1"/>
  <c r="O44" i="10" s="1"/>
  <c r="O46" i="10"/>
  <c r="O83" i="10" l="1"/>
  <c r="O47" i="10"/>
  <c r="O48" i="10" s="1"/>
  <c r="O49" i="10" s="1"/>
  <c r="O50" i="10" s="1"/>
  <c r="O51" i="10" s="1"/>
  <c r="O52" i="10" s="1"/>
  <c r="O53" i="10" s="1"/>
  <c r="O54" i="10" s="1"/>
  <c r="O55" i="10" s="1"/>
  <c r="O56" i="10" s="1"/>
  <c r="O57" i="10" s="1"/>
  <c r="O58" i="10" s="1"/>
  <c r="O59" i="10" s="1"/>
  <c r="O60" i="10" s="1"/>
  <c r="O61" i="10" s="1"/>
  <c r="O62" i="10" s="1"/>
  <c r="O63" i="10" s="1"/>
  <c r="O64" i="10" s="1"/>
  <c r="O65" i="10" s="1"/>
  <c r="O66" i="10" s="1"/>
  <c r="O67" i="10" s="1"/>
  <c r="O68" i="10" s="1"/>
  <c r="O69" i="10" s="1"/>
  <c r="O70" i="10" s="1"/>
  <c r="O71" i="10" s="1"/>
  <c r="O72" i="10" s="1"/>
  <c r="O73" i="10" s="1"/>
  <c r="O74" i="10" s="1"/>
  <c r="O75" i="10" s="1"/>
  <c r="O76" i="10" s="1"/>
  <c r="O77" i="10" s="1"/>
  <c r="O78" i="10" s="1"/>
  <c r="O79" i="10" s="1"/>
  <c r="O80" i="10" s="1"/>
  <c r="O81" i="10" s="1"/>
  <c r="O120" i="10" l="1"/>
  <c r="O84" i="10"/>
  <c r="O85" i="10" s="1"/>
  <c r="O86" i="10" s="1"/>
  <c r="O87" i="10" s="1"/>
  <c r="O88" i="10" s="1"/>
  <c r="O89" i="10" s="1"/>
  <c r="O90" i="10" s="1"/>
  <c r="O91" i="10" s="1"/>
  <c r="O92" i="10" s="1"/>
  <c r="O93" i="10" s="1"/>
  <c r="O94" i="10" s="1"/>
  <c r="O95" i="10" s="1"/>
  <c r="O96" i="10" s="1"/>
  <c r="O97" i="10" s="1"/>
  <c r="O98" i="10" s="1"/>
  <c r="O99" i="10" s="1"/>
  <c r="O100" i="10" s="1"/>
  <c r="O101" i="10" s="1"/>
  <c r="O102" i="10" s="1"/>
  <c r="O103" i="10" s="1"/>
  <c r="O104" i="10" s="1"/>
  <c r="O105" i="10" s="1"/>
  <c r="O106" i="10" s="1"/>
  <c r="O107" i="10" s="1"/>
  <c r="O108" i="10" s="1"/>
  <c r="O109" i="10" s="1"/>
  <c r="O110" i="10" s="1"/>
  <c r="O111" i="10" s="1"/>
  <c r="O112" i="10" s="1"/>
  <c r="O113" i="10" s="1"/>
  <c r="O114" i="10" s="1"/>
  <c r="O115" i="10" s="1"/>
  <c r="O116" i="10" s="1"/>
  <c r="O117" i="10" s="1"/>
  <c r="O118" i="10" s="1"/>
  <c r="O157" i="10" l="1"/>
  <c r="O121" i="10"/>
  <c r="O122" i="10" s="1"/>
  <c r="O123" i="10" s="1"/>
  <c r="O124" i="10" s="1"/>
  <c r="O125" i="10" s="1"/>
  <c r="O126" i="10" s="1"/>
  <c r="O127" i="10" s="1"/>
  <c r="O128" i="10" s="1"/>
  <c r="O129" i="10" s="1"/>
  <c r="O130" i="10" s="1"/>
  <c r="O131" i="10" s="1"/>
  <c r="O132" i="10" s="1"/>
  <c r="O133" i="10" s="1"/>
  <c r="O134" i="10" s="1"/>
  <c r="O135" i="10" s="1"/>
  <c r="O136" i="10" s="1"/>
  <c r="O137" i="10" s="1"/>
  <c r="O138" i="10" s="1"/>
  <c r="O139" i="10" s="1"/>
  <c r="O140" i="10" s="1"/>
  <c r="O141" i="10" s="1"/>
  <c r="O142" i="10" s="1"/>
  <c r="O143" i="10" s="1"/>
  <c r="O144" i="10" s="1"/>
  <c r="O145" i="10" s="1"/>
  <c r="O146" i="10" s="1"/>
  <c r="O147" i="10" s="1"/>
  <c r="O148" i="10" s="1"/>
  <c r="O149" i="10" s="1"/>
  <c r="O150" i="10" s="1"/>
  <c r="O151" i="10" s="1"/>
  <c r="O152" i="10" s="1"/>
  <c r="O153" i="10" s="1"/>
  <c r="O154" i="10" s="1"/>
  <c r="O155" i="10" s="1"/>
  <c r="O158" i="10" l="1"/>
  <c r="O159" i="10" s="1"/>
  <c r="O160" i="10" s="1"/>
  <c r="O161" i="10" s="1"/>
  <c r="O162" i="10" s="1"/>
  <c r="O163" i="10" s="1"/>
  <c r="O164" i="10" s="1"/>
  <c r="O165" i="10" s="1"/>
  <c r="O166" i="10" s="1"/>
  <c r="O167" i="10" s="1"/>
  <c r="O168" i="10" s="1"/>
  <c r="O169" i="10" s="1"/>
  <c r="O170" i="10" s="1"/>
  <c r="O171" i="10" s="1"/>
  <c r="O172" i="10" s="1"/>
  <c r="O173" i="10" s="1"/>
  <c r="O174" i="10" s="1"/>
  <c r="O175" i="10" s="1"/>
  <c r="O176" i="10" s="1"/>
  <c r="O177" i="10" s="1"/>
  <c r="O178" i="10" s="1"/>
  <c r="O179" i="10" s="1"/>
  <c r="O180" i="10" s="1"/>
  <c r="O181" i="10" s="1"/>
  <c r="O182" i="10" s="1"/>
  <c r="O183" i="10" s="1"/>
  <c r="O184" i="10" s="1"/>
  <c r="O185" i="10" s="1"/>
  <c r="O186" i="10" s="1"/>
  <c r="O187" i="10" s="1"/>
  <c r="O188" i="10" s="1"/>
  <c r="O189" i="10" s="1"/>
  <c r="O190" i="10" s="1"/>
  <c r="O191" i="10" s="1"/>
  <c r="O192" i="10" s="1"/>
  <c r="O194" i="10"/>
  <c r="O231" i="10" l="1"/>
  <c r="O195" i="10"/>
  <c r="O196" i="10" s="1"/>
  <c r="O197" i="10" s="1"/>
  <c r="O198" i="10" s="1"/>
  <c r="O199" i="10" s="1"/>
  <c r="O200" i="10" s="1"/>
  <c r="O201" i="10" s="1"/>
  <c r="O202" i="10" s="1"/>
  <c r="O203" i="10" s="1"/>
  <c r="O204" i="10" s="1"/>
  <c r="O205" i="10" s="1"/>
  <c r="O206" i="10" s="1"/>
  <c r="O207" i="10" s="1"/>
  <c r="O208" i="10" s="1"/>
  <c r="O209" i="10" s="1"/>
  <c r="O210" i="10" s="1"/>
  <c r="O211" i="10" s="1"/>
  <c r="O212" i="10" s="1"/>
  <c r="O213" i="10" s="1"/>
  <c r="O214" i="10" s="1"/>
  <c r="O215" i="10" s="1"/>
  <c r="O216" i="10" s="1"/>
  <c r="O217" i="10" s="1"/>
  <c r="O218" i="10" s="1"/>
  <c r="O219" i="10" s="1"/>
  <c r="O220" i="10" s="1"/>
  <c r="O221" i="10" s="1"/>
  <c r="O222" i="10" s="1"/>
  <c r="O223" i="10" s="1"/>
  <c r="O224" i="10" s="1"/>
  <c r="O225" i="10" s="1"/>
  <c r="O226" i="10" s="1"/>
  <c r="O227" i="10" s="1"/>
  <c r="O228" i="10" s="1"/>
  <c r="O229" i="10" s="1"/>
  <c r="O268" i="10" l="1"/>
  <c r="O232" i="10"/>
  <c r="O233" i="10" s="1"/>
  <c r="O234" i="10" s="1"/>
  <c r="O235" i="10" s="1"/>
  <c r="O236" i="10" s="1"/>
  <c r="O237" i="10" s="1"/>
  <c r="O238" i="10" s="1"/>
  <c r="O239" i="10" s="1"/>
  <c r="O240" i="10" s="1"/>
  <c r="O241" i="10" s="1"/>
  <c r="O242" i="10" s="1"/>
  <c r="O243" i="10" s="1"/>
  <c r="O244" i="10" s="1"/>
  <c r="O245" i="10" s="1"/>
  <c r="O246" i="10" s="1"/>
  <c r="O247" i="10" s="1"/>
  <c r="O248" i="10" s="1"/>
  <c r="O249" i="10" s="1"/>
  <c r="O250" i="10" s="1"/>
  <c r="O251" i="10" s="1"/>
  <c r="O252" i="10" s="1"/>
  <c r="O253" i="10" s="1"/>
  <c r="O254" i="10" s="1"/>
  <c r="O255" i="10" s="1"/>
  <c r="O256" i="10" s="1"/>
  <c r="O257" i="10" s="1"/>
  <c r="O258" i="10" s="1"/>
  <c r="O259" i="10" s="1"/>
  <c r="O260" i="10" s="1"/>
  <c r="O261" i="10" s="1"/>
  <c r="O262" i="10" s="1"/>
  <c r="O263" i="10" s="1"/>
  <c r="O264" i="10" s="1"/>
  <c r="O265" i="10" s="1"/>
  <c r="O266" i="10" s="1"/>
  <c r="O269" i="10" l="1"/>
  <c r="O270" i="10" s="1"/>
  <c r="O271" i="10" s="1"/>
  <c r="O272" i="10" s="1"/>
  <c r="O273" i="10" s="1"/>
  <c r="O274" i="10" s="1"/>
  <c r="O275" i="10" s="1"/>
  <c r="O276" i="10" s="1"/>
  <c r="O277" i="10" s="1"/>
  <c r="O278" i="10" s="1"/>
  <c r="O279" i="10" s="1"/>
  <c r="O280" i="10" s="1"/>
  <c r="O281" i="10" s="1"/>
  <c r="O282" i="10" s="1"/>
  <c r="O283" i="10" s="1"/>
  <c r="O284" i="10" s="1"/>
  <c r="O285" i="10" s="1"/>
  <c r="O286" i="10" s="1"/>
  <c r="O287" i="10" s="1"/>
  <c r="O288" i="10" s="1"/>
  <c r="O289" i="10" s="1"/>
  <c r="O290" i="10" s="1"/>
  <c r="O291" i="10" s="1"/>
  <c r="O292" i="10" s="1"/>
  <c r="O293" i="10" s="1"/>
  <c r="O294" i="10" s="1"/>
  <c r="O295" i="10" s="1"/>
  <c r="O296" i="10" s="1"/>
  <c r="O297" i="10" s="1"/>
  <c r="O298" i="10" s="1"/>
  <c r="O299" i="10" s="1"/>
  <c r="O300" i="10" s="1"/>
  <c r="O301" i="10" s="1"/>
  <c r="O302" i="10" s="1"/>
  <c r="O303" i="10" s="1"/>
  <c r="O305" i="10"/>
  <c r="O342" i="10" l="1"/>
  <c r="O306" i="10"/>
  <c r="O307" i="10" s="1"/>
  <c r="O308" i="10" s="1"/>
  <c r="O309" i="10" s="1"/>
  <c r="O310" i="10" s="1"/>
  <c r="O311" i="10" s="1"/>
  <c r="O312" i="10" s="1"/>
  <c r="O313" i="10" s="1"/>
  <c r="O314" i="10" s="1"/>
  <c r="O315" i="10" s="1"/>
  <c r="O316" i="10" s="1"/>
  <c r="O317" i="10" s="1"/>
  <c r="O318" i="10" s="1"/>
  <c r="O319" i="10" s="1"/>
  <c r="O320" i="10" s="1"/>
  <c r="O321" i="10" s="1"/>
  <c r="O322" i="10" s="1"/>
  <c r="O323" i="10" s="1"/>
  <c r="O324" i="10" s="1"/>
  <c r="O325" i="10" s="1"/>
  <c r="O326" i="10" s="1"/>
  <c r="O327" i="10" s="1"/>
  <c r="O328" i="10" s="1"/>
  <c r="O329" i="10" s="1"/>
  <c r="O330" i="10" s="1"/>
  <c r="O331" i="10" s="1"/>
  <c r="O332" i="10" s="1"/>
  <c r="O333" i="10" s="1"/>
  <c r="O334" i="10" s="1"/>
  <c r="O335" i="10" s="1"/>
  <c r="O336" i="10" s="1"/>
  <c r="O337" i="10" s="1"/>
  <c r="O338" i="10" s="1"/>
  <c r="O339" i="10" s="1"/>
  <c r="O340" i="10" s="1"/>
  <c r="O379" i="10" l="1"/>
  <c r="O343" i="10"/>
  <c r="O344" i="10" s="1"/>
  <c r="O345" i="10" s="1"/>
  <c r="O346" i="10" s="1"/>
  <c r="O347" i="10" s="1"/>
  <c r="O348" i="10" s="1"/>
  <c r="O349" i="10" s="1"/>
  <c r="O350" i="10" s="1"/>
  <c r="O351" i="10" s="1"/>
  <c r="O352" i="10" s="1"/>
  <c r="O353" i="10" s="1"/>
  <c r="O354" i="10" s="1"/>
  <c r="O355" i="10" s="1"/>
  <c r="O356" i="10" s="1"/>
  <c r="O357" i="10" s="1"/>
  <c r="O358" i="10" s="1"/>
  <c r="O359" i="10" s="1"/>
  <c r="O360" i="10" s="1"/>
  <c r="O361" i="10" s="1"/>
  <c r="O362" i="10" s="1"/>
  <c r="O363" i="10" s="1"/>
  <c r="O364" i="10" s="1"/>
  <c r="O365" i="10" s="1"/>
  <c r="O366" i="10" s="1"/>
  <c r="O367" i="10" s="1"/>
  <c r="O368" i="10" s="1"/>
  <c r="O369" i="10" s="1"/>
  <c r="O370" i="10" s="1"/>
  <c r="O371" i="10" s="1"/>
  <c r="O372" i="10" s="1"/>
  <c r="O373" i="10" s="1"/>
  <c r="O374" i="10" s="1"/>
  <c r="O375" i="10" s="1"/>
  <c r="O376" i="10" s="1"/>
  <c r="O377" i="10" s="1"/>
  <c r="O380" i="10" l="1"/>
  <c r="O381" i="10" s="1"/>
  <c r="O382" i="10" s="1"/>
  <c r="O383" i="10" s="1"/>
  <c r="O384" i="10" s="1"/>
  <c r="O385" i="10" s="1"/>
  <c r="O386" i="10" s="1"/>
  <c r="O387" i="10" s="1"/>
  <c r="O388" i="10" s="1"/>
  <c r="O389" i="10" s="1"/>
  <c r="O390" i="10" s="1"/>
  <c r="O391" i="10" s="1"/>
  <c r="O392" i="10" s="1"/>
  <c r="O393" i="10" s="1"/>
  <c r="O394" i="10" s="1"/>
  <c r="O395" i="10" s="1"/>
  <c r="O396" i="10" s="1"/>
  <c r="O397" i="10" s="1"/>
  <c r="O398" i="10" s="1"/>
  <c r="O399" i="10" s="1"/>
  <c r="O400" i="10" s="1"/>
  <c r="O401" i="10" s="1"/>
  <c r="O402" i="10" s="1"/>
  <c r="O403" i="10" s="1"/>
  <c r="O404" i="10" s="1"/>
  <c r="O405" i="10" s="1"/>
  <c r="O406" i="10" s="1"/>
  <c r="O407" i="10" s="1"/>
  <c r="O408" i="10" s="1"/>
  <c r="O409" i="10" s="1"/>
  <c r="O410" i="10" s="1"/>
  <c r="O411" i="10" s="1"/>
  <c r="O412" i="10" s="1"/>
  <c r="O413" i="10" s="1"/>
  <c r="O414" i="10" s="1"/>
  <c r="O416" i="10"/>
  <c r="O417" i="10" s="1"/>
  <c r="O418" i="10" s="1"/>
  <c r="O419" i="10" s="1"/>
  <c r="O420" i="10" s="1"/>
  <c r="O421" i="10" s="1"/>
  <c r="O422" i="10" s="1"/>
  <c r="O423" i="10" s="1"/>
  <c r="O424" i="10" s="1"/>
  <c r="O425" i="10" s="1"/>
  <c r="O426" i="10" s="1"/>
  <c r="O427" i="10" s="1"/>
  <c r="O428" i="10" s="1"/>
  <c r="O429" i="10" s="1"/>
  <c r="O430" i="10" s="1"/>
  <c r="O431" i="10" s="1"/>
  <c r="O432" i="10" s="1"/>
  <c r="O433" i="10" s="1"/>
  <c r="O434" i="10" s="1"/>
  <c r="O435" i="10" s="1"/>
  <c r="O436" i="10" s="1"/>
  <c r="O437" i="10" s="1"/>
  <c r="O438" i="10" s="1"/>
  <c r="O439" i="10" s="1"/>
  <c r="O440" i="10" s="1"/>
  <c r="O441" i="10" s="1"/>
  <c r="O442" i="10" s="1"/>
  <c r="O443" i="10" s="1"/>
  <c r="O444" i="10" s="1"/>
  <c r="O445" i="10" s="1"/>
  <c r="O446" i="10" s="1"/>
  <c r="O447" i="10" s="1"/>
  <c r="O448" i="10" s="1"/>
  <c r="O449" i="10" s="1"/>
  <c r="O450" i="10" s="1"/>
  <c r="O451" i="10" s="1"/>
</calcChain>
</file>

<file path=xl/comments1.xml><?xml version="1.0" encoding="utf-8"?>
<comments xmlns="http://schemas.openxmlformats.org/spreadsheetml/2006/main">
  <authors>
    <author>Eracine-johnson</author>
  </authors>
  <commentList>
    <comment ref="K2" authorId="0" shapeId="0">
      <text>
        <r>
          <rPr>
            <b/>
            <sz val="9"/>
            <color indexed="81"/>
            <rFont val="Tahoma"/>
            <family val="2"/>
          </rPr>
          <t>Eracine-johnson:</t>
        </r>
        <r>
          <rPr>
            <sz val="9"/>
            <color indexed="81"/>
            <rFont val="Tahoma"/>
            <family val="2"/>
          </rPr>
          <t xml:space="preserve">
=EDATE(TODAY(),1)</t>
        </r>
      </text>
    </comment>
  </commentList>
</comments>
</file>

<file path=xl/sharedStrings.xml><?xml version="1.0" encoding="utf-8"?>
<sst xmlns="http://schemas.openxmlformats.org/spreadsheetml/2006/main" count="30183" uniqueCount="1120">
  <si>
    <t>PJM / MISO</t>
  </si>
  <si>
    <t>Start Date</t>
  </si>
  <si>
    <t>State</t>
  </si>
  <si>
    <t>EDC</t>
  </si>
  <si>
    <t>Rate Class</t>
  </si>
  <si>
    <t>PA</t>
  </si>
  <si>
    <t>GS</t>
  </si>
  <si>
    <t>GSCL</t>
  </si>
  <si>
    <t>GSCM</t>
  </si>
  <si>
    <t>GSCS</t>
  </si>
  <si>
    <t>Penelec</t>
  </si>
  <si>
    <t>PECO</t>
  </si>
  <si>
    <t>PPL</t>
  </si>
  <si>
    <t>GS1</t>
  </si>
  <si>
    <t>GS3</t>
  </si>
  <si>
    <t>WPP</t>
  </si>
  <si>
    <t>GS20</t>
  </si>
  <si>
    <t>Champion Energy Services - CONFIDENTIAL Information</t>
  </si>
  <si>
    <t>OH</t>
  </si>
  <si>
    <t>GS2</t>
  </si>
  <si>
    <t>SS</t>
  </si>
  <si>
    <t>Duke</t>
  </si>
  <si>
    <t>DS</t>
  </si>
  <si>
    <t>IL</t>
  </si>
  <si>
    <t>COMED</t>
  </si>
  <si>
    <t>LP28</t>
  </si>
  <si>
    <t>LP29</t>
  </si>
  <si>
    <t>AMEREN</t>
  </si>
  <si>
    <t>DS2</t>
  </si>
  <si>
    <t>NJ</t>
  </si>
  <si>
    <t>AECO</t>
  </si>
  <si>
    <t>MGS</t>
  </si>
  <si>
    <t>AGS</t>
  </si>
  <si>
    <t>JCPL</t>
  </si>
  <si>
    <t>PSEG</t>
  </si>
  <si>
    <t>GLP</t>
  </si>
  <si>
    <t>LPL</t>
  </si>
  <si>
    <t>MD</t>
  </si>
  <si>
    <t>BGE</t>
  </si>
  <si>
    <t>G</t>
  </si>
  <si>
    <t>GL</t>
  </si>
  <si>
    <t>Delmarva</t>
  </si>
  <si>
    <t>PEPCO</t>
  </si>
  <si>
    <t>MGT LV II</t>
  </si>
  <si>
    <t>RC_3T7</t>
  </si>
  <si>
    <t>Potomac Edison</t>
  </si>
  <si>
    <t>DQE</t>
  </si>
  <si>
    <t>Segment Name</t>
  </si>
  <si>
    <t>Pennsylvania</t>
  </si>
  <si>
    <t>Ohio</t>
  </si>
  <si>
    <t>Illinois</t>
  </si>
  <si>
    <t>New Jersey</t>
  </si>
  <si>
    <t>Maryland</t>
  </si>
  <si>
    <t>ISO</t>
  </si>
  <si>
    <t>Broker Fee ($/MWh):</t>
  </si>
  <si>
    <t>MWh/YR</t>
  </si>
  <si>
    <t>12 mths</t>
  </si>
  <si>
    <t>18 mths</t>
  </si>
  <si>
    <t>24 mths</t>
  </si>
  <si>
    <t>0-100 MWh</t>
  </si>
  <si>
    <t>100-500 MWh</t>
  </si>
  <si>
    <t>AEP OH</t>
  </si>
  <si>
    <t>FE OH</t>
  </si>
  <si>
    <t>EDC Matrix Name</t>
  </si>
  <si>
    <t>P&amp;L UDC</t>
  </si>
  <si>
    <t>Long Description</t>
  </si>
  <si>
    <t>Start Month</t>
  </si>
  <si>
    <t>6 Mths</t>
  </si>
  <si>
    <t>12 Mths</t>
  </si>
  <si>
    <t>18 Mths</t>
  </si>
  <si>
    <t>24 Mths</t>
  </si>
  <si>
    <t>36 Mths</t>
  </si>
  <si>
    <t>PJM Prompt Start Mth:</t>
  </si>
  <si>
    <t>Today's Date (Formula):</t>
  </si>
  <si>
    <t># of Unique Segements</t>
  </si>
  <si>
    <t>Segment ID</t>
  </si>
  <si>
    <t>Max PJM Prompt Start Mth</t>
  </si>
  <si>
    <t>Start Mth ID</t>
  </si>
  <si>
    <t># of Unique Rows (excluding Blanks)</t>
  </si>
  <si>
    <t>Combo ID (vlookup)</t>
  </si>
  <si>
    <t>Trade Date</t>
  </si>
  <si>
    <t>Version</t>
  </si>
  <si>
    <t>Max Price Date that Matches 'Today' in Source File:</t>
  </si>
  <si>
    <t>Row ID (6 Mths tab)</t>
  </si>
  <si>
    <t>Column ID</t>
  </si>
  <si>
    <t>Is 'Today' After the 15th?</t>
  </si>
  <si>
    <t>Matrix Source Data Report</t>
  </si>
  <si>
    <t>Inputs for Creating Source Data Report</t>
  </si>
  <si>
    <t>Max # of Forward Start Mth Terms</t>
  </si>
  <si>
    <t>Description</t>
  </si>
  <si>
    <t>*Not Part of Print Range</t>
  </si>
  <si>
    <t>Penn Pwr</t>
  </si>
  <si>
    <t>_(* #,##0.00_);_(* (#,##0.00);_(* "-"??_);_(@_)</t>
  </si>
  <si>
    <t>_(* #,##0.00000_);_(* (#,##0.00000);_(* "-"??_);_(@_)</t>
  </si>
  <si>
    <t>Dayton</t>
  </si>
  <si>
    <t>Rolling Start Date</t>
  </si>
  <si>
    <t>Check Trade Date</t>
  </si>
  <si>
    <t>No</t>
  </si>
  <si>
    <t>Min:</t>
  </si>
  <si>
    <t>Last Trade Date Before 15th</t>
  </si>
  <si>
    <t>Count @ Min:</t>
  </si>
  <si>
    <t>Max Price Date that Matches</t>
  </si>
  <si>
    <t>Max:</t>
  </si>
  <si>
    <t># of Forward Start Mth Terms to Show</t>
  </si>
  <si>
    <t>PJM Previous Start Mth Rolled Over:</t>
  </si>
  <si>
    <t>Count @ Max:</t>
  </si>
  <si>
    <t>AECO LP_10V1_S_41365</t>
  </si>
  <si>
    <t>AECO LP_10V1_S</t>
  </si>
  <si>
    <t>PJM</t>
  </si>
  <si>
    <t>Mthly Gen. Service</t>
  </si>
  <si>
    <t>BOD</t>
  </si>
  <si>
    <t>AECO LP_14V1_M_41365</t>
  </si>
  <si>
    <t>AECO LP_14V1_M</t>
  </si>
  <si>
    <t>Annual Gen Service</t>
  </si>
  <si>
    <t>AEP_OH_CS - test CSGS1_41365</t>
  </si>
  <si>
    <t>AEP_OH_CS - test CSGS1</t>
  </si>
  <si>
    <t>AEP OH CS</t>
  </si>
  <si>
    <t>General Service Small</t>
  </si>
  <si>
    <t>AEP_OH_CS - test CSGS2U_41365</t>
  </si>
  <si>
    <t>AEP_OH_CS - test CSGS2U</t>
  </si>
  <si>
    <t>General Service Medium</t>
  </si>
  <si>
    <t>AEP_OH_CS - test CSGS3U_41365</t>
  </si>
  <si>
    <t>AEP_OH_CS - test CSGS3U</t>
  </si>
  <si>
    <t>General Service Large</t>
  </si>
  <si>
    <t>Ameren RateZnIII LP DS2HH_41365</t>
  </si>
  <si>
    <t>Ameren RateZnIII LP DS2HH</t>
  </si>
  <si>
    <t>MISO</t>
  </si>
  <si>
    <t>Ameren</t>
  </si>
  <si>
    <t>General Service</t>
  </si>
  <si>
    <t>BGE LP_GL_41365</t>
  </si>
  <si>
    <t>BGE LP_GL</t>
  </si>
  <si>
    <t>BGE LP_G_41365</t>
  </si>
  <si>
    <t>BGE LP_G</t>
  </si>
  <si>
    <t>BGE LP_GS_41365</t>
  </si>
  <si>
    <t>BGE LP_GS</t>
  </si>
  <si>
    <t>ComEd - test LP_28_41365</t>
  </si>
  <si>
    <t>ComEd - test LP_28</t>
  </si>
  <si>
    <t>ComED</t>
  </si>
  <si>
    <t>0 - 100 kW</t>
  </si>
  <si>
    <t>ComEd - test LP_29_41365</t>
  </si>
  <si>
    <t>ComEd - test LP_29</t>
  </si>
  <si>
    <t>100 - 400 kW</t>
  </si>
  <si>
    <t>DAY_RC_843_41365</t>
  </si>
  <si>
    <t>DAY_RC_843</t>
  </si>
  <si>
    <t>DAYTON</t>
  </si>
  <si>
    <t>Sec. Service</t>
  </si>
  <si>
    <t>Delmarva MD LP_MDGS_M_41365</t>
  </si>
  <si>
    <t>Delmarva MD LP_MDGS_M</t>
  </si>
  <si>
    <t>DQE LP_GSGM_M_41365</t>
  </si>
  <si>
    <t>DQE LP_GSGM_M</t>
  </si>
  <si>
    <t>Duke_OH_RC_DS01_41365</t>
  </si>
  <si>
    <t>Duke_OH_RC_DS01</t>
  </si>
  <si>
    <t>DUKE OH</t>
  </si>
  <si>
    <t>FE_OE - test RC_GSF_41365</t>
  </si>
  <si>
    <t>FE_OE - test RC_GSF</t>
  </si>
  <si>
    <t>FE IC</t>
  </si>
  <si>
    <t>JCPL LP_GSCL_41365</t>
  </si>
  <si>
    <t>JCPL LP_GSCL</t>
  </si>
  <si>
    <t>JCPL LP_GSCM_41365</t>
  </si>
  <si>
    <t>JCPL LP_GSCM</t>
  </si>
  <si>
    <t>JCPL LP_GSCS_41365</t>
  </si>
  <si>
    <t>JCPL LP_GSCS</t>
  </si>
  <si>
    <t>MetEd RC_GSLF_41365</t>
  </si>
  <si>
    <t>MetEd RC_GSLF</t>
  </si>
  <si>
    <t>MetED</t>
  </si>
  <si>
    <t>METED</t>
  </si>
  <si>
    <t>MetEd RC_GSDF_41365</t>
  </si>
  <si>
    <t>MetEd RC_GSDF</t>
  </si>
  <si>
    <t>MetEd RC_GSSF_41365</t>
  </si>
  <si>
    <t>MetEd RC_GSSF</t>
  </si>
  <si>
    <t>PECO LP_GS_41365</t>
  </si>
  <si>
    <t>PECO LP_GS</t>
  </si>
  <si>
    <t>Penelec RC_GSLF_41365</t>
  </si>
  <si>
    <t>Penelec RC_GSLF</t>
  </si>
  <si>
    <t>PENELEC</t>
  </si>
  <si>
    <t>Penelec RC_GSMF_41365</t>
  </si>
  <si>
    <t>Penelec RC_GSMF</t>
  </si>
  <si>
    <t>Penelec RC_GSSF_41365</t>
  </si>
  <si>
    <t>Penelec RC_GSSF</t>
  </si>
  <si>
    <t>Penn Power RC_GMD_41365</t>
  </si>
  <si>
    <t>Penn Power RC_GMD</t>
  </si>
  <si>
    <t>PENN POWER</t>
  </si>
  <si>
    <t>PEPCO MD LP_MDND_41365</t>
  </si>
  <si>
    <t>PEPCO MD LP_MDND</t>
  </si>
  <si>
    <t>PEPCO MD LP_MMGTL2A_41365</t>
  </si>
  <si>
    <t>PEPCO MD LP_MMGTL2A</t>
  </si>
  <si>
    <t>Time Metered Gen Service</t>
  </si>
  <si>
    <t>PEPCO MD RC_3T7_41365</t>
  </si>
  <si>
    <t>PEPCO MD RC_3T7</t>
  </si>
  <si>
    <t>Potomac Edison LP_GSCM_M_41365</t>
  </si>
  <si>
    <t>Potomac Edison LP_GSCM_M</t>
  </si>
  <si>
    <t>PPL - TEST RCGS1_41365</t>
  </si>
  <si>
    <t>PPL - TEST RCGS1</t>
  </si>
  <si>
    <t>PPL - TEST RCGS3_41365</t>
  </si>
  <si>
    <t>PPL - TEST RCGS3</t>
  </si>
  <si>
    <t>PSEG LP_GLP_M_41365</t>
  </si>
  <si>
    <t>PSEG LP_GLP_M</t>
  </si>
  <si>
    <t>General L&amp;P</t>
  </si>
  <si>
    <t>PSEG LP_LPL_41365</t>
  </si>
  <si>
    <t>PSEG LP_LPL</t>
  </si>
  <si>
    <t>Large P&amp;L</t>
  </si>
  <si>
    <t>West Penn Power LP_GSCM_41365</t>
  </si>
  <si>
    <t>West Penn Power LP_GSCM</t>
  </si>
  <si>
    <t>WEST PENN POWER</t>
  </si>
  <si>
    <t>AECO LP_10V1_S_41395</t>
  </si>
  <si>
    <t>AECO LP_14V1_M_41395</t>
  </si>
  <si>
    <t>AEP_OH_CS - test CSGS1_41395</t>
  </si>
  <si>
    <t>AEP_OH_CS - test CSGS2U_41395</t>
  </si>
  <si>
    <t>AEP_OH_CS - test CSGS3U_41395</t>
  </si>
  <si>
    <t>Ameren RateZnIII LP DS2HH_41395</t>
  </si>
  <si>
    <t>BGE LP_GL_41395</t>
  </si>
  <si>
    <t>BGE LP_G_41395</t>
  </si>
  <si>
    <t>BGE LP_GS_41395</t>
  </si>
  <si>
    <t>ComEd - test LP_28_41395</t>
  </si>
  <si>
    <t>ComEd - test LP_29_41395</t>
  </si>
  <si>
    <t>DAY_RC_843_41395</t>
  </si>
  <si>
    <t>Delmarva MD LP_MDGS_M_41395</t>
  </si>
  <si>
    <t>DQE LP_GSGM_M_41395</t>
  </si>
  <si>
    <t>Duke_OH_RC_DS01_41395</t>
  </si>
  <si>
    <t>FE_OE - test RC_GSF_41395</t>
  </si>
  <si>
    <t>JCPL LP_GSCL_41395</t>
  </si>
  <si>
    <t>JCPL LP_GSCM_41395</t>
  </si>
  <si>
    <t>JCPL LP_GSCS_41395</t>
  </si>
  <si>
    <t>MetEd RC_GSLF_41395</t>
  </si>
  <si>
    <t>MetEd RC_GSDF_41395</t>
  </si>
  <si>
    <t>MetEd RC_GSSF_41395</t>
  </si>
  <si>
    <t>PECO LP_GS_41395</t>
  </si>
  <si>
    <t>Penelec RC_GSLF_41395</t>
  </si>
  <si>
    <t>Penelec RC_GSMF_41395</t>
  </si>
  <si>
    <t>Penelec RC_GSSF_41395</t>
  </si>
  <si>
    <t>Penn Power RC_GMD_41395</t>
  </si>
  <si>
    <t>PEPCO MD LP_MDND_41395</t>
  </si>
  <si>
    <t>PEPCO MD LP_MMGTL2A_41395</t>
  </si>
  <si>
    <t>PEPCO MD RC_3T7_41395</t>
  </si>
  <si>
    <t>Potomac Edison LP_GSCM_M_41395</t>
  </si>
  <si>
    <t>PPL - TEST RCGS1_41395</t>
  </si>
  <si>
    <t>PPL - TEST RCGS3_41395</t>
  </si>
  <si>
    <t>PSEG LP_GLP_M_41395</t>
  </si>
  <si>
    <t>PSEG LP_LPL_41395</t>
  </si>
  <si>
    <t>West Penn Power LP_GSCM_41395</t>
  </si>
  <si>
    <t>AECO LP_10V1_S_41426</t>
  </si>
  <si>
    <t>AECO LP_14V1_M_41426</t>
  </si>
  <si>
    <t>AEP_OH_CS - test CSGS1_41426</t>
  </si>
  <si>
    <t>AEP_OH_CS - test CSGS2U_41426</t>
  </si>
  <si>
    <t>AEP_OH_CS - test CSGS3U_41426</t>
  </si>
  <si>
    <t>Ameren RateZnIII LP DS2HH_41426</t>
  </si>
  <si>
    <t>BGE LP_GL_41426</t>
  </si>
  <si>
    <t>BGE LP_G_41426</t>
  </si>
  <si>
    <t>BGE LP_GS_41426</t>
  </si>
  <si>
    <t>ComEd - test LP_28_41426</t>
  </si>
  <si>
    <t>ComEd - test LP_29_41426</t>
  </si>
  <si>
    <t>DAY_RC_843_41426</t>
  </si>
  <si>
    <t>Delmarva MD LP_MDGS_M_41426</t>
  </si>
  <si>
    <t>DQE LP_GSGM_M_41426</t>
  </si>
  <si>
    <t>Duke_OH_RC_DS01_41426</t>
  </si>
  <si>
    <t>FE_OE - test RC_GSF_41426</t>
  </si>
  <si>
    <t>JCPL LP_GSCL_41426</t>
  </si>
  <si>
    <t>JCPL LP_GSCM_41426</t>
  </si>
  <si>
    <t>JCPL LP_GSCS_41426</t>
  </si>
  <si>
    <t>MetEd RC_GSLF_41426</t>
  </si>
  <si>
    <t>MetEd RC_GSDF_41426</t>
  </si>
  <si>
    <t>MetEd RC_GSSF_41426</t>
  </si>
  <si>
    <t>PECO LP_GS_41426</t>
  </si>
  <si>
    <t>Penelec RC_GSLF_41426</t>
  </si>
  <si>
    <t>Penelec RC_GSMF_41426</t>
  </si>
  <si>
    <t>Penelec RC_GSSF_41426</t>
  </si>
  <si>
    <t>Penn Power RC_GMD_41426</t>
  </si>
  <si>
    <t>PEPCO MD LP_MDND_41426</t>
  </si>
  <si>
    <t>PEPCO MD LP_MMGTL2A_41426</t>
  </si>
  <si>
    <t>PEPCO MD RC_3T7_41426</t>
  </si>
  <si>
    <t>Potomac Edison LP_GSCM_M_41426</t>
  </si>
  <si>
    <t>PPL - TEST RCGS1_41426</t>
  </si>
  <si>
    <t>PPL - TEST RCGS3_41426</t>
  </si>
  <si>
    <t>PSEG LP_GLP_M_41426</t>
  </si>
  <si>
    <t>PSEG LP_LPL_41426</t>
  </si>
  <si>
    <t>West Penn Power LP_GSCM_41426</t>
  </si>
  <si>
    <t>AECO LP_10V1_S_41456</t>
  </si>
  <si>
    <t>AECO LP_14V1_M_41456</t>
  </si>
  <si>
    <t>AEP_OH_CS - test CSGS1_41456</t>
  </si>
  <si>
    <t>AEP_OH_CS - test CSGS2U_41456</t>
  </si>
  <si>
    <t>AEP_OH_CS - test CSGS3U_41456</t>
  </si>
  <si>
    <t>Ameren RateZnIII LP DS2HH_41456</t>
  </si>
  <si>
    <t>BGE LP_GL_41456</t>
  </si>
  <si>
    <t>BGE LP_G_41456</t>
  </si>
  <si>
    <t>BGE LP_GS_41456</t>
  </si>
  <si>
    <t>ComEd - test LP_28_41456</t>
  </si>
  <si>
    <t>ComEd - test LP_29_41456</t>
  </si>
  <si>
    <t>DAY_RC_843_41456</t>
  </si>
  <si>
    <t>Delmarva MD LP_MDGS_M_41456</t>
  </si>
  <si>
    <t>DQE LP_GSGM_M_41456</t>
  </si>
  <si>
    <t>Duke_OH_RC_DS01_41456</t>
  </si>
  <si>
    <t>FE_OE - test RC_GSF_41456</t>
  </si>
  <si>
    <t>JCPL LP_GSCL_41456</t>
  </si>
  <si>
    <t>JCPL LP_GSCM_41456</t>
  </si>
  <si>
    <t>JCPL LP_GSCS_41456</t>
  </si>
  <si>
    <t>MetEd RC_GSLF_41456</t>
  </si>
  <si>
    <t>MetEd RC_GSDF_41456</t>
  </si>
  <si>
    <t>MetEd RC_GSSF_41456</t>
  </si>
  <si>
    <t>PECO LP_GS_41456</t>
  </si>
  <si>
    <t>Penelec RC_GSLF_41456</t>
  </si>
  <si>
    <t>Penelec RC_GSMF_41456</t>
  </si>
  <si>
    <t>Penelec RC_GSSF_41456</t>
  </si>
  <si>
    <t>Penn Power RC_GMD_41456</t>
  </si>
  <si>
    <t>PEPCO MD LP_MDND_41456</t>
  </si>
  <si>
    <t>PEPCO MD LP_MMGTL2A_41456</t>
  </si>
  <si>
    <t>PEPCO MD RC_3T7_41456</t>
  </si>
  <si>
    <t>Potomac Edison LP_GSCM_M_41456</t>
  </si>
  <si>
    <t>PPL - TEST RCGS1_41456</t>
  </si>
  <si>
    <t>PPL - TEST RCGS3_41456</t>
  </si>
  <si>
    <t>PSEG LP_GLP_M_41456</t>
  </si>
  <si>
    <t>PSEG LP_LPL_41456</t>
  </si>
  <si>
    <t>West Penn Power LP_GSCM_41456</t>
  </si>
  <si>
    <t>AECO LP_10V1_S_41487</t>
  </si>
  <si>
    <t>AECO LP_14V1_M_41487</t>
  </si>
  <si>
    <t>AEP_OH_CS - test CSGS1_41487</t>
  </si>
  <si>
    <t>AEP_OH_CS - test CSGS2U_41487</t>
  </si>
  <si>
    <t>AEP_OH_CS - test CSGS3U_41487</t>
  </si>
  <si>
    <t>Ameren RateZnIII LP DS2HH_41487</t>
  </si>
  <si>
    <t>BGE LP_GL_41487</t>
  </si>
  <si>
    <t>BGE LP_G_41487</t>
  </si>
  <si>
    <t>BGE LP_GS_41487</t>
  </si>
  <si>
    <t>ComEd - test LP_28_41487</t>
  </si>
  <si>
    <t>ComEd - test LP_29_41487</t>
  </si>
  <si>
    <t>DAY_RC_843_41487</t>
  </si>
  <si>
    <t>Delmarva MD LP_MDGS_M_41487</t>
  </si>
  <si>
    <t>DQE LP_GSGM_M_41487</t>
  </si>
  <si>
    <t>Duke_OH_RC_DS01_41487</t>
  </si>
  <si>
    <t>FE_OE - test RC_GSF_41487</t>
  </si>
  <si>
    <t>JCPL LP_GSCL_41487</t>
  </si>
  <si>
    <t>JCPL LP_GSCM_41487</t>
  </si>
  <si>
    <t>JCPL LP_GSCS_41487</t>
  </si>
  <si>
    <t>MetEd RC_GSLF_41487</t>
  </si>
  <si>
    <t>MetEd RC_GSDF_41487</t>
  </si>
  <si>
    <t>MetEd RC_GSSF_41487</t>
  </si>
  <si>
    <t>PECO LP_GS_41487</t>
  </si>
  <si>
    <t>Penelec RC_GSLF_41487</t>
  </si>
  <si>
    <t>Penelec RC_GSMF_41487</t>
  </si>
  <si>
    <t>Penelec RC_GSSF_41487</t>
  </si>
  <si>
    <t>Penn Power RC_GMD_41487</t>
  </si>
  <si>
    <t>PEPCO MD LP_MDND_41487</t>
  </si>
  <si>
    <t>PEPCO MD LP_MMGTL2A_41487</t>
  </si>
  <si>
    <t>PEPCO MD RC_3T7_41487</t>
  </si>
  <si>
    <t>Potomac Edison LP_GSCM_M_41487</t>
  </si>
  <si>
    <t>PPL - TEST RCGS1_41487</t>
  </si>
  <si>
    <t>PPL - TEST RCGS3_41487</t>
  </si>
  <si>
    <t>PSEG LP_GLP_M_41487</t>
  </si>
  <si>
    <t>PSEG LP_LPL_41487</t>
  </si>
  <si>
    <t>West Penn Power LP_GSCM_41487</t>
  </si>
  <si>
    <t>AECO LP_10V1_S_41518</t>
  </si>
  <si>
    <t>AECO LP_14V1_M_41518</t>
  </si>
  <si>
    <t>AEP_OH_CS - test CSGS1_41518</t>
  </si>
  <si>
    <t>AEP_OH_CS - test CSGS2U_41518</t>
  </si>
  <si>
    <t>AEP_OH_CS - test CSGS3U_41518</t>
  </si>
  <si>
    <t>Ameren RateZnIII LP DS2HH_41518</t>
  </si>
  <si>
    <t>BGE LP_GL_41518</t>
  </si>
  <si>
    <t>BGE LP_G_41518</t>
  </si>
  <si>
    <t>BGE LP_GS_41518</t>
  </si>
  <si>
    <t>ComEd - test LP_28_41518</t>
  </si>
  <si>
    <t>ComEd - test LP_29_41518</t>
  </si>
  <si>
    <t>DAY_RC_843_41518</t>
  </si>
  <si>
    <t>Delmarva MD LP_MDGS_M_41518</t>
  </si>
  <si>
    <t>DQE LP_GSGM_M_41518</t>
  </si>
  <si>
    <t>Duke_OH_RC_DS01_41518</t>
  </si>
  <si>
    <t>FE_OE - test RC_GSF_41518</t>
  </si>
  <si>
    <t>JCPL LP_GSCL_41518</t>
  </si>
  <si>
    <t>JCPL LP_GSCM_41518</t>
  </si>
  <si>
    <t>JCPL LP_GSCS_41518</t>
  </si>
  <si>
    <t>MetEd RC_GSLF_41518</t>
  </si>
  <si>
    <t>MetEd RC_GSDF_41518</t>
  </si>
  <si>
    <t>MetEd RC_GSSF_41518</t>
  </si>
  <si>
    <t>PECO LP_GS_41518</t>
  </si>
  <si>
    <t>Penelec RC_GSLF_41518</t>
  </si>
  <si>
    <t>Penelec RC_GSMF_41518</t>
  </si>
  <si>
    <t>Penelec RC_GSSF_41518</t>
  </si>
  <si>
    <t>Penn Power RC_GMD_41518</t>
  </si>
  <si>
    <t>PEPCO MD LP_MDND_41518</t>
  </si>
  <si>
    <t>PEPCO MD LP_MMGTL2A_41518</t>
  </si>
  <si>
    <t>PEPCO MD RC_3T7_41518</t>
  </si>
  <si>
    <t>Potomac Edison LP_GSCM_M_41518</t>
  </si>
  <si>
    <t>PPL - TEST RCGS1_41518</t>
  </si>
  <si>
    <t>PPL - TEST RCGS3_41518</t>
  </si>
  <si>
    <t>PSEG LP_GLP_M_41518</t>
  </si>
  <si>
    <t>PSEG LP_LPL_41518</t>
  </si>
  <si>
    <t>West Penn Power LP_GSCM_41518</t>
  </si>
  <si>
    <t>AECO LP_10V1_S_41548</t>
  </si>
  <si>
    <t>AECO LP_14V1_M_41548</t>
  </si>
  <si>
    <t>AEP_OH_CS - test CSGS1_41548</t>
  </si>
  <si>
    <t>AEP_OH_CS - test CSGS2U_41548</t>
  </si>
  <si>
    <t>AEP_OH_CS - test CSGS3U_41548</t>
  </si>
  <si>
    <t>Ameren RateZnIII LP DS2HH_41548</t>
  </si>
  <si>
    <t>BGE LP_GL_41548</t>
  </si>
  <si>
    <t>BGE LP_G_41548</t>
  </si>
  <si>
    <t>BGE LP_GS_41548</t>
  </si>
  <si>
    <t>ComEd - test LP_28_41548</t>
  </si>
  <si>
    <t>ComEd - test LP_29_41548</t>
  </si>
  <si>
    <t>DAY_RC_843_41548</t>
  </si>
  <si>
    <t>Delmarva MD LP_MDGS_M_41548</t>
  </si>
  <si>
    <t>DQE LP_GSGM_M_41548</t>
  </si>
  <si>
    <t>Duke_OH_RC_DS01_41548</t>
  </si>
  <si>
    <t>FE_OE - test RC_GSF_41548</t>
  </si>
  <si>
    <t>JCPL LP_GSCL_41548</t>
  </si>
  <si>
    <t>JCPL LP_GSCM_41548</t>
  </si>
  <si>
    <t>JCPL LP_GSCS_41548</t>
  </si>
  <si>
    <t>MetEd RC_GSLF_41548</t>
  </si>
  <si>
    <t>MetEd RC_GSDF_41548</t>
  </si>
  <si>
    <t>MetEd RC_GSSF_41548</t>
  </si>
  <si>
    <t>PECO LP_GS_41548</t>
  </si>
  <si>
    <t>Penelec RC_GSLF_41548</t>
  </si>
  <si>
    <t>Penelec RC_GSMF_41548</t>
  </si>
  <si>
    <t>Penelec RC_GSSF_41548</t>
  </si>
  <si>
    <t>Penn Power RC_GMD_41548</t>
  </si>
  <si>
    <t>PEPCO MD LP_MDND_41548</t>
  </si>
  <si>
    <t>PEPCO MD LP_MMGTL2A_41548</t>
  </si>
  <si>
    <t>PEPCO MD RC_3T7_41548</t>
  </si>
  <si>
    <t>Potomac Edison LP_GSCM_M_41548</t>
  </si>
  <si>
    <t>PPL - TEST RCGS1_41548</t>
  </si>
  <si>
    <t>PPL - TEST RCGS3_41548</t>
  </si>
  <si>
    <t>PSEG LP_GLP_M_41548</t>
  </si>
  <si>
    <t>PSEG LP_LPL_41548</t>
  </si>
  <si>
    <t>West Penn Power LP_GSCM_41548</t>
  </si>
  <si>
    <t>AECO LP_10V1_S_41579</t>
  </si>
  <si>
    <t>AECO LP_14V1_M_41579</t>
  </si>
  <si>
    <t>AEP_OH_CS - test CSGS1_41579</t>
  </si>
  <si>
    <t>AEP_OH_CS - test CSGS2U_41579</t>
  </si>
  <si>
    <t>AEP_OH_CS - test CSGS3U_41579</t>
  </si>
  <si>
    <t>Ameren RateZnIII LP DS2HH_41579</t>
  </si>
  <si>
    <t>BGE LP_GL_41579</t>
  </si>
  <si>
    <t>BGE LP_G_41579</t>
  </si>
  <si>
    <t>BGE LP_GS_41579</t>
  </si>
  <si>
    <t>ComEd - test LP_28_41579</t>
  </si>
  <si>
    <t>ComEd - test LP_29_41579</t>
  </si>
  <si>
    <t>DAY_RC_843_41579</t>
  </si>
  <si>
    <t>Delmarva MD LP_MDGS_M_41579</t>
  </si>
  <si>
    <t>DQE LP_GSGM_M_41579</t>
  </si>
  <si>
    <t>Duke_OH_RC_DS01_41579</t>
  </si>
  <si>
    <t>FE_OE - test RC_GSF_41579</t>
  </si>
  <si>
    <t>JCPL LP_GSCL_41579</t>
  </si>
  <si>
    <t>JCPL LP_GSCM_41579</t>
  </si>
  <si>
    <t>JCPL LP_GSCS_41579</t>
  </si>
  <si>
    <t>MetEd RC_GSLF_41579</t>
  </si>
  <si>
    <t>MetEd RC_GSDF_41579</t>
  </si>
  <si>
    <t>MetEd RC_GSSF_41579</t>
  </si>
  <si>
    <t>PECO LP_GS_41579</t>
  </si>
  <si>
    <t>Penelec RC_GSLF_41579</t>
  </si>
  <si>
    <t>Penelec RC_GSMF_41579</t>
  </si>
  <si>
    <t>Penelec RC_GSSF_41579</t>
  </si>
  <si>
    <t>Penn Power RC_GMD_41579</t>
  </si>
  <si>
    <t>PEPCO MD LP_MDND_41579</t>
  </si>
  <si>
    <t>PEPCO MD LP_MMGTL2A_41579</t>
  </si>
  <si>
    <t>PEPCO MD RC_3T7_41579</t>
  </si>
  <si>
    <t>Potomac Edison LP_GSCM_M_41579</t>
  </si>
  <si>
    <t>PPL - TEST RCGS1_41579</t>
  </si>
  <si>
    <t>PPL - TEST RCGS3_41579</t>
  </si>
  <si>
    <t>PSEG LP_GLP_M_41579</t>
  </si>
  <si>
    <t>PSEG LP_LPL_41579</t>
  </si>
  <si>
    <t>West Penn Power LP_GSCM_41579</t>
  </si>
  <si>
    <t>AECO LP_10V1_S_41609</t>
  </si>
  <si>
    <t>AECO LP_14V1_M_41609</t>
  </si>
  <si>
    <t>AEP_OH_CS - test CSGS1_41609</t>
  </si>
  <si>
    <t>AEP_OH_CS - test CSGS2U_41609</t>
  </si>
  <si>
    <t>AEP_OH_CS - test CSGS3U_41609</t>
  </si>
  <si>
    <t>Ameren RateZnIII LP DS2HH_41609</t>
  </si>
  <si>
    <t>BGE LP_GL_41609</t>
  </si>
  <si>
    <t>BGE LP_G_41609</t>
  </si>
  <si>
    <t>BGE LP_GS_41609</t>
  </si>
  <si>
    <t>ComEd - test LP_28_41609</t>
  </si>
  <si>
    <t>ComEd - test LP_29_41609</t>
  </si>
  <si>
    <t>DAY_RC_843_41609</t>
  </si>
  <si>
    <t>Delmarva MD LP_MDGS_M_41609</t>
  </si>
  <si>
    <t>DQE LP_GSGM_M_41609</t>
  </si>
  <si>
    <t>Duke_OH_RC_DS01_41609</t>
  </si>
  <si>
    <t>FE_OE - test RC_GSF_41609</t>
  </si>
  <si>
    <t>JCPL LP_GSCL_41609</t>
  </si>
  <si>
    <t>JCPL LP_GSCM_41609</t>
  </si>
  <si>
    <t>JCPL LP_GSCS_41609</t>
  </si>
  <si>
    <t>MetEd RC_GSLF_41609</t>
  </si>
  <si>
    <t>MetEd RC_GSDF_41609</t>
  </si>
  <si>
    <t>MetEd RC_GSSF_41609</t>
  </si>
  <si>
    <t>PECO LP_GS_41609</t>
  </si>
  <si>
    <t>Penelec RC_GSLF_41609</t>
  </si>
  <si>
    <t>Penelec RC_GSMF_41609</t>
  </si>
  <si>
    <t>Penelec RC_GSSF_41609</t>
  </si>
  <si>
    <t>Penn Power RC_GMD_41609</t>
  </si>
  <si>
    <t>PEPCO MD LP_MDND_41609</t>
  </si>
  <si>
    <t>PEPCO MD LP_MMGTL2A_41609</t>
  </si>
  <si>
    <t>PEPCO MD RC_3T7_41609</t>
  </si>
  <si>
    <t>Potomac Edison LP_GSCM_M_41609</t>
  </si>
  <si>
    <t>PPL - TEST RCGS1_41609</t>
  </si>
  <si>
    <t>PPL - TEST RCGS3_41609</t>
  </si>
  <si>
    <t>PSEG LP_GLP_M_41609</t>
  </si>
  <si>
    <t>PSEG LP_LPL_41609</t>
  </si>
  <si>
    <t>West Penn Power LP_GSCM_41609</t>
  </si>
  <si>
    <t>AECO LP_10V1_S_41640</t>
  </si>
  <si>
    <t>AECO LP_14V1_M_41640</t>
  </si>
  <si>
    <t>AEP_OH_CS - test CSGS1_41640</t>
  </si>
  <si>
    <t>AEP_OH_CS - test CSGS2U_41640</t>
  </si>
  <si>
    <t>AEP_OH_CS - test CSGS3U_41640</t>
  </si>
  <si>
    <t>Ameren RateZnIII LP DS2HH_41640</t>
  </si>
  <si>
    <t>BGE LP_GL_41640</t>
  </si>
  <si>
    <t>BGE LP_G_41640</t>
  </si>
  <si>
    <t>BGE LP_GS_41640</t>
  </si>
  <si>
    <t>ComEd - test LP_28_41640</t>
  </si>
  <si>
    <t>ComEd - test LP_29_41640</t>
  </si>
  <si>
    <t>DAY_RC_843_41640</t>
  </si>
  <si>
    <t>Delmarva MD LP_MDGS_M_41640</t>
  </si>
  <si>
    <t>DQE LP_GSGM_M_41640</t>
  </si>
  <si>
    <t>Duke_OH_RC_DS01_41640</t>
  </si>
  <si>
    <t>FE_OE - test RC_GSF_41640</t>
  </si>
  <si>
    <t>JCPL LP_GSCL_41640</t>
  </si>
  <si>
    <t>JCPL LP_GSCM_41640</t>
  </si>
  <si>
    <t>JCPL LP_GSCS_41640</t>
  </si>
  <si>
    <t>MetEd RC_GSLF_41640</t>
  </si>
  <si>
    <t>MetEd RC_GSDF_41640</t>
  </si>
  <si>
    <t>MetEd RC_GSSF_41640</t>
  </si>
  <si>
    <t>PECO LP_GS_41640</t>
  </si>
  <si>
    <t>Penelec RC_GSLF_41640</t>
  </si>
  <si>
    <t>Penelec RC_GSMF_41640</t>
  </si>
  <si>
    <t>Penelec RC_GSSF_41640</t>
  </si>
  <si>
    <t>Penn Power RC_GMD_41640</t>
  </si>
  <si>
    <t>PEPCO MD LP_MDND_41640</t>
  </si>
  <si>
    <t>PEPCO MD LP_MMGTL2A_41640</t>
  </si>
  <si>
    <t>PEPCO MD RC_3T7_41640</t>
  </si>
  <si>
    <t>Potomac Edison LP_GSCM_M_41640</t>
  </si>
  <si>
    <t>PPL - TEST RCGS1_41640</t>
  </si>
  <si>
    <t>PPL - TEST RCGS3_41640</t>
  </si>
  <si>
    <t>PSEG LP_GLP_M_41640</t>
  </si>
  <si>
    <t>PSEG LP_LPL_41640</t>
  </si>
  <si>
    <t>West Penn Power LP_GSCM_41640</t>
  </si>
  <si>
    <t>AECO LP_10V1_S_41671</t>
  </si>
  <si>
    <t>AECO LP_14V1_M_41671</t>
  </si>
  <si>
    <t>AEP_OH_CS - test CSGS1_41671</t>
  </si>
  <si>
    <t>AEP_OH_CS - test CSGS2U_41671</t>
  </si>
  <si>
    <t>AEP_OH_CS - test CSGS3U_41671</t>
  </si>
  <si>
    <t>Ameren RateZnIII LP DS2HH_41671</t>
  </si>
  <si>
    <t>BGE LP_GL_41671</t>
  </si>
  <si>
    <t>BGE LP_G_41671</t>
  </si>
  <si>
    <t>BGE LP_GS_41671</t>
  </si>
  <si>
    <t>ComEd - test LP_28_41671</t>
  </si>
  <si>
    <t>ComEd - test LP_29_41671</t>
  </si>
  <si>
    <t>DAY_RC_843_41671</t>
  </si>
  <si>
    <t>Delmarva MD LP_MDGS_M_41671</t>
  </si>
  <si>
    <t>DQE LP_GSGM_M_41671</t>
  </si>
  <si>
    <t>Duke_OH_RC_DS01_41671</t>
  </si>
  <si>
    <t>FE_OE - test RC_GSF_41671</t>
  </si>
  <si>
    <t>JCPL LP_GSCL_41671</t>
  </si>
  <si>
    <t>JCPL LP_GSCM_41671</t>
  </si>
  <si>
    <t>JCPL LP_GSCS_41671</t>
  </si>
  <si>
    <t>MetEd RC_GSLF_41671</t>
  </si>
  <si>
    <t>MetEd RC_GSDF_41671</t>
  </si>
  <si>
    <t>MetEd RC_GSSF_41671</t>
  </si>
  <si>
    <t>PECO LP_GS_41671</t>
  </si>
  <si>
    <t>Penelec RC_GSLF_41671</t>
  </si>
  <si>
    <t>Penelec RC_GSMF_41671</t>
  </si>
  <si>
    <t>Penelec RC_GSSF_41671</t>
  </si>
  <si>
    <t>Penn Power RC_GMD_41671</t>
  </si>
  <si>
    <t>PEPCO MD LP_MDND_41671</t>
  </si>
  <si>
    <t>PEPCO MD LP_MMGTL2A_41671</t>
  </si>
  <si>
    <t>PEPCO MD RC_3T7_41671</t>
  </si>
  <si>
    <t>Potomac Edison LP_GSCM_M_41671</t>
  </si>
  <si>
    <t>PPL - TEST RCGS1_41671</t>
  </si>
  <si>
    <t>PPL - TEST RCGS3_41671</t>
  </si>
  <si>
    <t>PSEG LP_GLP_M_41671</t>
  </si>
  <si>
    <t>PSEG LP_LPL_41671</t>
  </si>
  <si>
    <t>West Penn Power LP_GSCM_41671</t>
  </si>
  <si>
    <t>AECO LP_10V1_S_41699</t>
  </si>
  <si>
    <t>AECO LP_14V1_M_41699</t>
  </si>
  <si>
    <t>AEP_OH_CS - test CSGS1_41699</t>
  </si>
  <si>
    <t>AEP_OH_CS - test CSGS2U_41699</t>
  </si>
  <si>
    <t>AEP_OH_CS - test CSGS3U_41699</t>
  </si>
  <si>
    <t>Ameren RateZnIII LP DS2HH_41699</t>
  </si>
  <si>
    <t>BGE LP_GL_41699</t>
  </si>
  <si>
    <t>BGE LP_G_41699</t>
  </si>
  <si>
    <t>BGE LP_GS_41699</t>
  </si>
  <si>
    <t>ComEd - test LP_28_41699</t>
  </si>
  <si>
    <t>ComEd - test LP_29_41699</t>
  </si>
  <si>
    <t>DAY_RC_843_41699</t>
  </si>
  <si>
    <t>Delmarva MD LP_MDGS_M_41699</t>
  </si>
  <si>
    <t>DQE LP_GSGM_M_41699</t>
  </si>
  <si>
    <t>Duke_OH_RC_DS01_41699</t>
  </si>
  <si>
    <t>FE_OE - test RC_GSF_41699</t>
  </si>
  <si>
    <t>JCPL LP_GSCL_41699</t>
  </si>
  <si>
    <t>JCPL LP_GSCM_41699</t>
  </si>
  <si>
    <t>JCPL LP_GSCS_41699</t>
  </si>
  <si>
    <t>MetEd RC_GSLF_41699</t>
  </si>
  <si>
    <t>MetEd RC_GSDF_41699</t>
  </si>
  <si>
    <t>MetEd RC_GSSF_41699</t>
  </si>
  <si>
    <t>PECO LP_GS_41699</t>
  </si>
  <si>
    <t>Penelec RC_GSLF_41699</t>
  </si>
  <si>
    <t>Penelec RC_GSMF_41699</t>
  </si>
  <si>
    <t>Penelec RC_GSSF_41699</t>
  </si>
  <si>
    <t>Penn Power RC_GMD_41699</t>
  </si>
  <si>
    <t>PEPCO MD LP_MDND_41699</t>
  </si>
  <si>
    <t>PEPCO MD LP_MMGTL2A_41699</t>
  </si>
  <si>
    <t>PEPCO MD RC_3T7_41699</t>
  </si>
  <si>
    <t>Potomac Edison LP_GSCM_M_41699</t>
  </si>
  <si>
    <t>PPL - TEST RCGS1_41699</t>
  </si>
  <si>
    <t>PPL - TEST RCGS3_41699</t>
  </si>
  <si>
    <t>PSEG LP_GLP_M_41699</t>
  </si>
  <si>
    <t>PSEG LP_LPL_41699</t>
  </si>
  <si>
    <t>West Penn Power LP_GSCM_41699</t>
  </si>
  <si>
    <t>AECO LP_10V1_S_</t>
  </si>
  <si>
    <t>AECO LP_14V1_M_</t>
  </si>
  <si>
    <t>AEP_OH_CS - test CSGS1_</t>
  </si>
  <si>
    <t>AEP_OH_CS - test CSGS2U_</t>
  </si>
  <si>
    <t>AEP_OH_CS - test CSGS3U_</t>
  </si>
  <si>
    <t>Ameren RateZnIII LP DS2HH_</t>
  </si>
  <si>
    <t>BGE LP_GL_</t>
  </si>
  <si>
    <t>BGE LP_G_</t>
  </si>
  <si>
    <t>BGE LP_GS_</t>
  </si>
  <si>
    <t>ComEd - test LP_28_</t>
  </si>
  <si>
    <t>ComEd - test LP_29_</t>
  </si>
  <si>
    <t>DAY_RC_843_</t>
  </si>
  <si>
    <t>Delmarva MD LP_MDGS_M_</t>
  </si>
  <si>
    <t>DQE LP_GSGM_M_</t>
  </si>
  <si>
    <t>Duke_OH_RC_DS01_</t>
  </si>
  <si>
    <t>FE_OE - test RC_GSF_</t>
  </si>
  <si>
    <t>JCPL LP_GSCL_</t>
  </si>
  <si>
    <t>JCPL LP_GSCM_</t>
  </si>
  <si>
    <t>JCPL LP_GSCS_</t>
  </si>
  <si>
    <t>MetEd RC_GSLF_</t>
  </si>
  <si>
    <t>MetEd RC_GSDF_</t>
  </si>
  <si>
    <t>MetEd RC_GSSF_</t>
  </si>
  <si>
    <t>PECO LP_GS_</t>
  </si>
  <si>
    <t>Penelec RC_GSLF_</t>
  </si>
  <si>
    <t>Penelec RC_GSMF_</t>
  </si>
  <si>
    <t>Penelec RC_GSSF_</t>
  </si>
  <si>
    <t>Penn Power RC_GMD_</t>
  </si>
  <si>
    <t>PEPCO MD LP_MDND_</t>
  </si>
  <si>
    <t>PEPCO MD LP_MMGTL2A_</t>
  </si>
  <si>
    <t>PEPCO MD RC_3T7_</t>
  </si>
  <si>
    <t>Potomac Edison LP_GSCM_M_</t>
  </si>
  <si>
    <t>PPL - TEST RCGS1_</t>
  </si>
  <si>
    <t>PPL - TEST RCGS3_</t>
  </si>
  <si>
    <t>PSEG LP_GLP_M_</t>
  </si>
  <si>
    <t>PSEG LP_LPL_</t>
  </si>
  <si>
    <t>West Penn Power LP_GSCM_</t>
  </si>
  <si>
    <t>DQE LP_GSGM_MMS</t>
  </si>
  <si>
    <t>MetEd RC_GSLFMS</t>
  </si>
  <si>
    <t>MetEd RC_GSDFMS</t>
  </si>
  <si>
    <t>MetEd RC_GSSFMS</t>
  </si>
  <si>
    <t>Penelec RC_GSLFMS</t>
  </si>
  <si>
    <t>Penelec RC_GSMFMS</t>
  </si>
  <si>
    <t>Penelec RC_GSSFMS</t>
  </si>
  <si>
    <t>PECO LP_GSMS</t>
  </si>
  <si>
    <t>Penn Power RC_GMDMS</t>
  </si>
  <si>
    <t>PPL_RCGS1MS</t>
  </si>
  <si>
    <t>PPL_RCGS3MS</t>
  </si>
  <si>
    <t>West Penn Power LP_GSCMMS</t>
  </si>
  <si>
    <t>500-2500 MWh</t>
  </si>
  <si>
    <t># of Forward Start Mth Terms</t>
  </si>
  <si>
    <t>Mass Markets Matrix Pricing Parameters:</t>
  </si>
  <si>
    <t>&gt; Prices above include no mils for brokers/consultants (please add accordingly).</t>
  </si>
  <si>
    <t>&gt; Applies to customers with usage less than or equal to 2,500,000 kWh per year.</t>
  </si>
  <si>
    <t>&gt; Matrix contracts in excess of 1,500,000 annual kWh must be on a written agreement.</t>
  </si>
  <si>
    <t>&gt; Contracts must be received by 4:00 PM (CST) to be accepted (Fax: 713-366-8821) (Email: ChampionMM@championenergyservices.com)</t>
  </si>
  <si>
    <t>&gt; Contracts must be accompanied by customer's most recent (current) bill copy demonstrating zero balance forward and no late fees.</t>
  </si>
  <si>
    <t>&gt; Contracts in excess of 5 meters must be confirmed via Champion prior to submission for acceptance / enrollment.</t>
  </si>
  <si>
    <t>&gt; Champion reserves the right to reject contracts for, but not limited to, market movement, credit reasons, and/or delayed submission.</t>
  </si>
  <si>
    <t>MM PJM Fixed-Index-24 Matrix Pricing</t>
  </si>
  <si>
    <t>AECO LP_10V1_S_42278</t>
  </si>
  <si>
    <t>AECO LP_14V1_M_42278</t>
  </si>
  <si>
    <t>AEP_OH_CS - test CSGS1_42278</t>
  </si>
  <si>
    <t>AEP_OH_CS - test CSGS2U_42278</t>
  </si>
  <si>
    <t>AEP_OH_CS - test CSGS3U_42278</t>
  </si>
  <si>
    <t>Ameren RateZnIII LP DS2HH_42278</t>
  </si>
  <si>
    <t>BGE LP_GL_42278</t>
  </si>
  <si>
    <t>BGE LP_G_42278</t>
  </si>
  <si>
    <t>BGE LP_GS_42278</t>
  </si>
  <si>
    <t>ComEd - test LP_28_42278</t>
  </si>
  <si>
    <t>ComEd - test LP_29_42278</t>
  </si>
  <si>
    <t>DAY_RC_843_42278</t>
  </si>
  <si>
    <t>Delmarva MD LP_MDGS_M_42278</t>
  </si>
  <si>
    <t>DQE LP_GSGM_M_42278</t>
  </si>
  <si>
    <t>Duke_OH_RC_DS01_42278</t>
  </si>
  <si>
    <t>FE_OE - test RC_GSF_42278</t>
  </si>
  <si>
    <t>JCPL LP_GSCL_42278</t>
  </si>
  <si>
    <t>JCPL LP_GSCM_42278</t>
  </si>
  <si>
    <t>JCPL LP_GSCS_42278</t>
  </si>
  <si>
    <t>MetEd RC_GSLF_42278</t>
  </si>
  <si>
    <t>MetEd RC_GSDF_42278</t>
  </si>
  <si>
    <t>MetEd RC_GSSF_42278</t>
  </si>
  <si>
    <t>PECO LP_GS_42278</t>
  </si>
  <si>
    <t>Penelec RC_GSLF_42278</t>
  </si>
  <si>
    <t>Penelec RC_GSMF_42278</t>
  </si>
  <si>
    <t>Penelec RC_GSSF_42278</t>
  </si>
  <si>
    <t>Penn Power RC_GMD_42278</t>
  </si>
  <si>
    <t>PEPCO MD LP_MDND_42278</t>
  </si>
  <si>
    <t>PEPCO MD LP_MMGTL2A_42278</t>
  </si>
  <si>
    <t>PEPCO MD RC_3T7_42278</t>
  </si>
  <si>
    <t>Potomac Edison LP_GSCM_M_42278</t>
  </si>
  <si>
    <t>PPL - TEST RCGS1_42278</t>
  </si>
  <si>
    <t>PPL - TEST RCGS3_42278</t>
  </si>
  <si>
    <t>PSEG LP_GLP_M_42278</t>
  </si>
  <si>
    <t>PSEG LP_LPL_42278</t>
  </si>
  <si>
    <t>West Penn Power LP_GSCM_42278</t>
  </si>
  <si>
    <t>AECO LP_10V1_S_42309</t>
  </si>
  <si>
    <t>AECO LP_14V1_M_42309</t>
  </si>
  <si>
    <t>AEP_OH_CS - test CSGS1_42309</t>
  </si>
  <si>
    <t>AEP_OH_CS - test CSGS2U_42309</t>
  </si>
  <si>
    <t>AEP_OH_CS - test CSGS3U_42309</t>
  </si>
  <si>
    <t>Ameren RateZnIII LP DS2HH_42309</t>
  </si>
  <si>
    <t>BGE LP_GL_42309</t>
  </si>
  <si>
    <t>BGE LP_G_42309</t>
  </si>
  <si>
    <t>BGE LP_GS_42309</t>
  </si>
  <si>
    <t>ComEd - test LP_28_42309</t>
  </si>
  <si>
    <t>ComEd - test LP_29_42309</t>
  </si>
  <si>
    <t>DAY_RC_843_42309</t>
  </si>
  <si>
    <t>Delmarva MD LP_MDGS_M_42309</t>
  </si>
  <si>
    <t>DQE LP_GSGM_M_42309</t>
  </si>
  <si>
    <t>Duke_OH_RC_DS01_42309</t>
  </si>
  <si>
    <t>FE_OE - test RC_GSF_42309</t>
  </si>
  <si>
    <t>JCPL LP_GSCL_42309</t>
  </si>
  <si>
    <t>JCPL LP_GSCM_42309</t>
  </si>
  <si>
    <t>JCPL LP_GSCS_42309</t>
  </si>
  <si>
    <t>MetEd RC_GSLF_42309</t>
  </si>
  <si>
    <t>MetEd RC_GSDF_42309</t>
  </si>
  <si>
    <t>MetEd RC_GSSF_42309</t>
  </si>
  <si>
    <t>PECO LP_GS_42309</t>
  </si>
  <si>
    <t>Penelec RC_GSLF_42309</t>
  </si>
  <si>
    <t>Penelec RC_GSMF_42309</t>
  </si>
  <si>
    <t>Penelec RC_GSSF_42309</t>
  </si>
  <si>
    <t>Penn Power RC_GMD_42309</t>
  </si>
  <si>
    <t>PEPCO MD LP_MDND_42309</t>
  </si>
  <si>
    <t>PEPCO MD LP_MMGTL2A_42309</t>
  </si>
  <si>
    <t>PEPCO MD RC_3T7_42309</t>
  </si>
  <si>
    <t>Potomac Edison LP_GSCM_M_42309</t>
  </si>
  <si>
    <t>PPL - TEST RCGS1_42309</t>
  </si>
  <si>
    <t>PPL - TEST RCGS3_42309</t>
  </si>
  <si>
    <t>PSEG LP_GLP_M_42309</t>
  </si>
  <si>
    <t>PSEG LP_LPL_42309</t>
  </si>
  <si>
    <t>West Penn Power LP_GSCM_42309</t>
  </si>
  <si>
    <t>AECO LP_10V1_S_42339</t>
  </si>
  <si>
    <t>AECO LP_14V1_M_42339</t>
  </si>
  <si>
    <t>AEP_OH_CS - test CSGS1_42339</t>
  </si>
  <si>
    <t>AEP_OH_CS - test CSGS2U_42339</t>
  </si>
  <si>
    <t>AEP_OH_CS - test CSGS3U_42339</t>
  </si>
  <si>
    <t>Ameren RateZnIII LP DS2HH_42339</t>
  </si>
  <si>
    <t>BGE LP_GL_42339</t>
  </si>
  <si>
    <t>BGE LP_G_42339</t>
  </si>
  <si>
    <t>BGE LP_GS_42339</t>
  </si>
  <si>
    <t>ComEd - test LP_28_42339</t>
  </si>
  <si>
    <t>ComEd - test LP_29_42339</t>
  </si>
  <si>
    <t>DAY_RC_843_42339</t>
  </si>
  <si>
    <t>Delmarva MD LP_MDGS_M_42339</t>
  </si>
  <si>
    <t>DQE LP_GSGM_M_42339</t>
  </si>
  <si>
    <t>Duke_OH_RC_DS01_42339</t>
  </si>
  <si>
    <t>FE_OE - test RC_GSF_42339</t>
  </si>
  <si>
    <t>JCPL LP_GSCL_42339</t>
  </si>
  <si>
    <t>JCPL LP_GSCM_42339</t>
  </si>
  <si>
    <t>JCPL LP_GSCS_42339</t>
  </si>
  <si>
    <t>MetEd RC_GSLF_42339</t>
  </si>
  <si>
    <t>MetEd RC_GSDF_42339</t>
  </si>
  <si>
    <t>MetEd RC_GSSF_42339</t>
  </si>
  <si>
    <t>PECO LP_GS_42339</t>
  </si>
  <si>
    <t>Penelec RC_GSLF_42339</t>
  </si>
  <si>
    <t>Penelec RC_GSMF_42339</t>
  </si>
  <si>
    <t>Penelec RC_GSSF_42339</t>
  </si>
  <si>
    <t>Penn Power RC_GMD_42339</t>
  </si>
  <si>
    <t>PEPCO MD LP_MDND_42339</t>
  </si>
  <si>
    <t>PEPCO MD LP_MMGTL2A_42339</t>
  </si>
  <si>
    <t>PEPCO MD RC_3T7_42339</t>
  </si>
  <si>
    <t>Potomac Edison LP_GSCM_M_42339</t>
  </si>
  <si>
    <t>PPL - TEST RCGS1_42339</t>
  </si>
  <si>
    <t>PPL - TEST RCGS3_42339</t>
  </si>
  <si>
    <t>PSEG LP_GLP_M_42339</t>
  </si>
  <si>
    <t>PSEG LP_LPL_42339</t>
  </si>
  <si>
    <t>West Penn Power LP_GSCM_42339</t>
  </si>
  <si>
    <t>AECO LP_10V1_S_42370</t>
  </si>
  <si>
    <t>AECO LP_14V1_M_42370</t>
  </si>
  <si>
    <t>AEP_OH_CS - test CSGS1_42370</t>
  </si>
  <si>
    <t>AEP_OH_CS - test CSGS2U_42370</t>
  </si>
  <si>
    <t>AEP_OH_CS - test CSGS3U_42370</t>
  </si>
  <si>
    <t>Ameren RateZnIII LP DS2HH_42370</t>
  </si>
  <si>
    <t>BGE LP_GL_42370</t>
  </si>
  <si>
    <t>BGE LP_G_42370</t>
  </si>
  <si>
    <t>BGE LP_GS_42370</t>
  </si>
  <si>
    <t>ComEd - test LP_28_42370</t>
  </si>
  <si>
    <t>ComEd - test LP_29_42370</t>
  </si>
  <si>
    <t>DAY_RC_843_42370</t>
  </si>
  <si>
    <t>Delmarva MD LP_MDGS_M_42370</t>
  </si>
  <si>
    <t>DQE LP_GSGM_M_42370</t>
  </si>
  <si>
    <t>Duke_OH_RC_DS01_42370</t>
  </si>
  <si>
    <t>FE_OE - test RC_GSF_42370</t>
  </si>
  <si>
    <t>JCPL LP_GSCL_42370</t>
  </si>
  <si>
    <t>JCPL LP_GSCM_42370</t>
  </si>
  <si>
    <t>JCPL LP_GSCS_42370</t>
  </si>
  <si>
    <t>MetEd RC_GSLF_42370</t>
  </si>
  <si>
    <t>MetEd RC_GSDF_42370</t>
  </si>
  <si>
    <t>MetEd RC_GSSF_42370</t>
  </si>
  <si>
    <t>PECO LP_GS_42370</t>
  </si>
  <si>
    <t>Penelec RC_GSLF_42370</t>
  </si>
  <si>
    <t>Penelec RC_GSMF_42370</t>
  </si>
  <si>
    <t>Penelec RC_GSSF_42370</t>
  </si>
  <si>
    <t>Penn Power RC_GMD_42370</t>
  </si>
  <si>
    <t>PEPCO MD LP_MDND_42370</t>
  </si>
  <si>
    <t>PEPCO MD LP_MMGTL2A_42370</t>
  </si>
  <si>
    <t>PEPCO MD RC_3T7_42370</t>
  </si>
  <si>
    <t>Potomac Edison LP_GSCM_M_42370</t>
  </si>
  <si>
    <t>PPL - TEST RCGS1_42370</t>
  </si>
  <si>
    <t>PPL - TEST RCGS3_42370</t>
  </si>
  <si>
    <t>PSEG LP_GLP_M_42370</t>
  </si>
  <si>
    <t>PSEG LP_LPL_42370</t>
  </si>
  <si>
    <t>West Penn Power LP_GSCM_42370</t>
  </si>
  <si>
    <t>AECO LP_10V1_S_42401</t>
  </si>
  <si>
    <t>AECO LP_14V1_M_42401</t>
  </si>
  <si>
    <t>AEP_OH_CS - test CSGS1_42401</t>
  </si>
  <si>
    <t>AEP_OH_CS - test CSGS2U_42401</t>
  </si>
  <si>
    <t>AEP_OH_CS - test CSGS3U_42401</t>
  </si>
  <si>
    <t>Ameren RateZnIII LP DS2HH_42401</t>
  </si>
  <si>
    <t>BGE LP_GL_42401</t>
  </si>
  <si>
    <t>BGE LP_G_42401</t>
  </si>
  <si>
    <t>BGE LP_GS_42401</t>
  </si>
  <si>
    <t>ComEd - test LP_28_42401</t>
  </si>
  <si>
    <t>ComEd - test LP_29_42401</t>
  </si>
  <si>
    <t>DAY_RC_843_42401</t>
  </si>
  <si>
    <t>Delmarva MD LP_MDGS_M_42401</t>
  </si>
  <si>
    <t>DQE LP_GSGM_M_42401</t>
  </si>
  <si>
    <t>Duke_OH_RC_DS01_42401</t>
  </si>
  <si>
    <t>FE_OE - test RC_GSF_42401</t>
  </si>
  <si>
    <t>JCPL LP_GSCL_42401</t>
  </si>
  <si>
    <t>JCPL LP_GSCM_42401</t>
  </si>
  <si>
    <t>JCPL LP_GSCS_42401</t>
  </si>
  <si>
    <t>MetEd RC_GSLF_42401</t>
  </si>
  <si>
    <t>MetEd RC_GSDF_42401</t>
  </si>
  <si>
    <t>MetEd RC_GSSF_42401</t>
  </si>
  <si>
    <t>PECO LP_GS_42401</t>
  </si>
  <si>
    <t>Penelec RC_GSLF_42401</t>
  </si>
  <si>
    <t>Penelec RC_GSMF_42401</t>
  </si>
  <si>
    <t>Penelec RC_GSSF_42401</t>
  </si>
  <si>
    <t>Penn Power RC_GMD_42401</t>
  </si>
  <si>
    <t>PEPCO MD LP_MDND_42401</t>
  </si>
  <si>
    <t>PEPCO MD LP_MMGTL2A_42401</t>
  </si>
  <si>
    <t>PEPCO MD RC_3T7_42401</t>
  </si>
  <si>
    <t>Potomac Edison LP_GSCM_M_42401</t>
  </si>
  <si>
    <t>PPL - TEST RCGS1_42401</t>
  </si>
  <si>
    <t>PPL - TEST RCGS3_42401</t>
  </si>
  <si>
    <t>PSEG LP_GLP_M_42401</t>
  </si>
  <si>
    <t>PSEG LP_LPL_42401</t>
  </si>
  <si>
    <t>West Penn Power LP_GSCM_42401</t>
  </si>
  <si>
    <t>AECO LP_10V1_S_42430</t>
  </si>
  <si>
    <t>AECO LP_14V1_M_42430</t>
  </si>
  <si>
    <t>AEP_OH_CS - test CSGS1_42430</t>
  </si>
  <si>
    <t>AEP_OH_CS - test CSGS2U_42430</t>
  </si>
  <si>
    <t>AEP_OH_CS - test CSGS3U_42430</t>
  </si>
  <si>
    <t>Ameren RateZnIII LP DS2HH_42430</t>
  </si>
  <si>
    <t>BGE LP_GL_42430</t>
  </si>
  <si>
    <t>BGE LP_G_42430</t>
  </si>
  <si>
    <t>BGE LP_GS_42430</t>
  </si>
  <si>
    <t>ComEd - test LP_28_42430</t>
  </si>
  <si>
    <t>ComEd - test LP_29_42430</t>
  </si>
  <si>
    <t>DAY_RC_843_42430</t>
  </si>
  <si>
    <t>Delmarva MD LP_MDGS_M_42430</t>
  </si>
  <si>
    <t>DQE LP_GSGM_M_42430</t>
  </si>
  <si>
    <t>Duke_OH_RC_DS01_42430</t>
  </si>
  <si>
    <t>FE_OE - test RC_GSF_42430</t>
  </si>
  <si>
    <t>JCPL LP_GSCL_42430</t>
  </si>
  <si>
    <t>JCPL LP_GSCM_42430</t>
  </si>
  <si>
    <t>JCPL LP_GSCS_42430</t>
  </si>
  <si>
    <t>MetEd RC_GSLF_42430</t>
  </si>
  <si>
    <t>MetEd RC_GSDF_42430</t>
  </si>
  <si>
    <t>MetEd RC_GSSF_42430</t>
  </si>
  <si>
    <t>PECO LP_GS_42430</t>
  </si>
  <si>
    <t>Penelec RC_GSLF_42430</t>
  </si>
  <si>
    <t>Penelec RC_GSMF_42430</t>
  </si>
  <si>
    <t>Penelec RC_GSSF_42430</t>
  </si>
  <si>
    <t>Penn Power RC_GMD_42430</t>
  </si>
  <si>
    <t>PEPCO MD LP_MDND_42430</t>
  </si>
  <si>
    <t>PEPCO MD LP_MMGTL2A_42430</t>
  </si>
  <si>
    <t>PEPCO MD RC_3T7_42430</t>
  </si>
  <si>
    <t>Potomac Edison LP_GSCM_M_42430</t>
  </si>
  <si>
    <t>PPL - TEST RCGS1_42430</t>
  </si>
  <si>
    <t>PPL - TEST RCGS3_42430</t>
  </si>
  <si>
    <t>PSEG LP_GLP_M_42430</t>
  </si>
  <si>
    <t>PSEG LP_LPL_42430</t>
  </si>
  <si>
    <t>West Penn Power LP_GSCM_42430</t>
  </si>
  <si>
    <t>AECO LP_10V1_S_42461</t>
  </si>
  <si>
    <t>AECO LP_14V1_M_42461</t>
  </si>
  <si>
    <t>AEP_OH_CS - test CSGS1_42461</t>
  </si>
  <si>
    <t>AEP_OH_CS - test CSGS2U_42461</t>
  </si>
  <si>
    <t>AEP_OH_CS - test CSGS3U_42461</t>
  </si>
  <si>
    <t>Ameren RateZnIII LP DS2HH_42461</t>
  </si>
  <si>
    <t>BGE LP_GL_42461</t>
  </si>
  <si>
    <t>BGE LP_G_42461</t>
  </si>
  <si>
    <t>BGE LP_GS_42461</t>
  </si>
  <si>
    <t>ComEd - test LP_28_42461</t>
  </si>
  <si>
    <t>ComEd - test LP_29_42461</t>
  </si>
  <si>
    <t>DAY_RC_843_42461</t>
  </si>
  <si>
    <t>Delmarva MD LP_MDGS_M_42461</t>
  </si>
  <si>
    <t>DQE LP_GSGM_M_42461</t>
  </si>
  <si>
    <t>Duke_OH_RC_DS01_42461</t>
  </si>
  <si>
    <t>FE_OE - test RC_GSF_42461</t>
  </si>
  <si>
    <t>JCPL LP_GSCL_42461</t>
  </si>
  <si>
    <t>JCPL LP_GSCM_42461</t>
  </si>
  <si>
    <t>JCPL LP_GSCS_42461</t>
  </si>
  <si>
    <t>MetEd RC_GSLF_42461</t>
  </si>
  <si>
    <t>MetEd RC_GSDF_42461</t>
  </si>
  <si>
    <t>MetEd RC_GSSF_42461</t>
  </si>
  <si>
    <t>PECO LP_GS_42461</t>
  </si>
  <si>
    <t>Penelec RC_GSLF_42461</t>
  </si>
  <si>
    <t>Penelec RC_GSMF_42461</t>
  </si>
  <si>
    <t>Penelec RC_GSSF_42461</t>
  </si>
  <si>
    <t>Penn Power RC_GMD_42461</t>
  </si>
  <si>
    <t>PEPCO MD LP_MDND_42461</t>
  </si>
  <si>
    <t>PEPCO MD LP_MMGTL2A_42461</t>
  </si>
  <si>
    <t>PEPCO MD RC_3T7_42461</t>
  </si>
  <si>
    <t>Potomac Edison LP_GSCM_M_42461</t>
  </si>
  <si>
    <t>PPL - TEST RCGS1_42461</t>
  </si>
  <si>
    <t>PPL - TEST RCGS3_42461</t>
  </si>
  <si>
    <t>PSEG LP_GLP_M_42461</t>
  </si>
  <si>
    <t>PSEG LP_LPL_42461</t>
  </si>
  <si>
    <t>West Penn Power LP_GSCM_42461</t>
  </si>
  <si>
    <t>AECO LP_10V1_S_42491</t>
  </si>
  <si>
    <t>AECO LP_14V1_M_42491</t>
  </si>
  <si>
    <t>AEP_OH_CS - test CSGS1_42491</t>
  </si>
  <si>
    <t>AEP_OH_CS - test CSGS2U_42491</t>
  </si>
  <si>
    <t>AEP_OH_CS - test CSGS3U_42491</t>
  </si>
  <si>
    <t>Ameren RateZnIII LP DS2HH_42491</t>
  </si>
  <si>
    <t>BGE LP_GL_42491</t>
  </si>
  <si>
    <t>BGE LP_G_42491</t>
  </si>
  <si>
    <t>BGE LP_GS_42491</t>
  </si>
  <si>
    <t>ComEd - test LP_28_42491</t>
  </si>
  <si>
    <t>ComEd - test LP_29_42491</t>
  </si>
  <si>
    <t>DAY_RC_843_42491</t>
  </si>
  <si>
    <t>Delmarva MD LP_MDGS_M_42491</t>
  </si>
  <si>
    <t>DQE LP_GSGM_M_42491</t>
  </si>
  <si>
    <t>Duke_OH_RC_DS01_42491</t>
  </si>
  <si>
    <t>FE_OE - test RC_GSF_42491</t>
  </si>
  <si>
    <t>JCPL LP_GSCL_42491</t>
  </si>
  <si>
    <t>JCPL LP_GSCM_42491</t>
  </si>
  <si>
    <t>JCPL LP_GSCS_42491</t>
  </si>
  <si>
    <t>MetEd RC_GSLF_42491</t>
  </si>
  <si>
    <t>MetEd RC_GSDF_42491</t>
  </si>
  <si>
    <t>MetEd RC_GSSF_42491</t>
  </si>
  <si>
    <t>PECO LP_GS_42491</t>
  </si>
  <si>
    <t>Penelec RC_GSLF_42491</t>
  </si>
  <si>
    <t>Penelec RC_GSMF_42491</t>
  </si>
  <si>
    <t>Penelec RC_GSSF_42491</t>
  </si>
  <si>
    <t>Penn Power RC_GMD_42491</t>
  </si>
  <si>
    <t>PEPCO MD LP_MDND_42491</t>
  </si>
  <si>
    <t>PEPCO MD LP_MMGTL2A_42491</t>
  </si>
  <si>
    <t>PEPCO MD RC_3T7_42491</t>
  </si>
  <si>
    <t>Potomac Edison LP_GSCM_M_42491</t>
  </si>
  <si>
    <t>PPL - TEST RCGS1_42491</t>
  </si>
  <si>
    <t>PPL - TEST RCGS3_42491</t>
  </si>
  <si>
    <t>PSEG LP_GLP_M_42491</t>
  </si>
  <si>
    <t>PSEG LP_LPL_42491</t>
  </si>
  <si>
    <t>West Penn Power LP_GSCM_42491</t>
  </si>
  <si>
    <t>AECO LP_10V1_S_42522</t>
  </si>
  <si>
    <t>AECO LP_14V1_M_42522</t>
  </si>
  <si>
    <t>AEP_OH_CS - test CSGS1_42522</t>
  </si>
  <si>
    <t>AEP_OH_CS - test CSGS2U_42522</t>
  </si>
  <si>
    <t>AEP_OH_CS - test CSGS3U_42522</t>
  </si>
  <si>
    <t>Ameren RateZnIII LP DS2HH_42522</t>
  </si>
  <si>
    <t>BGE LP_GL_42522</t>
  </si>
  <si>
    <t>BGE LP_G_42522</t>
  </si>
  <si>
    <t>BGE LP_GS_42522</t>
  </si>
  <si>
    <t>ComEd - test LP_28_42522</t>
  </si>
  <si>
    <t>ComEd - test LP_29_42522</t>
  </si>
  <si>
    <t>DAY_RC_843_42522</t>
  </si>
  <si>
    <t>Delmarva MD LP_MDGS_M_42522</t>
  </si>
  <si>
    <t>DQE LP_GSGM_M_42522</t>
  </si>
  <si>
    <t>Duke_OH_RC_DS01_42522</t>
  </si>
  <si>
    <t>FE_OE - test RC_GSF_42522</t>
  </si>
  <si>
    <t>JCPL LP_GSCL_42522</t>
  </si>
  <si>
    <t>JCPL LP_GSCM_42522</t>
  </si>
  <si>
    <t>JCPL LP_GSCS_42522</t>
  </si>
  <si>
    <t>MetEd RC_GSLF_42522</t>
  </si>
  <si>
    <t>MetEd RC_GSDF_42522</t>
  </si>
  <si>
    <t>MetEd RC_GSSF_42522</t>
  </si>
  <si>
    <t>PECO LP_GS_42522</t>
  </si>
  <si>
    <t>Penelec RC_GSLF_42522</t>
  </si>
  <si>
    <t>Penelec RC_GSMF_42522</t>
  </si>
  <si>
    <t>Penelec RC_GSSF_42522</t>
  </si>
  <si>
    <t>Penn Power RC_GMD_42522</t>
  </si>
  <si>
    <t>PEPCO MD LP_MDND_42522</t>
  </si>
  <si>
    <t>PEPCO MD LP_MMGTL2A_42522</t>
  </si>
  <si>
    <t>PEPCO MD RC_3T7_42522</t>
  </si>
  <si>
    <t>Potomac Edison LP_GSCM_M_42522</t>
  </si>
  <si>
    <t>PPL - TEST RCGS1_42522</t>
  </si>
  <si>
    <t>PPL - TEST RCGS3_42522</t>
  </si>
  <si>
    <t>PSEG LP_GLP_M_42522</t>
  </si>
  <si>
    <t>PSEG LP_LPL_42522</t>
  </si>
  <si>
    <t>West Penn Power LP_GSCM_42522</t>
  </si>
  <si>
    <t>AECO LP_10V1_S_42552</t>
  </si>
  <si>
    <t>AECO LP_14V1_M_42552</t>
  </si>
  <si>
    <t>AEP_OH_CS - test CSGS1_42552</t>
  </si>
  <si>
    <t>AEP_OH_CS - test CSGS2U_42552</t>
  </si>
  <si>
    <t>AEP_OH_CS - test CSGS3U_42552</t>
  </si>
  <si>
    <t>Ameren RateZnIII LP DS2HH_42552</t>
  </si>
  <si>
    <t>BGE LP_GL_42552</t>
  </si>
  <si>
    <t>BGE LP_G_42552</t>
  </si>
  <si>
    <t>BGE LP_GS_42552</t>
  </si>
  <si>
    <t>ComEd - test LP_28_42552</t>
  </si>
  <si>
    <t>ComEd - test LP_29_42552</t>
  </si>
  <si>
    <t>DAY_RC_843_42552</t>
  </si>
  <si>
    <t>Delmarva MD LP_MDGS_M_42552</t>
  </si>
  <si>
    <t>DQE LP_GSGM_M_42552</t>
  </si>
  <si>
    <t>Duke_OH_RC_DS01_42552</t>
  </si>
  <si>
    <t>FE_OE - test RC_GSF_42552</t>
  </si>
  <si>
    <t>JCPL LP_GSCL_42552</t>
  </si>
  <si>
    <t>JCPL LP_GSCM_42552</t>
  </si>
  <si>
    <t>JCPL LP_GSCS_42552</t>
  </si>
  <si>
    <t>MetEd RC_GSLF_42552</t>
  </si>
  <si>
    <t>MetEd RC_GSDF_42552</t>
  </si>
  <si>
    <t>MetEd RC_GSSF_42552</t>
  </si>
  <si>
    <t>PECO LP_GS_42552</t>
  </si>
  <si>
    <t>Penelec RC_GSLF_42552</t>
  </si>
  <si>
    <t>Penelec RC_GSMF_42552</t>
  </si>
  <si>
    <t>Penelec RC_GSSF_42552</t>
  </si>
  <si>
    <t>Penn Power RC_GMD_42552</t>
  </si>
  <si>
    <t>PEPCO MD LP_MDND_42552</t>
  </si>
  <si>
    <t>PEPCO MD LP_MMGTL2A_42552</t>
  </si>
  <si>
    <t>PEPCO MD RC_3T7_42552</t>
  </si>
  <si>
    <t>Potomac Edison LP_GSCM_M_42552</t>
  </si>
  <si>
    <t>PPL - TEST RCGS1_42552</t>
  </si>
  <si>
    <t>PPL - TEST RCGS3_42552</t>
  </si>
  <si>
    <t>PSEG LP_GLP_M_42552</t>
  </si>
  <si>
    <t>PSEG LP_LPL_42552</t>
  </si>
  <si>
    <t>West Penn Power LP_GSCM_42552</t>
  </si>
  <si>
    <t>AECO LP_10V1_S_42583</t>
  </si>
  <si>
    <t>AECO LP_14V1_M_42583</t>
  </si>
  <si>
    <t>AEP_OH_CS - test CSGS1_42583</t>
  </si>
  <si>
    <t>AEP_OH_CS - test CSGS2U_42583</t>
  </si>
  <si>
    <t>AEP_OH_CS - test CSGS3U_42583</t>
  </si>
  <si>
    <t>Ameren RateZnIII LP DS2HH_42583</t>
  </si>
  <si>
    <t>BGE LP_GL_42583</t>
  </si>
  <si>
    <t>BGE LP_G_42583</t>
  </si>
  <si>
    <t>BGE LP_GS_42583</t>
  </si>
  <si>
    <t>ComEd - test LP_28_42583</t>
  </si>
  <si>
    <t>ComEd - test LP_29_42583</t>
  </si>
  <si>
    <t>DAY_RC_843_42583</t>
  </si>
  <si>
    <t>Delmarva MD LP_MDGS_M_42583</t>
  </si>
  <si>
    <t>DQE LP_GSGM_M_42583</t>
  </si>
  <si>
    <t>Duke_OH_RC_DS01_42583</t>
  </si>
  <si>
    <t>FE_OE - test RC_GSF_42583</t>
  </si>
  <si>
    <t>JCPL LP_GSCL_42583</t>
  </si>
  <si>
    <t>JCPL LP_GSCM_42583</t>
  </si>
  <si>
    <t>JCPL LP_GSCS_42583</t>
  </si>
  <si>
    <t>MetEd RC_GSLF_42583</t>
  </si>
  <si>
    <t>MetEd RC_GSDF_42583</t>
  </si>
  <si>
    <t>MetEd RC_GSSF_42583</t>
  </si>
  <si>
    <t>PECO LP_GS_42583</t>
  </si>
  <si>
    <t>Penelec RC_GSLF_42583</t>
  </si>
  <si>
    <t>Penelec RC_GSMF_42583</t>
  </si>
  <si>
    <t>Penelec RC_GSSF_42583</t>
  </si>
  <si>
    <t>Penn Power RC_GMD_42583</t>
  </si>
  <si>
    <t>PEPCO MD LP_MDND_42583</t>
  </si>
  <si>
    <t>PEPCO MD LP_MMGTL2A_42583</t>
  </si>
  <si>
    <t>PEPCO MD RC_3T7_42583</t>
  </si>
  <si>
    <t>Potomac Edison LP_GSCM_M_42583</t>
  </si>
  <si>
    <t>PPL - TEST RCGS1_42583</t>
  </si>
  <si>
    <t>PPL - TEST RCGS3_42583</t>
  </si>
  <si>
    <t>PSEG LP_GLP_M_42583</t>
  </si>
  <si>
    <t>PSEG LP_LPL_42583</t>
  </si>
  <si>
    <t>West Penn Power LP_GSCM_42583</t>
  </si>
  <si>
    <t>AECO LP_10V1_S_42614</t>
  </si>
  <si>
    <t>AECO LP_14V1_M_42614</t>
  </si>
  <si>
    <t>AEP_OH_CS - test CSGS1_42614</t>
  </si>
  <si>
    <t>AEP_OH_CS - test CSGS2U_42614</t>
  </si>
  <si>
    <t>AEP_OH_CS - test CSGS3U_42614</t>
  </si>
  <si>
    <t>Ameren RateZnIII LP DS2HH_42614</t>
  </si>
  <si>
    <t>BGE LP_GL_42614</t>
  </si>
  <si>
    <t>BGE LP_G_42614</t>
  </si>
  <si>
    <t>BGE LP_GS_42614</t>
  </si>
  <si>
    <t>ComEd - test LP_28_42614</t>
  </si>
  <si>
    <t>ComEd - test LP_29_42614</t>
  </si>
  <si>
    <t>DAY_RC_843_42614</t>
  </si>
  <si>
    <t>Delmarva MD LP_MDGS_M_42614</t>
  </si>
  <si>
    <t>DQE LP_GSGM_M_42614</t>
  </si>
  <si>
    <t>Duke_OH_RC_DS01_42614</t>
  </si>
  <si>
    <t>FE_OE - test RC_GSF_42614</t>
  </si>
  <si>
    <t>JCPL LP_GSCL_42614</t>
  </si>
  <si>
    <t>JCPL LP_GSCM_42614</t>
  </si>
  <si>
    <t>JCPL LP_GSCS_42614</t>
  </si>
  <si>
    <t>MetEd RC_GSLF_42614</t>
  </si>
  <si>
    <t>MetEd RC_GSDF_42614</t>
  </si>
  <si>
    <t>MetEd RC_GSSF_42614</t>
  </si>
  <si>
    <t>PECO LP_GS_42614</t>
  </si>
  <si>
    <t>Penelec RC_GSLF_42614</t>
  </si>
  <si>
    <t>Penelec RC_GSMF_42614</t>
  </si>
  <si>
    <t>Penelec RC_GSSF_42614</t>
  </si>
  <si>
    <t>Penn Power RC_GMD_42614</t>
  </si>
  <si>
    <t>PEPCO MD LP_MDND_42614</t>
  </si>
  <si>
    <t>PEPCO MD LP_MMGTL2A_42614</t>
  </si>
  <si>
    <t>PEPCO MD RC_3T7_42614</t>
  </si>
  <si>
    <t>Potomac Edison LP_GSCM_M_42614</t>
  </si>
  <si>
    <t>PPL - TEST RCGS1_42614</t>
  </si>
  <si>
    <t>PPL - TEST RCGS3_42614</t>
  </si>
  <si>
    <t>PSEG LP_GLP_M_42614</t>
  </si>
  <si>
    <t>PSEG LP_LPL_42614</t>
  </si>
  <si>
    <t>West Penn Power LP_GSCM_42614</t>
  </si>
  <si>
    <t>Fixed -Contract Term (months) - $/MWh</t>
  </si>
  <si>
    <t>Real time SPP - Contract Term(months) - $/MWh</t>
  </si>
  <si>
    <t>StartDate</t>
  </si>
  <si>
    <t>RateClass</t>
  </si>
  <si>
    <t>MWPYear</t>
  </si>
  <si>
    <t>12Month_Price</t>
  </si>
  <si>
    <t>18Month_Price</t>
  </si>
  <si>
    <t>24Month_Price</t>
  </si>
  <si>
    <t>F_12Month_Price</t>
  </si>
  <si>
    <t>F_18Month_Price</t>
  </si>
  <si>
    <t>F_24Month_Price</t>
  </si>
  <si>
    <t>0-100 Kw</t>
  </si>
  <si>
    <t>100-400 Kw</t>
  </si>
  <si>
    <t>Annual Gen services</t>
  </si>
  <si>
    <t>Mthly Gen.Services</t>
  </si>
  <si>
    <t>General service</t>
  </si>
  <si>
    <t>February-2016</t>
  </si>
  <si>
    <t>March-2016</t>
  </si>
  <si>
    <t>April-2016</t>
  </si>
  <si>
    <t>May-2016</t>
  </si>
  <si>
    <t>June-2016</t>
  </si>
  <si>
    <t>July-2016</t>
  </si>
  <si>
    <t>August-2016</t>
  </si>
  <si>
    <t>September-2016</t>
  </si>
  <si>
    <t>October-2016</t>
  </si>
  <si>
    <t>Prices in $/MWh</t>
  </si>
  <si>
    <t>November-2016</t>
  </si>
  <si>
    <t>December-2016</t>
  </si>
  <si>
    <t>January-2017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</si>
</sst>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/d/yy\ h:mm\ AM/PM;@"/>
    <numFmt numFmtId="165" formatCode="[$-409]mmmm\-yy;@"/>
  </numFmts>
  <fonts count="36" x14ac:knownFonts="1">
    <font>
      <sz val="8.5"/>
      <name val="Microsoft Sans Serif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20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0"/>
      <color theme="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8.5"/>
      <name val="Microsoft Sans Serif"/>
      <family val="2"/>
    </font>
    <font>
      <sz val="10"/>
      <color indexed="0"/>
      <name val="Arial"/>
      <family val="2"/>
    </font>
    <font>
      <sz val="10"/>
      <color theme="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i/>
      <sz val="8"/>
      <color theme="3" tint="0.39997558519241921"/>
      <name val="Calibri"/>
      <family val="2"/>
      <scheme val="minor"/>
    </font>
    <font>
      <sz val="13"/>
      <name val="Calibri"/>
      <family val="2"/>
      <scheme val="minor"/>
    </font>
    <font>
      <b/>
      <sz val="13"/>
      <color theme="0" tint="-0.34998626667073579"/>
      <name val="Arial"/>
      <family val="2"/>
    </font>
    <font>
      <b/>
      <sz val="16"/>
      <color rgb="FFFF0000"/>
      <name val="Arial"/>
      <family val="2"/>
    </font>
    <font>
      <b/>
      <u/>
      <sz val="12"/>
      <name val="Calibri"/>
      <family val="2"/>
      <scheme val="minor"/>
    </font>
    <font>
      <sz val="8.5"/>
      <name val="Calibri"/>
      <family val="2"/>
      <scheme val="minor"/>
    </font>
    <font>
      <b/>
      <u/>
      <sz val="8.5"/>
      <name val="Calibri"/>
      <family val="2"/>
      <scheme val="minor"/>
    </font>
    <font>
      <sz val="8.5"/>
      <color theme="4" tint="-0.499984740745262"/>
      <name val="Calibri"/>
      <family val="2"/>
      <scheme val="minor"/>
    </font>
    <font>
      <sz val="8.5"/>
      <color theme="9" tint="-0.249977111117893"/>
      <name val="Calibri"/>
      <family val="2"/>
      <scheme val="minor"/>
    </font>
    <font>
      <sz val="8.5"/>
      <color theme="3" tint="0.39997558519241921"/>
      <name val="Calibri"/>
      <family val="2"/>
      <scheme val="minor"/>
    </font>
    <font>
      <i/>
      <vertAlign val="superscript"/>
      <sz val="13"/>
      <color theme="0" tint="-0.499984740745262"/>
      <name val="Calibri"/>
      <family val="2"/>
      <scheme val="minor"/>
    </font>
    <font>
      <b/>
      <sz val="12"/>
      <color theme="0" tint="-0.34998626667073579"/>
      <name val="Arial"/>
      <family val="2"/>
    </font>
    <font>
      <sz val="8.5"/>
      <color theme="0" tint="-0.499984740745262"/>
      <name val="Calibri"/>
      <family val="2"/>
      <scheme val="minor"/>
    </font>
    <font>
      <sz val="8.5"/>
      <name val="Microsoft Sans Serif"/>
      <family val="2"/>
    </font>
    <font>
      <sz val="8.5"/>
      <color theme="0"/>
      <name val="Microsoft Sans Serif"/>
      <family val="2"/>
    </font>
    <font>
      <b/>
      <sz val="1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Microsoft Sans Serif"/>
      <family val="2"/>
    </font>
  </fonts>
  <fills count="1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33BDBA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 style="thin">
        <color indexed="64"/>
      </bottom>
      <diagonal/>
    </border>
    <border>
      <left style="thin">
        <color theme="0" tint="-0.499984740745262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theme="0" tint="-0.499984740745262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 tint="-0.499984740745262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1">
    <xf numFmtId="0" fontId="0" fillId="0" borderId="0">
      <protection locked="0"/>
    </xf>
    <xf numFmtId="0" fontId="5" fillId="0" borderId="0"/>
    <xf numFmtId="0" fontId="3" fillId="0" borderId="0"/>
    <xf numFmtId="0" fontId="12" fillId="0" borderId="0">
      <protection locked="0"/>
    </xf>
    <xf numFmtId="43" fontId="5" fillId="0" borderId="0" applyFont="0" applyFill="0" applyBorder="0" applyAlignment="0" applyProtection="0">
      <alignment wrapText="1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5" fillId="0" borderId="0" applyFont="0" applyFill="0" applyBorder="0" applyAlignment="0" applyProtection="0">
      <alignment wrapText="1"/>
    </xf>
    <xf numFmtId="164" fontId="3" fillId="0" borderId="0"/>
    <xf numFmtId="164" fontId="3" fillId="0" borderId="0"/>
    <xf numFmtId="0" fontId="3" fillId="0" borderId="0"/>
    <xf numFmtId="0" fontId="3" fillId="0" borderId="0"/>
    <xf numFmtId="0" fontId="12" fillId="0" borderId="0">
      <protection locked="0"/>
    </xf>
    <xf numFmtId="0" fontId="5" fillId="0" borderId="0">
      <alignment wrapText="1"/>
    </xf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5" fillId="0" borderId="0"/>
    <xf numFmtId="0" fontId="13" fillId="0" borderId="0"/>
    <xf numFmtId="0" fontId="14" fillId="0" borderId="0"/>
    <xf numFmtId="0" fontId="3" fillId="0" borderId="0"/>
    <xf numFmtId="0" fontId="3" fillId="0" borderId="0"/>
    <xf numFmtId="0" fontId="2" fillId="0" borderId="0"/>
    <xf numFmtId="0" fontId="12" fillId="0" borderId="0">
      <protection locked="0"/>
    </xf>
    <xf numFmtId="44" fontId="12" fillId="0" borderId="0" applyFont="0" applyFill="0" applyBorder="0" applyAlignment="0" applyProtection="0"/>
    <xf numFmtId="0" fontId="30" fillId="0" borderId="0">
      <protection locked="0"/>
    </xf>
    <xf numFmtId="0" fontId="1" fillId="0" borderId="0"/>
  </cellStyleXfs>
  <cellXfs count="179">
    <xf numFmtId="0" fontId="0" fillId="0" borderId="0" xfId="0">
      <protection locked="0"/>
    </xf>
    <xf numFmtId="0" fontId="12" fillId="0" borderId="7" xfId="0" applyFont="1" applyBorder="1" applyProtection="1"/>
    <xf numFmtId="0" fontId="12" fillId="0" borderId="0" xfId="0" applyFont="1" applyProtection="1"/>
    <xf numFmtId="0" fontId="12" fillId="0" borderId="10" xfId="0" applyFont="1" applyBorder="1" applyProtection="1"/>
    <xf numFmtId="0" fontId="12" fillId="0" borderId="11" xfId="0" applyFont="1" applyBorder="1" applyProtection="1"/>
    <xf numFmtId="0" fontId="12" fillId="0" borderId="4" xfId="0" applyFont="1" applyBorder="1" applyProtection="1"/>
    <xf numFmtId="0" fontId="12" fillId="0" borderId="0" xfId="0" applyFont="1" applyBorder="1" applyProtection="1"/>
    <xf numFmtId="0" fontId="12" fillId="0" borderId="5" xfId="0" applyFont="1" applyBorder="1" applyProtection="1"/>
    <xf numFmtId="0" fontId="16" fillId="4" borderId="6" xfId="0" applyFont="1" applyFill="1" applyBorder="1" applyAlignment="1" applyProtection="1">
      <alignment horizontal="centerContinuous"/>
    </xf>
    <xf numFmtId="0" fontId="12" fillId="4" borderId="7" xfId="0" applyFont="1" applyFill="1" applyBorder="1" applyAlignment="1" applyProtection="1">
      <alignment horizontal="centerContinuous"/>
    </xf>
    <xf numFmtId="0" fontId="12" fillId="4" borderId="8" xfId="0" applyFont="1" applyFill="1" applyBorder="1" applyAlignment="1" applyProtection="1">
      <alignment horizontal="centerContinuous"/>
    </xf>
    <xf numFmtId="44" fontId="19" fillId="3" borderId="15" xfId="28" applyFont="1" applyFill="1" applyBorder="1" applyAlignment="1" applyProtection="1">
      <alignment vertical="center"/>
      <protection locked="0"/>
    </xf>
    <xf numFmtId="0" fontId="21" fillId="0" borderId="0" xfId="21" applyFont="1" applyProtection="1">
      <protection locked="0"/>
    </xf>
    <xf numFmtId="0" fontId="22" fillId="0" borderId="0" xfId="21" applyFont="1" applyProtection="1">
      <protection locked="0"/>
    </xf>
    <xf numFmtId="0" fontId="23" fillId="0" borderId="0" xfId="21" applyFont="1" applyAlignment="1" applyProtection="1">
      <alignment horizontal="center"/>
      <protection locked="0"/>
    </xf>
    <xf numFmtId="0" fontId="22" fillId="0" borderId="0" xfId="0" applyFont="1">
      <protection locked="0"/>
    </xf>
    <xf numFmtId="0" fontId="22" fillId="0" borderId="0" xfId="21" applyFont="1" applyAlignment="1" applyProtection="1">
      <alignment horizontal="right"/>
      <protection locked="0"/>
    </xf>
    <xf numFmtId="0" fontId="22" fillId="0" borderId="0" xfId="0" applyFont="1" applyAlignment="1">
      <alignment horizontal="right"/>
      <protection locked="0"/>
    </xf>
    <xf numFmtId="0" fontId="24" fillId="0" borderId="0" xfId="21" applyFont="1" applyAlignment="1" applyProtection="1">
      <alignment horizontal="center"/>
      <protection locked="0"/>
    </xf>
    <xf numFmtId="164" fontId="22" fillId="7" borderId="0" xfId="21" applyNumberFormat="1" applyFont="1" applyFill="1" applyAlignment="1" applyProtection="1">
      <alignment horizontal="center" shrinkToFit="1"/>
      <protection locked="0"/>
    </xf>
    <xf numFmtId="0" fontId="22" fillId="0" borderId="0" xfId="0" applyFont="1" applyAlignment="1">
      <alignment horizontal="center"/>
      <protection locked="0"/>
    </xf>
    <xf numFmtId="0" fontId="24" fillId="7" borderId="0" xfId="21" applyFont="1" applyFill="1" applyAlignment="1" applyProtection="1">
      <alignment horizontal="center"/>
      <protection locked="0"/>
    </xf>
    <xf numFmtId="14" fontId="22" fillId="0" borderId="0" xfId="0" applyNumberFormat="1" applyFont="1" applyAlignment="1">
      <alignment horizontal="center" shrinkToFit="1"/>
      <protection locked="0"/>
    </xf>
    <xf numFmtId="0" fontId="22" fillId="6" borderId="22" xfId="0" applyFont="1" applyFill="1" applyBorder="1" applyAlignment="1" applyProtection="1">
      <alignment horizontal="center" vertical="top" wrapText="1" shrinkToFit="1"/>
    </xf>
    <xf numFmtId="0" fontId="22" fillId="10" borderId="22" xfId="0" applyFont="1" applyFill="1" applyBorder="1" applyAlignment="1" applyProtection="1">
      <alignment horizontal="center" vertical="top" wrapText="1" shrinkToFit="1"/>
    </xf>
    <xf numFmtId="0" fontId="22" fillId="5" borderId="23" xfId="0" applyFont="1" applyFill="1" applyBorder="1" applyAlignment="1" applyProtection="1">
      <alignment horizontal="center" vertical="top" wrapText="1" shrinkToFit="1"/>
    </xf>
    <xf numFmtId="0" fontId="22" fillId="5" borderId="22" xfId="0" applyFont="1" applyFill="1" applyBorder="1" applyAlignment="1" applyProtection="1">
      <alignment horizontal="center" vertical="top" wrapText="1" shrinkToFit="1"/>
    </xf>
    <xf numFmtId="0" fontId="22" fillId="9" borderId="22" xfId="0" applyFont="1" applyFill="1" applyBorder="1" applyAlignment="1" applyProtection="1">
      <alignment horizontal="center" vertical="top" wrapText="1" shrinkToFit="1"/>
    </xf>
    <xf numFmtId="0" fontId="22" fillId="8" borderId="22" xfId="0" applyFont="1" applyFill="1" applyBorder="1" applyAlignment="1" applyProtection="1">
      <alignment horizontal="center" vertical="top" wrapText="1" shrinkToFit="1"/>
    </xf>
    <xf numFmtId="0" fontId="22" fillId="0" borderId="21" xfId="0" applyFont="1" applyBorder="1" applyAlignment="1">
      <alignment horizontal="center" shrinkToFit="1"/>
      <protection locked="0"/>
    </xf>
    <xf numFmtId="0" fontId="25" fillId="0" borderId="21" xfId="0" applyFont="1" applyBorder="1" applyAlignment="1">
      <alignment horizontal="center" shrinkToFit="1"/>
      <protection locked="0"/>
    </xf>
    <xf numFmtId="0" fontId="22" fillId="0" borderId="21" xfId="0" applyFont="1" applyBorder="1" applyAlignment="1" applyProtection="1">
      <alignment shrinkToFit="1"/>
    </xf>
    <xf numFmtId="0" fontId="26" fillId="0" borderId="21" xfId="0" applyFont="1" applyBorder="1" applyAlignment="1" applyProtection="1">
      <alignment horizontal="center" shrinkToFit="1"/>
    </xf>
    <xf numFmtId="14" fontId="26" fillId="0" borderId="21" xfId="0" applyNumberFormat="1" applyFont="1" applyBorder="1" applyAlignment="1">
      <alignment horizontal="center" shrinkToFit="1"/>
      <protection locked="0"/>
    </xf>
    <xf numFmtId="14" fontId="22" fillId="0" borderId="21" xfId="0" applyNumberFormat="1" applyFont="1" applyBorder="1" applyAlignment="1">
      <alignment shrinkToFit="1"/>
      <protection locked="0"/>
    </xf>
    <xf numFmtId="0" fontId="22" fillId="0" borderId="21" xfId="0" applyFont="1" applyBorder="1" applyAlignment="1" applyProtection="1">
      <alignment horizontal="center" shrinkToFit="1"/>
    </xf>
    <xf numFmtId="14" fontId="22" fillId="0" borderId="21" xfId="0" applyNumberFormat="1" applyFont="1" applyBorder="1" applyAlignment="1">
      <alignment horizontal="center" shrinkToFit="1"/>
      <protection locked="0"/>
    </xf>
    <xf numFmtId="0" fontId="22" fillId="0" borderId="0" xfId="0" applyFont="1" applyAlignment="1">
      <alignment shrinkToFit="1"/>
      <protection locked="0"/>
    </xf>
    <xf numFmtId="0" fontId="24" fillId="0" borderId="21" xfId="0" applyFont="1" applyBorder="1" applyAlignment="1">
      <alignment horizontal="center" shrinkToFit="1"/>
      <protection locked="0"/>
    </xf>
    <xf numFmtId="0" fontId="24" fillId="0" borderId="21" xfId="0" applyFont="1" applyBorder="1" applyAlignment="1">
      <alignment shrinkToFit="1"/>
      <protection locked="0"/>
    </xf>
    <xf numFmtId="0" fontId="24" fillId="0" borderId="21" xfId="0" applyFont="1" applyBorder="1" applyAlignment="1" applyProtection="1">
      <alignment horizontal="center" shrinkToFit="1"/>
    </xf>
    <xf numFmtId="14" fontId="24" fillId="0" borderId="21" xfId="0" applyNumberFormat="1" applyFont="1" applyBorder="1" applyAlignment="1">
      <alignment horizontal="center" shrinkToFit="1"/>
      <protection locked="0"/>
    </xf>
    <xf numFmtId="14" fontId="24" fillId="0" borderId="21" xfId="0" applyNumberFormat="1" applyFont="1" applyBorder="1" applyAlignment="1">
      <alignment shrinkToFit="1"/>
      <protection locked="0"/>
    </xf>
    <xf numFmtId="0" fontId="24" fillId="0" borderId="21" xfId="0" applyFont="1" applyBorder="1" applyAlignment="1">
      <alignment horizontal="center"/>
      <protection locked="0"/>
    </xf>
    <xf numFmtId="0" fontId="24" fillId="0" borderId="21" xfId="0" applyFont="1" applyBorder="1">
      <protection locked="0"/>
    </xf>
    <xf numFmtId="0" fontId="16" fillId="0" borderId="10" xfId="0" applyFont="1" applyBorder="1" applyProtection="1"/>
    <xf numFmtId="0" fontId="12" fillId="0" borderId="0" xfId="0" applyFont="1" applyBorder="1" applyAlignment="1" applyProtection="1"/>
    <xf numFmtId="0" fontId="23" fillId="0" borderId="0" xfId="21" applyFont="1" applyAlignment="1" applyProtection="1">
      <alignment horizontal="left"/>
      <protection locked="0"/>
    </xf>
    <xf numFmtId="0" fontId="29" fillId="0" borderId="0" xfId="0" applyFont="1" applyAlignment="1">
      <alignment shrinkToFit="1"/>
      <protection locked="0"/>
    </xf>
    <xf numFmtId="0" fontId="15" fillId="0" borderId="0" xfId="2" applyFont="1" applyProtection="1"/>
    <xf numFmtId="0" fontId="18" fillId="0" borderId="0" xfId="2" applyFont="1" applyProtection="1"/>
    <xf numFmtId="0" fontId="19" fillId="0" borderId="0" xfId="1" applyFont="1" applyAlignment="1" applyProtection="1">
      <alignment horizontal="right" vertical="center"/>
    </xf>
    <xf numFmtId="0" fontId="27" fillId="0" borderId="0" xfId="2" applyFont="1" applyProtection="1"/>
    <xf numFmtId="0" fontId="17" fillId="0" borderId="0" xfId="2" applyFont="1" applyProtection="1"/>
    <xf numFmtId="0" fontId="15" fillId="0" borderId="9" xfId="2" applyFont="1" applyBorder="1" applyProtection="1"/>
    <xf numFmtId="0" fontId="15" fillId="0" borderId="10" xfId="2" applyFont="1" applyBorder="1" applyProtection="1"/>
    <xf numFmtId="0" fontId="15" fillId="0" borderId="11" xfId="2" applyFont="1" applyBorder="1" applyProtection="1"/>
    <xf numFmtId="0" fontId="15" fillId="0" borderId="4" xfId="2" applyFont="1" applyBorder="1" applyProtection="1"/>
    <xf numFmtId="0" fontId="6" fillId="0" borderId="0" xfId="1" applyFont="1" applyBorder="1" applyAlignment="1" applyProtection="1">
      <alignment horizontal="left"/>
    </xf>
    <xf numFmtId="0" fontId="5" fillId="0" borderId="0" xfId="1" applyFont="1" applyBorder="1" applyProtection="1"/>
    <xf numFmtId="0" fontId="15" fillId="0" borderId="0" xfId="2" applyFont="1" applyBorder="1" applyProtection="1"/>
    <xf numFmtId="0" fontId="15" fillId="0" borderId="5" xfId="2" applyFont="1" applyBorder="1" applyProtection="1"/>
    <xf numFmtId="0" fontId="5" fillId="0" borderId="0" xfId="1" applyFont="1" applyBorder="1" applyAlignment="1" applyProtection="1">
      <alignment vertical="center"/>
    </xf>
    <xf numFmtId="0" fontId="8" fillId="0" borderId="0" xfId="1" applyFont="1" applyBorder="1" applyAlignment="1" applyProtection="1">
      <alignment horizontal="left"/>
    </xf>
    <xf numFmtId="0" fontId="8" fillId="0" borderId="0" xfId="1" applyFont="1" applyBorder="1" applyAlignment="1" applyProtection="1">
      <alignment horizontal="centerContinuous"/>
    </xf>
    <xf numFmtId="0" fontId="15" fillId="0" borderId="0" xfId="2" applyFont="1" applyBorder="1" applyAlignment="1" applyProtection="1">
      <alignment horizontal="centerContinuous"/>
    </xf>
    <xf numFmtId="0" fontId="9" fillId="0" borderId="0" xfId="1" applyFont="1" applyBorder="1" applyAlignment="1" applyProtection="1">
      <alignment vertical="center" shrinkToFit="1"/>
    </xf>
    <xf numFmtId="0" fontId="4" fillId="0" borderId="0" xfId="2" applyFont="1" applyBorder="1" applyAlignment="1" applyProtection="1">
      <alignment shrinkToFit="1"/>
    </xf>
    <xf numFmtId="0" fontId="9" fillId="0" borderId="0" xfId="1" applyFont="1" applyFill="1" applyBorder="1" applyAlignment="1" applyProtection="1">
      <alignment vertical="center"/>
    </xf>
    <xf numFmtId="0" fontId="4" fillId="0" borderId="0" xfId="2" applyFont="1" applyBorder="1" applyProtection="1"/>
    <xf numFmtId="0" fontId="4" fillId="0" borderId="0" xfId="2" applyFont="1" applyProtection="1"/>
    <xf numFmtId="0" fontId="10" fillId="2" borderId="3" xfId="1" applyFont="1" applyFill="1" applyBorder="1" applyAlignment="1" applyProtection="1">
      <alignment horizontal="center" vertical="center" wrapText="1"/>
    </xf>
    <xf numFmtId="0" fontId="10" fillId="2" borderId="19" xfId="1" applyFont="1" applyFill="1" applyBorder="1" applyAlignment="1" applyProtection="1">
      <alignment horizontal="center" vertical="center" wrapText="1"/>
    </xf>
    <xf numFmtId="0" fontId="10" fillId="2" borderId="20" xfId="1" applyFont="1" applyFill="1" applyBorder="1" applyAlignment="1" applyProtection="1">
      <alignment horizontal="center" vertical="center" wrapText="1"/>
    </xf>
    <xf numFmtId="165" fontId="11" fillId="0" borderId="16" xfId="1" applyNumberFormat="1" applyFont="1" applyFill="1" applyBorder="1" applyAlignment="1" applyProtection="1">
      <alignment horizontal="center" vertical="center"/>
    </xf>
    <xf numFmtId="0" fontId="11" fillId="0" borderId="16" xfId="1" applyFont="1" applyFill="1" applyBorder="1" applyAlignment="1" applyProtection="1">
      <alignment horizontal="center" vertical="center"/>
    </xf>
    <xf numFmtId="0" fontId="11" fillId="0" borderId="16" xfId="1" applyFont="1" applyFill="1" applyBorder="1" applyAlignment="1" applyProtection="1">
      <alignment horizontal="center" vertical="center" shrinkToFit="1"/>
    </xf>
    <xf numFmtId="0" fontId="11" fillId="0" borderId="16" xfId="1" applyFont="1" applyFill="1" applyBorder="1" applyAlignment="1" applyProtection="1">
      <alignment horizontal="center" shrinkToFit="1"/>
    </xf>
    <xf numFmtId="165" fontId="11" fillId="0" borderId="17" xfId="1" applyNumberFormat="1" applyFont="1" applyFill="1" applyBorder="1" applyAlignment="1" applyProtection="1">
      <alignment horizontal="center" vertical="center"/>
    </xf>
    <xf numFmtId="0" fontId="11" fillId="0" borderId="17" xfId="1" applyFont="1" applyFill="1" applyBorder="1" applyAlignment="1" applyProtection="1">
      <alignment horizontal="center" vertical="center"/>
    </xf>
    <xf numFmtId="0" fontId="11" fillId="0" borderId="17" xfId="1" applyFont="1" applyFill="1" applyBorder="1" applyAlignment="1" applyProtection="1">
      <alignment horizontal="center" vertical="center" shrinkToFit="1"/>
    </xf>
    <xf numFmtId="16" fontId="11" fillId="0" borderId="17" xfId="1" applyNumberFormat="1" applyFont="1" applyFill="1" applyBorder="1" applyAlignment="1" applyProtection="1">
      <alignment horizontal="center" shrinkToFit="1"/>
    </xf>
    <xf numFmtId="165" fontId="11" fillId="0" borderId="18" xfId="1" applyNumberFormat="1" applyFont="1" applyFill="1" applyBorder="1" applyAlignment="1" applyProtection="1">
      <alignment horizontal="center" vertical="center"/>
    </xf>
    <xf numFmtId="0" fontId="11" fillId="0" borderId="18" xfId="1" applyFont="1" applyFill="1" applyBorder="1" applyAlignment="1" applyProtection="1">
      <alignment horizontal="center" vertical="center"/>
    </xf>
    <xf numFmtId="0" fontId="11" fillId="0" borderId="18" xfId="1" applyFont="1" applyFill="1" applyBorder="1" applyAlignment="1" applyProtection="1">
      <alignment horizontal="center" vertical="center" shrinkToFit="1"/>
    </xf>
    <xf numFmtId="0" fontId="11" fillId="0" borderId="18" xfId="1" applyFont="1" applyFill="1" applyBorder="1" applyAlignment="1" applyProtection="1">
      <alignment horizontal="center" shrinkToFit="1"/>
    </xf>
    <xf numFmtId="0" fontId="15" fillId="0" borderId="12" xfId="2" applyFont="1" applyBorder="1" applyProtection="1"/>
    <xf numFmtId="0" fontId="15" fillId="0" borderId="13" xfId="2" applyFont="1" applyBorder="1" applyProtection="1"/>
    <xf numFmtId="0" fontId="15" fillId="0" borderId="14" xfId="2" applyFont="1" applyBorder="1" applyProtection="1"/>
    <xf numFmtId="43" fontId="15" fillId="0" borderId="0" xfId="2" applyNumberFormat="1" applyFont="1" applyProtection="1"/>
    <xf numFmtId="43" fontId="5" fillId="0" borderId="0" xfId="1" applyNumberFormat="1" applyFont="1" applyBorder="1" applyAlignment="1" applyProtection="1">
      <alignment vertical="center"/>
    </xf>
    <xf numFmtId="7" fontId="26" fillId="11" borderId="21" xfId="0" applyNumberFormat="1" applyFont="1" applyFill="1" applyBorder="1" applyAlignment="1">
      <alignment shrinkToFit="1"/>
      <protection locked="0"/>
    </xf>
    <xf numFmtId="0" fontId="23" fillId="0" borderId="0" xfId="21" applyFont="1" applyAlignment="1" applyProtection="1">
      <alignment horizontal="left"/>
    </xf>
    <xf numFmtId="0" fontId="22" fillId="0" borderId="0" xfId="21" applyFont="1" applyProtection="1"/>
    <xf numFmtId="0" fontId="22" fillId="0" borderId="0" xfId="21" applyFont="1" applyAlignment="1" applyProtection="1">
      <alignment horizontal="right"/>
    </xf>
    <xf numFmtId="14" fontId="22" fillId="0" borderId="0" xfId="21" applyNumberFormat="1" applyFont="1" applyAlignment="1" applyProtection="1">
      <alignment shrinkToFit="1"/>
    </xf>
    <xf numFmtId="0" fontId="22" fillId="0" borderId="24" xfId="21" applyFont="1" applyBorder="1" applyAlignment="1" applyProtection="1">
      <alignment horizontal="right"/>
    </xf>
    <xf numFmtId="14" fontId="22" fillId="0" borderId="24" xfId="21" applyNumberFormat="1" applyFont="1" applyBorder="1" applyAlignment="1" applyProtection="1">
      <alignment shrinkToFit="1"/>
    </xf>
    <xf numFmtId="0" fontId="22" fillId="0" borderId="0" xfId="21" applyFont="1" applyAlignment="1" applyProtection="1">
      <alignment horizontal="center"/>
      <protection locked="0"/>
    </xf>
    <xf numFmtId="0" fontId="4" fillId="0" borderId="4" xfId="2" applyFont="1" applyBorder="1" applyProtection="1"/>
    <xf numFmtId="0" fontId="31" fillId="0" borderId="4" xfId="0" applyFont="1" applyBorder="1" applyProtection="1"/>
    <xf numFmtId="0" fontId="4" fillId="0" borderId="12" xfId="2" applyFont="1" applyBorder="1" applyProtection="1"/>
    <xf numFmtId="0" fontId="32" fillId="0" borderId="9" xfId="0" applyFont="1" applyBorder="1" applyProtection="1"/>
    <xf numFmtId="0" fontId="6" fillId="0" borderId="0" xfId="1" applyFont="1" applyBorder="1" applyAlignment="1" applyProtection="1">
      <alignment horizontal="left"/>
    </xf>
    <xf numFmtId="17" fontId="22" fillId="7" borderId="0" xfId="21" applyNumberFormat="1" applyFont="1" applyFill="1" applyAlignment="1" applyProtection="1">
      <alignment horizontal="center" shrinkToFit="1"/>
      <protection locked="0"/>
    </xf>
    <xf numFmtId="0" fontId="22" fillId="0" borderId="0" xfId="21" applyFont="1" applyAlignment="1" applyProtection="1">
      <alignment horizontal="center"/>
      <protection locked="0"/>
    </xf>
    <xf numFmtId="164" fontId="22" fillId="7" borderId="0" xfId="21" applyNumberFormat="1" applyFont="1" applyFill="1" applyAlignment="1" applyProtection="1">
      <alignment horizontal="center" shrinkToFit="1"/>
      <protection locked="0"/>
    </xf>
    <xf numFmtId="14" fontId="22" fillId="0" borderId="0" xfId="21" applyNumberFormat="1" applyFont="1" applyAlignment="1" applyProtection="1">
      <alignment horizontal="center" shrinkToFit="1"/>
      <protection locked="0"/>
    </xf>
    <xf numFmtId="14" fontId="22" fillId="7" borderId="0" xfId="21" applyNumberFormat="1" applyFont="1" applyFill="1" applyAlignment="1" applyProtection="1">
      <alignment horizontal="center" shrinkToFit="1"/>
      <protection locked="0"/>
    </xf>
    <xf numFmtId="0" fontId="16" fillId="0" borderId="9" xfId="0" applyFont="1" applyBorder="1" applyProtection="1"/>
    <xf numFmtId="0" fontId="35" fillId="0" borderId="4" xfId="0" applyFont="1" applyBorder="1" applyProtection="1"/>
    <xf numFmtId="0" fontId="7" fillId="7" borderId="6" xfId="1" applyFont="1" applyFill="1" applyBorder="1" applyAlignment="1" applyProtection="1">
      <alignment horizontal="centerContinuous" vertical="center" shrinkToFit="1"/>
    </xf>
    <xf numFmtId="0" fontId="7" fillId="7" borderId="7" xfId="1" applyFont="1" applyFill="1" applyBorder="1" applyAlignment="1" applyProtection="1">
      <alignment horizontal="centerContinuous" vertical="center" shrinkToFit="1"/>
    </xf>
    <xf numFmtId="0" fontId="7" fillId="12" borderId="6" xfId="1" applyFont="1" applyFill="1" applyBorder="1" applyAlignment="1" applyProtection="1">
      <alignment horizontal="centerContinuous" vertical="center" shrinkToFit="1"/>
    </xf>
    <xf numFmtId="0" fontId="7" fillId="12" borderId="7" xfId="1" applyFont="1" applyFill="1" applyBorder="1" applyAlignment="1" applyProtection="1">
      <alignment horizontal="centerContinuous" vertical="center" shrinkToFit="1"/>
    </xf>
    <xf numFmtId="0" fontId="7" fillId="12" borderId="8" xfId="1" applyFont="1" applyFill="1" applyBorder="1" applyAlignment="1" applyProtection="1">
      <alignment horizontal="centerContinuous" vertical="center" shrinkToFit="1"/>
    </xf>
    <xf numFmtId="0" fontId="10" fillId="2" borderId="25" xfId="1" applyFont="1" applyFill="1" applyBorder="1" applyAlignment="1" applyProtection="1">
      <alignment horizontal="center" vertical="center" wrapText="1"/>
    </xf>
    <xf numFmtId="0" fontId="12" fillId="0" borderId="14" xfId="0" applyFont="1" applyBorder="1" applyProtection="1"/>
    <xf numFmtId="0" fontId="10" fillId="2" borderId="27" xfId="1" applyFont="1" applyFill="1" applyBorder="1" applyAlignment="1" applyProtection="1">
      <alignment horizontal="center" vertical="center" wrapText="1"/>
    </xf>
    <xf numFmtId="0" fontId="15" fillId="0" borderId="26" xfId="2" applyFont="1" applyBorder="1" applyProtection="1"/>
    <xf numFmtId="7" fontId="26" fillId="11" borderId="21" xfId="27" applyNumberFormat="1" applyFont="1" applyFill="1" applyBorder="1" applyAlignment="1">
      <alignment shrinkToFit="1"/>
      <protection locked="0"/>
    </xf>
    <xf numFmtId="0" fontId="22" fillId="0" borderId="0" xfId="27" applyFont="1">
      <protection locked="0"/>
    </xf>
    <xf numFmtId="0" fontId="16" fillId="0" borderId="4" xfId="0" applyFont="1" applyBorder="1" applyProtection="1"/>
    <xf numFmtId="14" fontId="0" fillId="0" borderId="0" xfId="0" applyNumberFormat="1">
      <protection locked="0"/>
    </xf>
    <xf numFmtId="14" fontId="15" fillId="0" borderId="0" xfId="2" applyNumberFormat="1" applyFont="1" applyProtection="1"/>
    <xf numFmtId="14" fontId="19" fillId="0" borderId="0" xfId="1" applyNumberFormat="1" applyFont="1" applyAlignment="1" applyProtection="1">
      <alignment horizontal="right" vertical="center"/>
    </xf>
    <xf numFmtId="14" fontId="15" fillId="0" borderId="10" xfId="2" applyNumberFormat="1" applyFont="1" applyBorder="1" applyProtection="1"/>
    <xf numFmtId="14" fontId="15" fillId="0" borderId="0" xfId="2" applyNumberFormat="1" applyFont="1" applyBorder="1" applyProtection="1"/>
    <xf numFmtId="2" fontId="15" fillId="0" borderId="0" xfId="2" applyNumberFormat="1" applyFont="1" applyProtection="1"/>
    <xf numFmtId="2" fontId="18" fillId="0" borderId="0" xfId="2" applyNumberFormat="1" applyFont="1" applyProtection="1"/>
    <xf numFmtId="2" fontId="15" fillId="0" borderId="10" xfId="2" applyNumberFormat="1" applyFont="1" applyBorder="1" applyProtection="1"/>
    <xf numFmtId="2" fontId="5" fillId="0" borderId="0" xfId="1" applyNumberFormat="1" applyFont="1" applyBorder="1" applyProtection="1"/>
    <xf numFmtId="2" fontId="5" fillId="0" borderId="0" xfId="1" applyNumberFormat="1" applyFont="1" applyBorder="1" applyAlignment="1" applyProtection="1">
      <alignment vertical="center"/>
    </xf>
    <xf numFmtId="2" fontId="9" fillId="0" borderId="0" xfId="1" applyNumberFormat="1" applyFont="1" applyFill="1" applyBorder="1" applyAlignment="1" applyProtection="1">
      <alignment vertical="center"/>
    </xf>
    <xf numFmtId="2" fontId="4" fillId="0" borderId="0" xfId="2" applyNumberFormat="1" applyFont="1" applyBorder="1" applyProtection="1"/>
    <xf numFmtId="2" fontId="15" fillId="0" borderId="13" xfId="2" applyNumberFormat="1" applyFont="1" applyBorder="1" applyProtection="1"/>
    <xf numFmtId="2" fontId="15" fillId="0" borderId="0" xfId="2" applyNumberFormat="1" applyFont="1" applyBorder="1" applyProtection="1"/>
    <xf numFmtId="2" fontId="9" fillId="0" borderId="0" xfId="1" applyNumberFormat="1" applyFont="1" applyBorder="1" applyAlignment="1" applyProtection="1">
      <alignment vertical="center" shrinkToFit="1"/>
    </xf>
    <xf numFmtId="2" fontId="4" fillId="0" borderId="0" xfId="2" applyNumberFormat="1" applyFont="1" applyBorder="1" applyAlignment="1" applyProtection="1">
      <alignment shrinkToFit="1"/>
    </xf>
    <xf numFmtId="0" fontId="16" fillId="4" borderId="0" xfId="0" applyFont="1" applyFill="1" applyBorder="1" applyAlignment="1" applyProtection="1">
      <alignment horizontal="centerContinuous"/>
    </xf>
    <xf numFmtId="0" fontId="15" fillId="0" borderId="0" xfId="2" applyFont="1" applyBorder="1" applyAlignment="1" applyProtection="1">
      <alignment horizontal="center"/>
    </xf>
    <xf numFmtId="14" fontId="6" fillId="0" borderId="9" xfId="1" applyNumberFormat="1" applyFont="1" applyBorder="1" applyAlignment="1" applyProtection="1">
      <alignment horizontal="left"/>
    </xf>
    <xf numFmtId="0" fontId="6" fillId="0" borderId="10" xfId="1" applyFont="1" applyBorder="1" applyAlignment="1" applyProtection="1">
      <alignment horizontal="left"/>
    </xf>
    <xf numFmtId="0" fontId="5" fillId="0" borderId="10" xfId="1" applyFont="1" applyBorder="1" applyProtection="1"/>
    <xf numFmtId="2" fontId="5" fillId="0" borderId="10" xfId="1" applyNumberFormat="1" applyFont="1" applyBorder="1" applyProtection="1"/>
    <xf numFmtId="14" fontId="8" fillId="0" borderId="4" xfId="1" applyNumberFormat="1" applyFont="1" applyBorder="1" applyAlignment="1" applyProtection="1">
      <alignment horizontal="left"/>
    </xf>
    <xf numFmtId="14" fontId="5" fillId="0" borderId="4" xfId="1" applyNumberFormat="1" applyFont="1" applyBorder="1" applyAlignment="1" applyProtection="1">
      <alignment vertical="center"/>
    </xf>
    <xf numFmtId="14" fontId="15" fillId="0" borderId="4" xfId="2" applyNumberFormat="1" applyFont="1" applyBorder="1" applyProtection="1"/>
    <xf numFmtId="0" fontId="12" fillId="4" borderId="4" xfId="0" applyFont="1" applyFill="1" applyBorder="1" applyAlignment="1" applyProtection="1">
      <alignment horizontal="centerContinuous"/>
    </xf>
    <xf numFmtId="44" fontId="19" fillId="3" borderId="28" xfId="28" applyFont="1" applyFill="1" applyBorder="1" applyAlignment="1" applyProtection="1">
      <alignment vertical="center"/>
      <protection locked="0"/>
    </xf>
    <xf numFmtId="0" fontId="17" fillId="0" borderId="9" xfId="2" applyFont="1" applyBorder="1" applyProtection="1"/>
    <xf numFmtId="165" fontId="11" fillId="0" borderId="29" xfId="1" applyNumberFormat="1" applyFont="1" applyFill="1" applyBorder="1" applyAlignment="1" applyProtection="1">
      <alignment horizontal="center" vertical="center"/>
    </xf>
    <xf numFmtId="0" fontId="11" fillId="0" borderId="29" xfId="1" applyFont="1" applyFill="1" applyBorder="1" applyAlignment="1" applyProtection="1">
      <alignment horizontal="center" vertical="center"/>
    </xf>
    <xf numFmtId="0" fontId="11" fillId="0" borderId="29" xfId="1" applyFont="1" applyFill="1" applyBorder="1" applyAlignment="1" applyProtection="1">
      <alignment horizontal="center" vertical="center" shrinkToFit="1"/>
    </xf>
    <xf numFmtId="49" fontId="0" fillId="0" borderId="0" xfId="0" applyNumberFormat="1">
      <protection locked="0"/>
    </xf>
    <xf numFmtId="0" fontId="12" fillId="0" borderId="12" xfId="0" applyFont="1" applyBorder="1" applyProtection="1"/>
    <xf numFmtId="0" fontId="12" fillId="0" borderId="13" xfId="0" applyFont="1" applyBorder="1" applyProtection="1"/>
    <xf numFmtId="0" fontId="11" fillId="0" borderId="29" xfId="1" applyFont="1" applyFill="1" applyBorder="1" applyAlignment="1" applyProtection="1">
      <alignment horizontal="center" shrinkToFit="1"/>
    </xf>
    <xf numFmtId="0" fontId="4" fillId="0" borderId="12" xfId="2" applyFont="1" applyBorder="1" applyAlignment="1" applyProtection="1">
      <alignment shrinkToFit="1"/>
    </xf>
    <xf numFmtId="14" fontId="10" fillId="2" borderId="35" xfId="1" applyNumberFormat="1" applyFont="1" applyFill="1" applyBorder="1" applyAlignment="1" applyProtection="1">
      <alignment horizontal="center" vertical="center" wrapText="1"/>
    </xf>
    <xf numFmtId="0" fontId="10" fillId="2" borderId="35" xfId="1" applyFont="1" applyFill="1" applyBorder="1" applyAlignment="1" applyProtection="1">
      <alignment horizontal="center" vertical="center" wrapText="1"/>
    </xf>
    <xf numFmtId="2" fontId="10" fillId="2" borderId="35" xfId="1" applyNumberFormat="1" applyFont="1" applyFill="1" applyBorder="1" applyAlignment="1" applyProtection="1">
      <alignment horizontal="center" vertical="center" wrapText="1"/>
    </xf>
    <xf numFmtId="14" fontId="15" fillId="0" borderId="13" xfId="2" applyNumberFormat="1" applyFont="1" applyBorder="1" applyProtection="1"/>
    <xf numFmtId="2" fontId="7" fillId="12" borderId="31" xfId="1" applyNumberFormat="1" applyFont="1" applyFill="1" applyBorder="1" applyAlignment="1" applyProtection="1">
      <alignment horizontal="center" vertical="center" shrinkToFit="1"/>
    </xf>
    <xf numFmtId="2" fontId="7" fillId="12" borderId="32" xfId="1" applyNumberFormat="1" applyFont="1" applyFill="1" applyBorder="1" applyAlignment="1" applyProtection="1">
      <alignment horizontal="center" vertical="center" shrinkToFit="1"/>
    </xf>
    <xf numFmtId="2" fontId="8" fillId="7" borderId="30" xfId="1" applyNumberFormat="1" applyFont="1" applyFill="1" applyBorder="1" applyAlignment="1" applyProtection="1">
      <alignment horizontal="center" vertical="center" shrinkToFit="1"/>
    </xf>
    <xf numFmtId="2" fontId="8" fillId="7" borderId="31" xfId="1" applyNumberFormat="1" applyFont="1" applyFill="1" applyBorder="1" applyAlignment="1" applyProtection="1">
      <alignment horizontal="center" vertical="center" shrinkToFit="1"/>
    </xf>
    <xf numFmtId="14" fontId="20" fillId="0" borderId="4" xfId="1" applyNumberFormat="1" applyFont="1" applyBorder="1" applyAlignment="1" applyProtection="1">
      <alignment horizontal="left" vertical="center"/>
    </xf>
    <xf numFmtId="0" fontId="6" fillId="0" borderId="4" xfId="1" applyFont="1" applyBorder="1" applyAlignment="1" applyProtection="1">
      <alignment horizontal="left"/>
    </xf>
    <xf numFmtId="0" fontId="6" fillId="0" borderId="0" xfId="1" applyFont="1" applyBorder="1" applyAlignment="1" applyProtection="1">
      <alignment horizontal="left"/>
    </xf>
    <xf numFmtId="2" fontId="28" fillId="3" borderId="33" xfId="28" applyNumberFormat="1" applyFont="1" applyFill="1" applyBorder="1" applyAlignment="1" applyProtection="1">
      <alignment horizontal="center" vertical="center"/>
      <protection locked="0"/>
    </xf>
    <xf numFmtId="2" fontId="28" fillId="3" borderId="34" xfId="28" applyNumberFormat="1" applyFont="1" applyFill="1" applyBorder="1" applyAlignment="1" applyProtection="1">
      <alignment horizontal="center" vertical="center"/>
      <protection locked="0"/>
    </xf>
    <xf numFmtId="14" fontId="20" fillId="0" borderId="0" xfId="1" applyNumberFormat="1" applyFont="1" applyBorder="1" applyAlignment="1" applyProtection="1">
      <alignment horizontal="left" vertical="center"/>
    </xf>
    <xf numFmtId="44" fontId="28" fillId="3" borderId="1" xfId="28" applyFont="1" applyFill="1" applyBorder="1" applyAlignment="1" applyProtection="1">
      <alignment horizontal="center" vertical="center"/>
      <protection locked="0"/>
    </xf>
    <xf numFmtId="44" fontId="28" fillId="3" borderId="2" xfId="28" applyFont="1" applyFill="1" applyBorder="1" applyAlignment="1" applyProtection="1">
      <alignment horizontal="center" vertical="center"/>
      <protection locked="0"/>
    </xf>
    <xf numFmtId="0" fontId="22" fillId="0" borderId="0" xfId="21" applyFont="1" applyAlignment="1" applyProtection="1">
      <alignment horizontal="center"/>
      <protection locked="0"/>
    </xf>
    <xf numFmtId="14" fontId="22" fillId="0" borderId="0" xfId="21" applyNumberFormat="1" applyFont="1" applyFill="1" applyAlignment="1" applyProtection="1">
      <alignment horizontal="center" shrinkToFit="1"/>
      <protection locked="0"/>
    </xf>
    <xf numFmtId="164" fontId="22" fillId="7" borderId="0" xfId="21" applyNumberFormat="1" applyFont="1" applyFill="1" applyAlignment="1" applyProtection="1">
      <alignment horizontal="center" shrinkToFit="1"/>
      <protection locked="0"/>
    </xf>
    <xf numFmtId="14" fontId="22" fillId="0" borderId="0" xfId="21" applyNumberFormat="1" applyFont="1" applyAlignment="1" applyProtection="1">
      <alignment horizontal="center" shrinkToFit="1"/>
      <protection locked="0"/>
    </xf>
  </cellXfs>
  <cellStyles count="31">
    <cellStyle name="Comma 2" xfId="4"/>
    <cellStyle name="Comma 3" xfId="5"/>
    <cellStyle name="Comma 5" xfId="6"/>
    <cellStyle name="Currency" xfId="28" builtinId="4"/>
    <cellStyle name="Currency 2" xfId="7"/>
    <cellStyle name="Normal" xfId="0" builtinId="0"/>
    <cellStyle name="Normal 10" xfId="27"/>
    <cellStyle name="Normal 11" xfId="29"/>
    <cellStyle name="Normal 129" xfId="8"/>
    <cellStyle name="Normal 130" xfId="9"/>
    <cellStyle name="Normal 19" xfId="10"/>
    <cellStyle name="Normal 19 100" xfId="11"/>
    <cellStyle name="Normal 2" xfId="12"/>
    <cellStyle name="Normal 2 2" xfId="13"/>
    <cellStyle name="Normal 2 3" xfId="14"/>
    <cellStyle name="Normal 2 4" xfId="15"/>
    <cellStyle name="Normal 2 5" xfId="16"/>
    <cellStyle name="Normal 2 6" xfId="17"/>
    <cellStyle name="Normal 2 7" xfId="18"/>
    <cellStyle name="Normal 2 8" xfId="19"/>
    <cellStyle name="Normal 2 9" xfId="20"/>
    <cellStyle name="Normal 3" xfId="2"/>
    <cellStyle name="Normal 3 2" xfId="30"/>
    <cellStyle name="Normal 4" xfId="21"/>
    <cellStyle name="Normal 5" xfId="22"/>
    <cellStyle name="Normal 6" xfId="1"/>
    <cellStyle name="Normal 7" xfId="3"/>
    <cellStyle name="Normal 76" xfId="23"/>
    <cellStyle name="Normal 8" xfId="24"/>
    <cellStyle name="Normal 8 2" xfId="26"/>
    <cellStyle name="Normal 9" xfId="25"/>
  </cellStyles>
  <dxfs count="4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282227</xdr:colOff>
      <xdr:row>2</xdr:row>
      <xdr:rowOff>53389</xdr:rowOff>
    </xdr:from>
    <xdr:to>
      <xdr:col>13</xdr:col>
      <xdr:colOff>381384</xdr:colOff>
      <xdr:row>9</xdr:row>
      <xdr:rowOff>153401</xdr:rowOff>
    </xdr:to>
    <xdr:pic>
      <xdr:nvPicPr>
        <xdr:cNvPr id="2" name="Picture 1" descr="X:\IT\Pub\Logo\ChampionLogo4CP_169x110.gif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370198" y="367154"/>
          <a:ext cx="1757627" cy="118698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310244</xdr:colOff>
      <xdr:row>3</xdr:row>
      <xdr:rowOff>1361</xdr:rowOff>
    </xdr:from>
    <xdr:to>
      <xdr:col>14</xdr:col>
      <xdr:colOff>33202</xdr:colOff>
      <xdr:row>9</xdr:row>
      <xdr:rowOff>169412</xdr:rowOff>
    </xdr:to>
    <xdr:pic>
      <xdr:nvPicPr>
        <xdr:cNvPr id="2" name="Picture 1" descr="X:\IT\Pub\Logo\ChampionLogo4CP_169x110.gif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454244" y="382361"/>
          <a:ext cx="1750423" cy="120219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228601</xdr:colOff>
      <xdr:row>3</xdr:row>
      <xdr:rowOff>42182</xdr:rowOff>
    </xdr:from>
    <xdr:to>
      <xdr:col>14</xdr:col>
      <xdr:colOff>5989</xdr:colOff>
      <xdr:row>9</xdr:row>
      <xdr:rowOff>210233</xdr:rowOff>
    </xdr:to>
    <xdr:pic>
      <xdr:nvPicPr>
        <xdr:cNvPr id="4" name="Picture 3" descr="X:\IT\Pub\Logo\ChampionLogo4CP_169x110.gif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35887" y="423182"/>
          <a:ext cx="1750423" cy="120219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228600</xdr:colOff>
      <xdr:row>4</xdr:row>
      <xdr:rowOff>1361</xdr:rowOff>
    </xdr:from>
    <xdr:to>
      <xdr:col>13</xdr:col>
      <xdr:colOff>672738</xdr:colOff>
      <xdr:row>10</xdr:row>
      <xdr:rowOff>6127</xdr:rowOff>
    </xdr:to>
    <xdr:pic>
      <xdr:nvPicPr>
        <xdr:cNvPr id="4" name="Picture 3" descr="X:\IT\Pub\Logo\ChampionLogo4CP_169x110.gif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236529" y="450397"/>
          <a:ext cx="1750423" cy="120219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214993</xdr:colOff>
      <xdr:row>4</xdr:row>
      <xdr:rowOff>28575</xdr:rowOff>
    </xdr:from>
    <xdr:to>
      <xdr:col>13</xdr:col>
      <xdr:colOff>659130</xdr:colOff>
      <xdr:row>10</xdr:row>
      <xdr:rowOff>33341</xdr:rowOff>
    </xdr:to>
    <xdr:pic>
      <xdr:nvPicPr>
        <xdr:cNvPr id="3" name="Picture 2" descr="X:\IT\Pub\Logo\ChampionLogo4CP_169x110.gif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399814" y="477611"/>
          <a:ext cx="1750423" cy="120219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283027</xdr:colOff>
      <xdr:row>4</xdr:row>
      <xdr:rowOff>69397</xdr:rowOff>
    </xdr:from>
    <xdr:to>
      <xdr:col>13</xdr:col>
      <xdr:colOff>727164</xdr:colOff>
      <xdr:row>10</xdr:row>
      <xdr:rowOff>74161</xdr:rowOff>
    </xdr:to>
    <xdr:pic>
      <xdr:nvPicPr>
        <xdr:cNvPr id="4" name="Picture 3" descr="X:\IT\Pub\Logo\ChampionLogo4CP_169x110.gif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290956" y="518433"/>
          <a:ext cx="1750423" cy="120219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dysseus/Downloads/Template%20PJM%20Matrix%20Indirect%20v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dysseus/Downloads/Template%20PJM%20Hybrid%20RES%20v1%20-%20wCapTran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Orig/Pvt%20Indirect/Structuring/Matrix/New%20Matrix/Model/CES%20PJM%20Matrix%20Archive%20v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trix"/>
      <sheetName val="PA"/>
      <sheetName val="OH"/>
      <sheetName val="IL"/>
      <sheetName val="NJ"/>
      <sheetName val="MD"/>
      <sheetName val="Main"/>
      <sheetName val="Adder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5">
          <cell r="T15">
            <v>41395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ECO LP_10V1_SMS"/>
      <sheetName val="AECO LP_14V1_MMS"/>
      <sheetName val="AEP_OH_CS - test CSGS1MS"/>
      <sheetName val="AEP_OH_CS - test CSGS2UMS"/>
      <sheetName val="AEP_OH_CS - test CSGS3UMS"/>
      <sheetName val="Ameren RateZnIII LP DS2HHMS"/>
      <sheetName val="BGE LP_GLMS"/>
      <sheetName val="BGE LP_GMS"/>
      <sheetName val="BGE LP_GSMS"/>
      <sheetName val="ComEd - test LP_28MS"/>
      <sheetName val="ComEd - test LP_29MS"/>
      <sheetName val="DAY_RC_843MS"/>
      <sheetName val="Delmarva MD LP_MDGS_MMS"/>
      <sheetName val="DQE LP_GSGM_MMS (2)"/>
      <sheetName val="Duke_OH_RC_DS01MS"/>
      <sheetName val="FE_OE - test RC_GSFMS"/>
      <sheetName val="Adders"/>
      <sheetName val="Matrix"/>
      <sheetName val="PA"/>
      <sheetName val="OH"/>
      <sheetName val="IL"/>
      <sheetName val="NJ"/>
      <sheetName val="MD"/>
      <sheetName val="Main"/>
      <sheetName val="LMPMain"/>
      <sheetName val="JCPL LP_GSCLMS"/>
      <sheetName val="JCPL LP_GSCMMS"/>
      <sheetName val="JCPL LP_GSCSMS"/>
      <sheetName val="MetEd RC_GSDFMS (2)"/>
      <sheetName val="MetEd RC_GSLFMS (2)"/>
      <sheetName val="MetEd RC_GSSFMS (2)"/>
      <sheetName val="PECO LP_GSMS (2)"/>
      <sheetName val="Penelec RC_GSLFMS (2)"/>
      <sheetName val="Penelec RC_GSMFMS (2)"/>
      <sheetName val="Penelec RC_GSSFMS (2)"/>
      <sheetName val="Penn Power RC_GMDMS (2)"/>
      <sheetName val="PEPCO MD LP_MDNDMS"/>
      <sheetName val="PEPCO MD LP_MMGTL2AMS"/>
      <sheetName val="PEPCO MD RC_3T7MS"/>
      <sheetName val="Potomac Edison LP_GSCM_MMS"/>
      <sheetName val="PPL_RCGS1MS (2)"/>
      <sheetName val="PPL_RCGS3MS (2)"/>
      <sheetName val="PSEG LP_GLP_MMS"/>
      <sheetName val="PSEG LP_LPLMS"/>
      <sheetName val="West Penn Power LP_GSCMMS (2)"/>
      <sheetName val="AllSheetNam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est Penn Power LP_GSCMMS"/>
      <sheetName val="PSEG LP_LPLMS"/>
      <sheetName val="PSEG LP_GLP_MMS"/>
      <sheetName val="PPL_RCGS3MS"/>
      <sheetName val="PPL_RCGS1MS"/>
      <sheetName val="Potomac Edison LP_GSCM_MMS"/>
      <sheetName val="PEPCO MD RC_3T7MS"/>
      <sheetName val="PEPCO MD LP_MMGTL2AMS"/>
      <sheetName val="PEPCO MD LP_MDNDMS"/>
      <sheetName val="Penn Power RC_GMDMS"/>
      <sheetName val="Penelec RC_GSSFMS"/>
      <sheetName val="Penelec RC_GSMFMS"/>
      <sheetName val="Penelec RC_GSLFMS"/>
      <sheetName val="PECO LP_GSMS"/>
      <sheetName val="MetEd RC_GSSFMS"/>
      <sheetName val="MetEd RC_GSLFMS"/>
      <sheetName val="MetEd RC_GSDFMS"/>
      <sheetName val="JCPL LP_GSCSMS"/>
      <sheetName val="JCPL LP_GSCMMS"/>
      <sheetName val="JCPL LP_GSCLMS"/>
      <sheetName val="FE_OE - test RC_GSFMS"/>
      <sheetName val="Duke_OH_RC_DS01MS"/>
      <sheetName val="DQE LP_GSGM_MMS"/>
      <sheetName val="Delmarva MD LP_MDGS_MMS"/>
      <sheetName val="DAY_RC_843MS"/>
      <sheetName val="ComEd - test LP_29MS"/>
      <sheetName val="ComEd - test LP_28MS"/>
      <sheetName val="BGE LP_GSMS"/>
      <sheetName val="BGE LP_GLMS"/>
      <sheetName val="BGE LP_GMS"/>
      <sheetName val="Ameren RateZnIII LP DS2HHMS"/>
      <sheetName val="AEP_OH_CS - test CSGS3UMS"/>
      <sheetName val="AEP_OH_CS - test CSGS2UMS"/>
      <sheetName val="AEP_OH_CS - test CSGS1MS"/>
      <sheetName val="AECO LP_14V1_MMS"/>
      <sheetName val="AECO LP_10V1_SMS"/>
      <sheetName val="Log"/>
      <sheetName val="Folder"/>
      <sheetName val="Matrix"/>
      <sheetName val="Main"/>
      <sheetName val="LMPMain"/>
      <sheetName val="Adders"/>
      <sheetName val="6 Mths"/>
      <sheetName val="12 Mths"/>
      <sheetName val="18 Mths"/>
      <sheetName val="24 Mths"/>
      <sheetName val="36 Mths"/>
      <sheetName val="Do Not Remove &gt;&gt;&gt;"/>
      <sheetName val="Import"/>
      <sheetName val="Parameters"/>
      <sheetName val="Hours"/>
      <sheetName val="Holidays"/>
    </sheetNames>
    <sheetDataSet>
      <sheetData sheetId="0">
        <row r="8">
          <cell r="G8">
            <v>29.317269907266926</v>
          </cell>
          <cell r="H8">
            <v>27.949138099145728</v>
          </cell>
          <cell r="I8">
            <v>27.412738441457712</v>
          </cell>
          <cell r="J8">
            <v>28.426194708779843</v>
          </cell>
          <cell r="K8">
            <v>30.137544982325345</v>
          </cell>
        </row>
        <row r="9">
          <cell r="G9">
            <v>29.440983930248983</v>
          </cell>
          <cell r="H9">
            <v>27.686035316541084</v>
          </cell>
          <cell r="I9">
            <v>27.261810620207786</v>
          </cell>
          <cell r="J9">
            <v>28.539785524532611</v>
          </cell>
          <cell r="K9">
            <v>30.266183590763589</v>
          </cell>
        </row>
        <row r="10">
          <cell r="G10">
            <v>28.675787264411564</v>
          </cell>
          <cell r="H10">
            <v>27.44182889425338</v>
          </cell>
          <cell r="I10">
            <v>27.358057054295081</v>
          </cell>
          <cell r="J10">
            <v>28.691764500180401</v>
          </cell>
          <cell r="K10">
            <v>30.423666224494738</v>
          </cell>
        </row>
        <row r="11">
          <cell r="G11">
            <v>28.182529955119762</v>
          </cell>
          <cell r="H11">
            <v>27.197797436245502</v>
          </cell>
          <cell r="I11">
            <v>27.593436009950455</v>
          </cell>
          <cell r="J11">
            <v>28.846524633495086</v>
          </cell>
          <cell r="K11">
            <v>30.603826532434979</v>
          </cell>
        </row>
        <row r="12">
          <cell r="G12">
            <v>27.559247689361669</v>
          </cell>
          <cell r="H12">
            <v>26.98801595790145</v>
          </cell>
          <cell r="I12">
            <v>27.752864452661512</v>
          </cell>
          <cell r="J12">
            <v>29.002003883233098</v>
          </cell>
          <cell r="K12">
            <v>30.778329444587303</v>
          </cell>
        </row>
        <row r="13">
          <cell r="G13">
            <v>27.075098563703694</v>
          </cell>
          <cell r="H13">
            <v>26.720835206583498</v>
          </cell>
          <cell r="I13">
            <v>27.945902589434471</v>
          </cell>
          <cell r="J13">
            <v>29.147114716559496</v>
          </cell>
          <cell r="K13">
            <v>30.942857327897784</v>
          </cell>
        </row>
        <row r="14">
          <cell r="G14">
            <v>26.633679058054273</v>
          </cell>
          <cell r="H14">
            <v>26.476433575145649</v>
          </cell>
          <cell r="I14">
            <v>28.136500756035087</v>
          </cell>
          <cell r="J14">
            <v>29.284851849868211</v>
          </cell>
          <cell r="K14">
            <v>31.087821314517239</v>
          </cell>
        </row>
        <row r="15">
          <cell r="G15">
            <v>25.966134094107673</v>
          </cell>
          <cell r="H15">
            <v>26.180140158401748</v>
          </cell>
          <cell r="I15">
            <v>28.243064847206195</v>
          </cell>
          <cell r="J15">
            <v>29.413007676723215</v>
          </cell>
          <cell r="K15">
            <v>31.23009857815558</v>
          </cell>
        </row>
        <row r="16">
          <cell r="G16">
            <v>26.232813632133031</v>
          </cell>
          <cell r="H16">
            <v>26.70520954764131</v>
          </cell>
          <cell r="I16">
            <v>28.697027537149406</v>
          </cell>
          <cell r="J16">
            <v>29.768628090583562</v>
          </cell>
          <cell r="K16">
            <v>31.748763600953829</v>
          </cell>
        </row>
        <row r="17">
          <cell r="G17">
            <v>26.205575533845678</v>
          </cell>
          <cell r="H17">
            <v>27.296968289722393</v>
          </cell>
          <cell r="I17">
            <v>29.069369385556055</v>
          </cell>
          <cell r="J17">
            <v>30.156643249409839</v>
          </cell>
          <cell r="K17">
            <v>32.292877806618243</v>
          </cell>
        </row>
        <row r="18">
          <cell r="G18">
            <v>26.389658222944938</v>
          </cell>
          <cell r="H18">
            <v>27.851918290158231</v>
          </cell>
          <cell r="I18">
            <v>29.497834578913341</v>
          </cell>
          <cell r="J18">
            <v>30.532167953055755</v>
          </cell>
          <cell r="K18">
            <v>32.837285507614403</v>
          </cell>
        </row>
        <row r="19">
          <cell r="G19">
            <v>26.353957732301353</v>
          </cell>
          <cell r="H19">
            <v>28.389179492628074</v>
          </cell>
          <cell r="I19">
            <v>29.854077477709346</v>
          </cell>
          <cell r="J19">
            <v>30.905084317239449</v>
          </cell>
          <cell r="K19">
            <v>33.363319694492333</v>
          </cell>
        </row>
        <row r="20">
          <cell r="G20">
            <v>26.311913194483871</v>
          </cell>
          <cell r="H20">
            <v>28.904226927805965</v>
          </cell>
          <cell r="I20">
            <v>30.194615239640598</v>
          </cell>
          <cell r="J20">
            <v>31.233661918346083</v>
          </cell>
          <cell r="K20">
            <v>33.86297753133384</v>
          </cell>
        </row>
        <row r="21">
          <cell r="G21">
            <v>42461</v>
          </cell>
          <cell r="H21">
            <v>42491</v>
          </cell>
          <cell r="I21">
            <v>42522</v>
          </cell>
          <cell r="J21">
            <v>42552</v>
          </cell>
          <cell r="K21">
            <v>42583</v>
          </cell>
        </row>
      </sheetData>
      <sheetData sheetId="1">
        <row r="8">
          <cell r="G8">
            <v>54.795692151757535</v>
          </cell>
          <cell r="H8">
            <v>51.84545994354751</v>
          </cell>
          <cell r="I8">
            <v>55.395466295705369</v>
          </cell>
          <cell r="J8">
            <v>54.929132121850365</v>
          </cell>
          <cell r="K8">
            <v>56.304690907295736</v>
          </cell>
        </row>
        <row r="9">
          <cell r="G9">
            <v>53.294191517255548</v>
          </cell>
          <cell r="H9">
            <v>52.261807690915091</v>
          </cell>
          <cell r="I9">
            <v>55.552688343514006</v>
          </cell>
          <cell r="J9">
            <v>55.213574169889384</v>
          </cell>
          <cell r="K9">
            <v>56.567880708166733</v>
          </cell>
        </row>
        <row r="10">
          <cell r="G10">
            <v>52.214645259442669</v>
          </cell>
          <cell r="H10">
            <v>52.964947926418915</v>
          </cell>
          <cell r="I10">
            <v>55.444447630182758</v>
          </cell>
          <cell r="J10">
            <v>55.561867493926499</v>
          </cell>
          <cell r="K10">
            <v>56.837382897003828</v>
          </cell>
        </row>
        <row r="11">
          <cell r="G11">
            <v>49.607316491134426</v>
          </cell>
          <cell r="H11">
            <v>53.514143586070325</v>
          </cell>
          <cell r="I11">
            <v>55.020035957930574</v>
          </cell>
          <cell r="J11">
            <v>55.795254861617444</v>
          </cell>
          <cell r="K11">
            <v>57.036903880181228</v>
          </cell>
        </row>
        <row r="12">
          <cell r="G12">
            <v>48.896480340808694</v>
          </cell>
          <cell r="H12">
            <v>54.063031011749061</v>
          </cell>
          <cell r="I12">
            <v>54.564440566302217</v>
          </cell>
          <cell r="J12">
            <v>56.053649153704825</v>
          </cell>
          <cell r="K12">
            <v>57.25042595635977</v>
          </cell>
        </row>
        <row r="13">
          <cell r="G13">
            <v>47.986550680956164</v>
          </cell>
          <cell r="H13">
            <v>54.65031294308055</v>
          </cell>
          <cell r="I13">
            <v>54.343637661370977</v>
          </cell>
          <cell r="J13">
            <v>56.302781719030094</v>
          </cell>
          <cell r="K13">
            <v>57.500212322896843</v>
          </cell>
        </row>
        <row r="14">
          <cell r="G14">
            <v>49.208904200355796</v>
          </cell>
          <cell r="H14">
            <v>55.679580383976308</v>
          </cell>
          <cell r="I14">
            <v>54.970222683441627</v>
          </cell>
          <cell r="J14">
            <v>56.797625010663204</v>
          </cell>
          <cell r="K14">
            <v>57.890911689022815</v>
          </cell>
        </row>
        <row r="15">
          <cell r="G15">
            <v>51.311439911143317</v>
          </cell>
          <cell r="H15">
            <v>56.638908693749848</v>
          </cell>
          <cell r="I15">
            <v>55.817238869715382</v>
          </cell>
          <cell r="J15">
            <v>57.258455758682821</v>
          </cell>
          <cell r="K15">
            <v>58.265946955990401</v>
          </cell>
        </row>
        <row r="16">
          <cell r="G16">
            <v>53.680868943903313</v>
          </cell>
          <cell r="H16">
            <v>57.02375986049227</v>
          </cell>
          <cell r="I16">
            <v>56.639993468307821</v>
          </cell>
          <cell r="J16">
            <v>57.498853615875312</v>
          </cell>
          <cell r="K16">
            <v>58.628163332423618</v>
          </cell>
        </row>
        <row r="17">
          <cell r="G17">
            <v>57.511865031672059</v>
          </cell>
          <cell r="H17">
            <v>57.766151623314407</v>
          </cell>
          <cell r="I17">
            <v>57.883764171667067</v>
          </cell>
          <cell r="J17">
            <v>58.005706607709961</v>
          </cell>
          <cell r="K17">
            <v>59.142984692229362</v>
          </cell>
        </row>
        <row r="18">
          <cell r="G18">
            <v>59.719952197783371</v>
          </cell>
          <cell r="H18">
            <v>57.50774302076767</v>
          </cell>
          <cell r="I18">
            <v>58.572913176687514</v>
          </cell>
          <cell r="J18">
            <v>58.022052470642848</v>
          </cell>
          <cell r="K18">
            <v>59.350832809145217</v>
          </cell>
        </row>
        <row r="19">
          <cell r="G19">
            <v>62.09832583320992</v>
          </cell>
          <cell r="H19">
            <v>57.676462582876162</v>
          </cell>
          <cell r="I19">
            <v>59.27038855725845</v>
          </cell>
          <cell r="J19">
            <v>58.239187491259436</v>
          </cell>
          <cell r="K19">
            <v>59.704744176200521</v>
          </cell>
        </row>
        <row r="20">
          <cell r="G20">
            <v>62.978030917098366</v>
          </cell>
          <cell r="H20">
            <v>57.999017527990183</v>
          </cell>
          <cell r="I20">
            <v>59.518675674671812</v>
          </cell>
          <cell r="J20">
            <v>58.523800650903006</v>
          </cell>
          <cell r="K20">
            <v>60.057916863779226</v>
          </cell>
        </row>
        <row r="21">
          <cell r="G21">
            <v>42461</v>
          </cell>
          <cell r="H21">
            <v>42491</v>
          </cell>
          <cell r="I21">
            <v>42522</v>
          </cell>
          <cell r="J21">
            <v>42552</v>
          </cell>
          <cell r="K21">
            <v>42583</v>
          </cell>
        </row>
      </sheetData>
      <sheetData sheetId="2">
        <row r="8">
          <cell r="G8">
            <v>55.738564061686112</v>
          </cell>
          <cell r="H8">
            <v>52.546790764046143</v>
          </cell>
          <cell r="I8">
            <v>56.129267589502639</v>
          </cell>
          <cell r="J8">
            <v>55.676997667901524</v>
          </cell>
          <cell r="K8">
            <v>57.065376005186693</v>
          </cell>
        </row>
        <row r="9">
          <cell r="G9">
            <v>54.386548432175438</v>
          </cell>
          <cell r="H9">
            <v>52.972586988015522</v>
          </cell>
          <cell r="I9">
            <v>56.330720324470796</v>
          </cell>
          <cell r="J9">
            <v>55.968011118454498</v>
          </cell>
          <cell r="K9">
            <v>57.332296607467946</v>
          </cell>
        </row>
        <row r="10">
          <cell r="G10">
            <v>53.38308497315554</v>
          </cell>
          <cell r="H10">
            <v>53.638595362949594</v>
          </cell>
          <cell r="I10">
            <v>56.241853245578746</v>
          </cell>
          <cell r="J10">
            <v>56.297128157757435</v>
          </cell>
          <cell r="K10">
            <v>57.593529430903992</v>
          </cell>
        </row>
        <row r="11">
          <cell r="G11">
            <v>50.678850335153982</v>
          </cell>
          <cell r="H11">
            <v>54.190750129866224</v>
          </cell>
          <cell r="I11">
            <v>55.808246531720314</v>
          </cell>
          <cell r="J11">
            <v>56.537052626907872</v>
          </cell>
          <cell r="K11">
            <v>57.796373051482597</v>
          </cell>
        </row>
        <row r="12">
          <cell r="G12">
            <v>49.727049685598864</v>
          </cell>
          <cell r="H12">
            <v>54.723777941751578</v>
          </cell>
          <cell r="I12">
            <v>55.370024899291202</v>
          </cell>
          <cell r="J12">
            <v>56.78713387372995</v>
          </cell>
          <cell r="K12">
            <v>58.004102671422046</v>
          </cell>
        </row>
        <row r="13">
          <cell r="G13">
            <v>48.680935157546337</v>
          </cell>
          <cell r="H13">
            <v>55.301881480884113</v>
          </cell>
          <cell r="I13">
            <v>55.087296727020203</v>
          </cell>
          <cell r="J13">
            <v>57.027295851935868</v>
          </cell>
          <cell r="K13">
            <v>58.245605371447986</v>
          </cell>
        </row>
        <row r="14">
          <cell r="G14">
            <v>49.730871861250385</v>
          </cell>
          <cell r="H14">
            <v>56.313047561352988</v>
          </cell>
          <cell r="I14">
            <v>55.658164476413148</v>
          </cell>
          <cell r="J14">
            <v>57.521941551962406</v>
          </cell>
          <cell r="K14">
            <v>58.639224063888918</v>
          </cell>
        </row>
        <row r="15">
          <cell r="G15">
            <v>51.69417182805001</v>
          </cell>
          <cell r="H15">
            <v>57.256414804253531</v>
          </cell>
          <cell r="I15">
            <v>56.460274558798083</v>
          </cell>
          <cell r="J15">
            <v>57.97221344294433</v>
          </cell>
          <cell r="K15">
            <v>59.005502467643694</v>
          </cell>
        </row>
        <row r="16">
          <cell r="G16">
            <v>53.876914954137177</v>
          </cell>
          <cell r="H16">
            <v>57.623189419449652</v>
          </cell>
          <cell r="I16">
            <v>57.223650923661602</v>
          </cell>
          <cell r="J16">
            <v>58.195582154247091</v>
          </cell>
          <cell r="K16">
            <v>59.3539917250054</v>
          </cell>
        </row>
        <row r="17">
          <cell r="G17">
            <v>57.719584628728143</v>
          </cell>
          <cell r="H17">
            <v>58.386393012938868</v>
          </cell>
          <cell r="I17">
            <v>58.495248328037434</v>
          </cell>
          <cell r="J17">
            <v>58.717638477181367</v>
          </cell>
          <cell r="K17">
            <v>59.882605268611563</v>
          </cell>
        </row>
        <row r="18">
          <cell r="G18">
            <v>60.175750192491741</v>
          </cell>
          <cell r="H18">
            <v>58.306608643117812</v>
          </cell>
          <cell r="I18">
            <v>59.272910076732636</v>
          </cell>
          <cell r="J18">
            <v>58.81771952264284</v>
          </cell>
          <cell r="K18">
            <v>60.139469571413436</v>
          </cell>
        </row>
        <row r="19">
          <cell r="G19">
            <v>62.736628239092866</v>
          </cell>
          <cell r="H19">
            <v>58.464943752865835</v>
          </cell>
          <cell r="I19">
            <v>60.021781989323898</v>
          </cell>
          <cell r="J19">
            <v>59.02814277538301</v>
          </cell>
          <cell r="K19">
            <v>60.49530818848546</v>
          </cell>
        </row>
        <row r="20">
          <cell r="G20">
            <v>63.830489308519702</v>
          </cell>
          <cell r="H20">
            <v>58.804145616608146</v>
          </cell>
          <cell r="I20">
            <v>60.3455032367863</v>
          </cell>
          <cell r="J20">
            <v>59.321894278779872</v>
          </cell>
          <cell r="K20">
            <v>60.854722926826085</v>
          </cell>
        </row>
        <row r="21">
          <cell r="G21">
            <v>42461</v>
          </cell>
          <cell r="H21">
            <v>42491</v>
          </cell>
          <cell r="I21">
            <v>42522</v>
          </cell>
          <cell r="J21">
            <v>42552</v>
          </cell>
          <cell r="K21">
            <v>42583</v>
          </cell>
        </row>
      </sheetData>
      <sheetData sheetId="3">
        <row r="8">
          <cell r="G8">
            <v>33.848270959330179</v>
          </cell>
          <cell r="H8">
            <v>28.37465100844301</v>
          </cell>
          <cell r="I8">
            <v>29.966222034001252</v>
          </cell>
          <cell r="J8">
            <v>28.608273919402507</v>
          </cell>
          <cell r="K8">
            <v>28.921068950983649</v>
          </cell>
        </row>
        <row r="9">
          <cell r="G9">
            <v>33.078560168118315</v>
          </cell>
          <cell r="H9">
            <v>28.10009416599657</v>
          </cell>
          <cell r="I9">
            <v>29.617382358704244</v>
          </cell>
          <cell r="J9">
            <v>28.459180835592093</v>
          </cell>
          <cell r="K9">
            <v>28.873614596970651</v>
          </cell>
        </row>
        <row r="10">
          <cell r="G10">
            <v>31.345454405118179</v>
          </cell>
          <cell r="H10">
            <v>28.262365011224013</v>
          </cell>
          <cell r="I10">
            <v>29.194605444948113</v>
          </cell>
          <cell r="J10">
            <v>28.521528268390604</v>
          </cell>
          <cell r="K10">
            <v>28.940555068120485</v>
          </cell>
        </row>
        <row r="11">
          <cell r="G11">
            <v>28.284148805637461</v>
          </cell>
          <cell r="H11">
            <v>28.199210174102305</v>
          </cell>
          <cell r="I11">
            <v>28.379068237692461</v>
          </cell>
          <cell r="J11">
            <v>28.462278851577203</v>
          </cell>
          <cell r="K11">
            <v>28.924759659814004</v>
          </cell>
        </row>
        <row r="12">
          <cell r="G12">
            <v>25.328072414624931</v>
          </cell>
          <cell r="H12">
            <v>28.125591006415519</v>
          </cell>
          <cell r="I12">
            <v>27.556783415588992</v>
          </cell>
          <cell r="J12">
            <v>28.402569742047806</v>
          </cell>
          <cell r="K12">
            <v>28.906026977641243</v>
          </cell>
        </row>
        <row r="13">
          <cell r="G13">
            <v>23.328943031440417</v>
          </cell>
          <cell r="H13">
            <v>28.099762747420016</v>
          </cell>
          <cell r="I13">
            <v>26.944979531441177</v>
          </cell>
          <cell r="J13">
            <v>28.42181364206494</v>
          </cell>
          <cell r="K13">
            <v>28.9492910898872</v>
          </cell>
        </row>
        <row r="14">
          <cell r="G14">
            <v>23.088827262576167</v>
          </cell>
          <cell r="H14">
            <v>28.05390049693991</v>
          </cell>
          <cell r="I14">
            <v>26.898524768498628</v>
          </cell>
          <cell r="J14">
            <v>28.36454015058214</v>
          </cell>
          <cell r="K14">
            <v>28.960949155978973</v>
          </cell>
        </row>
        <row r="15">
          <cell r="G15">
            <v>23.193966608031662</v>
          </cell>
          <cell r="H15">
            <v>27.89532742720176</v>
          </cell>
          <cell r="I15">
            <v>26.932979624079945</v>
          </cell>
          <cell r="J15">
            <v>28.24537670538842</v>
          </cell>
          <cell r="K15">
            <v>28.942826194212131</v>
          </cell>
        </row>
        <row r="16">
          <cell r="G16">
            <v>25.261770617273147</v>
          </cell>
          <cell r="H16">
            <v>28.131536701295303</v>
          </cell>
          <cell r="I16">
            <v>27.595650403823296</v>
          </cell>
          <cell r="J16">
            <v>28.519306843439875</v>
          </cell>
          <cell r="K16">
            <v>29.412345196732744</v>
          </cell>
        </row>
        <row r="17">
          <cell r="G17">
            <v>28.115027670522267</v>
          </cell>
          <cell r="H17">
            <v>28.42649174798839</v>
          </cell>
          <cell r="I17">
            <v>28.521401957259425</v>
          </cell>
          <cell r="J17">
            <v>28.741215920284439</v>
          </cell>
          <cell r="K17">
            <v>29.92765877280026</v>
          </cell>
        </row>
        <row r="18">
          <cell r="G18">
            <v>31.014834829224387</v>
          </cell>
          <cell r="H18">
            <v>28.689865089377701</v>
          </cell>
          <cell r="I18">
            <v>29.448974195531544</v>
          </cell>
          <cell r="J18">
            <v>28.991541196668596</v>
          </cell>
          <cell r="K18">
            <v>30.446984660950655</v>
          </cell>
        </row>
        <row r="19">
          <cell r="G19">
            <v>33.046621281693398</v>
          </cell>
          <cell r="H19">
            <v>28.788487448168574</v>
          </cell>
          <cell r="I19">
            <v>30.160434039898867</v>
          </cell>
          <cell r="J19">
            <v>29.150641181366172</v>
          </cell>
          <cell r="K19">
            <v>30.914938125681651</v>
          </cell>
        </row>
        <row r="20">
          <cell r="G20">
            <v>33.223857291386466</v>
          </cell>
          <cell r="H20">
            <v>28.84261997266843</v>
          </cell>
          <cell r="I20">
            <v>30.169306415758324</v>
          </cell>
          <cell r="J20">
            <v>29.194862761573855</v>
          </cell>
          <cell r="K20">
            <v>31.280957819487799</v>
          </cell>
        </row>
        <row r="21">
          <cell r="G21">
            <v>42461</v>
          </cell>
          <cell r="H21">
            <v>42491</v>
          </cell>
          <cell r="I21">
            <v>42522</v>
          </cell>
          <cell r="J21">
            <v>42552</v>
          </cell>
          <cell r="K21">
            <v>42583</v>
          </cell>
        </row>
      </sheetData>
      <sheetData sheetId="4">
        <row r="8">
          <cell r="G8">
            <v>32.510226601369155</v>
          </cell>
          <cell r="H8">
            <v>28.486974540772383</v>
          </cell>
          <cell r="I8">
            <v>29.676226042446622</v>
          </cell>
          <cell r="J8">
            <v>28.724970197552299</v>
          </cell>
          <cell r="K8">
            <v>28.952484939757497</v>
          </cell>
        </row>
        <row r="9">
          <cell r="G9">
            <v>32.357860984803807</v>
          </cell>
          <cell r="H9">
            <v>28.196190324222528</v>
          </cell>
          <cell r="I9">
            <v>29.532929499932447</v>
          </cell>
          <cell r="J9">
            <v>28.565371753090805</v>
          </cell>
          <cell r="K9">
            <v>28.890782509611306</v>
          </cell>
        </row>
        <row r="10">
          <cell r="G10">
            <v>31.276848629293315</v>
          </cell>
          <cell r="H10">
            <v>28.381780402377824</v>
          </cell>
          <cell r="I10">
            <v>29.293712328423833</v>
          </cell>
          <cell r="J10">
            <v>28.635354593671781</v>
          </cell>
          <cell r="K10">
            <v>28.963526644313685</v>
          </cell>
        </row>
        <row r="11">
          <cell r="G11">
            <v>28.880718520696</v>
          </cell>
          <cell r="H11">
            <v>28.323217297863287</v>
          </cell>
          <cell r="I11">
            <v>28.671196833448587</v>
          </cell>
          <cell r="J11">
            <v>28.578218252575287</v>
          </cell>
          <cell r="K11">
            <v>28.949757469801966</v>
          </cell>
        </row>
        <row r="12">
          <cell r="G12">
            <v>26.416049645963398</v>
          </cell>
          <cell r="H12">
            <v>28.251985559041984</v>
          </cell>
          <cell r="I12">
            <v>28.018892168033229</v>
          </cell>
          <cell r="J12">
            <v>28.520186101942905</v>
          </cell>
          <cell r="K12">
            <v>28.932348517097065</v>
          </cell>
        </row>
        <row r="13">
          <cell r="G13">
            <v>24.583320125462144</v>
          </cell>
          <cell r="H13">
            <v>28.254903394294736</v>
          </cell>
          <cell r="I13">
            <v>27.478394600262657</v>
          </cell>
          <cell r="J13">
            <v>28.549721685335918</v>
          </cell>
          <cell r="K13">
            <v>28.979321407885823</v>
          </cell>
        </row>
        <row r="14">
          <cell r="G14">
            <v>24.219088990736523</v>
          </cell>
          <cell r="H14">
            <v>28.21319691514687</v>
          </cell>
          <cell r="I14">
            <v>27.410397253594411</v>
          </cell>
          <cell r="J14">
            <v>28.490282120132569</v>
          </cell>
          <cell r="K14">
            <v>28.997221297656502</v>
          </cell>
        </row>
        <row r="15">
          <cell r="G15">
            <v>23.853324205603329</v>
          </cell>
          <cell r="H15">
            <v>28.086366102153221</v>
          </cell>
          <cell r="I15">
            <v>27.2644945164602</v>
          </cell>
          <cell r="J15">
            <v>28.382467560050259</v>
          </cell>
          <cell r="K15">
            <v>28.988300985164461</v>
          </cell>
        </row>
        <row r="16">
          <cell r="G16">
            <v>25.520301895997111</v>
          </cell>
          <cell r="H16">
            <v>28.305217423408227</v>
          </cell>
          <cell r="I16">
            <v>27.760799269752741</v>
          </cell>
          <cell r="J16">
            <v>28.616806473062983</v>
          </cell>
          <cell r="K16">
            <v>29.440077714012329</v>
          </cell>
        </row>
        <row r="17">
          <cell r="G17">
            <v>27.788748340776127</v>
          </cell>
          <cell r="H17">
            <v>28.568240346827835</v>
          </cell>
          <cell r="I17">
            <v>28.480096399026014</v>
          </cell>
          <cell r="J17">
            <v>28.809295544177164</v>
          </cell>
          <cell r="K17">
            <v>29.9337339124259</v>
          </cell>
        </row>
        <row r="18">
          <cell r="G18">
            <v>30.003952876762469</v>
          </cell>
          <cell r="H18">
            <v>28.802151504811849</v>
          </cell>
          <cell r="I18">
            <v>29.199052714860617</v>
          </cell>
          <cell r="J18">
            <v>29.025341873619197</v>
          </cell>
          <cell r="K18">
            <v>30.430283957934833</v>
          </cell>
        </row>
        <row r="19">
          <cell r="G19">
            <v>31.699865357041457</v>
          </cell>
          <cell r="H19">
            <v>28.881264875325709</v>
          </cell>
          <cell r="I19">
            <v>29.8151094319763</v>
          </cell>
          <cell r="J19">
            <v>29.14003065943362</v>
          </cell>
          <cell r="K19">
            <v>30.878002805754509</v>
          </cell>
        </row>
        <row r="20">
          <cell r="G20">
            <v>31.999579535011968</v>
          </cell>
          <cell r="H20">
            <v>28.96369131435122</v>
          </cell>
          <cell r="I20">
            <v>29.861996550512927</v>
          </cell>
          <cell r="J20">
            <v>29.185655630457283</v>
          </cell>
          <cell r="K20">
            <v>31.251678617625991</v>
          </cell>
        </row>
        <row r="21">
          <cell r="G21">
            <v>42461</v>
          </cell>
          <cell r="H21">
            <v>42491</v>
          </cell>
          <cell r="I21">
            <v>42522</v>
          </cell>
          <cell r="J21">
            <v>42552</v>
          </cell>
          <cell r="K21">
            <v>42583</v>
          </cell>
        </row>
      </sheetData>
      <sheetData sheetId="5">
        <row r="8">
          <cell r="G8">
            <v>27.38715050924397</v>
          </cell>
          <cell r="H8">
            <v>27.516131390977414</v>
          </cell>
          <cell r="I8">
            <v>26.634753490963135</v>
          </cell>
          <cell r="J8">
            <v>28.152739209844711</v>
          </cell>
          <cell r="K8">
            <v>30.123710139070351</v>
          </cell>
        </row>
        <row r="9">
          <cell r="G9">
            <v>26.545176251910128</v>
          </cell>
          <cell r="H9">
            <v>27.283388225596067</v>
          </cell>
          <cell r="I9">
            <v>26.182390293677802</v>
          </cell>
          <cell r="J9">
            <v>28.299499323052583</v>
          </cell>
          <cell r="K9">
            <v>30.285814905394204</v>
          </cell>
        </row>
        <row r="10">
          <cell r="G10">
            <v>26.325121370606656</v>
          </cell>
          <cell r="H10">
            <v>27.056285824361137</v>
          </cell>
          <cell r="I10">
            <v>26.469661030139161</v>
          </cell>
          <cell r="J10">
            <v>28.485197881765892</v>
          </cell>
          <cell r="K10">
            <v>30.477683004502957</v>
          </cell>
        </row>
        <row r="11">
          <cell r="G11">
            <v>26.506865226609229</v>
          </cell>
          <cell r="H11">
            <v>26.851761167276045</v>
          </cell>
          <cell r="I11">
            <v>26.915830473476621</v>
          </cell>
          <cell r="J11">
            <v>28.685907332537329</v>
          </cell>
          <cell r="K11">
            <v>30.705139999362196</v>
          </cell>
        </row>
        <row r="12">
          <cell r="G12">
            <v>26.382860325290409</v>
          </cell>
          <cell r="H12">
            <v>26.674538044949404</v>
          </cell>
          <cell r="I12">
            <v>27.24109605943595</v>
          </cell>
          <cell r="J12">
            <v>28.88268710951127</v>
          </cell>
          <cell r="K12">
            <v>30.914697957682936</v>
          </cell>
        </row>
        <row r="13">
          <cell r="G13">
            <v>26.916219263844713</v>
          </cell>
          <cell r="H13">
            <v>26.433185440486032</v>
          </cell>
          <cell r="I13">
            <v>27.802815102959471</v>
          </cell>
          <cell r="J13">
            <v>29.073735100902052</v>
          </cell>
          <cell r="K13">
            <v>31.130703825773711</v>
          </cell>
        </row>
        <row r="14">
          <cell r="G14">
            <v>27.659537080712408</v>
          </cell>
          <cell r="H14">
            <v>26.238019035300653</v>
          </cell>
          <cell r="I14">
            <v>28.426548798255325</v>
          </cell>
          <cell r="J14">
            <v>29.269377580060535</v>
          </cell>
          <cell r="K14">
            <v>31.325462086530134</v>
          </cell>
        </row>
        <row r="15">
          <cell r="G15">
            <v>28.277241554704528</v>
          </cell>
          <cell r="H15">
            <v>25.974140373828785</v>
          </cell>
          <cell r="I15">
            <v>29.006340716938489</v>
          </cell>
          <cell r="J15">
            <v>29.447932261121952</v>
          </cell>
          <cell r="K15">
            <v>31.526240937163671</v>
          </cell>
        </row>
        <row r="16">
          <cell r="G16">
            <v>27.989590237783258</v>
          </cell>
          <cell r="H16">
            <v>26.550923818254969</v>
          </cell>
          <cell r="I16">
            <v>29.33062253433188</v>
          </cell>
          <cell r="J16">
            <v>29.865337089490652</v>
          </cell>
          <cell r="K16">
            <v>32.09505923017182</v>
          </cell>
        </row>
        <row r="17">
          <cell r="G17">
            <v>27.272087419329267</v>
          </cell>
          <cell r="H17">
            <v>27.141265382873019</v>
          </cell>
          <cell r="I17">
            <v>29.514396151910304</v>
          </cell>
          <cell r="J17">
            <v>30.276417838614698</v>
          </cell>
          <cell r="K17">
            <v>32.666762288485579</v>
          </cell>
        </row>
        <row r="18">
          <cell r="G18">
            <v>27.022611717465001</v>
          </cell>
          <cell r="H18">
            <v>27.708241363396692</v>
          </cell>
          <cell r="I18">
            <v>29.818626963440369</v>
          </cell>
          <cell r="J18">
            <v>30.678112122308988</v>
          </cell>
          <cell r="K18">
            <v>33.232761763621966</v>
          </cell>
        </row>
        <row r="19">
          <cell r="G19">
            <v>25.931059809075446</v>
          </cell>
          <cell r="H19">
            <v>28.255530590178555</v>
          </cell>
          <cell r="I19">
            <v>29.81356446601497</v>
          </cell>
          <cell r="J19">
            <v>31.072228606959875</v>
          </cell>
          <cell r="K19">
            <v>33.785819599557065</v>
          </cell>
        </row>
        <row r="20">
          <cell r="G20">
            <v>24.955721097395166</v>
          </cell>
          <cell r="H20">
            <v>28.790274339805258</v>
          </cell>
          <cell r="I20">
            <v>29.770135125611326</v>
          </cell>
          <cell r="J20">
            <v>31.431052016212572</v>
          </cell>
          <cell r="K20">
            <v>34.314206813023965</v>
          </cell>
        </row>
        <row r="21">
          <cell r="G21">
            <v>42461</v>
          </cell>
          <cell r="H21">
            <v>42491</v>
          </cell>
          <cell r="I21">
            <v>42522</v>
          </cell>
          <cell r="J21">
            <v>42552</v>
          </cell>
          <cell r="K21">
            <v>42583</v>
          </cell>
        </row>
      </sheetData>
      <sheetData sheetId="6">
        <row r="8">
          <cell r="G8">
            <v>34.785544279163489</v>
          </cell>
          <cell r="H8">
            <v>34.835111835365311</v>
          </cell>
          <cell r="I8">
            <v>34.708034555882762</v>
          </cell>
          <cell r="J8">
            <v>34.692580796315823</v>
          </cell>
          <cell r="K8">
            <v>34.945130692008668</v>
          </cell>
        </row>
        <row r="9">
          <cell r="G9">
            <v>35.191776837522355</v>
          </cell>
          <cell r="H9">
            <v>34.823743444319533</v>
          </cell>
          <cell r="I9">
            <v>34.811264825421169</v>
          </cell>
          <cell r="J9">
            <v>34.781335229407929</v>
          </cell>
          <cell r="K9">
            <v>35.031161808311474</v>
          </cell>
        </row>
        <row r="10">
          <cell r="G10">
            <v>35.801278598663238</v>
          </cell>
          <cell r="H10">
            <v>34.832323636379833</v>
          </cell>
          <cell r="I10">
            <v>34.999004898144079</v>
          </cell>
          <cell r="J10">
            <v>34.784103724130496</v>
          </cell>
          <cell r="K10">
            <v>35.080199489573424</v>
          </cell>
        </row>
        <row r="11">
          <cell r="G11">
            <v>36.215905924349535</v>
          </cell>
          <cell r="H11">
            <v>34.796576277392809</v>
          </cell>
          <cell r="I11">
            <v>35.123148942135529</v>
          </cell>
          <cell r="J11">
            <v>34.775344317085086</v>
          </cell>
          <cell r="K11">
            <v>35.110185596197951</v>
          </cell>
        </row>
        <row r="12">
          <cell r="G12">
            <v>36.046654243312446</v>
          </cell>
          <cell r="H12">
            <v>34.761804381852727</v>
          </cell>
          <cell r="I12">
            <v>35.064309849610702</v>
          </cell>
          <cell r="J12">
            <v>34.774415377760874</v>
          </cell>
          <cell r="K12">
            <v>35.144078059852554</v>
          </cell>
        </row>
        <row r="13">
          <cell r="G13">
            <v>35.627950259793359</v>
          </cell>
          <cell r="H13">
            <v>34.719430197008336</v>
          </cell>
          <cell r="I13">
            <v>34.914990788526858</v>
          </cell>
          <cell r="J13">
            <v>34.764121428525065</v>
          </cell>
          <cell r="K13">
            <v>35.166389666688829</v>
          </cell>
        </row>
        <row r="14">
          <cell r="G14">
            <v>34.88656057777191</v>
          </cell>
          <cell r="H14">
            <v>34.668439797877156</v>
          </cell>
          <cell r="I14">
            <v>34.660773627708494</v>
          </cell>
          <cell r="J14">
            <v>34.746922590563557</v>
          </cell>
          <cell r="K14">
            <v>35.187492986754336</v>
          </cell>
        </row>
        <row r="15">
          <cell r="G15">
            <v>34.443510812837744</v>
          </cell>
          <cell r="H15">
            <v>34.617245046986099</v>
          </cell>
          <cell r="I15">
            <v>34.640472270995815</v>
          </cell>
          <cell r="J15">
            <v>34.729752729291164</v>
          </cell>
          <cell r="K15">
            <v>35.207075829227712</v>
          </cell>
        </row>
        <row r="16">
          <cell r="G16">
            <v>33.889757600822442</v>
          </cell>
          <cell r="H16">
            <v>34.602186624720645</v>
          </cell>
          <cell r="I16">
            <v>34.448743389202896</v>
          </cell>
          <cell r="J16">
            <v>34.777666900208388</v>
          </cell>
          <cell r="K16">
            <v>35.525015059599006</v>
          </cell>
        </row>
        <row r="17">
          <cell r="G17">
            <v>33.499217799029601</v>
          </cell>
          <cell r="H17">
            <v>34.599580804753529</v>
          </cell>
          <cell r="I17">
            <v>34.320128971625721</v>
          </cell>
          <cell r="J17">
            <v>34.834766718920932</v>
          </cell>
          <cell r="K17">
            <v>35.865731541164095</v>
          </cell>
        </row>
        <row r="18">
          <cell r="G18">
            <v>33.5800914833695</v>
          </cell>
          <cell r="H18">
            <v>34.593643644885297</v>
          </cell>
          <cell r="I18">
            <v>34.371337481030558</v>
          </cell>
          <cell r="J18">
            <v>34.889546736624077</v>
          </cell>
          <cell r="K18">
            <v>36.202139180931432</v>
          </cell>
        </row>
        <row r="19">
          <cell r="G19">
            <v>33.883790741315359</v>
          </cell>
          <cell r="H19">
            <v>34.57356205347606</v>
          </cell>
          <cell r="I19">
            <v>34.490415024623921</v>
          </cell>
          <cell r="J19">
            <v>34.93515942624618</v>
          </cell>
          <cell r="K19">
            <v>36.530029203512981</v>
          </cell>
        </row>
        <row r="20">
          <cell r="G20">
            <v>34.457055663303514</v>
          </cell>
          <cell r="H20">
            <v>34.549747834812912</v>
          </cell>
          <cell r="I20">
            <v>34.701076224112796</v>
          </cell>
          <cell r="J20">
            <v>35.000552112589006</v>
          </cell>
          <cell r="K20">
            <v>36.875925487947441</v>
          </cell>
        </row>
        <row r="21">
          <cell r="G21">
            <v>42461</v>
          </cell>
          <cell r="H21">
            <v>42491</v>
          </cell>
          <cell r="I21">
            <v>42522</v>
          </cell>
          <cell r="J21">
            <v>42552</v>
          </cell>
          <cell r="K21">
            <v>42583</v>
          </cell>
        </row>
      </sheetData>
      <sheetData sheetId="7">
        <row r="8">
          <cell r="G8">
            <v>35.778670924687127</v>
          </cell>
          <cell r="H8">
            <v>34.007733444847837</v>
          </cell>
          <cell r="I8">
            <v>34.476443385911601</v>
          </cell>
          <cell r="J8">
            <v>33.875113483602846</v>
          </cell>
          <cell r="K8">
            <v>34.043810191925729</v>
          </cell>
        </row>
        <row r="9">
          <cell r="G9">
            <v>35.61180708469103</v>
          </cell>
          <cell r="H9">
            <v>33.992455935709302</v>
          </cell>
          <cell r="I9">
            <v>34.384202640541233</v>
          </cell>
          <cell r="J9">
            <v>33.853915672633377</v>
          </cell>
          <cell r="K9">
            <v>34.060031733364539</v>
          </cell>
        </row>
        <row r="10">
          <cell r="G10">
            <v>35.339871234427413</v>
          </cell>
          <cell r="H10">
            <v>34.025272996880041</v>
          </cell>
          <cell r="I10">
            <v>34.273872943790906</v>
          </cell>
          <cell r="J10">
            <v>33.864382969285238</v>
          </cell>
          <cell r="K10">
            <v>34.090974473034819</v>
          </cell>
        </row>
        <row r="11">
          <cell r="G11">
            <v>34.304317824028907</v>
          </cell>
          <cell r="H11">
            <v>33.985663518899059</v>
          </cell>
          <cell r="I11">
            <v>33.948774754212607</v>
          </cell>
          <cell r="J11">
            <v>33.847705390440673</v>
          </cell>
          <cell r="K11">
            <v>34.120815993555681</v>
          </cell>
        </row>
        <row r="12">
          <cell r="G12">
            <v>33.242948120879568</v>
          </cell>
          <cell r="H12">
            <v>33.943321002416788</v>
          </cell>
          <cell r="I12">
            <v>33.583609651592589</v>
          </cell>
          <cell r="J12">
            <v>33.830389590197086</v>
          </cell>
          <cell r="K12">
            <v>34.138188881358765</v>
          </cell>
        </row>
        <row r="13">
          <cell r="G13">
            <v>32.505809633824505</v>
          </cell>
          <cell r="H13">
            <v>33.895154946794221</v>
          </cell>
          <cell r="I13">
            <v>33.334072830391541</v>
          </cell>
          <cell r="J13">
            <v>33.818535061638158</v>
          </cell>
          <cell r="K13">
            <v>34.165360536804705</v>
          </cell>
        </row>
        <row r="14">
          <cell r="G14">
            <v>32.422418740407089</v>
          </cell>
          <cell r="H14">
            <v>33.858589907471092</v>
          </cell>
          <cell r="I14">
            <v>33.285178757604079</v>
          </cell>
          <cell r="J14">
            <v>33.803113561483833</v>
          </cell>
          <cell r="K14">
            <v>34.178621220504574</v>
          </cell>
        </row>
        <row r="15">
          <cell r="G15">
            <v>32.482603048465336</v>
          </cell>
          <cell r="H15">
            <v>33.789467477749305</v>
          </cell>
          <cell r="I15">
            <v>33.293702869641983</v>
          </cell>
          <cell r="J15">
            <v>33.77506765612025</v>
          </cell>
          <cell r="K15">
            <v>34.190339747075917</v>
          </cell>
        </row>
        <row r="16">
          <cell r="G16">
            <v>32.783851248111297</v>
          </cell>
          <cell r="H16">
            <v>33.755295383887912</v>
          </cell>
          <cell r="I16">
            <v>33.390497427773099</v>
          </cell>
          <cell r="J16">
            <v>33.821154132444434</v>
          </cell>
          <cell r="K16">
            <v>34.510577835198113</v>
          </cell>
        </row>
        <row r="17">
          <cell r="G17">
            <v>33.667649956550704</v>
          </cell>
          <cell r="H17">
            <v>33.770762305111475</v>
          </cell>
          <cell r="I17">
            <v>33.695538877194025</v>
          </cell>
          <cell r="J17">
            <v>33.886548640402978</v>
          </cell>
          <cell r="K17">
            <v>34.860457412254839</v>
          </cell>
        </row>
        <row r="18">
          <cell r="G18">
            <v>34.7059210151793</v>
          </cell>
          <cell r="H18">
            <v>33.761032382307121</v>
          </cell>
          <cell r="I18">
            <v>34.037256477378271</v>
          </cell>
          <cell r="J18">
            <v>33.9429768444991</v>
          </cell>
          <cell r="K18">
            <v>35.202060727652338</v>
          </cell>
        </row>
        <row r="19">
          <cell r="G19">
            <v>35.459417867365403</v>
          </cell>
          <cell r="H19">
            <v>33.772793766012988</v>
          </cell>
          <cell r="I19">
            <v>34.291055739077258</v>
          </cell>
          <cell r="J19">
            <v>34.023807467831958</v>
          </cell>
          <cell r="K19">
            <v>35.5506472679495</v>
          </cell>
        </row>
        <row r="20">
          <cell r="G20">
            <v>35.478185328010525</v>
          </cell>
          <cell r="H20">
            <v>33.742025042025702</v>
          </cell>
          <cell r="I20">
            <v>34.30026674887695</v>
          </cell>
          <cell r="J20">
            <v>34.061901932251359</v>
          </cell>
          <cell r="K20">
            <v>35.8754443499652</v>
          </cell>
        </row>
        <row r="21">
          <cell r="G21">
            <v>42461</v>
          </cell>
          <cell r="H21">
            <v>42491</v>
          </cell>
          <cell r="I21">
            <v>42522</v>
          </cell>
          <cell r="J21">
            <v>42552</v>
          </cell>
          <cell r="K21">
            <v>42583</v>
          </cell>
        </row>
      </sheetData>
      <sheetData sheetId="8">
        <row r="8">
          <cell r="G8">
            <v>35.007775274986201</v>
          </cell>
          <cell r="H8">
            <v>35.12339021605851</v>
          </cell>
          <cell r="I8">
            <v>34.940841280731654</v>
          </cell>
          <cell r="J8">
            <v>34.93622013690846</v>
          </cell>
          <cell r="K8">
            <v>35.092522571081368</v>
          </cell>
        </row>
        <row r="9">
          <cell r="G9">
            <v>35.658974366205342</v>
          </cell>
          <cell r="H9">
            <v>35.099866393815844</v>
          </cell>
          <cell r="I9">
            <v>35.112484652551771</v>
          </cell>
          <cell r="J9">
            <v>34.918779111085669</v>
          </cell>
          <cell r="K9">
            <v>35.119078202352249</v>
          </cell>
        </row>
        <row r="10">
          <cell r="G10">
            <v>36.091591075668688</v>
          </cell>
          <cell r="H10">
            <v>35.130574695864723</v>
          </cell>
          <cell r="I10">
            <v>35.223188063102469</v>
          </cell>
          <cell r="J10">
            <v>34.943287471865844</v>
          </cell>
          <cell r="K10">
            <v>35.180328172164472</v>
          </cell>
        </row>
        <row r="11">
          <cell r="G11">
            <v>35.715532151785943</v>
          </cell>
          <cell r="H11">
            <v>35.066686721658016</v>
          </cell>
          <cell r="I11">
            <v>35.111664080830522</v>
          </cell>
          <cell r="J11">
            <v>34.910145286985404</v>
          </cell>
          <cell r="K11">
            <v>35.194091141854258</v>
          </cell>
        </row>
        <row r="12">
          <cell r="G12">
            <v>35.400758513558451</v>
          </cell>
          <cell r="H12">
            <v>34.973583564762087</v>
          </cell>
          <cell r="I12">
            <v>34.987896283220792</v>
          </cell>
          <cell r="J12">
            <v>34.870992059654725</v>
          </cell>
          <cell r="K12">
            <v>35.20129097828805</v>
          </cell>
        </row>
        <row r="13">
          <cell r="G13">
            <v>35.189021081262915</v>
          </cell>
          <cell r="H13">
            <v>34.929768067900852</v>
          </cell>
          <cell r="I13">
            <v>34.93043544231088</v>
          </cell>
          <cell r="J13">
            <v>34.866918241688339</v>
          </cell>
          <cell r="K13">
            <v>35.235944447760744</v>
          </cell>
        </row>
        <row r="14">
          <cell r="G14">
            <v>35.243307837527233</v>
          </cell>
          <cell r="H14">
            <v>34.906640298455727</v>
          </cell>
          <cell r="I14">
            <v>34.911764045762382</v>
          </cell>
          <cell r="J14">
            <v>34.855381554840704</v>
          </cell>
          <cell r="K14">
            <v>35.252384879687568</v>
          </cell>
        </row>
        <row r="15">
          <cell r="G15">
            <v>34.533722467412069</v>
          </cell>
          <cell r="H15">
            <v>34.836502647331656</v>
          </cell>
          <cell r="I15">
            <v>34.669599563815034</v>
          </cell>
          <cell r="J15">
            <v>34.832132200364654</v>
          </cell>
          <cell r="K15">
            <v>35.267025033693919</v>
          </cell>
        </row>
        <row r="16">
          <cell r="G16">
            <v>34.197645872207502</v>
          </cell>
          <cell r="H16">
            <v>34.794814042207513</v>
          </cell>
          <cell r="I16">
            <v>34.567442592773325</v>
          </cell>
          <cell r="J16">
            <v>34.875176455527445</v>
          </cell>
          <cell r="K16">
            <v>35.588182858569922</v>
          </cell>
        </row>
        <row r="17">
          <cell r="G17">
            <v>34.436401401750103</v>
          </cell>
          <cell r="H17">
            <v>34.813064792700743</v>
          </cell>
          <cell r="I17">
            <v>34.64637895825846</v>
          </cell>
          <cell r="J17">
            <v>34.928770385084903</v>
          </cell>
          <cell r="K17">
            <v>35.925610507542544</v>
          </cell>
        </row>
        <row r="18">
          <cell r="G18">
            <v>34.548304732567985</v>
          </cell>
          <cell r="H18">
            <v>34.782131779465693</v>
          </cell>
          <cell r="I18">
            <v>34.695007176680775</v>
          </cell>
          <cell r="J18">
            <v>34.97141081308888</v>
          </cell>
          <cell r="K18">
            <v>36.262902750891385</v>
          </cell>
        </row>
        <row r="19">
          <cell r="G19">
            <v>34.675436106007211</v>
          </cell>
          <cell r="H19">
            <v>34.802348698592745</v>
          </cell>
          <cell r="I19">
            <v>34.760919100900431</v>
          </cell>
          <cell r="J19">
            <v>35.053398513039774</v>
          </cell>
          <cell r="K19">
            <v>36.605392741137273</v>
          </cell>
        </row>
        <row r="20">
          <cell r="G20">
            <v>34.579750674677967</v>
          </cell>
          <cell r="H20">
            <v>34.748823192194124</v>
          </cell>
          <cell r="I20">
            <v>34.728758765016451</v>
          </cell>
          <cell r="J20">
            <v>35.077067546589745</v>
          </cell>
          <cell r="K20">
            <v>36.917815311856835</v>
          </cell>
        </row>
        <row r="21">
          <cell r="G21">
            <v>42461</v>
          </cell>
          <cell r="H21">
            <v>42491</v>
          </cell>
          <cell r="I21">
            <v>42522</v>
          </cell>
          <cell r="J21">
            <v>42552</v>
          </cell>
          <cell r="K21">
            <v>42583</v>
          </cell>
        </row>
      </sheetData>
      <sheetData sheetId="9">
        <row r="8">
          <cell r="G8">
            <v>48.382384506167149</v>
          </cell>
          <cell r="H8">
            <v>42.537313137966052</v>
          </cell>
          <cell r="I8">
            <v>38.910983007609317</v>
          </cell>
          <cell r="J8">
            <v>38.032468849815729</v>
          </cell>
          <cell r="K8">
            <v>37.260822317823823</v>
          </cell>
        </row>
        <row r="9">
          <cell r="G9">
            <v>48.83012466183385</v>
          </cell>
          <cell r="H9">
            <v>41.11377974554356</v>
          </cell>
          <cell r="I9">
            <v>38.080209155176583</v>
          </cell>
          <cell r="J9">
            <v>37.402662106298138</v>
          </cell>
          <cell r="K9">
            <v>36.893937332436082</v>
          </cell>
        </row>
        <row r="10">
          <cell r="G10">
            <v>46.947472058178576</v>
          </cell>
          <cell r="H10">
            <v>39.669334994996497</v>
          </cell>
          <cell r="I10">
            <v>37.475816163849856</v>
          </cell>
          <cell r="J10">
            <v>36.802485191986584</v>
          </cell>
          <cell r="K10">
            <v>36.547154661294392</v>
          </cell>
        </row>
        <row r="11">
          <cell r="G11">
            <v>44.672155047307569</v>
          </cell>
          <cell r="H11">
            <v>38.206713996564957</v>
          </cell>
          <cell r="I11">
            <v>36.807248458182315</v>
          </cell>
          <cell r="J11">
            <v>36.16673684644357</v>
          </cell>
          <cell r="K11">
            <v>36.181350404436039</v>
          </cell>
        </row>
        <row r="12">
          <cell r="G12">
            <v>42.274574190262378</v>
          </cell>
          <cell r="H12">
            <v>36.869523446936434</v>
          </cell>
          <cell r="I12">
            <v>36.136755045895619</v>
          </cell>
          <cell r="J12">
            <v>35.586122167896065</v>
          </cell>
          <cell r="K12">
            <v>35.848673466307559</v>
          </cell>
        </row>
        <row r="13">
          <cell r="G13">
            <v>39.309295115073631</v>
          </cell>
          <cell r="H13">
            <v>35.416439245634045</v>
          </cell>
          <cell r="I13">
            <v>35.284159927483216</v>
          </cell>
          <cell r="J13">
            <v>34.966712111660165</v>
          </cell>
          <cell r="K13">
            <v>35.494553036571055</v>
          </cell>
        </row>
        <row r="14">
          <cell r="G14">
            <v>36.323361016722991</v>
          </cell>
          <cell r="H14">
            <v>34.01645018795309</v>
          </cell>
          <cell r="I14">
            <v>34.435162777169843</v>
          </cell>
          <cell r="J14">
            <v>34.360484554744978</v>
          </cell>
          <cell r="K14">
            <v>35.13764642764874</v>
          </cell>
        </row>
        <row r="15">
          <cell r="G15">
            <v>32.934212157309126</v>
          </cell>
          <cell r="H15">
            <v>32.532538415838587</v>
          </cell>
          <cell r="I15">
            <v>33.439667724178378</v>
          </cell>
          <cell r="J15">
            <v>33.724254361787217</v>
          </cell>
          <cell r="K15">
            <v>34.765839543405008</v>
          </cell>
        </row>
        <row r="16">
          <cell r="G16">
            <v>32.344020746946455</v>
          </cell>
          <cell r="H16">
            <v>32.712834075557822</v>
          </cell>
          <cell r="I16">
            <v>33.397839677682967</v>
          </cell>
          <cell r="J16">
            <v>33.893624955464048</v>
          </cell>
          <cell r="K16">
            <v>35.145556964746277</v>
          </cell>
        </row>
        <row r="17">
          <cell r="G17">
            <v>31.937041508459295</v>
          </cell>
          <cell r="H17">
            <v>32.923021278470273</v>
          </cell>
          <cell r="I17">
            <v>33.382576404268363</v>
          </cell>
          <cell r="J17">
            <v>34.073981147618426</v>
          </cell>
          <cell r="K17">
            <v>35.53387188010332</v>
          </cell>
        </row>
        <row r="18">
          <cell r="G18">
            <v>31.686397766535862</v>
          </cell>
          <cell r="H18">
            <v>33.131539500244941</v>
          </cell>
          <cell r="I18">
            <v>33.417587056839309</v>
          </cell>
          <cell r="J18">
            <v>34.259440937099583</v>
          </cell>
          <cell r="K18">
            <v>35.93416961630674</v>
          </cell>
        </row>
        <row r="19">
          <cell r="G19">
            <v>31.761167379530999</v>
          </cell>
          <cell r="H19">
            <v>33.334010167565154</v>
          </cell>
          <cell r="I19">
            <v>33.57834194430896</v>
          </cell>
          <cell r="J19">
            <v>34.452575511998639</v>
          </cell>
          <cell r="K19">
            <v>36.323477637012743</v>
          </cell>
        </row>
        <row r="20">
          <cell r="G20">
            <v>31.834399881480326</v>
          </cell>
          <cell r="H20">
            <v>33.51798483613932</v>
          </cell>
          <cell r="I20">
            <v>33.730275548049271</v>
          </cell>
          <cell r="J20">
            <v>34.616297666692695</v>
          </cell>
          <cell r="K20">
            <v>36.704055681466002</v>
          </cell>
        </row>
        <row r="21">
          <cell r="G21">
            <v>42461</v>
          </cell>
          <cell r="H21">
            <v>42491</v>
          </cell>
          <cell r="I21">
            <v>42522</v>
          </cell>
          <cell r="J21">
            <v>42552</v>
          </cell>
          <cell r="K21">
            <v>42583</v>
          </cell>
        </row>
      </sheetData>
      <sheetData sheetId="10">
        <row r="8">
          <cell r="G8">
            <v>23.991784688693347</v>
          </cell>
          <cell r="H8">
            <v>27.097622148699749</v>
          </cell>
          <cell r="I8">
            <v>25.689861631504893</v>
          </cell>
          <cell r="J8">
            <v>26.901682420893486</v>
          </cell>
          <cell r="K8">
            <v>27.105348838919298</v>
          </cell>
        </row>
        <row r="9">
          <cell r="G9">
            <v>24.84511571310189</v>
          </cell>
          <cell r="H9">
            <v>26.939895826159873</v>
          </cell>
          <cell r="I9">
            <v>26.019826380916676</v>
          </cell>
          <cell r="J9">
            <v>26.768869729355725</v>
          </cell>
          <cell r="K9">
            <v>27.069683667385373</v>
          </cell>
        </row>
        <row r="10">
          <cell r="G10">
            <v>26.207130404501036</v>
          </cell>
          <cell r="H10">
            <v>26.721860593914073</v>
          </cell>
          <cell r="I10">
            <v>26.533073036866341</v>
          </cell>
          <cell r="J10">
            <v>26.69717562411309</v>
          </cell>
          <cell r="K10">
            <v>27.081315930827998</v>
          </cell>
        </row>
        <row r="11">
          <cell r="G11">
            <v>28.596924978802157</v>
          </cell>
          <cell r="H11">
            <v>26.7120512913616</v>
          </cell>
          <cell r="I11">
            <v>27.316237135353127</v>
          </cell>
          <cell r="J11">
            <v>26.697436471100261</v>
          </cell>
          <cell r="K11">
            <v>27.150923006089876</v>
          </cell>
        </row>
        <row r="12">
          <cell r="G12">
            <v>30.847437174903018</v>
          </cell>
          <cell r="H12">
            <v>26.728122053142062</v>
          </cell>
          <cell r="I12">
            <v>27.943935734160402</v>
          </cell>
          <cell r="J12">
            <v>26.708829037801291</v>
          </cell>
          <cell r="K12">
            <v>27.219704053989002</v>
          </cell>
        </row>
        <row r="13">
          <cell r="G13">
            <v>31.588681446567033</v>
          </cell>
          <cell r="H13">
            <v>26.72505449922393</v>
          </cell>
          <cell r="I13">
            <v>28.114518623644226</v>
          </cell>
          <cell r="J13">
            <v>26.723091738483824</v>
          </cell>
          <cell r="K13">
            <v>27.288112640148565</v>
          </cell>
        </row>
        <row r="14">
          <cell r="G14">
            <v>31.820352034723662</v>
          </cell>
          <cell r="H14">
            <v>26.717200107143913</v>
          </cell>
          <cell r="I14">
            <v>28.160773023596676</v>
          </cell>
          <cell r="J14">
            <v>26.726559925676387</v>
          </cell>
          <cell r="K14">
            <v>27.346613178934351</v>
          </cell>
        </row>
        <row r="15">
          <cell r="G15">
            <v>29.782170272277479</v>
          </cell>
          <cell r="H15">
            <v>26.698656408155156</v>
          </cell>
          <cell r="I15">
            <v>27.54501466438672</v>
          </cell>
          <cell r="J15">
            <v>26.723256622178884</v>
          </cell>
          <cell r="K15">
            <v>27.395067236416651</v>
          </cell>
        </row>
        <row r="16">
          <cell r="G16">
            <v>27.282065366648208</v>
          </cell>
          <cell r="H16">
            <v>26.70374712684406</v>
          </cell>
          <cell r="I16">
            <v>26.870116157732216</v>
          </cell>
          <cell r="J16">
            <v>26.803705057238286</v>
          </cell>
          <cell r="K16">
            <v>27.727852535158576</v>
          </cell>
        </row>
        <row r="17">
          <cell r="G17">
            <v>25.075219133697772</v>
          </cell>
          <cell r="H17">
            <v>26.717701598623773</v>
          </cell>
          <cell r="I17">
            <v>26.121431800659238</v>
          </cell>
          <cell r="J17">
            <v>26.885271897754251</v>
          </cell>
          <cell r="K17">
            <v>28.072229914291817</v>
          </cell>
        </row>
        <row r="18">
          <cell r="G18">
            <v>23.755877278298239</v>
          </cell>
          <cell r="H18">
            <v>26.724641489960632</v>
          </cell>
          <cell r="I18">
            <v>25.612720099123376</v>
          </cell>
          <cell r="J18">
            <v>26.967802640973311</v>
          </cell>
          <cell r="K18">
            <v>28.422096172047326</v>
          </cell>
        </row>
        <row r="19">
          <cell r="G19">
            <v>23.468087710376061</v>
          </cell>
          <cell r="H19">
            <v>26.719687330921762</v>
          </cell>
          <cell r="I19">
            <v>25.503699359627639</v>
          </cell>
          <cell r="J19">
            <v>27.043087849450878</v>
          </cell>
          <cell r="K19">
            <v>28.74560706892246</v>
          </cell>
        </row>
        <row r="20">
          <cell r="G20">
            <v>23.345177780097753</v>
          </cell>
          <cell r="H20">
            <v>26.705249555030399</v>
          </cell>
          <cell r="I20">
            <v>25.46291960200108</v>
          </cell>
          <cell r="J20">
            <v>27.109217701936682</v>
          </cell>
          <cell r="K20">
            <v>29.075619774534093</v>
          </cell>
        </row>
        <row r="21">
          <cell r="G21">
            <v>42461</v>
          </cell>
          <cell r="H21">
            <v>42491</v>
          </cell>
          <cell r="I21">
            <v>42522</v>
          </cell>
          <cell r="J21">
            <v>42552</v>
          </cell>
          <cell r="K21">
            <v>42583</v>
          </cell>
        </row>
      </sheetData>
      <sheetData sheetId="11">
        <row r="8">
          <cell r="G8">
            <v>27.495309135615219</v>
          </cell>
          <cell r="H8">
            <v>27.014622962686392</v>
          </cell>
          <cell r="I8">
            <v>26.938440292241101</v>
          </cell>
          <cell r="J8">
            <v>26.855555847669748</v>
          </cell>
          <cell r="K8">
            <v>27.082652171132203</v>
          </cell>
        </row>
        <row r="9">
          <cell r="G9">
            <v>27.568089914646887</v>
          </cell>
          <cell r="H9">
            <v>26.856711428510451</v>
          </cell>
          <cell r="I9">
            <v>26.937655431994123</v>
          </cell>
          <cell r="J9">
            <v>26.764107341309366</v>
          </cell>
          <cell r="K9">
            <v>27.073820731512626</v>
          </cell>
        </row>
        <row r="10">
          <cell r="G10">
            <v>27.232442952469388</v>
          </cell>
          <cell r="H10">
            <v>26.715330574724184</v>
          </cell>
          <cell r="I10">
            <v>26.834049222133732</v>
          </cell>
          <cell r="J10">
            <v>26.704550848724466</v>
          </cell>
          <cell r="K10">
            <v>27.091648518398536</v>
          </cell>
        </row>
        <row r="11">
          <cell r="G11">
            <v>27.100262111581969</v>
          </cell>
          <cell r="H11">
            <v>26.688988639379041</v>
          </cell>
          <cell r="I11">
            <v>26.813369971529372</v>
          </cell>
          <cell r="J11">
            <v>26.683290061418379</v>
          </cell>
          <cell r="K11">
            <v>27.137323562111526</v>
          </cell>
        </row>
        <row r="12">
          <cell r="G12">
            <v>26.717942292863039</v>
          </cell>
          <cell r="H12">
            <v>26.677327178989589</v>
          </cell>
          <cell r="I12">
            <v>26.698702920448881</v>
          </cell>
          <cell r="J12">
            <v>26.679497298321312</v>
          </cell>
          <cell r="K12">
            <v>27.186588561912089</v>
          </cell>
        </row>
        <row r="13">
          <cell r="G13">
            <v>26.558029049891072</v>
          </cell>
          <cell r="H13">
            <v>26.658196443803511</v>
          </cell>
          <cell r="I13">
            <v>26.65740076764871</v>
          </cell>
          <cell r="J13">
            <v>26.67887115106414</v>
          </cell>
          <cell r="K13">
            <v>27.246699651807759</v>
          </cell>
        </row>
        <row r="14">
          <cell r="G14">
            <v>26.536745526852417</v>
          </cell>
          <cell r="H14">
            <v>26.660068057720331</v>
          </cell>
          <cell r="I14">
            <v>26.642848936209635</v>
          </cell>
          <cell r="J14">
            <v>26.680109816598655</v>
          </cell>
          <cell r="K14">
            <v>27.295727314886417</v>
          </cell>
        </row>
        <row r="15">
          <cell r="G15">
            <v>26.149563155003559</v>
          </cell>
          <cell r="H15">
            <v>26.6224766107585</v>
          </cell>
          <cell r="I15">
            <v>26.49691419939801</v>
          </cell>
          <cell r="J15">
            <v>26.668986849418889</v>
          </cell>
          <cell r="K15">
            <v>27.339974558302757</v>
          </cell>
        </row>
        <row r="16">
          <cell r="G16">
            <v>26.207227713054959</v>
          </cell>
          <cell r="H16">
            <v>26.636229085212364</v>
          </cell>
          <cell r="I16">
            <v>26.530353630977608</v>
          </cell>
          <cell r="J16">
            <v>26.757701042798171</v>
          </cell>
          <cell r="K16">
            <v>27.684412315381813</v>
          </cell>
        </row>
        <row r="17">
          <cell r="G17">
            <v>26.2805085475648</v>
          </cell>
          <cell r="H17">
            <v>26.669974832621925</v>
          </cell>
          <cell r="I17">
            <v>26.544711873257977</v>
          </cell>
          <cell r="J17">
            <v>26.852771234324404</v>
          </cell>
          <cell r="K17">
            <v>28.036996076907503</v>
          </cell>
        </row>
        <row r="18">
          <cell r="G18">
            <v>26.635725206796383</v>
          </cell>
          <cell r="H18">
            <v>26.688965434156277</v>
          </cell>
          <cell r="I18">
            <v>26.666482654166916</v>
          </cell>
          <cell r="J18">
            <v>26.945361370720843</v>
          </cell>
          <cell r="K18">
            <v>28.394880649420102</v>
          </cell>
        </row>
        <row r="19">
          <cell r="G19">
            <v>26.759237250035131</v>
          </cell>
          <cell r="H19">
            <v>26.707342136998832</v>
          </cell>
          <cell r="I19">
            <v>26.719381327767053</v>
          </cell>
          <cell r="J19">
            <v>27.048677082915368</v>
          </cell>
          <cell r="K19">
            <v>28.742988949177349</v>
          </cell>
        </row>
        <row r="20">
          <cell r="G20">
            <v>26.784792766778551</v>
          </cell>
          <cell r="H20">
            <v>26.696164533457132</v>
          </cell>
          <cell r="I20">
            <v>26.72821216423316</v>
          </cell>
          <cell r="J20">
            <v>27.116717172261538</v>
          </cell>
          <cell r="K20">
            <v>29.077294044624171</v>
          </cell>
        </row>
        <row r="21">
          <cell r="G21">
            <v>42461</v>
          </cell>
          <cell r="H21">
            <v>42491</v>
          </cell>
          <cell r="I21">
            <v>42522</v>
          </cell>
          <cell r="J21">
            <v>42552</v>
          </cell>
          <cell r="K21">
            <v>42583</v>
          </cell>
        </row>
      </sheetData>
      <sheetData sheetId="12">
        <row r="8">
          <cell r="G8">
            <v>26.740165205885571</v>
          </cell>
          <cell r="H8">
            <v>25.896263993336728</v>
          </cell>
          <cell r="I8">
            <v>25.943130313507158</v>
          </cell>
          <cell r="J8">
            <v>25.740831478002825</v>
          </cell>
          <cell r="K8">
            <v>25.97734634107298</v>
          </cell>
        </row>
        <row r="9">
          <cell r="G9">
            <v>26.588966340613368</v>
          </cell>
          <cell r="H9">
            <v>25.742360103730814</v>
          </cell>
          <cell r="I9">
            <v>25.86777197790088</v>
          </cell>
          <cell r="J9">
            <v>25.660610890661747</v>
          </cell>
          <cell r="K9">
            <v>25.976438648004375</v>
          </cell>
        </row>
        <row r="10">
          <cell r="G10">
            <v>26.1393784566724</v>
          </cell>
          <cell r="H10">
            <v>25.610651127164168</v>
          </cell>
          <cell r="I10">
            <v>25.7352619696379</v>
          </cell>
          <cell r="J10">
            <v>25.605568399957413</v>
          </cell>
          <cell r="K10">
            <v>25.996722139375223</v>
          </cell>
        </row>
        <row r="11">
          <cell r="G11">
            <v>25.935358369125595</v>
          </cell>
          <cell r="H11">
            <v>25.581605647042739</v>
          </cell>
          <cell r="I11">
            <v>25.685587711150905</v>
          </cell>
          <cell r="J11">
            <v>25.58351894212182</v>
          </cell>
          <cell r="K11">
            <v>26.039450509952907</v>
          </cell>
        </row>
        <row r="12">
          <cell r="G12">
            <v>25.464559894171636</v>
          </cell>
          <cell r="H12">
            <v>25.569850004900108</v>
          </cell>
          <cell r="I12">
            <v>25.538804841343772</v>
          </cell>
          <cell r="J12">
            <v>25.579609576810771</v>
          </cell>
          <cell r="K12">
            <v>26.0884199877733</v>
          </cell>
        </row>
        <row r="13">
          <cell r="G13">
            <v>25.217699377640233</v>
          </cell>
          <cell r="H13">
            <v>25.551384746600213</v>
          </cell>
          <cell r="I13">
            <v>25.468832942727396</v>
          </cell>
          <cell r="J13">
            <v>25.578684056376144</v>
          </cell>
          <cell r="K13">
            <v>26.148464793420931</v>
          </cell>
        </row>
        <row r="14">
          <cell r="G14">
            <v>25.083818209758483</v>
          </cell>
          <cell r="H14">
            <v>25.551062678953382</v>
          </cell>
          <cell r="I14">
            <v>25.415660683955757</v>
          </cell>
          <cell r="J14">
            <v>25.57622607136911</v>
          </cell>
          <cell r="K14">
            <v>26.193877191288689</v>
          </cell>
        </row>
        <row r="15">
          <cell r="G15">
            <v>24.910079771501113</v>
          </cell>
          <cell r="H15">
            <v>25.509270898054492</v>
          </cell>
          <cell r="I15">
            <v>25.354144758212055</v>
          </cell>
          <cell r="J15">
            <v>25.563065921089763</v>
          </cell>
          <cell r="K15">
            <v>26.239001647757298</v>
          </cell>
        </row>
        <row r="16">
          <cell r="G16">
            <v>25.091146355975035</v>
          </cell>
          <cell r="H16">
            <v>25.534579428972059</v>
          </cell>
          <cell r="I16">
            <v>25.429341974248207</v>
          </cell>
          <cell r="J16">
            <v>25.662190668141381</v>
          </cell>
          <cell r="K16">
            <v>26.589737988529002</v>
          </cell>
        </row>
        <row r="17">
          <cell r="G17">
            <v>25.228832128950224</v>
          </cell>
          <cell r="H17">
            <v>25.560511573993573</v>
          </cell>
          <cell r="I17">
            <v>25.466215992808994</v>
          </cell>
          <cell r="J17">
            <v>25.752838304103062</v>
          </cell>
          <cell r="K17">
            <v>26.938885912209464</v>
          </cell>
        </row>
        <row r="18">
          <cell r="G18">
            <v>25.679066202958452</v>
          </cell>
          <cell r="H18">
            <v>25.576608633697923</v>
          </cell>
          <cell r="I18">
            <v>25.618903664416973</v>
          </cell>
          <cell r="J18">
            <v>25.845313090822042</v>
          </cell>
          <cell r="K18">
            <v>27.296566735915516</v>
          </cell>
        </row>
        <row r="19">
          <cell r="G19">
            <v>25.895076762997643</v>
          </cell>
          <cell r="H19">
            <v>25.596348481263647</v>
          </cell>
          <cell r="I19">
            <v>25.701456247347377</v>
          </cell>
          <cell r="J19">
            <v>25.948711248120706</v>
          </cell>
          <cell r="K19">
            <v>27.643153629046164</v>
          </cell>
        </row>
        <row r="20">
          <cell r="G20">
            <v>26.039236373448922</v>
          </cell>
          <cell r="H20">
            <v>25.585079932087673</v>
          </cell>
          <cell r="I20">
            <v>25.74510823088216</v>
          </cell>
          <cell r="J20">
            <v>26.017969428907989</v>
          </cell>
          <cell r="K20">
            <v>27.980331064988999</v>
          </cell>
        </row>
        <row r="21">
          <cell r="G21">
            <v>42461</v>
          </cell>
          <cell r="H21">
            <v>42491</v>
          </cell>
          <cell r="I21">
            <v>42522</v>
          </cell>
          <cell r="J21">
            <v>42552</v>
          </cell>
          <cell r="K21">
            <v>42583</v>
          </cell>
        </row>
      </sheetData>
      <sheetData sheetId="13">
        <row r="8">
          <cell r="G8">
            <v>31.734423741779278</v>
          </cell>
          <cell r="H8">
            <v>25.008582310383837</v>
          </cell>
          <cell r="I8">
            <v>26.974381370420012</v>
          </cell>
          <cell r="J8">
            <v>25.36343526404054</v>
          </cell>
          <cell r="K8">
            <v>26.603215332478197</v>
          </cell>
        </row>
        <row r="9">
          <cell r="G9">
            <v>30.315827289285959</v>
          </cell>
          <cell r="H9">
            <v>24.634163133785506</v>
          </cell>
          <cell r="I9">
            <v>26.504692733372121</v>
          </cell>
          <cell r="J9">
            <v>25.125791264085471</v>
          </cell>
          <cell r="K9">
            <v>26.723618762680349</v>
          </cell>
        </row>
        <row r="10">
          <cell r="G10">
            <v>28.052193826137351</v>
          </cell>
          <cell r="H10">
            <v>24.835646294733102</v>
          </cell>
          <cell r="I10">
            <v>25.911092241603733</v>
          </cell>
          <cell r="J10">
            <v>25.196534938953025</v>
          </cell>
          <cell r="K10">
            <v>26.980027466002927</v>
          </cell>
        </row>
        <row r="11">
          <cell r="G11">
            <v>24.744157723388248</v>
          </cell>
          <cell r="H11">
            <v>24.76641132661447</v>
          </cell>
          <cell r="I11">
            <v>24.939812988136069</v>
          </cell>
          <cell r="J11">
            <v>25.133010685782832</v>
          </cell>
          <cell r="K11">
            <v>27.147340121568494</v>
          </cell>
        </row>
        <row r="12">
          <cell r="G12">
            <v>21.57103956591213</v>
          </cell>
          <cell r="H12">
            <v>24.678928288487356</v>
          </cell>
          <cell r="I12">
            <v>24.007953990981264</v>
          </cell>
          <cell r="J12">
            <v>25.069791567845758</v>
          </cell>
          <cell r="K12">
            <v>27.290783006748715</v>
          </cell>
        </row>
        <row r="13">
          <cell r="G13">
            <v>19.448796055733062</v>
          </cell>
          <cell r="H13">
            <v>24.752631199794205</v>
          </cell>
          <cell r="I13">
            <v>23.515044387389214</v>
          </cell>
          <cell r="J13">
            <v>25.080840782766526</v>
          </cell>
          <cell r="K13">
            <v>27.508975083210444</v>
          </cell>
        </row>
        <row r="14">
          <cell r="G14">
            <v>19.196733648612323</v>
          </cell>
          <cell r="H14">
            <v>24.759980482100662</v>
          </cell>
          <cell r="I14">
            <v>23.437371430597814</v>
          </cell>
          <cell r="J14">
            <v>25.103107344922162</v>
          </cell>
          <cell r="K14">
            <v>27.730855714856126</v>
          </cell>
        </row>
        <row r="15">
          <cell r="G15">
            <v>19.558252745753052</v>
          </cell>
          <cell r="H15">
            <v>24.700980956137382</v>
          </cell>
          <cell r="I15">
            <v>23.520443654913841</v>
          </cell>
          <cell r="J15">
            <v>25.100225371219107</v>
          </cell>
          <cell r="K15">
            <v>27.947707749919235</v>
          </cell>
        </row>
        <row r="16">
          <cell r="G16">
            <v>21.856196666358674</v>
          </cell>
          <cell r="H16">
            <v>24.880140758485286</v>
          </cell>
          <cell r="I16">
            <v>24.291342386511879</v>
          </cell>
          <cell r="J16">
            <v>25.488922720085178</v>
          </cell>
          <cell r="K16">
            <v>28.353231587122352</v>
          </cell>
        </row>
        <row r="17">
          <cell r="G17">
            <v>24.788917500409912</v>
          </cell>
          <cell r="H17">
            <v>25.038424038765893</v>
          </cell>
          <cell r="I17">
            <v>25.263779305836238</v>
          </cell>
          <cell r="J17">
            <v>25.951623909568575</v>
          </cell>
          <cell r="K17">
            <v>28.790096149075854</v>
          </cell>
        </row>
        <row r="18">
          <cell r="G18">
            <v>28.156767724285942</v>
          </cell>
          <cell r="H18">
            <v>25.294487615197461</v>
          </cell>
          <cell r="I18">
            <v>26.324316766491808</v>
          </cell>
          <cell r="J18">
            <v>26.494692231144139</v>
          </cell>
          <cell r="K18">
            <v>29.27003355120279</v>
          </cell>
        </row>
        <row r="19">
          <cell r="G19">
            <v>30.858169927159757</v>
          </cell>
          <cell r="H19">
            <v>25.692398601722026</v>
          </cell>
          <cell r="I19">
            <v>27.137717951943301</v>
          </cell>
          <cell r="J19">
            <v>27.032691895489588</v>
          </cell>
          <cell r="K19">
            <v>29.863783128770805</v>
          </cell>
        </row>
        <row r="20">
          <cell r="G20">
            <v>31.247944761453752</v>
          </cell>
          <cell r="H20">
            <v>25.719402188538311</v>
          </cell>
          <cell r="I20">
            <v>27.276323583112543</v>
          </cell>
          <cell r="J20">
            <v>27.402405595343797</v>
          </cell>
          <cell r="K20">
            <v>30.206885930602272</v>
          </cell>
        </row>
        <row r="21">
          <cell r="G21">
            <v>42461</v>
          </cell>
          <cell r="H21">
            <v>42491</v>
          </cell>
          <cell r="I21">
            <v>42522</v>
          </cell>
          <cell r="J21">
            <v>42552</v>
          </cell>
          <cell r="K21">
            <v>42583</v>
          </cell>
        </row>
      </sheetData>
      <sheetData sheetId="14">
        <row r="8">
          <cell r="G8">
            <v>25.58189222695783</v>
          </cell>
          <cell r="H8">
            <v>20.13345363881195</v>
          </cell>
          <cell r="I8">
            <v>22.200842400001338</v>
          </cell>
          <cell r="J8">
            <v>21.23474493725816</v>
          </cell>
          <cell r="K8">
            <v>22.127128060118757</v>
          </cell>
        </row>
        <row r="9">
          <cell r="G9">
            <v>25.770975448470971</v>
          </cell>
          <cell r="H9">
            <v>20.235065993388524</v>
          </cell>
          <cell r="I9">
            <v>22.349373015142589</v>
          </cell>
          <cell r="J9">
            <v>21.214934442136091</v>
          </cell>
          <cell r="K9">
            <v>22.234131855933462</v>
          </cell>
        </row>
        <row r="10">
          <cell r="G10">
            <v>24.002229324470054</v>
          </cell>
          <cell r="H10">
            <v>20.381703032668931</v>
          </cell>
          <cell r="I10">
            <v>21.929001881029137</v>
          </cell>
          <cell r="J10">
            <v>21.31064391908436</v>
          </cell>
          <cell r="K10">
            <v>22.377048028116782</v>
          </cell>
        </row>
        <row r="11">
          <cell r="G11">
            <v>21.277006248599069</v>
          </cell>
          <cell r="H11">
            <v>20.319410777088883</v>
          </cell>
          <cell r="I11">
            <v>21.325822022383218</v>
          </cell>
          <cell r="J11">
            <v>21.265761368655536</v>
          </cell>
          <cell r="K11">
            <v>22.392016709437581</v>
          </cell>
        </row>
        <row r="12">
          <cell r="G12">
            <v>18.452028182719506</v>
          </cell>
          <cell r="H12">
            <v>20.233328560566793</v>
          </cell>
          <cell r="I12">
            <v>20.703286575227384</v>
          </cell>
          <cell r="J12">
            <v>21.213258662063851</v>
          </cell>
          <cell r="K12">
            <v>22.3982960160718</v>
          </cell>
        </row>
        <row r="13">
          <cell r="G13">
            <v>15.718656055385956</v>
          </cell>
          <cell r="H13">
            <v>20.301982245046787</v>
          </cell>
          <cell r="I13">
            <v>19.998125799961226</v>
          </cell>
          <cell r="J13">
            <v>21.198896603655967</v>
          </cell>
          <cell r="K13">
            <v>22.436703966708976</v>
          </cell>
        </row>
        <row r="14">
          <cell r="G14">
            <v>14.875755966010216</v>
          </cell>
          <cell r="H14">
            <v>20.534094092944514</v>
          </cell>
          <cell r="I14">
            <v>19.817140277392358</v>
          </cell>
          <cell r="J14">
            <v>21.297919152200688</v>
          </cell>
          <cell r="K14">
            <v>22.544085553587372</v>
          </cell>
        </row>
        <row r="15">
          <cell r="G15">
            <v>15.208846639751759</v>
          </cell>
          <cell r="H15">
            <v>20.715164471489118</v>
          </cell>
          <cell r="I15">
            <v>19.789169451426837</v>
          </cell>
          <cell r="J15">
            <v>21.37301350938689</v>
          </cell>
          <cell r="K15">
            <v>22.631835569341021</v>
          </cell>
        </row>
        <row r="16">
          <cell r="G16">
            <v>17.164794201661664</v>
          </cell>
          <cell r="H16">
            <v>20.951271349340345</v>
          </cell>
          <cell r="I16">
            <v>20.480872165188316</v>
          </cell>
          <cell r="J16">
            <v>21.606853158791079</v>
          </cell>
          <cell r="K16">
            <v>23.050770032971201</v>
          </cell>
        </row>
        <row r="17">
          <cell r="G17">
            <v>19.47686111168688</v>
          </cell>
          <cell r="H17">
            <v>21.348738322950048</v>
          </cell>
          <cell r="I17">
            <v>21.262318085932236</v>
          </cell>
          <cell r="J17">
            <v>22.100057720087523</v>
          </cell>
          <cell r="K17">
            <v>23.717388067141108</v>
          </cell>
        </row>
        <row r="18">
          <cell r="G18">
            <v>21.836419525194263</v>
          </cell>
          <cell r="H18">
            <v>21.769703307337991</v>
          </cell>
          <cell r="I18">
            <v>22.070274302039248</v>
          </cell>
          <cell r="J18">
            <v>22.640557445606216</v>
          </cell>
          <cell r="K18">
            <v>24.401600738334405</v>
          </cell>
        </row>
        <row r="19">
          <cell r="G19">
            <v>24.725779332080968</v>
          </cell>
          <cell r="H19">
            <v>22.099755640004165</v>
          </cell>
          <cell r="I19">
            <v>22.983315202257799</v>
          </cell>
          <cell r="J19">
            <v>22.855246078568534</v>
          </cell>
          <cell r="K19">
            <v>24.941901451853379</v>
          </cell>
        </row>
        <row r="20">
          <cell r="G20">
            <v>26.443493051155713</v>
          </cell>
          <cell r="H20">
            <v>22.339297726249814</v>
          </cell>
          <cell r="I20">
            <v>23.500732755472551</v>
          </cell>
          <cell r="J20">
            <v>23.126935963853466</v>
          </cell>
          <cell r="K20">
            <v>25.400537408828992</v>
          </cell>
        </row>
        <row r="21">
          <cell r="G21">
            <v>42461</v>
          </cell>
          <cell r="H21">
            <v>42491</v>
          </cell>
          <cell r="I21">
            <v>42522</v>
          </cell>
          <cell r="J21">
            <v>42552</v>
          </cell>
          <cell r="K21">
            <v>42583</v>
          </cell>
        </row>
      </sheetData>
      <sheetData sheetId="15">
        <row r="8">
          <cell r="G8">
            <v>25.229400161742163</v>
          </cell>
          <cell r="H8">
            <v>18.851131604050131</v>
          </cell>
          <cell r="I8">
            <v>21.190639125532158</v>
          </cell>
          <cell r="J8">
            <v>19.996931457024768</v>
          </cell>
          <cell r="K8">
            <v>20.9671158914445</v>
          </cell>
        </row>
        <row r="9">
          <cell r="G9">
            <v>24.23490683649397</v>
          </cell>
          <cell r="H9">
            <v>18.947597260048028</v>
          </cell>
          <cell r="I9">
            <v>21.027078934706122</v>
          </cell>
          <cell r="J9">
            <v>19.967787808345687</v>
          </cell>
          <cell r="K9">
            <v>21.064530055878642</v>
          </cell>
        </row>
        <row r="10">
          <cell r="G10">
            <v>21.887189942106534</v>
          </cell>
          <cell r="H10">
            <v>19.081825563965673</v>
          </cell>
          <cell r="I10">
            <v>20.443997638104094</v>
          </cell>
          <cell r="J10">
            <v>20.05285553443969</v>
          </cell>
          <cell r="K10">
            <v>21.19817017885773</v>
          </cell>
        </row>
        <row r="11">
          <cell r="G11">
            <v>18.610732201572954</v>
          </cell>
          <cell r="H11">
            <v>19.017525745012712</v>
          </cell>
          <cell r="I11">
            <v>19.662585671682635</v>
          </cell>
          <cell r="J11">
            <v>20.005505169428812</v>
          </cell>
          <cell r="K11">
            <v>21.209772803157428</v>
          </cell>
        </row>
        <row r="12">
          <cell r="G12">
            <v>15.56164787305968</v>
          </cell>
          <cell r="H12">
            <v>18.932256858827611</v>
          </cell>
          <cell r="I12">
            <v>18.910316292263854</v>
          </cell>
          <cell r="J12">
            <v>19.954879351049822</v>
          </cell>
          <cell r="K12">
            <v>21.216478192131557</v>
          </cell>
        </row>
        <row r="13">
          <cell r="G13">
            <v>13.427938064622602</v>
          </cell>
          <cell r="H13">
            <v>19.010181851298544</v>
          </cell>
          <cell r="I13">
            <v>18.363859801353787</v>
          </cell>
          <cell r="J13">
            <v>19.931822146022125</v>
          </cell>
          <cell r="K13">
            <v>21.250753865990987</v>
          </cell>
        </row>
        <row r="14">
          <cell r="G14">
            <v>13.150128681703059</v>
          </cell>
          <cell r="H14">
            <v>19.278766016530604</v>
          </cell>
          <cell r="I14">
            <v>18.378200357692222</v>
          </cell>
          <cell r="J14">
            <v>20.044316341177971</v>
          </cell>
          <cell r="K14">
            <v>21.362391985502992</v>
          </cell>
        </row>
        <row r="15">
          <cell r="G15">
            <v>14.146916841006437</v>
          </cell>
          <cell r="H15">
            <v>19.496484309967499</v>
          </cell>
          <cell r="I15">
            <v>18.633056975389206</v>
          </cell>
          <cell r="J15">
            <v>20.13445107901115</v>
          </cell>
          <cell r="K15">
            <v>21.463711644637836</v>
          </cell>
        </row>
        <row r="16">
          <cell r="G16">
            <v>16.466757694436879</v>
          </cell>
          <cell r="H16">
            <v>19.746625525648309</v>
          </cell>
          <cell r="I16">
            <v>19.468513272614867</v>
          </cell>
          <cell r="J16">
            <v>20.388632726019317</v>
          </cell>
          <cell r="K16">
            <v>21.893943830251935</v>
          </cell>
        </row>
        <row r="17">
          <cell r="G17">
            <v>19.420043801177563</v>
          </cell>
          <cell r="H17">
            <v>20.187075921751184</v>
          </cell>
          <cell r="I17">
            <v>20.468043316469554</v>
          </cell>
          <cell r="J17">
            <v>20.943589064609313</v>
          </cell>
          <cell r="K17">
            <v>22.606598593375363</v>
          </cell>
        </row>
        <row r="18">
          <cell r="G18">
            <v>22.542025226290651</v>
          </cell>
          <cell r="H18">
            <v>20.641798312806301</v>
          </cell>
          <cell r="I18">
            <v>21.486926910618269</v>
          </cell>
          <cell r="J18">
            <v>21.544213369799579</v>
          </cell>
          <cell r="K18">
            <v>23.335877682705213</v>
          </cell>
        </row>
        <row r="19">
          <cell r="G19">
            <v>25.12567259378287</v>
          </cell>
          <cell r="H19">
            <v>20.94589068473185</v>
          </cell>
          <cell r="I19">
            <v>22.234341609005693</v>
          </cell>
          <cell r="J19">
            <v>21.782756643672219</v>
          </cell>
          <cell r="K19">
            <v>23.862539840151513</v>
          </cell>
        </row>
        <row r="20">
          <cell r="G20">
            <v>26.179183133762198</v>
          </cell>
          <cell r="H20">
            <v>21.145520070889443</v>
          </cell>
          <cell r="I20">
            <v>22.526312862897424</v>
          </cell>
          <cell r="J20">
            <v>22.02742422108852</v>
          </cell>
          <cell r="K20">
            <v>24.302520741292128</v>
          </cell>
        </row>
        <row r="21">
          <cell r="G21">
            <v>42461</v>
          </cell>
          <cell r="H21">
            <v>42491</v>
          </cell>
          <cell r="I21">
            <v>42522</v>
          </cell>
          <cell r="J21">
            <v>42552</v>
          </cell>
          <cell r="K21">
            <v>42583</v>
          </cell>
        </row>
      </sheetData>
      <sheetData sheetId="16">
        <row r="8">
          <cell r="G8">
            <v>26.26778184170799</v>
          </cell>
          <cell r="H8">
            <v>20.05111331622674</v>
          </cell>
          <cell r="I8">
            <v>22.320729311511027</v>
          </cell>
          <cell r="J8">
            <v>21.192667524161568</v>
          </cell>
          <cell r="K8">
            <v>22.139087104299072</v>
          </cell>
        </row>
        <row r="9">
          <cell r="G9">
            <v>25.335077222928142</v>
          </cell>
          <cell r="H9">
            <v>20.138843883777206</v>
          </cell>
          <cell r="I9">
            <v>22.165020336694386</v>
          </cell>
          <cell r="J9">
            <v>21.156686450443978</v>
          </cell>
          <cell r="K9">
            <v>22.228753568742366</v>
          </cell>
        </row>
        <row r="10">
          <cell r="G10">
            <v>23.096103644921634</v>
          </cell>
          <cell r="H10">
            <v>20.267716050296062</v>
          </cell>
          <cell r="I10">
            <v>21.612810289981095</v>
          </cell>
          <cell r="J10">
            <v>21.24163394942148</v>
          </cell>
          <cell r="K10">
            <v>22.362079391662956</v>
          </cell>
        </row>
        <row r="11">
          <cell r="G11">
            <v>19.678734623838963</v>
          </cell>
          <cell r="H11">
            <v>20.205106267408361</v>
          </cell>
          <cell r="I11">
            <v>20.81173071104174</v>
          </cell>
          <cell r="J11">
            <v>21.196493920844926</v>
          </cell>
          <cell r="K11">
            <v>22.376436765314313</v>
          </cell>
        </row>
        <row r="12">
          <cell r="G12">
            <v>16.637206166527196</v>
          </cell>
          <cell r="H12">
            <v>20.118077380296398</v>
          </cell>
          <cell r="I12">
            <v>20.07121794127751</v>
          </cell>
          <cell r="J12">
            <v>21.144156745690665</v>
          </cell>
          <cell r="K12">
            <v>22.382543703102751</v>
          </cell>
        </row>
        <row r="13">
          <cell r="G13">
            <v>14.618053383649643</v>
          </cell>
          <cell r="H13">
            <v>20.191179231729265</v>
          </cell>
          <cell r="I13">
            <v>19.562234940278014</v>
          </cell>
          <cell r="J13">
            <v>21.125647930405272</v>
          </cell>
          <cell r="K13">
            <v>22.418572538201996</v>
          </cell>
        </row>
        <row r="14">
          <cell r="G14">
            <v>14.41802577842803</v>
          </cell>
          <cell r="H14">
            <v>20.439015710380509</v>
          </cell>
          <cell r="I14">
            <v>19.607528553812504</v>
          </cell>
          <cell r="J14">
            <v>21.229776173432661</v>
          </cell>
          <cell r="K14">
            <v>22.52625078814296</v>
          </cell>
        </row>
        <row r="15">
          <cell r="G15">
            <v>15.362630159960311</v>
          </cell>
          <cell r="H15">
            <v>20.643094166030743</v>
          </cell>
          <cell r="I15">
            <v>19.83926127480516</v>
          </cell>
          <cell r="J15">
            <v>21.312705647319362</v>
          </cell>
          <cell r="K15">
            <v>22.622977600911788</v>
          </cell>
        </row>
        <row r="16">
          <cell r="G16">
            <v>17.624579329038614</v>
          </cell>
          <cell r="H16">
            <v>20.895109003032179</v>
          </cell>
          <cell r="I16">
            <v>20.650061599047682</v>
          </cell>
          <cell r="J16">
            <v>21.556700785110387</v>
          </cell>
          <cell r="K16">
            <v>23.04038137857815</v>
          </cell>
        </row>
        <row r="17">
          <cell r="G17">
            <v>20.729416172930588</v>
          </cell>
          <cell r="H17">
            <v>21.378711626437113</v>
          </cell>
          <cell r="I17">
            <v>21.70195115082165</v>
          </cell>
          <cell r="J17">
            <v>22.129468048816744</v>
          </cell>
          <cell r="K17">
            <v>23.777981309963206</v>
          </cell>
        </row>
        <row r="18">
          <cell r="G18">
            <v>23.850218082655587</v>
          </cell>
          <cell r="H18">
            <v>21.84828261950706</v>
          </cell>
          <cell r="I18">
            <v>22.716489643969442</v>
          </cell>
          <cell r="J18">
            <v>22.725658955200945</v>
          </cell>
          <cell r="K18">
            <v>24.509125369680348</v>
          </cell>
        </row>
        <row r="19">
          <cell r="G19">
            <v>26.260123463170611</v>
          </cell>
          <cell r="H19">
            <v>22.141276015911696</v>
          </cell>
          <cell r="I19">
            <v>23.419624840924989</v>
          </cell>
          <cell r="J19">
            <v>22.947569663390784</v>
          </cell>
          <cell r="K19">
            <v>25.027999184522344</v>
          </cell>
        </row>
        <row r="20">
          <cell r="G20">
            <v>27.123980760286184</v>
          </cell>
          <cell r="H20">
            <v>22.337221539644968</v>
          </cell>
          <cell r="I20">
            <v>23.659654774093887</v>
          </cell>
          <cell r="J20">
            <v>23.185125530006385</v>
          </cell>
          <cell r="K20">
            <v>25.463220868031481</v>
          </cell>
        </row>
        <row r="21">
          <cell r="G21">
            <v>42461</v>
          </cell>
          <cell r="H21">
            <v>42491</v>
          </cell>
          <cell r="I21">
            <v>42522</v>
          </cell>
          <cell r="J21">
            <v>42552</v>
          </cell>
          <cell r="K21">
            <v>42583</v>
          </cell>
        </row>
      </sheetData>
      <sheetData sheetId="17">
        <row r="8">
          <cell r="G8">
            <v>38.39422051915863</v>
          </cell>
          <cell r="H8">
            <v>36.513346574090548</v>
          </cell>
          <cell r="I8">
            <v>37.907042251469854</v>
          </cell>
          <cell r="J8">
            <v>38.60587080933211</v>
          </cell>
          <cell r="K8">
            <v>40.664126158507578</v>
          </cell>
        </row>
        <row r="9">
          <cell r="G9">
            <v>35.617115190701981</v>
          </cell>
          <cell r="H9">
            <v>36.621430917666345</v>
          </cell>
          <cell r="I9">
            <v>37.466666162494363</v>
          </cell>
          <cell r="J9">
            <v>38.703776140770735</v>
          </cell>
          <cell r="K9">
            <v>41.028737407013637</v>
          </cell>
        </row>
        <row r="10">
          <cell r="G10">
            <v>34.749286252613139</v>
          </cell>
          <cell r="H10">
            <v>36.593186892538938</v>
          </cell>
          <cell r="I10">
            <v>37.394809461552882</v>
          </cell>
          <cell r="J10">
            <v>38.70138060382439</v>
          </cell>
          <cell r="K10">
            <v>41.223657446581022</v>
          </cell>
        </row>
        <row r="11">
          <cell r="G11">
            <v>34.078412175224969</v>
          </cell>
          <cell r="H11">
            <v>36.575280169672787</v>
          </cell>
          <cell r="I11">
            <v>37.61624541737622</v>
          </cell>
          <cell r="J11">
            <v>38.663485131411257</v>
          </cell>
          <cell r="K11">
            <v>41.400213943027374</v>
          </cell>
        </row>
        <row r="12">
          <cell r="G12">
            <v>32.693581572740229</v>
          </cell>
          <cell r="H12">
            <v>36.576754696820032</v>
          </cell>
          <cell r="I12">
            <v>37.426554939720241</v>
          </cell>
          <cell r="J12">
            <v>38.651227419760637</v>
          </cell>
          <cell r="K12">
            <v>41.562236516741564</v>
          </cell>
        </row>
        <row r="13">
          <cell r="G13">
            <v>32.161968000835266</v>
          </cell>
          <cell r="H13">
            <v>36.744705157062576</v>
          </cell>
          <cell r="I13">
            <v>37.616019314054419</v>
          </cell>
          <cell r="J13">
            <v>38.747143796936349</v>
          </cell>
          <cell r="K13">
            <v>41.833628858969732</v>
          </cell>
        </row>
        <row r="14">
          <cell r="G14">
            <v>34.382182977941127</v>
          </cell>
          <cell r="H14">
            <v>37.647736316871104</v>
          </cell>
          <cell r="I14">
            <v>38.682523426422755</v>
          </cell>
          <cell r="J14">
            <v>39.202768784788077</v>
          </cell>
          <cell r="K14">
            <v>42.317794156799835</v>
          </cell>
        </row>
        <row r="15">
          <cell r="G15">
            <v>37.99101087419583</v>
          </cell>
          <cell r="H15">
            <v>38.534528815057264</v>
          </cell>
          <cell r="I15">
            <v>39.957387230658952</v>
          </cell>
          <cell r="J15">
            <v>39.643697809848284</v>
          </cell>
          <cell r="K15">
            <v>42.817803736992062</v>
          </cell>
        </row>
        <row r="16">
          <cell r="G16">
            <v>38.952573063408785</v>
          </cell>
          <cell r="H16">
            <v>38.884399468121615</v>
          </cell>
          <cell r="I16">
            <v>40.250504615753862</v>
          </cell>
          <cell r="J16">
            <v>40.176195214452044</v>
          </cell>
          <cell r="K16">
            <v>43.370192096068095</v>
          </cell>
        </row>
        <row r="17">
          <cell r="G17">
            <v>39.601579806778922</v>
          </cell>
          <cell r="H17">
            <v>39.562336876613244</v>
          </cell>
          <cell r="I17">
            <v>40.400882926420543</v>
          </cell>
          <cell r="J17">
            <v>40.857389481620849</v>
          </cell>
          <cell r="K17">
            <v>43.950175630104255</v>
          </cell>
        </row>
        <row r="18">
          <cell r="G18">
            <v>41.160493881974283</v>
          </cell>
          <cell r="H18">
            <v>39.990696826754821</v>
          </cell>
          <cell r="I18">
            <v>40.866267271477092</v>
          </cell>
          <cell r="J18">
            <v>41.455955397855199</v>
          </cell>
          <cell r="K18">
            <v>44.485953149273612</v>
          </cell>
        </row>
        <row r="19">
          <cell r="G19">
            <v>41.436092419509329</v>
          </cell>
          <cell r="H19">
            <v>40.380423269445281</v>
          </cell>
          <cell r="I19">
            <v>40.982415038196933</v>
          </cell>
          <cell r="J19">
            <v>42.100723424114037</v>
          </cell>
          <cell r="K19">
            <v>45.068978268151461</v>
          </cell>
        </row>
        <row r="20">
          <cell r="G20">
            <v>40.540707729085668</v>
          </cell>
          <cell r="H20">
            <v>40.702797735409888</v>
          </cell>
          <cell r="I20">
            <v>40.683530183156499</v>
          </cell>
          <cell r="J20">
            <v>42.74622714509232</v>
          </cell>
          <cell r="K20">
            <v>45.614369350231115</v>
          </cell>
        </row>
        <row r="21">
          <cell r="G21">
            <v>42461</v>
          </cell>
          <cell r="H21">
            <v>42491</v>
          </cell>
          <cell r="I21">
            <v>42522</v>
          </cell>
          <cell r="J21">
            <v>42552</v>
          </cell>
          <cell r="K21">
            <v>42583</v>
          </cell>
        </row>
      </sheetData>
      <sheetData sheetId="18">
        <row r="8">
          <cell r="G8">
            <v>38.39422051915863</v>
          </cell>
          <cell r="H8">
            <v>36.513346574090548</v>
          </cell>
          <cell r="I8">
            <v>37.907042251469854</v>
          </cell>
          <cell r="J8">
            <v>38.60587080933211</v>
          </cell>
          <cell r="K8">
            <v>40.664126158507578</v>
          </cell>
        </row>
        <row r="9">
          <cell r="G9">
            <v>35.617115190701981</v>
          </cell>
          <cell r="H9">
            <v>36.621430917666345</v>
          </cell>
          <cell r="I9">
            <v>37.466666162494363</v>
          </cell>
          <cell r="J9">
            <v>38.703776140770735</v>
          </cell>
          <cell r="K9">
            <v>41.028737407013637</v>
          </cell>
        </row>
        <row r="10">
          <cell r="G10">
            <v>34.749286252613139</v>
          </cell>
          <cell r="H10">
            <v>36.593186892538938</v>
          </cell>
          <cell r="I10">
            <v>37.394809461552882</v>
          </cell>
          <cell r="J10">
            <v>38.70138060382439</v>
          </cell>
          <cell r="K10">
            <v>41.223657446581022</v>
          </cell>
        </row>
        <row r="11">
          <cell r="G11">
            <v>34.078412175224969</v>
          </cell>
          <cell r="H11">
            <v>36.575280169672787</v>
          </cell>
          <cell r="I11">
            <v>37.61624541737622</v>
          </cell>
          <cell r="J11">
            <v>38.663485131411257</v>
          </cell>
          <cell r="K11">
            <v>41.400213943027374</v>
          </cell>
        </row>
        <row r="12">
          <cell r="G12">
            <v>32.693581572740229</v>
          </cell>
          <cell r="H12">
            <v>36.576754696820032</v>
          </cell>
          <cell r="I12">
            <v>37.426554939720241</v>
          </cell>
          <cell r="J12">
            <v>38.651227419760637</v>
          </cell>
          <cell r="K12">
            <v>41.562236516741564</v>
          </cell>
        </row>
        <row r="13">
          <cell r="G13">
            <v>32.161968000835266</v>
          </cell>
          <cell r="H13">
            <v>36.744705157062576</v>
          </cell>
          <cell r="I13">
            <v>37.616019314054419</v>
          </cell>
          <cell r="J13">
            <v>38.747143796936349</v>
          </cell>
          <cell r="K13">
            <v>41.833628858969732</v>
          </cell>
        </row>
        <row r="14">
          <cell r="G14">
            <v>34.382182977941127</v>
          </cell>
          <cell r="H14">
            <v>37.647736316871104</v>
          </cell>
          <cell r="I14">
            <v>38.682523426422755</v>
          </cell>
          <cell r="J14">
            <v>39.202768784788077</v>
          </cell>
          <cell r="K14">
            <v>42.317794156799835</v>
          </cell>
        </row>
        <row r="15">
          <cell r="G15">
            <v>37.99101087419583</v>
          </cell>
          <cell r="H15">
            <v>38.534528815057264</v>
          </cell>
          <cell r="I15">
            <v>39.957387230658952</v>
          </cell>
          <cell r="J15">
            <v>39.643697809848284</v>
          </cell>
          <cell r="K15">
            <v>42.817803736992062</v>
          </cell>
        </row>
        <row r="16">
          <cell r="G16">
            <v>38.952573063408785</v>
          </cell>
          <cell r="H16">
            <v>38.884399468121615</v>
          </cell>
          <cell r="I16">
            <v>40.250504615753862</v>
          </cell>
          <cell r="J16">
            <v>40.176195214452044</v>
          </cell>
          <cell r="K16">
            <v>43.370192096068095</v>
          </cell>
        </row>
        <row r="17">
          <cell r="G17">
            <v>39.601579806778922</v>
          </cell>
          <cell r="H17">
            <v>39.562336876613244</v>
          </cell>
          <cell r="I17">
            <v>40.400882926420543</v>
          </cell>
          <cell r="J17">
            <v>40.857389481620849</v>
          </cell>
          <cell r="K17">
            <v>43.950175630104255</v>
          </cell>
        </row>
        <row r="18">
          <cell r="G18">
            <v>41.160493881974283</v>
          </cell>
          <cell r="H18">
            <v>39.990696826754821</v>
          </cell>
          <cell r="I18">
            <v>40.866267271477092</v>
          </cell>
          <cell r="J18">
            <v>41.455955397855199</v>
          </cell>
          <cell r="K18">
            <v>44.485953149273612</v>
          </cell>
        </row>
        <row r="19">
          <cell r="G19">
            <v>41.436092419509329</v>
          </cell>
          <cell r="H19">
            <v>40.380423269445281</v>
          </cell>
          <cell r="I19">
            <v>40.982415038196933</v>
          </cell>
          <cell r="J19">
            <v>42.100723424114037</v>
          </cell>
          <cell r="K19">
            <v>45.068978268151461</v>
          </cell>
        </row>
        <row r="20">
          <cell r="G20">
            <v>40.540707729085668</v>
          </cell>
          <cell r="H20">
            <v>40.702797735409888</v>
          </cell>
          <cell r="I20">
            <v>40.683530183156499</v>
          </cell>
          <cell r="J20">
            <v>42.74622714509232</v>
          </cell>
          <cell r="K20">
            <v>45.614369350231115</v>
          </cell>
        </row>
        <row r="21">
          <cell r="G21">
            <v>42461</v>
          </cell>
          <cell r="H21">
            <v>42491</v>
          </cell>
          <cell r="I21">
            <v>42522</v>
          </cell>
          <cell r="J21">
            <v>42552</v>
          </cell>
          <cell r="K21">
            <v>42583</v>
          </cell>
        </row>
      </sheetData>
      <sheetData sheetId="19">
        <row r="8">
          <cell r="G8">
            <v>41.305077827877987</v>
          </cell>
          <cell r="H8">
            <v>35.520913363956154</v>
          </cell>
          <cell r="I8">
            <v>37.922353338853711</v>
          </cell>
          <cell r="J8">
            <v>37.647146604008363</v>
          </cell>
          <cell r="K8">
            <v>39.730794467537649</v>
          </cell>
        </row>
        <row r="9">
          <cell r="G9">
            <v>40.379563182956993</v>
          </cell>
          <cell r="H9">
            <v>35.674628602612685</v>
          </cell>
          <cell r="I9">
            <v>38.093385143567012</v>
          </cell>
          <cell r="J9">
            <v>37.787609432182975</v>
          </cell>
          <cell r="K9">
            <v>40.142545566538942</v>
          </cell>
        </row>
        <row r="10">
          <cell r="G10">
            <v>37.948742689923563</v>
          </cell>
          <cell r="H10">
            <v>35.666493085679626</v>
          </cell>
          <cell r="I10">
            <v>37.592370359198078</v>
          </cell>
          <cell r="J10">
            <v>37.773032933872948</v>
          </cell>
          <cell r="K10">
            <v>40.340778331738719</v>
          </cell>
        </row>
        <row r="11">
          <cell r="G11">
            <v>35.574577729038822</v>
          </cell>
          <cell r="H11">
            <v>35.650107314156593</v>
          </cell>
          <cell r="I11">
            <v>37.38233133987724</v>
          </cell>
          <cell r="J11">
            <v>37.739340503573388</v>
          </cell>
          <cell r="K11">
            <v>40.51910774015299</v>
          </cell>
        </row>
        <row r="12">
          <cell r="G12">
            <v>32.769498012280991</v>
          </cell>
          <cell r="H12">
            <v>35.621706780675396</v>
          </cell>
          <cell r="I12">
            <v>36.758536149762435</v>
          </cell>
          <cell r="J12">
            <v>37.713470162729301</v>
          </cell>
          <cell r="K12">
            <v>40.680121663887618</v>
          </cell>
        </row>
        <row r="13">
          <cell r="G13">
            <v>30.657170760188635</v>
          </cell>
          <cell r="H13">
            <v>35.717675174708432</v>
          </cell>
          <cell r="I13">
            <v>36.333759474921919</v>
          </cell>
          <cell r="J13">
            <v>37.766127591439783</v>
          </cell>
          <cell r="K13">
            <v>40.922206671589279</v>
          </cell>
        </row>
        <row r="14">
          <cell r="G14">
            <v>30.50531096808583</v>
          </cell>
          <cell r="H14">
            <v>36.346784297834823</v>
          </cell>
          <cell r="I14">
            <v>36.539072994513774</v>
          </cell>
          <cell r="J14">
            <v>38.083918560306323</v>
          </cell>
          <cell r="K14">
            <v>41.327597919779762</v>
          </cell>
        </row>
        <row r="15">
          <cell r="G15">
            <v>31.509351450444949</v>
          </cell>
          <cell r="H15">
            <v>37.016912746202294</v>
          </cell>
          <cell r="I15">
            <v>36.990656864902597</v>
          </cell>
          <cell r="J15">
            <v>38.405649867671698</v>
          </cell>
          <cell r="K15">
            <v>41.738753927944131</v>
          </cell>
        </row>
        <row r="16">
          <cell r="G16">
            <v>33.559456014432918</v>
          </cell>
          <cell r="H16">
            <v>37.421052107719092</v>
          </cell>
          <cell r="I16">
            <v>37.717417539038742</v>
          </cell>
          <cell r="J16">
            <v>38.947072253025816</v>
          </cell>
          <cell r="K16">
            <v>42.308125621937535</v>
          </cell>
        </row>
        <row r="17">
          <cell r="G17">
            <v>35.725877632688821</v>
          </cell>
          <cell r="H17">
            <v>38.289783445491807</v>
          </cell>
          <cell r="I17">
            <v>38.463998466410644</v>
          </cell>
          <cell r="J17">
            <v>39.724472078198318</v>
          </cell>
          <cell r="K17">
            <v>42.956860389266296</v>
          </cell>
        </row>
        <row r="18">
          <cell r="G18">
            <v>38.790642206163234</v>
          </cell>
          <cell r="H18">
            <v>38.857410330192721</v>
          </cell>
          <cell r="I18">
            <v>39.47951472076722</v>
          </cell>
          <cell r="J18">
            <v>40.405783680978011</v>
          </cell>
          <cell r="K18">
            <v>43.553530611315836</v>
          </cell>
        </row>
        <row r="19">
          <cell r="G19">
            <v>41.47596482914377</v>
          </cell>
          <cell r="H19">
            <v>39.356659694718637</v>
          </cell>
          <cell r="I19">
            <v>40.345445323778925</v>
          </cell>
          <cell r="J19">
            <v>41.111163202134179</v>
          </cell>
          <cell r="K19">
            <v>44.192947553400963</v>
          </cell>
        </row>
        <row r="20">
          <cell r="G20">
            <v>43.125728735241466</v>
          </cell>
          <cell r="H20">
            <v>39.778632091332994</v>
          </cell>
          <cell r="I20">
            <v>40.866174277162706</v>
          </cell>
          <cell r="J20">
            <v>41.840826452422597</v>
          </cell>
          <cell r="K20">
            <v>44.795934269737621</v>
          </cell>
        </row>
        <row r="21">
          <cell r="G21">
            <v>42461</v>
          </cell>
          <cell r="H21">
            <v>42491</v>
          </cell>
          <cell r="I21">
            <v>42522</v>
          </cell>
          <cell r="J21">
            <v>42552</v>
          </cell>
          <cell r="K21">
            <v>42583</v>
          </cell>
        </row>
      </sheetData>
      <sheetData sheetId="20">
        <row r="8">
          <cell r="G8">
            <v>37.988656758036797</v>
          </cell>
          <cell r="H8">
            <v>31.659332495529341</v>
          </cell>
          <cell r="I8">
            <v>28.103665210699692</v>
          </cell>
          <cell r="J8">
            <v>27.048746185210447</v>
          </cell>
          <cell r="K8">
            <v>26.225856372042301</v>
          </cell>
        </row>
        <row r="9">
          <cell r="G9">
            <v>38.365682995593353</v>
          </cell>
          <cell r="H9">
            <v>30.190324603382027</v>
          </cell>
          <cell r="I9">
            <v>27.242409573804384</v>
          </cell>
          <cell r="J9">
            <v>26.43851200679612</v>
          </cell>
          <cell r="K9">
            <v>25.868739525455219</v>
          </cell>
        </row>
        <row r="10">
          <cell r="G10">
            <v>36.059103184466373</v>
          </cell>
          <cell r="H10">
            <v>28.695749739764416</v>
          </cell>
          <cell r="I10">
            <v>26.495730045952733</v>
          </cell>
          <cell r="J10">
            <v>25.794778957591966</v>
          </cell>
          <cell r="K10">
            <v>25.492274565513462</v>
          </cell>
        </row>
        <row r="11">
          <cell r="G11">
            <v>33.67957351553612</v>
          </cell>
          <cell r="H11">
            <v>27.230413949880436</v>
          </cell>
          <cell r="I11">
            <v>25.772167785842573</v>
          </cell>
          <cell r="J11">
            <v>25.145041682758407</v>
          </cell>
          <cell r="K11">
            <v>25.111162910819505</v>
          </cell>
        </row>
        <row r="12">
          <cell r="G12">
            <v>31.04892978692229</v>
          </cell>
          <cell r="H12">
            <v>25.880962452359778</v>
          </cell>
          <cell r="I12">
            <v>25.015180961701812</v>
          </cell>
          <cell r="J12">
            <v>24.558177500926263</v>
          </cell>
          <cell r="K12">
            <v>24.771381166887213</v>
          </cell>
        </row>
        <row r="13">
          <cell r="G13">
            <v>28.172847622282188</v>
          </cell>
          <cell r="H13">
            <v>24.404025229815005</v>
          </cell>
          <cell r="I13">
            <v>24.17603238533308</v>
          </cell>
          <cell r="J13">
            <v>23.91895209432505</v>
          </cell>
          <cell r="K13">
            <v>24.399258721011027</v>
          </cell>
        </row>
        <row r="14">
          <cell r="G14">
            <v>24.920452217788</v>
          </cell>
          <cell r="H14">
            <v>22.991631269624474</v>
          </cell>
          <cell r="I14">
            <v>23.242489441063405</v>
          </cell>
          <cell r="J14">
            <v>23.302251725869084</v>
          </cell>
          <cell r="K14">
            <v>24.033558839284115</v>
          </cell>
        </row>
        <row r="15">
          <cell r="G15">
            <v>21.501915475835617</v>
          </cell>
          <cell r="H15">
            <v>21.494591299725101</v>
          </cell>
          <cell r="I15">
            <v>22.296502803663842</v>
          </cell>
          <cell r="J15">
            <v>22.654602167654907</v>
          </cell>
          <cell r="K15">
            <v>23.650074531933281</v>
          </cell>
        </row>
        <row r="16">
          <cell r="G16">
            <v>21.271414100664014</v>
          </cell>
          <cell r="H16">
            <v>21.68157869638366</v>
          </cell>
          <cell r="I16">
            <v>22.347328403506488</v>
          </cell>
          <cell r="J16">
            <v>22.827779837566233</v>
          </cell>
          <cell r="K16">
            <v>24.033251781392746</v>
          </cell>
        </row>
        <row r="17">
          <cell r="G17">
            <v>20.952632620594024</v>
          </cell>
          <cell r="H17">
            <v>21.859273796890221</v>
          </cell>
          <cell r="I17">
            <v>22.345307354487051</v>
          </cell>
          <cell r="J17">
            <v>22.990923179963435</v>
          </cell>
          <cell r="K17">
            <v>24.403117211074868</v>
          </cell>
        </row>
        <row r="18">
          <cell r="G18">
            <v>20.91728212887633</v>
          </cell>
          <cell r="H18">
            <v>22.058498925698476</v>
          </cell>
          <cell r="I18">
            <v>22.452341216649806</v>
          </cell>
          <cell r="J18">
            <v>23.165878817317434</v>
          </cell>
          <cell r="K18">
            <v>24.797343054312499</v>
          </cell>
        </row>
        <row r="19">
          <cell r="G19">
            <v>20.86534182668991</v>
          </cell>
          <cell r="H19">
            <v>22.239665363530598</v>
          </cell>
          <cell r="I19">
            <v>22.559590934586105</v>
          </cell>
          <cell r="J19">
            <v>23.337065874659221</v>
          </cell>
          <cell r="K19">
            <v>25.159726618813469</v>
          </cell>
        </row>
        <row r="20">
          <cell r="G20">
            <v>21.169916843935635</v>
          </cell>
          <cell r="H20">
            <v>22.428013105679689</v>
          </cell>
          <cell r="I20">
            <v>22.783433026919191</v>
          </cell>
          <cell r="J20">
            <v>23.503303685666385</v>
          </cell>
          <cell r="K20">
            <v>25.544460827920521</v>
          </cell>
        </row>
        <row r="21">
          <cell r="G21">
            <v>42461</v>
          </cell>
          <cell r="H21">
            <v>42491</v>
          </cell>
          <cell r="I21">
            <v>42522</v>
          </cell>
          <cell r="J21">
            <v>42552</v>
          </cell>
          <cell r="K21">
            <v>42583</v>
          </cell>
        </row>
      </sheetData>
      <sheetData sheetId="21">
        <row r="8">
          <cell r="G8">
            <v>23.088224454265688</v>
          </cell>
          <cell r="H8">
            <v>20.164658047997523</v>
          </cell>
          <cell r="I8">
            <v>19.708928413872492</v>
          </cell>
          <cell r="J8">
            <v>20.154050565149966</v>
          </cell>
          <cell r="K8">
            <v>21.438881848148842</v>
          </cell>
        </row>
        <row r="9">
          <cell r="G9">
            <v>22.728167235719152</v>
          </cell>
          <cell r="H9">
            <v>19.820010235397213</v>
          </cell>
          <cell r="I9">
            <v>19.382459629588787</v>
          </cell>
          <cell r="J9">
            <v>20.20790896648262</v>
          </cell>
          <cell r="K9">
            <v>21.514199380050623</v>
          </cell>
        </row>
        <row r="10">
          <cell r="G10">
            <v>21.592490307513557</v>
          </cell>
          <cell r="H10">
            <v>19.481767660729012</v>
          </cell>
          <cell r="I10">
            <v>19.341807533352988</v>
          </cell>
          <cell r="J10">
            <v>20.279282994316777</v>
          </cell>
          <cell r="K10">
            <v>21.605122687003924</v>
          </cell>
        </row>
        <row r="11">
          <cell r="G11">
            <v>20.249701992075494</v>
          </cell>
          <cell r="H11">
            <v>19.138422562430438</v>
          </cell>
          <cell r="I11">
            <v>19.245883630043796</v>
          </cell>
          <cell r="J11">
            <v>20.340030881814933</v>
          </cell>
          <cell r="K11">
            <v>21.689826546891251</v>
          </cell>
        </row>
        <row r="12">
          <cell r="G12">
            <v>19.189180913033937</v>
          </cell>
          <cell r="H12">
            <v>18.825822873543789</v>
          </cell>
          <cell r="I12">
            <v>19.202709992315629</v>
          </cell>
          <cell r="J12">
            <v>20.40044694874036</v>
          </cell>
          <cell r="K12">
            <v>21.770234908890195</v>
          </cell>
        </row>
        <row r="13">
          <cell r="G13">
            <v>18.351634626300044</v>
          </cell>
          <cell r="H13">
            <v>18.486764848840515</v>
          </cell>
          <cell r="I13">
            <v>19.210024100929633</v>
          </cell>
          <cell r="J13">
            <v>20.471364771469659</v>
          </cell>
          <cell r="K13">
            <v>21.861544297986768</v>
          </cell>
        </row>
        <row r="14">
          <cell r="G14">
            <v>17.703463778087631</v>
          </cell>
          <cell r="H14">
            <v>18.160447160123827</v>
          </cell>
          <cell r="I14">
            <v>19.283475823160945</v>
          </cell>
          <cell r="J14">
            <v>20.533962424945759</v>
          </cell>
          <cell r="K14">
            <v>21.939904152178407</v>
          </cell>
        </row>
        <row r="15">
          <cell r="G15">
            <v>17.220328925119375</v>
          </cell>
          <cell r="H15">
            <v>17.799804453867591</v>
          </cell>
          <cell r="I15">
            <v>19.427844672063006</v>
          </cell>
          <cell r="J15">
            <v>20.592400709929905</v>
          </cell>
          <cell r="K15">
            <v>22.019311980776322</v>
          </cell>
        </row>
        <row r="16">
          <cell r="G16">
            <v>17.487482972304722</v>
          </cell>
          <cell r="H16">
            <v>18.247132706516744</v>
          </cell>
          <cell r="I16">
            <v>19.856909117801322</v>
          </cell>
          <cell r="J16">
            <v>20.876495018893372</v>
          </cell>
          <cell r="K16">
            <v>22.46302752540921</v>
          </cell>
        </row>
        <row r="17">
          <cell r="G17">
            <v>17.977525525512508</v>
          </cell>
          <cell r="H17">
            <v>18.731799311937557</v>
          </cell>
          <cell r="I17">
            <v>20.371101906564174</v>
          </cell>
          <cell r="J17">
            <v>21.174813711416434</v>
          </cell>
          <cell r="K17">
            <v>22.928694580542842</v>
          </cell>
        </row>
        <row r="18">
          <cell r="G18">
            <v>18.405618714639946</v>
          </cell>
          <cell r="H18">
            <v>19.209963951896338</v>
          </cell>
          <cell r="I18">
            <v>20.844544138555975</v>
          </cell>
          <cell r="J18">
            <v>21.476683230117509</v>
          </cell>
          <cell r="K18">
            <v>23.401503119723003</v>
          </cell>
        </row>
        <row r="19">
          <cell r="G19">
            <v>18.646425275528021</v>
          </cell>
          <cell r="H19">
            <v>19.675348156294309</v>
          </cell>
          <cell r="I19">
            <v>21.259423265023795</v>
          </cell>
          <cell r="J19">
            <v>21.784141669838547</v>
          </cell>
          <cell r="K19">
            <v>23.866564695440804</v>
          </cell>
        </row>
        <row r="20">
          <cell r="G20">
            <v>18.706303359876358</v>
          </cell>
          <cell r="H20">
            <v>20.143417115312925</v>
          </cell>
          <cell r="I20">
            <v>21.592431287587431</v>
          </cell>
          <cell r="J20">
            <v>22.077557167022579</v>
          </cell>
          <cell r="K20">
            <v>24.327845764354635</v>
          </cell>
        </row>
        <row r="21">
          <cell r="G21">
            <v>42461</v>
          </cell>
          <cell r="H21">
            <v>42491</v>
          </cell>
          <cell r="I21">
            <v>42522</v>
          </cell>
          <cell r="J21">
            <v>42552</v>
          </cell>
          <cell r="K21">
            <v>42583</v>
          </cell>
        </row>
      </sheetData>
      <sheetData sheetId="22">
        <row r="8">
          <cell r="G8">
            <v>35.076465759098632</v>
          </cell>
          <cell r="H8">
            <v>32.792819103644547</v>
          </cell>
          <cell r="I8">
            <v>32.238558915071174</v>
          </cell>
          <cell r="J8">
            <v>32.971612290959577</v>
          </cell>
          <cell r="K8">
            <v>34.535847926005921</v>
          </cell>
        </row>
        <row r="9">
          <cell r="G9">
            <v>35.317335441513571</v>
          </cell>
          <cell r="H9">
            <v>32.473377677519736</v>
          </cell>
          <cell r="I9">
            <v>32.064425114600212</v>
          </cell>
          <cell r="J9">
            <v>33.066791491877005</v>
          </cell>
          <cell r="K9">
            <v>34.65014371112995</v>
          </cell>
        </row>
        <row r="10">
          <cell r="G10">
            <v>34.857657149932024</v>
          </cell>
          <cell r="H10">
            <v>32.177548726026707</v>
          </cell>
          <cell r="I10">
            <v>32.259039382561113</v>
          </cell>
          <cell r="J10">
            <v>33.193334953290524</v>
          </cell>
          <cell r="K10">
            <v>34.794490842374337</v>
          </cell>
        </row>
        <row r="11">
          <cell r="G11">
            <v>33.687972901181681</v>
          </cell>
          <cell r="H11">
            <v>31.828637215910948</v>
          </cell>
          <cell r="I11">
            <v>32.251318038076533</v>
          </cell>
          <cell r="J11">
            <v>33.28255499430221</v>
          </cell>
          <cell r="K11">
            <v>34.918945334743348</v>
          </cell>
        </row>
        <row r="12">
          <cell r="G12">
            <v>32.371394467821816</v>
          </cell>
          <cell r="H12">
            <v>31.518571308982509</v>
          </cell>
          <cell r="I12">
            <v>32.185117130522883</v>
          </cell>
          <cell r="J12">
            <v>33.375209541542446</v>
          </cell>
          <cell r="K12">
            <v>35.02706286466843</v>
          </cell>
        </row>
        <row r="13">
          <cell r="G13">
            <v>31.416932356229616</v>
          </cell>
          <cell r="H13">
            <v>31.17067493035686</v>
          </cell>
          <cell r="I13">
            <v>32.221515698086499</v>
          </cell>
          <cell r="J13">
            <v>33.479605823425004</v>
          </cell>
          <cell r="K13">
            <v>35.162180020978923</v>
          </cell>
        </row>
        <row r="14">
          <cell r="G14">
            <v>30.6167485912441</v>
          </cell>
          <cell r="H14">
            <v>30.84936200154559</v>
          </cell>
          <cell r="I14">
            <v>32.291058184094716</v>
          </cell>
          <cell r="J14">
            <v>33.571189515877116</v>
          </cell>
          <cell r="K14">
            <v>35.272593669988161</v>
          </cell>
        </row>
        <row r="15">
          <cell r="G15">
            <v>29.749629802842602</v>
          </cell>
          <cell r="H15">
            <v>30.468735268241847</v>
          </cell>
          <cell r="I15">
            <v>32.336486998860444</v>
          </cell>
          <cell r="J15">
            <v>33.650700793903916</v>
          </cell>
          <cell r="K15">
            <v>35.375917468763859</v>
          </cell>
        </row>
        <row r="16">
          <cell r="G16">
            <v>29.660421288977744</v>
          </cell>
          <cell r="H16">
            <v>30.99717838585542</v>
          </cell>
          <cell r="I16">
            <v>32.660238141389591</v>
          </cell>
          <cell r="J16">
            <v>33.998623747780321</v>
          </cell>
          <cell r="K16">
            <v>35.897375384197424</v>
          </cell>
        </row>
        <row r="17">
          <cell r="G17">
            <v>30.030348037185444</v>
          </cell>
          <cell r="H17">
            <v>31.542975951876848</v>
          </cell>
          <cell r="I17">
            <v>33.150103490500314</v>
          </cell>
          <cell r="J17">
            <v>34.346400996995989</v>
          </cell>
          <cell r="K17">
            <v>36.425378690001331</v>
          </cell>
        </row>
        <row r="18">
          <cell r="G18">
            <v>30.637958087876086</v>
          </cell>
          <cell r="H18">
            <v>32.090489413273396</v>
          </cell>
          <cell r="I18">
            <v>33.71712899942753</v>
          </cell>
          <cell r="J18">
            <v>34.704392175589113</v>
          </cell>
          <cell r="K18">
            <v>36.971544155478831</v>
          </cell>
        </row>
        <row r="19">
          <cell r="G19">
            <v>30.915333082875602</v>
          </cell>
          <cell r="H19">
            <v>32.631475770870146</v>
          </cell>
          <cell r="I19">
            <v>34.184518380244711</v>
          </cell>
          <cell r="J19">
            <v>35.075387228151541</v>
          </cell>
          <cell r="K19">
            <v>37.493012130946902</v>
          </cell>
        </row>
        <row r="20">
          <cell r="G20">
            <v>31.095095762592862</v>
          </cell>
          <cell r="H20">
            <v>33.150932161564647</v>
          </cell>
          <cell r="I20">
            <v>34.592363129967325</v>
          </cell>
          <cell r="J20">
            <v>35.410064693883555</v>
          </cell>
          <cell r="K20">
            <v>38.004825572474147</v>
          </cell>
        </row>
        <row r="21">
          <cell r="G21">
            <v>42461</v>
          </cell>
          <cell r="H21">
            <v>42491</v>
          </cell>
          <cell r="I21">
            <v>42522</v>
          </cell>
          <cell r="J21">
            <v>42552</v>
          </cell>
          <cell r="K21">
            <v>42583</v>
          </cell>
        </row>
      </sheetData>
      <sheetData sheetId="23">
        <row r="8">
          <cell r="G8">
            <v>40.667939354578472</v>
          </cell>
          <cell r="H8">
            <v>37.889452438076916</v>
          </cell>
          <cell r="I8">
            <v>38.719684945592689</v>
          </cell>
          <cell r="J8">
            <v>37.802944879975648</v>
          </cell>
          <cell r="K8">
            <v>39.188617849202494</v>
          </cell>
        </row>
        <row r="9">
          <cell r="G9">
            <v>40.443590914392345</v>
          </cell>
          <cell r="H9">
            <v>37.853323955027925</v>
          </cell>
          <cell r="I9">
            <v>38.517748865232363</v>
          </cell>
          <cell r="J9">
            <v>37.780463089615978</v>
          </cell>
          <cell r="K9">
            <v>39.42758829906586</v>
          </cell>
        </row>
        <row r="10">
          <cell r="G10">
            <v>39.484322516054704</v>
          </cell>
          <cell r="H10">
            <v>37.925947775316089</v>
          </cell>
          <cell r="I10">
            <v>38.208119841864786</v>
          </cell>
          <cell r="J10">
            <v>37.813977888290346</v>
          </cell>
          <cell r="K10">
            <v>39.722458236958836</v>
          </cell>
        </row>
        <row r="11">
          <cell r="G11">
            <v>37.958868987274123</v>
          </cell>
          <cell r="H11">
            <v>37.959523559069211</v>
          </cell>
          <cell r="I11">
            <v>37.737151054142117</v>
          </cell>
          <cell r="J11">
            <v>37.839015314912018</v>
          </cell>
          <cell r="K11">
            <v>40.014233449136775</v>
          </cell>
        </row>
        <row r="12">
          <cell r="G12">
            <v>36.720026110960163</v>
          </cell>
          <cell r="H12">
            <v>37.976455228247012</v>
          </cell>
          <cell r="I12">
            <v>37.319394832705363</v>
          </cell>
          <cell r="J12">
            <v>37.857142979255983</v>
          </cell>
          <cell r="K12">
            <v>40.272711983444843</v>
          </cell>
        </row>
        <row r="13">
          <cell r="G13">
            <v>35.915328841293686</v>
          </cell>
          <cell r="H13">
            <v>37.957594995474281</v>
          </cell>
          <cell r="I13">
            <v>37.046772147979581</v>
          </cell>
          <cell r="J13">
            <v>37.863855734480033</v>
          </cell>
          <cell r="K13">
            <v>40.527379912771565</v>
          </cell>
        </row>
        <row r="14">
          <cell r="G14">
            <v>35.558141586190388</v>
          </cell>
          <cell r="H14">
            <v>37.827500981293312</v>
          </cell>
          <cell r="I14">
            <v>36.954153560480748</v>
          </cell>
          <cell r="J14">
            <v>37.815250109126247</v>
          </cell>
          <cell r="K14">
            <v>40.731055572624904</v>
          </cell>
        </row>
        <row r="15">
          <cell r="G15">
            <v>35.56174768561511</v>
          </cell>
          <cell r="H15">
            <v>37.610881179970363</v>
          </cell>
          <cell r="I15">
            <v>36.963100625792443</v>
          </cell>
          <cell r="J15">
            <v>37.720866801374882</v>
          </cell>
          <cell r="K15">
            <v>40.913814877740172</v>
          </cell>
        </row>
        <row r="16">
          <cell r="G16">
            <v>36.469612473656497</v>
          </cell>
          <cell r="H16">
            <v>37.59056737571143</v>
          </cell>
          <cell r="I16">
            <v>37.281664592348072</v>
          </cell>
          <cell r="J16">
            <v>38.115884441239821</v>
          </cell>
          <cell r="K16">
            <v>41.317667956931977</v>
          </cell>
        </row>
        <row r="17">
          <cell r="G17">
            <v>37.960191401355672</v>
          </cell>
          <cell r="H17">
            <v>37.624898558644908</v>
          </cell>
          <cell r="I17">
            <v>37.798506748051004</v>
          </cell>
          <cell r="J17">
            <v>38.541562792980329</v>
          </cell>
          <cell r="K17">
            <v>41.761584288753745</v>
          </cell>
        </row>
        <row r="18">
          <cell r="G18">
            <v>39.39215674888095</v>
          </cell>
          <cell r="H18">
            <v>37.636920429462485</v>
          </cell>
          <cell r="I18">
            <v>38.266340591357881</v>
          </cell>
          <cell r="J18">
            <v>38.964251732159553</v>
          </cell>
          <cell r="K18">
            <v>42.195371286979437</v>
          </cell>
        </row>
        <row r="19">
          <cell r="G19">
            <v>40.359197147832042</v>
          </cell>
          <cell r="H19">
            <v>37.65888839664936</v>
          </cell>
          <cell r="I19">
            <v>38.584380779529525</v>
          </cell>
          <cell r="J19">
            <v>39.395500508571594</v>
          </cell>
          <cell r="K19">
            <v>42.634767417789774</v>
          </cell>
        </row>
        <row r="20">
          <cell r="G20">
            <v>40.554299825535061</v>
          </cell>
          <cell r="H20">
            <v>37.716110681828361</v>
          </cell>
          <cell r="I20">
            <v>38.660915414755735</v>
          </cell>
          <cell r="J20">
            <v>39.839832878234716</v>
          </cell>
          <cell r="K20">
            <v>43.061179109697484</v>
          </cell>
        </row>
        <row r="21">
          <cell r="G21">
            <v>42461</v>
          </cell>
          <cell r="H21">
            <v>42491</v>
          </cell>
          <cell r="I21">
            <v>42522</v>
          </cell>
          <cell r="J21">
            <v>42552</v>
          </cell>
          <cell r="K21">
            <v>42583</v>
          </cell>
        </row>
      </sheetData>
      <sheetData sheetId="24">
        <row r="8">
          <cell r="G8">
            <v>20.484799310619522</v>
          </cell>
          <cell r="H8">
            <v>20.114495701422438</v>
          </cell>
          <cell r="I8">
            <v>19.006310403009113</v>
          </cell>
          <cell r="J8">
            <v>20.16126746714432</v>
          </cell>
          <cell r="K8">
            <v>21.575391868833862</v>
          </cell>
        </row>
        <row r="9">
          <cell r="G9">
            <v>21.227635270294261</v>
          </cell>
          <cell r="H9">
            <v>19.799835496126796</v>
          </cell>
          <cell r="I9">
            <v>19.015028419157609</v>
          </cell>
          <cell r="J9">
            <v>20.241323919958973</v>
          </cell>
          <cell r="K9">
            <v>21.686495890866855</v>
          </cell>
        </row>
        <row r="10">
          <cell r="G10">
            <v>20.552792861983704</v>
          </cell>
          <cell r="H10">
            <v>19.453592248052065</v>
          </cell>
          <cell r="I10">
            <v>19.08753796918035</v>
          </cell>
          <cell r="J10">
            <v>20.319171383579814</v>
          </cell>
          <cell r="K10">
            <v>21.799547083423374</v>
          </cell>
        </row>
        <row r="11">
          <cell r="G11">
            <v>20.859423934617087</v>
          </cell>
          <cell r="H11">
            <v>19.130880478690599</v>
          </cell>
          <cell r="I11">
            <v>19.479038454220774</v>
          </cell>
          <cell r="J11">
            <v>20.380959248205066</v>
          </cell>
          <cell r="K11">
            <v>21.886026883108563</v>
          </cell>
        </row>
        <row r="12">
          <cell r="G12">
            <v>20.632402363389577</v>
          </cell>
          <cell r="H12">
            <v>18.825963576261195</v>
          </cell>
          <cell r="I12">
            <v>19.713176632530342</v>
          </cell>
          <cell r="J12">
            <v>20.455284620920793</v>
          </cell>
          <cell r="K12">
            <v>21.992586413508285</v>
          </cell>
        </row>
        <row r="13">
          <cell r="G13">
            <v>21.326907070860685</v>
          </cell>
          <cell r="H13">
            <v>18.484368605686122</v>
          </cell>
          <cell r="I13">
            <v>20.23092609860355</v>
          </cell>
          <cell r="J13">
            <v>20.530277315012984</v>
          </cell>
          <cell r="K13">
            <v>22.115402281015026</v>
          </cell>
        </row>
        <row r="14">
          <cell r="G14">
            <v>19.677995199798499</v>
          </cell>
          <cell r="H14">
            <v>18.202135138411776</v>
          </cell>
          <cell r="I14">
            <v>20.041052304807327</v>
          </cell>
          <cell r="J14">
            <v>20.638996201614422</v>
          </cell>
          <cell r="K14">
            <v>22.236453753315274</v>
          </cell>
        </row>
        <row r="15">
          <cell r="G15">
            <v>18.253531764027485</v>
          </cell>
          <cell r="H15">
            <v>17.860146685566058</v>
          </cell>
          <cell r="I15">
            <v>19.894121785674429</v>
          </cell>
          <cell r="J15">
            <v>20.713259896312646</v>
          </cell>
          <cell r="K15">
            <v>22.332758857513525</v>
          </cell>
        </row>
        <row r="16">
          <cell r="G16">
            <v>18.344855911910145</v>
          </cell>
          <cell r="H16">
            <v>18.349608126289493</v>
          </cell>
          <cell r="I16">
            <v>20.240666625570473</v>
          </cell>
          <cell r="J16">
            <v>21.042422159933647</v>
          </cell>
          <cell r="K16">
            <v>22.839380030944355</v>
          </cell>
        </row>
        <row r="17">
          <cell r="G17">
            <v>17.518430589923753</v>
          </cell>
          <cell r="H17">
            <v>18.810342910306098</v>
          </cell>
          <cell r="I17">
            <v>20.228475128447897</v>
          </cell>
          <cell r="J17">
            <v>21.375217419846695</v>
          </cell>
          <cell r="K17">
            <v>23.321870947495839</v>
          </cell>
        </row>
        <row r="18">
          <cell r="G18">
            <v>17.232545825989359</v>
          </cell>
          <cell r="H18">
            <v>19.282094647527511</v>
          </cell>
          <cell r="I18">
            <v>20.401074140512144</v>
          </cell>
          <cell r="J18">
            <v>21.69133724849036</v>
          </cell>
          <cell r="K18">
            <v>23.826302291897907</v>
          </cell>
        </row>
        <row r="19">
          <cell r="G19">
            <v>16.427522019365469</v>
          </cell>
          <cell r="H19">
            <v>19.769823754053537</v>
          </cell>
          <cell r="I19">
            <v>20.318505855761959</v>
          </cell>
          <cell r="J19">
            <v>22.022546875379913</v>
          </cell>
          <cell r="K19">
            <v>24.304386099098583</v>
          </cell>
        </row>
        <row r="20">
          <cell r="G20">
            <v>16.93766415010483</v>
          </cell>
          <cell r="H20">
            <v>20.208176775187557</v>
          </cell>
          <cell r="I20">
            <v>20.927081851076817</v>
          </cell>
          <cell r="J20">
            <v>22.308095650953632</v>
          </cell>
          <cell r="K20">
            <v>24.779453685698602</v>
          </cell>
        </row>
        <row r="21">
          <cell r="G21">
            <v>42461</v>
          </cell>
          <cell r="H21">
            <v>42491</v>
          </cell>
          <cell r="I21">
            <v>42522</v>
          </cell>
          <cell r="J21">
            <v>42552</v>
          </cell>
          <cell r="K21">
            <v>42583</v>
          </cell>
        </row>
      </sheetData>
      <sheetData sheetId="25">
        <row r="8">
          <cell r="G8">
            <v>31.571325009059144</v>
          </cell>
          <cell r="H8">
            <v>29.05419744365927</v>
          </cell>
          <cell r="I8">
            <v>28.752521471041664</v>
          </cell>
          <cell r="J8">
            <v>29.373085943317086</v>
          </cell>
          <cell r="K8">
            <v>31.616813225002282</v>
          </cell>
        </row>
        <row r="9">
          <cell r="G9">
            <v>31.938145773362344</v>
          </cell>
          <cell r="H9">
            <v>28.776419725694222</v>
          </cell>
          <cell r="I9">
            <v>28.652203680093901</v>
          </cell>
          <cell r="J9">
            <v>29.479234087142473</v>
          </cell>
          <cell r="K9">
            <v>31.873602053615368</v>
          </cell>
        </row>
        <row r="10">
          <cell r="G10">
            <v>31.065600738550849</v>
          </cell>
          <cell r="H10">
            <v>28.509892554344972</v>
          </cell>
          <cell r="I10">
            <v>28.707612134151208</v>
          </cell>
          <cell r="J10">
            <v>29.610507898379876</v>
          </cell>
          <cell r="K10">
            <v>32.161180307412494</v>
          </cell>
        </row>
        <row r="11">
          <cell r="G11">
            <v>29.765018168529881</v>
          </cell>
          <cell r="H11">
            <v>28.22041254704617</v>
          </cell>
          <cell r="I11">
            <v>28.65424588052857</v>
          </cell>
          <cell r="J11">
            <v>29.716212896332546</v>
          </cell>
          <cell r="K11">
            <v>32.428747871153419</v>
          </cell>
        </row>
        <row r="12">
          <cell r="G12">
            <v>28.623033285784956</v>
          </cell>
          <cell r="H12">
            <v>27.956165213561682</v>
          </cell>
          <cell r="I12">
            <v>28.629860101837256</v>
          </cell>
          <cell r="J12">
            <v>29.823680616680452</v>
          </cell>
          <cell r="K12">
            <v>32.680363717164553</v>
          </cell>
        </row>
        <row r="13">
          <cell r="G13">
            <v>27.63342025313495</v>
          </cell>
          <cell r="H13">
            <v>27.670060087728036</v>
          </cell>
          <cell r="I13">
            <v>28.639707417985857</v>
          </cell>
          <cell r="J13">
            <v>29.946600934259767</v>
          </cell>
          <cell r="K13">
            <v>32.963600390809241</v>
          </cell>
        </row>
        <row r="14">
          <cell r="G14">
            <v>26.753142488582156</v>
          </cell>
          <cell r="H14">
            <v>27.402168839873337</v>
          </cell>
          <cell r="I14">
            <v>28.682551193645647</v>
          </cell>
          <cell r="J14">
            <v>30.058935993389444</v>
          </cell>
          <cell r="K14">
            <v>33.218619534085995</v>
          </cell>
        </row>
        <row r="15">
          <cell r="G15">
            <v>25.914337500220274</v>
          </cell>
          <cell r="H15">
            <v>27.086429912298172</v>
          </cell>
          <cell r="I15">
            <v>28.71180341917302</v>
          </cell>
          <cell r="J15">
            <v>30.164923624831669</v>
          </cell>
          <cell r="K15">
            <v>33.480464544404235</v>
          </cell>
        </row>
        <row r="16">
          <cell r="G16">
            <v>26.167145201103132</v>
          </cell>
          <cell r="H16">
            <v>27.577919663537866</v>
          </cell>
          <cell r="I16">
            <v>29.152150662519468</v>
          </cell>
          <cell r="J16">
            <v>30.691446514543742</v>
          </cell>
          <cell r="K16">
            <v>33.966341817067899</v>
          </cell>
        </row>
        <row r="17">
          <cell r="G17">
            <v>26.727289605929482</v>
          </cell>
          <cell r="H17">
            <v>28.106947794507967</v>
          </cell>
          <cell r="I17">
            <v>29.700275729802986</v>
          </cell>
          <cell r="J17">
            <v>31.234011472858764</v>
          </cell>
          <cell r="K17">
            <v>34.464448240874887</v>
          </cell>
        </row>
        <row r="18">
          <cell r="G18">
            <v>27.26573210902934</v>
          </cell>
          <cell r="H18">
            <v>28.633331625587349</v>
          </cell>
          <cell r="I18">
            <v>30.233361172549756</v>
          </cell>
          <cell r="J18">
            <v>31.789587702899016</v>
          </cell>
          <cell r="K18">
            <v>34.983612558019395</v>
          </cell>
        </row>
        <row r="19">
          <cell r="G19">
            <v>27.708797223663005</v>
          </cell>
          <cell r="H19">
            <v>29.157166785966538</v>
          </cell>
          <cell r="I19">
            <v>30.747166121528529</v>
          </cell>
          <cell r="J19">
            <v>32.352220969531224</v>
          </cell>
          <cell r="K19">
            <v>35.489984384754798</v>
          </cell>
        </row>
        <row r="20">
          <cell r="G20">
            <v>28.116744624100896</v>
          </cell>
          <cell r="H20">
            <v>29.692648469301993</v>
          </cell>
          <cell r="I20">
            <v>31.23221455307986</v>
          </cell>
          <cell r="J20">
            <v>32.900728655628001</v>
          </cell>
          <cell r="K20">
            <v>35.995064296096885</v>
          </cell>
        </row>
        <row r="21">
          <cell r="G21">
            <v>42461</v>
          </cell>
          <cell r="H21">
            <v>42491</v>
          </cell>
          <cell r="I21">
            <v>42522</v>
          </cell>
          <cell r="J21">
            <v>42552</v>
          </cell>
          <cell r="K21">
            <v>42583</v>
          </cell>
        </row>
      </sheetData>
      <sheetData sheetId="26">
        <row r="8">
          <cell r="G8">
            <v>32.469589114171598</v>
          </cell>
          <cell r="H8">
            <v>29.960388844126811</v>
          </cell>
          <cell r="I8">
            <v>29.657161916312539</v>
          </cell>
          <cell r="J8">
            <v>30.28535888973105</v>
          </cell>
          <cell r="K8">
            <v>32.530369818186728</v>
          </cell>
        </row>
        <row r="9">
          <cell r="G9">
            <v>32.766914225852425</v>
          </cell>
          <cell r="H9">
            <v>29.688548286368931</v>
          </cell>
          <cell r="I9">
            <v>29.542572944476728</v>
          </cell>
          <cell r="J9">
            <v>30.391522607690082</v>
          </cell>
          <cell r="K9">
            <v>32.787837037984708</v>
          </cell>
        </row>
        <row r="10">
          <cell r="G10">
            <v>31.920534946351317</v>
          </cell>
          <cell r="H10">
            <v>29.41541968170802</v>
          </cell>
          <cell r="I10">
            <v>29.604904602539559</v>
          </cell>
          <cell r="J10">
            <v>30.516775040798493</v>
          </cell>
          <cell r="K10">
            <v>33.070095853316509</v>
          </cell>
        </row>
        <row r="11">
          <cell r="G11">
            <v>30.596678362694202</v>
          </cell>
          <cell r="H11">
            <v>29.131073864920321</v>
          </cell>
          <cell r="I11">
            <v>29.54220699399972</v>
          </cell>
          <cell r="J11">
            <v>30.627740262945206</v>
          </cell>
          <cell r="K11">
            <v>33.340454303959234</v>
          </cell>
        </row>
        <row r="12">
          <cell r="G12">
            <v>29.4790134490413</v>
          </cell>
          <cell r="H12">
            <v>28.86797183760158</v>
          </cell>
          <cell r="I12">
            <v>29.525877103552205</v>
          </cell>
          <cell r="J12">
            <v>30.735420804882491</v>
          </cell>
          <cell r="K12">
            <v>33.592726346913203</v>
          </cell>
        </row>
        <row r="13">
          <cell r="G13">
            <v>28.509699709101231</v>
          </cell>
          <cell r="H13">
            <v>28.582679553012284</v>
          </cell>
          <cell r="I13">
            <v>29.537289940459068</v>
          </cell>
          <cell r="J13">
            <v>30.855992212804587</v>
          </cell>
          <cell r="K13">
            <v>33.87154704801253</v>
          </cell>
        </row>
        <row r="14">
          <cell r="G14">
            <v>27.668479838678564</v>
          </cell>
          <cell r="H14">
            <v>28.310657652910578</v>
          </cell>
          <cell r="I14">
            <v>29.599533364720347</v>
          </cell>
          <cell r="J14">
            <v>30.969728730341885</v>
          </cell>
          <cell r="K14">
            <v>34.130277165031863</v>
          </cell>
        </row>
        <row r="15">
          <cell r="G15">
            <v>26.886003158026288</v>
          </cell>
          <cell r="H15">
            <v>28.00179457575587</v>
          </cell>
          <cell r="I15">
            <v>29.647447006241858</v>
          </cell>
          <cell r="J15">
            <v>31.079082605173685</v>
          </cell>
          <cell r="K15">
            <v>34.395159157626814</v>
          </cell>
        </row>
        <row r="16">
          <cell r="G16">
            <v>27.112683844919669</v>
          </cell>
          <cell r="H16">
            <v>28.493638345899495</v>
          </cell>
          <cell r="I16">
            <v>30.073876272452502</v>
          </cell>
          <cell r="J16">
            <v>31.603576600782461</v>
          </cell>
          <cell r="K16">
            <v>34.876709473365359</v>
          </cell>
        </row>
        <row r="17">
          <cell r="G17">
            <v>27.705118412109986</v>
          </cell>
          <cell r="H17">
            <v>29.020974730444749</v>
          </cell>
          <cell r="I17">
            <v>30.637924859604215</v>
          </cell>
          <cell r="J17">
            <v>32.149268087782723</v>
          </cell>
          <cell r="K17">
            <v>35.379778123260806</v>
          </cell>
        </row>
        <row r="18">
          <cell r="G18">
            <v>28.231711931982804</v>
          </cell>
          <cell r="H18">
            <v>29.549774360189385</v>
          </cell>
          <cell r="I18">
            <v>31.165619433482654</v>
          </cell>
          <cell r="J18">
            <v>32.705629543707175</v>
          </cell>
          <cell r="K18">
            <v>35.896425309301456</v>
          </cell>
        </row>
        <row r="19">
          <cell r="G19">
            <v>28.660189416617271</v>
          </cell>
          <cell r="H19">
            <v>30.066697980622166</v>
          </cell>
          <cell r="I19">
            <v>31.670051375676096</v>
          </cell>
          <cell r="J19">
            <v>33.261299306463989</v>
          </cell>
          <cell r="K19">
            <v>36.400789428037726</v>
          </cell>
        </row>
        <row r="20">
          <cell r="G20">
            <v>29.018048318125786</v>
          </cell>
          <cell r="H20">
            <v>30.611074787582972</v>
          </cell>
          <cell r="I20">
            <v>32.141726524679846</v>
          </cell>
          <cell r="J20">
            <v>33.817988018534336</v>
          </cell>
          <cell r="K20">
            <v>36.912759848178865</v>
          </cell>
        </row>
        <row r="21">
          <cell r="G21">
            <v>42461</v>
          </cell>
          <cell r="H21">
            <v>42491</v>
          </cell>
          <cell r="I21">
            <v>42522</v>
          </cell>
          <cell r="J21">
            <v>42552</v>
          </cell>
          <cell r="K21">
            <v>42583</v>
          </cell>
        </row>
      </sheetData>
      <sheetData sheetId="27">
        <row r="8">
          <cell r="G8">
            <v>36.643231960654219</v>
          </cell>
          <cell r="H8">
            <v>35.230184240298364</v>
          </cell>
          <cell r="I8">
            <v>35.716548566610328</v>
          </cell>
          <cell r="J8">
            <v>35.250221270024113</v>
          </cell>
          <cell r="K8">
            <v>35.474227514493002</v>
          </cell>
        </row>
        <row r="9">
          <cell r="G9">
            <v>37.136542723846482</v>
          </cell>
          <cell r="H9">
            <v>35.265883491462795</v>
          </cell>
          <cell r="I9">
            <v>35.856166330121624</v>
          </cell>
          <cell r="J9">
            <v>35.211139141533899</v>
          </cell>
          <cell r="K9">
            <v>35.495072239094405</v>
          </cell>
        </row>
        <row r="10">
          <cell r="G10">
            <v>37.099036180714847</v>
          </cell>
          <cell r="H10">
            <v>35.285714068902948</v>
          </cell>
          <cell r="I10">
            <v>35.835409937916204</v>
          </cell>
          <cell r="J10">
            <v>35.182603425648239</v>
          </cell>
          <cell r="K10">
            <v>35.530152933584091</v>
          </cell>
        </row>
        <row r="11">
          <cell r="G11">
            <v>36.097480274768976</v>
          </cell>
          <cell r="H11">
            <v>35.288372998554543</v>
          </cell>
          <cell r="I11">
            <v>35.535736536259932</v>
          </cell>
          <cell r="J11">
            <v>35.19441561977937</v>
          </cell>
          <cell r="K11">
            <v>35.581880003893779</v>
          </cell>
        </row>
        <row r="12">
          <cell r="G12">
            <v>35.182382348227513</v>
          </cell>
          <cell r="H12">
            <v>35.290232880729981</v>
          </cell>
          <cell r="I12">
            <v>35.246668570490641</v>
          </cell>
          <cell r="J12">
            <v>35.205590037938407</v>
          </cell>
          <cell r="K12">
            <v>35.629121975126068</v>
          </cell>
        </row>
        <row r="13">
          <cell r="G13">
            <v>34.405664734210987</v>
          </cell>
          <cell r="H13">
            <v>35.279123715287653</v>
          </cell>
          <cell r="I13">
            <v>34.984480832934707</v>
          </cell>
          <cell r="J13">
            <v>35.210825094001187</v>
          </cell>
          <cell r="K13">
            <v>35.673384441027487</v>
          </cell>
        </row>
        <row r="14">
          <cell r="G14">
            <v>33.944551513919109</v>
          </cell>
          <cell r="H14">
            <v>35.273663658718178</v>
          </cell>
          <cell r="I14">
            <v>34.813801598960424</v>
          </cell>
          <cell r="J14">
            <v>35.219643768318896</v>
          </cell>
          <cell r="K14">
            <v>35.717754478837278</v>
          </cell>
        </row>
        <row r="15">
          <cell r="G15">
            <v>33.586289736069126</v>
          </cell>
          <cell r="H15">
            <v>35.248907802280705</v>
          </cell>
          <cell r="I15">
            <v>34.615317953626828</v>
          </cell>
          <cell r="J15">
            <v>35.215989298888083</v>
          </cell>
          <cell r="K15">
            <v>35.753492179962315</v>
          </cell>
        </row>
        <row r="16">
          <cell r="G16">
            <v>33.666163717277492</v>
          </cell>
          <cell r="H16">
            <v>35.237997411997178</v>
          </cell>
          <cell r="I16">
            <v>34.592846437534725</v>
          </cell>
          <cell r="J16">
            <v>35.283108501042918</v>
          </cell>
          <cell r="K16">
            <v>36.086016032175095</v>
          </cell>
        </row>
        <row r="17">
          <cell r="G17">
            <v>34.524861328719567</v>
          </cell>
          <cell r="H17">
            <v>35.262267578696054</v>
          </cell>
          <cell r="I17">
            <v>34.905834816472392</v>
          </cell>
          <cell r="J17">
            <v>35.359044660615986</v>
          </cell>
          <cell r="K17">
            <v>36.45019904725261</v>
          </cell>
        </row>
        <row r="18">
          <cell r="G18">
            <v>35.400045076709503</v>
          </cell>
          <cell r="H18">
            <v>35.27909882381681</v>
          </cell>
          <cell r="I18">
            <v>35.213378378739534</v>
          </cell>
          <cell r="J18">
            <v>35.445430115285397</v>
          </cell>
          <cell r="K18">
            <v>36.810467245687398</v>
          </cell>
        </row>
        <row r="19">
          <cell r="G19">
            <v>36.205670411651461</v>
          </cell>
          <cell r="H19">
            <v>35.282494743653018</v>
          </cell>
          <cell r="I19">
            <v>35.488433648052144</v>
          </cell>
          <cell r="J19">
            <v>35.528486280392663</v>
          </cell>
          <cell r="K19">
            <v>37.165214795243237</v>
          </cell>
        </row>
        <row r="20">
          <cell r="G20">
            <v>36.744393697603591</v>
          </cell>
          <cell r="H20">
            <v>35.270318688424595</v>
          </cell>
          <cell r="I20">
            <v>35.671444850973195</v>
          </cell>
          <cell r="J20">
            <v>35.596089759180309</v>
          </cell>
          <cell r="K20">
            <v>37.513956703020853</v>
          </cell>
        </row>
        <row r="21">
          <cell r="G21">
            <v>42461</v>
          </cell>
          <cell r="H21">
            <v>42491</v>
          </cell>
          <cell r="I21">
            <v>42522</v>
          </cell>
          <cell r="J21">
            <v>42552</v>
          </cell>
          <cell r="K21">
            <v>42583</v>
          </cell>
        </row>
      </sheetData>
      <sheetData sheetId="28">
        <row r="8">
          <cell r="G8">
            <v>36.406136327210262</v>
          </cell>
          <cell r="H8">
            <v>34.21529218348239</v>
          </cell>
          <cell r="I8">
            <v>34.939515669283097</v>
          </cell>
          <cell r="J8">
            <v>34.235574248330188</v>
          </cell>
          <cell r="K8">
            <v>34.49957088917764</v>
          </cell>
        </row>
        <row r="9">
          <cell r="G9">
            <v>36.462596751386975</v>
          </cell>
          <cell r="H9">
            <v>34.232465538729826</v>
          </cell>
          <cell r="I9">
            <v>34.934222988076144</v>
          </cell>
          <cell r="J9">
            <v>34.217635972747971</v>
          </cell>
          <cell r="K9">
            <v>34.533353779812451</v>
          </cell>
        </row>
        <row r="10">
          <cell r="G10">
            <v>36.104936075700209</v>
          </cell>
          <cell r="H10">
            <v>34.272602644762593</v>
          </cell>
          <cell r="I10">
            <v>34.822044975212123</v>
          </cell>
          <cell r="J10">
            <v>34.229867382928845</v>
          </cell>
          <cell r="K10">
            <v>34.591147634344985</v>
          </cell>
        </row>
        <row r="11">
          <cell r="G11">
            <v>34.951881481599521</v>
          </cell>
          <cell r="H11">
            <v>34.267356330645569</v>
          </cell>
          <cell r="I11">
            <v>34.4735031271357</v>
          </cell>
          <cell r="J11">
            <v>34.232378244555527</v>
          </cell>
          <cell r="K11">
            <v>34.637035974323979</v>
          </cell>
        </row>
        <row r="12">
          <cell r="G12">
            <v>33.776554694004034</v>
          </cell>
          <cell r="H12">
            <v>34.268690239090709</v>
          </cell>
          <cell r="I12">
            <v>34.093983659103991</v>
          </cell>
          <cell r="J12">
            <v>34.24337538802817</v>
          </cell>
          <cell r="K12">
            <v>34.684205243554388</v>
          </cell>
        </row>
        <row r="13">
          <cell r="G13">
            <v>32.827859573566307</v>
          </cell>
          <cell r="H13">
            <v>34.258349464172234</v>
          </cell>
          <cell r="I13">
            <v>33.771105117875095</v>
          </cell>
          <cell r="J13">
            <v>34.25162516933311</v>
          </cell>
          <cell r="K13">
            <v>34.7335543506682</v>
          </cell>
        </row>
        <row r="14">
          <cell r="G14">
            <v>32.344943098548363</v>
          </cell>
          <cell r="H14">
            <v>34.26154563107562</v>
          </cell>
          <cell r="I14">
            <v>33.584777502926954</v>
          </cell>
          <cell r="J14">
            <v>34.259093873852621</v>
          </cell>
          <cell r="K14">
            <v>34.77273208218331</v>
          </cell>
        </row>
        <row r="15">
          <cell r="G15">
            <v>32.289721910994693</v>
          </cell>
          <cell r="H15">
            <v>34.220584915321204</v>
          </cell>
          <cell r="I15">
            <v>33.535675187639917</v>
          </cell>
          <cell r="J15">
            <v>34.246305421032517</v>
          </cell>
          <cell r="K15">
            <v>34.801941882647363</v>
          </cell>
        </row>
        <row r="16">
          <cell r="G16">
            <v>32.641652490785454</v>
          </cell>
          <cell r="H16">
            <v>34.216814551743276</v>
          </cell>
          <cell r="I16">
            <v>33.652135167609607</v>
          </cell>
          <cell r="J16">
            <v>34.324279527446322</v>
          </cell>
          <cell r="K16">
            <v>35.147759774245912</v>
          </cell>
        </row>
        <row r="17">
          <cell r="G17">
            <v>33.613998790658037</v>
          </cell>
          <cell r="H17">
            <v>34.239241542254952</v>
          </cell>
          <cell r="I17">
            <v>33.999846377229126</v>
          </cell>
          <cell r="J17">
            <v>34.394712542856759</v>
          </cell>
          <cell r="K17">
            <v>35.502014150951069</v>
          </cell>
        </row>
        <row r="18">
          <cell r="G18">
            <v>34.789782448934197</v>
          </cell>
          <cell r="H18">
            <v>34.257214536372182</v>
          </cell>
          <cell r="I18">
            <v>34.404692868507496</v>
          </cell>
          <cell r="J18">
            <v>34.483368084063684</v>
          </cell>
          <cell r="K18">
            <v>35.86785276639889</v>
          </cell>
        </row>
        <row r="19">
          <cell r="G19">
            <v>35.869058697458236</v>
          </cell>
          <cell r="H19">
            <v>34.27097487054538</v>
          </cell>
          <cell r="I19">
            <v>34.763735181780255</v>
          </cell>
          <cell r="J19">
            <v>34.579299571982759</v>
          </cell>
          <cell r="K19">
            <v>36.230407566430728</v>
          </cell>
        </row>
        <row r="20">
          <cell r="G20">
            <v>36.524908671473121</v>
          </cell>
          <cell r="H20">
            <v>34.255926361540567</v>
          </cell>
          <cell r="I20">
            <v>34.968317871060421</v>
          </cell>
          <cell r="J20">
            <v>34.641939273946413</v>
          </cell>
          <cell r="K20">
            <v>36.576970875122512</v>
          </cell>
        </row>
        <row r="21">
          <cell r="G21">
            <v>42461</v>
          </cell>
          <cell r="H21">
            <v>42491</v>
          </cell>
          <cell r="I21">
            <v>42522</v>
          </cell>
          <cell r="J21">
            <v>42552</v>
          </cell>
          <cell r="K21">
            <v>42583</v>
          </cell>
        </row>
      </sheetData>
      <sheetData sheetId="29">
        <row r="8">
          <cell r="G8">
            <v>35.202944014093319</v>
          </cell>
          <cell r="H8">
            <v>34.294308545064517</v>
          </cell>
          <cell r="I8">
            <v>34.618907507610189</v>
          </cell>
          <cell r="J8">
            <v>34.308632654678505</v>
          </cell>
          <cell r="K8">
            <v>34.616035732573494</v>
          </cell>
        </row>
        <row r="9">
          <cell r="G9">
            <v>35.338215569483694</v>
          </cell>
          <cell r="H9">
            <v>34.298806207280208</v>
          </cell>
          <cell r="I9">
            <v>34.638361759114872</v>
          </cell>
          <cell r="J9">
            <v>34.274607993772008</v>
          </cell>
          <cell r="K9">
            <v>34.636863377660276</v>
          </cell>
        </row>
        <row r="10">
          <cell r="G10">
            <v>35.368369096924745</v>
          </cell>
          <cell r="H10">
            <v>34.328292139778917</v>
          </cell>
          <cell r="I10">
            <v>34.636941764438696</v>
          </cell>
          <cell r="J10">
            <v>34.354258384337918</v>
          </cell>
          <cell r="K10">
            <v>34.739216505860213</v>
          </cell>
        </row>
        <row r="11">
          <cell r="G11">
            <v>34.777387354482379</v>
          </cell>
          <cell r="H11">
            <v>34.326942941019972</v>
          </cell>
          <cell r="I11">
            <v>34.464222724626794</v>
          </cell>
          <cell r="J11">
            <v>34.363538292396271</v>
          </cell>
          <cell r="K11">
            <v>34.793376427261535</v>
          </cell>
        </row>
        <row r="12">
          <cell r="G12">
            <v>34.129490299221047</v>
          </cell>
          <cell r="H12">
            <v>34.337064253057981</v>
          </cell>
          <cell r="I12">
            <v>34.259463433020549</v>
          </cell>
          <cell r="J12">
            <v>34.379045747453205</v>
          </cell>
          <cell r="K12">
            <v>34.84584677567166</v>
          </cell>
        </row>
        <row r="13">
          <cell r="G13">
            <v>33.507055823308797</v>
          </cell>
          <cell r="H13">
            <v>34.329361903612437</v>
          </cell>
          <cell r="I13">
            <v>34.056314402624373</v>
          </cell>
          <cell r="J13">
            <v>34.392020342873067</v>
          </cell>
          <cell r="K13">
            <v>34.898604071394246</v>
          </cell>
        </row>
        <row r="14">
          <cell r="G14">
            <v>33.436034455975069</v>
          </cell>
          <cell r="H14">
            <v>34.334307380102913</v>
          </cell>
          <cell r="I14">
            <v>34.021208088262028</v>
          </cell>
          <cell r="J14">
            <v>34.403160823125631</v>
          </cell>
          <cell r="K14">
            <v>34.942316357973453</v>
          </cell>
        </row>
        <row r="15">
          <cell r="G15">
            <v>33.303907339710371</v>
          </cell>
          <cell r="H15">
            <v>34.295061683709534</v>
          </cell>
          <cell r="I15">
            <v>33.930107256742545</v>
          </cell>
          <cell r="J15">
            <v>34.390766003122472</v>
          </cell>
          <cell r="K15">
            <v>34.970476115661839</v>
          </cell>
        </row>
        <row r="16">
          <cell r="G16">
            <v>33.340283271845976</v>
          </cell>
          <cell r="H16">
            <v>34.279902007843155</v>
          </cell>
          <cell r="I16">
            <v>34.026224674224153</v>
          </cell>
          <cell r="J16">
            <v>34.458620981483236</v>
          </cell>
          <cell r="K16">
            <v>35.308085908065614</v>
          </cell>
        </row>
        <row r="17">
          <cell r="G17">
            <v>33.888401715560725</v>
          </cell>
          <cell r="H17">
            <v>34.309243510286905</v>
          </cell>
          <cell r="I17">
            <v>34.227429151996553</v>
          </cell>
          <cell r="J17">
            <v>34.537253281832236</v>
          </cell>
          <cell r="K17">
            <v>35.671463536643749</v>
          </cell>
        </row>
        <row r="18">
          <cell r="G18">
            <v>34.55087229788554</v>
          </cell>
          <cell r="H18">
            <v>34.325409881105074</v>
          </cell>
          <cell r="I18">
            <v>34.464052676338348</v>
          </cell>
          <cell r="J18">
            <v>34.624412931152584</v>
          </cell>
          <cell r="K18">
            <v>36.035882533204045</v>
          </cell>
        </row>
        <row r="19">
          <cell r="G19">
            <v>35.201118637821892</v>
          </cell>
          <cell r="H19">
            <v>34.339136385703029</v>
          </cell>
          <cell r="I19">
            <v>34.69934124331018</v>
          </cell>
          <cell r="J19">
            <v>34.719812032339377</v>
          </cell>
          <cell r="K19">
            <v>36.401758282465998</v>
          </cell>
        </row>
        <row r="20">
          <cell r="G20">
            <v>35.291556147043735</v>
          </cell>
          <cell r="H20">
            <v>34.322997866953649</v>
          </cell>
          <cell r="I20">
            <v>34.740015975318485</v>
          </cell>
          <cell r="J20">
            <v>34.77755714599185</v>
          </cell>
          <cell r="K20">
            <v>36.74331073289575</v>
          </cell>
        </row>
        <row r="21">
          <cell r="G21">
            <v>42461</v>
          </cell>
          <cell r="H21">
            <v>42491</v>
          </cell>
          <cell r="I21">
            <v>42522</v>
          </cell>
          <cell r="J21">
            <v>42552</v>
          </cell>
          <cell r="K21">
            <v>42583</v>
          </cell>
        </row>
      </sheetData>
      <sheetData sheetId="30">
        <row r="8">
          <cell r="G8">
            <v>27.537157125113261</v>
          </cell>
          <cell r="H8">
            <v>24.464783634863903</v>
          </cell>
          <cell r="I8">
            <v>24.392833591046369</v>
          </cell>
          <cell r="J8">
            <v>23.897338460926285</v>
          </cell>
          <cell r="K8">
            <v>24.027503462918947</v>
          </cell>
        </row>
        <row r="9">
          <cell r="G9">
            <v>27.070639168268283</v>
          </cell>
          <cell r="H9">
            <v>24.193284369841169</v>
          </cell>
          <cell r="I9">
            <v>24.068311133823428</v>
          </cell>
          <cell r="J9">
            <v>23.821464530626898</v>
          </cell>
          <cell r="K9">
            <v>23.983488496324682</v>
          </cell>
        </row>
        <row r="10">
          <cell r="G10">
            <v>25.966844285573423</v>
          </cell>
          <cell r="H10">
            <v>23.942087395911763</v>
          </cell>
          <cell r="I10">
            <v>23.801551410297247</v>
          </cell>
          <cell r="J10">
            <v>23.762455519204426</v>
          </cell>
          <cell r="K10">
            <v>23.940788613617507</v>
          </cell>
        </row>
        <row r="11">
          <cell r="G11">
            <v>24.403901397622338</v>
          </cell>
          <cell r="H11">
            <v>23.696679510683804</v>
          </cell>
          <cell r="I11">
            <v>23.418418537129995</v>
          </cell>
          <cell r="J11">
            <v>23.638736530233043</v>
          </cell>
          <cell r="K11">
            <v>23.889103182262165</v>
          </cell>
        </row>
        <row r="12">
          <cell r="G12">
            <v>23.225456872977041</v>
          </cell>
          <cell r="H12">
            <v>23.478669706349589</v>
          </cell>
          <cell r="I12">
            <v>23.117492640213992</v>
          </cell>
          <cell r="J12">
            <v>23.532839441533806</v>
          </cell>
          <cell r="K12">
            <v>23.853431940733159</v>
          </cell>
        </row>
        <row r="13">
          <cell r="G13">
            <v>22.37311278902596</v>
          </cell>
          <cell r="H13">
            <v>23.205597487210284</v>
          </cell>
          <cell r="I13">
            <v>22.909836882519503</v>
          </cell>
          <cell r="J13">
            <v>23.412326188853438</v>
          </cell>
          <cell r="K13">
            <v>23.809361734463348</v>
          </cell>
        </row>
        <row r="14">
          <cell r="G14">
            <v>21.864479386722195</v>
          </cell>
          <cell r="H14">
            <v>22.946860088441753</v>
          </cell>
          <cell r="I14">
            <v>22.813077184978486</v>
          </cell>
          <cell r="J14">
            <v>23.318020921764244</v>
          </cell>
          <cell r="K14">
            <v>23.777876057592835</v>
          </cell>
        </row>
        <row r="15">
          <cell r="G15">
            <v>21.627623338443541</v>
          </cell>
          <cell r="H15">
            <v>22.648584836288329</v>
          </cell>
          <cell r="I15">
            <v>22.817185365763908</v>
          </cell>
          <cell r="J15">
            <v>23.267054143039978</v>
          </cell>
          <cell r="K15">
            <v>23.777568708282708</v>
          </cell>
        </row>
        <row r="16">
          <cell r="G16">
            <v>22.062415566531524</v>
          </cell>
          <cell r="H16">
            <v>22.757662299366189</v>
          </cell>
          <cell r="I16">
            <v>23.062179209207102</v>
          </cell>
          <cell r="J16">
            <v>23.342960207974542</v>
          </cell>
          <cell r="K16">
            <v>23.891754133756955</v>
          </cell>
        </row>
        <row r="17">
          <cell r="G17">
            <v>22.971085955745576</v>
          </cell>
          <cell r="H17">
            <v>22.918421681258412</v>
          </cell>
          <cell r="I17">
            <v>23.379208577443801</v>
          </cell>
          <cell r="J17">
            <v>23.540841477419022</v>
          </cell>
          <cell r="K17">
            <v>24.084722037582399</v>
          </cell>
        </row>
        <row r="18">
          <cell r="G18">
            <v>23.765589693969702</v>
          </cell>
          <cell r="H18">
            <v>23.060185207992738</v>
          </cell>
          <cell r="I18">
            <v>23.643676027173559</v>
          </cell>
          <cell r="J18">
            <v>23.637338677555082</v>
          </cell>
          <cell r="K18">
            <v>24.216871942117439</v>
          </cell>
        </row>
        <row r="19">
          <cell r="G19">
            <v>24.178871824211626</v>
          </cell>
          <cell r="H19">
            <v>23.199198063552107</v>
          </cell>
          <cell r="I19">
            <v>23.794403556072183</v>
          </cell>
          <cell r="J19">
            <v>23.705491019771966</v>
          </cell>
          <cell r="K19">
            <v>24.321610502192318</v>
          </cell>
        </row>
        <row r="20">
          <cell r="G20">
            <v>24.234763916384733</v>
          </cell>
          <cell r="H20">
            <v>23.328294170731734</v>
          </cell>
          <cell r="I20">
            <v>23.858503755453061</v>
          </cell>
          <cell r="J20">
            <v>23.805727142039558</v>
          </cell>
          <cell r="K20">
            <v>24.453798085333862</v>
          </cell>
        </row>
        <row r="21">
          <cell r="G21">
            <v>42461</v>
          </cell>
          <cell r="H21">
            <v>42491</v>
          </cell>
          <cell r="I21">
            <v>42522</v>
          </cell>
          <cell r="J21">
            <v>42552</v>
          </cell>
          <cell r="K21">
            <v>42583</v>
          </cell>
        </row>
      </sheetData>
      <sheetData sheetId="31">
        <row r="8">
          <cell r="G8">
            <v>23.898331281956782</v>
          </cell>
          <cell r="H8">
            <v>21.069180518089727</v>
          </cell>
          <cell r="I8">
            <v>20.624614112221071</v>
          </cell>
          <cell r="J8">
            <v>21.134128800352929</v>
          </cell>
          <cell r="K8">
            <v>22.592349009377678</v>
          </cell>
        </row>
        <row r="9">
          <cell r="G9">
            <v>23.613828917844316</v>
          </cell>
          <cell r="H9">
            <v>20.726561032340307</v>
          </cell>
          <cell r="I9">
            <v>20.302706031472049</v>
          </cell>
          <cell r="J9">
            <v>21.194820176486729</v>
          </cell>
          <cell r="K9">
            <v>22.687816218875749</v>
          </cell>
        </row>
        <row r="10">
          <cell r="G10">
            <v>22.526221960789766</v>
          </cell>
          <cell r="H10">
            <v>20.376786772226453</v>
          </cell>
          <cell r="I10">
            <v>20.285358323955233</v>
          </cell>
          <cell r="J10">
            <v>21.270071341162922</v>
          </cell>
          <cell r="K10">
            <v>22.805556713605192</v>
          </cell>
        </row>
        <row r="11">
          <cell r="G11">
            <v>21.147974450463419</v>
          </cell>
          <cell r="H11">
            <v>20.070281890238729</v>
          </cell>
          <cell r="I11">
            <v>20.200373556341177</v>
          </cell>
          <cell r="J11">
            <v>21.364752250397224</v>
          </cell>
          <cell r="K11">
            <v>22.930025303383676</v>
          </cell>
        </row>
        <row r="12">
          <cell r="G12">
            <v>20.063039099032601</v>
          </cell>
          <cell r="H12">
            <v>19.760004182793352</v>
          </cell>
          <cell r="I12">
            <v>20.171237947749418</v>
          </cell>
          <cell r="J12">
            <v>21.436845286147236</v>
          </cell>
          <cell r="K12">
            <v>23.035259653944149</v>
          </cell>
        </row>
        <row r="13">
          <cell r="G13">
            <v>19.183846671914104</v>
          </cell>
          <cell r="H13">
            <v>19.433335645090139</v>
          </cell>
          <cell r="I13">
            <v>20.177063694599415</v>
          </cell>
          <cell r="J13">
            <v>21.52497598813941</v>
          </cell>
          <cell r="K13">
            <v>23.156869599147829</v>
          </cell>
        </row>
        <row r="14">
          <cell r="G14">
            <v>18.619053807420951</v>
          </cell>
          <cell r="H14">
            <v>19.103014640132084</v>
          </cell>
          <cell r="I14">
            <v>20.298009648530815</v>
          </cell>
          <cell r="J14">
            <v>21.601248687879121</v>
          </cell>
          <cell r="K14">
            <v>23.262639359980554</v>
          </cell>
        </row>
        <row r="15">
          <cell r="G15">
            <v>18.052650279468835</v>
          </cell>
          <cell r="H15">
            <v>18.708582304690555</v>
          </cell>
          <cell r="I15">
            <v>20.428729766410669</v>
          </cell>
          <cell r="J15">
            <v>21.656068442634094</v>
          </cell>
          <cell r="K15">
            <v>23.358519888659675</v>
          </cell>
        </row>
        <row r="16">
          <cell r="G16">
            <v>18.315727613619014</v>
          </cell>
          <cell r="H16">
            <v>19.187118895638744</v>
          </cell>
          <cell r="I16">
            <v>20.862201705242736</v>
          </cell>
          <cell r="J16">
            <v>21.984700370766461</v>
          </cell>
          <cell r="K16">
            <v>23.857319862318125</v>
          </cell>
        </row>
        <row r="17">
          <cell r="G17">
            <v>18.945983470695218</v>
          </cell>
          <cell r="H17">
            <v>19.715398363897577</v>
          </cell>
          <cell r="I17">
            <v>21.43920908195766</v>
          </cell>
          <cell r="J17">
            <v>22.330957485266307</v>
          </cell>
          <cell r="K17">
            <v>24.381676461137417</v>
          </cell>
        </row>
        <row r="18">
          <cell r="G18">
            <v>19.41518846608966</v>
          </cell>
          <cell r="H18">
            <v>20.22883126003261</v>
          </cell>
          <cell r="I18">
            <v>21.935131632017622</v>
          </cell>
          <cell r="J18">
            <v>22.679564433043723</v>
          </cell>
          <cell r="K18">
            <v>24.911394624963638</v>
          </cell>
        </row>
        <row r="19">
          <cell r="G19">
            <v>19.72126691537099</v>
          </cell>
          <cell r="H19">
            <v>20.709696468914302</v>
          </cell>
          <cell r="I19">
            <v>22.382022740844445</v>
          </cell>
          <cell r="J19">
            <v>23.016837580836874</v>
          </cell>
          <cell r="K19">
            <v>25.422380265934368</v>
          </cell>
        </row>
        <row r="20">
          <cell r="G20">
            <v>19.663635210648305</v>
          </cell>
          <cell r="H20">
            <v>21.199179738150004</v>
          </cell>
          <cell r="I20">
            <v>22.694745149982538</v>
          </cell>
          <cell r="J20">
            <v>23.355139923438387</v>
          </cell>
          <cell r="K20">
            <v>25.939970739221412</v>
          </cell>
        </row>
        <row r="21">
          <cell r="G21">
            <v>42461</v>
          </cell>
          <cell r="H21">
            <v>42491</v>
          </cell>
          <cell r="I21">
            <v>42522</v>
          </cell>
          <cell r="J21">
            <v>42552</v>
          </cell>
          <cell r="K21">
            <v>42583</v>
          </cell>
        </row>
      </sheetData>
      <sheetData sheetId="32">
        <row r="8">
          <cell r="G8">
            <v>23.898331281956782</v>
          </cell>
          <cell r="H8">
            <v>21.069180518089727</v>
          </cell>
          <cell r="I8">
            <v>20.624614112221071</v>
          </cell>
          <cell r="J8">
            <v>21.134128800352929</v>
          </cell>
          <cell r="K8">
            <v>22.592349009377678</v>
          </cell>
        </row>
        <row r="9">
          <cell r="G9">
            <v>23.613828917844316</v>
          </cell>
          <cell r="H9">
            <v>20.726561032340307</v>
          </cell>
          <cell r="I9">
            <v>20.302706031472049</v>
          </cell>
          <cell r="J9">
            <v>21.194820176486729</v>
          </cell>
          <cell r="K9">
            <v>22.687816218875749</v>
          </cell>
        </row>
        <row r="10">
          <cell r="G10">
            <v>22.526221960789766</v>
          </cell>
          <cell r="H10">
            <v>20.376786772226453</v>
          </cell>
          <cell r="I10">
            <v>20.285358323955233</v>
          </cell>
          <cell r="J10">
            <v>21.270071341162922</v>
          </cell>
          <cell r="K10">
            <v>22.805556713605192</v>
          </cell>
        </row>
        <row r="11">
          <cell r="G11">
            <v>21.147974450463419</v>
          </cell>
          <cell r="H11">
            <v>20.070281890238729</v>
          </cell>
          <cell r="I11">
            <v>20.200373556341177</v>
          </cell>
          <cell r="J11">
            <v>21.364752250397224</v>
          </cell>
          <cell r="K11">
            <v>22.930025303383676</v>
          </cell>
        </row>
        <row r="12">
          <cell r="G12">
            <v>20.063039099032601</v>
          </cell>
          <cell r="H12">
            <v>19.760004182793352</v>
          </cell>
          <cell r="I12">
            <v>20.171237947749418</v>
          </cell>
          <cell r="J12">
            <v>21.436845286147236</v>
          </cell>
          <cell r="K12">
            <v>23.035259653944149</v>
          </cell>
        </row>
        <row r="13">
          <cell r="G13">
            <v>19.183846671914104</v>
          </cell>
          <cell r="H13">
            <v>19.433335645090139</v>
          </cell>
          <cell r="I13">
            <v>20.177063694599415</v>
          </cell>
          <cell r="J13">
            <v>21.52497598813941</v>
          </cell>
          <cell r="K13">
            <v>23.156869599147829</v>
          </cell>
        </row>
        <row r="14">
          <cell r="G14">
            <v>18.619053807420951</v>
          </cell>
          <cell r="H14">
            <v>19.103014640132084</v>
          </cell>
          <cell r="I14">
            <v>20.298009648530815</v>
          </cell>
          <cell r="J14">
            <v>21.601248687879121</v>
          </cell>
          <cell r="K14">
            <v>23.262639359980554</v>
          </cell>
        </row>
        <row r="15">
          <cell r="G15">
            <v>18.052650279468835</v>
          </cell>
          <cell r="H15">
            <v>18.708582304690555</v>
          </cell>
          <cell r="I15">
            <v>20.428729766410669</v>
          </cell>
          <cell r="J15">
            <v>21.656068442634094</v>
          </cell>
          <cell r="K15">
            <v>23.358519888659675</v>
          </cell>
        </row>
        <row r="16">
          <cell r="G16">
            <v>18.315727613619014</v>
          </cell>
          <cell r="H16">
            <v>19.187118895638744</v>
          </cell>
          <cell r="I16">
            <v>20.862201705242736</v>
          </cell>
          <cell r="J16">
            <v>21.984700370766461</v>
          </cell>
          <cell r="K16">
            <v>23.857319862318125</v>
          </cell>
        </row>
        <row r="17">
          <cell r="G17">
            <v>18.945983470695218</v>
          </cell>
          <cell r="H17">
            <v>19.715398363897577</v>
          </cell>
          <cell r="I17">
            <v>21.43920908195766</v>
          </cell>
          <cell r="J17">
            <v>22.330957485266307</v>
          </cell>
          <cell r="K17">
            <v>24.381676461137417</v>
          </cell>
        </row>
        <row r="18">
          <cell r="G18">
            <v>19.41518846608966</v>
          </cell>
          <cell r="H18">
            <v>20.22883126003261</v>
          </cell>
          <cell r="I18">
            <v>21.935131632017622</v>
          </cell>
          <cell r="J18">
            <v>22.679564433043723</v>
          </cell>
          <cell r="K18">
            <v>24.911394624963638</v>
          </cell>
        </row>
        <row r="19">
          <cell r="G19">
            <v>19.72126691537099</v>
          </cell>
          <cell r="H19">
            <v>20.709696468914302</v>
          </cell>
          <cell r="I19">
            <v>22.382022740844445</v>
          </cell>
          <cell r="J19">
            <v>23.016837580836874</v>
          </cell>
          <cell r="K19">
            <v>25.422380265934368</v>
          </cell>
        </row>
        <row r="20">
          <cell r="G20">
            <v>19.663635210648305</v>
          </cell>
          <cell r="H20">
            <v>21.199179738150004</v>
          </cell>
          <cell r="I20">
            <v>22.694745149982538</v>
          </cell>
          <cell r="J20">
            <v>23.355139923438387</v>
          </cell>
          <cell r="K20">
            <v>25.939970739221412</v>
          </cell>
        </row>
        <row r="21">
          <cell r="G21">
            <v>42461</v>
          </cell>
          <cell r="H21">
            <v>42491</v>
          </cell>
          <cell r="I21">
            <v>42522</v>
          </cell>
          <cell r="J21">
            <v>42552</v>
          </cell>
          <cell r="K21">
            <v>42583</v>
          </cell>
        </row>
      </sheetData>
      <sheetData sheetId="33">
        <row r="8">
          <cell r="G8">
            <v>23.303909695086546</v>
          </cell>
          <cell r="H8">
            <v>20.970315881614649</v>
          </cell>
          <cell r="I8">
            <v>20.429260109351279</v>
          </cell>
          <cell r="J8">
            <v>21.048197836125784</v>
          </cell>
          <cell r="K8">
            <v>22.506638808328464</v>
          </cell>
        </row>
        <row r="9">
          <cell r="G9">
            <v>23.710529074796792</v>
          </cell>
          <cell r="H9">
            <v>20.628842723383261</v>
          </cell>
          <cell r="I9">
            <v>20.28546628252175</v>
          </cell>
          <cell r="J9">
            <v>21.110476820940459</v>
          </cell>
          <cell r="K9">
            <v>22.604011226585939</v>
          </cell>
        </row>
        <row r="10">
          <cell r="G10">
            <v>23.17842008195046</v>
          </cell>
          <cell r="H10">
            <v>20.290031578907413</v>
          </cell>
          <cell r="I10">
            <v>20.41139997014518</v>
          </cell>
          <cell r="J10">
            <v>21.19295219769668</v>
          </cell>
          <cell r="K10">
            <v>22.725099745238204</v>
          </cell>
        </row>
        <row r="11">
          <cell r="G11">
            <v>21.945292956684295</v>
          </cell>
          <cell r="H11">
            <v>19.986802320177691</v>
          </cell>
          <cell r="I11">
            <v>20.38920481744173</v>
          </cell>
          <cell r="J11">
            <v>21.289175729751825</v>
          </cell>
          <cell r="K11">
            <v>22.853477704065167</v>
          </cell>
        </row>
        <row r="12">
          <cell r="G12">
            <v>20.776215561821441</v>
          </cell>
          <cell r="H12">
            <v>19.690569731242679</v>
          </cell>
          <cell r="I12">
            <v>20.366972026312567</v>
          </cell>
          <cell r="J12">
            <v>21.3693816679253</v>
          </cell>
          <cell r="K12">
            <v>22.964629971974748</v>
          </cell>
        </row>
        <row r="13">
          <cell r="G13">
            <v>19.644221481562752</v>
          </cell>
          <cell r="H13">
            <v>19.36574479510827</v>
          </cell>
          <cell r="I13">
            <v>20.307674301331261</v>
          </cell>
          <cell r="J13">
            <v>21.456623031512937</v>
          </cell>
          <cell r="K13">
            <v>23.08441417965204</v>
          </cell>
        </row>
        <row r="14">
          <cell r="G14">
            <v>18.781575060439135</v>
          </cell>
          <cell r="H14">
            <v>19.033539925330487</v>
          </cell>
          <cell r="I14">
            <v>20.32688847210548</v>
          </cell>
          <cell r="J14">
            <v>21.533604229074889</v>
          </cell>
          <cell r="K14">
            <v>23.193152228596983</v>
          </cell>
        </row>
        <row r="15">
          <cell r="G15">
            <v>17.830085731249916</v>
          </cell>
          <cell r="H15">
            <v>18.649676226051568</v>
          </cell>
          <cell r="I15">
            <v>20.297258842173125</v>
          </cell>
          <cell r="J15">
            <v>21.593466055110522</v>
          </cell>
          <cell r="K15">
            <v>23.291018891218947</v>
          </cell>
        </row>
        <row r="16">
          <cell r="G16">
            <v>17.788860359211885</v>
          </cell>
          <cell r="H16">
            <v>19.124659346552392</v>
          </cell>
          <cell r="I16">
            <v>20.591563995659804</v>
          </cell>
          <cell r="J16">
            <v>21.915446452277202</v>
          </cell>
          <cell r="K16">
            <v>23.782269943517164</v>
          </cell>
        </row>
        <row r="17">
          <cell r="G17">
            <v>18.230062681035566</v>
          </cell>
          <cell r="H17">
            <v>19.650771211994307</v>
          </cell>
          <cell r="I17">
            <v>21.085433703212821</v>
          </cell>
          <cell r="J17">
            <v>22.263181361795677</v>
          </cell>
          <cell r="K17">
            <v>24.30972548668657</v>
          </cell>
        </row>
        <row r="18">
          <cell r="G18">
            <v>18.637938849136702</v>
          </cell>
          <cell r="H18">
            <v>20.165536462547479</v>
          </cell>
          <cell r="I18">
            <v>21.563129229097711</v>
          </cell>
          <cell r="J18">
            <v>22.612400039212442</v>
          </cell>
          <cell r="K18">
            <v>24.836284527274291</v>
          </cell>
        </row>
        <row r="19">
          <cell r="G19">
            <v>19.083502082039246</v>
          </cell>
          <cell r="H19">
            <v>20.641761690308275</v>
          </cell>
          <cell r="I19">
            <v>22.066446093313427</v>
          </cell>
          <cell r="J19">
            <v>22.945154089742431</v>
          </cell>
          <cell r="K19">
            <v>25.344378735882959</v>
          </cell>
        </row>
        <row r="20">
          <cell r="G20">
            <v>19.303954955986711</v>
          </cell>
          <cell r="H20">
            <v>21.126273106068542</v>
          </cell>
          <cell r="I20">
            <v>22.494766987870673</v>
          </cell>
          <cell r="J20">
            <v>23.276857247025923</v>
          </cell>
          <cell r="K20">
            <v>25.856975608703053</v>
          </cell>
        </row>
        <row r="21">
          <cell r="G21">
            <v>42461</v>
          </cell>
          <cell r="H21">
            <v>42491</v>
          </cell>
          <cell r="I21">
            <v>42522</v>
          </cell>
          <cell r="J21">
            <v>42552</v>
          </cell>
          <cell r="K21">
            <v>42583</v>
          </cell>
        </row>
      </sheetData>
      <sheetData sheetId="34">
        <row r="8">
          <cell r="G8">
            <v>52.705365330115065</v>
          </cell>
          <cell r="H8">
            <v>46.330169654311248</v>
          </cell>
          <cell r="I8">
            <v>48.474313722384693</v>
          </cell>
          <cell r="J8">
            <v>46.936427558274858</v>
          </cell>
          <cell r="K8">
            <v>46.237974406486813</v>
          </cell>
        </row>
        <row r="9">
          <cell r="G9">
            <v>51.615089674979693</v>
          </cell>
          <cell r="H9">
            <v>46.330272413786588</v>
          </cell>
          <cell r="I9">
            <v>48.270029522551283</v>
          </cell>
          <cell r="J9">
            <v>46.847183808419942</v>
          </cell>
          <cell r="K9">
            <v>46.227866760818195</v>
          </cell>
        </row>
        <row r="10">
          <cell r="G10">
            <v>49.351237684656823</v>
          </cell>
          <cell r="H10">
            <v>46.356956084397829</v>
          </cell>
          <cell r="I10">
            <v>47.619286224682419</v>
          </cell>
          <cell r="J10">
            <v>46.780758646974142</v>
          </cell>
          <cell r="K10">
            <v>46.299722373672701</v>
          </cell>
        </row>
        <row r="11">
          <cell r="G11">
            <v>46.725602303831685</v>
          </cell>
          <cell r="H11">
            <v>46.315592029199088</v>
          </cell>
          <cell r="I11">
            <v>46.888660941951734</v>
          </cell>
          <cell r="J11">
            <v>46.592466769778284</v>
          </cell>
          <cell r="K11">
            <v>46.39214545570438</v>
          </cell>
        </row>
        <row r="12">
          <cell r="G12">
            <v>44.246202818367458</v>
          </cell>
          <cell r="H12">
            <v>46.271749900972758</v>
          </cell>
          <cell r="I12">
            <v>46.147307711456278</v>
          </cell>
          <cell r="J12">
            <v>46.305766605209179</v>
          </cell>
          <cell r="K12">
            <v>46.396372162618221</v>
          </cell>
        </row>
        <row r="13">
          <cell r="G13">
            <v>41.203499626216583</v>
          </cell>
          <cell r="H13">
            <v>46.322284504768781</v>
          </cell>
          <cell r="I13">
            <v>45.249614691361835</v>
          </cell>
          <cell r="J13">
            <v>46.169282987002738</v>
          </cell>
          <cell r="K13">
            <v>46.466496570021029</v>
          </cell>
        </row>
        <row r="14">
          <cell r="G14">
            <v>40.919474136631806</v>
          </cell>
          <cell r="H14">
            <v>46.525664841114299</v>
          </cell>
          <cell r="I14">
            <v>45.214172049438773</v>
          </cell>
          <cell r="J14">
            <v>46.0377007138434</v>
          </cell>
          <cell r="K14">
            <v>46.48823182161042</v>
          </cell>
        </row>
        <row r="15">
          <cell r="G15">
            <v>41.670831611322761</v>
          </cell>
          <cell r="H15">
            <v>46.698310823821203</v>
          </cell>
          <cell r="I15">
            <v>45.386620182463979</v>
          </cell>
          <cell r="J15">
            <v>45.995746654673944</v>
          </cell>
          <cell r="K15">
            <v>46.571664378703659</v>
          </cell>
        </row>
        <row r="16">
          <cell r="G16">
            <v>43.612621720802927</v>
          </cell>
          <cell r="H16">
            <v>46.789761687792577</v>
          </cell>
          <cell r="I16">
            <v>45.975378943069821</v>
          </cell>
          <cell r="J16">
            <v>45.981504470244218</v>
          </cell>
          <cell r="K16">
            <v>46.611761863493349</v>
          </cell>
        </row>
        <row r="17">
          <cell r="G17">
            <v>45.907645214787529</v>
          </cell>
          <cell r="H17">
            <v>46.970198450969775</v>
          </cell>
          <cell r="I17">
            <v>46.54872406115075</v>
          </cell>
          <cell r="J17">
            <v>46.007875630257665</v>
          </cell>
          <cell r="K17">
            <v>46.747590621102106</v>
          </cell>
        </row>
        <row r="18">
          <cell r="G18">
            <v>48.520182863731357</v>
          </cell>
          <cell r="H18">
            <v>47.147350323260426</v>
          </cell>
          <cell r="I18">
            <v>47.021203052841464</v>
          </cell>
          <cell r="J18">
            <v>46.163767380360234</v>
          </cell>
          <cell r="K18">
            <v>46.860380209863173</v>
          </cell>
        </row>
        <row r="19">
          <cell r="G19">
            <v>52.257453779278954</v>
          </cell>
          <cell r="H19">
            <v>47.423578026278513</v>
          </cell>
          <cell r="I19">
            <v>47.928442345893075</v>
          </cell>
          <cell r="J19">
            <v>46.173092698510054</v>
          </cell>
          <cell r="K19">
            <v>46.935085086543189</v>
          </cell>
        </row>
        <row r="20">
          <cell r="G20">
            <v>53.177659048275807</v>
          </cell>
          <cell r="H20">
            <v>47.544605010433848</v>
          </cell>
          <cell r="I20">
            <v>47.858545804903258</v>
          </cell>
          <cell r="J20">
            <v>46.195394228374418</v>
          </cell>
          <cell r="K20">
            <v>46.996742537855546</v>
          </cell>
        </row>
        <row r="21">
          <cell r="G21">
            <v>42461</v>
          </cell>
          <cell r="H21">
            <v>42491</v>
          </cell>
          <cell r="I21">
            <v>42522</v>
          </cell>
          <cell r="J21">
            <v>42552</v>
          </cell>
          <cell r="K21">
            <v>42583</v>
          </cell>
        </row>
      </sheetData>
      <sheetData sheetId="35">
        <row r="8">
          <cell r="G8">
            <v>55.608037840154267</v>
          </cell>
          <cell r="H8">
            <v>46.393296450808812</v>
          </cell>
          <cell r="I8">
            <v>49.257787350537981</v>
          </cell>
          <cell r="J8">
            <v>47.003237673392107</v>
          </cell>
          <cell r="K8">
            <v>47.646160486798777</v>
          </cell>
        </row>
        <row r="9">
          <cell r="G9">
            <v>54.251185931179272</v>
          </cell>
          <cell r="H9">
            <v>46.394664163105318</v>
          </cell>
          <cell r="I9">
            <v>48.999948961018291</v>
          </cell>
          <cell r="J9">
            <v>46.903839608438901</v>
          </cell>
          <cell r="K9">
            <v>47.822602326134366</v>
          </cell>
        </row>
        <row r="10">
          <cell r="G10">
            <v>50.987425728217481</v>
          </cell>
          <cell r="H10">
            <v>46.422769835859924</v>
          </cell>
          <cell r="I10">
            <v>48.094534278907872</v>
          </cell>
          <cell r="J10">
            <v>46.90804020535785</v>
          </cell>
          <cell r="K10">
            <v>48.041745520035583</v>
          </cell>
        </row>
        <row r="11">
          <cell r="G11">
            <v>46.566756967218716</v>
          </cell>
          <cell r="H11">
            <v>46.382240115644819</v>
          </cell>
          <cell r="I11">
            <v>46.848340143097943</v>
          </cell>
          <cell r="J11">
            <v>46.819716178386017</v>
          </cell>
          <cell r="K11">
            <v>48.204246763848296</v>
          </cell>
        </row>
        <row r="12">
          <cell r="G12">
            <v>43.140622166375309</v>
          </cell>
          <cell r="H12">
            <v>46.334469858052017</v>
          </cell>
          <cell r="I12">
            <v>45.765652358616855</v>
          </cell>
          <cell r="J12">
            <v>46.711497354705678</v>
          </cell>
          <cell r="K12">
            <v>48.332131435008897</v>
          </cell>
        </row>
        <row r="13">
          <cell r="G13">
            <v>39.934896858727093</v>
          </cell>
          <cell r="H13">
            <v>46.371930388258804</v>
          </cell>
          <cell r="I13">
            <v>44.763937127228303</v>
          </cell>
          <cell r="J13">
            <v>46.676055369634106</v>
          </cell>
          <cell r="K13">
            <v>48.486735405469261</v>
          </cell>
        </row>
        <row r="14">
          <cell r="G14">
            <v>39.544260724014833</v>
          </cell>
          <cell r="H14">
            <v>46.540936412110064</v>
          </cell>
          <cell r="I14">
            <v>44.666523723185193</v>
          </cell>
          <cell r="J14">
            <v>46.695829945762597</v>
          </cell>
          <cell r="K14">
            <v>48.639103993429686</v>
          </cell>
        </row>
        <row r="15">
          <cell r="G15">
            <v>40.280620302644486</v>
          </cell>
          <cell r="H15">
            <v>46.695655119713081</v>
          </cell>
          <cell r="I15">
            <v>44.844223370528994</v>
          </cell>
          <cell r="J15">
            <v>46.950388429959112</v>
          </cell>
          <cell r="K15">
            <v>48.962202217637397</v>
          </cell>
        </row>
        <row r="16">
          <cell r="G16">
            <v>42.578497830907637</v>
          </cell>
          <cell r="H16">
            <v>46.771250824529957</v>
          </cell>
          <cell r="I16">
            <v>45.699509564909285</v>
          </cell>
          <cell r="J16">
            <v>47.210413144171056</v>
          </cell>
          <cell r="K16">
            <v>49.183667059499946</v>
          </cell>
        </row>
        <row r="17">
          <cell r="G17">
            <v>46.195955581434639</v>
          </cell>
          <cell r="H17">
            <v>46.990034030514849</v>
          </cell>
          <cell r="I17">
            <v>46.904312424817142</v>
          </cell>
          <cell r="J17">
            <v>47.539287365696119</v>
          </cell>
          <cell r="K17">
            <v>49.534487874657906</v>
          </cell>
        </row>
        <row r="18">
          <cell r="G18">
            <v>50.208641916840506</v>
          </cell>
          <cell r="H18">
            <v>47.203230702455613</v>
          </cell>
          <cell r="I18">
            <v>48.047129349179556</v>
          </cell>
          <cell r="J18">
            <v>47.938702379487587</v>
          </cell>
          <cell r="K18">
            <v>49.812764880816815</v>
          </cell>
        </row>
        <row r="19">
          <cell r="G19">
            <v>54.817785993223765</v>
          </cell>
          <cell r="H19">
            <v>47.506194891857419</v>
          </cell>
          <cell r="I19">
            <v>49.315207615213218</v>
          </cell>
          <cell r="J19">
            <v>48.074370702607922</v>
          </cell>
          <cell r="K19">
            <v>49.979121349570391</v>
          </cell>
        </row>
        <row r="20">
          <cell r="G20">
            <v>56.030707635713256</v>
          </cell>
          <cell r="H20">
            <v>47.615365463102997</v>
          </cell>
          <cell r="I20">
            <v>49.542918691988469</v>
          </cell>
          <cell r="J20">
            <v>48.261955761461238</v>
          </cell>
          <cell r="K20">
            <v>50.16997415809071</v>
          </cell>
        </row>
        <row r="21">
          <cell r="G21">
            <v>42461</v>
          </cell>
          <cell r="H21">
            <v>42491</v>
          </cell>
          <cell r="I21">
            <v>42522</v>
          </cell>
          <cell r="J21">
            <v>42552</v>
          </cell>
          <cell r="K21">
            <v>42583</v>
          </cell>
        </row>
      </sheetData>
      <sheetData sheetId="36"/>
      <sheetData sheetId="37"/>
      <sheetData sheetId="38"/>
      <sheetData sheetId="39">
        <row r="9">
          <cell r="O9">
            <v>42309</v>
          </cell>
        </row>
      </sheetData>
      <sheetData sheetId="40"/>
      <sheetData sheetId="41">
        <row r="5">
          <cell r="C5">
            <v>2.15</v>
          </cell>
        </row>
      </sheetData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3" tint="0.39997558519241921"/>
    <pageSetUpPr fitToPage="1"/>
  </sheetPr>
  <dimension ref="A1:O1284"/>
  <sheetViews>
    <sheetView showGridLines="0" zoomScale="85" zoomScaleNormal="85" workbookViewId="0">
      <pane ySplit="13" topLeftCell="A62" activePane="bottomLeft" state="frozen"/>
      <selection activeCell="A2" sqref="A2:F2"/>
      <selection pane="bottomLeft" activeCell="V24" sqref="V24"/>
    </sheetView>
  </sheetViews>
  <sheetFormatPr defaultRowHeight="15" x14ac:dyDescent="0.25"/>
  <cols>
    <col min="1" max="1" width="3.83203125" style="49" customWidth="1"/>
    <col min="2" max="2" width="2.5" style="49" customWidth="1"/>
    <col min="3" max="3" width="25.33203125" style="124" customWidth="1"/>
    <col min="4" max="5" width="14.5" style="49" customWidth="1"/>
    <col min="6" max="6" width="16.6640625" style="49" customWidth="1"/>
    <col min="7" max="7" width="26.5" style="49" customWidth="1"/>
    <col min="8" max="8" width="20.33203125" style="49" customWidth="1"/>
    <col min="9" max="9" width="16" style="128" customWidth="1"/>
    <col min="10" max="10" width="11.1640625" style="128" customWidth="1"/>
    <col min="11" max="11" width="12" style="128" customWidth="1"/>
    <col min="12" max="12" width="16.33203125" style="128" customWidth="1"/>
    <col min="13" max="13" width="12.6640625" style="128" customWidth="1"/>
    <col min="14" max="14" width="13.1640625" style="128" customWidth="1"/>
    <col min="15" max="15" width="2.5" style="49" customWidth="1"/>
    <col min="16" max="16" width="3.83203125" style="49" customWidth="1"/>
    <col min="17" max="16384" width="9.33203125" style="49"/>
  </cols>
  <sheetData>
    <row r="1" spans="1:15" ht="5.25" customHeight="1" x14ac:dyDescent="0.3">
      <c r="K1" s="129"/>
      <c r="L1" s="129"/>
    </row>
    <row r="2" spans="1:15" s="50" customFormat="1" ht="19.5" thickBot="1" x14ac:dyDescent="0.35">
      <c r="C2" s="125" t="s">
        <v>54</v>
      </c>
      <c r="D2" s="149">
        <v>0</v>
      </c>
      <c r="E2" s="52" t="s">
        <v>90</v>
      </c>
      <c r="I2" s="129"/>
      <c r="J2" s="129"/>
      <c r="K2" s="129"/>
      <c r="L2" s="129"/>
      <c r="M2" s="170" t="s">
        <v>1116</v>
      </c>
      <c r="N2" s="171"/>
      <c r="O2" s="52" t="s">
        <v>90</v>
      </c>
    </row>
    <row r="3" spans="1:15" ht="5.25" customHeight="1" x14ac:dyDescent="0.25">
      <c r="B3" s="150"/>
      <c r="C3" s="126"/>
      <c r="D3" s="55"/>
      <c r="E3" s="55"/>
      <c r="F3" s="55"/>
      <c r="G3" s="55"/>
      <c r="H3" s="55"/>
      <c r="I3" s="130"/>
      <c r="J3" s="130"/>
      <c r="K3" s="130"/>
      <c r="L3" s="130"/>
      <c r="M3" s="130"/>
      <c r="N3" s="130"/>
      <c r="O3" s="56"/>
    </row>
    <row r="4" spans="1:15" ht="5.25" customHeight="1" thickBot="1" x14ac:dyDescent="0.3">
      <c r="B4" s="57"/>
      <c r="C4" s="127"/>
      <c r="D4" s="60"/>
      <c r="E4" s="60"/>
      <c r="F4" s="60"/>
      <c r="G4" s="60"/>
      <c r="H4" s="60"/>
      <c r="I4" s="136"/>
      <c r="J4" s="136"/>
      <c r="K4" s="136"/>
      <c r="L4" s="136"/>
      <c r="M4" s="136"/>
      <c r="N4" s="136"/>
      <c r="O4" s="61"/>
    </row>
    <row r="5" spans="1:15" ht="26.25" x14ac:dyDescent="0.4">
      <c r="B5" s="57"/>
      <c r="C5" s="141"/>
      <c r="D5" s="142"/>
      <c r="E5" s="142"/>
      <c r="F5" s="142"/>
      <c r="G5" s="143"/>
      <c r="H5" s="143"/>
      <c r="I5" s="144"/>
      <c r="J5" s="144"/>
      <c r="K5" s="144"/>
      <c r="L5" s="130"/>
      <c r="M5" s="130"/>
      <c r="N5" s="130"/>
      <c r="O5" s="56"/>
    </row>
    <row r="6" spans="1:15" ht="11.25" customHeight="1" x14ac:dyDescent="0.25">
      <c r="B6" s="57"/>
      <c r="C6" s="168" t="s">
        <v>658</v>
      </c>
      <c r="D6" s="169"/>
      <c r="E6" s="169"/>
      <c r="F6" s="169"/>
      <c r="G6" s="169"/>
      <c r="H6" s="59"/>
      <c r="I6" s="131"/>
      <c r="J6" s="131"/>
      <c r="K6" s="131"/>
      <c r="L6" s="136"/>
      <c r="M6" s="136"/>
      <c r="N6" s="136"/>
      <c r="O6" s="61"/>
    </row>
    <row r="7" spans="1:15" ht="11.25" customHeight="1" x14ac:dyDescent="0.25">
      <c r="B7" s="57"/>
      <c r="C7" s="168"/>
      <c r="D7" s="169"/>
      <c r="E7" s="169"/>
      <c r="F7" s="169"/>
      <c r="G7" s="169"/>
      <c r="H7" s="62"/>
      <c r="I7" s="132"/>
      <c r="J7" s="132"/>
      <c r="K7" s="132"/>
      <c r="L7" s="136"/>
      <c r="M7" s="136"/>
      <c r="N7" s="136"/>
      <c r="O7" s="61"/>
    </row>
    <row r="8" spans="1:15" ht="15" customHeight="1" x14ac:dyDescent="0.25">
      <c r="B8" s="57"/>
      <c r="C8" s="167">
        <f>Matrix_prices!A2</f>
        <v>42374</v>
      </c>
      <c r="D8" s="60"/>
      <c r="E8" s="60"/>
      <c r="F8" s="60"/>
      <c r="G8" s="62"/>
      <c r="H8" s="62"/>
      <c r="I8" s="132"/>
      <c r="J8" s="132"/>
      <c r="K8" s="132"/>
      <c r="L8" s="136"/>
      <c r="M8" s="136"/>
      <c r="N8" s="136"/>
      <c r="O8" s="61"/>
    </row>
    <row r="9" spans="1:15" ht="10.5" customHeight="1" x14ac:dyDescent="0.25">
      <c r="B9" s="57"/>
      <c r="C9" s="167"/>
      <c r="D9" s="140"/>
      <c r="E9" s="60"/>
      <c r="F9" s="60"/>
      <c r="G9" s="62"/>
      <c r="H9" s="62"/>
      <c r="I9" s="132"/>
      <c r="J9" s="132"/>
      <c r="K9" s="132"/>
      <c r="L9" s="137" t="s">
        <v>92</v>
      </c>
      <c r="M9" s="138" t="s">
        <v>93</v>
      </c>
      <c r="N9" s="136"/>
      <c r="O9" s="61"/>
    </row>
    <row r="10" spans="1:15" ht="15" customHeight="1" x14ac:dyDescent="0.25">
      <c r="B10" s="57"/>
      <c r="C10" s="145" t="s">
        <v>0</v>
      </c>
      <c r="D10" s="60"/>
      <c r="E10" s="60"/>
      <c r="F10" s="60"/>
      <c r="G10" s="62"/>
      <c r="H10" s="68"/>
      <c r="I10" s="133"/>
      <c r="J10" s="133"/>
      <c r="K10" s="133"/>
      <c r="L10" s="133">
        <f>IF([2]Matrix!L2="Prices in $/kWh",1000,1)</f>
        <v>1</v>
      </c>
      <c r="M10" s="134">
        <f>IF([2]Matrix!L2="Prices in $/kWh",2,1)</f>
        <v>1</v>
      </c>
      <c r="N10" s="134"/>
      <c r="O10" s="61"/>
    </row>
    <row r="11" spans="1:15" ht="18" customHeight="1" thickBot="1" x14ac:dyDescent="0.3">
      <c r="B11" s="57"/>
      <c r="C11" s="146"/>
      <c r="D11" s="68"/>
      <c r="E11" s="62"/>
      <c r="F11" s="68"/>
      <c r="G11" s="62"/>
      <c r="H11" s="69"/>
      <c r="I11" s="134"/>
      <c r="J11" s="134"/>
      <c r="K11" s="134"/>
      <c r="L11" s="134">
        <v>3</v>
      </c>
      <c r="M11" s="134">
        <v>4</v>
      </c>
      <c r="N11" s="134">
        <v>5</v>
      </c>
      <c r="O11" s="61"/>
    </row>
    <row r="12" spans="1:15" ht="24.75" customHeight="1" x14ac:dyDescent="0.25">
      <c r="B12" s="57"/>
      <c r="C12" s="147"/>
      <c r="D12" s="60"/>
      <c r="E12" s="60"/>
      <c r="F12" s="60"/>
      <c r="G12" s="60"/>
      <c r="H12" s="60"/>
      <c r="I12" s="165" t="s">
        <v>1091</v>
      </c>
      <c r="J12" s="166"/>
      <c r="K12" s="166"/>
      <c r="L12" s="163" t="s">
        <v>1092</v>
      </c>
      <c r="M12" s="163"/>
      <c r="N12" s="164"/>
      <c r="O12" s="61"/>
    </row>
    <row r="13" spans="1:15" ht="24.75" customHeight="1" thickBot="1" x14ac:dyDescent="0.3">
      <c r="A13" s="70" t="e">
        <f>COUNTIF(#REF!,"&gt;0")</f>
        <v>#REF!</v>
      </c>
      <c r="B13" s="158">
        <v>0</v>
      </c>
      <c r="C13" s="159" t="s">
        <v>1</v>
      </c>
      <c r="D13" s="160" t="s">
        <v>2</v>
      </c>
      <c r="E13" s="160" t="s">
        <v>3</v>
      </c>
      <c r="F13" s="160" t="s">
        <v>4</v>
      </c>
      <c r="G13" s="160" t="s">
        <v>89</v>
      </c>
      <c r="H13" s="160" t="s">
        <v>55</v>
      </c>
      <c r="I13" s="161" t="s">
        <v>56</v>
      </c>
      <c r="J13" s="161" t="s">
        <v>57</v>
      </c>
      <c r="K13" s="161" t="s">
        <v>58</v>
      </c>
      <c r="L13" s="161" t="s">
        <v>56</v>
      </c>
      <c r="M13" s="161" t="s">
        <v>57</v>
      </c>
      <c r="N13" s="161" t="s">
        <v>58</v>
      </c>
      <c r="O13" s="88"/>
    </row>
    <row r="14" spans="1:15" x14ac:dyDescent="0.25">
      <c r="B14" s="57"/>
      <c r="C14" s="151">
        <f>Matrix_prices!C2</f>
        <v>42401</v>
      </c>
      <c r="D14" s="152" t="str">
        <f>Matrix_prices!D2</f>
        <v>IL</v>
      </c>
      <c r="E14" s="153" t="str">
        <f>Matrix_prices!E2</f>
        <v>ComED</v>
      </c>
      <c r="F14" s="152" t="str">
        <f>Matrix_prices!F2</f>
        <v>LP28</v>
      </c>
      <c r="G14" s="153" t="str">
        <f>Matrix_prices!G2</f>
        <v>0-100 Kw</v>
      </c>
      <c r="H14" s="157" t="str">
        <f t="shared" ref="H14:H68" si="0">IF($M$2="Prices in $/MWh","0-100 MWh","0-100,000 kWh")</f>
        <v>0-100 MWh</v>
      </c>
      <c r="I14" s="153">
        <f>(Matrix_prices!I2+$D$2)*IF($M$2="Prices in $/MWh",1,1/1000)</f>
        <v>64.61</v>
      </c>
      <c r="J14" s="152">
        <f>(Matrix_prices!J2+$D$2)*IF($M$2="Prices in $/MWh",1,1/1000)</f>
        <v>65.63</v>
      </c>
      <c r="K14" s="153">
        <f>(Matrix_prices!K2+$D$2)*IF($M$2="Prices in $/MWh",1,1/1000)</f>
        <v>66.400000000000006</v>
      </c>
      <c r="L14" s="152">
        <f>(Matrix_prices!L2+$D$2)*IF($M$2="Prices in $/MWh",1,1/1000)</f>
        <v>32.630000000000003</v>
      </c>
      <c r="M14" s="153">
        <f>(Matrix_prices!M2+$D$2)*IF($M$2="Prices in $/MWh",1,1/1000)</f>
        <v>33.119999999999997</v>
      </c>
      <c r="N14" s="152">
        <f>(Matrix_prices!N2+$D$2)*IF($M$2="Prices in $/MWh",1,1/1000)</f>
        <v>34.24</v>
      </c>
      <c r="O14" s="61"/>
    </row>
    <row r="15" spans="1:15" x14ac:dyDescent="0.25">
      <c r="B15" s="57"/>
      <c r="C15" s="78">
        <f>Matrix_prices!C3</f>
        <v>42401</v>
      </c>
      <c r="D15" s="79" t="str">
        <f>Matrix_prices!D3</f>
        <v>IL</v>
      </c>
      <c r="E15" s="80" t="str">
        <f>Matrix_prices!E3</f>
        <v>ComED</v>
      </c>
      <c r="F15" s="79" t="str">
        <f>Matrix_prices!F3</f>
        <v>LP28</v>
      </c>
      <c r="G15" s="80" t="str">
        <f>Matrix_prices!G3</f>
        <v>0-100 Kw</v>
      </c>
      <c r="H15" s="81" t="str">
        <f t="shared" ref="H15:H69" si="1">IF($M$2="Prices in $/MWh","100-500 MWh","100,000-500,000 kWh")</f>
        <v>100-500 MWh</v>
      </c>
      <c r="I15" s="80">
        <f>(Matrix_prices!I3+$D$2)*IF($M$2="Prices in $/MWh",1,1/1000)</f>
        <v>63.01</v>
      </c>
      <c r="J15" s="79">
        <f>(Matrix_prices!J3+$D$2)*IF($M$2="Prices in $/MWh",1,1/1000)</f>
        <v>64.03</v>
      </c>
      <c r="K15" s="80">
        <f>(Matrix_prices!K3+$D$2)*IF($M$2="Prices in $/MWh",1,1/1000)</f>
        <v>64.8</v>
      </c>
      <c r="L15" s="79">
        <f>(Matrix_prices!L3+$D$2)*IF($M$2="Prices in $/MWh",1,1/1000)</f>
        <v>31.03</v>
      </c>
      <c r="M15" s="80">
        <f>(Matrix_prices!M3+$D$2)*IF($M$2="Prices in $/MWh",1,1/1000)</f>
        <v>31.52</v>
      </c>
      <c r="N15" s="79">
        <f>(Matrix_prices!N3+$D$2)*IF($M$2="Prices in $/MWh",1,1/1000)</f>
        <v>32.64</v>
      </c>
      <c r="O15" s="61"/>
    </row>
    <row r="16" spans="1:15" x14ac:dyDescent="0.25">
      <c r="B16" s="57"/>
      <c r="C16" s="82">
        <f>Matrix_prices!C4</f>
        <v>42401</v>
      </c>
      <c r="D16" s="83" t="str">
        <f>Matrix_prices!D4</f>
        <v>IL</v>
      </c>
      <c r="E16" s="84" t="str">
        <f>Matrix_prices!E4</f>
        <v>ComED</v>
      </c>
      <c r="F16" s="83" t="str">
        <f>Matrix_prices!F4</f>
        <v>LP28</v>
      </c>
      <c r="G16" s="84" t="str">
        <f>Matrix_prices!G4</f>
        <v>0-100 Kw</v>
      </c>
      <c r="H16" s="85" t="str">
        <f t="shared" ref="H16:H70" si="2">IF($M$2="Prices in $/MWh","500-2500 MWh","500,000-2,500,000 kWh")</f>
        <v>500-2500 MWh</v>
      </c>
      <c r="I16" s="84">
        <f>(Matrix_prices!I4+$D$2)*IF($M$2="Prices in $/MWh",1,1/1000)</f>
        <v>61.96</v>
      </c>
      <c r="J16" s="83">
        <f>(Matrix_prices!J4+$D$2)*IF($M$2="Prices in $/MWh",1,1/1000)</f>
        <v>62.98</v>
      </c>
      <c r="K16" s="84">
        <f>(Matrix_prices!K4+$D$2)*IF($M$2="Prices in $/MWh",1,1/1000)</f>
        <v>63.75</v>
      </c>
      <c r="L16" s="83">
        <f>(Matrix_prices!L4+$D$2)*IF($M$2="Prices in $/MWh",1,1/1000)</f>
        <v>29.98</v>
      </c>
      <c r="M16" s="84">
        <f>(Matrix_prices!M4+$D$2)*IF($M$2="Prices in $/MWh",1,1/1000)</f>
        <v>30.47</v>
      </c>
      <c r="N16" s="83">
        <f>(Matrix_prices!N4+$D$2)*IF($M$2="Prices in $/MWh",1,1/1000)</f>
        <v>31.59</v>
      </c>
      <c r="O16" s="61"/>
    </row>
    <row r="17" spans="2:15" x14ac:dyDescent="0.25">
      <c r="B17" s="57"/>
      <c r="C17" s="74">
        <f>Matrix_prices!C5</f>
        <v>42430</v>
      </c>
      <c r="D17" s="75" t="str">
        <f>Matrix_prices!D5</f>
        <v>IL</v>
      </c>
      <c r="E17" s="76" t="str">
        <f>Matrix_prices!E5</f>
        <v>ComED</v>
      </c>
      <c r="F17" s="75" t="str">
        <f>Matrix_prices!F5</f>
        <v>LP28</v>
      </c>
      <c r="G17" s="76" t="str">
        <f>Matrix_prices!G5</f>
        <v>0-100 Kw</v>
      </c>
      <c r="H17" s="157" t="str">
        <f t="shared" si="0"/>
        <v>0-100 MWh</v>
      </c>
      <c r="I17" s="76">
        <f>(Matrix_prices!I5+$D$2)*IF($M$2="Prices in $/MWh",1,1/1000)</f>
        <v>64.599999999999994</v>
      </c>
      <c r="J17" s="75">
        <f>(Matrix_prices!J5+$D$2)*IF($M$2="Prices in $/MWh",1,1/1000)</f>
        <v>65.8</v>
      </c>
      <c r="K17" s="76">
        <f>(Matrix_prices!K5+$D$2)*IF($M$2="Prices in $/MWh",1,1/1000)</f>
        <v>66.63</v>
      </c>
      <c r="L17" s="75">
        <f>(Matrix_prices!L5+$D$2)*IF($M$2="Prices in $/MWh",1,1/1000)</f>
        <v>32.4</v>
      </c>
      <c r="M17" s="76">
        <f>(Matrix_prices!M5+$D$2)*IF($M$2="Prices in $/MWh",1,1/1000)</f>
        <v>33.15</v>
      </c>
      <c r="N17" s="75">
        <f>(Matrix_prices!N5+$D$2)*IF($M$2="Prices in $/MWh",1,1/1000)</f>
        <v>34.369999999999997</v>
      </c>
      <c r="O17" s="61"/>
    </row>
    <row r="18" spans="2:15" x14ac:dyDescent="0.25">
      <c r="B18" s="57"/>
      <c r="C18" s="78">
        <f>Matrix_prices!C6</f>
        <v>42430</v>
      </c>
      <c r="D18" s="79" t="str">
        <f>Matrix_prices!D6</f>
        <v>IL</v>
      </c>
      <c r="E18" s="80" t="str">
        <f>Matrix_prices!E6</f>
        <v>ComED</v>
      </c>
      <c r="F18" s="79" t="str">
        <f>Matrix_prices!F6</f>
        <v>LP28</v>
      </c>
      <c r="G18" s="80" t="str">
        <f>Matrix_prices!G6</f>
        <v>0-100 Kw</v>
      </c>
      <c r="H18" s="81" t="str">
        <f t="shared" si="1"/>
        <v>100-500 MWh</v>
      </c>
      <c r="I18" s="80">
        <f>(Matrix_prices!I6+$D$2)*IF($M$2="Prices in $/MWh",1,1/1000)</f>
        <v>63</v>
      </c>
      <c r="J18" s="79">
        <f>(Matrix_prices!J6+$D$2)*IF($M$2="Prices in $/MWh",1,1/1000)</f>
        <v>64.2</v>
      </c>
      <c r="K18" s="80">
        <f>(Matrix_prices!K6+$D$2)*IF($M$2="Prices in $/MWh",1,1/1000)</f>
        <v>65.03</v>
      </c>
      <c r="L18" s="79">
        <f>(Matrix_prices!L6+$D$2)*IF($M$2="Prices in $/MWh",1,1/1000)</f>
        <v>30.8</v>
      </c>
      <c r="M18" s="80">
        <f>(Matrix_prices!M6+$D$2)*IF($M$2="Prices in $/MWh",1,1/1000)</f>
        <v>31.55</v>
      </c>
      <c r="N18" s="79">
        <f>(Matrix_prices!N6+$D$2)*IF($M$2="Prices in $/MWh",1,1/1000)</f>
        <v>32.770000000000003</v>
      </c>
      <c r="O18" s="61"/>
    </row>
    <row r="19" spans="2:15" x14ac:dyDescent="0.25">
      <c r="B19" s="57"/>
      <c r="C19" s="82">
        <f>Matrix_prices!C7</f>
        <v>42430</v>
      </c>
      <c r="D19" s="83" t="str">
        <f>Matrix_prices!D7</f>
        <v>IL</v>
      </c>
      <c r="E19" s="84" t="str">
        <f>Matrix_prices!E7</f>
        <v>ComED</v>
      </c>
      <c r="F19" s="83" t="str">
        <f>Matrix_prices!F7</f>
        <v>LP28</v>
      </c>
      <c r="G19" s="84" t="str">
        <f>Matrix_prices!G7</f>
        <v>0-100 Kw</v>
      </c>
      <c r="H19" s="85" t="str">
        <f t="shared" si="2"/>
        <v>500-2500 MWh</v>
      </c>
      <c r="I19" s="84">
        <f>(Matrix_prices!I7+$D$2)*IF($M$2="Prices in $/MWh",1,1/1000)</f>
        <v>61.95</v>
      </c>
      <c r="J19" s="83">
        <f>(Matrix_prices!J7+$D$2)*IF($M$2="Prices in $/MWh",1,1/1000)</f>
        <v>63.15</v>
      </c>
      <c r="K19" s="84">
        <f>(Matrix_prices!K7+$D$2)*IF($M$2="Prices in $/MWh",1,1/1000)</f>
        <v>63.98</v>
      </c>
      <c r="L19" s="83">
        <f>(Matrix_prices!L7+$D$2)*IF($M$2="Prices in $/MWh",1,1/1000)</f>
        <v>29.75</v>
      </c>
      <c r="M19" s="84">
        <f>(Matrix_prices!M7+$D$2)*IF($M$2="Prices in $/MWh",1,1/1000)</f>
        <v>30.5</v>
      </c>
      <c r="N19" s="83">
        <f>(Matrix_prices!N7+$D$2)*IF($M$2="Prices in $/MWh",1,1/1000)</f>
        <v>31.72</v>
      </c>
      <c r="O19" s="61"/>
    </row>
    <row r="20" spans="2:15" x14ac:dyDescent="0.25">
      <c r="B20" s="57"/>
      <c r="C20" s="151">
        <f>Matrix_prices!C8</f>
        <v>42461</v>
      </c>
      <c r="D20" s="152" t="str">
        <f>Matrix_prices!D8</f>
        <v>IL</v>
      </c>
      <c r="E20" s="153" t="str">
        <f>Matrix_prices!E8</f>
        <v>ComED</v>
      </c>
      <c r="F20" s="152" t="str">
        <f>Matrix_prices!F8</f>
        <v>LP28</v>
      </c>
      <c r="G20" s="153" t="str">
        <f>Matrix_prices!G8</f>
        <v>0-100 Kw</v>
      </c>
      <c r="H20" s="157" t="str">
        <f t="shared" si="0"/>
        <v>0-100 MWh</v>
      </c>
      <c r="I20" s="153">
        <f>(Matrix_prices!I8+$D$2)*IF($M$2="Prices in $/MWh",1,1/1000)</f>
        <v>64.569999999999993</v>
      </c>
      <c r="J20" s="152">
        <f>(Matrix_prices!J8+$D$2)*IF($M$2="Prices in $/MWh",1,1/1000)</f>
        <v>65.760000000000005</v>
      </c>
      <c r="K20" s="153">
        <f>(Matrix_prices!K8+$D$2)*IF($M$2="Prices in $/MWh",1,1/1000)</f>
        <v>66.87</v>
      </c>
      <c r="L20" s="152">
        <f>(Matrix_prices!L8+$D$2)*IF($M$2="Prices in $/MWh",1,1/1000)</f>
        <v>32.15</v>
      </c>
      <c r="M20" s="153">
        <f>(Matrix_prices!M8+$D$2)*IF($M$2="Prices in $/MWh",1,1/1000)</f>
        <v>33.200000000000003</v>
      </c>
      <c r="N20" s="152">
        <f>(Matrix_prices!N8+$D$2)*IF($M$2="Prices in $/MWh",1,1/1000)</f>
        <v>34.51</v>
      </c>
      <c r="O20" s="61"/>
    </row>
    <row r="21" spans="2:15" x14ac:dyDescent="0.25">
      <c r="B21" s="57"/>
      <c r="C21" s="78">
        <f>Matrix_prices!C9</f>
        <v>42461</v>
      </c>
      <c r="D21" s="79" t="str">
        <f>Matrix_prices!D9</f>
        <v>IL</v>
      </c>
      <c r="E21" s="80" t="str">
        <f>Matrix_prices!E9</f>
        <v>ComED</v>
      </c>
      <c r="F21" s="79" t="str">
        <f>Matrix_prices!F9</f>
        <v>LP28</v>
      </c>
      <c r="G21" s="80" t="str">
        <f>Matrix_prices!G9</f>
        <v>0-100 Kw</v>
      </c>
      <c r="H21" s="81" t="str">
        <f t="shared" si="1"/>
        <v>100-500 MWh</v>
      </c>
      <c r="I21" s="80">
        <f>(Matrix_prices!I9+$D$2)*IF($M$2="Prices in $/MWh",1,1/1000)</f>
        <v>62.97</v>
      </c>
      <c r="J21" s="79">
        <f>(Matrix_prices!J9+$D$2)*IF($M$2="Prices in $/MWh",1,1/1000)</f>
        <v>64.16</v>
      </c>
      <c r="K21" s="80">
        <f>(Matrix_prices!K9+$D$2)*IF($M$2="Prices in $/MWh",1,1/1000)</f>
        <v>65.27</v>
      </c>
      <c r="L21" s="79">
        <f>(Matrix_prices!L9+$D$2)*IF($M$2="Prices in $/MWh",1,1/1000)</f>
        <v>30.55</v>
      </c>
      <c r="M21" s="80">
        <f>(Matrix_prices!M9+$D$2)*IF($M$2="Prices in $/MWh",1,1/1000)</f>
        <v>31.6</v>
      </c>
      <c r="N21" s="79">
        <f>(Matrix_prices!N9+$D$2)*IF($M$2="Prices in $/MWh",1,1/1000)</f>
        <v>32.909999999999997</v>
      </c>
      <c r="O21" s="61"/>
    </row>
    <row r="22" spans="2:15" x14ac:dyDescent="0.25">
      <c r="B22" s="57"/>
      <c r="C22" s="82">
        <f>Matrix_prices!C10</f>
        <v>42461</v>
      </c>
      <c r="D22" s="83" t="str">
        <f>Matrix_prices!D10</f>
        <v>IL</v>
      </c>
      <c r="E22" s="84" t="str">
        <f>Matrix_prices!E10</f>
        <v>ComED</v>
      </c>
      <c r="F22" s="83" t="str">
        <f>Matrix_prices!F10</f>
        <v>LP28</v>
      </c>
      <c r="G22" s="84" t="str">
        <f>Matrix_prices!G10</f>
        <v>0-100 Kw</v>
      </c>
      <c r="H22" s="85" t="str">
        <f t="shared" si="2"/>
        <v>500-2500 MWh</v>
      </c>
      <c r="I22" s="84">
        <f>(Matrix_prices!I10+$D$2)*IF($M$2="Prices in $/MWh",1,1/1000)</f>
        <v>61.92</v>
      </c>
      <c r="J22" s="83">
        <f>(Matrix_prices!J10+$D$2)*IF($M$2="Prices in $/MWh",1,1/1000)</f>
        <v>63.11</v>
      </c>
      <c r="K22" s="84">
        <f>(Matrix_prices!K10+$D$2)*IF($M$2="Prices in $/MWh",1,1/1000)</f>
        <v>64.22</v>
      </c>
      <c r="L22" s="83">
        <f>(Matrix_prices!L10+$D$2)*IF($M$2="Prices in $/MWh",1,1/1000)</f>
        <v>29.5</v>
      </c>
      <c r="M22" s="84">
        <f>(Matrix_prices!M10+$D$2)*IF($M$2="Prices in $/MWh",1,1/1000)</f>
        <v>30.55</v>
      </c>
      <c r="N22" s="83">
        <f>(Matrix_prices!N10+$D$2)*IF($M$2="Prices in $/MWh",1,1/1000)</f>
        <v>31.86</v>
      </c>
      <c r="O22" s="61"/>
    </row>
    <row r="23" spans="2:15" x14ac:dyDescent="0.25">
      <c r="B23" s="57"/>
      <c r="C23" s="74">
        <f>Matrix_prices!C11</f>
        <v>42491</v>
      </c>
      <c r="D23" s="75" t="str">
        <f>Matrix_prices!D11</f>
        <v>IL</v>
      </c>
      <c r="E23" s="76" t="str">
        <f>Matrix_prices!E11</f>
        <v>ComED</v>
      </c>
      <c r="F23" s="75" t="str">
        <f>Matrix_prices!F11</f>
        <v>LP28</v>
      </c>
      <c r="G23" s="76" t="str">
        <f>Matrix_prices!G11</f>
        <v>0-100 Kw</v>
      </c>
      <c r="H23" s="157" t="str">
        <f t="shared" si="0"/>
        <v>0-100 MWh</v>
      </c>
      <c r="I23" s="76">
        <f>(Matrix_prices!I11+$D$2)*IF($M$2="Prices in $/MWh",1,1/1000)</f>
        <v>64.38</v>
      </c>
      <c r="J23" s="75">
        <f>(Matrix_prices!J11+$D$2)*IF($M$2="Prices in $/MWh",1,1/1000)</f>
        <v>65.77</v>
      </c>
      <c r="K23" s="76">
        <f>(Matrix_prices!K11+$D$2)*IF($M$2="Prices in $/MWh",1,1/1000)</f>
        <v>67.010000000000005</v>
      </c>
      <c r="L23" s="75">
        <f>(Matrix_prices!L11+$D$2)*IF($M$2="Prices in $/MWh",1,1/1000)</f>
        <v>31.9</v>
      </c>
      <c r="M23" s="76">
        <f>(Matrix_prices!M11+$D$2)*IF($M$2="Prices in $/MWh",1,1/1000)</f>
        <v>33.29</v>
      </c>
      <c r="N23" s="75">
        <f>(Matrix_prices!N11+$D$2)*IF($M$2="Prices in $/MWh",1,1/1000)</f>
        <v>34.64</v>
      </c>
      <c r="O23" s="61"/>
    </row>
    <row r="24" spans="2:15" x14ac:dyDescent="0.25">
      <c r="B24" s="57"/>
      <c r="C24" s="78">
        <f>Matrix_prices!C12</f>
        <v>42491</v>
      </c>
      <c r="D24" s="79" t="str">
        <f>Matrix_prices!D12</f>
        <v>IL</v>
      </c>
      <c r="E24" s="80" t="str">
        <f>Matrix_prices!E12</f>
        <v>ComED</v>
      </c>
      <c r="F24" s="79" t="str">
        <f>Matrix_prices!F12</f>
        <v>LP28</v>
      </c>
      <c r="G24" s="80" t="str">
        <f>Matrix_prices!G12</f>
        <v>0-100 Kw</v>
      </c>
      <c r="H24" s="81" t="str">
        <f t="shared" si="1"/>
        <v>100-500 MWh</v>
      </c>
      <c r="I24" s="80">
        <f>(Matrix_prices!I12+$D$2)*IF($M$2="Prices in $/MWh",1,1/1000)</f>
        <v>62.78</v>
      </c>
      <c r="J24" s="79">
        <f>(Matrix_prices!J12+$D$2)*IF($M$2="Prices in $/MWh",1,1/1000)</f>
        <v>64.17</v>
      </c>
      <c r="K24" s="80">
        <f>(Matrix_prices!K12+$D$2)*IF($M$2="Prices in $/MWh",1,1/1000)</f>
        <v>65.41</v>
      </c>
      <c r="L24" s="79">
        <f>(Matrix_prices!L12+$D$2)*IF($M$2="Prices in $/MWh",1,1/1000)</f>
        <v>30.3</v>
      </c>
      <c r="M24" s="80">
        <f>(Matrix_prices!M12+$D$2)*IF($M$2="Prices in $/MWh",1,1/1000)</f>
        <v>31.69</v>
      </c>
      <c r="N24" s="79">
        <f>(Matrix_prices!N12+$D$2)*IF($M$2="Prices in $/MWh",1,1/1000)</f>
        <v>33.04</v>
      </c>
      <c r="O24" s="61"/>
    </row>
    <row r="25" spans="2:15" x14ac:dyDescent="0.25">
      <c r="B25" s="57"/>
      <c r="C25" s="82">
        <f>Matrix_prices!C13</f>
        <v>42491</v>
      </c>
      <c r="D25" s="83" t="str">
        <f>Matrix_prices!D13</f>
        <v>IL</v>
      </c>
      <c r="E25" s="84" t="str">
        <f>Matrix_prices!E13</f>
        <v>ComED</v>
      </c>
      <c r="F25" s="83" t="str">
        <f>Matrix_prices!F13</f>
        <v>LP28</v>
      </c>
      <c r="G25" s="84" t="str">
        <f>Matrix_prices!G13</f>
        <v>0-100 Kw</v>
      </c>
      <c r="H25" s="85" t="str">
        <f t="shared" si="2"/>
        <v>500-2500 MWh</v>
      </c>
      <c r="I25" s="84">
        <f>(Matrix_prices!I13+$D$2)*IF($M$2="Prices in $/MWh",1,1/1000)</f>
        <v>61.73</v>
      </c>
      <c r="J25" s="83">
        <f>(Matrix_prices!J13+$D$2)*IF($M$2="Prices in $/MWh",1,1/1000)</f>
        <v>63.12</v>
      </c>
      <c r="K25" s="84">
        <f>(Matrix_prices!K13+$D$2)*IF($M$2="Prices in $/MWh",1,1/1000)</f>
        <v>64.36</v>
      </c>
      <c r="L25" s="83">
        <f>(Matrix_prices!L13+$D$2)*IF($M$2="Prices in $/MWh",1,1/1000)</f>
        <v>29.25</v>
      </c>
      <c r="M25" s="84">
        <f>(Matrix_prices!M13+$D$2)*IF($M$2="Prices in $/MWh",1,1/1000)</f>
        <v>30.64</v>
      </c>
      <c r="N25" s="83">
        <f>(Matrix_prices!N13+$D$2)*IF($M$2="Prices in $/MWh",1,1/1000)</f>
        <v>31.99</v>
      </c>
      <c r="O25" s="61"/>
    </row>
    <row r="26" spans="2:15" x14ac:dyDescent="0.25">
      <c r="B26" s="57"/>
      <c r="C26" s="151">
        <f>Matrix_prices!C14</f>
        <v>42522</v>
      </c>
      <c r="D26" s="152" t="str">
        <f>Matrix_prices!D14</f>
        <v>IL</v>
      </c>
      <c r="E26" s="153" t="str">
        <f>Matrix_prices!E14</f>
        <v>ComED</v>
      </c>
      <c r="F26" s="152" t="str">
        <f>Matrix_prices!F14</f>
        <v>LP28</v>
      </c>
      <c r="G26" s="153" t="str">
        <f>Matrix_prices!G14</f>
        <v>0-100 Kw</v>
      </c>
      <c r="H26" s="157" t="str">
        <f t="shared" si="0"/>
        <v>0-100 MWh</v>
      </c>
      <c r="I26" s="153">
        <f>(Matrix_prices!I14+$D$2)*IF($M$2="Prices in $/MWh",1,1/1000)</f>
        <v>64.19</v>
      </c>
      <c r="J26" s="152">
        <f>(Matrix_prices!J14+$D$2)*IF($M$2="Prices in $/MWh",1,1/1000)</f>
        <v>65.7</v>
      </c>
      <c r="K26" s="153">
        <f>(Matrix_prices!K14+$D$2)*IF($M$2="Prices in $/MWh",1,1/1000)</f>
        <v>67.2</v>
      </c>
      <c r="L26" s="152">
        <f>(Matrix_prices!L14+$D$2)*IF($M$2="Prices in $/MWh",1,1/1000)</f>
        <v>31.63</v>
      </c>
      <c r="M26" s="153">
        <f>(Matrix_prices!M14+$D$2)*IF($M$2="Prices in $/MWh",1,1/1000)</f>
        <v>33.340000000000003</v>
      </c>
      <c r="N26" s="152">
        <f>(Matrix_prices!N14+$D$2)*IF($M$2="Prices in $/MWh",1,1/1000)</f>
        <v>34.76</v>
      </c>
      <c r="O26" s="61"/>
    </row>
    <row r="27" spans="2:15" x14ac:dyDescent="0.25">
      <c r="B27" s="57"/>
      <c r="C27" s="78">
        <f>Matrix_prices!C15</f>
        <v>42522</v>
      </c>
      <c r="D27" s="79" t="str">
        <f>Matrix_prices!D15</f>
        <v>IL</v>
      </c>
      <c r="E27" s="80" t="str">
        <f>Matrix_prices!E15</f>
        <v>ComED</v>
      </c>
      <c r="F27" s="79" t="str">
        <f>Matrix_prices!F15</f>
        <v>LP28</v>
      </c>
      <c r="G27" s="80" t="str">
        <f>Matrix_prices!G15</f>
        <v>0-100 Kw</v>
      </c>
      <c r="H27" s="81" t="str">
        <f t="shared" si="1"/>
        <v>100-500 MWh</v>
      </c>
      <c r="I27" s="80">
        <f>(Matrix_prices!I15+$D$2)*IF($M$2="Prices in $/MWh",1,1/1000)</f>
        <v>62.59</v>
      </c>
      <c r="J27" s="79">
        <f>(Matrix_prices!J15+$D$2)*IF($M$2="Prices in $/MWh",1,1/1000)</f>
        <v>64.099999999999994</v>
      </c>
      <c r="K27" s="80">
        <f>(Matrix_prices!K15+$D$2)*IF($M$2="Prices in $/MWh",1,1/1000)</f>
        <v>65.599999999999994</v>
      </c>
      <c r="L27" s="79">
        <f>(Matrix_prices!L15+$D$2)*IF($M$2="Prices in $/MWh",1,1/1000)</f>
        <v>30.03</v>
      </c>
      <c r="M27" s="80">
        <f>(Matrix_prices!M15+$D$2)*IF($M$2="Prices in $/MWh",1,1/1000)</f>
        <v>31.74</v>
      </c>
      <c r="N27" s="79">
        <f>(Matrix_prices!N15+$D$2)*IF($M$2="Prices in $/MWh",1,1/1000)</f>
        <v>33.159999999999997</v>
      </c>
      <c r="O27" s="61"/>
    </row>
    <row r="28" spans="2:15" ht="15" customHeight="1" x14ac:dyDescent="0.25">
      <c r="B28" s="57"/>
      <c r="C28" s="82">
        <f>Matrix_prices!C16</f>
        <v>42522</v>
      </c>
      <c r="D28" s="83" t="str">
        <f>Matrix_prices!D16</f>
        <v>IL</v>
      </c>
      <c r="E28" s="84" t="str">
        <f>Matrix_prices!E16</f>
        <v>ComED</v>
      </c>
      <c r="F28" s="83" t="str">
        <f>Matrix_prices!F16</f>
        <v>LP28</v>
      </c>
      <c r="G28" s="84" t="str">
        <f>Matrix_prices!G16</f>
        <v>0-100 Kw</v>
      </c>
      <c r="H28" s="85" t="str">
        <f t="shared" si="2"/>
        <v>500-2500 MWh</v>
      </c>
      <c r="I28" s="84">
        <f>(Matrix_prices!I16+$D$2)*IF($M$2="Prices in $/MWh",1,1/1000)</f>
        <v>61.54</v>
      </c>
      <c r="J28" s="83">
        <f>(Matrix_prices!J16+$D$2)*IF($M$2="Prices in $/MWh",1,1/1000)</f>
        <v>63.05</v>
      </c>
      <c r="K28" s="84">
        <f>(Matrix_prices!K16+$D$2)*IF($M$2="Prices in $/MWh",1,1/1000)</f>
        <v>64.55</v>
      </c>
      <c r="L28" s="83">
        <f>(Matrix_prices!L16+$D$2)*IF($M$2="Prices in $/MWh",1,1/1000)</f>
        <v>28.98</v>
      </c>
      <c r="M28" s="84">
        <f>(Matrix_prices!M16+$D$2)*IF($M$2="Prices in $/MWh",1,1/1000)</f>
        <v>30.69</v>
      </c>
      <c r="N28" s="83">
        <f>(Matrix_prices!N16+$D$2)*IF($M$2="Prices in $/MWh",1,1/1000)</f>
        <v>32.11</v>
      </c>
      <c r="O28" s="61"/>
    </row>
    <row r="29" spans="2:15" ht="15" customHeight="1" x14ac:dyDescent="0.25">
      <c r="B29" s="57"/>
      <c r="C29" s="74">
        <f>Matrix_prices!C17</f>
        <v>42552</v>
      </c>
      <c r="D29" s="75" t="str">
        <f>Matrix_prices!D17</f>
        <v>IL</v>
      </c>
      <c r="E29" s="76" t="str">
        <f>Matrix_prices!E17</f>
        <v>ComED</v>
      </c>
      <c r="F29" s="75" t="str">
        <f>Matrix_prices!F17</f>
        <v>LP28</v>
      </c>
      <c r="G29" s="76" t="str">
        <f>Matrix_prices!G17</f>
        <v>0-100 Kw</v>
      </c>
      <c r="H29" s="157" t="str">
        <f t="shared" si="0"/>
        <v>0-100 MWh</v>
      </c>
      <c r="I29" s="76">
        <f>(Matrix_prices!I17+$D$2)*IF($M$2="Prices in $/MWh",1,1/1000)</f>
        <v>64.760000000000005</v>
      </c>
      <c r="J29" s="75">
        <f>(Matrix_prices!J17+$D$2)*IF($M$2="Prices in $/MWh",1,1/1000)</f>
        <v>65.97</v>
      </c>
      <c r="K29" s="76">
        <f>(Matrix_prices!K17+$D$2)*IF($M$2="Prices in $/MWh",1,1/1000)</f>
        <v>67.739999999999995</v>
      </c>
      <c r="L29" s="75">
        <f>(Matrix_prices!L17+$D$2)*IF($M$2="Prices in $/MWh",1,1/1000)</f>
        <v>32.14</v>
      </c>
      <c r="M29" s="76">
        <f>(Matrix_prices!M17+$D$2)*IF($M$2="Prices in $/MWh",1,1/1000)</f>
        <v>33.76</v>
      </c>
      <c r="N29" s="75">
        <f>(Matrix_prices!N17+$D$2)*IF($M$2="Prices in $/MWh",1,1/1000)</f>
        <v>35.29</v>
      </c>
      <c r="O29" s="61"/>
    </row>
    <row r="30" spans="2:15" ht="15" customHeight="1" x14ac:dyDescent="0.25">
      <c r="B30" s="57"/>
      <c r="C30" s="78">
        <f>Matrix_prices!C18</f>
        <v>42552</v>
      </c>
      <c r="D30" s="79" t="str">
        <f>Matrix_prices!D18</f>
        <v>IL</v>
      </c>
      <c r="E30" s="80" t="str">
        <f>Matrix_prices!E18</f>
        <v>ComED</v>
      </c>
      <c r="F30" s="79" t="str">
        <f>Matrix_prices!F18</f>
        <v>LP28</v>
      </c>
      <c r="G30" s="80" t="str">
        <f>Matrix_prices!G18</f>
        <v>0-100 Kw</v>
      </c>
      <c r="H30" s="81" t="str">
        <f t="shared" si="1"/>
        <v>100-500 MWh</v>
      </c>
      <c r="I30" s="80">
        <f>(Matrix_prices!I18+$D$2)*IF($M$2="Prices in $/MWh",1,1/1000)</f>
        <v>63.16</v>
      </c>
      <c r="J30" s="79">
        <f>(Matrix_prices!J18+$D$2)*IF($M$2="Prices in $/MWh",1,1/1000)</f>
        <v>64.37</v>
      </c>
      <c r="K30" s="80">
        <f>(Matrix_prices!K18+$D$2)*IF($M$2="Prices in $/MWh",1,1/1000)</f>
        <v>66.14</v>
      </c>
      <c r="L30" s="79">
        <f>(Matrix_prices!L18+$D$2)*IF($M$2="Prices in $/MWh",1,1/1000)</f>
        <v>30.54</v>
      </c>
      <c r="M30" s="80">
        <f>(Matrix_prices!M18+$D$2)*IF($M$2="Prices in $/MWh",1,1/1000)</f>
        <v>32.159999999999997</v>
      </c>
      <c r="N30" s="79">
        <f>(Matrix_prices!N18+$D$2)*IF($M$2="Prices in $/MWh",1,1/1000)</f>
        <v>33.69</v>
      </c>
      <c r="O30" s="61"/>
    </row>
    <row r="31" spans="2:15" ht="15" customHeight="1" x14ac:dyDescent="0.25">
      <c r="B31" s="57"/>
      <c r="C31" s="82">
        <f>Matrix_prices!C19</f>
        <v>42552</v>
      </c>
      <c r="D31" s="83" t="str">
        <f>Matrix_prices!D19</f>
        <v>IL</v>
      </c>
      <c r="E31" s="84" t="str">
        <f>Matrix_prices!E19</f>
        <v>ComED</v>
      </c>
      <c r="F31" s="83" t="str">
        <f>Matrix_prices!F19</f>
        <v>LP28</v>
      </c>
      <c r="G31" s="84" t="str">
        <f>Matrix_prices!G19</f>
        <v>0-100 Kw</v>
      </c>
      <c r="H31" s="85" t="str">
        <f t="shared" si="2"/>
        <v>500-2500 MWh</v>
      </c>
      <c r="I31" s="84">
        <f>(Matrix_prices!I19+$D$2)*IF($M$2="Prices in $/MWh",1,1/1000)</f>
        <v>62.11</v>
      </c>
      <c r="J31" s="83">
        <f>(Matrix_prices!J19+$D$2)*IF($M$2="Prices in $/MWh",1,1/1000)</f>
        <v>63.32</v>
      </c>
      <c r="K31" s="84">
        <f>(Matrix_prices!K19+$D$2)*IF($M$2="Prices in $/MWh",1,1/1000)</f>
        <v>65.09</v>
      </c>
      <c r="L31" s="83">
        <f>(Matrix_prices!L19+$D$2)*IF($M$2="Prices in $/MWh",1,1/1000)</f>
        <v>29.49</v>
      </c>
      <c r="M31" s="84">
        <f>(Matrix_prices!M19+$D$2)*IF($M$2="Prices in $/MWh",1,1/1000)</f>
        <v>31.11</v>
      </c>
      <c r="N31" s="83">
        <f>(Matrix_prices!N19+$D$2)*IF($M$2="Prices in $/MWh",1,1/1000)</f>
        <v>32.64</v>
      </c>
      <c r="O31" s="61"/>
    </row>
    <row r="32" spans="2:15" x14ac:dyDescent="0.25">
      <c r="B32" s="57"/>
      <c r="C32" s="151">
        <f>Matrix_prices!C20</f>
        <v>42583</v>
      </c>
      <c r="D32" s="152" t="str">
        <f>Matrix_prices!D20</f>
        <v>IL</v>
      </c>
      <c r="E32" s="153" t="str">
        <f>Matrix_prices!E20</f>
        <v>ComED</v>
      </c>
      <c r="F32" s="152" t="str">
        <f>Matrix_prices!F20</f>
        <v>LP28</v>
      </c>
      <c r="G32" s="153" t="str">
        <f>Matrix_prices!G20</f>
        <v>0-100 Kw</v>
      </c>
      <c r="H32" s="157" t="str">
        <f t="shared" si="0"/>
        <v>0-100 MWh</v>
      </c>
      <c r="I32" s="153">
        <f>(Matrix_prices!I20+$D$2)*IF($M$2="Prices in $/MWh",1,1/1000)</f>
        <v>65.260000000000005</v>
      </c>
      <c r="J32" s="152">
        <f>(Matrix_prices!J20+$D$2)*IF($M$2="Prices in $/MWh",1,1/1000)</f>
        <v>66.400000000000006</v>
      </c>
      <c r="K32" s="153">
        <f>(Matrix_prices!K20+$D$2)*IF($M$2="Prices in $/MWh",1,1/1000)</f>
        <v>68.33</v>
      </c>
      <c r="L32" s="152">
        <f>(Matrix_prices!L20+$D$2)*IF($M$2="Prices in $/MWh",1,1/1000)</f>
        <v>32.68</v>
      </c>
      <c r="M32" s="153">
        <f>(Matrix_prices!M20+$D$2)*IF($M$2="Prices in $/MWh",1,1/1000)</f>
        <v>34.31</v>
      </c>
      <c r="N32" s="152">
        <f>(Matrix_prices!N20+$D$2)*IF($M$2="Prices in $/MWh",1,1/1000)</f>
        <v>35.85</v>
      </c>
      <c r="O32" s="61"/>
    </row>
    <row r="33" spans="2:15" x14ac:dyDescent="0.25">
      <c r="B33" s="57"/>
      <c r="C33" s="78">
        <f>Matrix_prices!C21</f>
        <v>42583</v>
      </c>
      <c r="D33" s="79" t="str">
        <f>Matrix_prices!D21</f>
        <v>IL</v>
      </c>
      <c r="E33" s="80" t="str">
        <f>Matrix_prices!E21</f>
        <v>ComED</v>
      </c>
      <c r="F33" s="79" t="str">
        <f>Matrix_prices!F21</f>
        <v>LP28</v>
      </c>
      <c r="G33" s="80" t="str">
        <f>Matrix_prices!G21</f>
        <v>0-100 Kw</v>
      </c>
      <c r="H33" s="81" t="str">
        <f t="shared" si="1"/>
        <v>100-500 MWh</v>
      </c>
      <c r="I33" s="80">
        <f>(Matrix_prices!I21+$D$2)*IF($M$2="Prices in $/MWh",1,1/1000)</f>
        <v>63.66</v>
      </c>
      <c r="J33" s="79">
        <f>(Matrix_prices!J21+$D$2)*IF($M$2="Prices in $/MWh",1,1/1000)</f>
        <v>64.8</v>
      </c>
      <c r="K33" s="80">
        <f>(Matrix_prices!K21+$D$2)*IF($M$2="Prices in $/MWh",1,1/1000)</f>
        <v>66.73</v>
      </c>
      <c r="L33" s="79">
        <f>(Matrix_prices!L21+$D$2)*IF($M$2="Prices in $/MWh",1,1/1000)</f>
        <v>31.08</v>
      </c>
      <c r="M33" s="80">
        <f>(Matrix_prices!M21+$D$2)*IF($M$2="Prices in $/MWh",1,1/1000)</f>
        <v>32.71</v>
      </c>
      <c r="N33" s="79">
        <f>(Matrix_prices!N21+$D$2)*IF($M$2="Prices in $/MWh",1,1/1000)</f>
        <v>34.25</v>
      </c>
      <c r="O33" s="61"/>
    </row>
    <row r="34" spans="2:15" x14ac:dyDescent="0.25">
      <c r="B34" s="57"/>
      <c r="C34" s="82">
        <f>Matrix_prices!C22</f>
        <v>42583</v>
      </c>
      <c r="D34" s="83" t="str">
        <f>Matrix_prices!D22</f>
        <v>IL</v>
      </c>
      <c r="E34" s="84" t="str">
        <f>Matrix_prices!E22</f>
        <v>ComED</v>
      </c>
      <c r="F34" s="83" t="str">
        <f>Matrix_prices!F22</f>
        <v>LP28</v>
      </c>
      <c r="G34" s="84" t="str">
        <f>Matrix_prices!G22</f>
        <v>0-100 Kw</v>
      </c>
      <c r="H34" s="85" t="str">
        <f t="shared" si="2"/>
        <v>500-2500 MWh</v>
      </c>
      <c r="I34" s="84">
        <f>(Matrix_prices!I22+$D$2)*IF($M$2="Prices in $/MWh",1,1/1000)</f>
        <v>62.61</v>
      </c>
      <c r="J34" s="83">
        <f>(Matrix_prices!J22+$D$2)*IF($M$2="Prices in $/MWh",1,1/1000)</f>
        <v>63.75</v>
      </c>
      <c r="K34" s="84">
        <f>(Matrix_prices!K22+$D$2)*IF($M$2="Prices in $/MWh",1,1/1000)</f>
        <v>65.680000000000007</v>
      </c>
      <c r="L34" s="83">
        <f>(Matrix_prices!L22+$D$2)*IF($M$2="Prices in $/MWh",1,1/1000)</f>
        <v>30.03</v>
      </c>
      <c r="M34" s="84">
        <f>(Matrix_prices!M22+$D$2)*IF($M$2="Prices in $/MWh",1,1/1000)</f>
        <v>31.66</v>
      </c>
      <c r="N34" s="83">
        <f>(Matrix_prices!N22+$D$2)*IF($M$2="Prices in $/MWh",1,1/1000)</f>
        <v>33.200000000000003</v>
      </c>
      <c r="O34" s="61"/>
    </row>
    <row r="35" spans="2:15" x14ac:dyDescent="0.25">
      <c r="B35" s="57"/>
      <c r="C35" s="74">
        <f>Matrix_prices!C23</f>
        <v>42614</v>
      </c>
      <c r="D35" s="75" t="str">
        <f>Matrix_prices!D23</f>
        <v>IL</v>
      </c>
      <c r="E35" s="76" t="str">
        <f>Matrix_prices!E23</f>
        <v>ComED</v>
      </c>
      <c r="F35" s="75" t="str">
        <f>Matrix_prices!F23</f>
        <v>LP28</v>
      </c>
      <c r="G35" s="76" t="str">
        <f>Matrix_prices!G23</f>
        <v>0-100 Kw</v>
      </c>
      <c r="H35" s="157" t="str">
        <f t="shared" si="0"/>
        <v>0-100 MWh</v>
      </c>
      <c r="I35" s="76">
        <f>(Matrix_prices!I23+$D$2)*IF($M$2="Prices in $/MWh",1,1/1000)</f>
        <v>65.709999999999994</v>
      </c>
      <c r="J35" s="75">
        <f>(Matrix_prices!J23+$D$2)*IF($M$2="Prices in $/MWh",1,1/1000)</f>
        <v>66.86</v>
      </c>
      <c r="K35" s="76">
        <f>(Matrix_prices!K23+$D$2)*IF($M$2="Prices in $/MWh",1,1/1000)</f>
        <v>68.87</v>
      </c>
      <c r="L35" s="75">
        <f>(Matrix_prices!L23+$D$2)*IF($M$2="Prices in $/MWh",1,1/1000)</f>
        <v>33.21</v>
      </c>
      <c r="M35" s="76">
        <f>(Matrix_prices!M23+$D$2)*IF($M$2="Prices in $/MWh",1,1/1000)</f>
        <v>34.82</v>
      </c>
      <c r="N35" s="75">
        <f>(Matrix_prices!N23+$D$2)*IF($M$2="Prices in $/MWh",1,1/1000)</f>
        <v>36.409999999999997</v>
      </c>
      <c r="O35" s="61"/>
    </row>
    <row r="36" spans="2:15" x14ac:dyDescent="0.25">
      <c r="B36" s="57"/>
      <c r="C36" s="78">
        <f>Matrix_prices!C24</f>
        <v>42614</v>
      </c>
      <c r="D36" s="79" t="str">
        <f>Matrix_prices!D24</f>
        <v>IL</v>
      </c>
      <c r="E36" s="80" t="str">
        <f>Matrix_prices!E24</f>
        <v>ComED</v>
      </c>
      <c r="F36" s="79" t="str">
        <f>Matrix_prices!F24</f>
        <v>LP28</v>
      </c>
      <c r="G36" s="80" t="str">
        <f>Matrix_prices!G24</f>
        <v>0-100 Kw</v>
      </c>
      <c r="H36" s="81" t="str">
        <f t="shared" si="1"/>
        <v>100-500 MWh</v>
      </c>
      <c r="I36" s="80">
        <f>(Matrix_prices!I24+$D$2)*IF($M$2="Prices in $/MWh",1,1/1000)</f>
        <v>64.11</v>
      </c>
      <c r="J36" s="79">
        <f>(Matrix_prices!J24+$D$2)*IF($M$2="Prices in $/MWh",1,1/1000)</f>
        <v>65.260000000000005</v>
      </c>
      <c r="K36" s="80">
        <f>(Matrix_prices!K24+$D$2)*IF($M$2="Prices in $/MWh",1,1/1000)</f>
        <v>67.27</v>
      </c>
      <c r="L36" s="79">
        <f>(Matrix_prices!L24+$D$2)*IF($M$2="Prices in $/MWh",1,1/1000)</f>
        <v>31.61</v>
      </c>
      <c r="M36" s="80">
        <f>(Matrix_prices!M24+$D$2)*IF($M$2="Prices in $/MWh",1,1/1000)</f>
        <v>33.22</v>
      </c>
      <c r="N36" s="79">
        <f>(Matrix_prices!N24+$D$2)*IF($M$2="Prices in $/MWh",1,1/1000)</f>
        <v>34.81</v>
      </c>
      <c r="O36" s="61"/>
    </row>
    <row r="37" spans="2:15" x14ac:dyDescent="0.25">
      <c r="B37" s="57"/>
      <c r="C37" s="82">
        <f>Matrix_prices!C25</f>
        <v>42614</v>
      </c>
      <c r="D37" s="83" t="str">
        <f>Matrix_prices!D25</f>
        <v>IL</v>
      </c>
      <c r="E37" s="84" t="str">
        <f>Matrix_prices!E25</f>
        <v>ComED</v>
      </c>
      <c r="F37" s="83" t="str">
        <f>Matrix_prices!F25</f>
        <v>LP28</v>
      </c>
      <c r="G37" s="84" t="str">
        <f>Matrix_prices!G25</f>
        <v>0-100 Kw</v>
      </c>
      <c r="H37" s="85" t="str">
        <f t="shared" si="2"/>
        <v>500-2500 MWh</v>
      </c>
      <c r="I37" s="84">
        <f>(Matrix_prices!I25+$D$2)*IF($M$2="Prices in $/MWh",1,1/1000)</f>
        <v>63.06</v>
      </c>
      <c r="J37" s="83">
        <f>(Matrix_prices!J25+$D$2)*IF($M$2="Prices in $/MWh",1,1/1000)</f>
        <v>64.209999999999994</v>
      </c>
      <c r="K37" s="84">
        <f>(Matrix_prices!K25+$D$2)*IF($M$2="Prices in $/MWh",1,1/1000)</f>
        <v>66.22</v>
      </c>
      <c r="L37" s="83">
        <f>(Matrix_prices!L25+$D$2)*IF($M$2="Prices in $/MWh",1,1/1000)</f>
        <v>30.56</v>
      </c>
      <c r="M37" s="84">
        <f>(Matrix_prices!M25+$D$2)*IF($M$2="Prices in $/MWh",1,1/1000)</f>
        <v>32.17</v>
      </c>
      <c r="N37" s="83">
        <f>(Matrix_prices!N25+$D$2)*IF($M$2="Prices in $/MWh",1,1/1000)</f>
        <v>33.76</v>
      </c>
      <c r="O37" s="61"/>
    </row>
    <row r="38" spans="2:15" x14ac:dyDescent="0.25">
      <c r="B38" s="57"/>
      <c r="C38" s="151">
        <f>Matrix_prices!C26</f>
        <v>42644</v>
      </c>
      <c r="D38" s="152" t="str">
        <f>Matrix_prices!D26</f>
        <v>IL</v>
      </c>
      <c r="E38" s="153" t="str">
        <f>Matrix_prices!E26</f>
        <v>ComED</v>
      </c>
      <c r="F38" s="152" t="str">
        <f>Matrix_prices!F26</f>
        <v>LP28</v>
      </c>
      <c r="G38" s="153" t="str">
        <f>Matrix_prices!G26</f>
        <v>0-100 Kw</v>
      </c>
      <c r="H38" s="157" t="str">
        <f t="shared" si="0"/>
        <v>0-100 MWh</v>
      </c>
      <c r="I38" s="153">
        <f>(Matrix_prices!I26+$D$2)*IF($M$2="Prices in $/MWh",1,1/1000)</f>
        <v>66.22</v>
      </c>
      <c r="J38" s="152">
        <f>(Matrix_prices!J26+$D$2)*IF($M$2="Prices in $/MWh",1,1/1000)</f>
        <v>67.569999999999993</v>
      </c>
      <c r="K38" s="153">
        <f>(Matrix_prices!K26+$D$2)*IF($M$2="Prices in $/MWh",1,1/1000)</f>
        <v>69.38</v>
      </c>
      <c r="L38" s="152">
        <f>(Matrix_prices!L26+$D$2)*IF($M$2="Prices in $/MWh",1,1/1000)</f>
        <v>33.74</v>
      </c>
      <c r="M38" s="153">
        <f>(Matrix_prices!M26+$D$2)*IF($M$2="Prices in $/MWh",1,1/1000)</f>
        <v>35.32</v>
      </c>
      <c r="N38" s="152">
        <f>(Matrix_prices!N26+$D$2)*IF($M$2="Prices in $/MWh",1,1/1000)</f>
        <v>36.97</v>
      </c>
      <c r="O38" s="61"/>
    </row>
    <row r="39" spans="2:15" x14ac:dyDescent="0.25">
      <c r="B39" s="57"/>
      <c r="C39" s="78">
        <f>Matrix_prices!C27</f>
        <v>42644</v>
      </c>
      <c r="D39" s="79" t="str">
        <f>Matrix_prices!D27</f>
        <v>IL</v>
      </c>
      <c r="E39" s="80" t="str">
        <f>Matrix_prices!E27</f>
        <v>ComED</v>
      </c>
      <c r="F39" s="79" t="str">
        <f>Matrix_prices!F27</f>
        <v>LP28</v>
      </c>
      <c r="G39" s="80" t="str">
        <f>Matrix_prices!G27</f>
        <v>0-100 Kw</v>
      </c>
      <c r="H39" s="81" t="str">
        <f t="shared" si="1"/>
        <v>100-500 MWh</v>
      </c>
      <c r="I39" s="80">
        <f>(Matrix_prices!I27+$D$2)*IF($M$2="Prices in $/MWh",1,1/1000)</f>
        <v>64.62</v>
      </c>
      <c r="J39" s="79">
        <f>(Matrix_prices!J27+$D$2)*IF($M$2="Prices in $/MWh",1,1/1000)</f>
        <v>65.97</v>
      </c>
      <c r="K39" s="80">
        <f>(Matrix_prices!K27+$D$2)*IF($M$2="Prices in $/MWh",1,1/1000)</f>
        <v>67.78</v>
      </c>
      <c r="L39" s="79">
        <f>(Matrix_prices!L27+$D$2)*IF($M$2="Prices in $/MWh",1,1/1000)</f>
        <v>32.14</v>
      </c>
      <c r="M39" s="80">
        <f>(Matrix_prices!M27+$D$2)*IF($M$2="Prices in $/MWh",1,1/1000)</f>
        <v>33.72</v>
      </c>
      <c r="N39" s="79">
        <f>(Matrix_prices!N27+$D$2)*IF($M$2="Prices in $/MWh",1,1/1000)</f>
        <v>35.369999999999997</v>
      </c>
      <c r="O39" s="61"/>
    </row>
    <row r="40" spans="2:15" x14ac:dyDescent="0.25">
      <c r="B40" s="57"/>
      <c r="C40" s="82">
        <f>Matrix_prices!C28</f>
        <v>42644</v>
      </c>
      <c r="D40" s="83" t="str">
        <f>Matrix_prices!D28</f>
        <v>IL</v>
      </c>
      <c r="E40" s="84" t="str">
        <f>Matrix_prices!E28</f>
        <v>ComED</v>
      </c>
      <c r="F40" s="83" t="str">
        <f>Matrix_prices!F28</f>
        <v>LP28</v>
      </c>
      <c r="G40" s="84" t="str">
        <f>Matrix_prices!G28</f>
        <v>0-100 Kw</v>
      </c>
      <c r="H40" s="85" t="str">
        <f t="shared" si="2"/>
        <v>500-2500 MWh</v>
      </c>
      <c r="I40" s="84">
        <f>(Matrix_prices!I28+$D$2)*IF($M$2="Prices in $/MWh",1,1/1000)</f>
        <v>63.57</v>
      </c>
      <c r="J40" s="83">
        <f>(Matrix_prices!J28+$D$2)*IF($M$2="Prices in $/MWh",1,1/1000)</f>
        <v>64.92</v>
      </c>
      <c r="K40" s="84">
        <f>(Matrix_prices!K28+$D$2)*IF($M$2="Prices in $/MWh",1,1/1000)</f>
        <v>66.73</v>
      </c>
      <c r="L40" s="83">
        <f>(Matrix_prices!L28+$D$2)*IF($M$2="Prices in $/MWh",1,1/1000)</f>
        <v>31.09</v>
      </c>
      <c r="M40" s="84">
        <f>(Matrix_prices!M28+$D$2)*IF($M$2="Prices in $/MWh",1,1/1000)</f>
        <v>32.67</v>
      </c>
      <c r="N40" s="83">
        <f>(Matrix_prices!N28+$D$2)*IF($M$2="Prices in $/MWh",1,1/1000)</f>
        <v>34.32</v>
      </c>
      <c r="O40" s="61"/>
    </row>
    <row r="41" spans="2:15" x14ac:dyDescent="0.25">
      <c r="B41" s="57"/>
      <c r="C41" s="74">
        <f>Matrix_prices!C29</f>
        <v>42675</v>
      </c>
      <c r="D41" s="75" t="str">
        <f>Matrix_prices!D29</f>
        <v>IL</v>
      </c>
      <c r="E41" s="76" t="str">
        <f>Matrix_prices!E29</f>
        <v>ComED</v>
      </c>
      <c r="F41" s="75" t="str">
        <f>Matrix_prices!F29</f>
        <v>LP28</v>
      </c>
      <c r="G41" s="76" t="str">
        <f>Matrix_prices!G29</f>
        <v>0-100 Kw</v>
      </c>
      <c r="H41" s="157" t="str">
        <f t="shared" si="0"/>
        <v>0-100 MWh</v>
      </c>
      <c r="I41" s="76">
        <f>(Matrix_prices!I29+$D$2)*IF($M$2="Prices in $/MWh",1,1/1000)</f>
        <v>66.78</v>
      </c>
      <c r="J41" s="75">
        <f>(Matrix_prices!J29+$D$2)*IF($M$2="Prices in $/MWh",1,1/1000)</f>
        <v>68.14</v>
      </c>
      <c r="K41" s="76">
        <f>(Matrix_prices!K29+$D$2)*IF($M$2="Prices in $/MWh",1,1/1000)</f>
        <v>69.959999999999994</v>
      </c>
      <c r="L41" s="75">
        <f>(Matrix_prices!L29+$D$2)*IF($M$2="Prices in $/MWh",1,1/1000)</f>
        <v>34.29</v>
      </c>
      <c r="M41" s="76">
        <f>(Matrix_prices!M29+$D$2)*IF($M$2="Prices in $/MWh",1,1/1000)</f>
        <v>35.79</v>
      </c>
      <c r="N41" s="75">
        <f>(Matrix_prices!N29+$D$2)*IF($M$2="Prices in $/MWh",1,1/1000)</f>
        <v>37.53</v>
      </c>
      <c r="O41" s="61"/>
    </row>
    <row r="42" spans="2:15" x14ac:dyDescent="0.25">
      <c r="B42" s="57"/>
      <c r="C42" s="78">
        <f>Matrix_prices!C30</f>
        <v>42675</v>
      </c>
      <c r="D42" s="79" t="str">
        <f>Matrix_prices!D30</f>
        <v>IL</v>
      </c>
      <c r="E42" s="80" t="str">
        <f>Matrix_prices!E30</f>
        <v>ComED</v>
      </c>
      <c r="F42" s="79" t="str">
        <f>Matrix_prices!F30</f>
        <v>LP28</v>
      </c>
      <c r="G42" s="80" t="str">
        <f>Matrix_prices!G30</f>
        <v>0-100 Kw</v>
      </c>
      <c r="H42" s="81" t="str">
        <f t="shared" si="1"/>
        <v>100-500 MWh</v>
      </c>
      <c r="I42" s="80">
        <f>(Matrix_prices!I30+$D$2)*IF($M$2="Prices in $/MWh",1,1/1000)</f>
        <v>65.180000000000007</v>
      </c>
      <c r="J42" s="79">
        <f>(Matrix_prices!J30+$D$2)*IF($M$2="Prices in $/MWh",1,1/1000)</f>
        <v>66.540000000000006</v>
      </c>
      <c r="K42" s="80">
        <f>(Matrix_prices!K30+$D$2)*IF($M$2="Prices in $/MWh",1,1/1000)</f>
        <v>68.36</v>
      </c>
      <c r="L42" s="79">
        <f>(Matrix_prices!L30+$D$2)*IF($M$2="Prices in $/MWh",1,1/1000)</f>
        <v>32.69</v>
      </c>
      <c r="M42" s="80">
        <f>(Matrix_prices!M30+$D$2)*IF($M$2="Prices in $/MWh",1,1/1000)</f>
        <v>34.19</v>
      </c>
      <c r="N42" s="79">
        <f>(Matrix_prices!N30+$D$2)*IF($M$2="Prices in $/MWh",1,1/1000)</f>
        <v>35.93</v>
      </c>
      <c r="O42" s="61"/>
    </row>
    <row r="43" spans="2:15" x14ac:dyDescent="0.25">
      <c r="B43" s="57"/>
      <c r="C43" s="82">
        <f>Matrix_prices!C31</f>
        <v>42675</v>
      </c>
      <c r="D43" s="83" t="str">
        <f>Matrix_prices!D31</f>
        <v>IL</v>
      </c>
      <c r="E43" s="84" t="str">
        <f>Matrix_prices!E31</f>
        <v>ComED</v>
      </c>
      <c r="F43" s="83" t="str">
        <f>Matrix_prices!F31</f>
        <v>LP28</v>
      </c>
      <c r="G43" s="84" t="str">
        <f>Matrix_prices!G31</f>
        <v>0-100 Kw</v>
      </c>
      <c r="H43" s="85" t="str">
        <f t="shared" si="2"/>
        <v>500-2500 MWh</v>
      </c>
      <c r="I43" s="84">
        <f>(Matrix_prices!I31+$D$2)*IF($M$2="Prices in $/MWh",1,1/1000)</f>
        <v>64.13</v>
      </c>
      <c r="J43" s="83">
        <f>(Matrix_prices!J31+$D$2)*IF($M$2="Prices in $/MWh",1,1/1000)</f>
        <v>65.489999999999995</v>
      </c>
      <c r="K43" s="84">
        <f>(Matrix_prices!K31+$D$2)*IF($M$2="Prices in $/MWh",1,1/1000)</f>
        <v>67.31</v>
      </c>
      <c r="L43" s="83">
        <f>(Matrix_prices!L31+$D$2)*IF($M$2="Prices in $/MWh",1,1/1000)</f>
        <v>31.64</v>
      </c>
      <c r="M43" s="84">
        <f>(Matrix_prices!M31+$D$2)*IF($M$2="Prices in $/MWh",1,1/1000)</f>
        <v>33.14</v>
      </c>
      <c r="N43" s="83">
        <f>(Matrix_prices!N31+$D$2)*IF($M$2="Prices in $/MWh",1,1/1000)</f>
        <v>34.880000000000003</v>
      </c>
      <c r="O43" s="61"/>
    </row>
    <row r="44" spans="2:15" x14ac:dyDescent="0.25">
      <c r="B44" s="57"/>
      <c r="C44" s="151">
        <f>Matrix_prices!C32</f>
        <v>42705</v>
      </c>
      <c r="D44" s="152" t="str">
        <f>Matrix_prices!D32</f>
        <v>IL</v>
      </c>
      <c r="E44" s="153" t="str">
        <f>Matrix_prices!E32</f>
        <v>ComED</v>
      </c>
      <c r="F44" s="152" t="str">
        <f>Matrix_prices!F32</f>
        <v>LP28</v>
      </c>
      <c r="G44" s="153" t="str">
        <f>Matrix_prices!G32</f>
        <v>0-100 Kw</v>
      </c>
      <c r="H44" s="157" t="str">
        <f t="shared" si="0"/>
        <v>0-100 MWh</v>
      </c>
      <c r="I44" s="153">
        <f>(Matrix_prices!I32+$D$2)*IF($M$2="Prices in $/MWh",1,1/1000)</f>
        <v>67.22</v>
      </c>
      <c r="J44" s="152">
        <f>(Matrix_prices!J32+$D$2)*IF($M$2="Prices in $/MWh",1,1/1000)</f>
        <v>68.77</v>
      </c>
      <c r="K44" s="153">
        <f>(Matrix_prices!K32+$D$2)*IF($M$2="Prices in $/MWh",1,1/1000)</f>
        <v>70.459999999999994</v>
      </c>
      <c r="L44" s="152">
        <f>(Matrix_prices!L32+$D$2)*IF($M$2="Prices in $/MWh",1,1/1000)</f>
        <v>34.78</v>
      </c>
      <c r="M44" s="153">
        <f>(Matrix_prices!M32+$D$2)*IF($M$2="Prices in $/MWh",1,1/1000)</f>
        <v>36.24</v>
      </c>
      <c r="N44" s="152">
        <f>(Matrix_prices!N32+$D$2)*IF($M$2="Prices in $/MWh",1,1/1000)</f>
        <v>38.06</v>
      </c>
      <c r="O44" s="61"/>
    </row>
    <row r="45" spans="2:15" x14ac:dyDescent="0.25">
      <c r="B45" s="57"/>
      <c r="C45" s="78">
        <f>Matrix_prices!C33</f>
        <v>42705</v>
      </c>
      <c r="D45" s="79" t="str">
        <f>Matrix_prices!D33</f>
        <v>IL</v>
      </c>
      <c r="E45" s="80" t="str">
        <f>Matrix_prices!E33</f>
        <v>ComED</v>
      </c>
      <c r="F45" s="79" t="str">
        <f>Matrix_prices!F33</f>
        <v>LP28</v>
      </c>
      <c r="G45" s="80" t="str">
        <f>Matrix_prices!G33</f>
        <v>0-100 Kw</v>
      </c>
      <c r="H45" s="81" t="str">
        <f t="shared" si="1"/>
        <v>100-500 MWh</v>
      </c>
      <c r="I45" s="80">
        <f>(Matrix_prices!I33+$D$2)*IF($M$2="Prices in $/MWh",1,1/1000)</f>
        <v>65.62</v>
      </c>
      <c r="J45" s="79">
        <f>(Matrix_prices!J33+$D$2)*IF($M$2="Prices in $/MWh",1,1/1000)</f>
        <v>67.17</v>
      </c>
      <c r="K45" s="80">
        <f>(Matrix_prices!K33+$D$2)*IF($M$2="Prices in $/MWh",1,1/1000)</f>
        <v>68.86</v>
      </c>
      <c r="L45" s="79">
        <f>(Matrix_prices!L33+$D$2)*IF($M$2="Prices in $/MWh",1,1/1000)</f>
        <v>33.18</v>
      </c>
      <c r="M45" s="80">
        <f>(Matrix_prices!M33+$D$2)*IF($M$2="Prices in $/MWh",1,1/1000)</f>
        <v>34.64</v>
      </c>
      <c r="N45" s="79">
        <f>(Matrix_prices!N33+$D$2)*IF($M$2="Prices in $/MWh",1,1/1000)</f>
        <v>36.46</v>
      </c>
      <c r="O45" s="61"/>
    </row>
    <row r="46" spans="2:15" x14ac:dyDescent="0.25">
      <c r="B46" s="57"/>
      <c r="C46" s="82">
        <f>Matrix_prices!C34</f>
        <v>42705</v>
      </c>
      <c r="D46" s="83" t="str">
        <f>Matrix_prices!D34</f>
        <v>IL</v>
      </c>
      <c r="E46" s="84" t="str">
        <f>Matrix_prices!E34</f>
        <v>ComED</v>
      </c>
      <c r="F46" s="83" t="str">
        <f>Matrix_prices!F34</f>
        <v>LP28</v>
      </c>
      <c r="G46" s="84" t="str">
        <f>Matrix_prices!G34</f>
        <v>0-100 Kw</v>
      </c>
      <c r="H46" s="85" t="str">
        <f t="shared" si="2"/>
        <v>500-2500 MWh</v>
      </c>
      <c r="I46" s="84">
        <f>(Matrix_prices!I34+$D$2)*IF($M$2="Prices in $/MWh",1,1/1000)</f>
        <v>64.569999999999993</v>
      </c>
      <c r="J46" s="83">
        <f>(Matrix_prices!J34+$D$2)*IF($M$2="Prices in $/MWh",1,1/1000)</f>
        <v>66.12</v>
      </c>
      <c r="K46" s="84">
        <f>(Matrix_prices!K34+$D$2)*IF($M$2="Prices in $/MWh",1,1/1000)</f>
        <v>67.81</v>
      </c>
      <c r="L46" s="83">
        <f>(Matrix_prices!L34+$D$2)*IF($M$2="Prices in $/MWh",1,1/1000)</f>
        <v>32.130000000000003</v>
      </c>
      <c r="M46" s="84">
        <f>(Matrix_prices!M34+$D$2)*IF($M$2="Prices in $/MWh",1,1/1000)</f>
        <v>33.590000000000003</v>
      </c>
      <c r="N46" s="83">
        <f>(Matrix_prices!N34+$D$2)*IF($M$2="Prices in $/MWh",1,1/1000)</f>
        <v>35.409999999999997</v>
      </c>
      <c r="O46" s="61"/>
    </row>
    <row r="47" spans="2:15" x14ac:dyDescent="0.25">
      <c r="B47" s="57"/>
      <c r="C47" s="74">
        <f>Matrix_prices!C35</f>
        <v>42736</v>
      </c>
      <c r="D47" s="75" t="str">
        <f>Matrix_prices!D35</f>
        <v>IL</v>
      </c>
      <c r="E47" s="76" t="str">
        <f>Matrix_prices!E35</f>
        <v>ComED</v>
      </c>
      <c r="F47" s="75" t="str">
        <f>Matrix_prices!F35</f>
        <v>LP28</v>
      </c>
      <c r="G47" s="76" t="str">
        <f>Matrix_prices!G35</f>
        <v>0-100 Kw</v>
      </c>
      <c r="H47" s="157" t="str">
        <f t="shared" si="0"/>
        <v>0-100 MWh</v>
      </c>
      <c r="I47" s="76">
        <f>(Matrix_prices!I35+$D$2)*IF($M$2="Prices in $/MWh",1,1/1000)</f>
        <v>67.709999999999994</v>
      </c>
      <c r="J47" s="75">
        <f>(Matrix_prices!J35+$D$2)*IF($M$2="Prices in $/MWh",1,1/1000)</f>
        <v>69.53</v>
      </c>
      <c r="K47" s="76">
        <f>(Matrix_prices!K35+$D$2)*IF($M$2="Prices in $/MWh",1,1/1000)</f>
        <v>71.06</v>
      </c>
      <c r="L47" s="75">
        <f>(Matrix_prices!L35+$D$2)*IF($M$2="Prices in $/MWh",1,1/1000)</f>
        <v>35.32</v>
      </c>
      <c r="M47" s="76">
        <f>(Matrix_prices!M35+$D$2)*IF($M$2="Prices in $/MWh",1,1/1000)</f>
        <v>36.89</v>
      </c>
      <c r="N47" s="75">
        <f>(Matrix_prices!N35+$D$2)*IF($M$2="Prices in $/MWh",1,1/1000)</f>
        <v>38.630000000000003</v>
      </c>
      <c r="O47" s="61"/>
    </row>
    <row r="48" spans="2:15" x14ac:dyDescent="0.25">
      <c r="B48" s="57"/>
      <c r="C48" s="78">
        <f>Matrix_prices!C36</f>
        <v>42736</v>
      </c>
      <c r="D48" s="79" t="str">
        <f>Matrix_prices!D36</f>
        <v>IL</v>
      </c>
      <c r="E48" s="80" t="str">
        <f>Matrix_prices!E36</f>
        <v>ComED</v>
      </c>
      <c r="F48" s="79" t="str">
        <f>Matrix_prices!F36</f>
        <v>LP28</v>
      </c>
      <c r="G48" s="80" t="str">
        <f>Matrix_prices!G36</f>
        <v>0-100 Kw</v>
      </c>
      <c r="H48" s="81" t="str">
        <f t="shared" si="1"/>
        <v>100-500 MWh</v>
      </c>
      <c r="I48" s="80">
        <f>(Matrix_prices!I36+$D$2)*IF($M$2="Prices in $/MWh",1,1/1000)</f>
        <v>66.11</v>
      </c>
      <c r="J48" s="79">
        <f>(Matrix_prices!J36+$D$2)*IF($M$2="Prices in $/MWh",1,1/1000)</f>
        <v>67.930000000000007</v>
      </c>
      <c r="K48" s="80">
        <f>(Matrix_prices!K36+$D$2)*IF($M$2="Prices in $/MWh",1,1/1000)</f>
        <v>69.459999999999994</v>
      </c>
      <c r="L48" s="79">
        <f>(Matrix_prices!L36+$D$2)*IF($M$2="Prices in $/MWh",1,1/1000)</f>
        <v>33.72</v>
      </c>
      <c r="M48" s="80">
        <f>(Matrix_prices!M36+$D$2)*IF($M$2="Prices in $/MWh",1,1/1000)</f>
        <v>35.29</v>
      </c>
      <c r="N48" s="79">
        <f>(Matrix_prices!N36+$D$2)*IF($M$2="Prices in $/MWh",1,1/1000)</f>
        <v>37.03</v>
      </c>
      <c r="O48" s="61"/>
    </row>
    <row r="49" spans="2:15" x14ac:dyDescent="0.25">
      <c r="B49" s="57"/>
      <c r="C49" s="82">
        <f>Matrix_prices!C37</f>
        <v>42736</v>
      </c>
      <c r="D49" s="83" t="str">
        <f>Matrix_prices!D37</f>
        <v>IL</v>
      </c>
      <c r="E49" s="84" t="str">
        <f>Matrix_prices!E37</f>
        <v>ComED</v>
      </c>
      <c r="F49" s="83" t="str">
        <f>Matrix_prices!F37</f>
        <v>LP28</v>
      </c>
      <c r="G49" s="84" t="str">
        <f>Matrix_prices!G37</f>
        <v>0-100 Kw</v>
      </c>
      <c r="H49" s="85" t="str">
        <f t="shared" si="2"/>
        <v>500-2500 MWh</v>
      </c>
      <c r="I49" s="84">
        <f>(Matrix_prices!I37+$D$2)*IF($M$2="Prices in $/MWh",1,1/1000)</f>
        <v>65.06</v>
      </c>
      <c r="J49" s="83">
        <f>(Matrix_prices!J37+$D$2)*IF($M$2="Prices in $/MWh",1,1/1000)</f>
        <v>66.88</v>
      </c>
      <c r="K49" s="84">
        <f>(Matrix_prices!K37+$D$2)*IF($M$2="Prices in $/MWh",1,1/1000)</f>
        <v>68.41</v>
      </c>
      <c r="L49" s="83">
        <f>(Matrix_prices!L37+$D$2)*IF($M$2="Prices in $/MWh",1,1/1000)</f>
        <v>32.67</v>
      </c>
      <c r="M49" s="84">
        <f>(Matrix_prices!M37+$D$2)*IF($M$2="Prices in $/MWh",1,1/1000)</f>
        <v>34.24</v>
      </c>
      <c r="N49" s="83">
        <f>(Matrix_prices!N37+$D$2)*IF($M$2="Prices in $/MWh",1,1/1000)</f>
        <v>35.979999999999997</v>
      </c>
      <c r="O49" s="61"/>
    </row>
    <row r="50" spans="2:15" x14ac:dyDescent="0.25">
      <c r="B50" s="57"/>
      <c r="C50" s="151">
        <f>Matrix_prices!C38</f>
        <v>42401</v>
      </c>
      <c r="D50" s="152" t="str">
        <f>Matrix_prices!D38</f>
        <v>IL</v>
      </c>
      <c r="E50" s="153" t="str">
        <f>Matrix_prices!E38</f>
        <v>ComED</v>
      </c>
      <c r="F50" s="152" t="str">
        <f>Matrix_prices!F38</f>
        <v>LP29</v>
      </c>
      <c r="G50" s="153" t="str">
        <f>Matrix_prices!G38</f>
        <v>100-400 Kw</v>
      </c>
      <c r="H50" s="157" t="str">
        <f t="shared" si="0"/>
        <v>0-100 MWh</v>
      </c>
      <c r="I50" s="153">
        <f>(Matrix_prices!I38+$D$2)*IF($M$2="Prices in $/MWh",1,1/1000)</f>
        <v>63.79</v>
      </c>
      <c r="J50" s="152">
        <f>(Matrix_prices!J38+$D$2)*IF($M$2="Prices in $/MWh",1,1/1000)</f>
        <v>64.84</v>
      </c>
      <c r="K50" s="153">
        <f>(Matrix_prices!K38+$D$2)*IF($M$2="Prices in $/MWh",1,1/1000)</f>
        <v>65.58</v>
      </c>
      <c r="L50" s="152">
        <f>(Matrix_prices!L38+$D$2)*IF($M$2="Prices in $/MWh",1,1/1000)</f>
        <v>31.7</v>
      </c>
      <c r="M50" s="153">
        <f>(Matrix_prices!M38+$D$2)*IF($M$2="Prices in $/MWh",1,1/1000)</f>
        <v>32.21</v>
      </c>
      <c r="N50" s="152">
        <f>(Matrix_prices!N38+$D$2)*IF($M$2="Prices in $/MWh",1,1/1000)</f>
        <v>33.31</v>
      </c>
      <c r="O50" s="61"/>
    </row>
    <row r="51" spans="2:15" x14ac:dyDescent="0.25">
      <c r="B51" s="57"/>
      <c r="C51" s="78">
        <f>Matrix_prices!C39</f>
        <v>42401</v>
      </c>
      <c r="D51" s="79" t="str">
        <f>Matrix_prices!D39</f>
        <v>IL</v>
      </c>
      <c r="E51" s="80" t="str">
        <f>Matrix_prices!E39</f>
        <v>ComED</v>
      </c>
      <c r="F51" s="79" t="str">
        <f>Matrix_prices!F39</f>
        <v>LP29</v>
      </c>
      <c r="G51" s="80" t="str">
        <f>Matrix_prices!G39</f>
        <v>100-400 Kw</v>
      </c>
      <c r="H51" s="81" t="str">
        <f t="shared" si="1"/>
        <v>100-500 MWh</v>
      </c>
      <c r="I51" s="80">
        <f>(Matrix_prices!I39+$D$2)*IF($M$2="Prices in $/MWh",1,1/1000)</f>
        <v>62.19</v>
      </c>
      <c r="J51" s="79">
        <f>(Matrix_prices!J39+$D$2)*IF($M$2="Prices in $/MWh",1,1/1000)</f>
        <v>63.24</v>
      </c>
      <c r="K51" s="80">
        <f>(Matrix_prices!K39+$D$2)*IF($M$2="Prices in $/MWh",1,1/1000)</f>
        <v>63.98</v>
      </c>
      <c r="L51" s="79">
        <f>(Matrix_prices!L39+$D$2)*IF($M$2="Prices in $/MWh",1,1/1000)</f>
        <v>30.1</v>
      </c>
      <c r="M51" s="80">
        <f>(Matrix_prices!M39+$D$2)*IF($M$2="Prices in $/MWh",1,1/1000)</f>
        <v>30.61</v>
      </c>
      <c r="N51" s="79">
        <f>(Matrix_prices!N39+$D$2)*IF($M$2="Prices in $/MWh",1,1/1000)</f>
        <v>31.71</v>
      </c>
      <c r="O51" s="61"/>
    </row>
    <row r="52" spans="2:15" x14ac:dyDescent="0.25">
      <c r="B52" s="57"/>
      <c r="C52" s="82">
        <f>Matrix_prices!C40</f>
        <v>42401</v>
      </c>
      <c r="D52" s="83" t="str">
        <f>Matrix_prices!D40</f>
        <v>IL</v>
      </c>
      <c r="E52" s="84" t="str">
        <f>Matrix_prices!E40</f>
        <v>ComED</v>
      </c>
      <c r="F52" s="83" t="str">
        <f>Matrix_prices!F40</f>
        <v>LP29</v>
      </c>
      <c r="G52" s="84" t="str">
        <f>Matrix_prices!G40</f>
        <v>100-400 Kw</v>
      </c>
      <c r="H52" s="85" t="str">
        <f t="shared" si="2"/>
        <v>500-2500 MWh</v>
      </c>
      <c r="I52" s="84">
        <f>(Matrix_prices!I40+$D$2)*IF($M$2="Prices in $/MWh",1,1/1000)</f>
        <v>61.14</v>
      </c>
      <c r="J52" s="83">
        <f>(Matrix_prices!J40+$D$2)*IF($M$2="Prices in $/MWh",1,1/1000)</f>
        <v>62.19</v>
      </c>
      <c r="K52" s="84">
        <f>(Matrix_prices!K40+$D$2)*IF($M$2="Prices in $/MWh",1,1/1000)</f>
        <v>62.93</v>
      </c>
      <c r="L52" s="83">
        <f>(Matrix_prices!L40+$D$2)*IF($M$2="Prices in $/MWh",1,1/1000)</f>
        <v>29.05</v>
      </c>
      <c r="M52" s="84">
        <f>(Matrix_prices!M40+$D$2)*IF($M$2="Prices in $/MWh",1,1/1000)</f>
        <v>29.56</v>
      </c>
      <c r="N52" s="83">
        <f>(Matrix_prices!N40+$D$2)*IF($M$2="Prices in $/MWh",1,1/1000)</f>
        <v>30.66</v>
      </c>
      <c r="O52" s="61"/>
    </row>
    <row r="53" spans="2:15" x14ac:dyDescent="0.25">
      <c r="B53" s="57"/>
      <c r="C53" s="74">
        <f>Matrix_prices!C41</f>
        <v>42430</v>
      </c>
      <c r="D53" s="75" t="str">
        <f>Matrix_prices!D41</f>
        <v>IL</v>
      </c>
      <c r="E53" s="76" t="str">
        <f>Matrix_prices!E41</f>
        <v>ComED</v>
      </c>
      <c r="F53" s="75" t="str">
        <f>Matrix_prices!F41</f>
        <v>LP29</v>
      </c>
      <c r="G53" s="76" t="str">
        <f>Matrix_prices!G41</f>
        <v>100-400 Kw</v>
      </c>
      <c r="H53" s="157" t="str">
        <f t="shared" si="0"/>
        <v>0-100 MWh</v>
      </c>
      <c r="I53" s="76">
        <f>(Matrix_prices!I41+$D$2)*IF($M$2="Prices in $/MWh",1,1/1000)</f>
        <v>63.79</v>
      </c>
      <c r="J53" s="75">
        <f>(Matrix_prices!J41+$D$2)*IF($M$2="Prices in $/MWh",1,1/1000)</f>
        <v>64.989999999999995</v>
      </c>
      <c r="K53" s="76">
        <f>(Matrix_prices!K41+$D$2)*IF($M$2="Prices in $/MWh",1,1/1000)</f>
        <v>65.819999999999993</v>
      </c>
      <c r="L53" s="75">
        <f>(Matrix_prices!L41+$D$2)*IF($M$2="Prices in $/MWh",1,1/1000)</f>
        <v>31.47</v>
      </c>
      <c r="M53" s="76">
        <f>(Matrix_prices!M41+$D$2)*IF($M$2="Prices in $/MWh",1,1/1000)</f>
        <v>32.24</v>
      </c>
      <c r="N53" s="75">
        <f>(Matrix_prices!N41+$D$2)*IF($M$2="Prices in $/MWh",1,1/1000)</f>
        <v>33.44</v>
      </c>
      <c r="O53" s="61"/>
    </row>
    <row r="54" spans="2:15" x14ac:dyDescent="0.25">
      <c r="B54" s="57"/>
      <c r="C54" s="78">
        <f>Matrix_prices!C42</f>
        <v>42430</v>
      </c>
      <c r="D54" s="79" t="str">
        <f>Matrix_prices!D42</f>
        <v>IL</v>
      </c>
      <c r="E54" s="80" t="str">
        <f>Matrix_prices!E42</f>
        <v>ComED</v>
      </c>
      <c r="F54" s="79" t="str">
        <f>Matrix_prices!F42</f>
        <v>LP29</v>
      </c>
      <c r="G54" s="80" t="str">
        <f>Matrix_prices!G42</f>
        <v>100-400 Kw</v>
      </c>
      <c r="H54" s="81" t="str">
        <f t="shared" si="1"/>
        <v>100-500 MWh</v>
      </c>
      <c r="I54" s="80">
        <f>(Matrix_prices!I42+$D$2)*IF($M$2="Prices in $/MWh",1,1/1000)</f>
        <v>62.19</v>
      </c>
      <c r="J54" s="79">
        <f>(Matrix_prices!J42+$D$2)*IF($M$2="Prices in $/MWh",1,1/1000)</f>
        <v>63.39</v>
      </c>
      <c r="K54" s="80">
        <f>(Matrix_prices!K42+$D$2)*IF($M$2="Prices in $/MWh",1,1/1000)</f>
        <v>64.22</v>
      </c>
      <c r="L54" s="79">
        <f>(Matrix_prices!L42+$D$2)*IF($M$2="Prices in $/MWh",1,1/1000)</f>
        <v>29.87</v>
      </c>
      <c r="M54" s="80">
        <f>(Matrix_prices!M42+$D$2)*IF($M$2="Prices in $/MWh",1,1/1000)</f>
        <v>30.64</v>
      </c>
      <c r="N54" s="79">
        <f>(Matrix_prices!N42+$D$2)*IF($M$2="Prices in $/MWh",1,1/1000)</f>
        <v>31.84</v>
      </c>
      <c r="O54" s="61"/>
    </row>
    <row r="55" spans="2:15" x14ac:dyDescent="0.25">
      <c r="B55" s="57"/>
      <c r="C55" s="82">
        <f>Matrix_prices!C43</f>
        <v>42430</v>
      </c>
      <c r="D55" s="83" t="str">
        <f>Matrix_prices!D43</f>
        <v>IL</v>
      </c>
      <c r="E55" s="84" t="str">
        <f>Matrix_prices!E43</f>
        <v>ComED</v>
      </c>
      <c r="F55" s="83" t="str">
        <f>Matrix_prices!F43</f>
        <v>LP29</v>
      </c>
      <c r="G55" s="84" t="str">
        <f>Matrix_prices!G43</f>
        <v>100-400 Kw</v>
      </c>
      <c r="H55" s="85" t="str">
        <f t="shared" si="2"/>
        <v>500-2500 MWh</v>
      </c>
      <c r="I55" s="84">
        <f>(Matrix_prices!I43+$D$2)*IF($M$2="Prices in $/MWh",1,1/1000)</f>
        <v>61.14</v>
      </c>
      <c r="J55" s="83">
        <f>(Matrix_prices!J43+$D$2)*IF($M$2="Prices in $/MWh",1,1/1000)</f>
        <v>62.34</v>
      </c>
      <c r="K55" s="84">
        <f>(Matrix_prices!K43+$D$2)*IF($M$2="Prices in $/MWh",1,1/1000)</f>
        <v>63.17</v>
      </c>
      <c r="L55" s="83">
        <f>(Matrix_prices!L43+$D$2)*IF($M$2="Prices in $/MWh",1,1/1000)</f>
        <v>28.82</v>
      </c>
      <c r="M55" s="84">
        <f>(Matrix_prices!M43+$D$2)*IF($M$2="Prices in $/MWh",1,1/1000)</f>
        <v>29.59</v>
      </c>
      <c r="N55" s="83">
        <f>(Matrix_prices!N43+$D$2)*IF($M$2="Prices in $/MWh",1,1/1000)</f>
        <v>30.79</v>
      </c>
      <c r="O55" s="61"/>
    </row>
    <row r="56" spans="2:15" x14ac:dyDescent="0.25">
      <c r="B56" s="57"/>
      <c r="C56" s="151">
        <f>Matrix_prices!C44</f>
        <v>42461</v>
      </c>
      <c r="D56" s="152" t="str">
        <f>Matrix_prices!D44</f>
        <v>IL</v>
      </c>
      <c r="E56" s="153" t="str">
        <f>Matrix_prices!E44</f>
        <v>ComED</v>
      </c>
      <c r="F56" s="152" t="str">
        <f>Matrix_prices!F44</f>
        <v>LP29</v>
      </c>
      <c r="G56" s="153" t="str">
        <f>Matrix_prices!G44</f>
        <v>100-400 Kw</v>
      </c>
      <c r="H56" s="157" t="str">
        <f t="shared" si="0"/>
        <v>0-100 MWh</v>
      </c>
      <c r="I56" s="153">
        <f>(Matrix_prices!I44+$D$2)*IF($M$2="Prices in $/MWh",1,1/1000)</f>
        <v>63.76</v>
      </c>
      <c r="J56" s="152">
        <f>(Matrix_prices!J44+$D$2)*IF($M$2="Prices in $/MWh",1,1/1000)</f>
        <v>64.94</v>
      </c>
      <c r="K56" s="153">
        <f>(Matrix_prices!K44+$D$2)*IF($M$2="Prices in $/MWh",1,1/1000)</f>
        <v>66.06</v>
      </c>
      <c r="L56" s="152">
        <f>(Matrix_prices!L44+$D$2)*IF($M$2="Prices in $/MWh",1,1/1000)</f>
        <v>31.22</v>
      </c>
      <c r="M56" s="153">
        <f>(Matrix_prices!M44+$D$2)*IF($M$2="Prices in $/MWh",1,1/1000)</f>
        <v>32.29</v>
      </c>
      <c r="N56" s="152">
        <f>(Matrix_prices!N44+$D$2)*IF($M$2="Prices in $/MWh",1,1/1000)</f>
        <v>33.58</v>
      </c>
      <c r="O56" s="61"/>
    </row>
    <row r="57" spans="2:15" x14ac:dyDescent="0.25">
      <c r="B57" s="57"/>
      <c r="C57" s="78">
        <f>Matrix_prices!C45</f>
        <v>42461</v>
      </c>
      <c r="D57" s="79" t="str">
        <f>Matrix_prices!D45</f>
        <v>IL</v>
      </c>
      <c r="E57" s="80" t="str">
        <f>Matrix_prices!E45</f>
        <v>ComED</v>
      </c>
      <c r="F57" s="79" t="str">
        <f>Matrix_prices!F45</f>
        <v>LP29</v>
      </c>
      <c r="G57" s="80" t="str">
        <f>Matrix_prices!G45</f>
        <v>100-400 Kw</v>
      </c>
      <c r="H57" s="81" t="str">
        <f t="shared" si="1"/>
        <v>100-500 MWh</v>
      </c>
      <c r="I57" s="80">
        <f>(Matrix_prices!I45+$D$2)*IF($M$2="Prices in $/MWh",1,1/1000)</f>
        <v>62.16</v>
      </c>
      <c r="J57" s="79">
        <f>(Matrix_prices!J45+$D$2)*IF($M$2="Prices in $/MWh",1,1/1000)</f>
        <v>63.34</v>
      </c>
      <c r="K57" s="80">
        <f>(Matrix_prices!K45+$D$2)*IF($M$2="Prices in $/MWh",1,1/1000)</f>
        <v>64.459999999999994</v>
      </c>
      <c r="L57" s="79">
        <f>(Matrix_prices!L45+$D$2)*IF($M$2="Prices in $/MWh",1,1/1000)</f>
        <v>29.62</v>
      </c>
      <c r="M57" s="80">
        <f>(Matrix_prices!M45+$D$2)*IF($M$2="Prices in $/MWh",1,1/1000)</f>
        <v>30.69</v>
      </c>
      <c r="N57" s="79">
        <f>(Matrix_prices!N45+$D$2)*IF($M$2="Prices in $/MWh",1,1/1000)</f>
        <v>31.98</v>
      </c>
      <c r="O57" s="61"/>
    </row>
    <row r="58" spans="2:15" x14ac:dyDescent="0.25">
      <c r="B58" s="57"/>
      <c r="C58" s="82">
        <f>Matrix_prices!C46</f>
        <v>42461</v>
      </c>
      <c r="D58" s="83" t="str">
        <f>Matrix_prices!D46</f>
        <v>IL</v>
      </c>
      <c r="E58" s="84" t="str">
        <f>Matrix_prices!E46</f>
        <v>ComED</v>
      </c>
      <c r="F58" s="83" t="str">
        <f>Matrix_prices!F46</f>
        <v>LP29</v>
      </c>
      <c r="G58" s="84" t="str">
        <f>Matrix_prices!G46</f>
        <v>100-400 Kw</v>
      </c>
      <c r="H58" s="85" t="str">
        <f t="shared" si="2"/>
        <v>500-2500 MWh</v>
      </c>
      <c r="I58" s="84">
        <f>(Matrix_prices!I46+$D$2)*IF($M$2="Prices in $/MWh",1,1/1000)</f>
        <v>61.11</v>
      </c>
      <c r="J58" s="83">
        <f>(Matrix_prices!J46+$D$2)*IF($M$2="Prices in $/MWh",1,1/1000)</f>
        <v>62.29</v>
      </c>
      <c r="K58" s="84">
        <f>(Matrix_prices!K46+$D$2)*IF($M$2="Prices in $/MWh",1,1/1000)</f>
        <v>63.41</v>
      </c>
      <c r="L58" s="83">
        <f>(Matrix_prices!L46+$D$2)*IF($M$2="Prices in $/MWh",1,1/1000)</f>
        <v>28.57</v>
      </c>
      <c r="M58" s="84">
        <f>(Matrix_prices!M46+$D$2)*IF($M$2="Prices in $/MWh",1,1/1000)</f>
        <v>29.64</v>
      </c>
      <c r="N58" s="83">
        <f>(Matrix_prices!N46+$D$2)*IF($M$2="Prices in $/MWh",1,1/1000)</f>
        <v>30.93</v>
      </c>
      <c r="O58" s="61"/>
    </row>
    <row r="59" spans="2:15" x14ac:dyDescent="0.25">
      <c r="B59" s="57"/>
      <c r="C59" s="74">
        <f>Matrix_prices!C47</f>
        <v>42491</v>
      </c>
      <c r="D59" s="75" t="str">
        <f>Matrix_prices!D47</f>
        <v>IL</v>
      </c>
      <c r="E59" s="76" t="str">
        <f>Matrix_prices!E47</f>
        <v>ComED</v>
      </c>
      <c r="F59" s="75" t="str">
        <f>Matrix_prices!F47</f>
        <v>LP29</v>
      </c>
      <c r="G59" s="76" t="str">
        <f>Matrix_prices!G47</f>
        <v>100-400 Kw</v>
      </c>
      <c r="H59" s="157" t="str">
        <f t="shared" si="0"/>
        <v>0-100 MWh</v>
      </c>
      <c r="I59" s="76">
        <f>(Matrix_prices!I47+$D$2)*IF($M$2="Prices in $/MWh",1,1/1000)</f>
        <v>63.56</v>
      </c>
      <c r="J59" s="75">
        <f>(Matrix_prices!J47+$D$2)*IF($M$2="Prices in $/MWh",1,1/1000)</f>
        <v>64.930000000000007</v>
      </c>
      <c r="K59" s="76">
        <f>(Matrix_prices!K47+$D$2)*IF($M$2="Prices in $/MWh",1,1/1000)</f>
        <v>66.2</v>
      </c>
      <c r="L59" s="75">
        <f>(Matrix_prices!L47+$D$2)*IF($M$2="Prices in $/MWh",1,1/1000)</f>
        <v>30.98</v>
      </c>
      <c r="M59" s="76">
        <f>(Matrix_prices!M47+$D$2)*IF($M$2="Prices in $/MWh",1,1/1000)</f>
        <v>32.36</v>
      </c>
      <c r="N59" s="75">
        <f>(Matrix_prices!N47+$D$2)*IF($M$2="Prices in $/MWh",1,1/1000)</f>
        <v>33.71</v>
      </c>
      <c r="O59" s="61"/>
    </row>
    <row r="60" spans="2:15" x14ac:dyDescent="0.25">
      <c r="B60" s="57"/>
      <c r="C60" s="78">
        <f>Matrix_prices!C48</f>
        <v>42491</v>
      </c>
      <c r="D60" s="79" t="str">
        <f>Matrix_prices!D48</f>
        <v>IL</v>
      </c>
      <c r="E60" s="80" t="str">
        <f>Matrix_prices!E48</f>
        <v>ComED</v>
      </c>
      <c r="F60" s="79" t="str">
        <f>Matrix_prices!F48</f>
        <v>LP29</v>
      </c>
      <c r="G60" s="80" t="str">
        <f>Matrix_prices!G48</f>
        <v>100-400 Kw</v>
      </c>
      <c r="H60" s="81" t="str">
        <f t="shared" si="1"/>
        <v>100-500 MWh</v>
      </c>
      <c r="I60" s="80">
        <f>(Matrix_prices!I48+$D$2)*IF($M$2="Prices in $/MWh",1,1/1000)</f>
        <v>61.96</v>
      </c>
      <c r="J60" s="79">
        <f>(Matrix_prices!J48+$D$2)*IF($M$2="Prices in $/MWh",1,1/1000)</f>
        <v>63.33</v>
      </c>
      <c r="K60" s="80">
        <f>(Matrix_prices!K48+$D$2)*IF($M$2="Prices in $/MWh",1,1/1000)</f>
        <v>64.599999999999994</v>
      </c>
      <c r="L60" s="79">
        <f>(Matrix_prices!L48+$D$2)*IF($M$2="Prices in $/MWh",1,1/1000)</f>
        <v>29.38</v>
      </c>
      <c r="M60" s="80">
        <f>(Matrix_prices!M48+$D$2)*IF($M$2="Prices in $/MWh",1,1/1000)</f>
        <v>30.76</v>
      </c>
      <c r="N60" s="79">
        <f>(Matrix_prices!N48+$D$2)*IF($M$2="Prices in $/MWh",1,1/1000)</f>
        <v>32.11</v>
      </c>
      <c r="O60" s="61"/>
    </row>
    <row r="61" spans="2:15" x14ac:dyDescent="0.25">
      <c r="B61" s="57"/>
      <c r="C61" s="82">
        <f>Matrix_prices!C49</f>
        <v>42491</v>
      </c>
      <c r="D61" s="83" t="str">
        <f>Matrix_prices!D49</f>
        <v>IL</v>
      </c>
      <c r="E61" s="84" t="str">
        <f>Matrix_prices!E49</f>
        <v>ComED</v>
      </c>
      <c r="F61" s="83" t="str">
        <f>Matrix_prices!F49</f>
        <v>LP29</v>
      </c>
      <c r="G61" s="84" t="str">
        <f>Matrix_prices!G49</f>
        <v>100-400 Kw</v>
      </c>
      <c r="H61" s="85" t="str">
        <f t="shared" si="2"/>
        <v>500-2500 MWh</v>
      </c>
      <c r="I61" s="84">
        <f>(Matrix_prices!I49+$D$2)*IF($M$2="Prices in $/MWh",1,1/1000)</f>
        <v>60.91</v>
      </c>
      <c r="J61" s="83">
        <f>(Matrix_prices!J49+$D$2)*IF($M$2="Prices in $/MWh",1,1/1000)</f>
        <v>62.28</v>
      </c>
      <c r="K61" s="84">
        <f>(Matrix_prices!K49+$D$2)*IF($M$2="Prices in $/MWh",1,1/1000)</f>
        <v>63.55</v>
      </c>
      <c r="L61" s="83">
        <f>(Matrix_prices!L49+$D$2)*IF($M$2="Prices in $/MWh",1,1/1000)</f>
        <v>28.33</v>
      </c>
      <c r="M61" s="84">
        <f>(Matrix_prices!M49+$D$2)*IF($M$2="Prices in $/MWh",1,1/1000)</f>
        <v>29.71</v>
      </c>
      <c r="N61" s="83">
        <f>(Matrix_prices!N49+$D$2)*IF($M$2="Prices in $/MWh",1,1/1000)</f>
        <v>31.06</v>
      </c>
      <c r="O61" s="61"/>
    </row>
    <row r="62" spans="2:15" x14ac:dyDescent="0.25">
      <c r="B62" s="57"/>
      <c r="C62" s="151">
        <f>Matrix_prices!C50</f>
        <v>42522</v>
      </c>
      <c r="D62" s="152" t="str">
        <f>Matrix_prices!D50</f>
        <v>IL</v>
      </c>
      <c r="E62" s="153" t="str">
        <f>Matrix_prices!E50</f>
        <v>ComED</v>
      </c>
      <c r="F62" s="152" t="str">
        <f>Matrix_prices!F50</f>
        <v>LP29</v>
      </c>
      <c r="G62" s="153" t="str">
        <f>Matrix_prices!G50</f>
        <v>100-400 Kw</v>
      </c>
      <c r="H62" s="157" t="str">
        <f t="shared" si="0"/>
        <v>0-100 MWh</v>
      </c>
      <c r="I62" s="153">
        <f>(Matrix_prices!I50+$D$2)*IF($M$2="Prices in $/MWh",1,1/1000)</f>
        <v>63.37</v>
      </c>
      <c r="J62" s="152">
        <f>(Matrix_prices!J50+$D$2)*IF($M$2="Prices in $/MWh",1,1/1000)</f>
        <v>64.84</v>
      </c>
      <c r="K62" s="153">
        <f>(Matrix_prices!K50+$D$2)*IF($M$2="Prices in $/MWh",1,1/1000)</f>
        <v>66.38</v>
      </c>
      <c r="L62" s="152">
        <f>(Matrix_prices!L50+$D$2)*IF($M$2="Prices in $/MWh",1,1/1000)</f>
        <v>30.7</v>
      </c>
      <c r="M62" s="153">
        <f>(Matrix_prices!M50+$D$2)*IF($M$2="Prices in $/MWh",1,1/1000)</f>
        <v>32.39</v>
      </c>
      <c r="N62" s="152">
        <f>(Matrix_prices!N50+$D$2)*IF($M$2="Prices in $/MWh",1,1/1000)</f>
        <v>33.83</v>
      </c>
      <c r="O62" s="61"/>
    </row>
    <row r="63" spans="2:15" x14ac:dyDescent="0.25">
      <c r="B63" s="57"/>
      <c r="C63" s="78">
        <f>Matrix_prices!C51</f>
        <v>42522</v>
      </c>
      <c r="D63" s="79" t="str">
        <f>Matrix_prices!D51</f>
        <v>IL</v>
      </c>
      <c r="E63" s="80" t="str">
        <f>Matrix_prices!E51</f>
        <v>ComED</v>
      </c>
      <c r="F63" s="79" t="str">
        <f>Matrix_prices!F51</f>
        <v>LP29</v>
      </c>
      <c r="G63" s="80" t="str">
        <f>Matrix_prices!G51</f>
        <v>100-400 Kw</v>
      </c>
      <c r="H63" s="81" t="str">
        <f t="shared" si="1"/>
        <v>100-500 MWh</v>
      </c>
      <c r="I63" s="80">
        <f>(Matrix_prices!I51+$D$2)*IF($M$2="Prices in $/MWh",1,1/1000)</f>
        <v>61.77</v>
      </c>
      <c r="J63" s="79">
        <f>(Matrix_prices!J51+$D$2)*IF($M$2="Prices in $/MWh",1,1/1000)</f>
        <v>63.24</v>
      </c>
      <c r="K63" s="80">
        <f>(Matrix_prices!K51+$D$2)*IF($M$2="Prices in $/MWh",1,1/1000)</f>
        <v>64.78</v>
      </c>
      <c r="L63" s="79">
        <f>(Matrix_prices!L51+$D$2)*IF($M$2="Prices in $/MWh",1,1/1000)</f>
        <v>29.1</v>
      </c>
      <c r="M63" s="80">
        <f>(Matrix_prices!M51+$D$2)*IF($M$2="Prices in $/MWh",1,1/1000)</f>
        <v>30.79</v>
      </c>
      <c r="N63" s="79">
        <f>(Matrix_prices!N51+$D$2)*IF($M$2="Prices in $/MWh",1,1/1000)</f>
        <v>32.229999999999997</v>
      </c>
      <c r="O63" s="61"/>
    </row>
    <row r="64" spans="2:15" x14ac:dyDescent="0.25">
      <c r="B64" s="57"/>
      <c r="C64" s="82">
        <f>Matrix_prices!C52</f>
        <v>42522</v>
      </c>
      <c r="D64" s="83" t="str">
        <f>Matrix_prices!D52</f>
        <v>IL</v>
      </c>
      <c r="E64" s="84" t="str">
        <f>Matrix_prices!E52</f>
        <v>ComED</v>
      </c>
      <c r="F64" s="83" t="str">
        <f>Matrix_prices!F52</f>
        <v>LP29</v>
      </c>
      <c r="G64" s="84" t="str">
        <f>Matrix_prices!G52</f>
        <v>100-400 Kw</v>
      </c>
      <c r="H64" s="85" t="str">
        <f t="shared" si="2"/>
        <v>500-2500 MWh</v>
      </c>
      <c r="I64" s="84">
        <f>(Matrix_prices!I52+$D$2)*IF($M$2="Prices in $/MWh",1,1/1000)</f>
        <v>60.72</v>
      </c>
      <c r="J64" s="83">
        <f>(Matrix_prices!J52+$D$2)*IF($M$2="Prices in $/MWh",1,1/1000)</f>
        <v>62.19</v>
      </c>
      <c r="K64" s="84">
        <f>(Matrix_prices!K52+$D$2)*IF($M$2="Prices in $/MWh",1,1/1000)</f>
        <v>63.73</v>
      </c>
      <c r="L64" s="83">
        <f>(Matrix_prices!L52+$D$2)*IF($M$2="Prices in $/MWh",1,1/1000)</f>
        <v>28.05</v>
      </c>
      <c r="M64" s="84">
        <f>(Matrix_prices!M52+$D$2)*IF($M$2="Prices in $/MWh",1,1/1000)</f>
        <v>29.74</v>
      </c>
      <c r="N64" s="83">
        <f>(Matrix_prices!N52+$D$2)*IF($M$2="Prices in $/MWh",1,1/1000)</f>
        <v>31.18</v>
      </c>
      <c r="O64" s="61"/>
    </row>
    <row r="65" spans="2:15" x14ac:dyDescent="0.25">
      <c r="B65" s="57"/>
      <c r="C65" s="74">
        <f>Matrix_prices!C53</f>
        <v>42552</v>
      </c>
      <c r="D65" s="75" t="str">
        <f>Matrix_prices!D53</f>
        <v>IL</v>
      </c>
      <c r="E65" s="76" t="str">
        <f>Matrix_prices!E53</f>
        <v>ComED</v>
      </c>
      <c r="F65" s="75" t="str">
        <f>Matrix_prices!F53</f>
        <v>LP29</v>
      </c>
      <c r="G65" s="76" t="str">
        <f>Matrix_prices!G53</f>
        <v>100-400 Kw</v>
      </c>
      <c r="H65" s="157" t="str">
        <f t="shared" si="0"/>
        <v>0-100 MWh</v>
      </c>
      <c r="I65" s="76">
        <f>(Matrix_prices!I53+$D$2)*IF($M$2="Prices in $/MWh",1,1/1000)</f>
        <v>63.94</v>
      </c>
      <c r="J65" s="75">
        <f>(Matrix_prices!J53+$D$2)*IF($M$2="Prices in $/MWh",1,1/1000)</f>
        <v>65.13</v>
      </c>
      <c r="K65" s="76">
        <f>(Matrix_prices!K53+$D$2)*IF($M$2="Prices in $/MWh",1,1/1000)</f>
        <v>66.92</v>
      </c>
      <c r="L65" s="75">
        <f>(Matrix_prices!L53+$D$2)*IF($M$2="Prices in $/MWh",1,1/1000)</f>
        <v>31.21</v>
      </c>
      <c r="M65" s="76">
        <f>(Matrix_prices!M53+$D$2)*IF($M$2="Prices in $/MWh",1,1/1000)</f>
        <v>32.83</v>
      </c>
      <c r="N65" s="75">
        <f>(Matrix_prices!N53+$D$2)*IF($M$2="Prices in $/MWh",1,1/1000)</f>
        <v>34.369999999999997</v>
      </c>
      <c r="O65" s="61"/>
    </row>
    <row r="66" spans="2:15" x14ac:dyDescent="0.25">
      <c r="B66" s="57"/>
      <c r="C66" s="78">
        <f>Matrix_prices!C54</f>
        <v>42552</v>
      </c>
      <c r="D66" s="79" t="str">
        <f>Matrix_prices!D54</f>
        <v>IL</v>
      </c>
      <c r="E66" s="80" t="str">
        <f>Matrix_prices!E54</f>
        <v>ComED</v>
      </c>
      <c r="F66" s="79" t="str">
        <f>Matrix_prices!F54</f>
        <v>LP29</v>
      </c>
      <c r="G66" s="80" t="str">
        <f>Matrix_prices!G54</f>
        <v>100-400 Kw</v>
      </c>
      <c r="H66" s="81" t="str">
        <f t="shared" si="1"/>
        <v>100-500 MWh</v>
      </c>
      <c r="I66" s="80">
        <f>(Matrix_prices!I54+$D$2)*IF($M$2="Prices in $/MWh",1,1/1000)</f>
        <v>62.34</v>
      </c>
      <c r="J66" s="79">
        <f>(Matrix_prices!J54+$D$2)*IF($M$2="Prices in $/MWh",1,1/1000)</f>
        <v>63.53</v>
      </c>
      <c r="K66" s="80">
        <f>(Matrix_prices!K54+$D$2)*IF($M$2="Prices in $/MWh",1,1/1000)</f>
        <v>65.319999999999993</v>
      </c>
      <c r="L66" s="79">
        <f>(Matrix_prices!L54+$D$2)*IF($M$2="Prices in $/MWh",1,1/1000)</f>
        <v>29.61</v>
      </c>
      <c r="M66" s="80">
        <f>(Matrix_prices!M54+$D$2)*IF($M$2="Prices in $/MWh",1,1/1000)</f>
        <v>31.23</v>
      </c>
      <c r="N66" s="79">
        <f>(Matrix_prices!N54+$D$2)*IF($M$2="Prices in $/MWh",1,1/1000)</f>
        <v>32.770000000000003</v>
      </c>
      <c r="O66" s="61"/>
    </row>
    <row r="67" spans="2:15" x14ac:dyDescent="0.25">
      <c r="B67" s="57"/>
      <c r="C67" s="82">
        <f>Matrix_prices!C55</f>
        <v>42552</v>
      </c>
      <c r="D67" s="83" t="str">
        <f>Matrix_prices!D55</f>
        <v>IL</v>
      </c>
      <c r="E67" s="84" t="str">
        <f>Matrix_prices!E55</f>
        <v>ComED</v>
      </c>
      <c r="F67" s="83" t="str">
        <f>Matrix_prices!F55</f>
        <v>LP29</v>
      </c>
      <c r="G67" s="84" t="str">
        <f>Matrix_prices!G55</f>
        <v>100-400 Kw</v>
      </c>
      <c r="H67" s="85" t="str">
        <f t="shared" si="2"/>
        <v>500-2500 MWh</v>
      </c>
      <c r="I67" s="84">
        <f>(Matrix_prices!I55+$D$2)*IF($M$2="Prices in $/MWh",1,1/1000)</f>
        <v>61.29</v>
      </c>
      <c r="J67" s="83">
        <f>(Matrix_prices!J55+$D$2)*IF($M$2="Prices in $/MWh",1,1/1000)</f>
        <v>62.48</v>
      </c>
      <c r="K67" s="84">
        <f>(Matrix_prices!K55+$D$2)*IF($M$2="Prices in $/MWh",1,1/1000)</f>
        <v>64.27</v>
      </c>
      <c r="L67" s="83">
        <f>(Matrix_prices!L55+$D$2)*IF($M$2="Prices in $/MWh",1,1/1000)</f>
        <v>28.56</v>
      </c>
      <c r="M67" s="84">
        <f>(Matrix_prices!M55+$D$2)*IF($M$2="Prices in $/MWh",1,1/1000)</f>
        <v>30.18</v>
      </c>
      <c r="N67" s="83">
        <f>(Matrix_prices!N55+$D$2)*IF($M$2="Prices in $/MWh",1,1/1000)</f>
        <v>31.72</v>
      </c>
      <c r="O67" s="61"/>
    </row>
    <row r="68" spans="2:15" x14ac:dyDescent="0.25">
      <c r="B68" s="57"/>
      <c r="C68" s="151">
        <f>Matrix_prices!C56</f>
        <v>42583</v>
      </c>
      <c r="D68" s="152" t="str">
        <f>Matrix_prices!D56</f>
        <v>IL</v>
      </c>
      <c r="E68" s="153" t="str">
        <f>Matrix_prices!E56</f>
        <v>ComED</v>
      </c>
      <c r="F68" s="152" t="str">
        <f>Matrix_prices!F56</f>
        <v>LP29</v>
      </c>
      <c r="G68" s="153" t="str">
        <f>Matrix_prices!G56</f>
        <v>100-400 Kw</v>
      </c>
      <c r="H68" s="157" t="str">
        <f t="shared" si="0"/>
        <v>0-100 MWh</v>
      </c>
      <c r="I68" s="153">
        <f>(Matrix_prices!I56+$D$2)*IF($M$2="Prices in $/MWh",1,1/1000)</f>
        <v>64.44</v>
      </c>
      <c r="J68" s="152">
        <f>(Matrix_prices!J56+$D$2)*IF($M$2="Prices in $/MWh",1,1/1000)</f>
        <v>65.56</v>
      </c>
      <c r="K68" s="153">
        <f>(Matrix_prices!K56+$D$2)*IF($M$2="Prices in $/MWh",1,1/1000)</f>
        <v>67.52</v>
      </c>
      <c r="L68" s="152">
        <f>(Matrix_prices!L56+$D$2)*IF($M$2="Prices in $/MWh",1,1/1000)</f>
        <v>31.75</v>
      </c>
      <c r="M68" s="153">
        <f>(Matrix_prices!M56+$D$2)*IF($M$2="Prices in $/MWh",1,1/1000)</f>
        <v>33.36</v>
      </c>
      <c r="N68" s="152">
        <f>(Matrix_prices!N56+$D$2)*IF($M$2="Prices in $/MWh",1,1/1000)</f>
        <v>34.92</v>
      </c>
      <c r="O68" s="61"/>
    </row>
    <row r="69" spans="2:15" x14ac:dyDescent="0.25">
      <c r="B69" s="57"/>
      <c r="C69" s="78">
        <f>Matrix_prices!C57</f>
        <v>42583</v>
      </c>
      <c r="D69" s="79" t="str">
        <f>Matrix_prices!D57</f>
        <v>IL</v>
      </c>
      <c r="E69" s="80" t="str">
        <f>Matrix_prices!E57</f>
        <v>ComED</v>
      </c>
      <c r="F69" s="79" t="str">
        <f>Matrix_prices!F57</f>
        <v>LP29</v>
      </c>
      <c r="G69" s="80" t="str">
        <f>Matrix_prices!G57</f>
        <v>100-400 Kw</v>
      </c>
      <c r="H69" s="81" t="str">
        <f t="shared" si="1"/>
        <v>100-500 MWh</v>
      </c>
      <c r="I69" s="80">
        <f>(Matrix_prices!I57+$D$2)*IF($M$2="Prices in $/MWh",1,1/1000)</f>
        <v>62.84</v>
      </c>
      <c r="J69" s="79">
        <f>(Matrix_prices!J57+$D$2)*IF($M$2="Prices in $/MWh",1,1/1000)</f>
        <v>63.96</v>
      </c>
      <c r="K69" s="80">
        <f>(Matrix_prices!K57+$D$2)*IF($M$2="Prices in $/MWh",1,1/1000)</f>
        <v>65.92</v>
      </c>
      <c r="L69" s="79">
        <f>(Matrix_prices!L57+$D$2)*IF($M$2="Prices in $/MWh",1,1/1000)</f>
        <v>30.15</v>
      </c>
      <c r="M69" s="80">
        <f>(Matrix_prices!M57+$D$2)*IF($M$2="Prices in $/MWh",1,1/1000)</f>
        <v>31.76</v>
      </c>
      <c r="N69" s="79">
        <f>(Matrix_prices!N57+$D$2)*IF($M$2="Prices in $/MWh",1,1/1000)</f>
        <v>33.32</v>
      </c>
      <c r="O69" s="61"/>
    </row>
    <row r="70" spans="2:15" x14ac:dyDescent="0.25">
      <c r="B70" s="57"/>
      <c r="C70" s="82">
        <f>Matrix_prices!C58</f>
        <v>42583</v>
      </c>
      <c r="D70" s="83" t="str">
        <f>Matrix_prices!D58</f>
        <v>IL</v>
      </c>
      <c r="E70" s="84" t="str">
        <f>Matrix_prices!E58</f>
        <v>ComED</v>
      </c>
      <c r="F70" s="83" t="str">
        <f>Matrix_prices!F58</f>
        <v>LP29</v>
      </c>
      <c r="G70" s="84" t="str">
        <f>Matrix_prices!G58</f>
        <v>100-400 Kw</v>
      </c>
      <c r="H70" s="85" t="str">
        <f t="shared" si="2"/>
        <v>500-2500 MWh</v>
      </c>
      <c r="I70" s="84">
        <f>(Matrix_prices!I58+$D$2)*IF($M$2="Prices in $/MWh",1,1/1000)</f>
        <v>61.79</v>
      </c>
      <c r="J70" s="83">
        <f>(Matrix_prices!J58+$D$2)*IF($M$2="Prices in $/MWh",1,1/1000)</f>
        <v>62.91</v>
      </c>
      <c r="K70" s="84">
        <f>(Matrix_prices!K58+$D$2)*IF($M$2="Prices in $/MWh",1,1/1000)</f>
        <v>64.87</v>
      </c>
      <c r="L70" s="83">
        <f>(Matrix_prices!L58+$D$2)*IF($M$2="Prices in $/MWh",1,1/1000)</f>
        <v>29.1</v>
      </c>
      <c r="M70" s="84">
        <f>(Matrix_prices!M58+$D$2)*IF($M$2="Prices in $/MWh",1,1/1000)</f>
        <v>30.71</v>
      </c>
      <c r="N70" s="83">
        <f>(Matrix_prices!N58+$D$2)*IF($M$2="Prices in $/MWh",1,1/1000)</f>
        <v>32.270000000000003</v>
      </c>
      <c r="O70" s="61"/>
    </row>
    <row r="71" spans="2:15" x14ac:dyDescent="0.25">
      <c r="B71" s="57"/>
      <c r="C71" s="74">
        <f>Matrix_prices!C59</f>
        <v>42614</v>
      </c>
      <c r="D71" s="75" t="str">
        <f>Matrix_prices!D59</f>
        <v>IL</v>
      </c>
      <c r="E71" s="76" t="str">
        <f>Matrix_prices!E59</f>
        <v>ComED</v>
      </c>
      <c r="F71" s="75" t="str">
        <f>Matrix_prices!F59</f>
        <v>LP29</v>
      </c>
      <c r="G71" s="76" t="str">
        <f>Matrix_prices!G59</f>
        <v>100-400 Kw</v>
      </c>
      <c r="H71" s="157" t="str">
        <f t="shared" ref="H71:H134" si="3">IF($M$2="Prices in $/MWh","0-100 MWh","0-100,000 kWh")</f>
        <v>0-100 MWh</v>
      </c>
      <c r="I71" s="76">
        <f>(Matrix_prices!I59+$D$2)*IF($M$2="Prices in $/MWh",1,1/1000)</f>
        <v>64.89</v>
      </c>
      <c r="J71" s="75">
        <f>(Matrix_prices!J59+$D$2)*IF($M$2="Prices in $/MWh",1,1/1000)</f>
        <v>66.03</v>
      </c>
      <c r="K71" s="76">
        <f>(Matrix_prices!K59+$D$2)*IF($M$2="Prices in $/MWh",1,1/1000)</f>
        <v>68.05</v>
      </c>
      <c r="L71" s="75">
        <f>(Matrix_prices!L59+$D$2)*IF($M$2="Prices in $/MWh",1,1/1000)</f>
        <v>32.28</v>
      </c>
      <c r="M71" s="76">
        <f>(Matrix_prices!M59+$D$2)*IF($M$2="Prices in $/MWh",1,1/1000)</f>
        <v>33.869999999999997</v>
      </c>
      <c r="N71" s="75">
        <f>(Matrix_prices!N59+$D$2)*IF($M$2="Prices in $/MWh",1,1/1000)</f>
        <v>35.479999999999997</v>
      </c>
      <c r="O71" s="61"/>
    </row>
    <row r="72" spans="2:15" x14ac:dyDescent="0.25">
      <c r="B72" s="57"/>
      <c r="C72" s="78">
        <f>Matrix_prices!C60</f>
        <v>42614</v>
      </c>
      <c r="D72" s="79" t="str">
        <f>Matrix_prices!D60</f>
        <v>IL</v>
      </c>
      <c r="E72" s="80" t="str">
        <f>Matrix_prices!E60</f>
        <v>ComED</v>
      </c>
      <c r="F72" s="79" t="str">
        <f>Matrix_prices!F60</f>
        <v>LP29</v>
      </c>
      <c r="G72" s="80" t="str">
        <f>Matrix_prices!G60</f>
        <v>100-400 Kw</v>
      </c>
      <c r="H72" s="81" t="str">
        <f t="shared" ref="H72:H135" si="4">IF($M$2="Prices in $/MWh","100-500 MWh","100,000-500,000 kWh")</f>
        <v>100-500 MWh</v>
      </c>
      <c r="I72" s="80">
        <f>(Matrix_prices!I60+$D$2)*IF($M$2="Prices in $/MWh",1,1/1000)</f>
        <v>63.29</v>
      </c>
      <c r="J72" s="79">
        <f>(Matrix_prices!J60+$D$2)*IF($M$2="Prices in $/MWh",1,1/1000)</f>
        <v>64.430000000000007</v>
      </c>
      <c r="K72" s="80">
        <f>(Matrix_prices!K60+$D$2)*IF($M$2="Prices in $/MWh",1,1/1000)</f>
        <v>66.45</v>
      </c>
      <c r="L72" s="79">
        <f>(Matrix_prices!L60+$D$2)*IF($M$2="Prices in $/MWh",1,1/1000)</f>
        <v>30.68</v>
      </c>
      <c r="M72" s="80">
        <f>(Matrix_prices!M60+$D$2)*IF($M$2="Prices in $/MWh",1,1/1000)</f>
        <v>32.270000000000003</v>
      </c>
      <c r="N72" s="79">
        <f>(Matrix_prices!N60+$D$2)*IF($M$2="Prices in $/MWh",1,1/1000)</f>
        <v>33.880000000000003</v>
      </c>
      <c r="O72" s="61"/>
    </row>
    <row r="73" spans="2:15" x14ac:dyDescent="0.25">
      <c r="B73" s="57"/>
      <c r="C73" s="82">
        <f>Matrix_prices!C61</f>
        <v>42614</v>
      </c>
      <c r="D73" s="83" t="str">
        <f>Matrix_prices!D61</f>
        <v>IL</v>
      </c>
      <c r="E73" s="84" t="str">
        <f>Matrix_prices!E61</f>
        <v>ComED</v>
      </c>
      <c r="F73" s="83" t="str">
        <f>Matrix_prices!F61</f>
        <v>LP29</v>
      </c>
      <c r="G73" s="84" t="str">
        <f>Matrix_prices!G61</f>
        <v>100-400 Kw</v>
      </c>
      <c r="H73" s="85" t="str">
        <f t="shared" ref="H73:H136" si="5">IF($M$2="Prices in $/MWh","500-2500 MWh","500,000-2,500,000 kWh")</f>
        <v>500-2500 MWh</v>
      </c>
      <c r="I73" s="84">
        <f>(Matrix_prices!I61+$D$2)*IF($M$2="Prices in $/MWh",1,1/1000)</f>
        <v>62.24</v>
      </c>
      <c r="J73" s="83">
        <f>(Matrix_prices!J61+$D$2)*IF($M$2="Prices in $/MWh",1,1/1000)</f>
        <v>63.38</v>
      </c>
      <c r="K73" s="84">
        <f>(Matrix_prices!K61+$D$2)*IF($M$2="Prices in $/MWh",1,1/1000)</f>
        <v>65.400000000000006</v>
      </c>
      <c r="L73" s="83">
        <f>(Matrix_prices!L61+$D$2)*IF($M$2="Prices in $/MWh",1,1/1000)</f>
        <v>29.63</v>
      </c>
      <c r="M73" s="84">
        <f>(Matrix_prices!M61+$D$2)*IF($M$2="Prices in $/MWh",1,1/1000)</f>
        <v>31.22</v>
      </c>
      <c r="N73" s="83">
        <f>(Matrix_prices!N61+$D$2)*IF($M$2="Prices in $/MWh",1,1/1000)</f>
        <v>32.83</v>
      </c>
      <c r="O73" s="61"/>
    </row>
    <row r="74" spans="2:15" x14ac:dyDescent="0.25">
      <c r="B74" s="57"/>
      <c r="C74" s="151">
        <f>Matrix_prices!C62</f>
        <v>42644</v>
      </c>
      <c r="D74" s="152" t="str">
        <f>Matrix_prices!D62</f>
        <v>IL</v>
      </c>
      <c r="E74" s="153" t="str">
        <f>Matrix_prices!E62</f>
        <v>ComED</v>
      </c>
      <c r="F74" s="152" t="str">
        <f>Matrix_prices!F62</f>
        <v>LP29</v>
      </c>
      <c r="G74" s="153" t="str">
        <f>Matrix_prices!G62</f>
        <v>100-400 Kw</v>
      </c>
      <c r="H74" s="157" t="str">
        <f t="shared" si="3"/>
        <v>0-100 MWh</v>
      </c>
      <c r="I74" s="153">
        <f>(Matrix_prices!I62+$D$2)*IF($M$2="Prices in $/MWh",1,1/1000)</f>
        <v>65.400000000000006</v>
      </c>
      <c r="J74" s="152">
        <f>(Matrix_prices!J62+$D$2)*IF($M$2="Prices in $/MWh",1,1/1000)</f>
        <v>66.760000000000005</v>
      </c>
      <c r="K74" s="153">
        <f>(Matrix_prices!K62+$D$2)*IF($M$2="Prices in $/MWh",1,1/1000)</f>
        <v>68.569999999999993</v>
      </c>
      <c r="L74" s="152">
        <f>(Matrix_prices!L62+$D$2)*IF($M$2="Prices in $/MWh",1,1/1000)</f>
        <v>32.81</v>
      </c>
      <c r="M74" s="153">
        <f>(Matrix_prices!M62+$D$2)*IF($M$2="Prices in $/MWh",1,1/1000)</f>
        <v>34.39</v>
      </c>
      <c r="N74" s="152">
        <f>(Matrix_prices!N62+$D$2)*IF($M$2="Prices in $/MWh",1,1/1000)</f>
        <v>36.049999999999997</v>
      </c>
      <c r="O74" s="61"/>
    </row>
    <row r="75" spans="2:15" x14ac:dyDescent="0.25">
      <c r="B75" s="57"/>
      <c r="C75" s="78">
        <f>Matrix_prices!C63</f>
        <v>42644</v>
      </c>
      <c r="D75" s="79" t="str">
        <f>Matrix_prices!D63</f>
        <v>IL</v>
      </c>
      <c r="E75" s="80" t="str">
        <f>Matrix_prices!E63</f>
        <v>ComED</v>
      </c>
      <c r="F75" s="79" t="str">
        <f>Matrix_prices!F63</f>
        <v>LP29</v>
      </c>
      <c r="G75" s="80" t="str">
        <f>Matrix_prices!G63</f>
        <v>100-400 Kw</v>
      </c>
      <c r="H75" s="81" t="str">
        <f t="shared" si="4"/>
        <v>100-500 MWh</v>
      </c>
      <c r="I75" s="80">
        <f>(Matrix_prices!I63+$D$2)*IF($M$2="Prices in $/MWh",1,1/1000)</f>
        <v>63.8</v>
      </c>
      <c r="J75" s="79">
        <f>(Matrix_prices!J63+$D$2)*IF($M$2="Prices in $/MWh",1,1/1000)</f>
        <v>65.16</v>
      </c>
      <c r="K75" s="80">
        <f>(Matrix_prices!K63+$D$2)*IF($M$2="Prices in $/MWh",1,1/1000)</f>
        <v>66.97</v>
      </c>
      <c r="L75" s="79">
        <f>(Matrix_prices!L63+$D$2)*IF($M$2="Prices in $/MWh",1,1/1000)</f>
        <v>31.21</v>
      </c>
      <c r="M75" s="80">
        <f>(Matrix_prices!M63+$D$2)*IF($M$2="Prices in $/MWh",1,1/1000)</f>
        <v>32.79</v>
      </c>
      <c r="N75" s="79">
        <f>(Matrix_prices!N63+$D$2)*IF($M$2="Prices in $/MWh",1,1/1000)</f>
        <v>34.450000000000003</v>
      </c>
      <c r="O75" s="61"/>
    </row>
    <row r="76" spans="2:15" x14ac:dyDescent="0.25">
      <c r="B76" s="57"/>
      <c r="C76" s="82">
        <f>Matrix_prices!C64</f>
        <v>42644</v>
      </c>
      <c r="D76" s="83" t="str">
        <f>Matrix_prices!D64</f>
        <v>IL</v>
      </c>
      <c r="E76" s="84" t="str">
        <f>Matrix_prices!E64</f>
        <v>ComED</v>
      </c>
      <c r="F76" s="83" t="str">
        <f>Matrix_prices!F64</f>
        <v>LP29</v>
      </c>
      <c r="G76" s="84" t="str">
        <f>Matrix_prices!G64</f>
        <v>100-400 Kw</v>
      </c>
      <c r="H76" s="85" t="str">
        <f t="shared" si="5"/>
        <v>500-2500 MWh</v>
      </c>
      <c r="I76" s="84">
        <f>(Matrix_prices!I64+$D$2)*IF($M$2="Prices in $/MWh",1,1/1000)</f>
        <v>62.75</v>
      </c>
      <c r="J76" s="83">
        <f>(Matrix_prices!J64+$D$2)*IF($M$2="Prices in $/MWh",1,1/1000)</f>
        <v>64.11</v>
      </c>
      <c r="K76" s="84">
        <f>(Matrix_prices!K64+$D$2)*IF($M$2="Prices in $/MWh",1,1/1000)</f>
        <v>65.92</v>
      </c>
      <c r="L76" s="83">
        <f>(Matrix_prices!L64+$D$2)*IF($M$2="Prices in $/MWh",1,1/1000)</f>
        <v>30.16</v>
      </c>
      <c r="M76" s="84">
        <f>(Matrix_prices!M64+$D$2)*IF($M$2="Prices in $/MWh",1,1/1000)</f>
        <v>31.74</v>
      </c>
      <c r="N76" s="83">
        <f>(Matrix_prices!N64+$D$2)*IF($M$2="Prices in $/MWh",1,1/1000)</f>
        <v>33.4</v>
      </c>
      <c r="O76" s="61"/>
    </row>
    <row r="77" spans="2:15" x14ac:dyDescent="0.25">
      <c r="B77" s="57"/>
      <c r="C77" s="74">
        <f>Matrix_prices!C65</f>
        <v>42675</v>
      </c>
      <c r="D77" s="75" t="str">
        <f>Matrix_prices!D65</f>
        <v>IL</v>
      </c>
      <c r="E77" s="76" t="str">
        <f>Matrix_prices!E65</f>
        <v>ComED</v>
      </c>
      <c r="F77" s="75" t="str">
        <f>Matrix_prices!F65</f>
        <v>LP29</v>
      </c>
      <c r="G77" s="76" t="str">
        <f>Matrix_prices!G65</f>
        <v>100-400 Kw</v>
      </c>
      <c r="H77" s="157" t="str">
        <f t="shared" si="3"/>
        <v>0-100 MWh</v>
      </c>
      <c r="I77" s="76">
        <f>(Matrix_prices!I65+$D$2)*IF($M$2="Prices in $/MWh",1,1/1000)</f>
        <v>65.95</v>
      </c>
      <c r="J77" s="75">
        <f>(Matrix_prices!J65+$D$2)*IF($M$2="Prices in $/MWh",1,1/1000)</f>
        <v>67.34</v>
      </c>
      <c r="K77" s="76">
        <f>(Matrix_prices!K65+$D$2)*IF($M$2="Prices in $/MWh",1,1/1000)</f>
        <v>69.13</v>
      </c>
      <c r="L77" s="75">
        <f>(Matrix_prices!L65+$D$2)*IF($M$2="Prices in $/MWh",1,1/1000)</f>
        <v>33.36</v>
      </c>
      <c r="M77" s="76">
        <f>(Matrix_prices!M65+$D$2)*IF($M$2="Prices in $/MWh",1,1/1000)</f>
        <v>34.869999999999997</v>
      </c>
      <c r="N77" s="75">
        <f>(Matrix_prices!N65+$D$2)*IF($M$2="Prices in $/MWh",1,1/1000)</f>
        <v>36.6</v>
      </c>
      <c r="O77" s="61"/>
    </row>
    <row r="78" spans="2:15" x14ac:dyDescent="0.25">
      <c r="B78" s="57"/>
      <c r="C78" s="78">
        <f>Matrix_prices!C66</f>
        <v>42675</v>
      </c>
      <c r="D78" s="79" t="str">
        <f>Matrix_prices!D66</f>
        <v>IL</v>
      </c>
      <c r="E78" s="80" t="str">
        <f>Matrix_prices!E66</f>
        <v>ComED</v>
      </c>
      <c r="F78" s="79" t="str">
        <f>Matrix_prices!F66</f>
        <v>LP29</v>
      </c>
      <c r="G78" s="80" t="str">
        <f>Matrix_prices!G66</f>
        <v>100-400 Kw</v>
      </c>
      <c r="H78" s="81" t="str">
        <f t="shared" si="4"/>
        <v>100-500 MWh</v>
      </c>
      <c r="I78" s="80">
        <f>(Matrix_prices!I66+$D$2)*IF($M$2="Prices in $/MWh",1,1/1000)</f>
        <v>64.349999999999994</v>
      </c>
      <c r="J78" s="79">
        <f>(Matrix_prices!J66+$D$2)*IF($M$2="Prices in $/MWh",1,1/1000)</f>
        <v>65.739999999999995</v>
      </c>
      <c r="K78" s="80">
        <f>(Matrix_prices!K66+$D$2)*IF($M$2="Prices in $/MWh",1,1/1000)</f>
        <v>67.53</v>
      </c>
      <c r="L78" s="79">
        <f>(Matrix_prices!L66+$D$2)*IF($M$2="Prices in $/MWh",1,1/1000)</f>
        <v>31.76</v>
      </c>
      <c r="M78" s="80">
        <f>(Matrix_prices!M66+$D$2)*IF($M$2="Prices in $/MWh",1,1/1000)</f>
        <v>33.270000000000003</v>
      </c>
      <c r="N78" s="79">
        <f>(Matrix_prices!N66+$D$2)*IF($M$2="Prices in $/MWh",1,1/1000)</f>
        <v>35</v>
      </c>
      <c r="O78" s="61"/>
    </row>
    <row r="79" spans="2:15" x14ac:dyDescent="0.25">
      <c r="B79" s="57"/>
      <c r="C79" s="82">
        <f>Matrix_prices!C67</f>
        <v>42675</v>
      </c>
      <c r="D79" s="83" t="str">
        <f>Matrix_prices!D67</f>
        <v>IL</v>
      </c>
      <c r="E79" s="84" t="str">
        <f>Matrix_prices!E67</f>
        <v>ComED</v>
      </c>
      <c r="F79" s="83" t="str">
        <f>Matrix_prices!F67</f>
        <v>LP29</v>
      </c>
      <c r="G79" s="84" t="str">
        <f>Matrix_prices!G67</f>
        <v>100-400 Kw</v>
      </c>
      <c r="H79" s="85" t="str">
        <f t="shared" si="5"/>
        <v>500-2500 MWh</v>
      </c>
      <c r="I79" s="84">
        <f>(Matrix_prices!I67+$D$2)*IF($M$2="Prices in $/MWh",1,1/1000)</f>
        <v>63.3</v>
      </c>
      <c r="J79" s="83">
        <f>(Matrix_prices!J67+$D$2)*IF($M$2="Prices in $/MWh",1,1/1000)</f>
        <v>64.69</v>
      </c>
      <c r="K79" s="84">
        <f>(Matrix_prices!K67+$D$2)*IF($M$2="Prices in $/MWh",1,1/1000)</f>
        <v>66.48</v>
      </c>
      <c r="L79" s="83">
        <f>(Matrix_prices!L67+$D$2)*IF($M$2="Prices in $/MWh",1,1/1000)</f>
        <v>30.71</v>
      </c>
      <c r="M79" s="84">
        <f>(Matrix_prices!M67+$D$2)*IF($M$2="Prices in $/MWh",1,1/1000)</f>
        <v>32.22</v>
      </c>
      <c r="N79" s="83">
        <f>(Matrix_prices!N67+$D$2)*IF($M$2="Prices in $/MWh",1,1/1000)</f>
        <v>33.950000000000003</v>
      </c>
      <c r="O79" s="61"/>
    </row>
    <row r="80" spans="2:15" x14ac:dyDescent="0.25">
      <c r="B80" s="57"/>
      <c r="C80" s="151">
        <f>Matrix_prices!C68</f>
        <v>42705</v>
      </c>
      <c r="D80" s="152" t="str">
        <f>Matrix_prices!D68</f>
        <v>IL</v>
      </c>
      <c r="E80" s="153" t="str">
        <f>Matrix_prices!E68</f>
        <v>ComED</v>
      </c>
      <c r="F80" s="152" t="str">
        <f>Matrix_prices!F68</f>
        <v>LP29</v>
      </c>
      <c r="G80" s="153" t="str">
        <f>Matrix_prices!G68</f>
        <v>100-400 Kw</v>
      </c>
      <c r="H80" s="157" t="str">
        <f t="shared" si="3"/>
        <v>0-100 MWh</v>
      </c>
      <c r="I80" s="153">
        <f>(Matrix_prices!I68+$D$2)*IF($M$2="Prices in $/MWh",1,1/1000)</f>
        <v>66.41</v>
      </c>
      <c r="J80" s="152">
        <f>(Matrix_prices!J68+$D$2)*IF($M$2="Prices in $/MWh",1,1/1000)</f>
        <v>68</v>
      </c>
      <c r="K80" s="153">
        <f>(Matrix_prices!K68+$D$2)*IF($M$2="Prices in $/MWh",1,1/1000)</f>
        <v>69.650000000000006</v>
      </c>
      <c r="L80" s="152">
        <f>(Matrix_prices!L68+$D$2)*IF($M$2="Prices in $/MWh",1,1/1000)</f>
        <v>33.85</v>
      </c>
      <c r="M80" s="153">
        <f>(Matrix_prices!M68+$D$2)*IF($M$2="Prices in $/MWh",1,1/1000)</f>
        <v>35.340000000000003</v>
      </c>
      <c r="N80" s="152">
        <f>(Matrix_prices!N68+$D$2)*IF($M$2="Prices in $/MWh",1,1/1000)</f>
        <v>37.130000000000003</v>
      </c>
      <c r="O80" s="61"/>
    </row>
    <row r="81" spans="1:15" x14ac:dyDescent="0.25">
      <c r="B81" s="57"/>
      <c r="C81" s="78">
        <f>Matrix_prices!C69</f>
        <v>42705</v>
      </c>
      <c r="D81" s="79" t="str">
        <f>Matrix_prices!D69</f>
        <v>IL</v>
      </c>
      <c r="E81" s="80" t="str">
        <f>Matrix_prices!E69</f>
        <v>ComED</v>
      </c>
      <c r="F81" s="79" t="str">
        <f>Matrix_prices!F69</f>
        <v>LP29</v>
      </c>
      <c r="G81" s="80" t="str">
        <f>Matrix_prices!G69</f>
        <v>100-400 Kw</v>
      </c>
      <c r="H81" s="81" t="str">
        <f t="shared" si="4"/>
        <v>100-500 MWh</v>
      </c>
      <c r="I81" s="80">
        <f>(Matrix_prices!I69+$D$2)*IF($M$2="Prices in $/MWh",1,1/1000)</f>
        <v>64.81</v>
      </c>
      <c r="J81" s="79">
        <f>(Matrix_prices!J69+$D$2)*IF($M$2="Prices in $/MWh",1,1/1000)</f>
        <v>66.400000000000006</v>
      </c>
      <c r="K81" s="80">
        <f>(Matrix_prices!K69+$D$2)*IF($M$2="Prices in $/MWh",1,1/1000)</f>
        <v>68.05</v>
      </c>
      <c r="L81" s="79">
        <f>(Matrix_prices!L69+$D$2)*IF($M$2="Prices in $/MWh",1,1/1000)</f>
        <v>32.25</v>
      </c>
      <c r="M81" s="80">
        <f>(Matrix_prices!M69+$D$2)*IF($M$2="Prices in $/MWh",1,1/1000)</f>
        <v>33.74</v>
      </c>
      <c r="N81" s="79">
        <f>(Matrix_prices!N69+$D$2)*IF($M$2="Prices in $/MWh",1,1/1000)</f>
        <v>35.53</v>
      </c>
      <c r="O81" s="61"/>
    </row>
    <row r="82" spans="1:15" x14ac:dyDescent="0.25">
      <c r="B82" s="57"/>
      <c r="C82" s="82">
        <f>Matrix_prices!C70</f>
        <v>42705</v>
      </c>
      <c r="D82" s="83" t="str">
        <f>Matrix_prices!D70</f>
        <v>IL</v>
      </c>
      <c r="E82" s="84" t="str">
        <f>Matrix_prices!E70</f>
        <v>ComED</v>
      </c>
      <c r="F82" s="83" t="str">
        <f>Matrix_prices!F70</f>
        <v>LP29</v>
      </c>
      <c r="G82" s="84" t="str">
        <f>Matrix_prices!G70</f>
        <v>100-400 Kw</v>
      </c>
      <c r="H82" s="85" t="str">
        <f t="shared" si="5"/>
        <v>500-2500 MWh</v>
      </c>
      <c r="I82" s="84">
        <f>(Matrix_prices!I70+$D$2)*IF($M$2="Prices in $/MWh",1,1/1000)</f>
        <v>63.76</v>
      </c>
      <c r="J82" s="83">
        <f>(Matrix_prices!J70+$D$2)*IF($M$2="Prices in $/MWh",1,1/1000)</f>
        <v>65.349999999999994</v>
      </c>
      <c r="K82" s="84">
        <f>(Matrix_prices!K70+$D$2)*IF($M$2="Prices in $/MWh",1,1/1000)</f>
        <v>67</v>
      </c>
      <c r="L82" s="83">
        <f>(Matrix_prices!L70+$D$2)*IF($M$2="Prices in $/MWh",1,1/1000)</f>
        <v>31.2</v>
      </c>
      <c r="M82" s="84">
        <f>(Matrix_prices!M70+$D$2)*IF($M$2="Prices in $/MWh",1,1/1000)</f>
        <v>32.69</v>
      </c>
      <c r="N82" s="83">
        <f>(Matrix_prices!N70+$D$2)*IF($M$2="Prices in $/MWh",1,1/1000)</f>
        <v>34.479999999999997</v>
      </c>
      <c r="O82" s="61"/>
    </row>
    <row r="83" spans="1:15" x14ac:dyDescent="0.25">
      <c r="A83" s="122"/>
      <c r="B83" s="5"/>
      <c r="C83" s="74">
        <f>Matrix_prices!C71</f>
        <v>42736</v>
      </c>
      <c r="D83" s="75" t="str">
        <f>Matrix_prices!D71</f>
        <v>IL</v>
      </c>
      <c r="E83" s="76" t="str">
        <f>Matrix_prices!E71</f>
        <v>ComED</v>
      </c>
      <c r="F83" s="75" t="str">
        <f>Matrix_prices!F71</f>
        <v>LP29</v>
      </c>
      <c r="G83" s="76" t="str">
        <f>Matrix_prices!G71</f>
        <v>100-400 Kw</v>
      </c>
      <c r="H83" s="157" t="str">
        <f t="shared" si="3"/>
        <v>0-100 MWh</v>
      </c>
      <c r="I83" s="76">
        <f>(Matrix_prices!I71+$D$2)*IF($M$2="Prices in $/MWh",1,1/1000)</f>
        <v>66.900000000000006</v>
      </c>
      <c r="J83" s="75">
        <f>(Matrix_prices!J71+$D$2)*IF($M$2="Prices in $/MWh",1,1/1000)</f>
        <v>68.75</v>
      </c>
      <c r="K83" s="76">
        <f>(Matrix_prices!K71+$D$2)*IF($M$2="Prices in $/MWh",1,1/1000)</f>
        <v>70.25</v>
      </c>
      <c r="L83" s="75">
        <f>(Matrix_prices!L71+$D$2)*IF($M$2="Prices in $/MWh",1,1/1000)</f>
        <v>34.4</v>
      </c>
      <c r="M83" s="76">
        <f>(Matrix_prices!M71+$D$2)*IF($M$2="Prices in $/MWh",1,1/1000)</f>
        <v>35.979999999999997</v>
      </c>
      <c r="N83" s="75">
        <f>(Matrix_prices!N71+$D$2)*IF($M$2="Prices in $/MWh",1,1/1000)</f>
        <v>37.71</v>
      </c>
      <c r="O83" s="61"/>
    </row>
    <row r="84" spans="1:15" ht="15" customHeight="1" x14ac:dyDescent="0.25">
      <c r="A84" s="5"/>
      <c r="B84" s="5"/>
      <c r="C84" s="78">
        <f>Matrix_prices!C72</f>
        <v>42736</v>
      </c>
      <c r="D84" s="79" t="str">
        <f>Matrix_prices!D72</f>
        <v>IL</v>
      </c>
      <c r="E84" s="80" t="str">
        <f>Matrix_prices!E72</f>
        <v>ComED</v>
      </c>
      <c r="F84" s="79" t="str">
        <f>Matrix_prices!F72</f>
        <v>LP29</v>
      </c>
      <c r="G84" s="80" t="str">
        <f>Matrix_prices!G72</f>
        <v>100-400 Kw</v>
      </c>
      <c r="H84" s="81" t="str">
        <f t="shared" si="4"/>
        <v>100-500 MWh</v>
      </c>
      <c r="I84" s="80">
        <f>(Matrix_prices!I72+$D$2)*IF($M$2="Prices in $/MWh",1,1/1000)</f>
        <v>65.3</v>
      </c>
      <c r="J84" s="79">
        <f>(Matrix_prices!J72+$D$2)*IF($M$2="Prices in $/MWh",1,1/1000)</f>
        <v>67.150000000000006</v>
      </c>
      <c r="K84" s="80">
        <f>(Matrix_prices!K72+$D$2)*IF($M$2="Prices in $/MWh",1,1/1000)</f>
        <v>68.650000000000006</v>
      </c>
      <c r="L84" s="79">
        <f>(Matrix_prices!L72+$D$2)*IF($M$2="Prices in $/MWh",1,1/1000)</f>
        <v>32.799999999999997</v>
      </c>
      <c r="M84" s="80">
        <f>(Matrix_prices!M72+$D$2)*IF($M$2="Prices in $/MWh",1,1/1000)</f>
        <v>34.380000000000003</v>
      </c>
      <c r="N84" s="79">
        <f>(Matrix_prices!N72+$D$2)*IF($M$2="Prices in $/MWh",1,1/1000)</f>
        <v>36.11</v>
      </c>
      <c r="O84" s="61"/>
    </row>
    <row r="85" spans="1:15" ht="15" customHeight="1" x14ac:dyDescent="0.25">
      <c r="A85" s="5"/>
      <c r="B85" s="5"/>
      <c r="C85" s="82">
        <f>Matrix_prices!C73</f>
        <v>42736</v>
      </c>
      <c r="D85" s="83" t="str">
        <f>Matrix_prices!D73</f>
        <v>IL</v>
      </c>
      <c r="E85" s="84" t="str">
        <f>Matrix_prices!E73</f>
        <v>ComED</v>
      </c>
      <c r="F85" s="83" t="str">
        <f>Matrix_prices!F73</f>
        <v>LP29</v>
      </c>
      <c r="G85" s="84" t="str">
        <f>Matrix_prices!G73</f>
        <v>100-400 Kw</v>
      </c>
      <c r="H85" s="85" t="str">
        <f t="shared" si="5"/>
        <v>500-2500 MWh</v>
      </c>
      <c r="I85" s="84">
        <f>(Matrix_prices!I73+$D$2)*IF($M$2="Prices in $/MWh",1,1/1000)</f>
        <v>64.25</v>
      </c>
      <c r="J85" s="83">
        <f>(Matrix_prices!J73+$D$2)*IF($M$2="Prices in $/MWh",1,1/1000)</f>
        <v>66.099999999999994</v>
      </c>
      <c r="K85" s="84">
        <f>(Matrix_prices!K73+$D$2)*IF($M$2="Prices in $/MWh",1,1/1000)</f>
        <v>67.599999999999994</v>
      </c>
      <c r="L85" s="83">
        <f>(Matrix_prices!L73+$D$2)*IF($M$2="Prices in $/MWh",1,1/1000)</f>
        <v>31.75</v>
      </c>
      <c r="M85" s="84">
        <f>(Matrix_prices!M73+$D$2)*IF($M$2="Prices in $/MWh",1,1/1000)</f>
        <v>33.33</v>
      </c>
      <c r="N85" s="83">
        <f>(Matrix_prices!N73+$D$2)*IF($M$2="Prices in $/MWh",1,1/1000)</f>
        <v>35.06</v>
      </c>
      <c r="O85" s="61"/>
    </row>
    <row r="86" spans="1:15" ht="15" customHeight="1" x14ac:dyDescent="0.25">
      <c r="A86" s="5"/>
      <c r="B86" s="5"/>
      <c r="C86" s="151">
        <f>Matrix_prices!C74</f>
        <v>42401</v>
      </c>
      <c r="D86" s="152" t="str">
        <f>Matrix_prices!D74</f>
        <v>MD</v>
      </c>
      <c r="E86" s="153" t="str">
        <f>Matrix_prices!E74</f>
        <v>BGE</v>
      </c>
      <c r="F86" s="152" t="str">
        <f>Matrix_prices!F74</f>
        <v>G</v>
      </c>
      <c r="G86" s="153" t="str">
        <f>Matrix_prices!G74</f>
        <v>General Service Medium</v>
      </c>
      <c r="H86" s="157" t="str">
        <f t="shared" si="3"/>
        <v>0-100 MWh</v>
      </c>
      <c r="I86" s="153">
        <f>(Matrix_prices!I74+$D$2)*IF($M$2="Prices in $/MWh",1,1/1000)</f>
        <v>85.14</v>
      </c>
      <c r="J86" s="152">
        <f>(Matrix_prices!J74+$D$2)*IF($M$2="Prices in $/MWh",1,1/1000)</f>
        <v>85.79</v>
      </c>
      <c r="K86" s="153">
        <f>(Matrix_prices!K74+$D$2)*IF($M$2="Prices in $/MWh",1,1/1000)</f>
        <v>85.12</v>
      </c>
      <c r="L86" s="152">
        <f>(Matrix_prices!L74+$D$2)*IF($M$2="Prices in $/MWh",1,1/1000)</f>
        <v>37.74</v>
      </c>
      <c r="M86" s="153">
        <f>(Matrix_prices!M74+$D$2)*IF($M$2="Prices in $/MWh",1,1/1000)</f>
        <v>37.9</v>
      </c>
      <c r="N86" s="152">
        <f>(Matrix_prices!N74+$D$2)*IF($M$2="Prices in $/MWh",1,1/1000)</f>
        <v>37.79</v>
      </c>
      <c r="O86" s="61"/>
    </row>
    <row r="87" spans="1:15" ht="15" customHeight="1" x14ac:dyDescent="0.25">
      <c r="A87" s="5"/>
      <c r="B87" s="5"/>
      <c r="C87" s="78">
        <f>Matrix_prices!C75</f>
        <v>42401</v>
      </c>
      <c r="D87" s="79" t="str">
        <f>Matrix_prices!D75</f>
        <v>MD</v>
      </c>
      <c r="E87" s="80" t="str">
        <f>Matrix_prices!E75</f>
        <v>BGE</v>
      </c>
      <c r="F87" s="79" t="str">
        <f>Matrix_prices!F75</f>
        <v>G</v>
      </c>
      <c r="G87" s="80" t="str">
        <f>Matrix_prices!G75</f>
        <v>General Service Medium</v>
      </c>
      <c r="H87" s="81" t="str">
        <f t="shared" si="4"/>
        <v>100-500 MWh</v>
      </c>
      <c r="I87" s="80">
        <f>(Matrix_prices!I75+$D$2)*IF($M$2="Prices in $/MWh",1,1/1000)</f>
        <v>83.54</v>
      </c>
      <c r="J87" s="79">
        <f>(Matrix_prices!J75+$D$2)*IF($M$2="Prices in $/MWh",1,1/1000)</f>
        <v>84.19</v>
      </c>
      <c r="K87" s="80">
        <f>(Matrix_prices!K75+$D$2)*IF($M$2="Prices in $/MWh",1,1/1000)</f>
        <v>83.52</v>
      </c>
      <c r="L87" s="79">
        <f>(Matrix_prices!L75+$D$2)*IF($M$2="Prices in $/MWh",1,1/1000)</f>
        <v>36.14</v>
      </c>
      <c r="M87" s="80">
        <f>(Matrix_prices!M75+$D$2)*IF($M$2="Prices in $/MWh",1,1/1000)</f>
        <v>36.299999999999997</v>
      </c>
      <c r="N87" s="79">
        <f>(Matrix_prices!N75+$D$2)*IF($M$2="Prices in $/MWh",1,1/1000)</f>
        <v>36.19</v>
      </c>
      <c r="O87" s="61"/>
    </row>
    <row r="88" spans="1:15" x14ac:dyDescent="0.25">
      <c r="A88" s="5"/>
      <c r="B88" s="5"/>
      <c r="C88" s="82">
        <f>Matrix_prices!C76</f>
        <v>42401</v>
      </c>
      <c r="D88" s="83" t="str">
        <f>Matrix_prices!D76</f>
        <v>MD</v>
      </c>
      <c r="E88" s="84" t="str">
        <f>Matrix_prices!E76</f>
        <v>BGE</v>
      </c>
      <c r="F88" s="83" t="str">
        <f>Matrix_prices!F76</f>
        <v>G</v>
      </c>
      <c r="G88" s="84" t="str">
        <f>Matrix_prices!G76</f>
        <v>General Service Medium</v>
      </c>
      <c r="H88" s="85" t="str">
        <f t="shared" si="5"/>
        <v>500-2500 MWh</v>
      </c>
      <c r="I88" s="84">
        <f>(Matrix_prices!I76+$D$2)*IF($M$2="Prices in $/MWh",1,1/1000)</f>
        <v>82.49</v>
      </c>
      <c r="J88" s="83">
        <f>(Matrix_prices!J76+$D$2)*IF($M$2="Prices in $/MWh",1,1/1000)</f>
        <v>83.14</v>
      </c>
      <c r="K88" s="84">
        <f>(Matrix_prices!K76+$D$2)*IF($M$2="Prices in $/MWh",1,1/1000)</f>
        <v>82.47</v>
      </c>
      <c r="L88" s="83">
        <f>(Matrix_prices!L76+$D$2)*IF($M$2="Prices in $/MWh",1,1/1000)</f>
        <v>35.090000000000003</v>
      </c>
      <c r="M88" s="84">
        <f>(Matrix_prices!M76+$D$2)*IF($M$2="Prices in $/MWh",1,1/1000)</f>
        <v>35.25</v>
      </c>
      <c r="N88" s="83">
        <f>(Matrix_prices!N76+$D$2)*IF($M$2="Prices in $/MWh",1,1/1000)</f>
        <v>35.14</v>
      </c>
      <c r="O88" s="61"/>
    </row>
    <row r="89" spans="1:15" x14ac:dyDescent="0.25">
      <c r="A89" s="5"/>
      <c r="B89" s="5"/>
      <c r="C89" s="74">
        <f>Matrix_prices!C77</f>
        <v>42430</v>
      </c>
      <c r="D89" s="75" t="str">
        <f>Matrix_prices!D77</f>
        <v>MD</v>
      </c>
      <c r="E89" s="76" t="str">
        <f>Matrix_prices!E77</f>
        <v>BGE</v>
      </c>
      <c r="F89" s="75" t="str">
        <f>Matrix_prices!F77</f>
        <v>G</v>
      </c>
      <c r="G89" s="76" t="str">
        <f>Matrix_prices!G77</f>
        <v>General Service Medium</v>
      </c>
      <c r="H89" s="157" t="str">
        <f t="shared" si="3"/>
        <v>0-100 MWh</v>
      </c>
      <c r="I89" s="76">
        <f>(Matrix_prices!I77+$D$2)*IF($M$2="Prices in $/MWh",1,1/1000)</f>
        <v>85.72</v>
      </c>
      <c r="J89" s="75">
        <f>(Matrix_prices!J77+$D$2)*IF($M$2="Prices in $/MWh",1,1/1000)</f>
        <v>85.72</v>
      </c>
      <c r="K89" s="76">
        <f>(Matrix_prices!K77+$D$2)*IF($M$2="Prices in $/MWh",1,1/1000)</f>
        <v>85.42</v>
      </c>
      <c r="L89" s="75">
        <f>(Matrix_prices!L77+$D$2)*IF($M$2="Prices in $/MWh",1,1/1000)</f>
        <v>37.78</v>
      </c>
      <c r="M89" s="76">
        <f>(Matrix_prices!M77+$D$2)*IF($M$2="Prices in $/MWh",1,1/1000)</f>
        <v>37.75</v>
      </c>
      <c r="N89" s="75">
        <f>(Matrix_prices!N77+$D$2)*IF($M$2="Prices in $/MWh",1,1/1000)</f>
        <v>37.83</v>
      </c>
      <c r="O89" s="61"/>
    </row>
    <row r="90" spans="1:15" x14ac:dyDescent="0.25">
      <c r="A90" s="5"/>
      <c r="B90" s="5"/>
      <c r="C90" s="78">
        <f>Matrix_prices!C78</f>
        <v>42430</v>
      </c>
      <c r="D90" s="79" t="str">
        <f>Matrix_prices!D78</f>
        <v>MD</v>
      </c>
      <c r="E90" s="80" t="str">
        <f>Matrix_prices!E78</f>
        <v>BGE</v>
      </c>
      <c r="F90" s="79" t="str">
        <f>Matrix_prices!F78</f>
        <v>G</v>
      </c>
      <c r="G90" s="80" t="str">
        <f>Matrix_prices!G78</f>
        <v>General Service Medium</v>
      </c>
      <c r="H90" s="81" t="str">
        <f t="shared" si="4"/>
        <v>100-500 MWh</v>
      </c>
      <c r="I90" s="80">
        <f>(Matrix_prices!I78+$D$2)*IF($M$2="Prices in $/MWh",1,1/1000)</f>
        <v>84.12</v>
      </c>
      <c r="J90" s="79">
        <f>(Matrix_prices!J78+$D$2)*IF($M$2="Prices in $/MWh",1,1/1000)</f>
        <v>84.12</v>
      </c>
      <c r="K90" s="80">
        <f>(Matrix_prices!K78+$D$2)*IF($M$2="Prices in $/MWh",1,1/1000)</f>
        <v>83.82</v>
      </c>
      <c r="L90" s="79">
        <f>(Matrix_prices!L78+$D$2)*IF($M$2="Prices in $/MWh",1,1/1000)</f>
        <v>36.18</v>
      </c>
      <c r="M90" s="80">
        <f>(Matrix_prices!M78+$D$2)*IF($M$2="Prices in $/MWh",1,1/1000)</f>
        <v>36.15</v>
      </c>
      <c r="N90" s="79">
        <f>(Matrix_prices!N78+$D$2)*IF($M$2="Prices in $/MWh",1,1/1000)</f>
        <v>36.229999999999997</v>
      </c>
      <c r="O90" s="61"/>
    </row>
    <row r="91" spans="1:15" s="60" customFormat="1" x14ac:dyDescent="0.25">
      <c r="A91" s="139"/>
      <c r="B91" s="148"/>
      <c r="C91" s="82">
        <f>Matrix_prices!C79</f>
        <v>42430</v>
      </c>
      <c r="D91" s="83" t="str">
        <f>Matrix_prices!D79</f>
        <v>MD</v>
      </c>
      <c r="E91" s="84" t="str">
        <f>Matrix_prices!E79</f>
        <v>BGE</v>
      </c>
      <c r="F91" s="83" t="str">
        <f>Matrix_prices!F79</f>
        <v>G</v>
      </c>
      <c r="G91" s="84" t="str">
        <f>Matrix_prices!G79</f>
        <v>General Service Medium</v>
      </c>
      <c r="H91" s="85" t="str">
        <f t="shared" si="5"/>
        <v>500-2500 MWh</v>
      </c>
      <c r="I91" s="84">
        <f>(Matrix_prices!I79+$D$2)*IF($M$2="Prices in $/MWh",1,1/1000)</f>
        <v>83.07</v>
      </c>
      <c r="J91" s="83">
        <f>(Matrix_prices!J79+$D$2)*IF($M$2="Prices in $/MWh",1,1/1000)</f>
        <v>83.07</v>
      </c>
      <c r="K91" s="84">
        <f>(Matrix_prices!K79+$D$2)*IF($M$2="Prices in $/MWh",1,1/1000)</f>
        <v>82.77</v>
      </c>
      <c r="L91" s="83">
        <f>(Matrix_prices!L79+$D$2)*IF($M$2="Prices in $/MWh",1,1/1000)</f>
        <v>35.130000000000003</v>
      </c>
      <c r="M91" s="84">
        <f>(Matrix_prices!M79+$D$2)*IF($M$2="Prices in $/MWh",1,1/1000)</f>
        <v>35.1</v>
      </c>
      <c r="N91" s="83">
        <f>(Matrix_prices!N79+$D$2)*IF($M$2="Prices in $/MWh",1,1/1000)</f>
        <v>35.18</v>
      </c>
      <c r="O91" s="61"/>
    </row>
    <row r="92" spans="1:15" ht="15.75" thickBot="1" x14ac:dyDescent="0.3">
      <c r="B92" s="86"/>
      <c r="C92" s="151">
        <f>Matrix_prices!C80</f>
        <v>42461</v>
      </c>
      <c r="D92" s="152" t="str">
        <f>Matrix_prices!D80</f>
        <v>MD</v>
      </c>
      <c r="E92" s="153" t="str">
        <f>Matrix_prices!E80</f>
        <v>BGE</v>
      </c>
      <c r="F92" s="152" t="str">
        <f>Matrix_prices!F80</f>
        <v>G</v>
      </c>
      <c r="G92" s="153" t="str">
        <f>Matrix_prices!G80</f>
        <v>General Service Medium</v>
      </c>
      <c r="H92" s="157" t="str">
        <f t="shared" si="3"/>
        <v>0-100 MWh</v>
      </c>
      <c r="I92" s="153">
        <f>(Matrix_prices!I80+$D$2)*IF($M$2="Prices in $/MWh",1,1/1000)</f>
        <v>85.84</v>
      </c>
      <c r="J92" s="152">
        <f>(Matrix_prices!J80+$D$2)*IF($M$2="Prices in $/MWh",1,1/1000)</f>
        <v>85.25</v>
      </c>
      <c r="K92" s="153">
        <f>(Matrix_prices!K80+$D$2)*IF($M$2="Prices in $/MWh",1,1/1000)</f>
        <v>85.38</v>
      </c>
      <c r="L92" s="152">
        <f>(Matrix_prices!L80+$D$2)*IF($M$2="Prices in $/MWh",1,1/1000)</f>
        <v>37.799999999999997</v>
      </c>
      <c r="M92" s="153">
        <f>(Matrix_prices!M80+$D$2)*IF($M$2="Prices in $/MWh",1,1/1000)</f>
        <v>37.57</v>
      </c>
      <c r="N92" s="152">
        <f>(Matrix_prices!N80+$D$2)*IF($M$2="Prices in $/MWh",1,1/1000)</f>
        <v>37.85</v>
      </c>
      <c r="O92" s="88"/>
    </row>
    <row r="93" spans="1:15" x14ac:dyDescent="0.25">
      <c r="C93" s="78">
        <f>Matrix_prices!C81</f>
        <v>42461</v>
      </c>
      <c r="D93" s="79" t="str">
        <f>Matrix_prices!D81</f>
        <v>MD</v>
      </c>
      <c r="E93" s="80" t="str">
        <f>Matrix_prices!E81</f>
        <v>BGE</v>
      </c>
      <c r="F93" s="79" t="str">
        <f>Matrix_prices!F81</f>
        <v>G</v>
      </c>
      <c r="G93" s="80" t="str">
        <f>Matrix_prices!G81</f>
        <v>General Service Medium</v>
      </c>
      <c r="H93" s="81" t="str">
        <f t="shared" si="4"/>
        <v>100-500 MWh</v>
      </c>
      <c r="I93" s="80">
        <f>(Matrix_prices!I81+$D$2)*IF($M$2="Prices in $/MWh",1,1/1000)</f>
        <v>84.24</v>
      </c>
      <c r="J93" s="79">
        <f>(Matrix_prices!J81+$D$2)*IF($M$2="Prices in $/MWh",1,1/1000)</f>
        <v>83.65</v>
      </c>
      <c r="K93" s="80">
        <f>(Matrix_prices!K81+$D$2)*IF($M$2="Prices in $/MWh",1,1/1000)</f>
        <v>83.78</v>
      </c>
      <c r="L93" s="79">
        <f>(Matrix_prices!L81+$D$2)*IF($M$2="Prices in $/MWh",1,1/1000)</f>
        <v>36.200000000000003</v>
      </c>
      <c r="M93" s="80">
        <f>(Matrix_prices!M81+$D$2)*IF($M$2="Prices in $/MWh",1,1/1000)</f>
        <v>35.97</v>
      </c>
      <c r="N93" s="79">
        <f>(Matrix_prices!N81+$D$2)*IF($M$2="Prices in $/MWh",1,1/1000)</f>
        <v>36.25</v>
      </c>
    </row>
    <row r="94" spans="1:15" x14ac:dyDescent="0.25">
      <c r="C94" s="82">
        <f>Matrix_prices!C82</f>
        <v>42461</v>
      </c>
      <c r="D94" s="83" t="str">
        <f>Matrix_prices!D82</f>
        <v>MD</v>
      </c>
      <c r="E94" s="84" t="str">
        <f>Matrix_prices!E82</f>
        <v>BGE</v>
      </c>
      <c r="F94" s="83" t="str">
        <f>Matrix_prices!F82</f>
        <v>G</v>
      </c>
      <c r="G94" s="84" t="str">
        <f>Matrix_prices!G82</f>
        <v>General Service Medium</v>
      </c>
      <c r="H94" s="85" t="str">
        <f t="shared" si="5"/>
        <v>500-2500 MWh</v>
      </c>
      <c r="I94" s="84">
        <f>(Matrix_prices!I82+$D$2)*IF($M$2="Prices in $/MWh",1,1/1000)</f>
        <v>83.19</v>
      </c>
      <c r="J94" s="83">
        <f>(Matrix_prices!J82+$D$2)*IF($M$2="Prices in $/MWh",1,1/1000)</f>
        <v>82.6</v>
      </c>
      <c r="K94" s="84">
        <f>(Matrix_prices!K82+$D$2)*IF($M$2="Prices in $/MWh",1,1/1000)</f>
        <v>82.73</v>
      </c>
      <c r="L94" s="83">
        <f>(Matrix_prices!L82+$D$2)*IF($M$2="Prices in $/MWh",1,1/1000)</f>
        <v>35.15</v>
      </c>
      <c r="M94" s="84">
        <f>(Matrix_prices!M82+$D$2)*IF($M$2="Prices in $/MWh",1,1/1000)</f>
        <v>34.92</v>
      </c>
      <c r="N94" s="83">
        <f>(Matrix_prices!N82+$D$2)*IF($M$2="Prices in $/MWh",1,1/1000)</f>
        <v>35.200000000000003</v>
      </c>
    </row>
    <row r="95" spans="1:15" x14ac:dyDescent="0.25">
      <c r="C95" s="74">
        <f>Matrix_prices!C83</f>
        <v>42491</v>
      </c>
      <c r="D95" s="75" t="str">
        <f>Matrix_prices!D83</f>
        <v>MD</v>
      </c>
      <c r="E95" s="76" t="str">
        <f>Matrix_prices!E83</f>
        <v>BGE</v>
      </c>
      <c r="F95" s="75" t="str">
        <f>Matrix_prices!F83</f>
        <v>G</v>
      </c>
      <c r="G95" s="76" t="str">
        <f>Matrix_prices!G83</f>
        <v>General Service Medium</v>
      </c>
      <c r="H95" s="157" t="str">
        <f t="shared" si="3"/>
        <v>0-100 MWh</v>
      </c>
      <c r="I95" s="76">
        <f>(Matrix_prices!I83+$D$2)*IF($M$2="Prices in $/MWh",1,1/1000)</f>
        <v>85.92</v>
      </c>
      <c r="J95" s="75">
        <f>(Matrix_prices!J83+$D$2)*IF($M$2="Prices in $/MWh",1,1/1000)</f>
        <v>84.99</v>
      </c>
      <c r="K95" s="76">
        <f>(Matrix_prices!K83+$D$2)*IF($M$2="Prices in $/MWh",1,1/1000)</f>
        <v>85.33</v>
      </c>
      <c r="L95" s="75">
        <f>(Matrix_prices!L83+$D$2)*IF($M$2="Prices in $/MWh",1,1/1000)</f>
        <v>37.82</v>
      </c>
      <c r="M95" s="76">
        <f>(Matrix_prices!M83+$D$2)*IF($M$2="Prices in $/MWh",1,1/1000)</f>
        <v>37.549999999999997</v>
      </c>
      <c r="N95" s="75">
        <f>(Matrix_prices!N83+$D$2)*IF($M$2="Prices in $/MWh",1,1/1000)</f>
        <v>37.86</v>
      </c>
    </row>
    <row r="96" spans="1:15" x14ac:dyDescent="0.25">
      <c r="C96" s="78">
        <f>Matrix_prices!C84</f>
        <v>42491</v>
      </c>
      <c r="D96" s="79" t="str">
        <f>Matrix_prices!D84</f>
        <v>MD</v>
      </c>
      <c r="E96" s="80" t="str">
        <f>Matrix_prices!E84</f>
        <v>BGE</v>
      </c>
      <c r="F96" s="79" t="str">
        <f>Matrix_prices!F84</f>
        <v>G</v>
      </c>
      <c r="G96" s="80" t="str">
        <f>Matrix_prices!G84</f>
        <v>General Service Medium</v>
      </c>
      <c r="H96" s="81" t="str">
        <f t="shared" si="4"/>
        <v>100-500 MWh</v>
      </c>
      <c r="I96" s="80">
        <f>(Matrix_prices!I84+$D$2)*IF($M$2="Prices in $/MWh",1,1/1000)</f>
        <v>84.32</v>
      </c>
      <c r="J96" s="79">
        <f>(Matrix_prices!J84+$D$2)*IF($M$2="Prices in $/MWh",1,1/1000)</f>
        <v>83.39</v>
      </c>
      <c r="K96" s="80">
        <f>(Matrix_prices!K84+$D$2)*IF($M$2="Prices in $/MWh",1,1/1000)</f>
        <v>83.73</v>
      </c>
      <c r="L96" s="79">
        <f>(Matrix_prices!L84+$D$2)*IF($M$2="Prices in $/MWh",1,1/1000)</f>
        <v>36.22</v>
      </c>
      <c r="M96" s="80">
        <f>(Matrix_prices!M84+$D$2)*IF($M$2="Prices in $/MWh",1,1/1000)</f>
        <v>35.950000000000003</v>
      </c>
      <c r="N96" s="79">
        <f>(Matrix_prices!N84+$D$2)*IF($M$2="Prices in $/MWh",1,1/1000)</f>
        <v>36.26</v>
      </c>
    </row>
    <row r="97" spans="3:14" x14ac:dyDescent="0.25">
      <c r="C97" s="82">
        <f>Matrix_prices!C85</f>
        <v>42491</v>
      </c>
      <c r="D97" s="83" t="str">
        <f>Matrix_prices!D85</f>
        <v>MD</v>
      </c>
      <c r="E97" s="84" t="str">
        <f>Matrix_prices!E85</f>
        <v>BGE</v>
      </c>
      <c r="F97" s="83" t="str">
        <f>Matrix_prices!F85</f>
        <v>G</v>
      </c>
      <c r="G97" s="84" t="str">
        <f>Matrix_prices!G85</f>
        <v>General Service Medium</v>
      </c>
      <c r="H97" s="85" t="str">
        <f t="shared" si="5"/>
        <v>500-2500 MWh</v>
      </c>
      <c r="I97" s="84">
        <f>(Matrix_prices!I85+$D$2)*IF($M$2="Prices in $/MWh",1,1/1000)</f>
        <v>83.27</v>
      </c>
      <c r="J97" s="83">
        <f>(Matrix_prices!J85+$D$2)*IF($M$2="Prices in $/MWh",1,1/1000)</f>
        <v>82.34</v>
      </c>
      <c r="K97" s="84">
        <f>(Matrix_prices!K85+$D$2)*IF($M$2="Prices in $/MWh",1,1/1000)</f>
        <v>82.68</v>
      </c>
      <c r="L97" s="83">
        <f>(Matrix_prices!L85+$D$2)*IF($M$2="Prices in $/MWh",1,1/1000)</f>
        <v>35.17</v>
      </c>
      <c r="M97" s="84">
        <f>(Matrix_prices!M85+$D$2)*IF($M$2="Prices in $/MWh",1,1/1000)</f>
        <v>34.9</v>
      </c>
      <c r="N97" s="83">
        <f>(Matrix_prices!N85+$D$2)*IF($M$2="Prices in $/MWh",1,1/1000)</f>
        <v>35.21</v>
      </c>
    </row>
    <row r="98" spans="3:14" x14ac:dyDescent="0.25">
      <c r="C98" s="151">
        <f>Matrix_prices!C86</f>
        <v>42522</v>
      </c>
      <c r="D98" s="152" t="str">
        <f>Matrix_prices!D86</f>
        <v>MD</v>
      </c>
      <c r="E98" s="153" t="str">
        <f>Matrix_prices!E86</f>
        <v>BGE</v>
      </c>
      <c r="F98" s="152" t="str">
        <f>Matrix_prices!F86</f>
        <v>G</v>
      </c>
      <c r="G98" s="153" t="str">
        <f>Matrix_prices!G86</f>
        <v>General Service Medium</v>
      </c>
      <c r="H98" s="157" t="str">
        <f t="shared" si="3"/>
        <v>0-100 MWh</v>
      </c>
      <c r="I98" s="153">
        <f>(Matrix_prices!I86+$D$2)*IF($M$2="Prices in $/MWh",1,1/1000)</f>
        <v>85.89</v>
      </c>
      <c r="J98" s="152">
        <f>(Matrix_prices!J86+$D$2)*IF($M$2="Prices in $/MWh",1,1/1000)</f>
        <v>84.62</v>
      </c>
      <c r="K98" s="153">
        <f>(Matrix_prices!K86+$D$2)*IF($M$2="Prices in $/MWh",1,1/1000)</f>
        <v>85.24</v>
      </c>
      <c r="L98" s="152">
        <f>(Matrix_prices!L86+$D$2)*IF($M$2="Prices in $/MWh",1,1/1000)</f>
        <v>37.799999999999997</v>
      </c>
      <c r="M98" s="153">
        <f>(Matrix_prices!M86+$D$2)*IF($M$2="Prices in $/MWh",1,1/1000)</f>
        <v>37.44</v>
      </c>
      <c r="N98" s="152">
        <f>(Matrix_prices!N86+$D$2)*IF($M$2="Prices in $/MWh",1,1/1000)</f>
        <v>37.85</v>
      </c>
    </row>
    <row r="99" spans="3:14" x14ac:dyDescent="0.25">
      <c r="C99" s="78">
        <f>Matrix_prices!C87</f>
        <v>42522</v>
      </c>
      <c r="D99" s="79" t="str">
        <f>Matrix_prices!D87</f>
        <v>MD</v>
      </c>
      <c r="E99" s="80" t="str">
        <f>Matrix_prices!E87</f>
        <v>BGE</v>
      </c>
      <c r="F99" s="79" t="str">
        <f>Matrix_prices!F87</f>
        <v>G</v>
      </c>
      <c r="G99" s="80" t="str">
        <f>Matrix_prices!G87</f>
        <v>General Service Medium</v>
      </c>
      <c r="H99" s="81" t="str">
        <f t="shared" si="4"/>
        <v>100-500 MWh</v>
      </c>
      <c r="I99" s="80">
        <f>(Matrix_prices!I87+$D$2)*IF($M$2="Prices in $/MWh",1,1/1000)</f>
        <v>84.29</v>
      </c>
      <c r="J99" s="79">
        <f>(Matrix_prices!J87+$D$2)*IF($M$2="Prices in $/MWh",1,1/1000)</f>
        <v>83.02</v>
      </c>
      <c r="K99" s="80">
        <f>(Matrix_prices!K87+$D$2)*IF($M$2="Prices in $/MWh",1,1/1000)</f>
        <v>83.64</v>
      </c>
      <c r="L99" s="79">
        <f>(Matrix_prices!L87+$D$2)*IF($M$2="Prices in $/MWh",1,1/1000)</f>
        <v>36.200000000000003</v>
      </c>
      <c r="M99" s="80">
        <f>(Matrix_prices!M87+$D$2)*IF($M$2="Prices in $/MWh",1,1/1000)</f>
        <v>35.840000000000003</v>
      </c>
      <c r="N99" s="79">
        <f>(Matrix_prices!N87+$D$2)*IF($M$2="Prices in $/MWh",1,1/1000)</f>
        <v>36.25</v>
      </c>
    </row>
    <row r="100" spans="3:14" x14ac:dyDescent="0.25">
      <c r="C100" s="82">
        <f>Matrix_prices!C88</f>
        <v>42522</v>
      </c>
      <c r="D100" s="83" t="str">
        <f>Matrix_prices!D88</f>
        <v>MD</v>
      </c>
      <c r="E100" s="84" t="str">
        <f>Matrix_prices!E88</f>
        <v>BGE</v>
      </c>
      <c r="F100" s="83" t="str">
        <f>Matrix_prices!F88</f>
        <v>G</v>
      </c>
      <c r="G100" s="84" t="str">
        <f>Matrix_prices!G88</f>
        <v>General Service Medium</v>
      </c>
      <c r="H100" s="85" t="str">
        <f t="shared" si="5"/>
        <v>500-2500 MWh</v>
      </c>
      <c r="I100" s="84">
        <f>(Matrix_prices!I88+$D$2)*IF($M$2="Prices in $/MWh",1,1/1000)</f>
        <v>83.24</v>
      </c>
      <c r="J100" s="83">
        <f>(Matrix_prices!J88+$D$2)*IF($M$2="Prices in $/MWh",1,1/1000)</f>
        <v>81.97</v>
      </c>
      <c r="K100" s="84">
        <f>(Matrix_prices!K88+$D$2)*IF($M$2="Prices in $/MWh",1,1/1000)</f>
        <v>82.59</v>
      </c>
      <c r="L100" s="83">
        <f>(Matrix_prices!L88+$D$2)*IF($M$2="Prices in $/MWh",1,1/1000)</f>
        <v>35.15</v>
      </c>
      <c r="M100" s="84">
        <f>(Matrix_prices!M88+$D$2)*IF($M$2="Prices in $/MWh",1,1/1000)</f>
        <v>34.79</v>
      </c>
      <c r="N100" s="83">
        <f>(Matrix_prices!N88+$D$2)*IF($M$2="Prices in $/MWh",1,1/1000)</f>
        <v>35.200000000000003</v>
      </c>
    </row>
    <row r="101" spans="3:14" x14ac:dyDescent="0.25">
      <c r="C101" s="74">
        <f>Matrix_prices!C89</f>
        <v>42552</v>
      </c>
      <c r="D101" s="75" t="str">
        <f>Matrix_prices!D89</f>
        <v>MD</v>
      </c>
      <c r="E101" s="76" t="str">
        <f>Matrix_prices!E89</f>
        <v>BGE</v>
      </c>
      <c r="F101" s="75" t="str">
        <f>Matrix_prices!F89</f>
        <v>G</v>
      </c>
      <c r="G101" s="76" t="str">
        <f>Matrix_prices!G89</f>
        <v>General Service Medium</v>
      </c>
      <c r="H101" s="157" t="str">
        <f t="shared" si="3"/>
        <v>0-100 MWh</v>
      </c>
      <c r="I101" s="76">
        <f>(Matrix_prices!I89+$D$2)*IF($M$2="Prices in $/MWh",1,1/1000)</f>
        <v>85.76</v>
      </c>
      <c r="J101" s="75">
        <f>(Matrix_prices!J89+$D$2)*IF($M$2="Prices in $/MWh",1,1/1000)</f>
        <v>84.41</v>
      </c>
      <c r="K101" s="76">
        <f>(Matrix_prices!K89+$D$2)*IF($M$2="Prices in $/MWh",1,1/1000)</f>
        <v>85.14</v>
      </c>
      <c r="L101" s="75">
        <f>(Matrix_prices!L89+$D$2)*IF($M$2="Prices in $/MWh",1,1/1000)</f>
        <v>37.78</v>
      </c>
      <c r="M101" s="76">
        <f>(Matrix_prices!M89+$D$2)*IF($M$2="Prices in $/MWh",1,1/1000)</f>
        <v>37.520000000000003</v>
      </c>
      <c r="N101" s="75">
        <f>(Matrix_prices!N89+$D$2)*IF($M$2="Prices in $/MWh",1,1/1000)</f>
        <v>37.9</v>
      </c>
    </row>
    <row r="102" spans="3:14" x14ac:dyDescent="0.25">
      <c r="C102" s="78">
        <f>Matrix_prices!C90</f>
        <v>42552</v>
      </c>
      <c r="D102" s="79" t="str">
        <f>Matrix_prices!D90</f>
        <v>MD</v>
      </c>
      <c r="E102" s="80" t="str">
        <f>Matrix_prices!E90</f>
        <v>BGE</v>
      </c>
      <c r="F102" s="79" t="str">
        <f>Matrix_prices!F90</f>
        <v>G</v>
      </c>
      <c r="G102" s="80" t="str">
        <f>Matrix_prices!G90</f>
        <v>General Service Medium</v>
      </c>
      <c r="H102" s="81" t="str">
        <f t="shared" si="4"/>
        <v>100-500 MWh</v>
      </c>
      <c r="I102" s="80">
        <f>(Matrix_prices!I90+$D$2)*IF($M$2="Prices in $/MWh",1,1/1000)</f>
        <v>84.16</v>
      </c>
      <c r="J102" s="79">
        <f>(Matrix_prices!J90+$D$2)*IF($M$2="Prices in $/MWh",1,1/1000)</f>
        <v>82.81</v>
      </c>
      <c r="K102" s="80">
        <f>(Matrix_prices!K90+$D$2)*IF($M$2="Prices in $/MWh",1,1/1000)</f>
        <v>83.54</v>
      </c>
      <c r="L102" s="79">
        <f>(Matrix_prices!L90+$D$2)*IF($M$2="Prices in $/MWh",1,1/1000)</f>
        <v>36.18</v>
      </c>
      <c r="M102" s="80">
        <f>(Matrix_prices!M90+$D$2)*IF($M$2="Prices in $/MWh",1,1/1000)</f>
        <v>35.92</v>
      </c>
      <c r="N102" s="79">
        <f>(Matrix_prices!N90+$D$2)*IF($M$2="Prices in $/MWh",1,1/1000)</f>
        <v>36.299999999999997</v>
      </c>
    </row>
    <row r="103" spans="3:14" x14ac:dyDescent="0.25">
      <c r="C103" s="82">
        <f>Matrix_prices!C91</f>
        <v>42552</v>
      </c>
      <c r="D103" s="83" t="str">
        <f>Matrix_prices!D91</f>
        <v>MD</v>
      </c>
      <c r="E103" s="84" t="str">
        <f>Matrix_prices!E91</f>
        <v>BGE</v>
      </c>
      <c r="F103" s="83" t="str">
        <f>Matrix_prices!F91</f>
        <v>G</v>
      </c>
      <c r="G103" s="84" t="str">
        <f>Matrix_prices!G91</f>
        <v>General Service Medium</v>
      </c>
      <c r="H103" s="85" t="str">
        <f t="shared" si="5"/>
        <v>500-2500 MWh</v>
      </c>
      <c r="I103" s="84">
        <f>(Matrix_prices!I91+$D$2)*IF($M$2="Prices in $/MWh",1,1/1000)</f>
        <v>83.11</v>
      </c>
      <c r="J103" s="83">
        <f>(Matrix_prices!J91+$D$2)*IF($M$2="Prices in $/MWh",1,1/1000)</f>
        <v>81.760000000000005</v>
      </c>
      <c r="K103" s="84">
        <f>(Matrix_prices!K91+$D$2)*IF($M$2="Prices in $/MWh",1,1/1000)</f>
        <v>82.49</v>
      </c>
      <c r="L103" s="83">
        <f>(Matrix_prices!L91+$D$2)*IF($M$2="Prices in $/MWh",1,1/1000)</f>
        <v>35.130000000000003</v>
      </c>
      <c r="M103" s="84">
        <f>(Matrix_prices!M91+$D$2)*IF($M$2="Prices in $/MWh",1,1/1000)</f>
        <v>34.869999999999997</v>
      </c>
      <c r="N103" s="83">
        <f>(Matrix_prices!N91+$D$2)*IF($M$2="Prices in $/MWh",1,1/1000)</f>
        <v>35.25</v>
      </c>
    </row>
    <row r="104" spans="3:14" x14ac:dyDescent="0.25">
      <c r="C104" s="151">
        <f>Matrix_prices!C92</f>
        <v>42583</v>
      </c>
      <c r="D104" s="152" t="str">
        <f>Matrix_prices!D92</f>
        <v>MD</v>
      </c>
      <c r="E104" s="153" t="str">
        <f>Matrix_prices!E92</f>
        <v>BGE</v>
      </c>
      <c r="F104" s="152" t="str">
        <f>Matrix_prices!F92</f>
        <v>G</v>
      </c>
      <c r="G104" s="153" t="str">
        <f>Matrix_prices!G92</f>
        <v>General Service Medium</v>
      </c>
      <c r="H104" s="157" t="str">
        <f t="shared" si="3"/>
        <v>0-100 MWh</v>
      </c>
      <c r="I104" s="153">
        <f>(Matrix_prices!I92+$D$2)*IF($M$2="Prices in $/MWh",1,1/1000)</f>
        <v>85.77</v>
      </c>
      <c r="J104" s="152">
        <f>(Matrix_prices!J92+$D$2)*IF($M$2="Prices in $/MWh",1,1/1000)</f>
        <v>84.89</v>
      </c>
      <c r="K104" s="153">
        <f>(Matrix_prices!K92+$D$2)*IF($M$2="Prices in $/MWh",1,1/1000)</f>
        <v>85.22</v>
      </c>
      <c r="L104" s="152">
        <f>(Matrix_prices!L92+$D$2)*IF($M$2="Prices in $/MWh",1,1/1000)</f>
        <v>37.799999999999997</v>
      </c>
      <c r="M104" s="153">
        <f>(Matrix_prices!M92+$D$2)*IF($M$2="Prices in $/MWh",1,1/1000)</f>
        <v>37.68</v>
      </c>
      <c r="N104" s="152">
        <f>(Matrix_prices!N92+$D$2)*IF($M$2="Prices in $/MWh",1,1/1000)</f>
        <v>37.979999999999997</v>
      </c>
    </row>
    <row r="105" spans="3:14" x14ac:dyDescent="0.25">
      <c r="C105" s="78">
        <f>Matrix_prices!C93</f>
        <v>42583</v>
      </c>
      <c r="D105" s="79" t="str">
        <f>Matrix_prices!D93</f>
        <v>MD</v>
      </c>
      <c r="E105" s="80" t="str">
        <f>Matrix_prices!E93</f>
        <v>BGE</v>
      </c>
      <c r="F105" s="79" t="str">
        <f>Matrix_prices!F93</f>
        <v>G</v>
      </c>
      <c r="G105" s="80" t="str">
        <f>Matrix_prices!G93</f>
        <v>General Service Medium</v>
      </c>
      <c r="H105" s="81" t="str">
        <f t="shared" si="4"/>
        <v>100-500 MWh</v>
      </c>
      <c r="I105" s="80">
        <f>(Matrix_prices!I93+$D$2)*IF($M$2="Prices in $/MWh",1,1/1000)</f>
        <v>84.17</v>
      </c>
      <c r="J105" s="79">
        <f>(Matrix_prices!J93+$D$2)*IF($M$2="Prices in $/MWh",1,1/1000)</f>
        <v>83.29</v>
      </c>
      <c r="K105" s="80">
        <f>(Matrix_prices!K93+$D$2)*IF($M$2="Prices in $/MWh",1,1/1000)</f>
        <v>83.62</v>
      </c>
      <c r="L105" s="79">
        <f>(Matrix_prices!L93+$D$2)*IF($M$2="Prices in $/MWh",1,1/1000)</f>
        <v>36.200000000000003</v>
      </c>
      <c r="M105" s="80">
        <f>(Matrix_prices!M93+$D$2)*IF($M$2="Prices in $/MWh",1,1/1000)</f>
        <v>36.08</v>
      </c>
      <c r="N105" s="79">
        <f>(Matrix_prices!N93+$D$2)*IF($M$2="Prices in $/MWh",1,1/1000)</f>
        <v>36.380000000000003</v>
      </c>
    </row>
    <row r="106" spans="3:14" x14ac:dyDescent="0.25">
      <c r="C106" s="82">
        <f>Matrix_prices!C94</f>
        <v>42583</v>
      </c>
      <c r="D106" s="83" t="str">
        <f>Matrix_prices!D94</f>
        <v>MD</v>
      </c>
      <c r="E106" s="84" t="str">
        <f>Matrix_prices!E94</f>
        <v>BGE</v>
      </c>
      <c r="F106" s="83" t="str">
        <f>Matrix_prices!F94</f>
        <v>G</v>
      </c>
      <c r="G106" s="84" t="str">
        <f>Matrix_prices!G94</f>
        <v>General Service Medium</v>
      </c>
      <c r="H106" s="85" t="str">
        <f t="shared" si="5"/>
        <v>500-2500 MWh</v>
      </c>
      <c r="I106" s="84">
        <f>(Matrix_prices!I94+$D$2)*IF($M$2="Prices in $/MWh",1,1/1000)</f>
        <v>83.12</v>
      </c>
      <c r="J106" s="83">
        <f>(Matrix_prices!J94+$D$2)*IF($M$2="Prices in $/MWh",1,1/1000)</f>
        <v>82.24</v>
      </c>
      <c r="K106" s="84">
        <f>(Matrix_prices!K94+$D$2)*IF($M$2="Prices in $/MWh",1,1/1000)</f>
        <v>82.57</v>
      </c>
      <c r="L106" s="83">
        <f>(Matrix_prices!L94+$D$2)*IF($M$2="Prices in $/MWh",1,1/1000)</f>
        <v>35.15</v>
      </c>
      <c r="M106" s="84">
        <f>(Matrix_prices!M94+$D$2)*IF($M$2="Prices in $/MWh",1,1/1000)</f>
        <v>35.03</v>
      </c>
      <c r="N106" s="83">
        <f>(Matrix_prices!N94+$D$2)*IF($M$2="Prices in $/MWh",1,1/1000)</f>
        <v>35.33</v>
      </c>
    </row>
    <row r="107" spans="3:14" x14ac:dyDescent="0.25">
      <c r="C107" s="74">
        <f>Matrix_prices!C95</f>
        <v>42614</v>
      </c>
      <c r="D107" s="75" t="str">
        <f>Matrix_prices!D95</f>
        <v>MD</v>
      </c>
      <c r="E107" s="76" t="str">
        <f>Matrix_prices!E95</f>
        <v>BGE</v>
      </c>
      <c r="F107" s="75" t="str">
        <f>Matrix_prices!F95</f>
        <v>G</v>
      </c>
      <c r="G107" s="76" t="str">
        <f>Matrix_prices!G95</f>
        <v>General Service Medium</v>
      </c>
      <c r="H107" s="157" t="str">
        <f t="shared" si="3"/>
        <v>0-100 MWh</v>
      </c>
      <c r="I107" s="76">
        <f>(Matrix_prices!I95+$D$2)*IF($M$2="Prices in $/MWh",1,1/1000)</f>
        <v>85.75</v>
      </c>
      <c r="J107" s="75">
        <f>(Matrix_prices!J95+$D$2)*IF($M$2="Prices in $/MWh",1,1/1000)</f>
        <v>85.33</v>
      </c>
      <c r="K107" s="76">
        <f>(Matrix_prices!K95+$D$2)*IF($M$2="Prices in $/MWh",1,1/1000)</f>
        <v>85.25</v>
      </c>
      <c r="L107" s="75">
        <f>(Matrix_prices!L95+$D$2)*IF($M$2="Prices in $/MWh",1,1/1000)</f>
        <v>37.79</v>
      </c>
      <c r="M107" s="76">
        <f>(Matrix_prices!M95+$D$2)*IF($M$2="Prices in $/MWh",1,1/1000)</f>
        <v>37.880000000000003</v>
      </c>
      <c r="N107" s="75">
        <f>(Matrix_prices!N95+$D$2)*IF($M$2="Prices in $/MWh",1,1/1000)</f>
        <v>38.049999999999997</v>
      </c>
    </row>
    <row r="108" spans="3:14" x14ac:dyDescent="0.25">
      <c r="C108" s="78">
        <f>Matrix_prices!C96</f>
        <v>42614</v>
      </c>
      <c r="D108" s="79" t="str">
        <f>Matrix_prices!D96</f>
        <v>MD</v>
      </c>
      <c r="E108" s="80" t="str">
        <f>Matrix_prices!E96</f>
        <v>BGE</v>
      </c>
      <c r="F108" s="79" t="str">
        <f>Matrix_prices!F96</f>
        <v>G</v>
      </c>
      <c r="G108" s="80" t="str">
        <f>Matrix_prices!G96</f>
        <v>General Service Medium</v>
      </c>
      <c r="H108" s="81" t="str">
        <f t="shared" si="4"/>
        <v>100-500 MWh</v>
      </c>
      <c r="I108" s="80">
        <f>(Matrix_prices!I96+$D$2)*IF($M$2="Prices in $/MWh",1,1/1000)</f>
        <v>84.15</v>
      </c>
      <c r="J108" s="79">
        <f>(Matrix_prices!J96+$D$2)*IF($M$2="Prices in $/MWh",1,1/1000)</f>
        <v>83.73</v>
      </c>
      <c r="K108" s="80">
        <f>(Matrix_prices!K96+$D$2)*IF($M$2="Prices in $/MWh",1,1/1000)</f>
        <v>83.65</v>
      </c>
      <c r="L108" s="79">
        <f>(Matrix_prices!L96+$D$2)*IF($M$2="Prices in $/MWh",1,1/1000)</f>
        <v>36.19</v>
      </c>
      <c r="M108" s="80">
        <f>(Matrix_prices!M96+$D$2)*IF($M$2="Prices in $/MWh",1,1/1000)</f>
        <v>36.28</v>
      </c>
      <c r="N108" s="79">
        <f>(Matrix_prices!N96+$D$2)*IF($M$2="Prices in $/MWh",1,1/1000)</f>
        <v>36.450000000000003</v>
      </c>
    </row>
    <row r="109" spans="3:14" x14ac:dyDescent="0.25">
      <c r="C109" s="82">
        <f>Matrix_prices!C97</f>
        <v>42614</v>
      </c>
      <c r="D109" s="83" t="str">
        <f>Matrix_prices!D97</f>
        <v>MD</v>
      </c>
      <c r="E109" s="84" t="str">
        <f>Matrix_prices!E97</f>
        <v>BGE</v>
      </c>
      <c r="F109" s="83" t="str">
        <f>Matrix_prices!F97</f>
        <v>G</v>
      </c>
      <c r="G109" s="84" t="str">
        <f>Matrix_prices!G97</f>
        <v>General Service Medium</v>
      </c>
      <c r="H109" s="85" t="str">
        <f t="shared" si="5"/>
        <v>500-2500 MWh</v>
      </c>
      <c r="I109" s="84">
        <f>(Matrix_prices!I97+$D$2)*IF($M$2="Prices in $/MWh",1,1/1000)</f>
        <v>83.1</v>
      </c>
      <c r="J109" s="83">
        <f>(Matrix_prices!J97+$D$2)*IF($M$2="Prices in $/MWh",1,1/1000)</f>
        <v>82.68</v>
      </c>
      <c r="K109" s="84">
        <f>(Matrix_prices!K97+$D$2)*IF($M$2="Prices in $/MWh",1,1/1000)</f>
        <v>82.6</v>
      </c>
      <c r="L109" s="83">
        <f>(Matrix_prices!L97+$D$2)*IF($M$2="Prices in $/MWh",1,1/1000)</f>
        <v>35.14</v>
      </c>
      <c r="M109" s="84">
        <f>(Matrix_prices!M97+$D$2)*IF($M$2="Prices in $/MWh",1,1/1000)</f>
        <v>35.229999999999997</v>
      </c>
      <c r="N109" s="83">
        <f>(Matrix_prices!N97+$D$2)*IF($M$2="Prices in $/MWh",1,1/1000)</f>
        <v>35.4</v>
      </c>
    </row>
    <row r="110" spans="3:14" x14ac:dyDescent="0.25">
      <c r="C110" s="151">
        <f>Matrix_prices!C98</f>
        <v>42644</v>
      </c>
      <c r="D110" s="152" t="str">
        <f>Matrix_prices!D98</f>
        <v>MD</v>
      </c>
      <c r="E110" s="153" t="str">
        <f>Matrix_prices!E98</f>
        <v>BGE</v>
      </c>
      <c r="F110" s="152" t="str">
        <f>Matrix_prices!F98</f>
        <v>G</v>
      </c>
      <c r="G110" s="153" t="str">
        <f>Matrix_prices!G98</f>
        <v>General Service Medium</v>
      </c>
      <c r="H110" s="157" t="str">
        <f t="shared" si="3"/>
        <v>0-100 MWh</v>
      </c>
      <c r="I110" s="153">
        <f>(Matrix_prices!I98+$D$2)*IF($M$2="Prices in $/MWh",1,1/1000)</f>
        <v>85.62</v>
      </c>
      <c r="J110" s="152">
        <f>(Matrix_prices!J98+$D$2)*IF($M$2="Prices in $/MWh",1,1/1000)</f>
        <v>85.68</v>
      </c>
      <c r="K110" s="153">
        <f>(Matrix_prices!K98+$D$2)*IF($M$2="Prices in $/MWh",1,1/1000)</f>
        <v>85.19</v>
      </c>
      <c r="L110" s="152">
        <f>(Matrix_prices!L98+$D$2)*IF($M$2="Prices in $/MWh",1,1/1000)</f>
        <v>37.79</v>
      </c>
      <c r="M110" s="153">
        <f>(Matrix_prices!M98+$D$2)*IF($M$2="Prices in $/MWh",1,1/1000)</f>
        <v>38.1</v>
      </c>
      <c r="N110" s="152">
        <f>(Matrix_prices!N98+$D$2)*IF($M$2="Prices in $/MWh",1,1/1000)</f>
        <v>38.130000000000003</v>
      </c>
    </row>
    <row r="111" spans="3:14" x14ac:dyDescent="0.25">
      <c r="C111" s="78">
        <f>Matrix_prices!C99</f>
        <v>42644</v>
      </c>
      <c r="D111" s="79" t="str">
        <f>Matrix_prices!D99</f>
        <v>MD</v>
      </c>
      <c r="E111" s="80" t="str">
        <f>Matrix_prices!E99</f>
        <v>BGE</v>
      </c>
      <c r="F111" s="79" t="str">
        <f>Matrix_prices!F99</f>
        <v>G</v>
      </c>
      <c r="G111" s="80" t="str">
        <f>Matrix_prices!G99</f>
        <v>General Service Medium</v>
      </c>
      <c r="H111" s="81" t="str">
        <f t="shared" si="4"/>
        <v>100-500 MWh</v>
      </c>
      <c r="I111" s="80">
        <f>(Matrix_prices!I99+$D$2)*IF($M$2="Prices in $/MWh",1,1/1000)</f>
        <v>84.02</v>
      </c>
      <c r="J111" s="79">
        <f>(Matrix_prices!J99+$D$2)*IF($M$2="Prices in $/MWh",1,1/1000)</f>
        <v>84.08</v>
      </c>
      <c r="K111" s="80">
        <f>(Matrix_prices!K99+$D$2)*IF($M$2="Prices in $/MWh",1,1/1000)</f>
        <v>83.59</v>
      </c>
      <c r="L111" s="79">
        <f>(Matrix_prices!L99+$D$2)*IF($M$2="Prices in $/MWh",1,1/1000)</f>
        <v>36.19</v>
      </c>
      <c r="M111" s="80">
        <f>(Matrix_prices!M99+$D$2)*IF($M$2="Prices in $/MWh",1,1/1000)</f>
        <v>36.5</v>
      </c>
      <c r="N111" s="79">
        <f>(Matrix_prices!N99+$D$2)*IF($M$2="Prices in $/MWh",1,1/1000)</f>
        <v>36.53</v>
      </c>
    </row>
    <row r="112" spans="3:14" x14ac:dyDescent="0.25">
      <c r="C112" s="82">
        <f>Matrix_prices!C100</f>
        <v>42644</v>
      </c>
      <c r="D112" s="83" t="str">
        <f>Matrix_prices!D100</f>
        <v>MD</v>
      </c>
      <c r="E112" s="84" t="str">
        <f>Matrix_prices!E100</f>
        <v>BGE</v>
      </c>
      <c r="F112" s="83" t="str">
        <f>Matrix_prices!F100</f>
        <v>G</v>
      </c>
      <c r="G112" s="84" t="str">
        <f>Matrix_prices!G100</f>
        <v>General Service Medium</v>
      </c>
      <c r="H112" s="85" t="str">
        <f t="shared" si="5"/>
        <v>500-2500 MWh</v>
      </c>
      <c r="I112" s="84">
        <f>(Matrix_prices!I100+$D$2)*IF($M$2="Prices in $/MWh",1,1/1000)</f>
        <v>82.97</v>
      </c>
      <c r="J112" s="83">
        <f>(Matrix_prices!J100+$D$2)*IF($M$2="Prices in $/MWh",1,1/1000)</f>
        <v>83.03</v>
      </c>
      <c r="K112" s="84">
        <f>(Matrix_prices!K100+$D$2)*IF($M$2="Prices in $/MWh",1,1/1000)</f>
        <v>82.54</v>
      </c>
      <c r="L112" s="83">
        <f>(Matrix_prices!L100+$D$2)*IF($M$2="Prices in $/MWh",1,1/1000)</f>
        <v>35.14</v>
      </c>
      <c r="M112" s="84">
        <f>(Matrix_prices!M100+$D$2)*IF($M$2="Prices in $/MWh",1,1/1000)</f>
        <v>35.450000000000003</v>
      </c>
      <c r="N112" s="83">
        <f>(Matrix_prices!N100+$D$2)*IF($M$2="Prices in $/MWh",1,1/1000)</f>
        <v>35.479999999999997</v>
      </c>
    </row>
    <row r="113" spans="3:14" x14ac:dyDescent="0.25">
      <c r="C113" s="74">
        <f>Matrix_prices!C101</f>
        <v>42675</v>
      </c>
      <c r="D113" s="75" t="str">
        <f>Matrix_prices!D101</f>
        <v>MD</v>
      </c>
      <c r="E113" s="76" t="str">
        <f>Matrix_prices!E101</f>
        <v>BGE</v>
      </c>
      <c r="F113" s="75" t="str">
        <f>Matrix_prices!F101</f>
        <v>G</v>
      </c>
      <c r="G113" s="76" t="str">
        <f>Matrix_prices!G101</f>
        <v>General Service Medium</v>
      </c>
      <c r="H113" s="157" t="str">
        <f t="shared" si="3"/>
        <v>0-100 MWh</v>
      </c>
      <c r="I113" s="76">
        <f>(Matrix_prices!I101+$D$2)*IF($M$2="Prices in $/MWh",1,1/1000)</f>
        <v>85.45</v>
      </c>
      <c r="J113" s="75">
        <f>(Matrix_prices!J101+$D$2)*IF($M$2="Prices in $/MWh",1,1/1000)</f>
        <v>85.76</v>
      </c>
      <c r="K113" s="76">
        <f>(Matrix_prices!K101+$D$2)*IF($M$2="Prices in $/MWh",1,1/1000)</f>
        <v>85.15</v>
      </c>
      <c r="L113" s="75">
        <f>(Matrix_prices!L101+$D$2)*IF($M$2="Prices in $/MWh",1,1/1000)</f>
        <v>37.76</v>
      </c>
      <c r="M113" s="76">
        <f>(Matrix_prices!M101+$D$2)*IF($M$2="Prices in $/MWh",1,1/1000)</f>
        <v>38.119999999999997</v>
      </c>
      <c r="N113" s="75">
        <f>(Matrix_prices!N101+$D$2)*IF($M$2="Prices in $/MWh",1,1/1000)</f>
        <v>38.18</v>
      </c>
    </row>
    <row r="114" spans="3:14" x14ac:dyDescent="0.25">
      <c r="C114" s="78">
        <f>Matrix_prices!C102</f>
        <v>42675</v>
      </c>
      <c r="D114" s="79" t="str">
        <f>Matrix_prices!D102</f>
        <v>MD</v>
      </c>
      <c r="E114" s="80" t="str">
        <f>Matrix_prices!E102</f>
        <v>BGE</v>
      </c>
      <c r="F114" s="79" t="str">
        <f>Matrix_prices!F102</f>
        <v>G</v>
      </c>
      <c r="G114" s="80" t="str">
        <f>Matrix_prices!G102</f>
        <v>General Service Medium</v>
      </c>
      <c r="H114" s="81" t="str">
        <f t="shared" si="4"/>
        <v>100-500 MWh</v>
      </c>
      <c r="I114" s="80">
        <f>(Matrix_prices!I102+$D$2)*IF($M$2="Prices in $/MWh",1,1/1000)</f>
        <v>83.85</v>
      </c>
      <c r="J114" s="79">
        <f>(Matrix_prices!J102+$D$2)*IF($M$2="Prices in $/MWh",1,1/1000)</f>
        <v>84.16</v>
      </c>
      <c r="K114" s="80">
        <f>(Matrix_prices!K102+$D$2)*IF($M$2="Prices in $/MWh",1,1/1000)</f>
        <v>83.55</v>
      </c>
      <c r="L114" s="79">
        <f>(Matrix_prices!L102+$D$2)*IF($M$2="Prices in $/MWh",1,1/1000)</f>
        <v>36.159999999999997</v>
      </c>
      <c r="M114" s="80">
        <f>(Matrix_prices!M102+$D$2)*IF($M$2="Prices in $/MWh",1,1/1000)</f>
        <v>36.520000000000003</v>
      </c>
      <c r="N114" s="79">
        <f>(Matrix_prices!N102+$D$2)*IF($M$2="Prices in $/MWh",1,1/1000)</f>
        <v>36.58</v>
      </c>
    </row>
    <row r="115" spans="3:14" x14ac:dyDescent="0.25">
      <c r="C115" s="82">
        <f>Matrix_prices!C103</f>
        <v>42675</v>
      </c>
      <c r="D115" s="83" t="str">
        <f>Matrix_prices!D103</f>
        <v>MD</v>
      </c>
      <c r="E115" s="84" t="str">
        <f>Matrix_prices!E103</f>
        <v>BGE</v>
      </c>
      <c r="F115" s="83" t="str">
        <f>Matrix_prices!F103</f>
        <v>G</v>
      </c>
      <c r="G115" s="84" t="str">
        <f>Matrix_prices!G103</f>
        <v>General Service Medium</v>
      </c>
      <c r="H115" s="85" t="str">
        <f t="shared" si="5"/>
        <v>500-2500 MWh</v>
      </c>
      <c r="I115" s="84">
        <f>(Matrix_prices!I103+$D$2)*IF($M$2="Prices in $/MWh",1,1/1000)</f>
        <v>82.8</v>
      </c>
      <c r="J115" s="83">
        <f>(Matrix_prices!J103+$D$2)*IF($M$2="Prices in $/MWh",1,1/1000)</f>
        <v>83.11</v>
      </c>
      <c r="K115" s="84">
        <f>(Matrix_prices!K103+$D$2)*IF($M$2="Prices in $/MWh",1,1/1000)</f>
        <v>82.5</v>
      </c>
      <c r="L115" s="83">
        <f>(Matrix_prices!L103+$D$2)*IF($M$2="Prices in $/MWh",1,1/1000)</f>
        <v>35.11</v>
      </c>
      <c r="M115" s="84">
        <f>(Matrix_prices!M103+$D$2)*IF($M$2="Prices in $/MWh",1,1/1000)</f>
        <v>35.47</v>
      </c>
      <c r="N115" s="83">
        <f>(Matrix_prices!N103+$D$2)*IF($M$2="Prices in $/MWh",1,1/1000)</f>
        <v>35.53</v>
      </c>
    </row>
    <row r="116" spans="3:14" x14ac:dyDescent="0.25">
      <c r="C116" s="151">
        <f>Matrix_prices!C104</f>
        <v>42705</v>
      </c>
      <c r="D116" s="152" t="str">
        <f>Matrix_prices!D104</f>
        <v>MD</v>
      </c>
      <c r="E116" s="153" t="str">
        <f>Matrix_prices!E104</f>
        <v>BGE</v>
      </c>
      <c r="F116" s="152" t="str">
        <f>Matrix_prices!F104</f>
        <v>G</v>
      </c>
      <c r="G116" s="153" t="str">
        <f>Matrix_prices!G104</f>
        <v>General Service Medium</v>
      </c>
      <c r="H116" s="157" t="str">
        <f t="shared" si="3"/>
        <v>0-100 MWh</v>
      </c>
      <c r="I116" s="153">
        <f>(Matrix_prices!I104+$D$2)*IF($M$2="Prices in $/MWh",1,1/1000)</f>
        <v>85.12</v>
      </c>
      <c r="J116" s="152">
        <f>(Matrix_prices!J104+$D$2)*IF($M$2="Prices in $/MWh",1,1/1000)</f>
        <v>85.8</v>
      </c>
      <c r="K116" s="153">
        <f>(Matrix_prices!K104+$D$2)*IF($M$2="Prices in $/MWh",1,1/1000)</f>
        <v>85.03</v>
      </c>
      <c r="L116" s="152">
        <f>(Matrix_prices!L104+$D$2)*IF($M$2="Prices in $/MWh",1,1/1000)</f>
        <v>37.67</v>
      </c>
      <c r="M116" s="153">
        <f>(Matrix_prices!M104+$D$2)*IF($M$2="Prices in $/MWh",1,1/1000)</f>
        <v>38.15</v>
      </c>
      <c r="N116" s="152">
        <f>(Matrix_prices!N104+$D$2)*IF($M$2="Prices in $/MWh",1,1/1000)</f>
        <v>38.19</v>
      </c>
    </row>
    <row r="117" spans="3:14" x14ac:dyDescent="0.25">
      <c r="C117" s="78">
        <f>Matrix_prices!C105</f>
        <v>42705</v>
      </c>
      <c r="D117" s="79" t="str">
        <f>Matrix_prices!D105</f>
        <v>MD</v>
      </c>
      <c r="E117" s="80" t="str">
        <f>Matrix_prices!E105</f>
        <v>BGE</v>
      </c>
      <c r="F117" s="79" t="str">
        <f>Matrix_prices!F105</f>
        <v>G</v>
      </c>
      <c r="G117" s="80" t="str">
        <f>Matrix_prices!G105</f>
        <v>General Service Medium</v>
      </c>
      <c r="H117" s="81" t="str">
        <f t="shared" si="4"/>
        <v>100-500 MWh</v>
      </c>
      <c r="I117" s="80">
        <f>(Matrix_prices!I105+$D$2)*IF($M$2="Prices in $/MWh",1,1/1000)</f>
        <v>83.52</v>
      </c>
      <c r="J117" s="79">
        <f>(Matrix_prices!J105+$D$2)*IF($M$2="Prices in $/MWh",1,1/1000)</f>
        <v>84.2</v>
      </c>
      <c r="K117" s="80">
        <f>(Matrix_prices!K105+$D$2)*IF($M$2="Prices in $/MWh",1,1/1000)</f>
        <v>83.43</v>
      </c>
      <c r="L117" s="79">
        <f>(Matrix_prices!L105+$D$2)*IF($M$2="Prices in $/MWh",1,1/1000)</f>
        <v>36.07</v>
      </c>
      <c r="M117" s="80">
        <f>(Matrix_prices!M105+$D$2)*IF($M$2="Prices in $/MWh",1,1/1000)</f>
        <v>36.549999999999997</v>
      </c>
      <c r="N117" s="79">
        <f>(Matrix_prices!N105+$D$2)*IF($M$2="Prices in $/MWh",1,1/1000)</f>
        <v>36.590000000000003</v>
      </c>
    </row>
    <row r="118" spans="3:14" x14ac:dyDescent="0.25">
      <c r="C118" s="82">
        <f>Matrix_prices!C106</f>
        <v>42705</v>
      </c>
      <c r="D118" s="83" t="str">
        <f>Matrix_prices!D106</f>
        <v>MD</v>
      </c>
      <c r="E118" s="84" t="str">
        <f>Matrix_prices!E106</f>
        <v>BGE</v>
      </c>
      <c r="F118" s="83" t="str">
        <f>Matrix_prices!F106</f>
        <v>G</v>
      </c>
      <c r="G118" s="84" t="str">
        <f>Matrix_prices!G106</f>
        <v>General Service Medium</v>
      </c>
      <c r="H118" s="85" t="str">
        <f t="shared" si="5"/>
        <v>500-2500 MWh</v>
      </c>
      <c r="I118" s="84">
        <f>(Matrix_prices!I106+$D$2)*IF($M$2="Prices in $/MWh",1,1/1000)</f>
        <v>82.47</v>
      </c>
      <c r="J118" s="83">
        <f>(Matrix_prices!J106+$D$2)*IF($M$2="Prices in $/MWh",1,1/1000)</f>
        <v>83.15</v>
      </c>
      <c r="K118" s="84">
        <f>(Matrix_prices!K106+$D$2)*IF($M$2="Prices in $/MWh",1,1/1000)</f>
        <v>82.38</v>
      </c>
      <c r="L118" s="83">
        <f>(Matrix_prices!L106+$D$2)*IF($M$2="Prices in $/MWh",1,1/1000)</f>
        <v>35.020000000000003</v>
      </c>
      <c r="M118" s="84">
        <f>(Matrix_prices!M106+$D$2)*IF($M$2="Prices in $/MWh",1,1/1000)</f>
        <v>35.5</v>
      </c>
      <c r="N118" s="83">
        <f>(Matrix_prices!N106+$D$2)*IF($M$2="Prices in $/MWh",1,1/1000)</f>
        <v>35.54</v>
      </c>
    </row>
    <row r="119" spans="3:14" x14ac:dyDescent="0.25">
      <c r="C119" s="74">
        <f>Matrix_prices!C107</f>
        <v>42736</v>
      </c>
      <c r="D119" s="75" t="str">
        <f>Matrix_prices!D107</f>
        <v>MD</v>
      </c>
      <c r="E119" s="76" t="str">
        <f>Matrix_prices!E107</f>
        <v>BGE</v>
      </c>
      <c r="F119" s="75" t="str">
        <f>Matrix_prices!F107</f>
        <v>G</v>
      </c>
      <c r="G119" s="76" t="str">
        <f>Matrix_prices!G107</f>
        <v>General Service Medium</v>
      </c>
      <c r="H119" s="157" t="str">
        <f t="shared" si="3"/>
        <v>0-100 MWh</v>
      </c>
      <c r="I119" s="76">
        <f>(Matrix_prices!I107+$D$2)*IF($M$2="Prices in $/MWh",1,1/1000)</f>
        <v>85.12</v>
      </c>
      <c r="J119" s="75">
        <f>(Matrix_prices!J107+$D$2)*IF($M$2="Prices in $/MWh",1,1/1000)</f>
        <v>85.87</v>
      </c>
      <c r="K119" s="76">
        <f>(Matrix_prices!K107+$D$2)*IF($M$2="Prices in $/MWh",1,1/1000)</f>
        <v>85.12</v>
      </c>
      <c r="L119" s="75">
        <f>(Matrix_prices!L107+$D$2)*IF($M$2="Prices in $/MWh",1,1/1000)</f>
        <v>37.79</v>
      </c>
      <c r="M119" s="76">
        <f>(Matrix_prices!M107+$D$2)*IF($M$2="Prices in $/MWh",1,1/1000)</f>
        <v>38.22</v>
      </c>
      <c r="N119" s="75">
        <f>(Matrix_prices!N107+$D$2)*IF($M$2="Prices in $/MWh",1,1/1000)</f>
        <v>38.32</v>
      </c>
    </row>
    <row r="120" spans="3:14" x14ac:dyDescent="0.25">
      <c r="C120" s="78">
        <f>Matrix_prices!C108</f>
        <v>42736</v>
      </c>
      <c r="D120" s="79" t="str">
        <f>Matrix_prices!D108</f>
        <v>MD</v>
      </c>
      <c r="E120" s="80" t="str">
        <f>Matrix_prices!E108</f>
        <v>BGE</v>
      </c>
      <c r="F120" s="79" t="str">
        <f>Matrix_prices!F108</f>
        <v>G</v>
      </c>
      <c r="G120" s="80" t="str">
        <f>Matrix_prices!G108</f>
        <v>General Service Medium</v>
      </c>
      <c r="H120" s="81" t="str">
        <f t="shared" si="4"/>
        <v>100-500 MWh</v>
      </c>
      <c r="I120" s="80">
        <f>(Matrix_prices!I108+$D$2)*IF($M$2="Prices in $/MWh",1,1/1000)</f>
        <v>83.52</v>
      </c>
      <c r="J120" s="79">
        <f>(Matrix_prices!J108+$D$2)*IF($M$2="Prices in $/MWh",1,1/1000)</f>
        <v>84.27</v>
      </c>
      <c r="K120" s="80">
        <f>(Matrix_prices!K108+$D$2)*IF($M$2="Prices in $/MWh",1,1/1000)</f>
        <v>83.52</v>
      </c>
      <c r="L120" s="79">
        <f>(Matrix_prices!L108+$D$2)*IF($M$2="Prices in $/MWh",1,1/1000)</f>
        <v>36.19</v>
      </c>
      <c r="M120" s="80">
        <f>(Matrix_prices!M108+$D$2)*IF($M$2="Prices in $/MWh",1,1/1000)</f>
        <v>36.619999999999997</v>
      </c>
      <c r="N120" s="79">
        <f>(Matrix_prices!N108+$D$2)*IF($M$2="Prices in $/MWh",1,1/1000)</f>
        <v>36.72</v>
      </c>
    </row>
    <row r="121" spans="3:14" x14ac:dyDescent="0.25">
      <c r="C121" s="82">
        <f>Matrix_prices!C109</f>
        <v>42736</v>
      </c>
      <c r="D121" s="83" t="str">
        <f>Matrix_prices!D109</f>
        <v>MD</v>
      </c>
      <c r="E121" s="84" t="str">
        <f>Matrix_prices!E109</f>
        <v>BGE</v>
      </c>
      <c r="F121" s="83" t="str">
        <f>Matrix_prices!F109</f>
        <v>G</v>
      </c>
      <c r="G121" s="84" t="str">
        <f>Matrix_prices!G109</f>
        <v>General Service Medium</v>
      </c>
      <c r="H121" s="85" t="str">
        <f t="shared" si="5"/>
        <v>500-2500 MWh</v>
      </c>
      <c r="I121" s="84">
        <f>(Matrix_prices!I109+$D$2)*IF($M$2="Prices in $/MWh",1,1/1000)</f>
        <v>82.47</v>
      </c>
      <c r="J121" s="83">
        <f>(Matrix_prices!J109+$D$2)*IF($M$2="Prices in $/MWh",1,1/1000)</f>
        <v>83.22</v>
      </c>
      <c r="K121" s="84">
        <f>(Matrix_prices!K109+$D$2)*IF($M$2="Prices in $/MWh",1,1/1000)</f>
        <v>82.47</v>
      </c>
      <c r="L121" s="83">
        <f>(Matrix_prices!L109+$D$2)*IF($M$2="Prices in $/MWh",1,1/1000)</f>
        <v>35.14</v>
      </c>
      <c r="M121" s="84">
        <f>(Matrix_prices!M109+$D$2)*IF($M$2="Prices in $/MWh",1,1/1000)</f>
        <v>35.57</v>
      </c>
      <c r="N121" s="83">
        <f>(Matrix_prices!N109+$D$2)*IF($M$2="Prices in $/MWh",1,1/1000)</f>
        <v>35.67</v>
      </c>
    </row>
    <row r="122" spans="3:14" x14ac:dyDescent="0.25">
      <c r="C122" s="151">
        <f>Matrix_prices!C110</f>
        <v>42401</v>
      </c>
      <c r="D122" s="152" t="str">
        <f>Matrix_prices!D110</f>
        <v>MD</v>
      </c>
      <c r="E122" s="153" t="str">
        <f>Matrix_prices!E110</f>
        <v>BGE</v>
      </c>
      <c r="F122" s="152" t="str">
        <f>Matrix_prices!F110</f>
        <v>GL</v>
      </c>
      <c r="G122" s="153" t="str">
        <f>Matrix_prices!G110</f>
        <v>General Service Large</v>
      </c>
      <c r="H122" s="157" t="str">
        <f t="shared" si="3"/>
        <v>0-100 MWh</v>
      </c>
      <c r="I122" s="153">
        <f>(Matrix_prices!I110+$D$2)*IF($M$2="Prices in $/MWh",1,1/1000)</f>
        <v>84.51</v>
      </c>
      <c r="J122" s="152">
        <f>(Matrix_prices!J110+$D$2)*IF($M$2="Prices in $/MWh",1,1/1000)</f>
        <v>85.21</v>
      </c>
      <c r="K122" s="153">
        <f>(Matrix_prices!K110+$D$2)*IF($M$2="Prices in $/MWh",1,1/1000)</f>
        <v>84.36</v>
      </c>
      <c r="L122" s="152">
        <f>(Matrix_prices!L110+$D$2)*IF($M$2="Prices in $/MWh",1,1/1000)</f>
        <v>37.700000000000003</v>
      </c>
      <c r="M122" s="153">
        <f>(Matrix_prices!M110+$D$2)*IF($M$2="Prices in $/MWh",1,1/1000)</f>
        <v>37.93</v>
      </c>
      <c r="N122" s="152">
        <f>(Matrix_prices!N110+$D$2)*IF($M$2="Prices in $/MWh",1,1/1000)</f>
        <v>37.67</v>
      </c>
    </row>
    <row r="123" spans="3:14" x14ac:dyDescent="0.25">
      <c r="C123" s="78">
        <f>Matrix_prices!C111</f>
        <v>42401</v>
      </c>
      <c r="D123" s="79" t="str">
        <f>Matrix_prices!D111</f>
        <v>MD</v>
      </c>
      <c r="E123" s="80" t="str">
        <f>Matrix_prices!E111</f>
        <v>BGE</v>
      </c>
      <c r="F123" s="79" t="str">
        <f>Matrix_prices!F111</f>
        <v>GL</v>
      </c>
      <c r="G123" s="80" t="str">
        <f>Matrix_prices!G111</f>
        <v>General Service Large</v>
      </c>
      <c r="H123" s="81" t="str">
        <f t="shared" si="4"/>
        <v>100-500 MWh</v>
      </c>
      <c r="I123" s="80">
        <f>(Matrix_prices!I111+$D$2)*IF($M$2="Prices in $/MWh",1,1/1000)</f>
        <v>82.91</v>
      </c>
      <c r="J123" s="79">
        <f>(Matrix_prices!J111+$D$2)*IF($M$2="Prices in $/MWh",1,1/1000)</f>
        <v>83.61</v>
      </c>
      <c r="K123" s="80">
        <f>(Matrix_prices!K111+$D$2)*IF($M$2="Prices in $/MWh",1,1/1000)</f>
        <v>82.76</v>
      </c>
      <c r="L123" s="79">
        <f>(Matrix_prices!L111+$D$2)*IF($M$2="Prices in $/MWh",1,1/1000)</f>
        <v>36.1</v>
      </c>
      <c r="M123" s="80">
        <f>(Matrix_prices!M111+$D$2)*IF($M$2="Prices in $/MWh",1,1/1000)</f>
        <v>36.33</v>
      </c>
      <c r="N123" s="79">
        <f>(Matrix_prices!N111+$D$2)*IF($M$2="Prices in $/MWh",1,1/1000)</f>
        <v>36.07</v>
      </c>
    </row>
    <row r="124" spans="3:14" x14ac:dyDescent="0.25">
      <c r="C124" s="82">
        <f>Matrix_prices!C112</f>
        <v>42401</v>
      </c>
      <c r="D124" s="83" t="str">
        <f>Matrix_prices!D112</f>
        <v>MD</v>
      </c>
      <c r="E124" s="84" t="str">
        <f>Matrix_prices!E112</f>
        <v>BGE</v>
      </c>
      <c r="F124" s="83" t="str">
        <f>Matrix_prices!F112</f>
        <v>GL</v>
      </c>
      <c r="G124" s="84" t="str">
        <f>Matrix_prices!G112</f>
        <v>General Service Large</v>
      </c>
      <c r="H124" s="85" t="str">
        <f t="shared" si="5"/>
        <v>500-2500 MWh</v>
      </c>
      <c r="I124" s="84">
        <f>(Matrix_prices!I112+$D$2)*IF($M$2="Prices in $/MWh",1,1/1000)</f>
        <v>81.86</v>
      </c>
      <c r="J124" s="83">
        <f>(Matrix_prices!J112+$D$2)*IF($M$2="Prices in $/MWh",1,1/1000)</f>
        <v>82.56</v>
      </c>
      <c r="K124" s="84">
        <f>(Matrix_prices!K112+$D$2)*IF($M$2="Prices in $/MWh",1,1/1000)</f>
        <v>81.709999999999994</v>
      </c>
      <c r="L124" s="83">
        <f>(Matrix_prices!L112+$D$2)*IF($M$2="Prices in $/MWh",1,1/1000)</f>
        <v>35.049999999999997</v>
      </c>
      <c r="M124" s="84">
        <f>(Matrix_prices!M112+$D$2)*IF($M$2="Prices in $/MWh",1,1/1000)</f>
        <v>35.28</v>
      </c>
      <c r="N124" s="83">
        <f>(Matrix_prices!N112+$D$2)*IF($M$2="Prices in $/MWh",1,1/1000)</f>
        <v>35.020000000000003</v>
      </c>
    </row>
    <row r="125" spans="3:14" x14ac:dyDescent="0.25">
      <c r="C125" s="74">
        <f>Matrix_prices!C113</f>
        <v>42430</v>
      </c>
      <c r="D125" s="75" t="str">
        <f>Matrix_prices!D113</f>
        <v>MD</v>
      </c>
      <c r="E125" s="76" t="str">
        <f>Matrix_prices!E113</f>
        <v>BGE</v>
      </c>
      <c r="F125" s="75" t="str">
        <f>Matrix_prices!F113</f>
        <v>GL</v>
      </c>
      <c r="G125" s="76" t="str">
        <f>Matrix_prices!G113</f>
        <v>General Service Large</v>
      </c>
      <c r="H125" s="157" t="str">
        <f t="shared" si="3"/>
        <v>0-100 MWh</v>
      </c>
      <c r="I125" s="76">
        <f>(Matrix_prices!I113+$D$2)*IF($M$2="Prices in $/MWh",1,1/1000)</f>
        <v>85.03</v>
      </c>
      <c r="J125" s="75">
        <f>(Matrix_prices!J113+$D$2)*IF($M$2="Prices in $/MWh",1,1/1000)</f>
        <v>84.89</v>
      </c>
      <c r="K125" s="76">
        <f>(Matrix_prices!K113+$D$2)*IF($M$2="Prices in $/MWh",1,1/1000)</f>
        <v>84.62</v>
      </c>
      <c r="L125" s="75">
        <f>(Matrix_prices!L113+$D$2)*IF($M$2="Prices in $/MWh",1,1/1000)</f>
        <v>37.74</v>
      </c>
      <c r="M125" s="76">
        <f>(Matrix_prices!M113+$D$2)*IF($M$2="Prices in $/MWh",1,1/1000)</f>
        <v>37.6</v>
      </c>
      <c r="N125" s="75">
        <f>(Matrix_prices!N113+$D$2)*IF($M$2="Prices in $/MWh",1,1/1000)</f>
        <v>37.71</v>
      </c>
    </row>
    <row r="126" spans="3:14" x14ac:dyDescent="0.25">
      <c r="C126" s="78">
        <f>Matrix_prices!C114</f>
        <v>42430</v>
      </c>
      <c r="D126" s="79" t="str">
        <f>Matrix_prices!D114</f>
        <v>MD</v>
      </c>
      <c r="E126" s="80" t="str">
        <f>Matrix_prices!E114</f>
        <v>BGE</v>
      </c>
      <c r="F126" s="79" t="str">
        <f>Matrix_prices!F114</f>
        <v>GL</v>
      </c>
      <c r="G126" s="80" t="str">
        <f>Matrix_prices!G114</f>
        <v>General Service Large</v>
      </c>
      <c r="H126" s="81" t="str">
        <f t="shared" si="4"/>
        <v>100-500 MWh</v>
      </c>
      <c r="I126" s="80">
        <f>(Matrix_prices!I114+$D$2)*IF($M$2="Prices in $/MWh",1,1/1000)</f>
        <v>83.43</v>
      </c>
      <c r="J126" s="79">
        <f>(Matrix_prices!J114+$D$2)*IF($M$2="Prices in $/MWh",1,1/1000)</f>
        <v>83.29</v>
      </c>
      <c r="K126" s="80">
        <f>(Matrix_prices!K114+$D$2)*IF($M$2="Prices in $/MWh",1,1/1000)</f>
        <v>83.02</v>
      </c>
      <c r="L126" s="79">
        <f>(Matrix_prices!L114+$D$2)*IF($M$2="Prices in $/MWh",1,1/1000)</f>
        <v>36.14</v>
      </c>
      <c r="M126" s="80">
        <f>(Matrix_prices!M114+$D$2)*IF($M$2="Prices in $/MWh",1,1/1000)</f>
        <v>36</v>
      </c>
      <c r="N126" s="79">
        <f>(Matrix_prices!N114+$D$2)*IF($M$2="Prices in $/MWh",1,1/1000)</f>
        <v>36.11</v>
      </c>
    </row>
    <row r="127" spans="3:14" x14ac:dyDescent="0.25">
      <c r="C127" s="82">
        <f>Matrix_prices!C115</f>
        <v>42430</v>
      </c>
      <c r="D127" s="83" t="str">
        <f>Matrix_prices!D115</f>
        <v>MD</v>
      </c>
      <c r="E127" s="84" t="str">
        <f>Matrix_prices!E115</f>
        <v>BGE</v>
      </c>
      <c r="F127" s="83" t="str">
        <f>Matrix_prices!F115</f>
        <v>GL</v>
      </c>
      <c r="G127" s="84" t="str">
        <f>Matrix_prices!G115</f>
        <v>General Service Large</v>
      </c>
      <c r="H127" s="85" t="str">
        <f t="shared" si="5"/>
        <v>500-2500 MWh</v>
      </c>
      <c r="I127" s="84">
        <f>(Matrix_prices!I115+$D$2)*IF($M$2="Prices in $/MWh",1,1/1000)</f>
        <v>82.38</v>
      </c>
      <c r="J127" s="83">
        <f>(Matrix_prices!J115+$D$2)*IF($M$2="Prices in $/MWh",1,1/1000)</f>
        <v>82.24</v>
      </c>
      <c r="K127" s="84">
        <f>(Matrix_prices!K115+$D$2)*IF($M$2="Prices in $/MWh",1,1/1000)</f>
        <v>81.97</v>
      </c>
      <c r="L127" s="83">
        <f>(Matrix_prices!L115+$D$2)*IF($M$2="Prices in $/MWh",1,1/1000)</f>
        <v>35.090000000000003</v>
      </c>
      <c r="M127" s="84">
        <f>(Matrix_prices!M115+$D$2)*IF($M$2="Prices in $/MWh",1,1/1000)</f>
        <v>34.950000000000003</v>
      </c>
      <c r="N127" s="83">
        <f>(Matrix_prices!N115+$D$2)*IF($M$2="Prices in $/MWh",1,1/1000)</f>
        <v>35.06</v>
      </c>
    </row>
    <row r="128" spans="3:14" x14ac:dyDescent="0.25">
      <c r="C128" s="151">
        <f>Matrix_prices!C116</f>
        <v>42461</v>
      </c>
      <c r="D128" s="152" t="str">
        <f>Matrix_prices!D116</f>
        <v>MD</v>
      </c>
      <c r="E128" s="153" t="str">
        <f>Matrix_prices!E116</f>
        <v>BGE</v>
      </c>
      <c r="F128" s="152" t="str">
        <f>Matrix_prices!F116</f>
        <v>GL</v>
      </c>
      <c r="G128" s="153" t="str">
        <f>Matrix_prices!G116</f>
        <v>General Service Large</v>
      </c>
      <c r="H128" s="157" t="str">
        <f t="shared" si="3"/>
        <v>0-100 MWh</v>
      </c>
      <c r="I128" s="153">
        <f>(Matrix_prices!I116+$D$2)*IF($M$2="Prices in $/MWh",1,1/1000)</f>
        <v>85.14</v>
      </c>
      <c r="J128" s="152">
        <f>(Matrix_prices!J116+$D$2)*IF($M$2="Prices in $/MWh",1,1/1000)</f>
        <v>84.25</v>
      </c>
      <c r="K128" s="153">
        <f>(Matrix_prices!K116+$D$2)*IF($M$2="Prices in $/MWh",1,1/1000)</f>
        <v>84.58</v>
      </c>
      <c r="L128" s="152">
        <f>(Matrix_prices!L116+$D$2)*IF($M$2="Prices in $/MWh",1,1/1000)</f>
        <v>37.75</v>
      </c>
      <c r="M128" s="153">
        <f>(Matrix_prices!M116+$D$2)*IF($M$2="Prices in $/MWh",1,1/1000)</f>
        <v>37.299999999999997</v>
      </c>
      <c r="N128" s="152">
        <f>(Matrix_prices!N116+$D$2)*IF($M$2="Prices in $/MWh",1,1/1000)</f>
        <v>37.72</v>
      </c>
    </row>
    <row r="129" spans="3:14" x14ac:dyDescent="0.25">
      <c r="C129" s="78">
        <f>Matrix_prices!C117</f>
        <v>42461</v>
      </c>
      <c r="D129" s="79" t="str">
        <f>Matrix_prices!D117</f>
        <v>MD</v>
      </c>
      <c r="E129" s="80" t="str">
        <f>Matrix_prices!E117</f>
        <v>BGE</v>
      </c>
      <c r="F129" s="79" t="str">
        <f>Matrix_prices!F117</f>
        <v>GL</v>
      </c>
      <c r="G129" s="80" t="str">
        <f>Matrix_prices!G117</f>
        <v>General Service Large</v>
      </c>
      <c r="H129" s="81" t="str">
        <f t="shared" si="4"/>
        <v>100-500 MWh</v>
      </c>
      <c r="I129" s="80">
        <f>(Matrix_prices!I117+$D$2)*IF($M$2="Prices in $/MWh",1,1/1000)</f>
        <v>83.54</v>
      </c>
      <c r="J129" s="79">
        <f>(Matrix_prices!J117+$D$2)*IF($M$2="Prices in $/MWh",1,1/1000)</f>
        <v>82.65</v>
      </c>
      <c r="K129" s="80">
        <f>(Matrix_prices!K117+$D$2)*IF($M$2="Prices in $/MWh",1,1/1000)</f>
        <v>82.98</v>
      </c>
      <c r="L129" s="79">
        <f>(Matrix_prices!L117+$D$2)*IF($M$2="Prices in $/MWh",1,1/1000)</f>
        <v>36.15</v>
      </c>
      <c r="M129" s="80">
        <f>(Matrix_prices!M117+$D$2)*IF($M$2="Prices in $/MWh",1,1/1000)</f>
        <v>35.700000000000003</v>
      </c>
      <c r="N129" s="79">
        <f>(Matrix_prices!N117+$D$2)*IF($M$2="Prices in $/MWh",1,1/1000)</f>
        <v>36.119999999999997</v>
      </c>
    </row>
    <row r="130" spans="3:14" x14ac:dyDescent="0.25">
      <c r="C130" s="82">
        <f>Matrix_prices!C118</f>
        <v>42461</v>
      </c>
      <c r="D130" s="83" t="str">
        <f>Matrix_prices!D118</f>
        <v>MD</v>
      </c>
      <c r="E130" s="84" t="str">
        <f>Matrix_prices!E118</f>
        <v>BGE</v>
      </c>
      <c r="F130" s="83" t="str">
        <f>Matrix_prices!F118</f>
        <v>GL</v>
      </c>
      <c r="G130" s="84" t="str">
        <f>Matrix_prices!G118</f>
        <v>General Service Large</v>
      </c>
      <c r="H130" s="85" t="str">
        <f t="shared" si="5"/>
        <v>500-2500 MWh</v>
      </c>
      <c r="I130" s="84">
        <f>(Matrix_prices!I118+$D$2)*IF($M$2="Prices in $/MWh",1,1/1000)</f>
        <v>82.49</v>
      </c>
      <c r="J130" s="83">
        <f>(Matrix_prices!J118+$D$2)*IF($M$2="Prices in $/MWh",1,1/1000)</f>
        <v>81.599999999999994</v>
      </c>
      <c r="K130" s="84">
        <f>(Matrix_prices!K118+$D$2)*IF($M$2="Prices in $/MWh",1,1/1000)</f>
        <v>81.93</v>
      </c>
      <c r="L130" s="83">
        <f>(Matrix_prices!L118+$D$2)*IF($M$2="Prices in $/MWh",1,1/1000)</f>
        <v>35.1</v>
      </c>
      <c r="M130" s="84">
        <f>(Matrix_prices!M118+$D$2)*IF($M$2="Prices in $/MWh",1,1/1000)</f>
        <v>34.65</v>
      </c>
      <c r="N130" s="83">
        <f>(Matrix_prices!N118+$D$2)*IF($M$2="Prices in $/MWh",1,1/1000)</f>
        <v>35.07</v>
      </c>
    </row>
    <row r="131" spans="3:14" x14ac:dyDescent="0.25">
      <c r="C131" s="74">
        <f>Matrix_prices!C119</f>
        <v>42491</v>
      </c>
      <c r="D131" s="75" t="str">
        <f>Matrix_prices!D119</f>
        <v>MD</v>
      </c>
      <c r="E131" s="76" t="str">
        <f>Matrix_prices!E119</f>
        <v>BGE</v>
      </c>
      <c r="F131" s="75" t="str">
        <f>Matrix_prices!F119</f>
        <v>GL</v>
      </c>
      <c r="G131" s="76" t="str">
        <f>Matrix_prices!G119</f>
        <v>General Service Large</v>
      </c>
      <c r="H131" s="157" t="str">
        <f t="shared" si="3"/>
        <v>0-100 MWh</v>
      </c>
      <c r="I131" s="76">
        <f>(Matrix_prices!I119+$D$2)*IF($M$2="Prices in $/MWh",1,1/1000)</f>
        <v>85.21</v>
      </c>
      <c r="J131" s="75">
        <f>(Matrix_prices!J119+$D$2)*IF($M$2="Prices in $/MWh",1,1/1000)</f>
        <v>83.8</v>
      </c>
      <c r="K131" s="76">
        <f>(Matrix_prices!K119+$D$2)*IF($M$2="Prices in $/MWh",1,1/1000)</f>
        <v>84.52</v>
      </c>
      <c r="L131" s="75">
        <f>(Matrix_prices!L119+$D$2)*IF($M$2="Prices in $/MWh",1,1/1000)</f>
        <v>37.770000000000003</v>
      </c>
      <c r="M131" s="76">
        <f>(Matrix_prices!M119+$D$2)*IF($M$2="Prices in $/MWh",1,1/1000)</f>
        <v>37.130000000000003</v>
      </c>
      <c r="N131" s="75">
        <f>(Matrix_prices!N119+$D$2)*IF($M$2="Prices in $/MWh",1,1/1000)</f>
        <v>37.729999999999997</v>
      </c>
    </row>
    <row r="132" spans="3:14" x14ac:dyDescent="0.25">
      <c r="C132" s="78">
        <f>Matrix_prices!C120</f>
        <v>42491</v>
      </c>
      <c r="D132" s="79" t="str">
        <f>Matrix_prices!D120</f>
        <v>MD</v>
      </c>
      <c r="E132" s="80" t="str">
        <f>Matrix_prices!E120</f>
        <v>BGE</v>
      </c>
      <c r="F132" s="79" t="str">
        <f>Matrix_prices!F120</f>
        <v>GL</v>
      </c>
      <c r="G132" s="80" t="str">
        <f>Matrix_prices!G120</f>
        <v>General Service Large</v>
      </c>
      <c r="H132" s="81" t="str">
        <f t="shared" si="4"/>
        <v>100-500 MWh</v>
      </c>
      <c r="I132" s="80">
        <f>(Matrix_prices!I120+$D$2)*IF($M$2="Prices in $/MWh",1,1/1000)</f>
        <v>83.61</v>
      </c>
      <c r="J132" s="79">
        <f>(Matrix_prices!J120+$D$2)*IF($M$2="Prices in $/MWh",1,1/1000)</f>
        <v>82.2</v>
      </c>
      <c r="K132" s="80">
        <f>(Matrix_prices!K120+$D$2)*IF($M$2="Prices in $/MWh",1,1/1000)</f>
        <v>82.92</v>
      </c>
      <c r="L132" s="79">
        <f>(Matrix_prices!L120+$D$2)*IF($M$2="Prices in $/MWh",1,1/1000)</f>
        <v>36.17</v>
      </c>
      <c r="M132" s="80">
        <f>(Matrix_prices!M120+$D$2)*IF($M$2="Prices in $/MWh",1,1/1000)</f>
        <v>35.53</v>
      </c>
      <c r="N132" s="79">
        <f>(Matrix_prices!N120+$D$2)*IF($M$2="Prices in $/MWh",1,1/1000)</f>
        <v>36.130000000000003</v>
      </c>
    </row>
    <row r="133" spans="3:14" x14ac:dyDescent="0.25">
      <c r="C133" s="82">
        <f>Matrix_prices!C121</f>
        <v>42491</v>
      </c>
      <c r="D133" s="83" t="str">
        <f>Matrix_prices!D121</f>
        <v>MD</v>
      </c>
      <c r="E133" s="84" t="str">
        <f>Matrix_prices!E121</f>
        <v>BGE</v>
      </c>
      <c r="F133" s="83" t="str">
        <f>Matrix_prices!F121</f>
        <v>GL</v>
      </c>
      <c r="G133" s="84" t="str">
        <f>Matrix_prices!G121</f>
        <v>General Service Large</v>
      </c>
      <c r="H133" s="85" t="str">
        <f t="shared" si="5"/>
        <v>500-2500 MWh</v>
      </c>
      <c r="I133" s="84">
        <f>(Matrix_prices!I121+$D$2)*IF($M$2="Prices in $/MWh",1,1/1000)</f>
        <v>82.56</v>
      </c>
      <c r="J133" s="83">
        <f>(Matrix_prices!J121+$D$2)*IF($M$2="Prices in $/MWh",1,1/1000)</f>
        <v>81.150000000000006</v>
      </c>
      <c r="K133" s="84">
        <f>(Matrix_prices!K121+$D$2)*IF($M$2="Prices in $/MWh",1,1/1000)</f>
        <v>81.87</v>
      </c>
      <c r="L133" s="83">
        <f>(Matrix_prices!L121+$D$2)*IF($M$2="Prices in $/MWh",1,1/1000)</f>
        <v>35.119999999999997</v>
      </c>
      <c r="M133" s="84">
        <f>(Matrix_prices!M121+$D$2)*IF($M$2="Prices in $/MWh",1,1/1000)</f>
        <v>34.479999999999997</v>
      </c>
      <c r="N133" s="83">
        <f>(Matrix_prices!N121+$D$2)*IF($M$2="Prices in $/MWh",1,1/1000)</f>
        <v>35.08</v>
      </c>
    </row>
    <row r="134" spans="3:14" x14ac:dyDescent="0.25">
      <c r="C134" s="151">
        <f>Matrix_prices!C122</f>
        <v>42522</v>
      </c>
      <c r="D134" s="152" t="str">
        <f>Matrix_prices!D122</f>
        <v>MD</v>
      </c>
      <c r="E134" s="153" t="str">
        <f>Matrix_prices!E122</f>
        <v>BGE</v>
      </c>
      <c r="F134" s="152" t="str">
        <f>Matrix_prices!F122</f>
        <v>GL</v>
      </c>
      <c r="G134" s="153" t="str">
        <f>Matrix_prices!G122</f>
        <v>General Service Large</v>
      </c>
      <c r="H134" s="157" t="str">
        <f t="shared" si="3"/>
        <v>0-100 MWh</v>
      </c>
      <c r="I134" s="153">
        <f>(Matrix_prices!I122+$D$2)*IF($M$2="Prices in $/MWh",1,1/1000)</f>
        <v>85.18</v>
      </c>
      <c r="J134" s="152">
        <f>(Matrix_prices!J122+$D$2)*IF($M$2="Prices in $/MWh",1,1/1000)</f>
        <v>83.49</v>
      </c>
      <c r="K134" s="153">
        <f>(Matrix_prices!K122+$D$2)*IF($M$2="Prices in $/MWh",1,1/1000)</f>
        <v>84.43</v>
      </c>
      <c r="L134" s="152">
        <f>(Matrix_prices!L122+$D$2)*IF($M$2="Prices in $/MWh",1,1/1000)</f>
        <v>37.74</v>
      </c>
      <c r="M134" s="153">
        <f>(Matrix_prices!M122+$D$2)*IF($M$2="Prices in $/MWh",1,1/1000)</f>
        <v>37.06</v>
      </c>
      <c r="N134" s="152">
        <f>(Matrix_prices!N122+$D$2)*IF($M$2="Prices in $/MWh",1,1/1000)</f>
        <v>37.72</v>
      </c>
    </row>
    <row r="135" spans="3:14" x14ac:dyDescent="0.25">
      <c r="C135" s="78">
        <f>Matrix_prices!C123</f>
        <v>42522</v>
      </c>
      <c r="D135" s="79" t="str">
        <f>Matrix_prices!D123</f>
        <v>MD</v>
      </c>
      <c r="E135" s="80" t="str">
        <f>Matrix_prices!E123</f>
        <v>BGE</v>
      </c>
      <c r="F135" s="79" t="str">
        <f>Matrix_prices!F123</f>
        <v>GL</v>
      </c>
      <c r="G135" s="80" t="str">
        <f>Matrix_prices!G123</f>
        <v>General Service Large</v>
      </c>
      <c r="H135" s="81" t="str">
        <f t="shared" si="4"/>
        <v>100-500 MWh</v>
      </c>
      <c r="I135" s="80">
        <f>(Matrix_prices!I123+$D$2)*IF($M$2="Prices in $/MWh",1,1/1000)</f>
        <v>83.58</v>
      </c>
      <c r="J135" s="79">
        <f>(Matrix_prices!J123+$D$2)*IF($M$2="Prices in $/MWh",1,1/1000)</f>
        <v>81.89</v>
      </c>
      <c r="K135" s="80">
        <f>(Matrix_prices!K123+$D$2)*IF($M$2="Prices in $/MWh",1,1/1000)</f>
        <v>82.83</v>
      </c>
      <c r="L135" s="79">
        <f>(Matrix_prices!L123+$D$2)*IF($M$2="Prices in $/MWh",1,1/1000)</f>
        <v>36.14</v>
      </c>
      <c r="M135" s="80">
        <f>(Matrix_prices!M123+$D$2)*IF($M$2="Prices in $/MWh",1,1/1000)</f>
        <v>35.46</v>
      </c>
      <c r="N135" s="79">
        <f>(Matrix_prices!N123+$D$2)*IF($M$2="Prices in $/MWh",1,1/1000)</f>
        <v>36.119999999999997</v>
      </c>
    </row>
    <row r="136" spans="3:14" x14ac:dyDescent="0.25">
      <c r="C136" s="82">
        <f>Matrix_prices!C124</f>
        <v>42522</v>
      </c>
      <c r="D136" s="83" t="str">
        <f>Matrix_prices!D124</f>
        <v>MD</v>
      </c>
      <c r="E136" s="84" t="str">
        <f>Matrix_prices!E124</f>
        <v>BGE</v>
      </c>
      <c r="F136" s="83" t="str">
        <f>Matrix_prices!F124</f>
        <v>GL</v>
      </c>
      <c r="G136" s="84" t="str">
        <f>Matrix_prices!G124</f>
        <v>General Service Large</v>
      </c>
      <c r="H136" s="85" t="str">
        <f t="shared" si="5"/>
        <v>500-2500 MWh</v>
      </c>
      <c r="I136" s="84">
        <f>(Matrix_prices!I124+$D$2)*IF($M$2="Prices in $/MWh",1,1/1000)</f>
        <v>82.53</v>
      </c>
      <c r="J136" s="83">
        <f>(Matrix_prices!J124+$D$2)*IF($M$2="Prices in $/MWh",1,1/1000)</f>
        <v>80.84</v>
      </c>
      <c r="K136" s="84">
        <f>(Matrix_prices!K124+$D$2)*IF($M$2="Prices in $/MWh",1,1/1000)</f>
        <v>81.78</v>
      </c>
      <c r="L136" s="83">
        <f>(Matrix_prices!L124+$D$2)*IF($M$2="Prices in $/MWh",1,1/1000)</f>
        <v>35.090000000000003</v>
      </c>
      <c r="M136" s="84">
        <f>(Matrix_prices!M124+$D$2)*IF($M$2="Prices in $/MWh",1,1/1000)</f>
        <v>34.409999999999997</v>
      </c>
      <c r="N136" s="83">
        <f>(Matrix_prices!N124+$D$2)*IF($M$2="Prices in $/MWh",1,1/1000)</f>
        <v>35.07</v>
      </c>
    </row>
    <row r="137" spans="3:14" x14ac:dyDescent="0.25">
      <c r="C137" s="74">
        <f>Matrix_prices!C125</f>
        <v>42552</v>
      </c>
      <c r="D137" s="75" t="str">
        <f>Matrix_prices!D125</f>
        <v>MD</v>
      </c>
      <c r="E137" s="76" t="str">
        <f>Matrix_prices!E125</f>
        <v>BGE</v>
      </c>
      <c r="F137" s="75" t="str">
        <f>Matrix_prices!F125</f>
        <v>GL</v>
      </c>
      <c r="G137" s="76" t="str">
        <f>Matrix_prices!G125</f>
        <v>General Service Large</v>
      </c>
      <c r="H137" s="157" t="str">
        <f t="shared" ref="H137:H200" si="6">IF($M$2="Prices in $/MWh","0-100 MWh","0-100,000 kWh")</f>
        <v>0-100 MWh</v>
      </c>
      <c r="I137" s="76">
        <f>(Matrix_prices!I125+$D$2)*IF($M$2="Prices in $/MWh",1,1/1000)</f>
        <v>85.05</v>
      </c>
      <c r="J137" s="75">
        <f>(Matrix_prices!J125+$D$2)*IF($M$2="Prices in $/MWh",1,1/1000)</f>
        <v>83.38</v>
      </c>
      <c r="K137" s="76">
        <f>(Matrix_prices!K125+$D$2)*IF($M$2="Prices in $/MWh",1,1/1000)</f>
        <v>84.34</v>
      </c>
      <c r="L137" s="75">
        <f>(Matrix_prices!L125+$D$2)*IF($M$2="Prices in $/MWh",1,1/1000)</f>
        <v>37.729999999999997</v>
      </c>
      <c r="M137" s="76">
        <f>(Matrix_prices!M125+$D$2)*IF($M$2="Prices in $/MWh",1,1/1000)</f>
        <v>37.15</v>
      </c>
      <c r="N137" s="75">
        <f>(Matrix_prices!N125+$D$2)*IF($M$2="Prices in $/MWh",1,1/1000)</f>
        <v>37.79</v>
      </c>
    </row>
    <row r="138" spans="3:14" x14ac:dyDescent="0.25">
      <c r="C138" s="78">
        <f>Matrix_prices!C126</f>
        <v>42552</v>
      </c>
      <c r="D138" s="79" t="str">
        <f>Matrix_prices!D126</f>
        <v>MD</v>
      </c>
      <c r="E138" s="80" t="str">
        <f>Matrix_prices!E126</f>
        <v>BGE</v>
      </c>
      <c r="F138" s="79" t="str">
        <f>Matrix_prices!F126</f>
        <v>GL</v>
      </c>
      <c r="G138" s="80" t="str">
        <f>Matrix_prices!G126</f>
        <v>General Service Large</v>
      </c>
      <c r="H138" s="81" t="str">
        <f t="shared" ref="H138:H201" si="7">IF($M$2="Prices in $/MWh","100-500 MWh","100,000-500,000 kWh")</f>
        <v>100-500 MWh</v>
      </c>
      <c r="I138" s="80">
        <f>(Matrix_prices!I126+$D$2)*IF($M$2="Prices in $/MWh",1,1/1000)</f>
        <v>83.45</v>
      </c>
      <c r="J138" s="79">
        <f>(Matrix_prices!J126+$D$2)*IF($M$2="Prices in $/MWh",1,1/1000)</f>
        <v>81.78</v>
      </c>
      <c r="K138" s="80">
        <f>(Matrix_prices!K126+$D$2)*IF($M$2="Prices in $/MWh",1,1/1000)</f>
        <v>82.74</v>
      </c>
      <c r="L138" s="79">
        <f>(Matrix_prices!L126+$D$2)*IF($M$2="Prices in $/MWh",1,1/1000)</f>
        <v>36.130000000000003</v>
      </c>
      <c r="M138" s="80">
        <f>(Matrix_prices!M126+$D$2)*IF($M$2="Prices in $/MWh",1,1/1000)</f>
        <v>35.549999999999997</v>
      </c>
      <c r="N138" s="79">
        <f>(Matrix_prices!N126+$D$2)*IF($M$2="Prices in $/MWh",1,1/1000)</f>
        <v>36.19</v>
      </c>
    </row>
    <row r="139" spans="3:14" x14ac:dyDescent="0.25">
      <c r="C139" s="82">
        <f>Matrix_prices!C127</f>
        <v>42552</v>
      </c>
      <c r="D139" s="83" t="str">
        <f>Matrix_prices!D127</f>
        <v>MD</v>
      </c>
      <c r="E139" s="84" t="str">
        <f>Matrix_prices!E127</f>
        <v>BGE</v>
      </c>
      <c r="F139" s="83" t="str">
        <f>Matrix_prices!F127</f>
        <v>GL</v>
      </c>
      <c r="G139" s="84" t="str">
        <f>Matrix_prices!G127</f>
        <v>General Service Large</v>
      </c>
      <c r="H139" s="85" t="str">
        <f t="shared" ref="H139:H202" si="8">IF($M$2="Prices in $/MWh","500-2500 MWh","500,000-2,500,000 kWh")</f>
        <v>500-2500 MWh</v>
      </c>
      <c r="I139" s="84">
        <f>(Matrix_prices!I127+$D$2)*IF($M$2="Prices in $/MWh",1,1/1000)</f>
        <v>82.4</v>
      </c>
      <c r="J139" s="83">
        <f>(Matrix_prices!J127+$D$2)*IF($M$2="Prices in $/MWh",1,1/1000)</f>
        <v>80.73</v>
      </c>
      <c r="K139" s="84">
        <f>(Matrix_prices!K127+$D$2)*IF($M$2="Prices in $/MWh",1,1/1000)</f>
        <v>81.69</v>
      </c>
      <c r="L139" s="83">
        <f>(Matrix_prices!L127+$D$2)*IF($M$2="Prices in $/MWh",1,1/1000)</f>
        <v>35.08</v>
      </c>
      <c r="M139" s="84">
        <f>(Matrix_prices!M127+$D$2)*IF($M$2="Prices in $/MWh",1,1/1000)</f>
        <v>34.5</v>
      </c>
      <c r="N139" s="83">
        <f>(Matrix_prices!N127+$D$2)*IF($M$2="Prices in $/MWh",1,1/1000)</f>
        <v>35.14</v>
      </c>
    </row>
    <row r="140" spans="3:14" x14ac:dyDescent="0.25">
      <c r="C140" s="151">
        <f>Matrix_prices!C128</f>
        <v>42583</v>
      </c>
      <c r="D140" s="152" t="str">
        <f>Matrix_prices!D128</f>
        <v>MD</v>
      </c>
      <c r="E140" s="153" t="str">
        <f>Matrix_prices!E128</f>
        <v>BGE</v>
      </c>
      <c r="F140" s="152" t="str">
        <f>Matrix_prices!F128</f>
        <v>GL</v>
      </c>
      <c r="G140" s="153" t="str">
        <f>Matrix_prices!G128</f>
        <v>General Service Large</v>
      </c>
      <c r="H140" s="157" t="str">
        <f t="shared" si="6"/>
        <v>0-100 MWh</v>
      </c>
      <c r="I140" s="153">
        <f>(Matrix_prices!I128+$D$2)*IF($M$2="Prices in $/MWh",1,1/1000)</f>
        <v>85.05</v>
      </c>
      <c r="J140" s="152">
        <f>(Matrix_prices!J128+$D$2)*IF($M$2="Prices in $/MWh",1,1/1000)</f>
        <v>83.99</v>
      </c>
      <c r="K140" s="153">
        <f>(Matrix_prices!K128+$D$2)*IF($M$2="Prices in $/MWh",1,1/1000)</f>
        <v>84.4</v>
      </c>
      <c r="L140" s="152">
        <f>(Matrix_prices!L128+$D$2)*IF($M$2="Prices in $/MWh",1,1/1000)</f>
        <v>37.75</v>
      </c>
      <c r="M140" s="153">
        <f>(Matrix_prices!M128+$D$2)*IF($M$2="Prices in $/MWh",1,1/1000)</f>
        <v>37.47</v>
      </c>
      <c r="N140" s="152">
        <f>(Matrix_prices!N128+$D$2)*IF($M$2="Prices in $/MWh",1,1/1000)</f>
        <v>37.85</v>
      </c>
    </row>
    <row r="141" spans="3:14" x14ac:dyDescent="0.25">
      <c r="C141" s="78">
        <f>Matrix_prices!C129</f>
        <v>42583</v>
      </c>
      <c r="D141" s="79" t="str">
        <f>Matrix_prices!D129</f>
        <v>MD</v>
      </c>
      <c r="E141" s="80" t="str">
        <f>Matrix_prices!E129</f>
        <v>BGE</v>
      </c>
      <c r="F141" s="79" t="str">
        <f>Matrix_prices!F129</f>
        <v>GL</v>
      </c>
      <c r="G141" s="80" t="str">
        <f>Matrix_prices!G129</f>
        <v>General Service Large</v>
      </c>
      <c r="H141" s="81" t="str">
        <f t="shared" si="7"/>
        <v>100-500 MWh</v>
      </c>
      <c r="I141" s="80">
        <f>(Matrix_prices!I129+$D$2)*IF($M$2="Prices in $/MWh",1,1/1000)</f>
        <v>83.45</v>
      </c>
      <c r="J141" s="79">
        <f>(Matrix_prices!J129+$D$2)*IF($M$2="Prices in $/MWh",1,1/1000)</f>
        <v>82.39</v>
      </c>
      <c r="K141" s="80">
        <f>(Matrix_prices!K129+$D$2)*IF($M$2="Prices in $/MWh",1,1/1000)</f>
        <v>82.8</v>
      </c>
      <c r="L141" s="79">
        <f>(Matrix_prices!L129+$D$2)*IF($M$2="Prices in $/MWh",1,1/1000)</f>
        <v>36.15</v>
      </c>
      <c r="M141" s="80">
        <f>(Matrix_prices!M129+$D$2)*IF($M$2="Prices in $/MWh",1,1/1000)</f>
        <v>35.869999999999997</v>
      </c>
      <c r="N141" s="79">
        <f>(Matrix_prices!N129+$D$2)*IF($M$2="Prices in $/MWh",1,1/1000)</f>
        <v>36.25</v>
      </c>
    </row>
    <row r="142" spans="3:14" x14ac:dyDescent="0.25">
      <c r="C142" s="82">
        <f>Matrix_prices!C130</f>
        <v>42583</v>
      </c>
      <c r="D142" s="83" t="str">
        <f>Matrix_prices!D130</f>
        <v>MD</v>
      </c>
      <c r="E142" s="84" t="str">
        <f>Matrix_prices!E130</f>
        <v>BGE</v>
      </c>
      <c r="F142" s="83" t="str">
        <f>Matrix_prices!F130</f>
        <v>GL</v>
      </c>
      <c r="G142" s="84" t="str">
        <f>Matrix_prices!G130</f>
        <v>General Service Large</v>
      </c>
      <c r="H142" s="85" t="str">
        <f t="shared" si="8"/>
        <v>500-2500 MWh</v>
      </c>
      <c r="I142" s="84">
        <f>(Matrix_prices!I130+$D$2)*IF($M$2="Prices in $/MWh",1,1/1000)</f>
        <v>82.4</v>
      </c>
      <c r="J142" s="83">
        <f>(Matrix_prices!J130+$D$2)*IF($M$2="Prices in $/MWh",1,1/1000)</f>
        <v>81.34</v>
      </c>
      <c r="K142" s="84">
        <f>(Matrix_prices!K130+$D$2)*IF($M$2="Prices in $/MWh",1,1/1000)</f>
        <v>81.75</v>
      </c>
      <c r="L142" s="83">
        <f>(Matrix_prices!L130+$D$2)*IF($M$2="Prices in $/MWh",1,1/1000)</f>
        <v>35.1</v>
      </c>
      <c r="M142" s="84">
        <f>(Matrix_prices!M130+$D$2)*IF($M$2="Prices in $/MWh",1,1/1000)</f>
        <v>34.82</v>
      </c>
      <c r="N142" s="83">
        <f>(Matrix_prices!N130+$D$2)*IF($M$2="Prices in $/MWh",1,1/1000)</f>
        <v>35.200000000000003</v>
      </c>
    </row>
    <row r="143" spans="3:14" x14ac:dyDescent="0.25">
      <c r="C143" s="74">
        <f>Matrix_prices!C131</f>
        <v>42614</v>
      </c>
      <c r="D143" s="75" t="str">
        <f>Matrix_prices!D131</f>
        <v>MD</v>
      </c>
      <c r="E143" s="76" t="str">
        <f>Matrix_prices!E131</f>
        <v>BGE</v>
      </c>
      <c r="F143" s="75" t="str">
        <f>Matrix_prices!F131</f>
        <v>GL</v>
      </c>
      <c r="G143" s="76" t="str">
        <f>Matrix_prices!G131</f>
        <v>General Service Large</v>
      </c>
      <c r="H143" s="157" t="str">
        <f t="shared" si="6"/>
        <v>0-100 MWh</v>
      </c>
      <c r="I143" s="76">
        <f>(Matrix_prices!I131+$D$2)*IF($M$2="Prices in $/MWh",1,1/1000)</f>
        <v>85.02</v>
      </c>
      <c r="J143" s="75">
        <f>(Matrix_prices!J131+$D$2)*IF($M$2="Prices in $/MWh",1,1/1000)</f>
        <v>84.62</v>
      </c>
      <c r="K143" s="76">
        <f>(Matrix_prices!K131+$D$2)*IF($M$2="Prices in $/MWh",1,1/1000)</f>
        <v>84.43</v>
      </c>
      <c r="L143" s="75">
        <f>(Matrix_prices!L131+$D$2)*IF($M$2="Prices in $/MWh",1,1/1000)</f>
        <v>37.75</v>
      </c>
      <c r="M143" s="76">
        <f>(Matrix_prices!M131+$D$2)*IF($M$2="Prices in $/MWh",1,1/1000)</f>
        <v>37.840000000000003</v>
      </c>
      <c r="N143" s="75">
        <f>(Matrix_prices!N131+$D$2)*IF($M$2="Prices in $/MWh",1,1/1000)</f>
        <v>37.92</v>
      </c>
    </row>
    <row r="144" spans="3:14" x14ac:dyDescent="0.25">
      <c r="C144" s="78">
        <f>Matrix_prices!C132</f>
        <v>42614</v>
      </c>
      <c r="D144" s="79" t="str">
        <f>Matrix_prices!D132</f>
        <v>MD</v>
      </c>
      <c r="E144" s="80" t="str">
        <f>Matrix_prices!E132</f>
        <v>BGE</v>
      </c>
      <c r="F144" s="79" t="str">
        <f>Matrix_prices!F132</f>
        <v>GL</v>
      </c>
      <c r="G144" s="80" t="str">
        <f>Matrix_prices!G132</f>
        <v>General Service Large</v>
      </c>
      <c r="H144" s="81" t="str">
        <f t="shared" si="7"/>
        <v>100-500 MWh</v>
      </c>
      <c r="I144" s="80">
        <f>(Matrix_prices!I132+$D$2)*IF($M$2="Prices in $/MWh",1,1/1000)</f>
        <v>83.42</v>
      </c>
      <c r="J144" s="79">
        <f>(Matrix_prices!J132+$D$2)*IF($M$2="Prices in $/MWh",1,1/1000)</f>
        <v>83.02</v>
      </c>
      <c r="K144" s="80">
        <f>(Matrix_prices!K132+$D$2)*IF($M$2="Prices in $/MWh",1,1/1000)</f>
        <v>82.83</v>
      </c>
      <c r="L144" s="79">
        <f>(Matrix_prices!L132+$D$2)*IF($M$2="Prices in $/MWh",1,1/1000)</f>
        <v>36.15</v>
      </c>
      <c r="M144" s="80">
        <f>(Matrix_prices!M132+$D$2)*IF($M$2="Prices in $/MWh",1,1/1000)</f>
        <v>36.24</v>
      </c>
      <c r="N144" s="79">
        <f>(Matrix_prices!N132+$D$2)*IF($M$2="Prices in $/MWh",1,1/1000)</f>
        <v>36.32</v>
      </c>
    </row>
    <row r="145" spans="3:14" x14ac:dyDescent="0.25">
      <c r="C145" s="82">
        <f>Matrix_prices!C133</f>
        <v>42614</v>
      </c>
      <c r="D145" s="83" t="str">
        <f>Matrix_prices!D133</f>
        <v>MD</v>
      </c>
      <c r="E145" s="84" t="str">
        <f>Matrix_prices!E133</f>
        <v>BGE</v>
      </c>
      <c r="F145" s="83" t="str">
        <f>Matrix_prices!F133</f>
        <v>GL</v>
      </c>
      <c r="G145" s="84" t="str">
        <f>Matrix_prices!G133</f>
        <v>General Service Large</v>
      </c>
      <c r="H145" s="85" t="str">
        <f t="shared" si="8"/>
        <v>500-2500 MWh</v>
      </c>
      <c r="I145" s="84">
        <f>(Matrix_prices!I133+$D$2)*IF($M$2="Prices in $/MWh",1,1/1000)</f>
        <v>82.37</v>
      </c>
      <c r="J145" s="83">
        <f>(Matrix_prices!J133+$D$2)*IF($M$2="Prices in $/MWh",1,1/1000)</f>
        <v>81.97</v>
      </c>
      <c r="K145" s="84">
        <f>(Matrix_prices!K133+$D$2)*IF($M$2="Prices in $/MWh",1,1/1000)</f>
        <v>81.78</v>
      </c>
      <c r="L145" s="83">
        <f>(Matrix_prices!L133+$D$2)*IF($M$2="Prices in $/MWh",1,1/1000)</f>
        <v>35.1</v>
      </c>
      <c r="M145" s="84">
        <f>(Matrix_prices!M133+$D$2)*IF($M$2="Prices in $/MWh",1,1/1000)</f>
        <v>35.19</v>
      </c>
      <c r="N145" s="83">
        <f>(Matrix_prices!N133+$D$2)*IF($M$2="Prices in $/MWh",1,1/1000)</f>
        <v>35.270000000000003</v>
      </c>
    </row>
    <row r="146" spans="3:14" x14ac:dyDescent="0.25">
      <c r="C146" s="151">
        <f>Matrix_prices!C134</f>
        <v>42644</v>
      </c>
      <c r="D146" s="152" t="str">
        <f>Matrix_prices!D134</f>
        <v>MD</v>
      </c>
      <c r="E146" s="153" t="str">
        <f>Matrix_prices!E134</f>
        <v>BGE</v>
      </c>
      <c r="F146" s="152" t="str">
        <f>Matrix_prices!F134</f>
        <v>GL</v>
      </c>
      <c r="G146" s="153" t="str">
        <f>Matrix_prices!G134</f>
        <v>General Service Large</v>
      </c>
      <c r="H146" s="157" t="str">
        <f t="shared" si="6"/>
        <v>0-100 MWh</v>
      </c>
      <c r="I146" s="153">
        <f>(Matrix_prices!I134+$D$2)*IF($M$2="Prices in $/MWh",1,1/1000)</f>
        <v>84.89</v>
      </c>
      <c r="J146" s="152">
        <f>(Matrix_prices!J134+$D$2)*IF($M$2="Prices in $/MWh",1,1/1000)</f>
        <v>85.14</v>
      </c>
      <c r="K146" s="153">
        <f>(Matrix_prices!K134+$D$2)*IF($M$2="Prices in $/MWh",1,1/1000)</f>
        <v>84.36</v>
      </c>
      <c r="L146" s="152">
        <f>(Matrix_prices!L134+$D$2)*IF($M$2="Prices in $/MWh",1,1/1000)</f>
        <v>37.75</v>
      </c>
      <c r="M146" s="153">
        <f>(Matrix_prices!M134+$D$2)*IF($M$2="Prices in $/MWh",1,1/1000)</f>
        <v>38.18</v>
      </c>
      <c r="N146" s="152">
        <f>(Matrix_prices!N134+$D$2)*IF($M$2="Prices in $/MWh",1,1/1000)</f>
        <v>38.01</v>
      </c>
    </row>
    <row r="147" spans="3:14" x14ac:dyDescent="0.25">
      <c r="C147" s="78">
        <f>Matrix_prices!C135</f>
        <v>42644</v>
      </c>
      <c r="D147" s="79" t="str">
        <f>Matrix_prices!D135</f>
        <v>MD</v>
      </c>
      <c r="E147" s="80" t="str">
        <f>Matrix_prices!E135</f>
        <v>BGE</v>
      </c>
      <c r="F147" s="79" t="str">
        <f>Matrix_prices!F135</f>
        <v>GL</v>
      </c>
      <c r="G147" s="80" t="str">
        <f>Matrix_prices!G135</f>
        <v>General Service Large</v>
      </c>
      <c r="H147" s="81" t="str">
        <f t="shared" si="7"/>
        <v>100-500 MWh</v>
      </c>
      <c r="I147" s="80">
        <f>(Matrix_prices!I135+$D$2)*IF($M$2="Prices in $/MWh",1,1/1000)</f>
        <v>83.29</v>
      </c>
      <c r="J147" s="79">
        <f>(Matrix_prices!J135+$D$2)*IF($M$2="Prices in $/MWh",1,1/1000)</f>
        <v>83.54</v>
      </c>
      <c r="K147" s="80">
        <f>(Matrix_prices!K135+$D$2)*IF($M$2="Prices in $/MWh",1,1/1000)</f>
        <v>82.76</v>
      </c>
      <c r="L147" s="79">
        <f>(Matrix_prices!L135+$D$2)*IF($M$2="Prices in $/MWh",1,1/1000)</f>
        <v>36.15</v>
      </c>
      <c r="M147" s="80">
        <f>(Matrix_prices!M135+$D$2)*IF($M$2="Prices in $/MWh",1,1/1000)</f>
        <v>36.58</v>
      </c>
      <c r="N147" s="79">
        <f>(Matrix_prices!N135+$D$2)*IF($M$2="Prices in $/MWh",1,1/1000)</f>
        <v>36.409999999999997</v>
      </c>
    </row>
    <row r="148" spans="3:14" x14ac:dyDescent="0.25">
      <c r="C148" s="82">
        <f>Matrix_prices!C136</f>
        <v>42644</v>
      </c>
      <c r="D148" s="83" t="str">
        <f>Matrix_prices!D136</f>
        <v>MD</v>
      </c>
      <c r="E148" s="84" t="str">
        <f>Matrix_prices!E136</f>
        <v>BGE</v>
      </c>
      <c r="F148" s="83" t="str">
        <f>Matrix_prices!F136</f>
        <v>GL</v>
      </c>
      <c r="G148" s="84" t="str">
        <f>Matrix_prices!G136</f>
        <v>General Service Large</v>
      </c>
      <c r="H148" s="85" t="str">
        <f t="shared" si="8"/>
        <v>500-2500 MWh</v>
      </c>
      <c r="I148" s="84">
        <f>(Matrix_prices!I136+$D$2)*IF($M$2="Prices in $/MWh",1,1/1000)</f>
        <v>82.24</v>
      </c>
      <c r="J148" s="83">
        <f>(Matrix_prices!J136+$D$2)*IF($M$2="Prices in $/MWh",1,1/1000)</f>
        <v>82.49</v>
      </c>
      <c r="K148" s="84">
        <f>(Matrix_prices!K136+$D$2)*IF($M$2="Prices in $/MWh",1,1/1000)</f>
        <v>81.709999999999994</v>
      </c>
      <c r="L148" s="83">
        <f>(Matrix_prices!L136+$D$2)*IF($M$2="Prices in $/MWh",1,1/1000)</f>
        <v>35.1</v>
      </c>
      <c r="M148" s="84">
        <f>(Matrix_prices!M136+$D$2)*IF($M$2="Prices in $/MWh",1,1/1000)</f>
        <v>35.53</v>
      </c>
      <c r="N148" s="83">
        <f>(Matrix_prices!N136+$D$2)*IF($M$2="Prices in $/MWh",1,1/1000)</f>
        <v>35.36</v>
      </c>
    </row>
    <row r="149" spans="3:14" x14ac:dyDescent="0.25">
      <c r="C149" s="74">
        <f>Matrix_prices!C137</f>
        <v>42675</v>
      </c>
      <c r="D149" s="75" t="str">
        <f>Matrix_prices!D137</f>
        <v>MD</v>
      </c>
      <c r="E149" s="76" t="str">
        <f>Matrix_prices!E137</f>
        <v>BGE</v>
      </c>
      <c r="F149" s="75" t="str">
        <f>Matrix_prices!F137</f>
        <v>GL</v>
      </c>
      <c r="G149" s="76" t="str">
        <f>Matrix_prices!G137</f>
        <v>General Service Large</v>
      </c>
      <c r="H149" s="157" t="str">
        <f t="shared" si="6"/>
        <v>0-100 MWh</v>
      </c>
      <c r="I149" s="76">
        <f>(Matrix_prices!I137+$D$2)*IF($M$2="Prices in $/MWh",1,1/1000)</f>
        <v>84.7</v>
      </c>
      <c r="J149" s="75">
        <f>(Matrix_prices!J137+$D$2)*IF($M$2="Prices in $/MWh",1,1/1000)</f>
        <v>85.41</v>
      </c>
      <c r="K149" s="76">
        <f>(Matrix_prices!K137+$D$2)*IF($M$2="Prices in $/MWh",1,1/1000)</f>
        <v>84.31</v>
      </c>
      <c r="L149" s="75">
        <f>(Matrix_prices!L137+$D$2)*IF($M$2="Prices in $/MWh",1,1/1000)</f>
        <v>37.72</v>
      </c>
      <c r="M149" s="76">
        <f>(Matrix_prices!M137+$D$2)*IF($M$2="Prices in $/MWh",1,1/1000)</f>
        <v>38.36</v>
      </c>
      <c r="N149" s="75">
        <f>(Matrix_prices!N137+$D$2)*IF($M$2="Prices in $/MWh",1,1/1000)</f>
        <v>38.06</v>
      </c>
    </row>
    <row r="150" spans="3:14" x14ac:dyDescent="0.25">
      <c r="C150" s="78">
        <f>Matrix_prices!C138</f>
        <v>42675</v>
      </c>
      <c r="D150" s="79" t="str">
        <f>Matrix_prices!D138</f>
        <v>MD</v>
      </c>
      <c r="E150" s="80" t="str">
        <f>Matrix_prices!E138</f>
        <v>BGE</v>
      </c>
      <c r="F150" s="79" t="str">
        <f>Matrix_prices!F138</f>
        <v>GL</v>
      </c>
      <c r="G150" s="80" t="str">
        <f>Matrix_prices!G138</f>
        <v>General Service Large</v>
      </c>
      <c r="H150" s="81" t="str">
        <f t="shared" si="7"/>
        <v>100-500 MWh</v>
      </c>
      <c r="I150" s="80">
        <f>(Matrix_prices!I138+$D$2)*IF($M$2="Prices in $/MWh",1,1/1000)</f>
        <v>83.1</v>
      </c>
      <c r="J150" s="79">
        <f>(Matrix_prices!J138+$D$2)*IF($M$2="Prices in $/MWh",1,1/1000)</f>
        <v>83.81</v>
      </c>
      <c r="K150" s="80">
        <f>(Matrix_prices!K138+$D$2)*IF($M$2="Prices in $/MWh",1,1/1000)</f>
        <v>82.71</v>
      </c>
      <c r="L150" s="79">
        <f>(Matrix_prices!L138+$D$2)*IF($M$2="Prices in $/MWh",1,1/1000)</f>
        <v>36.119999999999997</v>
      </c>
      <c r="M150" s="80">
        <f>(Matrix_prices!M138+$D$2)*IF($M$2="Prices in $/MWh",1,1/1000)</f>
        <v>36.76</v>
      </c>
      <c r="N150" s="79">
        <f>(Matrix_prices!N138+$D$2)*IF($M$2="Prices in $/MWh",1,1/1000)</f>
        <v>36.46</v>
      </c>
    </row>
    <row r="151" spans="3:14" x14ac:dyDescent="0.25">
      <c r="C151" s="82">
        <f>Matrix_prices!C139</f>
        <v>42675</v>
      </c>
      <c r="D151" s="83" t="str">
        <f>Matrix_prices!D139</f>
        <v>MD</v>
      </c>
      <c r="E151" s="84" t="str">
        <f>Matrix_prices!E139</f>
        <v>BGE</v>
      </c>
      <c r="F151" s="83" t="str">
        <f>Matrix_prices!F139</f>
        <v>GL</v>
      </c>
      <c r="G151" s="84" t="str">
        <f>Matrix_prices!G139</f>
        <v>General Service Large</v>
      </c>
      <c r="H151" s="85" t="str">
        <f t="shared" si="8"/>
        <v>500-2500 MWh</v>
      </c>
      <c r="I151" s="84">
        <f>(Matrix_prices!I139+$D$2)*IF($M$2="Prices in $/MWh",1,1/1000)</f>
        <v>82.05</v>
      </c>
      <c r="J151" s="83">
        <f>(Matrix_prices!J139+$D$2)*IF($M$2="Prices in $/MWh",1,1/1000)</f>
        <v>82.76</v>
      </c>
      <c r="K151" s="84">
        <f>(Matrix_prices!K139+$D$2)*IF($M$2="Prices in $/MWh",1,1/1000)</f>
        <v>81.66</v>
      </c>
      <c r="L151" s="83">
        <f>(Matrix_prices!L139+$D$2)*IF($M$2="Prices in $/MWh",1,1/1000)</f>
        <v>35.07</v>
      </c>
      <c r="M151" s="84">
        <f>(Matrix_prices!M139+$D$2)*IF($M$2="Prices in $/MWh",1,1/1000)</f>
        <v>35.71</v>
      </c>
      <c r="N151" s="83">
        <f>(Matrix_prices!N139+$D$2)*IF($M$2="Prices in $/MWh",1,1/1000)</f>
        <v>35.409999999999997</v>
      </c>
    </row>
    <row r="152" spans="3:14" x14ac:dyDescent="0.25">
      <c r="C152" s="151">
        <f>Matrix_prices!C140</f>
        <v>42705</v>
      </c>
      <c r="D152" s="152" t="str">
        <f>Matrix_prices!D140</f>
        <v>MD</v>
      </c>
      <c r="E152" s="153" t="str">
        <f>Matrix_prices!E140</f>
        <v>BGE</v>
      </c>
      <c r="F152" s="152" t="str">
        <f>Matrix_prices!F140</f>
        <v>GL</v>
      </c>
      <c r="G152" s="153" t="str">
        <f>Matrix_prices!G140</f>
        <v>General Service Large</v>
      </c>
      <c r="H152" s="157" t="str">
        <f t="shared" si="6"/>
        <v>0-100 MWh</v>
      </c>
      <c r="I152" s="153">
        <f>(Matrix_prices!I140+$D$2)*IF($M$2="Prices in $/MWh",1,1/1000)</f>
        <v>84.4</v>
      </c>
      <c r="J152" s="152">
        <f>(Matrix_prices!J140+$D$2)*IF($M$2="Prices in $/MWh",1,1/1000)</f>
        <v>85.39</v>
      </c>
      <c r="K152" s="153">
        <f>(Matrix_prices!K140+$D$2)*IF($M$2="Prices in $/MWh",1,1/1000)</f>
        <v>84.21</v>
      </c>
      <c r="L152" s="152">
        <f>(Matrix_prices!L140+$D$2)*IF($M$2="Prices in $/MWh",1,1/1000)</f>
        <v>37.64</v>
      </c>
      <c r="M152" s="153">
        <f>(Matrix_prices!M140+$D$2)*IF($M$2="Prices in $/MWh",1,1/1000)</f>
        <v>38.36</v>
      </c>
      <c r="N152" s="152">
        <f>(Matrix_prices!N140+$D$2)*IF($M$2="Prices in $/MWh",1,1/1000)</f>
        <v>38.08</v>
      </c>
    </row>
    <row r="153" spans="3:14" x14ac:dyDescent="0.25">
      <c r="C153" s="78">
        <f>Matrix_prices!C141</f>
        <v>42705</v>
      </c>
      <c r="D153" s="79" t="str">
        <f>Matrix_prices!D141</f>
        <v>MD</v>
      </c>
      <c r="E153" s="80" t="str">
        <f>Matrix_prices!E141</f>
        <v>BGE</v>
      </c>
      <c r="F153" s="79" t="str">
        <f>Matrix_prices!F141</f>
        <v>GL</v>
      </c>
      <c r="G153" s="80" t="str">
        <f>Matrix_prices!G141</f>
        <v>General Service Large</v>
      </c>
      <c r="H153" s="81" t="str">
        <f t="shared" si="7"/>
        <v>100-500 MWh</v>
      </c>
      <c r="I153" s="80">
        <f>(Matrix_prices!I141+$D$2)*IF($M$2="Prices in $/MWh",1,1/1000)</f>
        <v>82.8</v>
      </c>
      <c r="J153" s="79">
        <f>(Matrix_prices!J141+$D$2)*IF($M$2="Prices in $/MWh",1,1/1000)</f>
        <v>83.79</v>
      </c>
      <c r="K153" s="80">
        <f>(Matrix_prices!K141+$D$2)*IF($M$2="Prices in $/MWh",1,1/1000)</f>
        <v>82.61</v>
      </c>
      <c r="L153" s="79">
        <f>(Matrix_prices!L141+$D$2)*IF($M$2="Prices in $/MWh",1,1/1000)</f>
        <v>36.04</v>
      </c>
      <c r="M153" s="80">
        <f>(Matrix_prices!M141+$D$2)*IF($M$2="Prices in $/MWh",1,1/1000)</f>
        <v>36.76</v>
      </c>
      <c r="N153" s="79">
        <f>(Matrix_prices!N141+$D$2)*IF($M$2="Prices in $/MWh",1,1/1000)</f>
        <v>36.479999999999997</v>
      </c>
    </row>
    <row r="154" spans="3:14" x14ac:dyDescent="0.25">
      <c r="C154" s="82">
        <f>Matrix_prices!C142</f>
        <v>42705</v>
      </c>
      <c r="D154" s="83" t="str">
        <f>Matrix_prices!D142</f>
        <v>MD</v>
      </c>
      <c r="E154" s="84" t="str">
        <f>Matrix_prices!E142</f>
        <v>BGE</v>
      </c>
      <c r="F154" s="83" t="str">
        <f>Matrix_prices!F142</f>
        <v>GL</v>
      </c>
      <c r="G154" s="84" t="str">
        <f>Matrix_prices!G142</f>
        <v>General Service Large</v>
      </c>
      <c r="H154" s="85" t="str">
        <f t="shared" si="8"/>
        <v>500-2500 MWh</v>
      </c>
      <c r="I154" s="84">
        <f>(Matrix_prices!I142+$D$2)*IF($M$2="Prices in $/MWh",1,1/1000)</f>
        <v>81.75</v>
      </c>
      <c r="J154" s="83">
        <f>(Matrix_prices!J142+$D$2)*IF($M$2="Prices in $/MWh",1,1/1000)</f>
        <v>82.74</v>
      </c>
      <c r="K154" s="84">
        <f>(Matrix_prices!K142+$D$2)*IF($M$2="Prices in $/MWh",1,1/1000)</f>
        <v>81.56</v>
      </c>
      <c r="L154" s="83">
        <f>(Matrix_prices!L142+$D$2)*IF($M$2="Prices in $/MWh",1,1/1000)</f>
        <v>34.99</v>
      </c>
      <c r="M154" s="84">
        <f>(Matrix_prices!M142+$D$2)*IF($M$2="Prices in $/MWh",1,1/1000)</f>
        <v>35.71</v>
      </c>
      <c r="N154" s="83">
        <f>(Matrix_prices!N142+$D$2)*IF($M$2="Prices in $/MWh",1,1/1000)</f>
        <v>35.43</v>
      </c>
    </row>
    <row r="155" spans="3:14" x14ac:dyDescent="0.25">
      <c r="C155" s="74">
        <f>Matrix_prices!C143</f>
        <v>42736</v>
      </c>
      <c r="D155" s="75" t="str">
        <f>Matrix_prices!D143</f>
        <v>MD</v>
      </c>
      <c r="E155" s="76" t="str">
        <f>Matrix_prices!E143</f>
        <v>BGE</v>
      </c>
      <c r="F155" s="75" t="str">
        <f>Matrix_prices!F143</f>
        <v>GL</v>
      </c>
      <c r="G155" s="76" t="str">
        <f>Matrix_prices!G143</f>
        <v>General Service Large</v>
      </c>
      <c r="H155" s="157" t="str">
        <f t="shared" si="6"/>
        <v>0-100 MWh</v>
      </c>
      <c r="I155" s="76">
        <f>(Matrix_prices!I143+$D$2)*IF($M$2="Prices in $/MWh",1,1/1000)</f>
        <v>84.22</v>
      </c>
      <c r="J155" s="75">
        <f>(Matrix_prices!J143+$D$2)*IF($M$2="Prices in $/MWh",1,1/1000)</f>
        <v>85.25</v>
      </c>
      <c r="K155" s="76">
        <f>(Matrix_prices!K143+$D$2)*IF($M$2="Prices in $/MWh",1,1/1000)</f>
        <v>84.21</v>
      </c>
      <c r="L155" s="75">
        <f>(Matrix_prices!L143+$D$2)*IF($M$2="Prices in $/MWh",1,1/1000)</f>
        <v>37.61</v>
      </c>
      <c r="M155" s="76">
        <f>(Matrix_prices!M143+$D$2)*IF($M$2="Prices in $/MWh",1,1/1000)</f>
        <v>38.33</v>
      </c>
      <c r="N155" s="75">
        <f>(Matrix_prices!N143+$D$2)*IF($M$2="Prices in $/MWh",1,1/1000)</f>
        <v>38.14</v>
      </c>
    </row>
    <row r="156" spans="3:14" x14ac:dyDescent="0.25">
      <c r="C156" s="78">
        <f>Matrix_prices!C144</f>
        <v>42736</v>
      </c>
      <c r="D156" s="79" t="str">
        <f>Matrix_prices!D144</f>
        <v>MD</v>
      </c>
      <c r="E156" s="80" t="str">
        <f>Matrix_prices!E144</f>
        <v>BGE</v>
      </c>
      <c r="F156" s="79" t="str">
        <f>Matrix_prices!F144</f>
        <v>GL</v>
      </c>
      <c r="G156" s="80" t="str">
        <f>Matrix_prices!G144</f>
        <v>General Service Large</v>
      </c>
      <c r="H156" s="81" t="str">
        <f t="shared" si="7"/>
        <v>100-500 MWh</v>
      </c>
      <c r="I156" s="80">
        <f>(Matrix_prices!I144+$D$2)*IF($M$2="Prices in $/MWh",1,1/1000)</f>
        <v>82.62</v>
      </c>
      <c r="J156" s="79">
        <f>(Matrix_prices!J144+$D$2)*IF($M$2="Prices in $/MWh",1,1/1000)</f>
        <v>83.65</v>
      </c>
      <c r="K156" s="80">
        <f>(Matrix_prices!K144+$D$2)*IF($M$2="Prices in $/MWh",1,1/1000)</f>
        <v>82.61</v>
      </c>
      <c r="L156" s="79">
        <f>(Matrix_prices!L144+$D$2)*IF($M$2="Prices in $/MWh",1,1/1000)</f>
        <v>36.01</v>
      </c>
      <c r="M156" s="80">
        <f>(Matrix_prices!M144+$D$2)*IF($M$2="Prices in $/MWh",1,1/1000)</f>
        <v>36.729999999999997</v>
      </c>
      <c r="N156" s="79">
        <f>(Matrix_prices!N144+$D$2)*IF($M$2="Prices in $/MWh",1,1/1000)</f>
        <v>36.54</v>
      </c>
    </row>
    <row r="157" spans="3:14" x14ac:dyDescent="0.25">
      <c r="C157" s="82">
        <f>Matrix_prices!C145</f>
        <v>42736</v>
      </c>
      <c r="D157" s="83" t="str">
        <f>Matrix_prices!D145</f>
        <v>MD</v>
      </c>
      <c r="E157" s="84" t="str">
        <f>Matrix_prices!E145</f>
        <v>BGE</v>
      </c>
      <c r="F157" s="83" t="str">
        <f>Matrix_prices!F145</f>
        <v>GL</v>
      </c>
      <c r="G157" s="84" t="str">
        <f>Matrix_prices!G145</f>
        <v>General Service Large</v>
      </c>
      <c r="H157" s="85" t="str">
        <f t="shared" si="8"/>
        <v>500-2500 MWh</v>
      </c>
      <c r="I157" s="84">
        <f>(Matrix_prices!I145+$D$2)*IF($M$2="Prices in $/MWh",1,1/1000)</f>
        <v>81.569999999999993</v>
      </c>
      <c r="J157" s="83">
        <f>(Matrix_prices!J145+$D$2)*IF($M$2="Prices in $/MWh",1,1/1000)</f>
        <v>82.6</v>
      </c>
      <c r="K157" s="84">
        <f>(Matrix_prices!K145+$D$2)*IF($M$2="Prices in $/MWh",1,1/1000)</f>
        <v>81.56</v>
      </c>
      <c r="L157" s="83">
        <f>(Matrix_prices!L145+$D$2)*IF($M$2="Prices in $/MWh",1,1/1000)</f>
        <v>34.96</v>
      </c>
      <c r="M157" s="84">
        <f>(Matrix_prices!M145+$D$2)*IF($M$2="Prices in $/MWh",1,1/1000)</f>
        <v>35.68</v>
      </c>
      <c r="N157" s="83">
        <f>(Matrix_prices!N145+$D$2)*IF($M$2="Prices in $/MWh",1,1/1000)</f>
        <v>35.49</v>
      </c>
    </row>
    <row r="158" spans="3:14" x14ac:dyDescent="0.25">
      <c r="C158" s="151">
        <f>Matrix_prices!C146</f>
        <v>42401</v>
      </c>
      <c r="D158" s="152" t="str">
        <f>Matrix_prices!D146</f>
        <v>MD</v>
      </c>
      <c r="E158" s="153" t="str">
        <f>Matrix_prices!E146</f>
        <v>BGE</v>
      </c>
      <c r="F158" s="152" t="str">
        <f>Matrix_prices!F146</f>
        <v>GS</v>
      </c>
      <c r="G158" s="153" t="str">
        <f>Matrix_prices!G146</f>
        <v>General Service Small</v>
      </c>
      <c r="H158" s="157" t="str">
        <f t="shared" si="6"/>
        <v>0-100 MWh</v>
      </c>
      <c r="I158" s="153">
        <f>(Matrix_prices!I146+$D$2)*IF($M$2="Prices in $/MWh",1,1/1000)</f>
        <v>83.78</v>
      </c>
      <c r="J158" s="152">
        <f>(Matrix_prices!J146+$D$2)*IF($M$2="Prices in $/MWh",1,1/1000)</f>
        <v>84.51</v>
      </c>
      <c r="K158" s="153">
        <f>(Matrix_prices!K146+$D$2)*IF($M$2="Prices in $/MWh",1,1/1000)</f>
        <v>83.58</v>
      </c>
      <c r="L158" s="152">
        <f>(Matrix_prices!L146+$D$2)*IF($M$2="Prices in $/MWh",1,1/1000)</f>
        <v>38.729999999999997</v>
      </c>
      <c r="M158" s="153">
        <f>(Matrix_prices!M146+$D$2)*IF($M$2="Prices in $/MWh",1,1/1000)</f>
        <v>39</v>
      </c>
      <c r="N158" s="152">
        <f>(Matrix_prices!N146+$D$2)*IF($M$2="Prices in $/MWh",1,1/1000)</f>
        <v>38.64</v>
      </c>
    </row>
    <row r="159" spans="3:14" x14ac:dyDescent="0.25">
      <c r="C159" s="78">
        <f>Matrix_prices!C147</f>
        <v>42401</v>
      </c>
      <c r="D159" s="79" t="str">
        <f>Matrix_prices!D147</f>
        <v>MD</v>
      </c>
      <c r="E159" s="80" t="str">
        <f>Matrix_prices!E147</f>
        <v>BGE</v>
      </c>
      <c r="F159" s="79" t="str">
        <f>Matrix_prices!F147</f>
        <v>GS</v>
      </c>
      <c r="G159" s="80" t="str">
        <f>Matrix_prices!G147</f>
        <v>General Service Small</v>
      </c>
      <c r="H159" s="81" t="str">
        <f t="shared" si="7"/>
        <v>100-500 MWh</v>
      </c>
      <c r="I159" s="80">
        <f>(Matrix_prices!I147+$D$2)*IF($M$2="Prices in $/MWh",1,1/1000)</f>
        <v>82.18</v>
      </c>
      <c r="J159" s="79">
        <f>(Matrix_prices!J147+$D$2)*IF($M$2="Prices in $/MWh",1,1/1000)</f>
        <v>82.91</v>
      </c>
      <c r="K159" s="80">
        <f>(Matrix_prices!K147+$D$2)*IF($M$2="Prices in $/MWh",1,1/1000)</f>
        <v>81.98</v>
      </c>
      <c r="L159" s="79">
        <f>(Matrix_prices!L147+$D$2)*IF($M$2="Prices in $/MWh",1,1/1000)</f>
        <v>37.130000000000003</v>
      </c>
      <c r="M159" s="80">
        <f>(Matrix_prices!M147+$D$2)*IF($M$2="Prices in $/MWh",1,1/1000)</f>
        <v>37.4</v>
      </c>
      <c r="N159" s="79">
        <f>(Matrix_prices!N147+$D$2)*IF($M$2="Prices in $/MWh",1,1/1000)</f>
        <v>37.04</v>
      </c>
    </row>
    <row r="160" spans="3:14" x14ac:dyDescent="0.25">
      <c r="C160" s="82">
        <f>Matrix_prices!C148</f>
        <v>42401</v>
      </c>
      <c r="D160" s="83" t="str">
        <f>Matrix_prices!D148</f>
        <v>MD</v>
      </c>
      <c r="E160" s="84" t="str">
        <f>Matrix_prices!E148</f>
        <v>BGE</v>
      </c>
      <c r="F160" s="83" t="str">
        <f>Matrix_prices!F148</f>
        <v>GS</v>
      </c>
      <c r="G160" s="84" t="str">
        <f>Matrix_prices!G148</f>
        <v>General Service Small</v>
      </c>
      <c r="H160" s="85" t="str">
        <f t="shared" si="8"/>
        <v>500-2500 MWh</v>
      </c>
      <c r="I160" s="84">
        <f>(Matrix_prices!I148+$D$2)*IF($M$2="Prices in $/MWh",1,1/1000)</f>
        <v>81.13</v>
      </c>
      <c r="J160" s="83">
        <f>(Matrix_prices!J148+$D$2)*IF($M$2="Prices in $/MWh",1,1/1000)</f>
        <v>81.86</v>
      </c>
      <c r="K160" s="84">
        <f>(Matrix_prices!K148+$D$2)*IF($M$2="Prices in $/MWh",1,1/1000)</f>
        <v>80.930000000000007</v>
      </c>
      <c r="L160" s="83">
        <f>(Matrix_prices!L148+$D$2)*IF($M$2="Prices in $/MWh",1,1/1000)</f>
        <v>36.08</v>
      </c>
      <c r="M160" s="84">
        <f>(Matrix_prices!M148+$D$2)*IF($M$2="Prices in $/MWh",1,1/1000)</f>
        <v>36.35</v>
      </c>
      <c r="N160" s="83">
        <f>(Matrix_prices!N148+$D$2)*IF($M$2="Prices in $/MWh",1,1/1000)</f>
        <v>35.99</v>
      </c>
    </row>
    <row r="161" spans="3:14" x14ac:dyDescent="0.25">
      <c r="C161" s="74">
        <f>Matrix_prices!C149</f>
        <v>42430</v>
      </c>
      <c r="D161" s="75" t="str">
        <f>Matrix_prices!D149</f>
        <v>MD</v>
      </c>
      <c r="E161" s="76" t="str">
        <f>Matrix_prices!E149</f>
        <v>BGE</v>
      </c>
      <c r="F161" s="75" t="str">
        <f>Matrix_prices!F149</f>
        <v>GS</v>
      </c>
      <c r="G161" s="76" t="str">
        <f>Matrix_prices!G149</f>
        <v>General Service Small</v>
      </c>
      <c r="H161" s="157" t="str">
        <f t="shared" si="6"/>
        <v>0-100 MWh</v>
      </c>
      <c r="I161" s="76">
        <f>(Matrix_prices!I149+$D$2)*IF($M$2="Prices in $/MWh",1,1/1000)</f>
        <v>84.3</v>
      </c>
      <c r="J161" s="75">
        <f>(Matrix_prices!J149+$D$2)*IF($M$2="Prices in $/MWh",1,1/1000)</f>
        <v>84.16</v>
      </c>
      <c r="K161" s="76">
        <f>(Matrix_prices!K149+$D$2)*IF($M$2="Prices in $/MWh",1,1/1000)</f>
        <v>83.85</v>
      </c>
      <c r="L161" s="75">
        <f>(Matrix_prices!L149+$D$2)*IF($M$2="Prices in $/MWh",1,1/1000)</f>
        <v>38.76</v>
      </c>
      <c r="M161" s="76">
        <f>(Matrix_prices!M149+$D$2)*IF($M$2="Prices in $/MWh",1,1/1000)</f>
        <v>38.75</v>
      </c>
      <c r="N161" s="75">
        <f>(Matrix_prices!N149+$D$2)*IF($M$2="Prices in $/MWh",1,1/1000)</f>
        <v>38.67</v>
      </c>
    </row>
    <row r="162" spans="3:14" x14ac:dyDescent="0.25">
      <c r="C162" s="78">
        <f>Matrix_prices!C150</f>
        <v>42430</v>
      </c>
      <c r="D162" s="79" t="str">
        <f>Matrix_prices!D150</f>
        <v>MD</v>
      </c>
      <c r="E162" s="80" t="str">
        <f>Matrix_prices!E150</f>
        <v>BGE</v>
      </c>
      <c r="F162" s="79" t="str">
        <f>Matrix_prices!F150</f>
        <v>GS</v>
      </c>
      <c r="G162" s="80" t="str">
        <f>Matrix_prices!G150</f>
        <v>General Service Small</v>
      </c>
      <c r="H162" s="81" t="str">
        <f t="shared" si="7"/>
        <v>100-500 MWh</v>
      </c>
      <c r="I162" s="80">
        <f>(Matrix_prices!I150+$D$2)*IF($M$2="Prices in $/MWh",1,1/1000)</f>
        <v>82.7</v>
      </c>
      <c r="J162" s="79">
        <f>(Matrix_prices!J150+$D$2)*IF($M$2="Prices in $/MWh",1,1/1000)</f>
        <v>82.56</v>
      </c>
      <c r="K162" s="80">
        <f>(Matrix_prices!K150+$D$2)*IF($M$2="Prices in $/MWh",1,1/1000)</f>
        <v>82.25</v>
      </c>
      <c r="L162" s="79">
        <f>(Matrix_prices!L150+$D$2)*IF($M$2="Prices in $/MWh",1,1/1000)</f>
        <v>37.159999999999997</v>
      </c>
      <c r="M162" s="80">
        <f>(Matrix_prices!M150+$D$2)*IF($M$2="Prices in $/MWh",1,1/1000)</f>
        <v>37.15</v>
      </c>
      <c r="N162" s="79">
        <f>(Matrix_prices!N150+$D$2)*IF($M$2="Prices in $/MWh",1,1/1000)</f>
        <v>37.07</v>
      </c>
    </row>
    <row r="163" spans="3:14" x14ac:dyDescent="0.25">
      <c r="C163" s="82">
        <f>Matrix_prices!C151</f>
        <v>42430</v>
      </c>
      <c r="D163" s="83" t="str">
        <f>Matrix_prices!D151</f>
        <v>MD</v>
      </c>
      <c r="E163" s="84" t="str">
        <f>Matrix_prices!E151</f>
        <v>BGE</v>
      </c>
      <c r="F163" s="83" t="str">
        <f>Matrix_prices!F151</f>
        <v>GS</v>
      </c>
      <c r="G163" s="84" t="str">
        <f>Matrix_prices!G151</f>
        <v>General Service Small</v>
      </c>
      <c r="H163" s="85" t="str">
        <f t="shared" si="8"/>
        <v>500-2500 MWh</v>
      </c>
      <c r="I163" s="84">
        <f>(Matrix_prices!I151+$D$2)*IF($M$2="Prices in $/MWh",1,1/1000)</f>
        <v>81.650000000000006</v>
      </c>
      <c r="J163" s="83">
        <f>(Matrix_prices!J151+$D$2)*IF($M$2="Prices in $/MWh",1,1/1000)</f>
        <v>81.510000000000005</v>
      </c>
      <c r="K163" s="84">
        <f>(Matrix_prices!K151+$D$2)*IF($M$2="Prices in $/MWh",1,1/1000)</f>
        <v>81.2</v>
      </c>
      <c r="L163" s="83">
        <f>(Matrix_prices!L151+$D$2)*IF($M$2="Prices in $/MWh",1,1/1000)</f>
        <v>36.11</v>
      </c>
      <c r="M163" s="84">
        <f>(Matrix_prices!M151+$D$2)*IF($M$2="Prices in $/MWh",1,1/1000)</f>
        <v>36.1</v>
      </c>
      <c r="N163" s="83">
        <f>(Matrix_prices!N151+$D$2)*IF($M$2="Prices in $/MWh",1,1/1000)</f>
        <v>36.020000000000003</v>
      </c>
    </row>
    <row r="164" spans="3:14" x14ac:dyDescent="0.25">
      <c r="C164" s="151">
        <f>Matrix_prices!C152</f>
        <v>42461</v>
      </c>
      <c r="D164" s="152" t="str">
        <f>Matrix_prices!D152</f>
        <v>MD</v>
      </c>
      <c r="E164" s="153" t="str">
        <f>Matrix_prices!E152</f>
        <v>BGE</v>
      </c>
      <c r="F164" s="152" t="str">
        <f>Matrix_prices!F152</f>
        <v>GS</v>
      </c>
      <c r="G164" s="153" t="str">
        <f>Matrix_prices!G152</f>
        <v>General Service Small</v>
      </c>
      <c r="H164" s="157" t="str">
        <f t="shared" si="6"/>
        <v>0-100 MWh</v>
      </c>
      <c r="I164" s="153">
        <f>(Matrix_prices!I152+$D$2)*IF($M$2="Prices in $/MWh",1,1/1000)</f>
        <v>84.42</v>
      </c>
      <c r="J164" s="152">
        <f>(Matrix_prices!J152+$D$2)*IF($M$2="Prices in $/MWh",1,1/1000)</f>
        <v>83.55</v>
      </c>
      <c r="K164" s="153">
        <f>(Matrix_prices!K152+$D$2)*IF($M$2="Prices in $/MWh",1,1/1000)</f>
        <v>83.81</v>
      </c>
      <c r="L164" s="152">
        <f>(Matrix_prices!L152+$D$2)*IF($M$2="Prices in $/MWh",1,1/1000)</f>
        <v>38.770000000000003</v>
      </c>
      <c r="M164" s="153">
        <f>(Matrix_prices!M152+$D$2)*IF($M$2="Prices in $/MWh",1,1/1000)</f>
        <v>38.51</v>
      </c>
      <c r="N164" s="152">
        <f>(Matrix_prices!N152+$D$2)*IF($M$2="Prices in $/MWh",1,1/1000)</f>
        <v>38.68</v>
      </c>
    </row>
    <row r="165" spans="3:14" x14ac:dyDescent="0.25">
      <c r="C165" s="78">
        <f>Matrix_prices!C153</f>
        <v>42461</v>
      </c>
      <c r="D165" s="79" t="str">
        <f>Matrix_prices!D153</f>
        <v>MD</v>
      </c>
      <c r="E165" s="80" t="str">
        <f>Matrix_prices!E153</f>
        <v>BGE</v>
      </c>
      <c r="F165" s="79" t="str">
        <f>Matrix_prices!F153</f>
        <v>GS</v>
      </c>
      <c r="G165" s="80" t="str">
        <f>Matrix_prices!G153</f>
        <v>General Service Small</v>
      </c>
      <c r="H165" s="81" t="str">
        <f t="shared" si="7"/>
        <v>100-500 MWh</v>
      </c>
      <c r="I165" s="80">
        <f>(Matrix_prices!I153+$D$2)*IF($M$2="Prices in $/MWh",1,1/1000)</f>
        <v>82.82</v>
      </c>
      <c r="J165" s="79">
        <f>(Matrix_prices!J153+$D$2)*IF($M$2="Prices in $/MWh",1,1/1000)</f>
        <v>81.95</v>
      </c>
      <c r="K165" s="80">
        <f>(Matrix_prices!K153+$D$2)*IF($M$2="Prices in $/MWh",1,1/1000)</f>
        <v>82.21</v>
      </c>
      <c r="L165" s="79">
        <f>(Matrix_prices!L153+$D$2)*IF($M$2="Prices in $/MWh",1,1/1000)</f>
        <v>37.17</v>
      </c>
      <c r="M165" s="80">
        <f>(Matrix_prices!M153+$D$2)*IF($M$2="Prices in $/MWh",1,1/1000)</f>
        <v>36.909999999999997</v>
      </c>
      <c r="N165" s="79">
        <f>(Matrix_prices!N153+$D$2)*IF($M$2="Prices in $/MWh",1,1/1000)</f>
        <v>37.08</v>
      </c>
    </row>
    <row r="166" spans="3:14" x14ac:dyDescent="0.25">
      <c r="C166" s="82">
        <f>Matrix_prices!C154</f>
        <v>42461</v>
      </c>
      <c r="D166" s="83" t="str">
        <f>Matrix_prices!D154</f>
        <v>MD</v>
      </c>
      <c r="E166" s="84" t="str">
        <f>Matrix_prices!E154</f>
        <v>BGE</v>
      </c>
      <c r="F166" s="83" t="str">
        <f>Matrix_prices!F154</f>
        <v>GS</v>
      </c>
      <c r="G166" s="84" t="str">
        <f>Matrix_prices!G154</f>
        <v>General Service Small</v>
      </c>
      <c r="H166" s="85" t="str">
        <f t="shared" si="8"/>
        <v>500-2500 MWh</v>
      </c>
      <c r="I166" s="84">
        <f>(Matrix_prices!I154+$D$2)*IF($M$2="Prices in $/MWh",1,1/1000)</f>
        <v>81.77</v>
      </c>
      <c r="J166" s="83">
        <f>(Matrix_prices!J154+$D$2)*IF($M$2="Prices in $/MWh",1,1/1000)</f>
        <v>80.900000000000006</v>
      </c>
      <c r="K166" s="84">
        <f>(Matrix_prices!K154+$D$2)*IF($M$2="Prices in $/MWh",1,1/1000)</f>
        <v>81.16</v>
      </c>
      <c r="L166" s="83">
        <f>(Matrix_prices!L154+$D$2)*IF($M$2="Prices in $/MWh",1,1/1000)</f>
        <v>36.119999999999997</v>
      </c>
      <c r="M166" s="84">
        <f>(Matrix_prices!M154+$D$2)*IF($M$2="Prices in $/MWh",1,1/1000)</f>
        <v>35.86</v>
      </c>
      <c r="N166" s="83">
        <f>(Matrix_prices!N154+$D$2)*IF($M$2="Prices in $/MWh",1,1/1000)</f>
        <v>36.03</v>
      </c>
    </row>
    <row r="167" spans="3:14" x14ac:dyDescent="0.25">
      <c r="C167" s="74">
        <f>Matrix_prices!C155</f>
        <v>42491</v>
      </c>
      <c r="D167" s="75" t="str">
        <f>Matrix_prices!D155</f>
        <v>MD</v>
      </c>
      <c r="E167" s="76" t="str">
        <f>Matrix_prices!E155</f>
        <v>BGE</v>
      </c>
      <c r="F167" s="75" t="str">
        <f>Matrix_prices!F155</f>
        <v>GS</v>
      </c>
      <c r="G167" s="76" t="str">
        <f>Matrix_prices!G155</f>
        <v>General Service Small</v>
      </c>
      <c r="H167" s="157" t="str">
        <f t="shared" si="6"/>
        <v>0-100 MWh</v>
      </c>
      <c r="I167" s="76">
        <f>(Matrix_prices!I155+$D$2)*IF($M$2="Prices in $/MWh",1,1/1000)</f>
        <v>84.5</v>
      </c>
      <c r="J167" s="75">
        <f>(Matrix_prices!J155+$D$2)*IF($M$2="Prices in $/MWh",1,1/1000)</f>
        <v>83.13</v>
      </c>
      <c r="K167" s="76">
        <f>(Matrix_prices!K155+$D$2)*IF($M$2="Prices in $/MWh",1,1/1000)</f>
        <v>83.75</v>
      </c>
      <c r="L167" s="75">
        <f>(Matrix_prices!L155+$D$2)*IF($M$2="Prices in $/MWh",1,1/1000)</f>
        <v>38.78</v>
      </c>
      <c r="M167" s="76">
        <f>(Matrix_prices!M155+$D$2)*IF($M$2="Prices in $/MWh",1,1/1000)</f>
        <v>38.35</v>
      </c>
      <c r="N167" s="75">
        <f>(Matrix_prices!N155+$D$2)*IF($M$2="Prices in $/MWh",1,1/1000)</f>
        <v>38.69</v>
      </c>
    </row>
    <row r="168" spans="3:14" x14ac:dyDescent="0.25">
      <c r="C168" s="78">
        <f>Matrix_prices!C156</f>
        <v>42491</v>
      </c>
      <c r="D168" s="79" t="str">
        <f>Matrix_prices!D156</f>
        <v>MD</v>
      </c>
      <c r="E168" s="80" t="str">
        <f>Matrix_prices!E156</f>
        <v>BGE</v>
      </c>
      <c r="F168" s="79" t="str">
        <f>Matrix_prices!F156</f>
        <v>GS</v>
      </c>
      <c r="G168" s="80" t="str">
        <f>Matrix_prices!G156</f>
        <v>General Service Small</v>
      </c>
      <c r="H168" s="81" t="str">
        <f t="shared" si="7"/>
        <v>100-500 MWh</v>
      </c>
      <c r="I168" s="80">
        <f>(Matrix_prices!I156+$D$2)*IF($M$2="Prices in $/MWh",1,1/1000)</f>
        <v>82.9</v>
      </c>
      <c r="J168" s="79">
        <f>(Matrix_prices!J156+$D$2)*IF($M$2="Prices in $/MWh",1,1/1000)</f>
        <v>81.53</v>
      </c>
      <c r="K168" s="80">
        <f>(Matrix_prices!K156+$D$2)*IF($M$2="Prices in $/MWh",1,1/1000)</f>
        <v>82.15</v>
      </c>
      <c r="L168" s="79">
        <f>(Matrix_prices!L156+$D$2)*IF($M$2="Prices in $/MWh",1,1/1000)</f>
        <v>37.18</v>
      </c>
      <c r="M168" s="80">
        <f>(Matrix_prices!M156+$D$2)*IF($M$2="Prices in $/MWh",1,1/1000)</f>
        <v>36.75</v>
      </c>
      <c r="N168" s="79">
        <f>(Matrix_prices!N156+$D$2)*IF($M$2="Prices in $/MWh",1,1/1000)</f>
        <v>37.090000000000003</v>
      </c>
    </row>
    <row r="169" spans="3:14" x14ac:dyDescent="0.25">
      <c r="C169" s="82">
        <f>Matrix_prices!C157</f>
        <v>42491</v>
      </c>
      <c r="D169" s="83" t="str">
        <f>Matrix_prices!D157</f>
        <v>MD</v>
      </c>
      <c r="E169" s="84" t="str">
        <f>Matrix_prices!E157</f>
        <v>BGE</v>
      </c>
      <c r="F169" s="83" t="str">
        <f>Matrix_prices!F157</f>
        <v>GS</v>
      </c>
      <c r="G169" s="84" t="str">
        <f>Matrix_prices!G157</f>
        <v>General Service Small</v>
      </c>
      <c r="H169" s="85" t="str">
        <f t="shared" si="8"/>
        <v>500-2500 MWh</v>
      </c>
      <c r="I169" s="84">
        <f>(Matrix_prices!I157+$D$2)*IF($M$2="Prices in $/MWh",1,1/1000)</f>
        <v>81.849999999999994</v>
      </c>
      <c r="J169" s="83">
        <f>(Matrix_prices!J157+$D$2)*IF($M$2="Prices in $/MWh",1,1/1000)</f>
        <v>80.48</v>
      </c>
      <c r="K169" s="84">
        <f>(Matrix_prices!K157+$D$2)*IF($M$2="Prices in $/MWh",1,1/1000)</f>
        <v>81.099999999999994</v>
      </c>
      <c r="L169" s="83">
        <f>(Matrix_prices!L157+$D$2)*IF($M$2="Prices in $/MWh",1,1/1000)</f>
        <v>36.130000000000003</v>
      </c>
      <c r="M169" s="84">
        <f>(Matrix_prices!M157+$D$2)*IF($M$2="Prices in $/MWh",1,1/1000)</f>
        <v>35.700000000000003</v>
      </c>
      <c r="N169" s="83">
        <f>(Matrix_prices!N157+$D$2)*IF($M$2="Prices in $/MWh",1,1/1000)</f>
        <v>36.04</v>
      </c>
    </row>
    <row r="170" spans="3:14" x14ac:dyDescent="0.25">
      <c r="C170" s="151">
        <f>Matrix_prices!C158</f>
        <v>42522</v>
      </c>
      <c r="D170" s="152" t="str">
        <f>Matrix_prices!D158</f>
        <v>MD</v>
      </c>
      <c r="E170" s="153" t="str">
        <f>Matrix_prices!E158</f>
        <v>BGE</v>
      </c>
      <c r="F170" s="152" t="str">
        <f>Matrix_prices!F158</f>
        <v>GS</v>
      </c>
      <c r="G170" s="153" t="str">
        <f>Matrix_prices!G158</f>
        <v>General Service Small</v>
      </c>
      <c r="H170" s="157" t="str">
        <f t="shared" si="6"/>
        <v>0-100 MWh</v>
      </c>
      <c r="I170" s="153">
        <f>(Matrix_prices!I158+$D$2)*IF($M$2="Prices in $/MWh",1,1/1000)</f>
        <v>84.49</v>
      </c>
      <c r="J170" s="152">
        <f>(Matrix_prices!J158+$D$2)*IF($M$2="Prices in $/MWh",1,1/1000)</f>
        <v>82.71</v>
      </c>
      <c r="K170" s="153">
        <f>(Matrix_prices!K158+$D$2)*IF($M$2="Prices in $/MWh",1,1/1000)</f>
        <v>83.67</v>
      </c>
      <c r="L170" s="152">
        <f>(Matrix_prices!L158+$D$2)*IF($M$2="Prices in $/MWh",1,1/1000)</f>
        <v>38.770000000000003</v>
      </c>
      <c r="M170" s="153">
        <f>(Matrix_prices!M158+$D$2)*IF($M$2="Prices in $/MWh",1,1/1000)</f>
        <v>38.14</v>
      </c>
      <c r="N170" s="152">
        <f>(Matrix_prices!N158+$D$2)*IF($M$2="Prices in $/MWh",1,1/1000)</f>
        <v>38.69</v>
      </c>
    </row>
    <row r="171" spans="3:14" x14ac:dyDescent="0.25">
      <c r="C171" s="78">
        <f>Matrix_prices!C159</f>
        <v>42522</v>
      </c>
      <c r="D171" s="79" t="str">
        <f>Matrix_prices!D159</f>
        <v>MD</v>
      </c>
      <c r="E171" s="80" t="str">
        <f>Matrix_prices!E159</f>
        <v>BGE</v>
      </c>
      <c r="F171" s="79" t="str">
        <f>Matrix_prices!F159</f>
        <v>GS</v>
      </c>
      <c r="G171" s="80" t="str">
        <f>Matrix_prices!G159</f>
        <v>General Service Small</v>
      </c>
      <c r="H171" s="81" t="str">
        <f t="shared" si="7"/>
        <v>100-500 MWh</v>
      </c>
      <c r="I171" s="80">
        <f>(Matrix_prices!I159+$D$2)*IF($M$2="Prices in $/MWh",1,1/1000)</f>
        <v>82.89</v>
      </c>
      <c r="J171" s="79">
        <f>(Matrix_prices!J159+$D$2)*IF($M$2="Prices in $/MWh",1,1/1000)</f>
        <v>81.11</v>
      </c>
      <c r="K171" s="80">
        <f>(Matrix_prices!K159+$D$2)*IF($M$2="Prices in $/MWh",1,1/1000)</f>
        <v>82.07</v>
      </c>
      <c r="L171" s="79">
        <f>(Matrix_prices!L159+$D$2)*IF($M$2="Prices in $/MWh",1,1/1000)</f>
        <v>37.17</v>
      </c>
      <c r="M171" s="80">
        <f>(Matrix_prices!M159+$D$2)*IF($M$2="Prices in $/MWh",1,1/1000)</f>
        <v>36.54</v>
      </c>
      <c r="N171" s="79">
        <f>(Matrix_prices!N159+$D$2)*IF($M$2="Prices in $/MWh",1,1/1000)</f>
        <v>37.090000000000003</v>
      </c>
    </row>
    <row r="172" spans="3:14" x14ac:dyDescent="0.25">
      <c r="C172" s="82">
        <f>Matrix_prices!C160</f>
        <v>42522</v>
      </c>
      <c r="D172" s="83" t="str">
        <f>Matrix_prices!D160</f>
        <v>MD</v>
      </c>
      <c r="E172" s="84" t="str">
        <f>Matrix_prices!E160</f>
        <v>BGE</v>
      </c>
      <c r="F172" s="83" t="str">
        <f>Matrix_prices!F160</f>
        <v>GS</v>
      </c>
      <c r="G172" s="84" t="str">
        <f>Matrix_prices!G160</f>
        <v>General Service Small</v>
      </c>
      <c r="H172" s="85" t="str">
        <f t="shared" si="8"/>
        <v>500-2500 MWh</v>
      </c>
      <c r="I172" s="84">
        <f>(Matrix_prices!I160+$D$2)*IF($M$2="Prices in $/MWh",1,1/1000)</f>
        <v>81.84</v>
      </c>
      <c r="J172" s="83">
        <f>(Matrix_prices!J160+$D$2)*IF($M$2="Prices in $/MWh",1,1/1000)</f>
        <v>80.06</v>
      </c>
      <c r="K172" s="84">
        <f>(Matrix_prices!K160+$D$2)*IF($M$2="Prices in $/MWh",1,1/1000)</f>
        <v>81.02</v>
      </c>
      <c r="L172" s="83">
        <f>(Matrix_prices!L160+$D$2)*IF($M$2="Prices in $/MWh",1,1/1000)</f>
        <v>36.119999999999997</v>
      </c>
      <c r="M172" s="84">
        <f>(Matrix_prices!M160+$D$2)*IF($M$2="Prices in $/MWh",1,1/1000)</f>
        <v>35.49</v>
      </c>
      <c r="N172" s="83">
        <f>(Matrix_prices!N160+$D$2)*IF($M$2="Prices in $/MWh",1,1/1000)</f>
        <v>36.04</v>
      </c>
    </row>
    <row r="173" spans="3:14" x14ac:dyDescent="0.25">
      <c r="C173" s="74">
        <f>Matrix_prices!C161</f>
        <v>42552</v>
      </c>
      <c r="D173" s="75" t="str">
        <f>Matrix_prices!D161</f>
        <v>MD</v>
      </c>
      <c r="E173" s="76" t="str">
        <f>Matrix_prices!E161</f>
        <v>BGE</v>
      </c>
      <c r="F173" s="75" t="str">
        <f>Matrix_prices!F161</f>
        <v>GS</v>
      </c>
      <c r="G173" s="76" t="str">
        <f>Matrix_prices!G161</f>
        <v>General Service Small</v>
      </c>
      <c r="H173" s="157" t="str">
        <f t="shared" si="6"/>
        <v>0-100 MWh</v>
      </c>
      <c r="I173" s="76">
        <f>(Matrix_prices!I161+$D$2)*IF($M$2="Prices in $/MWh",1,1/1000)</f>
        <v>84.38</v>
      </c>
      <c r="J173" s="75">
        <f>(Matrix_prices!J161+$D$2)*IF($M$2="Prices in $/MWh",1,1/1000)</f>
        <v>82.49</v>
      </c>
      <c r="K173" s="76">
        <f>(Matrix_prices!K161+$D$2)*IF($M$2="Prices in $/MWh",1,1/1000)</f>
        <v>83.57</v>
      </c>
      <c r="L173" s="75">
        <f>(Matrix_prices!L161+$D$2)*IF($M$2="Prices in $/MWh",1,1/1000)</f>
        <v>38.75</v>
      </c>
      <c r="M173" s="76">
        <f>(Matrix_prices!M161+$D$2)*IF($M$2="Prices in $/MWh",1,1/1000)</f>
        <v>38.1</v>
      </c>
      <c r="N173" s="75">
        <f>(Matrix_prices!N161+$D$2)*IF($M$2="Prices in $/MWh",1,1/1000)</f>
        <v>38.75</v>
      </c>
    </row>
    <row r="174" spans="3:14" x14ac:dyDescent="0.25">
      <c r="C174" s="78">
        <f>Matrix_prices!C162</f>
        <v>42552</v>
      </c>
      <c r="D174" s="79" t="str">
        <f>Matrix_prices!D162</f>
        <v>MD</v>
      </c>
      <c r="E174" s="80" t="str">
        <f>Matrix_prices!E162</f>
        <v>BGE</v>
      </c>
      <c r="F174" s="79" t="str">
        <f>Matrix_prices!F162</f>
        <v>GS</v>
      </c>
      <c r="G174" s="80" t="str">
        <f>Matrix_prices!G162</f>
        <v>General Service Small</v>
      </c>
      <c r="H174" s="81" t="str">
        <f t="shared" si="7"/>
        <v>100-500 MWh</v>
      </c>
      <c r="I174" s="80">
        <f>(Matrix_prices!I162+$D$2)*IF($M$2="Prices in $/MWh",1,1/1000)</f>
        <v>82.78</v>
      </c>
      <c r="J174" s="79">
        <f>(Matrix_prices!J162+$D$2)*IF($M$2="Prices in $/MWh",1,1/1000)</f>
        <v>80.89</v>
      </c>
      <c r="K174" s="80">
        <f>(Matrix_prices!K162+$D$2)*IF($M$2="Prices in $/MWh",1,1/1000)</f>
        <v>81.97</v>
      </c>
      <c r="L174" s="79">
        <f>(Matrix_prices!L162+$D$2)*IF($M$2="Prices in $/MWh",1,1/1000)</f>
        <v>37.15</v>
      </c>
      <c r="M174" s="80">
        <f>(Matrix_prices!M162+$D$2)*IF($M$2="Prices in $/MWh",1,1/1000)</f>
        <v>36.5</v>
      </c>
      <c r="N174" s="79">
        <f>(Matrix_prices!N162+$D$2)*IF($M$2="Prices in $/MWh",1,1/1000)</f>
        <v>37.15</v>
      </c>
    </row>
    <row r="175" spans="3:14" x14ac:dyDescent="0.25">
      <c r="C175" s="82">
        <f>Matrix_prices!C163</f>
        <v>42552</v>
      </c>
      <c r="D175" s="83" t="str">
        <f>Matrix_prices!D163</f>
        <v>MD</v>
      </c>
      <c r="E175" s="84" t="str">
        <f>Matrix_prices!E163</f>
        <v>BGE</v>
      </c>
      <c r="F175" s="83" t="str">
        <f>Matrix_prices!F163</f>
        <v>GS</v>
      </c>
      <c r="G175" s="84" t="str">
        <f>Matrix_prices!G163</f>
        <v>General Service Small</v>
      </c>
      <c r="H175" s="85" t="str">
        <f t="shared" si="8"/>
        <v>500-2500 MWh</v>
      </c>
      <c r="I175" s="84">
        <f>(Matrix_prices!I163+$D$2)*IF($M$2="Prices in $/MWh",1,1/1000)</f>
        <v>81.73</v>
      </c>
      <c r="J175" s="83">
        <f>(Matrix_prices!J163+$D$2)*IF($M$2="Prices in $/MWh",1,1/1000)</f>
        <v>79.84</v>
      </c>
      <c r="K175" s="84">
        <f>(Matrix_prices!K163+$D$2)*IF($M$2="Prices in $/MWh",1,1/1000)</f>
        <v>80.92</v>
      </c>
      <c r="L175" s="83">
        <f>(Matrix_prices!L163+$D$2)*IF($M$2="Prices in $/MWh",1,1/1000)</f>
        <v>36.1</v>
      </c>
      <c r="M175" s="84">
        <f>(Matrix_prices!M163+$D$2)*IF($M$2="Prices in $/MWh",1,1/1000)</f>
        <v>35.450000000000003</v>
      </c>
      <c r="N175" s="83">
        <f>(Matrix_prices!N163+$D$2)*IF($M$2="Prices in $/MWh",1,1/1000)</f>
        <v>36.1</v>
      </c>
    </row>
    <row r="176" spans="3:14" x14ac:dyDescent="0.25">
      <c r="C176" s="151">
        <f>Matrix_prices!C164</f>
        <v>42583</v>
      </c>
      <c r="D176" s="152" t="str">
        <f>Matrix_prices!D164</f>
        <v>MD</v>
      </c>
      <c r="E176" s="153" t="str">
        <f>Matrix_prices!E164</f>
        <v>BGE</v>
      </c>
      <c r="F176" s="152" t="str">
        <f>Matrix_prices!F164</f>
        <v>GS</v>
      </c>
      <c r="G176" s="153" t="str">
        <f>Matrix_prices!G164</f>
        <v>General Service Small</v>
      </c>
      <c r="H176" s="157" t="str">
        <f t="shared" si="6"/>
        <v>0-100 MWh</v>
      </c>
      <c r="I176" s="153">
        <f>(Matrix_prices!I164+$D$2)*IF($M$2="Prices in $/MWh",1,1/1000)</f>
        <v>84.35</v>
      </c>
      <c r="J176" s="152">
        <f>(Matrix_prices!J164+$D$2)*IF($M$2="Prices in $/MWh",1,1/1000)</f>
        <v>83.18</v>
      </c>
      <c r="K176" s="153">
        <f>(Matrix_prices!K164+$D$2)*IF($M$2="Prices in $/MWh",1,1/1000)</f>
        <v>83.61</v>
      </c>
      <c r="L176" s="152">
        <f>(Matrix_prices!L164+$D$2)*IF($M$2="Prices in $/MWh",1,1/1000)</f>
        <v>38.770000000000003</v>
      </c>
      <c r="M176" s="153">
        <f>(Matrix_prices!M164+$D$2)*IF($M$2="Prices in $/MWh",1,1/1000)</f>
        <v>38.380000000000003</v>
      </c>
      <c r="N176" s="152">
        <f>(Matrix_prices!N164+$D$2)*IF($M$2="Prices in $/MWh",1,1/1000)</f>
        <v>38.82</v>
      </c>
    </row>
    <row r="177" spans="3:14" x14ac:dyDescent="0.25">
      <c r="C177" s="78">
        <f>Matrix_prices!C165</f>
        <v>42583</v>
      </c>
      <c r="D177" s="79" t="str">
        <f>Matrix_prices!D165</f>
        <v>MD</v>
      </c>
      <c r="E177" s="80" t="str">
        <f>Matrix_prices!E165</f>
        <v>BGE</v>
      </c>
      <c r="F177" s="79" t="str">
        <f>Matrix_prices!F165</f>
        <v>GS</v>
      </c>
      <c r="G177" s="80" t="str">
        <f>Matrix_prices!G165</f>
        <v>General Service Small</v>
      </c>
      <c r="H177" s="81" t="str">
        <f t="shared" si="7"/>
        <v>100-500 MWh</v>
      </c>
      <c r="I177" s="80">
        <f>(Matrix_prices!I165+$D$2)*IF($M$2="Prices in $/MWh",1,1/1000)</f>
        <v>82.75</v>
      </c>
      <c r="J177" s="79">
        <f>(Matrix_prices!J165+$D$2)*IF($M$2="Prices in $/MWh",1,1/1000)</f>
        <v>81.58</v>
      </c>
      <c r="K177" s="80">
        <f>(Matrix_prices!K165+$D$2)*IF($M$2="Prices in $/MWh",1,1/1000)</f>
        <v>82.01</v>
      </c>
      <c r="L177" s="79">
        <f>(Matrix_prices!L165+$D$2)*IF($M$2="Prices in $/MWh",1,1/1000)</f>
        <v>37.17</v>
      </c>
      <c r="M177" s="80">
        <f>(Matrix_prices!M165+$D$2)*IF($M$2="Prices in $/MWh",1,1/1000)</f>
        <v>36.78</v>
      </c>
      <c r="N177" s="79">
        <f>(Matrix_prices!N165+$D$2)*IF($M$2="Prices in $/MWh",1,1/1000)</f>
        <v>37.22</v>
      </c>
    </row>
    <row r="178" spans="3:14" x14ac:dyDescent="0.25">
      <c r="C178" s="82">
        <f>Matrix_prices!C166</f>
        <v>42583</v>
      </c>
      <c r="D178" s="83" t="str">
        <f>Matrix_prices!D166</f>
        <v>MD</v>
      </c>
      <c r="E178" s="84" t="str">
        <f>Matrix_prices!E166</f>
        <v>BGE</v>
      </c>
      <c r="F178" s="83" t="str">
        <f>Matrix_prices!F166</f>
        <v>GS</v>
      </c>
      <c r="G178" s="84" t="str">
        <f>Matrix_prices!G166</f>
        <v>General Service Small</v>
      </c>
      <c r="H178" s="85" t="str">
        <f t="shared" si="8"/>
        <v>500-2500 MWh</v>
      </c>
      <c r="I178" s="84">
        <f>(Matrix_prices!I166+$D$2)*IF($M$2="Prices in $/MWh",1,1/1000)</f>
        <v>81.7</v>
      </c>
      <c r="J178" s="83">
        <f>(Matrix_prices!J166+$D$2)*IF($M$2="Prices in $/MWh",1,1/1000)</f>
        <v>80.53</v>
      </c>
      <c r="K178" s="84">
        <f>(Matrix_prices!K166+$D$2)*IF($M$2="Prices in $/MWh",1,1/1000)</f>
        <v>80.959999999999994</v>
      </c>
      <c r="L178" s="83">
        <f>(Matrix_prices!L166+$D$2)*IF($M$2="Prices in $/MWh",1,1/1000)</f>
        <v>36.119999999999997</v>
      </c>
      <c r="M178" s="84">
        <f>(Matrix_prices!M166+$D$2)*IF($M$2="Prices in $/MWh",1,1/1000)</f>
        <v>35.729999999999997</v>
      </c>
      <c r="N178" s="83">
        <f>(Matrix_prices!N166+$D$2)*IF($M$2="Prices in $/MWh",1,1/1000)</f>
        <v>36.17</v>
      </c>
    </row>
    <row r="179" spans="3:14" x14ac:dyDescent="0.25">
      <c r="C179" s="74">
        <f>Matrix_prices!C167</f>
        <v>42614</v>
      </c>
      <c r="D179" s="75" t="str">
        <f>Matrix_prices!D167</f>
        <v>MD</v>
      </c>
      <c r="E179" s="76" t="str">
        <f>Matrix_prices!E167</f>
        <v>BGE</v>
      </c>
      <c r="F179" s="75" t="str">
        <f>Matrix_prices!F167</f>
        <v>GS</v>
      </c>
      <c r="G179" s="76" t="str">
        <f>Matrix_prices!G167</f>
        <v>General Service Small</v>
      </c>
      <c r="H179" s="157" t="str">
        <f t="shared" si="6"/>
        <v>0-100 MWh</v>
      </c>
      <c r="I179" s="76">
        <f>(Matrix_prices!I167+$D$2)*IF($M$2="Prices in $/MWh",1,1/1000)</f>
        <v>84.34</v>
      </c>
      <c r="J179" s="75">
        <f>(Matrix_prices!J167+$D$2)*IF($M$2="Prices in $/MWh",1,1/1000)</f>
        <v>83.86</v>
      </c>
      <c r="K179" s="76">
        <f>(Matrix_prices!K167+$D$2)*IF($M$2="Prices in $/MWh",1,1/1000)</f>
        <v>83.65</v>
      </c>
      <c r="L179" s="75">
        <f>(Matrix_prices!L167+$D$2)*IF($M$2="Prices in $/MWh",1,1/1000)</f>
        <v>38.770000000000003</v>
      </c>
      <c r="M179" s="76">
        <f>(Matrix_prices!M167+$D$2)*IF($M$2="Prices in $/MWh",1,1/1000)</f>
        <v>38.65</v>
      </c>
      <c r="N179" s="75">
        <f>(Matrix_prices!N167+$D$2)*IF($M$2="Prices in $/MWh",1,1/1000)</f>
        <v>38.89</v>
      </c>
    </row>
    <row r="180" spans="3:14" x14ac:dyDescent="0.25">
      <c r="C180" s="78">
        <f>Matrix_prices!C168</f>
        <v>42614</v>
      </c>
      <c r="D180" s="79" t="str">
        <f>Matrix_prices!D168</f>
        <v>MD</v>
      </c>
      <c r="E180" s="80" t="str">
        <f>Matrix_prices!E168</f>
        <v>BGE</v>
      </c>
      <c r="F180" s="79" t="str">
        <f>Matrix_prices!F168</f>
        <v>GS</v>
      </c>
      <c r="G180" s="80" t="str">
        <f>Matrix_prices!G168</f>
        <v>General Service Small</v>
      </c>
      <c r="H180" s="81" t="str">
        <f t="shared" si="7"/>
        <v>100-500 MWh</v>
      </c>
      <c r="I180" s="80">
        <f>(Matrix_prices!I168+$D$2)*IF($M$2="Prices in $/MWh",1,1/1000)</f>
        <v>82.74</v>
      </c>
      <c r="J180" s="79">
        <f>(Matrix_prices!J168+$D$2)*IF($M$2="Prices in $/MWh",1,1/1000)</f>
        <v>82.26</v>
      </c>
      <c r="K180" s="80">
        <f>(Matrix_prices!K168+$D$2)*IF($M$2="Prices in $/MWh",1,1/1000)</f>
        <v>82.05</v>
      </c>
      <c r="L180" s="79">
        <f>(Matrix_prices!L168+$D$2)*IF($M$2="Prices in $/MWh",1,1/1000)</f>
        <v>37.17</v>
      </c>
      <c r="M180" s="80">
        <f>(Matrix_prices!M168+$D$2)*IF($M$2="Prices in $/MWh",1,1/1000)</f>
        <v>37.049999999999997</v>
      </c>
      <c r="N180" s="79">
        <f>(Matrix_prices!N168+$D$2)*IF($M$2="Prices in $/MWh",1,1/1000)</f>
        <v>37.29</v>
      </c>
    </row>
    <row r="181" spans="3:14" x14ac:dyDescent="0.25">
      <c r="C181" s="82">
        <f>Matrix_prices!C169</f>
        <v>42614</v>
      </c>
      <c r="D181" s="83" t="str">
        <f>Matrix_prices!D169</f>
        <v>MD</v>
      </c>
      <c r="E181" s="84" t="str">
        <f>Matrix_prices!E169</f>
        <v>BGE</v>
      </c>
      <c r="F181" s="83" t="str">
        <f>Matrix_prices!F169</f>
        <v>GS</v>
      </c>
      <c r="G181" s="84" t="str">
        <f>Matrix_prices!G169</f>
        <v>General Service Small</v>
      </c>
      <c r="H181" s="85" t="str">
        <f t="shared" si="8"/>
        <v>500-2500 MWh</v>
      </c>
      <c r="I181" s="84">
        <f>(Matrix_prices!I169+$D$2)*IF($M$2="Prices in $/MWh",1,1/1000)</f>
        <v>81.69</v>
      </c>
      <c r="J181" s="83">
        <f>(Matrix_prices!J169+$D$2)*IF($M$2="Prices in $/MWh",1,1/1000)</f>
        <v>81.209999999999994</v>
      </c>
      <c r="K181" s="84">
        <f>(Matrix_prices!K169+$D$2)*IF($M$2="Prices in $/MWh",1,1/1000)</f>
        <v>81</v>
      </c>
      <c r="L181" s="83">
        <f>(Matrix_prices!L169+$D$2)*IF($M$2="Prices in $/MWh",1,1/1000)</f>
        <v>36.119999999999997</v>
      </c>
      <c r="M181" s="84">
        <f>(Matrix_prices!M169+$D$2)*IF($M$2="Prices in $/MWh",1,1/1000)</f>
        <v>36</v>
      </c>
      <c r="N181" s="83">
        <f>(Matrix_prices!N169+$D$2)*IF($M$2="Prices in $/MWh",1,1/1000)</f>
        <v>36.24</v>
      </c>
    </row>
    <row r="182" spans="3:14" x14ac:dyDescent="0.25">
      <c r="C182" s="151">
        <f>Matrix_prices!C170</f>
        <v>42644</v>
      </c>
      <c r="D182" s="152" t="str">
        <f>Matrix_prices!D170</f>
        <v>MD</v>
      </c>
      <c r="E182" s="153" t="str">
        <f>Matrix_prices!E170</f>
        <v>BGE</v>
      </c>
      <c r="F182" s="152" t="str">
        <f>Matrix_prices!F170</f>
        <v>GS</v>
      </c>
      <c r="G182" s="153" t="str">
        <f>Matrix_prices!G170</f>
        <v>General Service Small</v>
      </c>
      <c r="H182" s="157" t="str">
        <f t="shared" si="6"/>
        <v>0-100 MWh</v>
      </c>
      <c r="I182" s="153">
        <f>(Matrix_prices!I170+$D$2)*IF($M$2="Prices in $/MWh",1,1/1000)</f>
        <v>84.23</v>
      </c>
      <c r="J182" s="152">
        <f>(Matrix_prices!J170+$D$2)*IF($M$2="Prices in $/MWh",1,1/1000)</f>
        <v>84.34</v>
      </c>
      <c r="K182" s="153">
        <f>(Matrix_prices!K170+$D$2)*IF($M$2="Prices in $/MWh",1,1/1000)</f>
        <v>83.57</v>
      </c>
      <c r="L182" s="152">
        <f>(Matrix_prices!L170+$D$2)*IF($M$2="Prices in $/MWh",1,1/1000)</f>
        <v>38.76</v>
      </c>
      <c r="M182" s="153">
        <f>(Matrix_prices!M170+$D$2)*IF($M$2="Prices in $/MWh",1,1/1000)</f>
        <v>38.909999999999997</v>
      </c>
      <c r="N182" s="152">
        <f>(Matrix_prices!N170+$D$2)*IF($M$2="Prices in $/MWh",1,1/1000)</f>
        <v>38.96</v>
      </c>
    </row>
    <row r="183" spans="3:14" x14ac:dyDescent="0.25">
      <c r="C183" s="78">
        <f>Matrix_prices!C171</f>
        <v>42644</v>
      </c>
      <c r="D183" s="79" t="str">
        <f>Matrix_prices!D171</f>
        <v>MD</v>
      </c>
      <c r="E183" s="80" t="str">
        <f>Matrix_prices!E171</f>
        <v>BGE</v>
      </c>
      <c r="F183" s="79" t="str">
        <f>Matrix_prices!F171</f>
        <v>GS</v>
      </c>
      <c r="G183" s="80" t="str">
        <f>Matrix_prices!G171</f>
        <v>General Service Small</v>
      </c>
      <c r="H183" s="81" t="str">
        <f t="shared" si="7"/>
        <v>100-500 MWh</v>
      </c>
      <c r="I183" s="80">
        <f>(Matrix_prices!I171+$D$2)*IF($M$2="Prices in $/MWh",1,1/1000)</f>
        <v>82.63</v>
      </c>
      <c r="J183" s="79">
        <f>(Matrix_prices!J171+$D$2)*IF($M$2="Prices in $/MWh",1,1/1000)</f>
        <v>82.74</v>
      </c>
      <c r="K183" s="80">
        <f>(Matrix_prices!K171+$D$2)*IF($M$2="Prices in $/MWh",1,1/1000)</f>
        <v>81.97</v>
      </c>
      <c r="L183" s="79">
        <f>(Matrix_prices!L171+$D$2)*IF($M$2="Prices in $/MWh",1,1/1000)</f>
        <v>37.159999999999997</v>
      </c>
      <c r="M183" s="80">
        <f>(Matrix_prices!M171+$D$2)*IF($M$2="Prices in $/MWh",1,1/1000)</f>
        <v>37.31</v>
      </c>
      <c r="N183" s="79">
        <f>(Matrix_prices!N171+$D$2)*IF($M$2="Prices in $/MWh",1,1/1000)</f>
        <v>37.36</v>
      </c>
    </row>
    <row r="184" spans="3:14" x14ac:dyDescent="0.25">
      <c r="C184" s="82">
        <f>Matrix_prices!C172</f>
        <v>42644</v>
      </c>
      <c r="D184" s="83" t="str">
        <f>Matrix_prices!D172</f>
        <v>MD</v>
      </c>
      <c r="E184" s="84" t="str">
        <f>Matrix_prices!E172</f>
        <v>BGE</v>
      </c>
      <c r="F184" s="83" t="str">
        <f>Matrix_prices!F172</f>
        <v>GS</v>
      </c>
      <c r="G184" s="84" t="str">
        <f>Matrix_prices!G172</f>
        <v>General Service Small</v>
      </c>
      <c r="H184" s="85" t="str">
        <f t="shared" si="8"/>
        <v>500-2500 MWh</v>
      </c>
      <c r="I184" s="84">
        <f>(Matrix_prices!I172+$D$2)*IF($M$2="Prices in $/MWh",1,1/1000)</f>
        <v>81.58</v>
      </c>
      <c r="J184" s="83">
        <f>(Matrix_prices!J172+$D$2)*IF($M$2="Prices in $/MWh",1,1/1000)</f>
        <v>81.69</v>
      </c>
      <c r="K184" s="84">
        <f>(Matrix_prices!K172+$D$2)*IF($M$2="Prices in $/MWh",1,1/1000)</f>
        <v>80.92</v>
      </c>
      <c r="L184" s="83">
        <f>(Matrix_prices!L172+$D$2)*IF($M$2="Prices in $/MWh",1,1/1000)</f>
        <v>36.11</v>
      </c>
      <c r="M184" s="84">
        <f>(Matrix_prices!M172+$D$2)*IF($M$2="Prices in $/MWh",1,1/1000)</f>
        <v>36.26</v>
      </c>
      <c r="N184" s="83">
        <f>(Matrix_prices!N172+$D$2)*IF($M$2="Prices in $/MWh",1,1/1000)</f>
        <v>36.31</v>
      </c>
    </row>
    <row r="185" spans="3:14" x14ac:dyDescent="0.25">
      <c r="C185" s="74">
        <f>Matrix_prices!C173</f>
        <v>42675</v>
      </c>
      <c r="D185" s="75" t="str">
        <f>Matrix_prices!D173</f>
        <v>MD</v>
      </c>
      <c r="E185" s="76" t="str">
        <f>Matrix_prices!E173</f>
        <v>BGE</v>
      </c>
      <c r="F185" s="75" t="str">
        <f>Matrix_prices!F173</f>
        <v>GS</v>
      </c>
      <c r="G185" s="76" t="str">
        <f>Matrix_prices!G173</f>
        <v>General Service Small</v>
      </c>
      <c r="H185" s="157" t="str">
        <f t="shared" si="6"/>
        <v>0-100 MWh</v>
      </c>
      <c r="I185" s="76">
        <f>(Matrix_prices!I173+$D$2)*IF($M$2="Prices in $/MWh",1,1/1000)</f>
        <v>84.04</v>
      </c>
      <c r="J185" s="75">
        <f>(Matrix_prices!J173+$D$2)*IF($M$2="Prices in $/MWh",1,1/1000)</f>
        <v>84.59</v>
      </c>
      <c r="K185" s="76">
        <f>(Matrix_prices!K173+$D$2)*IF($M$2="Prices in $/MWh",1,1/1000)</f>
        <v>83.53</v>
      </c>
      <c r="L185" s="75">
        <f>(Matrix_prices!L173+$D$2)*IF($M$2="Prices in $/MWh",1,1/1000)</f>
        <v>38.729999999999997</v>
      </c>
      <c r="M185" s="76">
        <f>(Matrix_prices!M173+$D$2)*IF($M$2="Prices in $/MWh",1,1/1000)</f>
        <v>39.07</v>
      </c>
      <c r="N185" s="75">
        <f>(Matrix_prices!N173+$D$2)*IF($M$2="Prices in $/MWh",1,1/1000)</f>
        <v>39.01</v>
      </c>
    </row>
    <row r="186" spans="3:14" x14ac:dyDescent="0.25">
      <c r="C186" s="78">
        <f>Matrix_prices!C174</f>
        <v>42675</v>
      </c>
      <c r="D186" s="79" t="str">
        <f>Matrix_prices!D174</f>
        <v>MD</v>
      </c>
      <c r="E186" s="80" t="str">
        <f>Matrix_prices!E174</f>
        <v>BGE</v>
      </c>
      <c r="F186" s="79" t="str">
        <f>Matrix_prices!F174</f>
        <v>GS</v>
      </c>
      <c r="G186" s="80" t="str">
        <f>Matrix_prices!G174</f>
        <v>General Service Small</v>
      </c>
      <c r="H186" s="81" t="str">
        <f t="shared" si="7"/>
        <v>100-500 MWh</v>
      </c>
      <c r="I186" s="80">
        <f>(Matrix_prices!I174+$D$2)*IF($M$2="Prices in $/MWh",1,1/1000)</f>
        <v>82.44</v>
      </c>
      <c r="J186" s="79">
        <f>(Matrix_prices!J174+$D$2)*IF($M$2="Prices in $/MWh",1,1/1000)</f>
        <v>82.99</v>
      </c>
      <c r="K186" s="80">
        <f>(Matrix_prices!K174+$D$2)*IF($M$2="Prices in $/MWh",1,1/1000)</f>
        <v>81.93</v>
      </c>
      <c r="L186" s="79">
        <f>(Matrix_prices!L174+$D$2)*IF($M$2="Prices in $/MWh",1,1/1000)</f>
        <v>37.130000000000003</v>
      </c>
      <c r="M186" s="80">
        <f>(Matrix_prices!M174+$D$2)*IF($M$2="Prices in $/MWh",1,1/1000)</f>
        <v>37.47</v>
      </c>
      <c r="N186" s="79">
        <f>(Matrix_prices!N174+$D$2)*IF($M$2="Prices in $/MWh",1,1/1000)</f>
        <v>37.409999999999997</v>
      </c>
    </row>
    <row r="187" spans="3:14" x14ac:dyDescent="0.25">
      <c r="C187" s="82">
        <f>Matrix_prices!C175</f>
        <v>42675</v>
      </c>
      <c r="D187" s="83" t="str">
        <f>Matrix_prices!D175</f>
        <v>MD</v>
      </c>
      <c r="E187" s="84" t="str">
        <f>Matrix_prices!E175</f>
        <v>BGE</v>
      </c>
      <c r="F187" s="83" t="str">
        <f>Matrix_prices!F175</f>
        <v>GS</v>
      </c>
      <c r="G187" s="84" t="str">
        <f>Matrix_prices!G175</f>
        <v>General Service Small</v>
      </c>
      <c r="H187" s="85" t="str">
        <f t="shared" si="8"/>
        <v>500-2500 MWh</v>
      </c>
      <c r="I187" s="84">
        <f>(Matrix_prices!I175+$D$2)*IF($M$2="Prices in $/MWh",1,1/1000)</f>
        <v>81.39</v>
      </c>
      <c r="J187" s="83">
        <f>(Matrix_prices!J175+$D$2)*IF($M$2="Prices in $/MWh",1,1/1000)</f>
        <v>81.94</v>
      </c>
      <c r="K187" s="84">
        <f>(Matrix_prices!K175+$D$2)*IF($M$2="Prices in $/MWh",1,1/1000)</f>
        <v>80.88</v>
      </c>
      <c r="L187" s="83">
        <f>(Matrix_prices!L175+$D$2)*IF($M$2="Prices in $/MWh",1,1/1000)</f>
        <v>36.08</v>
      </c>
      <c r="M187" s="84">
        <f>(Matrix_prices!M175+$D$2)*IF($M$2="Prices in $/MWh",1,1/1000)</f>
        <v>36.42</v>
      </c>
      <c r="N187" s="83">
        <f>(Matrix_prices!N175+$D$2)*IF($M$2="Prices in $/MWh",1,1/1000)</f>
        <v>36.36</v>
      </c>
    </row>
    <row r="188" spans="3:14" x14ac:dyDescent="0.25">
      <c r="C188" s="151">
        <f>Matrix_prices!C176</f>
        <v>42705</v>
      </c>
      <c r="D188" s="152" t="str">
        <f>Matrix_prices!D176</f>
        <v>MD</v>
      </c>
      <c r="E188" s="153" t="str">
        <f>Matrix_prices!E176</f>
        <v>BGE</v>
      </c>
      <c r="F188" s="152" t="str">
        <f>Matrix_prices!F176</f>
        <v>GS</v>
      </c>
      <c r="G188" s="153" t="str">
        <f>Matrix_prices!G176</f>
        <v>General Service Small</v>
      </c>
      <c r="H188" s="157" t="str">
        <f t="shared" si="6"/>
        <v>0-100 MWh</v>
      </c>
      <c r="I188" s="153">
        <f>(Matrix_prices!I176+$D$2)*IF($M$2="Prices in $/MWh",1,1/1000)</f>
        <v>83.65</v>
      </c>
      <c r="J188" s="152">
        <f>(Matrix_prices!J176+$D$2)*IF($M$2="Prices in $/MWh",1,1/1000)</f>
        <v>84.65</v>
      </c>
      <c r="K188" s="153">
        <f>(Matrix_prices!K176+$D$2)*IF($M$2="Prices in $/MWh",1,1/1000)</f>
        <v>83.38</v>
      </c>
      <c r="L188" s="152">
        <f>(Matrix_prices!L176+$D$2)*IF($M$2="Prices in $/MWh",1,1/1000)</f>
        <v>38.6</v>
      </c>
      <c r="M188" s="153">
        <f>(Matrix_prices!M176+$D$2)*IF($M$2="Prices in $/MWh",1,1/1000)</f>
        <v>39.200000000000003</v>
      </c>
      <c r="N188" s="152">
        <f>(Matrix_prices!N176+$D$2)*IF($M$2="Prices in $/MWh",1,1/1000)</f>
        <v>39.01</v>
      </c>
    </row>
    <row r="189" spans="3:14" x14ac:dyDescent="0.25">
      <c r="C189" s="78">
        <f>Matrix_prices!C177</f>
        <v>42705</v>
      </c>
      <c r="D189" s="79" t="str">
        <f>Matrix_prices!D177</f>
        <v>MD</v>
      </c>
      <c r="E189" s="80" t="str">
        <f>Matrix_prices!E177</f>
        <v>BGE</v>
      </c>
      <c r="F189" s="79" t="str">
        <f>Matrix_prices!F177</f>
        <v>GS</v>
      </c>
      <c r="G189" s="80" t="str">
        <f>Matrix_prices!G177</f>
        <v>General Service Small</v>
      </c>
      <c r="H189" s="81" t="str">
        <f t="shared" si="7"/>
        <v>100-500 MWh</v>
      </c>
      <c r="I189" s="80">
        <f>(Matrix_prices!I177+$D$2)*IF($M$2="Prices in $/MWh",1,1/1000)</f>
        <v>82.05</v>
      </c>
      <c r="J189" s="79">
        <f>(Matrix_prices!J177+$D$2)*IF($M$2="Prices in $/MWh",1,1/1000)</f>
        <v>83.05</v>
      </c>
      <c r="K189" s="80">
        <f>(Matrix_prices!K177+$D$2)*IF($M$2="Prices in $/MWh",1,1/1000)</f>
        <v>81.78</v>
      </c>
      <c r="L189" s="79">
        <f>(Matrix_prices!L177+$D$2)*IF($M$2="Prices in $/MWh",1,1/1000)</f>
        <v>37</v>
      </c>
      <c r="M189" s="80">
        <f>(Matrix_prices!M177+$D$2)*IF($M$2="Prices in $/MWh",1,1/1000)</f>
        <v>37.6</v>
      </c>
      <c r="N189" s="79">
        <f>(Matrix_prices!N177+$D$2)*IF($M$2="Prices in $/MWh",1,1/1000)</f>
        <v>37.409999999999997</v>
      </c>
    </row>
    <row r="190" spans="3:14" x14ac:dyDescent="0.25">
      <c r="C190" s="82">
        <f>Matrix_prices!C178</f>
        <v>42705</v>
      </c>
      <c r="D190" s="83" t="str">
        <f>Matrix_prices!D178</f>
        <v>MD</v>
      </c>
      <c r="E190" s="84" t="str">
        <f>Matrix_prices!E178</f>
        <v>BGE</v>
      </c>
      <c r="F190" s="83" t="str">
        <f>Matrix_prices!F178</f>
        <v>GS</v>
      </c>
      <c r="G190" s="84" t="str">
        <f>Matrix_prices!G178</f>
        <v>General Service Small</v>
      </c>
      <c r="H190" s="85" t="str">
        <f t="shared" si="8"/>
        <v>500-2500 MWh</v>
      </c>
      <c r="I190" s="84">
        <f>(Matrix_prices!I178+$D$2)*IF($M$2="Prices in $/MWh",1,1/1000)</f>
        <v>81</v>
      </c>
      <c r="J190" s="83">
        <f>(Matrix_prices!J178+$D$2)*IF($M$2="Prices in $/MWh",1,1/1000)</f>
        <v>82</v>
      </c>
      <c r="K190" s="84">
        <f>(Matrix_prices!K178+$D$2)*IF($M$2="Prices in $/MWh",1,1/1000)</f>
        <v>80.73</v>
      </c>
      <c r="L190" s="83">
        <f>(Matrix_prices!L178+$D$2)*IF($M$2="Prices in $/MWh",1,1/1000)</f>
        <v>35.950000000000003</v>
      </c>
      <c r="M190" s="84">
        <f>(Matrix_prices!M178+$D$2)*IF($M$2="Prices in $/MWh",1,1/1000)</f>
        <v>36.549999999999997</v>
      </c>
      <c r="N190" s="83">
        <f>(Matrix_prices!N178+$D$2)*IF($M$2="Prices in $/MWh",1,1/1000)</f>
        <v>36.36</v>
      </c>
    </row>
    <row r="191" spans="3:14" x14ac:dyDescent="0.25">
      <c r="C191" s="74">
        <f>Matrix_prices!C179</f>
        <v>42736</v>
      </c>
      <c r="D191" s="75" t="str">
        <f>Matrix_prices!D179</f>
        <v>MD</v>
      </c>
      <c r="E191" s="76" t="str">
        <f>Matrix_prices!E179</f>
        <v>BGE</v>
      </c>
      <c r="F191" s="75" t="str">
        <f>Matrix_prices!F179</f>
        <v>GS</v>
      </c>
      <c r="G191" s="76" t="str">
        <f>Matrix_prices!G179</f>
        <v>General Service Small</v>
      </c>
      <c r="H191" s="157" t="str">
        <f t="shared" si="6"/>
        <v>0-100 MWh</v>
      </c>
      <c r="I191" s="76">
        <f>(Matrix_prices!I179+$D$2)*IF($M$2="Prices in $/MWh",1,1/1000)</f>
        <v>83.39</v>
      </c>
      <c r="J191" s="75">
        <f>(Matrix_prices!J179+$D$2)*IF($M$2="Prices in $/MWh",1,1/1000)</f>
        <v>84.57</v>
      </c>
      <c r="K191" s="76">
        <f>(Matrix_prices!K179+$D$2)*IF($M$2="Prices in $/MWh",1,1/1000)</f>
        <v>83.36</v>
      </c>
      <c r="L191" s="75">
        <f>(Matrix_prices!L179+$D$2)*IF($M$2="Prices in $/MWh",1,1/1000)</f>
        <v>38.51</v>
      </c>
      <c r="M191" s="76">
        <f>(Matrix_prices!M179+$D$2)*IF($M$2="Prices in $/MWh",1,1/1000)</f>
        <v>39.26</v>
      </c>
      <c r="N191" s="75">
        <f>(Matrix_prices!N179+$D$2)*IF($M$2="Prices in $/MWh",1,1/1000)</f>
        <v>39.04</v>
      </c>
    </row>
    <row r="192" spans="3:14" x14ac:dyDescent="0.25">
      <c r="C192" s="78">
        <f>Matrix_prices!C180</f>
        <v>42736</v>
      </c>
      <c r="D192" s="79" t="str">
        <f>Matrix_prices!D180</f>
        <v>MD</v>
      </c>
      <c r="E192" s="80" t="str">
        <f>Matrix_prices!E180</f>
        <v>BGE</v>
      </c>
      <c r="F192" s="79" t="str">
        <f>Matrix_prices!F180</f>
        <v>GS</v>
      </c>
      <c r="G192" s="80" t="str">
        <f>Matrix_prices!G180</f>
        <v>General Service Small</v>
      </c>
      <c r="H192" s="81" t="str">
        <f t="shared" si="7"/>
        <v>100-500 MWh</v>
      </c>
      <c r="I192" s="80">
        <f>(Matrix_prices!I180+$D$2)*IF($M$2="Prices in $/MWh",1,1/1000)</f>
        <v>81.790000000000006</v>
      </c>
      <c r="J192" s="79">
        <f>(Matrix_prices!J180+$D$2)*IF($M$2="Prices in $/MWh",1,1/1000)</f>
        <v>82.97</v>
      </c>
      <c r="K192" s="80">
        <f>(Matrix_prices!K180+$D$2)*IF($M$2="Prices in $/MWh",1,1/1000)</f>
        <v>81.760000000000005</v>
      </c>
      <c r="L192" s="79">
        <f>(Matrix_prices!L180+$D$2)*IF($M$2="Prices in $/MWh",1,1/1000)</f>
        <v>36.909999999999997</v>
      </c>
      <c r="M192" s="80">
        <f>(Matrix_prices!M180+$D$2)*IF($M$2="Prices in $/MWh",1,1/1000)</f>
        <v>37.659999999999997</v>
      </c>
      <c r="N192" s="79">
        <f>(Matrix_prices!N180+$D$2)*IF($M$2="Prices in $/MWh",1,1/1000)</f>
        <v>37.44</v>
      </c>
    </row>
    <row r="193" spans="3:14" x14ac:dyDescent="0.25">
      <c r="C193" s="82">
        <f>Matrix_prices!C181</f>
        <v>42736</v>
      </c>
      <c r="D193" s="83" t="str">
        <f>Matrix_prices!D181</f>
        <v>MD</v>
      </c>
      <c r="E193" s="84" t="str">
        <f>Matrix_prices!E181</f>
        <v>BGE</v>
      </c>
      <c r="F193" s="83" t="str">
        <f>Matrix_prices!F181</f>
        <v>GS</v>
      </c>
      <c r="G193" s="84" t="str">
        <f>Matrix_prices!G181</f>
        <v>General Service Small</v>
      </c>
      <c r="H193" s="85" t="str">
        <f t="shared" si="8"/>
        <v>500-2500 MWh</v>
      </c>
      <c r="I193" s="84">
        <f>(Matrix_prices!I181+$D$2)*IF($M$2="Prices in $/MWh",1,1/1000)</f>
        <v>80.739999999999995</v>
      </c>
      <c r="J193" s="83">
        <f>(Matrix_prices!J181+$D$2)*IF($M$2="Prices in $/MWh",1,1/1000)</f>
        <v>81.92</v>
      </c>
      <c r="K193" s="84">
        <f>(Matrix_prices!K181+$D$2)*IF($M$2="Prices in $/MWh",1,1/1000)</f>
        <v>80.709999999999994</v>
      </c>
      <c r="L193" s="83">
        <f>(Matrix_prices!L181+$D$2)*IF($M$2="Prices in $/MWh",1,1/1000)</f>
        <v>35.86</v>
      </c>
      <c r="M193" s="84">
        <f>(Matrix_prices!M181+$D$2)*IF($M$2="Prices in $/MWh",1,1/1000)</f>
        <v>36.61</v>
      </c>
      <c r="N193" s="83">
        <f>(Matrix_prices!N181+$D$2)*IF($M$2="Prices in $/MWh",1,1/1000)</f>
        <v>36.39</v>
      </c>
    </row>
    <row r="194" spans="3:14" x14ac:dyDescent="0.25">
      <c r="C194" s="151">
        <f>Matrix_prices!C182</f>
        <v>42401</v>
      </c>
      <c r="D194" s="152" t="str">
        <f>Matrix_prices!D182</f>
        <v>MD</v>
      </c>
      <c r="E194" s="153" t="str">
        <f>Matrix_prices!E182</f>
        <v>Delmarva</v>
      </c>
      <c r="F194" s="152" t="str">
        <f>Matrix_prices!F182</f>
        <v>GS</v>
      </c>
      <c r="G194" s="153" t="str">
        <f>Matrix_prices!G182</f>
        <v>General Service Small</v>
      </c>
      <c r="H194" s="157" t="str">
        <f t="shared" si="6"/>
        <v>0-100 MWh</v>
      </c>
      <c r="I194" s="153">
        <f>(Matrix_prices!I182+$D$2)*IF($M$2="Prices in $/MWh",1,1/1000)</f>
        <v>80.86</v>
      </c>
      <c r="J194" s="152">
        <f>(Matrix_prices!J182+$D$2)*IF($M$2="Prices in $/MWh",1,1/1000)</f>
        <v>80.66</v>
      </c>
      <c r="K194" s="153">
        <f>(Matrix_prices!K182+$D$2)*IF($M$2="Prices in $/MWh",1,1/1000)</f>
        <v>80.16</v>
      </c>
      <c r="L194" s="152">
        <f>(Matrix_prices!L182+$D$2)*IF($M$2="Prices in $/MWh",1,1/1000)</f>
        <v>39.58</v>
      </c>
      <c r="M194" s="153">
        <f>(Matrix_prices!M182+$D$2)*IF($M$2="Prices in $/MWh",1,1/1000)</f>
        <v>39.22</v>
      </c>
      <c r="N194" s="152">
        <f>(Matrix_prices!N182+$D$2)*IF($M$2="Prices in $/MWh",1,1/1000)</f>
        <v>39.17</v>
      </c>
    </row>
    <row r="195" spans="3:14" x14ac:dyDescent="0.25">
      <c r="C195" s="78">
        <f>Matrix_prices!C183</f>
        <v>42401</v>
      </c>
      <c r="D195" s="79" t="str">
        <f>Matrix_prices!D183</f>
        <v>MD</v>
      </c>
      <c r="E195" s="80" t="str">
        <f>Matrix_prices!E183</f>
        <v>Delmarva</v>
      </c>
      <c r="F195" s="79" t="str">
        <f>Matrix_prices!F183</f>
        <v>GS</v>
      </c>
      <c r="G195" s="80" t="str">
        <f>Matrix_prices!G183</f>
        <v>General Service Small</v>
      </c>
      <c r="H195" s="81" t="str">
        <f t="shared" si="7"/>
        <v>100-500 MWh</v>
      </c>
      <c r="I195" s="80">
        <f>(Matrix_prices!I183+$D$2)*IF($M$2="Prices in $/MWh",1,1/1000)</f>
        <v>79.260000000000005</v>
      </c>
      <c r="J195" s="79">
        <f>(Matrix_prices!J183+$D$2)*IF($M$2="Prices in $/MWh",1,1/1000)</f>
        <v>79.06</v>
      </c>
      <c r="K195" s="80">
        <f>(Matrix_prices!K183+$D$2)*IF($M$2="Prices in $/MWh",1,1/1000)</f>
        <v>78.56</v>
      </c>
      <c r="L195" s="79">
        <f>(Matrix_prices!L183+$D$2)*IF($M$2="Prices in $/MWh",1,1/1000)</f>
        <v>37.979999999999997</v>
      </c>
      <c r="M195" s="80">
        <f>(Matrix_prices!M183+$D$2)*IF($M$2="Prices in $/MWh",1,1/1000)</f>
        <v>37.619999999999997</v>
      </c>
      <c r="N195" s="79">
        <f>(Matrix_prices!N183+$D$2)*IF($M$2="Prices in $/MWh",1,1/1000)</f>
        <v>37.57</v>
      </c>
    </row>
    <row r="196" spans="3:14" x14ac:dyDescent="0.25">
      <c r="C196" s="82">
        <f>Matrix_prices!C184</f>
        <v>42401</v>
      </c>
      <c r="D196" s="83" t="str">
        <f>Matrix_prices!D184</f>
        <v>MD</v>
      </c>
      <c r="E196" s="84" t="str">
        <f>Matrix_prices!E184</f>
        <v>Delmarva</v>
      </c>
      <c r="F196" s="83" t="str">
        <f>Matrix_prices!F184</f>
        <v>GS</v>
      </c>
      <c r="G196" s="84" t="str">
        <f>Matrix_prices!G184</f>
        <v>General Service Small</v>
      </c>
      <c r="H196" s="85" t="str">
        <f t="shared" si="8"/>
        <v>500-2500 MWh</v>
      </c>
      <c r="I196" s="84">
        <f>(Matrix_prices!I184+$D$2)*IF($M$2="Prices in $/MWh",1,1/1000)</f>
        <v>78.209999999999994</v>
      </c>
      <c r="J196" s="83">
        <f>(Matrix_prices!J184+$D$2)*IF($M$2="Prices in $/MWh",1,1/1000)</f>
        <v>78.010000000000005</v>
      </c>
      <c r="K196" s="84">
        <f>(Matrix_prices!K184+$D$2)*IF($M$2="Prices in $/MWh",1,1/1000)</f>
        <v>77.510000000000005</v>
      </c>
      <c r="L196" s="83">
        <f>(Matrix_prices!L184+$D$2)*IF($M$2="Prices in $/MWh",1,1/1000)</f>
        <v>36.93</v>
      </c>
      <c r="M196" s="84">
        <f>(Matrix_prices!M184+$D$2)*IF($M$2="Prices in $/MWh",1,1/1000)</f>
        <v>36.57</v>
      </c>
      <c r="N196" s="83">
        <f>(Matrix_prices!N184+$D$2)*IF($M$2="Prices in $/MWh",1,1/1000)</f>
        <v>36.520000000000003</v>
      </c>
    </row>
    <row r="197" spans="3:14" x14ac:dyDescent="0.25">
      <c r="C197" s="74">
        <f>Matrix_prices!C185</f>
        <v>42430</v>
      </c>
      <c r="D197" s="75" t="str">
        <f>Matrix_prices!D185</f>
        <v>MD</v>
      </c>
      <c r="E197" s="76" t="str">
        <f>Matrix_prices!E185</f>
        <v>Delmarva</v>
      </c>
      <c r="F197" s="75" t="str">
        <f>Matrix_prices!F185</f>
        <v>GS</v>
      </c>
      <c r="G197" s="76" t="str">
        <f>Matrix_prices!G185</f>
        <v>General Service Small</v>
      </c>
      <c r="H197" s="157" t="str">
        <f t="shared" si="6"/>
        <v>0-100 MWh</v>
      </c>
      <c r="I197" s="76">
        <f>(Matrix_prices!I185+$D$2)*IF($M$2="Prices in $/MWh",1,1/1000)</f>
        <v>81.06</v>
      </c>
      <c r="J197" s="75">
        <f>(Matrix_prices!J185+$D$2)*IF($M$2="Prices in $/MWh",1,1/1000)</f>
        <v>79.680000000000007</v>
      </c>
      <c r="K197" s="76">
        <f>(Matrix_prices!K185+$D$2)*IF($M$2="Prices in $/MWh",1,1/1000)</f>
        <v>80.25</v>
      </c>
      <c r="L197" s="75">
        <f>(Matrix_prices!L185+$D$2)*IF($M$2="Prices in $/MWh",1,1/1000)</f>
        <v>39.47</v>
      </c>
      <c r="M197" s="76">
        <f>(Matrix_prices!M185+$D$2)*IF($M$2="Prices in $/MWh",1,1/1000)</f>
        <v>38.799999999999997</v>
      </c>
      <c r="N197" s="75">
        <f>(Matrix_prices!N185+$D$2)*IF($M$2="Prices in $/MWh",1,1/1000)</f>
        <v>39.130000000000003</v>
      </c>
    </row>
    <row r="198" spans="3:14" x14ac:dyDescent="0.25">
      <c r="C198" s="78">
        <f>Matrix_prices!C186</f>
        <v>42430</v>
      </c>
      <c r="D198" s="79" t="str">
        <f>Matrix_prices!D186</f>
        <v>MD</v>
      </c>
      <c r="E198" s="80" t="str">
        <f>Matrix_prices!E186</f>
        <v>Delmarva</v>
      </c>
      <c r="F198" s="79" t="str">
        <f>Matrix_prices!F186</f>
        <v>GS</v>
      </c>
      <c r="G198" s="80" t="str">
        <f>Matrix_prices!G186</f>
        <v>General Service Small</v>
      </c>
      <c r="H198" s="81" t="str">
        <f t="shared" si="7"/>
        <v>100-500 MWh</v>
      </c>
      <c r="I198" s="80">
        <f>(Matrix_prices!I186+$D$2)*IF($M$2="Prices in $/MWh",1,1/1000)</f>
        <v>79.459999999999994</v>
      </c>
      <c r="J198" s="79">
        <f>(Matrix_prices!J186+$D$2)*IF($M$2="Prices in $/MWh",1,1/1000)</f>
        <v>78.08</v>
      </c>
      <c r="K198" s="80">
        <f>(Matrix_prices!K186+$D$2)*IF($M$2="Prices in $/MWh",1,1/1000)</f>
        <v>78.650000000000006</v>
      </c>
      <c r="L198" s="79">
        <f>(Matrix_prices!L186+$D$2)*IF($M$2="Prices in $/MWh",1,1/1000)</f>
        <v>37.869999999999997</v>
      </c>
      <c r="M198" s="80">
        <f>(Matrix_prices!M186+$D$2)*IF($M$2="Prices in $/MWh",1,1/1000)</f>
        <v>37.200000000000003</v>
      </c>
      <c r="N198" s="79">
        <f>(Matrix_prices!N186+$D$2)*IF($M$2="Prices in $/MWh",1,1/1000)</f>
        <v>37.53</v>
      </c>
    </row>
    <row r="199" spans="3:14" x14ac:dyDescent="0.25">
      <c r="C199" s="82">
        <f>Matrix_prices!C187</f>
        <v>42430</v>
      </c>
      <c r="D199" s="83" t="str">
        <f>Matrix_prices!D187</f>
        <v>MD</v>
      </c>
      <c r="E199" s="84" t="str">
        <f>Matrix_prices!E187</f>
        <v>Delmarva</v>
      </c>
      <c r="F199" s="83" t="str">
        <f>Matrix_prices!F187</f>
        <v>GS</v>
      </c>
      <c r="G199" s="84" t="str">
        <f>Matrix_prices!G187</f>
        <v>General Service Small</v>
      </c>
      <c r="H199" s="85" t="str">
        <f t="shared" si="8"/>
        <v>500-2500 MWh</v>
      </c>
      <c r="I199" s="84">
        <f>(Matrix_prices!I187+$D$2)*IF($M$2="Prices in $/MWh",1,1/1000)</f>
        <v>78.41</v>
      </c>
      <c r="J199" s="83">
        <f>(Matrix_prices!J187+$D$2)*IF($M$2="Prices in $/MWh",1,1/1000)</f>
        <v>77.03</v>
      </c>
      <c r="K199" s="84">
        <f>(Matrix_prices!K187+$D$2)*IF($M$2="Prices in $/MWh",1,1/1000)</f>
        <v>77.599999999999994</v>
      </c>
      <c r="L199" s="83">
        <f>(Matrix_prices!L187+$D$2)*IF($M$2="Prices in $/MWh",1,1/1000)</f>
        <v>36.82</v>
      </c>
      <c r="M199" s="84">
        <f>(Matrix_prices!M187+$D$2)*IF($M$2="Prices in $/MWh",1,1/1000)</f>
        <v>36.15</v>
      </c>
      <c r="N199" s="83">
        <f>(Matrix_prices!N187+$D$2)*IF($M$2="Prices in $/MWh",1,1/1000)</f>
        <v>36.479999999999997</v>
      </c>
    </row>
    <row r="200" spans="3:14" x14ac:dyDescent="0.25">
      <c r="C200" s="151">
        <f>Matrix_prices!C188</f>
        <v>42461</v>
      </c>
      <c r="D200" s="152" t="str">
        <f>Matrix_prices!D188</f>
        <v>MD</v>
      </c>
      <c r="E200" s="153" t="str">
        <f>Matrix_prices!E188</f>
        <v>Delmarva</v>
      </c>
      <c r="F200" s="152" t="str">
        <f>Matrix_prices!F188</f>
        <v>GS</v>
      </c>
      <c r="G200" s="153" t="str">
        <f>Matrix_prices!G188</f>
        <v>General Service Small</v>
      </c>
      <c r="H200" s="157" t="str">
        <f t="shared" si="6"/>
        <v>0-100 MWh</v>
      </c>
      <c r="I200" s="153">
        <f>(Matrix_prices!I188+$D$2)*IF($M$2="Prices in $/MWh",1,1/1000)</f>
        <v>80.569999999999993</v>
      </c>
      <c r="J200" s="152">
        <f>(Matrix_prices!J188+$D$2)*IF($M$2="Prices in $/MWh",1,1/1000)</f>
        <v>78.81</v>
      </c>
      <c r="K200" s="153">
        <f>(Matrix_prices!K188+$D$2)*IF($M$2="Prices in $/MWh",1,1/1000)</f>
        <v>79.98</v>
      </c>
      <c r="L200" s="152">
        <f>(Matrix_prices!L188+$D$2)*IF($M$2="Prices in $/MWh",1,1/1000)</f>
        <v>39.33</v>
      </c>
      <c r="M200" s="153">
        <f>(Matrix_prices!M188+$D$2)*IF($M$2="Prices in $/MWh",1,1/1000)</f>
        <v>38.450000000000003</v>
      </c>
      <c r="N200" s="152">
        <f>(Matrix_prices!N188+$D$2)*IF($M$2="Prices in $/MWh",1,1/1000)</f>
        <v>39.07</v>
      </c>
    </row>
    <row r="201" spans="3:14" x14ac:dyDescent="0.25">
      <c r="C201" s="78">
        <f>Matrix_prices!C189</f>
        <v>42461</v>
      </c>
      <c r="D201" s="79" t="str">
        <f>Matrix_prices!D189</f>
        <v>MD</v>
      </c>
      <c r="E201" s="80" t="str">
        <f>Matrix_prices!E189</f>
        <v>Delmarva</v>
      </c>
      <c r="F201" s="79" t="str">
        <f>Matrix_prices!F189</f>
        <v>GS</v>
      </c>
      <c r="G201" s="80" t="str">
        <f>Matrix_prices!G189</f>
        <v>General Service Small</v>
      </c>
      <c r="H201" s="81" t="str">
        <f t="shared" si="7"/>
        <v>100-500 MWh</v>
      </c>
      <c r="I201" s="80">
        <f>(Matrix_prices!I189+$D$2)*IF($M$2="Prices in $/MWh",1,1/1000)</f>
        <v>78.97</v>
      </c>
      <c r="J201" s="79">
        <f>(Matrix_prices!J189+$D$2)*IF($M$2="Prices in $/MWh",1,1/1000)</f>
        <v>77.209999999999994</v>
      </c>
      <c r="K201" s="80">
        <f>(Matrix_prices!K189+$D$2)*IF($M$2="Prices in $/MWh",1,1/1000)</f>
        <v>78.38</v>
      </c>
      <c r="L201" s="79">
        <f>(Matrix_prices!L189+$D$2)*IF($M$2="Prices in $/MWh",1,1/1000)</f>
        <v>37.729999999999997</v>
      </c>
      <c r="M201" s="80">
        <f>(Matrix_prices!M189+$D$2)*IF($M$2="Prices in $/MWh",1,1/1000)</f>
        <v>36.85</v>
      </c>
      <c r="N201" s="79">
        <f>(Matrix_prices!N189+$D$2)*IF($M$2="Prices in $/MWh",1,1/1000)</f>
        <v>37.47</v>
      </c>
    </row>
    <row r="202" spans="3:14" x14ac:dyDescent="0.25">
      <c r="C202" s="82">
        <f>Matrix_prices!C190</f>
        <v>42461</v>
      </c>
      <c r="D202" s="83" t="str">
        <f>Matrix_prices!D190</f>
        <v>MD</v>
      </c>
      <c r="E202" s="84" t="str">
        <f>Matrix_prices!E190</f>
        <v>Delmarva</v>
      </c>
      <c r="F202" s="83" t="str">
        <f>Matrix_prices!F190</f>
        <v>GS</v>
      </c>
      <c r="G202" s="84" t="str">
        <f>Matrix_prices!G190</f>
        <v>General Service Small</v>
      </c>
      <c r="H202" s="85" t="str">
        <f t="shared" si="8"/>
        <v>500-2500 MWh</v>
      </c>
      <c r="I202" s="84">
        <f>(Matrix_prices!I190+$D$2)*IF($M$2="Prices in $/MWh",1,1/1000)</f>
        <v>77.92</v>
      </c>
      <c r="J202" s="83">
        <f>(Matrix_prices!J190+$D$2)*IF($M$2="Prices in $/MWh",1,1/1000)</f>
        <v>76.16</v>
      </c>
      <c r="K202" s="84">
        <f>(Matrix_prices!K190+$D$2)*IF($M$2="Prices in $/MWh",1,1/1000)</f>
        <v>77.33</v>
      </c>
      <c r="L202" s="83">
        <f>(Matrix_prices!L190+$D$2)*IF($M$2="Prices in $/MWh",1,1/1000)</f>
        <v>36.68</v>
      </c>
      <c r="M202" s="84">
        <f>(Matrix_prices!M190+$D$2)*IF($M$2="Prices in $/MWh",1,1/1000)</f>
        <v>35.799999999999997</v>
      </c>
      <c r="N202" s="83">
        <f>(Matrix_prices!N190+$D$2)*IF($M$2="Prices in $/MWh",1,1/1000)</f>
        <v>36.42</v>
      </c>
    </row>
    <row r="203" spans="3:14" x14ac:dyDescent="0.25">
      <c r="C203" s="74">
        <f>Matrix_prices!C191</f>
        <v>42491</v>
      </c>
      <c r="D203" s="75" t="str">
        <f>Matrix_prices!D191</f>
        <v>MD</v>
      </c>
      <c r="E203" s="76" t="str">
        <f>Matrix_prices!E191</f>
        <v>Delmarva</v>
      </c>
      <c r="F203" s="75" t="str">
        <f>Matrix_prices!F191</f>
        <v>GS</v>
      </c>
      <c r="G203" s="76" t="str">
        <f>Matrix_prices!G191</f>
        <v>General Service Small</v>
      </c>
      <c r="H203" s="157" t="str">
        <f t="shared" ref="H203:H266" si="9">IF($M$2="Prices in $/MWh","0-100 MWh","0-100,000 kWh")</f>
        <v>0-100 MWh</v>
      </c>
      <c r="I203" s="76">
        <f>(Matrix_prices!I191+$D$2)*IF($M$2="Prices in $/MWh",1,1/1000)</f>
        <v>80.400000000000006</v>
      </c>
      <c r="J203" s="75">
        <f>(Matrix_prices!J191+$D$2)*IF($M$2="Prices in $/MWh",1,1/1000)</f>
        <v>78.459999999999994</v>
      </c>
      <c r="K203" s="76">
        <f>(Matrix_prices!K191+$D$2)*IF($M$2="Prices in $/MWh",1,1/1000)</f>
        <v>79.87</v>
      </c>
      <c r="L203" s="75">
        <f>(Matrix_prices!L191+$D$2)*IF($M$2="Prices in $/MWh",1,1/1000)</f>
        <v>39.08</v>
      </c>
      <c r="M203" s="76">
        <f>(Matrix_prices!M191+$D$2)*IF($M$2="Prices in $/MWh",1,1/1000)</f>
        <v>38.28</v>
      </c>
      <c r="N203" s="75">
        <f>(Matrix_prices!N191+$D$2)*IF($M$2="Prices in $/MWh",1,1/1000)</f>
        <v>38.96</v>
      </c>
    </row>
    <row r="204" spans="3:14" x14ac:dyDescent="0.25">
      <c r="C204" s="78">
        <f>Matrix_prices!C192</f>
        <v>42491</v>
      </c>
      <c r="D204" s="79" t="str">
        <f>Matrix_prices!D192</f>
        <v>MD</v>
      </c>
      <c r="E204" s="80" t="str">
        <f>Matrix_prices!E192</f>
        <v>Delmarva</v>
      </c>
      <c r="F204" s="79" t="str">
        <f>Matrix_prices!F192</f>
        <v>GS</v>
      </c>
      <c r="G204" s="80" t="str">
        <f>Matrix_prices!G192</f>
        <v>General Service Small</v>
      </c>
      <c r="H204" s="81" t="str">
        <f t="shared" ref="H204:H267" si="10">IF($M$2="Prices in $/MWh","100-500 MWh","100,000-500,000 kWh")</f>
        <v>100-500 MWh</v>
      </c>
      <c r="I204" s="80">
        <f>(Matrix_prices!I192+$D$2)*IF($M$2="Prices in $/MWh",1,1/1000)</f>
        <v>78.8</v>
      </c>
      <c r="J204" s="79">
        <f>(Matrix_prices!J192+$D$2)*IF($M$2="Prices in $/MWh",1,1/1000)</f>
        <v>76.86</v>
      </c>
      <c r="K204" s="80">
        <f>(Matrix_prices!K192+$D$2)*IF($M$2="Prices in $/MWh",1,1/1000)</f>
        <v>78.27</v>
      </c>
      <c r="L204" s="79">
        <f>(Matrix_prices!L192+$D$2)*IF($M$2="Prices in $/MWh",1,1/1000)</f>
        <v>37.479999999999997</v>
      </c>
      <c r="M204" s="80">
        <f>(Matrix_prices!M192+$D$2)*IF($M$2="Prices in $/MWh",1,1/1000)</f>
        <v>36.68</v>
      </c>
      <c r="N204" s="79">
        <f>(Matrix_prices!N192+$D$2)*IF($M$2="Prices in $/MWh",1,1/1000)</f>
        <v>37.36</v>
      </c>
    </row>
    <row r="205" spans="3:14" x14ac:dyDescent="0.25">
      <c r="C205" s="82">
        <f>Matrix_prices!C193</f>
        <v>42491</v>
      </c>
      <c r="D205" s="83" t="str">
        <f>Matrix_prices!D193</f>
        <v>MD</v>
      </c>
      <c r="E205" s="84" t="str">
        <f>Matrix_prices!E193</f>
        <v>Delmarva</v>
      </c>
      <c r="F205" s="83" t="str">
        <f>Matrix_prices!F193</f>
        <v>GS</v>
      </c>
      <c r="G205" s="84" t="str">
        <f>Matrix_prices!G193</f>
        <v>General Service Small</v>
      </c>
      <c r="H205" s="85" t="str">
        <f t="shared" ref="H205:H268" si="11">IF($M$2="Prices in $/MWh","500-2500 MWh","500,000-2,500,000 kWh")</f>
        <v>500-2500 MWh</v>
      </c>
      <c r="I205" s="84">
        <f>(Matrix_prices!I193+$D$2)*IF($M$2="Prices in $/MWh",1,1/1000)</f>
        <v>77.75</v>
      </c>
      <c r="J205" s="83">
        <f>(Matrix_prices!J193+$D$2)*IF($M$2="Prices in $/MWh",1,1/1000)</f>
        <v>75.81</v>
      </c>
      <c r="K205" s="84">
        <f>(Matrix_prices!K193+$D$2)*IF($M$2="Prices in $/MWh",1,1/1000)</f>
        <v>77.22</v>
      </c>
      <c r="L205" s="83">
        <f>(Matrix_prices!L193+$D$2)*IF($M$2="Prices in $/MWh",1,1/1000)</f>
        <v>36.43</v>
      </c>
      <c r="M205" s="84">
        <f>(Matrix_prices!M193+$D$2)*IF($M$2="Prices in $/MWh",1,1/1000)</f>
        <v>35.630000000000003</v>
      </c>
      <c r="N205" s="83">
        <f>(Matrix_prices!N193+$D$2)*IF($M$2="Prices in $/MWh",1,1/1000)</f>
        <v>36.31</v>
      </c>
    </row>
    <row r="206" spans="3:14" x14ac:dyDescent="0.25">
      <c r="C206" s="151">
        <f>Matrix_prices!C194</f>
        <v>42522</v>
      </c>
      <c r="D206" s="152" t="str">
        <f>Matrix_prices!D194</f>
        <v>MD</v>
      </c>
      <c r="E206" s="153" t="str">
        <f>Matrix_prices!E194</f>
        <v>Delmarva</v>
      </c>
      <c r="F206" s="152" t="str">
        <f>Matrix_prices!F194</f>
        <v>GS</v>
      </c>
      <c r="G206" s="153" t="str">
        <f>Matrix_prices!G194</f>
        <v>General Service Small</v>
      </c>
      <c r="H206" s="157" t="str">
        <f t="shared" si="9"/>
        <v>0-100 MWh</v>
      </c>
      <c r="I206" s="153">
        <f>(Matrix_prices!I194+$D$2)*IF($M$2="Prices in $/MWh",1,1/1000)</f>
        <v>80.11</v>
      </c>
      <c r="J206" s="152">
        <f>(Matrix_prices!J194+$D$2)*IF($M$2="Prices in $/MWh",1,1/1000)</f>
        <v>78.239999999999995</v>
      </c>
      <c r="K206" s="153">
        <f>(Matrix_prices!K194+$D$2)*IF($M$2="Prices in $/MWh",1,1/1000)</f>
        <v>79.72</v>
      </c>
      <c r="L206" s="152">
        <f>(Matrix_prices!L194+$D$2)*IF($M$2="Prices in $/MWh",1,1/1000)</f>
        <v>38.75</v>
      </c>
      <c r="M206" s="153">
        <f>(Matrix_prices!M194+$D$2)*IF($M$2="Prices in $/MWh",1,1/1000)</f>
        <v>38.21</v>
      </c>
      <c r="N206" s="152">
        <f>(Matrix_prices!N194+$D$2)*IF($M$2="Prices in $/MWh",1,1/1000)</f>
        <v>38.799999999999997</v>
      </c>
    </row>
    <row r="207" spans="3:14" x14ac:dyDescent="0.25">
      <c r="C207" s="78">
        <f>Matrix_prices!C195</f>
        <v>42522</v>
      </c>
      <c r="D207" s="79" t="str">
        <f>Matrix_prices!D195</f>
        <v>MD</v>
      </c>
      <c r="E207" s="80" t="str">
        <f>Matrix_prices!E195</f>
        <v>Delmarva</v>
      </c>
      <c r="F207" s="79" t="str">
        <f>Matrix_prices!F195</f>
        <v>GS</v>
      </c>
      <c r="G207" s="80" t="str">
        <f>Matrix_prices!G195</f>
        <v>General Service Small</v>
      </c>
      <c r="H207" s="81" t="str">
        <f t="shared" si="10"/>
        <v>100-500 MWh</v>
      </c>
      <c r="I207" s="80">
        <f>(Matrix_prices!I195+$D$2)*IF($M$2="Prices in $/MWh",1,1/1000)</f>
        <v>78.510000000000005</v>
      </c>
      <c r="J207" s="79">
        <f>(Matrix_prices!J195+$D$2)*IF($M$2="Prices in $/MWh",1,1/1000)</f>
        <v>76.64</v>
      </c>
      <c r="K207" s="80">
        <f>(Matrix_prices!K195+$D$2)*IF($M$2="Prices in $/MWh",1,1/1000)</f>
        <v>78.12</v>
      </c>
      <c r="L207" s="79">
        <f>(Matrix_prices!L195+$D$2)*IF($M$2="Prices in $/MWh",1,1/1000)</f>
        <v>37.15</v>
      </c>
      <c r="M207" s="80">
        <f>(Matrix_prices!M195+$D$2)*IF($M$2="Prices in $/MWh",1,1/1000)</f>
        <v>36.61</v>
      </c>
      <c r="N207" s="79">
        <f>(Matrix_prices!N195+$D$2)*IF($M$2="Prices in $/MWh",1,1/1000)</f>
        <v>37.200000000000003</v>
      </c>
    </row>
    <row r="208" spans="3:14" x14ac:dyDescent="0.25">
      <c r="C208" s="82">
        <f>Matrix_prices!C196</f>
        <v>42522</v>
      </c>
      <c r="D208" s="83" t="str">
        <f>Matrix_prices!D196</f>
        <v>MD</v>
      </c>
      <c r="E208" s="84" t="str">
        <f>Matrix_prices!E196</f>
        <v>Delmarva</v>
      </c>
      <c r="F208" s="83" t="str">
        <f>Matrix_prices!F196</f>
        <v>GS</v>
      </c>
      <c r="G208" s="84" t="str">
        <f>Matrix_prices!G196</f>
        <v>General Service Small</v>
      </c>
      <c r="H208" s="85" t="str">
        <f t="shared" si="11"/>
        <v>500-2500 MWh</v>
      </c>
      <c r="I208" s="84">
        <f>(Matrix_prices!I196+$D$2)*IF($M$2="Prices in $/MWh",1,1/1000)</f>
        <v>77.459999999999994</v>
      </c>
      <c r="J208" s="83">
        <f>(Matrix_prices!J196+$D$2)*IF($M$2="Prices in $/MWh",1,1/1000)</f>
        <v>75.59</v>
      </c>
      <c r="K208" s="84">
        <f>(Matrix_prices!K196+$D$2)*IF($M$2="Prices in $/MWh",1,1/1000)</f>
        <v>77.069999999999993</v>
      </c>
      <c r="L208" s="83">
        <f>(Matrix_prices!L196+$D$2)*IF($M$2="Prices in $/MWh",1,1/1000)</f>
        <v>36.1</v>
      </c>
      <c r="M208" s="84">
        <f>(Matrix_prices!M196+$D$2)*IF($M$2="Prices in $/MWh",1,1/1000)</f>
        <v>35.56</v>
      </c>
      <c r="N208" s="83">
        <f>(Matrix_prices!N196+$D$2)*IF($M$2="Prices in $/MWh",1,1/1000)</f>
        <v>36.15</v>
      </c>
    </row>
    <row r="209" spans="3:14" x14ac:dyDescent="0.25">
      <c r="C209" s="74">
        <f>Matrix_prices!C197</f>
        <v>42552</v>
      </c>
      <c r="D209" s="75" t="str">
        <f>Matrix_prices!D197</f>
        <v>MD</v>
      </c>
      <c r="E209" s="76" t="str">
        <f>Matrix_prices!E197</f>
        <v>Delmarva</v>
      </c>
      <c r="F209" s="75" t="str">
        <f>Matrix_prices!F197</f>
        <v>GS</v>
      </c>
      <c r="G209" s="76" t="str">
        <f>Matrix_prices!G197</f>
        <v>General Service Small</v>
      </c>
      <c r="H209" s="157" t="str">
        <f t="shared" si="9"/>
        <v>0-100 MWh</v>
      </c>
      <c r="I209" s="76">
        <f>(Matrix_prices!I197+$D$2)*IF($M$2="Prices in $/MWh",1,1/1000)</f>
        <v>80.08</v>
      </c>
      <c r="J209" s="75">
        <f>(Matrix_prices!J197+$D$2)*IF($M$2="Prices in $/MWh",1,1/1000)</f>
        <v>78.41</v>
      </c>
      <c r="K209" s="76">
        <f>(Matrix_prices!K197+$D$2)*IF($M$2="Prices in $/MWh",1,1/1000)</f>
        <v>80.02</v>
      </c>
      <c r="L209" s="75">
        <f>(Matrix_prices!L197+$D$2)*IF($M$2="Prices in $/MWh",1,1/1000)</f>
        <v>38.729999999999997</v>
      </c>
      <c r="M209" s="76">
        <f>(Matrix_prices!M197+$D$2)*IF($M$2="Prices in $/MWh",1,1/1000)</f>
        <v>38.43</v>
      </c>
      <c r="N209" s="75">
        <f>(Matrix_prices!N197+$D$2)*IF($M$2="Prices in $/MWh",1,1/1000)</f>
        <v>39.159999999999997</v>
      </c>
    </row>
    <row r="210" spans="3:14" x14ac:dyDescent="0.25">
      <c r="C210" s="78">
        <f>Matrix_prices!C198</f>
        <v>42552</v>
      </c>
      <c r="D210" s="79" t="str">
        <f>Matrix_prices!D198</f>
        <v>MD</v>
      </c>
      <c r="E210" s="80" t="str">
        <f>Matrix_prices!E198</f>
        <v>Delmarva</v>
      </c>
      <c r="F210" s="79" t="str">
        <f>Matrix_prices!F198</f>
        <v>GS</v>
      </c>
      <c r="G210" s="80" t="str">
        <f>Matrix_prices!G198</f>
        <v>General Service Small</v>
      </c>
      <c r="H210" s="81" t="str">
        <f t="shared" si="10"/>
        <v>100-500 MWh</v>
      </c>
      <c r="I210" s="80">
        <f>(Matrix_prices!I198+$D$2)*IF($M$2="Prices in $/MWh",1,1/1000)</f>
        <v>78.48</v>
      </c>
      <c r="J210" s="79">
        <f>(Matrix_prices!J198+$D$2)*IF($M$2="Prices in $/MWh",1,1/1000)</f>
        <v>76.81</v>
      </c>
      <c r="K210" s="80">
        <f>(Matrix_prices!K198+$D$2)*IF($M$2="Prices in $/MWh",1,1/1000)</f>
        <v>78.42</v>
      </c>
      <c r="L210" s="79">
        <f>(Matrix_prices!L198+$D$2)*IF($M$2="Prices in $/MWh",1,1/1000)</f>
        <v>37.130000000000003</v>
      </c>
      <c r="M210" s="80">
        <f>(Matrix_prices!M198+$D$2)*IF($M$2="Prices in $/MWh",1,1/1000)</f>
        <v>36.83</v>
      </c>
      <c r="N210" s="79">
        <f>(Matrix_prices!N198+$D$2)*IF($M$2="Prices in $/MWh",1,1/1000)</f>
        <v>37.56</v>
      </c>
    </row>
    <row r="211" spans="3:14" x14ac:dyDescent="0.25">
      <c r="C211" s="82">
        <f>Matrix_prices!C199</f>
        <v>42552</v>
      </c>
      <c r="D211" s="83" t="str">
        <f>Matrix_prices!D199</f>
        <v>MD</v>
      </c>
      <c r="E211" s="84" t="str">
        <f>Matrix_prices!E199</f>
        <v>Delmarva</v>
      </c>
      <c r="F211" s="83" t="str">
        <f>Matrix_prices!F199</f>
        <v>GS</v>
      </c>
      <c r="G211" s="84" t="str">
        <f>Matrix_prices!G199</f>
        <v>General Service Small</v>
      </c>
      <c r="H211" s="85" t="str">
        <f t="shared" si="11"/>
        <v>500-2500 MWh</v>
      </c>
      <c r="I211" s="84">
        <f>(Matrix_prices!I199+$D$2)*IF($M$2="Prices in $/MWh",1,1/1000)</f>
        <v>77.430000000000007</v>
      </c>
      <c r="J211" s="83">
        <f>(Matrix_prices!J199+$D$2)*IF($M$2="Prices in $/MWh",1,1/1000)</f>
        <v>75.760000000000005</v>
      </c>
      <c r="K211" s="84">
        <f>(Matrix_prices!K199+$D$2)*IF($M$2="Prices in $/MWh",1,1/1000)</f>
        <v>77.37</v>
      </c>
      <c r="L211" s="83">
        <f>(Matrix_prices!L199+$D$2)*IF($M$2="Prices in $/MWh",1,1/1000)</f>
        <v>36.08</v>
      </c>
      <c r="M211" s="84">
        <f>(Matrix_prices!M199+$D$2)*IF($M$2="Prices in $/MWh",1,1/1000)</f>
        <v>35.78</v>
      </c>
      <c r="N211" s="83">
        <f>(Matrix_prices!N199+$D$2)*IF($M$2="Prices in $/MWh",1,1/1000)</f>
        <v>36.51</v>
      </c>
    </row>
    <row r="212" spans="3:14" x14ac:dyDescent="0.25">
      <c r="C212" s="151">
        <f>Matrix_prices!C200</f>
        <v>42583</v>
      </c>
      <c r="D212" s="152" t="str">
        <f>Matrix_prices!D200</f>
        <v>MD</v>
      </c>
      <c r="E212" s="153" t="str">
        <f>Matrix_prices!E200</f>
        <v>Delmarva</v>
      </c>
      <c r="F212" s="152" t="str">
        <f>Matrix_prices!F200</f>
        <v>GS</v>
      </c>
      <c r="G212" s="153" t="str">
        <f>Matrix_prices!G200</f>
        <v>General Service Small</v>
      </c>
      <c r="H212" s="157" t="str">
        <f t="shared" si="9"/>
        <v>0-100 MWh</v>
      </c>
      <c r="I212" s="153">
        <f>(Matrix_prices!I200+$D$2)*IF($M$2="Prices in $/MWh",1,1/1000)</f>
        <v>80.010000000000005</v>
      </c>
      <c r="J212" s="152">
        <f>(Matrix_prices!J200+$D$2)*IF($M$2="Prices in $/MWh",1,1/1000)</f>
        <v>79.55</v>
      </c>
      <c r="K212" s="153">
        <f>(Matrix_prices!K200+$D$2)*IF($M$2="Prices in $/MWh",1,1/1000)</f>
        <v>80.42</v>
      </c>
      <c r="L212" s="152">
        <f>(Matrix_prices!L200+$D$2)*IF($M$2="Prices in $/MWh",1,1/1000)</f>
        <v>38.75</v>
      </c>
      <c r="M212" s="153">
        <f>(Matrix_prices!M200+$D$2)*IF($M$2="Prices in $/MWh",1,1/1000)</f>
        <v>38.840000000000003</v>
      </c>
      <c r="N212" s="152">
        <f>(Matrix_prices!N200+$D$2)*IF($M$2="Prices in $/MWh",1,1/1000)</f>
        <v>39.54</v>
      </c>
    </row>
    <row r="213" spans="3:14" x14ac:dyDescent="0.25">
      <c r="C213" s="78">
        <f>Matrix_prices!C201</f>
        <v>42583</v>
      </c>
      <c r="D213" s="79" t="str">
        <f>Matrix_prices!D201</f>
        <v>MD</v>
      </c>
      <c r="E213" s="80" t="str">
        <f>Matrix_prices!E201</f>
        <v>Delmarva</v>
      </c>
      <c r="F213" s="79" t="str">
        <f>Matrix_prices!F201</f>
        <v>GS</v>
      </c>
      <c r="G213" s="80" t="str">
        <f>Matrix_prices!G201</f>
        <v>General Service Small</v>
      </c>
      <c r="H213" s="81" t="str">
        <f t="shared" si="10"/>
        <v>100-500 MWh</v>
      </c>
      <c r="I213" s="80">
        <f>(Matrix_prices!I201+$D$2)*IF($M$2="Prices in $/MWh",1,1/1000)</f>
        <v>78.41</v>
      </c>
      <c r="J213" s="79">
        <f>(Matrix_prices!J201+$D$2)*IF($M$2="Prices in $/MWh",1,1/1000)</f>
        <v>77.95</v>
      </c>
      <c r="K213" s="80">
        <f>(Matrix_prices!K201+$D$2)*IF($M$2="Prices in $/MWh",1,1/1000)</f>
        <v>78.819999999999993</v>
      </c>
      <c r="L213" s="79">
        <f>(Matrix_prices!L201+$D$2)*IF($M$2="Prices in $/MWh",1,1/1000)</f>
        <v>37.15</v>
      </c>
      <c r="M213" s="80">
        <f>(Matrix_prices!M201+$D$2)*IF($M$2="Prices in $/MWh",1,1/1000)</f>
        <v>37.24</v>
      </c>
      <c r="N213" s="79">
        <f>(Matrix_prices!N201+$D$2)*IF($M$2="Prices in $/MWh",1,1/1000)</f>
        <v>37.94</v>
      </c>
    </row>
    <row r="214" spans="3:14" x14ac:dyDescent="0.25">
      <c r="C214" s="82">
        <f>Matrix_prices!C202</f>
        <v>42583</v>
      </c>
      <c r="D214" s="83" t="str">
        <f>Matrix_prices!D202</f>
        <v>MD</v>
      </c>
      <c r="E214" s="84" t="str">
        <f>Matrix_prices!E202</f>
        <v>Delmarva</v>
      </c>
      <c r="F214" s="83" t="str">
        <f>Matrix_prices!F202</f>
        <v>GS</v>
      </c>
      <c r="G214" s="84" t="str">
        <f>Matrix_prices!G202</f>
        <v>General Service Small</v>
      </c>
      <c r="H214" s="85" t="str">
        <f t="shared" si="11"/>
        <v>500-2500 MWh</v>
      </c>
      <c r="I214" s="84">
        <f>(Matrix_prices!I202+$D$2)*IF($M$2="Prices in $/MWh",1,1/1000)</f>
        <v>77.36</v>
      </c>
      <c r="J214" s="83">
        <f>(Matrix_prices!J202+$D$2)*IF($M$2="Prices in $/MWh",1,1/1000)</f>
        <v>76.900000000000006</v>
      </c>
      <c r="K214" s="84">
        <f>(Matrix_prices!K202+$D$2)*IF($M$2="Prices in $/MWh",1,1/1000)</f>
        <v>77.77</v>
      </c>
      <c r="L214" s="83">
        <f>(Matrix_prices!L202+$D$2)*IF($M$2="Prices in $/MWh",1,1/1000)</f>
        <v>36.1</v>
      </c>
      <c r="M214" s="84">
        <f>(Matrix_prices!M202+$D$2)*IF($M$2="Prices in $/MWh",1,1/1000)</f>
        <v>36.19</v>
      </c>
      <c r="N214" s="83">
        <f>(Matrix_prices!N202+$D$2)*IF($M$2="Prices in $/MWh",1,1/1000)</f>
        <v>36.89</v>
      </c>
    </row>
    <row r="215" spans="3:14" x14ac:dyDescent="0.25">
      <c r="C215" s="74">
        <f>Matrix_prices!C203</f>
        <v>42614</v>
      </c>
      <c r="D215" s="75" t="str">
        <f>Matrix_prices!D203</f>
        <v>MD</v>
      </c>
      <c r="E215" s="76" t="str">
        <f>Matrix_prices!E203</f>
        <v>Delmarva</v>
      </c>
      <c r="F215" s="75" t="str">
        <f>Matrix_prices!F203</f>
        <v>GS</v>
      </c>
      <c r="G215" s="76" t="str">
        <f>Matrix_prices!G203</f>
        <v>General Service Small</v>
      </c>
      <c r="H215" s="157" t="str">
        <f t="shared" si="9"/>
        <v>0-100 MWh</v>
      </c>
      <c r="I215" s="76">
        <f>(Matrix_prices!I203+$D$2)*IF($M$2="Prices in $/MWh",1,1/1000)</f>
        <v>79.88</v>
      </c>
      <c r="J215" s="75">
        <f>(Matrix_prices!J203+$D$2)*IF($M$2="Prices in $/MWh",1,1/1000)</f>
        <v>80.59</v>
      </c>
      <c r="K215" s="76">
        <f>(Matrix_prices!K203+$D$2)*IF($M$2="Prices in $/MWh",1,1/1000)</f>
        <v>80.75</v>
      </c>
      <c r="L215" s="75">
        <f>(Matrix_prices!L203+$D$2)*IF($M$2="Prices in $/MWh",1,1/1000)</f>
        <v>38.74</v>
      </c>
      <c r="M215" s="76">
        <f>(Matrix_prices!M203+$D$2)*IF($M$2="Prices in $/MWh",1,1/1000)</f>
        <v>39.21</v>
      </c>
      <c r="N215" s="75">
        <f>(Matrix_prices!N203+$D$2)*IF($M$2="Prices in $/MWh",1,1/1000)</f>
        <v>39.92</v>
      </c>
    </row>
    <row r="216" spans="3:14" x14ac:dyDescent="0.25">
      <c r="C216" s="78">
        <f>Matrix_prices!C204</f>
        <v>42614</v>
      </c>
      <c r="D216" s="79" t="str">
        <f>Matrix_prices!D204</f>
        <v>MD</v>
      </c>
      <c r="E216" s="80" t="str">
        <f>Matrix_prices!E204</f>
        <v>Delmarva</v>
      </c>
      <c r="F216" s="79" t="str">
        <f>Matrix_prices!F204</f>
        <v>GS</v>
      </c>
      <c r="G216" s="80" t="str">
        <f>Matrix_prices!G204</f>
        <v>General Service Small</v>
      </c>
      <c r="H216" s="81" t="str">
        <f t="shared" si="10"/>
        <v>100-500 MWh</v>
      </c>
      <c r="I216" s="80">
        <f>(Matrix_prices!I204+$D$2)*IF($M$2="Prices in $/MWh",1,1/1000)</f>
        <v>78.28</v>
      </c>
      <c r="J216" s="79">
        <f>(Matrix_prices!J204+$D$2)*IF($M$2="Prices in $/MWh",1,1/1000)</f>
        <v>78.989999999999995</v>
      </c>
      <c r="K216" s="80">
        <f>(Matrix_prices!K204+$D$2)*IF($M$2="Prices in $/MWh",1,1/1000)</f>
        <v>79.150000000000006</v>
      </c>
      <c r="L216" s="79">
        <f>(Matrix_prices!L204+$D$2)*IF($M$2="Prices in $/MWh",1,1/1000)</f>
        <v>37.14</v>
      </c>
      <c r="M216" s="80">
        <f>(Matrix_prices!M204+$D$2)*IF($M$2="Prices in $/MWh",1,1/1000)</f>
        <v>37.61</v>
      </c>
      <c r="N216" s="79">
        <f>(Matrix_prices!N204+$D$2)*IF($M$2="Prices in $/MWh",1,1/1000)</f>
        <v>38.32</v>
      </c>
    </row>
    <row r="217" spans="3:14" x14ac:dyDescent="0.25">
      <c r="C217" s="82">
        <f>Matrix_prices!C205</f>
        <v>42614</v>
      </c>
      <c r="D217" s="83" t="str">
        <f>Matrix_prices!D205</f>
        <v>MD</v>
      </c>
      <c r="E217" s="84" t="str">
        <f>Matrix_prices!E205</f>
        <v>Delmarva</v>
      </c>
      <c r="F217" s="83" t="str">
        <f>Matrix_prices!F205</f>
        <v>GS</v>
      </c>
      <c r="G217" s="84" t="str">
        <f>Matrix_prices!G205</f>
        <v>General Service Small</v>
      </c>
      <c r="H217" s="85" t="str">
        <f t="shared" si="11"/>
        <v>500-2500 MWh</v>
      </c>
      <c r="I217" s="84">
        <f>(Matrix_prices!I205+$D$2)*IF($M$2="Prices in $/MWh",1,1/1000)</f>
        <v>77.23</v>
      </c>
      <c r="J217" s="83">
        <f>(Matrix_prices!J205+$D$2)*IF($M$2="Prices in $/MWh",1,1/1000)</f>
        <v>77.94</v>
      </c>
      <c r="K217" s="84">
        <f>(Matrix_prices!K205+$D$2)*IF($M$2="Prices in $/MWh",1,1/1000)</f>
        <v>78.099999999999994</v>
      </c>
      <c r="L217" s="83">
        <f>(Matrix_prices!L205+$D$2)*IF($M$2="Prices in $/MWh",1,1/1000)</f>
        <v>36.090000000000003</v>
      </c>
      <c r="M217" s="84">
        <f>(Matrix_prices!M205+$D$2)*IF($M$2="Prices in $/MWh",1,1/1000)</f>
        <v>36.56</v>
      </c>
      <c r="N217" s="83">
        <f>(Matrix_prices!N205+$D$2)*IF($M$2="Prices in $/MWh",1,1/1000)</f>
        <v>37.270000000000003</v>
      </c>
    </row>
    <row r="218" spans="3:14" x14ac:dyDescent="0.25">
      <c r="C218" s="151">
        <f>Matrix_prices!C206</f>
        <v>42644</v>
      </c>
      <c r="D218" s="152" t="str">
        <f>Matrix_prices!D206</f>
        <v>MD</v>
      </c>
      <c r="E218" s="153" t="str">
        <f>Matrix_prices!E206</f>
        <v>Delmarva</v>
      </c>
      <c r="F218" s="152" t="str">
        <f>Matrix_prices!F206</f>
        <v>GS</v>
      </c>
      <c r="G218" s="153" t="str">
        <f>Matrix_prices!G206</f>
        <v>General Service Small</v>
      </c>
      <c r="H218" s="157" t="str">
        <f t="shared" si="9"/>
        <v>0-100 MWh</v>
      </c>
      <c r="I218" s="153">
        <f>(Matrix_prices!I206+$D$2)*IF($M$2="Prices in $/MWh",1,1/1000)</f>
        <v>79.87</v>
      </c>
      <c r="J218" s="152">
        <f>(Matrix_prices!J206+$D$2)*IF($M$2="Prices in $/MWh",1,1/1000)</f>
        <v>81.13</v>
      </c>
      <c r="K218" s="153">
        <f>(Matrix_prices!K206+$D$2)*IF($M$2="Prices in $/MWh",1,1/1000)</f>
        <v>81.040000000000006</v>
      </c>
      <c r="L218" s="152">
        <f>(Matrix_prices!L206+$D$2)*IF($M$2="Prices in $/MWh",1,1/1000)</f>
        <v>38.75</v>
      </c>
      <c r="M218" s="153">
        <f>(Matrix_prices!M206+$D$2)*IF($M$2="Prices in $/MWh",1,1/1000)</f>
        <v>39.5</v>
      </c>
      <c r="N218" s="152">
        <f>(Matrix_prices!N206+$D$2)*IF($M$2="Prices in $/MWh",1,1/1000)</f>
        <v>40.299999999999997</v>
      </c>
    </row>
    <row r="219" spans="3:14" x14ac:dyDescent="0.25">
      <c r="C219" s="78">
        <f>Matrix_prices!C207</f>
        <v>42644</v>
      </c>
      <c r="D219" s="79" t="str">
        <f>Matrix_prices!D207</f>
        <v>MD</v>
      </c>
      <c r="E219" s="80" t="str">
        <f>Matrix_prices!E207</f>
        <v>Delmarva</v>
      </c>
      <c r="F219" s="79" t="str">
        <f>Matrix_prices!F207</f>
        <v>GS</v>
      </c>
      <c r="G219" s="80" t="str">
        <f>Matrix_prices!G207</f>
        <v>General Service Small</v>
      </c>
      <c r="H219" s="81" t="str">
        <f t="shared" si="10"/>
        <v>100-500 MWh</v>
      </c>
      <c r="I219" s="80">
        <f>(Matrix_prices!I207+$D$2)*IF($M$2="Prices in $/MWh",1,1/1000)</f>
        <v>78.27</v>
      </c>
      <c r="J219" s="79">
        <f>(Matrix_prices!J207+$D$2)*IF($M$2="Prices in $/MWh",1,1/1000)</f>
        <v>79.53</v>
      </c>
      <c r="K219" s="80">
        <f>(Matrix_prices!K207+$D$2)*IF($M$2="Prices in $/MWh",1,1/1000)</f>
        <v>79.44</v>
      </c>
      <c r="L219" s="79">
        <f>(Matrix_prices!L207+$D$2)*IF($M$2="Prices in $/MWh",1,1/1000)</f>
        <v>37.15</v>
      </c>
      <c r="M219" s="80">
        <f>(Matrix_prices!M207+$D$2)*IF($M$2="Prices in $/MWh",1,1/1000)</f>
        <v>37.9</v>
      </c>
      <c r="N219" s="79">
        <f>(Matrix_prices!N207+$D$2)*IF($M$2="Prices in $/MWh",1,1/1000)</f>
        <v>38.700000000000003</v>
      </c>
    </row>
    <row r="220" spans="3:14" x14ac:dyDescent="0.25">
      <c r="C220" s="82">
        <f>Matrix_prices!C208</f>
        <v>42644</v>
      </c>
      <c r="D220" s="83" t="str">
        <f>Matrix_prices!D208</f>
        <v>MD</v>
      </c>
      <c r="E220" s="84" t="str">
        <f>Matrix_prices!E208</f>
        <v>Delmarva</v>
      </c>
      <c r="F220" s="83" t="str">
        <f>Matrix_prices!F208</f>
        <v>GS</v>
      </c>
      <c r="G220" s="84" t="str">
        <f>Matrix_prices!G208</f>
        <v>General Service Small</v>
      </c>
      <c r="H220" s="85" t="str">
        <f t="shared" si="11"/>
        <v>500-2500 MWh</v>
      </c>
      <c r="I220" s="84">
        <f>(Matrix_prices!I208+$D$2)*IF($M$2="Prices in $/MWh",1,1/1000)</f>
        <v>77.22</v>
      </c>
      <c r="J220" s="83">
        <f>(Matrix_prices!J208+$D$2)*IF($M$2="Prices in $/MWh",1,1/1000)</f>
        <v>78.48</v>
      </c>
      <c r="K220" s="84">
        <f>(Matrix_prices!K208+$D$2)*IF($M$2="Prices in $/MWh",1,1/1000)</f>
        <v>78.39</v>
      </c>
      <c r="L220" s="83">
        <f>(Matrix_prices!L208+$D$2)*IF($M$2="Prices in $/MWh",1,1/1000)</f>
        <v>36.1</v>
      </c>
      <c r="M220" s="84">
        <f>(Matrix_prices!M208+$D$2)*IF($M$2="Prices in $/MWh",1,1/1000)</f>
        <v>36.85</v>
      </c>
      <c r="N220" s="83">
        <f>(Matrix_prices!N208+$D$2)*IF($M$2="Prices in $/MWh",1,1/1000)</f>
        <v>37.65</v>
      </c>
    </row>
    <row r="221" spans="3:14" x14ac:dyDescent="0.25">
      <c r="C221" s="74">
        <f>Matrix_prices!C209</f>
        <v>42675</v>
      </c>
      <c r="D221" s="75" t="str">
        <f>Matrix_prices!D209</f>
        <v>MD</v>
      </c>
      <c r="E221" s="76" t="str">
        <f>Matrix_prices!E209</f>
        <v>Delmarva</v>
      </c>
      <c r="F221" s="75" t="str">
        <f>Matrix_prices!F209</f>
        <v>GS</v>
      </c>
      <c r="G221" s="76" t="str">
        <f>Matrix_prices!G209</f>
        <v>General Service Small</v>
      </c>
      <c r="H221" s="157" t="str">
        <f t="shared" si="9"/>
        <v>0-100 MWh</v>
      </c>
      <c r="I221" s="76">
        <f>(Matrix_prices!I209+$D$2)*IF($M$2="Prices in $/MWh",1,1/1000)</f>
        <v>79.8</v>
      </c>
      <c r="J221" s="75">
        <f>(Matrix_prices!J209+$D$2)*IF($M$2="Prices in $/MWh",1,1/1000)</f>
        <v>81.31</v>
      </c>
      <c r="K221" s="76">
        <f>(Matrix_prices!K209+$D$2)*IF($M$2="Prices in $/MWh",1,1/1000)</f>
        <v>81.38</v>
      </c>
      <c r="L221" s="75">
        <f>(Matrix_prices!L209+$D$2)*IF($M$2="Prices in $/MWh",1,1/1000)</f>
        <v>38.770000000000003</v>
      </c>
      <c r="M221" s="76">
        <f>(Matrix_prices!M209+$D$2)*IF($M$2="Prices in $/MWh",1,1/1000)</f>
        <v>39.549999999999997</v>
      </c>
      <c r="N221" s="75">
        <f>(Matrix_prices!N209+$D$2)*IF($M$2="Prices in $/MWh",1,1/1000)</f>
        <v>40.69</v>
      </c>
    </row>
    <row r="222" spans="3:14" x14ac:dyDescent="0.25">
      <c r="C222" s="78">
        <f>Matrix_prices!C210</f>
        <v>42675</v>
      </c>
      <c r="D222" s="79" t="str">
        <f>Matrix_prices!D210</f>
        <v>MD</v>
      </c>
      <c r="E222" s="80" t="str">
        <f>Matrix_prices!E210</f>
        <v>Delmarva</v>
      </c>
      <c r="F222" s="79" t="str">
        <f>Matrix_prices!F210</f>
        <v>GS</v>
      </c>
      <c r="G222" s="80" t="str">
        <f>Matrix_prices!G210</f>
        <v>General Service Small</v>
      </c>
      <c r="H222" s="81" t="str">
        <f t="shared" si="10"/>
        <v>100-500 MWh</v>
      </c>
      <c r="I222" s="80">
        <f>(Matrix_prices!I210+$D$2)*IF($M$2="Prices in $/MWh",1,1/1000)</f>
        <v>78.2</v>
      </c>
      <c r="J222" s="79">
        <f>(Matrix_prices!J210+$D$2)*IF($M$2="Prices in $/MWh",1,1/1000)</f>
        <v>79.709999999999994</v>
      </c>
      <c r="K222" s="80">
        <f>(Matrix_prices!K210+$D$2)*IF($M$2="Prices in $/MWh",1,1/1000)</f>
        <v>79.78</v>
      </c>
      <c r="L222" s="79">
        <f>(Matrix_prices!L210+$D$2)*IF($M$2="Prices in $/MWh",1,1/1000)</f>
        <v>37.17</v>
      </c>
      <c r="M222" s="80">
        <f>(Matrix_prices!M210+$D$2)*IF($M$2="Prices in $/MWh",1,1/1000)</f>
        <v>37.950000000000003</v>
      </c>
      <c r="N222" s="79">
        <f>(Matrix_prices!N210+$D$2)*IF($M$2="Prices in $/MWh",1,1/1000)</f>
        <v>39.090000000000003</v>
      </c>
    </row>
    <row r="223" spans="3:14" x14ac:dyDescent="0.25">
      <c r="C223" s="82">
        <f>Matrix_prices!C211</f>
        <v>42675</v>
      </c>
      <c r="D223" s="83" t="str">
        <f>Matrix_prices!D211</f>
        <v>MD</v>
      </c>
      <c r="E223" s="84" t="str">
        <f>Matrix_prices!E211</f>
        <v>Delmarva</v>
      </c>
      <c r="F223" s="83" t="str">
        <f>Matrix_prices!F211</f>
        <v>GS</v>
      </c>
      <c r="G223" s="84" t="str">
        <f>Matrix_prices!G211</f>
        <v>General Service Small</v>
      </c>
      <c r="H223" s="85" t="str">
        <f t="shared" si="11"/>
        <v>500-2500 MWh</v>
      </c>
      <c r="I223" s="84">
        <f>(Matrix_prices!I211+$D$2)*IF($M$2="Prices in $/MWh",1,1/1000)</f>
        <v>77.150000000000006</v>
      </c>
      <c r="J223" s="83">
        <f>(Matrix_prices!J211+$D$2)*IF($M$2="Prices in $/MWh",1,1/1000)</f>
        <v>78.66</v>
      </c>
      <c r="K223" s="84">
        <f>(Matrix_prices!K211+$D$2)*IF($M$2="Prices in $/MWh",1,1/1000)</f>
        <v>78.73</v>
      </c>
      <c r="L223" s="83">
        <f>(Matrix_prices!L211+$D$2)*IF($M$2="Prices in $/MWh",1,1/1000)</f>
        <v>36.119999999999997</v>
      </c>
      <c r="M223" s="84">
        <f>(Matrix_prices!M211+$D$2)*IF($M$2="Prices in $/MWh",1,1/1000)</f>
        <v>36.9</v>
      </c>
      <c r="N223" s="83">
        <f>(Matrix_prices!N211+$D$2)*IF($M$2="Prices in $/MWh",1,1/1000)</f>
        <v>38.04</v>
      </c>
    </row>
    <row r="224" spans="3:14" x14ac:dyDescent="0.25">
      <c r="C224" s="151">
        <f>Matrix_prices!C212</f>
        <v>42705</v>
      </c>
      <c r="D224" s="152" t="str">
        <f>Matrix_prices!D212</f>
        <v>MD</v>
      </c>
      <c r="E224" s="153" t="str">
        <f>Matrix_prices!E212</f>
        <v>Delmarva</v>
      </c>
      <c r="F224" s="152" t="str">
        <f>Matrix_prices!F212</f>
        <v>GS</v>
      </c>
      <c r="G224" s="153" t="str">
        <f>Matrix_prices!G212</f>
        <v>General Service Small</v>
      </c>
      <c r="H224" s="157" t="str">
        <f t="shared" si="9"/>
        <v>0-100 MWh</v>
      </c>
      <c r="I224" s="153">
        <f>(Matrix_prices!I212+$D$2)*IF($M$2="Prices in $/MWh",1,1/1000)</f>
        <v>79.61</v>
      </c>
      <c r="J224" s="152">
        <f>(Matrix_prices!J212+$D$2)*IF($M$2="Prices in $/MWh",1,1/1000)</f>
        <v>81.180000000000007</v>
      </c>
      <c r="K224" s="153">
        <f>(Matrix_prices!K212+$D$2)*IF($M$2="Prices in $/MWh",1,1/1000)</f>
        <v>81.61</v>
      </c>
      <c r="L224" s="152">
        <f>(Matrix_prices!L212+$D$2)*IF($M$2="Prices in $/MWh",1,1/1000)</f>
        <v>38.74</v>
      </c>
      <c r="M224" s="153">
        <f>(Matrix_prices!M212+$D$2)*IF($M$2="Prices in $/MWh",1,1/1000)</f>
        <v>39.380000000000003</v>
      </c>
      <c r="N224" s="152">
        <f>(Matrix_prices!N212+$D$2)*IF($M$2="Prices in $/MWh",1,1/1000)</f>
        <v>41.02</v>
      </c>
    </row>
    <row r="225" spans="3:14" x14ac:dyDescent="0.25">
      <c r="C225" s="78">
        <f>Matrix_prices!C213</f>
        <v>42705</v>
      </c>
      <c r="D225" s="79" t="str">
        <f>Matrix_prices!D213</f>
        <v>MD</v>
      </c>
      <c r="E225" s="80" t="str">
        <f>Matrix_prices!E213</f>
        <v>Delmarva</v>
      </c>
      <c r="F225" s="79" t="str">
        <f>Matrix_prices!F213</f>
        <v>GS</v>
      </c>
      <c r="G225" s="80" t="str">
        <f>Matrix_prices!G213</f>
        <v>General Service Small</v>
      </c>
      <c r="H225" s="81" t="str">
        <f t="shared" si="10"/>
        <v>100-500 MWh</v>
      </c>
      <c r="I225" s="80">
        <f>(Matrix_prices!I213+$D$2)*IF($M$2="Prices in $/MWh",1,1/1000)</f>
        <v>78.010000000000005</v>
      </c>
      <c r="J225" s="79">
        <f>(Matrix_prices!J213+$D$2)*IF($M$2="Prices in $/MWh",1,1/1000)</f>
        <v>79.58</v>
      </c>
      <c r="K225" s="80">
        <f>(Matrix_prices!K213+$D$2)*IF($M$2="Prices in $/MWh",1,1/1000)</f>
        <v>80.010000000000005</v>
      </c>
      <c r="L225" s="79">
        <f>(Matrix_prices!L213+$D$2)*IF($M$2="Prices in $/MWh",1,1/1000)</f>
        <v>37.14</v>
      </c>
      <c r="M225" s="80">
        <f>(Matrix_prices!M213+$D$2)*IF($M$2="Prices in $/MWh",1,1/1000)</f>
        <v>37.78</v>
      </c>
      <c r="N225" s="79">
        <f>(Matrix_prices!N213+$D$2)*IF($M$2="Prices in $/MWh",1,1/1000)</f>
        <v>39.42</v>
      </c>
    </row>
    <row r="226" spans="3:14" x14ac:dyDescent="0.25">
      <c r="C226" s="82">
        <f>Matrix_prices!C214</f>
        <v>42705</v>
      </c>
      <c r="D226" s="83" t="str">
        <f>Matrix_prices!D214</f>
        <v>MD</v>
      </c>
      <c r="E226" s="84" t="str">
        <f>Matrix_prices!E214</f>
        <v>Delmarva</v>
      </c>
      <c r="F226" s="83" t="str">
        <f>Matrix_prices!F214</f>
        <v>GS</v>
      </c>
      <c r="G226" s="84" t="str">
        <f>Matrix_prices!G214</f>
        <v>General Service Small</v>
      </c>
      <c r="H226" s="85" t="str">
        <f t="shared" si="11"/>
        <v>500-2500 MWh</v>
      </c>
      <c r="I226" s="84">
        <f>(Matrix_prices!I214+$D$2)*IF($M$2="Prices in $/MWh",1,1/1000)</f>
        <v>76.959999999999994</v>
      </c>
      <c r="J226" s="83">
        <f>(Matrix_prices!J214+$D$2)*IF($M$2="Prices in $/MWh",1,1/1000)</f>
        <v>78.53</v>
      </c>
      <c r="K226" s="84">
        <f>(Matrix_prices!K214+$D$2)*IF($M$2="Prices in $/MWh",1,1/1000)</f>
        <v>78.959999999999994</v>
      </c>
      <c r="L226" s="83">
        <f>(Matrix_prices!L214+$D$2)*IF($M$2="Prices in $/MWh",1,1/1000)</f>
        <v>36.090000000000003</v>
      </c>
      <c r="M226" s="84">
        <f>(Matrix_prices!M214+$D$2)*IF($M$2="Prices in $/MWh",1,1/1000)</f>
        <v>36.729999999999997</v>
      </c>
      <c r="N226" s="83">
        <f>(Matrix_prices!N214+$D$2)*IF($M$2="Prices in $/MWh",1,1/1000)</f>
        <v>38.369999999999997</v>
      </c>
    </row>
    <row r="227" spans="3:14" x14ac:dyDescent="0.25">
      <c r="C227" s="74">
        <f>Matrix_prices!C215</f>
        <v>42736</v>
      </c>
      <c r="D227" s="75" t="str">
        <f>Matrix_prices!D215</f>
        <v>MD</v>
      </c>
      <c r="E227" s="76" t="str">
        <f>Matrix_prices!E215</f>
        <v>Delmarva</v>
      </c>
      <c r="F227" s="75" t="str">
        <f>Matrix_prices!F215</f>
        <v>GS</v>
      </c>
      <c r="G227" s="76" t="str">
        <f>Matrix_prices!G215</f>
        <v>General Service Small</v>
      </c>
      <c r="H227" s="157" t="str">
        <f t="shared" si="9"/>
        <v>0-100 MWh</v>
      </c>
      <c r="I227" s="76">
        <f>(Matrix_prices!I215+$D$2)*IF($M$2="Prices in $/MWh",1,1/1000)</f>
        <v>79.53</v>
      </c>
      <c r="J227" s="75">
        <f>(Matrix_prices!J215+$D$2)*IF($M$2="Prices in $/MWh",1,1/1000)</f>
        <v>81.349999999999994</v>
      </c>
      <c r="K227" s="76">
        <f>(Matrix_prices!K215+$D$2)*IF($M$2="Prices in $/MWh",1,1/1000)</f>
        <v>81.97</v>
      </c>
      <c r="L227" s="75">
        <f>(Matrix_prices!L215+$D$2)*IF($M$2="Prices in $/MWh",1,1/1000)</f>
        <v>38.729999999999997</v>
      </c>
      <c r="M227" s="76">
        <f>(Matrix_prices!M215+$D$2)*IF($M$2="Prices in $/MWh",1,1/1000)</f>
        <v>39.619999999999997</v>
      </c>
      <c r="N227" s="75">
        <f>(Matrix_prices!N215+$D$2)*IF($M$2="Prices in $/MWh",1,1/1000)</f>
        <v>41.39</v>
      </c>
    </row>
    <row r="228" spans="3:14" x14ac:dyDescent="0.25">
      <c r="C228" s="78">
        <f>Matrix_prices!C216</f>
        <v>42736</v>
      </c>
      <c r="D228" s="79" t="str">
        <f>Matrix_prices!D216</f>
        <v>MD</v>
      </c>
      <c r="E228" s="80" t="str">
        <f>Matrix_prices!E216</f>
        <v>Delmarva</v>
      </c>
      <c r="F228" s="79" t="str">
        <f>Matrix_prices!F216</f>
        <v>GS</v>
      </c>
      <c r="G228" s="80" t="str">
        <f>Matrix_prices!G216</f>
        <v>General Service Small</v>
      </c>
      <c r="H228" s="81" t="str">
        <f t="shared" si="10"/>
        <v>100-500 MWh</v>
      </c>
      <c r="I228" s="80">
        <f>(Matrix_prices!I216+$D$2)*IF($M$2="Prices in $/MWh",1,1/1000)</f>
        <v>77.930000000000007</v>
      </c>
      <c r="J228" s="79">
        <f>(Matrix_prices!J216+$D$2)*IF($M$2="Prices in $/MWh",1,1/1000)</f>
        <v>79.75</v>
      </c>
      <c r="K228" s="80">
        <f>(Matrix_prices!K216+$D$2)*IF($M$2="Prices in $/MWh",1,1/1000)</f>
        <v>80.37</v>
      </c>
      <c r="L228" s="79">
        <f>(Matrix_prices!L216+$D$2)*IF($M$2="Prices in $/MWh",1,1/1000)</f>
        <v>37.130000000000003</v>
      </c>
      <c r="M228" s="80">
        <f>(Matrix_prices!M216+$D$2)*IF($M$2="Prices in $/MWh",1,1/1000)</f>
        <v>38.020000000000003</v>
      </c>
      <c r="N228" s="79">
        <f>(Matrix_prices!N216+$D$2)*IF($M$2="Prices in $/MWh",1,1/1000)</f>
        <v>39.79</v>
      </c>
    </row>
    <row r="229" spans="3:14" x14ac:dyDescent="0.25">
      <c r="C229" s="82">
        <f>Matrix_prices!C217</f>
        <v>42736</v>
      </c>
      <c r="D229" s="83" t="str">
        <f>Matrix_prices!D217</f>
        <v>MD</v>
      </c>
      <c r="E229" s="84" t="str">
        <f>Matrix_prices!E217</f>
        <v>Delmarva</v>
      </c>
      <c r="F229" s="83" t="str">
        <f>Matrix_prices!F217</f>
        <v>GS</v>
      </c>
      <c r="G229" s="84" t="str">
        <f>Matrix_prices!G217</f>
        <v>General Service Small</v>
      </c>
      <c r="H229" s="85" t="str">
        <f t="shared" si="11"/>
        <v>500-2500 MWh</v>
      </c>
      <c r="I229" s="84">
        <f>(Matrix_prices!I217+$D$2)*IF($M$2="Prices in $/MWh",1,1/1000)</f>
        <v>76.88</v>
      </c>
      <c r="J229" s="83">
        <f>(Matrix_prices!J217+$D$2)*IF($M$2="Prices in $/MWh",1,1/1000)</f>
        <v>78.7</v>
      </c>
      <c r="K229" s="84">
        <f>(Matrix_prices!K217+$D$2)*IF($M$2="Prices in $/MWh",1,1/1000)</f>
        <v>79.319999999999993</v>
      </c>
      <c r="L229" s="83">
        <f>(Matrix_prices!L217+$D$2)*IF($M$2="Prices in $/MWh",1,1/1000)</f>
        <v>36.08</v>
      </c>
      <c r="M229" s="84">
        <f>(Matrix_prices!M217+$D$2)*IF($M$2="Prices in $/MWh",1,1/1000)</f>
        <v>36.97</v>
      </c>
      <c r="N229" s="83">
        <f>(Matrix_prices!N217+$D$2)*IF($M$2="Prices in $/MWh",1,1/1000)</f>
        <v>38.74</v>
      </c>
    </row>
    <row r="230" spans="3:14" x14ac:dyDescent="0.25">
      <c r="C230" s="151">
        <f>Matrix_prices!C218</f>
        <v>42401</v>
      </c>
      <c r="D230" s="152" t="str">
        <f>Matrix_prices!D218</f>
        <v>MD</v>
      </c>
      <c r="E230" s="153" t="str">
        <f>Matrix_prices!E218</f>
        <v>PEPCO</v>
      </c>
      <c r="F230" s="152" t="str">
        <f>Matrix_prices!F218</f>
        <v>GS</v>
      </c>
      <c r="G230" s="153" t="str">
        <f>Matrix_prices!G218</f>
        <v>General Service Small</v>
      </c>
      <c r="H230" s="157" t="str">
        <f t="shared" si="9"/>
        <v>0-100 MWh</v>
      </c>
      <c r="I230" s="153">
        <f>(Matrix_prices!I218+$D$2)*IF($M$2="Prices in $/MWh",1,1/1000)</f>
        <v>83.2</v>
      </c>
      <c r="J230" s="152">
        <f>(Matrix_prices!J218+$D$2)*IF($M$2="Prices in $/MWh",1,1/1000)</f>
        <v>83.38</v>
      </c>
      <c r="K230" s="153">
        <f>(Matrix_prices!K218+$D$2)*IF($M$2="Prices in $/MWh",1,1/1000)</f>
        <v>82.48</v>
      </c>
      <c r="L230" s="152">
        <f>(Matrix_prices!L218+$D$2)*IF($M$2="Prices in $/MWh",1,1/1000)</f>
        <v>38.450000000000003</v>
      </c>
      <c r="M230" s="153">
        <f>(Matrix_prices!M218+$D$2)*IF($M$2="Prices in $/MWh",1,1/1000)</f>
        <v>38.49</v>
      </c>
      <c r="N230" s="152">
        <f>(Matrix_prices!N218+$D$2)*IF($M$2="Prices in $/MWh",1,1/1000)</f>
        <v>38.270000000000003</v>
      </c>
    </row>
    <row r="231" spans="3:14" x14ac:dyDescent="0.25">
      <c r="C231" s="78">
        <f>Matrix_prices!C219</f>
        <v>42401</v>
      </c>
      <c r="D231" s="79" t="str">
        <f>Matrix_prices!D219</f>
        <v>MD</v>
      </c>
      <c r="E231" s="80" t="str">
        <f>Matrix_prices!E219</f>
        <v>PEPCO</v>
      </c>
      <c r="F231" s="79" t="str">
        <f>Matrix_prices!F219</f>
        <v>GS</v>
      </c>
      <c r="G231" s="80" t="str">
        <f>Matrix_prices!G219</f>
        <v>General Service Small</v>
      </c>
      <c r="H231" s="81" t="str">
        <f t="shared" si="10"/>
        <v>100-500 MWh</v>
      </c>
      <c r="I231" s="80">
        <f>(Matrix_prices!I219+$D$2)*IF($M$2="Prices in $/MWh",1,1/1000)</f>
        <v>81.599999999999994</v>
      </c>
      <c r="J231" s="79">
        <f>(Matrix_prices!J219+$D$2)*IF($M$2="Prices in $/MWh",1,1/1000)</f>
        <v>81.78</v>
      </c>
      <c r="K231" s="80">
        <f>(Matrix_prices!K219+$D$2)*IF($M$2="Prices in $/MWh",1,1/1000)</f>
        <v>80.88</v>
      </c>
      <c r="L231" s="79">
        <f>(Matrix_prices!L219+$D$2)*IF($M$2="Prices in $/MWh",1,1/1000)</f>
        <v>36.85</v>
      </c>
      <c r="M231" s="80">
        <f>(Matrix_prices!M219+$D$2)*IF($M$2="Prices in $/MWh",1,1/1000)</f>
        <v>36.89</v>
      </c>
      <c r="N231" s="79">
        <f>(Matrix_prices!N219+$D$2)*IF($M$2="Prices in $/MWh",1,1/1000)</f>
        <v>36.67</v>
      </c>
    </row>
    <row r="232" spans="3:14" x14ac:dyDescent="0.25">
      <c r="C232" s="82">
        <f>Matrix_prices!C220</f>
        <v>42401</v>
      </c>
      <c r="D232" s="83" t="str">
        <f>Matrix_prices!D220</f>
        <v>MD</v>
      </c>
      <c r="E232" s="84" t="str">
        <f>Matrix_prices!E220</f>
        <v>PEPCO</v>
      </c>
      <c r="F232" s="83" t="str">
        <f>Matrix_prices!F220</f>
        <v>GS</v>
      </c>
      <c r="G232" s="84" t="str">
        <f>Matrix_prices!G220</f>
        <v>General Service Small</v>
      </c>
      <c r="H232" s="85" t="str">
        <f t="shared" si="11"/>
        <v>500-2500 MWh</v>
      </c>
      <c r="I232" s="84">
        <f>(Matrix_prices!I220+$D$2)*IF($M$2="Prices in $/MWh",1,1/1000)</f>
        <v>80.55</v>
      </c>
      <c r="J232" s="83">
        <f>(Matrix_prices!J220+$D$2)*IF($M$2="Prices in $/MWh",1,1/1000)</f>
        <v>80.73</v>
      </c>
      <c r="K232" s="84">
        <f>(Matrix_prices!K220+$D$2)*IF($M$2="Prices in $/MWh",1,1/1000)</f>
        <v>79.83</v>
      </c>
      <c r="L232" s="83">
        <f>(Matrix_prices!L220+$D$2)*IF($M$2="Prices in $/MWh",1,1/1000)</f>
        <v>35.799999999999997</v>
      </c>
      <c r="M232" s="84">
        <f>(Matrix_prices!M220+$D$2)*IF($M$2="Prices in $/MWh",1,1/1000)</f>
        <v>35.840000000000003</v>
      </c>
      <c r="N232" s="83">
        <f>(Matrix_prices!N220+$D$2)*IF($M$2="Prices in $/MWh",1,1/1000)</f>
        <v>35.619999999999997</v>
      </c>
    </row>
    <row r="233" spans="3:14" x14ac:dyDescent="0.25">
      <c r="C233" s="74">
        <f>Matrix_prices!C221</f>
        <v>42430</v>
      </c>
      <c r="D233" s="75" t="str">
        <f>Matrix_prices!D221</f>
        <v>MD</v>
      </c>
      <c r="E233" s="76" t="str">
        <f>Matrix_prices!E221</f>
        <v>PEPCO</v>
      </c>
      <c r="F233" s="75" t="str">
        <f>Matrix_prices!F221</f>
        <v>GS</v>
      </c>
      <c r="G233" s="76" t="str">
        <f>Matrix_prices!G221</f>
        <v>General Service Small</v>
      </c>
      <c r="H233" s="157" t="str">
        <f t="shared" si="9"/>
        <v>0-100 MWh</v>
      </c>
      <c r="I233" s="76">
        <f>(Matrix_prices!I221+$D$2)*IF($M$2="Prices in $/MWh",1,1/1000)</f>
        <v>83.61</v>
      </c>
      <c r="J233" s="75">
        <f>(Matrix_prices!J221+$D$2)*IF($M$2="Prices in $/MWh",1,1/1000)</f>
        <v>83.26</v>
      </c>
      <c r="K233" s="76">
        <f>(Matrix_prices!K221+$D$2)*IF($M$2="Prices in $/MWh",1,1/1000)</f>
        <v>82.68</v>
      </c>
      <c r="L233" s="75">
        <f>(Matrix_prices!L221+$D$2)*IF($M$2="Prices in $/MWh",1,1/1000)</f>
        <v>38.39</v>
      </c>
      <c r="M233" s="76">
        <f>(Matrix_prices!M221+$D$2)*IF($M$2="Prices in $/MWh",1,1/1000)</f>
        <v>38.409999999999997</v>
      </c>
      <c r="N233" s="75">
        <f>(Matrix_prices!N221+$D$2)*IF($M$2="Prices in $/MWh",1,1/1000)</f>
        <v>38.24</v>
      </c>
    </row>
    <row r="234" spans="3:14" x14ac:dyDescent="0.25">
      <c r="C234" s="78">
        <f>Matrix_prices!C222</f>
        <v>42430</v>
      </c>
      <c r="D234" s="79" t="str">
        <f>Matrix_prices!D222</f>
        <v>MD</v>
      </c>
      <c r="E234" s="80" t="str">
        <f>Matrix_prices!E222</f>
        <v>PEPCO</v>
      </c>
      <c r="F234" s="79" t="str">
        <f>Matrix_prices!F222</f>
        <v>GS</v>
      </c>
      <c r="G234" s="80" t="str">
        <f>Matrix_prices!G222</f>
        <v>General Service Small</v>
      </c>
      <c r="H234" s="81" t="str">
        <f t="shared" si="10"/>
        <v>100-500 MWh</v>
      </c>
      <c r="I234" s="80">
        <f>(Matrix_prices!I222+$D$2)*IF($M$2="Prices in $/MWh",1,1/1000)</f>
        <v>82.01</v>
      </c>
      <c r="J234" s="79">
        <f>(Matrix_prices!J222+$D$2)*IF($M$2="Prices in $/MWh",1,1/1000)</f>
        <v>81.66</v>
      </c>
      <c r="K234" s="80">
        <f>(Matrix_prices!K222+$D$2)*IF($M$2="Prices in $/MWh",1,1/1000)</f>
        <v>81.08</v>
      </c>
      <c r="L234" s="79">
        <f>(Matrix_prices!L222+$D$2)*IF($M$2="Prices in $/MWh",1,1/1000)</f>
        <v>36.79</v>
      </c>
      <c r="M234" s="80">
        <f>(Matrix_prices!M222+$D$2)*IF($M$2="Prices in $/MWh",1,1/1000)</f>
        <v>36.81</v>
      </c>
      <c r="N234" s="79">
        <f>(Matrix_prices!N222+$D$2)*IF($M$2="Prices in $/MWh",1,1/1000)</f>
        <v>36.64</v>
      </c>
    </row>
    <row r="235" spans="3:14" x14ac:dyDescent="0.25">
      <c r="C235" s="82">
        <f>Matrix_prices!C223</f>
        <v>42430</v>
      </c>
      <c r="D235" s="83" t="str">
        <f>Matrix_prices!D223</f>
        <v>MD</v>
      </c>
      <c r="E235" s="84" t="str">
        <f>Matrix_prices!E223</f>
        <v>PEPCO</v>
      </c>
      <c r="F235" s="83" t="str">
        <f>Matrix_prices!F223</f>
        <v>GS</v>
      </c>
      <c r="G235" s="84" t="str">
        <f>Matrix_prices!G223</f>
        <v>General Service Small</v>
      </c>
      <c r="H235" s="85" t="str">
        <f t="shared" si="11"/>
        <v>500-2500 MWh</v>
      </c>
      <c r="I235" s="84">
        <f>(Matrix_prices!I223+$D$2)*IF($M$2="Prices in $/MWh",1,1/1000)</f>
        <v>80.959999999999994</v>
      </c>
      <c r="J235" s="83">
        <f>(Matrix_prices!J223+$D$2)*IF($M$2="Prices in $/MWh",1,1/1000)</f>
        <v>80.61</v>
      </c>
      <c r="K235" s="84">
        <f>(Matrix_prices!K223+$D$2)*IF($M$2="Prices in $/MWh",1,1/1000)</f>
        <v>80.03</v>
      </c>
      <c r="L235" s="83">
        <f>(Matrix_prices!L223+$D$2)*IF($M$2="Prices in $/MWh",1,1/1000)</f>
        <v>35.74</v>
      </c>
      <c r="M235" s="84">
        <f>(Matrix_prices!M223+$D$2)*IF($M$2="Prices in $/MWh",1,1/1000)</f>
        <v>35.76</v>
      </c>
      <c r="N235" s="83">
        <f>(Matrix_prices!N223+$D$2)*IF($M$2="Prices in $/MWh",1,1/1000)</f>
        <v>35.590000000000003</v>
      </c>
    </row>
    <row r="236" spans="3:14" x14ac:dyDescent="0.25">
      <c r="C236" s="151">
        <f>Matrix_prices!C224</f>
        <v>42461</v>
      </c>
      <c r="D236" s="152" t="str">
        <f>Matrix_prices!D224</f>
        <v>MD</v>
      </c>
      <c r="E236" s="153" t="str">
        <f>Matrix_prices!E224</f>
        <v>PEPCO</v>
      </c>
      <c r="F236" s="152" t="str">
        <f>Matrix_prices!F224</f>
        <v>GS</v>
      </c>
      <c r="G236" s="153" t="str">
        <f>Matrix_prices!G224</f>
        <v>General Service Small</v>
      </c>
      <c r="H236" s="157" t="str">
        <f t="shared" si="9"/>
        <v>0-100 MWh</v>
      </c>
      <c r="I236" s="153">
        <f>(Matrix_prices!I224+$D$2)*IF($M$2="Prices in $/MWh",1,1/1000)</f>
        <v>83.62</v>
      </c>
      <c r="J236" s="152">
        <f>(Matrix_prices!J224+$D$2)*IF($M$2="Prices in $/MWh",1,1/1000)</f>
        <v>82.89</v>
      </c>
      <c r="K236" s="153">
        <f>(Matrix_prices!K224+$D$2)*IF($M$2="Prices in $/MWh",1,1/1000)</f>
        <v>82.63</v>
      </c>
      <c r="L236" s="152">
        <f>(Matrix_prices!L224+$D$2)*IF($M$2="Prices in $/MWh",1,1/1000)</f>
        <v>38.36</v>
      </c>
      <c r="M236" s="153">
        <f>(Matrix_prices!M224+$D$2)*IF($M$2="Prices in $/MWh",1,1/1000)</f>
        <v>38.369999999999997</v>
      </c>
      <c r="N236" s="152">
        <f>(Matrix_prices!N224+$D$2)*IF($M$2="Prices in $/MWh",1,1/1000)</f>
        <v>38.24</v>
      </c>
    </row>
    <row r="237" spans="3:14" x14ac:dyDescent="0.25">
      <c r="C237" s="78">
        <f>Matrix_prices!C225</f>
        <v>42461</v>
      </c>
      <c r="D237" s="79" t="str">
        <f>Matrix_prices!D225</f>
        <v>MD</v>
      </c>
      <c r="E237" s="80" t="str">
        <f>Matrix_prices!E225</f>
        <v>PEPCO</v>
      </c>
      <c r="F237" s="79" t="str">
        <f>Matrix_prices!F225</f>
        <v>GS</v>
      </c>
      <c r="G237" s="80" t="str">
        <f>Matrix_prices!G225</f>
        <v>General Service Small</v>
      </c>
      <c r="H237" s="81" t="str">
        <f t="shared" si="10"/>
        <v>100-500 MWh</v>
      </c>
      <c r="I237" s="80">
        <f>(Matrix_prices!I225+$D$2)*IF($M$2="Prices in $/MWh",1,1/1000)</f>
        <v>82.02</v>
      </c>
      <c r="J237" s="79">
        <f>(Matrix_prices!J225+$D$2)*IF($M$2="Prices in $/MWh",1,1/1000)</f>
        <v>81.290000000000006</v>
      </c>
      <c r="K237" s="80">
        <f>(Matrix_prices!K225+$D$2)*IF($M$2="Prices in $/MWh",1,1/1000)</f>
        <v>81.03</v>
      </c>
      <c r="L237" s="79">
        <f>(Matrix_prices!L225+$D$2)*IF($M$2="Prices in $/MWh",1,1/1000)</f>
        <v>36.76</v>
      </c>
      <c r="M237" s="80">
        <f>(Matrix_prices!M225+$D$2)*IF($M$2="Prices in $/MWh",1,1/1000)</f>
        <v>36.770000000000003</v>
      </c>
      <c r="N237" s="79">
        <f>(Matrix_prices!N225+$D$2)*IF($M$2="Prices in $/MWh",1,1/1000)</f>
        <v>36.64</v>
      </c>
    </row>
    <row r="238" spans="3:14" x14ac:dyDescent="0.25">
      <c r="C238" s="82">
        <f>Matrix_prices!C226</f>
        <v>42461</v>
      </c>
      <c r="D238" s="83" t="str">
        <f>Matrix_prices!D226</f>
        <v>MD</v>
      </c>
      <c r="E238" s="84" t="str">
        <f>Matrix_prices!E226</f>
        <v>PEPCO</v>
      </c>
      <c r="F238" s="83" t="str">
        <f>Matrix_prices!F226</f>
        <v>GS</v>
      </c>
      <c r="G238" s="84" t="str">
        <f>Matrix_prices!G226</f>
        <v>General Service Small</v>
      </c>
      <c r="H238" s="85" t="str">
        <f t="shared" si="11"/>
        <v>500-2500 MWh</v>
      </c>
      <c r="I238" s="84">
        <f>(Matrix_prices!I226+$D$2)*IF($M$2="Prices in $/MWh",1,1/1000)</f>
        <v>80.97</v>
      </c>
      <c r="J238" s="83">
        <f>(Matrix_prices!J226+$D$2)*IF($M$2="Prices in $/MWh",1,1/1000)</f>
        <v>80.239999999999995</v>
      </c>
      <c r="K238" s="84">
        <f>(Matrix_prices!K226+$D$2)*IF($M$2="Prices in $/MWh",1,1/1000)</f>
        <v>79.98</v>
      </c>
      <c r="L238" s="83">
        <f>(Matrix_prices!L226+$D$2)*IF($M$2="Prices in $/MWh",1,1/1000)</f>
        <v>35.71</v>
      </c>
      <c r="M238" s="84">
        <f>(Matrix_prices!M226+$D$2)*IF($M$2="Prices in $/MWh",1,1/1000)</f>
        <v>35.72</v>
      </c>
      <c r="N238" s="83">
        <f>(Matrix_prices!N226+$D$2)*IF($M$2="Prices in $/MWh",1,1/1000)</f>
        <v>35.590000000000003</v>
      </c>
    </row>
    <row r="239" spans="3:14" x14ac:dyDescent="0.25">
      <c r="C239" s="74">
        <f>Matrix_prices!C227</f>
        <v>42491</v>
      </c>
      <c r="D239" s="75" t="str">
        <f>Matrix_prices!D227</f>
        <v>MD</v>
      </c>
      <c r="E239" s="76" t="str">
        <f>Matrix_prices!E227</f>
        <v>PEPCO</v>
      </c>
      <c r="F239" s="75" t="str">
        <f>Matrix_prices!F227</f>
        <v>GS</v>
      </c>
      <c r="G239" s="76" t="str">
        <f>Matrix_prices!G227</f>
        <v>General Service Small</v>
      </c>
      <c r="H239" s="157" t="str">
        <f t="shared" si="9"/>
        <v>0-100 MWh</v>
      </c>
      <c r="I239" s="76">
        <f>(Matrix_prices!I227+$D$2)*IF($M$2="Prices in $/MWh",1,1/1000)</f>
        <v>83.57</v>
      </c>
      <c r="J239" s="75">
        <f>(Matrix_prices!J227+$D$2)*IF($M$2="Prices in $/MWh",1,1/1000)</f>
        <v>82.61</v>
      </c>
      <c r="K239" s="76">
        <f>(Matrix_prices!K227+$D$2)*IF($M$2="Prices in $/MWh",1,1/1000)</f>
        <v>82.54</v>
      </c>
      <c r="L239" s="75">
        <f>(Matrix_prices!L227+$D$2)*IF($M$2="Prices in $/MWh",1,1/1000)</f>
        <v>38.33</v>
      </c>
      <c r="M239" s="76">
        <f>(Matrix_prices!M227+$D$2)*IF($M$2="Prices in $/MWh",1,1/1000)</f>
        <v>38.36</v>
      </c>
      <c r="N239" s="75">
        <f>(Matrix_prices!N227+$D$2)*IF($M$2="Prices in $/MWh",1,1/1000)</f>
        <v>38.229999999999997</v>
      </c>
    </row>
    <row r="240" spans="3:14" x14ac:dyDescent="0.25">
      <c r="C240" s="78">
        <f>Matrix_prices!C228</f>
        <v>42491</v>
      </c>
      <c r="D240" s="79" t="str">
        <f>Matrix_prices!D228</f>
        <v>MD</v>
      </c>
      <c r="E240" s="80" t="str">
        <f>Matrix_prices!E228</f>
        <v>PEPCO</v>
      </c>
      <c r="F240" s="79" t="str">
        <f>Matrix_prices!F228</f>
        <v>GS</v>
      </c>
      <c r="G240" s="80" t="str">
        <f>Matrix_prices!G228</f>
        <v>General Service Small</v>
      </c>
      <c r="H240" s="81" t="str">
        <f t="shared" si="10"/>
        <v>100-500 MWh</v>
      </c>
      <c r="I240" s="80">
        <f>(Matrix_prices!I228+$D$2)*IF($M$2="Prices in $/MWh",1,1/1000)</f>
        <v>81.97</v>
      </c>
      <c r="J240" s="79">
        <f>(Matrix_prices!J228+$D$2)*IF($M$2="Prices in $/MWh",1,1/1000)</f>
        <v>81.010000000000005</v>
      </c>
      <c r="K240" s="80">
        <f>(Matrix_prices!K228+$D$2)*IF($M$2="Prices in $/MWh",1,1/1000)</f>
        <v>80.94</v>
      </c>
      <c r="L240" s="79">
        <f>(Matrix_prices!L228+$D$2)*IF($M$2="Prices in $/MWh",1,1/1000)</f>
        <v>36.729999999999997</v>
      </c>
      <c r="M240" s="80">
        <f>(Matrix_prices!M228+$D$2)*IF($M$2="Prices in $/MWh",1,1/1000)</f>
        <v>36.76</v>
      </c>
      <c r="N240" s="79">
        <f>(Matrix_prices!N228+$D$2)*IF($M$2="Prices in $/MWh",1,1/1000)</f>
        <v>36.630000000000003</v>
      </c>
    </row>
    <row r="241" spans="3:14" x14ac:dyDescent="0.25">
      <c r="C241" s="82">
        <f>Matrix_prices!C229</f>
        <v>42491</v>
      </c>
      <c r="D241" s="83" t="str">
        <f>Matrix_prices!D229</f>
        <v>MD</v>
      </c>
      <c r="E241" s="84" t="str">
        <f>Matrix_prices!E229</f>
        <v>PEPCO</v>
      </c>
      <c r="F241" s="83" t="str">
        <f>Matrix_prices!F229</f>
        <v>GS</v>
      </c>
      <c r="G241" s="84" t="str">
        <f>Matrix_prices!G229</f>
        <v>General Service Small</v>
      </c>
      <c r="H241" s="85" t="str">
        <f t="shared" si="11"/>
        <v>500-2500 MWh</v>
      </c>
      <c r="I241" s="84">
        <f>(Matrix_prices!I229+$D$2)*IF($M$2="Prices in $/MWh",1,1/1000)</f>
        <v>80.92</v>
      </c>
      <c r="J241" s="83">
        <f>(Matrix_prices!J229+$D$2)*IF($M$2="Prices in $/MWh",1,1/1000)</f>
        <v>79.959999999999994</v>
      </c>
      <c r="K241" s="84">
        <f>(Matrix_prices!K229+$D$2)*IF($M$2="Prices in $/MWh",1,1/1000)</f>
        <v>79.89</v>
      </c>
      <c r="L241" s="83">
        <f>(Matrix_prices!L229+$D$2)*IF($M$2="Prices in $/MWh",1,1/1000)</f>
        <v>35.68</v>
      </c>
      <c r="M241" s="84">
        <f>(Matrix_prices!M229+$D$2)*IF($M$2="Prices in $/MWh",1,1/1000)</f>
        <v>35.71</v>
      </c>
      <c r="N241" s="83">
        <f>(Matrix_prices!N229+$D$2)*IF($M$2="Prices in $/MWh",1,1/1000)</f>
        <v>35.58</v>
      </c>
    </row>
    <row r="242" spans="3:14" x14ac:dyDescent="0.25">
      <c r="C242" s="151">
        <f>Matrix_prices!C230</f>
        <v>42522</v>
      </c>
      <c r="D242" s="152" t="str">
        <f>Matrix_prices!D230</f>
        <v>MD</v>
      </c>
      <c r="E242" s="153" t="str">
        <f>Matrix_prices!E230</f>
        <v>PEPCO</v>
      </c>
      <c r="F242" s="152" t="str">
        <f>Matrix_prices!F230</f>
        <v>GS</v>
      </c>
      <c r="G242" s="153" t="str">
        <f>Matrix_prices!G230</f>
        <v>General Service Small</v>
      </c>
      <c r="H242" s="157" t="str">
        <f t="shared" si="9"/>
        <v>0-100 MWh</v>
      </c>
      <c r="I242" s="153">
        <f>(Matrix_prices!I230+$D$2)*IF($M$2="Prices in $/MWh",1,1/1000)</f>
        <v>83.41</v>
      </c>
      <c r="J242" s="152">
        <f>(Matrix_prices!J230+$D$2)*IF($M$2="Prices in $/MWh",1,1/1000)</f>
        <v>81.98</v>
      </c>
      <c r="K242" s="153">
        <f>(Matrix_prices!K230+$D$2)*IF($M$2="Prices in $/MWh",1,1/1000)</f>
        <v>82.46</v>
      </c>
      <c r="L242" s="152">
        <f>(Matrix_prices!L230+$D$2)*IF($M$2="Prices in $/MWh",1,1/1000)</f>
        <v>38.270000000000003</v>
      </c>
      <c r="M242" s="153">
        <f>(Matrix_prices!M230+$D$2)*IF($M$2="Prices in $/MWh",1,1/1000)</f>
        <v>38.1</v>
      </c>
      <c r="N242" s="152">
        <f>(Matrix_prices!N230+$D$2)*IF($M$2="Prices in $/MWh",1,1/1000)</f>
        <v>38.200000000000003</v>
      </c>
    </row>
    <row r="243" spans="3:14" x14ac:dyDescent="0.25">
      <c r="C243" s="78">
        <f>Matrix_prices!C231</f>
        <v>42522</v>
      </c>
      <c r="D243" s="79" t="str">
        <f>Matrix_prices!D231</f>
        <v>MD</v>
      </c>
      <c r="E243" s="80" t="str">
        <f>Matrix_prices!E231</f>
        <v>PEPCO</v>
      </c>
      <c r="F243" s="79" t="str">
        <f>Matrix_prices!F231</f>
        <v>GS</v>
      </c>
      <c r="G243" s="80" t="str">
        <f>Matrix_prices!G231</f>
        <v>General Service Small</v>
      </c>
      <c r="H243" s="81" t="str">
        <f t="shared" si="10"/>
        <v>100-500 MWh</v>
      </c>
      <c r="I243" s="80">
        <f>(Matrix_prices!I231+$D$2)*IF($M$2="Prices in $/MWh",1,1/1000)</f>
        <v>81.81</v>
      </c>
      <c r="J243" s="79">
        <f>(Matrix_prices!J231+$D$2)*IF($M$2="Prices in $/MWh",1,1/1000)</f>
        <v>80.38</v>
      </c>
      <c r="K243" s="80">
        <f>(Matrix_prices!K231+$D$2)*IF($M$2="Prices in $/MWh",1,1/1000)</f>
        <v>80.86</v>
      </c>
      <c r="L243" s="79">
        <f>(Matrix_prices!L231+$D$2)*IF($M$2="Prices in $/MWh",1,1/1000)</f>
        <v>36.67</v>
      </c>
      <c r="M243" s="80">
        <f>(Matrix_prices!M231+$D$2)*IF($M$2="Prices in $/MWh",1,1/1000)</f>
        <v>36.5</v>
      </c>
      <c r="N243" s="79">
        <f>(Matrix_prices!N231+$D$2)*IF($M$2="Prices in $/MWh",1,1/1000)</f>
        <v>36.6</v>
      </c>
    </row>
    <row r="244" spans="3:14" x14ac:dyDescent="0.25">
      <c r="C244" s="82">
        <f>Matrix_prices!C232</f>
        <v>42522</v>
      </c>
      <c r="D244" s="83" t="str">
        <f>Matrix_prices!D232</f>
        <v>MD</v>
      </c>
      <c r="E244" s="84" t="str">
        <f>Matrix_prices!E232</f>
        <v>PEPCO</v>
      </c>
      <c r="F244" s="83" t="str">
        <f>Matrix_prices!F232</f>
        <v>GS</v>
      </c>
      <c r="G244" s="84" t="str">
        <f>Matrix_prices!G232</f>
        <v>General Service Small</v>
      </c>
      <c r="H244" s="85" t="str">
        <f t="shared" si="11"/>
        <v>500-2500 MWh</v>
      </c>
      <c r="I244" s="84">
        <f>(Matrix_prices!I232+$D$2)*IF($M$2="Prices in $/MWh",1,1/1000)</f>
        <v>80.760000000000005</v>
      </c>
      <c r="J244" s="83">
        <f>(Matrix_prices!J232+$D$2)*IF($M$2="Prices in $/MWh",1,1/1000)</f>
        <v>79.33</v>
      </c>
      <c r="K244" s="84">
        <f>(Matrix_prices!K232+$D$2)*IF($M$2="Prices in $/MWh",1,1/1000)</f>
        <v>79.81</v>
      </c>
      <c r="L244" s="83">
        <f>(Matrix_prices!L232+$D$2)*IF($M$2="Prices in $/MWh",1,1/1000)</f>
        <v>35.619999999999997</v>
      </c>
      <c r="M244" s="84">
        <f>(Matrix_prices!M232+$D$2)*IF($M$2="Prices in $/MWh",1,1/1000)</f>
        <v>35.450000000000003</v>
      </c>
      <c r="N244" s="83">
        <f>(Matrix_prices!N232+$D$2)*IF($M$2="Prices in $/MWh",1,1/1000)</f>
        <v>35.549999999999997</v>
      </c>
    </row>
    <row r="245" spans="3:14" x14ac:dyDescent="0.25">
      <c r="C245" s="74">
        <f>Matrix_prices!C233</f>
        <v>42552</v>
      </c>
      <c r="D245" s="75" t="str">
        <f>Matrix_prices!D233</f>
        <v>MD</v>
      </c>
      <c r="E245" s="76" t="str">
        <f>Matrix_prices!E233</f>
        <v>PEPCO</v>
      </c>
      <c r="F245" s="75" t="str">
        <f>Matrix_prices!F233</f>
        <v>GS</v>
      </c>
      <c r="G245" s="76" t="str">
        <f>Matrix_prices!G233</f>
        <v>General Service Small</v>
      </c>
      <c r="H245" s="157" t="str">
        <f t="shared" si="9"/>
        <v>0-100 MWh</v>
      </c>
      <c r="I245" s="76">
        <f>(Matrix_prices!I233+$D$2)*IF($M$2="Prices in $/MWh",1,1/1000)</f>
        <v>83.29</v>
      </c>
      <c r="J245" s="75">
        <f>(Matrix_prices!J233+$D$2)*IF($M$2="Prices in $/MWh",1,1/1000)</f>
        <v>81.650000000000006</v>
      </c>
      <c r="K245" s="76">
        <f>(Matrix_prices!K233+$D$2)*IF($M$2="Prices in $/MWh",1,1/1000)</f>
        <v>82.39</v>
      </c>
      <c r="L245" s="75">
        <f>(Matrix_prices!L233+$D$2)*IF($M$2="Prices in $/MWh",1,1/1000)</f>
        <v>38.22</v>
      </c>
      <c r="M245" s="76">
        <f>(Matrix_prices!M233+$D$2)*IF($M$2="Prices in $/MWh",1,1/1000)</f>
        <v>37.979999999999997</v>
      </c>
      <c r="N245" s="75">
        <f>(Matrix_prices!N233+$D$2)*IF($M$2="Prices in $/MWh",1,1/1000)</f>
        <v>38.24</v>
      </c>
    </row>
    <row r="246" spans="3:14" x14ac:dyDescent="0.25">
      <c r="C246" s="78">
        <f>Matrix_prices!C234</f>
        <v>42552</v>
      </c>
      <c r="D246" s="79" t="str">
        <f>Matrix_prices!D234</f>
        <v>MD</v>
      </c>
      <c r="E246" s="80" t="str">
        <f>Matrix_prices!E234</f>
        <v>PEPCO</v>
      </c>
      <c r="F246" s="79" t="str">
        <f>Matrix_prices!F234</f>
        <v>GS</v>
      </c>
      <c r="G246" s="80" t="str">
        <f>Matrix_prices!G234</f>
        <v>General Service Small</v>
      </c>
      <c r="H246" s="81" t="str">
        <f t="shared" si="10"/>
        <v>100-500 MWh</v>
      </c>
      <c r="I246" s="80">
        <f>(Matrix_prices!I234+$D$2)*IF($M$2="Prices in $/MWh",1,1/1000)</f>
        <v>81.69</v>
      </c>
      <c r="J246" s="79">
        <f>(Matrix_prices!J234+$D$2)*IF($M$2="Prices in $/MWh",1,1/1000)</f>
        <v>80.05</v>
      </c>
      <c r="K246" s="80">
        <f>(Matrix_prices!K234+$D$2)*IF($M$2="Prices in $/MWh",1,1/1000)</f>
        <v>80.790000000000006</v>
      </c>
      <c r="L246" s="79">
        <f>(Matrix_prices!L234+$D$2)*IF($M$2="Prices in $/MWh",1,1/1000)</f>
        <v>36.619999999999997</v>
      </c>
      <c r="M246" s="80">
        <f>(Matrix_prices!M234+$D$2)*IF($M$2="Prices in $/MWh",1,1/1000)</f>
        <v>36.380000000000003</v>
      </c>
      <c r="N246" s="79">
        <f>(Matrix_prices!N234+$D$2)*IF($M$2="Prices in $/MWh",1,1/1000)</f>
        <v>36.64</v>
      </c>
    </row>
    <row r="247" spans="3:14" x14ac:dyDescent="0.25">
      <c r="C247" s="82">
        <f>Matrix_prices!C235</f>
        <v>42552</v>
      </c>
      <c r="D247" s="83" t="str">
        <f>Matrix_prices!D235</f>
        <v>MD</v>
      </c>
      <c r="E247" s="84" t="str">
        <f>Matrix_prices!E235</f>
        <v>PEPCO</v>
      </c>
      <c r="F247" s="83" t="str">
        <f>Matrix_prices!F235</f>
        <v>GS</v>
      </c>
      <c r="G247" s="84" t="str">
        <f>Matrix_prices!G235</f>
        <v>General Service Small</v>
      </c>
      <c r="H247" s="85" t="str">
        <f t="shared" si="11"/>
        <v>500-2500 MWh</v>
      </c>
      <c r="I247" s="84">
        <f>(Matrix_prices!I235+$D$2)*IF($M$2="Prices in $/MWh",1,1/1000)</f>
        <v>80.64</v>
      </c>
      <c r="J247" s="83">
        <f>(Matrix_prices!J235+$D$2)*IF($M$2="Prices in $/MWh",1,1/1000)</f>
        <v>79</v>
      </c>
      <c r="K247" s="84">
        <f>(Matrix_prices!K235+$D$2)*IF($M$2="Prices in $/MWh",1,1/1000)</f>
        <v>79.739999999999995</v>
      </c>
      <c r="L247" s="83">
        <f>(Matrix_prices!L235+$D$2)*IF($M$2="Prices in $/MWh",1,1/1000)</f>
        <v>35.57</v>
      </c>
      <c r="M247" s="84">
        <f>(Matrix_prices!M235+$D$2)*IF($M$2="Prices in $/MWh",1,1/1000)</f>
        <v>35.33</v>
      </c>
      <c r="N247" s="83">
        <f>(Matrix_prices!N235+$D$2)*IF($M$2="Prices in $/MWh",1,1/1000)</f>
        <v>35.590000000000003</v>
      </c>
    </row>
    <row r="248" spans="3:14" x14ac:dyDescent="0.25">
      <c r="C248" s="151">
        <f>Matrix_prices!C236</f>
        <v>42583</v>
      </c>
      <c r="D248" s="152" t="str">
        <f>Matrix_prices!D236</f>
        <v>MD</v>
      </c>
      <c r="E248" s="153" t="str">
        <f>Matrix_prices!E236</f>
        <v>PEPCO</v>
      </c>
      <c r="F248" s="152" t="str">
        <f>Matrix_prices!F236</f>
        <v>GS</v>
      </c>
      <c r="G248" s="153" t="str">
        <f>Matrix_prices!G236</f>
        <v>General Service Small</v>
      </c>
      <c r="H248" s="157" t="str">
        <f t="shared" si="9"/>
        <v>0-100 MWh</v>
      </c>
      <c r="I248" s="153">
        <f>(Matrix_prices!I236+$D$2)*IF($M$2="Prices in $/MWh",1,1/1000)</f>
        <v>83.03</v>
      </c>
      <c r="J248" s="152">
        <f>(Matrix_prices!J236+$D$2)*IF($M$2="Prices in $/MWh",1,1/1000)</f>
        <v>81.96</v>
      </c>
      <c r="K248" s="153">
        <f>(Matrix_prices!K236+$D$2)*IF($M$2="Prices in $/MWh",1,1/1000)</f>
        <v>82.36</v>
      </c>
      <c r="L248" s="152">
        <f>(Matrix_prices!L236+$D$2)*IF($M$2="Prices in $/MWh",1,1/1000)</f>
        <v>38.22</v>
      </c>
      <c r="M248" s="153">
        <f>(Matrix_prices!M236+$D$2)*IF($M$2="Prices in $/MWh",1,1/1000)</f>
        <v>38.01</v>
      </c>
      <c r="N248" s="152">
        <f>(Matrix_prices!N236+$D$2)*IF($M$2="Prices in $/MWh",1,1/1000)</f>
        <v>38.28</v>
      </c>
    </row>
    <row r="249" spans="3:14" x14ac:dyDescent="0.25">
      <c r="C249" s="78">
        <f>Matrix_prices!C237</f>
        <v>42583</v>
      </c>
      <c r="D249" s="79" t="str">
        <f>Matrix_prices!D237</f>
        <v>MD</v>
      </c>
      <c r="E249" s="80" t="str">
        <f>Matrix_prices!E237</f>
        <v>PEPCO</v>
      </c>
      <c r="F249" s="79" t="str">
        <f>Matrix_prices!F237</f>
        <v>GS</v>
      </c>
      <c r="G249" s="80" t="str">
        <f>Matrix_prices!G237</f>
        <v>General Service Small</v>
      </c>
      <c r="H249" s="81" t="str">
        <f t="shared" si="10"/>
        <v>100-500 MWh</v>
      </c>
      <c r="I249" s="80">
        <f>(Matrix_prices!I237+$D$2)*IF($M$2="Prices in $/MWh",1,1/1000)</f>
        <v>81.430000000000007</v>
      </c>
      <c r="J249" s="79">
        <f>(Matrix_prices!J237+$D$2)*IF($M$2="Prices in $/MWh",1,1/1000)</f>
        <v>80.36</v>
      </c>
      <c r="K249" s="80">
        <f>(Matrix_prices!K237+$D$2)*IF($M$2="Prices in $/MWh",1,1/1000)</f>
        <v>80.760000000000005</v>
      </c>
      <c r="L249" s="79">
        <f>(Matrix_prices!L237+$D$2)*IF($M$2="Prices in $/MWh",1,1/1000)</f>
        <v>36.619999999999997</v>
      </c>
      <c r="M249" s="80">
        <f>(Matrix_prices!M237+$D$2)*IF($M$2="Prices in $/MWh",1,1/1000)</f>
        <v>36.409999999999997</v>
      </c>
      <c r="N249" s="79">
        <f>(Matrix_prices!N237+$D$2)*IF($M$2="Prices in $/MWh",1,1/1000)</f>
        <v>36.68</v>
      </c>
    </row>
    <row r="250" spans="3:14" x14ac:dyDescent="0.25">
      <c r="C250" s="82">
        <f>Matrix_prices!C238</f>
        <v>42583</v>
      </c>
      <c r="D250" s="83" t="str">
        <f>Matrix_prices!D238</f>
        <v>MD</v>
      </c>
      <c r="E250" s="84" t="str">
        <f>Matrix_prices!E238</f>
        <v>PEPCO</v>
      </c>
      <c r="F250" s="83" t="str">
        <f>Matrix_prices!F238</f>
        <v>GS</v>
      </c>
      <c r="G250" s="84" t="str">
        <f>Matrix_prices!G238</f>
        <v>General Service Small</v>
      </c>
      <c r="H250" s="85" t="str">
        <f t="shared" si="11"/>
        <v>500-2500 MWh</v>
      </c>
      <c r="I250" s="84">
        <f>(Matrix_prices!I238+$D$2)*IF($M$2="Prices in $/MWh",1,1/1000)</f>
        <v>80.38</v>
      </c>
      <c r="J250" s="83">
        <f>(Matrix_prices!J238+$D$2)*IF($M$2="Prices in $/MWh",1,1/1000)</f>
        <v>79.31</v>
      </c>
      <c r="K250" s="84">
        <f>(Matrix_prices!K238+$D$2)*IF($M$2="Prices in $/MWh",1,1/1000)</f>
        <v>79.709999999999994</v>
      </c>
      <c r="L250" s="83">
        <f>(Matrix_prices!L238+$D$2)*IF($M$2="Prices in $/MWh",1,1/1000)</f>
        <v>35.57</v>
      </c>
      <c r="M250" s="84">
        <f>(Matrix_prices!M238+$D$2)*IF($M$2="Prices in $/MWh",1,1/1000)</f>
        <v>35.36</v>
      </c>
      <c r="N250" s="83">
        <f>(Matrix_prices!N238+$D$2)*IF($M$2="Prices in $/MWh",1,1/1000)</f>
        <v>35.630000000000003</v>
      </c>
    </row>
    <row r="251" spans="3:14" x14ac:dyDescent="0.25">
      <c r="C251" s="74">
        <f>Matrix_prices!C239</f>
        <v>42614</v>
      </c>
      <c r="D251" s="75" t="str">
        <f>Matrix_prices!D239</f>
        <v>MD</v>
      </c>
      <c r="E251" s="76" t="str">
        <f>Matrix_prices!E239</f>
        <v>PEPCO</v>
      </c>
      <c r="F251" s="75" t="str">
        <f>Matrix_prices!F239</f>
        <v>GS</v>
      </c>
      <c r="G251" s="76" t="str">
        <f>Matrix_prices!G239</f>
        <v>General Service Small</v>
      </c>
      <c r="H251" s="157" t="str">
        <f t="shared" si="9"/>
        <v>0-100 MWh</v>
      </c>
      <c r="I251" s="76">
        <f>(Matrix_prices!I239+$D$2)*IF($M$2="Prices in $/MWh",1,1/1000)</f>
        <v>82.75</v>
      </c>
      <c r="J251" s="75">
        <f>(Matrix_prices!J239+$D$2)*IF($M$2="Prices in $/MWh",1,1/1000)</f>
        <v>82.16</v>
      </c>
      <c r="K251" s="76">
        <f>(Matrix_prices!K239+$D$2)*IF($M$2="Prices in $/MWh",1,1/1000)</f>
        <v>82.28</v>
      </c>
      <c r="L251" s="75">
        <f>(Matrix_prices!L239+$D$2)*IF($M$2="Prices in $/MWh",1,1/1000)</f>
        <v>38.17</v>
      </c>
      <c r="M251" s="76">
        <f>(Matrix_prices!M239+$D$2)*IF($M$2="Prices in $/MWh",1,1/1000)</f>
        <v>38.03</v>
      </c>
      <c r="N251" s="75">
        <f>(Matrix_prices!N239+$D$2)*IF($M$2="Prices in $/MWh",1,1/1000)</f>
        <v>38.299999999999997</v>
      </c>
    </row>
    <row r="252" spans="3:14" x14ac:dyDescent="0.25">
      <c r="C252" s="78">
        <f>Matrix_prices!C240</f>
        <v>42614</v>
      </c>
      <c r="D252" s="79" t="str">
        <f>Matrix_prices!D240</f>
        <v>MD</v>
      </c>
      <c r="E252" s="80" t="str">
        <f>Matrix_prices!E240</f>
        <v>PEPCO</v>
      </c>
      <c r="F252" s="79" t="str">
        <f>Matrix_prices!F240</f>
        <v>GS</v>
      </c>
      <c r="G252" s="80" t="str">
        <f>Matrix_prices!G240</f>
        <v>General Service Small</v>
      </c>
      <c r="H252" s="81" t="str">
        <f t="shared" si="10"/>
        <v>100-500 MWh</v>
      </c>
      <c r="I252" s="80">
        <f>(Matrix_prices!I240+$D$2)*IF($M$2="Prices in $/MWh",1,1/1000)</f>
        <v>81.150000000000006</v>
      </c>
      <c r="J252" s="79">
        <f>(Matrix_prices!J240+$D$2)*IF($M$2="Prices in $/MWh",1,1/1000)</f>
        <v>80.56</v>
      </c>
      <c r="K252" s="80">
        <f>(Matrix_prices!K240+$D$2)*IF($M$2="Prices in $/MWh",1,1/1000)</f>
        <v>80.680000000000007</v>
      </c>
      <c r="L252" s="79">
        <f>(Matrix_prices!L240+$D$2)*IF($M$2="Prices in $/MWh",1,1/1000)</f>
        <v>36.57</v>
      </c>
      <c r="M252" s="80">
        <f>(Matrix_prices!M240+$D$2)*IF($M$2="Prices in $/MWh",1,1/1000)</f>
        <v>36.43</v>
      </c>
      <c r="N252" s="79">
        <f>(Matrix_prices!N240+$D$2)*IF($M$2="Prices in $/MWh",1,1/1000)</f>
        <v>36.700000000000003</v>
      </c>
    </row>
    <row r="253" spans="3:14" x14ac:dyDescent="0.25">
      <c r="C253" s="82">
        <f>Matrix_prices!C241</f>
        <v>42614</v>
      </c>
      <c r="D253" s="83" t="str">
        <f>Matrix_prices!D241</f>
        <v>MD</v>
      </c>
      <c r="E253" s="84" t="str">
        <f>Matrix_prices!E241</f>
        <v>PEPCO</v>
      </c>
      <c r="F253" s="83" t="str">
        <f>Matrix_prices!F241</f>
        <v>GS</v>
      </c>
      <c r="G253" s="84" t="str">
        <f>Matrix_prices!G241</f>
        <v>General Service Small</v>
      </c>
      <c r="H253" s="85" t="str">
        <f t="shared" si="11"/>
        <v>500-2500 MWh</v>
      </c>
      <c r="I253" s="84">
        <f>(Matrix_prices!I241+$D$2)*IF($M$2="Prices in $/MWh",1,1/1000)</f>
        <v>80.099999999999994</v>
      </c>
      <c r="J253" s="83">
        <f>(Matrix_prices!J241+$D$2)*IF($M$2="Prices in $/MWh",1,1/1000)</f>
        <v>79.510000000000005</v>
      </c>
      <c r="K253" s="84">
        <f>(Matrix_prices!K241+$D$2)*IF($M$2="Prices in $/MWh",1,1/1000)</f>
        <v>79.63</v>
      </c>
      <c r="L253" s="83">
        <f>(Matrix_prices!L241+$D$2)*IF($M$2="Prices in $/MWh",1,1/1000)</f>
        <v>35.520000000000003</v>
      </c>
      <c r="M253" s="84">
        <f>(Matrix_prices!M241+$D$2)*IF($M$2="Prices in $/MWh",1,1/1000)</f>
        <v>35.380000000000003</v>
      </c>
      <c r="N253" s="83">
        <f>(Matrix_prices!N241+$D$2)*IF($M$2="Prices in $/MWh",1,1/1000)</f>
        <v>35.65</v>
      </c>
    </row>
    <row r="254" spans="3:14" x14ac:dyDescent="0.25">
      <c r="C254" s="151">
        <f>Matrix_prices!C242</f>
        <v>42644</v>
      </c>
      <c r="D254" s="152" t="str">
        <f>Matrix_prices!D242</f>
        <v>MD</v>
      </c>
      <c r="E254" s="153" t="str">
        <f>Matrix_prices!E242</f>
        <v>PEPCO</v>
      </c>
      <c r="F254" s="152" t="str">
        <f>Matrix_prices!F242</f>
        <v>GS</v>
      </c>
      <c r="G254" s="153" t="str">
        <f>Matrix_prices!G242</f>
        <v>General Service Small</v>
      </c>
      <c r="H254" s="157" t="str">
        <f t="shared" si="9"/>
        <v>0-100 MWh</v>
      </c>
      <c r="I254" s="153">
        <f>(Matrix_prices!I242+$D$2)*IF($M$2="Prices in $/MWh",1,1/1000)</f>
        <v>82.58</v>
      </c>
      <c r="J254" s="152">
        <f>(Matrix_prices!J242+$D$2)*IF($M$2="Prices in $/MWh",1,1/1000)</f>
        <v>82.35</v>
      </c>
      <c r="K254" s="153">
        <f>(Matrix_prices!K242+$D$2)*IF($M$2="Prices in $/MWh",1,1/1000)</f>
        <v>82.23</v>
      </c>
      <c r="L254" s="152">
        <f>(Matrix_prices!L242+$D$2)*IF($M$2="Prices in $/MWh",1,1/1000)</f>
        <v>38.17</v>
      </c>
      <c r="M254" s="153">
        <f>(Matrix_prices!M242+$D$2)*IF($M$2="Prices in $/MWh",1,1/1000)</f>
        <v>38.07</v>
      </c>
      <c r="N254" s="152">
        <f>(Matrix_prices!N242+$D$2)*IF($M$2="Prices in $/MWh",1,1/1000)</f>
        <v>38.369999999999997</v>
      </c>
    </row>
    <row r="255" spans="3:14" x14ac:dyDescent="0.25">
      <c r="C255" s="78">
        <f>Matrix_prices!C243</f>
        <v>42644</v>
      </c>
      <c r="D255" s="79" t="str">
        <f>Matrix_prices!D243</f>
        <v>MD</v>
      </c>
      <c r="E255" s="80" t="str">
        <f>Matrix_prices!E243</f>
        <v>PEPCO</v>
      </c>
      <c r="F255" s="79" t="str">
        <f>Matrix_prices!F243</f>
        <v>GS</v>
      </c>
      <c r="G255" s="80" t="str">
        <f>Matrix_prices!G243</f>
        <v>General Service Small</v>
      </c>
      <c r="H255" s="81" t="str">
        <f t="shared" si="10"/>
        <v>100-500 MWh</v>
      </c>
      <c r="I255" s="80">
        <f>(Matrix_prices!I243+$D$2)*IF($M$2="Prices in $/MWh",1,1/1000)</f>
        <v>80.98</v>
      </c>
      <c r="J255" s="79">
        <f>(Matrix_prices!J243+$D$2)*IF($M$2="Prices in $/MWh",1,1/1000)</f>
        <v>80.75</v>
      </c>
      <c r="K255" s="80">
        <f>(Matrix_prices!K243+$D$2)*IF($M$2="Prices in $/MWh",1,1/1000)</f>
        <v>80.63</v>
      </c>
      <c r="L255" s="79">
        <f>(Matrix_prices!L243+$D$2)*IF($M$2="Prices in $/MWh",1,1/1000)</f>
        <v>36.57</v>
      </c>
      <c r="M255" s="80">
        <f>(Matrix_prices!M243+$D$2)*IF($M$2="Prices in $/MWh",1,1/1000)</f>
        <v>36.47</v>
      </c>
      <c r="N255" s="79">
        <f>(Matrix_prices!N243+$D$2)*IF($M$2="Prices in $/MWh",1,1/1000)</f>
        <v>36.770000000000003</v>
      </c>
    </row>
    <row r="256" spans="3:14" x14ac:dyDescent="0.25">
      <c r="C256" s="82">
        <f>Matrix_prices!C244</f>
        <v>42644</v>
      </c>
      <c r="D256" s="83" t="str">
        <f>Matrix_prices!D244</f>
        <v>MD</v>
      </c>
      <c r="E256" s="84" t="str">
        <f>Matrix_prices!E244</f>
        <v>PEPCO</v>
      </c>
      <c r="F256" s="83" t="str">
        <f>Matrix_prices!F244</f>
        <v>GS</v>
      </c>
      <c r="G256" s="84" t="str">
        <f>Matrix_prices!G244</f>
        <v>General Service Small</v>
      </c>
      <c r="H256" s="85" t="str">
        <f t="shared" si="11"/>
        <v>500-2500 MWh</v>
      </c>
      <c r="I256" s="84">
        <f>(Matrix_prices!I244+$D$2)*IF($M$2="Prices in $/MWh",1,1/1000)</f>
        <v>79.930000000000007</v>
      </c>
      <c r="J256" s="83">
        <f>(Matrix_prices!J244+$D$2)*IF($M$2="Prices in $/MWh",1,1/1000)</f>
        <v>79.7</v>
      </c>
      <c r="K256" s="84">
        <f>(Matrix_prices!K244+$D$2)*IF($M$2="Prices in $/MWh",1,1/1000)</f>
        <v>79.58</v>
      </c>
      <c r="L256" s="83">
        <f>(Matrix_prices!L244+$D$2)*IF($M$2="Prices in $/MWh",1,1/1000)</f>
        <v>35.520000000000003</v>
      </c>
      <c r="M256" s="84">
        <f>(Matrix_prices!M244+$D$2)*IF($M$2="Prices in $/MWh",1,1/1000)</f>
        <v>35.42</v>
      </c>
      <c r="N256" s="83">
        <f>(Matrix_prices!N244+$D$2)*IF($M$2="Prices in $/MWh",1,1/1000)</f>
        <v>35.72</v>
      </c>
    </row>
    <row r="257" spans="3:14" x14ac:dyDescent="0.25">
      <c r="C257" s="74">
        <f>Matrix_prices!C245</f>
        <v>42675</v>
      </c>
      <c r="D257" s="75" t="str">
        <f>Matrix_prices!D245</f>
        <v>MD</v>
      </c>
      <c r="E257" s="76" t="str">
        <f>Matrix_prices!E245</f>
        <v>PEPCO</v>
      </c>
      <c r="F257" s="75" t="str">
        <f>Matrix_prices!F245</f>
        <v>GS</v>
      </c>
      <c r="G257" s="76" t="str">
        <f>Matrix_prices!G245</f>
        <v>General Service Small</v>
      </c>
      <c r="H257" s="157" t="str">
        <f t="shared" si="9"/>
        <v>0-100 MWh</v>
      </c>
      <c r="I257" s="76">
        <f>(Matrix_prices!I245+$D$2)*IF($M$2="Prices in $/MWh",1,1/1000)</f>
        <v>82.31</v>
      </c>
      <c r="J257" s="75">
        <f>(Matrix_prices!J245+$D$2)*IF($M$2="Prices in $/MWh",1,1/1000)</f>
        <v>82.32</v>
      </c>
      <c r="K257" s="76">
        <f>(Matrix_prices!K245+$D$2)*IF($M$2="Prices in $/MWh",1,1/1000)</f>
        <v>82.12</v>
      </c>
      <c r="L257" s="75">
        <f>(Matrix_prices!L245+$D$2)*IF($M$2="Prices in $/MWh",1,1/1000)</f>
        <v>38.1</v>
      </c>
      <c r="M257" s="76">
        <f>(Matrix_prices!M245+$D$2)*IF($M$2="Prices in $/MWh",1,1/1000)</f>
        <v>38.020000000000003</v>
      </c>
      <c r="N257" s="75">
        <f>(Matrix_prices!N245+$D$2)*IF($M$2="Prices in $/MWh",1,1/1000)</f>
        <v>38.380000000000003</v>
      </c>
    </row>
    <row r="258" spans="3:14" x14ac:dyDescent="0.25">
      <c r="C258" s="78">
        <f>Matrix_prices!C246</f>
        <v>42675</v>
      </c>
      <c r="D258" s="79" t="str">
        <f>Matrix_prices!D246</f>
        <v>MD</v>
      </c>
      <c r="E258" s="80" t="str">
        <f>Matrix_prices!E246</f>
        <v>PEPCO</v>
      </c>
      <c r="F258" s="79" t="str">
        <f>Matrix_prices!F246</f>
        <v>GS</v>
      </c>
      <c r="G258" s="80" t="str">
        <f>Matrix_prices!G246</f>
        <v>General Service Small</v>
      </c>
      <c r="H258" s="81" t="str">
        <f t="shared" si="10"/>
        <v>100-500 MWh</v>
      </c>
      <c r="I258" s="80">
        <f>(Matrix_prices!I246+$D$2)*IF($M$2="Prices in $/MWh",1,1/1000)</f>
        <v>80.709999999999994</v>
      </c>
      <c r="J258" s="79">
        <f>(Matrix_prices!J246+$D$2)*IF($M$2="Prices in $/MWh",1,1/1000)</f>
        <v>80.72</v>
      </c>
      <c r="K258" s="80">
        <f>(Matrix_prices!K246+$D$2)*IF($M$2="Prices in $/MWh",1,1/1000)</f>
        <v>80.52</v>
      </c>
      <c r="L258" s="79">
        <f>(Matrix_prices!L246+$D$2)*IF($M$2="Prices in $/MWh",1,1/1000)</f>
        <v>36.5</v>
      </c>
      <c r="M258" s="80">
        <f>(Matrix_prices!M246+$D$2)*IF($M$2="Prices in $/MWh",1,1/1000)</f>
        <v>36.42</v>
      </c>
      <c r="N258" s="79">
        <f>(Matrix_prices!N246+$D$2)*IF($M$2="Prices in $/MWh",1,1/1000)</f>
        <v>36.78</v>
      </c>
    </row>
    <row r="259" spans="3:14" x14ac:dyDescent="0.25">
      <c r="C259" s="82">
        <f>Matrix_prices!C247</f>
        <v>42675</v>
      </c>
      <c r="D259" s="83" t="str">
        <f>Matrix_prices!D247</f>
        <v>MD</v>
      </c>
      <c r="E259" s="84" t="str">
        <f>Matrix_prices!E247</f>
        <v>PEPCO</v>
      </c>
      <c r="F259" s="83" t="str">
        <f>Matrix_prices!F247</f>
        <v>GS</v>
      </c>
      <c r="G259" s="84" t="str">
        <f>Matrix_prices!G247</f>
        <v>General Service Small</v>
      </c>
      <c r="H259" s="85" t="str">
        <f t="shared" si="11"/>
        <v>500-2500 MWh</v>
      </c>
      <c r="I259" s="84">
        <f>(Matrix_prices!I247+$D$2)*IF($M$2="Prices in $/MWh",1,1/1000)</f>
        <v>79.66</v>
      </c>
      <c r="J259" s="83">
        <f>(Matrix_prices!J247+$D$2)*IF($M$2="Prices in $/MWh",1,1/1000)</f>
        <v>79.67</v>
      </c>
      <c r="K259" s="84">
        <f>(Matrix_prices!K247+$D$2)*IF($M$2="Prices in $/MWh",1,1/1000)</f>
        <v>79.47</v>
      </c>
      <c r="L259" s="83">
        <f>(Matrix_prices!L247+$D$2)*IF($M$2="Prices in $/MWh",1,1/1000)</f>
        <v>35.450000000000003</v>
      </c>
      <c r="M259" s="84">
        <f>(Matrix_prices!M247+$D$2)*IF($M$2="Prices in $/MWh",1,1/1000)</f>
        <v>35.369999999999997</v>
      </c>
      <c r="N259" s="83">
        <f>(Matrix_prices!N247+$D$2)*IF($M$2="Prices in $/MWh",1,1/1000)</f>
        <v>35.729999999999997</v>
      </c>
    </row>
    <row r="260" spans="3:14" x14ac:dyDescent="0.25">
      <c r="C260" s="151">
        <f>Matrix_prices!C248</f>
        <v>42705</v>
      </c>
      <c r="D260" s="152" t="str">
        <f>Matrix_prices!D248</f>
        <v>MD</v>
      </c>
      <c r="E260" s="153" t="str">
        <f>Matrix_prices!E248</f>
        <v>PEPCO</v>
      </c>
      <c r="F260" s="152" t="str">
        <f>Matrix_prices!F248</f>
        <v>GS</v>
      </c>
      <c r="G260" s="153" t="str">
        <f>Matrix_prices!G248</f>
        <v>General Service Small</v>
      </c>
      <c r="H260" s="157" t="str">
        <f t="shared" si="9"/>
        <v>0-100 MWh</v>
      </c>
      <c r="I260" s="153">
        <f>(Matrix_prices!I248+$D$2)*IF($M$2="Prices in $/MWh",1,1/1000)</f>
        <v>81.99</v>
      </c>
      <c r="J260" s="152">
        <f>(Matrix_prices!J248+$D$2)*IF($M$2="Prices in $/MWh",1,1/1000)</f>
        <v>82.63</v>
      </c>
      <c r="K260" s="153">
        <f>(Matrix_prices!K248+$D$2)*IF($M$2="Prices in $/MWh",1,1/1000)</f>
        <v>81.99</v>
      </c>
      <c r="L260" s="152">
        <f>(Matrix_prices!L248+$D$2)*IF($M$2="Prices in $/MWh",1,1/1000)</f>
        <v>38.07</v>
      </c>
      <c r="M260" s="153">
        <f>(Matrix_prices!M248+$D$2)*IF($M$2="Prices in $/MWh",1,1/1000)</f>
        <v>38.21</v>
      </c>
      <c r="N260" s="152">
        <f>(Matrix_prices!N248+$D$2)*IF($M$2="Prices in $/MWh",1,1/1000)</f>
        <v>38.42</v>
      </c>
    </row>
    <row r="261" spans="3:14" x14ac:dyDescent="0.25">
      <c r="C261" s="78">
        <f>Matrix_prices!C249</f>
        <v>42705</v>
      </c>
      <c r="D261" s="79" t="str">
        <f>Matrix_prices!D249</f>
        <v>MD</v>
      </c>
      <c r="E261" s="80" t="str">
        <f>Matrix_prices!E249</f>
        <v>PEPCO</v>
      </c>
      <c r="F261" s="79" t="str">
        <f>Matrix_prices!F249</f>
        <v>GS</v>
      </c>
      <c r="G261" s="80" t="str">
        <f>Matrix_prices!G249</f>
        <v>General Service Small</v>
      </c>
      <c r="H261" s="81" t="str">
        <f t="shared" si="10"/>
        <v>100-500 MWh</v>
      </c>
      <c r="I261" s="80">
        <f>(Matrix_prices!I249+$D$2)*IF($M$2="Prices in $/MWh",1,1/1000)</f>
        <v>80.39</v>
      </c>
      <c r="J261" s="79">
        <f>(Matrix_prices!J249+$D$2)*IF($M$2="Prices in $/MWh",1,1/1000)</f>
        <v>81.03</v>
      </c>
      <c r="K261" s="80">
        <f>(Matrix_prices!K249+$D$2)*IF($M$2="Prices in $/MWh",1,1/1000)</f>
        <v>80.39</v>
      </c>
      <c r="L261" s="79">
        <f>(Matrix_prices!L249+$D$2)*IF($M$2="Prices in $/MWh",1,1/1000)</f>
        <v>36.47</v>
      </c>
      <c r="M261" s="80">
        <f>(Matrix_prices!M249+$D$2)*IF($M$2="Prices in $/MWh",1,1/1000)</f>
        <v>36.61</v>
      </c>
      <c r="N261" s="79">
        <f>(Matrix_prices!N249+$D$2)*IF($M$2="Prices in $/MWh",1,1/1000)</f>
        <v>36.82</v>
      </c>
    </row>
    <row r="262" spans="3:14" x14ac:dyDescent="0.25">
      <c r="C262" s="82">
        <f>Matrix_prices!C250</f>
        <v>42705</v>
      </c>
      <c r="D262" s="83" t="str">
        <f>Matrix_prices!D250</f>
        <v>MD</v>
      </c>
      <c r="E262" s="84" t="str">
        <f>Matrix_prices!E250</f>
        <v>PEPCO</v>
      </c>
      <c r="F262" s="83" t="str">
        <f>Matrix_prices!F250</f>
        <v>GS</v>
      </c>
      <c r="G262" s="84" t="str">
        <f>Matrix_prices!G250</f>
        <v>General Service Small</v>
      </c>
      <c r="H262" s="85" t="str">
        <f t="shared" si="11"/>
        <v>500-2500 MWh</v>
      </c>
      <c r="I262" s="84">
        <f>(Matrix_prices!I250+$D$2)*IF($M$2="Prices in $/MWh",1,1/1000)</f>
        <v>79.34</v>
      </c>
      <c r="J262" s="83">
        <f>(Matrix_prices!J250+$D$2)*IF($M$2="Prices in $/MWh",1,1/1000)</f>
        <v>79.98</v>
      </c>
      <c r="K262" s="84">
        <f>(Matrix_prices!K250+$D$2)*IF($M$2="Prices in $/MWh",1,1/1000)</f>
        <v>79.34</v>
      </c>
      <c r="L262" s="83">
        <f>(Matrix_prices!L250+$D$2)*IF($M$2="Prices in $/MWh",1,1/1000)</f>
        <v>35.42</v>
      </c>
      <c r="M262" s="84">
        <f>(Matrix_prices!M250+$D$2)*IF($M$2="Prices in $/MWh",1,1/1000)</f>
        <v>35.56</v>
      </c>
      <c r="N262" s="83">
        <f>(Matrix_prices!N250+$D$2)*IF($M$2="Prices in $/MWh",1,1/1000)</f>
        <v>35.770000000000003</v>
      </c>
    </row>
    <row r="263" spans="3:14" x14ac:dyDescent="0.25">
      <c r="C263" s="74">
        <f>Matrix_prices!C251</f>
        <v>42736</v>
      </c>
      <c r="D263" s="75" t="str">
        <f>Matrix_prices!D251</f>
        <v>MD</v>
      </c>
      <c r="E263" s="76" t="str">
        <f>Matrix_prices!E251</f>
        <v>PEPCO</v>
      </c>
      <c r="F263" s="75" t="str">
        <f>Matrix_prices!F251</f>
        <v>GS</v>
      </c>
      <c r="G263" s="76" t="str">
        <f>Matrix_prices!G251</f>
        <v>General Service Small</v>
      </c>
      <c r="H263" s="157" t="str">
        <f t="shared" si="9"/>
        <v>0-100 MWh</v>
      </c>
      <c r="I263" s="76">
        <f>(Matrix_prices!I251+$D$2)*IF($M$2="Prices in $/MWh",1,1/1000)</f>
        <v>81.83</v>
      </c>
      <c r="J263" s="75">
        <f>(Matrix_prices!J251+$D$2)*IF($M$2="Prices in $/MWh",1,1/1000)</f>
        <v>82.76</v>
      </c>
      <c r="K263" s="76">
        <f>(Matrix_prices!K251+$D$2)*IF($M$2="Prices in $/MWh",1,1/1000)</f>
        <v>82.01</v>
      </c>
      <c r="L263" s="75">
        <f>(Matrix_prices!L251+$D$2)*IF($M$2="Prices in $/MWh",1,1/1000)</f>
        <v>38.07</v>
      </c>
      <c r="M263" s="76">
        <f>(Matrix_prices!M251+$D$2)*IF($M$2="Prices in $/MWh",1,1/1000)</f>
        <v>38.39</v>
      </c>
      <c r="N263" s="75">
        <f>(Matrix_prices!N251+$D$2)*IF($M$2="Prices in $/MWh",1,1/1000)</f>
        <v>38.479999999999997</v>
      </c>
    </row>
    <row r="264" spans="3:14" x14ac:dyDescent="0.25">
      <c r="C264" s="78">
        <f>Matrix_prices!C252</f>
        <v>42736</v>
      </c>
      <c r="D264" s="79" t="str">
        <f>Matrix_prices!D252</f>
        <v>MD</v>
      </c>
      <c r="E264" s="80" t="str">
        <f>Matrix_prices!E252</f>
        <v>PEPCO</v>
      </c>
      <c r="F264" s="79" t="str">
        <f>Matrix_prices!F252</f>
        <v>GS</v>
      </c>
      <c r="G264" s="80" t="str">
        <f>Matrix_prices!G252</f>
        <v>General Service Small</v>
      </c>
      <c r="H264" s="81" t="str">
        <f t="shared" si="10"/>
        <v>100-500 MWh</v>
      </c>
      <c r="I264" s="80">
        <f>(Matrix_prices!I252+$D$2)*IF($M$2="Prices in $/MWh",1,1/1000)</f>
        <v>80.23</v>
      </c>
      <c r="J264" s="79">
        <f>(Matrix_prices!J252+$D$2)*IF($M$2="Prices in $/MWh",1,1/1000)</f>
        <v>81.16</v>
      </c>
      <c r="K264" s="80">
        <f>(Matrix_prices!K252+$D$2)*IF($M$2="Prices in $/MWh",1,1/1000)</f>
        <v>80.41</v>
      </c>
      <c r="L264" s="79">
        <f>(Matrix_prices!L252+$D$2)*IF($M$2="Prices in $/MWh",1,1/1000)</f>
        <v>36.47</v>
      </c>
      <c r="M264" s="80">
        <f>(Matrix_prices!M252+$D$2)*IF($M$2="Prices in $/MWh",1,1/1000)</f>
        <v>36.79</v>
      </c>
      <c r="N264" s="79">
        <f>(Matrix_prices!N252+$D$2)*IF($M$2="Prices in $/MWh",1,1/1000)</f>
        <v>36.880000000000003</v>
      </c>
    </row>
    <row r="265" spans="3:14" x14ac:dyDescent="0.25">
      <c r="C265" s="82">
        <f>Matrix_prices!C253</f>
        <v>42736</v>
      </c>
      <c r="D265" s="83" t="str">
        <f>Matrix_prices!D253</f>
        <v>MD</v>
      </c>
      <c r="E265" s="84" t="str">
        <f>Matrix_prices!E253</f>
        <v>PEPCO</v>
      </c>
      <c r="F265" s="83" t="str">
        <f>Matrix_prices!F253</f>
        <v>GS</v>
      </c>
      <c r="G265" s="84" t="str">
        <f>Matrix_prices!G253</f>
        <v>General Service Small</v>
      </c>
      <c r="H265" s="85" t="str">
        <f t="shared" si="11"/>
        <v>500-2500 MWh</v>
      </c>
      <c r="I265" s="84">
        <f>(Matrix_prices!I253+$D$2)*IF($M$2="Prices in $/MWh",1,1/1000)</f>
        <v>79.180000000000007</v>
      </c>
      <c r="J265" s="83">
        <f>(Matrix_prices!J253+$D$2)*IF($M$2="Prices in $/MWh",1,1/1000)</f>
        <v>80.11</v>
      </c>
      <c r="K265" s="84">
        <f>(Matrix_prices!K253+$D$2)*IF($M$2="Prices in $/MWh",1,1/1000)</f>
        <v>79.36</v>
      </c>
      <c r="L265" s="83">
        <f>(Matrix_prices!L253+$D$2)*IF($M$2="Prices in $/MWh",1,1/1000)</f>
        <v>35.42</v>
      </c>
      <c r="M265" s="84">
        <f>(Matrix_prices!M253+$D$2)*IF($M$2="Prices in $/MWh",1,1/1000)</f>
        <v>35.74</v>
      </c>
      <c r="N265" s="83">
        <f>(Matrix_prices!N253+$D$2)*IF($M$2="Prices in $/MWh",1,1/1000)</f>
        <v>35.83</v>
      </c>
    </row>
    <row r="266" spans="3:14" x14ac:dyDescent="0.25">
      <c r="C266" s="151">
        <f>Matrix_prices!C254</f>
        <v>42401</v>
      </c>
      <c r="D266" s="152" t="str">
        <f>Matrix_prices!D254</f>
        <v>MD</v>
      </c>
      <c r="E266" s="153" t="str">
        <f>Matrix_prices!E254</f>
        <v>PEPCO</v>
      </c>
      <c r="F266" s="152" t="str">
        <f>Matrix_prices!F254</f>
        <v>MGT LV II</v>
      </c>
      <c r="G266" s="153" t="str">
        <f>Matrix_prices!G254</f>
        <v>Time Metered Gen Service</v>
      </c>
      <c r="H266" s="157" t="str">
        <f t="shared" si="9"/>
        <v>0-100 MWh</v>
      </c>
      <c r="I266" s="153">
        <f>(Matrix_prices!I254+$D$2)*IF($M$2="Prices in $/MWh",1,1/1000)</f>
        <v>81.36</v>
      </c>
      <c r="J266" s="152">
        <f>(Matrix_prices!J254+$D$2)*IF($M$2="Prices in $/MWh",1,1/1000)</f>
        <v>81.349999999999994</v>
      </c>
      <c r="K266" s="153">
        <f>(Matrix_prices!K254+$D$2)*IF($M$2="Prices in $/MWh",1,1/1000)</f>
        <v>80.56</v>
      </c>
      <c r="L266" s="152">
        <f>(Matrix_prices!L254+$D$2)*IF($M$2="Prices in $/MWh",1,1/1000)</f>
        <v>37.380000000000003</v>
      </c>
      <c r="M266" s="153">
        <f>(Matrix_prices!M254+$D$2)*IF($M$2="Prices in $/MWh",1,1/1000)</f>
        <v>37.33</v>
      </c>
      <c r="N266" s="152">
        <f>(Matrix_prices!N254+$D$2)*IF($M$2="Prices in $/MWh",1,1/1000)</f>
        <v>37.21</v>
      </c>
    </row>
    <row r="267" spans="3:14" x14ac:dyDescent="0.25">
      <c r="C267" s="78">
        <f>Matrix_prices!C255</f>
        <v>42401</v>
      </c>
      <c r="D267" s="79" t="str">
        <f>Matrix_prices!D255</f>
        <v>MD</v>
      </c>
      <c r="E267" s="80" t="str">
        <f>Matrix_prices!E255</f>
        <v>PEPCO</v>
      </c>
      <c r="F267" s="79" t="str">
        <f>Matrix_prices!F255</f>
        <v>MGT LV II</v>
      </c>
      <c r="G267" s="80" t="str">
        <f>Matrix_prices!G255</f>
        <v>Time Metered Gen Service</v>
      </c>
      <c r="H267" s="81" t="str">
        <f t="shared" si="10"/>
        <v>100-500 MWh</v>
      </c>
      <c r="I267" s="80">
        <f>(Matrix_prices!I255+$D$2)*IF($M$2="Prices in $/MWh",1,1/1000)</f>
        <v>79.760000000000005</v>
      </c>
      <c r="J267" s="79">
        <f>(Matrix_prices!J255+$D$2)*IF($M$2="Prices in $/MWh",1,1/1000)</f>
        <v>79.75</v>
      </c>
      <c r="K267" s="80">
        <f>(Matrix_prices!K255+$D$2)*IF($M$2="Prices in $/MWh",1,1/1000)</f>
        <v>78.959999999999994</v>
      </c>
      <c r="L267" s="79">
        <f>(Matrix_prices!L255+$D$2)*IF($M$2="Prices in $/MWh",1,1/1000)</f>
        <v>35.78</v>
      </c>
      <c r="M267" s="80">
        <f>(Matrix_prices!M255+$D$2)*IF($M$2="Prices in $/MWh",1,1/1000)</f>
        <v>35.729999999999997</v>
      </c>
      <c r="N267" s="79">
        <f>(Matrix_prices!N255+$D$2)*IF($M$2="Prices in $/MWh",1,1/1000)</f>
        <v>35.61</v>
      </c>
    </row>
    <row r="268" spans="3:14" x14ac:dyDescent="0.25">
      <c r="C268" s="82">
        <f>Matrix_prices!C256</f>
        <v>42401</v>
      </c>
      <c r="D268" s="83" t="str">
        <f>Matrix_prices!D256</f>
        <v>MD</v>
      </c>
      <c r="E268" s="84" t="str">
        <f>Matrix_prices!E256</f>
        <v>PEPCO</v>
      </c>
      <c r="F268" s="83" t="str">
        <f>Matrix_prices!F256</f>
        <v>MGT LV II</v>
      </c>
      <c r="G268" s="84" t="str">
        <f>Matrix_prices!G256</f>
        <v>Time Metered Gen Service</v>
      </c>
      <c r="H268" s="85" t="str">
        <f t="shared" si="11"/>
        <v>500-2500 MWh</v>
      </c>
      <c r="I268" s="84">
        <f>(Matrix_prices!I256+$D$2)*IF($M$2="Prices in $/MWh",1,1/1000)</f>
        <v>78.709999999999994</v>
      </c>
      <c r="J268" s="83">
        <f>(Matrix_prices!J256+$D$2)*IF($M$2="Prices in $/MWh",1,1/1000)</f>
        <v>78.7</v>
      </c>
      <c r="K268" s="84">
        <f>(Matrix_prices!K256+$D$2)*IF($M$2="Prices in $/MWh",1,1/1000)</f>
        <v>77.91</v>
      </c>
      <c r="L268" s="83">
        <f>(Matrix_prices!L256+$D$2)*IF($M$2="Prices in $/MWh",1,1/1000)</f>
        <v>34.729999999999997</v>
      </c>
      <c r="M268" s="84">
        <f>(Matrix_prices!M256+$D$2)*IF($M$2="Prices in $/MWh",1,1/1000)</f>
        <v>34.68</v>
      </c>
      <c r="N268" s="83">
        <f>(Matrix_prices!N256+$D$2)*IF($M$2="Prices in $/MWh",1,1/1000)</f>
        <v>34.56</v>
      </c>
    </row>
    <row r="269" spans="3:14" x14ac:dyDescent="0.25">
      <c r="C269" s="74">
        <f>Matrix_prices!C257</f>
        <v>42430</v>
      </c>
      <c r="D269" s="75" t="str">
        <f>Matrix_prices!D257</f>
        <v>MD</v>
      </c>
      <c r="E269" s="76" t="str">
        <f>Matrix_prices!E257</f>
        <v>PEPCO</v>
      </c>
      <c r="F269" s="75" t="str">
        <f>Matrix_prices!F257</f>
        <v>MGT LV II</v>
      </c>
      <c r="G269" s="76" t="str">
        <f>Matrix_prices!G257</f>
        <v>Time Metered Gen Service</v>
      </c>
      <c r="H269" s="157" t="str">
        <f t="shared" ref="H269:H332" si="12">IF($M$2="Prices in $/MWh","0-100 MWh","0-100,000 kWh")</f>
        <v>0-100 MWh</v>
      </c>
      <c r="I269" s="76">
        <f>(Matrix_prices!I257+$D$2)*IF($M$2="Prices in $/MWh",1,1/1000)</f>
        <v>81.72</v>
      </c>
      <c r="J269" s="75">
        <f>(Matrix_prices!J257+$D$2)*IF($M$2="Prices in $/MWh",1,1/1000)</f>
        <v>80.87</v>
      </c>
      <c r="K269" s="76">
        <f>(Matrix_prices!K257+$D$2)*IF($M$2="Prices in $/MWh",1,1/1000)</f>
        <v>80.73</v>
      </c>
      <c r="L269" s="75">
        <f>(Matrix_prices!L257+$D$2)*IF($M$2="Prices in $/MWh",1,1/1000)</f>
        <v>37.36</v>
      </c>
      <c r="M269" s="76">
        <f>(Matrix_prices!M257+$D$2)*IF($M$2="Prices in $/MWh",1,1/1000)</f>
        <v>37.01</v>
      </c>
      <c r="N269" s="75">
        <f>(Matrix_prices!N257+$D$2)*IF($M$2="Prices in $/MWh",1,1/1000)</f>
        <v>37.200000000000003</v>
      </c>
    </row>
    <row r="270" spans="3:14" x14ac:dyDescent="0.25">
      <c r="C270" s="78">
        <f>Matrix_prices!C258</f>
        <v>42430</v>
      </c>
      <c r="D270" s="79" t="str">
        <f>Matrix_prices!D258</f>
        <v>MD</v>
      </c>
      <c r="E270" s="80" t="str">
        <f>Matrix_prices!E258</f>
        <v>PEPCO</v>
      </c>
      <c r="F270" s="79" t="str">
        <f>Matrix_prices!F258</f>
        <v>MGT LV II</v>
      </c>
      <c r="G270" s="80" t="str">
        <f>Matrix_prices!G258</f>
        <v>Time Metered Gen Service</v>
      </c>
      <c r="H270" s="81" t="str">
        <f t="shared" ref="H270:H333" si="13">IF($M$2="Prices in $/MWh","100-500 MWh","100,000-500,000 kWh")</f>
        <v>100-500 MWh</v>
      </c>
      <c r="I270" s="80">
        <f>(Matrix_prices!I258+$D$2)*IF($M$2="Prices in $/MWh",1,1/1000)</f>
        <v>80.12</v>
      </c>
      <c r="J270" s="79">
        <f>(Matrix_prices!J258+$D$2)*IF($M$2="Prices in $/MWh",1,1/1000)</f>
        <v>79.27</v>
      </c>
      <c r="K270" s="80">
        <f>(Matrix_prices!K258+$D$2)*IF($M$2="Prices in $/MWh",1,1/1000)</f>
        <v>79.13</v>
      </c>
      <c r="L270" s="79">
        <f>(Matrix_prices!L258+$D$2)*IF($M$2="Prices in $/MWh",1,1/1000)</f>
        <v>35.76</v>
      </c>
      <c r="M270" s="80">
        <f>(Matrix_prices!M258+$D$2)*IF($M$2="Prices in $/MWh",1,1/1000)</f>
        <v>35.409999999999997</v>
      </c>
      <c r="N270" s="79">
        <f>(Matrix_prices!N258+$D$2)*IF($M$2="Prices in $/MWh",1,1/1000)</f>
        <v>35.6</v>
      </c>
    </row>
    <row r="271" spans="3:14" x14ac:dyDescent="0.25">
      <c r="C271" s="82">
        <f>Matrix_prices!C259</f>
        <v>42430</v>
      </c>
      <c r="D271" s="83" t="str">
        <f>Matrix_prices!D259</f>
        <v>MD</v>
      </c>
      <c r="E271" s="84" t="str">
        <f>Matrix_prices!E259</f>
        <v>PEPCO</v>
      </c>
      <c r="F271" s="83" t="str">
        <f>Matrix_prices!F259</f>
        <v>MGT LV II</v>
      </c>
      <c r="G271" s="84" t="str">
        <f>Matrix_prices!G259</f>
        <v>Time Metered Gen Service</v>
      </c>
      <c r="H271" s="85" t="str">
        <f t="shared" ref="H271:H334" si="14">IF($M$2="Prices in $/MWh","500-2500 MWh","500,000-2,500,000 kWh")</f>
        <v>500-2500 MWh</v>
      </c>
      <c r="I271" s="84">
        <f>(Matrix_prices!I259+$D$2)*IF($M$2="Prices in $/MWh",1,1/1000)</f>
        <v>79.069999999999993</v>
      </c>
      <c r="J271" s="83">
        <f>(Matrix_prices!J259+$D$2)*IF($M$2="Prices in $/MWh",1,1/1000)</f>
        <v>78.22</v>
      </c>
      <c r="K271" s="84">
        <f>(Matrix_prices!K259+$D$2)*IF($M$2="Prices in $/MWh",1,1/1000)</f>
        <v>78.08</v>
      </c>
      <c r="L271" s="83">
        <f>(Matrix_prices!L259+$D$2)*IF($M$2="Prices in $/MWh",1,1/1000)</f>
        <v>34.71</v>
      </c>
      <c r="M271" s="84">
        <f>(Matrix_prices!M259+$D$2)*IF($M$2="Prices in $/MWh",1,1/1000)</f>
        <v>34.36</v>
      </c>
      <c r="N271" s="83">
        <f>(Matrix_prices!N259+$D$2)*IF($M$2="Prices in $/MWh",1,1/1000)</f>
        <v>34.549999999999997</v>
      </c>
    </row>
    <row r="272" spans="3:14" x14ac:dyDescent="0.25">
      <c r="C272" s="151">
        <f>Matrix_prices!C260</f>
        <v>42461</v>
      </c>
      <c r="D272" s="152" t="str">
        <f>Matrix_prices!D260</f>
        <v>MD</v>
      </c>
      <c r="E272" s="153" t="str">
        <f>Matrix_prices!E260</f>
        <v>PEPCO</v>
      </c>
      <c r="F272" s="152" t="str">
        <f>Matrix_prices!F260</f>
        <v>MGT LV II</v>
      </c>
      <c r="G272" s="153" t="str">
        <f>Matrix_prices!G260</f>
        <v>Time Metered Gen Service</v>
      </c>
      <c r="H272" s="157" t="str">
        <f t="shared" si="12"/>
        <v>0-100 MWh</v>
      </c>
      <c r="I272" s="153">
        <f>(Matrix_prices!I260+$D$2)*IF($M$2="Prices in $/MWh",1,1/1000)</f>
        <v>81.72</v>
      </c>
      <c r="J272" s="152">
        <f>(Matrix_prices!J260+$D$2)*IF($M$2="Prices in $/MWh",1,1/1000)</f>
        <v>80.23</v>
      </c>
      <c r="K272" s="153">
        <f>(Matrix_prices!K260+$D$2)*IF($M$2="Prices in $/MWh",1,1/1000)</f>
        <v>80.67</v>
      </c>
      <c r="L272" s="152">
        <f>(Matrix_prices!L260+$D$2)*IF($M$2="Prices in $/MWh",1,1/1000)</f>
        <v>37.32</v>
      </c>
      <c r="M272" s="153">
        <f>(Matrix_prices!M260+$D$2)*IF($M$2="Prices in $/MWh",1,1/1000)</f>
        <v>36.78</v>
      </c>
      <c r="N272" s="152">
        <f>(Matrix_prices!N260+$D$2)*IF($M$2="Prices in $/MWh",1,1/1000)</f>
        <v>37.19</v>
      </c>
    </row>
    <row r="273" spans="3:14" x14ac:dyDescent="0.25">
      <c r="C273" s="78">
        <f>Matrix_prices!C261</f>
        <v>42461</v>
      </c>
      <c r="D273" s="79" t="str">
        <f>Matrix_prices!D261</f>
        <v>MD</v>
      </c>
      <c r="E273" s="80" t="str">
        <f>Matrix_prices!E261</f>
        <v>PEPCO</v>
      </c>
      <c r="F273" s="79" t="str">
        <f>Matrix_prices!F261</f>
        <v>MGT LV II</v>
      </c>
      <c r="G273" s="80" t="str">
        <f>Matrix_prices!G261</f>
        <v>Time Metered Gen Service</v>
      </c>
      <c r="H273" s="81" t="str">
        <f t="shared" si="13"/>
        <v>100-500 MWh</v>
      </c>
      <c r="I273" s="80">
        <f>(Matrix_prices!I261+$D$2)*IF($M$2="Prices in $/MWh",1,1/1000)</f>
        <v>80.12</v>
      </c>
      <c r="J273" s="79">
        <f>(Matrix_prices!J261+$D$2)*IF($M$2="Prices in $/MWh",1,1/1000)</f>
        <v>78.63</v>
      </c>
      <c r="K273" s="80">
        <f>(Matrix_prices!K261+$D$2)*IF($M$2="Prices in $/MWh",1,1/1000)</f>
        <v>79.069999999999993</v>
      </c>
      <c r="L273" s="79">
        <f>(Matrix_prices!L261+$D$2)*IF($M$2="Prices in $/MWh",1,1/1000)</f>
        <v>35.72</v>
      </c>
      <c r="M273" s="80">
        <f>(Matrix_prices!M261+$D$2)*IF($M$2="Prices in $/MWh",1,1/1000)</f>
        <v>35.18</v>
      </c>
      <c r="N273" s="79">
        <f>(Matrix_prices!N261+$D$2)*IF($M$2="Prices in $/MWh",1,1/1000)</f>
        <v>35.590000000000003</v>
      </c>
    </row>
    <row r="274" spans="3:14" x14ac:dyDescent="0.25">
      <c r="C274" s="82">
        <f>Matrix_prices!C262</f>
        <v>42461</v>
      </c>
      <c r="D274" s="83" t="str">
        <f>Matrix_prices!D262</f>
        <v>MD</v>
      </c>
      <c r="E274" s="84" t="str">
        <f>Matrix_prices!E262</f>
        <v>PEPCO</v>
      </c>
      <c r="F274" s="83" t="str">
        <f>Matrix_prices!F262</f>
        <v>MGT LV II</v>
      </c>
      <c r="G274" s="84" t="str">
        <f>Matrix_prices!G262</f>
        <v>Time Metered Gen Service</v>
      </c>
      <c r="H274" s="85" t="str">
        <f t="shared" si="14"/>
        <v>500-2500 MWh</v>
      </c>
      <c r="I274" s="84">
        <f>(Matrix_prices!I262+$D$2)*IF($M$2="Prices in $/MWh",1,1/1000)</f>
        <v>79.069999999999993</v>
      </c>
      <c r="J274" s="83">
        <f>(Matrix_prices!J262+$D$2)*IF($M$2="Prices in $/MWh",1,1/1000)</f>
        <v>77.58</v>
      </c>
      <c r="K274" s="84">
        <f>(Matrix_prices!K262+$D$2)*IF($M$2="Prices in $/MWh",1,1/1000)</f>
        <v>78.02</v>
      </c>
      <c r="L274" s="83">
        <f>(Matrix_prices!L262+$D$2)*IF($M$2="Prices in $/MWh",1,1/1000)</f>
        <v>34.67</v>
      </c>
      <c r="M274" s="84">
        <f>(Matrix_prices!M262+$D$2)*IF($M$2="Prices in $/MWh",1,1/1000)</f>
        <v>34.130000000000003</v>
      </c>
      <c r="N274" s="83">
        <f>(Matrix_prices!N262+$D$2)*IF($M$2="Prices in $/MWh",1,1/1000)</f>
        <v>34.54</v>
      </c>
    </row>
    <row r="275" spans="3:14" x14ac:dyDescent="0.25">
      <c r="C275" s="74">
        <f>Matrix_prices!C263</f>
        <v>42491</v>
      </c>
      <c r="D275" s="75" t="str">
        <f>Matrix_prices!D263</f>
        <v>MD</v>
      </c>
      <c r="E275" s="76" t="str">
        <f>Matrix_prices!E263</f>
        <v>PEPCO</v>
      </c>
      <c r="F275" s="75" t="str">
        <f>Matrix_prices!F263</f>
        <v>MGT LV II</v>
      </c>
      <c r="G275" s="76" t="str">
        <f>Matrix_prices!G263</f>
        <v>Time Metered Gen Service</v>
      </c>
      <c r="H275" s="157" t="str">
        <f t="shared" si="12"/>
        <v>0-100 MWh</v>
      </c>
      <c r="I275" s="76">
        <f>(Matrix_prices!I263+$D$2)*IF($M$2="Prices in $/MWh",1,1/1000)</f>
        <v>81.64</v>
      </c>
      <c r="J275" s="75">
        <f>(Matrix_prices!J263+$D$2)*IF($M$2="Prices in $/MWh",1,1/1000)</f>
        <v>79.92</v>
      </c>
      <c r="K275" s="76">
        <f>(Matrix_prices!K263+$D$2)*IF($M$2="Prices in $/MWh",1,1/1000)</f>
        <v>80.58</v>
      </c>
      <c r="L275" s="75">
        <f>(Matrix_prices!L263+$D$2)*IF($M$2="Prices in $/MWh",1,1/1000)</f>
        <v>37.29</v>
      </c>
      <c r="M275" s="76">
        <f>(Matrix_prices!M263+$D$2)*IF($M$2="Prices in $/MWh",1,1/1000)</f>
        <v>36.74</v>
      </c>
      <c r="N275" s="75">
        <f>(Matrix_prices!N263+$D$2)*IF($M$2="Prices in $/MWh",1,1/1000)</f>
        <v>37.17</v>
      </c>
    </row>
    <row r="276" spans="3:14" x14ac:dyDescent="0.25">
      <c r="C276" s="78">
        <f>Matrix_prices!C264</f>
        <v>42491</v>
      </c>
      <c r="D276" s="79" t="str">
        <f>Matrix_prices!D264</f>
        <v>MD</v>
      </c>
      <c r="E276" s="80" t="str">
        <f>Matrix_prices!E264</f>
        <v>PEPCO</v>
      </c>
      <c r="F276" s="79" t="str">
        <f>Matrix_prices!F264</f>
        <v>MGT LV II</v>
      </c>
      <c r="G276" s="80" t="str">
        <f>Matrix_prices!G264</f>
        <v>Time Metered Gen Service</v>
      </c>
      <c r="H276" s="81" t="str">
        <f t="shared" si="13"/>
        <v>100-500 MWh</v>
      </c>
      <c r="I276" s="80">
        <f>(Matrix_prices!I264+$D$2)*IF($M$2="Prices in $/MWh",1,1/1000)</f>
        <v>80.040000000000006</v>
      </c>
      <c r="J276" s="79">
        <f>(Matrix_prices!J264+$D$2)*IF($M$2="Prices in $/MWh",1,1/1000)</f>
        <v>78.319999999999993</v>
      </c>
      <c r="K276" s="80">
        <f>(Matrix_prices!K264+$D$2)*IF($M$2="Prices in $/MWh",1,1/1000)</f>
        <v>78.98</v>
      </c>
      <c r="L276" s="79">
        <f>(Matrix_prices!L264+$D$2)*IF($M$2="Prices in $/MWh",1,1/1000)</f>
        <v>35.69</v>
      </c>
      <c r="M276" s="80">
        <f>(Matrix_prices!M264+$D$2)*IF($M$2="Prices in $/MWh",1,1/1000)</f>
        <v>35.14</v>
      </c>
      <c r="N276" s="79">
        <f>(Matrix_prices!N264+$D$2)*IF($M$2="Prices in $/MWh",1,1/1000)</f>
        <v>35.57</v>
      </c>
    </row>
    <row r="277" spans="3:14" x14ac:dyDescent="0.25">
      <c r="C277" s="82">
        <f>Matrix_prices!C265</f>
        <v>42491</v>
      </c>
      <c r="D277" s="83" t="str">
        <f>Matrix_prices!D265</f>
        <v>MD</v>
      </c>
      <c r="E277" s="84" t="str">
        <f>Matrix_prices!E265</f>
        <v>PEPCO</v>
      </c>
      <c r="F277" s="83" t="str">
        <f>Matrix_prices!F265</f>
        <v>MGT LV II</v>
      </c>
      <c r="G277" s="84" t="str">
        <f>Matrix_prices!G265</f>
        <v>Time Metered Gen Service</v>
      </c>
      <c r="H277" s="85" t="str">
        <f t="shared" si="14"/>
        <v>500-2500 MWh</v>
      </c>
      <c r="I277" s="84">
        <f>(Matrix_prices!I265+$D$2)*IF($M$2="Prices in $/MWh",1,1/1000)</f>
        <v>78.989999999999995</v>
      </c>
      <c r="J277" s="83">
        <f>(Matrix_prices!J265+$D$2)*IF($M$2="Prices in $/MWh",1,1/1000)</f>
        <v>77.27</v>
      </c>
      <c r="K277" s="84">
        <f>(Matrix_prices!K265+$D$2)*IF($M$2="Prices in $/MWh",1,1/1000)</f>
        <v>77.930000000000007</v>
      </c>
      <c r="L277" s="83">
        <f>(Matrix_prices!L265+$D$2)*IF($M$2="Prices in $/MWh",1,1/1000)</f>
        <v>34.64</v>
      </c>
      <c r="M277" s="84">
        <f>(Matrix_prices!M265+$D$2)*IF($M$2="Prices in $/MWh",1,1/1000)</f>
        <v>34.090000000000003</v>
      </c>
      <c r="N277" s="83">
        <f>(Matrix_prices!N265+$D$2)*IF($M$2="Prices in $/MWh",1,1/1000)</f>
        <v>34.520000000000003</v>
      </c>
    </row>
    <row r="278" spans="3:14" x14ac:dyDescent="0.25">
      <c r="C278" s="151">
        <f>Matrix_prices!C266</f>
        <v>42522</v>
      </c>
      <c r="D278" s="152" t="str">
        <f>Matrix_prices!D266</f>
        <v>MD</v>
      </c>
      <c r="E278" s="153" t="str">
        <f>Matrix_prices!E266</f>
        <v>PEPCO</v>
      </c>
      <c r="F278" s="152" t="str">
        <f>Matrix_prices!F266</f>
        <v>MGT LV II</v>
      </c>
      <c r="G278" s="153" t="str">
        <f>Matrix_prices!G266</f>
        <v>Time Metered Gen Service</v>
      </c>
      <c r="H278" s="157" t="str">
        <f t="shared" si="12"/>
        <v>0-100 MWh</v>
      </c>
      <c r="I278" s="153">
        <f>(Matrix_prices!I266+$D$2)*IF($M$2="Prices in $/MWh",1,1/1000)</f>
        <v>81.459999999999994</v>
      </c>
      <c r="J278" s="152">
        <f>(Matrix_prices!J266+$D$2)*IF($M$2="Prices in $/MWh",1,1/1000)</f>
        <v>79.650000000000006</v>
      </c>
      <c r="K278" s="153">
        <f>(Matrix_prices!K266+$D$2)*IF($M$2="Prices in $/MWh",1,1/1000)</f>
        <v>80.47</v>
      </c>
      <c r="L278" s="152">
        <f>(Matrix_prices!L266+$D$2)*IF($M$2="Prices in $/MWh",1,1/1000)</f>
        <v>37.22</v>
      </c>
      <c r="M278" s="153">
        <f>(Matrix_prices!M266+$D$2)*IF($M$2="Prices in $/MWh",1,1/1000)</f>
        <v>36.729999999999997</v>
      </c>
      <c r="N278" s="152">
        <f>(Matrix_prices!N266+$D$2)*IF($M$2="Prices in $/MWh",1,1/1000)</f>
        <v>37.14</v>
      </c>
    </row>
    <row r="279" spans="3:14" x14ac:dyDescent="0.25">
      <c r="C279" s="78">
        <f>Matrix_prices!C267</f>
        <v>42522</v>
      </c>
      <c r="D279" s="79" t="str">
        <f>Matrix_prices!D267</f>
        <v>MD</v>
      </c>
      <c r="E279" s="80" t="str">
        <f>Matrix_prices!E267</f>
        <v>PEPCO</v>
      </c>
      <c r="F279" s="79" t="str">
        <f>Matrix_prices!F267</f>
        <v>MGT LV II</v>
      </c>
      <c r="G279" s="80" t="str">
        <f>Matrix_prices!G267</f>
        <v>Time Metered Gen Service</v>
      </c>
      <c r="H279" s="81" t="str">
        <f t="shared" si="13"/>
        <v>100-500 MWh</v>
      </c>
      <c r="I279" s="80">
        <f>(Matrix_prices!I267+$D$2)*IF($M$2="Prices in $/MWh",1,1/1000)</f>
        <v>79.86</v>
      </c>
      <c r="J279" s="79">
        <f>(Matrix_prices!J267+$D$2)*IF($M$2="Prices in $/MWh",1,1/1000)</f>
        <v>78.05</v>
      </c>
      <c r="K279" s="80">
        <f>(Matrix_prices!K267+$D$2)*IF($M$2="Prices in $/MWh",1,1/1000)</f>
        <v>78.87</v>
      </c>
      <c r="L279" s="79">
        <f>(Matrix_prices!L267+$D$2)*IF($M$2="Prices in $/MWh",1,1/1000)</f>
        <v>35.619999999999997</v>
      </c>
      <c r="M279" s="80">
        <f>(Matrix_prices!M267+$D$2)*IF($M$2="Prices in $/MWh",1,1/1000)</f>
        <v>35.130000000000003</v>
      </c>
      <c r="N279" s="79">
        <f>(Matrix_prices!N267+$D$2)*IF($M$2="Prices in $/MWh",1,1/1000)</f>
        <v>35.54</v>
      </c>
    </row>
    <row r="280" spans="3:14" x14ac:dyDescent="0.25">
      <c r="C280" s="82">
        <f>Matrix_prices!C268</f>
        <v>42522</v>
      </c>
      <c r="D280" s="83" t="str">
        <f>Matrix_prices!D268</f>
        <v>MD</v>
      </c>
      <c r="E280" s="84" t="str">
        <f>Matrix_prices!E268</f>
        <v>PEPCO</v>
      </c>
      <c r="F280" s="83" t="str">
        <f>Matrix_prices!F268</f>
        <v>MGT LV II</v>
      </c>
      <c r="G280" s="84" t="str">
        <f>Matrix_prices!G268</f>
        <v>Time Metered Gen Service</v>
      </c>
      <c r="H280" s="85" t="str">
        <f t="shared" si="14"/>
        <v>500-2500 MWh</v>
      </c>
      <c r="I280" s="84">
        <f>(Matrix_prices!I268+$D$2)*IF($M$2="Prices in $/MWh",1,1/1000)</f>
        <v>78.81</v>
      </c>
      <c r="J280" s="83">
        <f>(Matrix_prices!J268+$D$2)*IF($M$2="Prices in $/MWh",1,1/1000)</f>
        <v>77</v>
      </c>
      <c r="K280" s="84">
        <f>(Matrix_prices!K268+$D$2)*IF($M$2="Prices in $/MWh",1,1/1000)</f>
        <v>77.819999999999993</v>
      </c>
      <c r="L280" s="83">
        <f>(Matrix_prices!L268+$D$2)*IF($M$2="Prices in $/MWh",1,1/1000)</f>
        <v>34.57</v>
      </c>
      <c r="M280" s="84">
        <f>(Matrix_prices!M268+$D$2)*IF($M$2="Prices in $/MWh",1,1/1000)</f>
        <v>34.08</v>
      </c>
      <c r="N280" s="83">
        <f>(Matrix_prices!N268+$D$2)*IF($M$2="Prices in $/MWh",1,1/1000)</f>
        <v>34.49</v>
      </c>
    </row>
    <row r="281" spans="3:14" x14ac:dyDescent="0.25">
      <c r="C281" s="74">
        <f>Matrix_prices!C269</f>
        <v>42552</v>
      </c>
      <c r="D281" s="75" t="str">
        <f>Matrix_prices!D269</f>
        <v>MD</v>
      </c>
      <c r="E281" s="76" t="str">
        <f>Matrix_prices!E269</f>
        <v>PEPCO</v>
      </c>
      <c r="F281" s="75" t="str">
        <f>Matrix_prices!F269</f>
        <v>MGT LV II</v>
      </c>
      <c r="G281" s="76" t="str">
        <f>Matrix_prices!G269</f>
        <v>Time Metered Gen Service</v>
      </c>
      <c r="H281" s="157" t="str">
        <f t="shared" si="12"/>
        <v>0-100 MWh</v>
      </c>
      <c r="I281" s="76">
        <f>(Matrix_prices!I269+$D$2)*IF($M$2="Prices in $/MWh",1,1/1000)</f>
        <v>81.319999999999993</v>
      </c>
      <c r="J281" s="75">
        <f>(Matrix_prices!J269+$D$2)*IF($M$2="Prices in $/MWh",1,1/1000)</f>
        <v>79.56</v>
      </c>
      <c r="K281" s="76">
        <f>(Matrix_prices!K269+$D$2)*IF($M$2="Prices in $/MWh",1,1/1000)</f>
        <v>80.38</v>
      </c>
      <c r="L281" s="75">
        <f>(Matrix_prices!L269+$D$2)*IF($M$2="Prices in $/MWh",1,1/1000)</f>
        <v>37.17</v>
      </c>
      <c r="M281" s="76">
        <f>(Matrix_prices!M269+$D$2)*IF($M$2="Prices in $/MWh",1,1/1000)</f>
        <v>36.799999999999997</v>
      </c>
      <c r="N281" s="75">
        <f>(Matrix_prices!N269+$D$2)*IF($M$2="Prices in $/MWh",1,1/1000)</f>
        <v>37.18</v>
      </c>
    </row>
    <row r="282" spans="3:14" x14ac:dyDescent="0.25">
      <c r="C282" s="78">
        <f>Matrix_prices!C270</f>
        <v>42552</v>
      </c>
      <c r="D282" s="79" t="str">
        <f>Matrix_prices!D270</f>
        <v>MD</v>
      </c>
      <c r="E282" s="80" t="str">
        <f>Matrix_prices!E270</f>
        <v>PEPCO</v>
      </c>
      <c r="F282" s="79" t="str">
        <f>Matrix_prices!F270</f>
        <v>MGT LV II</v>
      </c>
      <c r="G282" s="80" t="str">
        <f>Matrix_prices!G270</f>
        <v>Time Metered Gen Service</v>
      </c>
      <c r="H282" s="81" t="str">
        <f t="shared" si="13"/>
        <v>100-500 MWh</v>
      </c>
      <c r="I282" s="80">
        <f>(Matrix_prices!I270+$D$2)*IF($M$2="Prices in $/MWh",1,1/1000)</f>
        <v>79.72</v>
      </c>
      <c r="J282" s="79">
        <f>(Matrix_prices!J270+$D$2)*IF($M$2="Prices in $/MWh",1,1/1000)</f>
        <v>77.959999999999994</v>
      </c>
      <c r="K282" s="80">
        <f>(Matrix_prices!K270+$D$2)*IF($M$2="Prices in $/MWh",1,1/1000)</f>
        <v>78.78</v>
      </c>
      <c r="L282" s="79">
        <f>(Matrix_prices!L270+$D$2)*IF($M$2="Prices in $/MWh",1,1/1000)</f>
        <v>35.57</v>
      </c>
      <c r="M282" s="80">
        <f>(Matrix_prices!M270+$D$2)*IF($M$2="Prices in $/MWh",1,1/1000)</f>
        <v>35.200000000000003</v>
      </c>
      <c r="N282" s="79">
        <f>(Matrix_prices!N270+$D$2)*IF($M$2="Prices in $/MWh",1,1/1000)</f>
        <v>35.58</v>
      </c>
    </row>
    <row r="283" spans="3:14" x14ac:dyDescent="0.25">
      <c r="C283" s="82">
        <f>Matrix_prices!C271</f>
        <v>42552</v>
      </c>
      <c r="D283" s="83" t="str">
        <f>Matrix_prices!D271</f>
        <v>MD</v>
      </c>
      <c r="E283" s="84" t="str">
        <f>Matrix_prices!E271</f>
        <v>PEPCO</v>
      </c>
      <c r="F283" s="83" t="str">
        <f>Matrix_prices!F271</f>
        <v>MGT LV II</v>
      </c>
      <c r="G283" s="84" t="str">
        <f>Matrix_prices!G271</f>
        <v>Time Metered Gen Service</v>
      </c>
      <c r="H283" s="85" t="str">
        <f t="shared" si="14"/>
        <v>500-2500 MWh</v>
      </c>
      <c r="I283" s="84">
        <f>(Matrix_prices!I271+$D$2)*IF($M$2="Prices in $/MWh",1,1/1000)</f>
        <v>78.67</v>
      </c>
      <c r="J283" s="83">
        <f>(Matrix_prices!J271+$D$2)*IF($M$2="Prices in $/MWh",1,1/1000)</f>
        <v>76.91</v>
      </c>
      <c r="K283" s="84">
        <f>(Matrix_prices!K271+$D$2)*IF($M$2="Prices in $/MWh",1,1/1000)</f>
        <v>77.73</v>
      </c>
      <c r="L283" s="83">
        <f>(Matrix_prices!L271+$D$2)*IF($M$2="Prices in $/MWh",1,1/1000)</f>
        <v>34.520000000000003</v>
      </c>
      <c r="M283" s="84">
        <f>(Matrix_prices!M271+$D$2)*IF($M$2="Prices in $/MWh",1,1/1000)</f>
        <v>34.15</v>
      </c>
      <c r="N283" s="83">
        <f>(Matrix_prices!N271+$D$2)*IF($M$2="Prices in $/MWh",1,1/1000)</f>
        <v>34.53</v>
      </c>
    </row>
    <row r="284" spans="3:14" x14ac:dyDescent="0.25">
      <c r="C284" s="151">
        <f>Matrix_prices!C272</f>
        <v>42583</v>
      </c>
      <c r="D284" s="152" t="str">
        <f>Matrix_prices!D272</f>
        <v>MD</v>
      </c>
      <c r="E284" s="153" t="str">
        <f>Matrix_prices!E272</f>
        <v>PEPCO</v>
      </c>
      <c r="F284" s="152" t="str">
        <f>Matrix_prices!F272</f>
        <v>MGT LV II</v>
      </c>
      <c r="G284" s="153" t="str">
        <f>Matrix_prices!G272</f>
        <v>Time Metered Gen Service</v>
      </c>
      <c r="H284" s="157" t="str">
        <f t="shared" si="12"/>
        <v>0-100 MWh</v>
      </c>
      <c r="I284" s="153">
        <f>(Matrix_prices!I272+$D$2)*IF($M$2="Prices in $/MWh",1,1/1000)</f>
        <v>81.02</v>
      </c>
      <c r="J284" s="152">
        <f>(Matrix_prices!J272+$D$2)*IF($M$2="Prices in $/MWh",1,1/1000)</f>
        <v>80.08</v>
      </c>
      <c r="K284" s="153">
        <f>(Matrix_prices!K272+$D$2)*IF($M$2="Prices in $/MWh",1,1/1000)</f>
        <v>80.33</v>
      </c>
      <c r="L284" s="152">
        <f>(Matrix_prices!L272+$D$2)*IF($M$2="Prices in $/MWh",1,1/1000)</f>
        <v>37.17</v>
      </c>
      <c r="M284" s="153">
        <f>(Matrix_prices!M272+$D$2)*IF($M$2="Prices in $/MWh",1,1/1000)</f>
        <v>37.06</v>
      </c>
      <c r="N284" s="152">
        <f>(Matrix_prices!N272+$D$2)*IF($M$2="Prices in $/MWh",1,1/1000)</f>
        <v>37.229999999999997</v>
      </c>
    </row>
    <row r="285" spans="3:14" x14ac:dyDescent="0.25">
      <c r="C285" s="78">
        <f>Matrix_prices!C273</f>
        <v>42583</v>
      </c>
      <c r="D285" s="79" t="str">
        <f>Matrix_prices!D273</f>
        <v>MD</v>
      </c>
      <c r="E285" s="80" t="str">
        <f>Matrix_prices!E273</f>
        <v>PEPCO</v>
      </c>
      <c r="F285" s="79" t="str">
        <f>Matrix_prices!F273</f>
        <v>MGT LV II</v>
      </c>
      <c r="G285" s="80" t="str">
        <f>Matrix_prices!G273</f>
        <v>Time Metered Gen Service</v>
      </c>
      <c r="H285" s="81" t="str">
        <f t="shared" si="13"/>
        <v>100-500 MWh</v>
      </c>
      <c r="I285" s="80">
        <f>(Matrix_prices!I273+$D$2)*IF($M$2="Prices in $/MWh",1,1/1000)</f>
        <v>79.42</v>
      </c>
      <c r="J285" s="79">
        <f>(Matrix_prices!J273+$D$2)*IF($M$2="Prices in $/MWh",1,1/1000)</f>
        <v>78.48</v>
      </c>
      <c r="K285" s="80">
        <f>(Matrix_prices!K273+$D$2)*IF($M$2="Prices in $/MWh",1,1/1000)</f>
        <v>78.73</v>
      </c>
      <c r="L285" s="79">
        <f>(Matrix_prices!L273+$D$2)*IF($M$2="Prices in $/MWh",1,1/1000)</f>
        <v>35.57</v>
      </c>
      <c r="M285" s="80">
        <f>(Matrix_prices!M273+$D$2)*IF($M$2="Prices in $/MWh",1,1/1000)</f>
        <v>35.46</v>
      </c>
      <c r="N285" s="79">
        <f>(Matrix_prices!N273+$D$2)*IF($M$2="Prices in $/MWh",1,1/1000)</f>
        <v>35.630000000000003</v>
      </c>
    </row>
    <row r="286" spans="3:14" x14ac:dyDescent="0.25">
      <c r="C286" s="82">
        <f>Matrix_prices!C274</f>
        <v>42583</v>
      </c>
      <c r="D286" s="83" t="str">
        <f>Matrix_prices!D274</f>
        <v>MD</v>
      </c>
      <c r="E286" s="84" t="str">
        <f>Matrix_prices!E274</f>
        <v>PEPCO</v>
      </c>
      <c r="F286" s="83" t="str">
        <f>Matrix_prices!F274</f>
        <v>MGT LV II</v>
      </c>
      <c r="G286" s="84" t="str">
        <f>Matrix_prices!G274</f>
        <v>Time Metered Gen Service</v>
      </c>
      <c r="H286" s="85" t="str">
        <f t="shared" si="14"/>
        <v>500-2500 MWh</v>
      </c>
      <c r="I286" s="84">
        <f>(Matrix_prices!I274+$D$2)*IF($M$2="Prices in $/MWh",1,1/1000)</f>
        <v>78.37</v>
      </c>
      <c r="J286" s="83">
        <f>(Matrix_prices!J274+$D$2)*IF($M$2="Prices in $/MWh",1,1/1000)</f>
        <v>77.430000000000007</v>
      </c>
      <c r="K286" s="84">
        <f>(Matrix_prices!K274+$D$2)*IF($M$2="Prices in $/MWh",1,1/1000)</f>
        <v>77.680000000000007</v>
      </c>
      <c r="L286" s="83">
        <f>(Matrix_prices!L274+$D$2)*IF($M$2="Prices in $/MWh",1,1/1000)</f>
        <v>34.520000000000003</v>
      </c>
      <c r="M286" s="84">
        <f>(Matrix_prices!M274+$D$2)*IF($M$2="Prices in $/MWh",1,1/1000)</f>
        <v>34.409999999999997</v>
      </c>
      <c r="N286" s="83">
        <f>(Matrix_prices!N274+$D$2)*IF($M$2="Prices in $/MWh",1,1/1000)</f>
        <v>34.58</v>
      </c>
    </row>
    <row r="287" spans="3:14" x14ac:dyDescent="0.25">
      <c r="C287" s="74">
        <f>Matrix_prices!C275</f>
        <v>42614</v>
      </c>
      <c r="D287" s="75" t="str">
        <f>Matrix_prices!D275</f>
        <v>MD</v>
      </c>
      <c r="E287" s="76" t="str">
        <f>Matrix_prices!E275</f>
        <v>PEPCO</v>
      </c>
      <c r="F287" s="75" t="str">
        <f>Matrix_prices!F275</f>
        <v>MGT LV II</v>
      </c>
      <c r="G287" s="76" t="str">
        <f>Matrix_prices!G275</f>
        <v>Time Metered Gen Service</v>
      </c>
      <c r="H287" s="157" t="str">
        <f t="shared" si="12"/>
        <v>0-100 MWh</v>
      </c>
      <c r="I287" s="76">
        <f>(Matrix_prices!I275+$D$2)*IF($M$2="Prices in $/MWh",1,1/1000)</f>
        <v>80.739999999999995</v>
      </c>
      <c r="J287" s="75">
        <f>(Matrix_prices!J275+$D$2)*IF($M$2="Prices in $/MWh",1,1/1000)</f>
        <v>80.599999999999994</v>
      </c>
      <c r="K287" s="76">
        <f>(Matrix_prices!K275+$D$2)*IF($M$2="Prices in $/MWh",1,1/1000)</f>
        <v>80.239999999999995</v>
      </c>
      <c r="L287" s="75">
        <f>(Matrix_prices!L275+$D$2)*IF($M$2="Prices in $/MWh",1,1/1000)</f>
        <v>37.14</v>
      </c>
      <c r="M287" s="76">
        <f>(Matrix_prices!M275+$D$2)*IF($M$2="Prices in $/MWh",1,1/1000)</f>
        <v>37.35</v>
      </c>
      <c r="N287" s="75">
        <f>(Matrix_prices!N275+$D$2)*IF($M$2="Prices in $/MWh",1,1/1000)</f>
        <v>37.270000000000003</v>
      </c>
    </row>
    <row r="288" spans="3:14" x14ac:dyDescent="0.25">
      <c r="C288" s="78">
        <f>Matrix_prices!C276</f>
        <v>42614</v>
      </c>
      <c r="D288" s="79" t="str">
        <f>Matrix_prices!D276</f>
        <v>MD</v>
      </c>
      <c r="E288" s="80" t="str">
        <f>Matrix_prices!E276</f>
        <v>PEPCO</v>
      </c>
      <c r="F288" s="79" t="str">
        <f>Matrix_prices!F276</f>
        <v>MGT LV II</v>
      </c>
      <c r="G288" s="80" t="str">
        <f>Matrix_prices!G276</f>
        <v>Time Metered Gen Service</v>
      </c>
      <c r="H288" s="81" t="str">
        <f t="shared" si="13"/>
        <v>100-500 MWh</v>
      </c>
      <c r="I288" s="80">
        <f>(Matrix_prices!I276+$D$2)*IF($M$2="Prices in $/MWh",1,1/1000)</f>
        <v>79.14</v>
      </c>
      <c r="J288" s="79">
        <f>(Matrix_prices!J276+$D$2)*IF($M$2="Prices in $/MWh",1,1/1000)</f>
        <v>79</v>
      </c>
      <c r="K288" s="80">
        <f>(Matrix_prices!K276+$D$2)*IF($M$2="Prices in $/MWh",1,1/1000)</f>
        <v>78.64</v>
      </c>
      <c r="L288" s="79">
        <f>(Matrix_prices!L276+$D$2)*IF($M$2="Prices in $/MWh",1,1/1000)</f>
        <v>35.54</v>
      </c>
      <c r="M288" s="80">
        <f>(Matrix_prices!M276+$D$2)*IF($M$2="Prices in $/MWh",1,1/1000)</f>
        <v>35.75</v>
      </c>
      <c r="N288" s="79">
        <f>(Matrix_prices!N276+$D$2)*IF($M$2="Prices in $/MWh",1,1/1000)</f>
        <v>35.67</v>
      </c>
    </row>
    <row r="289" spans="3:14" x14ac:dyDescent="0.25">
      <c r="C289" s="82">
        <f>Matrix_prices!C277</f>
        <v>42614</v>
      </c>
      <c r="D289" s="83" t="str">
        <f>Matrix_prices!D277</f>
        <v>MD</v>
      </c>
      <c r="E289" s="84" t="str">
        <f>Matrix_prices!E277</f>
        <v>PEPCO</v>
      </c>
      <c r="F289" s="83" t="str">
        <f>Matrix_prices!F277</f>
        <v>MGT LV II</v>
      </c>
      <c r="G289" s="84" t="str">
        <f>Matrix_prices!G277</f>
        <v>Time Metered Gen Service</v>
      </c>
      <c r="H289" s="85" t="str">
        <f t="shared" si="14"/>
        <v>500-2500 MWh</v>
      </c>
      <c r="I289" s="84">
        <f>(Matrix_prices!I277+$D$2)*IF($M$2="Prices in $/MWh",1,1/1000)</f>
        <v>78.09</v>
      </c>
      <c r="J289" s="83">
        <f>(Matrix_prices!J277+$D$2)*IF($M$2="Prices in $/MWh",1,1/1000)</f>
        <v>77.95</v>
      </c>
      <c r="K289" s="84">
        <f>(Matrix_prices!K277+$D$2)*IF($M$2="Prices in $/MWh",1,1/1000)</f>
        <v>77.59</v>
      </c>
      <c r="L289" s="83">
        <f>(Matrix_prices!L277+$D$2)*IF($M$2="Prices in $/MWh",1,1/1000)</f>
        <v>34.49</v>
      </c>
      <c r="M289" s="84">
        <f>(Matrix_prices!M277+$D$2)*IF($M$2="Prices in $/MWh",1,1/1000)</f>
        <v>34.700000000000003</v>
      </c>
      <c r="N289" s="83">
        <f>(Matrix_prices!N277+$D$2)*IF($M$2="Prices in $/MWh",1,1/1000)</f>
        <v>34.619999999999997</v>
      </c>
    </row>
    <row r="290" spans="3:14" x14ac:dyDescent="0.25">
      <c r="C290" s="151">
        <f>Matrix_prices!C278</f>
        <v>42644</v>
      </c>
      <c r="D290" s="152" t="str">
        <f>Matrix_prices!D278</f>
        <v>MD</v>
      </c>
      <c r="E290" s="153" t="str">
        <f>Matrix_prices!E278</f>
        <v>PEPCO</v>
      </c>
      <c r="F290" s="152" t="str">
        <f>Matrix_prices!F278</f>
        <v>MGT LV II</v>
      </c>
      <c r="G290" s="153" t="str">
        <f>Matrix_prices!G278</f>
        <v>Time Metered Gen Service</v>
      </c>
      <c r="H290" s="157" t="str">
        <f t="shared" si="12"/>
        <v>0-100 MWh</v>
      </c>
      <c r="I290" s="153">
        <f>(Matrix_prices!I278+$D$2)*IF($M$2="Prices in $/MWh",1,1/1000)</f>
        <v>80.55</v>
      </c>
      <c r="J290" s="152">
        <f>(Matrix_prices!J278+$D$2)*IF($M$2="Prices in $/MWh",1,1/1000)</f>
        <v>81.05</v>
      </c>
      <c r="K290" s="153">
        <f>(Matrix_prices!K278+$D$2)*IF($M$2="Prices in $/MWh",1,1/1000)</f>
        <v>80.180000000000007</v>
      </c>
      <c r="L290" s="152">
        <f>(Matrix_prices!L278+$D$2)*IF($M$2="Prices in $/MWh",1,1/1000)</f>
        <v>37.130000000000003</v>
      </c>
      <c r="M290" s="153">
        <f>(Matrix_prices!M278+$D$2)*IF($M$2="Prices in $/MWh",1,1/1000)</f>
        <v>37.58</v>
      </c>
      <c r="N290" s="152">
        <f>(Matrix_prices!N278+$D$2)*IF($M$2="Prices in $/MWh",1,1/1000)</f>
        <v>37.33</v>
      </c>
    </row>
    <row r="291" spans="3:14" x14ac:dyDescent="0.25">
      <c r="C291" s="78">
        <f>Matrix_prices!C279</f>
        <v>42644</v>
      </c>
      <c r="D291" s="79" t="str">
        <f>Matrix_prices!D279</f>
        <v>MD</v>
      </c>
      <c r="E291" s="80" t="str">
        <f>Matrix_prices!E279</f>
        <v>PEPCO</v>
      </c>
      <c r="F291" s="79" t="str">
        <f>Matrix_prices!F279</f>
        <v>MGT LV II</v>
      </c>
      <c r="G291" s="80" t="str">
        <f>Matrix_prices!G279</f>
        <v>Time Metered Gen Service</v>
      </c>
      <c r="H291" s="81" t="str">
        <f t="shared" si="13"/>
        <v>100-500 MWh</v>
      </c>
      <c r="I291" s="80">
        <f>(Matrix_prices!I279+$D$2)*IF($M$2="Prices in $/MWh",1,1/1000)</f>
        <v>78.95</v>
      </c>
      <c r="J291" s="79">
        <f>(Matrix_prices!J279+$D$2)*IF($M$2="Prices in $/MWh",1,1/1000)</f>
        <v>79.45</v>
      </c>
      <c r="K291" s="80">
        <f>(Matrix_prices!K279+$D$2)*IF($M$2="Prices in $/MWh",1,1/1000)</f>
        <v>78.58</v>
      </c>
      <c r="L291" s="79">
        <f>(Matrix_prices!L279+$D$2)*IF($M$2="Prices in $/MWh",1,1/1000)</f>
        <v>35.53</v>
      </c>
      <c r="M291" s="80">
        <f>(Matrix_prices!M279+$D$2)*IF($M$2="Prices in $/MWh",1,1/1000)</f>
        <v>35.979999999999997</v>
      </c>
      <c r="N291" s="79">
        <f>(Matrix_prices!N279+$D$2)*IF($M$2="Prices in $/MWh",1,1/1000)</f>
        <v>35.729999999999997</v>
      </c>
    </row>
    <row r="292" spans="3:14" x14ac:dyDescent="0.25">
      <c r="C292" s="82">
        <f>Matrix_prices!C280</f>
        <v>42644</v>
      </c>
      <c r="D292" s="83" t="str">
        <f>Matrix_prices!D280</f>
        <v>MD</v>
      </c>
      <c r="E292" s="84" t="str">
        <f>Matrix_prices!E280</f>
        <v>PEPCO</v>
      </c>
      <c r="F292" s="83" t="str">
        <f>Matrix_prices!F280</f>
        <v>MGT LV II</v>
      </c>
      <c r="G292" s="84" t="str">
        <f>Matrix_prices!G280</f>
        <v>Time Metered Gen Service</v>
      </c>
      <c r="H292" s="85" t="str">
        <f t="shared" si="14"/>
        <v>500-2500 MWh</v>
      </c>
      <c r="I292" s="84">
        <f>(Matrix_prices!I280+$D$2)*IF($M$2="Prices in $/MWh",1,1/1000)</f>
        <v>77.900000000000006</v>
      </c>
      <c r="J292" s="83">
        <f>(Matrix_prices!J280+$D$2)*IF($M$2="Prices in $/MWh",1,1/1000)</f>
        <v>78.400000000000006</v>
      </c>
      <c r="K292" s="84">
        <f>(Matrix_prices!K280+$D$2)*IF($M$2="Prices in $/MWh",1,1/1000)</f>
        <v>77.53</v>
      </c>
      <c r="L292" s="83">
        <f>(Matrix_prices!L280+$D$2)*IF($M$2="Prices in $/MWh",1,1/1000)</f>
        <v>34.479999999999997</v>
      </c>
      <c r="M292" s="84">
        <f>(Matrix_prices!M280+$D$2)*IF($M$2="Prices in $/MWh",1,1/1000)</f>
        <v>34.93</v>
      </c>
      <c r="N292" s="83">
        <f>(Matrix_prices!N280+$D$2)*IF($M$2="Prices in $/MWh",1,1/1000)</f>
        <v>34.68</v>
      </c>
    </row>
    <row r="293" spans="3:14" x14ac:dyDescent="0.25">
      <c r="C293" s="74">
        <f>Matrix_prices!C281</f>
        <v>42675</v>
      </c>
      <c r="D293" s="75" t="str">
        <f>Matrix_prices!D281</f>
        <v>MD</v>
      </c>
      <c r="E293" s="76" t="str">
        <f>Matrix_prices!E281</f>
        <v>PEPCO</v>
      </c>
      <c r="F293" s="75" t="str">
        <f>Matrix_prices!F281</f>
        <v>MGT LV II</v>
      </c>
      <c r="G293" s="76" t="str">
        <f>Matrix_prices!G281</f>
        <v>Time Metered Gen Service</v>
      </c>
      <c r="H293" s="157" t="str">
        <f t="shared" si="12"/>
        <v>0-100 MWh</v>
      </c>
      <c r="I293" s="76">
        <f>(Matrix_prices!I281+$D$2)*IF($M$2="Prices in $/MWh",1,1/1000)</f>
        <v>80.3</v>
      </c>
      <c r="J293" s="75">
        <f>(Matrix_prices!J281+$D$2)*IF($M$2="Prices in $/MWh",1,1/1000)</f>
        <v>81.069999999999993</v>
      </c>
      <c r="K293" s="76">
        <f>(Matrix_prices!K281+$D$2)*IF($M$2="Prices in $/MWh",1,1/1000)</f>
        <v>80.08</v>
      </c>
      <c r="L293" s="75">
        <f>(Matrix_prices!L281+$D$2)*IF($M$2="Prices in $/MWh",1,1/1000)</f>
        <v>37.090000000000003</v>
      </c>
      <c r="M293" s="76">
        <f>(Matrix_prices!M281+$D$2)*IF($M$2="Prices in $/MWh",1,1/1000)</f>
        <v>37.57</v>
      </c>
      <c r="N293" s="75">
        <f>(Matrix_prices!N281+$D$2)*IF($M$2="Prices in $/MWh",1,1/1000)</f>
        <v>37.36</v>
      </c>
    </row>
    <row r="294" spans="3:14" x14ac:dyDescent="0.25">
      <c r="C294" s="78">
        <f>Matrix_prices!C282</f>
        <v>42675</v>
      </c>
      <c r="D294" s="79" t="str">
        <f>Matrix_prices!D282</f>
        <v>MD</v>
      </c>
      <c r="E294" s="80" t="str">
        <f>Matrix_prices!E282</f>
        <v>PEPCO</v>
      </c>
      <c r="F294" s="79" t="str">
        <f>Matrix_prices!F282</f>
        <v>MGT LV II</v>
      </c>
      <c r="G294" s="80" t="str">
        <f>Matrix_prices!G282</f>
        <v>Time Metered Gen Service</v>
      </c>
      <c r="H294" s="81" t="str">
        <f t="shared" si="13"/>
        <v>100-500 MWh</v>
      </c>
      <c r="I294" s="80">
        <f>(Matrix_prices!I282+$D$2)*IF($M$2="Prices in $/MWh",1,1/1000)</f>
        <v>78.7</v>
      </c>
      <c r="J294" s="79">
        <f>(Matrix_prices!J282+$D$2)*IF($M$2="Prices in $/MWh",1,1/1000)</f>
        <v>79.47</v>
      </c>
      <c r="K294" s="80">
        <f>(Matrix_prices!K282+$D$2)*IF($M$2="Prices in $/MWh",1,1/1000)</f>
        <v>78.48</v>
      </c>
      <c r="L294" s="79">
        <f>(Matrix_prices!L282+$D$2)*IF($M$2="Prices in $/MWh",1,1/1000)</f>
        <v>35.49</v>
      </c>
      <c r="M294" s="80">
        <f>(Matrix_prices!M282+$D$2)*IF($M$2="Prices in $/MWh",1,1/1000)</f>
        <v>35.97</v>
      </c>
      <c r="N294" s="79">
        <f>(Matrix_prices!N282+$D$2)*IF($M$2="Prices in $/MWh",1,1/1000)</f>
        <v>35.76</v>
      </c>
    </row>
    <row r="295" spans="3:14" x14ac:dyDescent="0.25">
      <c r="C295" s="82">
        <f>Matrix_prices!C283</f>
        <v>42675</v>
      </c>
      <c r="D295" s="83" t="str">
        <f>Matrix_prices!D283</f>
        <v>MD</v>
      </c>
      <c r="E295" s="84" t="str">
        <f>Matrix_prices!E283</f>
        <v>PEPCO</v>
      </c>
      <c r="F295" s="83" t="str">
        <f>Matrix_prices!F283</f>
        <v>MGT LV II</v>
      </c>
      <c r="G295" s="84" t="str">
        <f>Matrix_prices!G283</f>
        <v>Time Metered Gen Service</v>
      </c>
      <c r="H295" s="85" t="str">
        <f t="shared" si="14"/>
        <v>500-2500 MWh</v>
      </c>
      <c r="I295" s="84">
        <f>(Matrix_prices!I283+$D$2)*IF($M$2="Prices in $/MWh",1,1/1000)</f>
        <v>77.650000000000006</v>
      </c>
      <c r="J295" s="83">
        <f>(Matrix_prices!J283+$D$2)*IF($M$2="Prices in $/MWh",1,1/1000)</f>
        <v>78.42</v>
      </c>
      <c r="K295" s="84">
        <f>(Matrix_prices!K283+$D$2)*IF($M$2="Prices in $/MWh",1,1/1000)</f>
        <v>77.430000000000007</v>
      </c>
      <c r="L295" s="83">
        <f>(Matrix_prices!L283+$D$2)*IF($M$2="Prices in $/MWh",1,1/1000)</f>
        <v>34.44</v>
      </c>
      <c r="M295" s="84">
        <f>(Matrix_prices!M283+$D$2)*IF($M$2="Prices in $/MWh",1,1/1000)</f>
        <v>34.92</v>
      </c>
      <c r="N295" s="83">
        <f>(Matrix_prices!N283+$D$2)*IF($M$2="Prices in $/MWh",1,1/1000)</f>
        <v>34.71</v>
      </c>
    </row>
    <row r="296" spans="3:14" x14ac:dyDescent="0.25">
      <c r="C296" s="151">
        <f>Matrix_prices!C284</f>
        <v>42705</v>
      </c>
      <c r="D296" s="152" t="str">
        <f>Matrix_prices!D284</f>
        <v>MD</v>
      </c>
      <c r="E296" s="153" t="str">
        <f>Matrix_prices!E284</f>
        <v>PEPCO</v>
      </c>
      <c r="F296" s="152" t="str">
        <f>Matrix_prices!F284</f>
        <v>MGT LV II</v>
      </c>
      <c r="G296" s="153" t="str">
        <f>Matrix_prices!G284</f>
        <v>Time Metered Gen Service</v>
      </c>
      <c r="H296" s="157" t="str">
        <f t="shared" si="12"/>
        <v>0-100 MWh</v>
      </c>
      <c r="I296" s="153">
        <f>(Matrix_prices!I284+$D$2)*IF($M$2="Prices in $/MWh",1,1/1000)</f>
        <v>80.010000000000005</v>
      </c>
      <c r="J296" s="152">
        <f>(Matrix_prices!J284+$D$2)*IF($M$2="Prices in $/MWh",1,1/1000)</f>
        <v>81.010000000000005</v>
      </c>
      <c r="K296" s="153">
        <f>(Matrix_prices!K284+$D$2)*IF($M$2="Prices in $/MWh",1,1/1000)</f>
        <v>79.95</v>
      </c>
      <c r="L296" s="152">
        <f>(Matrix_prices!L284+$D$2)*IF($M$2="Prices in $/MWh",1,1/1000)</f>
        <v>37.04</v>
      </c>
      <c r="M296" s="153">
        <f>(Matrix_prices!M284+$D$2)*IF($M$2="Prices in $/MWh",1,1/1000)</f>
        <v>37.5</v>
      </c>
      <c r="N296" s="152">
        <f>(Matrix_prices!N284+$D$2)*IF($M$2="Prices in $/MWh",1,1/1000)</f>
        <v>37.380000000000003</v>
      </c>
    </row>
    <row r="297" spans="3:14" x14ac:dyDescent="0.25">
      <c r="C297" s="78">
        <f>Matrix_prices!C285</f>
        <v>42705</v>
      </c>
      <c r="D297" s="79" t="str">
        <f>Matrix_prices!D285</f>
        <v>MD</v>
      </c>
      <c r="E297" s="80" t="str">
        <f>Matrix_prices!E285</f>
        <v>PEPCO</v>
      </c>
      <c r="F297" s="79" t="str">
        <f>Matrix_prices!F285</f>
        <v>MGT LV II</v>
      </c>
      <c r="G297" s="80" t="str">
        <f>Matrix_prices!G285</f>
        <v>Time Metered Gen Service</v>
      </c>
      <c r="H297" s="81" t="str">
        <f t="shared" si="13"/>
        <v>100-500 MWh</v>
      </c>
      <c r="I297" s="80">
        <f>(Matrix_prices!I285+$D$2)*IF($M$2="Prices in $/MWh",1,1/1000)</f>
        <v>78.41</v>
      </c>
      <c r="J297" s="79">
        <f>(Matrix_prices!J285+$D$2)*IF($M$2="Prices in $/MWh",1,1/1000)</f>
        <v>79.41</v>
      </c>
      <c r="K297" s="80">
        <f>(Matrix_prices!K285+$D$2)*IF($M$2="Prices in $/MWh",1,1/1000)</f>
        <v>78.349999999999994</v>
      </c>
      <c r="L297" s="79">
        <f>(Matrix_prices!L285+$D$2)*IF($M$2="Prices in $/MWh",1,1/1000)</f>
        <v>35.44</v>
      </c>
      <c r="M297" s="80">
        <f>(Matrix_prices!M285+$D$2)*IF($M$2="Prices in $/MWh",1,1/1000)</f>
        <v>35.9</v>
      </c>
      <c r="N297" s="79">
        <f>(Matrix_prices!N285+$D$2)*IF($M$2="Prices in $/MWh",1,1/1000)</f>
        <v>35.78</v>
      </c>
    </row>
    <row r="298" spans="3:14" x14ac:dyDescent="0.25">
      <c r="C298" s="82">
        <f>Matrix_prices!C286</f>
        <v>42705</v>
      </c>
      <c r="D298" s="83" t="str">
        <f>Matrix_prices!D286</f>
        <v>MD</v>
      </c>
      <c r="E298" s="84" t="str">
        <f>Matrix_prices!E286</f>
        <v>PEPCO</v>
      </c>
      <c r="F298" s="83" t="str">
        <f>Matrix_prices!F286</f>
        <v>MGT LV II</v>
      </c>
      <c r="G298" s="84" t="str">
        <f>Matrix_prices!G286</f>
        <v>Time Metered Gen Service</v>
      </c>
      <c r="H298" s="85" t="str">
        <f t="shared" si="14"/>
        <v>500-2500 MWh</v>
      </c>
      <c r="I298" s="84">
        <f>(Matrix_prices!I286+$D$2)*IF($M$2="Prices in $/MWh",1,1/1000)</f>
        <v>77.36</v>
      </c>
      <c r="J298" s="83">
        <f>(Matrix_prices!J286+$D$2)*IF($M$2="Prices in $/MWh",1,1/1000)</f>
        <v>78.36</v>
      </c>
      <c r="K298" s="84">
        <f>(Matrix_prices!K286+$D$2)*IF($M$2="Prices in $/MWh",1,1/1000)</f>
        <v>77.3</v>
      </c>
      <c r="L298" s="83">
        <f>(Matrix_prices!L286+$D$2)*IF($M$2="Prices in $/MWh",1,1/1000)</f>
        <v>34.39</v>
      </c>
      <c r="M298" s="84">
        <f>(Matrix_prices!M286+$D$2)*IF($M$2="Prices in $/MWh",1,1/1000)</f>
        <v>34.85</v>
      </c>
      <c r="N298" s="83">
        <f>(Matrix_prices!N286+$D$2)*IF($M$2="Prices in $/MWh",1,1/1000)</f>
        <v>34.729999999999997</v>
      </c>
    </row>
    <row r="299" spans="3:14" x14ac:dyDescent="0.25">
      <c r="C299" s="74">
        <f>Matrix_prices!C287</f>
        <v>42736</v>
      </c>
      <c r="D299" s="75" t="str">
        <f>Matrix_prices!D287</f>
        <v>MD</v>
      </c>
      <c r="E299" s="76" t="str">
        <f>Matrix_prices!E287</f>
        <v>PEPCO</v>
      </c>
      <c r="F299" s="75" t="str">
        <f>Matrix_prices!F287</f>
        <v>MGT LV II</v>
      </c>
      <c r="G299" s="76" t="str">
        <f>Matrix_prices!G287</f>
        <v>Time Metered Gen Service</v>
      </c>
      <c r="H299" s="157" t="str">
        <f t="shared" si="12"/>
        <v>0-100 MWh</v>
      </c>
      <c r="I299" s="76">
        <f>(Matrix_prices!I287+$D$2)*IF($M$2="Prices in $/MWh",1,1/1000)</f>
        <v>79.83</v>
      </c>
      <c r="J299" s="75">
        <f>(Matrix_prices!J287+$D$2)*IF($M$2="Prices in $/MWh",1,1/1000)</f>
        <v>80.84</v>
      </c>
      <c r="K299" s="76">
        <f>(Matrix_prices!K287+$D$2)*IF($M$2="Prices in $/MWh",1,1/1000)</f>
        <v>79.92</v>
      </c>
      <c r="L299" s="75">
        <f>(Matrix_prices!L287+$D$2)*IF($M$2="Prices in $/MWh",1,1/1000)</f>
        <v>37.01</v>
      </c>
      <c r="M299" s="76">
        <f>(Matrix_prices!M287+$D$2)*IF($M$2="Prices in $/MWh",1,1/1000)</f>
        <v>37.450000000000003</v>
      </c>
      <c r="N299" s="75">
        <f>(Matrix_prices!N287+$D$2)*IF($M$2="Prices in $/MWh",1,1/1000)</f>
        <v>37.39</v>
      </c>
    </row>
    <row r="300" spans="3:14" x14ac:dyDescent="0.25">
      <c r="C300" s="78">
        <f>Matrix_prices!C288</f>
        <v>42736</v>
      </c>
      <c r="D300" s="79" t="str">
        <f>Matrix_prices!D288</f>
        <v>MD</v>
      </c>
      <c r="E300" s="80" t="str">
        <f>Matrix_prices!E288</f>
        <v>PEPCO</v>
      </c>
      <c r="F300" s="79" t="str">
        <f>Matrix_prices!F288</f>
        <v>MGT LV II</v>
      </c>
      <c r="G300" s="80" t="str">
        <f>Matrix_prices!G288</f>
        <v>Time Metered Gen Service</v>
      </c>
      <c r="H300" s="81" t="str">
        <f t="shared" si="13"/>
        <v>100-500 MWh</v>
      </c>
      <c r="I300" s="80">
        <f>(Matrix_prices!I288+$D$2)*IF($M$2="Prices in $/MWh",1,1/1000)</f>
        <v>78.23</v>
      </c>
      <c r="J300" s="79">
        <f>(Matrix_prices!J288+$D$2)*IF($M$2="Prices in $/MWh",1,1/1000)</f>
        <v>79.239999999999995</v>
      </c>
      <c r="K300" s="80">
        <f>(Matrix_prices!K288+$D$2)*IF($M$2="Prices in $/MWh",1,1/1000)</f>
        <v>78.319999999999993</v>
      </c>
      <c r="L300" s="79">
        <f>(Matrix_prices!L288+$D$2)*IF($M$2="Prices in $/MWh",1,1/1000)</f>
        <v>35.409999999999997</v>
      </c>
      <c r="M300" s="80">
        <f>(Matrix_prices!M288+$D$2)*IF($M$2="Prices in $/MWh",1,1/1000)</f>
        <v>35.85</v>
      </c>
      <c r="N300" s="79">
        <f>(Matrix_prices!N288+$D$2)*IF($M$2="Prices in $/MWh",1,1/1000)</f>
        <v>35.79</v>
      </c>
    </row>
    <row r="301" spans="3:14" x14ac:dyDescent="0.25">
      <c r="C301" s="82">
        <f>Matrix_prices!C289</f>
        <v>42736</v>
      </c>
      <c r="D301" s="83" t="str">
        <f>Matrix_prices!D289</f>
        <v>MD</v>
      </c>
      <c r="E301" s="84" t="str">
        <f>Matrix_prices!E289</f>
        <v>PEPCO</v>
      </c>
      <c r="F301" s="83" t="str">
        <f>Matrix_prices!F289</f>
        <v>MGT LV II</v>
      </c>
      <c r="G301" s="84" t="str">
        <f>Matrix_prices!G289</f>
        <v>Time Metered Gen Service</v>
      </c>
      <c r="H301" s="85" t="str">
        <f t="shared" si="14"/>
        <v>500-2500 MWh</v>
      </c>
      <c r="I301" s="84">
        <f>(Matrix_prices!I289+$D$2)*IF($M$2="Prices in $/MWh",1,1/1000)</f>
        <v>77.180000000000007</v>
      </c>
      <c r="J301" s="83">
        <f>(Matrix_prices!J289+$D$2)*IF($M$2="Prices in $/MWh",1,1/1000)</f>
        <v>78.19</v>
      </c>
      <c r="K301" s="84">
        <f>(Matrix_prices!K289+$D$2)*IF($M$2="Prices in $/MWh",1,1/1000)</f>
        <v>77.27</v>
      </c>
      <c r="L301" s="83">
        <f>(Matrix_prices!L289+$D$2)*IF($M$2="Prices in $/MWh",1,1/1000)</f>
        <v>34.36</v>
      </c>
      <c r="M301" s="84">
        <f>(Matrix_prices!M289+$D$2)*IF($M$2="Prices in $/MWh",1,1/1000)</f>
        <v>34.799999999999997</v>
      </c>
      <c r="N301" s="83">
        <f>(Matrix_prices!N289+$D$2)*IF($M$2="Prices in $/MWh",1,1/1000)</f>
        <v>34.74</v>
      </c>
    </row>
    <row r="302" spans="3:14" x14ac:dyDescent="0.25">
      <c r="C302" s="151">
        <f>Matrix_prices!C290</f>
        <v>42401</v>
      </c>
      <c r="D302" s="152" t="str">
        <f>Matrix_prices!D290</f>
        <v>MD</v>
      </c>
      <c r="E302" s="153" t="str">
        <f>Matrix_prices!E290</f>
        <v>PEPCO</v>
      </c>
      <c r="F302" s="152" t="str">
        <f>Matrix_prices!F290</f>
        <v>RC_3T7</v>
      </c>
      <c r="G302" s="153" t="str">
        <f>Matrix_prices!G290</f>
        <v>RC_3T7</v>
      </c>
      <c r="H302" s="157" t="str">
        <f t="shared" si="12"/>
        <v>0-100 MWh</v>
      </c>
      <c r="I302" s="153">
        <f>(Matrix_prices!I290+$D$2)*IF($M$2="Prices in $/MWh",1,1/1000)</f>
        <v>80.81</v>
      </c>
      <c r="J302" s="152">
        <f>(Matrix_prices!J290+$D$2)*IF($M$2="Prices in $/MWh",1,1/1000)</f>
        <v>81.2</v>
      </c>
      <c r="K302" s="153">
        <f>(Matrix_prices!K290+$D$2)*IF($M$2="Prices in $/MWh",1,1/1000)</f>
        <v>80.2</v>
      </c>
      <c r="L302" s="152">
        <f>(Matrix_prices!L290+$D$2)*IF($M$2="Prices in $/MWh",1,1/1000)</f>
        <v>38.18</v>
      </c>
      <c r="M302" s="153">
        <f>(Matrix_prices!M290+$D$2)*IF($M$2="Prices in $/MWh",1,1/1000)</f>
        <v>38.49</v>
      </c>
      <c r="N302" s="152">
        <f>(Matrix_prices!N290+$D$2)*IF($M$2="Prices in $/MWh",1,1/1000)</f>
        <v>38.130000000000003</v>
      </c>
    </row>
    <row r="303" spans="3:14" x14ac:dyDescent="0.25">
      <c r="C303" s="78">
        <f>Matrix_prices!C291</f>
        <v>42401</v>
      </c>
      <c r="D303" s="79" t="str">
        <f>Matrix_prices!D291</f>
        <v>MD</v>
      </c>
      <c r="E303" s="80" t="str">
        <f>Matrix_prices!E291</f>
        <v>PEPCO</v>
      </c>
      <c r="F303" s="79" t="str">
        <f>Matrix_prices!F291</f>
        <v>RC_3T7</v>
      </c>
      <c r="G303" s="80" t="str">
        <f>Matrix_prices!G291</f>
        <v>RC_3T7</v>
      </c>
      <c r="H303" s="81" t="str">
        <f t="shared" si="13"/>
        <v>100-500 MWh</v>
      </c>
      <c r="I303" s="80">
        <f>(Matrix_prices!I291+$D$2)*IF($M$2="Prices in $/MWh",1,1/1000)</f>
        <v>79.209999999999994</v>
      </c>
      <c r="J303" s="79">
        <f>(Matrix_prices!J291+$D$2)*IF($M$2="Prices in $/MWh",1,1/1000)</f>
        <v>79.599999999999994</v>
      </c>
      <c r="K303" s="80">
        <f>(Matrix_prices!K291+$D$2)*IF($M$2="Prices in $/MWh",1,1/1000)</f>
        <v>78.599999999999994</v>
      </c>
      <c r="L303" s="79">
        <f>(Matrix_prices!L291+$D$2)*IF($M$2="Prices in $/MWh",1,1/1000)</f>
        <v>36.58</v>
      </c>
      <c r="M303" s="80">
        <f>(Matrix_prices!M291+$D$2)*IF($M$2="Prices in $/MWh",1,1/1000)</f>
        <v>36.89</v>
      </c>
      <c r="N303" s="79">
        <f>(Matrix_prices!N291+$D$2)*IF($M$2="Prices in $/MWh",1,1/1000)</f>
        <v>36.53</v>
      </c>
    </row>
    <row r="304" spans="3:14" x14ac:dyDescent="0.25">
      <c r="C304" s="82">
        <f>Matrix_prices!C292</f>
        <v>42401</v>
      </c>
      <c r="D304" s="83" t="str">
        <f>Matrix_prices!D292</f>
        <v>MD</v>
      </c>
      <c r="E304" s="84" t="str">
        <f>Matrix_prices!E292</f>
        <v>PEPCO</v>
      </c>
      <c r="F304" s="83" t="str">
        <f>Matrix_prices!F292</f>
        <v>RC_3T7</v>
      </c>
      <c r="G304" s="84" t="str">
        <f>Matrix_prices!G292</f>
        <v>RC_3T7</v>
      </c>
      <c r="H304" s="85" t="str">
        <f t="shared" si="14"/>
        <v>500-2500 MWh</v>
      </c>
      <c r="I304" s="84">
        <f>(Matrix_prices!I292+$D$2)*IF($M$2="Prices in $/MWh",1,1/1000)</f>
        <v>78.16</v>
      </c>
      <c r="J304" s="83">
        <f>(Matrix_prices!J292+$D$2)*IF($M$2="Prices in $/MWh",1,1/1000)</f>
        <v>78.55</v>
      </c>
      <c r="K304" s="84">
        <f>(Matrix_prices!K292+$D$2)*IF($M$2="Prices in $/MWh",1,1/1000)</f>
        <v>77.55</v>
      </c>
      <c r="L304" s="83">
        <f>(Matrix_prices!L292+$D$2)*IF($M$2="Prices in $/MWh",1,1/1000)</f>
        <v>35.53</v>
      </c>
      <c r="M304" s="84">
        <f>(Matrix_prices!M292+$D$2)*IF($M$2="Prices in $/MWh",1,1/1000)</f>
        <v>35.840000000000003</v>
      </c>
      <c r="N304" s="83">
        <f>(Matrix_prices!N292+$D$2)*IF($M$2="Prices in $/MWh",1,1/1000)</f>
        <v>35.479999999999997</v>
      </c>
    </row>
    <row r="305" spans="3:14" x14ac:dyDescent="0.25">
      <c r="C305" s="74">
        <f>Matrix_prices!C293</f>
        <v>42430</v>
      </c>
      <c r="D305" s="75" t="str">
        <f>Matrix_prices!D293</f>
        <v>MD</v>
      </c>
      <c r="E305" s="76" t="str">
        <f>Matrix_prices!E293</f>
        <v>PEPCO</v>
      </c>
      <c r="F305" s="75" t="str">
        <f>Matrix_prices!F293</f>
        <v>RC_3T7</v>
      </c>
      <c r="G305" s="76" t="str">
        <f>Matrix_prices!G293</f>
        <v>RC_3T7</v>
      </c>
      <c r="H305" s="157" t="str">
        <f t="shared" si="12"/>
        <v>0-100 MWh</v>
      </c>
      <c r="I305" s="76">
        <f>(Matrix_prices!I293+$D$2)*IF($M$2="Prices in $/MWh",1,1/1000)</f>
        <v>81.19</v>
      </c>
      <c r="J305" s="75">
        <f>(Matrix_prices!J293+$D$2)*IF($M$2="Prices in $/MWh",1,1/1000)</f>
        <v>80.91</v>
      </c>
      <c r="K305" s="76">
        <f>(Matrix_prices!K293+$D$2)*IF($M$2="Prices in $/MWh",1,1/1000)</f>
        <v>80.400000000000006</v>
      </c>
      <c r="L305" s="75">
        <f>(Matrix_prices!L293+$D$2)*IF($M$2="Prices in $/MWh",1,1/1000)</f>
        <v>38.17</v>
      </c>
      <c r="M305" s="76">
        <f>(Matrix_prices!M293+$D$2)*IF($M$2="Prices in $/MWh",1,1/1000)</f>
        <v>38.479999999999997</v>
      </c>
      <c r="N305" s="75">
        <f>(Matrix_prices!N293+$D$2)*IF($M$2="Prices in $/MWh",1,1/1000)</f>
        <v>38.14</v>
      </c>
    </row>
    <row r="306" spans="3:14" x14ac:dyDescent="0.25">
      <c r="C306" s="78">
        <f>Matrix_prices!C294</f>
        <v>42430</v>
      </c>
      <c r="D306" s="79" t="str">
        <f>Matrix_prices!D294</f>
        <v>MD</v>
      </c>
      <c r="E306" s="80" t="str">
        <f>Matrix_prices!E294</f>
        <v>PEPCO</v>
      </c>
      <c r="F306" s="79" t="str">
        <f>Matrix_prices!F294</f>
        <v>RC_3T7</v>
      </c>
      <c r="G306" s="80" t="str">
        <f>Matrix_prices!G294</f>
        <v>RC_3T7</v>
      </c>
      <c r="H306" s="81" t="str">
        <f t="shared" si="13"/>
        <v>100-500 MWh</v>
      </c>
      <c r="I306" s="80">
        <f>(Matrix_prices!I294+$D$2)*IF($M$2="Prices in $/MWh",1,1/1000)</f>
        <v>79.59</v>
      </c>
      <c r="J306" s="79">
        <f>(Matrix_prices!J294+$D$2)*IF($M$2="Prices in $/MWh",1,1/1000)</f>
        <v>79.31</v>
      </c>
      <c r="K306" s="80">
        <f>(Matrix_prices!K294+$D$2)*IF($M$2="Prices in $/MWh",1,1/1000)</f>
        <v>78.8</v>
      </c>
      <c r="L306" s="79">
        <f>(Matrix_prices!L294+$D$2)*IF($M$2="Prices in $/MWh",1,1/1000)</f>
        <v>36.57</v>
      </c>
      <c r="M306" s="80">
        <f>(Matrix_prices!M294+$D$2)*IF($M$2="Prices in $/MWh",1,1/1000)</f>
        <v>36.880000000000003</v>
      </c>
      <c r="N306" s="79">
        <f>(Matrix_prices!N294+$D$2)*IF($M$2="Prices in $/MWh",1,1/1000)</f>
        <v>36.54</v>
      </c>
    </row>
    <row r="307" spans="3:14" x14ac:dyDescent="0.25">
      <c r="C307" s="82">
        <f>Matrix_prices!C295</f>
        <v>42430</v>
      </c>
      <c r="D307" s="83" t="str">
        <f>Matrix_prices!D295</f>
        <v>MD</v>
      </c>
      <c r="E307" s="84" t="str">
        <f>Matrix_prices!E295</f>
        <v>PEPCO</v>
      </c>
      <c r="F307" s="83" t="str">
        <f>Matrix_prices!F295</f>
        <v>RC_3T7</v>
      </c>
      <c r="G307" s="84" t="str">
        <f>Matrix_prices!G295</f>
        <v>RC_3T7</v>
      </c>
      <c r="H307" s="85" t="str">
        <f t="shared" si="14"/>
        <v>500-2500 MWh</v>
      </c>
      <c r="I307" s="84">
        <f>(Matrix_prices!I295+$D$2)*IF($M$2="Prices in $/MWh",1,1/1000)</f>
        <v>78.540000000000006</v>
      </c>
      <c r="J307" s="83">
        <f>(Matrix_prices!J295+$D$2)*IF($M$2="Prices in $/MWh",1,1/1000)</f>
        <v>78.260000000000005</v>
      </c>
      <c r="K307" s="84">
        <f>(Matrix_prices!K295+$D$2)*IF($M$2="Prices in $/MWh",1,1/1000)</f>
        <v>77.75</v>
      </c>
      <c r="L307" s="83">
        <f>(Matrix_prices!L295+$D$2)*IF($M$2="Prices in $/MWh",1,1/1000)</f>
        <v>35.520000000000003</v>
      </c>
      <c r="M307" s="84">
        <f>(Matrix_prices!M295+$D$2)*IF($M$2="Prices in $/MWh",1,1/1000)</f>
        <v>35.83</v>
      </c>
      <c r="N307" s="83">
        <f>(Matrix_prices!N295+$D$2)*IF($M$2="Prices in $/MWh",1,1/1000)</f>
        <v>35.49</v>
      </c>
    </row>
    <row r="308" spans="3:14" x14ac:dyDescent="0.25">
      <c r="C308" s="151">
        <f>Matrix_prices!C296</f>
        <v>42461</v>
      </c>
      <c r="D308" s="152" t="str">
        <f>Matrix_prices!D296</f>
        <v>MD</v>
      </c>
      <c r="E308" s="153" t="str">
        <f>Matrix_prices!E296</f>
        <v>PEPCO</v>
      </c>
      <c r="F308" s="152" t="str">
        <f>Matrix_prices!F296</f>
        <v>RC_3T7</v>
      </c>
      <c r="G308" s="153" t="str">
        <f>Matrix_prices!G296</f>
        <v>RC_3T7</v>
      </c>
      <c r="H308" s="157" t="str">
        <f t="shared" si="12"/>
        <v>0-100 MWh</v>
      </c>
      <c r="I308" s="153">
        <f>(Matrix_prices!I296+$D$2)*IF($M$2="Prices in $/MWh",1,1/1000)</f>
        <v>81.2</v>
      </c>
      <c r="J308" s="152">
        <f>(Matrix_prices!J296+$D$2)*IF($M$2="Prices in $/MWh",1,1/1000)</f>
        <v>80.34</v>
      </c>
      <c r="K308" s="153">
        <f>(Matrix_prices!K296+$D$2)*IF($M$2="Prices in $/MWh",1,1/1000)</f>
        <v>80.34</v>
      </c>
      <c r="L308" s="152">
        <f>(Matrix_prices!L296+$D$2)*IF($M$2="Prices in $/MWh",1,1/1000)</f>
        <v>38.130000000000003</v>
      </c>
      <c r="M308" s="153">
        <f>(Matrix_prices!M296+$D$2)*IF($M$2="Prices in $/MWh",1,1/1000)</f>
        <v>38.35</v>
      </c>
      <c r="N308" s="152">
        <f>(Matrix_prices!N296+$D$2)*IF($M$2="Prices in $/MWh",1,1/1000)</f>
        <v>38.130000000000003</v>
      </c>
    </row>
    <row r="309" spans="3:14" x14ac:dyDescent="0.25">
      <c r="C309" s="78">
        <f>Matrix_prices!C297</f>
        <v>42461</v>
      </c>
      <c r="D309" s="79" t="str">
        <f>Matrix_prices!D297</f>
        <v>MD</v>
      </c>
      <c r="E309" s="80" t="str">
        <f>Matrix_prices!E297</f>
        <v>PEPCO</v>
      </c>
      <c r="F309" s="79" t="str">
        <f>Matrix_prices!F297</f>
        <v>RC_3T7</v>
      </c>
      <c r="G309" s="80" t="str">
        <f>Matrix_prices!G297</f>
        <v>RC_3T7</v>
      </c>
      <c r="H309" s="81" t="str">
        <f t="shared" si="13"/>
        <v>100-500 MWh</v>
      </c>
      <c r="I309" s="80">
        <f>(Matrix_prices!I297+$D$2)*IF($M$2="Prices in $/MWh",1,1/1000)</f>
        <v>79.599999999999994</v>
      </c>
      <c r="J309" s="79">
        <f>(Matrix_prices!J297+$D$2)*IF($M$2="Prices in $/MWh",1,1/1000)</f>
        <v>78.739999999999995</v>
      </c>
      <c r="K309" s="80">
        <f>(Matrix_prices!K297+$D$2)*IF($M$2="Prices in $/MWh",1,1/1000)</f>
        <v>78.739999999999995</v>
      </c>
      <c r="L309" s="79">
        <f>(Matrix_prices!L297+$D$2)*IF($M$2="Prices in $/MWh",1,1/1000)</f>
        <v>36.53</v>
      </c>
      <c r="M309" s="80">
        <f>(Matrix_prices!M297+$D$2)*IF($M$2="Prices in $/MWh",1,1/1000)</f>
        <v>36.75</v>
      </c>
      <c r="N309" s="79">
        <f>(Matrix_prices!N297+$D$2)*IF($M$2="Prices in $/MWh",1,1/1000)</f>
        <v>36.53</v>
      </c>
    </row>
    <row r="310" spans="3:14" x14ac:dyDescent="0.25">
      <c r="C310" s="82">
        <f>Matrix_prices!C298</f>
        <v>42461</v>
      </c>
      <c r="D310" s="83" t="str">
        <f>Matrix_prices!D298</f>
        <v>MD</v>
      </c>
      <c r="E310" s="84" t="str">
        <f>Matrix_prices!E298</f>
        <v>PEPCO</v>
      </c>
      <c r="F310" s="83" t="str">
        <f>Matrix_prices!F298</f>
        <v>RC_3T7</v>
      </c>
      <c r="G310" s="84" t="str">
        <f>Matrix_prices!G298</f>
        <v>RC_3T7</v>
      </c>
      <c r="H310" s="85" t="str">
        <f t="shared" si="14"/>
        <v>500-2500 MWh</v>
      </c>
      <c r="I310" s="84">
        <f>(Matrix_prices!I298+$D$2)*IF($M$2="Prices in $/MWh",1,1/1000)</f>
        <v>78.55</v>
      </c>
      <c r="J310" s="83">
        <f>(Matrix_prices!J298+$D$2)*IF($M$2="Prices in $/MWh",1,1/1000)</f>
        <v>77.69</v>
      </c>
      <c r="K310" s="84">
        <f>(Matrix_prices!K298+$D$2)*IF($M$2="Prices in $/MWh",1,1/1000)</f>
        <v>77.69</v>
      </c>
      <c r="L310" s="83">
        <f>(Matrix_prices!L298+$D$2)*IF($M$2="Prices in $/MWh",1,1/1000)</f>
        <v>35.479999999999997</v>
      </c>
      <c r="M310" s="84">
        <f>(Matrix_prices!M298+$D$2)*IF($M$2="Prices in $/MWh",1,1/1000)</f>
        <v>35.700000000000003</v>
      </c>
      <c r="N310" s="83">
        <f>(Matrix_prices!N298+$D$2)*IF($M$2="Prices in $/MWh",1,1/1000)</f>
        <v>35.479999999999997</v>
      </c>
    </row>
    <row r="311" spans="3:14" x14ac:dyDescent="0.25">
      <c r="C311" s="74">
        <f>Matrix_prices!C299</f>
        <v>42491</v>
      </c>
      <c r="D311" s="75" t="str">
        <f>Matrix_prices!D299</f>
        <v>MD</v>
      </c>
      <c r="E311" s="76" t="str">
        <f>Matrix_prices!E299</f>
        <v>PEPCO</v>
      </c>
      <c r="F311" s="75" t="str">
        <f>Matrix_prices!F299</f>
        <v>RC_3T7</v>
      </c>
      <c r="G311" s="76" t="str">
        <f>Matrix_prices!G299</f>
        <v>RC_3T7</v>
      </c>
      <c r="H311" s="157" t="str">
        <f t="shared" si="12"/>
        <v>0-100 MWh</v>
      </c>
      <c r="I311" s="76">
        <f>(Matrix_prices!I299+$D$2)*IF($M$2="Prices in $/MWh",1,1/1000)</f>
        <v>81.099999999999994</v>
      </c>
      <c r="J311" s="75">
        <f>(Matrix_prices!J299+$D$2)*IF($M$2="Prices in $/MWh",1,1/1000)</f>
        <v>79.760000000000005</v>
      </c>
      <c r="K311" s="76">
        <f>(Matrix_prices!K299+$D$2)*IF($M$2="Prices in $/MWh",1,1/1000)</f>
        <v>80.239999999999995</v>
      </c>
      <c r="L311" s="75">
        <f>(Matrix_prices!L299+$D$2)*IF($M$2="Prices in $/MWh",1,1/1000)</f>
        <v>38.090000000000003</v>
      </c>
      <c r="M311" s="76">
        <f>(Matrix_prices!M299+$D$2)*IF($M$2="Prices in $/MWh",1,1/1000)</f>
        <v>38.1</v>
      </c>
      <c r="N311" s="75">
        <f>(Matrix_prices!N299+$D$2)*IF($M$2="Prices in $/MWh",1,1/1000)</f>
        <v>38.11</v>
      </c>
    </row>
    <row r="312" spans="3:14" x14ac:dyDescent="0.25">
      <c r="C312" s="78">
        <f>Matrix_prices!C300</f>
        <v>42491</v>
      </c>
      <c r="D312" s="79" t="str">
        <f>Matrix_prices!D300</f>
        <v>MD</v>
      </c>
      <c r="E312" s="80" t="str">
        <f>Matrix_prices!E300</f>
        <v>PEPCO</v>
      </c>
      <c r="F312" s="79" t="str">
        <f>Matrix_prices!F300</f>
        <v>RC_3T7</v>
      </c>
      <c r="G312" s="80" t="str">
        <f>Matrix_prices!G300</f>
        <v>RC_3T7</v>
      </c>
      <c r="H312" s="81" t="str">
        <f t="shared" si="13"/>
        <v>100-500 MWh</v>
      </c>
      <c r="I312" s="80">
        <f>(Matrix_prices!I300+$D$2)*IF($M$2="Prices in $/MWh",1,1/1000)</f>
        <v>79.5</v>
      </c>
      <c r="J312" s="79">
        <f>(Matrix_prices!J300+$D$2)*IF($M$2="Prices in $/MWh",1,1/1000)</f>
        <v>78.16</v>
      </c>
      <c r="K312" s="80">
        <f>(Matrix_prices!K300+$D$2)*IF($M$2="Prices in $/MWh",1,1/1000)</f>
        <v>78.64</v>
      </c>
      <c r="L312" s="79">
        <f>(Matrix_prices!L300+$D$2)*IF($M$2="Prices in $/MWh",1,1/1000)</f>
        <v>36.49</v>
      </c>
      <c r="M312" s="80">
        <f>(Matrix_prices!M300+$D$2)*IF($M$2="Prices in $/MWh",1,1/1000)</f>
        <v>36.5</v>
      </c>
      <c r="N312" s="79">
        <f>(Matrix_prices!N300+$D$2)*IF($M$2="Prices in $/MWh",1,1/1000)</f>
        <v>36.51</v>
      </c>
    </row>
    <row r="313" spans="3:14" x14ac:dyDescent="0.25">
      <c r="C313" s="82">
        <f>Matrix_prices!C301</f>
        <v>42491</v>
      </c>
      <c r="D313" s="83" t="str">
        <f>Matrix_prices!D301</f>
        <v>MD</v>
      </c>
      <c r="E313" s="84" t="str">
        <f>Matrix_prices!E301</f>
        <v>PEPCO</v>
      </c>
      <c r="F313" s="83" t="str">
        <f>Matrix_prices!F301</f>
        <v>RC_3T7</v>
      </c>
      <c r="G313" s="84" t="str">
        <f>Matrix_prices!G301</f>
        <v>RC_3T7</v>
      </c>
      <c r="H313" s="85" t="str">
        <f t="shared" si="14"/>
        <v>500-2500 MWh</v>
      </c>
      <c r="I313" s="84">
        <f>(Matrix_prices!I301+$D$2)*IF($M$2="Prices in $/MWh",1,1/1000)</f>
        <v>78.45</v>
      </c>
      <c r="J313" s="83">
        <f>(Matrix_prices!J301+$D$2)*IF($M$2="Prices in $/MWh",1,1/1000)</f>
        <v>77.11</v>
      </c>
      <c r="K313" s="84">
        <f>(Matrix_prices!K301+$D$2)*IF($M$2="Prices in $/MWh",1,1/1000)</f>
        <v>77.59</v>
      </c>
      <c r="L313" s="83">
        <f>(Matrix_prices!L301+$D$2)*IF($M$2="Prices in $/MWh",1,1/1000)</f>
        <v>35.44</v>
      </c>
      <c r="M313" s="84">
        <f>(Matrix_prices!M301+$D$2)*IF($M$2="Prices in $/MWh",1,1/1000)</f>
        <v>35.450000000000003</v>
      </c>
      <c r="N313" s="83">
        <f>(Matrix_prices!N301+$D$2)*IF($M$2="Prices in $/MWh",1,1/1000)</f>
        <v>35.46</v>
      </c>
    </row>
    <row r="314" spans="3:14" x14ac:dyDescent="0.25">
      <c r="C314" s="151">
        <f>Matrix_prices!C302</f>
        <v>42522</v>
      </c>
      <c r="D314" s="152" t="str">
        <f>Matrix_prices!D302</f>
        <v>MD</v>
      </c>
      <c r="E314" s="153" t="str">
        <f>Matrix_prices!E302</f>
        <v>PEPCO</v>
      </c>
      <c r="F314" s="152" t="str">
        <f>Matrix_prices!F302</f>
        <v>RC_3T7</v>
      </c>
      <c r="G314" s="153" t="str">
        <f>Matrix_prices!G302</f>
        <v>RC_3T7</v>
      </c>
      <c r="H314" s="157" t="str">
        <f t="shared" si="12"/>
        <v>0-100 MWh</v>
      </c>
      <c r="I314" s="153">
        <f>(Matrix_prices!I302+$D$2)*IF($M$2="Prices in $/MWh",1,1/1000)</f>
        <v>80.94</v>
      </c>
      <c r="J314" s="152">
        <f>(Matrix_prices!J302+$D$2)*IF($M$2="Prices in $/MWh",1,1/1000)</f>
        <v>79.489999999999995</v>
      </c>
      <c r="K314" s="153">
        <f>(Matrix_prices!K302+$D$2)*IF($M$2="Prices in $/MWh",1,1/1000)</f>
        <v>80.150000000000006</v>
      </c>
      <c r="L314" s="152">
        <f>(Matrix_prices!L302+$D$2)*IF($M$2="Prices in $/MWh",1,1/1000)</f>
        <v>38.04</v>
      </c>
      <c r="M314" s="153">
        <f>(Matrix_prices!M302+$D$2)*IF($M$2="Prices in $/MWh",1,1/1000)</f>
        <v>38.07</v>
      </c>
      <c r="N314" s="152">
        <f>(Matrix_prices!N302+$D$2)*IF($M$2="Prices in $/MWh",1,1/1000)</f>
        <v>38.090000000000003</v>
      </c>
    </row>
    <row r="315" spans="3:14" x14ac:dyDescent="0.25">
      <c r="C315" s="78">
        <f>Matrix_prices!C303</f>
        <v>42522</v>
      </c>
      <c r="D315" s="79" t="str">
        <f>Matrix_prices!D303</f>
        <v>MD</v>
      </c>
      <c r="E315" s="80" t="str">
        <f>Matrix_prices!E303</f>
        <v>PEPCO</v>
      </c>
      <c r="F315" s="79" t="str">
        <f>Matrix_prices!F303</f>
        <v>RC_3T7</v>
      </c>
      <c r="G315" s="80" t="str">
        <f>Matrix_prices!G303</f>
        <v>RC_3T7</v>
      </c>
      <c r="H315" s="81" t="str">
        <f t="shared" si="13"/>
        <v>100-500 MWh</v>
      </c>
      <c r="I315" s="80">
        <f>(Matrix_prices!I303+$D$2)*IF($M$2="Prices in $/MWh",1,1/1000)</f>
        <v>79.34</v>
      </c>
      <c r="J315" s="79">
        <f>(Matrix_prices!J303+$D$2)*IF($M$2="Prices in $/MWh",1,1/1000)</f>
        <v>77.89</v>
      </c>
      <c r="K315" s="80">
        <f>(Matrix_prices!K303+$D$2)*IF($M$2="Prices in $/MWh",1,1/1000)</f>
        <v>78.55</v>
      </c>
      <c r="L315" s="79">
        <f>(Matrix_prices!L303+$D$2)*IF($M$2="Prices in $/MWh",1,1/1000)</f>
        <v>36.44</v>
      </c>
      <c r="M315" s="80">
        <f>(Matrix_prices!M303+$D$2)*IF($M$2="Prices in $/MWh",1,1/1000)</f>
        <v>36.47</v>
      </c>
      <c r="N315" s="79">
        <f>(Matrix_prices!N303+$D$2)*IF($M$2="Prices in $/MWh",1,1/1000)</f>
        <v>36.49</v>
      </c>
    </row>
    <row r="316" spans="3:14" x14ac:dyDescent="0.25">
      <c r="C316" s="82">
        <f>Matrix_prices!C304</f>
        <v>42522</v>
      </c>
      <c r="D316" s="83" t="str">
        <f>Matrix_prices!D304</f>
        <v>MD</v>
      </c>
      <c r="E316" s="84" t="str">
        <f>Matrix_prices!E304</f>
        <v>PEPCO</v>
      </c>
      <c r="F316" s="83" t="str">
        <f>Matrix_prices!F304</f>
        <v>RC_3T7</v>
      </c>
      <c r="G316" s="84" t="str">
        <f>Matrix_prices!G304</f>
        <v>RC_3T7</v>
      </c>
      <c r="H316" s="85" t="str">
        <f t="shared" si="14"/>
        <v>500-2500 MWh</v>
      </c>
      <c r="I316" s="84">
        <f>(Matrix_prices!I304+$D$2)*IF($M$2="Prices in $/MWh",1,1/1000)</f>
        <v>78.290000000000006</v>
      </c>
      <c r="J316" s="83">
        <f>(Matrix_prices!J304+$D$2)*IF($M$2="Prices in $/MWh",1,1/1000)</f>
        <v>76.84</v>
      </c>
      <c r="K316" s="84">
        <f>(Matrix_prices!K304+$D$2)*IF($M$2="Prices in $/MWh",1,1/1000)</f>
        <v>77.5</v>
      </c>
      <c r="L316" s="83">
        <f>(Matrix_prices!L304+$D$2)*IF($M$2="Prices in $/MWh",1,1/1000)</f>
        <v>35.39</v>
      </c>
      <c r="M316" s="84">
        <f>(Matrix_prices!M304+$D$2)*IF($M$2="Prices in $/MWh",1,1/1000)</f>
        <v>35.42</v>
      </c>
      <c r="N316" s="83">
        <f>(Matrix_prices!N304+$D$2)*IF($M$2="Prices in $/MWh",1,1/1000)</f>
        <v>35.44</v>
      </c>
    </row>
    <row r="317" spans="3:14" x14ac:dyDescent="0.25">
      <c r="C317" s="74">
        <f>Matrix_prices!C305</f>
        <v>42552</v>
      </c>
      <c r="D317" s="75" t="str">
        <f>Matrix_prices!D305</f>
        <v>MD</v>
      </c>
      <c r="E317" s="76" t="str">
        <f>Matrix_prices!E305</f>
        <v>PEPCO</v>
      </c>
      <c r="F317" s="75" t="str">
        <f>Matrix_prices!F305</f>
        <v>RC_3T7</v>
      </c>
      <c r="G317" s="76" t="str">
        <f>Matrix_prices!G305</f>
        <v>RC_3T7</v>
      </c>
      <c r="H317" s="157" t="str">
        <f t="shared" si="12"/>
        <v>0-100 MWh</v>
      </c>
      <c r="I317" s="76">
        <f>(Matrix_prices!I305+$D$2)*IF($M$2="Prices in $/MWh",1,1/1000)</f>
        <v>80.84</v>
      </c>
      <c r="J317" s="75">
        <f>(Matrix_prices!J305+$D$2)*IF($M$2="Prices in $/MWh",1,1/1000)</f>
        <v>79.14</v>
      </c>
      <c r="K317" s="76">
        <f>(Matrix_prices!K305+$D$2)*IF($M$2="Prices in $/MWh",1,1/1000)</f>
        <v>80.069999999999993</v>
      </c>
      <c r="L317" s="75">
        <f>(Matrix_prices!L305+$D$2)*IF($M$2="Prices in $/MWh",1,1/1000)</f>
        <v>38.01</v>
      </c>
      <c r="M317" s="76">
        <f>(Matrix_prices!M305+$D$2)*IF($M$2="Prices in $/MWh",1,1/1000)</f>
        <v>37.85</v>
      </c>
      <c r="N317" s="75">
        <f>(Matrix_prices!N305+$D$2)*IF($M$2="Prices in $/MWh",1,1/1000)</f>
        <v>38.130000000000003</v>
      </c>
    </row>
    <row r="318" spans="3:14" x14ac:dyDescent="0.25">
      <c r="C318" s="78">
        <f>Matrix_prices!C306</f>
        <v>42552</v>
      </c>
      <c r="D318" s="79" t="str">
        <f>Matrix_prices!D306</f>
        <v>MD</v>
      </c>
      <c r="E318" s="80" t="str">
        <f>Matrix_prices!E306</f>
        <v>PEPCO</v>
      </c>
      <c r="F318" s="79" t="str">
        <f>Matrix_prices!F306</f>
        <v>RC_3T7</v>
      </c>
      <c r="G318" s="80" t="str">
        <f>Matrix_prices!G306</f>
        <v>RC_3T7</v>
      </c>
      <c r="H318" s="81" t="str">
        <f t="shared" si="13"/>
        <v>100-500 MWh</v>
      </c>
      <c r="I318" s="80">
        <f>(Matrix_prices!I306+$D$2)*IF($M$2="Prices in $/MWh",1,1/1000)</f>
        <v>79.239999999999995</v>
      </c>
      <c r="J318" s="79">
        <f>(Matrix_prices!J306+$D$2)*IF($M$2="Prices in $/MWh",1,1/1000)</f>
        <v>77.540000000000006</v>
      </c>
      <c r="K318" s="80">
        <f>(Matrix_prices!K306+$D$2)*IF($M$2="Prices in $/MWh",1,1/1000)</f>
        <v>78.47</v>
      </c>
      <c r="L318" s="79">
        <f>(Matrix_prices!L306+$D$2)*IF($M$2="Prices in $/MWh",1,1/1000)</f>
        <v>36.409999999999997</v>
      </c>
      <c r="M318" s="80">
        <f>(Matrix_prices!M306+$D$2)*IF($M$2="Prices in $/MWh",1,1/1000)</f>
        <v>36.25</v>
      </c>
      <c r="N318" s="79">
        <f>(Matrix_prices!N306+$D$2)*IF($M$2="Prices in $/MWh",1,1/1000)</f>
        <v>36.53</v>
      </c>
    </row>
    <row r="319" spans="3:14" x14ac:dyDescent="0.25">
      <c r="C319" s="82">
        <f>Matrix_prices!C307</f>
        <v>42552</v>
      </c>
      <c r="D319" s="83" t="str">
        <f>Matrix_prices!D307</f>
        <v>MD</v>
      </c>
      <c r="E319" s="84" t="str">
        <f>Matrix_prices!E307</f>
        <v>PEPCO</v>
      </c>
      <c r="F319" s="83" t="str">
        <f>Matrix_prices!F307</f>
        <v>RC_3T7</v>
      </c>
      <c r="G319" s="84" t="str">
        <f>Matrix_prices!G307</f>
        <v>RC_3T7</v>
      </c>
      <c r="H319" s="85" t="str">
        <f t="shared" si="14"/>
        <v>500-2500 MWh</v>
      </c>
      <c r="I319" s="84">
        <f>(Matrix_prices!I307+$D$2)*IF($M$2="Prices in $/MWh",1,1/1000)</f>
        <v>78.19</v>
      </c>
      <c r="J319" s="83">
        <f>(Matrix_prices!J307+$D$2)*IF($M$2="Prices in $/MWh",1,1/1000)</f>
        <v>76.489999999999995</v>
      </c>
      <c r="K319" s="84">
        <f>(Matrix_prices!K307+$D$2)*IF($M$2="Prices in $/MWh",1,1/1000)</f>
        <v>77.42</v>
      </c>
      <c r="L319" s="83">
        <f>(Matrix_prices!L307+$D$2)*IF($M$2="Prices in $/MWh",1,1/1000)</f>
        <v>35.36</v>
      </c>
      <c r="M319" s="84">
        <f>(Matrix_prices!M307+$D$2)*IF($M$2="Prices in $/MWh",1,1/1000)</f>
        <v>35.200000000000003</v>
      </c>
      <c r="N319" s="83">
        <f>(Matrix_prices!N307+$D$2)*IF($M$2="Prices in $/MWh",1,1/1000)</f>
        <v>35.479999999999997</v>
      </c>
    </row>
    <row r="320" spans="3:14" x14ac:dyDescent="0.25">
      <c r="C320" s="151">
        <f>Matrix_prices!C308</f>
        <v>42583</v>
      </c>
      <c r="D320" s="152" t="str">
        <f>Matrix_prices!D308</f>
        <v>MD</v>
      </c>
      <c r="E320" s="153" t="str">
        <f>Matrix_prices!E308</f>
        <v>PEPCO</v>
      </c>
      <c r="F320" s="152" t="str">
        <f>Matrix_prices!F308</f>
        <v>RC_3T7</v>
      </c>
      <c r="G320" s="153" t="str">
        <f>Matrix_prices!G308</f>
        <v>RC_3T7</v>
      </c>
      <c r="H320" s="157" t="str">
        <f t="shared" si="12"/>
        <v>0-100 MWh</v>
      </c>
      <c r="I320" s="153">
        <f>(Matrix_prices!I308+$D$2)*IF($M$2="Prices in $/MWh",1,1/1000)</f>
        <v>80.58</v>
      </c>
      <c r="J320" s="152">
        <f>(Matrix_prices!J308+$D$2)*IF($M$2="Prices in $/MWh",1,1/1000)</f>
        <v>79.48</v>
      </c>
      <c r="K320" s="153">
        <f>(Matrix_prices!K308+$D$2)*IF($M$2="Prices in $/MWh",1,1/1000)</f>
        <v>80.02</v>
      </c>
      <c r="L320" s="152">
        <f>(Matrix_prices!L308+$D$2)*IF($M$2="Prices in $/MWh",1,1/1000)</f>
        <v>38</v>
      </c>
      <c r="M320" s="153">
        <f>(Matrix_prices!M308+$D$2)*IF($M$2="Prices in $/MWh",1,1/1000)</f>
        <v>37.68</v>
      </c>
      <c r="N320" s="152">
        <f>(Matrix_prices!N308+$D$2)*IF($M$2="Prices in $/MWh",1,1/1000)</f>
        <v>38.17</v>
      </c>
    </row>
    <row r="321" spans="3:14" x14ac:dyDescent="0.25">
      <c r="C321" s="78">
        <f>Matrix_prices!C309</f>
        <v>42583</v>
      </c>
      <c r="D321" s="79" t="str">
        <f>Matrix_prices!D309</f>
        <v>MD</v>
      </c>
      <c r="E321" s="80" t="str">
        <f>Matrix_prices!E309</f>
        <v>PEPCO</v>
      </c>
      <c r="F321" s="79" t="str">
        <f>Matrix_prices!F309</f>
        <v>RC_3T7</v>
      </c>
      <c r="G321" s="80" t="str">
        <f>Matrix_prices!G309</f>
        <v>RC_3T7</v>
      </c>
      <c r="H321" s="81" t="str">
        <f t="shared" si="13"/>
        <v>100-500 MWh</v>
      </c>
      <c r="I321" s="80">
        <f>(Matrix_prices!I309+$D$2)*IF($M$2="Prices in $/MWh",1,1/1000)</f>
        <v>78.98</v>
      </c>
      <c r="J321" s="79">
        <f>(Matrix_prices!J309+$D$2)*IF($M$2="Prices in $/MWh",1,1/1000)</f>
        <v>77.88</v>
      </c>
      <c r="K321" s="80">
        <f>(Matrix_prices!K309+$D$2)*IF($M$2="Prices in $/MWh",1,1/1000)</f>
        <v>78.42</v>
      </c>
      <c r="L321" s="79">
        <f>(Matrix_prices!L309+$D$2)*IF($M$2="Prices in $/MWh",1,1/1000)</f>
        <v>36.4</v>
      </c>
      <c r="M321" s="80">
        <f>(Matrix_prices!M309+$D$2)*IF($M$2="Prices in $/MWh",1,1/1000)</f>
        <v>36.08</v>
      </c>
      <c r="N321" s="79">
        <f>(Matrix_prices!N309+$D$2)*IF($M$2="Prices in $/MWh",1,1/1000)</f>
        <v>36.57</v>
      </c>
    </row>
    <row r="322" spans="3:14" x14ac:dyDescent="0.25">
      <c r="C322" s="82">
        <f>Matrix_prices!C310</f>
        <v>42583</v>
      </c>
      <c r="D322" s="83" t="str">
        <f>Matrix_prices!D310</f>
        <v>MD</v>
      </c>
      <c r="E322" s="84" t="str">
        <f>Matrix_prices!E310</f>
        <v>PEPCO</v>
      </c>
      <c r="F322" s="83" t="str">
        <f>Matrix_prices!F310</f>
        <v>RC_3T7</v>
      </c>
      <c r="G322" s="84" t="str">
        <f>Matrix_prices!G310</f>
        <v>RC_3T7</v>
      </c>
      <c r="H322" s="85" t="str">
        <f t="shared" si="14"/>
        <v>500-2500 MWh</v>
      </c>
      <c r="I322" s="84">
        <f>(Matrix_prices!I310+$D$2)*IF($M$2="Prices in $/MWh",1,1/1000)</f>
        <v>77.930000000000007</v>
      </c>
      <c r="J322" s="83">
        <f>(Matrix_prices!J310+$D$2)*IF($M$2="Prices in $/MWh",1,1/1000)</f>
        <v>76.83</v>
      </c>
      <c r="K322" s="84">
        <f>(Matrix_prices!K310+$D$2)*IF($M$2="Prices in $/MWh",1,1/1000)</f>
        <v>77.37</v>
      </c>
      <c r="L322" s="83">
        <f>(Matrix_prices!L310+$D$2)*IF($M$2="Prices in $/MWh",1,1/1000)</f>
        <v>35.35</v>
      </c>
      <c r="M322" s="84">
        <f>(Matrix_prices!M310+$D$2)*IF($M$2="Prices in $/MWh",1,1/1000)</f>
        <v>35.03</v>
      </c>
      <c r="N322" s="83">
        <f>(Matrix_prices!N310+$D$2)*IF($M$2="Prices in $/MWh",1,1/1000)</f>
        <v>35.520000000000003</v>
      </c>
    </row>
    <row r="323" spans="3:14" x14ac:dyDescent="0.25">
      <c r="C323" s="74">
        <f>Matrix_prices!C311</f>
        <v>42614</v>
      </c>
      <c r="D323" s="75" t="str">
        <f>Matrix_prices!D311</f>
        <v>MD</v>
      </c>
      <c r="E323" s="76" t="str">
        <f>Matrix_prices!E311</f>
        <v>PEPCO</v>
      </c>
      <c r="F323" s="75" t="str">
        <f>Matrix_prices!F311</f>
        <v>RC_3T7</v>
      </c>
      <c r="G323" s="76" t="str">
        <f>Matrix_prices!G311</f>
        <v>RC_3T7</v>
      </c>
      <c r="H323" s="157" t="str">
        <f t="shared" si="12"/>
        <v>0-100 MWh</v>
      </c>
      <c r="I323" s="76">
        <f>(Matrix_prices!I311+$D$2)*IF($M$2="Prices in $/MWh",1,1/1000)</f>
        <v>80.349999999999994</v>
      </c>
      <c r="J323" s="75">
        <f>(Matrix_prices!J311+$D$2)*IF($M$2="Prices in $/MWh",1,1/1000)</f>
        <v>79.86</v>
      </c>
      <c r="K323" s="76">
        <f>(Matrix_prices!K311+$D$2)*IF($M$2="Prices in $/MWh",1,1/1000)</f>
        <v>79.959999999999994</v>
      </c>
      <c r="L323" s="75">
        <f>(Matrix_prices!L311+$D$2)*IF($M$2="Prices in $/MWh",1,1/1000)</f>
        <v>37.97</v>
      </c>
      <c r="M323" s="76">
        <f>(Matrix_prices!M311+$D$2)*IF($M$2="Prices in $/MWh",1,1/1000)</f>
        <v>37.69</v>
      </c>
      <c r="N323" s="75">
        <f>(Matrix_prices!N311+$D$2)*IF($M$2="Prices in $/MWh",1,1/1000)</f>
        <v>38.21</v>
      </c>
    </row>
    <row r="324" spans="3:14" x14ac:dyDescent="0.25">
      <c r="C324" s="78">
        <f>Matrix_prices!C312</f>
        <v>42614</v>
      </c>
      <c r="D324" s="79" t="str">
        <f>Matrix_prices!D312</f>
        <v>MD</v>
      </c>
      <c r="E324" s="80" t="str">
        <f>Matrix_prices!E312</f>
        <v>PEPCO</v>
      </c>
      <c r="F324" s="79" t="str">
        <f>Matrix_prices!F312</f>
        <v>RC_3T7</v>
      </c>
      <c r="G324" s="80" t="str">
        <f>Matrix_prices!G312</f>
        <v>RC_3T7</v>
      </c>
      <c r="H324" s="81" t="str">
        <f t="shared" si="13"/>
        <v>100-500 MWh</v>
      </c>
      <c r="I324" s="80">
        <f>(Matrix_prices!I312+$D$2)*IF($M$2="Prices in $/MWh",1,1/1000)</f>
        <v>78.75</v>
      </c>
      <c r="J324" s="79">
        <f>(Matrix_prices!J312+$D$2)*IF($M$2="Prices in $/MWh",1,1/1000)</f>
        <v>78.260000000000005</v>
      </c>
      <c r="K324" s="80">
        <f>(Matrix_prices!K312+$D$2)*IF($M$2="Prices in $/MWh",1,1/1000)</f>
        <v>78.36</v>
      </c>
      <c r="L324" s="79">
        <f>(Matrix_prices!L312+$D$2)*IF($M$2="Prices in $/MWh",1,1/1000)</f>
        <v>36.369999999999997</v>
      </c>
      <c r="M324" s="80">
        <f>(Matrix_prices!M312+$D$2)*IF($M$2="Prices in $/MWh",1,1/1000)</f>
        <v>36.090000000000003</v>
      </c>
      <c r="N324" s="79">
        <f>(Matrix_prices!N312+$D$2)*IF($M$2="Prices in $/MWh",1,1/1000)</f>
        <v>36.61</v>
      </c>
    </row>
    <row r="325" spans="3:14" x14ac:dyDescent="0.25">
      <c r="C325" s="82">
        <f>Matrix_prices!C313</f>
        <v>42614</v>
      </c>
      <c r="D325" s="83" t="str">
        <f>Matrix_prices!D313</f>
        <v>MD</v>
      </c>
      <c r="E325" s="84" t="str">
        <f>Matrix_prices!E313</f>
        <v>PEPCO</v>
      </c>
      <c r="F325" s="83" t="str">
        <f>Matrix_prices!F313</f>
        <v>RC_3T7</v>
      </c>
      <c r="G325" s="84" t="str">
        <f>Matrix_prices!G313</f>
        <v>RC_3T7</v>
      </c>
      <c r="H325" s="85" t="str">
        <f t="shared" si="14"/>
        <v>500-2500 MWh</v>
      </c>
      <c r="I325" s="84">
        <f>(Matrix_prices!I313+$D$2)*IF($M$2="Prices in $/MWh",1,1/1000)</f>
        <v>77.7</v>
      </c>
      <c r="J325" s="83">
        <f>(Matrix_prices!J313+$D$2)*IF($M$2="Prices in $/MWh",1,1/1000)</f>
        <v>77.209999999999994</v>
      </c>
      <c r="K325" s="84">
        <f>(Matrix_prices!K313+$D$2)*IF($M$2="Prices in $/MWh",1,1/1000)</f>
        <v>77.31</v>
      </c>
      <c r="L325" s="83">
        <f>(Matrix_prices!L313+$D$2)*IF($M$2="Prices in $/MWh",1,1/1000)</f>
        <v>35.32</v>
      </c>
      <c r="M325" s="84">
        <f>(Matrix_prices!M313+$D$2)*IF($M$2="Prices in $/MWh",1,1/1000)</f>
        <v>35.04</v>
      </c>
      <c r="N325" s="83">
        <f>(Matrix_prices!N313+$D$2)*IF($M$2="Prices in $/MWh",1,1/1000)</f>
        <v>35.56</v>
      </c>
    </row>
    <row r="326" spans="3:14" x14ac:dyDescent="0.25">
      <c r="C326" s="151">
        <f>Matrix_prices!C314</f>
        <v>42644</v>
      </c>
      <c r="D326" s="152" t="str">
        <f>Matrix_prices!D314</f>
        <v>MD</v>
      </c>
      <c r="E326" s="153" t="str">
        <f>Matrix_prices!E314</f>
        <v>PEPCO</v>
      </c>
      <c r="F326" s="152" t="str">
        <f>Matrix_prices!F314</f>
        <v>RC_3T7</v>
      </c>
      <c r="G326" s="153" t="str">
        <f>Matrix_prices!G314</f>
        <v>RC_3T7</v>
      </c>
      <c r="H326" s="157" t="str">
        <f t="shared" si="12"/>
        <v>0-100 MWh</v>
      </c>
      <c r="I326" s="153">
        <f>(Matrix_prices!I314+$D$2)*IF($M$2="Prices in $/MWh",1,1/1000)</f>
        <v>80.14</v>
      </c>
      <c r="J326" s="152">
        <f>(Matrix_prices!J314+$D$2)*IF($M$2="Prices in $/MWh",1,1/1000)</f>
        <v>80.2</v>
      </c>
      <c r="K326" s="153">
        <f>(Matrix_prices!K314+$D$2)*IF($M$2="Prices in $/MWh",1,1/1000)</f>
        <v>79.849999999999994</v>
      </c>
      <c r="L326" s="152">
        <f>(Matrix_prices!L314+$D$2)*IF($M$2="Prices in $/MWh",1,1/1000)</f>
        <v>37.93</v>
      </c>
      <c r="M326" s="153">
        <f>(Matrix_prices!M314+$D$2)*IF($M$2="Prices in $/MWh",1,1/1000)</f>
        <v>37.79</v>
      </c>
      <c r="N326" s="152">
        <f>(Matrix_prices!N314+$D$2)*IF($M$2="Prices in $/MWh",1,1/1000)</f>
        <v>38.24</v>
      </c>
    </row>
    <row r="327" spans="3:14" x14ac:dyDescent="0.25">
      <c r="C327" s="78">
        <f>Matrix_prices!C315</f>
        <v>42644</v>
      </c>
      <c r="D327" s="79" t="str">
        <f>Matrix_prices!D315</f>
        <v>MD</v>
      </c>
      <c r="E327" s="80" t="str">
        <f>Matrix_prices!E315</f>
        <v>PEPCO</v>
      </c>
      <c r="F327" s="79" t="str">
        <f>Matrix_prices!F315</f>
        <v>RC_3T7</v>
      </c>
      <c r="G327" s="80" t="str">
        <f>Matrix_prices!G315</f>
        <v>RC_3T7</v>
      </c>
      <c r="H327" s="81" t="str">
        <f t="shared" si="13"/>
        <v>100-500 MWh</v>
      </c>
      <c r="I327" s="80">
        <f>(Matrix_prices!I315+$D$2)*IF($M$2="Prices in $/MWh",1,1/1000)</f>
        <v>78.540000000000006</v>
      </c>
      <c r="J327" s="79">
        <f>(Matrix_prices!J315+$D$2)*IF($M$2="Prices in $/MWh",1,1/1000)</f>
        <v>78.599999999999994</v>
      </c>
      <c r="K327" s="80">
        <f>(Matrix_prices!K315+$D$2)*IF($M$2="Prices in $/MWh",1,1/1000)</f>
        <v>78.25</v>
      </c>
      <c r="L327" s="79">
        <f>(Matrix_prices!L315+$D$2)*IF($M$2="Prices in $/MWh",1,1/1000)</f>
        <v>36.33</v>
      </c>
      <c r="M327" s="80">
        <f>(Matrix_prices!M315+$D$2)*IF($M$2="Prices in $/MWh",1,1/1000)</f>
        <v>36.19</v>
      </c>
      <c r="N327" s="79">
        <f>(Matrix_prices!N315+$D$2)*IF($M$2="Prices in $/MWh",1,1/1000)</f>
        <v>36.64</v>
      </c>
    </row>
    <row r="328" spans="3:14" x14ac:dyDescent="0.25">
      <c r="C328" s="82">
        <f>Matrix_prices!C316</f>
        <v>42644</v>
      </c>
      <c r="D328" s="83" t="str">
        <f>Matrix_prices!D316</f>
        <v>MD</v>
      </c>
      <c r="E328" s="84" t="str">
        <f>Matrix_prices!E316</f>
        <v>PEPCO</v>
      </c>
      <c r="F328" s="83" t="str">
        <f>Matrix_prices!F316</f>
        <v>RC_3T7</v>
      </c>
      <c r="G328" s="84" t="str">
        <f>Matrix_prices!G316</f>
        <v>RC_3T7</v>
      </c>
      <c r="H328" s="85" t="str">
        <f t="shared" si="14"/>
        <v>500-2500 MWh</v>
      </c>
      <c r="I328" s="84">
        <f>(Matrix_prices!I316+$D$2)*IF($M$2="Prices in $/MWh",1,1/1000)</f>
        <v>77.489999999999995</v>
      </c>
      <c r="J328" s="83">
        <f>(Matrix_prices!J316+$D$2)*IF($M$2="Prices in $/MWh",1,1/1000)</f>
        <v>77.55</v>
      </c>
      <c r="K328" s="84">
        <f>(Matrix_prices!K316+$D$2)*IF($M$2="Prices in $/MWh",1,1/1000)</f>
        <v>77.2</v>
      </c>
      <c r="L328" s="83">
        <f>(Matrix_prices!L316+$D$2)*IF($M$2="Prices in $/MWh",1,1/1000)</f>
        <v>35.28</v>
      </c>
      <c r="M328" s="84">
        <f>(Matrix_prices!M316+$D$2)*IF($M$2="Prices in $/MWh",1,1/1000)</f>
        <v>35.14</v>
      </c>
      <c r="N328" s="83">
        <f>(Matrix_prices!N316+$D$2)*IF($M$2="Prices in $/MWh",1,1/1000)</f>
        <v>35.590000000000003</v>
      </c>
    </row>
    <row r="329" spans="3:14" x14ac:dyDescent="0.25">
      <c r="C329" s="74">
        <f>Matrix_prices!C317</f>
        <v>42675</v>
      </c>
      <c r="D329" s="75" t="str">
        <f>Matrix_prices!D317</f>
        <v>MD</v>
      </c>
      <c r="E329" s="76" t="str">
        <f>Matrix_prices!E317</f>
        <v>PEPCO</v>
      </c>
      <c r="F329" s="75" t="str">
        <f>Matrix_prices!F317</f>
        <v>RC_3T7</v>
      </c>
      <c r="G329" s="76" t="str">
        <f>Matrix_prices!G317</f>
        <v>RC_3T7</v>
      </c>
      <c r="H329" s="157" t="str">
        <f t="shared" si="12"/>
        <v>0-100 MWh</v>
      </c>
      <c r="I329" s="76">
        <f>(Matrix_prices!I317+$D$2)*IF($M$2="Prices in $/MWh",1,1/1000)</f>
        <v>79.87</v>
      </c>
      <c r="J329" s="75">
        <f>(Matrix_prices!J317+$D$2)*IF($M$2="Prices in $/MWh",1,1/1000)</f>
        <v>80.47</v>
      </c>
      <c r="K329" s="76">
        <f>(Matrix_prices!K317+$D$2)*IF($M$2="Prices in $/MWh",1,1/1000)</f>
        <v>79.77</v>
      </c>
      <c r="L329" s="75">
        <f>(Matrix_prices!L317+$D$2)*IF($M$2="Prices in $/MWh",1,1/1000)</f>
        <v>37.89</v>
      </c>
      <c r="M329" s="76">
        <f>(Matrix_prices!M317+$D$2)*IF($M$2="Prices in $/MWh",1,1/1000)</f>
        <v>37.97</v>
      </c>
      <c r="N329" s="75">
        <f>(Matrix_prices!N317+$D$2)*IF($M$2="Prices in $/MWh",1,1/1000)</f>
        <v>38.29</v>
      </c>
    </row>
    <row r="330" spans="3:14" x14ac:dyDescent="0.25">
      <c r="C330" s="78">
        <f>Matrix_prices!C318</f>
        <v>42675</v>
      </c>
      <c r="D330" s="79" t="str">
        <f>Matrix_prices!D318</f>
        <v>MD</v>
      </c>
      <c r="E330" s="80" t="str">
        <f>Matrix_prices!E318</f>
        <v>PEPCO</v>
      </c>
      <c r="F330" s="79" t="str">
        <f>Matrix_prices!F318</f>
        <v>RC_3T7</v>
      </c>
      <c r="G330" s="80" t="str">
        <f>Matrix_prices!G318</f>
        <v>RC_3T7</v>
      </c>
      <c r="H330" s="81" t="str">
        <f t="shared" si="13"/>
        <v>100-500 MWh</v>
      </c>
      <c r="I330" s="80">
        <f>(Matrix_prices!I318+$D$2)*IF($M$2="Prices in $/MWh",1,1/1000)</f>
        <v>78.27</v>
      </c>
      <c r="J330" s="79">
        <f>(Matrix_prices!J318+$D$2)*IF($M$2="Prices in $/MWh",1,1/1000)</f>
        <v>78.87</v>
      </c>
      <c r="K330" s="80">
        <f>(Matrix_prices!K318+$D$2)*IF($M$2="Prices in $/MWh",1,1/1000)</f>
        <v>78.17</v>
      </c>
      <c r="L330" s="79">
        <f>(Matrix_prices!L318+$D$2)*IF($M$2="Prices in $/MWh",1,1/1000)</f>
        <v>36.29</v>
      </c>
      <c r="M330" s="80">
        <f>(Matrix_prices!M318+$D$2)*IF($M$2="Prices in $/MWh",1,1/1000)</f>
        <v>36.369999999999997</v>
      </c>
      <c r="N330" s="79">
        <f>(Matrix_prices!N318+$D$2)*IF($M$2="Prices in $/MWh",1,1/1000)</f>
        <v>36.69</v>
      </c>
    </row>
    <row r="331" spans="3:14" x14ac:dyDescent="0.25">
      <c r="C331" s="82">
        <f>Matrix_prices!C319</f>
        <v>42675</v>
      </c>
      <c r="D331" s="83" t="str">
        <f>Matrix_prices!D319</f>
        <v>MD</v>
      </c>
      <c r="E331" s="84" t="str">
        <f>Matrix_prices!E319</f>
        <v>PEPCO</v>
      </c>
      <c r="F331" s="83" t="str">
        <f>Matrix_prices!F319</f>
        <v>RC_3T7</v>
      </c>
      <c r="G331" s="84" t="str">
        <f>Matrix_prices!G319</f>
        <v>RC_3T7</v>
      </c>
      <c r="H331" s="85" t="str">
        <f t="shared" si="14"/>
        <v>500-2500 MWh</v>
      </c>
      <c r="I331" s="84">
        <f>(Matrix_prices!I319+$D$2)*IF($M$2="Prices in $/MWh",1,1/1000)</f>
        <v>77.22</v>
      </c>
      <c r="J331" s="83">
        <f>(Matrix_prices!J319+$D$2)*IF($M$2="Prices in $/MWh",1,1/1000)</f>
        <v>77.819999999999993</v>
      </c>
      <c r="K331" s="84">
        <f>(Matrix_prices!K319+$D$2)*IF($M$2="Prices in $/MWh",1,1/1000)</f>
        <v>77.12</v>
      </c>
      <c r="L331" s="83">
        <f>(Matrix_prices!L319+$D$2)*IF($M$2="Prices in $/MWh",1,1/1000)</f>
        <v>35.24</v>
      </c>
      <c r="M331" s="84">
        <f>(Matrix_prices!M319+$D$2)*IF($M$2="Prices in $/MWh",1,1/1000)</f>
        <v>35.32</v>
      </c>
      <c r="N331" s="83">
        <f>(Matrix_prices!N319+$D$2)*IF($M$2="Prices in $/MWh",1,1/1000)</f>
        <v>35.64</v>
      </c>
    </row>
    <row r="332" spans="3:14" x14ac:dyDescent="0.25">
      <c r="C332" s="151">
        <f>Matrix_prices!C320</f>
        <v>42705</v>
      </c>
      <c r="D332" s="152" t="str">
        <f>Matrix_prices!D320</f>
        <v>MD</v>
      </c>
      <c r="E332" s="153" t="str">
        <f>Matrix_prices!E320</f>
        <v>PEPCO</v>
      </c>
      <c r="F332" s="152" t="str">
        <f>Matrix_prices!F320</f>
        <v>RC_3T7</v>
      </c>
      <c r="G332" s="153" t="str">
        <f>Matrix_prices!G320</f>
        <v>RC_3T7</v>
      </c>
      <c r="H332" s="157" t="str">
        <f t="shared" si="12"/>
        <v>0-100 MWh</v>
      </c>
      <c r="I332" s="153">
        <f>(Matrix_prices!I320+$D$2)*IF($M$2="Prices in $/MWh",1,1/1000)</f>
        <v>79.84</v>
      </c>
      <c r="J332" s="152">
        <f>(Matrix_prices!J320+$D$2)*IF($M$2="Prices in $/MWh",1,1/1000)</f>
        <v>80.59</v>
      </c>
      <c r="K332" s="153">
        <f>(Matrix_prices!K320+$D$2)*IF($M$2="Prices in $/MWh",1,1/1000)</f>
        <v>79.760000000000005</v>
      </c>
      <c r="L332" s="152">
        <f>(Matrix_prices!L320+$D$2)*IF($M$2="Prices in $/MWh",1,1/1000)</f>
        <v>38.06</v>
      </c>
      <c r="M332" s="153">
        <f>(Matrix_prices!M320+$D$2)*IF($M$2="Prices in $/MWh",1,1/1000)</f>
        <v>38.090000000000003</v>
      </c>
      <c r="N332" s="152">
        <f>(Matrix_prices!N320+$D$2)*IF($M$2="Prices in $/MWh",1,1/1000)</f>
        <v>38.409999999999997</v>
      </c>
    </row>
    <row r="333" spans="3:14" x14ac:dyDescent="0.25">
      <c r="C333" s="78">
        <f>Matrix_prices!C321</f>
        <v>42705</v>
      </c>
      <c r="D333" s="79" t="str">
        <f>Matrix_prices!D321</f>
        <v>MD</v>
      </c>
      <c r="E333" s="80" t="str">
        <f>Matrix_prices!E321</f>
        <v>PEPCO</v>
      </c>
      <c r="F333" s="79" t="str">
        <f>Matrix_prices!F321</f>
        <v>RC_3T7</v>
      </c>
      <c r="G333" s="80" t="str">
        <f>Matrix_prices!G321</f>
        <v>RC_3T7</v>
      </c>
      <c r="H333" s="81" t="str">
        <f t="shared" si="13"/>
        <v>100-500 MWh</v>
      </c>
      <c r="I333" s="80">
        <f>(Matrix_prices!I321+$D$2)*IF($M$2="Prices in $/MWh",1,1/1000)</f>
        <v>78.239999999999995</v>
      </c>
      <c r="J333" s="79">
        <f>(Matrix_prices!J321+$D$2)*IF($M$2="Prices in $/MWh",1,1/1000)</f>
        <v>78.989999999999995</v>
      </c>
      <c r="K333" s="80">
        <f>(Matrix_prices!K321+$D$2)*IF($M$2="Prices in $/MWh",1,1/1000)</f>
        <v>78.16</v>
      </c>
      <c r="L333" s="79">
        <f>(Matrix_prices!L321+$D$2)*IF($M$2="Prices in $/MWh",1,1/1000)</f>
        <v>36.46</v>
      </c>
      <c r="M333" s="80">
        <f>(Matrix_prices!M321+$D$2)*IF($M$2="Prices in $/MWh",1,1/1000)</f>
        <v>36.49</v>
      </c>
      <c r="N333" s="79">
        <f>(Matrix_prices!N321+$D$2)*IF($M$2="Prices in $/MWh",1,1/1000)</f>
        <v>36.81</v>
      </c>
    </row>
    <row r="334" spans="3:14" x14ac:dyDescent="0.25">
      <c r="C334" s="82">
        <f>Matrix_prices!C322</f>
        <v>42705</v>
      </c>
      <c r="D334" s="83" t="str">
        <f>Matrix_prices!D322</f>
        <v>MD</v>
      </c>
      <c r="E334" s="84" t="str">
        <f>Matrix_prices!E322</f>
        <v>PEPCO</v>
      </c>
      <c r="F334" s="83" t="str">
        <f>Matrix_prices!F322</f>
        <v>RC_3T7</v>
      </c>
      <c r="G334" s="84" t="str">
        <f>Matrix_prices!G322</f>
        <v>RC_3T7</v>
      </c>
      <c r="H334" s="85" t="str">
        <f t="shared" si="14"/>
        <v>500-2500 MWh</v>
      </c>
      <c r="I334" s="84">
        <f>(Matrix_prices!I322+$D$2)*IF($M$2="Prices in $/MWh",1,1/1000)</f>
        <v>77.19</v>
      </c>
      <c r="J334" s="83">
        <f>(Matrix_prices!J322+$D$2)*IF($M$2="Prices in $/MWh",1,1/1000)</f>
        <v>77.94</v>
      </c>
      <c r="K334" s="84">
        <f>(Matrix_prices!K322+$D$2)*IF($M$2="Prices in $/MWh",1,1/1000)</f>
        <v>77.11</v>
      </c>
      <c r="L334" s="83">
        <f>(Matrix_prices!L322+$D$2)*IF($M$2="Prices in $/MWh",1,1/1000)</f>
        <v>35.409999999999997</v>
      </c>
      <c r="M334" s="84">
        <f>(Matrix_prices!M322+$D$2)*IF($M$2="Prices in $/MWh",1,1/1000)</f>
        <v>35.44</v>
      </c>
      <c r="N334" s="83">
        <f>(Matrix_prices!N322+$D$2)*IF($M$2="Prices in $/MWh",1,1/1000)</f>
        <v>35.76</v>
      </c>
    </row>
    <row r="335" spans="3:14" x14ac:dyDescent="0.25">
      <c r="C335" s="74">
        <f>Matrix_prices!C323</f>
        <v>42736</v>
      </c>
      <c r="D335" s="75" t="str">
        <f>Matrix_prices!D323</f>
        <v>MD</v>
      </c>
      <c r="E335" s="76" t="str">
        <f>Matrix_prices!E323</f>
        <v>PEPCO</v>
      </c>
      <c r="F335" s="75" t="str">
        <f>Matrix_prices!F323</f>
        <v>RC_3T7</v>
      </c>
      <c r="G335" s="76" t="str">
        <f>Matrix_prices!G323</f>
        <v>RC_3T7</v>
      </c>
      <c r="H335" s="157" t="str">
        <f t="shared" ref="H335:H398" si="15">IF($M$2="Prices in $/MWh","0-100 MWh","0-100,000 kWh")</f>
        <v>0-100 MWh</v>
      </c>
      <c r="I335" s="76">
        <f>(Matrix_prices!I323+$D$2)*IF($M$2="Prices in $/MWh",1,1/1000)</f>
        <v>79.650000000000006</v>
      </c>
      <c r="J335" s="75">
        <f>(Matrix_prices!J323+$D$2)*IF($M$2="Prices in $/MWh",1,1/1000)</f>
        <v>80.73</v>
      </c>
      <c r="K335" s="76">
        <f>(Matrix_prices!K323+$D$2)*IF($M$2="Prices in $/MWh",1,1/1000)</f>
        <v>79.77</v>
      </c>
      <c r="L335" s="75">
        <f>(Matrix_prices!L323+$D$2)*IF($M$2="Prices in $/MWh",1,1/1000)</f>
        <v>38.04</v>
      </c>
      <c r="M335" s="76">
        <f>(Matrix_prices!M323+$D$2)*IF($M$2="Prices in $/MWh",1,1/1000)</f>
        <v>38.340000000000003</v>
      </c>
      <c r="N335" s="75">
        <f>(Matrix_prices!N323+$D$2)*IF($M$2="Prices in $/MWh",1,1/1000)</f>
        <v>38.47</v>
      </c>
    </row>
    <row r="336" spans="3:14" x14ac:dyDescent="0.25">
      <c r="C336" s="78">
        <f>Matrix_prices!C324</f>
        <v>42736</v>
      </c>
      <c r="D336" s="79" t="str">
        <f>Matrix_prices!D324</f>
        <v>MD</v>
      </c>
      <c r="E336" s="80" t="str">
        <f>Matrix_prices!E324</f>
        <v>PEPCO</v>
      </c>
      <c r="F336" s="79" t="str">
        <f>Matrix_prices!F324</f>
        <v>RC_3T7</v>
      </c>
      <c r="G336" s="80" t="str">
        <f>Matrix_prices!G324</f>
        <v>RC_3T7</v>
      </c>
      <c r="H336" s="81" t="str">
        <f t="shared" ref="H336:H399" si="16">IF($M$2="Prices in $/MWh","100-500 MWh","100,000-500,000 kWh")</f>
        <v>100-500 MWh</v>
      </c>
      <c r="I336" s="80">
        <f>(Matrix_prices!I324+$D$2)*IF($M$2="Prices in $/MWh",1,1/1000)</f>
        <v>78.05</v>
      </c>
      <c r="J336" s="79">
        <f>(Matrix_prices!J324+$D$2)*IF($M$2="Prices in $/MWh",1,1/1000)</f>
        <v>79.13</v>
      </c>
      <c r="K336" s="80">
        <f>(Matrix_prices!K324+$D$2)*IF($M$2="Prices in $/MWh",1,1/1000)</f>
        <v>78.17</v>
      </c>
      <c r="L336" s="79">
        <f>(Matrix_prices!L324+$D$2)*IF($M$2="Prices in $/MWh",1,1/1000)</f>
        <v>36.44</v>
      </c>
      <c r="M336" s="80">
        <f>(Matrix_prices!M324+$D$2)*IF($M$2="Prices in $/MWh",1,1/1000)</f>
        <v>36.74</v>
      </c>
      <c r="N336" s="79">
        <f>(Matrix_prices!N324+$D$2)*IF($M$2="Prices in $/MWh",1,1/1000)</f>
        <v>36.869999999999997</v>
      </c>
    </row>
    <row r="337" spans="3:14" x14ac:dyDescent="0.25">
      <c r="C337" s="82">
        <f>Matrix_prices!C325</f>
        <v>42736</v>
      </c>
      <c r="D337" s="83" t="str">
        <f>Matrix_prices!D325</f>
        <v>MD</v>
      </c>
      <c r="E337" s="84" t="str">
        <f>Matrix_prices!E325</f>
        <v>PEPCO</v>
      </c>
      <c r="F337" s="83" t="str">
        <f>Matrix_prices!F325</f>
        <v>RC_3T7</v>
      </c>
      <c r="G337" s="84" t="str">
        <f>Matrix_prices!G325</f>
        <v>RC_3T7</v>
      </c>
      <c r="H337" s="85" t="str">
        <f t="shared" ref="H337:H400" si="17">IF($M$2="Prices in $/MWh","500-2500 MWh","500,000-2,500,000 kWh")</f>
        <v>500-2500 MWh</v>
      </c>
      <c r="I337" s="84">
        <f>(Matrix_prices!I325+$D$2)*IF($M$2="Prices in $/MWh",1,1/1000)</f>
        <v>77</v>
      </c>
      <c r="J337" s="83">
        <f>(Matrix_prices!J325+$D$2)*IF($M$2="Prices in $/MWh",1,1/1000)</f>
        <v>78.08</v>
      </c>
      <c r="K337" s="84">
        <f>(Matrix_prices!K325+$D$2)*IF($M$2="Prices in $/MWh",1,1/1000)</f>
        <v>77.12</v>
      </c>
      <c r="L337" s="83">
        <f>(Matrix_prices!L325+$D$2)*IF($M$2="Prices in $/MWh",1,1/1000)</f>
        <v>35.39</v>
      </c>
      <c r="M337" s="84">
        <f>(Matrix_prices!M325+$D$2)*IF($M$2="Prices in $/MWh",1,1/1000)</f>
        <v>35.69</v>
      </c>
      <c r="N337" s="83">
        <f>(Matrix_prices!N325+$D$2)*IF($M$2="Prices in $/MWh",1,1/1000)</f>
        <v>35.82</v>
      </c>
    </row>
    <row r="338" spans="3:14" x14ac:dyDescent="0.25">
      <c r="C338" s="151">
        <f>Matrix_prices!C326</f>
        <v>42401</v>
      </c>
      <c r="D338" s="152" t="str">
        <f>Matrix_prices!D326</f>
        <v>MD</v>
      </c>
      <c r="E338" s="153" t="str">
        <f>Matrix_prices!E326</f>
        <v>Potomac Edison</v>
      </c>
      <c r="F338" s="152" t="str">
        <f>Matrix_prices!F326</f>
        <v>GS</v>
      </c>
      <c r="G338" s="153" t="str">
        <f>Matrix_prices!G326</f>
        <v>General Service Small</v>
      </c>
      <c r="H338" s="157" t="str">
        <f t="shared" si="15"/>
        <v>0-100 MWh</v>
      </c>
      <c r="I338" s="153">
        <f>(Matrix_prices!I326+$D$2)*IF($M$2="Prices in $/MWh",1,1/1000)</f>
        <v>71</v>
      </c>
      <c r="J338" s="152">
        <f>(Matrix_prices!J326+$D$2)*IF($M$2="Prices in $/MWh",1,1/1000)</f>
        <v>71.36</v>
      </c>
      <c r="K338" s="153">
        <f>(Matrix_prices!K326+$D$2)*IF($M$2="Prices in $/MWh",1,1/1000)</f>
        <v>72.84</v>
      </c>
      <c r="L338" s="152">
        <f>(Matrix_prices!L326+$D$2)*IF($M$2="Prices in $/MWh",1,1/1000)</f>
        <v>30.55</v>
      </c>
      <c r="M338" s="153">
        <f>(Matrix_prices!M326+$D$2)*IF($M$2="Prices in $/MWh",1,1/1000)</f>
        <v>30.55</v>
      </c>
      <c r="N338" s="152">
        <f>(Matrix_prices!N326+$D$2)*IF($M$2="Prices in $/MWh",1,1/1000)</f>
        <v>32.369999999999997</v>
      </c>
    </row>
    <row r="339" spans="3:14" x14ac:dyDescent="0.25">
      <c r="C339" s="78">
        <f>Matrix_prices!C327</f>
        <v>42401</v>
      </c>
      <c r="D339" s="79" t="str">
        <f>Matrix_prices!D327</f>
        <v>MD</v>
      </c>
      <c r="E339" s="80" t="str">
        <f>Matrix_prices!E327</f>
        <v>Potomac Edison</v>
      </c>
      <c r="F339" s="79" t="str">
        <f>Matrix_prices!F327</f>
        <v>GS</v>
      </c>
      <c r="G339" s="80" t="str">
        <f>Matrix_prices!G327</f>
        <v>General Service Small</v>
      </c>
      <c r="H339" s="81" t="str">
        <f t="shared" si="16"/>
        <v>100-500 MWh</v>
      </c>
      <c r="I339" s="80">
        <f>(Matrix_prices!I327+$D$2)*IF($M$2="Prices in $/MWh",1,1/1000)</f>
        <v>69.400000000000006</v>
      </c>
      <c r="J339" s="79">
        <f>(Matrix_prices!J327+$D$2)*IF($M$2="Prices in $/MWh",1,1/1000)</f>
        <v>69.760000000000005</v>
      </c>
      <c r="K339" s="80">
        <f>(Matrix_prices!K327+$D$2)*IF($M$2="Prices in $/MWh",1,1/1000)</f>
        <v>71.239999999999995</v>
      </c>
      <c r="L339" s="79">
        <f>(Matrix_prices!L327+$D$2)*IF($M$2="Prices in $/MWh",1,1/1000)</f>
        <v>28.95</v>
      </c>
      <c r="M339" s="80">
        <f>(Matrix_prices!M327+$D$2)*IF($M$2="Prices in $/MWh",1,1/1000)</f>
        <v>28.95</v>
      </c>
      <c r="N339" s="79">
        <f>(Matrix_prices!N327+$D$2)*IF($M$2="Prices in $/MWh",1,1/1000)</f>
        <v>30.77</v>
      </c>
    </row>
    <row r="340" spans="3:14" x14ac:dyDescent="0.25">
      <c r="C340" s="82">
        <f>Matrix_prices!C328</f>
        <v>42401</v>
      </c>
      <c r="D340" s="83" t="str">
        <f>Matrix_prices!D328</f>
        <v>MD</v>
      </c>
      <c r="E340" s="84" t="str">
        <f>Matrix_prices!E328</f>
        <v>Potomac Edison</v>
      </c>
      <c r="F340" s="83" t="str">
        <f>Matrix_prices!F328</f>
        <v>GS</v>
      </c>
      <c r="G340" s="84" t="str">
        <f>Matrix_prices!G328</f>
        <v>General Service Small</v>
      </c>
      <c r="H340" s="85" t="str">
        <f t="shared" si="17"/>
        <v>500-2500 MWh</v>
      </c>
      <c r="I340" s="84">
        <f>(Matrix_prices!I328+$D$2)*IF($M$2="Prices in $/MWh",1,1/1000)</f>
        <v>68.349999999999994</v>
      </c>
      <c r="J340" s="83">
        <f>(Matrix_prices!J328+$D$2)*IF($M$2="Prices in $/MWh",1,1/1000)</f>
        <v>68.709999999999994</v>
      </c>
      <c r="K340" s="84">
        <f>(Matrix_prices!K328+$D$2)*IF($M$2="Prices in $/MWh",1,1/1000)</f>
        <v>70.19</v>
      </c>
      <c r="L340" s="83">
        <f>(Matrix_prices!L328+$D$2)*IF($M$2="Prices in $/MWh",1,1/1000)</f>
        <v>27.9</v>
      </c>
      <c r="M340" s="84">
        <f>(Matrix_prices!M328+$D$2)*IF($M$2="Prices in $/MWh",1,1/1000)</f>
        <v>27.9</v>
      </c>
      <c r="N340" s="83">
        <f>(Matrix_prices!N328+$D$2)*IF($M$2="Prices in $/MWh",1,1/1000)</f>
        <v>29.72</v>
      </c>
    </row>
    <row r="341" spans="3:14" x14ac:dyDescent="0.25">
      <c r="C341" s="74">
        <f>Matrix_prices!C329</f>
        <v>42430</v>
      </c>
      <c r="D341" s="75" t="str">
        <f>Matrix_prices!D329</f>
        <v>MD</v>
      </c>
      <c r="E341" s="76" t="str">
        <f>Matrix_prices!E329</f>
        <v>Potomac Edison</v>
      </c>
      <c r="F341" s="75" t="str">
        <f>Matrix_prices!F329</f>
        <v>GS</v>
      </c>
      <c r="G341" s="76" t="str">
        <f>Matrix_prices!G329</f>
        <v>General Service Small</v>
      </c>
      <c r="H341" s="157" t="str">
        <f t="shared" si="15"/>
        <v>0-100 MWh</v>
      </c>
      <c r="I341" s="76">
        <f>(Matrix_prices!I329+$D$2)*IF($M$2="Prices in $/MWh",1,1/1000)</f>
        <v>71.27</v>
      </c>
      <c r="J341" s="75">
        <f>(Matrix_prices!J329+$D$2)*IF($M$2="Prices in $/MWh",1,1/1000)</f>
        <v>71.63</v>
      </c>
      <c r="K341" s="76">
        <f>(Matrix_prices!K329+$D$2)*IF($M$2="Prices in $/MWh",1,1/1000)</f>
        <v>73.19</v>
      </c>
      <c r="L341" s="75">
        <f>(Matrix_prices!L329+$D$2)*IF($M$2="Prices in $/MWh",1,1/1000)</f>
        <v>30.39</v>
      </c>
      <c r="M341" s="76">
        <f>(Matrix_prices!M329+$D$2)*IF($M$2="Prices in $/MWh",1,1/1000)</f>
        <v>30.94</v>
      </c>
      <c r="N341" s="75">
        <f>(Matrix_prices!N329+$D$2)*IF($M$2="Prices in $/MWh",1,1/1000)</f>
        <v>32.58</v>
      </c>
    </row>
    <row r="342" spans="3:14" x14ac:dyDescent="0.25">
      <c r="C342" s="78">
        <f>Matrix_prices!C330</f>
        <v>42430</v>
      </c>
      <c r="D342" s="79" t="str">
        <f>Matrix_prices!D330</f>
        <v>MD</v>
      </c>
      <c r="E342" s="80" t="str">
        <f>Matrix_prices!E330</f>
        <v>Potomac Edison</v>
      </c>
      <c r="F342" s="79" t="str">
        <f>Matrix_prices!F330</f>
        <v>GS</v>
      </c>
      <c r="G342" s="80" t="str">
        <f>Matrix_prices!G330</f>
        <v>General Service Small</v>
      </c>
      <c r="H342" s="81" t="str">
        <f t="shared" si="16"/>
        <v>100-500 MWh</v>
      </c>
      <c r="I342" s="80">
        <f>(Matrix_prices!I330+$D$2)*IF($M$2="Prices in $/MWh",1,1/1000)</f>
        <v>69.67</v>
      </c>
      <c r="J342" s="79">
        <f>(Matrix_prices!J330+$D$2)*IF($M$2="Prices in $/MWh",1,1/1000)</f>
        <v>70.03</v>
      </c>
      <c r="K342" s="80">
        <f>(Matrix_prices!K330+$D$2)*IF($M$2="Prices in $/MWh",1,1/1000)</f>
        <v>71.59</v>
      </c>
      <c r="L342" s="79">
        <f>(Matrix_prices!L330+$D$2)*IF($M$2="Prices in $/MWh",1,1/1000)</f>
        <v>28.79</v>
      </c>
      <c r="M342" s="80">
        <f>(Matrix_prices!M330+$D$2)*IF($M$2="Prices in $/MWh",1,1/1000)</f>
        <v>29.34</v>
      </c>
      <c r="N342" s="79">
        <f>(Matrix_prices!N330+$D$2)*IF($M$2="Prices in $/MWh",1,1/1000)</f>
        <v>30.98</v>
      </c>
    </row>
    <row r="343" spans="3:14" x14ac:dyDescent="0.25">
      <c r="C343" s="82">
        <f>Matrix_prices!C331</f>
        <v>42430</v>
      </c>
      <c r="D343" s="83" t="str">
        <f>Matrix_prices!D331</f>
        <v>MD</v>
      </c>
      <c r="E343" s="84" t="str">
        <f>Matrix_prices!E331</f>
        <v>Potomac Edison</v>
      </c>
      <c r="F343" s="83" t="str">
        <f>Matrix_prices!F331</f>
        <v>GS</v>
      </c>
      <c r="G343" s="84" t="str">
        <f>Matrix_prices!G331</f>
        <v>General Service Small</v>
      </c>
      <c r="H343" s="85" t="str">
        <f t="shared" si="17"/>
        <v>500-2500 MWh</v>
      </c>
      <c r="I343" s="84">
        <f>(Matrix_prices!I331+$D$2)*IF($M$2="Prices in $/MWh",1,1/1000)</f>
        <v>68.62</v>
      </c>
      <c r="J343" s="83">
        <f>(Matrix_prices!J331+$D$2)*IF($M$2="Prices in $/MWh",1,1/1000)</f>
        <v>68.98</v>
      </c>
      <c r="K343" s="84">
        <f>(Matrix_prices!K331+$D$2)*IF($M$2="Prices in $/MWh",1,1/1000)</f>
        <v>70.540000000000006</v>
      </c>
      <c r="L343" s="83">
        <f>(Matrix_prices!L331+$D$2)*IF($M$2="Prices in $/MWh",1,1/1000)</f>
        <v>27.74</v>
      </c>
      <c r="M343" s="84">
        <f>(Matrix_prices!M331+$D$2)*IF($M$2="Prices in $/MWh",1,1/1000)</f>
        <v>28.29</v>
      </c>
      <c r="N343" s="83">
        <f>(Matrix_prices!N331+$D$2)*IF($M$2="Prices in $/MWh",1,1/1000)</f>
        <v>29.93</v>
      </c>
    </row>
    <row r="344" spans="3:14" x14ac:dyDescent="0.25">
      <c r="C344" s="151">
        <f>Matrix_prices!C332</f>
        <v>42461</v>
      </c>
      <c r="D344" s="152" t="str">
        <f>Matrix_prices!D332</f>
        <v>MD</v>
      </c>
      <c r="E344" s="153" t="str">
        <f>Matrix_prices!E332</f>
        <v>Potomac Edison</v>
      </c>
      <c r="F344" s="152" t="str">
        <f>Matrix_prices!F332</f>
        <v>GS</v>
      </c>
      <c r="G344" s="153" t="str">
        <f>Matrix_prices!G332</f>
        <v>General Service Small</v>
      </c>
      <c r="H344" s="157" t="str">
        <f t="shared" si="15"/>
        <v>0-100 MWh</v>
      </c>
      <c r="I344" s="153">
        <f>(Matrix_prices!I332+$D$2)*IF($M$2="Prices in $/MWh",1,1/1000)</f>
        <v>71.290000000000006</v>
      </c>
      <c r="J344" s="152">
        <f>(Matrix_prices!J332+$D$2)*IF($M$2="Prices in $/MWh",1,1/1000)</f>
        <v>72.02</v>
      </c>
      <c r="K344" s="153">
        <f>(Matrix_prices!K332+$D$2)*IF($M$2="Prices in $/MWh",1,1/1000)</f>
        <v>73.44</v>
      </c>
      <c r="L344" s="152">
        <f>(Matrix_prices!L332+$D$2)*IF($M$2="Prices in $/MWh",1,1/1000)</f>
        <v>30.17</v>
      </c>
      <c r="M344" s="153">
        <f>(Matrix_prices!M332+$D$2)*IF($M$2="Prices in $/MWh",1,1/1000)</f>
        <v>31.53</v>
      </c>
      <c r="N344" s="152">
        <f>(Matrix_prices!N332+$D$2)*IF($M$2="Prices in $/MWh",1,1/1000)</f>
        <v>32.79</v>
      </c>
    </row>
    <row r="345" spans="3:14" x14ac:dyDescent="0.25">
      <c r="C345" s="78">
        <f>Matrix_prices!C333</f>
        <v>42461</v>
      </c>
      <c r="D345" s="79" t="str">
        <f>Matrix_prices!D333</f>
        <v>MD</v>
      </c>
      <c r="E345" s="80" t="str">
        <f>Matrix_prices!E333</f>
        <v>Potomac Edison</v>
      </c>
      <c r="F345" s="79" t="str">
        <f>Matrix_prices!F333</f>
        <v>GS</v>
      </c>
      <c r="G345" s="80" t="str">
        <f>Matrix_prices!G333</f>
        <v>General Service Small</v>
      </c>
      <c r="H345" s="81" t="str">
        <f t="shared" si="16"/>
        <v>100-500 MWh</v>
      </c>
      <c r="I345" s="80">
        <f>(Matrix_prices!I333+$D$2)*IF($M$2="Prices in $/MWh",1,1/1000)</f>
        <v>69.69</v>
      </c>
      <c r="J345" s="79">
        <f>(Matrix_prices!J333+$D$2)*IF($M$2="Prices in $/MWh",1,1/1000)</f>
        <v>70.42</v>
      </c>
      <c r="K345" s="80">
        <f>(Matrix_prices!K333+$D$2)*IF($M$2="Prices in $/MWh",1,1/1000)</f>
        <v>71.84</v>
      </c>
      <c r="L345" s="79">
        <f>(Matrix_prices!L333+$D$2)*IF($M$2="Prices in $/MWh",1,1/1000)</f>
        <v>28.57</v>
      </c>
      <c r="M345" s="80">
        <f>(Matrix_prices!M333+$D$2)*IF($M$2="Prices in $/MWh",1,1/1000)</f>
        <v>29.93</v>
      </c>
      <c r="N345" s="79">
        <f>(Matrix_prices!N333+$D$2)*IF($M$2="Prices in $/MWh",1,1/1000)</f>
        <v>31.19</v>
      </c>
    </row>
    <row r="346" spans="3:14" x14ac:dyDescent="0.25">
      <c r="C346" s="82">
        <f>Matrix_prices!C334</f>
        <v>42461</v>
      </c>
      <c r="D346" s="83" t="str">
        <f>Matrix_prices!D334</f>
        <v>MD</v>
      </c>
      <c r="E346" s="84" t="str">
        <f>Matrix_prices!E334</f>
        <v>Potomac Edison</v>
      </c>
      <c r="F346" s="83" t="str">
        <f>Matrix_prices!F334</f>
        <v>GS</v>
      </c>
      <c r="G346" s="84" t="str">
        <f>Matrix_prices!G334</f>
        <v>General Service Small</v>
      </c>
      <c r="H346" s="85" t="str">
        <f t="shared" si="17"/>
        <v>500-2500 MWh</v>
      </c>
      <c r="I346" s="84">
        <f>(Matrix_prices!I334+$D$2)*IF($M$2="Prices in $/MWh",1,1/1000)</f>
        <v>68.64</v>
      </c>
      <c r="J346" s="83">
        <f>(Matrix_prices!J334+$D$2)*IF($M$2="Prices in $/MWh",1,1/1000)</f>
        <v>69.37</v>
      </c>
      <c r="K346" s="84">
        <f>(Matrix_prices!K334+$D$2)*IF($M$2="Prices in $/MWh",1,1/1000)</f>
        <v>70.790000000000006</v>
      </c>
      <c r="L346" s="83">
        <f>(Matrix_prices!L334+$D$2)*IF($M$2="Prices in $/MWh",1,1/1000)</f>
        <v>27.52</v>
      </c>
      <c r="M346" s="84">
        <f>(Matrix_prices!M334+$D$2)*IF($M$2="Prices in $/MWh",1,1/1000)</f>
        <v>28.88</v>
      </c>
      <c r="N346" s="83">
        <f>(Matrix_prices!N334+$D$2)*IF($M$2="Prices in $/MWh",1,1/1000)</f>
        <v>30.14</v>
      </c>
    </row>
    <row r="347" spans="3:14" x14ac:dyDescent="0.25">
      <c r="C347" s="74">
        <f>Matrix_prices!C335</f>
        <v>42491</v>
      </c>
      <c r="D347" s="75" t="str">
        <f>Matrix_prices!D335</f>
        <v>MD</v>
      </c>
      <c r="E347" s="76" t="str">
        <f>Matrix_prices!E335</f>
        <v>Potomac Edison</v>
      </c>
      <c r="F347" s="75" t="str">
        <f>Matrix_prices!F335</f>
        <v>GS</v>
      </c>
      <c r="G347" s="76" t="str">
        <f>Matrix_prices!G335</f>
        <v>General Service Small</v>
      </c>
      <c r="H347" s="157" t="str">
        <f t="shared" si="15"/>
        <v>0-100 MWh</v>
      </c>
      <c r="I347" s="76">
        <f>(Matrix_prices!I335+$D$2)*IF($M$2="Prices in $/MWh",1,1/1000)</f>
        <v>71.209999999999994</v>
      </c>
      <c r="J347" s="75">
        <f>(Matrix_prices!J335+$D$2)*IF($M$2="Prices in $/MWh",1,1/1000)</f>
        <v>72.62</v>
      </c>
      <c r="K347" s="76">
        <f>(Matrix_prices!K335+$D$2)*IF($M$2="Prices in $/MWh",1,1/1000)</f>
        <v>73.62</v>
      </c>
      <c r="L347" s="75">
        <f>(Matrix_prices!L335+$D$2)*IF($M$2="Prices in $/MWh",1,1/1000)</f>
        <v>29.98</v>
      </c>
      <c r="M347" s="76">
        <f>(Matrix_prices!M335+$D$2)*IF($M$2="Prices in $/MWh",1,1/1000)</f>
        <v>32.17</v>
      </c>
      <c r="N347" s="75">
        <f>(Matrix_prices!N335+$D$2)*IF($M$2="Prices in $/MWh",1,1/1000)</f>
        <v>32.979999999999997</v>
      </c>
    </row>
    <row r="348" spans="3:14" x14ac:dyDescent="0.25">
      <c r="C348" s="78">
        <f>Matrix_prices!C336</f>
        <v>42491</v>
      </c>
      <c r="D348" s="79" t="str">
        <f>Matrix_prices!D336</f>
        <v>MD</v>
      </c>
      <c r="E348" s="80" t="str">
        <f>Matrix_prices!E336</f>
        <v>Potomac Edison</v>
      </c>
      <c r="F348" s="79" t="str">
        <f>Matrix_prices!F336</f>
        <v>GS</v>
      </c>
      <c r="G348" s="80" t="str">
        <f>Matrix_prices!G336</f>
        <v>General Service Small</v>
      </c>
      <c r="H348" s="81" t="str">
        <f t="shared" si="16"/>
        <v>100-500 MWh</v>
      </c>
      <c r="I348" s="80">
        <f>(Matrix_prices!I336+$D$2)*IF($M$2="Prices in $/MWh",1,1/1000)</f>
        <v>69.61</v>
      </c>
      <c r="J348" s="79">
        <f>(Matrix_prices!J336+$D$2)*IF($M$2="Prices in $/MWh",1,1/1000)</f>
        <v>71.02</v>
      </c>
      <c r="K348" s="80">
        <f>(Matrix_prices!K336+$D$2)*IF($M$2="Prices in $/MWh",1,1/1000)</f>
        <v>72.02</v>
      </c>
      <c r="L348" s="79">
        <f>(Matrix_prices!L336+$D$2)*IF($M$2="Prices in $/MWh",1,1/1000)</f>
        <v>28.38</v>
      </c>
      <c r="M348" s="80">
        <f>(Matrix_prices!M336+$D$2)*IF($M$2="Prices in $/MWh",1,1/1000)</f>
        <v>30.57</v>
      </c>
      <c r="N348" s="79">
        <f>(Matrix_prices!N336+$D$2)*IF($M$2="Prices in $/MWh",1,1/1000)</f>
        <v>31.38</v>
      </c>
    </row>
    <row r="349" spans="3:14" x14ac:dyDescent="0.25">
      <c r="C349" s="82">
        <f>Matrix_prices!C337</f>
        <v>42491</v>
      </c>
      <c r="D349" s="83" t="str">
        <f>Matrix_prices!D337</f>
        <v>MD</v>
      </c>
      <c r="E349" s="84" t="str">
        <f>Matrix_prices!E337</f>
        <v>Potomac Edison</v>
      </c>
      <c r="F349" s="83" t="str">
        <f>Matrix_prices!F337</f>
        <v>GS</v>
      </c>
      <c r="G349" s="84" t="str">
        <f>Matrix_prices!G337</f>
        <v>General Service Small</v>
      </c>
      <c r="H349" s="85" t="str">
        <f t="shared" si="17"/>
        <v>500-2500 MWh</v>
      </c>
      <c r="I349" s="84">
        <f>(Matrix_prices!I337+$D$2)*IF($M$2="Prices in $/MWh",1,1/1000)</f>
        <v>68.56</v>
      </c>
      <c r="J349" s="83">
        <f>(Matrix_prices!J337+$D$2)*IF($M$2="Prices in $/MWh",1,1/1000)</f>
        <v>69.97</v>
      </c>
      <c r="K349" s="84">
        <f>(Matrix_prices!K337+$D$2)*IF($M$2="Prices in $/MWh",1,1/1000)</f>
        <v>70.97</v>
      </c>
      <c r="L349" s="83">
        <f>(Matrix_prices!L337+$D$2)*IF($M$2="Prices in $/MWh",1,1/1000)</f>
        <v>27.33</v>
      </c>
      <c r="M349" s="84">
        <f>(Matrix_prices!M337+$D$2)*IF($M$2="Prices in $/MWh",1,1/1000)</f>
        <v>29.52</v>
      </c>
      <c r="N349" s="83">
        <f>(Matrix_prices!N337+$D$2)*IF($M$2="Prices in $/MWh",1,1/1000)</f>
        <v>30.33</v>
      </c>
    </row>
    <row r="350" spans="3:14" x14ac:dyDescent="0.25">
      <c r="C350" s="151">
        <f>Matrix_prices!C338</f>
        <v>42522</v>
      </c>
      <c r="D350" s="152" t="str">
        <f>Matrix_prices!D338</f>
        <v>MD</v>
      </c>
      <c r="E350" s="153" t="str">
        <f>Matrix_prices!E338</f>
        <v>Potomac Edison</v>
      </c>
      <c r="F350" s="152" t="str">
        <f>Matrix_prices!F338</f>
        <v>GS</v>
      </c>
      <c r="G350" s="153" t="str">
        <f>Matrix_prices!G338</f>
        <v>General Service Small</v>
      </c>
      <c r="H350" s="157" t="str">
        <f t="shared" si="15"/>
        <v>0-100 MWh</v>
      </c>
      <c r="I350" s="153">
        <f>(Matrix_prices!I338+$D$2)*IF($M$2="Prices in $/MWh",1,1/1000)</f>
        <v>70.989999999999995</v>
      </c>
      <c r="J350" s="152">
        <f>(Matrix_prices!J338+$D$2)*IF($M$2="Prices in $/MWh",1,1/1000)</f>
        <v>73.23</v>
      </c>
      <c r="K350" s="153">
        <f>(Matrix_prices!K338+$D$2)*IF($M$2="Prices in $/MWh",1,1/1000)</f>
        <v>73.8</v>
      </c>
      <c r="L350" s="152">
        <f>(Matrix_prices!L338+$D$2)*IF($M$2="Prices in $/MWh",1,1/1000)</f>
        <v>29.73</v>
      </c>
      <c r="M350" s="153">
        <f>(Matrix_prices!M338+$D$2)*IF($M$2="Prices in $/MWh",1,1/1000)</f>
        <v>32.770000000000003</v>
      </c>
      <c r="N350" s="152">
        <f>(Matrix_prices!N338+$D$2)*IF($M$2="Prices in $/MWh",1,1/1000)</f>
        <v>33.15</v>
      </c>
    </row>
    <row r="351" spans="3:14" x14ac:dyDescent="0.25">
      <c r="C351" s="78">
        <f>Matrix_prices!C339</f>
        <v>42522</v>
      </c>
      <c r="D351" s="79" t="str">
        <f>Matrix_prices!D339</f>
        <v>MD</v>
      </c>
      <c r="E351" s="80" t="str">
        <f>Matrix_prices!E339</f>
        <v>Potomac Edison</v>
      </c>
      <c r="F351" s="79" t="str">
        <f>Matrix_prices!F339</f>
        <v>GS</v>
      </c>
      <c r="G351" s="80" t="str">
        <f>Matrix_prices!G339</f>
        <v>General Service Small</v>
      </c>
      <c r="H351" s="81" t="str">
        <f t="shared" si="16"/>
        <v>100-500 MWh</v>
      </c>
      <c r="I351" s="80">
        <f>(Matrix_prices!I339+$D$2)*IF($M$2="Prices in $/MWh",1,1/1000)</f>
        <v>69.39</v>
      </c>
      <c r="J351" s="79">
        <f>(Matrix_prices!J339+$D$2)*IF($M$2="Prices in $/MWh",1,1/1000)</f>
        <v>71.63</v>
      </c>
      <c r="K351" s="80">
        <f>(Matrix_prices!K339+$D$2)*IF($M$2="Prices in $/MWh",1,1/1000)</f>
        <v>72.2</v>
      </c>
      <c r="L351" s="79">
        <f>(Matrix_prices!L339+$D$2)*IF($M$2="Prices in $/MWh",1,1/1000)</f>
        <v>28.13</v>
      </c>
      <c r="M351" s="80">
        <f>(Matrix_prices!M339+$D$2)*IF($M$2="Prices in $/MWh",1,1/1000)</f>
        <v>31.17</v>
      </c>
      <c r="N351" s="79">
        <f>(Matrix_prices!N339+$D$2)*IF($M$2="Prices in $/MWh",1,1/1000)</f>
        <v>31.55</v>
      </c>
    </row>
    <row r="352" spans="3:14" x14ac:dyDescent="0.25">
      <c r="C352" s="82">
        <f>Matrix_prices!C340</f>
        <v>42522</v>
      </c>
      <c r="D352" s="83" t="str">
        <f>Matrix_prices!D340</f>
        <v>MD</v>
      </c>
      <c r="E352" s="84" t="str">
        <f>Matrix_prices!E340</f>
        <v>Potomac Edison</v>
      </c>
      <c r="F352" s="83" t="str">
        <f>Matrix_prices!F340</f>
        <v>GS</v>
      </c>
      <c r="G352" s="84" t="str">
        <f>Matrix_prices!G340</f>
        <v>General Service Small</v>
      </c>
      <c r="H352" s="85" t="str">
        <f t="shared" si="17"/>
        <v>500-2500 MWh</v>
      </c>
      <c r="I352" s="84">
        <f>(Matrix_prices!I340+$D$2)*IF($M$2="Prices in $/MWh",1,1/1000)</f>
        <v>68.34</v>
      </c>
      <c r="J352" s="83">
        <f>(Matrix_prices!J340+$D$2)*IF($M$2="Prices in $/MWh",1,1/1000)</f>
        <v>70.58</v>
      </c>
      <c r="K352" s="84">
        <f>(Matrix_prices!K340+$D$2)*IF($M$2="Prices in $/MWh",1,1/1000)</f>
        <v>71.150000000000006</v>
      </c>
      <c r="L352" s="83">
        <f>(Matrix_prices!L340+$D$2)*IF($M$2="Prices in $/MWh",1,1/1000)</f>
        <v>27.08</v>
      </c>
      <c r="M352" s="84">
        <f>(Matrix_prices!M340+$D$2)*IF($M$2="Prices in $/MWh",1,1/1000)</f>
        <v>30.12</v>
      </c>
      <c r="N352" s="83">
        <f>(Matrix_prices!N340+$D$2)*IF($M$2="Prices in $/MWh",1,1/1000)</f>
        <v>30.5</v>
      </c>
    </row>
    <row r="353" spans="3:14" x14ac:dyDescent="0.25">
      <c r="C353" s="74">
        <f>Matrix_prices!C341</f>
        <v>42552</v>
      </c>
      <c r="D353" s="75" t="str">
        <f>Matrix_prices!D341</f>
        <v>MD</v>
      </c>
      <c r="E353" s="76" t="str">
        <f>Matrix_prices!E341</f>
        <v>Potomac Edison</v>
      </c>
      <c r="F353" s="75" t="str">
        <f>Matrix_prices!F341</f>
        <v>GS</v>
      </c>
      <c r="G353" s="76" t="str">
        <f>Matrix_prices!G341</f>
        <v>General Service Small</v>
      </c>
      <c r="H353" s="157" t="str">
        <f t="shared" si="15"/>
        <v>0-100 MWh</v>
      </c>
      <c r="I353" s="76">
        <f>(Matrix_prices!I341+$D$2)*IF($M$2="Prices in $/MWh",1,1/1000)</f>
        <v>71.540000000000006</v>
      </c>
      <c r="J353" s="75">
        <f>(Matrix_prices!J341+$D$2)*IF($M$2="Prices in $/MWh",1,1/1000)</f>
        <v>73.31</v>
      </c>
      <c r="K353" s="76">
        <f>(Matrix_prices!K341+$D$2)*IF($M$2="Prices in $/MWh",1,1/1000)</f>
        <v>74.150000000000006</v>
      </c>
      <c r="L353" s="75">
        <f>(Matrix_prices!L341+$D$2)*IF($M$2="Prices in $/MWh",1,1/1000)</f>
        <v>30.29</v>
      </c>
      <c r="M353" s="76">
        <f>(Matrix_prices!M341+$D$2)*IF($M$2="Prices in $/MWh",1,1/1000)</f>
        <v>33.090000000000003</v>
      </c>
      <c r="N353" s="75">
        <f>(Matrix_prices!N341+$D$2)*IF($M$2="Prices in $/MWh",1,1/1000)</f>
        <v>33.56</v>
      </c>
    </row>
    <row r="354" spans="3:14" x14ac:dyDescent="0.25">
      <c r="C354" s="78">
        <f>Matrix_prices!C342</f>
        <v>42552</v>
      </c>
      <c r="D354" s="79" t="str">
        <f>Matrix_prices!D342</f>
        <v>MD</v>
      </c>
      <c r="E354" s="80" t="str">
        <f>Matrix_prices!E342</f>
        <v>Potomac Edison</v>
      </c>
      <c r="F354" s="79" t="str">
        <f>Matrix_prices!F342</f>
        <v>GS</v>
      </c>
      <c r="G354" s="80" t="str">
        <f>Matrix_prices!G342</f>
        <v>General Service Small</v>
      </c>
      <c r="H354" s="81" t="str">
        <f t="shared" si="16"/>
        <v>100-500 MWh</v>
      </c>
      <c r="I354" s="80">
        <f>(Matrix_prices!I342+$D$2)*IF($M$2="Prices in $/MWh",1,1/1000)</f>
        <v>69.94</v>
      </c>
      <c r="J354" s="79">
        <f>(Matrix_prices!J342+$D$2)*IF($M$2="Prices in $/MWh",1,1/1000)</f>
        <v>71.709999999999994</v>
      </c>
      <c r="K354" s="80">
        <f>(Matrix_prices!K342+$D$2)*IF($M$2="Prices in $/MWh",1,1/1000)</f>
        <v>72.55</v>
      </c>
      <c r="L354" s="79">
        <f>(Matrix_prices!L342+$D$2)*IF($M$2="Prices in $/MWh",1,1/1000)</f>
        <v>28.69</v>
      </c>
      <c r="M354" s="80">
        <f>(Matrix_prices!M342+$D$2)*IF($M$2="Prices in $/MWh",1,1/1000)</f>
        <v>31.49</v>
      </c>
      <c r="N354" s="79">
        <f>(Matrix_prices!N342+$D$2)*IF($M$2="Prices in $/MWh",1,1/1000)</f>
        <v>31.96</v>
      </c>
    </row>
    <row r="355" spans="3:14" x14ac:dyDescent="0.25">
      <c r="C355" s="82">
        <f>Matrix_prices!C343</f>
        <v>42552</v>
      </c>
      <c r="D355" s="83" t="str">
        <f>Matrix_prices!D343</f>
        <v>MD</v>
      </c>
      <c r="E355" s="84" t="str">
        <f>Matrix_prices!E343</f>
        <v>Potomac Edison</v>
      </c>
      <c r="F355" s="83" t="str">
        <f>Matrix_prices!F343</f>
        <v>GS</v>
      </c>
      <c r="G355" s="84" t="str">
        <f>Matrix_prices!G343</f>
        <v>General Service Small</v>
      </c>
      <c r="H355" s="85" t="str">
        <f t="shared" si="17"/>
        <v>500-2500 MWh</v>
      </c>
      <c r="I355" s="84">
        <f>(Matrix_prices!I343+$D$2)*IF($M$2="Prices in $/MWh",1,1/1000)</f>
        <v>68.89</v>
      </c>
      <c r="J355" s="83">
        <f>(Matrix_prices!J343+$D$2)*IF($M$2="Prices in $/MWh",1,1/1000)</f>
        <v>70.66</v>
      </c>
      <c r="K355" s="84">
        <f>(Matrix_prices!K343+$D$2)*IF($M$2="Prices in $/MWh",1,1/1000)</f>
        <v>71.5</v>
      </c>
      <c r="L355" s="83">
        <f>(Matrix_prices!L343+$D$2)*IF($M$2="Prices in $/MWh",1,1/1000)</f>
        <v>27.64</v>
      </c>
      <c r="M355" s="84">
        <f>(Matrix_prices!M343+$D$2)*IF($M$2="Prices in $/MWh",1,1/1000)</f>
        <v>30.44</v>
      </c>
      <c r="N355" s="83">
        <f>(Matrix_prices!N343+$D$2)*IF($M$2="Prices in $/MWh",1,1/1000)</f>
        <v>30.91</v>
      </c>
    </row>
    <row r="356" spans="3:14" x14ac:dyDescent="0.25">
      <c r="C356" s="151">
        <f>Matrix_prices!C344</f>
        <v>42583</v>
      </c>
      <c r="D356" s="152" t="str">
        <f>Matrix_prices!D344</f>
        <v>MD</v>
      </c>
      <c r="E356" s="153" t="str">
        <f>Matrix_prices!E344</f>
        <v>Potomac Edison</v>
      </c>
      <c r="F356" s="152" t="str">
        <f>Matrix_prices!F344</f>
        <v>GS</v>
      </c>
      <c r="G356" s="153" t="str">
        <f>Matrix_prices!G344</f>
        <v>General Service Small</v>
      </c>
      <c r="H356" s="157" t="str">
        <f t="shared" si="15"/>
        <v>0-100 MWh</v>
      </c>
      <c r="I356" s="153">
        <f>(Matrix_prices!I344+$D$2)*IF($M$2="Prices in $/MWh",1,1/1000)</f>
        <v>72.03</v>
      </c>
      <c r="J356" s="152">
        <f>(Matrix_prices!J344+$D$2)*IF($M$2="Prices in $/MWh",1,1/1000)</f>
        <v>73.86</v>
      </c>
      <c r="K356" s="153">
        <f>(Matrix_prices!K344+$D$2)*IF($M$2="Prices in $/MWh",1,1/1000)</f>
        <v>74.540000000000006</v>
      </c>
      <c r="L356" s="152">
        <f>(Matrix_prices!L344+$D$2)*IF($M$2="Prices in $/MWh",1,1/1000)</f>
        <v>30.87</v>
      </c>
      <c r="M356" s="153">
        <f>(Matrix_prices!M344+$D$2)*IF($M$2="Prices in $/MWh",1,1/1000)</f>
        <v>33.28</v>
      </c>
      <c r="N356" s="152">
        <f>(Matrix_prices!N344+$D$2)*IF($M$2="Prices in $/MWh",1,1/1000)</f>
        <v>33.96</v>
      </c>
    </row>
    <row r="357" spans="3:14" x14ac:dyDescent="0.25">
      <c r="C357" s="78">
        <f>Matrix_prices!C345</f>
        <v>42583</v>
      </c>
      <c r="D357" s="79" t="str">
        <f>Matrix_prices!D345</f>
        <v>MD</v>
      </c>
      <c r="E357" s="80" t="str">
        <f>Matrix_prices!E345</f>
        <v>Potomac Edison</v>
      </c>
      <c r="F357" s="79" t="str">
        <f>Matrix_prices!F345</f>
        <v>GS</v>
      </c>
      <c r="G357" s="80" t="str">
        <f>Matrix_prices!G345</f>
        <v>General Service Small</v>
      </c>
      <c r="H357" s="81" t="str">
        <f t="shared" si="16"/>
        <v>100-500 MWh</v>
      </c>
      <c r="I357" s="80">
        <f>(Matrix_prices!I345+$D$2)*IF($M$2="Prices in $/MWh",1,1/1000)</f>
        <v>70.430000000000007</v>
      </c>
      <c r="J357" s="79">
        <f>(Matrix_prices!J345+$D$2)*IF($M$2="Prices in $/MWh",1,1/1000)</f>
        <v>72.260000000000005</v>
      </c>
      <c r="K357" s="80">
        <f>(Matrix_prices!K345+$D$2)*IF($M$2="Prices in $/MWh",1,1/1000)</f>
        <v>72.94</v>
      </c>
      <c r="L357" s="79">
        <f>(Matrix_prices!L345+$D$2)*IF($M$2="Prices in $/MWh",1,1/1000)</f>
        <v>29.27</v>
      </c>
      <c r="M357" s="80">
        <f>(Matrix_prices!M345+$D$2)*IF($M$2="Prices in $/MWh",1,1/1000)</f>
        <v>31.68</v>
      </c>
      <c r="N357" s="79">
        <f>(Matrix_prices!N345+$D$2)*IF($M$2="Prices in $/MWh",1,1/1000)</f>
        <v>32.36</v>
      </c>
    </row>
    <row r="358" spans="3:14" x14ac:dyDescent="0.25">
      <c r="C358" s="82">
        <f>Matrix_prices!C346</f>
        <v>42583</v>
      </c>
      <c r="D358" s="83" t="str">
        <f>Matrix_prices!D346</f>
        <v>MD</v>
      </c>
      <c r="E358" s="84" t="str">
        <f>Matrix_prices!E346</f>
        <v>Potomac Edison</v>
      </c>
      <c r="F358" s="83" t="str">
        <f>Matrix_prices!F346</f>
        <v>GS</v>
      </c>
      <c r="G358" s="84" t="str">
        <f>Matrix_prices!G346</f>
        <v>General Service Small</v>
      </c>
      <c r="H358" s="85" t="str">
        <f t="shared" si="17"/>
        <v>500-2500 MWh</v>
      </c>
      <c r="I358" s="84">
        <f>(Matrix_prices!I346+$D$2)*IF($M$2="Prices in $/MWh",1,1/1000)</f>
        <v>69.38</v>
      </c>
      <c r="J358" s="83">
        <f>(Matrix_prices!J346+$D$2)*IF($M$2="Prices in $/MWh",1,1/1000)</f>
        <v>71.209999999999994</v>
      </c>
      <c r="K358" s="84">
        <f>(Matrix_prices!K346+$D$2)*IF($M$2="Prices in $/MWh",1,1/1000)</f>
        <v>71.89</v>
      </c>
      <c r="L358" s="83">
        <f>(Matrix_prices!L346+$D$2)*IF($M$2="Prices in $/MWh",1,1/1000)</f>
        <v>28.22</v>
      </c>
      <c r="M358" s="84">
        <f>(Matrix_prices!M346+$D$2)*IF($M$2="Prices in $/MWh",1,1/1000)</f>
        <v>30.63</v>
      </c>
      <c r="N358" s="83">
        <f>(Matrix_prices!N346+$D$2)*IF($M$2="Prices in $/MWh",1,1/1000)</f>
        <v>31.31</v>
      </c>
    </row>
    <row r="359" spans="3:14" x14ac:dyDescent="0.25">
      <c r="C359" s="74">
        <f>Matrix_prices!C347</f>
        <v>42614</v>
      </c>
      <c r="D359" s="75" t="str">
        <f>Matrix_prices!D347</f>
        <v>MD</v>
      </c>
      <c r="E359" s="76" t="str">
        <f>Matrix_prices!E347</f>
        <v>Potomac Edison</v>
      </c>
      <c r="F359" s="75" t="str">
        <f>Matrix_prices!F347</f>
        <v>GS</v>
      </c>
      <c r="G359" s="76" t="str">
        <f>Matrix_prices!G347</f>
        <v>General Service Small</v>
      </c>
      <c r="H359" s="157" t="str">
        <f t="shared" si="15"/>
        <v>0-100 MWh</v>
      </c>
      <c r="I359" s="76">
        <f>(Matrix_prices!I347+$D$2)*IF($M$2="Prices in $/MWh",1,1/1000)</f>
        <v>72.459999999999994</v>
      </c>
      <c r="J359" s="75">
        <f>(Matrix_prices!J347+$D$2)*IF($M$2="Prices in $/MWh",1,1/1000)</f>
        <v>74.34</v>
      </c>
      <c r="K359" s="76">
        <f>(Matrix_prices!K347+$D$2)*IF($M$2="Prices in $/MWh",1,1/1000)</f>
        <v>74.849999999999994</v>
      </c>
      <c r="L359" s="75">
        <f>(Matrix_prices!L347+$D$2)*IF($M$2="Prices in $/MWh",1,1/1000)</f>
        <v>31.42</v>
      </c>
      <c r="M359" s="76">
        <f>(Matrix_prices!M347+$D$2)*IF($M$2="Prices in $/MWh",1,1/1000)</f>
        <v>33.53</v>
      </c>
      <c r="N359" s="75">
        <f>(Matrix_prices!N347+$D$2)*IF($M$2="Prices in $/MWh",1,1/1000)</f>
        <v>34.35</v>
      </c>
    </row>
    <row r="360" spans="3:14" x14ac:dyDescent="0.25">
      <c r="C360" s="78">
        <f>Matrix_prices!C348</f>
        <v>42614</v>
      </c>
      <c r="D360" s="79" t="str">
        <f>Matrix_prices!D348</f>
        <v>MD</v>
      </c>
      <c r="E360" s="80" t="str">
        <f>Matrix_prices!E348</f>
        <v>Potomac Edison</v>
      </c>
      <c r="F360" s="79" t="str">
        <f>Matrix_prices!F348</f>
        <v>GS</v>
      </c>
      <c r="G360" s="80" t="str">
        <f>Matrix_prices!G348</f>
        <v>General Service Small</v>
      </c>
      <c r="H360" s="81" t="str">
        <f t="shared" si="16"/>
        <v>100-500 MWh</v>
      </c>
      <c r="I360" s="80">
        <f>(Matrix_prices!I348+$D$2)*IF($M$2="Prices in $/MWh",1,1/1000)</f>
        <v>70.86</v>
      </c>
      <c r="J360" s="79">
        <f>(Matrix_prices!J348+$D$2)*IF($M$2="Prices in $/MWh",1,1/1000)</f>
        <v>72.739999999999995</v>
      </c>
      <c r="K360" s="80">
        <f>(Matrix_prices!K348+$D$2)*IF($M$2="Prices in $/MWh",1,1/1000)</f>
        <v>73.25</v>
      </c>
      <c r="L360" s="79">
        <f>(Matrix_prices!L348+$D$2)*IF($M$2="Prices in $/MWh",1,1/1000)</f>
        <v>29.82</v>
      </c>
      <c r="M360" s="80">
        <f>(Matrix_prices!M348+$D$2)*IF($M$2="Prices in $/MWh",1,1/1000)</f>
        <v>31.93</v>
      </c>
      <c r="N360" s="79">
        <f>(Matrix_prices!N348+$D$2)*IF($M$2="Prices in $/MWh",1,1/1000)</f>
        <v>32.75</v>
      </c>
    </row>
    <row r="361" spans="3:14" x14ac:dyDescent="0.25">
      <c r="C361" s="82">
        <f>Matrix_prices!C349</f>
        <v>42614</v>
      </c>
      <c r="D361" s="83" t="str">
        <f>Matrix_prices!D349</f>
        <v>MD</v>
      </c>
      <c r="E361" s="84" t="str">
        <f>Matrix_prices!E349</f>
        <v>Potomac Edison</v>
      </c>
      <c r="F361" s="83" t="str">
        <f>Matrix_prices!F349</f>
        <v>GS</v>
      </c>
      <c r="G361" s="84" t="str">
        <f>Matrix_prices!G349</f>
        <v>General Service Small</v>
      </c>
      <c r="H361" s="85" t="str">
        <f t="shared" si="17"/>
        <v>500-2500 MWh</v>
      </c>
      <c r="I361" s="84">
        <f>(Matrix_prices!I349+$D$2)*IF($M$2="Prices in $/MWh",1,1/1000)</f>
        <v>69.81</v>
      </c>
      <c r="J361" s="83">
        <f>(Matrix_prices!J349+$D$2)*IF($M$2="Prices in $/MWh",1,1/1000)</f>
        <v>71.69</v>
      </c>
      <c r="K361" s="84">
        <f>(Matrix_prices!K349+$D$2)*IF($M$2="Prices in $/MWh",1,1/1000)</f>
        <v>72.2</v>
      </c>
      <c r="L361" s="83">
        <f>(Matrix_prices!L349+$D$2)*IF($M$2="Prices in $/MWh",1,1/1000)</f>
        <v>28.77</v>
      </c>
      <c r="M361" s="84">
        <f>(Matrix_prices!M349+$D$2)*IF($M$2="Prices in $/MWh",1,1/1000)</f>
        <v>30.88</v>
      </c>
      <c r="N361" s="83">
        <f>(Matrix_prices!N349+$D$2)*IF($M$2="Prices in $/MWh",1,1/1000)</f>
        <v>31.7</v>
      </c>
    </row>
    <row r="362" spans="3:14" x14ac:dyDescent="0.25">
      <c r="C362" s="151">
        <f>Matrix_prices!C350</f>
        <v>42644</v>
      </c>
      <c r="D362" s="152" t="str">
        <f>Matrix_prices!D350</f>
        <v>MD</v>
      </c>
      <c r="E362" s="153" t="str">
        <f>Matrix_prices!E350</f>
        <v>Potomac Edison</v>
      </c>
      <c r="F362" s="152" t="str">
        <f>Matrix_prices!F350</f>
        <v>GS</v>
      </c>
      <c r="G362" s="153" t="str">
        <f>Matrix_prices!G350</f>
        <v>General Service Small</v>
      </c>
      <c r="H362" s="157" t="str">
        <f t="shared" si="15"/>
        <v>0-100 MWh</v>
      </c>
      <c r="I362" s="153">
        <f>(Matrix_prices!I350+$D$2)*IF($M$2="Prices in $/MWh",1,1/1000)</f>
        <v>72.92</v>
      </c>
      <c r="J362" s="152">
        <f>(Matrix_prices!J350+$D$2)*IF($M$2="Prices in $/MWh",1,1/1000)</f>
        <v>74.540000000000006</v>
      </c>
      <c r="K362" s="153">
        <f>(Matrix_prices!K350+$D$2)*IF($M$2="Prices in $/MWh",1,1/1000)</f>
        <v>75.150000000000006</v>
      </c>
      <c r="L362" s="152">
        <f>(Matrix_prices!L350+$D$2)*IF($M$2="Prices in $/MWh",1,1/1000)</f>
        <v>31.95</v>
      </c>
      <c r="M362" s="153">
        <f>(Matrix_prices!M350+$D$2)*IF($M$2="Prices in $/MWh",1,1/1000)</f>
        <v>33.5</v>
      </c>
      <c r="N362" s="152">
        <f>(Matrix_prices!N350+$D$2)*IF($M$2="Prices in $/MWh",1,1/1000)</f>
        <v>34.74</v>
      </c>
    </row>
    <row r="363" spans="3:14" x14ac:dyDescent="0.25">
      <c r="C363" s="78">
        <f>Matrix_prices!C351</f>
        <v>42644</v>
      </c>
      <c r="D363" s="79" t="str">
        <f>Matrix_prices!D351</f>
        <v>MD</v>
      </c>
      <c r="E363" s="80" t="str">
        <f>Matrix_prices!E351</f>
        <v>Potomac Edison</v>
      </c>
      <c r="F363" s="79" t="str">
        <f>Matrix_prices!F351</f>
        <v>GS</v>
      </c>
      <c r="G363" s="80" t="str">
        <f>Matrix_prices!G351</f>
        <v>General Service Small</v>
      </c>
      <c r="H363" s="81" t="str">
        <f t="shared" si="16"/>
        <v>100-500 MWh</v>
      </c>
      <c r="I363" s="80">
        <f>(Matrix_prices!I351+$D$2)*IF($M$2="Prices in $/MWh",1,1/1000)</f>
        <v>71.319999999999993</v>
      </c>
      <c r="J363" s="79">
        <f>(Matrix_prices!J351+$D$2)*IF($M$2="Prices in $/MWh",1,1/1000)</f>
        <v>72.94</v>
      </c>
      <c r="K363" s="80">
        <f>(Matrix_prices!K351+$D$2)*IF($M$2="Prices in $/MWh",1,1/1000)</f>
        <v>73.55</v>
      </c>
      <c r="L363" s="79">
        <f>(Matrix_prices!L351+$D$2)*IF($M$2="Prices in $/MWh",1,1/1000)</f>
        <v>30.35</v>
      </c>
      <c r="M363" s="80">
        <f>(Matrix_prices!M351+$D$2)*IF($M$2="Prices in $/MWh",1,1/1000)</f>
        <v>31.9</v>
      </c>
      <c r="N363" s="79">
        <f>(Matrix_prices!N351+$D$2)*IF($M$2="Prices in $/MWh",1,1/1000)</f>
        <v>33.14</v>
      </c>
    </row>
    <row r="364" spans="3:14" x14ac:dyDescent="0.25">
      <c r="C364" s="82">
        <f>Matrix_prices!C352</f>
        <v>42644</v>
      </c>
      <c r="D364" s="83" t="str">
        <f>Matrix_prices!D352</f>
        <v>MD</v>
      </c>
      <c r="E364" s="84" t="str">
        <f>Matrix_prices!E352</f>
        <v>Potomac Edison</v>
      </c>
      <c r="F364" s="83" t="str">
        <f>Matrix_prices!F352</f>
        <v>GS</v>
      </c>
      <c r="G364" s="84" t="str">
        <f>Matrix_prices!G352</f>
        <v>General Service Small</v>
      </c>
      <c r="H364" s="85" t="str">
        <f t="shared" si="17"/>
        <v>500-2500 MWh</v>
      </c>
      <c r="I364" s="84">
        <f>(Matrix_prices!I352+$D$2)*IF($M$2="Prices in $/MWh",1,1/1000)</f>
        <v>70.27</v>
      </c>
      <c r="J364" s="83">
        <f>(Matrix_prices!J352+$D$2)*IF($M$2="Prices in $/MWh",1,1/1000)</f>
        <v>71.89</v>
      </c>
      <c r="K364" s="84">
        <f>(Matrix_prices!K352+$D$2)*IF($M$2="Prices in $/MWh",1,1/1000)</f>
        <v>72.5</v>
      </c>
      <c r="L364" s="83">
        <f>(Matrix_prices!L352+$D$2)*IF($M$2="Prices in $/MWh",1,1/1000)</f>
        <v>29.3</v>
      </c>
      <c r="M364" s="84">
        <f>(Matrix_prices!M352+$D$2)*IF($M$2="Prices in $/MWh",1,1/1000)</f>
        <v>30.85</v>
      </c>
      <c r="N364" s="83">
        <f>(Matrix_prices!N352+$D$2)*IF($M$2="Prices in $/MWh",1,1/1000)</f>
        <v>32.090000000000003</v>
      </c>
    </row>
    <row r="365" spans="3:14" x14ac:dyDescent="0.25">
      <c r="C365" s="74">
        <f>Matrix_prices!C353</f>
        <v>42675</v>
      </c>
      <c r="D365" s="75" t="str">
        <f>Matrix_prices!D353</f>
        <v>MD</v>
      </c>
      <c r="E365" s="76" t="str">
        <f>Matrix_prices!E353</f>
        <v>Potomac Edison</v>
      </c>
      <c r="F365" s="75" t="str">
        <f>Matrix_prices!F353</f>
        <v>GS</v>
      </c>
      <c r="G365" s="76" t="str">
        <f>Matrix_prices!G353</f>
        <v>General Service Small</v>
      </c>
      <c r="H365" s="157" t="str">
        <f t="shared" si="15"/>
        <v>0-100 MWh</v>
      </c>
      <c r="I365" s="76">
        <f>(Matrix_prices!I353+$D$2)*IF($M$2="Prices in $/MWh",1,1/1000)</f>
        <v>73.37</v>
      </c>
      <c r="J365" s="75">
        <f>(Matrix_prices!J353+$D$2)*IF($M$2="Prices in $/MWh",1,1/1000)</f>
        <v>74.430000000000007</v>
      </c>
      <c r="K365" s="76">
        <f>(Matrix_prices!K353+$D$2)*IF($M$2="Prices in $/MWh",1,1/1000)</f>
        <v>75.44</v>
      </c>
      <c r="L365" s="75">
        <f>(Matrix_prices!L353+$D$2)*IF($M$2="Prices in $/MWh",1,1/1000)</f>
        <v>32.479999999999997</v>
      </c>
      <c r="M365" s="76">
        <f>(Matrix_prices!M353+$D$2)*IF($M$2="Prices in $/MWh",1,1/1000)</f>
        <v>33.43</v>
      </c>
      <c r="N365" s="75">
        <f>(Matrix_prices!N353+$D$2)*IF($M$2="Prices in $/MWh",1,1/1000)</f>
        <v>35.08</v>
      </c>
    </row>
    <row r="366" spans="3:14" x14ac:dyDescent="0.25">
      <c r="C366" s="78">
        <f>Matrix_prices!C354</f>
        <v>42675</v>
      </c>
      <c r="D366" s="79" t="str">
        <f>Matrix_prices!D354</f>
        <v>MD</v>
      </c>
      <c r="E366" s="80" t="str">
        <f>Matrix_prices!E354</f>
        <v>Potomac Edison</v>
      </c>
      <c r="F366" s="79" t="str">
        <f>Matrix_prices!F354</f>
        <v>GS</v>
      </c>
      <c r="G366" s="80" t="str">
        <f>Matrix_prices!G354</f>
        <v>General Service Small</v>
      </c>
      <c r="H366" s="81" t="str">
        <f t="shared" si="16"/>
        <v>100-500 MWh</v>
      </c>
      <c r="I366" s="80">
        <f>(Matrix_prices!I354+$D$2)*IF($M$2="Prices in $/MWh",1,1/1000)</f>
        <v>71.77</v>
      </c>
      <c r="J366" s="79">
        <f>(Matrix_prices!J354+$D$2)*IF($M$2="Prices in $/MWh",1,1/1000)</f>
        <v>72.83</v>
      </c>
      <c r="K366" s="80">
        <f>(Matrix_prices!K354+$D$2)*IF($M$2="Prices in $/MWh",1,1/1000)</f>
        <v>73.84</v>
      </c>
      <c r="L366" s="79">
        <f>(Matrix_prices!L354+$D$2)*IF($M$2="Prices in $/MWh",1,1/1000)</f>
        <v>30.88</v>
      </c>
      <c r="M366" s="80">
        <f>(Matrix_prices!M354+$D$2)*IF($M$2="Prices in $/MWh",1,1/1000)</f>
        <v>31.83</v>
      </c>
      <c r="N366" s="79">
        <f>(Matrix_prices!N354+$D$2)*IF($M$2="Prices in $/MWh",1,1/1000)</f>
        <v>33.479999999999997</v>
      </c>
    </row>
    <row r="367" spans="3:14" x14ac:dyDescent="0.25">
      <c r="C367" s="82">
        <f>Matrix_prices!C355</f>
        <v>42675</v>
      </c>
      <c r="D367" s="83" t="str">
        <f>Matrix_prices!D355</f>
        <v>MD</v>
      </c>
      <c r="E367" s="84" t="str">
        <f>Matrix_prices!E355</f>
        <v>Potomac Edison</v>
      </c>
      <c r="F367" s="83" t="str">
        <f>Matrix_prices!F355</f>
        <v>GS</v>
      </c>
      <c r="G367" s="84" t="str">
        <f>Matrix_prices!G355</f>
        <v>General Service Small</v>
      </c>
      <c r="H367" s="85" t="str">
        <f t="shared" si="17"/>
        <v>500-2500 MWh</v>
      </c>
      <c r="I367" s="84">
        <f>(Matrix_prices!I355+$D$2)*IF($M$2="Prices in $/MWh",1,1/1000)</f>
        <v>70.72</v>
      </c>
      <c r="J367" s="83">
        <f>(Matrix_prices!J355+$D$2)*IF($M$2="Prices in $/MWh",1,1/1000)</f>
        <v>71.78</v>
      </c>
      <c r="K367" s="84">
        <f>(Matrix_prices!K355+$D$2)*IF($M$2="Prices in $/MWh",1,1/1000)</f>
        <v>72.790000000000006</v>
      </c>
      <c r="L367" s="83">
        <f>(Matrix_prices!L355+$D$2)*IF($M$2="Prices in $/MWh",1,1/1000)</f>
        <v>29.83</v>
      </c>
      <c r="M367" s="84">
        <f>(Matrix_prices!M355+$D$2)*IF($M$2="Prices in $/MWh",1,1/1000)</f>
        <v>30.78</v>
      </c>
      <c r="N367" s="83">
        <f>(Matrix_prices!N355+$D$2)*IF($M$2="Prices in $/MWh",1,1/1000)</f>
        <v>32.43</v>
      </c>
    </row>
    <row r="368" spans="3:14" x14ac:dyDescent="0.25">
      <c r="C368" s="151">
        <f>Matrix_prices!C356</f>
        <v>42705</v>
      </c>
      <c r="D368" s="152" t="str">
        <f>Matrix_prices!D356</f>
        <v>MD</v>
      </c>
      <c r="E368" s="153" t="str">
        <f>Matrix_prices!E356</f>
        <v>Potomac Edison</v>
      </c>
      <c r="F368" s="152" t="str">
        <f>Matrix_prices!F356</f>
        <v>GS</v>
      </c>
      <c r="G368" s="153" t="str">
        <f>Matrix_prices!G356</f>
        <v>General Service Small</v>
      </c>
      <c r="H368" s="157" t="str">
        <f t="shared" si="15"/>
        <v>0-100 MWh</v>
      </c>
      <c r="I368" s="153">
        <f>(Matrix_prices!I356+$D$2)*IF($M$2="Prices in $/MWh",1,1/1000)</f>
        <v>73.790000000000006</v>
      </c>
      <c r="J368" s="152">
        <f>(Matrix_prices!J356+$D$2)*IF($M$2="Prices in $/MWh",1,1/1000)</f>
        <v>74.31</v>
      </c>
      <c r="K368" s="153">
        <f>(Matrix_prices!K356+$D$2)*IF($M$2="Prices in $/MWh",1,1/1000)</f>
        <v>75.72</v>
      </c>
      <c r="L368" s="152">
        <f>(Matrix_prices!L356+$D$2)*IF($M$2="Prices in $/MWh",1,1/1000)</f>
        <v>32.99</v>
      </c>
      <c r="M368" s="153">
        <f>(Matrix_prices!M356+$D$2)*IF($M$2="Prices in $/MWh",1,1/1000)</f>
        <v>33.4</v>
      </c>
      <c r="N368" s="152">
        <f>(Matrix_prices!N356+$D$2)*IF($M$2="Prices in $/MWh",1,1/1000)</f>
        <v>35.43</v>
      </c>
    </row>
    <row r="369" spans="3:14" x14ac:dyDescent="0.25">
      <c r="C369" s="78">
        <f>Matrix_prices!C357</f>
        <v>42705</v>
      </c>
      <c r="D369" s="79" t="str">
        <f>Matrix_prices!D357</f>
        <v>MD</v>
      </c>
      <c r="E369" s="80" t="str">
        <f>Matrix_prices!E357</f>
        <v>Potomac Edison</v>
      </c>
      <c r="F369" s="79" t="str">
        <f>Matrix_prices!F357</f>
        <v>GS</v>
      </c>
      <c r="G369" s="80" t="str">
        <f>Matrix_prices!G357</f>
        <v>General Service Small</v>
      </c>
      <c r="H369" s="81" t="str">
        <f t="shared" si="16"/>
        <v>100-500 MWh</v>
      </c>
      <c r="I369" s="80">
        <f>(Matrix_prices!I357+$D$2)*IF($M$2="Prices in $/MWh",1,1/1000)</f>
        <v>72.19</v>
      </c>
      <c r="J369" s="79">
        <f>(Matrix_prices!J357+$D$2)*IF($M$2="Prices in $/MWh",1,1/1000)</f>
        <v>72.709999999999994</v>
      </c>
      <c r="K369" s="80">
        <f>(Matrix_prices!K357+$D$2)*IF($M$2="Prices in $/MWh",1,1/1000)</f>
        <v>74.12</v>
      </c>
      <c r="L369" s="79">
        <f>(Matrix_prices!L357+$D$2)*IF($M$2="Prices in $/MWh",1,1/1000)</f>
        <v>31.39</v>
      </c>
      <c r="M369" s="80">
        <f>(Matrix_prices!M357+$D$2)*IF($M$2="Prices in $/MWh",1,1/1000)</f>
        <v>31.8</v>
      </c>
      <c r="N369" s="79">
        <f>(Matrix_prices!N357+$D$2)*IF($M$2="Prices in $/MWh",1,1/1000)</f>
        <v>33.83</v>
      </c>
    </row>
    <row r="370" spans="3:14" x14ac:dyDescent="0.25">
      <c r="C370" s="82">
        <f>Matrix_prices!C358</f>
        <v>42705</v>
      </c>
      <c r="D370" s="83" t="str">
        <f>Matrix_prices!D358</f>
        <v>MD</v>
      </c>
      <c r="E370" s="84" t="str">
        <f>Matrix_prices!E358</f>
        <v>Potomac Edison</v>
      </c>
      <c r="F370" s="83" t="str">
        <f>Matrix_prices!F358</f>
        <v>GS</v>
      </c>
      <c r="G370" s="84" t="str">
        <f>Matrix_prices!G358</f>
        <v>General Service Small</v>
      </c>
      <c r="H370" s="85" t="str">
        <f t="shared" si="17"/>
        <v>500-2500 MWh</v>
      </c>
      <c r="I370" s="84">
        <f>(Matrix_prices!I358+$D$2)*IF($M$2="Prices in $/MWh",1,1/1000)</f>
        <v>71.14</v>
      </c>
      <c r="J370" s="83">
        <f>(Matrix_prices!J358+$D$2)*IF($M$2="Prices in $/MWh",1,1/1000)</f>
        <v>71.66</v>
      </c>
      <c r="K370" s="84">
        <f>(Matrix_prices!K358+$D$2)*IF($M$2="Prices in $/MWh",1,1/1000)</f>
        <v>73.069999999999993</v>
      </c>
      <c r="L370" s="83">
        <f>(Matrix_prices!L358+$D$2)*IF($M$2="Prices in $/MWh",1,1/1000)</f>
        <v>30.34</v>
      </c>
      <c r="M370" s="84">
        <f>(Matrix_prices!M358+$D$2)*IF($M$2="Prices in $/MWh",1,1/1000)</f>
        <v>30.75</v>
      </c>
      <c r="N370" s="83">
        <f>(Matrix_prices!N358+$D$2)*IF($M$2="Prices in $/MWh",1,1/1000)</f>
        <v>32.78</v>
      </c>
    </row>
    <row r="371" spans="3:14" x14ac:dyDescent="0.25">
      <c r="C371" s="74">
        <f>Matrix_prices!C359</f>
        <v>42736</v>
      </c>
      <c r="D371" s="75" t="str">
        <f>Matrix_prices!D359</f>
        <v>MD</v>
      </c>
      <c r="E371" s="76" t="str">
        <f>Matrix_prices!E359</f>
        <v>Potomac Edison</v>
      </c>
      <c r="F371" s="75" t="str">
        <f>Matrix_prices!F359</f>
        <v>GS</v>
      </c>
      <c r="G371" s="76" t="str">
        <f>Matrix_prices!G359</f>
        <v>General Service Small</v>
      </c>
      <c r="H371" s="157" t="str">
        <f t="shared" si="15"/>
        <v>0-100 MWh</v>
      </c>
      <c r="I371" s="76">
        <f>(Matrix_prices!I359+$D$2)*IF($M$2="Prices in $/MWh",1,1/1000)</f>
        <v>74.23</v>
      </c>
      <c r="J371" s="75">
        <f>(Matrix_prices!J359+$D$2)*IF($M$2="Prices in $/MWh",1,1/1000)</f>
        <v>74.97</v>
      </c>
      <c r="K371" s="76">
        <f>(Matrix_prices!K359+$D$2)*IF($M$2="Prices in $/MWh",1,1/1000)</f>
        <v>76.069999999999993</v>
      </c>
      <c r="L371" s="75">
        <f>(Matrix_prices!L359+$D$2)*IF($M$2="Prices in $/MWh",1,1/1000)</f>
        <v>33.58</v>
      </c>
      <c r="M371" s="76">
        <f>(Matrix_prices!M359+$D$2)*IF($M$2="Prices in $/MWh",1,1/1000)</f>
        <v>34.01</v>
      </c>
      <c r="N371" s="75">
        <f>(Matrix_prices!N359+$D$2)*IF($M$2="Prices in $/MWh",1,1/1000)</f>
        <v>35.83</v>
      </c>
    </row>
    <row r="372" spans="3:14" x14ac:dyDescent="0.25">
      <c r="C372" s="78">
        <f>Matrix_prices!C360</f>
        <v>42736</v>
      </c>
      <c r="D372" s="79" t="str">
        <f>Matrix_prices!D360</f>
        <v>MD</v>
      </c>
      <c r="E372" s="80" t="str">
        <f>Matrix_prices!E360</f>
        <v>Potomac Edison</v>
      </c>
      <c r="F372" s="79" t="str">
        <f>Matrix_prices!F360</f>
        <v>GS</v>
      </c>
      <c r="G372" s="80" t="str">
        <f>Matrix_prices!G360</f>
        <v>General Service Small</v>
      </c>
      <c r="H372" s="81" t="str">
        <f t="shared" si="16"/>
        <v>100-500 MWh</v>
      </c>
      <c r="I372" s="80">
        <f>(Matrix_prices!I360+$D$2)*IF($M$2="Prices in $/MWh",1,1/1000)</f>
        <v>72.63</v>
      </c>
      <c r="J372" s="79">
        <f>(Matrix_prices!J360+$D$2)*IF($M$2="Prices in $/MWh",1,1/1000)</f>
        <v>73.37</v>
      </c>
      <c r="K372" s="80">
        <f>(Matrix_prices!K360+$D$2)*IF($M$2="Prices in $/MWh",1,1/1000)</f>
        <v>74.47</v>
      </c>
      <c r="L372" s="79">
        <f>(Matrix_prices!L360+$D$2)*IF($M$2="Prices in $/MWh",1,1/1000)</f>
        <v>31.98</v>
      </c>
      <c r="M372" s="80">
        <f>(Matrix_prices!M360+$D$2)*IF($M$2="Prices in $/MWh",1,1/1000)</f>
        <v>32.409999999999997</v>
      </c>
      <c r="N372" s="79">
        <f>(Matrix_prices!N360+$D$2)*IF($M$2="Prices in $/MWh",1,1/1000)</f>
        <v>34.229999999999997</v>
      </c>
    </row>
    <row r="373" spans="3:14" x14ac:dyDescent="0.25">
      <c r="C373" s="82">
        <f>Matrix_prices!C361</f>
        <v>42736</v>
      </c>
      <c r="D373" s="83" t="str">
        <f>Matrix_prices!D361</f>
        <v>MD</v>
      </c>
      <c r="E373" s="84" t="str">
        <f>Matrix_prices!E361</f>
        <v>Potomac Edison</v>
      </c>
      <c r="F373" s="83" t="str">
        <f>Matrix_prices!F361</f>
        <v>GS</v>
      </c>
      <c r="G373" s="84" t="str">
        <f>Matrix_prices!G361</f>
        <v>General Service Small</v>
      </c>
      <c r="H373" s="85" t="str">
        <f t="shared" si="17"/>
        <v>500-2500 MWh</v>
      </c>
      <c r="I373" s="84">
        <f>(Matrix_prices!I361+$D$2)*IF($M$2="Prices in $/MWh",1,1/1000)</f>
        <v>71.58</v>
      </c>
      <c r="J373" s="83">
        <f>(Matrix_prices!J361+$D$2)*IF($M$2="Prices in $/MWh",1,1/1000)</f>
        <v>72.319999999999993</v>
      </c>
      <c r="K373" s="84">
        <f>(Matrix_prices!K361+$D$2)*IF($M$2="Prices in $/MWh",1,1/1000)</f>
        <v>73.42</v>
      </c>
      <c r="L373" s="83">
        <f>(Matrix_prices!L361+$D$2)*IF($M$2="Prices in $/MWh",1,1/1000)</f>
        <v>30.93</v>
      </c>
      <c r="M373" s="84">
        <f>(Matrix_prices!M361+$D$2)*IF($M$2="Prices in $/MWh",1,1/1000)</f>
        <v>31.36</v>
      </c>
      <c r="N373" s="83">
        <f>(Matrix_prices!N361+$D$2)*IF($M$2="Prices in $/MWh",1,1/1000)</f>
        <v>33.18</v>
      </c>
    </row>
    <row r="374" spans="3:14" x14ac:dyDescent="0.25">
      <c r="C374" s="151">
        <f>Matrix_prices!C362</f>
        <v>42401</v>
      </c>
      <c r="D374" s="152" t="str">
        <f>Matrix_prices!D362</f>
        <v>NJ</v>
      </c>
      <c r="E374" s="153" t="str">
        <f>Matrix_prices!E362</f>
        <v>AECO</v>
      </c>
      <c r="F374" s="152" t="str">
        <f>Matrix_prices!F362</f>
        <v>AGS</v>
      </c>
      <c r="G374" s="153" t="str">
        <f>Matrix_prices!G362</f>
        <v>Annual Gen services</v>
      </c>
      <c r="H374" s="157" t="str">
        <f t="shared" si="15"/>
        <v>0-100 MWh</v>
      </c>
      <c r="I374" s="153">
        <f>(Matrix_prices!I362+$D$2)*IF($M$2="Prices in $/MWh",1,1/1000)</f>
        <v>93.18</v>
      </c>
      <c r="J374" s="152">
        <f>(Matrix_prices!J362+$D$2)*IF($M$2="Prices in $/MWh",1,1/1000)</f>
        <v>93.82</v>
      </c>
      <c r="K374" s="153">
        <f>(Matrix_prices!K362+$D$2)*IF($M$2="Prices in $/MWh",1,1/1000)</f>
        <v>93.12</v>
      </c>
      <c r="L374" s="152">
        <f>(Matrix_prices!L362+$D$2)*IF($M$2="Prices in $/MWh",1,1/1000)</f>
        <v>48.63</v>
      </c>
      <c r="M374" s="153">
        <f>(Matrix_prices!M362+$D$2)*IF($M$2="Prices in $/MWh",1,1/1000)</f>
        <v>49.18</v>
      </c>
      <c r="N374" s="152">
        <f>(Matrix_prices!N362+$D$2)*IF($M$2="Prices in $/MWh",1,1/1000)</f>
        <v>48.92</v>
      </c>
    </row>
    <row r="375" spans="3:14" x14ac:dyDescent="0.25">
      <c r="C375" s="78">
        <f>Matrix_prices!C363</f>
        <v>42401</v>
      </c>
      <c r="D375" s="79" t="str">
        <f>Matrix_prices!D363</f>
        <v>NJ</v>
      </c>
      <c r="E375" s="80" t="str">
        <f>Matrix_prices!E363</f>
        <v>AECO</v>
      </c>
      <c r="F375" s="79" t="str">
        <f>Matrix_prices!F363</f>
        <v>AGS</v>
      </c>
      <c r="G375" s="80" t="str">
        <f>Matrix_prices!G363</f>
        <v>Annual Gen services</v>
      </c>
      <c r="H375" s="81" t="str">
        <f t="shared" si="16"/>
        <v>100-500 MWh</v>
      </c>
      <c r="I375" s="80">
        <f>(Matrix_prices!I363+$D$2)*IF($M$2="Prices in $/MWh",1,1/1000)</f>
        <v>91.47</v>
      </c>
      <c r="J375" s="79">
        <f>(Matrix_prices!J363+$D$2)*IF($M$2="Prices in $/MWh",1,1/1000)</f>
        <v>92.11</v>
      </c>
      <c r="K375" s="80">
        <f>(Matrix_prices!K363+$D$2)*IF($M$2="Prices in $/MWh",1,1/1000)</f>
        <v>91.41</v>
      </c>
      <c r="L375" s="79">
        <f>(Matrix_prices!L363+$D$2)*IF($M$2="Prices in $/MWh",1,1/1000)</f>
        <v>46.92</v>
      </c>
      <c r="M375" s="80">
        <f>(Matrix_prices!M363+$D$2)*IF($M$2="Prices in $/MWh",1,1/1000)</f>
        <v>47.47</v>
      </c>
      <c r="N375" s="79">
        <f>(Matrix_prices!N363+$D$2)*IF($M$2="Prices in $/MWh",1,1/1000)</f>
        <v>47.21</v>
      </c>
    </row>
    <row r="376" spans="3:14" x14ac:dyDescent="0.25">
      <c r="C376" s="82">
        <f>Matrix_prices!C364</f>
        <v>42401</v>
      </c>
      <c r="D376" s="83" t="str">
        <f>Matrix_prices!D364</f>
        <v>NJ</v>
      </c>
      <c r="E376" s="84" t="str">
        <f>Matrix_prices!E364</f>
        <v>AECO</v>
      </c>
      <c r="F376" s="83" t="str">
        <f>Matrix_prices!F364</f>
        <v>AGS</v>
      </c>
      <c r="G376" s="84" t="str">
        <f>Matrix_prices!G364</f>
        <v>Annual Gen services</v>
      </c>
      <c r="H376" s="85" t="str">
        <f t="shared" si="17"/>
        <v>500-2500 MWh</v>
      </c>
      <c r="I376" s="84">
        <f>(Matrix_prices!I364+$D$2)*IF($M$2="Prices in $/MWh",1,1/1000)</f>
        <v>90.35</v>
      </c>
      <c r="J376" s="83">
        <f>(Matrix_prices!J364+$D$2)*IF($M$2="Prices in $/MWh",1,1/1000)</f>
        <v>90.98</v>
      </c>
      <c r="K376" s="84">
        <f>(Matrix_prices!K364+$D$2)*IF($M$2="Prices in $/MWh",1,1/1000)</f>
        <v>90.29</v>
      </c>
      <c r="L376" s="83">
        <f>(Matrix_prices!L364+$D$2)*IF($M$2="Prices in $/MWh",1,1/1000)</f>
        <v>45.79</v>
      </c>
      <c r="M376" s="84">
        <f>(Matrix_prices!M364+$D$2)*IF($M$2="Prices in $/MWh",1,1/1000)</f>
        <v>46.34</v>
      </c>
      <c r="N376" s="83">
        <f>(Matrix_prices!N364+$D$2)*IF($M$2="Prices in $/MWh",1,1/1000)</f>
        <v>46.08</v>
      </c>
    </row>
    <row r="377" spans="3:14" x14ac:dyDescent="0.25">
      <c r="C377" s="74">
        <f>Matrix_prices!C365</f>
        <v>42430</v>
      </c>
      <c r="D377" s="75" t="str">
        <f>Matrix_prices!D365</f>
        <v>NJ</v>
      </c>
      <c r="E377" s="76" t="str">
        <f>Matrix_prices!E365</f>
        <v>AECO</v>
      </c>
      <c r="F377" s="75" t="str">
        <f>Matrix_prices!F365</f>
        <v>AGS</v>
      </c>
      <c r="G377" s="76" t="str">
        <f>Matrix_prices!G365</f>
        <v>Annual Gen services</v>
      </c>
      <c r="H377" s="157" t="str">
        <f t="shared" si="15"/>
        <v>0-100 MWh</v>
      </c>
      <c r="I377" s="76">
        <f>(Matrix_prices!I365+$D$2)*IF($M$2="Prices in $/MWh",1,1/1000)</f>
        <v>93.61</v>
      </c>
      <c r="J377" s="75">
        <f>(Matrix_prices!J365+$D$2)*IF($M$2="Prices in $/MWh",1,1/1000)</f>
        <v>92.77</v>
      </c>
      <c r="K377" s="76">
        <f>(Matrix_prices!K365+$D$2)*IF($M$2="Prices in $/MWh",1,1/1000)</f>
        <v>93.15</v>
      </c>
      <c r="L377" s="75">
        <f>(Matrix_prices!L365+$D$2)*IF($M$2="Prices in $/MWh",1,1/1000)</f>
        <v>48.47</v>
      </c>
      <c r="M377" s="76">
        <f>(Matrix_prices!M365+$D$2)*IF($M$2="Prices in $/MWh",1,1/1000)</f>
        <v>48.34</v>
      </c>
      <c r="N377" s="75">
        <f>(Matrix_prices!N365+$D$2)*IF($M$2="Prices in $/MWh",1,1/1000)</f>
        <v>48.62</v>
      </c>
    </row>
    <row r="378" spans="3:14" x14ac:dyDescent="0.25">
      <c r="C378" s="78">
        <f>Matrix_prices!C366</f>
        <v>42430</v>
      </c>
      <c r="D378" s="79" t="str">
        <f>Matrix_prices!D366</f>
        <v>NJ</v>
      </c>
      <c r="E378" s="80" t="str">
        <f>Matrix_prices!E366</f>
        <v>AECO</v>
      </c>
      <c r="F378" s="79" t="str">
        <f>Matrix_prices!F366</f>
        <v>AGS</v>
      </c>
      <c r="G378" s="80" t="str">
        <f>Matrix_prices!G366</f>
        <v>Annual Gen services</v>
      </c>
      <c r="H378" s="81" t="str">
        <f t="shared" si="16"/>
        <v>100-500 MWh</v>
      </c>
      <c r="I378" s="80">
        <f>(Matrix_prices!I366+$D$2)*IF($M$2="Prices in $/MWh",1,1/1000)</f>
        <v>91.9</v>
      </c>
      <c r="J378" s="79">
        <f>(Matrix_prices!J366+$D$2)*IF($M$2="Prices in $/MWh",1,1/1000)</f>
        <v>91.05</v>
      </c>
      <c r="K378" s="80">
        <f>(Matrix_prices!K366+$D$2)*IF($M$2="Prices in $/MWh",1,1/1000)</f>
        <v>91.44</v>
      </c>
      <c r="L378" s="79">
        <f>(Matrix_prices!L366+$D$2)*IF($M$2="Prices in $/MWh",1,1/1000)</f>
        <v>46.76</v>
      </c>
      <c r="M378" s="80">
        <f>(Matrix_prices!M366+$D$2)*IF($M$2="Prices in $/MWh",1,1/1000)</f>
        <v>46.63</v>
      </c>
      <c r="N378" s="79">
        <f>(Matrix_prices!N366+$D$2)*IF($M$2="Prices in $/MWh",1,1/1000)</f>
        <v>46.91</v>
      </c>
    </row>
    <row r="379" spans="3:14" x14ac:dyDescent="0.25">
      <c r="C379" s="82">
        <f>Matrix_prices!C367</f>
        <v>42430</v>
      </c>
      <c r="D379" s="83" t="str">
        <f>Matrix_prices!D367</f>
        <v>NJ</v>
      </c>
      <c r="E379" s="84" t="str">
        <f>Matrix_prices!E367</f>
        <v>AECO</v>
      </c>
      <c r="F379" s="83" t="str">
        <f>Matrix_prices!F367</f>
        <v>AGS</v>
      </c>
      <c r="G379" s="84" t="str">
        <f>Matrix_prices!G367</f>
        <v>Annual Gen services</v>
      </c>
      <c r="H379" s="85" t="str">
        <f t="shared" si="17"/>
        <v>500-2500 MWh</v>
      </c>
      <c r="I379" s="84">
        <f>(Matrix_prices!I367+$D$2)*IF($M$2="Prices in $/MWh",1,1/1000)</f>
        <v>90.78</v>
      </c>
      <c r="J379" s="83">
        <f>(Matrix_prices!J367+$D$2)*IF($M$2="Prices in $/MWh",1,1/1000)</f>
        <v>89.93</v>
      </c>
      <c r="K379" s="84">
        <f>(Matrix_prices!K367+$D$2)*IF($M$2="Prices in $/MWh",1,1/1000)</f>
        <v>90.32</v>
      </c>
      <c r="L379" s="83">
        <f>(Matrix_prices!L367+$D$2)*IF($M$2="Prices in $/MWh",1,1/1000)</f>
        <v>45.63</v>
      </c>
      <c r="M379" s="84">
        <f>(Matrix_prices!M367+$D$2)*IF($M$2="Prices in $/MWh",1,1/1000)</f>
        <v>45.5</v>
      </c>
      <c r="N379" s="83">
        <f>(Matrix_prices!N367+$D$2)*IF($M$2="Prices in $/MWh",1,1/1000)</f>
        <v>45.78</v>
      </c>
    </row>
    <row r="380" spans="3:14" x14ac:dyDescent="0.25">
      <c r="C380" s="151">
        <f>Matrix_prices!C368</f>
        <v>42461</v>
      </c>
      <c r="D380" s="152" t="str">
        <f>Matrix_prices!D368</f>
        <v>NJ</v>
      </c>
      <c r="E380" s="153" t="str">
        <f>Matrix_prices!E368</f>
        <v>AECO</v>
      </c>
      <c r="F380" s="152" t="str">
        <f>Matrix_prices!F368</f>
        <v>AGS</v>
      </c>
      <c r="G380" s="153" t="str">
        <f>Matrix_prices!G368</f>
        <v>Annual Gen services</v>
      </c>
      <c r="H380" s="157" t="str">
        <f t="shared" si="15"/>
        <v>0-100 MWh</v>
      </c>
      <c r="I380" s="153">
        <f>(Matrix_prices!I368+$D$2)*IF($M$2="Prices in $/MWh",1,1/1000)</f>
        <v>93.9</v>
      </c>
      <c r="J380" s="152">
        <f>(Matrix_prices!J368+$D$2)*IF($M$2="Prices in $/MWh",1,1/1000)</f>
        <v>91.83</v>
      </c>
      <c r="K380" s="153">
        <f>(Matrix_prices!K368+$D$2)*IF($M$2="Prices in $/MWh",1,1/1000)</f>
        <v>93.08</v>
      </c>
      <c r="L380" s="152">
        <f>(Matrix_prices!L368+$D$2)*IF($M$2="Prices in $/MWh",1,1/1000)</f>
        <v>48.76</v>
      </c>
      <c r="M380" s="153">
        <f>(Matrix_prices!M368+$D$2)*IF($M$2="Prices in $/MWh",1,1/1000)</f>
        <v>47.59</v>
      </c>
      <c r="N380" s="152">
        <f>(Matrix_prices!N368+$D$2)*IF($M$2="Prices in $/MWh",1,1/1000)</f>
        <v>48.62</v>
      </c>
    </row>
    <row r="381" spans="3:14" x14ac:dyDescent="0.25">
      <c r="C381" s="78">
        <f>Matrix_prices!C369</f>
        <v>42461</v>
      </c>
      <c r="D381" s="79" t="str">
        <f>Matrix_prices!D369</f>
        <v>NJ</v>
      </c>
      <c r="E381" s="80" t="str">
        <f>Matrix_prices!E369</f>
        <v>AECO</v>
      </c>
      <c r="F381" s="79" t="str">
        <f>Matrix_prices!F369</f>
        <v>AGS</v>
      </c>
      <c r="G381" s="80" t="str">
        <f>Matrix_prices!G369</f>
        <v>Annual Gen services</v>
      </c>
      <c r="H381" s="81" t="str">
        <f t="shared" si="16"/>
        <v>100-500 MWh</v>
      </c>
      <c r="I381" s="80">
        <f>(Matrix_prices!I369+$D$2)*IF($M$2="Prices in $/MWh",1,1/1000)</f>
        <v>92.19</v>
      </c>
      <c r="J381" s="79">
        <f>(Matrix_prices!J369+$D$2)*IF($M$2="Prices in $/MWh",1,1/1000)</f>
        <v>90.12</v>
      </c>
      <c r="K381" s="80">
        <f>(Matrix_prices!K369+$D$2)*IF($M$2="Prices in $/MWh",1,1/1000)</f>
        <v>91.37</v>
      </c>
      <c r="L381" s="79">
        <f>(Matrix_prices!L369+$D$2)*IF($M$2="Prices in $/MWh",1,1/1000)</f>
        <v>47.05</v>
      </c>
      <c r="M381" s="80">
        <f>(Matrix_prices!M369+$D$2)*IF($M$2="Prices in $/MWh",1,1/1000)</f>
        <v>45.88</v>
      </c>
      <c r="N381" s="79">
        <f>(Matrix_prices!N369+$D$2)*IF($M$2="Prices in $/MWh",1,1/1000)</f>
        <v>46.91</v>
      </c>
    </row>
    <row r="382" spans="3:14" x14ac:dyDescent="0.25">
      <c r="C382" s="82">
        <f>Matrix_prices!C370</f>
        <v>42461</v>
      </c>
      <c r="D382" s="83" t="str">
        <f>Matrix_prices!D370</f>
        <v>NJ</v>
      </c>
      <c r="E382" s="84" t="str">
        <f>Matrix_prices!E370</f>
        <v>AECO</v>
      </c>
      <c r="F382" s="83" t="str">
        <f>Matrix_prices!F370</f>
        <v>AGS</v>
      </c>
      <c r="G382" s="84" t="str">
        <f>Matrix_prices!G370</f>
        <v>Annual Gen services</v>
      </c>
      <c r="H382" s="85" t="str">
        <f t="shared" si="17"/>
        <v>500-2500 MWh</v>
      </c>
      <c r="I382" s="84">
        <f>(Matrix_prices!I370+$D$2)*IF($M$2="Prices in $/MWh",1,1/1000)</f>
        <v>91.06</v>
      </c>
      <c r="J382" s="83">
        <f>(Matrix_prices!J370+$D$2)*IF($M$2="Prices in $/MWh",1,1/1000)</f>
        <v>89</v>
      </c>
      <c r="K382" s="84">
        <f>(Matrix_prices!K370+$D$2)*IF($M$2="Prices in $/MWh",1,1/1000)</f>
        <v>90.25</v>
      </c>
      <c r="L382" s="83">
        <f>(Matrix_prices!L370+$D$2)*IF($M$2="Prices in $/MWh",1,1/1000)</f>
        <v>45.92</v>
      </c>
      <c r="M382" s="84">
        <f>(Matrix_prices!M370+$D$2)*IF($M$2="Prices in $/MWh",1,1/1000)</f>
        <v>44.75</v>
      </c>
      <c r="N382" s="83">
        <f>(Matrix_prices!N370+$D$2)*IF($M$2="Prices in $/MWh",1,1/1000)</f>
        <v>45.78</v>
      </c>
    </row>
    <row r="383" spans="3:14" x14ac:dyDescent="0.25">
      <c r="C383" s="74">
        <f>Matrix_prices!C371</f>
        <v>42491</v>
      </c>
      <c r="D383" s="75" t="str">
        <f>Matrix_prices!D371</f>
        <v>NJ</v>
      </c>
      <c r="E383" s="76" t="str">
        <f>Matrix_prices!E371</f>
        <v>AECO</v>
      </c>
      <c r="F383" s="75" t="str">
        <f>Matrix_prices!F371</f>
        <v>AGS</v>
      </c>
      <c r="G383" s="76" t="str">
        <f>Matrix_prices!G371</f>
        <v>Annual Gen services</v>
      </c>
      <c r="H383" s="157" t="str">
        <f t="shared" si="15"/>
        <v>0-100 MWh</v>
      </c>
      <c r="I383" s="76">
        <f>(Matrix_prices!I371+$D$2)*IF($M$2="Prices in $/MWh",1,1/1000)</f>
        <v>93.94</v>
      </c>
      <c r="J383" s="75">
        <f>(Matrix_prices!J371+$D$2)*IF($M$2="Prices in $/MWh",1,1/1000)</f>
        <v>91.49</v>
      </c>
      <c r="K383" s="76">
        <f>(Matrix_prices!K371+$D$2)*IF($M$2="Prices in $/MWh",1,1/1000)</f>
        <v>92.81</v>
      </c>
      <c r="L383" s="75">
        <f>(Matrix_prices!L371+$D$2)*IF($M$2="Prices in $/MWh",1,1/1000)</f>
        <v>48.82</v>
      </c>
      <c r="M383" s="76">
        <f>(Matrix_prices!M371+$D$2)*IF($M$2="Prices in $/MWh",1,1/1000)</f>
        <v>47.47</v>
      </c>
      <c r="N383" s="75">
        <f>(Matrix_prices!N371+$D$2)*IF($M$2="Prices in $/MWh",1,1/1000)</f>
        <v>48.44</v>
      </c>
    </row>
    <row r="384" spans="3:14" x14ac:dyDescent="0.25">
      <c r="C384" s="78">
        <f>Matrix_prices!C372</f>
        <v>42491</v>
      </c>
      <c r="D384" s="79" t="str">
        <f>Matrix_prices!D372</f>
        <v>NJ</v>
      </c>
      <c r="E384" s="80" t="str">
        <f>Matrix_prices!E372</f>
        <v>AECO</v>
      </c>
      <c r="F384" s="79" t="str">
        <f>Matrix_prices!F372</f>
        <v>AGS</v>
      </c>
      <c r="G384" s="80" t="str">
        <f>Matrix_prices!G372</f>
        <v>Annual Gen services</v>
      </c>
      <c r="H384" s="81" t="str">
        <f t="shared" si="16"/>
        <v>100-500 MWh</v>
      </c>
      <c r="I384" s="80">
        <f>(Matrix_prices!I372+$D$2)*IF($M$2="Prices in $/MWh",1,1/1000)</f>
        <v>92.23</v>
      </c>
      <c r="J384" s="79">
        <f>(Matrix_prices!J372+$D$2)*IF($M$2="Prices in $/MWh",1,1/1000)</f>
        <v>89.78</v>
      </c>
      <c r="K384" s="80">
        <f>(Matrix_prices!K372+$D$2)*IF($M$2="Prices in $/MWh",1,1/1000)</f>
        <v>91.09</v>
      </c>
      <c r="L384" s="79">
        <f>(Matrix_prices!L372+$D$2)*IF($M$2="Prices in $/MWh",1,1/1000)</f>
        <v>47.11</v>
      </c>
      <c r="M384" s="80">
        <f>(Matrix_prices!M372+$D$2)*IF($M$2="Prices in $/MWh",1,1/1000)</f>
        <v>45.76</v>
      </c>
      <c r="N384" s="79">
        <f>(Matrix_prices!N372+$D$2)*IF($M$2="Prices in $/MWh",1,1/1000)</f>
        <v>46.73</v>
      </c>
    </row>
    <row r="385" spans="3:14" x14ac:dyDescent="0.25">
      <c r="C385" s="82">
        <f>Matrix_prices!C373</f>
        <v>42491</v>
      </c>
      <c r="D385" s="83" t="str">
        <f>Matrix_prices!D373</f>
        <v>NJ</v>
      </c>
      <c r="E385" s="84" t="str">
        <f>Matrix_prices!E373</f>
        <v>AECO</v>
      </c>
      <c r="F385" s="83" t="str">
        <f>Matrix_prices!F373</f>
        <v>AGS</v>
      </c>
      <c r="G385" s="84" t="str">
        <f>Matrix_prices!G373</f>
        <v>Annual Gen services</v>
      </c>
      <c r="H385" s="85" t="str">
        <f t="shared" si="17"/>
        <v>500-2500 MWh</v>
      </c>
      <c r="I385" s="84">
        <f>(Matrix_prices!I373+$D$2)*IF($M$2="Prices in $/MWh",1,1/1000)</f>
        <v>91.1</v>
      </c>
      <c r="J385" s="83">
        <f>(Matrix_prices!J373+$D$2)*IF($M$2="Prices in $/MWh",1,1/1000)</f>
        <v>88.66</v>
      </c>
      <c r="K385" s="84">
        <f>(Matrix_prices!K373+$D$2)*IF($M$2="Prices in $/MWh",1,1/1000)</f>
        <v>89.97</v>
      </c>
      <c r="L385" s="83">
        <f>(Matrix_prices!L373+$D$2)*IF($M$2="Prices in $/MWh",1,1/1000)</f>
        <v>45.98</v>
      </c>
      <c r="M385" s="84">
        <f>(Matrix_prices!M373+$D$2)*IF($M$2="Prices in $/MWh",1,1/1000)</f>
        <v>44.63</v>
      </c>
      <c r="N385" s="83">
        <f>(Matrix_prices!N373+$D$2)*IF($M$2="Prices in $/MWh",1,1/1000)</f>
        <v>45.6</v>
      </c>
    </row>
    <row r="386" spans="3:14" x14ac:dyDescent="0.25">
      <c r="C386" s="151">
        <f>Matrix_prices!C374</f>
        <v>42522</v>
      </c>
      <c r="D386" s="152" t="str">
        <f>Matrix_prices!D374</f>
        <v>NJ</v>
      </c>
      <c r="E386" s="153" t="str">
        <f>Matrix_prices!E374</f>
        <v>AECO</v>
      </c>
      <c r="F386" s="152" t="str">
        <f>Matrix_prices!F374</f>
        <v>AGS</v>
      </c>
      <c r="G386" s="153" t="str">
        <f>Matrix_prices!G374</f>
        <v>Annual Gen services</v>
      </c>
      <c r="H386" s="157" t="str">
        <f t="shared" si="15"/>
        <v>0-100 MWh</v>
      </c>
      <c r="I386" s="153">
        <f>(Matrix_prices!I374+$D$2)*IF($M$2="Prices in $/MWh",1,1/1000)</f>
        <v>93.89</v>
      </c>
      <c r="J386" s="152">
        <f>(Matrix_prices!J374+$D$2)*IF($M$2="Prices in $/MWh",1,1/1000)</f>
        <v>91.39</v>
      </c>
      <c r="K386" s="153">
        <f>(Matrix_prices!K374+$D$2)*IF($M$2="Prices in $/MWh",1,1/1000)</f>
        <v>92.62</v>
      </c>
      <c r="L386" s="152">
        <f>(Matrix_prices!L374+$D$2)*IF($M$2="Prices in $/MWh",1,1/1000)</f>
        <v>48.86</v>
      </c>
      <c r="M386" s="153">
        <f>(Matrix_prices!M374+$D$2)*IF($M$2="Prices in $/MWh",1,1/1000)</f>
        <v>47.55</v>
      </c>
      <c r="N386" s="152">
        <f>(Matrix_prices!N374+$D$2)*IF($M$2="Prices in $/MWh",1,1/1000)</f>
        <v>48.34</v>
      </c>
    </row>
    <row r="387" spans="3:14" x14ac:dyDescent="0.25">
      <c r="C387" s="78">
        <f>Matrix_prices!C375</f>
        <v>42522</v>
      </c>
      <c r="D387" s="79" t="str">
        <f>Matrix_prices!D375</f>
        <v>NJ</v>
      </c>
      <c r="E387" s="80" t="str">
        <f>Matrix_prices!E375</f>
        <v>AECO</v>
      </c>
      <c r="F387" s="79" t="str">
        <f>Matrix_prices!F375</f>
        <v>AGS</v>
      </c>
      <c r="G387" s="80" t="str">
        <f>Matrix_prices!G375</f>
        <v>Annual Gen services</v>
      </c>
      <c r="H387" s="81" t="str">
        <f t="shared" si="16"/>
        <v>100-500 MWh</v>
      </c>
      <c r="I387" s="80">
        <f>(Matrix_prices!I375+$D$2)*IF($M$2="Prices in $/MWh",1,1/1000)</f>
        <v>92.18</v>
      </c>
      <c r="J387" s="79">
        <f>(Matrix_prices!J375+$D$2)*IF($M$2="Prices in $/MWh",1,1/1000)</f>
        <v>89.68</v>
      </c>
      <c r="K387" s="80">
        <f>(Matrix_prices!K375+$D$2)*IF($M$2="Prices in $/MWh",1,1/1000)</f>
        <v>90.91</v>
      </c>
      <c r="L387" s="79">
        <f>(Matrix_prices!L375+$D$2)*IF($M$2="Prices in $/MWh",1,1/1000)</f>
        <v>47.15</v>
      </c>
      <c r="M387" s="80">
        <f>(Matrix_prices!M375+$D$2)*IF($M$2="Prices in $/MWh",1,1/1000)</f>
        <v>45.84</v>
      </c>
      <c r="N387" s="79">
        <f>(Matrix_prices!N375+$D$2)*IF($M$2="Prices in $/MWh",1,1/1000)</f>
        <v>46.63</v>
      </c>
    </row>
    <row r="388" spans="3:14" x14ac:dyDescent="0.25">
      <c r="C388" s="82">
        <f>Matrix_prices!C376</f>
        <v>42522</v>
      </c>
      <c r="D388" s="83" t="str">
        <f>Matrix_prices!D376</f>
        <v>NJ</v>
      </c>
      <c r="E388" s="84" t="str">
        <f>Matrix_prices!E376</f>
        <v>AECO</v>
      </c>
      <c r="F388" s="83" t="str">
        <f>Matrix_prices!F376</f>
        <v>AGS</v>
      </c>
      <c r="G388" s="84" t="str">
        <f>Matrix_prices!G376</f>
        <v>Annual Gen services</v>
      </c>
      <c r="H388" s="85" t="str">
        <f t="shared" si="17"/>
        <v>500-2500 MWh</v>
      </c>
      <c r="I388" s="84">
        <f>(Matrix_prices!I376+$D$2)*IF($M$2="Prices in $/MWh",1,1/1000)</f>
        <v>91.05</v>
      </c>
      <c r="J388" s="83">
        <f>(Matrix_prices!J376+$D$2)*IF($M$2="Prices in $/MWh",1,1/1000)</f>
        <v>88.55</v>
      </c>
      <c r="K388" s="84">
        <f>(Matrix_prices!K376+$D$2)*IF($M$2="Prices in $/MWh",1,1/1000)</f>
        <v>89.78</v>
      </c>
      <c r="L388" s="83">
        <f>(Matrix_prices!L376+$D$2)*IF($M$2="Prices in $/MWh",1,1/1000)</f>
        <v>46.02</v>
      </c>
      <c r="M388" s="84">
        <f>(Matrix_prices!M376+$D$2)*IF($M$2="Prices in $/MWh",1,1/1000)</f>
        <v>44.71</v>
      </c>
      <c r="N388" s="83">
        <f>(Matrix_prices!N376+$D$2)*IF($M$2="Prices in $/MWh",1,1/1000)</f>
        <v>45.5</v>
      </c>
    </row>
    <row r="389" spans="3:14" x14ac:dyDescent="0.25">
      <c r="C389" s="74">
        <f>Matrix_prices!C377</f>
        <v>42552</v>
      </c>
      <c r="D389" s="75" t="str">
        <f>Matrix_prices!D377</f>
        <v>NJ</v>
      </c>
      <c r="E389" s="76" t="str">
        <f>Matrix_prices!E377</f>
        <v>AECO</v>
      </c>
      <c r="F389" s="75" t="str">
        <f>Matrix_prices!F377</f>
        <v>AGS</v>
      </c>
      <c r="G389" s="76" t="str">
        <f>Matrix_prices!G377</f>
        <v>Annual Gen services</v>
      </c>
      <c r="H389" s="157" t="str">
        <f t="shared" si="15"/>
        <v>0-100 MWh</v>
      </c>
      <c r="I389" s="76">
        <f>(Matrix_prices!I377+$D$2)*IF($M$2="Prices in $/MWh",1,1/1000)</f>
        <v>93.91</v>
      </c>
      <c r="J389" s="75">
        <f>(Matrix_prices!J377+$D$2)*IF($M$2="Prices in $/MWh",1,1/1000)</f>
        <v>91.83</v>
      </c>
      <c r="K389" s="76">
        <f>(Matrix_prices!K377+$D$2)*IF($M$2="Prices in $/MWh",1,1/1000)</f>
        <v>92.41</v>
      </c>
      <c r="L389" s="75">
        <f>(Matrix_prices!L377+$D$2)*IF($M$2="Prices in $/MWh",1,1/1000)</f>
        <v>48.98</v>
      </c>
      <c r="M389" s="76">
        <f>(Matrix_prices!M377+$D$2)*IF($M$2="Prices in $/MWh",1,1/1000)</f>
        <v>48.21</v>
      </c>
      <c r="N389" s="75">
        <f>(Matrix_prices!N377+$D$2)*IF($M$2="Prices in $/MWh",1,1/1000)</f>
        <v>48.28</v>
      </c>
    </row>
    <row r="390" spans="3:14" x14ac:dyDescent="0.25">
      <c r="C390" s="78">
        <f>Matrix_prices!C378</f>
        <v>42552</v>
      </c>
      <c r="D390" s="79" t="str">
        <f>Matrix_prices!D378</f>
        <v>NJ</v>
      </c>
      <c r="E390" s="80" t="str">
        <f>Matrix_prices!E378</f>
        <v>AECO</v>
      </c>
      <c r="F390" s="79" t="str">
        <f>Matrix_prices!F378</f>
        <v>AGS</v>
      </c>
      <c r="G390" s="80" t="str">
        <f>Matrix_prices!G378</f>
        <v>Annual Gen services</v>
      </c>
      <c r="H390" s="81" t="str">
        <f t="shared" si="16"/>
        <v>100-500 MWh</v>
      </c>
      <c r="I390" s="80">
        <f>(Matrix_prices!I378+$D$2)*IF($M$2="Prices in $/MWh",1,1/1000)</f>
        <v>92.19</v>
      </c>
      <c r="J390" s="79">
        <f>(Matrix_prices!J378+$D$2)*IF($M$2="Prices in $/MWh",1,1/1000)</f>
        <v>90.11</v>
      </c>
      <c r="K390" s="80">
        <f>(Matrix_prices!K378+$D$2)*IF($M$2="Prices in $/MWh",1,1/1000)</f>
        <v>90.7</v>
      </c>
      <c r="L390" s="79">
        <f>(Matrix_prices!L378+$D$2)*IF($M$2="Prices in $/MWh",1,1/1000)</f>
        <v>47.27</v>
      </c>
      <c r="M390" s="80">
        <f>(Matrix_prices!M378+$D$2)*IF($M$2="Prices in $/MWh",1,1/1000)</f>
        <v>46.5</v>
      </c>
      <c r="N390" s="79">
        <f>(Matrix_prices!N378+$D$2)*IF($M$2="Prices in $/MWh",1,1/1000)</f>
        <v>46.57</v>
      </c>
    </row>
    <row r="391" spans="3:14" x14ac:dyDescent="0.25">
      <c r="C391" s="82">
        <f>Matrix_prices!C379</f>
        <v>42552</v>
      </c>
      <c r="D391" s="83" t="str">
        <f>Matrix_prices!D379</f>
        <v>NJ</v>
      </c>
      <c r="E391" s="84" t="str">
        <f>Matrix_prices!E379</f>
        <v>AECO</v>
      </c>
      <c r="F391" s="83" t="str">
        <f>Matrix_prices!F379</f>
        <v>AGS</v>
      </c>
      <c r="G391" s="84" t="str">
        <f>Matrix_prices!G379</f>
        <v>Annual Gen services</v>
      </c>
      <c r="H391" s="85" t="str">
        <f t="shared" si="17"/>
        <v>500-2500 MWh</v>
      </c>
      <c r="I391" s="84">
        <f>(Matrix_prices!I379+$D$2)*IF($M$2="Prices in $/MWh",1,1/1000)</f>
        <v>91.07</v>
      </c>
      <c r="J391" s="83">
        <f>(Matrix_prices!J379+$D$2)*IF($M$2="Prices in $/MWh",1,1/1000)</f>
        <v>88.99</v>
      </c>
      <c r="K391" s="84">
        <f>(Matrix_prices!K379+$D$2)*IF($M$2="Prices in $/MWh",1,1/1000)</f>
        <v>89.58</v>
      </c>
      <c r="L391" s="83">
        <f>(Matrix_prices!L379+$D$2)*IF($M$2="Prices in $/MWh",1,1/1000)</f>
        <v>46.14</v>
      </c>
      <c r="M391" s="84">
        <f>(Matrix_prices!M379+$D$2)*IF($M$2="Prices in $/MWh",1,1/1000)</f>
        <v>45.38</v>
      </c>
      <c r="N391" s="83">
        <f>(Matrix_prices!N379+$D$2)*IF($M$2="Prices in $/MWh",1,1/1000)</f>
        <v>45.45</v>
      </c>
    </row>
    <row r="392" spans="3:14" x14ac:dyDescent="0.25">
      <c r="C392" s="151">
        <f>Matrix_prices!C380</f>
        <v>42583</v>
      </c>
      <c r="D392" s="152" t="str">
        <f>Matrix_prices!D380</f>
        <v>NJ</v>
      </c>
      <c r="E392" s="153" t="str">
        <f>Matrix_prices!E380</f>
        <v>AECO</v>
      </c>
      <c r="F392" s="152" t="str">
        <f>Matrix_prices!F380</f>
        <v>AGS</v>
      </c>
      <c r="G392" s="153" t="str">
        <f>Matrix_prices!G380</f>
        <v>Annual Gen services</v>
      </c>
      <c r="H392" s="157" t="str">
        <f t="shared" si="15"/>
        <v>0-100 MWh</v>
      </c>
      <c r="I392" s="153">
        <f>(Matrix_prices!I380+$D$2)*IF($M$2="Prices in $/MWh",1,1/1000)</f>
        <v>93.85</v>
      </c>
      <c r="J392" s="152">
        <f>(Matrix_prices!J380+$D$2)*IF($M$2="Prices in $/MWh",1,1/1000)</f>
        <v>92.92</v>
      </c>
      <c r="K392" s="153">
        <f>(Matrix_prices!K380+$D$2)*IF($M$2="Prices in $/MWh",1,1/1000)</f>
        <v>92.38</v>
      </c>
      <c r="L392" s="152">
        <f>(Matrix_prices!L380+$D$2)*IF($M$2="Prices in $/MWh",1,1/1000)</f>
        <v>49.18</v>
      </c>
      <c r="M392" s="153">
        <f>(Matrix_prices!M380+$D$2)*IF($M$2="Prices in $/MWh",1,1/1000)</f>
        <v>48.84</v>
      </c>
      <c r="N392" s="152">
        <f>(Matrix_prices!N380+$D$2)*IF($M$2="Prices in $/MWh",1,1/1000)</f>
        <v>48.26</v>
      </c>
    </row>
    <row r="393" spans="3:14" x14ac:dyDescent="0.25">
      <c r="C393" s="78">
        <f>Matrix_prices!C381</f>
        <v>42583</v>
      </c>
      <c r="D393" s="79" t="str">
        <f>Matrix_prices!D381</f>
        <v>NJ</v>
      </c>
      <c r="E393" s="80" t="str">
        <f>Matrix_prices!E381</f>
        <v>AECO</v>
      </c>
      <c r="F393" s="79" t="str">
        <f>Matrix_prices!F381</f>
        <v>AGS</v>
      </c>
      <c r="G393" s="80" t="str">
        <f>Matrix_prices!G381</f>
        <v>Annual Gen services</v>
      </c>
      <c r="H393" s="81" t="str">
        <f t="shared" si="16"/>
        <v>100-500 MWh</v>
      </c>
      <c r="I393" s="80">
        <f>(Matrix_prices!I381+$D$2)*IF($M$2="Prices in $/MWh",1,1/1000)</f>
        <v>92.14</v>
      </c>
      <c r="J393" s="79">
        <f>(Matrix_prices!J381+$D$2)*IF($M$2="Prices in $/MWh",1,1/1000)</f>
        <v>91.2</v>
      </c>
      <c r="K393" s="80">
        <f>(Matrix_prices!K381+$D$2)*IF($M$2="Prices in $/MWh",1,1/1000)</f>
        <v>90.67</v>
      </c>
      <c r="L393" s="79">
        <f>(Matrix_prices!L381+$D$2)*IF($M$2="Prices in $/MWh",1,1/1000)</f>
        <v>47.47</v>
      </c>
      <c r="M393" s="80">
        <f>(Matrix_prices!M381+$D$2)*IF($M$2="Prices in $/MWh",1,1/1000)</f>
        <v>47.13</v>
      </c>
      <c r="N393" s="79">
        <f>(Matrix_prices!N381+$D$2)*IF($M$2="Prices in $/MWh",1,1/1000)</f>
        <v>46.55</v>
      </c>
    </row>
    <row r="394" spans="3:14" x14ac:dyDescent="0.25">
      <c r="C394" s="82">
        <f>Matrix_prices!C382</f>
        <v>42583</v>
      </c>
      <c r="D394" s="83" t="str">
        <f>Matrix_prices!D382</f>
        <v>NJ</v>
      </c>
      <c r="E394" s="84" t="str">
        <f>Matrix_prices!E382</f>
        <v>AECO</v>
      </c>
      <c r="F394" s="83" t="str">
        <f>Matrix_prices!F382</f>
        <v>AGS</v>
      </c>
      <c r="G394" s="84" t="str">
        <f>Matrix_prices!G382</f>
        <v>Annual Gen services</v>
      </c>
      <c r="H394" s="85" t="str">
        <f t="shared" si="17"/>
        <v>500-2500 MWh</v>
      </c>
      <c r="I394" s="84">
        <f>(Matrix_prices!I382+$D$2)*IF($M$2="Prices in $/MWh",1,1/1000)</f>
        <v>91.02</v>
      </c>
      <c r="J394" s="83">
        <f>(Matrix_prices!J382+$D$2)*IF($M$2="Prices in $/MWh",1,1/1000)</f>
        <v>90.08</v>
      </c>
      <c r="K394" s="84">
        <f>(Matrix_prices!K382+$D$2)*IF($M$2="Prices in $/MWh",1,1/1000)</f>
        <v>89.54</v>
      </c>
      <c r="L394" s="83">
        <f>(Matrix_prices!L382+$D$2)*IF($M$2="Prices in $/MWh",1,1/1000)</f>
        <v>46.34</v>
      </c>
      <c r="M394" s="84">
        <f>(Matrix_prices!M382+$D$2)*IF($M$2="Prices in $/MWh",1,1/1000)</f>
        <v>46</v>
      </c>
      <c r="N394" s="83">
        <f>(Matrix_prices!N382+$D$2)*IF($M$2="Prices in $/MWh",1,1/1000)</f>
        <v>45.42</v>
      </c>
    </row>
    <row r="395" spans="3:14" x14ac:dyDescent="0.25">
      <c r="C395" s="74">
        <f>Matrix_prices!C383</f>
        <v>42614</v>
      </c>
      <c r="D395" s="75" t="str">
        <f>Matrix_prices!D383</f>
        <v>NJ</v>
      </c>
      <c r="E395" s="76" t="str">
        <f>Matrix_prices!E383</f>
        <v>AECO</v>
      </c>
      <c r="F395" s="75" t="str">
        <f>Matrix_prices!F383</f>
        <v>AGS</v>
      </c>
      <c r="G395" s="76" t="str">
        <f>Matrix_prices!G383</f>
        <v>Annual Gen services</v>
      </c>
      <c r="H395" s="157" t="str">
        <f t="shared" si="15"/>
        <v>0-100 MWh</v>
      </c>
      <c r="I395" s="76">
        <f>(Matrix_prices!I383+$D$2)*IF($M$2="Prices in $/MWh",1,1/1000)</f>
        <v>93.78</v>
      </c>
      <c r="J395" s="75">
        <f>(Matrix_prices!J383+$D$2)*IF($M$2="Prices in $/MWh",1,1/1000)</f>
        <v>93.96</v>
      </c>
      <c r="K395" s="76">
        <f>(Matrix_prices!K383+$D$2)*IF($M$2="Prices in $/MWh",1,1/1000)</f>
        <v>92.33</v>
      </c>
      <c r="L395" s="75">
        <f>(Matrix_prices!L383+$D$2)*IF($M$2="Prices in $/MWh",1,1/1000)</f>
        <v>49.37</v>
      </c>
      <c r="M395" s="76">
        <f>(Matrix_prices!M383+$D$2)*IF($M$2="Prices in $/MWh",1,1/1000)</f>
        <v>49.39</v>
      </c>
      <c r="N395" s="75">
        <f>(Matrix_prices!N383+$D$2)*IF($M$2="Prices in $/MWh",1,1/1000)</f>
        <v>48.37</v>
      </c>
    </row>
    <row r="396" spans="3:14" x14ac:dyDescent="0.25">
      <c r="C396" s="78">
        <f>Matrix_prices!C384</f>
        <v>42614</v>
      </c>
      <c r="D396" s="79" t="str">
        <f>Matrix_prices!D384</f>
        <v>NJ</v>
      </c>
      <c r="E396" s="80" t="str">
        <f>Matrix_prices!E384</f>
        <v>AECO</v>
      </c>
      <c r="F396" s="79" t="str">
        <f>Matrix_prices!F384</f>
        <v>AGS</v>
      </c>
      <c r="G396" s="80" t="str">
        <f>Matrix_prices!G384</f>
        <v>Annual Gen services</v>
      </c>
      <c r="H396" s="81" t="str">
        <f t="shared" si="16"/>
        <v>100-500 MWh</v>
      </c>
      <c r="I396" s="80">
        <f>(Matrix_prices!I384+$D$2)*IF($M$2="Prices in $/MWh",1,1/1000)</f>
        <v>92.07</v>
      </c>
      <c r="J396" s="79">
        <f>(Matrix_prices!J384+$D$2)*IF($M$2="Prices in $/MWh",1,1/1000)</f>
        <v>92.25</v>
      </c>
      <c r="K396" s="80">
        <f>(Matrix_prices!K384+$D$2)*IF($M$2="Prices in $/MWh",1,1/1000)</f>
        <v>90.62</v>
      </c>
      <c r="L396" s="79">
        <f>(Matrix_prices!L384+$D$2)*IF($M$2="Prices in $/MWh",1,1/1000)</f>
        <v>47.66</v>
      </c>
      <c r="M396" s="80">
        <f>(Matrix_prices!M384+$D$2)*IF($M$2="Prices in $/MWh",1,1/1000)</f>
        <v>47.68</v>
      </c>
      <c r="N396" s="79">
        <f>(Matrix_prices!N384+$D$2)*IF($M$2="Prices in $/MWh",1,1/1000)</f>
        <v>46.66</v>
      </c>
    </row>
    <row r="397" spans="3:14" x14ac:dyDescent="0.25">
      <c r="C397" s="82">
        <f>Matrix_prices!C385</f>
        <v>42614</v>
      </c>
      <c r="D397" s="83" t="str">
        <f>Matrix_prices!D385</f>
        <v>NJ</v>
      </c>
      <c r="E397" s="84" t="str">
        <f>Matrix_prices!E385</f>
        <v>AECO</v>
      </c>
      <c r="F397" s="83" t="str">
        <f>Matrix_prices!F385</f>
        <v>AGS</v>
      </c>
      <c r="G397" s="84" t="str">
        <f>Matrix_prices!G385</f>
        <v>Annual Gen services</v>
      </c>
      <c r="H397" s="85" t="str">
        <f t="shared" si="17"/>
        <v>500-2500 MWh</v>
      </c>
      <c r="I397" s="84">
        <f>(Matrix_prices!I385+$D$2)*IF($M$2="Prices in $/MWh",1,1/1000)</f>
        <v>90.95</v>
      </c>
      <c r="J397" s="83">
        <f>(Matrix_prices!J385+$D$2)*IF($M$2="Prices in $/MWh",1,1/1000)</f>
        <v>91.12</v>
      </c>
      <c r="K397" s="84">
        <f>(Matrix_prices!K385+$D$2)*IF($M$2="Prices in $/MWh",1,1/1000)</f>
        <v>89.49</v>
      </c>
      <c r="L397" s="83">
        <f>(Matrix_prices!L385+$D$2)*IF($M$2="Prices in $/MWh",1,1/1000)</f>
        <v>46.53</v>
      </c>
      <c r="M397" s="84">
        <f>(Matrix_prices!M385+$D$2)*IF($M$2="Prices in $/MWh",1,1/1000)</f>
        <v>46.55</v>
      </c>
      <c r="N397" s="83">
        <f>(Matrix_prices!N385+$D$2)*IF($M$2="Prices in $/MWh",1,1/1000)</f>
        <v>45.53</v>
      </c>
    </row>
    <row r="398" spans="3:14" x14ac:dyDescent="0.25">
      <c r="C398" s="151">
        <f>Matrix_prices!C386</f>
        <v>42644</v>
      </c>
      <c r="D398" s="152" t="str">
        <f>Matrix_prices!D386</f>
        <v>NJ</v>
      </c>
      <c r="E398" s="153" t="str">
        <f>Matrix_prices!E386</f>
        <v>AECO</v>
      </c>
      <c r="F398" s="152" t="str">
        <f>Matrix_prices!F386</f>
        <v>AGS</v>
      </c>
      <c r="G398" s="153" t="str">
        <f>Matrix_prices!G386</f>
        <v>Annual Gen services</v>
      </c>
      <c r="H398" s="157" t="str">
        <f t="shared" si="15"/>
        <v>0-100 MWh</v>
      </c>
      <c r="I398" s="153">
        <f>(Matrix_prices!I386+$D$2)*IF($M$2="Prices in $/MWh",1,1/1000)</f>
        <v>93.82</v>
      </c>
      <c r="J398" s="152">
        <f>(Matrix_prices!J386+$D$2)*IF($M$2="Prices in $/MWh",1,1/1000)</f>
        <v>94.84</v>
      </c>
      <c r="K398" s="153">
        <f>(Matrix_prices!K386+$D$2)*IF($M$2="Prices in $/MWh",1,1/1000)</f>
        <v>92.06</v>
      </c>
      <c r="L398" s="152">
        <f>(Matrix_prices!L386+$D$2)*IF($M$2="Prices in $/MWh",1,1/1000)</f>
        <v>49.64</v>
      </c>
      <c r="M398" s="153">
        <f>(Matrix_prices!M386+$D$2)*IF($M$2="Prices in $/MWh",1,1/1000)</f>
        <v>50.35</v>
      </c>
      <c r="N398" s="152">
        <f>(Matrix_prices!N386+$D$2)*IF($M$2="Prices in $/MWh",1,1/1000)</f>
        <v>48.34</v>
      </c>
    </row>
    <row r="399" spans="3:14" x14ac:dyDescent="0.25">
      <c r="C399" s="78">
        <f>Matrix_prices!C387</f>
        <v>42644</v>
      </c>
      <c r="D399" s="79" t="str">
        <f>Matrix_prices!D387</f>
        <v>NJ</v>
      </c>
      <c r="E399" s="80" t="str">
        <f>Matrix_prices!E387</f>
        <v>AECO</v>
      </c>
      <c r="F399" s="79" t="str">
        <f>Matrix_prices!F387</f>
        <v>AGS</v>
      </c>
      <c r="G399" s="80" t="str">
        <f>Matrix_prices!G387</f>
        <v>Annual Gen services</v>
      </c>
      <c r="H399" s="81" t="str">
        <f t="shared" si="16"/>
        <v>100-500 MWh</v>
      </c>
      <c r="I399" s="80">
        <f>(Matrix_prices!I387+$D$2)*IF($M$2="Prices in $/MWh",1,1/1000)</f>
        <v>92.11</v>
      </c>
      <c r="J399" s="79">
        <f>(Matrix_prices!J387+$D$2)*IF($M$2="Prices in $/MWh",1,1/1000)</f>
        <v>93.12</v>
      </c>
      <c r="K399" s="80">
        <f>(Matrix_prices!K387+$D$2)*IF($M$2="Prices in $/MWh",1,1/1000)</f>
        <v>90.35</v>
      </c>
      <c r="L399" s="79">
        <f>(Matrix_prices!L387+$D$2)*IF($M$2="Prices in $/MWh",1,1/1000)</f>
        <v>47.93</v>
      </c>
      <c r="M399" s="80">
        <f>(Matrix_prices!M387+$D$2)*IF($M$2="Prices in $/MWh",1,1/1000)</f>
        <v>48.64</v>
      </c>
      <c r="N399" s="79">
        <f>(Matrix_prices!N387+$D$2)*IF($M$2="Prices in $/MWh",1,1/1000)</f>
        <v>46.63</v>
      </c>
    </row>
    <row r="400" spans="3:14" x14ac:dyDescent="0.25">
      <c r="C400" s="82">
        <f>Matrix_prices!C388</f>
        <v>42644</v>
      </c>
      <c r="D400" s="83" t="str">
        <f>Matrix_prices!D388</f>
        <v>NJ</v>
      </c>
      <c r="E400" s="84" t="str">
        <f>Matrix_prices!E388</f>
        <v>AECO</v>
      </c>
      <c r="F400" s="83" t="str">
        <f>Matrix_prices!F388</f>
        <v>AGS</v>
      </c>
      <c r="G400" s="84" t="str">
        <f>Matrix_prices!G388</f>
        <v>Annual Gen services</v>
      </c>
      <c r="H400" s="85" t="str">
        <f t="shared" si="17"/>
        <v>500-2500 MWh</v>
      </c>
      <c r="I400" s="84">
        <f>(Matrix_prices!I388+$D$2)*IF($M$2="Prices in $/MWh",1,1/1000)</f>
        <v>90.99</v>
      </c>
      <c r="J400" s="83">
        <f>(Matrix_prices!J388+$D$2)*IF($M$2="Prices in $/MWh",1,1/1000)</f>
        <v>92</v>
      </c>
      <c r="K400" s="84">
        <f>(Matrix_prices!K388+$D$2)*IF($M$2="Prices in $/MWh",1,1/1000)</f>
        <v>89.23</v>
      </c>
      <c r="L400" s="83">
        <f>(Matrix_prices!L388+$D$2)*IF($M$2="Prices in $/MWh",1,1/1000)</f>
        <v>46.8</v>
      </c>
      <c r="M400" s="84">
        <f>(Matrix_prices!M388+$D$2)*IF($M$2="Prices in $/MWh",1,1/1000)</f>
        <v>47.51</v>
      </c>
      <c r="N400" s="83">
        <f>(Matrix_prices!N388+$D$2)*IF($M$2="Prices in $/MWh",1,1/1000)</f>
        <v>45.5</v>
      </c>
    </row>
    <row r="401" spans="3:14" x14ac:dyDescent="0.25">
      <c r="C401" s="74">
        <f>Matrix_prices!C389</f>
        <v>42675</v>
      </c>
      <c r="D401" s="75" t="str">
        <f>Matrix_prices!D389</f>
        <v>NJ</v>
      </c>
      <c r="E401" s="76" t="str">
        <f>Matrix_prices!E389</f>
        <v>AECO</v>
      </c>
      <c r="F401" s="75" t="str">
        <f>Matrix_prices!F389</f>
        <v>AGS</v>
      </c>
      <c r="G401" s="76" t="str">
        <f>Matrix_prices!G389</f>
        <v>Annual Gen services</v>
      </c>
      <c r="H401" s="157" t="str">
        <f t="shared" ref="H401:H464" si="18">IF($M$2="Prices in $/MWh","0-100 MWh","0-100,000 kWh")</f>
        <v>0-100 MWh</v>
      </c>
      <c r="I401" s="76">
        <f>(Matrix_prices!I389+$D$2)*IF($M$2="Prices in $/MWh",1,1/1000)</f>
        <v>93.77</v>
      </c>
      <c r="J401" s="75">
        <f>(Matrix_prices!J389+$D$2)*IF($M$2="Prices in $/MWh",1,1/1000)</f>
        <v>94.77</v>
      </c>
      <c r="K401" s="76">
        <f>(Matrix_prices!K389+$D$2)*IF($M$2="Prices in $/MWh",1,1/1000)</f>
        <v>91.87</v>
      </c>
      <c r="L401" s="75">
        <f>(Matrix_prices!L389+$D$2)*IF($M$2="Prices in $/MWh",1,1/1000)</f>
        <v>49.78</v>
      </c>
      <c r="M401" s="76">
        <f>(Matrix_prices!M389+$D$2)*IF($M$2="Prices in $/MWh",1,1/1000)</f>
        <v>50.29</v>
      </c>
      <c r="N401" s="75">
        <f>(Matrix_prices!N389+$D$2)*IF($M$2="Prices in $/MWh",1,1/1000)</f>
        <v>48.32</v>
      </c>
    </row>
    <row r="402" spans="3:14" x14ac:dyDescent="0.25">
      <c r="C402" s="78">
        <f>Matrix_prices!C390</f>
        <v>42675</v>
      </c>
      <c r="D402" s="79" t="str">
        <f>Matrix_prices!D390</f>
        <v>NJ</v>
      </c>
      <c r="E402" s="80" t="str">
        <f>Matrix_prices!E390</f>
        <v>AECO</v>
      </c>
      <c r="F402" s="79" t="str">
        <f>Matrix_prices!F390</f>
        <v>AGS</v>
      </c>
      <c r="G402" s="80" t="str">
        <f>Matrix_prices!G390</f>
        <v>Annual Gen services</v>
      </c>
      <c r="H402" s="81" t="str">
        <f t="shared" ref="H402:H465" si="19">IF($M$2="Prices in $/MWh","100-500 MWh","100,000-500,000 kWh")</f>
        <v>100-500 MWh</v>
      </c>
      <c r="I402" s="80">
        <f>(Matrix_prices!I390+$D$2)*IF($M$2="Prices in $/MWh",1,1/1000)</f>
        <v>92.06</v>
      </c>
      <c r="J402" s="79">
        <f>(Matrix_prices!J390+$D$2)*IF($M$2="Prices in $/MWh",1,1/1000)</f>
        <v>93.06</v>
      </c>
      <c r="K402" s="80">
        <f>(Matrix_prices!K390+$D$2)*IF($M$2="Prices in $/MWh",1,1/1000)</f>
        <v>90.16</v>
      </c>
      <c r="L402" s="79">
        <f>(Matrix_prices!L390+$D$2)*IF($M$2="Prices in $/MWh",1,1/1000)</f>
        <v>48.07</v>
      </c>
      <c r="M402" s="80">
        <f>(Matrix_prices!M390+$D$2)*IF($M$2="Prices in $/MWh",1,1/1000)</f>
        <v>48.58</v>
      </c>
      <c r="N402" s="79">
        <f>(Matrix_prices!N390+$D$2)*IF($M$2="Prices in $/MWh",1,1/1000)</f>
        <v>46.61</v>
      </c>
    </row>
    <row r="403" spans="3:14" x14ac:dyDescent="0.25">
      <c r="C403" s="82">
        <f>Matrix_prices!C391</f>
        <v>42675</v>
      </c>
      <c r="D403" s="83" t="str">
        <f>Matrix_prices!D391</f>
        <v>NJ</v>
      </c>
      <c r="E403" s="84" t="str">
        <f>Matrix_prices!E391</f>
        <v>AECO</v>
      </c>
      <c r="F403" s="83" t="str">
        <f>Matrix_prices!F391</f>
        <v>AGS</v>
      </c>
      <c r="G403" s="84" t="str">
        <f>Matrix_prices!G391</f>
        <v>Annual Gen services</v>
      </c>
      <c r="H403" s="85" t="str">
        <f t="shared" ref="H403:H466" si="20">IF($M$2="Prices in $/MWh","500-2500 MWh","500,000-2,500,000 kWh")</f>
        <v>500-2500 MWh</v>
      </c>
      <c r="I403" s="84">
        <f>(Matrix_prices!I391+$D$2)*IF($M$2="Prices in $/MWh",1,1/1000)</f>
        <v>90.94</v>
      </c>
      <c r="J403" s="83">
        <f>(Matrix_prices!J391+$D$2)*IF($M$2="Prices in $/MWh",1,1/1000)</f>
        <v>91.93</v>
      </c>
      <c r="K403" s="84">
        <f>(Matrix_prices!K391+$D$2)*IF($M$2="Prices in $/MWh",1,1/1000)</f>
        <v>89.03</v>
      </c>
      <c r="L403" s="83">
        <f>(Matrix_prices!L391+$D$2)*IF($M$2="Prices in $/MWh",1,1/1000)</f>
        <v>46.95</v>
      </c>
      <c r="M403" s="84">
        <f>(Matrix_prices!M391+$D$2)*IF($M$2="Prices in $/MWh",1,1/1000)</f>
        <v>47.45</v>
      </c>
      <c r="N403" s="83">
        <f>(Matrix_prices!N391+$D$2)*IF($M$2="Prices in $/MWh",1,1/1000)</f>
        <v>45.48</v>
      </c>
    </row>
    <row r="404" spans="3:14" x14ac:dyDescent="0.25">
      <c r="C404" s="151">
        <f>Matrix_prices!C392</f>
        <v>42705</v>
      </c>
      <c r="D404" s="152" t="str">
        <f>Matrix_prices!D392</f>
        <v>NJ</v>
      </c>
      <c r="E404" s="153" t="str">
        <f>Matrix_prices!E392</f>
        <v>AECO</v>
      </c>
      <c r="F404" s="152" t="str">
        <f>Matrix_prices!F392</f>
        <v>AGS</v>
      </c>
      <c r="G404" s="153" t="str">
        <f>Matrix_prices!G392</f>
        <v>Annual Gen services</v>
      </c>
      <c r="H404" s="157" t="str">
        <f t="shared" si="18"/>
        <v>0-100 MWh</v>
      </c>
      <c r="I404" s="153">
        <f>(Matrix_prices!I392+$D$2)*IF($M$2="Prices in $/MWh",1,1/1000)</f>
        <v>93.49</v>
      </c>
      <c r="J404" s="152">
        <f>(Matrix_prices!J392+$D$2)*IF($M$2="Prices in $/MWh",1,1/1000)</f>
        <v>94.4</v>
      </c>
      <c r="K404" s="153">
        <f>(Matrix_prices!K392+$D$2)*IF($M$2="Prices in $/MWh",1,1/1000)</f>
        <v>91.67</v>
      </c>
      <c r="L404" s="152">
        <f>(Matrix_prices!L392+$D$2)*IF($M$2="Prices in $/MWh",1,1/1000)</f>
        <v>49.62</v>
      </c>
      <c r="M404" s="153">
        <f>(Matrix_prices!M392+$D$2)*IF($M$2="Prices in $/MWh",1,1/1000)</f>
        <v>49.95</v>
      </c>
      <c r="N404" s="152">
        <f>(Matrix_prices!N392+$D$2)*IF($M$2="Prices in $/MWh",1,1/1000)</f>
        <v>48.27</v>
      </c>
    </row>
    <row r="405" spans="3:14" x14ac:dyDescent="0.25">
      <c r="C405" s="78">
        <f>Matrix_prices!C393</f>
        <v>42705</v>
      </c>
      <c r="D405" s="79" t="str">
        <f>Matrix_prices!D393</f>
        <v>NJ</v>
      </c>
      <c r="E405" s="80" t="str">
        <f>Matrix_prices!E393</f>
        <v>AECO</v>
      </c>
      <c r="F405" s="79" t="str">
        <f>Matrix_prices!F393</f>
        <v>AGS</v>
      </c>
      <c r="G405" s="80" t="str">
        <f>Matrix_prices!G393</f>
        <v>Annual Gen services</v>
      </c>
      <c r="H405" s="81" t="str">
        <f t="shared" si="19"/>
        <v>100-500 MWh</v>
      </c>
      <c r="I405" s="80">
        <f>(Matrix_prices!I393+$D$2)*IF($M$2="Prices in $/MWh",1,1/1000)</f>
        <v>91.78</v>
      </c>
      <c r="J405" s="79">
        <f>(Matrix_prices!J393+$D$2)*IF($M$2="Prices in $/MWh",1,1/1000)</f>
        <v>92.69</v>
      </c>
      <c r="K405" s="80">
        <f>(Matrix_prices!K393+$D$2)*IF($M$2="Prices in $/MWh",1,1/1000)</f>
        <v>89.96</v>
      </c>
      <c r="L405" s="79">
        <f>(Matrix_prices!L393+$D$2)*IF($M$2="Prices in $/MWh",1,1/1000)</f>
        <v>47.91</v>
      </c>
      <c r="M405" s="80">
        <f>(Matrix_prices!M393+$D$2)*IF($M$2="Prices in $/MWh",1,1/1000)</f>
        <v>48.24</v>
      </c>
      <c r="N405" s="79">
        <f>(Matrix_prices!N393+$D$2)*IF($M$2="Prices in $/MWh",1,1/1000)</f>
        <v>46.56</v>
      </c>
    </row>
    <row r="406" spans="3:14" x14ac:dyDescent="0.25">
      <c r="C406" s="82">
        <f>Matrix_prices!C394</f>
        <v>42705</v>
      </c>
      <c r="D406" s="83" t="str">
        <f>Matrix_prices!D394</f>
        <v>NJ</v>
      </c>
      <c r="E406" s="84" t="str">
        <f>Matrix_prices!E394</f>
        <v>AECO</v>
      </c>
      <c r="F406" s="83" t="str">
        <f>Matrix_prices!F394</f>
        <v>AGS</v>
      </c>
      <c r="G406" s="84" t="str">
        <f>Matrix_prices!G394</f>
        <v>Annual Gen services</v>
      </c>
      <c r="H406" s="85" t="str">
        <f t="shared" si="20"/>
        <v>500-2500 MWh</v>
      </c>
      <c r="I406" s="84">
        <f>(Matrix_prices!I394+$D$2)*IF($M$2="Prices in $/MWh",1,1/1000)</f>
        <v>90.65</v>
      </c>
      <c r="J406" s="83">
        <f>(Matrix_prices!J394+$D$2)*IF($M$2="Prices in $/MWh",1,1/1000)</f>
        <v>91.57</v>
      </c>
      <c r="K406" s="84">
        <f>(Matrix_prices!K394+$D$2)*IF($M$2="Prices in $/MWh",1,1/1000)</f>
        <v>88.83</v>
      </c>
      <c r="L406" s="83">
        <f>(Matrix_prices!L394+$D$2)*IF($M$2="Prices in $/MWh",1,1/1000)</f>
        <v>46.78</v>
      </c>
      <c r="M406" s="84">
        <f>(Matrix_prices!M394+$D$2)*IF($M$2="Prices in $/MWh",1,1/1000)</f>
        <v>47.11</v>
      </c>
      <c r="N406" s="83">
        <f>(Matrix_prices!N394+$D$2)*IF($M$2="Prices in $/MWh",1,1/1000)</f>
        <v>45.43</v>
      </c>
    </row>
    <row r="407" spans="3:14" x14ac:dyDescent="0.25">
      <c r="C407" s="74">
        <f>Matrix_prices!C395</f>
        <v>42736</v>
      </c>
      <c r="D407" s="75" t="str">
        <f>Matrix_prices!D395</f>
        <v>NJ</v>
      </c>
      <c r="E407" s="76" t="str">
        <f>Matrix_prices!E395</f>
        <v>AECO</v>
      </c>
      <c r="F407" s="75" t="str">
        <f>Matrix_prices!F395</f>
        <v>AGS</v>
      </c>
      <c r="G407" s="76" t="str">
        <f>Matrix_prices!G395</f>
        <v>Annual Gen services</v>
      </c>
      <c r="H407" s="157" t="str">
        <f t="shared" si="18"/>
        <v>0-100 MWh</v>
      </c>
      <c r="I407" s="76">
        <f>(Matrix_prices!I395+$D$2)*IF($M$2="Prices in $/MWh",1,1/1000)</f>
        <v>93.29</v>
      </c>
      <c r="J407" s="75">
        <f>(Matrix_prices!J395+$D$2)*IF($M$2="Prices in $/MWh",1,1/1000)</f>
        <v>93.55</v>
      </c>
      <c r="K407" s="76">
        <f>(Matrix_prices!K395+$D$2)*IF($M$2="Prices in $/MWh",1,1/1000)</f>
        <v>91.74</v>
      </c>
      <c r="L407" s="75">
        <f>(Matrix_prices!L395+$D$2)*IF($M$2="Prices in $/MWh",1,1/1000)</f>
        <v>49.49</v>
      </c>
      <c r="M407" s="76">
        <f>(Matrix_prices!M395+$D$2)*IF($M$2="Prices in $/MWh",1,1/1000)</f>
        <v>49.13</v>
      </c>
      <c r="N407" s="75">
        <f>(Matrix_prices!N395+$D$2)*IF($M$2="Prices in $/MWh",1,1/1000)</f>
        <v>48.33</v>
      </c>
    </row>
    <row r="408" spans="3:14" x14ac:dyDescent="0.25">
      <c r="C408" s="78">
        <f>Matrix_prices!C396</f>
        <v>42736</v>
      </c>
      <c r="D408" s="79" t="str">
        <f>Matrix_prices!D396</f>
        <v>NJ</v>
      </c>
      <c r="E408" s="80" t="str">
        <f>Matrix_prices!E396</f>
        <v>AECO</v>
      </c>
      <c r="F408" s="79" t="str">
        <f>Matrix_prices!F396</f>
        <v>AGS</v>
      </c>
      <c r="G408" s="80" t="str">
        <f>Matrix_prices!G396</f>
        <v>Annual Gen services</v>
      </c>
      <c r="H408" s="81" t="str">
        <f t="shared" si="19"/>
        <v>100-500 MWh</v>
      </c>
      <c r="I408" s="80">
        <f>(Matrix_prices!I396+$D$2)*IF($M$2="Prices in $/MWh",1,1/1000)</f>
        <v>91.58</v>
      </c>
      <c r="J408" s="79">
        <f>(Matrix_prices!J396+$D$2)*IF($M$2="Prices in $/MWh",1,1/1000)</f>
        <v>91.83</v>
      </c>
      <c r="K408" s="80">
        <f>(Matrix_prices!K396+$D$2)*IF($M$2="Prices in $/MWh",1,1/1000)</f>
        <v>90.03</v>
      </c>
      <c r="L408" s="79">
        <f>(Matrix_prices!L396+$D$2)*IF($M$2="Prices in $/MWh",1,1/1000)</f>
        <v>47.78</v>
      </c>
      <c r="M408" s="80">
        <f>(Matrix_prices!M396+$D$2)*IF($M$2="Prices in $/MWh",1,1/1000)</f>
        <v>47.42</v>
      </c>
      <c r="N408" s="79">
        <f>(Matrix_prices!N396+$D$2)*IF($M$2="Prices in $/MWh",1,1/1000)</f>
        <v>46.62</v>
      </c>
    </row>
    <row r="409" spans="3:14" x14ac:dyDescent="0.25">
      <c r="C409" s="82">
        <f>Matrix_prices!C397</f>
        <v>42736</v>
      </c>
      <c r="D409" s="83" t="str">
        <f>Matrix_prices!D397</f>
        <v>NJ</v>
      </c>
      <c r="E409" s="84" t="str">
        <f>Matrix_prices!E397</f>
        <v>AECO</v>
      </c>
      <c r="F409" s="83" t="str">
        <f>Matrix_prices!F397</f>
        <v>AGS</v>
      </c>
      <c r="G409" s="84" t="str">
        <f>Matrix_prices!G397</f>
        <v>Annual Gen services</v>
      </c>
      <c r="H409" s="85" t="str">
        <f t="shared" si="20"/>
        <v>500-2500 MWh</v>
      </c>
      <c r="I409" s="84">
        <f>(Matrix_prices!I397+$D$2)*IF($M$2="Prices in $/MWh",1,1/1000)</f>
        <v>90.46</v>
      </c>
      <c r="J409" s="83">
        <f>(Matrix_prices!J397+$D$2)*IF($M$2="Prices in $/MWh",1,1/1000)</f>
        <v>90.71</v>
      </c>
      <c r="K409" s="84">
        <f>(Matrix_prices!K397+$D$2)*IF($M$2="Prices in $/MWh",1,1/1000)</f>
        <v>88.91</v>
      </c>
      <c r="L409" s="83">
        <f>(Matrix_prices!L397+$D$2)*IF($M$2="Prices in $/MWh",1,1/1000)</f>
        <v>46.65</v>
      </c>
      <c r="M409" s="84">
        <f>(Matrix_prices!M397+$D$2)*IF($M$2="Prices in $/MWh",1,1/1000)</f>
        <v>46.29</v>
      </c>
      <c r="N409" s="83">
        <f>(Matrix_prices!N397+$D$2)*IF($M$2="Prices in $/MWh",1,1/1000)</f>
        <v>45.49</v>
      </c>
    </row>
    <row r="410" spans="3:14" x14ac:dyDescent="0.25">
      <c r="C410" s="151">
        <f>Matrix_prices!C398</f>
        <v>42401</v>
      </c>
      <c r="D410" s="152" t="str">
        <f>Matrix_prices!D398</f>
        <v>NJ</v>
      </c>
      <c r="E410" s="153" t="str">
        <f>Matrix_prices!E398</f>
        <v>AECO</v>
      </c>
      <c r="F410" s="152" t="str">
        <f>Matrix_prices!F398</f>
        <v>MGS</v>
      </c>
      <c r="G410" s="153" t="str">
        <f>Matrix_prices!G398</f>
        <v>Mthly Gen.Services</v>
      </c>
      <c r="H410" s="157" t="str">
        <f t="shared" si="18"/>
        <v>0-100 MWh</v>
      </c>
      <c r="I410" s="153">
        <f>(Matrix_prices!I398+$D$2)*IF($M$2="Prices in $/MWh",1,1/1000)</f>
        <v>93.61</v>
      </c>
      <c r="J410" s="152">
        <f>(Matrix_prices!J398+$D$2)*IF($M$2="Prices in $/MWh",1,1/1000)</f>
        <v>94.13</v>
      </c>
      <c r="K410" s="153">
        <f>(Matrix_prices!K398+$D$2)*IF($M$2="Prices in $/MWh",1,1/1000)</f>
        <v>93.62</v>
      </c>
      <c r="L410" s="152">
        <f>(Matrix_prices!L398+$D$2)*IF($M$2="Prices in $/MWh",1,1/1000)</f>
        <v>48.7</v>
      </c>
      <c r="M410" s="153">
        <f>(Matrix_prices!M398+$D$2)*IF($M$2="Prices in $/MWh",1,1/1000)</f>
        <v>49.14</v>
      </c>
      <c r="N410" s="152">
        <f>(Matrix_prices!N398+$D$2)*IF($M$2="Prices in $/MWh",1,1/1000)</f>
        <v>49.12</v>
      </c>
    </row>
    <row r="411" spans="3:14" x14ac:dyDescent="0.25">
      <c r="C411" s="78">
        <f>Matrix_prices!C399</f>
        <v>42401</v>
      </c>
      <c r="D411" s="79" t="str">
        <f>Matrix_prices!D399</f>
        <v>NJ</v>
      </c>
      <c r="E411" s="80" t="str">
        <f>Matrix_prices!E399</f>
        <v>AECO</v>
      </c>
      <c r="F411" s="79" t="str">
        <f>Matrix_prices!F399</f>
        <v>MGS</v>
      </c>
      <c r="G411" s="80" t="str">
        <f>Matrix_prices!G399</f>
        <v>Mthly Gen.Services</v>
      </c>
      <c r="H411" s="81" t="str">
        <f t="shared" si="19"/>
        <v>100-500 MWh</v>
      </c>
      <c r="I411" s="80">
        <f>(Matrix_prices!I399+$D$2)*IF($M$2="Prices in $/MWh",1,1/1000)</f>
        <v>91.9</v>
      </c>
      <c r="J411" s="79">
        <f>(Matrix_prices!J399+$D$2)*IF($M$2="Prices in $/MWh",1,1/1000)</f>
        <v>92.42</v>
      </c>
      <c r="K411" s="80">
        <f>(Matrix_prices!K399+$D$2)*IF($M$2="Prices in $/MWh",1,1/1000)</f>
        <v>91.91</v>
      </c>
      <c r="L411" s="79">
        <f>(Matrix_prices!L399+$D$2)*IF($M$2="Prices in $/MWh",1,1/1000)</f>
        <v>46.99</v>
      </c>
      <c r="M411" s="80">
        <f>(Matrix_prices!M399+$D$2)*IF($M$2="Prices in $/MWh",1,1/1000)</f>
        <v>47.43</v>
      </c>
      <c r="N411" s="79">
        <f>(Matrix_prices!N399+$D$2)*IF($M$2="Prices in $/MWh",1,1/1000)</f>
        <v>47.41</v>
      </c>
    </row>
    <row r="412" spans="3:14" x14ac:dyDescent="0.25">
      <c r="C412" s="82">
        <f>Matrix_prices!C400</f>
        <v>42401</v>
      </c>
      <c r="D412" s="83" t="str">
        <f>Matrix_prices!D400</f>
        <v>NJ</v>
      </c>
      <c r="E412" s="84" t="str">
        <f>Matrix_prices!E400</f>
        <v>AECO</v>
      </c>
      <c r="F412" s="83" t="str">
        <f>Matrix_prices!F400</f>
        <v>MGS</v>
      </c>
      <c r="G412" s="84" t="str">
        <f>Matrix_prices!G400</f>
        <v>Mthly Gen.Services</v>
      </c>
      <c r="H412" s="85" t="str">
        <f t="shared" si="20"/>
        <v>500-2500 MWh</v>
      </c>
      <c r="I412" s="84">
        <f>(Matrix_prices!I400+$D$2)*IF($M$2="Prices in $/MWh",1,1/1000)</f>
        <v>90.78</v>
      </c>
      <c r="J412" s="83">
        <f>(Matrix_prices!J400+$D$2)*IF($M$2="Prices in $/MWh",1,1/1000)</f>
        <v>91.3</v>
      </c>
      <c r="K412" s="84">
        <f>(Matrix_prices!K400+$D$2)*IF($M$2="Prices in $/MWh",1,1/1000)</f>
        <v>90.79</v>
      </c>
      <c r="L412" s="83">
        <f>(Matrix_prices!L400+$D$2)*IF($M$2="Prices in $/MWh",1,1/1000)</f>
        <v>45.86</v>
      </c>
      <c r="M412" s="84">
        <f>(Matrix_prices!M400+$D$2)*IF($M$2="Prices in $/MWh",1,1/1000)</f>
        <v>46.3</v>
      </c>
      <c r="N412" s="83">
        <f>(Matrix_prices!N400+$D$2)*IF($M$2="Prices in $/MWh",1,1/1000)</f>
        <v>46.28</v>
      </c>
    </row>
    <row r="413" spans="3:14" x14ac:dyDescent="0.25">
      <c r="C413" s="74">
        <f>Matrix_prices!C401</f>
        <v>42430</v>
      </c>
      <c r="D413" s="75" t="str">
        <f>Matrix_prices!D401</f>
        <v>NJ</v>
      </c>
      <c r="E413" s="76" t="str">
        <f>Matrix_prices!E401</f>
        <v>AECO</v>
      </c>
      <c r="F413" s="75" t="str">
        <f>Matrix_prices!F401</f>
        <v>MGS</v>
      </c>
      <c r="G413" s="76" t="str">
        <f>Matrix_prices!G401</f>
        <v>Mthly Gen.Services</v>
      </c>
      <c r="H413" s="157" t="str">
        <f t="shared" si="18"/>
        <v>0-100 MWh</v>
      </c>
      <c r="I413" s="76">
        <f>(Matrix_prices!I401+$D$2)*IF($M$2="Prices in $/MWh",1,1/1000)</f>
        <v>94.02</v>
      </c>
      <c r="J413" s="75">
        <f>(Matrix_prices!J401+$D$2)*IF($M$2="Prices in $/MWh",1,1/1000)</f>
        <v>92.82</v>
      </c>
      <c r="K413" s="76">
        <f>(Matrix_prices!K401+$D$2)*IF($M$2="Prices in $/MWh",1,1/1000)</f>
        <v>93.75</v>
      </c>
      <c r="L413" s="75">
        <f>(Matrix_prices!L401+$D$2)*IF($M$2="Prices in $/MWh",1,1/1000)</f>
        <v>48.54</v>
      </c>
      <c r="M413" s="76">
        <f>(Matrix_prices!M401+$D$2)*IF($M$2="Prices in $/MWh",1,1/1000)</f>
        <v>47.99</v>
      </c>
      <c r="N413" s="75">
        <f>(Matrix_prices!N401+$D$2)*IF($M$2="Prices in $/MWh",1,1/1000)</f>
        <v>48.97</v>
      </c>
    </row>
    <row r="414" spans="3:14" x14ac:dyDescent="0.25">
      <c r="C414" s="78">
        <f>Matrix_prices!C402</f>
        <v>42430</v>
      </c>
      <c r="D414" s="79" t="str">
        <f>Matrix_prices!D402</f>
        <v>NJ</v>
      </c>
      <c r="E414" s="80" t="str">
        <f>Matrix_prices!E402</f>
        <v>AECO</v>
      </c>
      <c r="F414" s="79" t="str">
        <f>Matrix_prices!F402</f>
        <v>MGS</v>
      </c>
      <c r="G414" s="80" t="str">
        <f>Matrix_prices!G402</f>
        <v>Mthly Gen.Services</v>
      </c>
      <c r="H414" s="81" t="str">
        <f t="shared" si="19"/>
        <v>100-500 MWh</v>
      </c>
      <c r="I414" s="80">
        <f>(Matrix_prices!I402+$D$2)*IF($M$2="Prices in $/MWh",1,1/1000)</f>
        <v>92.31</v>
      </c>
      <c r="J414" s="79">
        <f>(Matrix_prices!J402+$D$2)*IF($M$2="Prices in $/MWh",1,1/1000)</f>
        <v>91.11</v>
      </c>
      <c r="K414" s="80">
        <f>(Matrix_prices!K402+$D$2)*IF($M$2="Prices in $/MWh",1,1/1000)</f>
        <v>92.04</v>
      </c>
      <c r="L414" s="79">
        <f>(Matrix_prices!L402+$D$2)*IF($M$2="Prices in $/MWh",1,1/1000)</f>
        <v>46.83</v>
      </c>
      <c r="M414" s="80">
        <f>(Matrix_prices!M402+$D$2)*IF($M$2="Prices in $/MWh",1,1/1000)</f>
        <v>46.28</v>
      </c>
      <c r="N414" s="79">
        <f>(Matrix_prices!N402+$D$2)*IF($M$2="Prices in $/MWh",1,1/1000)</f>
        <v>47.26</v>
      </c>
    </row>
    <row r="415" spans="3:14" x14ac:dyDescent="0.25">
      <c r="C415" s="82">
        <f>Matrix_prices!C403</f>
        <v>42430</v>
      </c>
      <c r="D415" s="83" t="str">
        <f>Matrix_prices!D403</f>
        <v>NJ</v>
      </c>
      <c r="E415" s="84" t="str">
        <f>Matrix_prices!E403</f>
        <v>AECO</v>
      </c>
      <c r="F415" s="83" t="str">
        <f>Matrix_prices!F403</f>
        <v>MGS</v>
      </c>
      <c r="G415" s="84" t="str">
        <f>Matrix_prices!G403</f>
        <v>Mthly Gen.Services</v>
      </c>
      <c r="H415" s="85" t="str">
        <f t="shared" si="20"/>
        <v>500-2500 MWh</v>
      </c>
      <c r="I415" s="84">
        <f>(Matrix_prices!I403+$D$2)*IF($M$2="Prices in $/MWh",1,1/1000)</f>
        <v>91.18</v>
      </c>
      <c r="J415" s="83">
        <f>(Matrix_prices!J403+$D$2)*IF($M$2="Prices in $/MWh",1,1/1000)</f>
        <v>89.99</v>
      </c>
      <c r="K415" s="84">
        <f>(Matrix_prices!K403+$D$2)*IF($M$2="Prices in $/MWh",1,1/1000)</f>
        <v>90.92</v>
      </c>
      <c r="L415" s="83">
        <f>(Matrix_prices!L403+$D$2)*IF($M$2="Prices in $/MWh",1,1/1000)</f>
        <v>45.7</v>
      </c>
      <c r="M415" s="84">
        <f>(Matrix_prices!M403+$D$2)*IF($M$2="Prices in $/MWh",1,1/1000)</f>
        <v>45.15</v>
      </c>
      <c r="N415" s="83">
        <f>(Matrix_prices!N403+$D$2)*IF($M$2="Prices in $/MWh",1,1/1000)</f>
        <v>46.13</v>
      </c>
    </row>
    <row r="416" spans="3:14" x14ac:dyDescent="0.25">
      <c r="C416" s="151">
        <f>Matrix_prices!C404</f>
        <v>42461</v>
      </c>
      <c r="D416" s="152" t="str">
        <f>Matrix_prices!D404</f>
        <v>NJ</v>
      </c>
      <c r="E416" s="153" t="str">
        <f>Matrix_prices!E404</f>
        <v>AECO</v>
      </c>
      <c r="F416" s="152" t="str">
        <f>Matrix_prices!F404</f>
        <v>MGS</v>
      </c>
      <c r="G416" s="153" t="str">
        <f>Matrix_prices!G404</f>
        <v>Mthly Gen.Services</v>
      </c>
      <c r="H416" s="157" t="str">
        <f t="shared" si="18"/>
        <v>0-100 MWh</v>
      </c>
      <c r="I416" s="153">
        <f>(Matrix_prices!I404+$D$2)*IF($M$2="Prices in $/MWh",1,1/1000)</f>
        <v>94.26</v>
      </c>
      <c r="J416" s="152">
        <f>(Matrix_prices!J404+$D$2)*IF($M$2="Prices in $/MWh",1,1/1000)</f>
        <v>91.75</v>
      </c>
      <c r="K416" s="153">
        <f>(Matrix_prices!K404+$D$2)*IF($M$2="Prices in $/MWh",1,1/1000)</f>
        <v>93.77</v>
      </c>
      <c r="L416" s="152">
        <f>(Matrix_prices!L404+$D$2)*IF($M$2="Prices in $/MWh",1,1/1000)</f>
        <v>48.78</v>
      </c>
      <c r="M416" s="153">
        <f>(Matrix_prices!M404+$D$2)*IF($M$2="Prices in $/MWh",1,1/1000)</f>
        <v>47.12</v>
      </c>
      <c r="N416" s="152">
        <f>(Matrix_prices!N404+$D$2)*IF($M$2="Prices in $/MWh",1,1/1000)</f>
        <v>49.04</v>
      </c>
    </row>
    <row r="417" spans="3:14" x14ac:dyDescent="0.25">
      <c r="C417" s="78">
        <f>Matrix_prices!C405</f>
        <v>42461</v>
      </c>
      <c r="D417" s="79" t="str">
        <f>Matrix_prices!D405</f>
        <v>NJ</v>
      </c>
      <c r="E417" s="80" t="str">
        <f>Matrix_prices!E405</f>
        <v>AECO</v>
      </c>
      <c r="F417" s="79" t="str">
        <f>Matrix_prices!F405</f>
        <v>MGS</v>
      </c>
      <c r="G417" s="80" t="str">
        <f>Matrix_prices!G405</f>
        <v>Mthly Gen.Services</v>
      </c>
      <c r="H417" s="81" t="str">
        <f t="shared" si="19"/>
        <v>100-500 MWh</v>
      </c>
      <c r="I417" s="80">
        <f>(Matrix_prices!I405+$D$2)*IF($M$2="Prices in $/MWh",1,1/1000)</f>
        <v>92.55</v>
      </c>
      <c r="J417" s="79">
        <f>(Matrix_prices!J405+$D$2)*IF($M$2="Prices in $/MWh",1,1/1000)</f>
        <v>90.04</v>
      </c>
      <c r="K417" s="80">
        <f>(Matrix_prices!K405+$D$2)*IF($M$2="Prices in $/MWh",1,1/1000)</f>
        <v>92.06</v>
      </c>
      <c r="L417" s="79">
        <f>(Matrix_prices!L405+$D$2)*IF($M$2="Prices in $/MWh",1,1/1000)</f>
        <v>47.07</v>
      </c>
      <c r="M417" s="80">
        <f>(Matrix_prices!M405+$D$2)*IF($M$2="Prices in $/MWh",1,1/1000)</f>
        <v>45.41</v>
      </c>
      <c r="N417" s="79">
        <f>(Matrix_prices!N405+$D$2)*IF($M$2="Prices in $/MWh",1,1/1000)</f>
        <v>47.33</v>
      </c>
    </row>
    <row r="418" spans="3:14" x14ac:dyDescent="0.25">
      <c r="C418" s="82">
        <f>Matrix_prices!C406</f>
        <v>42461</v>
      </c>
      <c r="D418" s="83" t="str">
        <f>Matrix_prices!D406</f>
        <v>NJ</v>
      </c>
      <c r="E418" s="84" t="str">
        <f>Matrix_prices!E406</f>
        <v>AECO</v>
      </c>
      <c r="F418" s="83" t="str">
        <f>Matrix_prices!F406</f>
        <v>MGS</v>
      </c>
      <c r="G418" s="84" t="str">
        <f>Matrix_prices!G406</f>
        <v>Mthly Gen.Services</v>
      </c>
      <c r="H418" s="85" t="str">
        <f t="shared" si="20"/>
        <v>500-2500 MWh</v>
      </c>
      <c r="I418" s="84">
        <f>(Matrix_prices!I406+$D$2)*IF($M$2="Prices in $/MWh",1,1/1000)</f>
        <v>91.43</v>
      </c>
      <c r="J418" s="83">
        <f>(Matrix_prices!J406+$D$2)*IF($M$2="Prices in $/MWh",1,1/1000)</f>
        <v>88.92</v>
      </c>
      <c r="K418" s="84">
        <f>(Matrix_prices!K406+$D$2)*IF($M$2="Prices in $/MWh",1,1/1000)</f>
        <v>90.94</v>
      </c>
      <c r="L418" s="83">
        <f>(Matrix_prices!L406+$D$2)*IF($M$2="Prices in $/MWh",1,1/1000)</f>
        <v>45.95</v>
      </c>
      <c r="M418" s="84">
        <f>(Matrix_prices!M406+$D$2)*IF($M$2="Prices in $/MWh",1,1/1000)</f>
        <v>44.28</v>
      </c>
      <c r="N418" s="83">
        <f>(Matrix_prices!N406+$D$2)*IF($M$2="Prices in $/MWh",1,1/1000)</f>
        <v>46.2</v>
      </c>
    </row>
    <row r="419" spans="3:14" x14ac:dyDescent="0.25">
      <c r="C419" s="74">
        <f>Matrix_prices!C407</f>
        <v>42491</v>
      </c>
      <c r="D419" s="75" t="str">
        <f>Matrix_prices!D407</f>
        <v>NJ</v>
      </c>
      <c r="E419" s="76" t="str">
        <f>Matrix_prices!E407</f>
        <v>AECO</v>
      </c>
      <c r="F419" s="75" t="str">
        <f>Matrix_prices!F407</f>
        <v>MGS</v>
      </c>
      <c r="G419" s="76" t="str">
        <f>Matrix_prices!G407</f>
        <v>Mthly Gen.Services</v>
      </c>
      <c r="H419" s="157" t="str">
        <f t="shared" si="18"/>
        <v>0-100 MWh</v>
      </c>
      <c r="I419" s="76">
        <f>(Matrix_prices!I407+$D$2)*IF($M$2="Prices in $/MWh",1,1/1000)</f>
        <v>94.27</v>
      </c>
      <c r="J419" s="75">
        <f>(Matrix_prices!J407+$D$2)*IF($M$2="Prices in $/MWh",1,1/1000)</f>
        <v>91.37</v>
      </c>
      <c r="K419" s="76">
        <f>(Matrix_prices!K407+$D$2)*IF($M$2="Prices in $/MWh",1,1/1000)</f>
        <v>93.67</v>
      </c>
      <c r="L419" s="75">
        <f>(Matrix_prices!L407+$D$2)*IF($M$2="Prices in $/MWh",1,1/1000)</f>
        <v>48.8</v>
      </c>
      <c r="M419" s="76">
        <f>(Matrix_prices!M407+$D$2)*IF($M$2="Prices in $/MWh",1,1/1000)</f>
        <v>46.94</v>
      </c>
      <c r="N419" s="75">
        <f>(Matrix_prices!N407+$D$2)*IF($M$2="Prices in $/MWh",1,1/1000)</f>
        <v>48.99</v>
      </c>
    </row>
    <row r="420" spans="3:14" x14ac:dyDescent="0.25">
      <c r="C420" s="78">
        <f>Matrix_prices!C408</f>
        <v>42491</v>
      </c>
      <c r="D420" s="79" t="str">
        <f>Matrix_prices!D408</f>
        <v>NJ</v>
      </c>
      <c r="E420" s="80" t="str">
        <f>Matrix_prices!E408</f>
        <v>AECO</v>
      </c>
      <c r="F420" s="79" t="str">
        <f>Matrix_prices!F408</f>
        <v>MGS</v>
      </c>
      <c r="G420" s="80" t="str">
        <f>Matrix_prices!G408</f>
        <v>Mthly Gen.Services</v>
      </c>
      <c r="H420" s="81" t="str">
        <f t="shared" si="19"/>
        <v>100-500 MWh</v>
      </c>
      <c r="I420" s="80">
        <f>(Matrix_prices!I408+$D$2)*IF($M$2="Prices in $/MWh",1,1/1000)</f>
        <v>92.56</v>
      </c>
      <c r="J420" s="79">
        <f>(Matrix_prices!J408+$D$2)*IF($M$2="Prices in $/MWh",1,1/1000)</f>
        <v>89.66</v>
      </c>
      <c r="K420" s="80">
        <f>(Matrix_prices!K408+$D$2)*IF($M$2="Prices in $/MWh",1,1/1000)</f>
        <v>91.96</v>
      </c>
      <c r="L420" s="79">
        <f>(Matrix_prices!L408+$D$2)*IF($M$2="Prices in $/MWh",1,1/1000)</f>
        <v>47.09</v>
      </c>
      <c r="M420" s="80">
        <f>(Matrix_prices!M408+$D$2)*IF($M$2="Prices in $/MWh",1,1/1000)</f>
        <v>45.23</v>
      </c>
      <c r="N420" s="79">
        <f>(Matrix_prices!N408+$D$2)*IF($M$2="Prices in $/MWh",1,1/1000)</f>
        <v>47.28</v>
      </c>
    </row>
    <row r="421" spans="3:14" x14ac:dyDescent="0.25">
      <c r="C421" s="82">
        <f>Matrix_prices!C409</f>
        <v>42491</v>
      </c>
      <c r="D421" s="83" t="str">
        <f>Matrix_prices!D409</f>
        <v>NJ</v>
      </c>
      <c r="E421" s="84" t="str">
        <f>Matrix_prices!E409</f>
        <v>AECO</v>
      </c>
      <c r="F421" s="83" t="str">
        <f>Matrix_prices!F409</f>
        <v>MGS</v>
      </c>
      <c r="G421" s="84" t="str">
        <f>Matrix_prices!G409</f>
        <v>Mthly Gen.Services</v>
      </c>
      <c r="H421" s="85" t="str">
        <f t="shared" si="20"/>
        <v>500-2500 MWh</v>
      </c>
      <c r="I421" s="84">
        <f>(Matrix_prices!I409+$D$2)*IF($M$2="Prices in $/MWh",1,1/1000)</f>
        <v>91.43</v>
      </c>
      <c r="J421" s="83">
        <f>(Matrix_prices!J409+$D$2)*IF($M$2="Prices in $/MWh",1,1/1000)</f>
        <v>88.53</v>
      </c>
      <c r="K421" s="84">
        <f>(Matrix_prices!K409+$D$2)*IF($M$2="Prices in $/MWh",1,1/1000)</f>
        <v>90.84</v>
      </c>
      <c r="L421" s="83">
        <f>(Matrix_prices!L409+$D$2)*IF($M$2="Prices in $/MWh",1,1/1000)</f>
        <v>45.96</v>
      </c>
      <c r="M421" s="84">
        <f>(Matrix_prices!M409+$D$2)*IF($M$2="Prices in $/MWh",1,1/1000)</f>
        <v>44.1</v>
      </c>
      <c r="N421" s="83">
        <f>(Matrix_prices!N409+$D$2)*IF($M$2="Prices in $/MWh",1,1/1000)</f>
        <v>46.15</v>
      </c>
    </row>
    <row r="422" spans="3:14" x14ac:dyDescent="0.25">
      <c r="C422" s="151">
        <f>Matrix_prices!C410</f>
        <v>42522</v>
      </c>
      <c r="D422" s="152" t="str">
        <f>Matrix_prices!D410</f>
        <v>NJ</v>
      </c>
      <c r="E422" s="153" t="str">
        <f>Matrix_prices!E410</f>
        <v>AECO</v>
      </c>
      <c r="F422" s="152" t="str">
        <f>Matrix_prices!F410</f>
        <v>MGS</v>
      </c>
      <c r="G422" s="153" t="str">
        <f>Matrix_prices!G410</f>
        <v>Mthly Gen.Services</v>
      </c>
      <c r="H422" s="157" t="str">
        <f t="shared" si="18"/>
        <v>0-100 MWh</v>
      </c>
      <c r="I422" s="153">
        <f>(Matrix_prices!I410+$D$2)*IF($M$2="Prices in $/MWh",1,1/1000)</f>
        <v>94.2</v>
      </c>
      <c r="J422" s="152">
        <f>(Matrix_prices!J410+$D$2)*IF($M$2="Prices in $/MWh",1,1/1000)</f>
        <v>91.31</v>
      </c>
      <c r="K422" s="153">
        <f>(Matrix_prices!K410+$D$2)*IF($M$2="Prices in $/MWh",1,1/1000)</f>
        <v>93.84</v>
      </c>
      <c r="L422" s="152">
        <f>(Matrix_prices!L410+$D$2)*IF($M$2="Prices in $/MWh",1,1/1000)</f>
        <v>48.82</v>
      </c>
      <c r="M422" s="153">
        <f>(Matrix_prices!M410+$D$2)*IF($M$2="Prices in $/MWh",1,1/1000)</f>
        <v>47.02</v>
      </c>
      <c r="N422" s="152">
        <f>(Matrix_prices!N410+$D$2)*IF($M$2="Prices in $/MWh",1,1/1000)</f>
        <v>49.16</v>
      </c>
    </row>
    <row r="423" spans="3:14" x14ac:dyDescent="0.25">
      <c r="C423" s="78">
        <f>Matrix_prices!C411</f>
        <v>42522</v>
      </c>
      <c r="D423" s="79" t="str">
        <f>Matrix_prices!D411</f>
        <v>NJ</v>
      </c>
      <c r="E423" s="80" t="str">
        <f>Matrix_prices!E411</f>
        <v>AECO</v>
      </c>
      <c r="F423" s="79" t="str">
        <f>Matrix_prices!F411</f>
        <v>MGS</v>
      </c>
      <c r="G423" s="80" t="str">
        <f>Matrix_prices!G411</f>
        <v>Mthly Gen.Services</v>
      </c>
      <c r="H423" s="81" t="str">
        <f t="shared" si="19"/>
        <v>100-500 MWh</v>
      </c>
      <c r="I423" s="80">
        <f>(Matrix_prices!I411+$D$2)*IF($M$2="Prices in $/MWh",1,1/1000)</f>
        <v>92.49</v>
      </c>
      <c r="J423" s="79">
        <f>(Matrix_prices!J411+$D$2)*IF($M$2="Prices in $/MWh",1,1/1000)</f>
        <v>89.59</v>
      </c>
      <c r="K423" s="80">
        <f>(Matrix_prices!K411+$D$2)*IF($M$2="Prices in $/MWh",1,1/1000)</f>
        <v>92.12</v>
      </c>
      <c r="L423" s="79">
        <f>(Matrix_prices!L411+$D$2)*IF($M$2="Prices in $/MWh",1,1/1000)</f>
        <v>47.11</v>
      </c>
      <c r="M423" s="80">
        <f>(Matrix_prices!M411+$D$2)*IF($M$2="Prices in $/MWh",1,1/1000)</f>
        <v>45.31</v>
      </c>
      <c r="N423" s="79">
        <f>(Matrix_prices!N411+$D$2)*IF($M$2="Prices in $/MWh",1,1/1000)</f>
        <v>47.45</v>
      </c>
    </row>
    <row r="424" spans="3:14" x14ac:dyDescent="0.25">
      <c r="C424" s="82">
        <f>Matrix_prices!C412</f>
        <v>42522</v>
      </c>
      <c r="D424" s="83" t="str">
        <f>Matrix_prices!D412</f>
        <v>NJ</v>
      </c>
      <c r="E424" s="84" t="str">
        <f>Matrix_prices!E412</f>
        <v>AECO</v>
      </c>
      <c r="F424" s="83" t="str">
        <f>Matrix_prices!F412</f>
        <v>MGS</v>
      </c>
      <c r="G424" s="84" t="str">
        <f>Matrix_prices!G412</f>
        <v>Mthly Gen.Services</v>
      </c>
      <c r="H424" s="85" t="str">
        <f t="shared" si="20"/>
        <v>500-2500 MWh</v>
      </c>
      <c r="I424" s="84">
        <f>(Matrix_prices!I412+$D$2)*IF($M$2="Prices in $/MWh",1,1/1000)</f>
        <v>91.36</v>
      </c>
      <c r="J424" s="83">
        <f>(Matrix_prices!J412+$D$2)*IF($M$2="Prices in $/MWh",1,1/1000)</f>
        <v>88.47</v>
      </c>
      <c r="K424" s="84">
        <f>(Matrix_prices!K412+$D$2)*IF($M$2="Prices in $/MWh",1,1/1000)</f>
        <v>91</v>
      </c>
      <c r="L424" s="83">
        <f>(Matrix_prices!L412+$D$2)*IF($M$2="Prices in $/MWh",1,1/1000)</f>
        <v>45.98</v>
      </c>
      <c r="M424" s="84">
        <f>(Matrix_prices!M412+$D$2)*IF($M$2="Prices in $/MWh",1,1/1000)</f>
        <v>44.18</v>
      </c>
      <c r="N424" s="83">
        <f>(Matrix_prices!N412+$D$2)*IF($M$2="Prices in $/MWh",1,1/1000)</f>
        <v>46.32</v>
      </c>
    </row>
    <row r="425" spans="3:14" x14ac:dyDescent="0.25">
      <c r="C425" s="74">
        <f>Matrix_prices!C413</f>
        <v>42552</v>
      </c>
      <c r="D425" s="75" t="str">
        <f>Matrix_prices!D413</f>
        <v>NJ</v>
      </c>
      <c r="E425" s="76" t="str">
        <f>Matrix_prices!E413</f>
        <v>AECO</v>
      </c>
      <c r="F425" s="75" t="str">
        <f>Matrix_prices!F413</f>
        <v>MGS</v>
      </c>
      <c r="G425" s="76" t="str">
        <f>Matrix_prices!G413</f>
        <v>Mthly Gen.Services</v>
      </c>
      <c r="H425" s="157" t="str">
        <f t="shared" si="18"/>
        <v>0-100 MWh</v>
      </c>
      <c r="I425" s="76">
        <f>(Matrix_prices!I413+$D$2)*IF($M$2="Prices in $/MWh",1,1/1000)</f>
        <v>94.21</v>
      </c>
      <c r="J425" s="75">
        <f>(Matrix_prices!J413+$D$2)*IF($M$2="Prices in $/MWh",1,1/1000)</f>
        <v>92</v>
      </c>
      <c r="K425" s="76">
        <f>(Matrix_prices!K413+$D$2)*IF($M$2="Prices in $/MWh",1,1/1000)</f>
        <v>93.92</v>
      </c>
      <c r="L425" s="75">
        <f>(Matrix_prices!L413+$D$2)*IF($M$2="Prices in $/MWh",1,1/1000)</f>
        <v>48.92</v>
      </c>
      <c r="M425" s="76">
        <f>(Matrix_prices!M413+$D$2)*IF($M$2="Prices in $/MWh",1,1/1000)</f>
        <v>47.92</v>
      </c>
      <c r="N425" s="75">
        <f>(Matrix_prices!N413+$D$2)*IF($M$2="Prices in $/MWh",1,1/1000)</f>
        <v>49.37</v>
      </c>
    </row>
    <row r="426" spans="3:14" x14ac:dyDescent="0.25">
      <c r="C426" s="78">
        <f>Matrix_prices!C414</f>
        <v>42552</v>
      </c>
      <c r="D426" s="79" t="str">
        <f>Matrix_prices!D414</f>
        <v>NJ</v>
      </c>
      <c r="E426" s="80" t="str">
        <f>Matrix_prices!E414</f>
        <v>AECO</v>
      </c>
      <c r="F426" s="79" t="str">
        <f>Matrix_prices!F414</f>
        <v>MGS</v>
      </c>
      <c r="G426" s="80" t="str">
        <f>Matrix_prices!G414</f>
        <v>Mthly Gen.Services</v>
      </c>
      <c r="H426" s="81" t="str">
        <f t="shared" si="19"/>
        <v>100-500 MWh</v>
      </c>
      <c r="I426" s="80">
        <f>(Matrix_prices!I414+$D$2)*IF($M$2="Prices in $/MWh",1,1/1000)</f>
        <v>92.49</v>
      </c>
      <c r="J426" s="79">
        <f>(Matrix_prices!J414+$D$2)*IF($M$2="Prices in $/MWh",1,1/1000)</f>
        <v>90.29</v>
      </c>
      <c r="K426" s="80">
        <f>(Matrix_prices!K414+$D$2)*IF($M$2="Prices in $/MWh",1,1/1000)</f>
        <v>92.21</v>
      </c>
      <c r="L426" s="79">
        <f>(Matrix_prices!L414+$D$2)*IF($M$2="Prices in $/MWh",1,1/1000)</f>
        <v>47.21</v>
      </c>
      <c r="M426" s="80">
        <f>(Matrix_prices!M414+$D$2)*IF($M$2="Prices in $/MWh",1,1/1000)</f>
        <v>46.21</v>
      </c>
      <c r="N426" s="79">
        <f>(Matrix_prices!N414+$D$2)*IF($M$2="Prices in $/MWh",1,1/1000)</f>
        <v>47.66</v>
      </c>
    </row>
    <row r="427" spans="3:14" x14ac:dyDescent="0.25">
      <c r="C427" s="82">
        <f>Matrix_prices!C415</f>
        <v>42552</v>
      </c>
      <c r="D427" s="83" t="str">
        <f>Matrix_prices!D415</f>
        <v>NJ</v>
      </c>
      <c r="E427" s="84" t="str">
        <f>Matrix_prices!E415</f>
        <v>AECO</v>
      </c>
      <c r="F427" s="83" t="str">
        <f>Matrix_prices!F415</f>
        <v>MGS</v>
      </c>
      <c r="G427" s="84" t="str">
        <f>Matrix_prices!G415</f>
        <v>Mthly Gen.Services</v>
      </c>
      <c r="H427" s="85" t="str">
        <f t="shared" si="20"/>
        <v>500-2500 MWh</v>
      </c>
      <c r="I427" s="84">
        <f>(Matrix_prices!I415+$D$2)*IF($M$2="Prices in $/MWh",1,1/1000)</f>
        <v>91.37</v>
      </c>
      <c r="J427" s="83">
        <f>(Matrix_prices!J415+$D$2)*IF($M$2="Prices in $/MWh",1,1/1000)</f>
        <v>89.17</v>
      </c>
      <c r="K427" s="84">
        <f>(Matrix_prices!K415+$D$2)*IF($M$2="Prices in $/MWh",1,1/1000)</f>
        <v>91.09</v>
      </c>
      <c r="L427" s="83">
        <f>(Matrix_prices!L415+$D$2)*IF($M$2="Prices in $/MWh",1,1/1000)</f>
        <v>46.08</v>
      </c>
      <c r="M427" s="84">
        <f>(Matrix_prices!M415+$D$2)*IF($M$2="Prices in $/MWh",1,1/1000)</f>
        <v>45.08</v>
      </c>
      <c r="N427" s="83">
        <f>(Matrix_prices!N415+$D$2)*IF($M$2="Prices in $/MWh",1,1/1000)</f>
        <v>46.53</v>
      </c>
    </row>
    <row r="428" spans="3:14" x14ac:dyDescent="0.25">
      <c r="C428" s="151">
        <f>Matrix_prices!C416</f>
        <v>42583</v>
      </c>
      <c r="D428" s="152" t="str">
        <f>Matrix_prices!D416</f>
        <v>NJ</v>
      </c>
      <c r="E428" s="153" t="str">
        <f>Matrix_prices!E416</f>
        <v>AECO</v>
      </c>
      <c r="F428" s="152" t="str">
        <f>Matrix_prices!F416</f>
        <v>MGS</v>
      </c>
      <c r="G428" s="153" t="str">
        <f>Matrix_prices!G416</f>
        <v>Mthly Gen.Services</v>
      </c>
      <c r="H428" s="157" t="str">
        <f t="shared" si="18"/>
        <v>0-100 MWh</v>
      </c>
      <c r="I428" s="153">
        <f>(Matrix_prices!I416+$D$2)*IF($M$2="Prices in $/MWh",1,1/1000)</f>
        <v>94.14</v>
      </c>
      <c r="J428" s="152">
        <f>(Matrix_prices!J416+$D$2)*IF($M$2="Prices in $/MWh",1,1/1000)</f>
        <v>93.46</v>
      </c>
      <c r="K428" s="153">
        <f>(Matrix_prices!K416+$D$2)*IF($M$2="Prices in $/MWh",1,1/1000)</f>
        <v>94.14</v>
      </c>
      <c r="L428" s="152">
        <f>(Matrix_prices!L416+$D$2)*IF($M$2="Prices in $/MWh",1,1/1000)</f>
        <v>49.16</v>
      </c>
      <c r="M428" s="153">
        <f>(Matrix_prices!M416+$D$2)*IF($M$2="Prices in $/MWh",1,1/1000)</f>
        <v>49.12</v>
      </c>
      <c r="N428" s="152">
        <f>(Matrix_prices!N416+$D$2)*IF($M$2="Prices in $/MWh",1,1/1000)</f>
        <v>49.63</v>
      </c>
    </row>
    <row r="429" spans="3:14" x14ac:dyDescent="0.25">
      <c r="C429" s="78">
        <f>Matrix_prices!C417</f>
        <v>42583</v>
      </c>
      <c r="D429" s="79" t="str">
        <f>Matrix_prices!D417</f>
        <v>NJ</v>
      </c>
      <c r="E429" s="80" t="str">
        <f>Matrix_prices!E417</f>
        <v>AECO</v>
      </c>
      <c r="F429" s="79" t="str">
        <f>Matrix_prices!F417</f>
        <v>MGS</v>
      </c>
      <c r="G429" s="80" t="str">
        <f>Matrix_prices!G417</f>
        <v>Mthly Gen.Services</v>
      </c>
      <c r="H429" s="81" t="str">
        <f t="shared" si="19"/>
        <v>100-500 MWh</v>
      </c>
      <c r="I429" s="80">
        <f>(Matrix_prices!I417+$D$2)*IF($M$2="Prices in $/MWh",1,1/1000)</f>
        <v>92.43</v>
      </c>
      <c r="J429" s="79">
        <f>(Matrix_prices!J417+$D$2)*IF($M$2="Prices in $/MWh",1,1/1000)</f>
        <v>91.75</v>
      </c>
      <c r="K429" s="80">
        <f>(Matrix_prices!K417+$D$2)*IF($M$2="Prices in $/MWh",1,1/1000)</f>
        <v>92.43</v>
      </c>
      <c r="L429" s="79">
        <f>(Matrix_prices!L417+$D$2)*IF($M$2="Prices in $/MWh",1,1/1000)</f>
        <v>47.45</v>
      </c>
      <c r="M429" s="80">
        <f>(Matrix_prices!M417+$D$2)*IF($M$2="Prices in $/MWh",1,1/1000)</f>
        <v>47.41</v>
      </c>
      <c r="N429" s="79">
        <f>(Matrix_prices!N417+$D$2)*IF($M$2="Prices in $/MWh",1,1/1000)</f>
        <v>47.92</v>
      </c>
    </row>
    <row r="430" spans="3:14" x14ac:dyDescent="0.25">
      <c r="C430" s="82">
        <f>Matrix_prices!C418</f>
        <v>42583</v>
      </c>
      <c r="D430" s="83" t="str">
        <f>Matrix_prices!D418</f>
        <v>NJ</v>
      </c>
      <c r="E430" s="84" t="str">
        <f>Matrix_prices!E418</f>
        <v>AECO</v>
      </c>
      <c r="F430" s="83" t="str">
        <f>Matrix_prices!F418</f>
        <v>MGS</v>
      </c>
      <c r="G430" s="84" t="str">
        <f>Matrix_prices!G418</f>
        <v>Mthly Gen.Services</v>
      </c>
      <c r="H430" s="85" t="str">
        <f t="shared" si="20"/>
        <v>500-2500 MWh</v>
      </c>
      <c r="I430" s="84">
        <f>(Matrix_prices!I418+$D$2)*IF($M$2="Prices in $/MWh",1,1/1000)</f>
        <v>91.31</v>
      </c>
      <c r="J430" s="83">
        <f>(Matrix_prices!J418+$D$2)*IF($M$2="Prices in $/MWh",1,1/1000)</f>
        <v>90.63</v>
      </c>
      <c r="K430" s="84">
        <f>(Matrix_prices!K418+$D$2)*IF($M$2="Prices in $/MWh",1,1/1000)</f>
        <v>91.31</v>
      </c>
      <c r="L430" s="83">
        <f>(Matrix_prices!L418+$D$2)*IF($M$2="Prices in $/MWh",1,1/1000)</f>
        <v>46.32</v>
      </c>
      <c r="M430" s="84">
        <f>(Matrix_prices!M418+$D$2)*IF($M$2="Prices in $/MWh",1,1/1000)</f>
        <v>46.28</v>
      </c>
      <c r="N430" s="83">
        <f>(Matrix_prices!N418+$D$2)*IF($M$2="Prices in $/MWh",1,1/1000)</f>
        <v>46.79</v>
      </c>
    </row>
    <row r="431" spans="3:14" x14ac:dyDescent="0.25">
      <c r="C431" s="74">
        <f>Matrix_prices!C419</f>
        <v>42614</v>
      </c>
      <c r="D431" s="75" t="str">
        <f>Matrix_prices!D419</f>
        <v>NJ</v>
      </c>
      <c r="E431" s="76" t="str">
        <f>Matrix_prices!E419</f>
        <v>AECO</v>
      </c>
      <c r="F431" s="75" t="str">
        <f>Matrix_prices!F419</f>
        <v>MGS</v>
      </c>
      <c r="G431" s="76" t="str">
        <f>Matrix_prices!G419</f>
        <v>Mthly Gen.Services</v>
      </c>
      <c r="H431" s="157" t="str">
        <f t="shared" si="18"/>
        <v>0-100 MWh</v>
      </c>
      <c r="I431" s="76">
        <f>(Matrix_prices!I419+$D$2)*IF($M$2="Prices in $/MWh",1,1/1000)</f>
        <v>94.07</v>
      </c>
      <c r="J431" s="75">
        <f>(Matrix_prices!J419+$D$2)*IF($M$2="Prices in $/MWh",1,1/1000)</f>
        <v>94.95</v>
      </c>
      <c r="K431" s="76">
        <f>(Matrix_prices!K419+$D$2)*IF($M$2="Prices in $/MWh",1,1/1000)</f>
        <v>94.31</v>
      </c>
      <c r="L431" s="75">
        <f>(Matrix_prices!L419+$D$2)*IF($M$2="Prices in $/MWh",1,1/1000)</f>
        <v>49.39</v>
      </c>
      <c r="M431" s="76">
        <f>(Matrix_prices!M419+$D$2)*IF($M$2="Prices in $/MWh",1,1/1000)</f>
        <v>50.29</v>
      </c>
      <c r="N431" s="75">
        <f>(Matrix_prices!N419+$D$2)*IF($M$2="Prices in $/MWh",1,1/1000)</f>
        <v>49.96</v>
      </c>
    </row>
    <row r="432" spans="3:14" x14ac:dyDescent="0.25">
      <c r="C432" s="78">
        <f>Matrix_prices!C420</f>
        <v>42614</v>
      </c>
      <c r="D432" s="79" t="str">
        <f>Matrix_prices!D420</f>
        <v>NJ</v>
      </c>
      <c r="E432" s="80" t="str">
        <f>Matrix_prices!E420</f>
        <v>AECO</v>
      </c>
      <c r="F432" s="79" t="str">
        <f>Matrix_prices!F420</f>
        <v>MGS</v>
      </c>
      <c r="G432" s="80" t="str">
        <f>Matrix_prices!G420</f>
        <v>Mthly Gen.Services</v>
      </c>
      <c r="H432" s="81" t="str">
        <f t="shared" si="19"/>
        <v>100-500 MWh</v>
      </c>
      <c r="I432" s="80">
        <f>(Matrix_prices!I420+$D$2)*IF($M$2="Prices in $/MWh",1,1/1000)</f>
        <v>92.36</v>
      </c>
      <c r="J432" s="79">
        <f>(Matrix_prices!J420+$D$2)*IF($M$2="Prices in $/MWh",1,1/1000)</f>
        <v>93.23</v>
      </c>
      <c r="K432" s="80">
        <f>(Matrix_prices!K420+$D$2)*IF($M$2="Prices in $/MWh",1,1/1000)</f>
        <v>92.6</v>
      </c>
      <c r="L432" s="79">
        <f>(Matrix_prices!L420+$D$2)*IF($M$2="Prices in $/MWh",1,1/1000)</f>
        <v>47.68</v>
      </c>
      <c r="M432" s="80">
        <f>(Matrix_prices!M420+$D$2)*IF($M$2="Prices in $/MWh",1,1/1000)</f>
        <v>48.58</v>
      </c>
      <c r="N432" s="79">
        <f>(Matrix_prices!N420+$D$2)*IF($M$2="Prices in $/MWh",1,1/1000)</f>
        <v>48.25</v>
      </c>
    </row>
    <row r="433" spans="3:14" x14ac:dyDescent="0.25">
      <c r="C433" s="82">
        <f>Matrix_prices!C421</f>
        <v>42614</v>
      </c>
      <c r="D433" s="83" t="str">
        <f>Matrix_prices!D421</f>
        <v>NJ</v>
      </c>
      <c r="E433" s="84" t="str">
        <f>Matrix_prices!E421</f>
        <v>AECO</v>
      </c>
      <c r="F433" s="83" t="str">
        <f>Matrix_prices!F421</f>
        <v>MGS</v>
      </c>
      <c r="G433" s="84" t="str">
        <f>Matrix_prices!G421</f>
        <v>Mthly Gen.Services</v>
      </c>
      <c r="H433" s="85" t="str">
        <f t="shared" si="20"/>
        <v>500-2500 MWh</v>
      </c>
      <c r="I433" s="84">
        <f>(Matrix_prices!I421+$D$2)*IF($M$2="Prices in $/MWh",1,1/1000)</f>
        <v>91.23</v>
      </c>
      <c r="J433" s="83">
        <f>(Matrix_prices!J421+$D$2)*IF($M$2="Prices in $/MWh",1,1/1000)</f>
        <v>92.11</v>
      </c>
      <c r="K433" s="84">
        <f>(Matrix_prices!K421+$D$2)*IF($M$2="Prices in $/MWh",1,1/1000)</f>
        <v>91.47</v>
      </c>
      <c r="L433" s="83">
        <f>(Matrix_prices!L421+$D$2)*IF($M$2="Prices in $/MWh",1,1/1000)</f>
        <v>46.55</v>
      </c>
      <c r="M433" s="84">
        <f>(Matrix_prices!M421+$D$2)*IF($M$2="Prices in $/MWh",1,1/1000)</f>
        <v>47.45</v>
      </c>
      <c r="N433" s="83">
        <f>(Matrix_prices!N421+$D$2)*IF($M$2="Prices in $/MWh",1,1/1000)</f>
        <v>47.13</v>
      </c>
    </row>
    <row r="434" spans="3:14" x14ac:dyDescent="0.25">
      <c r="C434" s="151">
        <f>Matrix_prices!C422</f>
        <v>42644</v>
      </c>
      <c r="D434" s="152" t="str">
        <f>Matrix_prices!D422</f>
        <v>NJ</v>
      </c>
      <c r="E434" s="153" t="str">
        <f>Matrix_prices!E422</f>
        <v>AECO</v>
      </c>
      <c r="F434" s="152" t="str">
        <f>Matrix_prices!F422</f>
        <v>MGS</v>
      </c>
      <c r="G434" s="153" t="str">
        <f>Matrix_prices!G422</f>
        <v>Mthly Gen.Services</v>
      </c>
      <c r="H434" s="157" t="str">
        <f t="shared" si="18"/>
        <v>0-100 MWh</v>
      </c>
      <c r="I434" s="153">
        <f>(Matrix_prices!I422+$D$2)*IF($M$2="Prices in $/MWh",1,1/1000)</f>
        <v>94.14</v>
      </c>
      <c r="J434" s="152">
        <f>(Matrix_prices!J422+$D$2)*IF($M$2="Prices in $/MWh",1,1/1000)</f>
        <v>96.21</v>
      </c>
      <c r="K434" s="153">
        <f>(Matrix_prices!K422+$D$2)*IF($M$2="Prices in $/MWh",1,1/1000)</f>
        <v>94.18</v>
      </c>
      <c r="L434" s="152">
        <f>(Matrix_prices!L422+$D$2)*IF($M$2="Prices in $/MWh",1,1/1000)</f>
        <v>49.69</v>
      </c>
      <c r="M434" s="153">
        <f>(Matrix_prices!M422+$D$2)*IF($M$2="Prices in $/MWh",1,1/1000)</f>
        <v>51.57</v>
      </c>
      <c r="N434" s="152">
        <f>(Matrix_prices!N422+$D$2)*IF($M$2="Prices in $/MWh",1,1/1000)</f>
        <v>50.05</v>
      </c>
    </row>
    <row r="435" spans="3:14" x14ac:dyDescent="0.25">
      <c r="C435" s="78">
        <f>Matrix_prices!C423</f>
        <v>42644</v>
      </c>
      <c r="D435" s="79" t="str">
        <f>Matrix_prices!D423</f>
        <v>NJ</v>
      </c>
      <c r="E435" s="80" t="str">
        <f>Matrix_prices!E423</f>
        <v>AECO</v>
      </c>
      <c r="F435" s="79" t="str">
        <f>Matrix_prices!F423</f>
        <v>MGS</v>
      </c>
      <c r="G435" s="80" t="str">
        <f>Matrix_prices!G423</f>
        <v>Mthly Gen.Services</v>
      </c>
      <c r="H435" s="81" t="str">
        <f t="shared" si="19"/>
        <v>100-500 MWh</v>
      </c>
      <c r="I435" s="80">
        <f>(Matrix_prices!I423+$D$2)*IF($M$2="Prices in $/MWh",1,1/1000)</f>
        <v>92.43</v>
      </c>
      <c r="J435" s="79">
        <f>(Matrix_prices!J423+$D$2)*IF($M$2="Prices in $/MWh",1,1/1000)</f>
        <v>94.5</v>
      </c>
      <c r="K435" s="80">
        <f>(Matrix_prices!K423+$D$2)*IF($M$2="Prices in $/MWh",1,1/1000)</f>
        <v>92.46</v>
      </c>
      <c r="L435" s="79">
        <f>(Matrix_prices!L423+$D$2)*IF($M$2="Prices in $/MWh",1,1/1000)</f>
        <v>47.98</v>
      </c>
      <c r="M435" s="80">
        <f>(Matrix_prices!M423+$D$2)*IF($M$2="Prices in $/MWh",1,1/1000)</f>
        <v>49.86</v>
      </c>
      <c r="N435" s="79">
        <f>(Matrix_prices!N423+$D$2)*IF($M$2="Prices in $/MWh",1,1/1000)</f>
        <v>48.34</v>
      </c>
    </row>
    <row r="436" spans="3:14" x14ac:dyDescent="0.25">
      <c r="C436" s="82">
        <f>Matrix_prices!C424</f>
        <v>42644</v>
      </c>
      <c r="D436" s="83" t="str">
        <f>Matrix_prices!D424</f>
        <v>NJ</v>
      </c>
      <c r="E436" s="84" t="str">
        <f>Matrix_prices!E424</f>
        <v>AECO</v>
      </c>
      <c r="F436" s="83" t="str">
        <f>Matrix_prices!F424</f>
        <v>MGS</v>
      </c>
      <c r="G436" s="84" t="str">
        <f>Matrix_prices!G424</f>
        <v>Mthly Gen.Services</v>
      </c>
      <c r="H436" s="85" t="str">
        <f t="shared" si="20"/>
        <v>500-2500 MWh</v>
      </c>
      <c r="I436" s="84">
        <f>(Matrix_prices!I424+$D$2)*IF($M$2="Prices in $/MWh",1,1/1000)</f>
        <v>91.31</v>
      </c>
      <c r="J436" s="83">
        <f>(Matrix_prices!J424+$D$2)*IF($M$2="Prices in $/MWh",1,1/1000)</f>
        <v>93.37</v>
      </c>
      <c r="K436" s="84">
        <f>(Matrix_prices!K424+$D$2)*IF($M$2="Prices in $/MWh",1,1/1000)</f>
        <v>91.34</v>
      </c>
      <c r="L436" s="83">
        <f>(Matrix_prices!L424+$D$2)*IF($M$2="Prices in $/MWh",1,1/1000)</f>
        <v>46.85</v>
      </c>
      <c r="M436" s="84">
        <f>(Matrix_prices!M424+$D$2)*IF($M$2="Prices in $/MWh",1,1/1000)</f>
        <v>48.73</v>
      </c>
      <c r="N436" s="83">
        <f>(Matrix_prices!N424+$D$2)*IF($M$2="Prices in $/MWh",1,1/1000)</f>
        <v>47.21</v>
      </c>
    </row>
    <row r="437" spans="3:14" x14ac:dyDescent="0.25">
      <c r="C437" s="74">
        <f>Matrix_prices!C425</f>
        <v>42675</v>
      </c>
      <c r="D437" s="75" t="str">
        <f>Matrix_prices!D425</f>
        <v>NJ</v>
      </c>
      <c r="E437" s="76" t="str">
        <f>Matrix_prices!E425</f>
        <v>AECO</v>
      </c>
      <c r="F437" s="75" t="str">
        <f>Matrix_prices!F425</f>
        <v>MGS</v>
      </c>
      <c r="G437" s="76" t="str">
        <f>Matrix_prices!G425</f>
        <v>Mthly Gen.Services</v>
      </c>
      <c r="H437" s="157" t="str">
        <f t="shared" si="18"/>
        <v>0-100 MWh</v>
      </c>
      <c r="I437" s="76">
        <f>(Matrix_prices!I425+$D$2)*IF($M$2="Prices in $/MWh",1,1/1000)</f>
        <v>94.09</v>
      </c>
      <c r="J437" s="75">
        <f>(Matrix_prices!J425+$D$2)*IF($M$2="Prices in $/MWh",1,1/1000)</f>
        <v>96.48</v>
      </c>
      <c r="K437" s="76">
        <f>(Matrix_prices!K425+$D$2)*IF($M$2="Prices in $/MWh",1,1/1000)</f>
        <v>94.2</v>
      </c>
      <c r="L437" s="75">
        <f>(Matrix_prices!L425+$D$2)*IF($M$2="Prices in $/MWh",1,1/1000)</f>
        <v>49.82</v>
      </c>
      <c r="M437" s="76">
        <f>(Matrix_prices!M425+$D$2)*IF($M$2="Prices in $/MWh",1,1/1000)</f>
        <v>51.8</v>
      </c>
      <c r="N437" s="75">
        <f>(Matrix_prices!N425+$D$2)*IF($M$2="Prices in $/MWh",1,1/1000)</f>
        <v>50.19</v>
      </c>
    </row>
    <row r="438" spans="3:14" x14ac:dyDescent="0.25">
      <c r="C438" s="78">
        <f>Matrix_prices!C426</f>
        <v>42675</v>
      </c>
      <c r="D438" s="79" t="str">
        <f>Matrix_prices!D426</f>
        <v>NJ</v>
      </c>
      <c r="E438" s="80" t="str">
        <f>Matrix_prices!E426</f>
        <v>AECO</v>
      </c>
      <c r="F438" s="79" t="str">
        <f>Matrix_prices!F426</f>
        <v>MGS</v>
      </c>
      <c r="G438" s="80" t="str">
        <f>Matrix_prices!G426</f>
        <v>Mthly Gen.Services</v>
      </c>
      <c r="H438" s="81" t="str">
        <f t="shared" si="19"/>
        <v>100-500 MWh</v>
      </c>
      <c r="I438" s="80">
        <f>(Matrix_prices!I426+$D$2)*IF($M$2="Prices in $/MWh",1,1/1000)</f>
        <v>92.38</v>
      </c>
      <c r="J438" s="79">
        <f>(Matrix_prices!J426+$D$2)*IF($M$2="Prices in $/MWh",1,1/1000)</f>
        <v>94.76</v>
      </c>
      <c r="K438" s="80">
        <f>(Matrix_prices!K426+$D$2)*IF($M$2="Prices in $/MWh",1,1/1000)</f>
        <v>92.48</v>
      </c>
      <c r="L438" s="79">
        <f>(Matrix_prices!L426+$D$2)*IF($M$2="Prices in $/MWh",1,1/1000)</f>
        <v>48.11</v>
      </c>
      <c r="M438" s="80">
        <f>(Matrix_prices!M426+$D$2)*IF($M$2="Prices in $/MWh",1,1/1000)</f>
        <v>50.09</v>
      </c>
      <c r="N438" s="79">
        <f>(Matrix_prices!N426+$D$2)*IF($M$2="Prices in $/MWh",1,1/1000)</f>
        <v>48.48</v>
      </c>
    </row>
    <row r="439" spans="3:14" x14ac:dyDescent="0.25">
      <c r="C439" s="82">
        <f>Matrix_prices!C427</f>
        <v>42675</v>
      </c>
      <c r="D439" s="83" t="str">
        <f>Matrix_prices!D427</f>
        <v>NJ</v>
      </c>
      <c r="E439" s="84" t="str">
        <f>Matrix_prices!E427</f>
        <v>AECO</v>
      </c>
      <c r="F439" s="83" t="str">
        <f>Matrix_prices!F427</f>
        <v>MGS</v>
      </c>
      <c r="G439" s="84" t="str">
        <f>Matrix_prices!G427</f>
        <v>Mthly Gen.Services</v>
      </c>
      <c r="H439" s="85" t="str">
        <f t="shared" si="20"/>
        <v>500-2500 MWh</v>
      </c>
      <c r="I439" s="84">
        <f>(Matrix_prices!I427+$D$2)*IF($M$2="Prices in $/MWh",1,1/1000)</f>
        <v>91.26</v>
      </c>
      <c r="J439" s="83">
        <f>(Matrix_prices!J427+$D$2)*IF($M$2="Prices in $/MWh",1,1/1000)</f>
        <v>93.64</v>
      </c>
      <c r="K439" s="84">
        <f>(Matrix_prices!K427+$D$2)*IF($M$2="Prices in $/MWh",1,1/1000)</f>
        <v>91.36</v>
      </c>
      <c r="L439" s="83">
        <f>(Matrix_prices!L427+$D$2)*IF($M$2="Prices in $/MWh",1,1/1000)</f>
        <v>46.98</v>
      </c>
      <c r="M439" s="84">
        <f>(Matrix_prices!M427+$D$2)*IF($M$2="Prices in $/MWh",1,1/1000)</f>
        <v>48.96</v>
      </c>
      <c r="N439" s="83">
        <f>(Matrix_prices!N427+$D$2)*IF($M$2="Prices in $/MWh",1,1/1000)</f>
        <v>47.35</v>
      </c>
    </row>
    <row r="440" spans="3:14" x14ac:dyDescent="0.25">
      <c r="C440" s="151">
        <f>Matrix_prices!C428</f>
        <v>42705</v>
      </c>
      <c r="D440" s="152" t="str">
        <f>Matrix_prices!D428</f>
        <v>NJ</v>
      </c>
      <c r="E440" s="153" t="str">
        <f>Matrix_prices!E428</f>
        <v>AECO</v>
      </c>
      <c r="F440" s="152" t="str">
        <f>Matrix_prices!F428</f>
        <v>MGS</v>
      </c>
      <c r="G440" s="153" t="str">
        <f>Matrix_prices!G428</f>
        <v>Mthly Gen.Services</v>
      </c>
      <c r="H440" s="157" t="str">
        <f t="shared" si="18"/>
        <v>0-100 MWh</v>
      </c>
      <c r="I440" s="153">
        <f>(Matrix_prices!I428+$D$2)*IF($M$2="Prices in $/MWh",1,1/1000)</f>
        <v>93.79</v>
      </c>
      <c r="J440" s="152">
        <f>(Matrix_prices!J428+$D$2)*IF($M$2="Prices in $/MWh",1,1/1000)</f>
        <v>96.54</v>
      </c>
      <c r="K440" s="153">
        <f>(Matrix_prices!K428+$D$2)*IF($M$2="Prices in $/MWh",1,1/1000)</f>
        <v>94.32</v>
      </c>
      <c r="L440" s="152">
        <f>(Matrix_prices!L428+$D$2)*IF($M$2="Prices in $/MWh",1,1/1000)</f>
        <v>49.64</v>
      </c>
      <c r="M440" s="153">
        <f>(Matrix_prices!M428+$D$2)*IF($M$2="Prices in $/MWh",1,1/1000)</f>
        <v>51.81</v>
      </c>
      <c r="N440" s="152">
        <f>(Matrix_prices!N428+$D$2)*IF($M$2="Prices in $/MWh",1,1/1000)</f>
        <v>50.4</v>
      </c>
    </row>
    <row r="441" spans="3:14" x14ac:dyDescent="0.25">
      <c r="C441" s="78">
        <f>Matrix_prices!C429</f>
        <v>42705</v>
      </c>
      <c r="D441" s="79" t="str">
        <f>Matrix_prices!D429</f>
        <v>NJ</v>
      </c>
      <c r="E441" s="80" t="str">
        <f>Matrix_prices!E429</f>
        <v>AECO</v>
      </c>
      <c r="F441" s="79" t="str">
        <f>Matrix_prices!F429</f>
        <v>MGS</v>
      </c>
      <c r="G441" s="80" t="str">
        <f>Matrix_prices!G429</f>
        <v>Mthly Gen.Services</v>
      </c>
      <c r="H441" s="81" t="str">
        <f t="shared" si="19"/>
        <v>100-500 MWh</v>
      </c>
      <c r="I441" s="80">
        <f>(Matrix_prices!I429+$D$2)*IF($M$2="Prices in $/MWh",1,1/1000)</f>
        <v>92.08</v>
      </c>
      <c r="J441" s="79">
        <f>(Matrix_prices!J429+$D$2)*IF($M$2="Prices in $/MWh",1,1/1000)</f>
        <v>94.83</v>
      </c>
      <c r="K441" s="80">
        <f>(Matrix_prices!K429+$D$2)*IF($M$2="Prices in $/MWh",1,1/1000)</f>
        <v>92.61</v>
      </c>
      <c r="L441" s="79">
        <f>(Matrix_prices!L429+$D$2)*IF($M$2="Prices in $/MWh",1,1/1000)</f>
        <v>47.93</v>
      </c>
      <c r="M441" s="80">
        <f>(Matrix_prices!M429+$D$2)*IF($M$2="Prices in $/MWh",1,1/1000)</f>
        <v>50.1</v>
      </c>
      <c r="N441" s="79">
        <f>(Matrix_prices!N429+$D$2)*IF($M$2="Prices in $/MWh",1,1/1000)</f>
        <v>48.69</v>
      </c>
    </row>
    <row r="442" spans="3:14" x14ac:dyDescent="0.25">
      <c r="C442" s="82">
        <f>Matrix_prices!C430</f>
        <v>42705</v>
      </c>
      <c r="D442" s="83" t="str">
        <f>Matrix_prices!D430</f>
        <v>NJ</v>
      </c>
      <c r="E442" s="84" t="str">
        <f>Matrix_prices!E430</f>
        <v>AECO</v>
      </c>
      <c r="F442" s="83" t="str">
        <f>Matrix_prices!F430</f>
        <v>MGS</v>
      </c>
      <c r="G442" s="84" t="str">
        <f>Matrix_prices!G430</f>
        <v>Mthly Gen.Services</v>
      </c>
      <c r="H442" s="85" t="str">
        <f t="shared" si="20"/>
        <v>500-2500 MWh</v>
      </c>
      <c r="I442" s="84">
        <f>(Matrix_prices!I430+$D$2)*IF($M$2="Prices in $/MWh",1,1/1000)</f>
        <v>90.96</v>
      </c>
      <c r="J442" s="83">
        <f>(Matrix_prices!J430+$D$2)*IF($M$2="Prices in $/MWh",1,1/1000)</f>
        <v>93.71</v>
      </c>
      <c r="K442" s="84">
        <f>(Matrix_prices!K430+$D$2)*IF($M$2="Prices in $/MWh",1,1/1000)</f>
        <v>91.49</v>
      </c>
      <c r="L442" s="83">
        <f>(Matrix_prices!L430+$D$2)*IF($M$2="Prices in $/MWh",1,1/1000)</f>
        <v>46.8</v>
      </c>
      <c r="M442" s="84">
        <f>(Matrix_prices!M430+$D$2)*IF($M$2="Prices in $/MWh",1,1/1000)</f>
        <v>48.97</v>
      </c>
      <c r="N442" s="83">
        <f>(Matrix_prices!N430+$D$2)*IF($M$2="Prices in $/MWh",1,1/1000)</f>
        <v>47.56</v>
      </c>
    </row>
    <row r="443" spans="3:14" x14ac:dyDescent="0.25">
      <c r="C443" s="74">
        <f>Matrix_prices!C431</f>
        <v>42736</v>
      </c>
      <c r="D443" s="75" t="str">
        <f>Matrix_prices!D431</f>
        <v>NJ</v>
      </c>
      <c r="E443" s="76" t="str">
        <f>Matrix_prices!E431</f>
        <v>AECO</v>
      </c>
      <c r="F443" s="75" t="str">
        <f>Matrix_prices!F431</f>
        <v>MGS</v>
      </c>
      <c r="G443" s="76" t="str">
        <f>Matrix_prices!G431</f>
        <v>Mthly Gen.Services</v>
      </c>
      <c r="H443" s="157" t="str">
        <f t="shared" si="18"/>
        <v>0-100 MWh</v>
      </c>
      <c r="I443" s="76">
        <f>(Matrix_prices!I431+$D$2)*IF($M$2="Prices in $/MWh",1,1/1000)</f>
        <v>93.76</v>
      </c>
      <c r="J443" s="75">
        <f>(Matrix_prices!J431+$D$2)*IF($M$2="Prices in $/MWh",1,1/1000)</f>
        <v>95.83</v>
      </c>
      <c r="K443" s="76">
        <f>(Matrix_prices!K431+$D$2)*IF($M$2="Prices in $/MWh",1,1/1000)</f>
        <v>94.62</v>
      </c>
      <c r="L443" s="75">
        <f>(Matrix_prices!L431+$D$2)*IF($M$2="Prices in $/MWh",1,1/1000)</f>
        <v>49.63</v>
      </c>
      <c r="M443" s="76">
        <f>(Matrix_prices!M431+$D$2)*IF($M$2="Prices in $/MWh",1,1/1000)</f>
        <v>51.07</v>
      </c>
      <c r="N443" s="75">
        <f>(Matrix_prices!N431+$D$2)*IF($M$2="Prices in $/MWh",1,1/1000)</f>
        <v>50.66</v>
      </c>
    </row>
    <row r="444" spans="3:14" x14ac:dyDescent="0.25">
      <c r="C444" s="78">
        <f>Matrix_prices!C432</f>
        <v>42736</v>
      </c>
      <c r="D444" s="79" t="str">
        <f>Matrix_prices!D432</f>
        <v>NJ</v>
      </c>
      <c r="E444" s="80" t="str">
        <f>Matrix_prices!E432</f>
        <v>AECO</v>
      </c>
      <c r="F444" s="79" t="str">
        <f>Matrix_prices!F432</f>
        <v>MGS</v>
      </c>
      <c r="G444" s="80" t="str">
        <f>Matrix_prices!G432</f>
        <v>Mthly Gen.Services</v>
      </c>
      <c r="H444" s="81" t="str">
        <f t="shared" si="19"/>
        <v>100-500 MWh</v>
      </c>
      <c r="I444" s="80">
        <f>(Matrix_prices!I432+$D$2)*IF($M$2="Prices in $/MWh",1,1/1000)</f>
        <v>92.05</v>
      </c>
      <c r="J444" s="79">
        <f>(Matrix_prices!J432+$D$2)*IF($M$2="Prices in $/MWh",1,1/1000)</f>
        <v>94.12</v>
      </c>
      <c r="K444" s="80">
        <f>(Matrix_prices!K432+$D$2)*IF($M$2="Prices in $/MWh",1,1/1000)</f>
        <v>92.91</v>
      </c>
      <c r="L444" s="79">
        <f>(Matrix_prices!L432+$D$2)*IF($M$2="Prices in $/MWh",1,1/1000)</f>
        <v>47.92</v>
      </c>
      <c r="M444" s="80">
        <f>(Matrix_prices!M432+$D$2)*IF($M$2="Prices in $/MWh",1,1/1000)</f>
        <v>49.36</v>
      </c>
      <c r="N444" s="79">
        <f>(Matrix_prices!N432+$D$2)*IF($M$2="Prices in $/MWh",1,1/1000)</f>
        <v>48.95</v>
      </c>
    </row>
    <row r="445" spans="3:14" x14ac:dyDescent="0.25">
      <c r="C445" s="82">
        <f>Matrix_prices!C433</f>
        <v>42736</v>
      </c>
      <c r="D445" s="83" t="str">
        <f>Matrix_prices!D433</f>
        <v>NJ</v>
      </c>
      <c r="E445" s="84" t="str">
        <f>Matrix_prices!E433</f>
        <v>AECO</v>
      </c>
      <c r="F445" s="83" t="str">
        <f>Matrix_prices!F433</f>
        <v>MGS</v>
      </c>
      <c r="G445" s="84" t="str">
        <f>Matrix_prices!G433</f>
        <v>Mthly Gen.Services</v>
      </c>
      <c r="H445" s="85" t="str">
        <f t="shared" si="20"/>
        <v>500-2500 MWh</v>
      </c>
      <c r="I445" s="84">
        <f>(Matrix_prices!I433+$D$2)*IF($M$2="Prices in $/MWh",1,1/1000)</f>
        <v>90.93</v>
      </c>
      <c r="J445" s="83">
        <f>(Matrix_prices!J433+$D$2)*IF($M$2="Prices in $/MWh",1,1/1000)</f>
        <v>93</v>
      </c>
      <c r="K445" s="84">
        <f>(Matrix_prices!K433+$D$2)*IF($M$2="Prices in $/MWh",1,1/1000)</f>
        <v>91.79</v>
      </c>
      <c r="L445" s="83">
        <f>(Matrix_prices!L433+$D$2)*IF($M$2="Prices in $/MWh",1,1/1000)</f>
        <v>46.79</v>
      </c>
      <c r="M445" s="84">
        <f>(Matrix_prices!M433+$D$2)*IF($M$2="Prices in $/MWh",1,1/1000)</f>
        <v>48.23</v>
      </c>
      <c r="N445" s="83">
        <f>(Matrix_prices!N433+$D$2)*IF($M$2="Prices in $/MWh",1,1/1000)</f>
        <v>47.82</v>
      </c>
    </row>
    <row r="446" spans="3:14" x14ac:dyDescent="0.25">
      <c r="C446" s="151">
        <f>Matrix_prices!C434</f>
        <v>42401</v>
      </c>
      <c r="D446" s="152" t="str">
        <f>Matrix_prices!D434</f>
        <v>NJ</v>
      </c>
      <c r="E446" s="153" t="str">
        <f>Matrix_prices!E434</f>
        <v>JCPL</v>
      </c>
      <c r="F446" s="152" t="str">
        <f>Matrix_prices!F434</f>
        <v>GSCL</v>
      </c>
      <c r="G446" s="153" t="str">
        <f>Matrix_prices!G434</f>
        <v>General Service Large</v>
      </c>
      <c r="H446" s="157" t="str">
        <f t="shared" si="18"/>
        <v>0-100 MWh</v>
      </c>
      <c r="I446" s="153">
        <f>(Matrix_prices!I434+$D$2)*IF($M$2="Prices in $/MWh",1,1/1000)</f>
        <v>85.91</v>
      </c>
      <c r="J446" s="152">
        <f>(Matrix_prices!J434+$D$2)*IF($M$2="Prices in $/MWh",1,1/1000)</f>
        <v>87.08</v>
      </c>
      <c r="K446" s="153">
        <f>(Matrix_prices!K434+$D$2)*IF($M$2="Prices in $/MWh",1,1/1000)</f>
        <v>86.63</v>
      </c>
      <c r="L446" s="152">
        <f>(Matrix_prices!L434+$D$2)*IF($M$2="Prices in $/MWh",1,1/1000)</f>
        <v>40.32</v>
      </c>
      <c r="M446" s="153">
        <f>(Matrix_prices!M434+$D$2)*IF($M$2="Prices in $/MWh",1,1/1000)</f>
        <v>41.43</v>
      </c>
      <c r="N446" s="152">
        <f>(Matrix_prices!N434+$D$2)*IF($M$2="Prices in $/MWh",1,1/1000)</f>
        <v>41.53</v>
      </c>
    </row>
    <row r="447" spans="3:14" x14ac:dyDescent="0.25">
      <c r="C447" s="78">
        <f>Matrix_prices!C435</f>
        <v>42401</v>
      </c>
      <c r="D447" s="79" t="str">
        <f>Matrix_prices!D435</f>
        <v>NJ</v>
      </c>
      <c r="E447" s="80" t="str">
        <f>Matrix_prices!E435</f>
        <v>JCPL</v>
      </c>
      <c r="F447" s="79" t="str">
        <f>Matrix_prices!F435</f>
        <v>GSCL</v>
      </c>
      <c r="G447" s="80" t="str">
        <f>Matrix_prices!G435</f>
        <v>General Service Large</v>
      </c>
      <c r="H447" s="81" t="str">
        <f t="shared" si="19"/>
        <v>100-500 MWh</v>
      </c>
      <c r="I447" s="80">
        <f>(Matrix_prices!I435+$D$2)*IF($M$2="Prices in $/MWh",1,1/1000)</f>
        <v>84.2</v>
      </c>
      <c r="J447" s="79">
        <f>(Matrix_prices!J435+$D$2)*IF($M$2="Prices in $/MWh",1,1/1000)</f>
        <v>85.37</v>
      </c>
      <c r="K447" s="80">
        <f>(Matrix_prices!K435+$D$2)*IF($M$2="Prices in $/MWh",1,1/1000)</f>
        <v>84.92</v>
      </c>
      <c r="L447" s="79">
        <f>(Matrix_prices!L435+$D$2)*IF($M$2="Prices in $/MWh",1,1/1000)</f>
        <v>38.61</v>
      </c>
      <c r="M447" s="80">
        <f>(Matrix_prices!M435+$D$2)*IF($M$2="Prices in $/MWh",1,1/1000)</f>
        <v>39.72</v>
      </c>
      <c r="N447" s="79">
        <f>(Matrix_prices!N435+$D$2)*IF($M$2="Prices in $/MWh",1,1/1000)</f>
        <v>39.82</v>
      </c>
    </row>
    <row r="448" spans="3:14" x14ac:dyDescent="0.25">
      <c r="C448" s="82">
        <f>Matrix_prices!C436</f>
        <v>42401</v>
      </c>
      <c r="D448" s="83" t="str">
        <f>Matrix_prices!D436</f>
        <v>NJ</v>
      </c>
      <c r="E448" s="84" t="str">
        <f>Matrix_prices!E436</f>
        <v>JCPL</v>
      </c>
      <c r="F448" s="83" t="str">
        <f>Matrix_prices!F436</f>
        <v>GSCL</v>
      </c>
      <c r="G448" s="84" t="str">
        <f>Matrix_prices!G436</f>
        <v>General Service Large</v>
      </c>
      <c r="H448" s="85" t="str">
        <f t="shared" si="20"/>
        <v>500-2500 MWh</v>
      </c>
      <c r="I448" s="84">
        <f>(Matrix_prices!I436+$D$2)*IF($M$2="Prices in $/MWh",1,1/1000)</f>
        <v>83.08</v>
      </c>
      <c r="J448" s="83">
        <f>(Matrix_prices!J436+$D$2)*IF($M$2="Prices in $/MWh",1,1/1000)</f>
        <v>84.24</v>
      </c>
      <c r="K448" s="84">
        <f>(Matrix_prices!K436+$D$2)*IF($M$2="Prices in $/MWh",1,1/1000)</f>
        <v>83.79</v>
      </c>
      <c r="L448" s="83">
        <f>(Matrix_prices!L436+$D$2)*IF($M$2="Prices in $/MWh",1,1/1000)</f>
        <v>37.479999999999997</v>
      </c>
      <c r="M448" s="84">
        <f>(Matrix_prices!M436+$D$2)*IF($M$2="Prices in $/MWh",1,1/1000)</f>
        <v>38.590000000000003</v>
      </c>
      <c r="N448" s="83">
        <f>(Matrix_prices!N436+$D$2)*IF($M$2="Prices in $/MWh",1,1/1000)</f>
        <v>38.700000000000003</v>
      </c>
    </row>
    <row r="449" spans="3:14" x14ac:dyDescent="0.25">
      <c r="C449" s="74">
        <f>Matrix_prices!C437</f>
        <v>42430</v>
      </c>
      <c r="D449" s="75" t="str">
        <f>Matrix_prices!D437</f>
        <v>NJ</v>
      </c>
      <c r="E449" s="76" t="str">
        <f>Matrix_prices!E437</f>
        <v>JCPL</v>
      </c>
      <c r="F449" s="75" t="str">
        <f>Matrix_prices!F437</f>
        <v>GSCL</v>
      </c>
      <c r="G449" s="76" t="str">
        <f>Matrix_prices!G437</f>
        <v>General Service Large</v>
      </c>
      <c r="H449" s="157" t="str">
        <f t="shared" si="18"/>
        <v>0-100 MWh</v>
      </c>
      <c r="I449" s="76">
        <f>(Matrix_prices!I437+$D$2)*IF($M$2="Prices in $/MWh",1,1/1000)</f>
        <v>86.43</v>
      </c>
      <c r="J449" s="75">
        <f>(Matrix_prices!J437+$D$2)*IF($M$2="Prices in $/MWh",1,1/1000)</f>
        <v>86.23</v>
      </c>
      <c r="K449" s="76">
        <f>(Matrix_prices!K437+$D$2)*IF($M$2="Prices in $/MWh",1,1/1000)</f>
        <v>86.94</v>
      </c>
      <c r="L449" s="75">
        <f>(Matrix_prices!L437+$D$2)*IF($M$2="Prices in $/MWh",1,1/1000)</f>
        <v>40.369999999999997</v>
      </c>
      <c r="M449" s="76">
        <f>(Matrix_prices!M437+$D$2)*IF($M$2="Prices in $/MWh",1,1/1000)</f>
        <v>40.64</v>
      </c>
      <c r="N449" s="75">
        <f>(Matrix_prices!N437+$D$2)*IF($M$2="Prices in $/MWh",1,1/1000)</f>
        <v>41.55</v>
      </c>
    </row>
    <row r="450" spans="3:14" x14ac:dyDescent="0.25">
      <c r="C450" s="78">
        <f>Matrix_prices!C438</f>
        <v>42430</v>
      </c>
      <c r="D450" s="79" t="str">
        <f>Matrix_prices!D438</f>
        <v>NJ</v>
      </c>
      <c r="E450" s="80" t="str">
        <f>Matrix_prices!E438</f>
        <v>JCPL</v>
      </c>
      <c r="F450" s="79" t="str">
        <f>Matrix_prices!F438</f>
        <v>GSCL</v>
      </c>
      <c r="G450" s="80" t="str">
        <f>Matrix_prices!G438</f>
        <v>General Service Large</v>
      </c>
      <c r="H450" s="81" t="str">
        <f t="shared" si="19"/>
        <v>100-500 MWh</v>
      </c>
      <c r="I450" s="80">
        <f>(Matrix_prices!I438+$D$2)*IF($M$2="Prices in $/MWh",1,1/1000)</f>
        <v>84.72</v>
      </c>
      <c r="J450" s="79">
        <f>(Matrix_prices!J438+$D$2)*IF($M$2="Prices in $/MWh",1,1/1000)</f>
        <v>84.52</v>
      </c>
      <c r="K450" s="80">
        <f>(Matrix_prices!K438+$D$2)*IF($M$2="Prices in $/MWh",1,1/1000)</f>
        <v>85.22</v>
      </c>
      <c r="L450" s="79">
        <f>(Matrix_prices!L438+$D$2)*IF($M$2="Prices in $/MWh",1,1/1000)</f>
        <v>38.659999999999997</v>
      </c>
      <c r="M450" s="80">
        <f>(Matrix_prices!M438+$D$2)*IF($M$2="Prices in $/MWh",1,1/1000)</f>
        <v>38.93</v>
      </c>
      <c r="N450" s="79">
        <f>(Matrix_prices!N438+$D$2)*IF($M$2="Prices in $/MWh",1,1/1000)</f>
        <v>39.840000000000003</v>
      </c>
    </row>
    <row r="451" spans="3:14" x14ac:dyDescent="0.25">
      <c r="C451" s="82">
        <f>Matrix_prices!C439</f>
        <v>42430</v>
      </c>
      <c r="D451" s="83" t="str">
        <f>Matrix_prices!D439</f>
        <v>NJ</v>
      </c>
      <c r="E451" s="84" t="str">
        <f>Matrix_prices!E439</f>
        <v>JCPL</v>
      </c>
      <c r="F451" s="83" t="str">
        <f>Matrix_prices!F439</f>
        <v>GSCL</v>
      </c>
      <c r="G451" s="84" t="str">
        <f>Matrix_prices!G439</f>
        <v>General Service Large</v>
      </c>
      <c r="H451" s="85" t="str">
        <f t="shared" si="20"/>
        <v>500-2500 MWh</v>
      </c>
      <c r="I451" s="84">
        <f>(Matrix_prices!I439+$D$2)*IF($M$2="Prices in $/MWh",1,1/1000)</f>
        <v>83.6</v>
      </c>
      <c r="J451" s="83">
        <f>(Matrix_prices!J439+$D$2)*IF($M$2="Prices in $/MWh",1,1/1000)</f>
        <v>83.39</v>
      </c>
      <c r="K451" s="84">
        <f>(Matrix_prices!K439+$D$2)*IF($M$2="Prices in $/MWh",1,1/1000)</f>
        <v>84.1</v>
      </c>
      <c r="L451" s="83">
        <f>(Matrix_prices!L439+$D$2)*IF($M$2="Prices in $/MWh",1,1/1000)</f>
        <v>37.53</v>
      </c>
      <c r="M451" s="84">
        <f>(Matrix_prices!M439+$D$2)*IF($M$2="Prices in $/MWh",1,1/1000)</f>
        <v>37.799999999999997</v>
      </c>
      <c r="N451" s="83">
        <f>(Matrix_prices!N439+$D$2)*IF($M$2="Prices in $/MWh",1,1/1000)</f>
        <v>38.71</v>
      </c>
    </row>
    <row r="452" spans="3:14" x14ac:dyDescent="0.25">
      <c r="C452" s="151">
        <f>Matrix_prices!C440</f>
        <v>42461</v>
      </c>
      <c r="D452" s="152" t="str">
        <f>Matrix_prices!D440</f>
        <v>NJ</v>
      </c>
      <c r="E452" s="153" t="str">
        <f>Matrix_prices!E440</f>
        <v>JCPL</v>
      </c>
      <c r="F452" s="152" t="str">
        <f>Matrix_prices!F440</f>
        <v>GSCL</v>
      </c>
      <c r="G452" s="153" t="str">
        <f>Matrix_prices!G440</f>
        <v>General Service Large</v>
      </c>
      <c r="H452" s="157" t="str">
        <f t="shared" si="18"/>
        <v>0-100 MWh</v>
      </c>
      <c r="I452" s="153">
        <f>(Matrix_prices!I440+$D$2)*IF($M$2="Prices in $/MWh",1,1/1000)</f>
        <v>86.78</v>
      </c>
      <c r="J452" s="152">
        <f>(Matrix_prices!J440+$D$2)*IF($M$2="Prices in $/MWh",1,1/1000)</f>
        <v>85.64</v>
      </c>
      <c r="K452" s="153">
        <f>(Matrix_prices!K440+$D$2)*IF($M$2="Prices in $/MWh",1,1/1000)</f>
        <v>87.01</v>
      </c>
      <c r="L452" s="152">
        <f>(Matrix_prices!L440+$D$2)*IF($M$2="Prices in $/MWh",1,1/1000)</f>
        <v>40.630000000000003</v>
      </c>
      <c r="M452" s="153">
        <f>(Matrix_prices!M440+$D$2)*IF($M$2="Prices in $/MWh",1,1/1000)</f>
        <v>40.21</v>
      </c>
      <c r="N452" s="152">
        <f>(Matrix_prices!N440+$D$2)*IF($M$2="Prices in $/MWh",1,1/1000)</f>
        <v>41.6</v>
      </c>
    </row>
    <row r="453" spans="3:14" x14ac:dyDescent="0.25">
      <c r="C453" s="78">
        <f>Matrix_prices!C441</f>
        <v>42461</v>
      </c>
      <c r="D453" s="79" t="str">
        <f>Matrix_prices!D441</f>
        <v>NJ</v>
      </c>
      <c r="E453" s="80" t="str">
        <f>Matrix_prices!E441</f>
        <v>JCPL</v>
      </c>
      <c r="F453" s="79" t="str">
        <f>Matrix_prices!F441</f>
        <v>GSCL</v>
      </c>
      <c r="G453" s="80" t="str">
        <f>Matrix_prices!G441</f>
        <v>General Service Large</v>
      </c>
      <c r="H453" s="81" t="str">
        <f t="shared" si="19"/>
        <v>100-500 MWh</v>
      </c>
      <c r="I453" s="80">
        <f>(Matrix_prices!I441+$D$2)*IF($M$2="Prices in $/MWh",1,1/1000)</f>
        <v>85.07</v>
      </c>
      <c r="J453" s="79">
        <f>(Matrix_prices!J441+$D$2)*IF($M$2="Prices in $/MWh",1,1/1000)</f>
        <v>83.93</v>
      </c>
      <c r="K453" s="80">
        <f>(Matrix_prices!K441+$D$2)*IF($M$2="Prices in $/MWh",1,1/1000)</f>
        <v>85.3</v>
      </c>
      <c r="L453" s="79">
        <f>(Matrix_prices!L441+$D$2)*IF($M$2="Prices in $/MWh",1,1/1000)</f>
        <v>38.92</v>
      </c>
      <c r="M453" s="80">
        <f>(Matrix_prices!M441+$D$2)*IF($M$2="Prices in $/MWh",1,1/1000)</f>
        <v>38.5</v>
      </c>
      <c r="N453" s="79">
        <f>(Matrix_prices!N441+$D$2)*IF($M$2="Prices in $/MWh",1,1/1000)</f>
        <v>39.89</v>
      </c>
    </row>
    <row r="454" spans="3:14" x14ac:dyDescent="0.25">
      <c r="C454" s="82">
        <f>Matrix_prices!C442</f>
        <v>42461</v>
      </c>
      <c r="D454" s="83" t="str">
        <f>Matrix_prices!D442</f>
        <v>NJ</v>
      </c>
      <c r="E454" s="84" t="str">
        <f>Matrix_prices!E442</f>
        <v>JCPL</v>
      </c>
      <c r="F454" s="83" t="str">
        <f>Matrix_prices!F442</f>
        <v>GSCL</v>
      </c>
      <c r="G454" s="84" t="str">
        <f>Matrix_prices!G442</f>
        <v>General Service Large</v>
      </c>
      <c r="H454" s="85" t="str">
        <f t="shared" si="20"/>
        <v>500-2500 MWh</v>
      </c>
      <c r="I454" s="84">
        <f>(Matrix_prices!I442+$D$2)*IF($M$2="Prices in $/MWh",1,1/1000)</f>
        <v>83.95</v>
      </c>
      <c r="J454" s="83">
        <f>(Matrix_prices!J442+$D$2)*IF($M$2="Prices in $/MWh",1,1/1000)</f>
        <v>82.81</v>
      </c>
      <c r="K454" s="84">
        <f>(Matrix_prices!K442+$D$2)*IF($M$2="Prices in $/MWh",1,1/1000)</f>
        <v>84.17</v>
      </c>
      <c r="L454" s="83">
        <f>(Matrix_prices!L442+$D$2)*IF($M$2="Prices in $/MWh",1,1/1000)</f>
        <v>37.79</v>
      </c>
      <c r="M454" s="84">
        <f>(Matrix_prices!M442+$D$2)*IF($M$2="Prices in $/MWh",1,1/1000)</f>
        <v>37.380000000000003</v>
      </c>
      <c r="N454" s="83">
        <f>(Matrix_prices!N442+$D$2)*IF($M$2="Prices in $/MWh",1,1/1000)</f>
        <v>38.76</v>
      </c>
    </row>
    <row r="455" spans="3:14" x14ac:dyDescent="0.25">
      <c r="C455" s="74">
        <f>Matrix_prices!C443</f>
        <v>42491</v>
      </c>
      <c r="D455" s="75" t="str">
        <f>Matrix_prices!D443</f>
        <v>NJ</v>
      </c>
      <c r="E455" s="76" t="str">
        <f>Matrix_prices!E443</f>
        <v>JCPL</v>
      </c>
      <c r="F455" s="75" t="str">
        <f>Matrix_prices!F443</f>
        <v>GSCL</v>
      </c>
      <c r="G455" s="76" t="str">
        <f>Matrix_prices!G443</f>
        <v>General Service Large</v>
      </c>
      <c r="H455" s="157" t="str">
        <f t="shared" si="18"/>
        <v>0-100 MWh</v>
      </c>
      <c r="I455" s="76">
        <f>(Matrix_prices!I443+$D$2)*IF($M$2="Prices in $/MWh",1,1/1000)</f>
        <v>87.05</v>
      </c>
      <c r="J455" s="75">
        <f>(Matrix_prices!J443+$D$2)*IF($M$2="Prices in $/MWh",1,1/1000)</f>
        <v>85.4</v>
      </c>
      <c r="K455" s="76">
        <f>(Matrix_prices!K443+$D$2)*IF($M$2="Prices in $/MWh",1,1/1000)</f>
        <v>87.04</v>
      </c>
      <c r="L455" s="75">
        <f>(Matrix_prices!L443+$D$2)*IF($M$2="Prices in $/MWh",1,1/1000)</f>
        <v>40.92</v>
      </c>
      <c r="M455" s="76">
        <f>(Matrix_prices!M443+$D$2)*IF($M$2="Prices in $/MWh",1,1/1000)</f>
        <v>40.159999999999997</v>
      </c>
      <c r="N455" s="75">
        <f>(Matrix_prices!N443+$D$2)*IF($M$2="Prices in $/MWh",1,1/1000)</f>
        <v>41.67</v>
      </c>
    </row>
    <row r="456" spans="3:14" x14ac:dyDescent="0.25">
      <c r="C456" s="78">
        <f>Matrix_prices!C444</f>
        <v>42491</v>
      </c>
      <c r="D456" s="79" t="str">
        <f>Matrix_prices!D444</f>
        <v>NJ</v>
      </c>
      <c r="E456" s="80" t="str">
        <f>Matrix_prices!E444</f>
        <v>JCPL</v>
      </c>
      <c r="F456" s="79" t="str">
        <f>Matrix_prices!F444</f>
        <v>GSCL</v>
      </c>
      <c r="G456" s="80" t="str">
        <f>Matrix_prices!G444</f>
        <v>General Service Large</v>
      </c>
      <c r="H456" s="81" t="str">
        <f t="shared" si="19"/>
        <v>100-500 MWh</v>
      </c>
      <c r="I456" s="80">
        <f>(Matrix_prices!I444+$D$2)*IF($M$2="Prices in $/MWh",1,1/1000)</f>
        <v>85.33</v>
      </c>
      <c r="J456" s="79">
        <f>(Matrix_prices!J444+$D$2)*IF($M$2="Prices in $/MWh",1,1/1000)</f>
        <v>83.69</v>
      </c>
      <c r="K456" s="80">
        <f>(Matrix_prices!K444+$D$2)*IF($M$2="Prices in $/MWh",1,1/1000)</f>
        <v>85.33</v>
      </c>
      <c r="L456" s="79">
        <f>(Matrix_prices!L444+$D$2)*IF($M$2="Prices in $/MWh",1,1/1000)</f>
        <v>39.21</v>
      </c>
      <c r="M456" s="80">
        <f>(Matrix_prices!M444+$D$2)*IF($M$2="Prices in $/MWh",1,1/1000)</f>
        <v>38.450000000000003</v>
      </c>
      <c r="N456" s="79">
        <f>(Matrix_prices!N444+$D$2)*IF($M$2="Prices in $/MWh",1,1/1000)</f>
        <v>39.96</v>
      </c>
    </row>
    <row r="457" spans="3:14" x14ac:dyDescent="0.25">
      <c r="C457" s="82">
        <f>Matrix_prices!C445</f>
        <v>42491</v>
      </c>
      <c r="D457" s="83" t="str">
        <f>Matrix_prices!D445</f>
        <v>NJ</v>
      </c>
      <c r="E457" s="84" t="str">
        <f>Matrix_prices!E445</f>
        <v>JCPL</v>
      </c>
      <c r="F457" s="83" t="str">
        <f>Matrix_prices!F445</f>
        <v>GSCL</v>
      </c>
      <c r="G457" s="84" t="str">
        <f>Matrix_prices!G445</f>
        <v>General Service Large</v>
      </c>
      <c r="H457" s="85" t="str">
        <f t="shared" si="20"/>
        <v>500-2500 MWh</v>
      </c>
      <c r="I457" s="84">
        <f>(Matrix_prices!I445+$D$2)*IF($M$2="Prices in $/MWh",1,1/1000)</f>
        <v>84.21</v>
      </c>
      <c r="J457" s="83">
        <f>(Matrix_prices!J445+$D$2)*IF($M$2="Prices in $/MWh",1,1/1000)</f>
        <v>82.56</v>
      </c>
      <c r="K457" s="84">
        <f>(Matrix_prices!K445+$D$2)*IF($M$2="Prices in $/MWh",1,1/1000)</f>
        <v>84.21</v>
      </c>
      <c r="L457" s="83">
        <f>(Matrix_prices!L445+$D$2)*IF($M$2="Prices in $/MWh",1,1/1000)</f>
        <v>38.08</v>
      </c>
      <c r="M457" s="84">
        <f>(Matrix_prices!M445+$D$2)*IF($M$2="Prices in $/MWh",1,1/1000)</f>
        <v>37.32</v>
      </c>
      <c r="N457" s="83">
        <f>(Matrix_prices!N445+$D$2)*IF($M$2="Prices in $/MWh",1,1/1000)</f>
        <v>38.83</v>
      </c>
    </row>
    <row r="458" spans="3:14" x14ac:dyDescent="0.25">
      <c r="C458" s="151">
        <f>Matrix_prices!C446</f>
        <v>42522</v>
      </c>
      <c r="D458" s="152" t="str">
        <f>Matrix_prices!D446</f>
        <v>NJ</v>
      </c>
      <c r="E458" s="153" t="str">
        <f>Matrix_prices!E446</f>
        <v>JCPL</v>
      </c>
      <c r="F458" s="152" t="str">
        <f>Matrix_prices!F446</f>
        <v>GSCL</v>
      </c>
      <c r="G458" s="153" t="str">
        <f>Matrix_prices!G446</f>
        <v>General Service Large</v>
      </c>
      <c r="H458" s="157" t="str">
        <f t="shared" si="18"/>
        <v>0-100 MWh</v>
      </c>
      <c r="I458" s="153">
        <f>(Matrix_prices!I446+$D$2)*IF($M$2="Prices in $/MWh",1,1/1000)</f>
        <v>87.24</v>
      </c>
      <c r="J458" s="152">
        <f>(Matrix_prices!J446+$D$2)*IF($M$2="Prices in $/MWh",1,1/1000)</f>
        <v>85.42</v>
      </c>
      <c r="K458" s="153">
        <f>(Matrix_prices!K446+$D$2)*IF($M$2="Prices in $/MWh",1,1/1000)</f>
        <v>87.08</v>
      </c>
      <c r="L458" s="152">
        <f>(Matrix_prices!L446+$D$2)*IF($M$2="Prices in $/MWh",1,1/1000)</f>
        <v>41.2</v>
      </c>
      <c r="M458" s="153">
        <f>(Matrix_prices!M446+$D$2)*IF($M$2="Prices in $/MWh",1,1/1000)</f>
        <v>40.46</v>
      </c>
      <c r="N458" s="152">
        <f>(Matrix_prices!N446+$D$2)*IF($M$2="Prices in $/MWh",1,1/1000)</f>
        <v>41.75</v>
      </c>
    </row>
    <row r="459" spans="3:14" x14ac:dyDescent="0.25">
      <c r="C459" s="78">
        <f>Matrix_prices!C447</f>
        <v>42522</v>
      </c>
      <c r="D459" s="79" t="str">
        <f>Matrix_prices!D447</f>
        <v>NJ</v>
      </c>
      <c r="E459" s="80" t="str">
        <f>Matrix_prices!E447</f>
        <v>JCPL</v>
      </c>
      <c r="F459" s="79" t="str">
        <f>Matrix_prices!F447</f>
        <v>GSCL</v>
      </c>
      <c r="G459" s="80" t="str">
        <f>Matrix_prices!G447</f>
        <v>General Service Large</v>
      </c>
      <c r="H459" s="81" t="str">
        <f t="shared" si="19"/>
        <v>100-500 MWh</v>
      </c>
      <c r="I459" s="80">
        <f>(Matrix_prices!I447+$D$2)*IF($M$2="Prices in $/MWh",1,1/1000)</f>
        <v>85.52</v>
      </c>
      <c r="J459" s="79">
        <f>(Matrix_prices!J447+$D$2)*IF($M$2="Prices in $/MWh",1,1/1000)</f>
        <v>83.71</v>
      </c>
      <c r="K459" s="80">
        <f>(Matrix_prices!K447+$D$2)*IF($M$2="Prices in $/MWh",1,1/1000)</f>
        <v>85.37</v>
      </c>
      <c r="L459" s="79">
        <f>(Matrix_prices!L447+$D$2)*IF($M$2="Prices in $/MWh",1,1/1000)</f>
        <v>39.49</v>
      </c>
      <c r="M459" s="80">
        <f>(Matrix_prices!M447+$D$2)*IF($M$2="Prices in $/MWh",1,1/1000)</f>
        <v>38.75</v>
      </c>
      <c r="N459" s="79">
        <f>(Matrix_prices!N447+$D$2)*IF($M$2="Prices in $/MWh",1,1/1000)</f>
        <v>40.04</v>
      </c>
    </row>
    <row r="460" spans="3:14" x14ac:dyDescent="0.25">
      <c r="C460" s="82">
        <f>Matrix_prices!C448</f>
        <v>42522</v>
      </c>
      <c r="D460" s="83" t="str">
        <f>Matrix_prices!D448</f>
        <v>NJ</v>
      </c>
      <c r="E460" s="84" t="str">
        <f>Matrix_prices!E448</f>
        <v>JCPL</v>
      </c>
      <c r="F460" s="83" t="str">
        <f>Matrix_prices!F448</f>
        <v>GSCL</v>
      </c>
      <c r="G460" s="84" t="str">
        <f>Matrix_prices!G448</f>
        <v>General Service Large</v>
      </c>
      <c r="H460" s="85" t="str">
        <f t="shared" si="20"/>
        <v>500-2500 MWh</v>
      </c>
      <c r="I460" s="84">
        <f>(Matrix_prices!I448+$D$2)*IF($M$2="Prices in $/MWh",1,1/1000)</f>
        <v>84.4</v>
      </c>
      <c r="J460" s="83">
        <f>(Matrix_prices!J448+$D$2)*IF($M$2="Prices in $/MWh",1,1/1000)</f>
        <v>82.59</v>
      </c>
      <c r="K460" s="84">
        <f>(Matrix_prices!K448+$D$2)*IF($M$2="Prices in $/MWh",1,1/1000)</f>
        <v>84.25</v>
      </c>
      <c r="L460" s="83">
        <f>(Matrix_prices!L448+$D$2)*IF($M$2="Prices in $/MWh",1,1/1000)</f>
        <v>38.36</v>
      </c>
      <c r="M460" s="84">
        <f>(Matrix_prices!M448+$D$2)*IF($M$2="Prices in $/MWh",1,1/1000)</f>
        <v>37.630000000000003</v>
      </c>
      <c r="N460" s="83">
        <f>(Matrix_prices!N448+$D$2)*IF($M$2="Prices in $/MWh",1,1/1000)</f>
        <v>38.909999999999997</v>
      </c>
    </row>
    <row r="461" spans="3:14" x14ac:dyDescent="0.25">
      <c r="C461" s="74">
        <f>Matrix_prices!C449</f>
        <v>42552</v>
      </c>
      <c r="D461" s="75" t="str">
        <f>Matrix_prices!D449</f>
        <v>NJ</v>
      </c>
      <c r="E461" s="76" t="str">
        <f>Matrix_prices!E449</f>
        <v>JCPL</v>
      </c>
      <c r="F461" s="75" t="str">
        <f>Matrix_prices!F449</f>
        <v>GSCL</v>
      </c>
      <c r="G461" s="76" t="str">
        <f>Matrix_prices!G449</f>
        <v>General Service Large</v>
      </c>
      <c r="H461" s="157" t="str">
        <f t="shared" si="18"/>
        <v>0-100 MWh</v>
      </c>
      <c r="I461" s="76">
        <f>(Matrix_prices!I449+$D$2)*IF($M$2="Prices in $/MWh",1,1/1000)</f>
        <v>87.23</v>
      </c>
      <c r="J461" s="75">
        <f>(Matrix_prices!J449+$D$2)*IF($M$2="Prices in $/MWh",1,1/1000)</f>
        <v>85.66</v>
      </c>
      <c r="K461" s="76">
        <f>(Matrix_prices!K449+$D$2)*IF($M$2="Prices in $/MWh",1,1/1000)</f>
        <v>87.26</v>
      </c>
      <c r="L461" s="75">
        <f>(Matrix_prices!L449+$D$2)*IF($M$2="Prices in $/MWh",1,1/1000)</f>
        <v>41.37</v>
      </c>
      <c r="M461" s="76">
        <f>(Matrix_prices!M449+$D$2)*IF($M$2="Prices in $/MWh",1,1/1000)</f>
        <v>41.09</v>
      </c>
      <c r="N461" s="75">
        <f>(Matrix_prices!N449+$D$2)*IF($M$2="Prices in $/MWh",1,1/1000)</f>
        <v>42.09</v>
      </c>
    </row>
    <row r="462" spans="3:14" x14ac:dyDescent="0.25">
      <c r="C462" s="78">
        <f>Matrix_prices!C450</f>
        <v>42552</v>
      </c>
      <c r="D462" s="79" t="str">
        <f>Matrix_prices!D450</f>
        <v>NJ</v>
      </c>
      <c r="E462" s="80" t="str">
        <f>Matrix_prices!E450</f>
        <v>JCPL</v>
      </c>
      <c r="F462" s="79" t="str">
        <f>Matrix_prices!F450</f>
        <v>GSCL</v>
      </c>
      <c r="G462" s="80" t="str">
        <f>Matrix_prices!G450</f>
        <v>General Service Large</v>
      </c>
      <c r="H462" s="81" t="str">
        <f t="shared" si="19"/>
        <v>100-500 MWh</v>
      </c>
      <c r="I462" s="80">
        <f>(Matrix_prices!I450+$D$2)*IF($M$2="Prices in $/MWh",1,1/1000)</f>
        <v>85.52</v>
      </c>
      <c r="J462" s="79">
        <f>(Matrix_prices!J450+$D$2)*IF($M$2="Prices in $/MWh",1,1/1000)</f>
        <v>83.95</v>
      </c>
      <c r="K462" s="80">
        <f>(Matrix_prices!K450+$D$2)*IF($M$2="Prices in $/MWh",1,1/1000)</f>
        <v>85.55</v>
      </c>
      <c r="L462" s="79">
        <f>(Matrix_prices!L450+$D$2)*IF($M$2="Prices in $/MWh",1,1/1000)</f>
        <v>39.659999999999997</v>
      </c>
      <c r="M462" s="80">
        <f>(Matrix_prices!M450+$D$2)*IF($M$2="Prices in $/MWh",1,1/1000)</f>
        <v>39.380000000000003</v>
      </c>
      <c r="N462" s="79">
        <f>(Matrix_prices!N450+$D$2)*IF($M$2="Prices in $/MWh",1,1/1000)</f>
        <v>40.380000000000003</v>
      </c>
    </row>
    <row r="463" spans="3:14" x14ac:dyDescent="0.25">
      <c r="C463" s="82">
        <f>Matrix_prices!C451</f>
        <v>42552</v>
      </c>
      <c r="D463" s="83" t="str">
        <f>Matrix_prices!D451</f>
        <v>NJ</v>
      </c>
      <c r="E463" s="84" t="str">
        <f>Matrix_prices!E451</f>
        <v>JCPL</v>
      </c>
      <c r="F463" s="83" t="str">
        <f>Matrix_prices!F451</f>
        <v>GSCL</v>
      </c>
      <c r="G463" s="84" t="str">
        <f>Matrix_prices!G451</f>
        <v>General Service Large</v>
      </c>
      <c r="H463" s="85" t="str">
        <f t="shared" si="20"/>
        <v>500-2500 MWh</v>
      </c>
      <c r="I463" s="84">
        <f>(Matrix_prices!I451+$D$2)*IF($M$2="Prices in $/MWh",1,1/1000)</f>
        <v>84.4</v>
      </c>
      <c r="J463" s="83">
        <f>(Matrix_prices!J451+$D$2)*IF($M$2="Prices in $/MWh",1,1/1000)</f>
        <v>82.82</v>
      </c>
      <c r="K463" s="84">
        <f>(Matrix_prices!K451+$D$2)*IF($M$2="Prices in $/MWh",1,1/1000)</f>
        <v>84.43</v>
      </c>
      <c r="L463" s="83">
        <f>(Matrix_prices!L451+$D$2)*IF($M$2="Prices in $/MWh",1,1/1000)</f>
        <v>38.53</v>
      </c>
      <c r="M463" s="84">
        <f>(Matrix_prices!M451+$D$2)*IF($M$2="Prices in $/MWh",1,1/1000)</f>
        <v>38.25</v>
      </c>
      <c r="N463" s="83">
        <f>(Matrix_prices!N451+$D$2)*IF($M$2="Prices in $/MWh",1,1/1000)</f>
        <v>39.25</v>
      </c>
    </row>
    <row r="464" spans="3:14" x14ac:dyDescent="0.25">
      <c r="C464" s="151">
        <f>Matrix_prices!C452</f>
        <v>42583</v>
      </c>
      <c r="D464" s="152" t="str">
        <f>Matrix_prices!D452</f>
        <v>NJ</v>
      </c>
      <c r="E464" s="153" t="str">
        <f>Matrix_prices!E452</f>
        <v>JCPL</v>
      </c>
      <c r="F464" s="152" t="str">
        <f>Matrix_prices!F452</f>
        <v>GSCL</v>
      </c>
      <c r="G464" s="153" t="str">
        <f>Matrix_prices!G452</f>
        <v>General Service Large</v>
      </c>
      <c r="H464" s="157" t="str">
        <f t="shared" si="18"/>
        <v>0-100 MWh</v>
      </c>
      <c r="I464" s="153">
        <f>(Matrix_prices!I452+$D$2)*IF($M$2="Prices in $/MWh",1,1/1000)</f>
        <v>87.47</v>
      </c>
      <c r="J464" s="152">
        <f>(Matrix_prices!J452+$D$2)*IF($M$2="Prices in $/MWh",1,1/1000)</f>
        <v>86.74</v>
      </c>
      <c r="K464" s="153">
        <f>(Matrix_prices!K452+$D$2)*IF($M$2="Prices in $/MWh",1,1/1000)</f>
        <v>87.74</v>
      </c>
      <c r="L464" s="152">
        <f>(Matrix_prices!L452+$D$2)*IF($M$2="Prices in $/MWh",1,1/1000)</f>
        <v>42.05</v>
      </c>
      <c r="M464" s="153">
        <f>(Matrix_prices!M452+$D$2)*IF($M$2="Prices in $/MWh",1,1/1000)</f>
        <v>41.97</v>
      </c>
      <c r="N464" s="152">
        <f>(Matrix_prices!N452+$D$2)*IF($M$2="Prices in $/MWh",1,1/1000)</f>
        <v>42.8</v>
      </c>
    </row>
    <row r="465" spans="3:14" x14ac:dyDescent="0.25">
      <c r="C465" s="78">
        <f>Matrix_prices!C453</f>
        <v>42583</v>
      </c>
      <c r="D465" s="79" t="str">
        <f>Matrix_prices!D453</f>
        <v>NJ</v>
      </c>
      <c r="E465" s="80" t="str">
        <f>Matrix_prices!E453</f>
        <v>JCPL</v>
      </c>
      <c r="F465" s="79" t="str">
        <f>Matrix_prices!F453</f>
        <v>GSCL</v>
      </c>
      <c r="G465" s="80" t="str">
        <f>Matrix_prices!G453</f>
        <v>General Service Large</v>
      </c>
      <c r="H465" s="81" t="str">
        <f t="shared" si="19"/>
        <v>100-500 MWh</v>
      </c>
      <c r="I465" s="80">
        <f>(Matrix_prices!I453+$D$2)*IF($M$2="Prices in $/MWh",1,1/1000)</f>
        <v>85.76</v>
      </c>
      <c r="J465" s="79">
        <f>(Matrix_prices!J453+$D$2)*IF($M$2="Prices in $/MWh",1,1/1000)</f>
        <v>85.03</v>
      </c>
      <c r="K465" s="80">
        <f>(Matrix_prices!K453+$D$2)*IF($M$2="Prices in $/MWh",1,1/1000)</f>
        <v>86.03</v>
      </c>
      <c r="L465" s="79">
        <f>(Matrix_prices!L453+$D$2)*IF($M$2="Prices in $/MWh",1,1/1000)</f>
        <v>40.340000000000003</v>
      </c>
      <c r="M465" s="80">
        <f>(Matrix_prices!M453+$D$2)*IF($M$2="Prices in $/MWh",1,1/1000)</f>
        <v>40.26</v>
      </c>
      <c r="N465" s="79">
        <f>(Matrix_prices!N453+$D$2)*IF($M$2="Prices in $/MWh",1,1/1000)</f>
        <v>41.09</v>
      </c>
    </row>
    <row r="466" spans="3:14" x14ac:dyDescent="0.25">
      <c r="C466" s="82">
        <f>Matrix_prices!C454</f>
        <v>42583</v>
      </c>
      <c r="D466" s="83" t="str">
        <f>Matrix_prices!D454</f>
        <v>NJ</v>
      </c>
      <c r="E466" s="84" t="str">
        <f>Matrix_prices!E454</f>
        <v>JCPL</v>
      </c>
      <c r="F466" s="83" t="str">
        <f>Matrix_prices!F454</f>
        <v>GSCL</v>
      </c>
      <c r="G466" s="84" t="str">
        <f>Matrix_prices!G454</f>
        <v>General Service Large</v>
      </c>
      <c r="H466" s="85" t="str">
        <f t="shared" si="20"/>
        <v>500-2500 MWh</v>
      </c>
      <c r="I466" s="84">
        <f>(Matrix_prices!I454+$D$2)*IF($M$2="Prices in $/MWh",1,1/1000)</f>
        <v>84.63</v>
      </c>
      <c r="J466" s="83">
        <f>(Matrix_prices!J454+$D$2)*IF($M$2="Prices in $/MWh",1,1/1000)</f>
        <v>83.9</v>
      </c>
      <c r="K466" s="84">
        <f>(Matrix_prices!K454+$D$2)*IF($M$2="Prices in $/MWh",1,1/1000)</f>
        <v>84.9</v>
      </c>
      <c r="L466" s="83">
        <f>(Matrix_prices!L454+$D$2)*IF($M$2="Prices in $/MWh",1,1/1000)</f>
        <v>39.21</v>
      </c>
      <c r="M466" s="84">
        <f>(Matrix_prices!M454+$D$2)*IF($M$2="Prices in $/MWh",1,1/1000)</f>
        <v>39.130000000000003</v>
      </c>
      <c r="N466" s="83">
        <f>(Matrix_prices!N454+$D$2)*IF($M$2="Prices in $/MWh",1,1/1000)</f>
        <v>39.96</v>
      </c>
    </row>
    <row r="467" spans="3:14" x14ac:dyDescent="0.25">
      <c r="C467" s="74">
        <f>Matrix_prices!C455</f>
        <v>42614</v>
      </c>
      <c r="D467" s="75" t="str">
        <f>Matrix_prices!D455</f>
        <v>NJ</v>
      </c>
      <c r="E467" s="76" t="str">
        <f>Matrix_prices!E455</f>
        <v>JCPL</v>
      </c>
      <c r="F467" s="75" t="str">
        <f>Matrix_prices!F455</f>
        <v>GSCL</v>
      </c>
      <c r="G467" s="76" t="str">
        <f>Matrix_prices!G455</f>
        <v>General Service Large</v>
      </c>
      <c r="H467" s="157" t="str">
        <f t="shared" ref="H467:H530" si="21">IF($M$2="Prices in $/MWh","0-100 MWh","0-100,000 kWh")</f>
        <v>0-100 MWh</v>
      </c>
      <c r="I467" s="76">
        <f>(Matrix_prices!I455+$D$2)*IF($M$2="Prices in $/MWh",1,1/1000)</f>
        <v>87.35</v>
      </c>
      <c r="J467" s="75">
        <f>(Matrix_prices!J455+$D$2)*IF($M$2="Prices in $/MWh",1,1/1000)</f>
        <v>87.95</v>
      </c>
      <c r="K467" s="76">
        <f>(Matrix_prices!K455+$D$2)*IF($M$2="Prices in $/MWh",1,1/1000)</f>
        <v>87.98</v>
      </c>
      <c r="L467" s="75">
        <f>(Matrix_prices!L455+$D$2)*IF($M$2="Prices in $/MWh",1,1/1000)</f>
        <v>42.18</v>
      </c>
      <c r="M467" s="76">
        <f>(Matrix_prices!M455+$D$2)*IF($M$2="Prices in $/MWh",1,1/1000)</f>
        <v>42.93</v>
      </c>
      <c r="N467" s="75">
        <f>(Matrix_prices!N455+$D$2)*IF($M$2="Prices in $/MWh",1,1/1000)</f>
        <v>43.23</v>
      </c>
    </row>
    <row r="468" spans="3:14" x14ac:dyDescent="0.25">
      <c r="C468" s="78">
        <f>Matrix_prices!C456</f>
        <v>42614</v>
      </c>
      <c r="D468" s="79" t="str">
        <f>Matrix_prices!D456</f>
        <v>NJ</v>
      </c>
      <c r="E468" s="80" t="str">
        <f>Matrix_prices!E456</f>
        <v>JCPL</v>
      </c>
      <c r="F468" s="79" t="str">
        <f>Matrix_prices!F456</f>
        <v>GSCL</v>
      </c>
      <c r="G468" s="80" t="str">
        <f>Matrix_prices!G456</f>
        <v>General Service Large</v>
      </c>
      <c r="H468" s="81" t="str">
        <f t="shared" ref="H468:H531" si="22">IF($M$2="Prices in $/MWh","100-500 MWh","100,000-500,000 kWh")</f>
        <v>100-500 MWh</v>
      </c>
      <c r="I468" s="80">
        <f>(Matrix_prices!I456+$D$2)*IF($M$2="Prices in $/MWh",1,1/1000)</f>
        <v>85.64</v>
      </c>
      <c r="J468" s="79">
        <f>(Matrix_prices!J456+$D$2)*IF($M$2="Prices in $/MWh",1,1/1000)</f>
        <v>86.24</v>
      </c>
      <c r="K468" s="80">
        <f>(Matrix_prices!K456+$D$2)*IF($M$2="Prices in $/MWh",1,1/1000)</f>
        <v>86.27</v>
      </c>
      <c r="L468" s="79">
        <f>(Matrix_prices!L456+$D$2)*IF($M$2="Prices in $/MWh",1,1/1000)</f>
        <v>40.47</v>
      </c>
      <c r="M468" s="80">
        <f>(Matrix_prices!M456+$D$2)*IF($M$2="Prices in $/MWh",1,1/1000)</f>
        <v>41.22</v>
      </c>
      <c r="N468" s="79">
        <f>(Matrix_prices!N456+$D$2)*IF($M$2="Prices in $/MWh",1,1/1000)</f>
        <v>41.52</v>
      </c>
    </row>
    <row r="469" spans="3:14" x14ac:dyDescent="0.25">
      <c r="C469" s="82">
        <f>Matrix_prices!C457</f>
        <v>42614</v>
      </c>
      <c r="D469" s="83" t="str">
        <f>Matrix_prices!D457</f>
        <v>NJ</v>
      </c>
      <c r="E469" s="84" t="str">
        <f>Matrix_prices!E457</f>
        <v>JCPL</v>
      </c>
      <c r="F469" s="83" t="str">
        <f>Matrix_prices!F457</f>
        <v>GSCL</v>
      </c>
      <c r="G469" s="84" t="str">
        <f>Matrix_prices!G457</f>
        <v>General Service Large</v>
      </c>
      <c r="H469" s="85" t="str">
        <f t="shared" ref="H469:H532" si="23">IF($M$2="Prices in $/MWh","500-2500 MWh","500,000-2,500,000 kWh")</f>
        <v>500-2500 MWh</v>
      </c>
      <c r="I469" s="84">
        <f>(Matrix_prices!I457+$D$2)*IF($M$2="Prices in $/MWh",1,1/1000)</f>
        <v>84.51</v>
      </c>
      <c r="J469" s="83">
        <f>(Matrix_prices!J457+$D$2)*IF($M$2="Prices in $/MWh",1,1/1000)</f>
        <v>85.11</v>
      </c>
      <c r="K469" s="84">
        <f>(Matrix_prices!K457+$D$2)*IF($M$2="Prices in $/MWh",1,1/1000)</f>
        <v>85.14</v>
      </c>
      <c r="L469" s="83">
        <f>(Matrix_prices!L457+$D$2)*IF($M$2="Prices in $/MWh",1,1/1000)</f>
        <v>39.340000000000003</v>
      </c>
      <c r="M469" s="84">
        <f>(Matrix_prices!M457+$D$2)*IF($M$2="Prices in $/MWh",1,1/1000)</f>
        <v>40.090000000000003</v>
      </c>
      <c r="N469" s="83">
        <f>(Matrix_prices!N457+$D$2)*IF($M$2="Prices in $/MWh",1,1/1000)</f>
        <v>40.39</v>
      </c>
    </row>
    <row r="470" spans="3:14" x14ac:dyDescent="0.25">
      <c r="C470" s="151">
        <f>Matrix_prices!C458</f>
        <v>42644</v>
      </c>
      <c r="D470" s="152" t="str">
        <f>Matrix_prices!D458</f>
        <v>NJ</v>
      </c>
      <c r="E470" s="153" t="str">
        <f>Matrix_prices!E458</f>
        <v>JCPL</v>
      </c>
      <c r="F470" s="152" t="str">
        <f>Matrix_prices!F458</f>
        <v>GSCL</v>
      </c>
      <c r="G470" s="153" t="str">
        <f>Matrix_prices!G458</f>
        <v>General Service Large</v>
      </c>
      <c r="H470" s="157" t="str">
        <f t="shared" si="21"/>
        <v>0-100 MWh</v>
      </c>
      <c r="I470" s="153">
        <f>(Matrix_prices!I458+$D$2)*IF($M$2="Prices in $/MWh",1,1/1000)</f>
        <v>87.38</v>
      </c>
      <c r="J470" s="152">
        <f>(Matrix_prices!J458+$D$2)*IF($M$2="Prices in $/MWh",1,1/1000)</f>
        <v>88.69</v>
      </c>
      <c r="K470" s="153">
        <f>(Matrix_prices!K458+$D$2)*IF($M$2="Prices in $/MWh",1,1/1000)</f>
        <v>88.26</v>
      </c>
      <c r="L470" s="152">
        <f>(Matrix_prices!L458+$D$2)*IF($M$2="Prices in $/MWh",1,1/1000)</f>
        <v>42.38</v>
      </c>
      <c r="M470" s="153">
        <f>(Matrix_prices!M458+$D$2)*IF($M$2="Prices in $/MWh",1,1/1000)</f>
        <v>43.58</v>
      </c>
      <c r="N470" s="152">
        <f>(Matrix_prices!N458+$D$2)*IF($M$2="Prices in $/MWh",1,1/1000)</f>
        <v>43.71</v>
      </c>
    </row>
    <row r="471" spans="3:14" x14ac:dyDescent="0.25">
      <c r="C471" s="78">
        <f>Matrix_prices!C459</f>
        <v>42644</v>
      </c>
      <c r="D471" s="79" t="str">
        <f>Matrix_prices!D459</f>
        <v>NJ</v>
      </c>
      <c r="E471" s="80" t="str">
        <f>Matrix_prices!E459</f>
        <v>JCPL</v>
      </c>
      <c r="F471" s="79" t="str">
        <f>Matrix_prices!F459</f>
        <v>GSCL</v>
      </c>
      <c r="G471" s="80" t="str">
        <f>Matrix_prices!G459</f>
        <v>General Service Large</v>
      </c>
      <c r="H471" s="81" t="str">
        <f t="shared" si="22"/>
        <v>100-500 MWh</v>
      </c>
      <c r="I471" s="80">
        <f>(Matrix_prices!I459+$D$2)*IF($M$2="Prices in $/MWh",1,1/1000)</f>
        <v>85.67</v>
      </c>
      <c r="J471" s="79">
        <f>(Matrix_prices!J459+$D$2)*IF($M$2="Prices in $/MWh",1,1/1000)</f>
        <v>86.97</v>
      </c>
      <c r="K471" s="80">
        <f>(Matrix_prices!K459+$D$2)*IF($M$2="Prices in $/MWh",1,1/1000)</f>
        <v>86.55</v>
      </c>
      <c r="L471" s="79">
        <f>(Matrix_prices!L459+$D$2)*IF($M$2="Prices in $/MWh",1,1/1000)</f>
        <v>40.67</v>
      </c>
      <c r="M471" s="80">
        <f>(Matrix_prices!M459+$D$2)*IF($M$2="Prices in $/MWh",1,1/1000)</f>
        <v>41.87</v>
      </c>
      <c r="N471" s="79">
        <f>(Matrix_prices!N459+$D$2)*IF($M$2="Prices in $/MWh",1,1/1000)</f>
        <v>42</v>
      </c>
    </row>
    <row r="472" spans="3:14" x14ac:dyDescent="0.25">
      <c r="C472" s="82">
        <f>Matrix_prices!C460</f>
        <v>42644</v>
      </c>
      <c r="D472" s="83" t="str">
        <f>Matrix_prices!D460</f>
        <v>NJ</v>
      </c>
      <c r="E472" s="84" t="str">
        <f>Matrix_prices!E460</f>
        <v>JCPL</v>
      </c>
      <c r="F472" s="83" t="str">
        <f>Matrix_prices!F460</f>
        <v>GSCL</v>
      </c>
      <c r="G472" s="84" t="str">
        <f>Matrix_prices!G460</f>
        <v>General Service Large</v>
      </c>
      <c r="H472" s="85" t="str">
        <f t="shared" si="23"/>
        <v>500-2500 MWh</v>
      </c>
      <c r="I472" s="84">
        <f>(Matrix_prices!I460+$D$2)*IF($M$2="Prices in $/MWh",1,1/1000)</f>
        <v>84.54</v>
      </c>
      <c r="J472" s="83">
        <f>(Matrix_prices!J460+$D$2)*IF($M$2="Prices in $/MWh",1,1/1000)</f>
        <v>85.85</v>
      </c>
      <c r="K472" s="84">
        <f>(Matrix_prices!K460+$D$2)*IF($M$2="Prices in $/MWh",1,1/1000)</f>
        <v>85.42</v>
      </c>
      <c r="L472" s="83">
        <f>(Matrix_prices!L460+$D$2)*IF($M$2="Prices in $/MWh",1,1/1000)</f>
        <v>39.54</v>
      </c>
      <c r="M472" s="84">
        <f>(Matrix_prices!M460+$D$2)*IF($M$2="Prices in $/MWh",1,1/1000)</f>
        <v>40.74</v>
      </c>
      <c r="N472" s="83">
        <f>(Matrix_prices!N460+$D$2)*IF($M$2="Prices in $/MWh",1,1/1000)</f>
        <v>40.880000000000003</v>
      </c>
    </row>
    <row r="473" spans="3:14" x14ac:dyDescent="0.25">
      <c r="C473" s="74">
        <f>Matrix_prices!C461</f>
        <v>42675</v>
      </c>
      <c r="D473" s="75" t="str">
        <f>Matrix_prices!D461</f>
        <v>NJ</v>
      </c>
      <c r="E473" s="76" t="str">
        <f>Matrix_prices!E461</f>
        <v>JCPL</v>
      </c>
      <c r="F473" s="75" t="str">
        <f>Matrix_prices!F461</f>
        <v>GSCL</v>
      </c>
      <c r="G473" s="76" t="str">
        <f>Matrix_prices!G461</f>
        <v>General Service Large</v>
      </c>
      <c r="H473" s="157" t="str">
        <f t="shared" si="21"/>
        <v>0-100 MWh</v>
      </c>
      <c r="I473" s="76">
        <f>(Matrix_prices!I461+$D$2)*IF($M$2="Prices in $/MWh",1,1/1000)</f>
        <v>87.44</v>
      </c>
      <c r="J473" s="75">
        <f>(Matrix_prices!J461+$D$2)*IF($M$2="Prices in $/MWh",1,1/1000)</f>
        <v>89.04</v>
      </c>
      <c r="K473" s="76">
        <f>(Matrix_prices!K461+$D$2)*IF($M$2="Prices in $/MWh",1,1/1000)</f>
        <v>88.62</v>
      </c>
      <c r="L473" s="75">
        <f>(Matrix_prices!L461+$D$2)*IF($M$2="Prices in $/MWh",1,1/1000)</f>
        <v>42.54</v>
      </c>
      <c r="M473" s="76">
        <f>(Matrix_prices!M461+$D$2)*IF($M$2="Prices in $/MWh",1,1/1000)</f>
        <v>43.85</v>
      </c>
      <c r="N473" s="75">
        <f>(Matrix_prices!N461+$D$2)*IF($M$2="Prices in $/MWh",1,1/1000)</f>
        <v>44.23</v>
      </c>
    </row>
    <row r="474" spans="3:14" x14ac:dyDescent="0.25">
      <c r="C474" s="78">
        <f>Matrix_prices!C462</f>
        <v>42675</v>
      </c>
      <c r="D474" s="79" t="str">
        <f>Matrix_prices!D462</f>
        <v>NJ</v>
      </c>
      <c r="E474" s="80" t="str">
        <f>Matrix_prices!E462</f>
        <v>JCPL</v>
      </c>
      <c r="F474" s="79" t="str">
        <f>Matrix_prices!F462</f>
        <v>GSCL</v>
      </c>
      <c r="G474" s="80" t="str">
        <f>Matrix_prices!G462</f>
        <v>General Service Large</v>
      </c>
      <c r="H474" s="81" t="str">
        <f t="shared" si="22"/>
        <v>100-500 MWh</v>
      </c>
      <c r="I474" s="80">
        <f>(Matrix_prices!I462+$D$2)*IF($M$2="Prices in $/MWh",1,1/1000)</f>
        <v>85.73</v>
      </c>
      <c r="J474" s="79">
        <f>(Matrix_prices!J462+$D$2)*IF($M$2="Prices in $/MWh",1,1/1000)</f>
        <v>87.33</v>
      </c>
      <c r="K474" s="80">
        <f>(Matrix_prices!K462+$D$2)*IF($M$2="Prices in $/MWh",1,1/1000)</f>
        <v>86.91</v>
      </c>
      <c r="L474" s="79">
        <f>(Matrix_prices!L462+$D$2)*IF($M$2="Prices in $/MWh",1,1/1000)</f>
        <v>40.83</v>
      </c>
      <c r="M474" s="80">
        <f>(Matrix_prices!M462+$D$2)*IF($M$2="Prices in $/MWh",1,1/1000)</f>
        <v>42.14</v>
      </c>
      <c r="N474" s="79">
        <f>(Matrix_prices!N462+$D$2)*IF($M$2="Prices in $/MWh",1,1/1000)</f>
        <v>42.52</v>
      </c>
    </row>
    <row r="475" spans="3:14" x14ac:dyDescent="0.25">
      <c r="C475" s="82">
        <f>Matrix_prices!C463</f>
        <v>42675</v>
      </c>
      <c r="D475" s="83" t="str">
        <f>Matrix_prices!D463</f>
        <v>NJ</v>
      </c>
      <c r="E475" s="84" t="str">
        <f>Matrix_prices!E463</f>
        <v>JCPL</v>
      </c>
      <c r="F475" s="83" t="str">
        <f>Matrix_prices!F463</f>
        <v>GSCL</v>
      </c>
      <c r="G475" s="84" t="str">
        <f>Matrix_prices!G463</f>
        <v>General Service Large</v>
      </c>
      <c r="H475" s="85" t="str">
        <f t="shared" si="23"/>
        <v>500-2500 MWh</v>
      </c>
      <c r="I475" s="84">
        <f>(Matrix_prices!I463+$D$2)*IF($M$2="Prices in $/MWh",1,1/1000)</f>
        <v>84.6</v>
      </c>
      <c r="J475" s="83">
        <f>(Matrix_prices!J463+$D$2)*IF($M$2="Prices in $/MWh",1,1/1000)</f>
        <v>86.2</v>
      </c>
      <c r="K475" s="84">
        <f>(Matrix_prices!K463+$D$2)*IF($M$2="Prices in $/MWh",1,1/1000)</f>
        <v>85.79</v>
      </c>
      <c r="L475" s="83">
        <f>(Matrix_prices!L463+$D$2)*IF($M$2="Prices in $/MWh",1,1/1000)</f>
        <v>39.700000000000003</v>
      </c>
      <c r="M475" s="84">
        <f>(Matrix_prices!M463+$D$2)*IF($M$2="Prices in $/MWh",1,1/1000)</f>
        <v>41.01</v>
      </c>
      <c r="N475" s="83">
        <f>(Matrix_prices!N463+$D$2)*IF($M$2="Prices in $/MWh",1,1/1000)</f>
        <v>41.39</v>
      </c>
    </row>
    <row r="476" spans="3:14" x14ac:dyDescent="0.25">
      <c r="C476" s="151">
        <f>Matrix_prices!C464</f>
        <v>42705</v>
      </c>
      <c r="D476" s="152" t="str">
        <f>Matrix_prices!D464</f>
        <v>NJ</v>
      </c>
      <c r="E476" s="153" t="str">
        <f>Matrix_prices!E464</f>
        <v>JCPL</v>
      </c>
      <c r="F476" s="152" t="str">
        <f>Matrix_prices!F464</f>
        <v>GSCL</v>
      </c>
      <c r="G476" s="153" t="str">
        <f>Matrix_prices!G464</f>
        <v>General Service Large</v>
      </c>
      <c r="H476" s="157" t="str">
        <f t="shared" si="21"/>
        <v>0-100 MWh</v>
      </c>
      <c r="I476" s="153">
        <f>(Matrix_prices!I464+$D$2)*IF($M$2="Prices in $/MWh",1,1/1000)</f>
        <v>87.34</v>
      </c>
      <c r="J476" s="152">
        <f>(Matrix_prices!J464+$D$2)*IF($M$2="Prices in $/MWh",1,1/1000)</f>
        <v>88.99</v>
      </c>
      <c r="K476" s="153">
        <f>(Matrix_prices!K464+$D$2)*IF($M$2="Prices in $/MWh",1,1/1000)</f>
        <v>88.84</v>
      </c>
      <c r="L476" s="152">
        <f>(Matrix_prices!L464+$D$2)*IF($M$2="Prices in $/MWh",1,1/1000)</f>
        <v>42.69</v>
      </c>
      <c r="M476" s="153">
        <f>(Matrix_prices!M464+$D$2)*IF($M$2="Prices in $/MWh",1,1/1000)</f>
        <v>43.74</v>
      </c>
      <c r="N476" s="152">
        <f>(Matrix_prices!N464+$D$2)*IF($M$2="Prices in $/MWh",1,1/1000)</f>
        <v>44.63</v>
      </c>
    </row>
    <row r="477" spans="3:14" x14ac:dyDescent="0.25">
      <c r="C477" s="78">
        <f>Matrix_prices!C465</f>
        <v>42705</v>
      </c>
      <c r="D477" s="79" t="str">
        <f>Matrix_prices!D465</f>
        <v>NJ</v>
      </c>
      <c r="E477" s="80" t="str">
        <f>Matrix_prices!E465</f>
        <v>JCPL</v>
      </c>
      <c r="F477" s="79" t="str">
        <f>Matrix_prices!F465</f>
        <v>GSCL</v>
      </c>
      <c r="G477" s="80" t="str">
        <f>Matrix_prices!G465</f>
        <v>General Service Large</v>
      </c>
      <c r="H477" s="81" t="str">
        <f t="shared" si="22"/>
        <v>100-500 MWh</v>
      </c>
      <c r="I477" s="80">
        <f>(Matrix_prices!I465+$D$2)*IF($M$2="Prices in $/MWh",1,1/1000)</f>
        <v>85.63</v>
      </c>
      <c r="J477" s="79">
        <f>(Matrix_prices!J465+$D$2)*IF($M$2="Prices in $/MWh",1,1/1000)</f>
        <v>87.28</v>
      </c>
      <c r="K477" s="80">
        <f>(Matrix_prices!K465+$D$2)*IF($M$2="Prices in $/MWh",1,1/1000)</f>
        <v>87.13</v>
      </c>
      <c r="L477" s="79">
        <f>(Matrix_prices!L465+$D$2)*IF($M$2="Prices in $/MWh",1,1/1000)</f>
        <v>40.98</v>
      </c>
      <c r="M477" s="80">
        <f>(Matrix_prices!M465+$D$2)*IF($M$2="Prices in $/MWh",1,1/1000)</f>
        <v>42.03</v>
      </c>
      <c r="N477" s="79">
        <f>(Matrix_prices!N465+$D$2)*IF($M$2="Prices in $/MWh",1,1/1000)</f>
        <v>42.92</v>
      </c>
    </row>
    <row r="478" spans="3:14" x14ac:dyDescent="0.25">
      <c r="C478" s="82">
        <f>Matrix_prices!C466</f>
        <v>42705</v>
      </c>
      <c r="D478" s="83" t="str">
        <f>Matrix_prices!D466</f>
        <v>NJ</v>
      </c>
      <c r="E478" s="84" t="str">
        <f>Matrix_prices!E466</f>
        <v>JCPL</v>
      </c>
      <c r="F478" s="83" t="str">
        <f>Matrix_prices!F466</f>
        <v>GSCL</v>
      </c>
      <c r="G478" s="84" t="str">
        <f>Matrix_prices!G466</f>
        <v>General Service Large</v>
      </c>
      <c r="H478" s="85" t="str">
        <f t="shared" si="23"/>
        <v>500-2500 MWh</v>
      </c>
      <c r="I478" s="84">
        <f>(Matrix_prices!I466+$D$2)*IF($M$2="Prices in $/MWh",1,1/1000)</f>
        <v>84.51</v>
      </c>
      <c r="J478" s="83">
        <f>(Matrix_prices!J466+$D$2)*IF($M$2="Prices in $/MWh",1,1/1000)</f>
        <v>86.15</v>
      </c>
      <c r="K478" s="84">
        <f>(Matrix_prices!K466+$D$2)*IF($M$2="Prices in $/MWh",1,1/1000)</f>
        <v>86</v>
      </c>
      <c r="L478" s="83">
        <f>(Matrix_prices!L466+$D$2)*IF($M$2="Prices in $/MWh",1,1/1000)</f>
        <v>39.85</v>
      </c>
      <c r="M478" s="84">
        <f>(Matrix_prices!M466+$D$2)*IF($M$2="Prices in $/MWh",1,1/1000)</f>
        <v>40.9</v>
      </c>
      <c r="N478" s="83">
        <f>(Matrix_prices!N466+$D$2)*IF($M$2="Prices in $/MWh",1,1/1000)</f>
        <v>41.79</v>
      </c>
    </row>
    <row r="479" spans="3:14" x14ac:dyDescent="0.25">
      <c r="C479" s="74">
        <f>Matrix_prices!C467</f>
        <v>42736</v>
      </c>
      <c r="D479" s="75" t="str">
        <f>Matrix_prices!D467</f>
        <v>NJ</v>
      </c>
      <c r="E479" s="76" t="str">
        <f>Matrix_prices!E467</f>
        <v>JCPL</v>
      </c>
      <c r="F479" s="75" t="str">
        <f>Matrix_prices!F467</f>
        <v>GSCL</v>
      </c>
      <c r="G479" s="76" t="str">
        <f>Matrix_prices!G467</f>
        <v>General Service Large</v>
      </c>
      <c r="H479" s="157" t="str">
        <f t="shared" si="21"/>
        <v>0-100 MWh</v>
      </c>
      <c r="I479" s="76">
        <f>(Matrix_prices!I467+$D$2)*IF($M$2="Prices in $/MWh",1,1/1000)</f>
        <v>87.21</v>
      </c>
      <c r="J479" s="75">
        <f>(Matrix_prices!J467+$D$2)*IF($M$2="Prices in $/MWh",1,1/1000)</f>
        <v>88.87</v>
      </c>
      <c r="K479" s="76">
        <f>(Matrix_prices!K467+$D$2)*IF($M$2="Prices in $/MWh",1,1/1000)</f>
        <v>89.08</v>
      </c>
      <c r="L479" s="75">
        <f>(Matrix_prices!L467+$D$2)*IF($M$2="Prices in $/MWh",1,1/1000)</f>
        <v>42.76</v>
      </c>
      <c r="M479" s="76">
        <f>(Matrix_prices!M467+$D$2)*IF($M$2="Prices in $/MWh",1,1/1000)</f>
        <v>43.58</v>
      </c>
      <c r="N479" s="75">
        <f>(Matrix_prices!N467+$D$2)*IF($M$2="Prices in $/MWh",1,1/1000)</f>
        <v>44.96</v>
      </c>
    </row>
    <row r="480" spans="3:14" x14ac:dyDescent="0.25">
      <c r="C480" s="78">
        <f>Matrix_prices!C468</f>
        <v>42736</v>
      </c>
      <c r="D480" s="79" t="str">
        <f>Matrix_prices!D468</f>
        <v>NJ</v>
      </c>
      <c r="E480" s="80" t="str">
        <f>Matrix_prices!E468</f>
        <v>JCPL</v>
      </c>
      <c r="F480" s="79" t="str">
        <f>Matrix_prices!F468</f>
        <v>GSCL</v>
      </c>
      <c r="G480" s="80" t="str">
        <f>Matrix_prices!G468</f>
        <v>General Service Large</v>
      </c>
      <c r="H480" s="81" t="str">
        <f t="shared" si="22"/>
        <v>100-500 MWh</v>
      </c>
      <c r="I480" s="80">
        <f>(Matrix_prices!I468+$D$2)*IF($M$2="Prices in $/MWh",1,1/1000)</f>
        <v>85.49</v>
      </c>
      <c r="J480" s="79">
        <f>(Matrix_prices!J468+$D$2)*IF($M$2="Prices in $/MWh",1,1/1000)</f>
        <v>87.16</v>
      </c>
      <c r="K480" s="80">
        <f>(Matrix_prices!K468+$D$2)*IF($M$2="Prices in $/MWh",1,1/1000)</f>
        <v>87.37</v>
      </c>
      <c r="L480" s="79">
        <f>(Matrix_prices!L468+$D$2)*IF($M$2="Prices in $/MWh",1,1/1000)</f>
        <v>41.05</v>
      </c>
      <c r="M480" s="80">
        <f>(Matrix_prices!M468+$D$2)*IF($M$2="Prices in $/MWh",1,1/1000)</f>
        <v>41.87</v>
      </c>
      <c r="N480" s="79">
        <f>(Matrix_prices!N468+$D$2)*IF($M$2="Prices in $/MWh",1,1/1000)</f>
        <v>43.25</v>
      </c>
    </row>
    <row r="481" spans="3:14" x14ac:dyDescent="0.25">
      <c r="C481" s="82">
        <f>Matrix_prices!C469</f>
        <v>42736</v>
      </c>
      <c r="D481" s="83" t="str">
        <f>Matrix_prices!D469</f>
        <v>NJ</v>
      </c>
      <c r="E481" s="84" t="str">
        <f>Matrix_prices!E469</f>
        <v>JCPL</v>
      </c>
      <c r="F481" s="83" t="str">
        <f>Matrix_prices!F469</f>
        <v>GSCL</v>
      </c>
      <c r="G481" s="84" t="str">
        <f>Matrix_prices!G469</f>
        <v>General Service Large</v>
      </c>
      <c r="H481" s="85" t="str">
        <f t="shared" si="23"/>
        <v>500-2500 MWh</v>
      </c>
      <c r="I481" s="84">
        <f>(Matrix_prices!I469+$D$2)*IF($M$2="Prices in $/MWh",1,1/1000)</f>
        <v>84.37</v>
      </c>
      <c r="J481" s="83">
        <f>(Matrix_prices!J469+$D$2)*IF($M$2="Prices in $/MWh",1,1/1000)</f>
        <v>86.04</v>
      </c>
      <c r="K481" s="84">
        <f>(Matrix_prices!K469+$D$2)*IF($M$2="Prices in $/MWh",1,1/1000)</f>
        <v>86.25</v>
      </c>
      <c r="L481" s="83">
        <f>(Matrix_prices!L469+$D$2)*IF($M$2="Prices in $/MWh",1,1/1000)</f>
        <v>39.92</v>
      </c>
      <c r="M481" s="84">
        <f>(Matrix_prices!M469+$D$2)*IF($M$2="Prices in $/MWh",1,1/1000)</f>
        <v>40.74</v>
      </c>
      <c r="N481" s="83">
        <f>(Matrix_prices!N469+$D$2)*IF($M$2="Prices in $/MWh",1,1/1000)</f>
        <v>42.13</v>
      </c>
    </row>
    <row r="482" spans="3:14" x14ac:dyDescent="0.25">
      <c r="C482" s="151">
        <f>Matrix_prices!C470</f>
        <v>42401</v>
      </c>
      <c r="D482" s="152" t="str">
        <f>Matrix_prices!D470</f>
        <v>NJ</v>
      </c>
      <c r="E482" s="153" t="str">
        <f>Matrix_prices!E470</f>
        <v>JCPL</v>
      </c>
      <c r="F482" s="152" t="str">
        <f>Matrix_prices!F470</f>
        <v>GSCM</v>
      </c>
      <c r="G482" s="153" t="str">
        <f>Matrix_prices!G470</f>
        <v>General Service Medium</v>
      </c>
      <c r="H482" s="157" t="str">
        <f t="shared" si="21"/>
        <v>0-100 MWh</v>
      </c>
      <c r="I482" s="153">
        <f>(Matrix_prices!I470+$D$2)*IF($M$2="Prices in $/MWh",1,1/1000)</f>
        <v>88.1</v>
      </c>
      <c r="J482" s="152">
        <f>(Matrix_prices!J470+$D$2)*IF($M$2="Prices in $/MWh",1,1/1000)</f>
        <v>88.51</v>
      </c>
      <c r="K482" s="153">
        <f>(Matrix_prices!K470+$D$2)*IF($M$2="Prices in $/MWh",1,1/1000)</f>
        <v>89.14</v>
      </c>
      <c r="L482" s="152">
        <f>(Matrix_prices!L470+$D$2)*IF($M$2="Prices in $/MWh",1,1/1000)</f>
        <v>41.35</v>
      </c>
      <c r="M482" s="153">
        <f>(Matrix_prices!M470+$D$2)*IF($M$2="Prices in $/MWh",1,1/1000)</f>
        <v>41.74</v>
      </c>
      <c r="N482" s="152">
        <f>(Matrix_prices!N470+$D$2)*IF($M$2="Prices in $/MWh",1,1/1000)</f>
        <v>42.58</v>
      </c>
    </row>
    <row r="483" spans="3:14" x14ac:dyDescent="0.25">
      <c r="C483" s="78">
        <f>Matrix_prices!C471</f>
        <v>42401</v>
      </c>
      <c r="D483" s="79" t="str">
        <f>Matrix_prices!D471</f>
        <v>NJ</v>
      </c>
      <c r="E483" s="80" t="str">
        <f>Matrix_prices!E471</f>
        <v>JCPL</v>
      </c>
      <c r="F483" s="79" t="str">
        <f>Matrix_prices!F471</f>
        <v>GSCM</v>
      </c>
      <c r="G483" s="80" t="str">
        <f>Matrix_prices!G471</f>
        <v>General Service Medium</v>
      </c>
      <c r="H483" s="81" t="str">
        <f t="shared" si="22"/>
        <v>100-500 MWh</v>
      </c>
      <c r="I483" s="80">
        <f>(Matrix_prices!I471+$D$2)*IF($M$2="Prices in $/MWh",1,1/1000)</f>
        <v>86.39</v>
      </c>
      <c r="J483" s="79">
        <f>(Matrix_prices!J471+$D$2)*IF($M$2="Prices in $/MWh",1,1/1000)</f>
        <v>86.8</v>
      </c>
      <c r="K483" s="80">
        <f>(Matrix_prices!K471+$D$2)*IF($M$2="Prices in $/MWh",1,1/1000)</f>
        <v>87.43</v>
      </c>
      <c r="L483" s="79">
        <f>(Matrix_prices!L471+$D$2)*IF($M$2="Prices in $/MWh",1,1/1000)</f>
        <v>39.64</v>
      </c>
      <c r="M483" s="80">
        <f>(Matrix_prices!M471+$D$2)*IF($M$2="Prices in $/MWh",1,1/1000)</f>
        <v>40.03</v>
      </c>
      <c r="N483" s="79">
        <f>(Matrix_prices!N471+$D$2)*IF($M$2="Prices in $/MWh",1,1/1000)</f>
        <v>40.869999999999997</v>
      </c>
    </row>
    <row r="484" spans="3:14" x14ac:dyDescent="0.25">
      <c r="C484" s="82">
        <f>Matrix_prices!C472</f>
        <v>42401</v>
      </c>
      <c r="D484" s="83" t="str">
        <f>Matrix_prices!D472</f>
        <v>NJ</v>
      </c>
      <c r="E484" s="84" t="str">
        <f>Matrix_prices!E472</f>
        <v>JCPL</v>
      </c>
      <c r="F484" s="83" t="str">
        <f>Matrix_prices!F472</f>
        <v>GSCM</v>
      </c>
      <c r="G484" s="84" t="str">
        <f>Matrix_prices!G472</f>
        <v>General Service Medium</v>
      </c>
      <c r="H484" s="85" t="str">
        <f t="shared" si="23"/>
        <v>500-2500 MWh</v>
      </c>
      <c r="I484" s="84">
        <f>(Matrix_prices!I472+$D$2)*IF($M$2="Prices in $/MWh",1,1/1000)</f>
        <v>85.27</v>
      </c>
      <c r="J484" s="83">
        <f>(Matrix_prices!J472+$D$2)*IF($M$2="Prices in $/MWh",1,1/1000)</f>
        <v>85.67</v>
      </c>
      <c r="K484" s="84">
        <f>(Matrix_prices!K472+$D$2)*IF($M$2="Prices in $/MWh",1,1/1000)</f>
        <v>86.31</v>
      </c>
      <c r="L484" s="83">
        <f>(Matrix_prices!L472+$D$2)*IF($M$2="Prices in $/MWh",1,1/1000)</f>
        <v>38.51</v>
      </c>
      <c r="M484" s="84">
        <f>(Matrix_prices!M472+$D$2)*IF($M$2="Prices in $/MWh",1,1/1000)</f>
        <v>38.9</v>
      </c>
      <c r="N484" s="83">
        <f>(Matrix_prices!N472+$D$2)*IF($M$2="Prices in $/MWh",1,1/1000)</f>
        <v>39.74</v>
      </c>
    </row>
    <row r="485" spans="3:14" x14ac:dyDescent="0.25">
      <c r="C485" s="74">
        <f>Matrix_prices!C473</f>
        <v>42430</v>
      </c>
      <c r="D485" s="75" t="str">
        <f>Matrix_prices!D473</f>
        <v>NJ</v>
      </c>
      <c r="E485" s="76" t="str">
        <f>Matrix_prices!E473</f>
        <v>JCPL</v>
      </c>
      <c r="F485" s="75" t="str">
        <f>Matrix_prices!F473</f>
        <v>GSCM</v>
      </c>
      <c r="G485" s="76" t="str">
        <f>Matrix_prices!G473</f>
        <v>General Service Medium</v>
      </c>
      <c r="H485" s="157" t="str">
        <f t="shared" si="21"/>
        <v>0-100 MWh</v>
      </c>
      <c r="I485" s="76">
        <f>(Matrix_prices!I473+$D$2)*IF($M$2="Prices in $/MWh",1,1/1000)</f>
        <v>88.75</v>
      </c>
      <c r="J485" s="75">
        <f>(Matrix_prices!J473+$D$2)*IF($M$2="Prices in $/MWh",1,1/1000)</f>
        <v>88.21</v>
      </c>
      <c r="K485" s="76">
        <f>(Matrix_prices!K473+$D$2)*IF($M$2="Prices in $/MWh",1,1/1000)</f>
        <v>89.54</v>
      </c>
      <c r="L485" s="75">
        <f>(Matrix_prices!L473+$D$2)*IF($M$2="Prices in $/MWh",1,1/1000)</f>
        <v>41.42</v>
      </c>
      <c r="M485" s="76">
        <f>(Matrix_prices!M473+$D$2)*IF($M$2="Prices in $/MWh",1,1/1000)</f>
        <v>41.4</v>
      </c>
      <c r="N485" s="75">
        <f>(Matrix_prices!N473+$D$2)*IF($M$2="Prices in $/MWh",1,1/1000)</f>
        <v>42.62</v>
      </c>
    </row>
    <row r="486" spans="3:14" x14ac:dyDescent="0.25">
      <c r="C486" s="78">
        <f>Matrix_prices!C474</f>
        <v>42430</v>
      </c>
      <c r="D486" s="79" t="str">
        <f>Matrix_prices!D474</f>
        <v>NJ</v>
      </c>
      <c r="E486" s="80" t="str">
        <f>Matrix_prices!E474</f>
        <v>JCPL</v>
      </c>
      <c r="F486" s="79" t="str">
        <f>Matrix_prices!F474</f>
        <v>GSCM</v>
      </c>
      <c r="G486" s="80" t="str">
        <f>Matrix_prices!G474</f>
        <v>General Service Medium</v>
      </c>
      <c r="H486" s="81" t="str">
        <f t="shared" si="22"/>
        <v>100-500 MWh</v>
      </c>
      <c r="I486" s="80">
        <f>(Matrix_prices!I474+$D$2)*IF($M$2="Prices in $/MWh",1,1/1000)</f>
        <v>87.04</v>
      </c>
      <c r="J486" s="79">
        <f>(Matrix_prices!J474+$D$2)*IF($M$2="Prices in $/MWh",1,1/1000)</f>
        <v>86.49</v>
      </c>
      <c r="K486" s="80">
        <f>(Matrix_prices!K474+$D$2)*IF($M$2="Prices in $/MWh",1,1/1000)</f>
        <v>87.83</v>
      </c>
      <c r="L486" s="79">
        <f>(Matrix_prices!L474+$D$2)*IF($M$2="Prices in $/MWh",1,1/1000)</f>
        <v>39.71</v>
      </c>
      <c r="M486" s="80">
        <f>(Matrix_prices!M474+$D$2)*IF($M$2="Prices in $/MWh",1,1/1000)</f>
        <v>39.69</v>
      </c>
      <c r="N486" s="79">
        <f>(Matrix_prices!N474+$D$2)*IF($M$2="Prices in $/MWh",1,1/1000)</f>
        <v>40.909999999999997</v>
      </c>
    </row>
    <row r="487" spans="3:14" x14ac:dyDescent="0.25">
      <c r="C487" s="82">
        <f>Matrix_prices!C475</f>
        <v>42430</v>
      </c>
      <c r="D487" s="83" t="str">
        <f>Matrix_prices!D475</f>
        <v>NJ</v>
      </c>
      <c r="E487" s="84" t="str">
        <f>Matrix_prices!E475</f>
        <v>JCPL</v>
      </c>
      <c r="F487" s="83" t="str">
        <f>Matrix_prices!F475</f>
        <v>GSCM</v>
      </c>
      <c r="G487" s="84" t="str">
        <f>Matrix_prices!G475</f>
        <v>General Service Medium</v>
      </c>
      <c r="H487" s="85" t="str">
        <f t="shared" si="23"/>
        <v>500-2500 MWh</v>
      </c>
      <c r="I487" s="84">
        <f>(Matrix_prices!I475+$D$2)*IF($M$2="Prices in $/MWh",1,1/1000)</f>
        <v>85.92</v>
      </c>
      <c r="J487" s="83">
        <f>(Matrix_prices!J475+$D$2)*IF($M$2="Prices in $/MWh",1,1/1000)</f>
        <v>85.37</v>
      </c>
      <c r="K487" s="84">
        <f>(Matrix_prices!K475+$D$2)*IF($M$2="Prices in $/MWh",1,1/1000)</f>
        <v>86.7</v>
      </c>
      <c r="L487" s="83">
        <f>(Matrix_prices!L475+$D$2)*IF($M$2="Prices in $/MWh",1,1/1000)</f>
        <v>38.58</v>
      </c>
      <c r="M487" s="84">
        <f>(Matrix_prices!M475+$D$2)*IF($M$2="Prices in $/MWh",1,1/1000)</f>
        <v>38.56</v>
      </c>
      <c r="N487" s="83">
        <f>(Matrix_prices!N475+$D$2)*IF($M$2="Prices in $/MWh",1,1/1000)</f>
        <v>39.78</v>
      </c>
    </row>
    <row r="488" spans="3:14" x14ac:dyDescent="0.25">
      <c r="C488" s="151">
        <f>Matrix_prices!C476</f>
        <v>42461</v>
      </c>
      <c r="D488" s="152" t="str">
        <f>Matrix_prices!D476</f>
        <v>NJ</v>
      </c>
      <c r="E488" s="153" t="str">
        <f>Matrix_prices!E476</f>
        <v>JCPL</v>
      </c>
      <c r="F488" s="152" t="str">
        <f>Matrix_prices!F476</f>
        <v>GSCM</v>
      </c>
      <c r="G488" s="153" t="str">
        <f>Matrix_prices!G476</f>
        <v>General Service Medium</v>
      </c>
      <c r="H488" s="157" t="str">
        <f t="shared" si="21"/>
        <v>0-100 MWh</v>
      </c>
      <c r="I488" s="153">
        <f>(Matrix_prices!I476+$D$2)*IF($M$2="Prices in $/MWh",1,1/1000)</f>
        <v>89.26</v>
      </c>
      <c r="J488" s="152">
        <f>(Matrix_prices!J476+$D$2)*IF($M$2="Prices in $/MWh",1,1/1000)</f>
        <v>88.41</v>
      </c>
      <c r="K488" s="153">
        <f>(Matrix_prices!K476+$D$2)*IF($M$2="Prices in $/MWh",1,1/1000)</f>
        <v>89.67</v>
      </c>
      <c r="L488" s="152">
        <f>(Matrix_prices!L476+$D$2)*IF($M$2="Prices in $/MWh",1,1/1000)</f>
        <v>41.81</v>
      </c>
      <c r="M488" s="153">
        <f>(Matrix_prices!M476+$D$2)*IF($M$2="Prices in $/MWh",1,1/1000)</f>
        <v>41.62</v>
      </c>
      <c r="N488" s="152">
        <f>(Matrix_prices!N476+$D$2)*IF($M$2="Prices in $/MWh",1,1/1000)</f>
        <v>42.7</v>
      </c>
    </row>
    <row r="489" spans="3:14" x14ac:dyDescent="0.25">
      <c r="C489" s="78">
        <f>Matrix_prices!C477</f>
        <v>42461</v>
      </c>
      <c r="D489" s="79" t="str">
        <f>Matrix_prices!D477</f>
        <v>NJ</v>
      </c>
      <c r="E489" s="80" t="str">
        <f>Matrix_prices!E477</f>
        <v>JCPL</v>
      </c>
      <c r="F489" s="79" t="str">
        <f>Matrix_prices!F477</f>
        <v>GSCM</v>
      </c>
      <c r="G489" s="80" t="str">
        <f>Matrix_prices!G477</f>
        <v>General Service Medium</v>
      </c>
      <c r="H489" s="81" t="str">
        <f t="shared" si="22"/>
        <v>100-500 MWh</v>
      </c>
      <c r="I489" s="80">
        <f>(Matrix_prices!I477+$D$2)*IF($M$2="Prices in $/MWh",1,1/1000)</f>
        <v>87.55</v>
      </c>
      <c r="J489" s="79">
        <f>(Matrix_prices!J477+$D$2)*IF($M$2="Prices in $/MWh",1,1/1000)</f>
        <v>86.7</v>
      </c>
      <c r="K489" s="80">
        <f>(Matrix_prices!K477+$D$2)*IF($M$2="Prices in $/MWh",1,1/1000)</f>
        <v>87.96</v>
      </c>
      <c r="L489" s="79">
        <f>(Matrix_prices!L477+$D$2)*IF($M$2="Prices in $/MWh",1,1/1000)</f>
        <v>40.1</v>
      </c>
      <c r="M489" s="80">
        <f>(Matrix_prices!M477+$D$2)*IF($M$2="Prices in $/MWh",1,1/1000)</f>
        <v>39.909999999999997</v>
      </c>
      <c r="N489" s="79">
        <f>(Matrix_prices!N477+$D$2)*IF($M$2="Prices in $/MWh",1,1/1000)</f>
        <v>40.99</v>
      </c>
    </row>
    <row r="490" spans="3:14" x14ac:dyDescent="0.25">
      <c r="C490" s="82">
        <f>Matrix_prices!C478</f>
        <v>42461</v>
      </c>
      <c r="D490" s="83" t="str">
        <f>Matrix_prices!D478</f>
        <v>NJ</v>
      </c>
      <c r="E490" s="84" t="str">
        <f>Matrix_prices!E478</f>
        <v>JCPL</v>
      </c>
      <c r="F490" s="83" t="str">
        <f>Matrix_prices!F478</f>
        <v>GSCM</v>
      </c>
      <c r="G490" s="84" t="str">
        <f>Matrix_prices!G478</f>
        <v>General Service Medium</v>
      </c>
      <c r="H490" s="85" t="str">
        <f t="shared" si="23"/>
        <v>500-2500 MWh</v>
      </c>
      <c r="I490" s="84">
        <f>(Matrix_prices!I478+$D$2)*IF($M$2="Prices in $/MWh",1,1/1000)</f>
        <v>86.43</v>
      </c>
      <c r="J490" s="83">
        <f>(Matrix_prices!J478+$D$2)*IF($M$2="Prices in $/MWh",1,1/1000)</f>
        <v>85.58</v>
      </c>
      <c r="K490" s="84">
        <f>(Matrix_prices!K478+$D$2)*IF($M$2="Prices in $/MWh",1,1/1000)</f>
        <v>86.84</v>
      </c>
      <c r="L490" s="83">
        <f>(Matrix_prices!L478+$D$2)*IF($M$2="Prices in $/MWh",1,1/1000)</f>
        <v>38.97</v>
      </c>
      <c r="M490" s="84">
        <f>(Matrix_prices!M478+$D$2)*IF($M$2="Prices in $/MWh",1,1/1000)</f>
        <v>38.78</v>
      </c>
      <c r="N490" s="83">
        <f>(Matrix_prices!N478+$D$2)*IF($M$2="Prices in $/MWh",1,1/1000)</f>
        <v>39.86</v>
      </c>
    </row>
    <row r="491" spans="3:14" x14ac:dyDescent="0.25">
      <c r="C491" s="74">
        <f>Matrix_prices!C479</f>
        <v>42491</v>
      </c>
      <c r="D491" s="75" t="str">
        <f>Matrix_prices!D479</f>
        <v>NJ</v>
      </c>
      <c r="E491" s="76" t="str">
        <f>Matrix_prices!E479</f>
        <v>JCPL</v>
      </c>
      <c r="F491" s="75" t="str">
        <f>Matrix_prices!F479</f>
        <v>GSCM</v>
      </c>
      <c r="G491" s="76" t="str">
        <f>Matrix_prices!G479</f>
        <v>General Service Medium</v>
      </c>
      <c r="H491" s="157" t="str">
        <f t="shared" si="21"/>
        <v>0-100 MWh</v>
      </c>
      <c r="I491" s="76">
        <f>(Matrix_prices!I479+$D$2)*IF($M$2="Prices in $/MWh",1,1/1000)</f>
        <v>89.67</v>
      </c>
      <c r="J491" s="75">
        <f>(Matrix_prices!J479+$D$2)*IF($M$2="Prices in $/MWh",1,1/1000)</f>
        <v>89.1</v>
      </c>
      <c r="K491" s="76">
        <f>(Matrix_prices!K479+$D$2)*IF($M$2="Prices in $/MWh",1,1/1000)</f>
        <v>89.74</v>
      </c>
      <c r="L491" s="75">
        <f>(Matrix_prices!L479+$D$2)*IF($M$2="Prices in $/MWh",1,1/1000)</f>
        <v>42.23</v>
      </c>
      <c r="M491" s="76">
        <f>(Matrix_prices!M479+$D$2)*IF($M$2="Prices in $/MWh",1,1/1000)</f>
        <v>42.37</v>
      </c>
      <c r="N491" s="75">
        <f>(Matrix_prices!N479+$D$2)*IF($M$2="Prices in $/MWh",1,1/1000)</f>
        <v>42.83</v>
      </c>
    </row>
    <row r="492" spans="3:14" x14ac:dyDescent="0.25">
      <c r="C492" s="78">
        <f>Matrix_prices!C480</f>
        <v>42491</v>
      </c>
      <c r="D492" s="79" t="str">
        <f>Matrix_prices!D480</f>
        <v>NJ</v>
      </c>
      <c r="E492" s="80" t="str">
        <f>Matrix_prices!E480</f>
        <v>JCPL</v>
      </c>
      <c r="F492" s="79" t="str">
        <f>Matrix_prices!F480</f>
        <v>GSCM</v>
      </c>
      <c r="G492" s="80" t="str">
        <f>Matrix_prices!G480</f>
        <v>General Service Medium</v>
      </c>
      <c r="H492" s="81" t="str">
        <f t="shared" si="22"/>
        <v>100-500 MWh</v>
      </c>
      <c r="I492" s="80">
        <f>(Matrix_prices!I480+$D$2)*IF($M$2="Prices in $/MWh",1,1/1000)</f>
        <v>87.95</v>
      </c>
      <c r="J492" s="79">
        <f>(Matrix_prices!J480+$D$2)*IF($M$2="Prices in $/MWh",1,1/1000)</f>
        <v>87.39</v>
      </c>
      <c r="K492" s="80">
        <f>(Matrix_prices!K480+$D$2)*IF($M$2="Prices in $/MWh",1,1/1000)</f>
        <v>88.02</v>
      </c>
      <c r="L492" s="79">
        <f>(Matrix_prices!L480+$D$2)*IF($M$2="Prices in $/MWh",1,1/1000)</f>
        <v>40.520000000000003</v>
      </c>
      <c r="M492" s="80">
        <f>(Matrix_prices!M480+$D$2)*IF($M$2="Prices in $/MWh",1,1/1000)</f>
        <v>40.659999999999997</v>
      </c>
      <c r="N492" s="79">
        <f>(Matrix_prices!N480+$D$2)*IF($M$2="Prices in $/MWh",1,1/1000)</f>
        <v>41.12</v>
      </c>
    </row>
    <row r="493" spans="3:14" x14ac:dyDescent="0.25">
      <c r="C493" s="82">
        <f>Matrix_prices!C481</f>
        <v>42491</v>
      </c>
      <c r="D493" s="83" t="str">
        <f>Matrix_prices!D481</f>
        <v>NJ</v>
      </c>
      <c r="E493" s="84" t="str">
        <f>Matrix_prices!E481</f>
        <v>JCPL</v>
      </c>
      <c r="F493" s="83" t="str">
        <f>Matrix_prices!F481</f>
        <v>GSCM</v>
      </c>
      <c r="G493" s="84" t="str">
        <f>Matrix_prices!G481</f>
        <v>General Service Medium</v>
      </c>
      <c r="H493" s="85" t="str">
        <f t="shared" si="23"/>
        <v>500-2500 MWh</v>
      </c>
      <c r="I493" s="84">
        <f>(Matrix_prices!I481+$D$2)*IF($M$2="Prices in $/MWh",1,1/1000)</f>
        <v>86.83</v>
      </c>
      <c r="J493" s="83">
        <f>(Matrix_prices!J481+$D$2)*IF($M$2="Prices in $/MWh",1,1/1000)</f>
        <v>86.27</v>
      </c>
      <c r="K493" s="84">
        <f>(Matrix_prices!K481+$D$2)*IF($M$2="Prices in $/MWh",1,1/1000)</f>
        <v>86.9</v>
      </c>
      <c r="L493" s="83">
        <f>(Matrix_prices!L481+$D$2)*IF($M$2="Prices in $/MWh",1,1/1000)</f>
        <v>39.39</v>
      </c>
      <c r="M493" s="84">
        <f>(Matrix_prices!M481+$D$2)*IF($M$2="Prices in $/MWh",1,1/1000)</f>
        <v>39.53</v>
      </c>
      <c r="N493" s="83">
        <f>(Matrix_prices!N481+$D$2)*IF($M$2="Prices in $/MWh",1,1/1000)</f>
        <v>39.99</v>
      </c>
    </row>
    <row r="494" spans="3:14" x14ac:dyDescent="0.25">
      <c r="C494" s="151">
        <f>Matrix_prices!C482</f>
        <v>42522</v>
      </c>
      <c r="D494" s="152" t="str">
        <f>Matrix_prices!D482</f>
        <v>NJ</v>
      </c>
      <c r="E494" s="153" t="str">
        <f>Matrix_prices!E482</f>
        <v>JCPL</v>
      </c>
      <c r="F494" s="152" t="str">
        <f>Matrix_prices!F482</f>
        <v>GSCM</v>
      </c>
      <c r="G494" s="153" t="str">
        <f>Matrix_prices!G482</f>
        <v>General Service Medium</v>
      </c>
      <c r="H494" s="157" t="str">
        <f t="shared" si="21"/>
        <v>0-100 MWh</v>
      </c>
      <c r="I494" s="153">
        <f>(Matrix_prices!I482+$D$2)*IF($M$2="Prices in $/MWh",1,1/1000)</f>
        <v>89.93</v>
      </c>
      <c r="J494" s="152">
        <f>(Matrix_prices!J482+$D$2)*IF($M$2="Prices in $/MWh",1,1/1000)</f>
        <v>90</v>
      </c>
      <c r="K494" s="153">
        <f>(Matrix_prices!K482+$D$2)*IF($M$2="Prices in $/MWh",1,1/1000)</f>
        <v>89.81</v>
      </c>
      <c r="L494" s="152">
        <f>(Matrix_prices!L482+$D$2)*IF($M$2="Prices in $/MWh",1,1/1000)</f>
        <v>42.6</v>
      </c>
      <c r="M494" s="153">
        <f>(Matrix_prices!M482+$D$2)*IF($M$2="Prices in $/MWh",1,1/1000)</f>
        <v>43.42</v>
      </c>
      <c r="N494" s="152">
        <f>(Matrix_prices!N482+$D$2)*IF($M$2="Prices in $/MWh",1,1/1000)</f>
        <v>42.95</v>
      </c>
    </row>
    <row r="495" spans="3:14" x14ac:dyDescent="0.25">
      <c r="C495" s="78">
        <f>Matrix_prices!C483</f>
        <v>42522</v>
      </c>
      <c r="D495" s="79" t="str">
        <f>Matrix_prices!D483</f>
        <v>NJ</v>
      </c>
      <c r="E495" s="80" t="str">
        <f>Matrix_prices!E483</f>
        <v>JCPL</v>
      </c>
      <c r="F495" s="79" t="str">
        <f>Matrix_prices!F483</f>
        <v>GSCM</v>
      </c>
      <c r="G495" s="80" t="str">
        <f>Matrix_prices!G483</f>
        <v>General Service Medium</v>
      </c>
      <c r="H495" s="81" t="str">
        <f t="shared" si="22"/>
        <v>100-500 MWh</v>
      </c>
      <c r="I495" s="80">
        <f>(Matrix_prices!I483+$D$2)*IF($M$2="Prices in $/MWh",1,1/1000)</f>
        <v>88.22</v>
      </c>
      <c r="J495" s="79">
        <f>(Matrix_prices!J483+$D$2)*IF($M$2="Prices in $/MWh",1,1/1000)</f>
        <v>88.29</v>
      </c>
      <c r="K495" s="80">
        <f>(Matrix_prices!K483+$D$2)*IF($M$2="Prices in $/MWh",1,1/1000)</f>
        <v>88.1</v>
      </c>
      <c r="L495" s="79">
        <f>(Matrix_prices!L483+$D$2)*IF($M$2="Prices in $/MWh",1,1/1000)</f>
        <v>40.89</v>
      </c>
      <c r="M495" s="80">
        <f>(Matrix_prices!M483+$D$2)*IF($M$2="Prices in $/MWh",1,1/1000)</f>
        <v>41.71</v>
      </c>
      <c r="N495" s="79">
        <f>(Matrix_prices!N483+$D$2)*IF($M$2="Prices in $/MWh",1,1/1000)</f>
        <v>41.24</v>
      </c>
    </row>
    <row r="496" spans="3:14" x14ac:dyDescent="0.25">
      <c r="C496" s="82">
        <f>Matrix_prices!C484</f>
        <v>42522</v>
      </c>
      <c r="D496" s="83" t="str">
        <f>Matrix_prices!D484</f>
        <v>NJ</v>
      </c>
      <c r="E496" s="84" t="str">
        <f>Matrix_prices!E484</f>
        <v>JCPL</v>
      </c>
      <c r="F496" s="83" t="str">
        <f>Matrix_prices!F484</f>
        <v>GSCM</v>
      </c>
      <c r="G496" s="84" t="str">
        <f>Matrix_prices!G484</f>
        <v>General Service Medium</v>
      </c>
      <c r="H496" s="85" t="str">
        <f t="shared" si="23"/>
        <v>500-2500 MWh</v>
      </c>
      <c r="I496" s="84">
        <f>(Matrix_prices!I484+$D$2)*IF($M$2="Prices in $/MWh",1,1/1000)</f>
        <v>87.09</v>
      </c>
      <c r="J496" s="83">
        <f>(Matrix_prices!J484+$D$2)*IF($M$2="Prices in $/MWh",1,1/1000)</f>
        <v>87.17</v>
      </c>
      <c r="K496" s="84">
        <f>(Matrix_prices!K484+$D$2)*IF($M$2="Prices in $/MWh",1,1/1000)</f>
        <v>86.98</v>
      </c>
      <c r="L496" s="83">
        <f>(Matrix_prices!L484+$D$2)*IF($M$2="Prices in $/MWh",1,1/1000)</f>
        <v>39.76</v>
      </c>
      <c r="M496" s="84">
        <f>(Matrix_prices!M484+$D$2)*IF($M$2="Prices in $/MWh",1,1/1000)</f>
        <v>40.58</v>
      </c>
      <c r="N496" s="83">
        <f>(Matrix_prices!N484+$D$2)*IF($M$2="Prices in $/MWh",1,1/1000)</f>
        <v>40.11</v>
      </c>
    </row>
    <row r="497" spans="3:14" x14ac:dyDescent="0.25">
      <c r="C497" s="74">
        <f>Matrix_prices!C485</f>
        <v>42552</v>
      </c>
      <c r="D497" s="75" t="str">
        <f>Matrix_prices!D485</f>
        <v>NJ</v>
      </c>
      <c r="E497" s="76" t="str">
        <f>Matrix_prices!E485</f>
        <v>JCPL</v>
      </c>
      <c r="F497" s="75" t="str">
        <f>Matrix_prices!F485</f>
        <v>GSCM</v>
      </c>
      <c r="G497" s="76" t="str">
        <f>Matrix_prices!G485</f>
        <v>General Service Medium</v>
      </c>
      <c r="H497" s="157" t="str">
        <f t="shared" si="21"/>
        <v>0-100 MWh</v>
      </c>
      <c r="I497" s="76">
        <f>(Matrix_prices!I485+$D$2)*IF($M$2="Prices in $/MWh",1,1/1000)</f>
        <v>89.97</v>
      </c>
      <c r="J497" s="75">
        <f>(Matrix_prices!J485+$D$2)*IF($M$2="Prices in $/MWh",1,1/1000)</f>
        <v>89.73</v>
      </c>
      <c r="K497" s="76">
        <f>(Matrix_prices!K485+$D$2)*IF($M$2="Prices in $/MWh",1,1/1000)</f>
        <v>90.07</v>
      </c>
      <c r="L497" s="75">
        <f>(Matrix_prices!L485+$D$2)*IF($M$2="Prices in $/MWh",1,1/1000)</f>
        <v>42.76</v>
      </c>
      <c r="M497" s="76">
        <f>(Matrix_prices!M485+$D$2)*IF($M$2="Prices in $/MWh",1,1/1000)</f>
        <v>43.63</v>
      </c>
      <c r="N497" s="75">
        <f>(Matrix_prices!N485+$D$2)*IF($M$2="Prices in $/MWh",1,1/1000)</f>
        <v>43.32</v>
      </c>
    </row>
    <row r="498" spans="3:14" x14ac:dyDescent="0.25">
      <c r="C498" s="78">
        <f>Matrix_prices!C486</f>
        <v>42552</v>
      </c>
      <c r="D498" s="79" t="str">
        <f>Matrix_prices!D486</f>
        <v>NJ</v>
      </c>
      <c r="E498" s="80" t="str">
        <f>Matrix_prices!E486</f>
        <v>JCPL</v>
      </c>
      <c r="F498" s="79" t="str">
        <f>Matrix_prices!F486</f>
        <v>GSCM</v>
      </c>
      <c r="G498" s="80" t="str">
        <f>Matrix_prices!G486</f>
        <v>General Service Medium</v>
      </c>
      <c r="H498" s="81" t="str">
        <f t="shared" si="22"/>
        <v>100-500 MWh</v>
      </c>
      <c r="I498" s="80">
        <f>(Matrix_prices!I486+$D$2)*IF($M$2="Prices in $/MWh",1,1/1000)</f>
        <v>88.26</v>
      </c>
      <c r="J498" s="79">
        <f>(Matrix_prices!J486+$D$2)*IF($M$2="Prices in $/MWh",1,1/1000)</f>
        <v>88.02</v>
      </c>
      <c r="K498" s="80">
        <f>(Matrix_prices!K486+$D$2)*IF($M$2="Prices in $/MWh",1,1/1000)</f>
        <v>88.36</v>
      </c>
      <c r="L498" s="79">
        <f>(Matrix_prices!L486+$D$2)*IF($M$2="Prices in $/MWh",1,1/1000)</f>
        <v>41.05</v>
      </c>
      <c r="M498" s="80">
        <f>(Matrix_prices!M486+$D$2)*IF($M$2="Prices in $/MWh",1,1/1000)</f>
        <v>41.92</v>
      </c>
      <c r="N498" s="79">
        <f>(Matrix_prices!N486+$D$2)*IF($M$2="Prices in $/MWh",1,1/1000)</f>
        <v>41.61</v>
      </c>
    </row>
    <row r="499" spans="3:14" x14ac:dyDescent="0.25">
      <c r="C499" s="82">
        <f>Matrix_prices!C487</f>
        <v>42552</v>
      </c>
      <c r="D499" s="83" t="str">
        <f>Matrix_prices!D487</f>
        <v>NJ</v>
      </c>
      <c r="E499" s="84" t="str">
        <f>Matrix_prices!E487</f>
        <v>JCPL</v>
      </c>
      <c r="F499" s="83" t="str">
        <f>Matrix_prices!F487</f>
        <v>GSCM</v>
      </c>
      <c r="G499" s="84" t="str">
        <f>Matrix_prices!G487</f>
        <v>General Service Medium</v>
      </c>
      <c r="H499" s="85" t="str">
        <f t="shared" si="23"/>
        <v>500-2500 MWh</v>
      </c>
      <c r="I499" s="84">
        <f>(Matrix_prices!I487+$D$2)*IF($M$2="Prices in $/MWh",1,1/1000)</f>
        <v>87.13</v>
      </c>
      <c r="J499" s="83">
        <f>(Matrix_prices!J487+$D$2)*IF($M$2="Prices in $/MWh",1,1/1000)</f>
        <v>86.89</v>
      </c>
      <c r="K499" s="84">
        <f>(Matrix_prices!K487+$D$2)*IF($M$2="Prices in $/MWh",1,1/1000)</f>
        <v>87.23</v>
      </c>
      <c r="L499" s="83">
        <f>(Matrix_prices!L487+$D$2)*IF($M$2="Prices in $/MWh",1,1/1000)</f>
        <v>39.92</v>
      </c>
      <c r="M499" s="84">
        <f>(Matrix_prices!M487+$D$2)*IF($M$2="Prices in $/MWh",1,1/1000)</f>
        <v>40.79</v>
      </c>
      <c r="N499" s="83">
        <f>(Matrix_prices!N487+$D$2)*IF($M$2="Prices in $/MWh",1,1/1000)</f>
        <v>40.479999999999997</v>
      </c>
    </row>
    <row r="500" spans="3:14" x14ac:dyDescent="0.25">
      <c r="C500" s="151">
        <f>Matrix_prices!C488</f>
        <v>42583</v>
      </c>
      <c r="D500" s="152" t="str">
        <f>Matrix_prices!D488</f>
        <v>NJ</v>
      </c>
      <c r="E500" s="153" t="str">
        <f>Matrix_prices!E488</f>
        <v>JCPL</v>
      </c>
      <c r="F500" s="152" t="str">
        <f>Matrix_prices!F488</f>
        <v>GSCM</v>
      </c>
      <c r="G500" s="153" t="str">
        <f>Matrix_prices!G488</f>
        <v>General Service Medium</v>
      </c>
      <c r="H500" s="157" t="str">
        <f t="shared" si="21"/>
        <v>0-100 MWh</v>
      </c>
      <c r="I500" s="153">
        <f>(Matrix_prices!I488+$D$2)*IF($M$2="Prices in $/MWh",1,1/1000)</f>
        <v>90.18</v>
      </c>
      <c r="J500" s="152">
        <f>(Matrix_prices!J488+$D$2)*IF($M$2="Prices in $/MWh",1,1/1000)</f>
        <v>90.53</v>
      </c>
      <c r="K500" s="153">
        <f>(Matrix_prices!K488+$D$2)*IF($M$2="Prices in $/MWh",1,1/1000)</f>
        <v>90.55</v>
      </c>
      <c r="L500" s="152">
        <f>(Matrix_prices!L488+$D$2)*IF($M$2="Prices in $/MWh",1,1/1000)</f>
        <v>43.28</v>
      </c>
      <c r="M500" s="153">
        <f>(Matrix_prices!M488+$D$2)*IF($M$2="Prices in $/MWh",1,1/1000)</f>
        <v>43.96</v>
      </c>
      <c r="N500" s="152">
        <f>(Matrix_prices!N488+$D$2)*IF($M$2="Prices in $/MWh",1,1/1000)</f>
        <v>43.95</v>
      </c>
    </row>
    <row r="501" spans="3:14" x14ac:dyDescent="0.25">
      <c r="C501" s="78">
        <f>Matrix_prices!C489</f>
        <v>42583</v>
      </c>
      <c r="D501" s="79" t="str">
        <f>Matrix_prices!D489</f>
        <v>NJ</v>
      </c>
      <c r="E501" s="80" t="str">
        <f>Matrix_prices!E489</f>
        <v>JCPL</v>
      </c>
      <c r="F501" s="79" t="str">
        <f>Matrix_prices!F489</f>
        <v>GSCM</v>
      </c>
      <c r="G501" s="80" t="str">
        <f>Matrix_prices!G489</f>
        <v>General Service Medium</v>
      </c>
      <c r="H501" s="81" t="str">
        <f t="shared" si="22"/>
        <v>100-500 MWh</v>
      </c>
      <c r="I501" s="80">
        <f>(Matrix_prices!I489+$D$2)*IF($M$2="Prices in $/MWh",1,1/1000)</f>
        <v>88.46</v>
      </c>
      <c r="J501" s="79">
        <f>(Matrix_prices!J489+$D$2)*IF($M$2="Prices in $/MWh",1,1/1000)</f>
        <v>88.82</v>
      </c>
      <c r="K501" s="80">
        <f>(Matrix_prices!K489+$D$2)*IF($M$2="Prices in $/MWh",1,1/1000)</f>
        <v>88.84</v>
      </c>
      <c r="L501" s="79">
        <f>(Matrix_prices!L489+$D$2)*IF($M$2="Prices in $/MWh",1,1/1000)</f>
        <v>41.57</v>
      </c>
      <c r="M501" s="80">
        <f>(Matrix_prices!M489+$D$2)*IF($M$2="Prices in $/MWh",1,1/1000)</f>
        <v>42.25</v>
      </c>
      <c r="N501" s="79">
        <f>(Matrix_prices!N489+$D$2)*IF($M$2="Prices in $/MWh",1,1/1000)</f>
        <v>42.24</v>
      </c>
    </row>
    <row r="502" spans="3:14" x14ac:dyDescent="0.25">
      <c r="C502" s="82">
        <f>Matrix_prices!C490</f>
        <v>42583</v>
      </c>
      <c r="D502" s="83" t="str">
        <f>Matrix_prices!D490</f>
        <v>NJ</v>
      </c>
      <c r="E502" s="84" t="str">
        <f>Matrix_prices!E490</f>
        <v>JCPL</v>
      </c>
      <c r="F502" s="83" t="str">
        <f>Matrix_prices!F490</f>
        <v>GSCM</v>
      </c>
      <c r="G502" s="84" t="str">
        <f>Matrix_prices!G490</f>
        <v>General Service Medium</v>
      </c>
      <c r="H502" s="85" t="str">
        <f t="shared" si="23"/>
        <v>500-2500 MWh</v>
      </c>
      <c r="I502" s="84">
        <f>(Matrix_prices!I490+$D$2)*IF($M$2="Prices in $/MWh",1,1/1000)</f>
        <v>87.34</v>
      </c>
      <c r="J502" s="83">
        <f>(Matrix_prices!J490+$D$2)*IF($M$2="Prices in $/MWh",1,1/1000)</f>
        <v>87.7</v>
      </c>
      <c r="K502" s="84">
        <f>(Matrix_prices!K490+$D$2)*IF($M$2="Prices in $/MWh",1,1/1000)</f>
        <v>87.71</v>
      </c>
      <c r="L502" s="83">
        <f>(Matrix_prices!L490+$D$2)*IF($M$2="Prices in $/MWh",1,1/1000)</f>
        <v>40.450000000000003</v>
      </c>
      <c r="M502" s="84">
        <f>(Matrix_prices!M490+$D$2)*IF($M$2="Prices in $/MWh",1,1/1000)</f>
        <v>41.13</v>
      </c>
      <c r="N502" s="83">
        <f>(Matrix_prices!N490+$D$2)*IF($M$2="Prices in $/MWh",1,1/1000)</f>
        <v>41.11</v>
      </c>
    </row>
    <row r="503" spans="3:14" x14ac:dyDescent="0.25">
      <c r="C503" s="74">
        <f>Matrix_prices!C491</f>
        <v>42614</v>
      </c>
      <c r="D503" s="75" t="str">
        <f>Matrix_prices!D491</f>
        <v>NJ</v>
      </c>
      <c r="E503" s="76" t="str">
        <f>Matrix_prices!E491</f>
        <v>JCPL</v>
      </c>
      <c r="F503" s="75" t="str">
        <f>Matrix_prices!F491</f>
        <v>GSCM</v>
      </c>
      <c r="G503" s="76" t="str">
        <f>Matrix_prices!G491</f>
        <v>General Service Medium</v>
      </c>
      <c r="H503" s="157" t="str">
        <f t="shared" si="21"/>
        <v>0-100 MWh</v>
      </c>
      <c r="I503" s="76">
        <f>(Matrix_prices!I491+$D$2)*IF($M$2="Prices in $/MWh",1,1/1000)</f>
        <v>90.06</v>
      </c>
      <c r="J503" s="75">
        <f>(Matrix_prices!J491+$D$2)*IF($M$2="Prices in $/MWh",1,1/1000)</f>
        <v>91.31</v>
      </c>
      <c r="K503" s="76">
        <f>(Matrix_prices!K491+$D$2)*IF($M$2="Prices in $/MWh",1,1/1000)</f>
        <v>90.81</v>
      </c>
      <c r="L503" s="75">
        <f>(Matrix_prices!L491+$D$2)*IF($M$2="Prices in $/MWh",1,1/1000)</f>
        <v>43.35</v>
      </c>
      <c r="M503" s="76">
        <f>(Matrix_prices!M491+$D$2)*IF($M$2="Prices in $/MWh",1,1/1000)</f>
        <v>44.41</v>
      </c>
      <c r="N503" s="75">
        <f>(Matrix_prices!N491+$D$2)*IF($M$2="Prices in $/MWh",1,1/1000)</f>
        <v>44.35</v>
      </c>
    </row>
    <row r="504" spans="3:14" x14ac:dyDescent="0.25">
      <c r="C504" s="78">
        <f>Matrix_prices!C492</f>
        <v>42614</v>
      </c>
      <c r="D504" s="79" t="str">
        <f>Matrix_prices!D492</f>
        <v>NJ</v>
      </c>
      <c r="E504" s="80" t="str">
        <f>Matrix_prices!E492</f>
        <v>JCPL</v>
      </c>
      <c r="F504" s="79" t="str">
        <f>Matrix_prices!F492</f>
        <v>GSCM</v>
      </c>
      <c r="G504" s="80" t="str">
        <f>Matrix_prices!G492</f>
        <v>General Service Medium</v>
      </c>
      <c r="H504" s="81" t="str">
        <f t="shared" si="22"/>
        <v>100-500 MWh</v>
      </c>
      <c r="I504" s="80">
        <f>(Matrix_prices!I492+$D$2)*IF($M$2="Prices in $/MWh",1,1/1000)</f>
        <v>88.35</v>
      </c>
      <c r="J504" s="79">
        <f>(Matrix_prices!J492+$D$2)*IF($M$2="Prices in $/MWh",1,1/1000)</f>
        <v>89.6</v>
      </c>
      <c r="K504" s="80">
        <f>(Matrix_prices!K492+$D$2)*IF($M$2="Prices in $/MWh",1,1/1000)</f>
        <v>89.09</v>
      </c>
      <c r="L504" s="79">
        <f>(Matrix_prices!L492+$D$2)*IF($M$2="Prices in $/MWh",1,1/1000)</f>
        <v>41.64</v>
      </c>
      <c r="M504" s="80">
        <f>(Matrix_prices!M492+$D$2)*IF($M$2="Prices in $/MWh",1,1/1000)</f>
        <v>42.7</v>
      </c>
      <c r="N504" s="79">
        <f>(Matrix_prices!N492+$D$2)*IF($M$2="Prices in $/MWh",1,1/1000)</f>
        <v>42.64</v>
      </c>
    </row>
    <row r="505" spans="3:14" x14ac:dyDescent="0.25">
      <c r="C505" s="82">
        <f>Matrix_prices!C493</f>
        <v>42614</v>
      </c>
      <c r="D505" s="83" t="str">
        <f>Matrix_prices!D493</f>
        <v>NJ</v>
      </c>
      <c r="E505" s="84" t="str">
        <f>Matrix_prices!E493</f>
        <v>JCPL</v>
      </c>
      <c r="F505" s="83" t="str">
        <f>Matrix_prices!F493</f>
        <v>GSCM</v>
      </c>
      <c r="G505" s="84" t="str">
        <f>Matrix_prices!G493</f>
        <v>General Service Medium</v>
      </c>
      <c r="H505" s="85" t="str">
        <f t="shared" si="23"/>
        <v>500-2500 MWh</v>
      </c>
      <c r="I505" s="84">
        <f>(Matrix_prices!I493+$D$2)*IF($M$2="Prices in $/MWh",1,1/1000)</f>
        <v>87.23</v>
      </c>
      <c r="J505" s="83">
        <f>(Matrix_prices!J493+$D$2)*IF($M$2="Prices in $/MWh",1,1/1000)</f>
        <v>88.47</v>
      </c>
      <c r="K505" s="84">
        <f>(Matrix_prices!K493+$D$2)*IF($M$2="Prices in $/MWh",1,1/1000)</f>
        <v>87.97</v>
      </c>
      <c r="L505" s="83">
        <f>(Matrix_prices!L493+$D$2)*IF($M$2="Prices in $/MWh",1,1/1000)</f>
        <v>40.51</v>
      </c>
      <c r="M505" s="84">
        <f>(Matrix_prices!M493+$D$2)*IF($M$2="Prices in $/MWh",1,1/1000)</f>
        <v>41.57</v>
      </c>
      <c r="N505" s="83">
        <f>(Matrix_prices!N493+$D$2)*IF($M$2="Prices in $/MWh",1,1/1000)</f>
        <v>41.51</v>
      </c>
    </row>
    <row r="506" spans="3:14" x14ac:dyDescent="0.25">
      <c r="C506" s="151">
        <f>Matrix_prices!C494</f>
        <v>42644</v>
      </c>
      <c r="D506" s="152" t="str">
        <f>Matrix_prices!D494</f>
        <v>NJ</v>
      </c>
      <c r="E506" s="153" t="str">
        <f>Matrix_prices!E494</f>
        <v>JCPL</v>
      </c>
      <c r="F506" s="152" t="str">
        <f>Matrix_prices!F494</f>
        <v>GSCM</v>
      </c>
      <c r="G506" s="153" t="str">
        <f>Matrix_prices!G494</f>
        <v>General Service Medium</v>
      </c>
      <c r="H506" s="157" t="str">
        <f t="shared" si="21"/>
        <v>0-100 MWh</v>
      </c>
      <c r="I506" s="153">
        <f>(Matrix_prices!I494+$D$2)*IF($M$2="Prices in $/MWh",1,1/1000)</f>
        <v>90.08</v>
      </c>
      <c r="J506" s="152">
        <f>(Matrix_prices!J494+$D$2)*IF($M$2="Prices in $/MWh",1,1/1000)</f>
        <v>91.21</v>
      </c>
      <c r="K506" s="153">
        <f>(Matrix_prices!K494+$D$2)*IF($M$2="Prices in $/MWh",1,1/1000)</f>
        <v>91.11</v>
      </c>
      <c r="L506" s="152">
        <f>(Matrix_prices!L494+$D$2)*IF($M$2="Prices in $/MWh",1,1/1000)</f>
        <v>43.5</v>
      </c>
      <c r="M506" s="153">
        <f>(Matrix_prices!M494+$D$2)*IF($M$2="Prices in $/MWh",1,1/1000)</f>
        <v>44.33</v>
      </c>
      <c r="N506" s="152">
        <f>(Matrix_prices!N494+$D$2)*IF($M$2="Prices in $/MWh",1,1/1000)</f>
        <v>44.81</v>
      </c>
    </row>
    <row r="507" spans="3:14" x14ac:dyDescent="0.25">
      <c r="C507" s="78">
        <f>Matrix_prices!C495</f>
        <v>42644</v>
      </c>
      <c r="D507" s="79" t="str">
        <f>Matrix_prices!D495</f>
        <v>NJ</v>
      </c>
      <c r="E507" s="80" t="str">
        <f>Matrix_prices!E495</f>
        <v>JCPL</v>
      </c>
      <c r="F507" s="79" t="str">
        <f>Matrix_prices!F495</f>
        <v>GSCM</v>
      </c>
      <c r="G507" s="80" t="str">
        <f>Matrix_prices!G495</f>
        <v>General Service Medium</v>
      </c>
      <c r="H507" s="81" t="str">
        <f t="shared" si="22"/>
        <v>100-500 MWh</v>
      </c>
      <c r="I507" s="80">
        <f>(Matrix_prices!I495+$D$2)*IF($M$2="Prices in $/MWh",1,1/1000)</f>
        <v>88.36</v>
      </c>
      <c r="J507" s="79">
        <f>(Matrix_prices!J495+$D$2)*IF($M$2="Prices in $/MWh",1,1/1000)</f>
        <v>89.5</v>
      </c>
      <c r="K507" s="80">
        <f>(Matrix_prices!K495+$D$2)*IF($M$2="Prices in $/MWh",1,1/1000)</f>
        <v>89.39</v>
      </c>
      <c r="L507" s="79">
        <f>(Matrix_prices!L495+$D$2)*IF($M$2="Prices in $/MWh",1,1/1000)</f>
        <v>41.79</v>
      </c>
      <c r="M507" s="80">
        <f>(Matrix_prices!M495+$D$2)*IF($M$2="Prices in $/MWh",1,1/1000)</f>
        <v>42.62</v>
      </c>
      <c r="N507" s="79">
        <f>(Matrix_prices!N495+$D$2)*IF($M$2="Prices in $/MWh",1,1/1000)</f>
        <v>43.1</v>
      </c>
    </row>
    <row r="508" spans="3:14" x14ac:dyDescent="0.25">
      <c r="C508" s="82">
        <f>Matrix_prices!C496</f>
        <v>42644</v>
      </c>
      <c r="D508" s="83" t="str">
        <f>Matrix_prices!D496</f>
        <v>NJ</v>
      </c>
      <c r="E508" s="84" t="str">
        <f>Matrix_prices!E496</f>
        <v>JCPL</v>
      </c>
      <c r="F508" s="83" t="str">
        <f>Matrix_prices!F496</f>
        <v>GSCM</v>
      </c>
      <c r="G508" s="84" t="str">
        <f>Matrix_prices!G496</f>
        <v>General Service Medium</v>
      </c>
      <c r="H508" s="85" t="str">
        <f t="shared" si="23"/>
        <v>500-2500 MWh</v>
      </c>
      <c r="I508" s="84">
        <f>(Matrix_prices!I496+$D$2)*IF($M$2="Prices in $/MWh",1,1/1000)</f>
        <v>87.24</v>
      </c>
      <c r="J508" s="83">
        <f>(Matrix_prices!J496+$D$2)*IF($M$2="Prices in $/MWh",1,1/1000)</f>
        <v>88.38</v>
      </c>
      <c r="K508" s="84">
        <f>(Matrix_prices!K496+$D$2)*IF($M$2="Prices in $/MWh",1,1/1000)</f>
        <v>88.27</v>
      </c>
      <c r="L508" s="83">
        <f>(Matrix_prices!L496+$D$2)*IF($M$2="Prices in $/MWh",1,1/1000)</f>
        <v>40.659999999999997</v>
      </c>
      <c r="M508" s="84">
        <f>(Matrix_prices!M496+$D$2)*IF($M$2="Prices in $/MWh",1,1/1000)</f>
        <v>41.49</v>
      </c>
      <c r="N508" s="83">
        <f>(Matrix_prices!N496+$D$2)*IF($M$2="Prices in $/MWh",1,1/1000)</f>
        <v>41.97</v>
      </c>
    </row>
    <row r="509" spans="3:14" x14ac:dyDescent="0.25">
      <c r="C509" s="74">
        <f>Matrix_prices!C497</f>
        <v>42675</v>
      </c>
      <c r="D509" s="75" t="str">
        <f>Matrix_prices!D497</f>
        <v>NJ</v>
      </c>
      <c r="E509" s="76" t="str">
        <f>Matrix_prices!E497</f>
        <v>JCPL</v>
      </c>
      <c r="F509" s="75" t="str">
        <f>Matrix_prices!F497</f>
        <v>GSCM</v>
      </c>
      <c r="G509" s="76" t="str">
        <f>Matrix_prices!G497</f>
        <v>General Service Medium</v>
      </c>
      <c r="H509" s="157" t="str">
        <f t="shared" si="21"/>
        <v>0-100 MWh</v>
      </c>
      <c r="I509" s="76">
        <f>(Matrix_prices!I497+$D$2)*IF($M$2="Prices in $/MWh",1,1/1000)</f>
        <v>90.13</v>
      </c>
      <c r="J509" s="75">
        <f>(Matrix_prices!J497+$D$2)*IF($M$2="Prices in $/MWh",1,1/1000)</f>
        <v>90.6</v>
      </c>
      <c r="K509" s="76">
        <f>(Matrix_prices!K497+$D$2)*IF($M$2="Prices in $/MWh",1,1/1000)</f>
        <v>91.46</v>
      </c>
      <c r="L509" s="75">
        <f>(Matrix_prices!L497+$D$2)*IF($M$2="Prices in $/MWh",1,1/1000)</f>
        <v>43.61</v>
      </c>
      <c r="M509" s="76">
        <f>(Matrix_prices!M497+$D$2)*IF($M$2="Prices in $/MWh",1,1/1000)</f>
        <v>43.78</v>
      </c>
      <c r="N509" s="75">
        <f>(Matrix_prices!N497+$D$2)*IF($M$2="Prices in $/MWh",1,1/1000)</f>
        <v>45.29</v>
      </c>
    </row>
    <row r="510" spans="3:14" x14ac:dyDescent="0.25">
      <c r="C510" s="78">
        <f>Matrix_prices!C498</f>
        <v>42675</v>
      </c>
      <c r="D510" s="79" t="str">
        <f>Matrix_prices!D498</f>
        <v>NJ</v>
      </c>
      <c r="E510" s="80" t="str">
        <f>Matrix_prices!E498</f>
        <v>JCPL</v>
      </c>
      <c r="F510" s="79" t="str">
        <f>Matrix_prices!F498</f>
        <v>GSCM</v>
      </c>
      <c r="G510" s="80" t="str">
        <f>Matrix_prices!G498</f>
        <v>General Service Medium</v>
      </c>
      <c r="H510" s="81" t="str">
        <f t="shared" si="22"/>
        <v>100-500 MWh</v>
      </c>
      <c r="I510" s="80">
        <f>(Matrix_prices!I498+$D$2)*IF($M$2="Prices in $/MWh",1,1/1000)</f>
        <v>88.41</v>
      </c>
      <c r="J510" s="79">
        <f>(Matrix_prices!J498+$D$2)*IF($M$2="Prices in $/MWh",1,1/1000)</f>
        <v>88.89</v>
      </c>
      <c r="K510" s="80">
        <f>(Matrix_prices!K498+$D$2)*IF($M$2="Prices in $/MWh",1,1/1000)</f>
        <v>89.75</v>
      </c>
      <c r="L510" s="79">
        <f>(Matrix_prices!L498+$D$2)*IF($M$2="Prices in $/MWh",1,1/1000)</f>
        <v>41.9</v>
      </c>
      <c r="M510" s="80">
        <f>(Matrix_prices!M498+$D$2)*IF($M$2="Prices in $/MWh",1,1/1000)</f>
        <v>42.07</v>
      </c>
      <c r="N510" s="79">
        <f>(Matrix_prices!N498+$D$2)*IF($M$2="Prices in $/MWh",1,1/1000)</f>
        <v>43.58</v>
      </c>
    </row>
    <row r="511" spans="3:14" x14ac:dyDescent="0.25">
      <c r="C511" s="82">
        <f>Matrix_prices!C499</f>
        <v>42675</v>
      </c>
      <c r="D511" s="83" t="str">
        <f>Matrix_prices!D499</f>
        <v>NJ</v>
      </c>
      <c r="E511" s="84" t="str">
        <f>Matrix_prices!E499</f>
        <v>JCPL</v>
      </c>
      <c r="F511" s="83" t="str">
        <f>Matrix_prices!F499</f>
        <v>GSCM</v>
      </c>
      <c r="G511" s="84" t="str">
        <f>Matrix_prices!G499</f>
        <v>General Service Medium</v>
      </c>
      <c r="H511" s="85" t="str">
        <f t="shared" si="23"/>
        <v>500-2500 MWh</v>
      </c>
      <c r="I511" s="84">
        <f>(Matrix_prices!I499+$D$2)*IF($M$2="Prices in $/MWh",1,1/1000)</f>
        <v>87.29</v>
      </c>
      <c r="J511" s="83">
        <f>(Matrix_prices!J499+$D$2)*IF($M$2="Prices in $/MWh",1,1/1000)</f>
        <v>87.76</v>
      </c>
      <c r="K511" s="84">
        <f>(Matrix_prices!K499+$D$2)*IF($M$2="Prices in $/MWh",1,1/1000)</f>
        <v>88.63</v>
      </c>
      <c r="L511" s="83">
        <f>(Matrix_prices!L499+$D$2)*IF($M$2="Prices in $/MWh",1,1/1000)</f>
        <v>40.770000000000003</v>
      </c>
      <c r="M511" s="84">
        <f>(Matrix_prices!M499+$D$2)*IF($M$2="Prices in $/MWh",1,1/1000)</f>
        <v>40.950000000000003</v>
      </c>
      <c r="N511" s="83">
        <f>(Matrix_prices!N499+$D$2)*IF($M$2="Prices in $/MWh",1,1/1000)</f>
        <v>42.45</v>
      </c>
    </row>
    <row r="512" spans="3:14" x14ac:dyDescent="0.25">
      <c r="C512" s="151">
        <f>Matrix_prices!C500</f>
        <v>42705</v>
      </c>
      <c r="D512" s="152" t="str">
        <f>Matrix_prices!D500</f>
        <v>NJ</v>
      </c>
      <c r="E512" s="153" t="str">
        <f>Matrix_prices!E500</f>
        <v>JCPL</v>
      </c>
      <c r="F512" s="152" t="str">
        <f>Matrix_prices!F500</f>
        <v>GSCM</v>
      </c>
      <c r="G512" s="153" t="str">
        <f>Matrix_prices!G500</f>
        <v>General Service Medium</v>
      </c>
      <c r="H512" s="157" t="str">
        <f t="shared" si="21"/>
        <v>0-100 MWh</v>
      </c>
      <c r="I512" s="153">
        <f>(Matrix_prices!I500+$D$2)*IF($M$2="Prices in $/MWh",1,1/1000)</f>
        <v>90.06</v>
      </c>
      <c r="J512" s="152">
        <f>(Matrix_prices!J500+$D$2)*IF($M$2="Prices in $/MWh",1,1/1000)</f>
        <v>89.8</v>
      </c>
      <c r="K512" s="153">
        <f>(Matrix_prices!K500+$D$2)*IF($M$2="Prices in $/MWh",1,1/1000)</f>
        <v>91.71</v>
      </c>
      <c r="L512" s="152">
        <f>(Matrix_prices!L500+$D$2)*IF($M$2="Prices in $/MWh",1,1/1000)</f>
        <v>43.73</v>
      </c>
      <c r="M512" s="153">
        <f>(Matrix_prices!M500+$D$2)*IF($M$2="Prices in $/MWh",1,1/1000)</f>
        <v>43.02</v>
      </c>
      <c r="N512" s="152">
        <f>(Matrix_prices!N500+$D$2)*IF($M$2="Prices in $/MWh",1,1/1000)</f>
        <v>45.68</v>
      </c>
    </row>
    <row r="513" spans="3:14" x14ac:dyDescent="0.25">
      <c r="C513" s="78">
        <f>Matrix_prices!C501</f>
        <v>42705</v>
      </c>
      <c r="D513" s="79" t="str">
        <f>Matrix_prices!D501</f>
        <v>NJ</v>
      </c>
      <c r="E513" s="80" t="str">
        <f>Matrix_prices!E501</f>
        <v>JCPL</v>
      </c>
      <c r="F513" s="79" t="str">
        <f>Matrix_prices!F501</f>
        <v>GSCM</v>
      </c>
      <c r="G513" s="80" t="str">
        <f>Matrix_prices!G501</f>
        <v>General Service Medium</v>
      </c>
      <c r="H513" s="81" t="str">
        <f t="shared" si="22"/>
        <v>100-500 MWh</v>
      </c>
      <c r="I513" s="80">
        <f>(Matrix_prices!I501+$D$2)*IF($M$2="Prices in $/MWh",1,1/1000)</f>
        <v>88.35</v>
      </c>
      <c r="J513" s="79">
        <f>(Matrix_prices!J501+$D$2)*IF($M$2="Prices in $/MWh",1,1/1000)</f>
        <v>88.08</v>
      </c>
      <c r="K513" s="80">
        <f>(Matrix_prices!K501+$D$2)*IF($M$2="Prices in $/MWh",1,1/1000)</f>
        <v>90</v>
      </c>
      <c r="L513" s="79">
        <f>(Matrix_prices!L501+$D$2)*IF($M$2="Prices in $/MWh",1,1/1000)</f>
        <v>42.02</v>
      </c>
      <c r="M513" s="80">
        <f>(Matrix_prices!M501+$D$2)*IF($M$2="Prices in $/MWh",1,1/1000)</f>
        <v>41.31</v>
      </c>
      <c r="N513" s="79">
        <f>(Matrix_prices!N501+$D$2)*IF($M$2="Prices in $/MWh",1,1/1000)</f>
        <v>43.97</v>
      </c>
    </row>
    <row r="514" spans="3:14" x14ac:dyDescent="0.25">
      <c r="C514" s="82">
        <f>Matrix_prices!C502</f>
        <v>42705</v>
      </c>
      <c r="D514" s="83" t="str">
        <f>Matrix_prices!D502</f>
        <v>NJ</v>
      </c>
      <c r="E514" s="84" t="str">
        <f>Matrix_prices!E502</f>
        <v>JCPL</v>
      </c>
      <c r="F514" s="83" t="str">
        <f>Matrix_prices!F502</f>
        <v>GSCM</v>
      </c>
      <c r="G514" s="84" t="str">
        <f>Matrix_prices!G502</f>
        <v>General Service Medium</v>
      </c>
      <c r="H514" s="85" t="str">
        <f t="shared" si="23"/>
        <v>500-2500 MWh</v>
      </c>
      <c r="I514" s="84">
        <f>(Matrix_prices!I502+$D$2)*IF($M$2="Prices in $/MWh",1,1/1000)</f>
        <v>87.22</v>
      </c>
      <c r="J514" s="83">
        <f>(Matrix_prices!J502+$D$2)*IF($M$2="Prices in $/MWh",1,1/1000)</f>
        <v>86.96</v>
      </c>
      <c r="K514" s="84">
        <f>(Matrix_prices!K502+$D$2)*IF($M$2="Prices in $/MWh",1,1/1000)</f>
        <v>88.88</v>
      </c>
      <c r="L514" s="83">
        <f>(Matrix_prices!L502+$D$2)*IF($M$2="Prices in $/MWh",1,1/1000)</f>
        <v>40.89</v>
      </c>
      <c r="M514" s="84">
        <f>(Matrix_prices!M502+$D$2)*IF($M$2="Prices in $/MWh",1,1/1000)</f>
        <v>40.18</v>
      </c>
      <c r="N514" s="83">
        <f>(Matrix_prices!N502+$D$2)*IF($M$2="Prices in $/MWh",1,1/1000)</f>
        <v>42.84</v>
      </c>
    </row>
    <row r="515" spans="3:14" x14ac:dyDescent="0.25">
      <c r="C515" s="74">
        <f>Matrix_prices!C503</f>
        <v>42736</v>
      </c>
      <c r="D515" s="75" t="str">
        <f>Matrix_prices!D503</f>
        <v>NJ</v>
      </c>
      <c r="E515" s="76" t="str">
        <f>Matrix_prices!E503</f>
        <v>JCPL</v>
      </c>
      <c r="F515" s="75" t="str">
        <f>Matrix_prices!F503</f>
        <v>GSCM</v>
      </c>
      <c r="G515" s="76" t="str">
        <f>Matrix_prices!G503</f>
        <v>General Service Medium</v>
      </c>
      <c r="H515" s="157" t="str">
        <f t="shared" si="21"/>
        <v>0-100 MWh</v>
      </c>
      <c r="I515" s="76">
        <f>(Matrix_prices!I503+$D$2)*IF($M$2="Prices in $/MWh",1,1/1000)</f>
        <v>89.98</v>
      </c>
      <c r="J515" s="75">
        <f>(Matrix_prices!J503+$D$2)*IF($M$2="Prices in $/MWh",1,1/1000)</f>
        <v>90.33</v>
      </c>
      <c r="K515" s="76">
        <f>(Matrix_prices!K503+$D$2)*IF($M$2="Prices in $/MWh",1,1/1000)</f>
        <v>91.97</v>
      </c>
      <c r="L515" s="75">
        <f>(Matrix_prices!L503+$D$2)*IF($M$2="Prices in $/MWh",1,1/1000)</f>
        <v>43.87</v>
      </c>
      <c r="M515" s="76">
        <f>(Matrix_prices!M503+$D$2)*IF($M$2="Prices in $/MWh",1,1/1000)</f>
        <v>43.38</v>
      </c>
      <c r="N515" s="75">
        <f>(Matrix_prices!N503+$D$2)*IF($M$2="Prices in $/MWh",1,1/1000)</f>
        <v>46.02</v>
      </c>
    </row>
    <row r="516" spans="3:14" x14ac:dyDescent="0.25">
      <c r="C516" s="78">
        <f>Matrix_prices!C504</f>
        <v>42736</v>
      </c>
      <c r="D516" s="79" t="str">
        <f>Matrix_prices!D504</f>
        <v>NJ</v>
      </c>
      <c r="E516" s="80" t="str">
        <f>Matrix_prices!E504</f>
        <v>JCPL</v>
      </c>
      <c r="F516" s="79" t="str">
        <f>Matrix_prices!F504</f>
        <v>GSCM</v>
      </c>
      <c r="G516" s="80" t="str">
        <f>Matrix_prices!G504</f>
        <v>General Service Medium</v>
      </c>
      <c r="H516" s="81" t="str">
        <f t="shared" si="22"/>
        <v>100-500 MWh</v>
      </c>
      <c r="I516" s="80">
        <f>(Matrix_prices!I504+$D$2)*IF($M$2="Prices in $/MWh",1,1/1000)</f>
        <v>88.27</v>
      </c>
      <c r="J516" s="79">
        <f>(Matrix_prices!J504+$D$2)*IF($M$2="Prices in $/MWh",1,1/1000)</f>
        <v>88.62</v>
      </c>
      <c r="K516" s="80">
        <f>(Matrix_prices!K504+$D$2)*IF($M$2="Prices in $/MWh",1,1/1000)</f>
        <v>90.26</v>
      </c>
      <c r="L516" s="79">
        <f>(Matrix_prices!L504+$D$2)*IF($M$2="Prices in $/MWh",1,1/1000)</f>
        <v>42.16</v>
      </c>
      <c r="M516" s="80">
        <f>(Matrix_prices!M504+$D$2)*IF($M$2="Prices in $/MWh",1,1/1000)</f>
        <v>41.67</v>
      </c>
      <c r="N516" s="79">
        <f>(Matrix_prices!N504+$D$2)*IF($M$2="Prices in $/MWh",1,1/1000)</f>
        <v>44.31</v>
      </c>
    </row>
    <row r="517" spans="3:14" x14ac:dyDescent="0.25">
      <c r="C517" s="82">
        <f>Matrix_prices!C505</f>
        <v>42736</v>
      </c>
      <c r="D517" s="83" t="str">
        <f>Matrix_prices!D505</f>
        <v>NJ</v>
      </c>
      <c r="E517" s="84" t="str">
        <f>Matrix_prices!E505</f>
        <v>JCPL</v>
      </c>
      <c r="F517" s="83" t="str">
        <f>Matrix_prices!F505</f>
        <v>GSCM</v>
      </c>
      <c r="G517" s="84" t="str">
        <f>Matrix_prices!G505</f>
        <v>General Service Medium</v>
      </c>
      <c r="H517" s="85" t="str">
        <f t="shared" si="23"/>
        <v>500-2500 MWh</v>
      </c>
      <c r="I517" s="84">
        <f>(Matrix_prices!I505+$D$2)*IF($M$2="Prices in $/MWh",1,1/1000)</f>
        <v>87.14</v>
      </c>
      <c r="J517" s="83">
        <f>(Matrix_prices!J505+$D$2)*IF($M$2="Prices in $/MWh",1,1/1000)</f>
        <v>87.49</v>
      </c>
      <c r="K517" s="84">
        <f>(Matrix_prices!K505+$D$2)*IF($M$2="Prices in $/MWh",1,1/1000)</f>
        <v>89.13</v>
      </c>
      <c r="L517" s="83">
        <f>(Matrix_prices!L505+$D$2)*IF($M$2="Prices in $/MWh",1,1/1000)</f>
        <v>41.03</v>
      </c>
      <c r="M517" s="84">
        <f>(Matrix_prices!M505+$D$2)*IF($M$2="Prices in $/MWh",1,1/1000)</f>
        <v>40.54</v>
      </c>
      <c r="N517" s="83">
        <f>(Matrix_prices!N505+$D$2)*IF($M$2="Prices in $/MWh",1,1/1000)</f>
        <v>43.18</v>
      </c>
    </row>
    <row r="518" spans="3:14" x14ac:dyDescent="0.25">
      <c r="C518" s="151">
        <f>Matrix_prices!C506</f>
        <v>42401</v>
      </c>
      <c r="D518" s="152" t="str">
        <f>Matrix_prices!D506</f>
        <v>NJ</v>
      </c>
      <c r="E518" s="153" t="str">
        <f>Matrix_prices!E506</f>
        <v>JCPL</v>
      </c>
      <c r="F518" s="152" t="str">
        <f>Matrix_prices!F506</f>
        <v>GSCS</v>
      </c>
      <c r="G518" s="153" t="str">
        <f>Matrix_prices!G506</f>
        <v>General Service Medium</v>
      </c>
      <c r="H518" s="157" t="str">
        <f t="shared" si="21"/>
        <v>0-100 MWh</v>
      </c>
      <c r="I518" s="153">
        <f>(Matrix_prices!I506+$D$2)*IF($M$2="Prices in $/MWh",1,1/1000)</f>
        <v>86.77</v>
      </c>
      <c r="J518" s="152">
        <f>(Matrix_prices!J506+$D$2)*IF($M$2="Prices in $/MWh",1,1/1000)</f>
        <v>87.87</v>
      </c>
      <c r="K518" s="153">
        <f>(Matrix_prices!K506+$D$2)*IF($M$2="Prices in $/MWh",1,1/1000)</f>
        <v>87.53</v>
      </c>
      <c r="L518" s="152">
        <f>(Matrix_prices!L506+$D$2)*IF($M$2="Prices in $/MWh",1,1/1000)</f>
        <v>41.91</v>
      </c>
      <c r="M518" s="153">
        <f>(Matrix_prices!M506+$D$2)*IF($M$2="Prices in $/MWh",1,1/1000)</f>
        <v>42.95</v>
      </c>
      <c r="N518" s="152">
        <f>(Matrix_prices!N506+$D$2)*IF($M$2="Prices in $/MWh",1,1/1000)</f>
        <v>43.03</v>
      </c>
    </row>
    <row r="519" spans="3:14" x14ac:dyDescent="0.25">
      <c r="C519" s="78">
        <f>Matrix_prices!C507</f>
        <v>42401</v>
      </c>
      <c r="D519" s="79" t="str">
        <f>Matrix_prices!D507</f>
        <v>NJ</v>
      </c>
      <c r="E519" s="80" t="str">
        <f>Matrix_prices!E507</f>
        <v>JCPL</v>
      </c>
      <c r="F519" s="79" t="str">
        <f>Matrix_prices!F507</f>
        <v>GSCS</v>
      </c>
      <c r="G519" s="80" t="str">
        <f>Matrix_prices!G507</f>
        <v>General Service Medium</v>
      </c>
      <c r="H519" s="81" t="str">
        <f t="shared" si="22"/>
        <v>100-500 MWh</v>
      </c>
      <c r="I519" s="80">
        <f>(Matrix_prices!I507+$D$2)*IF($M$2="Prices in $/MWh",1,1/1000)</f>
        <v>85.06</v>
      </c>
      <c r="J519" s="79">
        <f>(Matrix_prices!J507+$D$2)*IF($M$2="Prices in $/MWh",1,1/1000)</f>
        <v>86.16</v>
      </c>
      <c r="K519" s="80">
        <f>(Matrix_prices!K507+$D$2)*IF($M$2="Prices in $/MWh",1,1/1000)</f>
        <v>85.82</v>
      </c>
      <c r="L519" s="79">
        <f>(Matrix_prices!L507+$D$2)*IF($M$2="Prices in $/MWh",1,1/1000)</f>
        <v>40.200000000000003</v>
      </c>
      <c r="M519" s="80">
        <f>(Matrix_prices!M507+$D$2)*IF($M$2="Prices in $/MWh",1,1/1000)</f>
        <v>41.24</v>
      </c>
      <c r="N519" s="79">
        <f>(Matrix_prices!N507+$D$2)*IF($M$2="Prices in $/MWh",1,1/1000)</f>
        <v>41.32</v>
      </c>
    </row>
    <row r="520" spans="3:14" x14ac:dyDescent="0.25">
      <c r="C520" s="82">
        <f>Matrix_prices!C508</f>
        <v>42401</v>
      </c>
      <c r="D520" s="83" t="str">
        <f>Matrix_prices!D508</f>
        <v>NJ</v>
      </c>
      <c r="E520" s="84" t="str">
        <f>Matrix_prices!E508</f>
        <v>JCPL</v>
      </c>
      <c r="F520" s="83" t="str">
        <f>Matrix_prices!F508</f>
        <v>GSCS</v>
      </c>
      <c r="G520" s="84" t="str">
        <f>Matrix_prices!G508</f>
        <v>General Service Medium</v>
      </c>
      <c r="H520" s="85" t="str">
        <f t="shared" si="23"/>
        <v>500-2500 MWh</v>
      </c>
      <c r="I520" s="84">
        <f>(Matrix_prices!I508+$D$2)*IF($M$2="Prices in $/MWh",1,1/1000)</f>
        <v>83.94</v>
      </c>
      <c r="J520" s="83">
        <f>(Matrix_prices!J508+$D$2)*IF($M$2="Prices in $/MWh",1,1/1000)</f>
        <v>85.04</v>
      </c>
      <c r="K520" s="84">
        <f>(Matrix_prices!K508+$D$2)*IF($M$2="Prices in $/MWh",1,1/1000)</f>
        <v>84.69</v>
      </c>
      <c r="L520" s="83">
        <f>(Matrix_prices!L508+$D$2)*IF($M$2="Prices in $/MWh",1,1/1000)</f>
        <v>39.07</v>
      </c>
      <c r="M520" s="84">
        <f>(Matrix_prices!M508+$D$2)*IF($M$2="Prices in $/MWh",1,1/1000)</f>
        <v>40.11</v>
      </c>
      <c r="N520" s="83">
        <f>(Matrix_prices!N508+$D$2)*IF($M$2="Prices in $/MWh",1,1/1000)</f>
        <v>40.200000000000003</v>
      </c>
    </row>
    <row r="521" spans="3:14" x14ac:dyDescent="0.25">
      <c r="C521" s="74">
        <f>Matrix_prices!C509</f>
        <v>42430</v>
      </c>
      <c r="D521" s="75" t="str">
        <f>Matrix_prices!D509</f>
        <v>NJ</v>
      </c>
      <c r="E521" s="76" t="str">
        <f>Matrix_prices!E509</f>
        <v>JCPL</v>
      </c>
      <c r="F521" s="75" t="str">
        <f>Matrix_prices!F509</f>
        <v>GSCS</v>
      </c>
      <c r="G521" s="76" t="str">
        <f>Matrix_prices!G509</f>
        <v>General Service Medium</v>
      </c>
      <c r="H521" s="157" t="str">
        <f t="shared" si="21"/>
        <v>0-100 MWh</v>
      </c>
      <c r="I521" s="76">
        <f>(Matrix_prices!I509+$D$2)*IF($M$2="Prices in $/MWh",1,1/1000)</f>
        <v>87.39</v>
      </c>
      <c r="J521" s="75">
        <f>(Matrix_prices!J509+$D$2)*IF($M$2="Prices in $/MWh",1,1/1000)</f>
        <v>87.42</v>
      </c>
      <c r="K521" s="76">
        <f>(Matrix_prices!K509+$D$2)*IF($M$2="Prices in $/MWh",1,1/1000)</f>
        <v>87.89</v>
      </c>
      <c r="L521" s="75">
        <f>(Matrix_prices!L509+$D$2)*IF($M$2="Prices in $/MWh",1,1/1000)</f>
        <v>41.96</v>
      </c>
      <c r="M521" s="76">
        <f>(Matrix_prices!M509+$D$2)*IF($M$2="Prices in $/MWh",1,1/1000)</f>
        <v>42.54</v>
      </c>
      <c r="N521" s="75">
        <f>(Matrix_prices!N509+$D$2)*IF($M$2="Prices in $/MWh",1,1/1000)</f>
        <v>43.06</v>
      </c>
    </row>
    <row r="522" spans="3:14" x14ac:dyDescent="0.25">
      <c r="C522" s="78">
        <f>Matrix_prices!C510</f>
        <v>42430</v>
      </c>
      <c r="D522" s="79" t="str">
        <f>Matrix_prices!D510</f>
        <v>NJ</v>
      </c>
      <c r="E522" s="80" t="str">
        <f>Matrix_prices!E510</f>
        <v>JCPL</v>
      </c>
      <c r="F522" s="79" t="str">
        <f>Matrix_prices!F510</f>
        <v>GSCS</v>
      </c>
      <c r="G522" s="80" t="str">
        <f>Matrix_prices!G510</f>
        <v>General Service Medium</v>
      </c>
      <c r="H522" s="81" t="str">
        <f t="shared" si="22"/>
        <v>100-500 MWh</v>
      </c>
      <c r="I522" s="80">
        <f>(Matrix_prices!I510+$D$2)*IF($M$2="Prices in $/MWh",1,1/1000)</f>
        <v>85.68</v>
      </c>
      <c r="J522" s="79">
        <f>(Matrix_prices!J510+$D$2)*IF($M$2="Prices in $/MWh",1,1/1000)</f>
        <v>85.71</v>
      </c>
      <c r="K522" s="80">
        <f>(Matrix_prices!K510+$D$2)*IF($M$2="Prices in $/MWh",1,1/1000)</f>
        <v>86.18</v>
      </c>
      <c r="L522" s="79">
        <f>(Matrix_prices!L510+$D$2)*IF($M$2="Prices in $/MWh",1,1/1000)</f>
        <v>40.25</v>
      </c>
      <c r="M522" s="80">
        <f>(Matrix_prices!M510+$D$2)*IF($M$2="Prices in $/MWh",1,1/1000)</f>
        <v>40.83</v>
      </c>
      <c r="N522" s="79">
        <f>(Matrix_prices!N510+$D$2)*IF($M$2="Prices in $/MWh",1,1/1000)</f>
        <v>41.35</v>
      </c>
    </row>
    <row r="523" spans="3:14" x14ac:dyDescent="0.25">
      <c r="C523" s="82">
        <f>Matrix_prices!C511</f>
        <v>42430</v>
      </c>
      <c r="D523" s="83" t="str">
        <f>Matrix_prices!D511</f>
        <v>NJ</v>
      </c>
      <c r="E523" s="84" t="str">
        <f>Matrix_prices!E511</f>
        <v>JCPL</v>
      </c>
      <c r="F523" s="83" t="str">
        <f>Matrix_prices!F511</f>
        <v>GSCS</v>
      </c>
      <c r="G523" s="84" t="str">
        <f>Matrix_prices!G511</f>
        <v>General Service Medium</v>
      </c>
      <c r="H523" s="85" t="str">
        <f t="shared" si="23"/>
        <v>500-2500 MWh</v>
      </c>
      <c r="I523" s="84">
        <f>(Matrix_prices!I511+$D$2)*IF($M$2="Prices in $/MWh",1,1/1000)</f>
        <v>84.56</v>
      </c>
      <c r="J523" s="83">
        <f>(Matrix_prices!J511+$D$2)*IF($M$2="Prices in $/MWh",1,1/1000)</f>
        <v>84.59</v>
      </c>
      <c r="K523" s="84">
        <f>(Matrix_prices!K511+$D$2)*IF($M$2="Prices in $/MWh",1,1/1000)</f>
        <v>85.06</v>
      </c>
      <c r="L523" s="83">
        <f>(Matrix_prices!L511+$D$2)*IF($M$2="Prices in $/MWh",1,1/1000)</f>
        <v>39.130000000000003</v>
      </c>
      <c r="M523" s="84">
        <f>(Matrix_prices!M511+$D$2)*IF($M$2="Prices in $/MWh",1,1/1000)</f>
        <v>39.700000000000003</v>
      </c>
      <c r="N523" s="83">
        <f>(Matrix_prices!N511+$D$2)*IF($M$2="Prices in $/MWh",1,1/1000)</f>
        <v>40.22</v>
      </c>
    </row>
    <row r="524" spans="3:14" x14ac:dyDescent="0.25">
      <c r="C524" s="151">
        <f>Matrix_prices!C512</f>
        <v>42461</v>
      </c>
      <c r="D524" s="152" t="str">
        <f>Matrix_prices!D512</f>
        <v>NJ</v>
      </c>
      <c r="E524" s="153" t="str">
        <f>Matrix_prices!E512</f>
        <v>JCPL</v>
      </c>
      <c r="F524" s="152" t="str">
        <f>Matrix_prices!F512</f>
        <v>GSCS</v>
      </c>
      <c r="G524" s="153" t="str">
        <f>Matrix_prices!G512</f>
        <v>General Service Medium</v>
      </c>
      <c r="H524" s="157" t="str">
        <f t="shared" si="21"/>
        <v>0-100 MWh</v>
      </c>
      <c r="I524" s="153">
        <f>(Matrix_prices!I512+$D$2)*IF($M$2="Prices in $/MWh",1,1/1000)</f>
        <v>87.77</v>
      </c>
      <c r="J524" s="152">
        <f>(Matrix_prices!J512+$D$2)*IF($M$2="Prices in $/MWh",1,1/1000)</f>
        <v>87.15</v>
      </c>
      <c r="K524" s="153">
        <f>(Matrix_prices!K512+$D$2)*IF($M$2="Prices in $/MWh",1,1/1000)</f>
        <v>87.98</v>
      </c>
      <c r="L524" s="152">
        <f>(Matrix_prices!L512+$D$2)*IF($M$2="Prices in $/MWh",1,1/1000)</f>
        <v>42.23</v>
      </c>
      <c r="M524" s="153">
        <f>(Matrix_prices!M512+$D$2)*IF($M$2="Prices in $/MWh",1,1/1000)</f>
        <v>42.39</v>
      </c>
      <c r="N524" s="152">
        <f>(Matrix_prices!N512+$D$2)*IF($M$2="Prices in $/MWh",1,1/1000)</f>
        <v>43.1</v>
      </c>
    </row>
    <row r="525" spans="3:14" x14ac:dyDescent="0.25">
      <c r="C525" s="78">
        <f>Matrix_prices!C513</f>
        <v>42461</v>
      </c>
      <c r="D525" s="79" t="str">
        <f>Matrix_prices!D513</f>
        <v>NJ</v>
      </c>
      <c r="E525" s="80" t="str">
        <f>Matrix_prices!E513</f>
        <v>JCPL</v>
      </c>
      <c r="F525" s="79" t="str">
        <f>Matrix_prices!F513</f>
        <v>GSCS</v>
      </c>
      <c r="G525" s="80" t="str">
        <f>Matrix_prices!G513</f>
        <v>General Service Medium</v>
      </c>
      <c r="H525" s="81" t="str">
        <f t="shared" si="22"/>
        <v>100-500 MWh</v>
      </c>
      <c r="I525" s="80">
        <f>(Matrix_prices!I513+$D$2)*IF($M$2="Prices in $/MWh",1,1/1000)</f>
        <v>86.06</v>
      </c>
      <c r="J525" s="79">
        <f>(Matrix_prices!J513+$D$2)*IF($M$2="Prices in $/MWh",1,1/1000)</f>
        <v>85.44</v>
      </c>
      <c r="K525" s="80">
        <f>(Matrix_prices!K513+$D$2)*IF($M$2="Prices in $/MWh",1,1/1000)</f>
        <v>86.26</v>
      </c>
      <c r="L525" s="79">
        <f>(Matrix_prices!L513+$D$2)*IF($M$2="Prices in $/MWh",1,1/1000)</f>
        <v>40.520000000000003</v>
      </c>
      <c r="M525" s="80">
        <f>(Matrix_prices!M513+$D$2)*IF($M$2="Prices in $/MWh",1,1/1000)</f>
        <v>40.68</v>
      </c>
      <c r="N525" s="79">
        <f>(Matrix_prices!N513+$D$2)*IF($M$2="Prices in $/MWh",1,1/1000)</f>
        <v>41.39</v>
      </c>
    </row>
    <row r="526" spans="3:14" x14ac:dyDescent="0.25">
      <c r="C526" s="82">
        <f>Matrix_prices!C514</f>
        <v>42461</v>
      </c>
      <c r="D526" s="83" t="str">
        <f>Matrix_prices!D514</f>
        <v>NJ</v>
      </c>
      <c r="E526" s="84" t="str">
        <f>Matrix_prices!E514</f>
        <v>JCPL</v>
      </c>
      <c r="F526" s="83" t="str">
        <f>Matrix_prices!F514</f>
        <v>GSCS</v>
      </c>
      <c r="G526" s="84" t="str">
        <f>Matrix_prices!G514</f>
        <v>General Service Medium</v>
      </c>
      <c r="H526" s="85" t="str">
        <f t="shared" si="23"/>
        <v>500-2500 MWh</v>
      </c>
      <c r="I526" s="84">
        <f>(Matrix_prices!I514+$D$2)*IF($M$2="Prices in $/MWh",1,1/1000)</f>
        <v>84.94</v>
      </c>
      <c r="J526" s="83">
        <f>(Matrix_prices!J514+$D$2)*IF($M$2="Prices in $/MWh",1,1/1000)</f>
        <v>84.32</v>
      </c>
      <c r="K526" s="84">
        <f>(Matrix_prices!K514+$D$2)*IF($M$2="Prices in $/MWh",1,1/1000)</f>
        <v>85.14</v>
      </c>
      <c r="L526" s="83">
        <f>(Matrix_prices!L514+$D$2)*IF($M$2="Prices in $/MWh",1,1/1000)</f>
        <v>39.39</v>
      </c>
      <c r="M526" s="84">
        <f>(Matrix_prices!M514+$D$2)*IF($M$2="Prices in $/MWh",1,1/1000)</f>
        <v>39.549999999999997</v>
      </c>
      <c r="N526" s="83">
        <f>(Matrix_prices!N514+$D$2)*IF($M$2="Prices in $/MWh",1,1/1000)</f>
        <v>40.26</v>
      </c>
    </row>
    <row r="527" spans="3:14" x14ac:dyDescent="0.25">
      <c r="C527" s="74">
        <f>Matrix_prices!C515</f>
        <v>42491</v>
      </c>
      <c r="D527" s="75" t="str">
        <f>Matrix_prices!D515</f>
        <v>NJ</v>
      </c>
      <c r="E527" s="76" t="str">
        <f>Matrix_prices!E515</f>
        <v>JCPL</v>
      </c>
      <c r="F527" s="75" t="str">
        <f>Matrix_prices!F515</f>
        <v>GSCS</v>
      </c>
      <c r="G527" s="76" t="str">
        <f>Matrix_prices!G515</f>
        <v>General Service Medium</v>
      </c>
      <c r="H527" s="157" t="str">
        <f t="shared" si="21"/>
        <v>0-100 MWh</v>
      </c>
      <c r="I527" s="76">
        <f>(Matrix_prices!I515+$D$2)*IF($M$2="Prices in $/MWh",1,1/1000)</f>
        <v>88.06</v>
      </c>
      <c r="J527" s="75">
        <f>(Matrix_prices!J515+$D$2)*IF($M$2="Prices in $/MWh",1,1/1000)</f>
        <v>87.1</v>
      </c>
      <c r="K527" s="76">
        <f>(Matrix_prices!K515+$D$2)*IF($M$2="Prices in $/MWh",1,1/1000)</f>
        <v>88.02</v>
      </c>
      <c r="L527" s="75">
        <f>(Matrix_prices!L515+$D$2)*IF($M$2="Prices in $/MWh",1,1/1000)</f>
        <v>42.53</v>
      </c>
      <c r="M527" s="76">
        <f>(Matrix_prices!M515+$D$2)*IF($M$2="Prices in $/MWh",1,1/1000)</f>
        <v>42.49</v>
      </c>
      <c r="N527" s="75">
        <f>(Matrix_prices!N515+$D$2)*IF($M$2="Prices in $/MWh",1,1/1000)</f>
        <v>43.17</v>
      </c>
    </row>
    <row r="528" spans="3:14" x14ac:dyDescent="0.25">
      <c r="C528" s="78">
        <f>Matrix_prices!C516</f>
        <v>42491</v>
      </c>
      <c r="D528" s="79" t="str">
        <f>Matrix_prices!D516</f>
        <v>NJ</v>
      </c>
      <c r="E528" s="80" t="str">
        <f>Matrix_prices!E516</f>
        <v>JCPL</v>
      </c>
      <c r="F528" s="79" t="str">
        <f>Matrix_prices!F516</f>
        <v>GSCS</v>
      </c>
      <c r="G528" s="80" t="str">
        <f>Matrix_prices!G516</f>
        <v>General Service Medium</v>
      </c>
      <c r="H528" s="81" t="str">
        <f t="shared" si="22"/>
        <v>100-500 MWh</v>
      </c>
      <c r="I528" s="80">
        <f>(Matrix_prices!I516+$D$2)*IF($M$2="Prices in $/MWh",1,1/1000)</f>
        <v>86.34</v>
      </c>
      <c r="J528" s="79">
        <f>(Matrix_prices!J516+$D$2)*IF($M$2="Prices in $/MWh",1,1/1000)</f>
        <v>85.38</v>
      </c>
      <c r="K528" s="80">
        <f>(Matrix_prices!K516+$D$2)*IF($M$2="Prices in $/MWh",1,1/1000)</f>
        <v>86.31</v>
      </c>
      <c r="L528" s="79">
        <f>(Matrix_prices!L516+$D$2)*IF($M$2="Prices in $/MWh",1,1/1000)</f>
        <v>40.82</v>
      </c>
      <c r="M528" s="80">
        <f>(Matrix_prices!M516+$D$2)*IF($M$2="Prices in $/MWh",1,1/1000)</f>
        <v>40.78</v>
      </c>
      <c r="N528" s="79">
        <f>(Matrix_prices!N516+$D$2)*IF($M$2="Prices in $/MWh",1,1/1000)</f>
        <v>41.46</v>
      </c>
    </row>
    <row r="529" spans="3:14" x14ac:dyDescent="0.25">
      <c r="C529" s="82">
        <f>Matrix_prices!C517</f>
        <v>42491</v>
      </c>
      <c r="D529" s="83" t="str">
        <f>Matrix_prices!D517</f>
        <v>NJ</v>
      </c>
      <c r="E529" s="84" t="str">
        <f>Matrix_prices!E517</f>
        <v>JCPL</v>
      </c>
      <c r="F529" s="83" t="str">
        <f>Matrix_prices!F517</f>
        <v>GSCS</v>
      </c>
      <c r="G529" s="84" t="str">
        <f>Matrix_prices!G517</f>
        <v>General Service Medium</v>
      </c>
      <c r="H529" s="85" t="str">
        <f t="shared" si="23"/>
        <v>500-2500 MWh</v>
      </c>
      <c r="I529" s="84">
        <f>(Matrix_prices!I517+$D$2)*IF($M$2="Prices in $/MWh",1,1/1000)</f>
        <v>85.22</v>
      </c>
      <c r="J529" s="83">
        <f>(Matrix_prices!J517+$D$2)*IF($M$2="Prices in $/MWh",1,1/1000)</f>
        <v>84.26</v>
      </c>
      <c r="K529" s="84">
        <f>(Matrix_prices!K517+$D$2)*IF($M$2="Prices in $/MWh",1,1/1000)</f>
        <v>85.18</v>
      </c>
      <c r="L529" s="83">
        <f>(Matrix_prices!L517+$D$2)*IF($M$2="Prices in $/MWh",1,1/1000)</f>
        <v>39.700000000000003</v>
      </c>
      <c r="M529" s="84">
        <f>(Matrix_prices!M517+$D$2)*IF($M$2="Prices in $/MWh",1,1/1000)</f>
        <v>39.65</v>
      </c>
      <c r="N529" s="83">
        <f>(Matrix_prices!N517+$D$2)*IF($M$2="Prices in $/MWh",1,1/1000)</f>
        <v>40.33</v>
      </c>
    </row>
    <row r="530" spans="3:14" x14ac:dyDescent="0.25">
      <c r="C530" s="151">
        <f>Matrix_prices!C518</f>
        <v>42522</v>
      </c>
      <c r="D530" s="152" t="str">
        <f>Matrix_prices!D518</f>
        <v>NJ</v>
      </c>
      <c r="E530" s="153" t="str">
        <f>Matrix_prices!E518</f>
        <v>JCPL</v>
      </c>
      <c r="F530" s="152" t="str">
        <f>Matrix_prices!F518</f>
        <v>GSCS</v>
      </c>
      <c r="G530" s="153" t="str">
        <f>Matrix_prices!G518</f>
        <v>General Service Medium</v>
      </c>
      <c r="H530" s="157" t="str">
        <f t="shared" si="21"/>
        <v>0-100 MWh</v>
      </c>
      <c r="I530" s="153">
        <f>(Matrix_prices!I518+$D$2)*IF($M$2="Prices in $/MWh",1,1/1000)</f>
        <v>88.26</v>
      </c>
      <c r="J530" s="152">
        <f>(Matrix_prices!J518+$D$2)*IF($M$2="Prices in $/MWh",1,1/1000)</f>
        <v>87.07</v>
      </c>
      <c r="K530" s="153">
        <f>(Matrix_prices!K518+$D$2)*IF($M$2="Prices in $/MWh",1,1/1000)</f>
        <v>88.07</v>
      </c>
      <c r="L530" s="152">
        <f>(Matrix_prices!L518+$D$2)*IF($M$2="Prices in $/MWh",1,1/1000)</f>
        <v>42.82</v>
      </c>
      <c r="M530" s="153">
        <f>(Matrix_prices!M518+$D$2)*IF($M$2="Prices in $/MWh",1,1/1000)</f>
        <v>42.7</v>
      </c>
      <c r="N530" s="152">
        <f>(Matrix_prices!N518+$D$2)*IF($M$2="Prices in $/MWh",1,1/1000)</f>
        <v>43.27</v>
      </c>
    </row>
    <row r="531" spans="3:14" x14ac:dyDescent="0.25">
      <c r="C531" s="78">
        <f>Matrix_prices!C519</f>
        <v>42522</v>
      </c>
      <c r="D531" s="79" t="str">
        <f>Matrix_prices!D519</f>
        <v>NJ</v>
      </c>
      <c r="E531" s="80" t="str">
        <f>Matrix_prices!E519</f>
        <v>JCPL</v>
      </c>
      <c r="F531" s="79" t="str">
        <f>Matrix_prices!F519</f>
        <v>GSCS</v>
      </c>
      <c r="G531" s="80" t="str">
        <f>Matrix_prices!G519</f>
        <v>General Service Medium</v>
      </c>
      <c r="H531" s="81" t="str">
        <f t="shared" si="22"/>
        <v>100-500 MWh</v>
      </c>
      <c r="I531" s="80">
        <f>(Matrix_prices!I519+$D$2)*IF($M$2="Prices in $/MWh",1,1/1000)</f>
        <v>86.55</v>
      </c>
      <c r="J531" s="79">
        <f>(Matrix_prices!J519+$D$2)*IF($M$2="Prices in $/MWh",1,1/1000)</f>
        <v>85.36</v>
      </c>
      <c r="K531" s="80">
        <f>(Matrix_prices!K519+$D$2)*IF($M$2="Prices in $/MWh",1,1/1000)</f>
        <v>86.36</v>
      </c>
      <c r="L531" s="79">
        <f>(Matrix_prices!L519+$D$2)*IF($M$2="Prices in $/MWh",1,1/1000)</f>
        <v>41.11</v>
      </c>
      <c r="M531" s="80">
        <f>(Matrix_prices!M519+$D$2)*IF($M$2="Prices in $/MWh",1,1/1000)</f>
        <v>40.99</v>
      </c>
      <c r="N531" s="79">
        <f>(Matrix_prices!N519+$D$2)*IF($M$2="Prices in $/MWh",1,1/1000)</f>
        <v>41.56</v>
      </c>
    </row>
    <row r="532" spans="3:14" x14ac:dyDescent="0.25">
      <c r="C532" s="82">
        <f>Matrix_prices!C520</f>
        <v>42522</v>
      </c>
      <c r="D532" s="83" t="str">
        <f>Matrix_prices!D520</f>
        <v>NJ</v>
      </c>
      <c r="E532" s="84" t="str">
        <f>Matrix_prices!E520</f>
        <v>JCPL</v>
      </c>
      <c r="F532" s="83" t="str">
        <f>Matrix_prices!F520</f>
        <v>GSCS</v>
      </c>
      <c r="G532" s="84" t="str">
        <f>Matrix_prices!G520</f>
        <v>General Service Medium</v>
      </c>
      <c r="H532" s="85" t="str">
        <f t="shared" si="23"/>
        <v>500-2500 MWh</v>
      </c>
      <c r="I532" s="84">
        <f>(Matrix_prices!I520+$D$2)*IF($M$2="Prices in $/MWh",1,1/1000)</f>
        <v>85.43</v>
      </c>
      <c r="J532" s="83">
        <f>(Matrix_prices!J520+$D$2)*IF($M$2="Prices in $/MWh",1,1/1000)</f>
        <v>84.24</v>
      </c>
      <c r="K532" s="84">
        <f>(Matrix_prices!K520+$D$2)*IF($M$2="Prices in $/MWh",1,1/1000)</f>
        <v>85.24</v>
      </c>
      <c r="L532" s="83">
        <f>(Matrix_prices!L520+$D$2)*IF($M$2="Prices in $/MWh",1,1/1000)</f>
        <v>39.979999999999997</v>
      </c>
      <c r="M532" s="84">
        <f>(Matrix_prices!M520+$D$2)*IF($M$2="Prices in $/MWh",1,1/1000)</f>
        <v>39.86</v>
      </c>
      <c r="N532" s="83">
        <f>(Matrix_prices!N520+$D$2)*IF($M$2="Prices in $/MWh",1,1/1000)</f>
        <v>40.43</v>
      </c>
    </row>
    <row r="533" spans="3:14" x14ac:dyDescent="0.25">
      <c r="C533" s="74">
        <f>Matrix_prices!C521</f>
        <v>42552</v>
      </c>
      <c r="D533" s="75" t="str">
        <f>Matrix_prices!D521</f>
        <v>NJ</v>
      </c>
      <c r="E533" s="76" t="str">
        <f>Matrix_prices!E521</f>
        <v>JCPL</v>
      </c>
      <c r="F533" s="75" t="str">
        <f>Matrix_prices!F521</f>
        <v>GSCS</v>
      </c>
      <c r="G533" s="76" t="str">
        <f>Matrix_prices!G521</f>
        <v>General Service Medium</v>
      </c>
      <c r="H533" s="157" t="str">
        <f t="shared" ref="H533:H596" si="24">IF($M$2="Prices in $/MWh","0-100 MWh","0-100,000 kWh")</f>
        <v>0-100 MWh</v>
      </c>
      <c r="I533" s="76">
        <f>(Matrix_prices!I521+$D$2)*IF($M$2="Prices in $/MWh",1,1/1000)</f>
        <v>88.28</v>
      </c>
      <c r="J533" s="75">
        <f>(Matrix_prices!J521+$D$2)*IF($M$2="Prices in $/MWh",1,1/1000)</f>
        <v>86.91</v>
      </c>
      <c r="K533" s="76">
        <f>(Matrix_prices!K521+$D$2)*IF($M$2="Prices in $/MWh",1,1/1000)</f>
        <v>88.29</v>
      </c>
      <c r="L533" s="75">
        <f>(Matrix_prices!L521+$D$2)*IF($M$2="Prices in $/MWh",1,1/1000)</f>
        <v>42.99</v>
      </c>
      <c r="M533" s="76">
        <f>(Matrix_prices!M521+$D$2)*IF($M$2="Prices in $/MWh",1,1/1000)</f>
        <v>42.97</v>
      </c>
      <c r="N533" s="75">
        <f>(Matrix_prices!N521+$D$2)*IF($M$2="Prices in $/MWh",1,1/1000)</f>
        <v>43.62</v>
      </c>
    </row>
    <row r="534" spans="3:14" x14ac:dyDescent="0.25">
      <c r="C534" s="78">
        <f>Matrix_prices!C522</f>
        <v>42552</v>
      </c>
      <c r="D534" s="79" t="str">
        <f>Matrix_prices!D522</f>
        <v>NJ</v>
      </c>
      <c r="E534" s="80" t="str">
        <f>Matrix_prices!E522</f>
        <v>JCPL</v>
      </c>
      <c r="F534" s="79" t="str">
        <f>Matrix_prices!F522</f>
        <v>GSCS</v>
      </c>
      <c r="G534" s="80" t="str">
        <f>Matrix_prices!G522</f>
        <v>General Service Medium</v>
      </c>
      <c r="H534" s="81" t="str">
        <f t="shared" ref="H534:H597" si="25">IF($M$2="Prices in $/MWh","100-500 MWh","100,000-500,000 kWh")</f>
        <v>100-500 MWh</v>
      </c>
      <c r="I534" s="80">
        <f>(Matrix_prices!I522+$D$2)*IF($M$2="Prices in $/MWh",1,1/1000)</f>
        <v>86.57</v>
      </c>
      <c r="J534" s="79">
        <f>(Matrix_prices!J522+$D$2)*IF($M$2="Prices in $/MWh",1,1/1000)</f>
        <v>85.2</v>
      </c>
      <c r="K534" s="80">
        <f>(Matrix_prices!K522+$D$2)*IF($M$2="Prices in $/MWh",1,1/1000)</f>
        <v>86.58</v>
      </c>
      <c r="L534" s="79">
        <f>(Matrix_prices!L522+$D$2)*IF($M$2="Prices in $/MWh",1,1/1000)</f>
        <v>41.28</v>
      </c>
      <c r="M534" s="80">
        <f>(Matrix_prices!M522+$D$2)*IF($M$2="Prices in $/MWh",1,1/1000)</f>
        <v>41.26</v>
      </c>
      <c r="N534" s="79">
        <f>(Matrix_prices!N522+$D$2)*IF($M$2="Prices in $/MWh",1,1/1000)</f>
        <v>41.91</v>
      </c>
    </row>
    <row r="535" spans="3:14" x14ac:dyDescent="0.25">
      <c r="C535" s="82">
        <f>Matrix_prices!C523</f>
        <v>42552</v>
      </c>
      <c r="D535" s="83" t="str">
        <f>Matrix_prices!D523</f>
        <v>NJ</v>
      </c>
      <c r="E535" s="84" t="str">
        <f>Matrix_prices!E523</f>
        <v>JCPL</v>
      </c>
      <c r="F535" s="83" t="str">
        <f>Matrix_prices!F523</f>
        <v>GSCS</v>
      </c>
      <c r="G535" s="84" t="str">
        <f>Matrix_prices!G523</f>
        <v>General Service Medium</v>
      </c>
      <c r="H535" s="85" t="str">
        <f t="shared" ref="H535:H598" si="26">IF($M$2="Prices in $/MWh","500-2500 MWh","500,000-2,500,000 kWh")</f>
        <v>500-2500 MWh</v>
      </c>
      <c r="I535" s="84">
        <f>(Matrix_prices!I523+$D$2)*IF($M$2="Prices in $/MWh",1,1/1000)</f>
        <v>85.44</v>
      </c>
      <c r="J535" s="83">
        <f>(Matrix_prices!J523+$D$2)*IF($M$2="Prices in $/MWh",1,1/1000)</f>
        <v>84.08</v>
      </c>
      <c r="K535" s="84">
        <f>(Matrix_prices!K523+$D$2)*IF($M$2="Prices in $/MWh",1,1/1000)</f>
        <v>85.46</v>
      </c>
      <c r="L535" s="83">
        <f>(Matrix_prices!L523+$D$2)*IF($M$2="Prices in $/MWh",1,1/1000)</f>
        <v>40.15</v>
      </c>
      <c r="M535" s="84">
        <f>(Matrix_prices!M523+$D$2)*IF($M$2="Prices in $/MWh",1,1/1000)</f>
        <v>40.130000000000003</v>
      </c>
      <c r="N535" s="83">
        <f>(Matrix_prices!N523+$D$2)*IF($M$2="Prices in $/MWh",1,1/1000)</f>
        <v>40.78</v>
      </c>
    </row>
    <row r="536" spans="3:14" x14ac:dyDescent="0.25">
      <c r="C536" s="151">
        <f>Matrix_prices!C524</f>
        <v>42583</v>
      </c>
      <c r="D536" s="152" t="str">
        <f>Matrix_prices!D524</f>
        <v>NJ</v>
      </c>
      <c r="E536" s="153" t="str">
        <f>Matrix_prices!E524</f>
        <v>JCPL</v>
      </c>
      <c r="F536" s="152" t="str">
        <f>Matrix_prices!F524</f>
        <v>GSCS</v>
      </c>
      <c r="G536" s="153" t="str">
        <f>Matrix_prices!G524</f>
        <v>General Service Medium</v>
      </c>
      <c r="H536" s="157" t="str">
        <f t="shared" si="24"/>
        <v>0-100 MWh</v>
      </c>
      <c r="I536" s="153">
        <f>(Matrix_prices!I524+$D$2)*IF($M$2="Prices in $/MWh",1,1/1000)</f>
        <v>88.47</v>
      </c>
      <c r="J536" s="152">
        <f>(Matrix_prices!J524+$D$2)*IF($M$2="Prices in $/MWh",1,1/1000)</f>
        <v>87.81</v>
      </c>
      <c r="K536" s="153">
        <f>(Matrix_prices!K524+$D$2)*IF($M$2="Prices in $/MWh",1,1/1000)</f>
        <v>88.75</v>
      </c>
      <c r="L536" s="152">
        <f>(Matrix_prices!L524+$D$2)*IF($M$2="Prices in $/MWh",1,1/1000)</f>
        <v>43.55</v>
      </c>
      <c r="M536" s="153">
        <f>(Matrix_prices!M524+$D$2)*IF($M$2="Prices in $/MWh",1,1/1000)</f>
        <v>43.46</v>
      </c>
      <c r="N536" s="152">
        <f>(Matrix_prices!N524+$D$2)*IF($M$2="Prices in $/MWh",1,1/1000)</f>
        <v>44.26</v>
      </c>
    </row>
    <row r="537" spans="3:14" x14ac:dyDescent="0.25">
      <c r="C537" s="78">
        <f>Matrix_prices!C525</f>
        <v>42583</v>
      </c>
      <c r="D537" s="79" t="str">
        <f>Matrix_prices!D525</f>
        <v>NJ</v>
      </c>
      <c r="E537" s="80" t="str">
        <f>Matrix_prices!E525</f>
        <v>JCPL</v>
      </c>
      <c r="F537" s="79" t="str">
        <f>Matrix_prices!F525</f>
        <v>GSCS</v>
      </c>
      <c r="G537" s="80" t="str">
        <f>Matrix_prices!G525</f>
        <v>General Service Medium</v>
      </c>
      <c r="H537" s="81" t="str">
        <f t="shared" si="25"/>
        <v>100-500 MWh</v>
      </c>
      <c r="I537" s="80">
        <f>(Matrix_prices!I525+$D$2)*IF($M$2="Prices in $/MWh",1,1/1000)</f>
        <v>86.76</v>
      </c>
      <c r="J537" s="79">
        <f>(Matrix_prices!J525+$D$2)*IF($M$2="Prices in $/MWh",1,1/1000)</f>
        <v>86.1</v>
      </c>
      <c r="K537" s="80">
        <f>(Matrix_prices!K525+$D$2)*IF($M$2="Prices in $/MWh",1,1/1000)</f>
        <v>87.03</v>
      </c>
      <c r="L537" s="79">
        <f>(Matrix_prices!L525+$D$2)*IF($M$2="Prices in $/MWh",1,1/1000)</f>
        <v>41.84</v>
      </c>
      <c r="M537" s="80">
        <f>(Matrix_prices!M525+$D$2)*IF($M$2="Prices in $/MWh",1,1/1000)</f>
        <v>41.75</v>
      </c>
      <c r="N537" s="79">
        <f>(Matrix_prices!N525+$D$2)*IF($M$2="Prices in $/MWh",1,1/1000)</f>
        <v>42.55</v>
      </c>
    </row>
    <row r="538" spans="3:14" x14ac:dyDescent="0.25">
      <c r="C538" s="82">
        <f>Matrix_prices!C526</f>
        <v>42583</v>
      </c>
      <c r="D538" s="83" t="str">
        <f>Matrix_prices!D526</f>
        <v>NJ</v>
      </c>
      <c r="E538" s="84" t="str">
        <f>Matrix_prices!E526</f>
        <v>JCPL</v>
      </c>
      <c r="F538" s="83" t="str">
        <f>Matrix_prices!F526</f>
        <v>GSCS</v>
      </c>
      <c r="G538" s="84" t="str">
        <f>Matrix_prices!G526</f>
        <v>General Service Medium</v>
      </c>
      <c r="H538" s="85" t="str">
        <f t="shared" si="26"/>
        <v>500-2500 MWh</v>
      </c>
      <c r="I538" s="84">
        <f>(Matrix_prices!I526+$D$2)*IF($M$2="Prices in $/MWh",1,1/1000)</f>
        <v>85.64</v>
      </c>
      <c r="J538" s="83">
        <f>(Matrix_prices!J526+$D$2)*IF($M$2="Prices in $/MWh",1,1/1000)</f>
        <v>84.98</v>
      </c>
      <c r="K538" s="84">
        <f>(Matrix_prices!K526+$D$2)*IF($M$2="Prices in $/MWh",1,1/1000)</f>
        <v>85.91</v>
      </c>
      <c r="L538" s="83">
        <f>(Matrix_prices!L526+$D$2)*IF($M$2="Prices in $/MWh",1,1/1000)</f>
        <v>40.71</v>
      </c>
      <c r="M538" s="84">
        <f>(Matrix_prices!M526+$D$2)*IF($M$2="Prices in $/MWh",1,1/1000)</f>
        <v>40.630000000000003</v>
      </c>
      <c r="N538" s="83">
        <f>(Matrix_prices!N526+$D$2)*IF($M$2="Prices in $/MWh",1,1/1000)</f>
        <v>41.42</v>
      </c>
    </row>
    <row r="539" spans="3:14" x14ac:dyDescent="0.25">
      <c r="C539" s="74">
        <f>Matrix_prices!C527</f>
        <v>42614</v>
      </c>
      <c r="D539" s="75" t="str">
        <f>Matrix_prices!D527</f>
        <v>NJ</v>
      </c>
      <c r="E539" s="76" t="str">
        <f>Matrix_prices!E527</f>
        <v>JCPL</v>
      </c>
      <c r="F539" s="75" t="str">
        <f>Matrix_prices!F527</f>
        <v>GSCS</v>
      </c>
      <c r="G539" s="76" t="str">
        <f>Matrix_prices!G527</f>
        <v>General Service Medium</v>
      </c>
      <c r="H539" s="157" t="str">
        <f t="shared" si="24"/>
        <v>0-100 MWh</v>
      </c>
      <c r="I539" s="76">
        <f>(Matrix_prices!I527+$D$2)*IF($M$2="Prices in $/MWh",1,1/1000)</f>
        <v>88.37</v>
      </c>
      <c r="J539" s="75">
        <f>(Matrix_prices!J527+$D$2)*IF($M$2="Prices in $/MWh",1,1/1000)</f>
        <v>88.68</v>
      </c>
      <c r="K539" s="76">
        <f>(Matrix_prices!K527+$D$2)*IF($M$2="Prices in $/MWh",1,1/1000)</f>
        <v>89.01</v>
      </c>
      <c r="L539" s="75">
        <f>(Matrix_prices!L527+$D$2)*IF($M$2="Prices in $/MWh",1,1/1000)</f>
        <v>43.66</v>
      </c>
      <c r="M539" s="76">
        <f>(Matrix_prices!M527+$D$2)*IF($M$2="Prices in $/MWh",1,1/1000)</f>
        <v>43.97</v>
      </c>
      <c r="N539" s="75">
        <f>(Matrix_prices!N527+$D$2)*IF($M$2="Prices in $/MWh",1,1/1000)</f>
        <v>44.67</v>
      </c>
    </row>
    <row r="540" spans="3:14" x14ac:dyDescent="0.25">
      <c r="C540" s="78">
        <f>Matrix_prices!C528</f>
        <v>42614</v>
      </c>
      <c r="D540" s="79" t="str">
        <f>Matrix_prices!D528</f>
        <v>NJ</v>
      </c>
      <c r="E540" s="80" t="str">
        <f>Matrix_prices!E528</f>
        <v>JCPL</v>
      </c>
      <c r="F540" s="79" t="str">
        <f>Matrix_prices!F528</f>
        <v>GSCS</v>
      </c>
      <c r="G540" s="80" t="str">
        <f>Matrix_prices!G528</f>
        <v>General Service Medium</v>
      </c>
      <c r="H540" s="81" t="str">
        <f t="shared" si="25"/>
        <v>100-500 MWh</v>
      </c>
      <c r="I540" s="80">
        <f>(Matrix_prices!I528+$D$2)*IF($M$2="Prices in $/MWh",1,1/1000)</f>
        <v>86.66</v>
      </c>
      <c r="J540" s="79">
        <f>(Matrix_prices!J528+$D$2)*IF($M$2="Prices in $/MWh",1,1/1000)</f>
        <v>86.97</v>
      </c>
      <c r="K540" s="80">
        <f>(Matrix_prices!K528+$D$2)*IF($M$2="Prices in $/MWh",1,1/1000)</f>
        <v>87.29</v>
      </c>
      <c r="L540" s="79">
        <f>(Matrix_prices!L528+$D$2)*IF($M$2="Prices in $/MWh",1,1/1000)</f>
        <v>41.95</v>
      </c>
      <c r="M540" s="80">
        <f>(Matrix_prices!M528+$D$2)*IF($M$2="Prices in $/MWh",1,1/1000)</f>
        <v>42.26</v>
      </c>
      <c r="N540" s="79">
        <f>(Matrix_prices!N528+$D$2)*IF($M$2="Prices in $/MWh",1,1/1000)</f>
        <v>42.96</v>
      </c>
    </row>
    <row r="541" spans="3:14" x14ac:dyDescent="0.25">
      <c r="C541" s="82">
        <f>Matrix_prices!C529</f>
        <v>42614</v>
      </c>
      <c r="D541" s="83" t="str">
        <f>Matrix_prices!D529</f>
        <v>NJ</v>
      </c>
      <c r="E541" s="84" t="str">
        <f>Matrix_prices!E529</f>
        <v>JCPL</v>
      </c>
      <c r="F541" s="83" t="str">
        <f>Matrix_prices!F529</f>
        <v>GSCS</v>
      </c>
      <c r="G541" s="84" t="str">
        <f>Matrix_prices!G529</f>
        <v>General Service Medium</v>
      </c>
      <c r="H541" s="85" t="str">
        <f t="shared" si="26"/>
        <v>500-2500 MWh</v>
      </c>
      <c r="I541" s="84">
        <f>(Matrix_prices!I529+$D$2)*IF($M$2="Prices in $/MWh",1,1/1000)</f>
        <v>85.54</v>
      </c>
      <c r="J541" s="83">
        <f>(Matrix_prices!J529+$D$2)*IF($M$2="Prices in $/MWh",1,1/1000)</f>
        <v>85.85</v>
      </c>
      <c r="K541" s="84">
        <f>(Matrix_prices!K529+$D$2)*IF($M$2="Prices in $/MWh",1,1/1000)</f>
        <v>86.17</v>
      </c>
      <c r="L541" s="83">
        <f>(Matrix_prices!L529+$D$2)*IF($M$2="Prices in $/MWh",1,1/1000)</f>
        <v>40.82</v>
      </c>
      <c r="M541" s="84">
        <f>(Matrix_prices!M529+$D$2)*IF($M$2="Prices in $/MWh",1,1/1000)</f>
        <v>41.13</v>
      </c>
      <c r="N541" s="83">
        <f>(Matrix_prices!N529+$D$2)*IF($M$2="Prices in $/MWh",1,1/1000)</f>
        <v>41.83</v>
      </c>
    </row>
    <row r="542" spans="3:14" x14ac:dyDescent="0.25">
      <c r="C542" s="151">
        <f>Matrix_prices!C530</f>
        <v>42644</v>
      </c>
      <c r="D542" s="152" t="str">
        <f>Matrix_prices!D530</f>
        <v>NJ</v>
      </c>
      <c r="E542" s="153" t="str">
        <f>Matrix_prices!E530</f>
        <v>JCPL</v>
      </c>
      <c r="F542" s="152" t="str">
        <f>Matrix_prices!F530</f>
        <v>GSCS</v>
      </c>
      <c r="G542" s="153" t="str">
        <f>Matrix_prices!G530</f>
        <v>General Service Medium</v>
      </c>
      <c r="H542" s="157" t="str">
        <f t="shared" si="24"/>
        <v>0-100 MWh</v>
      </c>
      <c r="I542" s="153">
        <f>(Matrix_prices!I530+$D$2)*IF($M$2="Prices in $/MWh",1,1/1000)</f>
        <v>88.4</v>
      </c>
      <c r="J542" s="152">
        <f>(Matrix_prices!J530+$D$2)*IF($M$2="Prices in $/MWh",1,1/1000)</f>
        <v>89.06</v>
      </c>
      <c r="K542" s="153">
        <f>(Matrix_prices!K530+$D$2)*IF($M$2="Prices in $/MWh",1,1/1000)</f>
        <v>89.28</v>
      </c>
      <c r="L542" s="152">
        <f>(Matrix_prices!L530+$D$2)*IF($M$2="Prices in $/MWh",1,1/1000)</f>
        <v>43.84</v>
      </c>
      <c r="M542" s="153">
        <f>(Matrix_prices!M530+$D$2)*IF($M$2="Prices in $/MWh",1,1/1000)</f>
        <v>44.28</v>
      </c>
      <c r="N542" s="152">
        <f>(Matrix_prices!N530+$D$2)*IF($M$2="Prices in $/MWh",1,1/1000)</f>
        <v>45.11</v>
      </c>
    </row>
    <row r="543" spans="3:14" x14ac:dyDescent="0.25">
      <c r="C543" s="78">
        <f>Matrix_prices!C531</f>
        <v>42644</v>
      </c>
      <c r="D543" s="79" t="str">
        <f>Matrix_prices!D531</f>
        <v>NJ</v>
      </c>
      <c r="E543" s="80" t="str">
        <f>Matrix_prices!E531</f>
        <v>JCPL</v>
      </c>
      <c r="F543" s="79" t="str">
        <f>Matrix_prices!F531</f>
        <v>GSCS</v>
      </c>
      <c r="G543" s="80" t="str">
        <f>Matrix_prices!G531</f>
        <v>General Service Medium</v>
      </c>
      <c r="H543" s="81" t="str">
        <f t="shared" si="25"/>
        <v>100-500 MWh</v>
      </c>
      <c r="I543" s="80">
        <f>(Matrix_prices!I531+$D$2)*IF($M$2="Prices in $/MWh",1,1/1000)</f>
        <v>86.69</v>
      </c>
      <c r="J543" s="79">
        <f>(Matrix_prices!J531+$D$2)*IF($M$2="Prices in $/MWh",1,1/1000)</f>
        <v>87.35</v>
      </c>
      <c r="K543" s="80">
        <f>(Matrix_prices!K531+$D$2)*IF($M$2="Prices in $/MWh",1,1/1000)</f>
        <v>87.57</v>
      </c>
      <c r="L543" s="79">
        <f>(Matrix_prices!L531+$D$2)*IF($M$2="Prices in $/MWh",1,1/1000)</f>
        <v>42.13</v>
      </c>
      <c r="M543" s="80">
        <f>(Matrix_prices!M531+$D$2)*IF($M$2="Prices in $/MWh",1,1/1000)</f>
        <v>42.57</v>
      </c>
      <c r="N543" s="79">
        <f>(Matrix_prices!N531+$D$2)*IF($M$2="Prices in $/MWh",1,1/1000)</f>
        <v>43.4</v>
      </c>
    </row>
    <row r="544" spans="3:14" x14ac:dyDescent="0.25">
      <c r="C544" s="82">
        <f>Matrix_prices!C532</f>
        <v>42644</v>
      </c>
      <c r="D544" s="83" t="str">
        <f>Matrix_prices!D532</f>
        <v>NJ</v>
      </c>
      <c r="E544" s="84" t="str">
        <f>Matrix_prices!E532</f>
        <v>JCPL</v>
      </c>
      <c r="F544" s="83" t="str">
        <f>Matrix_prices!F532</f>
        <v>GSCS</v>
      </c>
      <c r="G544" s="84" t="str">
        <f>Matrix_prices!G532</f>
        <v>General Service Medium</v>
      </c>
      <c r="H544" s="85" t="str">
        <f t="shared" si="26"/>
        <v>500-2500 MWh</v>
      </c>
      <c r="I544" s="84">
        <f>(Matrix_prices!I532+$D$2)*IF($M$2="Prices in $/MWh",1,1/1000)</f>
        <v>85.57</v>
      </c>
      <c r="J544" s="83">
        <f>(Matrix_prices!J532+$D$2)*IF($M$2="Prices in $/MWh",1,1/1000)</f>
        <v>86.23</v>
      </c>
      <c r="K544" s="84">
        <f>(Matrix_prices!K532+$D$2)*IF($M$2="Prices in $/MWh",1,1/1000)</f>
        <v>86.44</v>
      </c>
      <c r="L544" s="83">
        <f>(Matrix_prices!L532+$D$2)*IF($M$2="Prices in $/MWh",1,1/1000)</f>
        <v>41</v>
      </c>
      <c r="M544" s="84">
        <f>(Matrix_prices!M532+$D$2)*IF($M$2="Prices in $/MWh",1,1/1000)</f>
        <v>41.45</v>
      </c>
      <c r="N544" s="83">
        <f>(Matrix_prices!N532+$D$2)*IF($M$2="Prices in $/MWh",1,1/1000)</f>
        <v>42.27</v>
      </c>
    </row>
    <row r="545" spans="3:14" x14ac:dyDescent="0.25">
      <c r="C545" s="74">
        <f>Matrix_prices!C533</f>
        <v>42675</v>
      </c>
      <c r="D545" s="75" t="str">
        <f>Matrix_prices!D533</f>
        <v>NJ</v>
      </c>
      <c r="E545" s="76" t="str">
        <f>Matrix_prices!E533</f>
        <v>JCPL</v>
      </c>
      <c r="F545" s="75" t="str">
        <f>Matrix_prices!F533</f>
        <v>GSCS</v>
      </c>
      <c r="G545" s="76" t="str">
        <f>Matrix_prices!G533</f>
        <v>General Service Medium</v>
      </c>
      <c r="H545" s="157" t="str">
        <f t="shared" si="24"/>
        <v>0-100 MWh</v>
      </c>
      <c r="I545" s="76">
        <f>(Matrix_prices!I533+$D$2)*IF($M$2="Prices in $/MWh",1,1/1000)</f>
        <v>88.45</v>
      </c>
      <c r="J545" s="75">
        <f>(Matrix_prices!J533+$D$2)*IF($M$2="Prices in $/MWh",1,1/1000)</f>
        <v>89.2</v>
      </c>
      <c r="K545" s="76">
        <f>(Matrix_prices!K533+$D$2)*IF($M$2="Prices in $/MWh",1,1/1000)</f>
        <v>89.63</v>
      </c>
      <c r="L545" s="75">
        <f>(Matrix_prices!L533+$D$2)*IF($M$2="Prices in $/MWh",1,1/1000)</f>
        <v>43.98</v>
      </c>
      <c r="M545" s="76">
        <f>(Matrix_prices!M533+$D$2)*IF($M$2="Prices in $/MWh",1,1/1000)</f>
        <v>44.37</v>
      </c>
      <c r="N545" s="75">
        <f>(Matrix_prices!N533+$D$2)*IF($M$2="Prices in $/MWh",1,1/1000)</f>
        <v>45.6</v>
      </c>
    </row>
    <row r="546" spans="3:14" x14ac:dyDescent="0.25">
      <c r="C546" s="78">
        <f>Matrix_prices!C534</f>
        <v>42675</v>
      </c>
      <c r="D546" s="79" t="str">
        <f>Matrix_prices!D534</f>
        <v>NJ</v>
      </c>
      <c r="E546" s="80" t="str">
        <f>Matrix_prices!E534</f>
        <v>JCPL</v>
      </c>
      <c r="F546" s="79" t="str">
        <f>Matrix_prices!F534</f>
        <v>GSCS</v>
      </c>
      <c r="G546" s="80" t="str">
        <f>Matrix_prices!G534</f>
        <v>General Service Medium</v>
      </c>
      <c r="H546" s="81" t="str">
        <f t="shared" si="25"/>
        <v>100-500 MWh</v>
      </c>
      <c r="I546" s="80">
        <f>(Matrix_prices!I534+$D$2)*IF($M$2="Prices in $/MWh",1,1/1000)</f>
        <v>86.74</v>
      </c>
      <c r="J546" s="79">
        <f>(Matrix_prices!J534+$D$2)*IF($M$2="Prices in $/MWh",1,1/1000)</f>
        <v>87.49</v>
      </c>
      <c r="K546" s="80">
        <f>(Matrix_prices!K534+$D$2)*IF($M$2="Prices in $/MWh",1,1/1000)</f>
        <v>87.92</v>
      </c>
      <c r="L546" s="79">
        <f>(Matrix_prices!L534+$D$2)*IF($M$2="Prices in $/MWh",1,1/1000)</f>
        <v>42.27</v>
      </c>
      <c r="M546" s="80">
        <f>(Matrix_prices!M534+$D$2)*IF($M$2="Prices in $/MWh",1,1/1000)</f>
        <v>42.66</v>
      </c>
      <c r="N546" s="79">
        <f>(Matrix_prices!N534+$D$2)*IF($M$2="Prices in $/MWh",1,1/1000)</f>
        <v>43.89</v>
      </c>
    </row>
    <row r="547" spans="3:14" x14ac:dyDescent="0.25">
      <c r="C547" s="82">
        <f>Matrix_prices!C535</f>
        <v>42675</v>
      </c>
      <c r="D547" s="83" t="str">
        <f>Matrix_prices!D535</f>
        <v>NJ</v>
      </c>
      <c r="E547" s="84" t="str">
        <f>Matrix_prices!E535</f>
        <v>JCPL</v>
      </c>
      <c r="F547" s="83" t="str">
        <f>Matrix_prices!F535</f>
        <v>GSCS</v>
      </c>
      <c r="G547" s="84" t="str">
        <f>Matrix_prices!G535</f>
        <v>General Service Medium</v>
      </c>
      <c r="H547" s="85" t="str">
        <f t="shared" si="26"/>
        <v>500-2500 MWh</v>
      </c>
      <c r="I547" s="84">
        <f>(Matrix_prices!I535+$D$2)*IF($M$2="Prices in $/MWh",1,1/1000)</f>
        <v>85.62</v>
      </c>
      <c r="J547" s="83">
        <f>(Matrix_prices!J535+$D$2)*IF($M$2="Prices in $/MWh",1,1/1000)</f>
        <v>86.37</v>
      </c>
      <c r="K547" s="84">
        <f>(Matrix_prices!K535+$D$2)*IF($M$2="Prices in $/MWh",1,1/1000)</f>
        <v>86.8</v>
      </c>
      <c r="L547" s="83">
        <f>(Matrix_prices!L535+$D$2)*IF($M$2="Prices in $/MWh",1,1/1000)</f>
        <v>41.14</v>
      </c>
      <c r="M547" s="84">
        <f>(Matrix_prices!M535+$D$2)*IF($M$2="Prices in $/MWh",1,1/1000)</f>
        <v>41.53</v>
      </c>
      <c r="N547" s="83">
        <f>(Matrix_prices!N535+$D$2)*IF($M$2="Prices in $/MWh",1,1/1000)</f>
        <v>42.76</v>
      </c>
    </row>
    <row r="548" spans="3:14" x14ac:dyDescent="0.25">
      <c r="C548" s="151">
        <f>Matrix_prices!C536</f>
        <v>42705</v>
      </c>
      <c r="D548" s="152" t="str">
        <f>Matrix_prices!D536</f>
        <v>NJ</v>
      </c>
      <c r="E548" s="153" t="str">
        <f>Matrix_prices!E536</f>
        <v>JCPL</v>
      </c>
      <c r="F548" s="152" t="str">
        <f>Matrix_prices!F536</f>
        <v>GSCS</v>
      </c>
      <c r="G548" s="153" t="str">
        <f>Matrix_prices!G536</f>
        <v>General Service Medium</v>
      </c>
      <c r="H548" s="157" t="str">
        <f t="shared" si="24"/>
        <v>0-100 MWh</v>
      </c>
      <c r="I548" s="153">
        <f>(Matrix_prices!I536+$D$2)*IF($M$2="Prices in $/MWh",1,1/1000)</f>
        <v>88.28</v>
      </c>
      <c r="J548" s="152">
        <f>(Matrix_prices!J536+$D$2)*IF($M$2="Prices in $/MWh",1,1/1000)</f>
        <v>89.18</v>
      </c>
      <c r="K548" s="153">
        <f>(Matrix_prices!K536+$D$2)*IF($M$2="Prices in $/MWh",1,1/1000)</f>
        <v>89.8</v>
      </c>
      <c r="L548" s="152">
        <f>(Matrix_prices!L536+$D$2)*IF($M$2="Prices in $/MWh",1,1/1000)</f>
        <v>44.09</v>
      </c>
      <c r="M548" s="153">
        <f>(Matrix_prices!M536+$D$2)*IF($M$2="Prices in $/MWh",1,1/1000)</f>
        <v>44.35</v>
      </c>
      <c r="N548" s="152">
        <f>(Matrix_prices!N536+$D$2)*IF($M$2="Prices in $/MWh",1,1/1000)</f>
        <v>45.97</v>
      </c>
    </row>
    <row r="549" spans="3:14" x14ac:dyDescent="0.25">
      <c r="C549" s="78">
        <f>Matrix_prices!C537</f>
        <v>42705</v>
      </c>
      <c r="D549" s="79" t="str">
        <f>Matrix_prices!D537</f>
        <v>NJ</v>
      </c>
      <c r="E549" s="80" t="str">
        <f>Matrix_prices!E537</f>
        <v>JCPL</v>
      </c>
      <c r="F549" s="79" t="str">
        <f>Matrix_prices!F537</f>
        <v>GSCS</v>
      </c>
      <c r="G549" s="80" t="str">
        <f>Matrix_prices!G537</f>
        <v>General Service Medium</v>
      </c>
      <c r="H549" s="81" t="str">
        <f t="shared" si="25"/>
        <v>100-500 MWh</v>
      </c>
      <c r="I549" s="80">
        <f>(Matrix_prices!I537+$D$2)*IF($M$2="Prices in $/MWh",1,1/1000)</f>
        <v>86.57</v>
      </c>
      <c r="J549" s="79">
        <f>(Matrix_prices!J537+$D$2)*IF($M$2="Prices in $/MWh",1,1/1000)</f>
        <v>87.47</v>
      </c>
      <c r="K549" s="80">
        <f>(Matrix_prices!K537+$D$2)*IF($M$2="Prices in $/MWh",1,1/1000)</f>
        <v>88.09</v>
      </c>
      <c r="L549" s="79">
        <f>(Matrix_prices!L537+$D$2)*IF($M$2="Prices in $/MWh",1,1/1000)</f>
        <v>42.38</v>
      </c>
      <c r="M549" s="80">
        <f>(Matrix_prices!M537+$D$2)*IF($M$2="Prices in $/MWh",1,1/1000)</f>
        <v>42.64</v>
      </c>
      <c r="N549" s="79">
        <f>(Matrix_prices!N537+$D$2)*IF($M$2="Prices in $/MWh",1,1/1000)</f>
        <v>44.26</v>
      </c>
    </row>
    <row r="550" spans="3:14" x14ac:dyDescent="0.25">
      <c r="C550" s="82">
        <f>Matrix_prices!C538</f>
        <v>42705</v>
      </c>
      <c r="D550" s="83" t="str">
        <f>Matrix_prices!D538</f>
        <v>NJ</v>
      </c>
      <c r="E550" s="84" t="str">
        <f>Matrix_prices!E538</f>
        <v>JCPL</v>
      </c>
      <c r="F550" s="83" t="str">
        <f>Matrix_prices!F538</f>
        <v>GSCS</v>
      </c>
      <c r="G550" s="84" t="str">
        <f>Matrix_prices!G538</f>
        <v>General Service Medium</v>
      </c>
      <c r="H550" s="85" t="str">
        <f t="shared" si="26"/>
        <v>500-2500 MWh</v>
      </c>
      <c r="I550" s="84">
        <f>(Matrix_prices!I538+$D$2)*IF($M$2="Prices in $/MWh",1,1/1000)</f>
        <v>85.44</v>
      </c>
      <c r="J550" s="83">
        <f>(Matrix_prices!J538+$D$2)*IF($M$2="Prices in $/MWh",1,1/1000)</f>
        <v>86.35</v>
      </c>
      <c r="K550" s="84">
        <f>(Matrix_prices!K538+$D$2)*IF($M$2="Prices in $/MWh",1,1/1000)</f>
        <v>86.97</v>
      </c>
      <c r="L550" s="83">
        <f>(Matrix_prices!L538+$D$2)*IF($M$2="Prices in $/MWh",1,1/1000)</f>
        <v>41.25</v>
      </c>
      <c r="M550" s="84">
        <f>(Matrix_prices!M538+$D$2)*IF($M$2="Prices in $/MWh",1,1/1000)</f>
        <v>41.51</v>
      </c>
      <c r="N550" s="83">
        <f>(Matrix_prices!N538+$D$2)*IF($M$2="Prices in $/MWh",1,1/1000)</f>
        <v>43.13</v>
      </c>
    </row>
    <row r="551" spans="3:14" x14ac:dyDescent="0.25">
      <c r="C551" s="74">
        <f>Matrix_prices!C539</f>
        <v>42736</v>
      </c>
      <c r="D551" s="75" t="str">
        <f>Matrix_prices!D539</f>
        <v>NJ</v>
      </c>
      <c r="E551" s="76" t="str">
        <f>Matrix_prices!E539</f>
        <v>JCPL</v>
      </c>
      <c r="F551" s="75" t="str">
        <f>Matrix_prices!F539</f>
        <v>GSCS</v>
      </c>
      <c r="G551" s="76" t="str">
        <f>Matrix_prices!G539</f>
        <v>General Service Medium</v>
      </c>
      <c r="H551" s="157" t="str">
        <f t="shared" si="24"/>
        <v>0-100 MWh</v>
      </c>
      <c r="I551" s="76">
        <f>(Matrix_prices!I539+$D$2)*IF($M$2="Prices in $/MWh",1,1/1000)</f>
        <v>88.13</v>
      </c>
      <c r="J551" s="75">
        <f>(Matrix_prices!J539+$D$2)*IF($M$2="Prices in $/MWh",1,1/1000)</f>
        <v>89.55</v>
      </c>
      <c r="K551" s="76">
        <f>(Matrix_prices!K539+$D$2)*IF($M$2="Prices in $/MWh",1,1/1000)</f>
        <v>90.04</v>
      </c>
      <c r="L551" s="75">
        <f>(Matrix_prices!L539+$D$2)*IF($M$2="Prices in $/MWh",1,1/1000)</f>
        <v>44.17</v>
      </c>
      <c r="M551" s="76">
        <f>(Matrix_prices!M539+$D$2)*IF($M$2="Prices in $/MWh",1,1/1000)</f>
        <v>44.62</v>
      </c>
      <c r="N551" s="75">
        <f>(Matrix_prices!N539+$D$2)*IF($M$2="Prices in $/MWh",1,1/1000)</f>
        <v>46.31</v>
      </c>
    </row>
    <row r="552" spans="3:14" x14ac:dyDescent="0.25">
      <c r="C552" s="78">
        <f>Matrix_prices!C540</f>
        <v>42736</v>
      </c>
      <c r="D552" s="79" t="str">
        <f>Matrix_prices!D540</f>
        <v>NJ</v>
      </c>
      <c r="E552" s="80" t="str">
        <f>Matrix_prices!E540</f>
        <v>JCPL</v>
      </c>
      <c r="F552" s="79" t="str">
        <f>Matrix_prices!F540</f>
        <v>GSCS</v>
      </c>
      <c r="G552" s="80" t="str">
        <f>Matrix_prices!G540</f>
        <v>General Service Medium</v>
      </c>
      <c r="H552" s="81" t="str">
        <f t="shared" si="25"/>
        <v>100-500 MWh</v>
      </c>
      <c r="I552" s="80">
        <f>(Matrix_prices!I540+$D$2)*IF($M$2="Prices in $/MWh",1,1/1000)</f>
        <v>86.42</v>
      </c>
      <c r="J552" s="79">
        <f>(Matrix_prices!J540+$D$2)*IF($M$2="Prices in $/MWh",1,1/1000)</f>
        <v>87.84</v>
      </c>
      <c r="K552" s="80">
        <f>(Matrix_prices!K540+$D$2)*IF($M$2="Prices in $/MWh",1,1/1000)</f>
        <v>88.33</v>
      </c>
      <c r="L552" s="79">
        <f>(Matrix_prices!L540+$D$2)*IF($M$2="Prices in $/MWh",1,1/1000)</f>
        <v>42.46</v>
      </c>
      <c r="M552" s="80">
        <f>(Matrix_prices!M540+$D$2)*IF($M$2="Prices in $/MWh",1,1/1000)</f>
        <v>42.91</v>
      </c>
      <c r="N552" s="79">
        <f>(Matrix_prices!N540+$D$2)*IF($M$2="Prices in $/MWh",1,1/1000)</f>
        <v>44.6</v>
      </c>
    </row>
    <row r="553" spans="3:14" x14ac:dyDescent="0.25">
      <c r="C553" s="82">
        <f>Matrix_prices!C541</f>
        <v>42736</v>
      </c>
      <c r="D553" s="83" t="str">
        <f>Matrix_prices!D541</f>
        <v>NJ</v>
      </c>
      <c r="E553" s="84" t="str">
        <f>Matrix_prices!E541</f>
        <v>JCPL</v>
      </c>
      <c r="F553" s="83" t="str">
        <f>Matrix_prices!F541</f>
        <v>GSCS</v>
      </c>
      <c r="G553" s="84" t="str">
        <f>Matrix_prices!G541</f>
        <v>General Service Medium</v>
      </c>
      <c r="H553" s="85" t="str">
        <f t="shared" si="26"/>
        <v>500-2500 MWh</v>
      </c>
      <c r="I553" s="84">
        <f>(Matrix_prices!I541+$D$2)*IF($M$2="Prices in $/MWh",1,1/1000)</f>
        <v>85.3</v>
      </c>
      <c r="J553" s="83">
        <f>(Matrix_prices!J541+$D$2)*IF($M$2="Prices in $/MWh",1,1/1000)</f>
        <v>86.72</v>
      </c>
      <c r="K553" s="84">
        <f>(Matrix_prices!K541+$D$2)*IF($M$2="Prices in $/MWh",1,1/1000)</f>
        <v>87.2</v>
      </c>
      <c r="L553" s="83">
        <f>(Matrix_prices!L541+$D$2)*IF($M$2="Prices in $/MWh",1,1/1000)</f>
        <v>41.33</v>
      </c>
      <c r="M553" s="84">
        <f>(Matrix_prices!M541+$D$2)*IF($M$2="Prices in $/MWh",1,1/1000)</f>
        <v>41.78</v>
      </c>
      <c r="N553" s="83">
        <f>(Matrix_prices!N541+$D$2)*IF($M$2="Prices in $/MWh",1,1/1000)</f>
        <v>43.47</v>
      </c>
    </row>
    <row r="554" spans="3:14" x14ac:dyDescent="0.25">
      <c r="C554" s="151">
        <f>Matrix_prices!C542</f>
        <v>42401</v>
      </c>
      <c r="D554" s="152" t="str">
        <f>Matrix_prices!D542</f>
        <v>NJ</v>
      </c>
      <c r="E554" s="153" t="str">
        <f>Matrix_prices!E542</f>
        <v>PSEG</v>
      </c>
      <c r="F554" s="152" t="str">
        <f>Matrix_prices!F542</f>
        <v>GLP</v>
      </c>
      <c r="G554" s="153" t="str">
        <f>Matrix_prices!G542</f>
        <v>General L&amp;P</v>
      </c>
      <c r="H554" s="157" t="str">
        <f t="shared" si="24"/>
        <v>0-100 MWh</v>
      </c>
      <c r="I554" s="153">
        <f>(Matrix_prices!I542+$D$2)*IF($M$2="Prices in $/MWh",1,1/1000)</f>
        <v>107.49</v>
      </c>
      <c r="J554" s="152">
        <f>(Matrix_prices!J542+$D$2)*IF($M$2="Prices in $/MWh",1,1/1000)</f>
        <v>109</v>
      </c>
      <c r="K554" s="153">
        <f>(Matrix_prices!K542+$D$2)*IF($M$2="Prices in $/MWh",1,1/1000)</f>
        <v>109.07</v>
      </c>
      <c r="L554" s="152">
        <f>(Matrix_prices!L542+$D$2)*IF($M$2="Prices in $/MWh",1,1/1000)</f>
        <v>62.58</v>
      </c>
      <c r="M554" s="153">
        <f>(Matrix_prices!M542+$D$2)*IF($M$2="Prices in $/MWh",1,1/1000)</f>
        <v>63.97</v>
      </c>
      <c r="N554" s="152">
        <f>(Matrix_prices!N542+$D$2)*IF($M$2="Prices in $/MWh",1,1/1000)</f>
        <v>64.56</v>
      </c>
    </row>
    <row r="555" spans="3:14" x14ac:dyDescent="0.25">
      <c r="C555" s="78">
        <f>Matrix_prices!C543</f>
        <v>42401</v>
      </c>
      <c r="D555" s="79" t="str">
        <f>Matrix_prices!D543</f>
        <v>NJ</v>
      </c>
      <c r="E555" s="80" t="str">
        <f>Matrix_prices!E543</f>
        <v>PSEG</v>
      </c>
      <c r="F555" s="79" t="str">
        <f>Matrix_prices!F543</f>
        <v>GLP</v>
      </c>
      <c r="G555" s="80" t="str">
        <f>Matrix_prices!G543</f>
        <v>General L&amp;P</v>
      </c>
      <c r="H555" s="81" t="str">
        <f t="shared" si="25"/>
        <v>100-500 MWh</v>
      </c>
      <c r="I555" s="80">
        <f>(Matrix_prices!I543+$D$2)*IF($M$2="Prices in $/MWh",1,1/1000)</f>
        <v>105.78</v>
      </c>
      <c r="J555" s="79">
        <f>(Matrix_prices!J543+$D$2)*IF($M$2="Prices in $/MWh",1,1/1000)</f>
        <v>107.29</v>
      </c>
      <c r="K555" s="80">
        <f>(Matrix_prices!K543+$D$2)*IF($M$2="Prices in $/MWh",1,1/1000)</f>
        <v>107.35</v>
      </c>
      <c r="L555" s="79">
        <f>(Matrix_prices!L543+$D$2)*IF($M$2="Prices in $/MWh",1,1/1000)</f>
        <v>60.87</v>
      </c>
      <c r="M555" s="80">
        <f>(Matrix_prices!M543+$D$2)*IF($M$2="Prices in $/MWh",1,1/1000)</f>
        <v>62.26</v>
      </c>
      <c r="N555" s="79">
        <f>(Matrix_prices!N543+$D$2)*IF($M$2="Prices in $/MWh",1,1/1000)</f>
        <v>62.85</v>
      </c>
    </row>
    <row r="556" spans="3:14" x14ac:dyDescent="0.25">
      <c r="C556" s="82">
        <f>Matrix_prices!C544</f>
        <v>42401</v>
      </c>
      <c r="D556" s="83" t="str">
        <f>Matrix_prices!D544</f>
        <v>NJ</v>
      </c>
      <c r="E556" s="84" t="str">
        <f>Matrix_prices!E544</f>
        <v>PSEG</v>
      </c>
      <c r="F556" s="83" t="str">
        <f>Matrix_prices!F544</f>
        <v>GLP</v>
      </c>
      <c r="G556" s="84" t="str">
        <f>Matrix_prices!G544</f>
        <v>General L&amp;P</v>
      </c>
      <c r="H556" s="85" t="str">
        <f t="shared" si="26"/>
        <v>500-2500 MWh</v>
      </c>
      <c r="I556" s="84">
        <f>(Matrix_prices!I544+$D$2)*IF($M$2="Prices in $/MWh",1,1/1000)</f>
        <v>104.65</v>
      </c>
      <c r="J556" s="83">
        <f>(Matrix_prices!J544+$D$2)*IF($M$2="Prices in $/MWh",1,1/1000)</f>
        <v>106.16</v>
      </c>
      <c r="K556" s="84">
        <f>(Matrix_prices!K544+$D$2)*IF($M$2="Prices in $/MWh",1,1/1000)</f>
        <v>106.23</v>
      </c>
      <c r="L556" s="83">
        <f>(Matrix_prices!L544+$D$2)*IF($M$2="Prices in $/MWh",1,1/1000)</f>
        <v>59.74</v>
      </c>
      <c r="M556" s="84">
        <f>(Matrix_prices!M544+$D$2)*IF($M$2="Prices in $/MWh",1,1/1000)</f>
        <v>61.13</v>
      </c>
      <c r="N556" s="83">
        <f>(Matrix_prices!N544+$D$2)*IF($M$2="Prices in $/MWh",1,1/1000)</f>
        <v>61.72</v>
      </c>
    </row>
    <row r="557" spans="3:14" x14ac:dyDescent="0.25">
      <c r="C557" s="74">
        <f>Matrix_prices!C545</f>
        <v>42430</v>
      </c>
      <c r="D557" s="75" t="str">
        <f>Matrix_prices!D545</f>
        <v>NJ</v>
      </c>
      <c r="E557" s="76" t="str">
        <f>Matrix_prices!E545</f>
        <v>PSEG</v>
      </c>
      <c r="F557" s="75" t="str">
        <f>Matrix_prices!F545</f>
        <v>GLP</v>
      </c>
      <c r="G557" s="76" t="str">
        <f>Matrix_prices!G545</f>
        <v>General L&amp;P</v>
      </c>
      <c r="H557" s="157" t="str">
        <f t="shared" si="24"/>
        <v>0-100 MWh</v>
      </c>
      <c r="I557" s="76">
        <f>(Matrix_prices!I545+$D$2)*IF($M$2="Prices in $/MWh",1,1/1000)</f>
        <v>108.76</v>
      </c>
      <c r="J557" s="75">
        <f>(Matrix_prices!J545+$D$2)*IF($M$2="Prices in $/MWh",1,1/1000)</f>
        <v>108.49</v>
      </c>
      <c r="K557" s="76">
        <f>(Matrix_prices!K545+$D$2)*IF($M$2="Prices in $/MWh",1,1/1000)</f>
        <v>109.75</v>
      </c>
      <c r="L557" s="75">
        <f>(Matrix_prices!L545+$D$2)*IF($M$2="Prices in $/MWh",1,1/1000)</f>
        <v>63.23</v>
      </c>
      <c r="M557" s="76">
        <f>(Matrix_prices!M545+$D$2)*IF($M$2="Prices in $/MWh",1,1/1000)</f>
        <v>63.48</v>
      </c>
      <c r="N557" s="75">
        <f>(Matrix_prices!N545+$D$2)*IF($M$2="Prices in $/MWh",1,1/1000)</f>
        <v>64.88</v>
      </c>
    </row>
    <row r="558" spans="3:14" x14ac:dyDescent="0.25">
      <c r="C558" s="78">
        <f>Matrix_prices!C546</f>
        <v>42430</v>
      </c>
      <c r="D558" s="79" t="str">
        <f>Matrix_prices!D546</f>
        <v>NJ</v>
      </c>
      <c r="E558" s="80" t="str">
        <f>Matrix_prices!E546</f>
        <v>PSEG</v>
      </c>
      <c r="F558" s="79" t="str">
        <f>Matrix_prices!F546</f>
        <v>GLP</v>
      </c>
      <c r="G558" s="80" t="str">
        <f>Matrix_prices!G546</f>
        <v>General L&amp;P</v>
      </c>
      <c r="H558" s="81" t="str">
        <f t="shared" si="25"/>
        <v>100-500 MWh</v>
      </c>
      <c r="I558" s="80">
        <f>(Matrix_prices!I546+$D$2)*IF($M$2="Prices in $/MWh",1,1/1000)</f>
        <v>107.05</v>
      </c>
      <c r="J558" s="79">
        <f>(Matrix_prices!J546+$D$2)*IF($M$2="Prices in $/MWh",1,1/1000)</f>
        <v>106.78</v>
      </c>
      <c r="K558" s="80">
        <f>(Matrix_prices!K546+$D$2)*IF($M$2="Prices in $/MWh",1,1/1000)</f>
        <v>108.04</v>
      </c>
      <c r="L558" s="79">
        <f>(Matrix_prices!L546+$D$2)*IF($M$2="Prices in $/MWh",1,1/1000)</f>
        <v>61.52</v>
      </c>
      <c r="M558" s="80">
        <f>(Matrix_prices!M546+$D$2)*IF($M$2="Prices in $/MWh",1,1/1000)</f>
        <v>61.77</v>
      </c>
      <c r="N558" s="79">
        <f>(Matrix_prices!N546+$D$2)*IF($M$2="Prices in $/MWh",1,1/1000)</f>
        <v>63.17</v>
      </c>
    </row>
    <row r="559" spans="3:14" x14ac:dyDescent="0.25">
      <c r="C559" s="82">
        <f>Matrix_prices!C547</f>
        <v>42430</v>
      </c>
      <c r="D559" s="83" t="str">
        <f>Matrix_prices!D547</f>
        <v>NJ</v>
      </c>
      <c r="E559" s="84" t="str">
        <f>Matrix_prices!E547</f>
        <v>PSEG</v>
      </c>
      <c r="F559" s="83" t="str">
        <f>Matrix_prices!F547</f>
        <v>GLP</v>
      </c>
      <c r="G559" s="84" t="str">
        <f>Matrix_prices!G547</f>
        <v>General L&amp;P</v>
      </c>
      <c r="H559" s="85" t="str">
        <f t="shared" si="26"/>
        <v>500-2500 MWh</v>
      </c>
      <c r="I559" s="84">
        <f>(Matrix_prices!I547+$D$2)*IF($M$2="Prices in $/MWh",1,1/1000)</f>
        <v>105.93</v>
      </c>
      <c r="J559" s="83">
        <f>(Matrix_prices!J547+$D$2)*IF($M$2="Prices in $/MWh",1,1/1000)</f>
        <v>105.66</v>
      </c>
      <c r="K559" s="84">
        <f>(Matrix_prices!K547+$D$2)*IF($M$2="Prices in $/MWh",1,1/1000)</f>
        <v>106.92</v>
      </c>
      <c r="L559" s="83">
        <f>(Matrix_prices!L547+$D$2)*IF($M$2="Prices in $/MWh",1,1/1000)</f>
        <v>60.39</v>
      </c>
      <c r="M559" s="84">
        <f>(Matrix_prices!M547+$D$2)*IF($M$2="Prices in $/MWh",1,1/1000)</f>
        <v>60.64</v>
      </c>
      <c r="N559" s="83">
        <f>(Matrix_prices!N547+$D$2)*IF($M$2="Prices in $/MWh",1,1/1000)</f>
        <v>62.04</v>
      </c>
    </row>
    <row r="560" spans="3:14" x14ac:dyDescent="0.25">
      <c r="C560" s="151">
        <f>Matrix_prices!C548</f>
        <v>42461</v>
      </c>
      <c r="D560" s="152" t="str">
        <f>Matrix_prices!D548</f>
        <v>NJ</v>
      </c>
      <c r="E560" s="153" t="str">
        <f>Matrix_prices!E548</f>
        <v>PSEG</v>
      </c>
      <c r="F560" s="152" t="str">
        <f>Matrix_prices!F548</f>
        <v>GLP</v>
      </c>
      <c r="G560" s="153" t="str">
        <f>Matrix_prices!G548</f>
        <v>General L&amp;P</v>
      </c>
      <c r="H560" s="157" t="str">
        <f t="shared" si="24"/>
        <v>0-100 MWh</v>
      </c>
      <c r="I560" s="153">
        <f>(Matrix_prices!I548+$D$2)*IF($M$2="Prices in $/MWh",1,1/1000)</f>
        <v>109.71</v>
      </c>
      <c r="J560" s="152">
        <f>(Matrix_prices!J548+$D$2)*IF($M$2="Prices in $/MWh",1,1/1000)</f>
        <v>108.09</v>
      </c>
      <c r="K560" s="153">
        <f>(Matrix_prices!K548+$D$2)*IF($M$2="Prices in $/MWh",1,1/1000)</f>
        <v>110.18</v>
      </c>
      <c r="L560" s="152">
        <f>(Matrix_prices!L548+$D$2)*IF($M$2="Prices in $/MWh",1,1/1000)</f>
        <v>64.06</v>
      </c>
      <c r="M560" s="153">
        <f>(Matrix_prices!M548+$D$2)*IF($M$2="Prices in $/MWh",1,1/1000)</f>
        <v>63.26</v>
      </c>
      <c r="N560" s="152">
        <f>(Matrix_prices!N548+$D$2)*IF($M$2="Prices in $/MWh",1,1/1000)</f>
        <v>65.28</v>
      </c>
    </row>
    <row r="561" spans="3:14" x14ac:dyDescent="0.25">
      <c r="C561" s="78">
        <f>Matrix_prices!C549</f>
        <v>42461</v>
      </c>
      <c r="D561" s="79" t="str">
        <f>Matrix_prices!D549</f>
        <v>NJ</v>
      </c>
      <c r="E561" s="80" t="str">
        <f>Matrix_prices!E549</f>
        <v>PSEG</v>
      </c>
      <c r="F561" s="79" t="str">
        <f>Matrix_prices!F549</f>
        <v>GLP</v>
      </c>
      <c r="G561" s="80" t="str">
        <f>Matrix_prices!G549</f>
        <v>General L&amp;P</v>
      </c>
      <c r="H561" s="81" t="str">
        <f t="shared" si="25"/>
        <v>100-500 MWh</v>
      </c>
      <c r="I561" s="80">
        <f>(Matrix_prices!I549+$D$2)*IF($M$2="Prices in $/MWh",1,1/1000)</f>
        <v>108</v>
      </c>
      <c r="J561" s="79">
        <f>(Matrix_prices!J549+$D$2)*IF($M$2="Prices in $/MWh",1,1/1000)</f>
        <v>106.37</v>
      </c>
      <c r="K561" s="80">
        <f>(Matrix_prices!K549+$D$2)*IF($M$2="Prices in $/MWh",1,1/1000)</f>
        <v>108.46</v>
      </c>
      <c r="L561" s="79">
        <f>(Matrix_prices!L549+$D$2)*IF($M$2="Prices in $/MWh",1,1/1000)</f>
        <v>62.35</v>
      </c>
      <c r="M561" s="80">
        <f>(Matrix_prices!M549+$D$2)*IF($M$2="Prices in $/MWh",1,1/1000)</f>
        <v>61.55</v>
      </c>
      <c r="N561" s="79">
        <f>(Matrix_prices!N549+$D$2)*IF($M$2="Prices in $/MWh",1,1/1000)</f>
        <v>63.57</v>
      </c>
    </row>
    <row r="562" spans="3:14" x14ac:dyDescent="0.25">
      <c r="C562" s="82">
        <f>Matrix_prices!C550</f>
        <v>42461</v>
      </c>
      <c r="D562" s="83" t="str">
        <f>Matrix_prices!D550</f>
        <v>NJ</v>
      </c>
      <c r="E562" s="84" t="str">
        <f>Matrix_prices!E550</f>
        <v>PSEG</v>
      </c>
      <c r="F562" s="83" t="str">
        <f>Matrix_prices!F550</f>
        <v>GLP</v>
      </c>
      <c r="G562" s="84" t="str">
        <f>Matrix_prices!G550</f>
        <v>General L&amp;P</v>
      </c>
      <c r="H562" s="85" t="str">
        <f t="shared" si="26"/>
        <v>500-2500 MWh</v>
      </c>
      <c r="I562" s="84">
        <f>(Matrix_prices!I550+$D$2)*IF($M$2="Prices in $/MWh",1,1/1000)</f>
        <v>106.87</v>
      </c>
      <c r="J562" s="83">
        <f>(Matrix_prices!J550+$D$2)*IF($M$2="Prices in $/MWh",1,1/1000)</f>
        <v>105.25</v>
      </c>
      <c r="K562" s="84">
        <f>(Matrix_prices!K550+$D$2)*IF($M$2="Prices in $/MWh",1,1/1000)</f>
        <v>107.34</v>
      </c>
      <c r="L562" s="83">
        <f>(Matrix_prices!L550+$D$2)*IF($M$2="Prices in $/MWh",1,1/1000)</f>
        <v>61.22</v>
      </c>
      <c r="M562" s="84">
        <f>(Matrix_prices!M550+$D$2)*IF($M$2="Prices in $/MWh",1,1/1000)</f>
        <v>60.42</v>
      </c>
      <c r="N562" s="83">
        <f>(Matrix_prices!N550+$D$2)*IF($M$2="Prices in $/MWh",1,1/1000)</f>
        <v>62.45</v>
      </c>
    </row>
    <row r="563" spans="3:14" x14ac:dyDescent="0.25">
      <c r="C563" s="74">
        <f>Matrix_prices!C551</f>
        <v>42491</v>
      </c>
      <c r="D563" s="75" t="str">
        <f>Matrix_prices!D551</f>
        <v>NJ</v>
      </c>
      <c r="E563" s="76" t="str">
        <f>Matrix_prices!E551</f>
        <v>PSEG</v>
      </c>
      <c r="F563" s="75" t="str">
        <f>Matrix_prices!F551</f>
        <v>GLP</v>
      </c>
      <c r="G563" s="76" t="str">
        <f>Matrix_prices!G551</f>
        <v>General L&amp;P</v>
      </c>
      <c r="H563" s="157" t="str">
        <f t="shared" si="24"/>
        <v>0-100 MWh</v>
      </c>
      <c r="I563" s="76">
        <f>(Matrix_prices!I551+$D$2)*IF($M$2="Prices in $/MWh",1,1/1000)</f>
        <v>110.51</v>
      </c>
      <c r="J563" s="75">
        <f>(Matrix_prices!J551+$D$2)*IF($M$2="Prices in $/MWh",1,1/1000)</f>
        <v>108.24</v>
      </c>
      <c r="K563" s="76">
        <f>(Matrix_prices!K551+$D$2)*IF($M$2="Prices in $/MWh",1,1/1000)</f>
        <v>110.51</v>
      </c>
      <c r="L563" s="75">
        <f>(Matrix_prices!L551+$D$2)*IF($M$2="Prices in $/MWh",1,1/1000)</f>
        <v>64.83</v>
      </c>
      <c r="M563" s="76">
        <f>(Matrix_prices!M551+$D$2)*IF($M$2="Prices in $/MWh",1,1/1000)</f>
        <v>63.61</v>
      </c>
      <c r="N563" s="75">
        <f>(Matrix_prices!N551+$D$2)*IF($M$2="Prices in $/MWh",1,1/1000)</f>
        <v>65.64</v>
      </c>
    </row>
    <row r="564" spans="3:14" x14ac:dyDescent="0.25">
      <c r="C564" s="78">
        <f>Matrix_prices!C552</f>
        <v>42491</v>
      </c>
      <c r="D564" s="79" t="str">
        <f>Matrix_prices!D552</f>
        <v>NJ</v>
      </c>
      <c r="E564" s="80" t="str">
        <f>Matrix_prices!E552</f>
        <v>PSEG</v>
      </c>
      <c r="F564" s="79" t="str">
        <f>Matrix_prices!F552</f>
        <v>GLP</v>
      </c>
      <c r="G564" s="80" t="str">
        <f>Matrix_prices!G552</f>
        <v>General L&amp;P</v>
      </c>
      <c r="H564" s="81" t="str">
        <f t="shared" si="25"/>
        <v>100-500 MWh</v>
      </c>
      <c r="I564" s="80">
        <f>(Matrix_prices!I552+$D$2)*IF($M$2="Prices in $/MWh",1,1/1000)</f>
        <v>108.8</v>
      </c>
      <c r="J564" s="79">
        <f>(Matrix_prices!J552+$D$2)*IF($M$2="Prices in $/MWh",1,1/1000)</f>
        <v>106.53</v>
      </c>
      <c r="K564" s="80">
        <f>(Matrix_prices!K552+$D$2)*IF($M$2="Prices in $/MWh",1,1/1000)</f>
        <v>108.8</v>
      </c>
      <c r="L564" s="79">
        <f>(Matrix_prices!L552+$D$2)*IF($M$2="Prices in $/MWh",1,1/1000)</f>
        <v>63.12</v>
      </c>
      <c r="M564" s="80">
        <f>(Matrix_prices!M552+$D$2)*IF($M$2="Prices in $/MWh",1,1/1000)</f>
        <v>61.9</v>
      </c>
      <c r="N564" s="79">
        <f>(Matrix_prices!N552+$D$2)*IF($M$2="Prices in $/MWh",1,1/1000)</f>
        <v>63.93</v>
      </c>
    </row>
    <row r="565" spans="3:14" x14ac:dyDescent="0.25">
      <c r="C565" s="82">
        <f>Matrix_prices!C553</f>
        <v>42491</v>
      </c>
      <c r="D565" s="83" t="str">
        <f>Matrix_prices!D553</f>
        <v>NJ</v>
      </c>
      <c r="E565" s="84" t="str">
        <f>Matrix_prices!E553</f>
        <v>PSEG</v>
      </c>
      <c r="F565" s="83" t="str">
        <f>Matrix_prices!F553</f>
        <v>GLP</v>
      </c>
      <c r="G565" s="84" t="str">
        <f>Matrix_prices!G553</f>
        <v>General L&amp;P</v>
      </c>
      <c r="H565" s="85" t="str">
        <f t="shared" si="26"/>
        <v>500-2500 MWh</v>
      </c>
      <c r="I565" s="84">
        <f>(Matrix_prices!I553+$D$2)*IF($M$2="Prices in $/MWh",1,1/1000)</f>
        <v>107.67</v>
      </c>
      <c r="J565" s="83">
        <f>(Matrix_prices!J553+$D$2)*IF($M$2="Prices in $/MWh",1,1/1000)</f>
        <v>105.41</v>
      </c>
      <c r="K565" s="84">
        <f>(Matrix_prices!K553+$D$2)*IF($M$2="Prices in $/MWh",1,1/1000)</f>
        <v>107.67</v>
      </c>
      <c r="L565" s="83">
        <f>(Matrix_prices!L553+$D$2)*IF($M$2="Prices in $/MWh",1,1/1000)</f>
        <v>61.99</v>
      </c>
      <c r="M565" s="84">
        <f>(Matrix_prices!M553+$D$2)*IF($M$2="Prices in $/MWh",1,1/1000)</f>
        <v>60.77</v>
      </c>
      <c r="N565" s="83">
        <f>(Matrix_prices!N553+$D$2)*IF($M$2="Prices in $/MWh",1,1/1000)</f>
        <v>62.8</v>
      </c>
    </row>
    <row r="566" spans="3:14" x14ac:dyDescent="0.25">
      <c r="C566" s="151">
        <f>Matrix_prices!C554</f>
        <v>42522</v>
      </c>
      <c r="D566" s="152" t="str">
        <f>Matrix_prices!D554</f>
        <v>NJ</v>
      </c>
      <c r="E566" s="153" t="str">
        <f>Matrix_prices!E554</f>
        <v>PSEG</v>
      </c>
      <c r="F566" s="152" t="str">
        <f>Matrix_prices!F554</f>
        <v>GLP</v>
      </c>
      <c r="G566" s="153" t="str">
        <f>Matrix_prices!G554</f>
        <v>General L&amp;P</v>
      </c>
      <c r="H566" s="157" t="str">
        <f t="shared" si="24"/>
        <v>0-100 MWh</v>
      </c>
      <c r="I566" s="153">
        <f>(Matrix_prices!I554+$D$2)*IF($M$2="Prices in $/MWh",1,1/1000)</f>
        <v>111.2</v>
      </c>
      <c r="J566" s="152">
        <f>(Matrix_prices!J554+$D$2)*IF($M$2="Prices in $/MWh",1,1/1000)</f>
        <v>108.63</v>
      </c>
      <c r="K566" s="153">
        <f>(Matrix_prices!K554+$D$2)*IF($M$2="Prices in $/MWh",1,1/1000)</f>
        <v>110.82</v>
      </c>
      <c r="L566" s="152">
        <f>(Matrix_prices!L554+$D$2)*IF($M$2="Prices in $/MWh",1,1/1000)</f>
        <v>65.59</v>
      </c>
      <c r="M566" s="153">
        <f>(Matrix_prices!M554+$D$2)*IF($M$2="Prices in $/MWh",1,1/1000)</f>
        <v>64.28</v>
      </c>
      <c r="N566" s="152">
        <f>(Matrix_prices!N554+$D$2)*IF($M$2="Prices in $/MWh",1,1/1000)</f>
        <v>65.98</v>
      </c>
    </row>
    <row r="567" spans="3:14" x14ac:dyDescent="0.25">
      <c r="C567" s="78">
        <f>Matrix_prices!C555</f>
        <v>42522</v>
      </c>
      <c r="D567" s="79" t="str">
        <f>Matrix_prices!D555</f>
        <v>NJ</v>
      </c>
      <c r="E567" s="80" t="str">
        <f>Matrix_prices!E555</f>
        <v>PSEG</v>
      </c>
      <c r="F567" s="79" t="str">
        <f>Matrix_prices!F555</f>
        <v>GLP</v>
      </c>
      <c r="G567" s="80" t="str">
        <f>Matrix_prices!G555</f>
        <v>General L&amp;P</v>
      </c>
      <c r="H567" s="81" t="str">
        <f t="shared" si="25"/>
        <v>100-500 MWh</v>
      </c>
      <c r="I567" s="80">
        <f>(Matrix_prices!I555+$D$2)*IF($M$2="Prices in $/MWh",1,1/1000)</f>
        <v>109.49</v>
      </c>
      <c r="J567" s="79">
        <f>(Matrix_prices!J555+$D$2)*IF($M$2="Prices in $/MWh",1,1/1000)</f>
        <v>106.91</v>
      </c>
      <c r="K567" s="80">
        <f>(Matrix_prices!K555+$D$2)*IF($M$2="Prices in $/MWh",1,1/1000)</f>
        <v>109.11</v>
      </c>
      <c r="L567" s="79">
        <f>(Matrix_prices!L555+$D$2)*IF($M$2="Prices in $/MWh",1,1/1000)</f>
        <v>63.88</v>
      </c>
      <c r="M567" s="80">
        <f>(Matrix_prices!M555+$D$2)*IF($M$2="Prices in $/MWh",1,1/1000)</f>
        <v>62.57</v>
      </c>
      <c r="N567" s="79">
        <f>(Matrix_prices!N555+$D$2)*IF($M$2="Prices in $/MWh",1,1/1000)</f>
        <v>64.27</v>
      </c>
    </row>
    <row r="568" spans="3:14" x14ac:dyDescent="0.25">
      <c r="C568" s="82">
        <f>Matrix_prices!C556</f>
        <v>42522</v>
      </c>
      <c r="D568" s="83" t="str">
        <f>Matrix_prices!D556</f>
        <v>NJ</v>
      </c>
      <c r="E568" s="84" t="str">
        <f>Matrix_prices!E556</f>
        <v>PSEG</v>
      </c>
      <c r="F568" s="83" t="str">
        <f>Matrix_prices!F556</f>
        <v>GLP</v>
      </c>
      <c r="G568" s="84" t="str">
        <f>Matrix_prices!G556</f>
        <v>General L&amp;P</v>
      </c>
      <c r="H568" s="85" t="str">
        <f t="shared" si="26"/>
        <v>500-2500 MWh</v>
      </c>
      <c r="I568" s="84">
        <f>(Matrix_prices!I556+$D$2)*IF($M$2="Prices in $/MWh",1,1/1000)</f>
        <v>108.37</v>
      </c>
      <c r="J568" s="83">
        <f>(Matrix_prices!J556+$D$2)*IF($M$2="Prices in $/MWh",1,1/1000)</f>
        <v>105.79</v>
      </c>
      <c r="K568" s="84">
        <f>(Matrix_prices!K556+$D$2)*IF($M$2="Prices in $/MWh",1,1/1000)</f>
        <v>107.98</v>
      </c>
      <c r="L568" s="83">
        <f>(Matrix_prices!L556+$D$2)*IF($M$2="Prices in $/MWh",1,1/1000)</f>
        <v>62.75</v>
      </c>
      <c r="M568" s="84">
        <f>(Matrix_prices!M556+$D$2)*IF($M$2="Prices in $/MWh",1,1/1000)</f>
        <v>61.45</v>
      </c>
      <c r="N568" s="83">
        <f>(Matrix_prices!N556+$D$2)*IF($M$2="Prices in $/MWh",1,1/1000)</f>
        <v>63.14</v>
      </c>
    </row>
    <row r="569" spans="3:14" x14ac:dyDescent="0.25">
      <c r="C569" s="74">
        <f>Matrix_prices!C557</f>
        <v>42552</v>
      </c>
      <c r="D569" s="75" t="str">
        <f>Matrix_prices!D557</f>
        <v>NJ</v>
      </c>
      <c r="E569" s="76" t="str">
        <f>Matrix_prices!E557</f>
        <v>PSEG</v>
      </c>
      <c r="F569" s="75" t="str">
        <f>Matrix_prices!F557</f>
        <v>GLP</v>
      </c>
      <c r="G569" s="76" t="str">
        <f>Matrix_prices!G557</f>
        <v>General L&amp;P</v>
      </c>
      <c r="H569" s="157" t="str">
        <f t="shared" si="24"/>
        <v>0-100 MWh</v>
      </c>
      <c r="I569" s="76">
        <f>(Matrix_prices!I557+$D$2)*IF($M$2="Prices in $/MWh",1,1/1000)</f>
        <v>111.21</v>
      </c>
      <c r="J569" s="75">
        <f>(Matrix_prices!J557+$D$2)*IF($M$2="Prices in $/MWh",1,1/1000)</f>
        <v>109.08</v>
      </c>
      <c r="K569" s="76">
        <f>(Matrix_prices!K557+$D$2)*IF($M$2="Prices in $/MWh",1,1/1000)</f>
        <v>110.82</v>
      </c>
      <c r="L569" s="75">
        <f>(Matrix_prices!L557+$D$2)*IF($M$2="Prices in $/MWh",1,1/1000)</f>
        <v>65.75</v>
      </c>
      <c r="M569" s="76">
        <f>(Matrix_prices!M557+$D$2)*IF($M$2="Prices in $/MWh",1,1/1000)</f>
        <v>65.069999999999993</v>
      </c>
      <c r="N569" s="75">
        <f>(Matrix_prices!N557+$D$2)*IF($M$2="Prices in $/MWh",1,1/1000)</f>
        <v>66.14</v>
      </c>
    </row>
    <row r="570" spans="3:14" x14ac:dyDescent="0.25">
      <c r="C570" s="78">
        <f>Matrix_prices!C558</f>
        <v>42552</v>
      </c>
      <c r="D570" s="79" t="str">
        <f>Matrix_prices!D558</f>
        <v>NJ</v>
      </c>
      <c r="E570" s="80" t="str">
        <f>Matrix_prices!E558</f>
        <v>PSEG</v>
      </c>
      <c r="F570" s="79" t="str">
        <f>Matrix_prices!F558</f>
        <v>GLP</v>
      </c>
      <c r="G570" s="80" t="str">
        <f>Matrix_prices!G558</f>
        <v>General L&amp;P</v>
      </c>
      <c r="H570" s="81" t="str">
        <f t="shared" si="25"/>
        <v>100-500 MWh</v>
      </c>
      <c r="I570" s="80">
        <f>(Matrix_prices!I558+$D$2)*IF($M$2="Prices in $/MWh",1,1/1000)</f>
        <v>109.5</v>
      </c>
      <c r="J570" s="79">
        <f>(Matrix_prices!J558+$D$2)*IF($M$2="Prices in $/MWh",1,1/1000)</f>
        <v>107.37</v>
      </c>
      <c r="K570" s="80">
        <f>(Matrix_prices!K558+$D$2)*IF($M$2="Prices in $/MWh",1,1/1000)</f>
        <v>109.11</v>
      </c>
      <c r="L570" s="79">
        <f>(Matrix_prices!L558+$D$2)*IF($M$2="Prices in $/MWh",1,1/1000)</f>
        <v>64.040000000000006</v>
      </c>
      <c r="M570" s="80">
        <f>(Matrix_prices!M558+$D$2)*IF($M$2="Prices in $/MWh",1,1/1000)</f>
        <v>63.36</v>
      </c>
      <c r="N570" s="79">
        <f>(Matrix_prices!N558+$D$2)*IF($M$2="Prices in $/MWh",1,1/1000)</f>
        <v>64.430000000000007</v>
      </c>
    </row>
    <row r="571" spans="3:14" x14ac:dyDescent="0.25">
      <c r="C571" s="82">
        <f>Matrix_prices!C559</f>
        <v>42552</v>
      </c>
      <c r="D571" s="83" t="str">
        <f>Matrix_prices!D559</f>
        <v>NJ</v>
      </c>
      <c r="E571" s="84" t="str">
        <f>Matrix_prices!E559</f>
        <v>PSEG</v>
      </c>
      <c r="F571" s="83" t="str">
        <f>Matrix_prices!F559</f>
        <v>GLP</v>
      </c>
      <c r="G571" s="84" t="str">
        <f>Matrix_prices!G559</f>
        <v>General L&amp;P</v>
      </c>
      <c r="H571" s="85" t="str">
        <f t="shared" si="26"/>
        <v>500-2500 MWh</v>
      </c>
      <c r="I571" s="84">
        <f>(Matrix_prices!I559+$D$2)*IF($M$2="Prices in $/MWh",1,1/1000)</f>
        <v>108.38</v>
      </c>
      <c r="J571" s="83">
        <f>(Matrix_prices!J559+$D$2)*IF($M$2="Prices in $/MWh",1,1/1000)</f>
        <v>106.25</v>
      </c>
      <c r="K571" s="84">
        <f>(Matrix_prices!K559+$D$2)*IF($M$2="Prices in $/MWh",1,1/1000)</f>
        <v>107.99</v>
      </c>
      <c r="L571" s="83">
        <f>(Matrix_prices!L559+$D$2)*IF($M$2="Prices in $/MWh",1,1/1000)</f>
        <v>62.91</v>
      </c>
      <c r="M571" s="84">
        <f>(Matrix_prices!M559+$D$2)*IF($M$2="Prices in $/MWh",1,1/1000)</f>
        <v>62.23</v>
      </c>
      <c r="N571" s="83">
        <f>(Matrix_prices!N559+$D$2)*IF($M$2="Prices in $/MWh",1,1/1000)</f>
        <v>63.3</v>
      </c>
    </row>
    <row r="572" spans="3:14" x14ac:dyDescent="0.25">
      <c r="C572" s="151">
        <f>Matrix_prices!C560</f>
        <v>42583</v>
      </c>
      <c r="D572" s="152" t="str">
        <f>Matrix_prices!D560</f>
        <v>NJ</v>
      </c>
      <c r="E572" s="153" t="str">
        <f>Matrix_prices!E560</f>
        <v>PSEG</v>
      </c>
      <c r="F572" s="152" t="str">
        <f>Matrix_prices!F560</f>
        <v>GLP</v>
      </c>
      <c r="G572" s="153" t="str">
        <f>Matrix_prices!G560</f>
        <v>General L&amp;P</v>
      </c>
      <c r="H572" s="157" t="str">
        <f t="shared" si="24"/>
        <v>0-100 MWh</v>
      </c>
      <c r="I572" s="153">
        <f>(Matrix_prices!I560+$D$2)*IF($M$2="Prices in $/MWh",1,1/1000)</f>
        <v>111.31</v>
      </c>
      <c r="J572" s="152">
        <f>(Matrix_prices!J560+$D$2)*IF($M$2="Prices in $/MWh",1,1/1000)</f>
        <v>110.62</v>
      </c>
      <c r="K572" s="153">
        <f>(Matrix_prices!K560+$D$2)*IF($M$2="Prices in $/MWh",1,1/1000)</f>
        <v>111.03</v>
      </c>
      <c r="L572" s="152">
        <f>(Matrix_prices!L560+$D$2)*IF($M$2="Prices in $/MWh",1,1/1000)</f>
        <v>66.27</v>
      </c>
      <c r="M572" s="153">
        <f>(Matrix_prices!M560+$D$2)*IF($M$2="Prices in $/MWh",1,1/1000)</f>
        <v>66.28</v>
      </c>
      <c r="N572" s="152">
        <f>(Matrix_prices!N560+$D$2)*IF($M$2="Prices in $/MWh",1,1/1000)</f>
        <v>66.569999999999993</v>
      </c>
    </row>
    <row r="573" spans="3:14" x14ac:dyDescent="0.25">
      <c r="C573" s="78">
        <f>Matrix_prices!C561</f>
        <v>42583</v>
      </c>
      <c r="D573" s="79" t="str">
        <f>Matrix_prices!D561</f>
        <v>NJ</v>
      </c>
      <c r="E573" s="80" t="str">
        <f>Matrix_prices!E561</f>
        <v>PSEG</v>
      </c>
      <c r="F573" s="79" t="str">
        <f>Matrix_prices!F561</f>
        <v>GLP</v>
      </c>
      <c r="G573" s="80" t="str">
        <f>Matrix_prices!G561</f>
        <v>General L&amp;P</v>
      </c>
      <c r="H573" s="81" t="str">
        <f t="shared" si="25"/>
        <v>100-500 MWh</v>
      </c>
      <c r="I573" s="80">
        <f>(Matrix_prices!I561+$D$2)*IF($M$2="Prices in $/MWh",1,1/1000)</f>
        <v>109.59</v>
      </c>
      <c r="J573" s="79">
        <f>(Matrix_prices!J561+$D$2)*IF($M$2="Prices in $/MWh",1,1/1000)</f>
        <v>108.91</v>
      </c>
      <c r="K573" s="80">
        <f>(Matrix_prices!K561+$D$2)*IF($M$2="Prices in $/MWh",1,1/1000)</f>
        <v>109.31</v>
      </c>
      <c r="L573" s="79">
        <f>(Matrix_prices!L561+$D$2)*IF($M$2="Prices in $/MWh",1,1/1000)</f>
        <v>64.56</v>
      </c>
      <c r="M573" s="80">
        <f>(Matrix_prices!M561+$D$2)*IF($M$2="Prices in $/MWh",1,1/1000)</f>
        <v>64.569999999999993</v>
      </c>
      <c r="N573" s="79">
        <f>(Matrix_prices!N561+$D$2)*IF($M$2="Prices in $/MWh",1,1/1000)</f>
        <v>64.86</v>
      </c>
    </row>
    <row r="574" spans="3:14" x14ac:dyDescent="0.25">
      <c r="C574" s="82">
        <f>Matrix_prices!C562</f>
        <v>42583</v>
      </c>
      <c r="D574" s="83" t="str">
        <f>Matrix_prices!D562</f>
        <v>NJ</v>
      </c>
      <c r="E574" s="84" t="str">
        <f>Matrix_prices!E562</f>
        <v>PSEG</v>
      </c>
      <c r="F574" s="83" t="str">
        <f>Matrix_prices!F562</f>
        <v>GLP</v>
      </c>
      <c r="G574" s="84" t="str">
        <f>Matrix_prices!G562</f>
        <v>General L&amp;P</v>
      </c>
      <c r="H574" s="85" t="str">
        <f t="shared" si="26"/>
        <v>500-2500 MWh</v>
      </c>
      <c r="I574" s="84">
        <f>(Matrix_prices!I562+$D$2)*IF($M$2="Prices in $/MWh",1,1/1000)</f>
        <v>108.47</v>
      </c>
      <c r="J574" s="83">
        <f>(Matrix_prices!J562+$D$2)*IF($M$2="Prices in $/MWh",1,1/1000)</f>
        <v>107.79</v>
      </c>
      <c r="K574" s="84">
        <f>(Matrix_prices!K562+$D$2)*IF($M$2="Prices in $/MWh",1,1/1000)</f>
        <v>108.19</v>
      </c>
      <c r="L574" s="83">
        <f>(Matrix_prices!L562+$D$2)*IF($M$2="Prices in $/MWh",1,1/1000)</f>
        <v>63.43</v>
      </c>
      <c r="M574" s="84">
        <f>(Matrix_prices!M562+$D$2)*IF($M$2="Prices in $/MWh",1,1/1000)</f>
        <v>63.45</v>
      </c>
      <c r="N574" s="83">
        <f>(Matrix_prices!N562+$D$2)*IF($M$2="Prices in $/MWh",1,1/1000)</f>
        <v>63.73</v>
      </c>
    </row>
    <row r="575" spans="3:14" x14ac:dyDescent="0.25">
      <c r="C575" s="74">
        <f>Matrix_prices!C563</f>
        <v>42614</v>
      </c>
      <c r="D575" s="75" t="str">
        <f>Matrix_prices!D563</f>
        <v>NJ</v>
      </c>
      <c r="E575" s="76" t="str">
        <f>Matrix_prices!E563</f>
        <v>PSEG</v>
      </c>
      <c r="F575" s="75" t="str">
        <f>Matrix_prices!F563</f>
        <v>GLP</v>
      </c>
      <c r="G575" s="76" t="str">
        <f>Matrix_prices!G563</f>
        <v>General L&amp;P</v>
      </c>
      <c r="H575" s="157" t="str">
        <f t="shared" si="24"/>
        <v>0-100 MWh</v>
      </c>
      <c r="I575" s="76">
        <f>(Matrix_prices!I563+$D$2)*IF($M$2="Prices in $/MWh",1,1/1000)</f>
        <v>111.04</v>
      </c>
      <c r="J575" s="75">
        <f>(Matrix_prices!J563+$D$2)*IF($M$2="Prices in $/MWh",1,1/1000)</f>
        <v>111.93</v>
      </c>
      <c r="K575" s="76">
        <f>(Matrix_prices!K563+$D$2)*IF($M$2="Prices in $/MWh",1,1/1000)</f>
        <v>111.01</v>
      </c>
      <c r="L575" s="75">
        <f>(Matrix_prices!L563+$D$2)*IF($M$2="Prices in $/MWh",1,1/1000)</f>
        <v>66.260000000000005</v>
      </c>
      <c r="M575" s="76">
        <f>(Matrix_prices!M563+$D$2)*IF($M$2="Prices in $/MWh",1,1/1000)</f>
        <v>67.25</v>
      </c>
      <c r="N575" s="75">
        <f>(Matrix_prices!N563+$D$2)*IF($M$2="Prices in $/MWh",1,1/1000)</f>
        <v>66.739999999999995</v>
      </c>
    </row>
    <row r="576" spans="3:14" x14ac:dyDescent="0.25">
      <c r="C576" s="78">
        <f>Matrix_prices!C564</f>
        <v>42614</v>
      </c>
      <c r="D576" s="79" t="str">
        <f>Matrix_prices!D564</f>
        <v>NJ</v>
      </c>
      <c r="E576" s="80" t="str">
        <f>Matrix_prices!E564</f>
        <v>PSEG</v>
      </c>
      <c r="F576" s="79" t="str">
        <f>Matrix_prices!F564</f>
        <v>GLP</v>
      </c>
      <c r="G576" s="80" t="str">
        <f>Matrix_prices!G564</f>
        <v>General L&amp;P</v>
      </c>
      <c r="H576" s="81" t="str">
        <f t="shared" si="25"/>
        <v>100-500 MWh</v>
      </c>
      <c r="I576" s="80">
        <f>(Matrix_prices!I564+$D$2)*IF($M$2="Prices in $/MWh",1,1/1000)</f>
        <v>109.33</v>
      </c>
      <c r="J576" s="79">
        <f>(Matrix_prices!J564+$D$2)*IF($M$2="Prices in $/MWh",1,1/1000)</f>
        <v>110.21</v>
      </c>
      <c r="K576" s="80">
        <f>(Matrix_prices!K564+$D$2)*IF($M$2="Prices in $/MWh",1,1/1000)</f>
        <v>109.29</v>
      </c>
      <c r="L576" s="79">
        <f>(Matrix_prices!L564+$D$2)*IF($M$2="Prices in $/MWh",1,1/1000)</f>
        <v>64.55</v>
      </c>
      <c r="M576" s="80">
        <f>(Matrix_prices!M564+$D$2)*IF($M$2="Prices in $/MWh",1,1/1000)</f>
        <v>65.540000000000006</v>
      </c>
      <c r="N576" s="79">
        <f>(Matrix_prices!N564+$D$2)*IF($M$2="Prices in $/MWh",1,1/1000)</f>
        <v>65.03</v>
      </c>
    </row>
    <row r="577" spans="3:14" x14ac:dyDescent="0.25">
      <c r="C577" s="82">
        <f>Matrix_prices!C565</f>
        <v>42614</v>
      </c>
      <c r="D577" s="83" t="str">
        <f>Matrix_prices!D565</f>
        <v>NJ</v>
      </c>
      <c r="E577" s="84" t="str">
        <f>Matrix_prices!E565</f>
        <v>PSEG</v>
      </c>
      <c r="F577" s="83" t="str">
        <f>Matrix_prices!F565</f>
        <v>GLP</v>
      </c>
      <c r="G577" s="84" t="str">
        <f>Matrix_prices!G565</f>
        <v>General L&amp;P</v>
      </c>
      <c r="H577" s="85" t="str">
        <f t="shared" si="26"/>
        <v>500-2500 MWh</v>
      </c>
      <c r="I577" s="84">
        <f>(Matrix_prices!I565+$D$2)*IF($M$2="Prices in $/MWh",1,1/1000)</f>
        <v>108.21</v>
      </c>
      <c r="J577" s="83">
        <f>(Matrix_prices!J565+$D$2)*IF($M$2="Prices in $/MWh",1,1/1000)</f>
        <v>109.09</v>
      </c>
      <c r="K577" s="84">
        <f>(Matrix_prices!K565+$D$2)*IF($M$2="Prices in $/MWh",1,1/1000)</f>
        <v>108.17</v>
      </c>
      <c r="L577" s="83">
        <f>(Matrix_prices!L565+$D$2)*IF($M$2="Prices in $/MWh",1,1/1000)</f>
        <v>63.42</v>
      </c>
      <c r="M577" s="84">
        <f>(Matrix_prices!M565+$D$2)*IF($M$2="Prices in $/MWh",1,1/1000)</f>
        <v>64.42</v>
      </c>
      <c r="N577" s="83">
        <f>(Matrix_prices!N565+$D$2)*IF($M$2="Prices in $/MWh",1,1/1000)</f>
        <v>63.9</v>
      </c>
    </row>
    <row r="578" spans="3:14" x14ac:dyDescent="0.25">
      <c r="C578" s="151">
        <f>Matrix_prices!C566</f>
        <v>42644</v>
      </c>
      <c r="D578" s="152" t="str">
        <f>Matrix_prices!D566</f>
        <v>NJ</v>
      </c>
      <c r="E578" s="153" t="str">
        <f>Matrix_prices!E566</f>
        <v>PSEG</v>
      </c>
      <c r="F578" s="152" t="str">
        <f>Matrix_prices!F566</f>
        <v>GLP</v>
      </c>
      <c r="G578" s="153" t="str">
        <f>Matrix_prices!G566</f>
        <v>General L&amp;P</v>
      </c>
      <c r="H578" s="157" t="str">
        <f t="shared" si="24"/>
        <v>0-100 MWh</v>
      </c>
      <c r="I578" s="153">
        <f>(Matrix_prices!I566+$D$2)*IF($M$2="Prices in $/MWh",1,1/1000)</f>
        <v>110.92</v>
      </c>
      <c r="J578" s="152">
        <f>(Matrix_prices!J566+$D$2)*IF($M$2="Prices in $/MWh",1,1/1000)</f>
        <v>112.85</v>
      </c>
      <c r="K578" s="153">
        <f>(Matrix_prices!K566+$D$2)*IF($M$2="Prices in $/MWh",1,1/1000)</f>
        <v>111</v>
      </c>
      <c r="L578" s="152">
        <f>(Matrix_prices!L566+$D$2)*IF($M$2="Prices in $/MWh",1,1/1000)</f>
        <v>66.34</v>
      </c>
      <c r="M578" s="153">
        <f>(Matrix_prices!M566+$D$2)*IF($M$2="Prices in $/MWh",1,1/1000)</f>
        <v>68.099999999999994</v>
      </c>
      <c r="N578" s="152">
        <f>(Matrix_prices!N566+$D$2)*IF($M$2="Prices in $/MWh",1,1/1000)</f>
        <v>66.94</v>
      </c>
    </row>
    <row r="579" spans="3:14" x14ac:dyDescent="0.25">
      <c r="C579" s="78">
        <f>Matrix_prices!C567</f>
        <v>42644</v>
      </c>
      <c r="D579" s="79" t="str">
        <f>Matrix_prices!D567</f>
        <v>NJ</v>
      </c>
      <c r="E579" s="80" t="str">
        <f>Matrix_prices!E567</f>
        <v>PSEG</v>
      </c>
      <c r="F579" s="79" t="str">
        <f>Matrix_prices!F567</f>
        <v>GLP</v>
      </c>
      <c r="G579" s="80" t="str">
        <f>Matrix_prices!G567</f>
        <v>General L&amp;P</v>
      </c>
      <c r="H579" s="81" t="str">
        <f t="shared" si="25"/>
        <v>100-500 MWh</v>
      </c>
      <c r="I579" s="80">
        <f>(Matrix_prices!I567+$D$2)*IF($M$2="Prices in $/MWh",1,1/1000)</f>
        <v>109.2</v>
      </c>
      <c r="J579" s="79">
        <f>(Matrix_prices!J567+$D$2)*IF($M$2="Prices in $/MWh",1,1/1000)</f>
        <v>111.14</v>
      </c>
      <c r="K579" s="80">
        <f>(Matrix_prices!K567+$D$2)*IF($M$2="Prices in $/MWh",1,1/1000)</f>
        <v>109.29</v>
      </c>
      <c r="L579" s="79">
        <f>(Matrix_prices!L567+$D$2)*IF($M$2="Prices in $/MWh",1,1/1000)</f>
        <v>64.63</v>
      </c>
      <c r="M579" s="80">
        <f>(Matrix_prices!M567+$D$2)*IF($M$2="Prices in $/MWh",1,1/1000)</f>
        <v>66.39</v>
      </c>
      <c r="N579" s="79">
        <f>(Matrix_prices!N567+$D$2)*IF($M$2="Prices in $/MWh",1,1/1000)</f>
        <v>65.23</v>
      </c>
    </row>
    <row r="580" spans="3:14" x14ac:dyDescent="0.25">
      <c r="C580" s="82">
        <f>Matrix_prices!C568</f>
        <v>42644</v>
      </c>
      <c r="D580" s="83" t="str">
        <f>Matrix_prices!D568</f>
        <v>NJ</v>
      </c>
      <c r="E580" s="84" t="str">
        <f>Matrix_prices!E568</f>
        <v>PSEG</v>
      </c>
      <c r="F580" s="83" t="str">
        <f>Matrix_prices!F568</f>
        <v>GLP</v>
      </c>
      <c r="G580" s="84" t="str">
        <f>Matrix_prices!G568</f>
        <v>General L&amp;P</v>
      </c>
      <c r="H580" s="85" t="str">
        <f t="shared" si="26"/>
        <v>500-2500 MWh</v>
      </c>
      <c r="I580" s="84">
        <f>(Matrix_prices!I568+$D$2)*IF($M$2="Prices in $/MWh",1,1/1000)</f>
        <v>108.08</v>
      </c>
      <c r="J580" s="83">
        <f>(Matrix_prices!J568+$D$2)*IF($M$2="Prices in $/MWh",1,1/1000)</f>
        <v>110.02</v>
      </c>
      <c r="K580" s="84">
        <f>(Matrix_prices!K568+$D$2)*IF($M$2="Prices in $/MWh",1,1/1000)</f>
        <v>108.17</v>
      </c>
      <c r="L580" s="83">
        <f>(Matrix_prices!L568+$D$2)*IF($M$2="Prices in $/MWh",1,1/1000)</f>
        <v>63.5</v>
      </c>
      <c r="M580" s="84">
        <f>(Matrix_prices!M568+$D$2)*IF($M$2="Prices in $/MWh",1,1/1000)</f>
        <v>65.27</v>
      </c>
      <c r="N580" s="83">
        <f>(Matrix_prices!N568+$D$2)*IF($M$2="Prices in $/MWh",1,1/1000)</f>
        <v>64.11</v>
      </c>
    </row>
    <row r="581" spans="3:14" x14ac:dyDescent="0.25">
      <c r="C581" s="74">
        <f>Matrix_prices!C569</f>
        <v>42675</v>
      </c>
      <c r="D581" s="75" t="str">
        <f>Matrix_prices!D569</f>
        <v>NJ</v>
      </c>
      <c r="E581" s="76" t="str">
        <f>Matrix_prices!E569</f>
        <v>PSEG</v>
      </c>
      <c r="F581" s="75" t="str">
        <f>Matrix_prices!F569</f>
        <v>GLP</v>
      </c>
      <c r="G581" s="76" t="str">
        <f>Matrix_prices!G569</f>
        <v>General L&amp;P</v>
      </c>
      <c r="H581" s="157" t="str">
        <f t="shared" si="24"/>
        <v>0-100 MWh</v>
      </c>
      <c r="I581" s="76">
        <f>(Matrix_prices!I569+$D$2)*IF($M$2="Prices in $/MWh",1,1/1000)</f>
        <v>110.8</v>
      </c>
      <c r="J581" s="75">
        <f>(Matrix_prices!J569+$D$2)*IF($M$2="Prices in $/MWh",1,1/1000)</f>
        <v>113.08</v>
      </c>
      <c r="K581" s="76">
        <f>(Matrix_prices!K569+$D$2)*IF($M$2="Prices in $/MWh",1,1/1000)</f>
        <v>111.02</v>
      </c>
      <c r="L581" s="75">
        <f>(Matrix_prices!L569+$D$2)*IF($M$2="Prices in $/MWh",1,1/1000)</f>
        <v>66.44</v>
      </c>
      <c r="M581" s="76">
        <f>(Matrix_prices!M569+$D$2)*IF($M$2="Prices in $/MWh",1,1/1000)</f>
        <v>68.31</v>
      </c>
      <c r="N581" s="75">
        <f>(Matrix_prices!N569+$D$2)*IF($M$2="Prices in $/MWh",1,1/1000)</f>
        <v>67.14</v>
      </c>
    </row>
    <row r="582" spans="3:14" x14ac:dyDescent="0.25">
      <c r="C582" s="78">
        <f>Matrix_prices!C570</f>
        <v>42675</v>
      </c>
      <c r="D582" s="79" t="str">
        <f>Matrix_prices!D570</f>
        <v>NJ</v>
      </c>
      <c r="E582" s="80" t="str">
        <f>Matrix_prices!E570</f>
        <v>PSEG</v>
      </c>
      <c r="F582" s="79" t="str">
        <f>Matrix_prices!F570</f>
        <v>GLP</v>
      </c>
      <c r="G582" s="80" t="str">
        <f>Matrix_prices!G570</f>
        <v>General L&amp;P</v>
      </c>
      <c r="H582" s="81" t="str">
        <f t="shared" si="25"/>
        <v>100-500 MWh</v>
      </c>
      <c r="I582" s="80">
        <f>(Matrix_prices!I570+$D$2)*IF($M$2="Prices in $/MWh",1,1/1000)</f>
        <v>109.09</v>
      </c>
      <c r="J582" s="79">
        <f>(Matrix_prices!J570+$D$2)*IF($M$2="Prices in $/MWh",1,1/1000)</f>
        <v>111.37</v>
      </c>
      <c r="K582" s="80">
        <f>(Matrix_prices!K570+$D$2)*IF($M$2="Prices in $/MWh",1,1/1000)</f>
        <v>109.31</v>
      </c>
      <c r="L582" s="79">
        <f>(Matrix_prices!L570+$D$2)*IF($M$2="Prices in $/MWh",1,1/1000)</f>
        <v>64.73</v>
      </c>
      <c r="M582" s="80">
        <f>(Matrix_prices!M570+$D$2)*IF($M$2="Prices in $/MWh",1,1/1000)</f>
        <v>66.599999999999994</v>
      </c>
      <c r="N582" s="79">
        <f>(Matrix_prices!N570+$D$2)*IF($M$2="Prices in $/MWh",1,1/1000)</f>
        <v>65.430000000000007</v>
      </c>
    </row>
    <row r="583" spans="3:14" x14ac:dyDescent="0.25">
      <c r="C583" s="82">
        <f>Matrix_prices!C571</f>
        <v>42675</v>
      </c>
      <c r="D583" s="83" t="str">
        <f>Matrix_prices!D571</f>
        <v>NJ</v>
      </c>
      <c r="E583" s="84" t="str">
        <f>Matrix_prices!E571</f>
        <v>PSEG</v>
      </c>
      <c r="F583" s="83" t="str">
        <f>Matrix_prices!F571</f>
        <v>GLP</v>
      </c>
      <c r="G583" s="84" t="str">
        <f>Matrix_prices!G571</f>
        <v>General L&amp;P</v>
      </c>
      <c r="H583" s="85" t="str">
        <f t="shared" si="26"/>
        <v>500-2500 MWh</v>
      </c>
      <c r="I583" s="84">
        <f>(Matrix_prices!I571+$D$2)*IF($M$2="Prices in $/MWh",1,1/1000)</f>
        <v>107.97</v>
      </c>
      <c r="J583" s="83">
        <f>(Matrix_prices!J571+$D$2)*IF($M$2="Prices in $/MWh",1,1/1000)</f>
        <v>110.24</v>
      </c>
      <c r="K583" s="84">
        <f>(Matrix_prices!K571+$D$2)*IF($M$2="Prices in $/MWh",1,1/1000)</f>
        <v>108.18</v>
      </c>
      <c r="L583" s="83">
        <f>(Matrix_prices!L571+$D$2)*IF($M$2="Prices in $/MWh",1,1/1000)</f>
        <v>63.6</v>
      </c>
      <c r="M583" s="84">
        <f>(Matrix_prices!M571+$D$2)*IF($M$2="Prices in $/MWh",1,1/1000)</f>
        <v>65.47</v>
      </c>
      <c r="N583" s="83">
        <f>(Matrix_prices!N571+$D$2)*IF($M$2="Prices in $/MWh",1,1/1000)</f>
        <v>64.31</v>
      </c>
    </row>
    <row r="584" spans="3:14" x14ac:dyDescent="0.25">
      <c r="C584" s="151">
        <f>Matrix_prices!C572</f>
        <v>42705</v>
      </c>
      <c r="D584" s="152" t="str">
        <f>Matrix_prices!D572</f>
        <v>NJ</v>
      </c>
      <c r="E584" s="153" t="str">
        <f>Matrix_prices!E572</f>
        <v>PSEG</v>
      </c>
      <c r="F584" s="152" t="str">
        <f>Matrix_prices!F572</f>
        <v>GLP</v>
      </c>
      <c r="G584" s="153" t="str">
        <f>Matrix_prices!G572</f>
        <v>General L&amp;P</v>
      </c>
      <c r="H584" s="157" t="str">
        <f t="shared" si="24"/>
        <v>0-100 MWh</v>
      </c>
      <c r="I584" s="153">
        <f>(Matrix_prices!I572+$D$2)*IF($M$2="Prices in $/MWh",1,1/1000)</f>
        <v>110.64</v>
      </c>
      <c r="J584" s="152">
        <f>(Matrix_prices!J572+$D$2)*IF($M$2="Prices in $/MWh",1,1/1000)</f>
        <v>112.97</v>
      </c>
      <c r="K584" s="153">
        <f>(Matrix_prices!K572+$D$2)*IF($M$2="Prices in $/MWh",1,1/1000)</f>
        <v>110.99</v>
      </c>
      <c r="L584" s="152">
        <f>(Matrix_prices!L572+$D$2)*IF($M$2="Prices in $/MWh",1,1/1000)</f>
        <v>66.489999999999995</v>
      </c>
      <c r="M584" s="153">
        <f>(Matrix_prices!M572+$D$2)*IF($M$2="Prices in $/MWh",1,1/1000)</f>
        <v>68.09</v>
      </c>
      <c r="N584" s="152">
        <f>(Matrix_prices!N572+$D$2)*IF($M$2="Prices in $/MWh",1,1/1000)</f>
        <v>67.239999999999995</v>
      </c>
    </row>
    <row r="585" spans="3:14" x14ac:dyDescent="0.25">
      <c r="C585" s="78">
        <f>Matrix_prices!C573</f>
        <v>42705</v>
      </c>
      <c r="D585" s="79" t="str">
        <f>Matrix_prices!D573</f>
        <v>NJ</v>
      </c>
      <c r="E585" s="80" t="str">
        <f>Matrix_prices!E573</f>
        <v>PSEG</v>
      </c>
      <c r="F585" s="79" t="str">
        <f>Matrix_prices!F573</f>
        <v>GLP</v>
      </c>
      <c r="G585" s="80" t="str">
        <f>Matrix_prices!G573</f>
        <v>General L&amp;P</v>
      </c>
      <c r="H585" s="81" t="str">
        <f t="shared" si="25"/>
        <v>100-500 MWh</v>
      </c>
      <c r="I585" s="80">
        <f>(Matrix_prices!I573+$D$2)*IF($M$2="Prices in $/MWh",1,1/1000)</f>
        <v>108.93</v>
      </c>
      <c r="J585" s="79">
        <f>(Matrix_prices!J573+$D$2)*IF($M$2="Prices in $/MWh",1,1/1000)</f>
        <v>111.25</v>
      </c>
      <c r="K585" s="80">
        <f>(Matrix_prices!K573+$D$2)*IF($M$2="Prices in $/MWh",1,1/1000)</f>
        <v>109.28</v>
      </c>
      <c r="L585" s="79">
        <f>(Matrix_prices!L573+$D$2)*IF($M$2="Prices in $/MWh",1,1/1000)</f>
        <v>64.78</v>
      </c>
      <c r="M585" s="80">
        <f>(Matrix_prices!M573+$D$2)*IF($M$2="Prices in $/MWh",1,1/1000)</f>
        <v>66.38</v>
      </c>
      <c r="N585" s="79">
        <f>(Matrix_prices!N573+$D$2)*IF($M$2="Prices in $/MWh",1,1/1000)</f>
        <v>65.53</v>
      </c>
    </row>
    <row r="586" spans="3:14" x14ac:dyDescent="0.25">
      <c r="C586" s="82">
        <f>Matrix_prices!C574</f>
        <v>42705</v>
      </c>
      <c r="D586" s="83" t="str">
        <f>Matrix_prices!D574</f>
        <v>NJ</v>
      </c>
      <c r="E586" s="84" t="str">
        <f>Matrix_prices!E574</f>
        <v>PSEG</v>
      </c>
      <c r="F586" s="83" t="str">
        <f>Matrix_prices!F574</f>
        <v>GLP</v>
      </c>
      <c r="G586" s="84" t="str">
        <f>Matrix_prices!G574</f>
        <v>General L&amp;P</v>
      </c>
      <c r="H586" s="85" t="str">
        <f t="shared" si="26"/>
        <v>500-2500 MWh</v>
      </c>
      <c r="I586" s="84">
        <f>(Matrix_prices!I574+$D$2)*IF($M$2="Prices in $/MWh",1,1/1000)</f>
        <v>107.8</v>
      </c>
      <c r="J586" s="83">
        <f>(Matrix_prices!J574+$D$2)*IF($M$2="Prices in $/MWh",1,1/1000)</f>
        <v>110.13</v>
      </c>
      <c r="K586" s="84">
        <f>(Matrix_prices!K574+$D$2)*IF($M$2="Prices in $/MWh",1,1/1000)</f>
        <v>108.15</v>
      </c>
      <c r="L586" s="83">
        <f>(Matrix_prices!L574+$D$2)*IF($M$2="Prices in $/MWh",1,1/1000)</f>
        <v>63.65</v>
      </c>
      <c r="M586" s="84">
        <f>(Matrix_prices!M574+$D$2)*IF($M$2="Prices in $/MWh",1,1/1000)</f>
        <v>65.25</v>
      </c>
      <c r="N586" s="83">
        <f>(Matrix_prices!N574+$D$2)*IF($M$2="Prices in $/MWh",1,1/1000)</f>
        <v>64.41</v>
      </c>
    </row>
    <row r="587" spans="3:14" x14ac:dyDescent="0.25">
      <c r="C587" s="74">
        <f>Matrix_prices!C575</f>
        <v>42736</v>
      </c>
      <c r="D587" s="75" t="str">
        <f>Matrix_prices!D575</f>
        <v>NJ</v>
      </c>
      <c r="E587" s="76" t="str">
        <f>Matrix_prices!E575</f>
        <v>PSEG</v>
      </c>
      <c r="F587" s="75" t="str">
        <f>Matrix_prices!F575</f>
        <v>GLP</v>
      </c>
      <c r="G587" s="76" t="str">
        <f>Matrix_prices!G575</f>
        <v>General L&amp;P</v>
      </c>
      <c r="H587" s="157" t="str">
        <f t="shared" si="24"/>
        <v>0-100 MWh</v>
      </c>
      <c r="I587" s="76">
        <f>(Matrix_prices!I575+$D$2)*IF($M$2="Prices in $/MWh",1,1/1000)</f>
        <v>110.56</v>
      </c>
      <c r="J587" s="75">
        <f>(Matrix_prices!J575+$D$2)*IF($M$2="Prices in $/MWh",1,1/1000)</f>
        <v>112.43</v>
      </c>
      <c r="K587" s="76">
        <f>(Matrix_prices!K575+$D$2)*IF($M$2="Prices in $/MWh",1,1/1000)</f>
        <v>111.05</v>
      </c>
      <c r="L587" s="75">
        <f>(Matrix_prices!L575+$D$2)*IF($M$2="Prices in $/MWh",1,1/1000)</f>
        <v>66.58</v>
      </c>
      <c r="M587" s="76">
        <f>(Matrix_prices!M575+$D$2)*IF($M$2="Prices in $/MWh",1,1/1000)</f>
        <v>67.540000000000006</v>
      </c>
      <c r="N587" s="75">
        <f>(Matrix_prices!N575+$D$2)*IF($M$2="Prices in $/MWh",1,1/1000)</f>
        <v>67.33</v>
      </c>
    </row>
    <row r="588" spans="3:14" x14ac:dyDescent="0.25">
      <c r="C588" s="78">
        <f>Matrix_prices!C576</f>
        <v>42736</v>
      </c>
      <c r="D588" s="79" t="str">
        <f>Matrix_prices!D576</f>
        <v>NJ</v>
      </c>
      <c r="E588" s="80" t="str">
        <f>Matrix_prices!E576</f>
        <v>PSEG</v>
      </c>
      <c r="F588" s="79" t="str">
        <f>Matrix_prices!F576</f>
        <v>GLP</v>
      </c>
      <c r="G588" s="80" t="str">
        <f>Matrix_prices!G576</f>
        <v>General L&amp;P</v>
      </c>
      <c r="H588" s="81" t="str">
        <f t="shared" si="25"/>
        <v>100-500 MWh</v>
      </c>
      <c r="I588" s="80">
        <f>(Matrix_prices!I576+$D$2)*IF($M$2="Prices in $/MWh",1,1/1000)</f>
        <v>108.85</v>
      </c>
      <c r="J588" s="79">
        <f>(Matrix_prices!J576+$D$2)*IF($M$2="Prices in $/MWh",1,1/1000)</f>
        <v>110.72</v>
      </c>
      <c r="K588" s="80">
        <f>(Matrix_prices!K576+$D$2)*IF($M$2="Prices in $/MWh",1,1/1000)</f>
        <v>109.33</v>
      </c>
      <c r="L588" s="79">
        <f>(Matrix_prices!L576+$D$2)*IF($M$2="Prices in $/MWh",1,1/1000)</f>
        <v>64.87</v>
      </c>
      <c r="M588" s="80">
        <f>(Matrix_prices!M576+$D$2)*IF($M$2="Prices in $/MWh",1,1/1000)</f>
        <v>65.83</v>
      </c>
      <c r="N588" s="79">
        <f>(Matrix_prices!N576+$D$2)*IF($M$2="Prices in $/MWh",1,1/1000)</f>
        <v>65.62</v>
      </c>
    </row>
    <row r="589" spans="3:14" x14ac:dyDescent="0.25">
      <c r="C589" s="82">
        <f>Matrix_prices!C577</f>
        <v>42736</v>
      </c>
      <c r="D589" s="83" t="str">
        <f>Matrix_prices!D577</f>
        <v>NJ</v>
      </c>
      <c r="E589" s="84" t="str">
        <f>Matrix_prices!E577</f>
        <v>PSEG</v>
      </c>
      <c r="F589" s="83" t="str">
        <f>Matrix_prices!F577</f>
        <v>GLP</v>
      </c>
      <c r="G589" s="84" t="str">
        <f>Matrix_prices!G577</f>
        <v>General L&amp;P</v>
      </c>
      <c r="H589" s="85" t="str">
        <f t="shared" si="26"/>
        <v>500-2500 MWh</v>
      </c>
      <c r="I589" s="84">
        <f>(Matrix_prices!I577+$D$2)*IF($M$2="Prices in $/MWh",1,1/1000)</f>
        <v>107.73</v>
      </c>
      <c r="J589" s="83">
        <f>(Matrix_prices!J577+$D$2)*IF($M$2="Prices in $/MWh",1,1/1000)</f>
        <v>109.59</v>
      </c>
      <c r="K589" s="84">
        <f>(Matrix_prices!K577+$D$2)*IF($M$2="Prices in $/MWh",1,1/1000)</f>
        <v>108.21</v>
      </c>
      <c r="L589" s="83">
        <f>(Matrix_prices!L577+$D$2)*IF($M$2="Prices in $/MWh",1,1/1000)</f>
        <v>63.74</v>
      </c>
      <c r="M589" s="84">
        <f>(Matrix_prices!M577+$D$2)*IF($M$2="Prices in $/MWh",1,1/1000)</f>
        <v>64.7</v>
      </c>
      <c r="N589" s="83">
        <f>(Matrix_prices!N577+$D$2)*IF($M$2="Prices in $/MWh",1,1/1000)</f>
        <v>64.5</v>
      </c>
    </row>
    <row r="590" spans="3:14" x14ac:dyDescent="0.25">
      <c r="C590" s="151">
        <f>Matrix_prices!C578</f>
        <v>42401</v>
      </c>
      <c r="D590" s="152" t="str">
        <f>Matrix_prices!D578</f>
        <v>NJ</v>
      </c>
      <c r="E590" s="153" t="str">
        <f>Matrix_prices!E578</f>
        <v>PSEG</v>
      </c>
      <c r="F590" s="152" t="str">
        <f>Matrix_prices!F578</f>
        <v>LPL</v>
      </c>
      <c r="G590" s="153" t="str">
        <f>Matrix_prices!G578</f>
        <v>Large P&amp;L</v>
      </c>
      <c r="H590" s="157" t="str">
        <f t="shared" si="24"/>
        <v>0-100 MWh</v>
      </c>
      <c r="I590" s="153">
        <f>(Matrix_prices!I578+$D$2)*IF($M$2="Prices in $/MWh",1,1/1000)</f>
        <v>106.25</v>
      </c>
      <c r="J590" s="152">
        <f>(Matrix_prices!J578+$D$2)*IF($M$2="Prices in $/MWh",1,1/1000)</f>
        <v>107.61</v>
      </c>
      <c r="K590" s="153">
        <f>(Matrix_prices!K578+$D$2)*IF($M$2="Prices in $/MWh",1,1/1000)</f>
        <v>107.75</v>
      </c>
      <c r="L590" s="152">
        <f>(Matrix_prices!L578+$D$2)*IF($M$2="Prices in $/MWh",1,1/1000)</f>
        <v>61.98</v>
      </c>
      <c r="M590" s="153">
        <f>(Matrix_prices!M578+$D$2)*IF($M$2="Prices in $/MWh",1,1/1000)</f>
        <v>63.25</v>
      </c>
      <c r="N590" s="152">
        <f>(Matrix_prices!N578+$D$2)*IF($M$2="Prices in $/MWh",1,1/1000)</f>
        <v>63.89</v>
      </c>
    </row>
    <row r="591" spans="3:14" x14ac:dyDescent="0.25">
      <c r="C591" s="78">
        <f>Matrix_prices!C579</f>
        <v>42401</v>
      </c>
      <c r="D591" s="79" t="str">
        <f>Matrix_prices!D579</f>
        <v>NJ</v>
      </c>
      <c r="E591" s="80" t="str">
        <f>Matrix_prices!E579</f>
        <v>PSEG</v>
      </c>
      <c r="F591" s="79" t="str">
        <f>Matrix_prices!F579</f>
        <v>LPL</v>
      </c>
      <c r="G591" s="80" t="str">
        <f>Matrix_prices!G579</f>
        <v>Large P&amp;L</v>
      </c>
      <c r="H591" s="81" t="str">
        <f t="shared" si="25"/>
        <v>100-500 MWh</v>
      </c>
      <c r="I591" s="80">
        <f>(Matrix_prices!I579+$D$2)*IF($M$2="Prices in $/MWh",1,1/1000)</f>
        <v>104.54</v>
      </c>
      <c r="J591" s="79">
        <f>(Matrix_prices!J579+$D$2)*IF($M$2="Prices in $/MWh",1,1/1000)</f>
        <v>105.9</v>
      </c>
      <c r="K591" s="80">
        <f>(Matrix_prices!K579+$D$2)*IF($M$2="Prices in $/MWh",1,1/1000)</f>
        <v>106.04</v>
      </c>
      <c r="L591" s="79">
        <f>(Matrix_prices!L579+$D$2)*IF($M$2="Prices in $/MWh",1,1/1000)</f>
        <v>60.27</v>
      </c>
      <c r="M591" s="80">
        <f>(Matrix_prices!M579+$D$2)*IF($M$2="Prices in $/MWh",1,1/1000)</f>
        <v>61.54</v>
      </c>
      <c r="N591" s="79">
        <f>(Matrix_prices!N579+$D$2)*IF($M$2="Prices in $/MWh",1,1/1000)</f>
        <v>62.18</v>
      </c>
    </row>
    <row r="592" spans="3:14" x14ac:dyDescent="0.25">
      <c r="C592" s="82">
        <f>Matrix_prices!C580</f>
        <v>42401</v>
      </c>
      <c r="D592" s="83" t="str">
        <f>Matrix_prices!D580</f>
        <v>NJ</v>
      </c>
      <c r="E592" s="84" t="str">
        <f>Matrix_prices!E580</f>
        <v>PSEG</v>
      </c>
      <c r="F592" s="83" t="str">
        <f>Matrix_prices!F580</f>
        <v>LPL</v>
      </c>
      <c r="G592" s="84" t="str">
        <f>Matrix_prices!G580</f>
        <v>Large P&amp;L</v>
      </c>
      <c r="H592" s="85" t="str">
        <f t="shared" si="26"/>
        <v>500-2500 MWh</v>
      </c>
      <c r="I592" s="84">
        <f>(Matrix_prices!I580+$D$2)*IF($M$2="Prices in $/MWh",1,1/1000)</f>
        <v>103.42</v>
      </c>
      <c r="J592" s="83">
        <f>(Matrix_prices!J580+$D$2)*IF($M$2="Prices in $/MWh",1,1/1000)</f>
        <v>104.77</v>
      </c>
      <c r="K592" s="84">
        <f>(Matrix_prices!K580+$D$2)*IF($M$2="Prices in $/MWh",1,1/1000)</f>
        <v>104.91</v>
      </c>
      <c r="L592" s="83">
        <f>(Matrix_prices!L580+$D$2)*IF($M$2="Prices in $/MWh",1,1/1000)</f>
        <v>59.14</v>
      </c>
      <c r="M592" s="84">
        <f>(Matrix_prices!M580+$D$2)*IF($M$2="Prices in $/MWh",1,1/1000)</f>
        <v>60.41</v>
      </c>
      <c r="N592" s="83">
        <f>(Matrix_prices!N580+$D$2)*IF($M$2="Prices in $/MWh",1,1/1000)</f>
        <v>61.05</v>
      </c>
    </row>
    <row r="593" spans="3:14" x14ac:dyDescent="0.25">
      <c r="C593" s="74">
        <f>Matrix_prices!C581</f>
        <v>42430</v>
      </c>
      <c r="D593" s="75" t="str">
        <f>Matrix_prices!D581</f>
        <v>NJ</v>
      </c>
      <c r="E593" s="76" t="str">
        <f>Matrix_prices!E581</f>
        <v>PSEG</v>
      </c>
      <c r="F593" s="75" t="str">
        <f>Matrix_prices!F581</f>
        <v>LPL</v>
      </c>
      <c r="G593" s="76" t="str">
        <f>Matrix_prices!G581</f>
        <v>Large P&amp;L</v>
      </c>
      <c r="H593" s="157" t="str">
        <f t="shared" si="24"/>
        <v>0-100 MWh</v>
      </c>
      <c r="I593" s="76">
        <f>(Matrix_prices!I581+$D$2)*IF($M$2="Prices in $/MWh",1,1/1000)</f>
        <v>107.57</v>
      </c>
      <c r="J593" s="75">
        <f>(Matrix_prices!J581+$D$2)*IF($M$2="Prices in $/MWh",1,1/1000)</f>
        <v>107</v>
      </c>
      <c r="K593" s="76">
        <f>(Matrix_prices!K581+$D$2)*IF($M$2="Prices in $/MWh",1,1/1000)</f>
        <v>108.46</v>
      </c>
      <c r="L593" s="75">
        <f>(Matrix_prices!L581+$D$2)*IF($M$2="Prices in $/MWh",1,1/1000)</f>
        <v>62.64</v>
      </c>
      <c r="M593" s="76">
        <f>(Matrix_prices!M581+$D$2)*IF($M$2="Prices in $/MWh",1,1/1000)</f>
        <v>62.75</v>
      </c>
      <c r="N593" s="75">
        <f>(Matrix_prices!N581+$D$2)*IF($M$2="Prices in $/MWh",1,1/1000)</f>
        <v>64.22</v>
      </c>
    </row>
    <row r="594" spans="3:14" x14ac:dyDescent="0.25">
      <c r="C594" s="78">
        <f>Matrix_prices!C582</f>
        <v>42430</v>
      </c>
      <c r="D594" s="79" t="str">
        <f>Matrix_prices!D582</f>
        <v>NJ</v>
      </c>
      <c r="E594" s="80" t="str">
        <f>Matrix_prices!E582</f>
        <v>PSEG</v>
      </c>
      <c r="F594" s="79" t="str">
        <f>Matrix_prices!F582</f>
        <v>LPL</v>
      </c>
      <c r="G594" s="80" t="str">
        <f>Matrix_prices!G582</f>
        <v>Large P&amp;L</v>
      </c>
      <c r="H594" s="81" t="str">
        <f t="shared" si="25"/>
        <v>100-500 MWh</v>
      </c>
      <c r="I594" s="80">
        <f>(Matrix_prices!I582+$D$2)*IF($M$2="Prices in $/MWh",1,1/1000)</f>
        <v>105.86</v>
      </c>
      <c r="J594" s="79">
        <f>(Matrix_prices!J582+$D$2)*IF($M$2="Prices in $/MWh",1,1/1000)</f>
        <v>105.29</v>
      </c>
      <c r="K594" s="80">
        <f>(Matrix_prices!K582+$D$2)*IF($M$2="Prices in $/MWh",1,1/1000)</f>
        <v>106.75</v>
      </c>
      <c r="L594" s="79">
        <f>(Matrix_prices!L582+$D$2)*IF($M$2="Prices in $/MWh",1,1/1000)</f>
        <v>60.93</v>
      </c>
      <c r="M594" s="80">
        <f>(Matrix_prices!M582+$D$2)*IF($M$2="Prices in $/MWh",1,1/1000)</f>
        <v>61.04</v>
      </c>
      <c r="N594" s="79">
        <f>(Matrix_prices!N582+$D$2)*IF($M$2="Prices in $/MWh",1,1/1000)</f>
        <v>62.51</v>
      </c>
    </row>
    <row r="595" spans="3:14" x14ac:dyDescent="0.25">
      <c r="C595" s="82">
        <f>Matrix_prices!C583</f>
        <v>42430</v>
      </c>
      <c r="D595" s="83" t="str">
        <f>Matrix_prices!D583</f>
        <v>NJ</v>
      </c>
      <c r="E595" s="84" t="str">
        <f>Matrix_prices!E583</f>
        <v>PSEG</v>
      </c>
      <c r="F595" s="83" t="str">
        <f>Matrix_prices!F583</f>
        <v>LPL</v>
      </c>
      <c r="G595" s="84" t="str">
        <f>Matrix_prices!G583</f>
        <v>Large P&amp;L</v>
      </c>
      <c r="H595" s="85" t="str">
        <f t="shared" si="26"/>
        <v>500-2500 MWh</v>
      </c>
      <c r="I595" s="84">
        <f>(Matrix_prices!I583+$D$2)*IF($M$2="Prices in $/MWh",1,1/1000)</f>
        <v>104.73</v>
      </c>
      <c r="J595" s="83">
        <f>(Matrix_prices!J583+$D$2)*IF($M$2="Prices in $/MWh",1,1/1000)</f>
        <v>104.16</v>
      </c>
      <c r="K595" s="84">
        <f>(Matrix_prices!K583+$D$2)*IF($M$2="Prices in $/MWh",1,1/1000)</f>
        <v>105.62</v>
      </c>
      <c r="L595" s="83">
        <f>(Matrix_prices!L583+$D$2)*IF($M$2="Prices in $/MWh",1,1/1000)</f>
        <v>59.8</v>
      </c>
      <c r="M595" s="84">
        <f>(Matrix_prices!M583+$D$2)*IF($M$2="Prices in $/MWh",1,1/1000)</f>
        <v>59.91</v>
      </c>
      <c r="N595" s="83">
        <f>(Matrix_prices!N583+$D$2)*IF($M$2="Prices in $/MWh",1,1/1000)</f>
        <v>61.38</v>
      </c>
    </row>
    <row r="596" spans="3:14" x14ac:dyDescent="0.25">
      <c r="C596" s="151">
        <f>Matrix_prices!C584</f>
        <v>42461</v>
      </c>
      <c r="D596" s="152" t="str">
        <f>Matrix_prices!D584</f>
        <v>NJ</v>
      </c>
      <c r="E596" s="153" t="str">
        <f>Matrix_prices!E584</f>
        <v>PSEG</v>
      </c>
      <c r="F596" s="152" t="str">
        <f>Matrix_prices!F584</f>
        <v>LPL</v>
      </c>
      <c r="G596" s="153" t="str">
        <f>Matrix_prices!G584</f>
        <v>Large P&amp;L</v>
      </c>
      <c r="H596" s="157" t="str">
        <f t="shared" si="24"/>
        <v>0-100 MWh</v>
      </c>
      <c r="I596" s="153">
        <f>(Matrix_prices!I584+$D$2)*IF($M$2="Prices in $/MWh",1,1/1000)</f>
        <v>108.53</v>
      </c>
      <c r="J596" s="152">
        <f>(Matrix_prices!J584+$D$2)*IF($M$2="Prices in $/MWh",1,1/1000)</f>
        <v>106.65</v>
      </c>
      <c r="K596" s="153">
        <f>(Matrix_prices!K584+$D$2)*IF($M$2="Prices in $/MWh",1,1/1000)</f>
        <v>108.89</v>
      </c>
      <c r="L596" s="152">
        <f>(Matrix_prices!L584+$D$2)*IF($M$2="Prices in $/MWh",1,1/1000)</f>
        <v>63.49</v>
      </c>
      <c r="M596" s="153">
        <f>(Matrix_prices!M584+$D$2)*IF($M$2="Prices in $/MWh",1,1/1000)</f>
        <v>62.61</v>
      </c>
      <c r="N596" s="152">
        <f>(Matrix_prices!N584+$D$2)*IF($M$2="Prices in $/MWh",1,1/1000)</f>
        <v>64.63</v>
      </c>
    </row>
    <row r="597" spans="3:14" x14ac:dyDescent="0.25">
      <c r="C597" s="78">
        <f>Matrix_prices!C585</f>
        <v>42461</v>
      </c>
      <c r="D597" s="79" t="str">
        <f>Matrix_prices!D585</f>
        <v>NJ</v>
      </c>
      <c r="E597" s="80" t="str">
        <f>Matrix_prices!E585</f>
        <v>PSEG</v>
      </c>
      <c r="F597" s="79" t="str">
        <f>Matrix_prices!F585</f>
        <v>LPL</v>
      </c>
      <c r="G597" s="80" t="str">
        <f>Matrix_prices!G585</f>
        <v>Large P&amp;L</v>
      </c>
      <c r="H597" s="81" t="str">
        <f t="shared" si="25"/>
        <v>100-500 MWh</v>
      </c>
      <c r="I597" s="80">
        <f>(Matrix_prices!I585+$D$2)*IF($M$2="Prices in $/MWh",1,1/1000)</f>
        <v>106.82</v>
      </c>
      <c r="J597" s="79">
        <f>(Matrix_prices!J585+$D$2)*IF($M$2="Prices in $/MWh",1,1/1000)</f>
        <v>104.94</v>
      </c>
      <c r="K597" s="80">
        <f>(Matrix_prices!K585+$D$2)*IF($M$2="Prices in $/MWh",1,1/1000)</f>
        <v>107.18</v>
      </c>
      <c r="L597" s="79">
        <f>(Matrix_prices!L585+$D$2)*IF($M$2="Prices in $/MWh",1,1/1000)</f>
        <v>61.78</v>
      </c>
      <c r="M597" s="80">
        <f>(Matrix_prices!M585+$D$2)*IF($M$2="Prices in $/MWh",1,1/1000)</f>
        <v>60.9</v>
      </c>
      <c r="N597" s="79">
        <f>(Matrix_prices!N585+$D$2)*IF($M$2="Prices in $/MWh",1,1/1000)</f>
        <v>62.92</v>
      </c>
    </row>
    <row r="598" spans="3:14" x14ac:dyDescent="0.25">
      <c r="C598" s="82">
        <f>Matrix_prices!C586</f>
        <v>42461</v>
      </c>
      <c r="D598" s="83" t="str">
        <f>Matrix_prices!D586</f>
        <v>NJ</v>
      </c>
      <c r="E598" s="84" t="str">
        <f>Matrix_prices!E586</f>
        <v>PSEG</v>
      </c>
      <c r="F598" s="83" t="str">
        <f>Matrix_prices!F586</f>
        <v>LPL</v>
      </c>
      <c r="G598" s="84" t="str">
        <f>Matrix_prices!G586</f>
        <v>Large P&amp;L</v>
      </c>
      <c r="H598" s="85" t="str">
        <f t="shared" si="26"/>
        <v>500-2500 MWh</v>
      </c>
      <c r="I598" s="84">
        <f>(Matrix_prices!I586+$D$2)*IF($M$2="Prices in $/MWh",1,1/1000)</f>
        <v>105.69</v>
      </c>
      <c r="J598" s="83">
        <f>(Matrix_prices!J586+$D$2)*IF($M$2="Prices in $/MWh",1,1/1000)</f>
        <v>103.82</v>
      </c>
      <c r="K598" s="84">
        <f>(Matrix_prices!K586+$D$2)*IF($M$2="Prices in $/MWh",1,1/1000)</f>
        <v>106.05</v>
      </c>
      <c r="L598" s="83">
        <f>(Matrix_prices!L586+$D$2)*IF($M$2="Prices in $/MWh",1,1/1000)</f>
        <v>60.65</v>
      </c>
      <c r="M598" s="84">
        <f>(Matrix_prices!M586+$D$2)*IF($M$2="Prices in $/MWh",1,1/1000)</f>
        <v>59.77</v>
      </c>
      <c r="N598" s="83">
        <f>(Matrix_prices!N586+$D$2)*IF($M$2="Prices in $/MWh",1,1/1000)</f>
        <v>61.79</v>
      </c>
    </row>
    <row r="599" spans="3:14" x14ac:dyDescent="0.25">
      <c r="C599" s="74">
        <f>Matrix_prices!C587</f>
        <v>42491</v>
      </c>
      <c r="D599" s="75" t="str">
        <f>Matrix_prices!D587</f>
        <v>NJ</v>
      </c>
      <c r="E599" s="76" t="str">
        <f>Matrix_prices!E587</f>
        <v>PSEG</v>
      </c>
      <c r="F599" s="75" t="str">
        <f>Matrix_prices!F587</f>
        <v>LPL</v>
      </c>
      <c r="G599" s="76" t="str">
        <f>Matrix_prices!G587</f>
        <v>Large P&amp;L</v>
      </c>
      <c r="H599" s="157" t="str">
        <f t="shared" ref="H599:H662" si="27">IF($M$2="Prices in $/MWh","0-100 MWh","0-100,000 kWh")</f>
        <v>0-100 MWh</v>
      </c>
      <c r="I599" s="76">
        <f>(Matrix_prices!I587+$D$2)*IF($M$2="Prices in $/MWh",1,1/1000)</f>
        <v>109.34</v>
      </c>
      <c r="J599" s="75">
        <f>(Matrix_prices!J587+$D$2)*IF($M$2="Prices in $/MWh",1,1/1000)</f>
        <v>106.87</v>
      </c>
      <c r="K599" s="76">
        <f>(Matrix_prices!K587+$D$2)*IF($M$2="Prices in $/MWh",1,1/1000)</f>
        <v>109.21</v>
      </c>
      <c r="L599" s="75">
        <f>(Matrix_prices!L587+$D$2)*IF($M$2="Prices in $/MWh",1,1/1000)</f>
        <v>64.27</v>
      </c>
      <c r="M599" s="76">
        <f>(Matrix_prices!M587+$D$2)*IF($M$2="Prices in $/MWh",1,1/1000)</f>
        <v>63.01</v>
      </c>
      <c r="N599" s="75">
        <f>(Matrix_prices!N587+$D$2)*IF($M$2="Prices in $/MWh",1,1/1000)</f>
        <v>64.989999999999995</v>
      </c>
    </row>
    <row r="600" spans="3:14" x14ac:dyDescent="0.25">
      <c r="C600" s="78">
        <f>Matrix_prices!C588</f>
        <v>42491</v>
      </c>
      <c r="D600" s="79" t="str">
        <f>Matrix_prices!D588</f>
        <v>NJ</v>
      </c>
      <c r="E600" s="80" t="str">
        <f>Matrix_prices!E588</f>
        <v>PSEG</v>
      </c>
      <c r="F600" s="79" t="str">
        <f>Matrix_prices!F588</f>
        <v>LPL</v>
      </c>
      <c r="G600" s="80" t="str">
        <f>Matrix_prices!G588</f>
        <v>Large P&amp;L</v>
      </c>
      <c r="H600" s="81" t="str">
        <f t="shared" ref="H600:H663" si="28">IF($M$2="Prices in $/MWh","100-500 MWh","100,000-500,000 kWh")</f>
        <v>100-500 MWh</v>
      </c>
      <c r="I600" s="80">
        <f>(Matrix_prices!I588+$D$2)*IF($M$2="Prices in $/MWh",1,1/1000)</f>
        <v>107.63</v>
      </c>
      <c r="J600" s="79">
        <f>(Matrix_prices!J588+$D$2)*IF($M$2="Prices in $/MWh",1,1/1000)</f>
        <v>105.16</v>
      </c>
      <c r="K600" s="80">
        <f>(Matrix_prices!K588+$D$2)*IF($M$2="Prices in $/MWh",1,1/1000)</f>
        <v>107.5</v>
      </c>
      <c r="L600" s="79">
        <f>(Matrix_prices!L588+$D$2)*IF($M$2="Prices in $/MWh",1,1/1000)</f>
        <v>62.56</v>
      </c>
      <c r="M600" s="80">
        <f>(Matrix_prices!M588+$D$2)*IF($M$2="Prices in $/MWh",1,1/1000)</f>
        <v>61.3</v>
      </c>
      <c r="N600" s="79">
        <f>(Matrix_prices!N588+$D$2)*IF($M$2="Prices in $/MWh",1,1/1000)</f>
        <v>63.28</v>
      </c>
    </row>
    <row r="601" spans="3:14" x14ac:dyDescent="0.25">
      <c r="C601" s="82">
        <f>Matrix_prices!C589</f>
        <v>42491</v>
      </c>
      <c r="D601" s="83" t="str">
        <f>Matrix_prices!D589</f>
        <v>NJ</v>
      </c>
      <c r="E601" s="84" t="str">
        <f>Matrix_prices!E589</f>
        <v>PSEG</v>
      </c>
      <c r="F601" s="83" t="str">
        <f>Matrix_prices!F589</f>
        <v>LPL</v>
      </c>
      <c r="G601" s="84" t="str">
        <f>Matrix_prices!G589</f>
        <v>Large P&amp;L</v>
      </c>
      <c r="H601" s="85" t="str">
        <f t="shared" ref="H601:H664" si="29">IF($M$2="Prices in $/MWh","500-2500 MWh","500,000-2,500,000 kWh")</f>
        <v>500-2500 MWh</v>
      </c>
      <c r="I601" s="84">
        <f>(Matrix_prices!I589+$D$2)*IF($M$2="Prices in $/MWh",1,1/1000)</f>
        <v>106.5</v>
      </c>
      <c r="J601" s="83">
        <f>(Matrix_prices!J589+$D$2)*IF($M$2="Prices in $/MWh",1,1/1000)</f>
        <v>104.03</v>
      </c>
      <c r="K601" s="84">
        <f>(Matrix_prices!K589+$D$2)*IF($M$2="Prices in $/MWh",1,1/1000)</f>
        <v>106.38</v>
      </c>
      <c r="L601" s="83">
        <f>(Matrix_prices!L589+$D$2)*IF($M$2="Prices in $/MWh",1,1/1000)</f>
        <v>61.43</v>
      </c>
      <c r="M601" s="84">
        <f>(Matrix_prices!M589+$D$2)*IF($M$2="Prices in $/MWh",1,1/1000)</f>
        <v>60.17</v>
      </c>
      <c r="N601" s="83">
        <f>(Matrix_prices!N589+$D$2)*IF($M$2="Prices in $/MWh",1,1/1000)</f>
        <v>62.15</v>
      </c>
    </row>
    <row r="602" spans="3:14" x14ac:dyDescent="0.25">
      <c r="C602" s="151">
        <f>Matrix_prices!C590</f>
        <v>42522</v>
      </c>
      <c r="D602" s="152" t="str">
        <f>Matrix_prices!D590</f>
        <v>NJ</v>
      </c>
      <c r="E602" s="153" t="str">
        <f>Matrix_prices!E590</f>
        <v>PSEG</v>
      </c>
      <c r="F602" s="152" t="str">
        <f>Matrix_prices!F590</f>
        <v>LPL</v>
      </c>
      <c r="G602" s="153" t="str">
        <f>Matrix_prices!G590</f>
        <v>Large P&amp;L</v>
      </c>
      <c r="H602" s="157" t="str">
        <f t="shared" si="27"/>
        <v>0-100 MWh</v>
      </c>
      <c r="I602" s="153">
        <f>(Matrix_prices!I590+$D$2)*IF($M$2="Prices in $/MWh",1,1/1000)</f>
        <v>110.04</v>
      </c>
      <c r="J602" s="152">
        <f>(Matrix_prices!J590+$D$2)*IF($M$2="Prices in $/MWh",1,1/1000)</f>
        <v>107.31</v>
      </c>
      <c r="K602" s="153">
        <f>(Matrix_prices!K590+$D$2)*IF($M$2="Prices in $/MWh",1,1/1000)</f>
        <v>109.53</v>
      </c>
      <c r="L602" s="152">
        <f>(Matrix_prices!L590+$D$2)*IF($M$2="Prices in $/MWh",1,1/1000)</f>
        <v>65.040000000000006</v>
      </c>
      <c r="M602" s="153">
        <f>(Matrix_prices!M590+$D$2)*IF($M$2="Prices in $/MWh",1,1/1000)</f>
        <v>63.73</v>
      </c>
      <c r="N602" s="152">
        <f>(Matrix_prices!N590+$D$2)*IF($M$2="Prices in $/MWh",1,1/1000)</f>
        <v>65.34</v>
      </c>
    </row>
    <row r="603" spans="3:14" x14ac:dyDescent="0.25">
      <c r="C603" s="78">
        <f>Matrix_prices!C591</f>
        <v>42522</v>
      </c>
      <c r="D603" s="79" t="str">
        <f>Matrix_prices!D591</f>
        <v>NJ</v>
      </c>
      <c r="E603" s="80" t="str">
        <f>Matrix_prices!E591</f>
        <v>PSEG</v>
      </c>
      <c r="F603" s="79" t="str">
        <f>Matrix_prices!F591</f>
        <v>LPL</v>
      </c>
      <c r="G603" s="80" t="str">
        <f>Matrix_prices!G591</f>
        <v>Large P&amp;L</v>
      </c>
      <c r="H603" s="81" t="str">
        <f t="shared" si="28"/>
        <v>100-500 MWh</v>
      </c>
      <c r="I603" s="80">
        <f>(Matrix_prices!I591+$D$2)*IF($M$2="Prices in $/MWh",1,1/1000)</f>
        <v>108.33</v>
      </c>
      <c r="J603" s="79">
        <f>(Matrix_prices!J591+$D$2)*IF($M$2="Prices in $/MWh",1,1/1000)</f>
        <v>105.6</v>
      </c>
      <c r="K603" s="80">
        <f>(Matrix_prices!K591+$D$2)*IF($M$2="Prices in $/MWh",1,1/1000)</f>
        <v>107.81</v>
      </c>
      <c r="L603" s="79">
        <f>(Matrix_prices!L591+$D$2)*IF($M$2="Prices in $/MWh",1,1/1000)</f>
        <v>63.33</v>
      </c>
      <c r="M603" s="80">
        <f>(Matrix_prices!M591+$D$2)*IF($M$2="Prices in $/MWh",1,1/1000)</f>
        <v>62.02</v>
      </c>
      <c r="N603" s="79">
        <f>(Matrix_prices!N591+$D$2)*IF($M$2="Prices in $/MWh",1,1/1000)</f>
        <v>63.63</v>
      </c>
    </row>
    <row r="604" spans="3:14" x14ac:dyDescent="0.25">
      <c r="C604" s="82">
        <f>Matrix_prices!C592</f>
        <v>42522</v>
      </c>
      <c r="D604" s="83" t="str">
        <f>Matrix_prices!D592</f>
        <v>NJ</v>
      </c>
      <c r="E604" s="84" t="str">
        <f>Matrix_prices!E592</f>
        <v>PSEG</v>
      </c>
      <c r="F604" s="83" t="str">
        <f>Matrix_prices!F592</f>
        <v>LPL</v>
      </c>
      <c r="G604" s="84" t="str">
        <f>Matrix_prices!G592</f>
        <v>Large P&amp;L</v>
      </c>
      <c r="H604" s="85" t="str">
        <f t="shared" si="29"/>
        <v>500-2500 MWh</v>
      </c>
      <c r="I604" s="84">
        <f>(Matrix_prices!I592+$D$2)*IF($M$2="Prices in $/MWh",1,1/1000)</f>
        <v>107.2</v>
      </c>
      <c r="J604" s="83">
        <f>(Matrix_prices!J592+$D$2)*IF($M$2="Prices in $/MWh",1,1/1000)</f>
        <v>104.48</v>
      </c>
      <c r="K604" s="84">
        <f>(Matrix_prices!K592+$D$2)*IF($M$2="Prices in $/MWh",1,1/1000)</f>
        <v>106.69</v>
      </c>
      <c r="L604" s="83">
        <f>(Matrix_prices!L592+$D$2)*IF($M$2="Prices in $/MWh",1,1/1000)</f>
        <v>62.2</v>
      </c>
      <c r="M604" s="84">
        <f>(Matrix_prices!M592+$D$2)*IF($M$2="Prices in $/MWh",1,1/1000)</f>
        <v>60.89</v>
      </c>
      <c r="N604" s="83">
        <f>(Matrix_prices!N592+$D$2)*IF($M$2="Prices in $/MWh",1,1/1000)</f>
        <v>62.5</v>
      </c>
    </row>
    <row r="605" spans="3:14" x14ac:dyDescent="0.25">
      <c r="C605" s="74">
        <f>Matrix_prices!C593</f>
        <v>42552</v>
      </c>
      <c r="D605" s="75" t="str">
        <f>Matrix_prices!D593</f>
        <v>NJ</v>
      </c>
      <c r="E605" s="76" t="str">
        <f>Matrix_prices!E593</f>
        <v>PSEG</v>
      </c>
      <c r="F605" s="75" t="str">
        <f>Matrix_prices!F593</f>
        <v>LPL</v>
      </c>
      <c r="G605" s="76" t="str">
        <f>Matrix_prices!G593</f>
        <v>Large P&amp;L</v>
      </c>
      <c r="H605" s="157" t="str">
        <f t="shared" si="27"/>
        <v>0-100 MWh</v>
      </c>
      <c r="I605" s="76">
        <f>(Matrix_prices!I593+$D$2)*IF($M$2="Prices in $/MWh",1,1/1000)</f>
        <v>110.05</v>
      </c>
      <c r="J605" s="75">
        <f>(Matrix_prices!J593+$D$2)*IF($M$2="Prices in $/MWh",1,1/1000)</f>
        <v>107.87</v>
      </c>
      <c r="K605" s="76">
        <f>(Matrix_prices!K593+$D$2)*IF($M$2="Prices in $/MWh",1,1/1000)</f>
        <v>109.54</v>
      </c>
      <c r="L605" s="75">
        <f>(Matrix_prices!L593+$D$2)*IF($M$2="Prices in $/MWh",1,1/1000)</f>
        <v>65.23</v>
      </c>
      <c r="M605" s="76">
        <f>(Matrix_prices!M593+$D$2)*IF($M$2="Prices in $/MWh",1,1/1000)</f>
        <v>64.58</v>
      </c>
      <c r="N605" s="75">
        <f>(Matrix_prices!N593+$D$2)*IF($M$2="Prices in $/MWh",1,1/1000)</f>
        <v>65.52</v>
      </c>
    </row>
    <row r="606" spans="3:14" x14ac:dyDescent="0.25">
      <c r="C606" s="78">
        <f>Matrix_prices!C594</f>
        <v>42552</v>
      </c>
      <c r="D606" s="79" t="str">
        <f>Matrix_prices!D594</f>
        <v>NJ</v>
      </c>
      <c r="E606" s="80" t="str">
        <f>Matrix_prices!E594</f>
        <v>PSEG</v>
      </c>
      <c r="F606" s="79" t="str">
        <f>Matrix_prices!F594</f>
        <v>LPL</v>
      </c>
      <c r="G606" s="80" t="str">
        <f>Matrix_prices!G594</f>
        <v>Large P&amp;L</v>
      </c>
      <c r="H606" s="81" t="str">
        <f t="shared" si="28"/>
        <v>100-500 MWh</v>
      </c>
      <c r="I606" s="80">
        <f>(Matrix_prices!I594+$D$2)*IF($M$2="Prices in $/MWh",1,1/1000)</f>
        <v>108.34</v>
      </c>
      <c r="J606" s="79">
        <f>(Matrix_prices!J594+$D$2)*IF($M$2="Prices in $/MWh",1,1/1000)</f>
        <v>106.16</v>
      </c>
      <c r="K606" s="80">
        <f>(Matrix_prices!K594+$D$2)*IF($M$2="Prices in $/MWh",1,1/1000)</f>
        <v>107.83</v>
      </c>
      <c r="L606" s="79">
        <f>(Matrix_prices!L594+$D$2)*IF($M$2="Prices in $/MWh",1,1/1000)</f>
        <v>63.52</v>
      </c>
      <c r="M606" s="80">
        <f>(Matrix_prices!M594+$D$2)*IF($M$2="Prices in $/MWh",1,1/1000)</f>
        <v>62.87</v>
      </c>
      <c r="N606" s="79">
        <f>(Matrix_prices!N594+$D$2)*IF($M$2="Prices in $/MWh",1,1/1000)</f>
        <v>63.81</v>
      </c>
    </row>
    <row r="607" spans="3:14" x14ac:dyDescent="0.25">
      <c r="C607" s="82">
        <f>Matrix_prices!C595</f>
        <v>42552</v>
      </c>
      <c r="D607" s="83" t="str">
        <f>Matrix_prices!D595</f>
        <v>NJ</v>
      </c>
      <c r="E607" s="84" t="str">
        <f>Matrix_prices!E595</f>
        <v>PSEG</v>
      </c>
      <c r="F607" s="83" t="str">
        <f>Matrix_prices!F595</f>
        <v>LPL</v>
      </c>
      <c r="G607" s="84" t="str">
        <f>Matrix_prices!G595</f>
        <v>Large P&amp;L</v>
      </c>
      <c r="H607" s="85" t="str">
        <f t="shared" si="29"/>
        <v>500-2500 MWh</v>
      </c>
      <c r="I607" s="84">
        <f>(Matrix_prices!I595+$D$2)*IF($M$2="Prices in $/MWh",1,1/1000)</f>
        <v>107.22</v>
      </c>
      <c r="J607" s="83">
        <f>(Matrix_prices!J595+$D$2)*IF($M$2="Prices in $/MWh",1,1/1000)</f>
        <v>105.04</v>
      </c>
      <c r="K607" s="84">
        <f>(Matrix_prices!K595+$D$2)*IF($M$2="Prices in $/MWh",1,1/1000)</f>
        <v>106.71</v>
      </c>
      <c r="L607" s="83">
        <f>(Matrix_prices!L595+$D$2)*IF($M$2="Prices in $/MWh",1,1/1000)</f>
        <v>62.39</v>
      </c>
      <c r="M607" s="84">
        <f>(Matrix_prices!M595+$D$2)*IF($M$2="Prices in $/MWh",1,1/1000)</f>
        <v>61.74</v>
      </c>
      <c r="N607" s="83">
        <f>(Matrix_prices!N595+$D$2)*IF($M$2="Prices in $/MWh",1,1/1000)</f>
        <v>62.68</v>
      </c>
    </row>
    <row r="608" spans="3:14" x14ac:dyDescent="0.25">
      <c r="C608" s="151">
        <f>Matrix_prices!C596</f>
        <v>42583</v>
      </c>
      <c r="D608" s="152" t="str">
        <f>Matrix_prices!D596</f>
        <v>NJ</v>
      </c>
      <c r="E608" s="153" t="str">
        <f>Matrix_prices!E596</f>
        <v>PSEG</v>
      </c>
      <c r="F608" s="152" t="str">
        <f>Matrix_prices!F596</f>
        <v>LPL</v>
      </c>
      <c r="G608" s="153" t="str">
        <f>Matrix_prices!G596</f>
        <v>Large P&amp;L</v>
      </c>
      <c r="H608" s="157" t="str">
        <f t="shared" si="27"/>
        <v>0-100 MWh</v>
      </c>
      <c r="I608" s="153">
        <f>(Matrix_prices!I596+$D$2)*IF($M$2="Prices in $/MWh",1,1/1000)</f>
        <v>110.12</v>
      </c>
      <c r="J608" s="152">
        <f>(Matrix_prices!J596+$D$2)*IF($M$2="Prices in $/MWh",1,1/1000)</f>
        <v>109.47</v>
      </c>
      <c r="K608" s="153">
        <f>(Matrix_prices!K596+$D$2)*IF($M$2="Prices in $/MWh",1,1/1000)</f>
        <v>109.72</v>
      </c>
      <c r="L608" s="152">
        <f>(Matrix_prices!L596+$D$2)*IF($M$2="Prices in $/MWh",1,1/1000)</f>
        <v>65.72</v>
      </c>
      <c r="M608" s="153">
        <f>(Matrix_prices!M596+$D$2)*IF($M$2="Prices in $/MWh",1,1/1000)</f>
        <v>65.75</v>
      </c>
      <c r="N608" s="152">
        <f>(Matrix_prices!N596+$D$2)*IF($M$2="Prices in $/MWh",1,1/1000)</f>
        <v>65.930000000000007</v>
      </c>
    </row>
    <row r="609" spans="3:14" x14ac:dyDescent="0.25">
      <c r="C609" s="78">
        <f>Matrix_prices!C597</f>
        <v>42583</v>
      </c>
      <c r="D609" s="79" t="str">
        <f>Matrix_prices!D597</f>
        <v>NJ</v>
      </c>
      <c r="E609" s="80" t="str">
        <f>Matrix_prices!E597</f>
        <v>PSEG</v>
      </c>
      <c r="F609" s="79" t="str">
        <f>Matrix_prices!F597</f>
        <v>LPL</v>
      </c>
      <c r="G609" s="80" t="str">
        <f>Matrix_prices!G597</f>
        <v>Large P&amp;L</v>
      </c>
      <c r="H609" s="81" t="str">
        <f t="shared" si="28"/>
        <v>100-500 MWh</v>
      </c>
      <c r="I609" s="80">
        <f>(Matrix_prices!I597+$D$2)*IF($M$2="Prices in $/MWh",1,1/1000)</f>
        <v>108.41</v>
      </c>
      <c r="J609" s="79">
        <f>(Matrix_prices!J597+$D$2)*IF($M$2="Prices in $/MWh",1,1/1000)</f>
        <v>107.76</v>
      </c>
      <c r="K609" s="80">
        <f>(Matrix_prices!K597+$D$2)*IF($M$2="Prices in $/MWh",1,1/1000)</f>
        <v>108</v>
      </c>
      <c r="L609" s="79">
        <f>(Matrix_prices!L597+$D$2)*IF($M$2="Prices in $/MWh",1,1/1000)</f>
        <v>64.010000000000005</v>
      </c>
      <c r="M609" s="80">
        <f>(Matrix_prices!M597+$D$2)*IF($M$2="Prices in $/MWh",1,1/1000)</f>
        <v>64.040000000000006</v>
      </c>
      <c r="N609" s="79">
        <f>(Matrix_prices!N597+$D$2)*IF($M$2="Prices in $/MWh",1,1/1000)</f>
        <v>64.22</v>
      </c>
    </row>
    <row r="610" spans="3:14" x14ac:dyDescent="0.25">
      <c r="C610" s="82">
        <f>Matrix_prices!C598</f>
        <v>42583</v>
      </c>
      <c r="D610" s="83" t="str">
        <f>Matrix_prices!D598</f>
        <v>NJ</v>
      </c>
      <c r="E610" s="84" t="str">
        <f>Matrix_prices!E598</f>
        <v>PSEG</v>
      </c>
      <c r="F610" s="83" t="str">
        <f>Matrix_prices!F598</f>
        <v>LPL</v>
      </c>
      <c r="G610" s="84" t="str">
        <f>Matrix_prices!G598</f>
        <v>Large P&amp;L</v>
      </c>
      <c r="H610" s="85" t="str">
        <f t="shared" si="29"/>
        <v>500-2500 MWh</v>
      </c>
      <c r="I610" s="84">
        <f>(Matrix_prices!I598+$D$2)*IF($M$2="Prices in $/MWh",1,1/1000)</f>
        <v>107.29</v>
      </c>
      <c r="J610" s="83">
        <f>(Matrix_prices!J598+$D$2)*IF($M$2="Prices in $/MWh",1,1/1000)</f>
        <v>106.63</v>
      </c>
      <c r="K610" s="84">
        <f>(Matrix_prices!K598+$D$2)*IF($M$2="Prices in $/MWh",1,1/1000)</f>
        <v>106.88</v>
      </c>
      <c r="L610" s="83">
        <f>(Matrix_prices!L598+$D$2)*IF($M$2="Prices in $/MWh",1,1/1000)</f>
        <v>62.88</v>
      </c>
      <c r="M610" s="84">
        <f>(Matrix_prices!M598+$D$2)*IF($M$2="Prices in $/MWh",1,1/1000)</f>
        <v>62.91</v>
      </c>
      <c r="N610" s="83">
        <f>(Matrix_prices!N598+$D$2)*IF($M$2="Prices in $/MWh",1,1/1000)</f>
        <v>63.09</v>
      </c>
    </row>
    <row r="611" spans="3:14" x14ac:dyDescent="0.25">
      <c r="C611" s="74">
        <f>Matrix_prices!C599</f>
        <v>42614</v>
      </c>
      <c r="D611" s="75" t="str">
        <f>Matrix_prices!D599</f>
        <v>NJ</v>
      </c>
      <c r="E611" s="76" t="str">
        <f>Matrix_prices!E599</f>
        <v>PSEG</v>
      </c>
      <c r="F611" s="75" t="str">
        <f>Matrix_prices!F599</f>
        <v>LPL</v>
      </c>
      <c r="G611" s="76" t="str">
        <f>Matrix_prices!G599</f>
        <v>Large P&amp;L</v>
      </c>
      <c r="H611" s="157" t="str">
        <f t="shared" si="27"/>
        <v>0-100 MWh</v>
      </c>
      <c r="I611" s="76">
        <f>(Matrix_prices!I599+$D$2)*IF($M$2="Prices in $/MWh",1,1/1000)</f>
        <v>109.65</v>
      </c>
      <c r="J611" s="75">
        <f>(Matrix_prices!J599+$D$2)*IF($M$2="Prices in $/MWh",1,1/1000)</f>
        <v>110.76</v>
      </c>
      <c r="K611" s="76">
        <f>(Matrix_prices!K599+$D$2)*IF($M$2="Prices in $/MWh",1,1/1000)</f>
        <v>109.59</v>
      </c>
      <c r="L611" s="75">
        <f>(Matrix_prices!L599+$D$2)*IF($M$2="Prices in $/MWh",1,1/1000)</f>
        <v>65.53</v>
      </c>
      <c r="M611" s="76">
        <f>(Matrix_prices!M599+$D$2)*IF($M$2="Prices in $/MWh",1,1/1000)</f>
        <v>66.62</v>
      </c>
      <c r="N611" s="75">
        <f>(Matrix_prices!N599+$D$2)*IF($M$2="Prices in $/MWh",1,1/1000)</f>
        <v>66.010000000000005</v>
      </c>
    </row>
    <row r="612" spans="3:14" x14ac:dyDescent="0.25">
      <c r="C612" s="78">
        <f>Matrix_prices!C600</f>
        <v>42614</v>
      </c>
      <c r="D612" s="79" t="str">
        <f>Matrix_prices!D600</f>
        <v>NJ</v>
      </c>
      <c r="E612" s="80" t="str">
        <f>Matrix_prices!E600</f>
        <v>PSEG</v>
      </c>
      <c r="F612" s="79" t="str">
        <f>Matrix_prices!F600</f>
        <v>LPL</v>
      </c>
      <c r="G612" s="80" t="str">
        <f>Matrix_prices!G600</f>
        <v>Large P&amp;L</v>
      </c>
      <c r="H612" s="81" t="str">
        <f t="shared" si="28"/>
        <v>100-500 MWh</v>
      </c>
      <c r="I612" s="80">
        <f>(Matrix_prices!I600+$D$2)*IF($M$2="Prices in $/MWh",1,1/1000)</f>
        <v>107.93</v>
      </c>
      <c r="J612" s="79">
        <f>(Matrix_prices!J600+$D$2)*IF($M$2="Prices in $/MWh",1,1/1000)</f>
        <v>109.05</v>
      </c>
      <c r="K612" s="80">
        <f>(Matrix_prices!K600+$D$2)*IF($M$2="Prices in $/MWh",1,1/1000)</f>
        <v>107.87</v>
      </c>
      <c r="L612" s="79">
        <f>(Matrix_prices!L600+$D$2)*IF($M$2="Prices in $/MWh",1,1/1000)</f>
        <v>63.82</v>
      </c>
      <c r="M612" s="80">
        <f>(Matrix_prices!M600+$D$2)*IF($M$2="Prices in $/MWh",1,1/1000)</f>
        <v>64.91</v>
      </c>
      <c r="N612" s="79">
        <f>(Matrix_prices!N600+$D$2)*IF($M$2="Prices in $/MWh",1,1/1000)</f>
        <v>64.3</v>
      </c>
    </row>
    <row r="613" spans="3:14" x14ac:dyDescent="0.25">
      <c r="C613" s="82">
        <f>Matrix_prices!C601</f>
        <v>42614</v>
      </c>
      <c r="D613" s="83" t="str">
        <f>Matrix_prices!D601</f>
        <v>NJ</v>
      </c>
      <c r="E613" s="84" t="str">
        <f>Matrix_prices!E601</f>
        <v>PSEG</v>
      </c>
      <c r="F613" s="83" t="str">
        <f>Matrix_prices!F601</f>
        <v>LPL</v>
      </c>
      <c r="G613" s="84" t="str">
        <f>Matrix_prices!G601</f>
        <v>Large P&amp;L</v>
      </c>
      <c r="H613" s="85" t="str">
        <f t="shared" si="29"/>
        <v>500-2500 MWh</v>
      </c>
      <c r="I613" s="84">
        <f>(Matrix_prices!I601+$D$2)*IF($M$2="Prices in $/MWh",1,1/1000)</f>
        <v>106.81</v>
      </c>
      <c r="J613" s="83">
        <f>(Matrix_prices!J601+$D$2)*IF($M$2="Prices in $/MWh",1,1/1000)</f>
        <v>107.93</v>
      </c>
      <c r="K613" s="84">
        <f>(Matrix_prices!K601+$D$2)*IF($M$2="Prices in $/MWh",1,1/1000)</f>
        <v>106.75</v>
      </c>
      <c r="L613" s="83">
        <f>(Matrix_prices!L601+$D$2)*IF($M$2="Prices in $/MWh",1,1/1000)</f>
        <v>62.7</v>
      </c>
      <c r="M613" s="84">
        <f>(Matrix_prices!M601+$D$2)*IF($M$2="Prices in $/MWh",1,1/1000)</f>
        <v>63.78</v>
      </c>
      <c r="N613" s="83">
        <f>(Matrix_prices!N601+$D$2)*IF($M$2="Prices in $/MWh",1,1/1000)</f>
        <v>63.17</v>
      </c>
    </row>
    <row r="614" spans="3:14" x14ac:dyDescent="0.25">
      <c r="C614" s="151">
        <f>Matrix_prices!C602</f>
        <v>42644</v>
      </c>
      <c r="D614" s="152" t="str">
        <f>Matrix_prices!D602</f>
        <v>NJ</v>
      </c>
      <c r="E614" s="153" t="str">
        <f>Matrix_prices!E602</f>
        <v>PSEG</v>
      </c>
      <c r="F614" s="152" t="str">
        <f>Matrix_prices!F602</f>
        <v>LPL</v>
      </c>
      <c r="G614" s="153" t="str">
        <f>Matrix_prices!G602</f>
        <v>Large P&amp;L</v>
      </c>
      <c r="H614" s="157" t="str">
        <f t="shared" si="27"/>
        <v>0-100 MWh</v>
      </c>
      <c r="I614" s="153">
        <f>(Matrix_prices!I602+$D$2)*IF($M$2="Prices in $/MWh",1,1/1000)</f>
        <v>109.53</v>
      </c>
      <c r="J614" s="152">
        <f>(Matrix_prices!J602+$D$2)*IF($M$2="Prices in $/MWh",1,1/1000)</f>
        <v>111.65</v>
      </c>
      <c r="K614" s="153">
        <f>(Matrix_prices!K602+$D$2)*IF($M$2="Prices in $/MWh",1,1/1000)</f>
        <v>109.59</v>
      </c>
      <c r="L614" s="152">
        <f>(Matrix_prices!L602+$D$2)*IF($M$2="Prices in $/MWh",1,1/1000)</f>
        <v>65.63</v>
      </c>
      <c r="M614" s="153">
        <f>(Matrix_prices!M602+$D$2)*IF($M$2="Prices in $/MWh",1,1/1000)</f>
        <v>67.41</v>
      </c>
      <c r="N614" s="152">
        <f>(Matrix_prices!N602+$D$2)*IF($M$2="Prices in $/MWh",1,1/1000)</f>
        <v>66.22</v>
      </c>
    </row>
    <row r="615" spans="3:14" x14ac:dyDescent="0.25">
      <c r="C615" s="78">
        <f>Matrix_prices!C603</f>
        <v>42644</v>
      </c>
      <c r="D615" s="79" t="str">
        <f>Matrix_prices!D603</f>
        <v>NJ</v>
      </c>
      <c r="E615" s="80" t="str">
        <f>Matrix_prices!E603</f>
        <v>PSEG</v>
      </c>
      <c r="F615" s="79" t="str">
        <f>Matrix_prices!F603</f>
        <v>LPL</v>
      </c>
      <c r="G615" s="80" t="str">
        <f>Matrix_prices!G603</f>
        <v>Large P&amp;L</v>
      </c>
      <c r="H615" s="81" t="str">
        <f t="shared" si="28"/>
        <v>100-500 MWh</v>
      </c>
      <c r="I615" s="80">
        <f>(Matrix_prices!I603+$D$2)*IF($M$2="Prices in $/MWh",1,1/1000)</f>
        <v>107.82</v>
      </c>
      <c r="J615" s="79">
        <f>(Matrix_prices!J603+$D$2)*IF($M$2="Prices in $/MWh",1,1/1000)</f>
        <v>109.93</v>
      </c>
      <c r="K615" s="80">
        <f>(Matrix_prices!K603+$D$2)*IF($M$2="Prices in $/MWh",1,1/1000)</f>
        <v>107.88</v>
      </c>
      <c r="L615" s="79">
        <f>(Matrix_prices!L603+$D$2)*IF($M$2="Prices in $/MWh",1,1/1000)</f>
        <v>63.92</v>
      </c>
      <c r="M615" s="80">
        <f>(Matrix_prices!M603+$D$2)*IF($M$2="Prices in $/MWh",1,1/1000)</f>
        <v>65.7</v>
      </c>
      <c r="N615" s="79">
        <f>(Matrix_prices!N603+$D$2)*IF($M$2="Prices in $/MWh",1,1/1000)</f>
        <v>64.510000000000005</v>
      </c>
    </row>
    <row r="616" spans="3:14" x14ac:dyDescent="0.25">
      <c r="C616" s="82">
        <f>Matrix_prices!C604</f>
        <v>42644</v>
      </c>
      <c r="D616" s="83" t="str">
        <f>Matrix_prices!D604</f>
        <v>NJ</v>
      </c>
      <c r="E616" s="84" t="str">
        <f>Matrix_prices!E604</f>
        <v>PSEG</v>
      </c>
      <c r="F616" s="83" t="str">
        <f>Matrix_prices!F604</f>
        <v>LPL</v>
      </c>
      <c r="G616" s="84" t="str">
        <f>Matrix_prices!G604</f>
        <v>Large P&amp;L</v>
      </c>
      <c r="H616" s="85" t="str">
        <f t="shared" si="29"/>
        <v>500-2500 MWh</v>
      </c>
      <c r="I616" s="84">
        <f>(Matrix_prices!I604+$D$2)*IF($M$2="Prices in $/MWh",1,1/1000)</f>
        <v>106.7</v>
      </c>
      <c r="J616" s="83">
        <f>(Matrix_prices!J604+$D$2)*IF($M$2="Prices in $/MWh",1,1/1000)</f>
        <v>108.81</v>
      </c>
      <c r="K616" s="84">
        <f>(Matrix_prices!K604+$D$2)*IF($M$2="Prices in $/MWh",1,1/1000)</f>
        <v>106.76</v>
      </c>
      <c r="L616" s="83">
        <f>(Matrix_prices!L604+$D$2)*IF($M$2="Prices in $/MWh",1,1/1000)</f>
        <v>62.79</v>
      </c>
      <c r="M616" s="84">
        <f>(Matrix_prices!M604+$D$2)*IF($M$2="Prices in $/MWh",1,1/1000)</f>
        <v>64.58</v>
      </c>
      <c r="N616" s="83">
        <f>(Matrix_prices!N604+$D$2)*IF($M$2="Prices in $/MWh",1,1/1000)</f>
        <v>63.38</v>
      </c>
    </row>
    <row r="617" spans="3:14" x14ac:dyDescent="0.25">
      <c r="C617" s="74">
        <f>Matrix_prices!C605</f>
        <v>42675</v>
      </c>
      <c r="D617" s="75" t="str">
        <f>Matrix_prices!D605</f>
        <v>NJ</v>
      </c>
      <c r="E617" s="76" t="str">
        <f>Matrix_prices!E605</f>
        <v>PSEG</v>
      </c>
      <c r="F617" s="75" t="str">
        <f>Matrix_prices!F605</f>
        <v>LPL</v>
      </c>
      <c r="G617" s="76" t="str">
        <f>Matrix_prices!G605</f>
        <v>Large P&amp;L</v>
      </c>
      <c r="H617" s="157" t="str">
        <f t="shared" si="27"/>
        <v>0-100 MWh</v>
      </c>
      <c r="I617" s="76">
        <f>(Matrix_prices!I605+$D$2)*IF($M$2="Prices in $/MWh",1,1/1000)</f>
        <v>109.41</v>
      </c>
      <c r="J617" s="75">
        <f>(Matrix_prices!J605+$D$2)*IF($M$2="Prices in $/MWh",1,1/1000)</f>
        <v>111.79</v>
      </c>
      <c r="K617" s="76">
        <f>(Matrix_prices!K605+$D$2)*IF($M$2="Prices in $/MWh",1,1/1000)</f>
        <v>109.6</v>
      </c>
      <c r="L617" s="75">
        <f>(Matrix_prices!L605+$D$2)*IF($M$2="Prices in $/MWh",1,1/1000)</f>
        <v>65.709999999999994</v>
      </c>
      <c r="M617" s="76">
        <f>(Matrix_prices!M605+$D$2)*IF($M$2="Prices in $/MWh",1,1/1000)</f>
        <v>67.540000000000006</v>
      </c>
      <c r="N617" s="75">
        <f>(Matrix_prices!N605+$D$2)*IF($M$2="Prices in $/MWh",1,1/1000)</f>
        <v>66.41</v>
      </c>
    </row>
    <row r="618" spans="3:14" x14ac:dyDescent="0.25">
      <c r="C618" s="78">
        <f>Matrix_prices!C606</f>
        <v>42675</v>
      </c>
      <c r="D618" s="79" t="str">
        <f>Matrix_prices!D606</f>
        <v>NJ</v>
      </c>
      <c r="E618" s="80" t="str">
        <f>Matrix_prices!E606</f>
        <v>PSEG</v>
      </c>
      <c r="F618" s="79" t="str">
        <f>Matrix_prices!F606</f>
        <v>LPL</v>
      </c>
      <c r="G618" s="80" t="str">
        <f>Matrix_prices!G606</f>
        <v>Large P&amp;L</v>
      </c>
      <c r="H618" s="81" t="str">
        <f t="shared" si="28"/>
        <v>100-500 MWh</v>
      </c>
      <c r="I618" s="80">
        <f>(Matrix_prices!I606+$D$2)*IF($M$2="Prices in $/MWh",1,1/1000)</f>
        <v>107.7</v>
      </c>
      <c r="J618" s="79">
        <f>(Matrix_prices!J606+$D$2)*IF($M$2="Prices in $/MWh",1,1/1000)</f>
        <v>110.08</v>
      </c>
      <c r="K618" s="80">
        <f>(Matrix_prices!K606+$D$2)*IF($M$2="Prices in $/MWh",1,1/1000)</f>
        <v>107.89</v>
      </c>
      <c r="L618" s="79">
        <f>(Matrix_prices!L606+$D$2)*IF($M$2="Prices in $/MWh",1,1/1000)</f>
        <v>64</v>
      </c>
      <c r="M618" s="80">
        <f>(Matrix_prices!M606+$D$2)*IF($M$2="Prices in $/MWh",1,1/1000)</f>
        <v>65.83</v>
      </c>
      <c r="N618" s="79">
        <f>(Matrix_prices!N606+$D$2)*IF($M$2="Prices in $/MWh",1,1/1000)</f>
        <v>64.7</v>
      </c>
    </row>
    <row r="619" spans="3:14" x14ac:dyDescent="0.25">
      <c r="C619" s="82">
        <f>Matrix_prices!C607</f>
        <v>42675</v>
      </c>
      <c r="D619" s="83" t="str">
        <f>Matrix_prices!D607</f>
        <v>NJ</v>
      </c>
      <c r="E619" s="84" t="str">
        <f>Matrix_prices!E607</f>
        <v>PSEG</v>
      </c>
      <c r="F619" s="83" t="str">
        <f>Matrix_prices!F607</f>
        <v>LPL</v>
      </c>
      <c r="G619" s="84" t="str">
        <f>Matrix_prices!G607</f>
        <v>Large P&amp;L</v>
      </c>
      <c r="H619" s="85" t="str">
        <f t="shared" si="29"/>
        <v>500-2500 MWh</v>
      </c>
      <c r="I619" s="84">
        <f>(Matrix_prices!I607+$D$2)*IF($M$2="Prices in $/MWh",1,1/1000)</f>
        <v>106.57</v>
      </c>
      <c r="J619" s="83">
        <f>(Matrix_prices!J607+$D$2)*IF($M$2="Prices in $/MWh",1,1/1000)</f>
        <v>108.95</v>
      </c>
      <c r="K619" s="84">
        <f>(Matrix_prices!K607+$D$2)*IF($M$2="Prices in $/MWh",1,1/1000)</f>
        <v>106.77</v>
      </c>
      <c r="L619" s="83">
        <f>(Matrix_prices!L607+$D$2)*IF($M$2="Prices in $/MWh",1,1/1000)</f>
        <v>62.88</v>
      </c>
      <c r="M619" s="84">
        <f>(Matrix_prices!M607+$D$2)*IF($M$2="Prices in $/MWh",1,1/1000)</f>
        <v>64.7</v>
      </c>
      <c r="N619" s="83">
        <f>(Matrix_prices!N607+$D$2)*IF($M$2="Prices in $/MWh",1,1/1000)</f>
        <v>63.57</v>
      </c>
    </row>
    <row r="620" spans="3:14" x14ac:dyDescent="0.25">
      <c r="C620" s="151">
        <f>Matrix_prices!C608</f>
        <v>42705</v>
      </c>
      <c r="D620" s="152" t="str">
        <f>Matrix_prices!D608</f>
        <v>NJ</v>
      </c>
      <c r="E620" s="153" t="str">
        <f>Matrix_prices!E608</f>
        <v>PSEG</v>
      </c>
      <c r="F620" s="152" t="str">
        <f>Matrix_prices!F608</f>
        <v>LPL</v>
      </c>
      <c r="G620" s="153" t="str">
        <f>Matrix_prices!G608</f>
        <v>Large P&amp;L</v>
      </c>
      <c r="H620" s="157" t="str">
        <f t="shared" si="27"/>
        <v>0-100 MWh</v>
      </c>
      <c r="I620" s="153">
        <f>(Matrix_prices!I608+$D$2)*IF($M$2="Prices in $/MWh",1,1/1000)</f>
        <v>109.24</v>
      </c>
      <c r="J620" s="152">
        <f>(Matrix_prices!J608+$D$2)*IF($M$2="Prices in $/MWh",1,1/1000)</f>
        <v>111.61</v>
      </c>
      <c r="K620" s="153">
        <f>(Matrix_prices!K608+$D$2)*IF($M$2="Prices in $/MWh",1,1/1000)</f>
        <v>109.57</v>
      </c>
      <c r="L620" s="152">
        <f>(Matrix_prices!L608+$D$2)*IF($M$2="Prices in $/MWh",1,1/1000)</f>
        <v>65.760000000000005</v>
      </c>
      <c r="M620" s="153">
        <f>(Matrix_prices!M608+$D$2)*IF($M$2="Prices in $/MWh",1,1/1000)</f>
        <v>67.28</v>
      </c>
      <c r="N620" s="152">
        <f>(Matrix_prices!N608+$D$2)*IF($M$2="Prices in $/MWh",1,1/1000)</f>
        <v>66.510000000000005</v>
      </c>
    </row>
    <row r="621" spans="3:14" x14ac:dyDescent="0.25">
      <c r="C621" s="78">
        <f>Matrix_prices!C609</f>
        <v>42705</v>
      </c>
      <c r="D621" s="79" t="str">
        <f>Matrix_prices!D609</f>
        <v>NJ</v>
      </c>
      <c r="E621" s="80" t="str">
        <f>Matrix_prices!E609</f>
        <v>PSEG</v>
      </c>
      <c r="F621" s="79" t="str">
        <f>Matrix_prices!F609</f>
        <v>LPL</v>
      </c>
      <c r="G621" s="80" t="str">
        <f>Matrix_prices!G609</f>
        <v>Large P&amp;L</v>
      </c>
      <c r="H621" s="81" t="str">
        <f t="shared" si="28"/>
        <v>100-500 MWh</v>
      </c>
      <c r="I621" s="80">
        <f>(Matrix_prices!I609+$D$2)*IF($M$2="Prices in $/MWh",1,1/1000)</f>
        <v>107.53</v>
      </c>
      <c r="J621" s="79">
        <f>(Matrix_prices!J609+$D$2)*IF($M$2="Prices in $/MWh",1,1/1000)</f>
        <v>109.9</v>
      </c>
      <c r="K621" s="80">
        <f>(Matrix_prices!K609+$D$2)*IF($M$2="Prices in $/MWh",1,1/1000)</f>
        <v>107.86</v>
      </c>
      <c r="L621" s="79">
        <f>(Matrix_prices!L609+$D$2)*IF($M$2="Prices in $/MWh",1,1/1000)</f>
        <v>64.05</v>
      </c>
      <c r="M621" s="80">
        <f>(Matrix_prices!M609+$D$2)*IF($M$2="Prices in $/MWh",1,1/1000)</f>
        <v>65.569999999999993</v>
      </c>
      <c r="N621" s="79">
        <f>(Matrix_prices!N609+$D$2)*IF($M$2="Prices in $/MWh",1,1/1000)</f>
        <v>64.8</v>
      </c>
    </row>
    <row r="622" spans="3:14" x14ac:dyDescent="0.25">
      <c r="C622" s="82">
        <f>Matrix_prices!C610</f>
        <v>42705</v>
      </c>
      <c r="D622" s="83" t="str">
        <f>Matrix_prices!D610</f>
        <v>NJ</v>
      </c>
      <c r="E622" s="84" t="str">
        <f>Matrix_prices!E610</f>
        <v>PSEG</v>
      </c>
      <c r="F622" s="83" t="str">
        <f>Matrix_prices!F610</f>
        <v>LPL</v>
      </c>
      <c r="G622" s="84" t="str">
        <f>Matrix_prices!G610</f>
        <v>Large P&amp;L</v>
      </c>
      <c r="H622" s="85" t="str">
        <f t="shared" si="29"/>
        <v>500-2500 MWh</v>
      </c>
      <c r="I622" s="84">
        <f>(Matrix_prices!I610+$D$2)*IF($M$2="Prices in $/MWh",1,1/1000)</f>
        <v>106.4</v>
      </c>
      <c r="J622" s="83">
        <f>(Matrix_prices!J610+$D$2)*IF($M$2="Prices in $/MWh",1,1/1000)</f>
        <v>108.78</v>
      </c>
      <c r="K622" s="84">
        <f>(Matrix_prices!K610+$D$2)*IF($M$2="Prices in $/MWh",1,1/1000)</f>
        <v>106.73</v>
      </c>
      <c r="L622" s="83">
        <f>(Matrix_prices!L610+$D$2)*IF($M$2="Prices in $/MWh",1,1/1000)</f>
        <v>62.92</v>
      </c>
      <c r="M622" s="84">
        <f>(Matrix_prices!M610+$D$2)*IF($M$2="Prices in $/MWh",1,1/1000)</f>
        <v>64.45</v>
      </c>
      <c r="N622" s="83">
        <f>(Matrix_prices!N610+$D$2)*IF($M$2="Prices in $/MWh",1,1/1000)</f>
        <v>63.67</v>
      </c>
    </row>
    <row r="623" spans="3:14" x14ac:dyDescent="0.25">
      <c r="C623" s="74">
        <f>Matrix_prices!C611</f>
        <v>42736</v>
      </c>
      <c r="D623" s="75" t="str">
        <f>Matrix_prices!D611</f>
        <v>NJ</v>
      </c>
      <c r="E623" s="76" t="str">
        <f>Matrix_prices!E611</f>
        <v>PSEG</v>
      </c>
      <c r="F623" s="75" t="str">
        <f>Matrix_prices!F611</f>
        <v>LPL</v>
      </c>
      <c r="G623" s="76" t="str">
        <f>Matrix_prices!G611</f>
        <v>Large P&amp;L</v>
      </c>
      <c r="H623" s="157" t="str">
        <f t="shared" si="27"/>
        <v>0-100 MWh</v>
      </c>
      <c r="I623" s="76">
        <f>(Matrix_prices!I611+$D$2)*IF($M$2="Prices in $/MWh",1,1/1000)</f>
        <v>109.17</v>
      </c>
      <c r="J623" s="75">
        <f>(Matrix_prices!J611+$D$2)*IF($M$2="Prices in $/MWh",1,1/1000)</f>
        <v>110.99</v>
      </c>
      <c r="K623" s="76">
        <f>(Matrix_prices!K611+$D$2)*IF($M$2="Prices in $/MWh",1,1/1000)</f>
        <v>109.62</v>
      </c>
      <c r="L623" s="75">
        <f>(Matrix_prices!L611+$D$2)*IF($M$2="Prices in $/MWh",1,1/1000)</f>
        <v>65.849999999999994</v>
      </c>
      <c r="M623" s="76">
        <f>(Matrix_prices!M611+$D$2)*IF($M$2="Prices in $/MWh",1,1/1000)</f>
        <v>66.7</v>
      </c>
      <c r="N623" s="75">
        <f>(Matrix_prices!N611+$D$2)*IF($M$2="Prices in $/MWh",1,1/1000)</f>
        <v>66.59</v>
      </c>
    </row>
    <row r="624" spans="3:14" x14ac:dyDescent="0.25">
      <c r="C624" s="78">
        <f>Matrix_prices!C612</f>
        <v>42736</v>
      </c>
      <c r="D624" s="79" t="str">
        <f>Matrix_prices!D612</f>
        <v>NJ</v>
      </c>
      <c r="E624" s="80" t="str">
        <f>Matrix_prices!E612</f>
        <v>PSEG</v>
      </c>
      <c r="F624" s="79" t="str">
        <f>Matrix_prices!F612</f>
        <v>LPL</v>
      </c>
      <c r="G624" s="80" t="str">
        <f>Matrix_prices!G612</f>
        <v>Large P&amp;L</v>
      </c>
      <c r="H624" s="81" t="str">
        <f t="shared" si="28"/>
        <v>100-500 MWh</v>
      </c>
      <c r="I624" s="80">
        <f>(Matrix_prices!I612+$D$2)*IF($M$2="Prices in $/MWh",1,1/1000)</f>
        <v>107.45</v>
      </c>
      <c r="J624" s="79">
        <f>(Matrix_prices!J612+$D$2)*IF($M$2="Prices in $/MWh",1,1/1000)</f>
        <v>109.28</v>
      </c>
      <c r="K624" s="80">
        <f>(Matrix_prices!K612+$D$2)*IF($M$2="Prices in $/MWh",1,1/1000)</f>
        <v>107.91</v>
      </c>
      <c r="L624" s="79">
        <f>(Matrix_prices!L612+$D$2)*IF($M$2="Prices in $/MWh",1,1/1000)</f>
        <v>64.14</v>
      </c>
      <c r="M624" s="80">
        <f>(Matrix_prices!M612+$D$2)*IF($M$2="Prices in $/MWh",1,1/1000)</f>
        <v>64.989999999999995</v>
      </c>
      <c r="N624" s="79">
        <f>(Matrix_prices!N612+$D$2)*IF($M$2="Prices in $/MWh",1,1/1000)</f>
        <v>64.88</v>
      </c>
    </row>
    <row r="625" spans="3:14" x14ac:dyDescent="0.25">
      <c r="C625" s="82">
        <f>Matrix_prices!C613</f>
        <v>42736</v>
      </c>
      <c r="D625" s="83" t="str">
        <f>Matrix_prices!D613</f>
        <v>NJ</v>
      </c>
      <c r="E625" s="84" t="str">
        <f>Matrix_prices!E613</f>
        <v>PSEG</v>
      </c>
      <c r="F625" s="83" t="str">
        <f>Matrix_prices!F613</f>
        <v>LPL</v>
      </c>
      <c r="G625" s="84" t="str">
        <f>Matrix_prices!G613</f>
        <v>Large P&amp;L</v>
      </c>
      <c r="H625" s="85" t="str">
        <f t="shared" si="29"/>
        <v>500-2500 MWh</v>
      </c>
      <c r="I625" s="84">
        <f>(Matrix_prices!I613+$D$2)*IF($M$2="Prices in $/MWh",1,1/1000)</f>
        <v>106.33</v>
      </c>
      <c r="J625" s="83">
        <f>(Matrix_prices!J613+$D$2)*IF($M$2="Prices in $/MWh",1,1/1000)</f>
        <v>108.15</v>
      </c>
      <c r="K625" s="84">
        <f>(Matrix_prices!K613+$D$2)*IF($M$2="Prices in $/MWh",1,1/1000)</f>
        <v>106.78</v>
      </c>
      <c r="L625" s="83">
        <f>(Matrix_prices!L613+$D$2)*IF($M$2="Prices in $/MWh",1,1/1000)</f>
        <v>63.01</v>
      </c>
      <c r="M625" s="84">
        <f>(Matrix_prices!M613+$D$2)*IF($M$2="Prices in $/MWh",1,1/1000)</f>
        <v>63.86</v>
      </c>
      <c r="N625" s="83">
        <f>(Matrix_prices!N613+$D$2)*IF($M$2="Prices in $/MWh",1,1/1000)</f>
        <v>63.75</v>
      </c>
    </row>
    <row r="626" spans="3:14" x14ac:dyDescent="0.25">
      <c r="C626" s="151">
        <f>Matrix_prices!C614</f>
        <v>42401</v>
      </c>
      <c r="D626" s="152" t="str">
        <f>Matrix_prices!D614</f>
        <v>OH</v>
      </c>
      <c r="E626" s="153" t="str">
        <f>Matrix_prices!E614</f>
        <v>AEP OH</v>
      </c>
      <c r="F626" s="152" t="str">
        <f>Matrix_prices!F614</f>
        <v>GS1</v>
      </c>
      <c r="G626" s="153" t="str">
        <f>Matrix_prices!G614</f>
        <v>General Service Small</v>
      </c>
      <c r="H626" s="157" t="str">
        <f t="shared" si="27"/>
        <v>0-100 MWh</v>
      </c>
      <c r="I626" s="153">
        <f>(Matrix_prices!I614+$D$2)*IF($M$2="Prices in $/MWh",1,1/1000)</f>
        <v>57.91</v>
      </c>
      <c r="J626" s="152">
        <f>(Matrix_prices!J614+$D$2)*IF($M$2="Prices in $/MWh",1,1/1000)</f>
        <v>58.75</v>
      </c>
      <c r="K626" s="153">
        <f>(Matrix_prices!K614+$D$2)*IF($M$2="Prices in $/MWh",1,1/1000)</f>
        <v>59.25</v>
      </c>
      <c r="L626" s="152">
        <f>(Matrix_prices!L614+$D$2)*IF($M$2="Prices in $/MWh",1,1/1000)</f>
        <v>23.1</v>
      </c>
      <c r="M626" s="153">
        <f>(Matrix_prices!M614+$D$2)*IF($M$2="Prices in $/MWh",1,1/1000)</f>
        <v>23.52</v>
      </c>
      <c r="N626" s="152">
        <f>(Matrix_prices!N614+$D$2)*IF($M$2="Prices in $/MWh",1,1/1000)</f>
        <v>24.39</v>
      </c>
    </row>
    <row r="627" spans="3:14" x14ac:dyDescent="0.25">
      <c r="C627" s="78">
        <f>Matrix_prices!C615</f>
        <v>42401</v>
      </c>
      <c r="D627" s="79" t="str">
        <f>Matrix_prices!D615</f>
        <v>OH</v>
      </c>
      <c r="E627" s="80" t="str">
        <f>Matrix_prices!E615</f>
        <v>AEP OH</v>
      </c>
      <c r="F627" s="79" t="str">
        <f>Matrix_prices!F615</f>
        <v>GS1</v>
      </c>
      <c r="G627" s="80" t="str">
        <f>Matrix_prices!G615</f>
        <v>General Service Small</v>
      </c>
      <c r="H627" s="81" t="str">
        <f t="shared" si="28"/>
        <v>100-500 MWh</v>
      </c>
      <c r="I627" s="80">
        <f>(Matrix_prices!I615+$D$2)*IF($M$2="Prices in $/MWh",1,1/1000)</f>
        <v>56.31</v>
      </c>
      <c r="J627" s="79">
        <f>(Matrix_prices!J615+$D$2)*IF($M$2="Prices in $/MWh",1,1/1000)</f>
        <v>57.15</v>
      </c>
      <c r="K627" s="80">
        <f>(Matrix_prices!K615+$D$2)*IF($M$2="Prices in $/MWh",1,1/1000)</f>
        <v>57.65</v>
      </c>
      <c r="L627" s="79">
        <f>(Matrix_prices!L615+$D$2)*IF($M$2="Prices in $/MWh",1,1/1000)</f>
        <v>21.5</v>
      </c>
      <c r="M627" s="80">
        <f>(Matrix_prices!M615+$D$2)*IF($M$2="Prices in $/MWh",1,1/1000)</f>
        <v>21.92</v>
      </c>
      <c r="N627" s="79">
        <f>(Matrix_prices!N615+$D$2)*IF($M$2="Prices in $/MWh",1,1/1000)</f>
        <v>22.79</v>
      </c>
    </row>
    <row r="628" spans="3:14" x14ac:dyDescent="0.25">
      <c r="C628" s="82">
        <f>Matrix_prices!C616</f>
        <v>42401</v>
      </c>
      <c r="D628" s="83" t="str">
        <f>Matrix_prices!D616</f>
        <v>OH</v>
      </c>
      <c r="E628" s="84" t="str">
        <f>Matrix_prices!E616</f>
        <v>AEP OH</v>
      </c>
      <c r="F628" s="83" t="str">
        <f>Matrix_prices!F616</f>
        <v>GS1</v>
      </c>
      <c r="G628" s="84" t="str">
        <f>Matrix_prices!G616</f>
        <v>General Service Small</v>
      </c>
      <c r="H628" s="85" t="str">
        <f t="shared" si="29"/>
        <v>500-2500 MWh</v>
      </c>
      <c r="I628" s="84">
        <f>(Matrix_prices!I616+$D$2)*IF($M$2="Prices in $/MWh",1,1/1000)</f>
        <v>55.26</v>
      </c>
      <c r="J628" s="83">
        <f>(Matrix_prices!J616+$D$2)*IF($M$2="Prices in $/MWh",1,1/1000)</f>
        <v>56.1</v>
      </c>
      <c r="K628" s="84">
        <f>(Matrix_prices!K616+$D$2)*IF($M$2="Prices in $/MWh",1,1/1000)</f>
        <v>56.6</v>
      </c>
      <c r="L628" s="83">
        <f>(Matrix_prices!L616+$D$2)*IF($M$2="Prices in $/MWh",1,1/1000)</f>
        <v>20.45</v>
      </c>
      <c r="M628" s="84">
        <f>(Matrix_prices!M616+$D$2)*IF($M$2="Prices in $/MWh",1,1/1000)</f>
        <v>20.87</v>
      </c>
      <c r="N628" s="83">
        <f>(Matrix_prices!N616+$D$2)*IF($M$2="Prices in $/MWh",1,1/1000)</f>
        <v>21.74</v>
      </c>
    </row>
    <row r="629" spans="3:14" x14ac:dyDescent="0.25">
      <c r="C629" s="74">
        <f>Matrix_prices!C617</f>
        <v>42430</v>
      </c>
      <c r="D629" s="75" t="str">
        <f>Matrix_prices!D617</f>
        <v>OH</v>
      </c>
      <c r="E629" s="76" t="str">
        <f>Matrix_prices!E617</f>
        <v>AEP OH</v>
      </c>
      <c r="F629" s="75" t="str">
        <f>Matrix_prices!F617</f>
        <v>GS1</v>
      </c>
      <c r="G629" s="76" t="str">
        <f>Matrix_prices!G617</f>
        <v>General Service Small</v>
      </c>
      <c r="H629" s="157" t="str">
        <f t="shared" si="27"/>
        <v>0-100 MWh</v>
      </c>
      <c r="I629" s="76">
        <f>(Matrix_prices!I617+$D$2)*IF($M$2="Prices in $/MWh",1,1/1000)</f>
        <v>57.79</v>
      </c>
      <c r="J629" s="75">
        <f>(Matrix_prices!J617+$D$2)*IF($M$2="Prices in $/MWh",1,1/1000)</f>
        <v>58.67</v>
      </c>
      <c r="K629" s="76">
        <f>(Matrix_prices!K617+$D$2)*IF($M$2="Prices in $/MWh",1,1/1000)</f>
        <v>59.39</v>
      </c>
      <c r="L629" s="75">
        <f>(Matrix_prices!L617+$D$2)*IF($M$2="Prices in $/MWh",1,1/1000)</f>
        <v>22.8</v>
      </c>
      <c r="M629" s="76">
        <f>(Matrix_prices!M617+$D$2)*IF($M$2="Prices in $/MWh",1,1/1000)</f>
        <v>23.5</v>
      </c>
      <c r="N629" s="75">
        <f>(Matrix_prices!N617+$D$2)*IF($M$2="Prices in $/MWh",1,1/1000)</f>
        <v>24.47</v>
      </c>
    </row>
    <row r="630" spans="3:14" x14ac:dyDescent="0.25">
      <c r="C630" s="78">
        <f>Matrix_prices!C618</f>
        <v>42430</v>
      </c>
      <c r="D630" s="79" t="str">
        <f>Matrix_prices!D618</f>
        <v>OH</v>
      </c>
      <c r="E630" s="80" t="str">
        <f>Matrix_prices!E618</f>
        <v>AEP OH</v>
      </c>
      <c r="F630" s="79" t="str">
        <f>Matrix_prices!F618</f>
        <v>GS1</v>
      </c>
      <c r="G630" s="80" t="str">
        <f>Matrix_prices!G618</f>
        <v>General Service Small</v>
      </c>
      <c r="H630" s="81" t="str">
        <f t="shared" si="28"/>
        <v>100-500 MWh</v>
      </c>
      <c r="I630" s="80">
        <f>(Matrix_prices!I618+$D$2)*IF($M$2="Prices in $/MWh",1,1/1000)</f>
        <v>56.19</v>
      </c>
      <c r="J630" s="79">
        <f>(Matrix_prices!J618+$D$2)*IF($M$2="Prices in $/MWh",1,1/1000)</f>
        <v>57.07</v>
      </c>
      <c r="K630" s="80">
        <f>(Matrix_prices!K618+$D$2)*IF($M$2="Prices in $/MWh",1,1/1000)</f>
        <v>57.79</v>
      </c>
      <c r="L630" s="79">
        <f>(Matrix_prices!L618+$D$2)*IF($M$2="Prices in $/MWh",1,1/1000)</f>
        <v>21.2</v>
      </c>
      <c r="M630" s="80">
        <f>(Matrix_prices!M618+$D$2)*IF($M$2="Prices in $/MWh",1,1/1000)</f>
        <v>21.9</v>
      </c>
      <c r="N630" s="79">
        <f>(Matrix_prices!N618+$D$2)*IF($M$2="Prices in $/MWh",1,1/1000)</f>
        <v>22.87</v>
      </c>
    </row>
    <row r="631" spans="3:14" x14ac:dyDescent="0.25">
      <c r="C631" s="82">
        <f>Matrix_prices!C619</f>
        <v>42430</v>
      </c>
      <c r="D631" s="83" t="str">
        <f>Matrix_prices!D619</f>
        <v>OH</v>
      </c>
      <c r="E631" s="84" t="str">
        <f>Matrix_prices!E619</f>
        <v>AEP OH</v>
      </c>
      <c r="F631" s="83" t="str">
        <f>Matrix_prices!F619</f>
        <v>GS1</v>
      </c>
      <c r="G631" s="84" t="str">
        <f>Matrix_prices!G619</f>
        <v>General Service Small</v>
      </c>
      <c r="H631" s="85" t="str">
        <f t="shared" si="29"/>
        <v>500-2500 MWh</v>
      </c>
      <c r="I631" s="84">
        <f>(Matrix_prices!I619+$D$2)*IF($M$2="Prices in $/MWh",1,1/1000)</f>
        <v>55.14</v>
      </c>
      <c r="J631" s="83">
        <f>(Matrix_prices!J619+$D$2)*IF($M$2="Prices in $/MWh",1,1/1000)</f>
        <v>56.02</v>
      </c>
      <c r="K631" s="84">
        <f>(Matrix_prices!K619+$D$2)*IF($M$2="Prices in $/MWh",1,1/1000)</f>
        <v>56.74</v>
      </c>
      <c r="L631" s="83">
        <f>(Matrix_prices!L619+$D$2)*IF($M$2="Prices in $/MWh",1,1/1000)</f>
        <v>20.149999999999999</v>
      </c>
      <c r="M631" s="84">
        <f>(Matrix_prices!M619+$D$2)*IF($M$2="Prices in $/MWh",1,1/1000)</f>
        <v>20.85</v>
      </c>
      <c r="N631" s="83">
        <f>(Matrix_prices!N619+$D$2)*IF($M$2="Prices in $/MWh",1,1/1000)</f>
        <v>21.82</v>
      </c>
    </row>
    <row r="632" spans="3:14" x14ac:dyDescent="0.25">
      <c r="C632" s="151">
        <f>Matrix_prices!C620</f>
        <v>42461</v>
      </c>
      <c r="D632" s="152" t="str">
        <f>Matrix_prices!D620</f>
        <v>OH</v>
      </c>
      <c r="E632" s="153" t="str">
        <f>Matrix_prices!E620</f>
        <v>AEP OH</v>
      </c>
      <c r="F632" s="152" t="str">
        <f>Matrix_prices!F620</f>
        <v>GS1</v>
      </c>
      <c r="G632" s="153" t="str">
        <f>Matrix_prices!G620</f>
        <v>General Service Small</v>
      </c>
      <c r="H632" s="157" t="str">
        <f t="shared" si="27"/>
        <v>0-100 MWh</v>
      </c>
      <c r="I632" s="153">
        <f>(Matrix_prices!I620+$D$2)*IF($M$2="Prices in $/MWh",1,1/1000)</f>
        <v>57.66</v>
      </c>
      <c r="J632" s="152">
        <f>(Matrix_prices!J620+$D$2)*IF($M$2="Prices in $/MWh",1,1/1000)</f>
        <v>58.45</v>
      </c>
      <c r="K632" s="153">
        <f>(Matrix_prices!K620+$D$2)*IF($M$2="Prices in $/MWh",1,1/1000)</f>
        <v>59.54</v>
      </c>
      <c r="L632" s="152">
        <f>(Matrix_prices!L620+$D$2)*IF($M$2="Prices in $/MWh",1,1/1000)</f>
        <v>22.48</v>
      </c>
      <c r="M632" s="153">
        <f>(Matrix_prices!M620+$D$2)*IF($M$2="Prices in $/MWh",1,1/1000)</f>
        <v>23.44</v>
      </c>
      <c r="N632" s="152">
        <f>(Matrix_prices!N620+$D$2)*IF($M$2="Prices in $/MWh",1,1/1000)</f>
        <v>24.56</v>
      </c>
    </row>
    <row r="633" spans="3:14" x14ac:dyDescent="0.25">
      <c r="C633" s="78">
        <f>Matrix_prices!C621</f>
        <v>42461</v>
      </c>
      <c r="D633" s="79" t="str">
        <f>Matrix_prices!D621</f>
        <v>OH</v>
      </c>
      <c r="E633" s="80" t="str">
        <f>Matrix_prices!E621</f>
        <v>AEP OH</v>
      </c>
      <c r="F633" s="79" t="str">
        <f>Matrix_prices!F621</f>
        <v>GS1</v>
      </c>
      <c r="G633" s="80" t="str">
        <f>Matrix_prices!G621</f>
        <v>General Service Small</v>
      </c>
      <c r="H633" s="81" t="str">
        <f t="shared" si="28"/>
        <v>100-500 MWh</v>
      </c>
      <c r="I633" s="80">
        <f>(Matrix_prices!I621+$D$2)*IF($M$2="Prices in $/MWh",1,1/1000)</f>
        <v>56.06</v>
      </c>
      <c r="J633" s="79">
        <f>(Matrix_prices!J621+$D$2)*IF($M$2="Prices in $/MWh",1,1/1000)</f>
        <v>56.85</v>
      </c>
      <c r="K633" s="80">
        <f>(Matrix_prices!K621+$D$2)*IF($M$2="Prices in $/MWh",1,1/1000)</f>
        <v>57.94</v>
      </c>
      <c r="L633" s="79">
        <f>(Matrix_prices!L621+$D$2)*IF($M$2="Prices in $/MWh",1,1/1000)</f>
        <v>20.88</v>
      </c>
      <c r="M633" s="80">
        <f>(Matrix_prices!M621+$D$2)*IF($M$2="Prices in $/MWh",1,1/1000)</f>
        <v>21.84</v>
      </c>
      <c r="N633" s="79">
        <f>(Matrix_prices!N621+$D$2)*IF($M$2="Prices in $/MWh",1,1/1000)</f>
        <v>22.96</v>
      </c>
    </row>
    <row r="634" spans="3:14" x14ac:dyDescent="0.25">
      <c r="C634" s="82">
        <f>Matrix_prices!C622</f>
        <v>42461</v>
      </c>
      <c r="D634" s="83" t="str">
        <f>Matrix_prices!D622</f>
        <v>OH</v>
      </c>
      <c r="E634" s="84" t="str">
        <f>Matrix_prices!E622</f>
        <v>AEP OH</v>
      </c>
      <c r="F634" s="83" t="str">
        <f>Matrix_prices!F622</f>
        <v>GS1</v>
      </c>
      <c r="G634" s="84" t="str">
        <f>Matrix_prices!G622</f>
        <v>General Service Small</v>
      </c>
      <c r="H634" s="85" t="str">
        <f t="shared" si="29"/>
        <v>500-2500 MWh</v>
      </c>
      <c r="I634" s="84">
        <f>(Matrix_prices!I622+$D$2)*IF($M$2="Prices in $/MWh",1,1/1000)</f>
        <v>55.01</v>
      </c>
      <c r="J634" s="83">
        <f>(Matrix_prices!J622+$D$2)*IF($M$2="Prices in $/MWh",1,1/1000)</f>
        <v>55.8</v>
      </c>
      <c r="K634" s="84">
        <f>(Matrix_prices!K622+$D$2)*IF($M$2="Prices in $/MWh",1,1/1000)</f>
        <v>56.89</v>
      </c>
      <c r="L634" s="83">
        <f>(Matrix_prices!L622+$D$2)*IF($M$2="Prices in $/MWh",1,1/1000)</f>
        <v>19.829999999999998</v>
      </c>
      <c r="M634" s="84">
        <f>(Matrix_prices!M622+$D$2)*IF($M$2="Prices in $/MWh",1,1/1000)</f>
        <v>20.79</v>
      </c>
      <c r="N634" s="83">
        <f>(Matrix_prices!N622+$D$2)*IF($M$2="Prices in $/MWh",1,1/1000)</f>
        <v>21.91</v>
      </c>
    </row>
    <row r="635" spans="3:14" x14ac:dyDescent="0.25">
      <c r="C635" s="74">
        <f>Matrix_prices!C623</f>
        <v>42491</v>
      </c>
      <c r="D635" s="75" t="str">
        <f>Matrix_prices!D623</f>
        <v>OH</v>
      </c>
      <c r="E635" s="76" t="str">
        <f>Matrix_prices!E623</f>
        <v>AEP OH</v>
      </c>
      <c r="F635" s="75" t="str">
        <f>Matrix_prices!F623</f>
        <v>GS1</v>
      </c>
      <c r="G635" s="76" t="str">
        <f>Matrix_prices!G623</f>
        <v>General Service Small</v>
      </c>
      <c r="H635" s="157" t="str">
        <f t="shared" si="27"/>
        <v>0-100 MWh</v>
      </c>
      <c r="I635" s="76">
        <f>(Matrix_prices!I623+$D$2)*IF($M$2="Prices in $/MWh",1,1/1000)</f>
        <v>57.39</v>
      </c>
      <c r="J635" s="75">
        <f>(Matrix_prices!J623+$D$2)*IF($M$2="Prices in $/MWh",1,1/1000)</f>
        <v>58.34</v>
      </c>
      <c r="K635" s="76">
        <f>(Matrix_prices!K623+$D$2)*IF($M$2="Prices in $/MWh",1,1/1000)</f>
        <v>59.62</v>
      </c>
      <c r="L635" s="75">
        <f>(Matrix_prices!L623+$D$2)*IF($M$2="Prices in $/MWh",1,1/1000)</f>
        <v>22.14</v>
      </c>
      <c r="M635" s="76">
        <f>(Matrix_prices!M623+$D$2)*IF($M$2="Prices in $/MWh",1,1/1000)</f>
        <v>23.45</v>
      </c>
      <c r="N635" s="75">
        <f>(Matrix_prices!N623+$D$2)*IF($M$2="Prices in $/MWh",1,1/1000)</f>
        <v>24.62</v>
      </c>
    </row>
    <row r="636" spans="3:14" x14ac:dyDescent="0.25">
      <c r="C636" s="78">
        <f>Matrix_prices!C624</f>
        <v>42491</v>
      </c>
      <c r="D636" s="79" t="str">
        <f>Matrix_prices!D624</f>
        <v>OH</v>
      </c>
      <c r="E636" s="80" t="str">
        <f>Matrix_prices!E624</f>
        <v>AEP OH</v>
      </c>
      <c r="F636" s="79" t="str">
        <f>Matrix_prices!F624</f>
        <v>GS1</v>
      </c>
      <c r="G636" s="80" t="str">
        <f>Matrix_prices!G624</f>
        <v>General Service Small</v>
      </c>
      <c r="H636" s="81" t="str">
        <f t="shared" si="28"/>
        <v>100-500 MWh</v>
      </c>
      <c r="I636" s="80">
        <f>(Matrix_prices!I624+$D$2)*IF($M$2="Prices in $/MWh",1,1/1000)</f>
        <v>55.79</v>
      </c>
      <c r="J636" s="79">
        <f>(Matrix_prices!J624+$D$2)*IF($M$2="Prices in $/MWh",1,1/1000)</f>
        <v>56.74</v>
      </c>
      <c r="K636" s="80">
        <f>(Matrix_prices!K624+$D$2)*IF($M$2="Prices in $/MWh",1,1/1000)</f>
        <v>58.02</v>
      </c>
      <c r="L636" s="79">
        <f>(Matrix_prices!L624+$D$2)*IF($M$2="Prices in $/MWh",1,1/1000)</f>
        <v>20.54</v>
      </c>
      <c r="M636" s="80">
        <f>(Matrix_prices!M624+$D$2)*IF($M$2="Prices in $/MWh",1,1/1000)</f>
        <v>21.85</v>
      </c>
      <c r="N636" s="79">
        <f>(Matrix_prices!N624+$D$2)*IF($M$2="Prices in $/MWh",1,1/1000)</f>
        <v>23.02</v>
      </c>
    </row>
    <row r="637" spans="3:14" x14ac:dyDescent="0.25">
      <c r="C637" s="82">
        <f>Matrix_prices!C625</f>
        <v>42491</v>
      </c>
      <c r="D637" s="83" t="str">
        <f>Matrix_prices!D625</f>
        <v>OH</v>
      </c>
      <c r="E637" s="84" t="str">
        <f>Matrix_prices!E625</f>
        <v>AEP OH</v>
      </c>
      <c r="F637" s="83" t="str">
        <f>Matrix_prices!F625</f>
        <v>GS1</v>
      </c>
      <c r="G637" s="84" t="str">
        <f>Matrix_prices!G625</f>
        <v>General Service Small</v>
      </c>
      <c r="H637" s="85" t="str">
        <f t="shared" si="29"/>
        <v>500-2500 MWh</v>
      </c>
      <c r="I637" s="84">
        <f>(Matrix_prices!I625+$D$2)*IF($M$2="Prices in $/MWh",1,1/1000)</f>
        <v>54.74</v>
      </c>
      <c r="J637" s="83">
        <f>(Matrix_prices!J625+$D$2)*IF($M$2="Prices in $/MWh",1,1/1000)</f>
        <v>55.69</v>
      </c>
      <c r="K637" s="84">
        <f>(Matrix_prices!K625+$D$2)*IF($M$2="Prices in $/MWh",1,1/1000)</f>
        <v>56.97</v>
      </c>
      <c r="L637" s="83">
        <f>(Matrix_prices!L625+$D$2)*IF($M$2="Prices in $/MWh",1,1/1000)</f>
        <v>19.489999999999998</v>
      </c>
      <c r="M637" s="84">
        <f>(Matrix_prices!M625+$D$2)*IF($M$2="Prices in $/MWh",1,1/1000)</f>
        <v>20.8</v>
      </c>
      <c r="N637" s="83">
        <f>(Matrix_prices!N625+$D$2)*IF($M$2="Prices in $/MWh",1,1/1000)</f>
        <v>21.97</v>
      </c>
    </row>
    <row r="638" spans="3:14" x14ac:dyDescent="0.25">
      <c r="C638" s="151">
        <f>Matrix_prices!C626</f>
        <v>42522</v>
      </c>
      <c r="D638" s="152" t="str">
        <f>Matrix_prices!D626</f>
        <v>OH</v>
      </c>
      <c r="E638" s="153" t="str">
        <f>Matrix_prices!E626</f>
        <v>AEP OH</v>
      </c>
      <c r="F638" s="152" t="str">
        <f>Matrix_prices!F626</f>
        <v>GS1</v>
      </c>
      <c r="G638" s="153" t="str">
        <f>Matrix_prices!G626</f>
        <v>General Service Small</v>
      </c>
      <c r="H638" s="157" t="str">
        <f t="shared" si="27"/>
        <v>0-100 MWh</v>
      </c>
      <c r="I638" s="153">
        <f>(Matrix_prices!I626+$D$2)*IF($M$2="Prices in $/MWh",1,1/1000)</f>
        <v>57.07</v>
      </c>
      <c r="J638" s="152">
        <f>(Matrix_prices!J626+$D$2)*IF($M$2="Prices in $/MWh",1,1/1000)</f>
        <v>58.19</v>
      </c>
      <c r="K638" s="153">
        <f>(Matrix_prices!K626+$D$2)*IF($M$2="Prices in $/MWh",1,1/1000)</f>
        <v>59.7</v>
      </c>
      <c r="L638" s="152">
        <f>(Matrix_prices!L626+$D$2)*IF($M$2="Prices in $/MWh",1,1/1000)</f>
        <v>21.76</v>
      </c>
      <c r="M638" s="153">
        <f>(Matrix_prices!M626+$D$2)*IF($M$2="Prices in $/MWh",1,1/1000)</f>
        <v>23.4</v>
      </c>
      <c r="N638" s="152">
        <f>(Matrix_prices!N626+$D$2)*IF($M$2="Prices in $/MWh",1,1/1000)</f>
        <v>24.68</v>
      </c>
    </row>
    <row r="639" spans="3:14" x14ac:dyDescent="0.25">
      <c r="C639" s="78">
        <f>Matrix_prices!C627</f>
        <v>42522</v>
      </c>
      <c r="D639" s="79" t="str">
        <f>Matrix_prices!D627</f>
        <v>OH</v>
      </c>
      <c r="E639" s="80" t="str">
        <f>Matrix_prices!E627</f>
        <v>AEP OH</v>
      </c>
      <c r="F639" s="79" t="str">
        <f>Matrix_prices!F627</f>
        <v>GS1</v>
      </c>
      <c r="G639" s="80" t="str">
        <f>Matrix_prices!G627</f>
        <v>General Service Small</v>
      </c>
      <c r="H639" s="81" t="str">
        <f t="shared" si="28"/>
        <v>100-500 MWh</v>
      </c>
      <c r="I639" s="80">
        <f>(Matrix_prices!I627+$D$2)*IF($M$2="Prices in $/MWh",1,1/1000)</f>
        <v>55.47</v>
      </c>
      <c r="J639" s="79">
        <f>(Matrix_prices!J627+$D$2)*IF($M$2="Prices in $/MWh",1,1/1000)</f>
        <v>56.59</v>
      </c>
      <c r="K639" s="80">
        <f>(Matrix_prices!K627+$D$2)*IF($M$2="Prices in $/MWh",1,1/1000)</f>
        <v>58.1</v>
      </c>
      <c r="L639" s="79">
        <f>(Matrix_prices!L627+$D$2)*IF($M$2="Prices in $/MWh",1,1/1000)</f>
        <v>20.16</v>
      </c>
      <c r="M639" s="80">
        <f>(Matrix_prices!M627+$D$2)*IF($M$2="Prices in $/MWh",1,1/1000)</f>
        <v>21.8</v>
      </c>
      <c r="N639" s="79">
        <f>(Matrix_prices!N627+$D$2)*IF($M$2="Prices in $/MWh",1,1/1000)</f>
        <v>23.08</v>
      </c>
    </row>
    <row r="640" spans="3:14" x14ac:dyDescent="0.25">
      <c r="C640" s="82">
        <f>Matrix_prices!C628</f>
        <v>42522</v>
      </c>
      <c r="D640" s="83" t="str">
        <f>Matrix_prices!D628</f>
        <v>OH</v>
      </c>
      <c r="E640" s="84" t="str">
        <f>Matrix_prices!E628</f>
        <v>AEP OH</v>
      </c>
      <c r="F640" s="83" t="str">
        <f>Matrix_prices!F628</f>
        <v>GS1</v>
      </c>
      <c r="G640" s="84" t="str">
        <f>Matrix_prices!G628</f>
        <v>General Service Small</v>
      </c>
      <c r="H640" s="85" t="str">
        <f t="shared" si="29"/>
        <v>500-2500 MWh</v>
      </c>
      <c r="I640" s="84">
        <f>(Matrix_prices!I628+$D$2)*IF($M$2="Prices in $/MWh",1,1/1000)</f>
        <v>54.42</v>
      </c>
      <c r="J640" s="83">
        <f>(Matrix_prices!J628+$D$2)*IF($M$2="Prices in $/MWh",1,1/1000)</f>
        <v>55.54</v>
      </c>
      <c r="K640" s="84">
        <f>(Matrix_prices!K628+$D$2)*IF($M$2="Prices in $/MWh",1,1/1000)</f>
        <v>57.05</v>
      </c>
      <c r="L640" s="83">
        <f>(Matrix_prices!L628+$D$2)*IF($M$2="Prices in $/MWh",1,1/1000)</f>
        <v>19.11</v>
      </c>
      <c r="M640" s="84">
        <f>(Matrix_prices!M628+$D$2)*IF($M$2="Prices in $/MWh",1,1/1000)</f>
        <v>20.75</v>
      </c>
      <c r="N640" s="83">
        <f>(Matrix_prices!N628+$D$2)*IF($M$2="Prices in $/MWh",1,1/1000)</f>
        <v>22.03</v>
      </c>
    </row>
    <row r="641" spans="3:14" x14ac:dyDescent="0.25">
      <c r="C641" s="74">
        <f>Matrix_prices!C629</f>
        <v>42552</v>
      </c>
      <c r="D641" s="75" t="str">
        <f>Matrix_prices!D629</f>
        <v>OH</v>
      </c>
      <c r="E641" s="76" t="str">
        <f>Matrix_prices!E629</f>
        <v>AEP OH</v>
      </c>
      <c r="F641" s="75" t="str">
        <f>Matrix_prices!F629</f>
        <v>GS1</v>
      </c>
      <c r="G641" s="76" t="str">
        <f>Matrix_prices!G629</f>
        <v>General Service Small</v>
      </c>
      <c r="H641" s="157" t="str">
        <f t="shared" si="27"/>
        <v>0-100 MWh</v>
      </c>
      <c r="I641" s="76">
        <f>(Matrix_prices!I629+$D$2)*IF($M$2="Prices in $/MWh",1,1/1000)</f>
        <v>57.59</v>
      </c>
      <c r="J641" s="75">
        <f>(Matrix_prices!J629+$D$2)*IF($M$2="Prices in $/MWh",1,1/1000)</f>
        <v>58.4</v>
      </c>
      <c r="K641" s="76">
        <f>(Matrix_prices!K629+$D$2)*IF($M$2="Prices in $/MWh",1,1/1000)</f>
        <v>59.99</v>
      </c>
      <c r="L641" s="75">
        <f>(Matrix_prices!L629+$D$2)*IF($M$2="Prices in $/MWh",1,1/1000)</f>
        <v>22.24</v>
      </c>
      <c r="M641" s="76">
        <f>(Matrix_prices!M629+$D$2)*IF($M$2="Prices in $/MWh",1,1/1000)</f>
        <v>23.68</v>
      </c>
      <c r="N641" s="75">
        <f>(Matrix_prices!N629+$D$2)*IF($M$2="Prices in $/MWh",1,1/1000)</f>
        <v>25</v>
      </c>
    </row>
    <row r="642" spans="3:14" x14ac:dyDescent="0.25">
      <c r="C642" s="78">
        <f>Matrix_prices!C630</f>
        <v>42552</v>
      </c>
      <c r="D642" s="79" t="str">
        <f>Matrix_prices!D630</f>
        <v>OH</v>
      </c>
      <c r="E642" s="80" t="str">
        <f>Matrix_prices!E630</f>
        <v>AEP OH</v>
      </c>
      <c r="F642" s="79" t="str">
        <f>Matrix_prices!F630</f>
        <v>GS1</v>
      </c>
      <c r="G642" s="80" t="str">
        <f>Matrix_prices!G630</f>
        <v>General Service Small</v>
      </c>
      <c r="H642" s="81" t="str">
        <f t="shared" si="28"/>
        <v>100-500 MWh</v>
      </c>
      <c r="I642" s="80">
        <f>(Matrix_prices!I630+$D$2)*IF($M$2="Prices in $/MWh",1,1/1000)</f>
        <v>55.99</v>
      </c>
      <c r="J642" s="79">
        <f>(Matrix_prices!J630+$D$2)*IF($M$2="Prices in $/MWh",1,1/1000)</f>
        <v>56.8</v>
      </c>
      <c r="K642" s="80">
        <f>(Matrix_prices!K630+$D$2)*IF($M$2="Prices in $/MWh",1,1/1000)</f>
        <v>58.39</v>
      </c>
      <c r="L642" s="79">
        <f>(Matrix_prices!L630+$D$2)*IF($M$2="Prices in $/MWh",1,1/1000)</f>
        <v>20.64</v>
      </c>
      <c r="M642" s="80">
        <f>(Matrix_prices!M630+$D$2)*IF($M$2="Prices in $/MWh",1,1/1000)</f>
        <v>22.08</v>
      </c>
      <c r="N642" s="79">
        <f>(Matrix_prices!N630+$D$2)*IF($M$2="Prices in $/MWh",1,1/1000)</f>
        <v>23.4</v>
      </c>
    </row>
    <row r="643" spans="3:14" x14ac:dyDescent="0.25">
      <c r="C643" s="82">
        <f>Matrix_prices!C631</f>
        <v>42552</v>
      </c>
      <c r="D643" s="83" t="str">
        <f>Matrix_prices!D631</f>
        <v>OH</v>
      </c>
      <c r="E643" s="84" t="str">
        <f>Matrix_prices!E631</f>
        <v>AEP OH</v>
      </c>
      <c r="F643" s="83" t="str">
        <f>Matrix_prices!F631</f>
        <v>GS1</v>
      </c>
      <c r="G643" s="84" t="str">
        <f>Matrix_prices!G631</f>
        <v>General Service Small</v>
      </c>
      <c r="H643" s="85" t="str">
        <f t="shared" si="29"/>
        <v>500-2500 MWh</v>
      </c>
      <c r="I643" s="84">
        <f>(Matrix_prices!I631+$D$2)*IF($M$2="Prices in $/MWh",1,1/1000)</f>
        <v>54.94</v>
      </c>
      <c r="J643" s="83">
        <f>(Matrix_prices!J631+$D$2)*IF($M$2="Prices in $/MWh",1,1/1000)</f>
        <v>55.75</v>
      </c>
      <c r="K643" s="84">
        <f>(Matrix_prices!K631+$D$2)*IF($M$2="Prices in $/MWh",1,1/1000)</f>
        <v>57.34</v>
      </c>
      <c r="L643" s="83">
        <f>(Matrix_prices!L631+$D$2)*IF($M$2="Prices in $/MWh",1,1/1000)</f>
        <v>19.59</v>
      </c>
      <c r="M643" s="84">
        <f>(Matrix_prices!M631+$D$2)*IF($M$2="Prices in $/MWh",1,1/1000)</f>
        <v>21.03</v>
      </c>
      <c r="N643" s="83">
        <f>(Matrix_prices!N631+$D$2)*IF($M$2="Prices in $/MWh",1,1/1000)</f>
        <v>22.35</v>
      </c>
    </row>
    <row r="644" spans="3:14" x14ac:dyDescent="0.25">
      <c r="C644" s="151">
        <f>Matrix_prices!C632</f>
        <v>42583</v>
      </c>
      <c r="D644" s="152" t="str">
        <f>Matrix_prices!D632</f>
        <v>OH</v>
      </c>
      <c r="E644" s="153" t="str">
        <f>Matrix_prices!E632</f>
        <v>AEP OH</v>
      </c>
      <c r="F644" s="152" t="str">
        <f>Matrix_prices!F632</f>
        <v>GS1</v>
      </c>
      <c r="G644" s="153" t="str">
        <f>Matrix_prices!G632</f>
        <v>General Service Small</v>
      </c>
      <c r="H644" s="157" t="str">
        <f t="shared" si="27"/>
        <v>0-100 MWh</v>
      </c>
      <c r="I644" s="153">
        <f>(Matrix_prices!I632+$D$2)*IF($M$2="Prices in $/MWh",1,1/1000)</f>
        <v>58.04</v>
      </c>
      <c r="J644" s="152">
        <f>(Matrix_prices!J632+$D$2)*IF($M$2="Prices in $/MWh",1,1/1000)</f>
        <v>58.94</v>
      </c>
      <c r="K644" s="153">
        <f>(Matrix_prices!K632+$D$2)*IF($M$2="Prices in $/MWh",1,1/1000)</f>
        <v>60.32</v>
      </c>
      <c r="L644" s="152">
        <f>(Matrix_prices!L632+$D$2)*IF($M$2="Prices in $/MWh",1,1/1000)</f>
        <v>22.76</v>
      </c>
      <c r="M644" s="153">
        <f>(Matrix_prices!M632+$D$2)*IF($M$2="Prices in $/MWh",1,1/1000)</f>
        <v>24.16</v>
      </c>
      <c r="N644" s="152">
        <f>(Matrix_prices!N632+$D$2)*IF($M$2="Prices in $/MWh",1,1/1000)</f>
        <v>25.34</v>
      </c>
    </row>
    <row r="645" spans="3:14" x14ac:dyDescent="0.25">
      <c r="C645" s="78">
        <f>Matrix_prices!C633</f>
        <v>42583</v>
      </c>
      <c r="D645" s="79" t="str">
        <f>Matrix_prices!D633</f>
        <v>OH</v>
      </c>
      <c r="E645" s="80" t="str">
        <f>Matrix_prices!E633</f>
        <v>AEP OH</v>
      </c>
      <c r="F645" s="79" t="str">
        <f>Matrix_prices!F633</f>
        <v>GS1</v>
      </c>
      <c r="G645" s="80" t="str">
        <f>Matrix_prices!G633</f>
        <v>General Service Small</v>
      </c>
      <c r="H645" s="81" t="str">
        <f t="shared" si="28"/>
        <v>100-500 MWh</v>
      </c>
      <c r="I645" s="80">
        <f>(Matrix_prices!I633+$D$2)*IF($M$2="Prices in $/MWh",1,1/1000)</f>
        <v>56.44</v>
      </c>
      <c r="J645" s="79">
        <f>(Matrix_prices!J633+$D$2)*IF($M$2="Prices in $/MWh",1,1/1000)</f>
        <v>57.34</v>
      </c>
      <c r="K645" s="80">
        <f>(Matrix_prices!K633+$D$2)*IF($M$2="Prices in $/MWh",1,1/1000)</f>
        <v>58.72</v>
      </c>
      <c r="L645" s="79">
        <f>(Matrix_prices!L633+$D$2)*IF($M$2="Prices in $/MWh",1,1/1000)</f>
        <v>21.16</v>
      </c>
      <c r="M645" s="80">
        <f>(Matrix_prices!M633+$D$2)*IF($M$2="Prices in $/MWh",1,1/1000)</f>
        <v>22.56</v>
      </c>
      <c r="N645" s="79">
        <f>(Matrix_prices!N633+$D$2)*IF($M$2="Prices in $/MWh",1,1/1000)</f>
        <v>23.74</v>
      </c>
    </row>
    <row r="646" spans="3:14" x14ac:dyDescent="0.25">
      <c r="C646" s="82">
        <f>Matrix_prices!C634</f>
        <v>42583</v>
      </c>
      <c r="D646" s="83" t="str">
        <f>Matrix_prices!D634</f>
        <v>OH</v>
      </c>
      <c r="E646" s="84" t="str">
        <f>Matrix_prices!E634</f>
        <v>AEP OH</v>
      </c>
      <c r="F646" s="83" t="str">
        <f>Matrix_prices!F634</f>
        <v>GS1</v>
      </c>
      <c r="G646" s="84" t="str">
        <f>Matrix_prices!G634</f>
        <v>General Service Small</v>
      </c>
      <c r="H646" s="85" t="str">
        <f t="shared" si="29"/>
        <v>500-2500 MWh</v>
      </c>
      <c r="I646" s="84">
        <f>(Matrix_prices!I634+$D$2)*IF($M$2="Prices in $/MWh",1,1/1000)</f>
        <v>55.39</v>
      </c>
      <c r="J646" s="83">
        <f>(Matrix_prices!J634+$D$2)*IF($M$2="Prices in $/MWh",1,1/1000)</f>
        <v>56.29</v>
      </c>
      <c r="K646" s="84">
        <f>(Matrix_prices!K634+$D$2)*IF($M$2="Prices in $/MWh",1,1/1000)</f>
        <v>57.67</v>
      </c>
      <c r="L646" s="83">
        <f>(Matrix_prices!L634+$D$2)*IF($M$2="Prices in $/MWh",1,1/1000)</f>
        <v>20.11</v>
      </c>
      <c r="M646" s="84">
        <f>(Matrix_prices!M634+$D$2)*IF($M$2="Prices in $/MWh",1,1/1000)</f>
        <v>21.51</v>
      </c>
      <c r="N646" s="83">
        <f>(Matrix_prices!N634+$D$2)*IF($M$2="Prices in $/MWh",1,1/1000)</f>
        <v>22.69</v>
      </c>
    </row>
    <row r="647" spans="3:14" x14ac:dyDescent="0.25">
      <c r="C647" s="74">
        <f>Matrix_prices!C635</f>
        <v>42614</v>
      </c>
      <c r="D647" s="75" t="str">
        <f>Matrix_prices!D635</f>
        <v>OH</v>
      </c>
      <c r="E647" s="76" t="str">
        <f>Matrix_prices!E635</f>
        <v>AEP OH</v>
      </c>
      <c r="F647" s="75" t="str">
        <f>Matrix_prices!F635</f>
        <v>GS1</v>
      </c>
      <c r="G647" s="76" t="str">
        <f>Matrix_prices!G635</f>
        <v>General Service Small</v>
      </c>
      <c r="H647" s="157" t="str">
        <f t="shared" si="27"/>
        <v>0-100 MWh</v>
      </c>
      <c r="I647" s="76">
        <f>(Matrix_prices!I635+$D$2)*IF($M$2="Prices in $/MWh",1,1/1000)</f>
        <v>58.47</v>
      </c>
      <c r="J647" s="75">
        <f>(Matrix_prices!J635+$D$2)*IF($M$2="Prices in $/MWh",1,1/1000)</f>
        <v>59.5</v>
      </c>
      <c r="K647" s="76">
        <f>(Matrix_prices!K635+$D$2)*IF($M$2="Prices in $/MWh",1,1/1000)</f>
        <v>60.62</v>
      </c>
      <c r="L647" s="75">
        <f>(Matrix_prices!L635+$D$2)*IF($M$2="Prices in $/MWh",1,1/1000)</f>
        <v>23.26</v>
      </c>
      <c r="M647" s="76">
        <f>(Matrix_prices!M635+$D$2)*IF($M$2="Prices in $/MWh",1,1/1000)</f>
        <v>24.63</v>
      </c>
      <c r="N647" s="75">
        <f>(Matrix_prices!N635+$D$2)*IF($M$2="Prices in $/MWh",1,1/1000)</f>
        <v>25.68</v>
      </c>
    </row>
    <row r="648" spans="3:14" x14ac:dyDescent="0.25">
      <c r="C648" s="78">
        <f>Matrix_prices!C636</f>
        <v>42614</v>
      </c>
      <c r="D648" s="79" t="str">
        <f>Matrix_prices!D636</f>
        <v>OH</v>
      </c>
      <c r="E648" s="80" t="str">
        <f>Matrix_prices!E636</f>
        <v>AEP OH</v>
      </c>
      <c r="F648" s="79" t="str">
        <f>Matrix_prices!F636</f>
        <v>GS1</v>
      </c>
      <c r="G648" s="80" t="str">
        <f>Matrix_prices!G636</f>
        <v>General Service Small</v>
      </c>
      <c r="H648" s="81" t="str">
        <f t="shared" si="28"/>
        <v>100-500 MWh</v>
      </c>
      <c r="I648" s="80">
        <f>(Matrix_prices!I636+$D$2)*IF($M$2="Prices in $/MWh",1,1/1000)</f>
        <v>56.87</v>
      </c>
      <c r="J648" s="79">
        <f>(Matrix_prices!J636+$D$2)*IF($M$2="Prices in $/MWh",1,1/1000)</f>
        <v>57.9</v>
      </c>
      <c r="K648" s="80">
        <f>(Matrix_prices!K636+$D$2)*IF($M$2="Prices in $/MWh",1,1/1000)</f>
        <v>59.02</v>
      </c>
      <c r="L648" s="79">
        <f>(Matrix_prices!L636+$D$2)*IF($M$2="Prices in $/MWh",1,1/1000)</f>
        <v>21.66</v>
      </c>
      <c r="M648" s="80">
        <f>(Matrix_prices!M636+$D$2)*IF($M$2="Prices in $/MWh",1,1/1000)</f>
        <v>23.03</v>
      </c>
      <c r="N648" s="79">
        <f>(Matrix_prices!N636+$D$2)*IF($M$2="Prices in $/MWh",1,1/1000)</f>
        <v>24.08</v>
      </c>
    </row>
    <row r="649" spans="3:14" x14ac:dyDescent="0.25">
      <c r="C649" s="82">
        <f>Matrix_prices!C637</f>
        <v>42614</v>
      </c>
      <c r="D649" s="83" t="str">
        <f>Matrix_prices!D637</f>
        <v>OH</v>
      </c>
      <c r="E649" s="84" t="str">
        <f>Matrix_prices!E637</f>
        <v>AEP OH</v>
      </c>
      <c r="F649" s="83" t="str">
        <f>Matrix_prices!F637</f>
        <v>GS1</v>
      </c>
      <c r="G649" s="84" t="str">
        <f>Matrix_prices!G637</f>
        <v>General Service Small</v>
      </c>
      <c r="H649" s="85" t="str">
        <f t="shared" si="29"/>
        <v>500-2500 MWh</v>
      </c>
      <c r="I649" s="84">
        <f>(Matrix_prices!I637+$D$2)*IF($M$2="Prices in $/MWh",1,1/1000)</f>
        <v>55.82</v>
      </c>
      <c r="J649" s="83">
        <f>(Matrix_prices!J637+$D$2)*IF($M$2="Prices in $/MWh",1,1/1000)</f>
        <v>56.85</v>
      </c>
      <c r="K649" s="84">
        <f>(Matrix_prices!K637+$D$2)*IF($M$2="Prices in $/MWh",1,1/1000)</f>
        <v>57.97</v>
      </c>
      <c r="L649" s="83">
        <f>(Matrix_prices!L637+$D$2)*IF($M$2="Prices in $/MWh",1,1/1000)</f>
        <v>20.61</v>
      </c>
      <c r="M649" s="84">
        <f>(Matrix_prices!M637+$D$2)*IF($M$2="Prices in $/MWh",1,1/1000)</f>
        <v>21.98</v>
      </c>
      <c r="N649" s="83">
        <f>(Matrix_prices!N637+$D$2)*IF($M$2="Prices in $/MWh",1,1/1000)</f>
        <v>23.03</v>
      </c>
    </row>
    <row r="650" spans="3:14" x14ac:dyDescent="0.25">
      <c r="C650" s="151">
        <f>Matrix_prices!C638</f>
        <v>42644</v>
      </c>
      <c r="D650" s="152" t="str">
        <f>Matrix_prices!D638</f>
        <v>OH</v>
      </c>
      <c r="E650" s="153" t="str">
        <f>Matrix_prices!E638</f>
        <v>AEP OH</v>
      </c>
      <c r="F650" s="152" t="str">
        <f>Matrix_prices!F638</f>
        <v>GS1</v>
      </c>
      <c r="G650" s="153" t="str">
        <f>Matrix_prices!G638</f>
        <v>General Service Small</v>
      </c>
      <c r="H650" s="157" t="str">
        <f t="shared" si="27"/>
        <v>0-100 MWh</v>
      </c>
      <c r="I650" s="153">
        <f>(Matrix_prices!I638+$D$2)*IF($M$2="Prices in $/MWh",1,1/1000)</f>
        <v>58.91</v>
      </c>
      <c r="J650" s="152">
        <f>(Matrix_prices!J638+$D$2)*IF($M$2="Prices in $/MWh",1,1/1000)</f>
        <v>60.22</v>
      </c>
      <c r="K650" s="153">
        <f>(Matrix_prices!K638+$D$2)*IF($M$2="Prices in $/MWh",1,1/1000)</f>
        <v>60.86</v>
      </c>
      <c r="L650" s="152">
        <f>(Matrix_prices!L638+$D$2)*IF($M$2="Prices in $/MWh",1,1/1000)</f>
        <v>23.74</v>
      </c>
      <c r="M650" s="153">
        <f>(Matrix_prices!M638+$D$2)*IF($M$2="Prices in $/MWh",1,1/1000)</f>
        <v>25.13</v>
      </c>
      <c r="N650" s="152">
        <f>(Matrix_prices!N638+$D$2)*IF($M$2="Prices in $/MWh",1,1/1000)</f>
        <v>26.01</v>
      </c>
    </row>
    <row r="651" spans="3:14" x14ac:dyDescent="0.25">
      <c r="C651" s="78">
        <f>Matrix_prices!C639</f>
        <v>42644</v>
      </c>
      <c r="D651" s="79" t="str">
        <f>Matrix_prices!D639</f>
        <v>OH</v>
      </c>
      <c r="E651" s="80" t="str">
        <f>Matrix_prices!E639</f>
        <v>AEP OH</v>
      </c>
      <c r="F651" s="79" t="str">
        <f>Matrix_prices!F639</f>
        <v>GS1</v>
      </c>
      <c r="G651" s="80" t="str">
        <f>Matrix_prices!G639</f>
        <v>General Service Small</v>
      </c>
      <c r="H651" s="81" t="str">
        <f t="shared" si="28"/>
        <v>100-500 MWh</v>
      </c>
      <c r="I651" s="80">
        <f>(Matrix_prices!I639+$D$2)*IF($M$2="Prices in $/MWh",1,1/1000)</f>
        <v>57.31</v>
      </c>
      <c r="J651" s="79">
        <f>(Matrix_prices!J639+$D$2)*IF($M$2="Prices in $/MWh",1,1/1000)</f>
        <v>58.62</v>
      </c>
      <c r="K651" s="80">
        <f>(Matrix_prices!K639+$D$2)*IF($M$2="Prices in $/MWh",1,1/1000)</f>
        <v>59.26</v>
      </c>
      <c r="L651" s="79">
        <f>(Matrix_prices!L639+$D$2)*IF($M$2="Prices in $/MWh",1,1/1000)</f>
        <v>22.14</v>
      </c>
      <c r="M651" s="80">
        <f>(Matrix_prices!M639+$D$2)*IF($M$2="Prices in $/MWh",1,1/1000)</f>
        <v>23.53</v>
      </c>
      <c r="N651" s="79">
        <f>(Matrix_prices!N639+$D$2)*IF($M$2="Prices in $/MWh",1,1/1000)</f>
        <v>24.41</v>
      </c>
    </row>
    <row r="652" spans="3:14" x14ac:dyDescent="0.25">
      <c r="C652" s="82">
        <f>Matrix_prices!C640</f>
        <v>42644</v>
      </c>
      <c r="D652" s="83" t="str">
        <f>Matrix_prices!D640</f>
        <v>OH</v>
      </c>
      <c r="E652" s="84" t="str">
        <f>Matrix_prices!E640</f>
        <v>AEP OH</v>
      </c>
      <c r="F652" s="83" t="str">
        <f>Matrix_prices!F640</f>
        <v>GS1</v>
      </c>
      <c r="G652" s="84" t="str">
        <f>Matrix_prices!G640</f>
        <v>General Service Small</v>
      </c>
      <c r="H652" s="85" t="str">
        <f t="shared" si="29"/>
        <v>500-2500 MWh</v>
      </c>
      <c r="I652" s="84">
        <f>(Matrix_prices!I640+$D$2)*IF($M$2="Prices in $/MWh",1,1/1000)</f>
        <v>56.26</v>
      </c>
      <c r="J652" s="83">
        <f>(Matrix_prices!J640+$D$2)*IF($M$2="Prices in $/MWh",1,1/1000)</f>
        <v>57.57</v>
      </c>
      <c r="K652" s="84">
        <f>(Matrix_prices!K640+$D$2)*IF($M$2="Prices in $/MWh",1,1/1000)</f>
        <v>58.21</v>
      </c>
      <c r="L652" s="83">
        <f>(Matrix_prices!L640+$D$2)*IF($M$2="Prices in $/MWh",1,1/1000)</f>
        <v>21.09</v>
      </c>
      <c r="M652" s="84">
        <f>(Matrix_prices!M640+$D$2)*IF($M$2="Prices in $/MWh",1,1/1000)</f>
        <v>22.48</v>
      </c>
      <c r="N652" s="83">
        <f>(Matrix_prices!N640+$D$2)*IF($M$2="Prices in $/MWh",1,1/1000)</f>
        <v>23.36</v>
      </c>
    </row>
    <row r="653" spans="3:14" x14ac:dyDescent="0.25">
      <c r="C653" s="74">
        <f>Matrix_prices!C641</f>
        <v>42675</v>
      </c>
      <c r="D653" s="75" t="str">
        <f>Matrix_prices!D641</f>
        <v>OH</v>
      </c>
      <c r="E653" s="76" t="str">
        <f>Matrix_prices!E641</f>
        <v>AEP OH</v>
      </c>
      <c r="F653" s="75" t="str">
        <f>Matrix_prices!F641</f>
        <v>GS1</v>
      </c>
      <c r="G653" s="76" t="str">
        <f>Matrix_prices!G641</f>
        <v>General Service Small</v>
      </c>
      <c r="H653" s="157" t="str">
        <f t="shared" si="27"/>
        <v>0-100 MWh</v>
      </c>
      <c r="I653" s="76">
        <f>(Matrix_prices!I641+$D$2)*IF($M$2="Prices in $/MWh",1,1/1000)</f>
        <v>59.37</v>
      </c>
      <c r="J653" s="75">
        <f>(Matrix_prices!J641+$D$2)*IF($M$2="Prices in $/MWh",1,1/1000)</f>
        <v>60.76</v>
      </c>
      <c r="K653" s="76">
        <f>(Matrix_prices!K641+$D$2)*IF($M$2="Prices in $/MWh",1,1/1000)</f>
        <v>61.16</v>
      </c>
      <c r="L653" s="75">
        <f>(Matrix_prices!L641+$D$2)*IF($M$2="Prices in $/MWh",1,1/1000)</f>
        <v>24.21</v>
      </c>
      <c r="M653" s="76">
        <f>(Matrix_prices!M641+$D$2)*IF($M$2="Prices in $/MWh",1,1/1000)</f>
        <v>25.55</v>
      </c>
      <c r="N653" s="75">
        <f>(Matrix_prices!N641+$D$2)*IF($M$2="Prices in $/MWh",1,1/1000)</f>
        <v>26.33</v>
      </c>
    </row>
    <row r="654" spans="3:14" x14ac:dyDescent="0.25">
      <c r="C654" s="78">
        <f>Matrix_prices!C642</f>
        <v>42675</v>
      </c>
      <c r="D654" s="79" t="str">
        <f>Matrix_prices!D642</f>
        <v>OH</v>
      </c>
      <c r="E654" s="80" t="str">
        <f>Matrix_prices!E642</f>
        <v>AEP OH</v>
      </c>
      <c r="F654" s="79" t="str">
        <f>Matrix_prices!F642</f>
        <v>GS1</v>
      </c>
      <c r="G654" s="80" t="str">
        <f>Matrix_prices!G642</f>
        <v>General Service Small</v>
      </c>
      <c r="H654" s="81" t="str">
        <f t="shared" si="28"/>
        <v>100-500 MWh</v>
      </c>
      <c r="I654" s="80">
        <f>(Matrix_prices!I642+$D$2)*IF($M$2="Prices in $/MWh",1,1/1000)</f>
        <v>57.77</v>
      </c>
      <c r="J654" s="79">
        <f>(Matrix_prices!J642+$D$2)*IF($M$2="Prices in $/MWh",1,1/1000)</f>
        <v>59.16</v>
      </c>
      <c r="K654" s="80">
        <f>(Matrix_prices!K642+$D$2)*IF($M$2="Prices in $/MWh",1,1/1000)</f>
        <v>59.56</v>
      </c>
      <c r="L654" s="79">
        <f>(Matrix_prices!L642+$D$2)*IF($M$2="Prices in $/MWh",1,1/1000)</f>
        <v>22.61</v>
      </c>
      <c r="M654" s="80">
        <f>(Matrix_prices!M642+$D$2)*IF($M$2="Prices in $/MWh",1,1/1000)</f>
        <v>23.95</v>
      </c>
      <c r="N654" s="79">
        <f>(Matrix_prices!N642+$D$2)*IF($M$2="Prices in $/MWh",1,1/1000)</f>
        <v>24.73</v>
      </c>
    </row>
    <row r="655" spans="3:14" x14ac:dyDescent="0.25">
      <c r="C655" s="82">
        <f>Matrix_prices!C643</f>
        <v>42675</v>
      </c>
      <c r="D655" s="83" t="str">
        <f>Matrix_prices!D643</f>
        <v>OH</v>
      </c>
      <c r="E655" s="84" t="str">
        <f>Matrix_prices!E643</f>
        <v>AEP OH</v>
      </c>
      <c r="F655" s="83" t="str">
        <f>Matrix_prices!F643</f>
        <v>GS1</v>
      </c>
      <c r="G655" s="84" t="str">
        <f>Matrix_prices!G643</f>
        <v>General Service Small</v>
      </c>
      <c r="H655" s="85" t="str">
        <f t="shared" si="29"/>
        <v>500-2500 MWh</v>
      </c>
      <c r="I655" s="84">
        <f>(Matrix_prices!I643+$D$2)*IF($M$2="Prices in $/MWh",1,1/1000)</f>
        <v>56.72</v>
      </c>
      <c r="J655" s="83">
        <f>(Matrix_prices!J643+$D$2)*IF($M$2="Prices in $/MWh",1,1/1000)</f>
        <v>58.11</v>
      </c>
      <c r="K655" s="84">
        <f>(Matrix_prices!K643+$D$2)*IF($M$2="Prices in $/MWh",1,1/1000)</f>
        <v>58.51</v>
      </c>
      <c r="L655" s="83">
        <f>(Matrix_prices!L643+$D$2)*IF($M$2="Prices in $/MWh",1,1/1000)</f>
        <v>21.56</v>
      </c>
      <c r="M655" s="84">
        <f>(Matrix_prices!M643+$D$2)*IF($M$2="Prices in $/MWh",1,1/1000)</f>
        <v>22.9</v>
      </c>
      <c r="N655" s="83">
        <f>(Matrix_prices!N643+$D$2)*IF($M$2="Prices in $/MWh",1,1/1000)</f>
        <v>23.68</v>
      </c>
    </row>
    <row r="656" spans="3:14" x14ac:dyDescent="0.25">
      <c r="C656" s="151">
        <f>Matrix_prices!C644</f>
        <v>42705</v>
      </c>
      <c r="D656" s="152" t="str">
        <f>Matrix_prices!D644</f>
        <v>OH</v>
      </c>
      <c r="E656" s="153" t="str">
        <f>Matrix_prices!E644</f>
        <v>AEP OH</v>
      </c>
      <c r="F656" s="152" t="str">
        <f>Matrix_prices!F644</f>
        <v>GS1</v>
      </c>
      <c r="G656" s="153" t="str">
        <f>Matrix_prices!G644</f>
        <v>General Service Small</v>
      </c>
      <c r="H656" s="157" t="str">
        <f t="shared" si="27"/>
        <v>0-100 MWh</v>
      </c>
      <c r="I656" s="153">
        <f>(Matrix_prices!I644+$D$2)*IF($M$2="Prices in $/MWh",1,1/1000)</f>
        <v>59.75</v>
      </c>
      <c r="J656" s="152">
        <f>(Matrix_prices!J644+$D$2)*IF($M$2="Prices in $/MWh",1,1/1000)</f>
        <v>61.3</v>
      </c>
      <c r="K656" s="153">
        <f>(Matrix_prices!K644+$D$2)*IF($M$2="Prices in $/MWh",1,1/1000)</f>
        <v>61.42</v>
      </c>
      <c r="L656" s="152">
        <f>(Matrix_prices!L644+$D$2)*IF($M$2="Prices in $/MWh",1,1/1000)</f>
        <v>24.67</v>
      </c>
      <c r="M656" s="153">
        <f>(Matrix_prices!M644+$D$2)*IF($M$2="Prices in $/MWh",1,1/1000)</f>
        <v>26</v>
      </c>
      <c r="N656" s="152">
        <f>(Matrix_prices!N644+$D$2)*IF($M$2="Prices in $/MWh",1,1/1000)</f>
        <v>26.64</v>
      </c>
    </row>
    <row r="657" spans="3:14" x14ac:dyDescent="0.25">
      <c r="C657" s="78">
        <f>Matrix_prices!C645</f>
        <v>42705</v>
      </c>
      <c r="D657" s="79" t="str">
        <f>Matrix_prices!D645</f>
        <v>OH</v>
      </c>
      <c r="E657" s="80" t="str">
        <f>Matrix_prices!E645</f>
        <v>AEP OH</v>
      </c>
      <c r="F657" s="79" t="str">
        <f>Matrix_prices!F645</f>
        <v>GS1</v>
      </c>
      <c r="G657" s="80" t="str">
        <f>Matrix_prices!G645</f>
        <v>General Service Small</v>
      </c>
      <c r="H657" s="81" t="str">
        <f t="shared" si="28"/>
        <v>100-500 MWh</v>
      </c>
      <c r="I657" s="80">
        <f>(Matrix_prices!I645+$D$2)*IF($M$2="Prices in $/MWh",1,1/1000)</f>
        <v>58.15</v>
      </c>
      <c r="J657" s="79">
        <f>(Matrix_prices!J645+$D$2)*IF($M$2="Prices in $/MWh",1,1/1000)</f>
        <v>59.7</v>
      </c>
      <c r="K657" s="80">
        <f>(Matrix_prices!K645+$D$2)*IF($M$2="Prices in $/MWh",1,1/1000)</f>
        <v>59.82</v>
      </c>
      <c r="L657" s="79">
        <f>(Matrix_prices!L645+$D$2)*IF($M$2="Prices in $/MWh",1,1/1000)</f>
        <v>23.07</v>
      </c>
      <c r="M657" s="80">
        <f>(Matrix_prices!M645+$D$2)*IF($M$2="Prices in $/MWh",1,1/1000)</f>
        <v>24.4</v>
      </c>
      <c r="N657" s="79">
        <f>(Matrix_prices!N645+$D$2)*IF($M$2="Prices in $/MWh",1,1/1000)</f>
        <v>25.04</v>
      </c>
    </row>
    <row r="658" spans="3:14" x14ac:dyDescent="0.25">
      <c r="C658" s="82">
        <f>Matrix_prices!C646</f>
        <v>42705</v>
      </c>
      <c r="D658" s="83" t="str">
        <f>Matrix_prices!D646</f>
        <v>OH</v>
      </c>
      <c r="E658" s="84" t="str">
        <f>Matrix_prices!E646</f>
        <v>AEP OH</v>
      </c>
      <c r="F658" s="83" t="str">
        <f>Matrix_prices!F646</f>
        <v>GS1</v>
      </c>
      <c r="G658" s="84" t="str">
        <f>Matrix_prices!G646</f>
        <v>General Service Small</v>
      </c>
      <c r="H658" s="85" t="str">
        <f t="shared" si="29"/>
        <v>500-2500 MWh</v>
      </c>
      <c r="I658" s="84">
        <f>(Matrix_prices!I646+$D$2)*IF($M$2="Prices in $/MWh",1,1/1000)</f>
        <v>57.1</v>
      </c>
      <c r="J658" s="83">
        <f>(Matrix_prices!J646+$D$2)*IF($M$2="Prices in $/MWh",1,1/1000)</f>
        <v>58.65</v>
      </c>
      <c r="K658" s="84">
        <f>(Matrix_prices!K646+$D$2)*IF($M$2="Prices in $/MWh",1,1/1000)</f>
        <v>58.77</v>
      </c>
      <c r="L658" s="83">
        <f>(Matrix_prices!L646+$D$2)*IF($M$2="Prices in $/MWh",1,1/1000)</f>
        <v>22.02</v>
      </c>
      <c r="M658" s="84">
        <f>(Matrix_prices!M646+$D$2)*IF($M$2="Prices in $/MWh",1,1/1000)</f>
        <v>23.35</v>
      </c>
      <c r="N658" s="83">
        <f>(Matrix_prices!N646+$D$2)*IF($M$2="Prices in $/MWh",1,1/1000)</f>
        <v>23.99</v>
      </c>
    </row>
    <row r="659" spans="3:14" x14ac:dyDescent="0.25">
      <c r="C659" s="74">
        <f>Matrix_prices!C647</f>
        <v>42736</v>
      </c>
      <c r="D659" s="75" t="str">
        <f>Matrix_prices!D647</f>
        <v>OH</v>
      </c>
      <c r="E659" s="76" t="str">
        <f>Matrix_prices!E647</f>
        <v>AEP OH</v>
      </c>
      <c r="F659" s="75" t="str">
        <f>Matrix_prices!F647</f>
        <v>GS1</v>
      </c>
      <c r="G659" s="76" t="str">
        <f>Matrix_prices!G647</f>
        <v>General Service Small</v>
      </c>
      <c r="H659" s="157" t="str">
        <f t="shared" si="27"/>
        <v>0-100 MWh</v>
      </c>
      <c r="I659" s="76">
        <f>(Matrix_prices!I647+$D$2)*IF($M$2="Prices in $/MWh",1,1/1000)</f>
        <v>60.19</v>
      </c>
      <c r="J659" s="75">
        <f>(Matrix_prices!J647+$D$2)*IF($M$2="Prices in $/MWh",1,1/1000)</f>
        <v>61.8</v>
      </c>
      <c r="K659" s="76">
        <f>(Matrix_prices!K647+$D$2)*IF($M$2="Prices in $/MWh",1,1/1000)</f>
        <v>61.76</v>
      </c>
      <c r="L659" s="75">
        <f>(Matrix_prices!L647+$D$2)*IF($M$2="Prices in $/MWh",1,1/1000)</f>
        <v>25.19</v>
      </c>
      <c r="M659" s="76">
        <f>(Matrix_prices!M647+$D$2)*IF($M$2="Prices in $/MWh",1,1/1000)</f>
        <v>26.5</v>
      </c>
      <c r="N659" s="75">
        <f>(Matrix_prices!N647+$D$2)*IF($M$2="Prices in $/MWh",1,1/1000)</f>
        <v>26.99</v>
      </c>
    </row>
    <row r="660" spans="3:14" x14ac:dyDescent="0.25">
      <c r="C660" s="78">
        <f>Matrix_prices!C648</f>
        <v>42736</v>
      </c>
      <c r="D660" s="79" t="str">
        <f>Matrix_prices!D648</f>
        <v>OH</v>
      </c>
      <c r="E660" s="80" t="str">
        <f>Matrix_prices!E648</f>
        <v>AEP OH</v>
      </c>
      <c r="F660" s="79" t="str">
        <f>Matrix_prices!F648</f>
        <v>GS1</v>
      </c>
      <c r="G660" s="80" t="str">
        <f>Matrix_prices!G648</f>
        <v>General Service Small</v>
      </c>
      <c r="H660" s="81" t="str">
        <f t="shared" si="28"/>
        <v>100-500 MWh</v>
      </c>
      <c r="I660" s="80">
        <f>(Matrix_prices!I648+$D$2)*IF($M$2="Prices in $/MWh",1,1/1000)</f>
        <v>58.59</v>
      </c>
      <c r="J660" s="79">
        <f>(Matrix_prices!J648+$D$2)*IF($M$2="Prices in $/MWh",1,1/1000)</f>
        <v>60.2</v>
      </c>
      <c r="K660" s="80">
        <f>(Matrix_prices!K648+$D$2)*IF($M$2="Prices in $/MWh",1,1/1000)</f>
        <v>60.16</v>
      </c>
      <c r="L660" s="79">
        <f>(Matrix_prices!L648+$D$2)*IF($M$2="Prices in $/MWh",1,1/1000)</f>
        <v>23.59</v>
      </c>
      <c r="M660" s="80">
        <f>(Matrix_prices!M648+$D$2)*IF($M$2="Prices in $/MWh",1,1/1000)</f>
        <v>24.9</v>
      </c>
      <c r="N660" s="79">
        <f>(Matrix_prices!N648+$D$2)*IF($M$2="Prices in $/MWh",1,1/1000)</f>
        <v>25.39</v>
      </c>
    </row>
    <row r="661" spans="3:14" x14ac:dyDescent="0.25">
      <c r="C661" s="82">
        <f>Matrix_prices!C649</f>
        <v>42736</v>
      </c>
      <c r="D661" s="83" t="str">
        <f>Matrix_prices!D649</f>
        <v>OH</v>
      </c>
      <c r="E661" s="84" t="str">
        <f>Matrix_prices!E649</f>
        <v>AEP OH</v>
      </c>
      <c r="F661" s="83" t="str">
        <f>Matrix_prices!F649</f>
        <v>GS1</v>
      </c>
      <c r="G661" s="84" t="str">
        <f>Matrix_prices!G649</f>
        <v>General Service Small</v>
      </c>
      <c r="H661" s="85" t="str">
        <f t="shared" si="29"/>
        <v>500-2500 MWh</v>
      </c>
      <c r="I661" s="84">
        <f>(Matrix_prices!I649+$D$2)*IF($M$2="Prices in $/MWh",1,1/1000)</f>
        <v>57.54</v>
      </c>
      <c r="J661" s="83">
        <f>(Matrix_prices!J649+$D$2)*IF($M$2="Prices in $/MWh",1,1/1000)</f>
        <v>59.15</v>
      </c>
      <c r="K661" s="84">
        <f>(Matrix_prices!K649+$D$2)*IF($M$2="Prices in $/MWh",1,1/1000)</f>
        <v>59.11</v>
      </c>
      <c r="L661" s="83">
        <f>(Matrix_prices!L649+$D$2)*IF($M$2="Prices in $/MWh",1,1/1000)</f>
        <v>22.54</v>
      </c>
      <c r="M661" s="84">
        <f>(Matrix_prices!M649+$D$2)*IF($M$2="Prices in $/MWh",1,1/1000)</f>
        <v>23.85</v>
      </c>
      <c r="N661" s="83">
        <f>(Matrix_prices!N649+$D$2)*IF($M$2="Prices in $/MWh",1,1/1000)</f>
        <v>24.34</v>
      </c>
    </row>
    <row r="662" spans="3:14" x14ac:dyDescent="0.25">
      <c r="C662" s="151">
        <f>Matrix_prices!C650</f>
        <v>42401</v>
      </c>
      <c r="D662" s="152" t="str">
        <f>Matrix_prices!D650</f>
        <v>OH</v>
      </c>
      <c r="E662" s="153" t="str">
        <f>Matrix_prices!E650</f>
        <v>AEP OH</v>
      </c>
      <c r="F662" s="152" t="str">
        <f>Matrix_prices!F650</f>
        <v>GS2</v>
      </c>
      <c r="G662" s="153" t="str">
        <f>Matrix_prices!G650</f>
        <v>General Service Medium</v>
      </c>
      <c r="H662" s="157" t="str">
        <f t="shared" si="27"/>
        <v>0-100 MWh</v>
      </c>
      <c r="I662" s="153">
        <f>(Matrix_prices!I650+$D$2)*IF($M$2="Prices in $/MWh",1,1/1000)</f>
        <v>59.49</v>
      </c>
      <c r="J662" s="152">
        <f>(Matrix_prices!J650+$D$2)*IF($M$2="Prices in $/MWh",1,1/1000)</f>
        <v>60.14</v>
      </c>
      <c r="K662" s="153">
        <f>(Matrix_prices!K650+$D$2)*IF($M$2="Prices in $/MWh",1,1/1000)</f>
        <v>60.85</v>
      </c>
      <c r="L662" s="152">
        <f>(Matrix_prices!L650+$D$2)*IF($M$2="Prices in $/MWh",1,1/1000)</f>
        <v>23.18</v>
      </c>
      <c r="M662" s="153">
        <f>(Matrix_prices!M650+$D$2)*IF($M$2="Prices in $/MWh",1,1/1000)</f>
        <v>23.34</v>
      </c>
      <c r="N662" s="152">
        <f>(Matrix_prices!N650+$D$2)*IF($M$2="Prices in $/MWh",1,1/1000)</f>
        <v>24.46</v>
      </c>
    </row>
    <row r="663" spans="3:14" x14ac:dyDescent="0.25">
      <c r="C663" s="78">
        <f>Matrix_prices!C651</f>
        <v>42401</v>
      </c>
      <c r="D663" s="79" t="str">
        <f>Matrix_prices!D651</f>
        <v>OH</v>
      </c>
      <c r="E663" s="80" t="str">
        <f>Matrix_prices!E651</f>
        <v>AEP OH</v>
      </c>
      <c r="F663" s="79" t="str">
        <f>Matrix_prices!F651</f>
        <v>GS2</v>
      </c>
      <c r="G663" s="80" t="str">
        <f>Matrix_prices!G651</f>
        <v>General Service Medium</v>
      </c>
      <c r="H663" s="81" t="str">
        <f t="shared" si="28"/>
        <v>100-500 MWh</v>
      </c>
      <c r="I663" s="80">
        <f>(Matrix_prices!I651+$D$2)*IF($M$2="Prices in $/MWh",1,1/1000)</f>
        <v>57.89</v>
      </c>
      <c r="J663" s="79">
        <f>(Matrix_prices!J651+$D$2)*IF($M$2="Prices in $/MWh",1,1/1000)</f>
        <v>58.54</v>
      </c>
      <c r="K663" s="80">
        <f>(Matrix_prices!K651+$D$2)*IF($M$2="Prices in $/MWh",1,1/1000)</f>
        <v>59.25</v>
      </c>
      <c r="L663" s="79">
        <f>(Matrix_prices!L651+$D$2)*IF($M$2="Prices in $/MWh",1,1/1000)</f>
        <v>21.58</v>
      </c>
      <c r="M663" s="80">
        <f>(Matrix_prices!M651+$D$2)*IF($M$2="Prices in $/MWh",1,1/1000)</f>
        <v>21.74</v>
      </c>
      <c r="N663" s="79">
        <f>(Matrix_prices!N651+$D$2)*IF($M$2="Prices in $/MWh",1,1/1000)</f>
        <v>22.86</v>
      </c>
    </row>
    <row r="664" spans="3:14" x14ac:dyDescent="0.25">
      <c r="C664" s="82">
        <f>Matrix_prices!C652</f>
        <v>42401</v>
      </c>
      <c r="D664" s="83" t="str">
        <f>Matrix_prices!D652</f>
        <v>OH</v>
      </c>
      <c r="E664" s="84" t="str">
        <f>Matrix_prices!E652</f>
        <v>AEP OH</v>
      </c>
      <c r="F664" s="83" t="str">
        <f>Matrix_prices!F652</f>
        <v>GS2</v>
      </c>
      <c r="G664" s="84" t="str">
        <f>Matrix_prices!G652</f>
        <v>General Service Medium</v>
      </c>
      <c r="H664" s="85" t="str">
        <f t="shared" si="29"/>
        <v>500-2500 MWh</v>
      </c>
      <c r="I664" s="84">
        <f>(Matrix_prices!I652+$D$2)*IF($M$2="Prices in $/MWh",1,1/1000)</f>
        <v>56.84</v>
      </c>
      <c r="J664" s="83">
        <f>(Matrix_prices!J652+$D$2)*IF($M$2="Prices in $/MWh",1,1/1000)</f>
        <v>57.49</v>
      </c>
      <c r="K664" s="84">
        <f>(Matrix_prices!K652+$D$2)*IF($M$2="Prices in $/MWh",1,1/1000)</f>
        <v>58.2</v>
      </c>
      <c r="L664" s="83">
        <f>(Matrix_prices!L652+$D$2)*IF($M$2="Prices in $/MWh",1,1/1000)</f>
        <v>20.53</v>
      </c>
      <c r="M664" s="84">
        <f>(Matrix_prices!M652+$D$2)*IF($M$2="Prices in $/MWh",1,1/1000)</f>
        <v>20.69</v>
      </c>
      <c r="N664" s="83">
        <f>(Matrix_prices!N652+$D$2)*IF($M$2="Prices in $/MWh",1,1/1000)</f>
        <v>21.81</v>
      </c>
    </row>
    <row r="665" spans="3:14" x14ac:dyDescent="0.25">
      <c r="C665" s="74">
        <f>Matrix_prices!C653</f>
        <v>42430</v>
      </c>
      <c r="D665" s="75" t="str">
        <f>Matrix_prices!D653</f>
        <v>OH</v>
      </c>
      <c r="E665" s="76" t="str">
        <f>Matrix_prices!E653</f>
        <v>AEP OH</v>
      </c>
      <c r="F665" s="75" t="str">
        <f>Matrix_prices!F653</f>
        <v>GS2</v>
      </c>
      <c r="G665" s="76" t="str">
        <f>Matrix_prices!G653</f>
        <v>General Service Medium</v>
      </c>
      <c r="H665" s="157" t="str">
        <f t="shared" ref="H665:H728" si="30">IF($M$2="Prices in $/MWh","0-100 MWh","0-100,000 kWh")</f>
        <v>0-100 MWh</v>
      </c>
      <c r="I665" s="76">
        <f>(Matrix_prices!I653+$D$2)*IF($M$2="Prices in $/MWh",1,1/1000)</f>
        <v>59.37</v>
      </c>
      <c r="J665" s="75">
        <f>(Matrix_prices!J653+$D$2)*IF($M$2="Prices in $/MWh",1,1/1000)</f>
        <v>60.14</v>
      </c>
      <c r="K665" s="76">
        <f>(Matrix_prices!K653+$D$2)*IF($M$2="Prices in $/MWh",1,1/1000)</f>
        <v>60.99</v>
      </c>
      <c r="L665" s="75">
        <f>(Matrix_prices!L653+$D$2)*IF($M$2="Prices in $/MWh",1,1/1000)</f>
        <v>22.86</v>
      </c>
      <c r="M665" s="76">
        <f>(Matrix_prices!M653+$D$2)*IF($M$2="Prices in $/MWh",1,1/1000)</f>
        <v>23.3</v>
      </c>
      <c r="N665" s="75">
        <f>(Matrix_prices!N653+$D$2)*IF($M$2="Prices in $/MWh",1,1/1000)</f>
        <v>24.53</v>
      </c>
    </row>
    <row r="666" spans="3:14" x14ac:dyDescent="0.25">
      <c r="C666" s="78">
        <f>Matrix_prices!C654</f>
        <v>42430</v>
      </c>
      <c r="D666" s="79" t="str">
        <f>Matrix_prices!D654</f>
        <v>OH</v>
      </c>
      <c r="E666" s="80" t="str">
        <f>Matrix_prices!E654</f>
        <v>AEP OH</v>
      </c>
      <c r="F666" s="79" t="str">
        <f>Matrix_prices!F654</f>
        <v>GS2</v>
      </c>
      <c r="G666" s="80" t="str">
        <f>Matrix_prices!G654</f>
        <v>General Service Medium</v>
      </c>
      <c r="H666" s="81" t="str">
        <f t="shared" ref="H666:H729" si="31">IF($M$2="Prices in $/MWh","100-500 MWh","100,000-500,000 kWh")</f>
        <v>100-500 MWh</v>
      </c>
      <c r="I666" s="80">
        <f>(Matrix_prices!I654+$D$2)*IF($M$2="Prices in $/MWh",1,1/1000)</f>
        <v>57.77</v>
      </c>
      <c r="J666" s="79">
        <f>(Matrix_prices!J654+$D$2)*IF($M$2="Prices in $/MWh",1,1/1000)</f>
        <v>58.54</v>
      </c>
      <c r="K666" s="80">
        <f>(Matrix_prices!K654+$D$2)*IF($M$2="Prices in $/MWh",1,1/1000)</f>
        <v>59.39</v>
      </c>
      <c r="L666" s="79">
        <f>(Matrix_prices!L654+$D$2)*IF($M$2="Prices in $/MWh",1,1/1000)</f>
        <v>21.26</v>
      </c>
      <c r="M666" s="80">
        <f>(Matrix_prices!M654+$D$2)*IF($M$2="Prices in $/MWh",1,1/1000)</f>
        <v>21.7</v>
      </c>
      <c r="N666" s="79">
        <f>(Matrix_prices!N654+$D$2)*IF($M$2="Prices in $/MWh",1,1/1000)</f>
        <v>22.93</v>
      </c>
    </row>
    <row r="667" spans="3:14" x14ac:dyDescent="0.25">
      <c r="C667" s="82">
        <f>Matrix_prices!C655</f>
        <v>42430</v>
      </c>
      <c r="D667" s="83" t="str">
        <f>Matrix_prices!D655</f>
        <v>OH</v>
      </c>
      <c r="E667" s="84" t="str">
        <f>Matrix_prices!E655</f>
        <v>AEP OH</v>
      </c>
      <c r="F667" s="83" t="str">
        <f>Matrix_prices!F655</f>
        <v>GS2</v>
      </c>
      <c r="G667" s="84" t="str">
        <f>Matrix_prices!G655</f>
        <v>General Service Medium</v>
      </c>
      <c r="H667" s="85" t="str">
        <f t="shared" ref="H667:H730" si="32">IF($M$2="Prices in $/MWh","500-2500 MWh","500,000-2,500,000 kWh")</f>
        <v>500-2500 MWh</v>
      </c>
      <c r="I667" s="84">
        <f>(Matrix_prices!I655+$D$2)*IF($M$2="Prices in $/MWh",1,1/1000)</f>
        <v>56.72</v>
      </c>
      <c r="J667" s="83">
        <f>(Matrix_prices!J655+$D$2)*IF($M$2="Prices in $/MWh",1,1/1000)</f>
        <v>57.49</v>
      </c>
      <c r="K667" s="84">
        <f>(Matrix_prices!K655+$D$2)*IF($M$2="Prices in $/MWh",1,1/1000)</f>
        <v>58.34</v>
      </c>
      <c r="L667" s="83">
        <f>(Matrix_prices!L655+$D$2)*IF($M$2="Prices in $/MWh",1,1/1000)</f>
        <v>20.21</v>
      </c>
      <c r="M667" s="84">
        <f>(Matrix_prices!M655+$D$2)*IF($M$2="Prices in $/MWh",1,1/1000)</f>
        <v>20.65</v>
      </c>
      <c r="N667" s="83">
        <f>(Matrix_prices!N655+$D$2)*IF($M$2="Prices in $/MWh",1,1/1000)</f>
        <v>21.88</v>
      </c>
    </row>
    <row r="668" spans="3:14" x14ac:dyDescent="0.25">
      <c r="C668" s="151">
        <f>Matrix_prices!C656</f>
        <v>42461</v>
      </c>
      <c r="D668" s="152" t="str">
        <f>Matrix_prices!D656</f>
        <v>OH</v>
      </c>
      <c r="E668" s="153" t="str">
        <f>Matrix_prices!E656</f>
        <v>AEP OH</v>
      </c>
      <c r="F668" s="152" t="str">
        <f>Matrix_prices!F656</f>
        <v>GS2</v>
      </c>
      <c r="G668" s="153" t="str">
        <f>Matrix_prices!G656</f>
        <v>General Service Medium</v>
      </c>
      <c r="H668" s="157" t="str">
        <f t="shared" si="30"/>
        <v>0-100 MWh</v>
      </c>
      <c r="I668" s="153">
        <f>(Matrix_prices!I656+$D$2)*IF($M$2="Prices in $/MWh",1,1/1000)</f>
        <v>59.25</v>
      </c>
      <c r="J668" s="152">
        <f>(Matrix_prices!J656+$D$2)*IF($M$2="Prices in $/MWh",1,1/1000)</f>
        <v>60.04</v>
      </c>
      <c r="K668" s="153">
        <f>(Matrix_prices!K656+$D$2)*IF($M$2="Prices in $/MWh",1,1/1000)</f>
        <v>61.15</v>
      </c>
      <c r="L668" s="152">
        <f>(Matrix_prices!L656+$D$2)*IF($M$2="Prices in $/MWh",1,1/1000)</f>
        <v>22.54</v>
      </c>
      <c r="M668" s="153">
        <f>(Matrix_prices!M656+$D$2)*IF($M$2="Prices in $/MWh",1,1/1000)</f>
        <v>23.31</v>
      </c>
      <c r="N668" s="152">
        <f>(Matrix_prices!N656+$D$2)*IF($M$2="Prices in $/MWh",1,1/1000)</f>
        <v>24.62</v>
      </c>
    </row>
    <row r="669" spans="3:14" x14ac:dyDescent="0.25">
      <c r="C669" s="78">
        <f>Matrix_prices!C657</f>
        <v>42461</v>
      </c>
      <c r="D669" s="79" t="str">
        <f>Matrix_prices!D657</f>
        <v>OH</v>
      </c>
      <c r="E669" s="80" t="str">
        <f>Matrix_prices!E657</f>
        <v>AEP OH</v>
      </c>
      <c r="F669" s="79" t="str">
        <f>Matrix_prices!F657</f>
        <v>GS2</v>
      </c>
      <c r="G669" s="80" t="str">
        <f>Matrix_prices!G657</f>
        <v>General Service Medium</v>
      </c>
      <c r="H669" s="81" t="str">
        <f t="shared" si="31"/>
        <v>100-500 MWh</v>
      </c>
      <c r="I669" s="80">
        <f>(Matrix_prices!I657+$D$2)*IF($M$2="Prices in $/MWh",1,1/1000)</f>
        <v>57.65</v>
      </c>
      <c r="J669" s="79">
        <f>(Matrix_prices!J657+$D$2)*IF($M$2="Prices in $/MWh",1,1/1000)</f>
        <v>58.44</v>
      </c>
      <c r="K669" s="80">
        <f>(Matrix_prices!K657+$D$2)*IF($M$2="Prices in $/MWh",1,1/1000)</f>
        <v>59.55</v>
      </c>
      <c r="L669" s="79">
        <f>(Matrix_prices!L657+$D$2)*IF($M$2="Prices in $/MWh",1,1/1000)</f>
        <v>20.94</v>
      </c>
      <c r="M669" s="80">
        <f>(Matrix_prices!M657+$D$2)*IF($M$2="Prices in $/MWh",1,1/1000)</f>
        <v>21.71</v>
      </c>
      <c r="N669" s="79">
        <f>(Matrix_prices!N657+$D$2)*IF($M$2="Prices in $/MWh",1,1/1000)</f>
        <v>23.02</v>
      </c>
    </row>
    <row r="670" spans="3:14" x14ac:dyDescent="0.25">
      <c r="C670" s="82">
        <f>Matrix_prices!C658</f>
        <v>42461</v>
      </c>
      <c r="D670" s="83" t="str">
        <f>Matrix_prices!D658</f>
        <v>OH</v>
      </c>
      <c r="E670" s="84" t="str">
        <f>Matrix_prices!E658</f>
        <v>AEP OH</v>
      </c>
      <c r="F670" s="83" t="str">
        <f>Matrix_prices!F658</f>
        <v>GS2</v>
      </c>
      <c r="G670" s="84" t="str">
        <f>Matrix_prices!G658</f>
        <v>General Service Medium</v>
      </c>
      <c r="H670" s="85" t="str">
        <f t="shared" si="32"/>
        <v>500-2500 MWh</v>
      </c>
      <c r="I670" s="84">
        <f>(Matrix_prices!I658+$D$2)*IF($M$2="Prices in $/MWh",1,1/1000)</f>
        <v>56.6</v>
      </c>
      <c r="J670" s="83">
        <f>(Matrix_prices!J658+$D$2)*IF($M$2="Prices in $/MWh",1,1/1000)</f>
        <v>57.39</v>
      </c>
      <c r="K670" s="84">
        <f>(Matrix_prices!K658+$D$2)*IF($M$2="Prices in $/MWh",1,1/1000)</f>
        <v>58.5</v>
      </c>
      <c r="L670" s="83">
        <f>(Matrix_prices!L658+$D$2)*IF($M$2="Prices in $/MWh",1,1/1000)</f>
        <v>19.89</v>
      </c>
      <c r="M670" s="84">
        <f>(Matrix_prices!M658+$D$2)*IF($M$2="Prices in $/MWh",1,1/1000)</f>
        <v>20.66</v>
      </c>
      <c r="N670" s="83">
        <f>(Matrix_prices!N658+$D$2)*IF($M$2="Prices in $/MWh",1,1/1000)</f>
        <v>21.97</v>
      </c>
    </row>
    <row r="671" spans="3:14" x14ac:dyDescent="0.25">
      <c r="C671" s="74">
        <f>Matrix_prices!C659</f>
        <v>42491</v>
      </c>
      <c r="D671" s="75" t="str">
        <f>Matrix_prices!D659</f>
        <v>OH</v>
      </c>
      <c r="E671" s="76" t="str">
        <f>Matrix_prices!E659</f>
        <v>AEP OH</v>
      </c>
      <c r="F671" s="75" t="str">
        <f>Matrix_prices!F659</f>
        <v>GS2</v>
      </c>
      <c r="G671" s="76" t="str">
        <f>Matrix_prices!G659</f>
        <v>General Service Medium</v>
      </c>
      <c r="H671" s="157" t="str">
        <f t="shared" si="30"/>
        <v>0-100 MWh</v>
      </c>
      <c r="I671" s="76">
        <f>(Matrix_prices!I659+$D$2)*IF($M$2="Prices in $/MWh",1,1/1000)</f>
        <v>59</v>
      </c>
      <c r="J671" s="75">
        <f>(Matrix_prices!J659+$D$2)*IF($M$2="Prices in $/MWh",1,1/1000)</f>
        <v>60.06</v>
      </c>
      <c r="K671" s="76">
        <f>(Matrix_prices!K659+$D$2)*IF($M$2="Prices in $/MWh",1,1/1000)</f>
        <v>61.22</v>
      </c>
      <c r="L671" s="75">
        <f>(Matrix_prices!L659+$D$2)*IF($M$2="Prices in $/MWh",1,1/1000)</f>
        <v>22.2</v>
      </c>
      <c r="M671" s="76">
        <f>(Matrix_prices!M659+$D$2)*IF($M$2="Prices in $/MWh",1,1/1000)</f>
        <v>23.42</v>
      </c>
      <c r="N671" s="75">
        <f>(Matrix_prices!N659+$D$2)*IF($M$2="Prices in $/MWh",1,1/1000)</f>
        <v>24.69</v>
      </c>
    </row>
    <row r="672" spans="3:14" x14ac:dyDescent="0.25">
      <c r="C672" s="78">
        <f>Matrix_prices!C660</f>
        <v>42491</v>
      </c>
      <c r="D672" s="79" t="str">
        <f>Matrix_prices!D660</f>
        <v>OH</v>
      </c>
      <c r="E672" s="80" t="str">
        <f>Matrix_prices!E660</f>
        <v>AEP OH</v>
      </c>
      <c r="F672" s="79" t="str">
        <f>Matrix_prices!F660</f>
        <v>GS2</v>
      </c>
      <c r="G672" s="80" t="str">
        <f>Matrix_prices!G660</f>
        <v>General Service Medium</v>
      </c>
      <c r="H672" s="81" t="str">
        <f t="shared" si="31"/>
        <v>100-500 MWh</v>
      </c>
      <c r="I672" s="80">
        <f>(Matrix_prices!I660+$D$2)*IF($M$2="Prices in $/MWh",1,1/1000)</f>
        <v>57.4</v>
      </c>
      <c r="J672" s="79">
        <f>(Matrix_prices!J660+$D$2)*IF($M$2="Prices in $/MWh",1,1/1000)</f>
        <v>58.46</v>
      </c>
      <c r="K672" s="80">
        <f>(Matrix_prices!K660+$D$2)*IF($M$2="Prices in $/MWh",1,1/1000)</f>
        <v>59.62</v>
      </c>
      <c r="L672" s="79">
        <f>(Matrix_prices!L660+$D$2)*IF($M$2="Prices in $/MWh",1,1/1000)</f>
        <v>20.6</v>
      </c>
      <c r="M672" s="80">
        <f>(Matrix_prices!M660+$D$2)*IF($M$2="Prices in $/MWh",1,1/1000)</f>
        <v>21.82</v>
      </c>
      <c r="N672" s="79">
        <f>(Matrix_prices!N660+$D$2)*IF($M$2="Prices in $/MWh",1,1/1000)</f>
        <v>23.09</v>
      </c>
    </row>
    <row r="673" spans="3:14" x14ac:dyDescent="0.25">
      <c r="C673" s="82">
        <f>Matrix_prices!C661</f>
        <v>42491</v>
      </c>
      <c r="D673" s="83" t="str">
        <f>Matrix_prices!D661</f>
        <v>OH</v>
      </c>
      <c r="E673" s="84" t="str">
        <f>Matrix_prices!E661</f>
        <v>AEP OH</v>
      </c>
      <c r="F673" s="83" t="str">
        <f>Matrix_prices!F661</f>
        <v>GS2</v>
      </c>
      <c r="G673" s="84" t="str">
        <f>Matrix_prices!G661</f>
        <v>General Service Medium</v>
      </c>
      <c r="H673" s="85" t="str">
        <f t="shared" si="32"/>
        <v>500-2500 MWh</v>
      </c>
      <c r="I673" s="84">
        <f>(Matrix_prices!I661+$D$2)*IF($M$2="Prices in $/MWh",1,1/1000)</f>
        <v>56.35</v>
      </c>
      <c r="J673" s="83">
        <f>(Matrix_prices!J661+$D$2)*IF($M$2="Prices in $/MWh",1,1/1000)</f>
        <v>57.41</v>
      </c>
      <c r="K673" s="84">
        <f>(Matrix_prices!K661+$D$2)*IF($M$2="Prices in $/MWh",1,1/1000)</f>
        <v>58.57</v>
      </c>
      <c r="L673" s="83">
        <f>(Matrix_prices!L661+$D$2)*IF($M$2="Prices in $/MWh",1,1/1000)</f>
        <v>19.55</v>
      </c>
      <c r="M673" s="84">
        <f>(Matrix_prices!M661+$D$2)*IF($M$2="Prices in $/MWh",1,1/1000)</f>
        <v>20.77</v>
      </c>
      <c r="N673" s="83">
        <f>(Matrix_prices!N661+$D$2)*IF($M$2="Prices in $/MWh",1,1/1000)</f>
        <v>22.04</v>
      </c>
    </row>
    <row r="674" spans="3:14" x14ac:dyDescent="0.25">
      <c r="C674" s="151">
        <f>Matrix_prices!C662</f>
        <v>42522</v>
      </c>
      <c r="D674" s="152" t="str">
        <f>Matrix_prices!D662</f>
        <v>OH</v>
      </c>
      <c r="E674" s="153" t="str">
        <f>Matrix_prices!E662</f>
        <v>AEP OH</v>
      </c>
      <c r="F674" s="152" t="str">
        <f>Matrix_prices!F662</f>
        <v>GS2</v>
      </c>
      <c r="G674" s="153" t="str">
        <f>Matrix_prices!G662</f>
        <v>General Service Medium</v>
      </c>
      <c r="H674" s="157" t="str">
        <f t="shared" si="30"/>
        <v>0-100 MWh</v>
      </c>
      <c r="I674" s="153">
        <f>(Matrix_prices!I662+$D$2)*IF($M$2="Prices in $/MWh",1,1/1000)</f>
        <v>58.69</v>
      </c>
      <c r="J674" s="152">
        <f>(Matrix_prices!J662+$D$2)*IF($M$2="Prices in $/MWh",1,1/1000)</f>
        <v>60.01</v>
      </c>
      <c r="K674" s="153">
        <f>(Matrix_prices!K662+$D$2)*IF($M$2="Prices in $/MWh",1,1/1000)</f>
        <v>61.31</v>
      </c>
      <c r="L674" s="152">
        <f>(Matrix_prices!L662+$D$2)*IF($M$2="Prices in $/MWh",1,1/1000)</f>
        <v>21.82</v>
      </c>
      <c r="M674" s="153">
        <f>(Matrix_prices!M662+$D$2)*IF($M$2="Prices in $/MWh",1,1/1000)</f>
        <v>23.53</v>
      </c>
      <c r="N674" s="152">
        <f>(Matrix_prices!N662+$D$2)*IF($M$2="Prices in $/MWh",1,1/1000)</f>
        <v>24.74</v>
      </c>
    </row>
    <row r="675" spans="3:14" x14ac:dyDescent="0.25">
      <c r="C675" s="78">
        <f>Matrix_prices!C663</f>
        <v>42522</v>
      </c>
      <c r="D675" s="79" t="str">
        <f>Matrix_prices!D663</f>
        <v>OH</v>
      </c>
      <c r="E675" s="80" t="str">
        <f>Matrix_prices!E663</f>
        <v>AEP OH</v>
      </c>
      <c r="F675" s="79" t="str">
        <f>Matrix_prices!F663</f>
        <v>GS2</v>
      </c>
      <c r="G675" s="80" t="str">
        <f>Matrix_prices!G663</f>
        <v>General Service Medium</v>
      </c>
      <c r="H675" s="81" t="str">
        <f t="shared" si="31"/>
        <v>100-500 MWh</v>
      </c>
      <c r="I675" s="80">
        <f>(Matrix_prices!I663+$D$2)*IF($M$2="Prices in $/MWh",1,1/1000)</f>
        <v>57.09</v>
      </c>
      <c r="J675" s="79">
        <f>(Matrix_prices!J663+$D$2)*IF($M$2="Prices in $/MWh",1,1/1000)</f>
        <v>58.41</v>
      </c>
      <c r="K675" s="80">
        <f>(Matrix_prices!K663+$D$2)*IF($M$2="Prices in $/MWh",1,1/1000)</f>
        <v>59.71</v>
      </c>
      <c r="L675" s="79">
        <f>(Matrix_prices!L663+$D$2)*IF($M$2="Prices in $/MWh",1,1/1000)</f>
        <v>20.22</v>
      </c>
      <c r="M675" s="80">
        <f>(Matrix_prices!M663+$D$2)*IF($M$2="Prices in $/MWh",1,1/1000)</f>
        <v>21.93</v>
      </c>
      <c r="N675" s="79">
        <f>(Matrix_prices!N663+$D$2)*IF($M$2="Prices in $/MWh",1,1/1000)</f>
        <v>23.14</v>
      </c>
    </row>
    <row r="676" spans="3:14" x14ac:dyDescent="0.25">
      <c r="C676" s="82">
        <f>Matrix_prices!C664</f>
        <v>42522</v>
      </c>
      <c r="D676" s="83" t="str">
        <f>Matrix_prices!D664</f>
        <v>OH</v>
      </c>
      <c r="E676" s="84" t="str">
        <f>Matrix_prices!E664</f>
        <v>AEP OH</v>
      </c>
      <c r="F676" s="83" t="str">
        <f>Matrix_prices!F664</f>
        <v>GS2</v>
      </c>
      <c r="G676" s="84" t="str">
        <f>Matrix_prices!G664</f>
        <v>General Service Medium</v>
      </c>
      <c r="H676" s="85" t="str">
        <f t="shared" si="32"/>
        <v>500-2500 MWh</v>
      </c>
      <c r="I676" s="84">
        <f>(Matrix_prices!I664+$D$2)*IF($M$2="Prices in $/MWh",1,1/1000)</f>
        <v>56.04</v>
      </c>
      <c r="J676" s="83">
        <f>(Matrix_prices!J664+$D$2)*IF($M$2="Prices in $/MWh",1,1/1000)</f>
        <v>57.36</v>
      </c>
      <c r="K676" s="84">
        <f>(Matrix_prices!K664+$D$2)*IF($M$2="Prices in $/MWh",1,1/1000)</f>
        <v>58.66</v>
      </c>
      <c r="L676" s="83">
        <f>(Matrix_prices!L664+$D$2)*IF($M$2="Prices in $/MWh",1,1/1000)</f>
        <v>19.170000000000002</v>
      </c>
      <c r="M676" s="84">
        <f>(Matrix_prices!M664+$D$2)*IF($M$2="Prices in $/MWh",1,1/1000)</f>
        <v>20.88</v>
      </c>
      <c r="N676" s="83">
        <f>(Matrix_prices!N664+$D$2)*IF($M$2="Prices in $/MWh",1,1/1000)</f>
        <v>22.09</v>
      </c>
    </row>
    <row r="677" spans="3:14" x14ac:dyDescent="0.25">
      <c r="C677" s="74">
        <f>Matrix_prices!C665</f>
        <v>42552</v>
      </c>
      <c r="D677" s="75" t="str">
        <f>Matrix_prices!D665</f>
        <v>OH</v>
      </c>
      <c r="E677" s="76" t="str">
        <f>Matrix_prices!E665</f>
        <v>AEP OH</v>
      </c>
      <c r="F677" s="75" t="str">
        <f>Matrix_prices!F665</f>
        <v>GS2</v>
      </c>
      <c r="G677" s="76" t="str">
        <f>Matrix_prices!G665</f>
        <v>General Service Medium</v>
      </c>
      <c r="H677" s="157" t="str">
        <f t="shared" si="30"/>
        <v>0-100 MWh</v>
      </c>
      <c r="I677" s="76">
        <f>(Matrix_prices!I665+$D$2)*IF($M$2="Prices in $/MWh",1,1/1000)</f>
        <v>59.22</v>
      </c>
      <c r="J677" s="75">
        <f>(Matrix_prices!J665+$D$2)*IF($M$2="Prices in $/MWh",1,1/1000)</f>
        <v>60.29</v>
      </c>
      <c r="K677" s="76">
        <f>(Matrix_prices!K665+$D$2)*IF($M$2="Prices in $/MWh",1,1/1000)</f>
        <v>61.6</v>
      </c>
      <c r="L677" s="75">
        <f>(Matrix_prices!L665+$D$2)*IF($M$2="Prices in $/MWh",1,1/1000)</f>
        <v>22.3</v>
      </c>
      <c r="M677" s="76">
        <f>(Matrix_prices!M665+$D$2)*IF($M$2="Prices in $/MWh",1,1/1000)</f>
        <v>23.95</v>
      </c>
      <c r="N677" s="75">
        <f>(Matrix_prices!N665+$D$2)*IF($M$2="Prices in $/MWh",1,1/1000)</f>
        <v>25.07</v>
      </c>
    </row>
    <row r="678" spans="3:14" x14ac:dyDescent="0.25">
      <c r="C678" s="78">
        <f>Matrix_prices!C666</f>
        <v>42552</v>
      </c>
      <c r="D678" s="79" t="str">
        <f>Matrix_prices!D666</f>
        <v>OH</v>
      </c>
      <c r="E678" s="80" t="str">
        <f>Matrix_prices!E666</f>
        <v>AEP OH</v>
      </c>
      <c r="F678" s="79" t="str">
        <f>Matrix_prices!F666</f>
        <v>GS2</v>
      </c>
      <c r="G678" s="80" t="str">
        <f>Matrix_prices!G666</f>
        <v>General Service Medium</v>
      </c>
      <c r="H678" s="81" t="str">
        <f t="shared" si="31"/>
        <v>100-500 MWh</v>
      </c>
      <c r="I678" s="80">
        <f>(Matrix_prices!I666+$D$2)*IF($M$2="Prices in $/MWh",1,1/1000)</f>
        <v>57.62</v>
      </c>
      <c r="J678" s="79">
        <f>(Matrix_prices!J666+$D$2)*IF($M$2="Prices in $/MWh",1,1/1000)</f>
        <v>58.69</v>
      </c>
      <c r="K678" s="80">
        <f>(Matrix_prices!K666+$D$2)*IF($M$2="Prices in $/MWh",1,1/1000)</f>
        <v>60</v>
      </c>
      <c r="L678" s="79">
        <f>(Matrix_prices!L666+$D$2)*IF($M$2="Prices in $/MWh",1,1/1000)</f>
        <v>20.7</v>
      </c>
      <c r="M678" s="80">
        <f>(Matrix_prices!M666+$D$2)*IF($M$2="Prices in $/MWh",1,1/1000)</f>
        <v>22.35</v>
      </c>
      <c r="N678" s="79">
        <f>(Matrix_prices!N666+$D$2)*IF($M$2="Prices in $/MWh",1,1/1000)</f>
        <v>23.47</v>
      </c>
    </row>
    <row r="679" spans="3:14" x14ac:dyDescent="0.25">
      <c r="C679" s="82">
        <f>Matrix_prices!C667</f>
        <v>42552</v>
      </c>
      <c r="D679" s="83" t="str">
        <f>Matrix_prices!D667</f>
        <v>OH</v>
      </c>
      <c r="E679" s="84" t="str">
        <f>Matrix_prices!E667</f>
        <v>AEP OH</v>
      </c>
      <c r="F679" s="83" t="str">
        <f>Matrix_prices!F667</f>
        <v>GS2</v>
      </c>
      <c r="G679" s="84" t="str">
        <f>Matrix_prices!G667</f>
        <v>General Service Medium</v>
      </c>
      <c r="H679" s="85" t="str">
        <f t="shared" si="32"/>
        <v>500-2500 MWh</v>
      </c>
      <c r="I679" s="84">
        <f>(Matrix_prices!I667+$D$2)*IF($M$2="Prices in $/MWh",1,1/1000)</f>
        <v>56.57</v>
      </c>
      <c r="J679" s="83">
        <f>(Matrix_prices!J667+$D$2)*IF($M$2="Prices in $/MWh",1,1/1000)</f>
        <v>57.64</v>
      </c>
      <c r="K679" s="84">
        <f>(Matrix_prices!K667+$D$2)*IF($M$2="Prices in $/MWh",1,1/1000)</f>
        <v>58.95</v>
      </c>
      <c r="L679" s="83">
        <f>(Matrix_prices!L667+$D$2)*IF($M$2="Prices in $/MWh",1,1/1000)</f>
        <v>19.649999999999999</v>
      </c>
      <c r="M679" s="84">
        <f>(Matrix_prices!M667+$D$2)*IF($M$2="Prices in $/MWh",1,1/1000)</f>
        <v>21.3</v>
      </c>
      <c r="N679" s="83">
        <f>(Matrix_prices!N667+$D$2)*IF($M$2="Prices in $/MWh",1,1/1000)</f>
        <v>22.42</v>
      </c>
    </row>
    <row r="680" spans="3:14" x14ac:dyDescent="0.25">
      <c r="C680" s="151">
        <f>Matrix_prices!C668</f>
        <v>42583</v>
      </c>
      <c r="D680" s="152" t="str">
        <f>Matrix_prices!D668</f>
        <v>OH</v>
      </c>
      <c r="E680" s="153" t="str">
        <f>Matrix_prices!E668</f>
        <v>AEP OH</v>
      </c>
      <c r="F680" s="152" t="str">
        <f>Matrix_prices!F668</f>
        <v>GS2</v>
      </c>
      <c r="G680" s="153" t="str">
        <f>Matrix_prices!G668</f>
        <v>General Service Medium</v>
      </c>
      <c r="H680" s="157" t="str">
        <f t="shared" si="30"/>
        <v>0-100 MWh</v>
      </c>
      <c r="I680" s="153">
        <f>(Matrix_prices!I668+$D$2)*IF($M$2="Prices in $/MWh",1,1/1000)</f>
        <v>59.68</v>
      </c>
      <c r="J680" s="152">
        <f>(Matrix_prices!J668+$D$2)*IF($M$2="Prices in $/MWh",1,1/1000)</f>
        <v>60.79</v>
      </c>
      <c r="K680" s="153">
        <f>(Matrix_prices!K668+$D$2)*IF($M$2="Prices in $/MWh",1,1/1000)</f>
        <v>61.94</v>
      </c>
      <c r="L680" s="152">
        <f>(Matrix_prices!L668+$D$2)*IF($M$2="Prices in $/MWh",1,1/1000)</f>
        <v>22.83</v>
      </c>
      <c r="M680" s="153">
        <f>(Matrix_prices!M668+$D$2)*IF($M$2="Prices in $/MWh",1,1/1000)</f>
        <v>24.51</v>
      </c>
      <c r="N680" s="152">
        <f>(Matrix_prices!N668+$D$2)*IF($M$2="Prices in $/MWh",1,1/1000)</f>
        <v>25.41</v>
      </c>
    </row>
    <row r="681" spans="3:14" x14ac:dyDescent="0.25">
      <c r="C681" s="78">
        <f>Matrix_prices!C669</f>
        <v>42583</v>
      </c>
      <c r="D681" s="79" t="str">
        <f>Matrix_prices!D669</f>
        <v>OH</v>
      </c>
      <c r="E681" s="80" t="str">
        <f>Matrix_prices!E669</f>
        <v>AEP OH</v>
      </c>
      <c r="F681" s="79" t="str">
        <f>Matrix_prices!F669</f>
        <v>GS2</v>
      </c>
      <c r="G681" s="80" t="str">
        <f>Matrix_prices!G669</f>
        <v>General Service Medium</v>
      </c>
      <c r="H681" s="81" t="str">
        <f t="shared" si="31"/>
        <v>100-500 MWh</v>
      </c>
      <c r="I681" s="80">
        <f>(Matrix_prices!I669+$D$2)*IF($M$2="Prices in $/MWh",1,1/1000)</f>
        <v>58.08</v>
      </c>
      <c r="J681" s="79">
        <f>(Matrix_prices!J669+$D$2)*IF($M$2="Prices in $/MWh",1,1/1000)</f>
        <v>59.19</v>
      </c>
      <c r="K681" s="80">
        <f>(Matrix_prices!K669+$D$2)*IF($M$2="Prices in $/MWh",1,1/1000)</f>
        <v>60.34</v>
      </c>
      <c r="L681" s="79">
        <f>(Matrix_prices!L669+$D$2)*IF($M$2="Prices in $/MWh",1,1/1000)</f>
        <v>21.23</v>
      </c>
      <c r="M681" s="80">
        <f>(Matrix_prices!M669+$D$2)*IF($M$2="Prices in $/MWh",1,1/1000)</f>
        <v>22.91</v>
      </c>
      <c r="N681" s="79">
        <f>(Matrix_prices!N669+$D$2)*IF($M$2="Prices in $/MWh",1,1/1000)</f>
        <v>23.81</v>
      </c>
    </row>
    <row r="682" spans="3:14" x14ac:dyDescent="0.25">
      <c r="C682" s="82">
        <f>Matrix_prices!C670</f>
        <v>42583</v>
      </c>
      <c r="D682" s="83" t="str">
        <f>Matrix_prices!D670</f>
        <v>OH</v>
      </c>
      <c r="E682" s="84" t="str">
        <f>Matrix_prices!E670</f>
        <v>AEP OH</v>
      </c>
      <c r="F682" s="83" t="str">
        <f>Matrix_prices!F670</f>
        <v>GS2</v>
      </c>
      <c r="G682" s="84" t="str">
        <f>Matrix_prices!G670</f>
        <v>General Service Medium</v>
      </c>
      <c r="H682" s="85" t="str">
        <f t="shared" si="32"/>
        <v>500-2500 MWh</v>
      </c>
      <c r="I682" s="84">
        <f>(Matrix_prices!I670+$D$2)*IF($M$2="Prices in $/MWh",1,1/1000)</f>
        <v>57.03</v>
      </c>
      <c r="J682" s="83">
        <f>(Matrix_prices!J670+$D$2)*IF($M$2="Prices in $/MWh",1,1/1000)</f>
        <v>58.14</v>
      </c>
      <c r="K682" s="84">
        <f>(Matrix_prices!K670+$D$2)*IF($M$2="Prices in $/MWh",1,1/1000)</f>
        <v>59.29</v>
      </c>
      <c r="L682" s="83">
        <f>(Matrix_prices!L670+$D$2)*IF($M$2="Prices in $/MWh",1,1/1000)</f>
        <v>20.18</v>
      </c>
      <c r="M682" s="84">
        <f>(Matrix_prices!M670+$D$2)*IF($M$2="Prices in $/MWh",1,1/1000)</f>
        <v>21.86</v>
      </c>
      <c r="N682" s="83">
        <f>(Matrix_prices!N670+$D$2)*IF($M$2="Prices in $/MWh",1,1/1000)</f>
        <v>22.76</v>
      </c>
    </row>
    <row r="683" spans="3:14" x14ac:dyDescent="0.25">
      <c r="C683" s="74">
        <f>Matrix_prices!C671</f>
        <v>42614</v>
      </c>
      <c r="D683" s="75" t="str">
        <f>Matrix_prices!D671</f>
        <v>OH</v>
      </c>
      <c r="E683" s="76" t="str">
        <f>Matrix_prices!E671</f>
        <v>AEP OH</v>
      </c>
      <c r="F683" s="75" t="str">
        <f>Matrix_prices!F671</f>
        <v>GS2</v>
      </c>
      <c r="G683" s="76" t="str">
        <f>Matrix_prices!G671</f>
        <v>General Service Medium</v>
      </c>
      <c r="H683" s="157" t="str">
        <f t="shared" si="30"/>
        <v>0-100 MWh</v>
      </c>
      <c r="I683" s="76">
        <f>(Matrix_prices!I671+$D$2)*IF($M$2="Prices in $/MWh",1,1/1000)</f>
        <v>60.08</v>
      </c>
      <c r="J683" s="75">
        <f>(Matrix_prices!J671+$D$2)*IF($M$2="Prices in $/MWh",1,1/1000)</f>
        <v>61.26</v>
      </c>
      <c r="K683" s="76">
        <f>(Matrix_prices!K671+$D$2)*IF($M$2="Prices in $/MWh",1,1/1000)</f>
        <v>62.22</v>
      </c>
      <c r="L683" s="75">
        <f>(Matrix_prices!L671+$D$2)*IF($M$2="Prices in $/MWh",1,1/1000)</f>
        <v>23.33</v>
      </c>
      <c r="M683" s="76">
        <f>(Matrix_prices!M671+$D$2)*IF($M$2="Prices in $/MWh",1,1/1000)</f>
        <v>25</v>
      </c>
      <c r="N683" s="75">
        <f>(Matrix_prices!N671+$D$2)*IF($M$2="Prices in $/MWh",1,1/1000)</f>
        <v>25.75</v>
      </c>
    </row>
    <row r="684" spans="3:14" x14ac:dyDescent="0.25">
      <c r="C684" s="78">
        <f>Matrix_prices!C672</f>
        <v>42614</v>
      </c>
      <c r="D684" s="79" t="str">
        <f>Matrix_prices!D672</f>
        <v>OH</v>
      </c>
      <c r="E684" s="80" t="str">
        <f>Matrix_prices!E672</f>
        <v>AEP OH</v>
      </c>
      <c r="F684" s="79" t="str">
        <f>Matrix_prices!F672</f>
        <v>GS2</v>
      </c>
      <c r="G684" s="80" t="str">
        <f>Matrix_prices!G672</f>
        <v>General Service Medium</v>
      </c>
      <c r="H684" s="81" t="str">
        <f t="shared" si="31"/>
        <v>100-500 MWh</v>
      </c>
      <c r="I684" s="80">
        <f>(Matrix_prices!I672+$D$2)*IF($M$2="Prices in $/MWh",1,1/1000)</f>
        <v>58.48</v>
      </c>
      <c r="J684" s="79">
        <f>(Matrix_prices!J672+$D$2)*IF($M$2="Prices in $/MWh",1,1/1000)</f>
        <v>59.66</v>
      </c>
      <c r="K684" s="80">
        <f>(Matrix_prices!K672+$D$2)*IF($M$2="Prices in $/MWh",1,1/1000)</f>
        <v>60.62</v>
      </c>
      <c r="L684" s="79">
        <f>(Matrix_prices!L672+$D$2)*IF($M$2="Prices in $/MWh",1,1/1000)</f>
        <v>21.73</v>
      </c>
      <c r="M684" s="80">
        <f>(Matrix_prices!M672+$D$2)*IF($M$2="Prices in $/MWh",1,1/1000)</f>
        <v>23.4</v>
      </c>
      <c r="N684" s="79">
        <f>(Matrix_prices!N672+$D$2)*IF($M$2="Prices in $/MWh",1,1/1000)</f>
        <v>24.15</v>
      </c>
    </row>
    <row r="685" spans="3:14" x14ac:dyDescent="0.25">
      <c r="C685" s="82">
        <f>Matrix_prices!C673</f>
        <v>42614</v>
      </c>
      <c r="D685" s="83" t="str">
        <f>Matrix_prices!D673</f>
        <v>OH</v>
      </c>
      <c r="E685" s="84" t="str">
        <f>Matrix_prices!E673</f>
        <v>AEP OH</v>
      </c>
      <c r="F685" s="83" t="str">
        <f>Matrix_prices!F673</f>
        <v>GS2</v>
      </c>
      <c r="G685" s="84" t="str">
        <f>Matrix_prices!G673</f>
        <v>General Service Medium</v>
      </c>
      <c r="H685" s="85" t="str">
        <f t="shared" si="32"/>
        <v>500-2500 MWh</v>
      </c>
      <c r="I685" s="84">
        <f>(Matrix_prices!I673+$D$2)*IF($M$2="Prices in $/MWh",1,1/1000)</f>
        <v>57.43</v>
      </c>
      <c r="J685" s="83">
        <f>(Matrix_prices!J673+$D$2)*IF($M$2="Prices in $/MWh",1,1/1000)</f>
        <v>58.61</v>
      </c>
      <c r="K685" s="84">
        <f>(Matrix_prices!K673+$D$2)*IF($M$2="Prices in $/MWh",1,1/1000)</f>
        <v>59.57</v>
      </c>
      <c r="L685" s="83">
        <f>(Matrix_prices!L673+$D$2)*IF($M$2="Prices in $/MWh",1,1/1000)</f>
        <v>20.68</v>
      </c>
      <c r="M685" s="84">
        <f>(Matrix_prices!M673+$D$2)*IF($M$2="Prices in $/MWh",1,1/1000)</f>
        <v>22.35</v>
      </c>
      <c r="N685" s="83">
        <f>(Matrix_prices!N673+$D$2)*IF($M$2="Prices in $/MWh",1,1/1000)</f>
        <v>23.1</v>
      </c>
    </row>
    <row r="686" spans="3:14" x14ac:dyDescent="0.25">
      <c r="C686" s="151">
        <f>Matrix_prices!C674</f>
        <v>42644</v>
      </c>
      <c r="D686" s="152" t="str">
        <f>Matrix_prices!D674</f>
        <v>OH</v>
      </c>
      <c r="E686" s="153" t="str">
        <f>Matrix_prices!E674</f>
        <v>AEP OH</v>
      </c>
      <c r="F686" s="152" t="str">
        <f>Matrix_prices!F674</f>
        <v>GS2</v>
      </c>
      <c r="G686" s="153" t="str">
        <f>Matrix_prices!G674</f>
        <v>General Service Medium</v>
      </c>
      <c r="H686" s="157" t="str">
        <f t="shared" si="30"/>
        <v>0-100 MWh</v>
      </c>
      <c r="I686" s="153">
        <f>(Matrix_prices!I674+$D$2)*IF($M$2="Prices in $/MWh",1,1/1000)</f>
        <v>60.51</v>
      </c>
      <c r="J686" s="152">
        <f>(Matrix_prices!J674+$D$2)*IF($M$2="Prices in $/MWh",1,1/1000)</f>
        <v>61.89</v>
      </c>
      <c r="K686" s="153">
        <f>(Matrix_prices!K674+$D$2)*IF($M$2="Prices in $/MWh",1,1/1000)</f>
        <v>62.47</v>
      </c>
      <c r="L686" s="152">
        <f>(Matrix_prices!L674+$D$2)*IF($M$2="Prices in $/MWh",1,1/1000)</f>
        <v>23.81</v>
      </c>
      <c r="M686" s="153">
        <f>(Matrix_prices!M674+$D$2)*IF($M$2="Prices in $/MWh",1,1/1000)</f>
        <v>25.44</v>
      </c>
      <c r="N686" s="152">
        <f>(Matrix_prices!N674+$D$2)*IF($M$2="Prices in $/MWh",1,1/1000)</f>
        <v>26.08</v>
      </c>
    </row>
    <row r="687" spans="3:14" x14ac:dyDescent="0.25">
      <c r="C687" s="78">
        <f>Matrix_prices!C675</f>
        <v>42644</v>
      </c>
      <c r="D687" s="79" t="str">
        <f>Matrix_prices!D675</f>
        <v>OH</v>
      </c>
      <c r="E687" s="80" t="str">
        <f>Matrix_prices!E675</f>
        <v>AEP OH</v>
      </c>
      <c r="F687" s="79" t="str">
        <f>Matrix_prices!F675</f>
        <v>GS2</v>
      </c>
      <c r="G687" s="80" t="str">
        <f>Matrix_prices!G675</f>
        <v>General Service Medium</v>
      </c>
      <c r="H687" s="81" t="str">
        <f t="shared" si="31"/>
        <v>100-500 MWh</v>
      </c>
      <c r="I687" s="80">
        <f>(Matrix_prices!I675+$D$2)*IF($M$2="Prices in $/MWh",1,1/1000)</f>
        <v>58.91</v>
      </c>
      <c r="J687" s="79">
        <f>(Matrix_prices!J675+$D$2)*IF($M$2="Prices in $/MWh",1,1/1000)</f>
        <v>60.29</v>
      </c>
      <c r="K687" s="80">
        <f>(Matrix_prices!K675+$D$2)*IF($M$2="Prices in $/MWh",1,1/1000)</f>
        <v>60.87</v>
      </c>
      <c r="L687" s="79">
        <f>(Matrix_prices!L675+$D$2)*IF($M$2="Prices in $/MWh",1,1/1000)</f>
        <v>22.21</v>
      </c>
      <c r="M687" s="80">
        <f>(Matrix_prices!M675+$D$2)*IF($M$2="Prices in $/MWh",1,1/1000)</f>
        <v>23.84</v>
      </c>
      <c r="N687" s="79">
        <f>(Matrix_prices!N675+$D$2)*IF($M$2="Prices in $/MWh",1,1/1000)</f>
        <v>24.48</v>
      </c>
    </row>
    <row r="688" spans="3:14" x14ac:dyDescent="0.25">
      <c r="C688" s="82">
        <f>Matrix_prices!C676</f>
        <v>42644</v>
      </c>
      <c r="D688" s="83" t="str">
        <f>Matrix_prices!D676</f>
        <v>OH</v>
      </c>
      <c r="E688" s="84" t="str">
        <f>Matrix_prices!E676</f>
        <v>AEP OH</v>
      </c>
      <c r="F688" s="83" t="str">
        <f>Matrix_prices!F676</f>
        <v>GS2</v>
      </c>
      <c r="G688" s="84" t="str">
        <f>Matrix_prices!G676</f>
        <v>General Service Medium</v>
      </c>
      <c r="H688" s="85" t="str">
        <f t="shared" si="32"/>
        <v>500-2500 MWh</v>
      </c>
      <c r="I688" s="84">
        <f>(Matrix_prices!I676+$D$2)*IF($M$2="Prices in $/MWh",1,1/1000)</f>
        <v>57.86</v>
      </c>
      <c r="J688" s="83">
        <f>(Matrix_prices!J676+$D$2)*IF($M$2="Prices in $/MWh",1,1/1000)</f>
        <v>59.24</v>
      </c>
      <c r="K688" s="84">
        <f>(Matrix_prices!K676+$D$2)*IF($M$2="Prices in $/MWh",1,1/1000)</f>
        <v>59.82</v>
      </c>
      <c r="L688" s="83">
        <f>(Matrix_prices!L676+$D$2)*IF($M$2="Prices in $/MWh",1,1/1000)</f>
        <v>21.16</v>
      </c>
      <c r="M688" s="84">
        <f>(Matrix_prices!M676+$D$2)*IF($M$2="Prices in $/MWh",1,1/1000)</f>
        <v>22.79</v>
      </c>
      <c r="N688" s="83">
        <f>(Matrix_prices!N676+$D$2)*IF($M$2="Prices in $/MWh",1,1/1000)</f>
        <v>23.43</v>
      </c>
    </row>
    <row r="689" spans="3:14" x14ac:dyDescent="0.25">
      <c r="C689" s="74">
        <f>Matrix_prices!C677</f>
        <v>42675</v>
      </c>
      <c r="D689" s="75" t="str">
        <f>Matrix_prices!D677</f>
        <v>OH</v>
      </c>
      <c r="E689" s="76" t="str">
        <f>Matrix_prices!E677</f>
        <v>AEP OH</v>
      </c>
      <c r="F689" s="75" t="str">
        <f>Matrix_prices!F677</f>
        <v>GS2</v>
      </c>
      <c r="G689" s="76" t="str">
        <f>Matrix_prices!G677</f>
        <v>General Service Medium</v>
      </c>
      <c r="H689" s="157" t="str">
        <f t="shared" si="30"/>
        <v>0-100 MWh</v>
      </c>
      <c r="I689" s="76">
        <f>(Matrix_prices!I677+$D$2)*IF($M$2="Prices in $/MWh",1,1/1000)</f>
        <v>60.98</v>
      </c>
      <c r="J689" s="75">
        <f>(Matrix_prices!J677+$D$2)*IF($M$2="Prices in $/MWh",1,1/1000)</f>
        <v>62.28</v>
      </c>
      <c r="K689" s="76">
        <f>(Matrix_prices!K677+$D$2)*IF($M$2="Prices in $/MWh",1,1/1000)</f>
        <v>62.79</v>
      </c>
      <c r="L689" s="75">
        <f>(Matrix_prices!L677+$D$2)*IF($M$2="Prices in $/MWh",1,1/1000)</f>
        <v>24.3</v>
      </c>
      <c r="M689" s="76">
        <f>(Matrix_prices!M677+$D$2)*IF($M$2="Prices in $/MWh",1,1/1000)</f>
        <v>25.76</v>
      </c>
      <c r="N689" s="75">
        <f>(Matrix_prices!N677+$D$2)*IF($M$2="Prices in $/MWh",1,1/1000)</f>
        <v>26.41</v>
      </c>
    </row>
    <row r="690" spans="3:14" x14ac:dyDescent="0.25">
      <c r="C690" s="78">
        <f>Matrix_prices!C678</f>
        <v>42675</v>
      </c>
      <c r="D690" s="79" t="str">
        <f>Matrix_prices!D678</f>
        <v>OH</v>
      </c>
      <c r="E690" s="80" t="str">
        <f>Matrix_prices!E678</f>
        <v>AEP OH</v>
      </c>
      <c r="F690" s="79" t="str">
        <f>Matrix_prices!F678</f>
        <v>GS2</v>
      </c>
      <c r="G690" s="80" t="str">
        <f>Matrix_prices!G678</f>
        <v>General Service Medium</v>
      </c>
      <c r="H690" s="81" t="str">
        <f t="shared" si="31"/>
        <v>100-500 MWh</v>
      </c>
      <c r="I690" s="80">
        <f>(Matrix_prices!I678+$D$2)*IF($M$2="Prices in $/MWh",1,1/1000)</f>
        <v>59.38</v>
      </c>
      <c r="J690" s="79">
        <f>(Matrix_prices!J678+$D$2)*IF($M$2="Prices in $/MWh",1,1/1000)</f>
        <v>60.68</v>
      </c>
      <c r="K690" s="80">
        <f>(Matrix_prices!K678+$D$2)*IF($M$2="Prices in $/MWh",1,1/1000)</f>
        <v>61.19</v>
      </c>
      <c r="L690" s="79">
        <f>(Matrix_prices!L678+$D$2)*IF($M$2="Prices in $/MWh",1,1/1000)</f>
        <v>22.7</v>
      </c>
      <c r="M690" s="80">
        <f>(Matrix_prices!M678+$D$2)*IF($M$2="Prices in $/MWh",1,1/1000)</f>
        <v>24.16</v>
      </c>
      <c r="N690" s="79">
        <f>(Matrix_prices!N678+$D$2)*IF($M$2="Prices in $/MWh",1,1/1000)</f>
        <v>24.81</v>
      </c>
    </row>
    <row r="691" spans="3:14" x14ac:dyDescent="0.25">
      <c r="C691" s="82">
        <f>Matrix_prices!C679</f>
        <v>42675</v>
      </c>
      <c r="D691" s="83" t="str">
        <f>Matrix_prices!D679</f>
        <v>OH</v>
      </c>
      <c r="E691" s="84" t="str">
        <f>Matrix_prices!E679</f>
        <v>AEP OH</v>
      </c>
      <c r="F691" s="83" t="str">
        <f>Matrix_prices!F679</f>
        <v>GS2</v>
      </c>
      <c r="G691" s="84" t="str">
        <f>Matrix_prices!G679</f>
        <v>General Service Medium</v>
      </c>
      <c r="H691" s="85" t="str">
        <f t="shared" si="32"/>
        <v>500-2500 MWh</v>
      </c>
      <c r="I691" s="84">
        <f>(Matrix_prices!I679+$D$2)*IF($M$2="Prices in $/MWh",1,1/1000)</f>
        <v>58.33</v>
      </c>
      <c r="J691" s="83">
        <f>(Matrix_prices!J679+$D$2)*IF($M$2="Prices in $/MWh",1,1/1000)</f>
        <v>59.63</v>
      </c>
      <c r="K691" s="84">
        <f>(Matrix_prices!K679+$D$2)*IF($M$2="Prices in $/MWh",1,1/1000)</f>
        <v>60.14</v>
      </c>
      <c r="L691" s="83">
        <f>(Matrix_prices!L679+$D$2)*IF($M$2="Prices in $/MWh",1,1/1000)</f>
        <v>21.65</v>
      </c>
      <c r="M691" s="84">
        <f>(Matrix_prices!M679+$D$2)*IF($M$2="Prices in $/MWh",1,1/1000)</f>
        <v>23.11</v>
      </c>
      <c r="N691" s="83">
        <f>(Matrix_prices!N679+$D$2)*IF($M$2="Prices in $/MWh",1,1/1000)</f>
        <v>23.76</v>
      </c>
    </row>
    <row r="692" spans="3:14" x14ac:dyDescent="0.25">
      <c r="C692" s="151">
        <f>Matrix_prices!C680</f>
        <v>42705</v>
      </c>
      <c r="D692" s="152" t="str">
        <f>Matrix_prices!D680</f>
        <v>OH</v>
      </c>
      <c r="E692" s="153" t="str">
        <f>Matrix_prices!E680</f>
        <v>AEP OH</v>
      </c>
      <c r="F692" s="152" t="str">
        <f>Matrix_prices!F680</f>
        <v>GS2</v>
      </c>
      <c r="G692" s="153" t="str">
        <f>Matrix_prices!G680</f>
        <v>General Service Medium</v>
      </c>
      <c r="H692" s="157" t="str">
        <f t="shared" si="30"/>
        <v>0-100 MWh</v>
      </c>
      <c r="I692" s="153">
        <f>(Matrix_prices!I680+$D$2)*IF($M$2="Prices in $/MWh",1,1/1000)</f>
        <v>61.37</v>
      </c>
      <c r="J692" s="152">
        <f>(Matrix_prices!J680+$D$2)*IF($M$2="Prices in $/MWh",1,1/1000)</f>
        <v>62.68</v>
      </c>
      <c r="K692" s="153">
        <f>(Matrix_prices!K680+$D$2)*IF($M$2="Prices in $/MWh",1,1/1000)</f>
        <v>63.04</v>
      </c>
      <c r="L692" s="152">
        <f>(Matrix_prices!L680+$D$2)*IF($M$2="Prices in $/MWh",1,1/1000)</f>
        <v>24.75</v>
      </c>
      <c r="M692" s="153">
        <f>(Matrix_prices!M680+$D$2)*IF($M$2="Prices in $/MWh",1,1/1000)</f>
        <v>25.99</v>
      </c>
      <c r="N692" s="152">
        <f>(Matrix_prices!N680+$D$2)*IF($M$2="Prices in $/MWh",1,1/1000)</f>
        <v>26.72</v>
      </c>
    </row>
    <row r="693" spans="3:14" x14ac:dyDescent="0.25">
      <c r="C693" s="78">
        <f>Matrix_prices!C681</f>
        <v>42705</v>
      </c>
      <c r="D693" s="79" t="str">
        <f>Matrix_prices!D681</f>
        <v>OH</v>
      </c>
      <c r="E693" s="80" t="str">
        <f>Matrix_prices!E681</f>
        <v>AEP OH</v>
      </c>
      <c r="F693" s="79" t="str">
        <f>Matrix_prices!F681</f>
        <v>GS2</v>
      </c>
      <c r="G693" s="80" t="str">
        <f>Matrix_prices!G681</f>
        <v>General Service Medium</v>
      </c>
      <c r="H693" s="81" t="str">
        <f t="shared" si="31"/>
        <v>100-500 MWh</v>
      </c>
      <c r="I693" s="80">
        <f>(Matrix_prices!I681+$D$2)*IF($M$2="Prices in $/MWh",1,1/1000)</f>
        <v>59.77</v>
      </c>
      <c r="J693" s="79">
        <f>(Matrix_prices!J681+$D$2)*IF($M$2="Prices in $/MWh",1,1/1000)</f>
        <v>61.08</v>
      </c>
      <c r="K693" s="80">
        <f>(Matrix_prices!K681+$D$2)*IF($M$2="Prices in $/MWh",1,1/1000)</f>
        <v>61.44</v>
      </c>
      <c r="L693" s="79">
        <f>(Matrix_prices!L681+$D$2)*IF($M$2="Prices in $/MWh",1,1/1000)</f>
        <v>23.15</v>
      </c>
      <c r="M693" s="80">
        <f>(Matrix_prices!M681+$D$2)*IF($M$2="Prices in $/MWh",1,1/1000)</f>
        <v>24.39</v>
      </c>
      <c r="N693" s="79">
        <f>(Matrix_prices!N681+$D$2)*IF($M$2="Prices in $/MWh",1,1/1000)</f>
        <v>25.12</v>
      </c>
    </row>
    <row r="694" spans="3:14" x14ac:dyDescent="0.25">
      <c r="C694" s="82">
        <f>Matrix_prices!C682</f>
        <v>42705</v>
      </c>
      <c r="D694" s="83" t="str">
        <f>Matrix_prices!D682</f>
        <v>OH</v>
      </c>
      <c r="E694" s="84" t="str">
        <f>Matrix_prices!E682</f>
        <v>AEP OH</v>
      </c>
      <c r="F694" s="83" t="str">
        <f>Matrix_prices!F682</f>
        <v>GS2</v>
      </c>
      <c r="G694" s="84" t="str">
        <f>Matrix_prices!G682</f>
        <v>General Service Medium</v>
      </c>
      <c r="H694" s="85" t="str">
        <f t="shared" si="32"/>
        <v>500-2500 MWh</v>
      </c>
      <c r="I694" s="84">
        <f>(Matrix_prices!I682+$D$2)*IF($M$2="Prices in $/MWh",1,1/1000)</f>
        <v>58.72</v>
      </c>
      <c r="J694" s="83">
        <f>(Matrix_prices!J682+$D$2)*IF($M$2="Prices in $/MWh",1,1/1000)</f>
        <v>60.03</v>
      </c>
      <c r="K694" s="84">
        <f>(Matrix_prices!K682+$D$2)*IF($M$2="Prices in $/MWh",1,1/1000)</f>
        <v>60.39</v>
      </c>
      <c r="L694" s="83">
        <f>(Matrix_prices!L682+$D$2)*IF($M$2="Prices in $/MWh",1,1/1000)</f>
        <v>22.1</v>
      </c>
      <c r="M694" s="84">
        <f>(Matrix_prices!M682+$D$2)*IF($M$2="Prices in $/MWh",1,1/1000)</f>
        <v>23.34</v>
      </c>
      <c r="N694" s="83">
        <f>(Matrix_prices!N682+$D$2)*IF($M$2="Prices in $/MWh",1,1/1000)</f>
        <v>24.07</v>
      </c>
    </row>
    <row r="695" spans="3:14" x14ac:dyDescent="0.25">
      <c r="C695" s="74">
        <f>Matrix_prices!C683</f>
        <v>42736</v>
      </c>
      <c r="D695" s="75" t="str">
        <f>Matrix_prices!D683</f>
        <v>OH</v>
      </c>
      <c r="E695" s="76" t="str">
        <f>Matrix_prices!E683</f>
        <v>AEP OH</v>
      </c>
      <c r="F695" s="75" t="str">
        <f>Matrix_prices!F683</f>
        <v>GS2</v>
      </c>
      <c r="G695" s="76" t="str">
        <f>Matrix_prices!G683</f>
        <v>General Service Medium</v>
      </c>
      <c r="H695" s="157" t="str">
        <f t="shared" si="30"/>
        <v>0-100 MWh</v>
      </c>
      <c r="I695" s="76">
        <f>(Matrix_prices!I683+$D$2)*IF($M$2="Prices in $/MWh",1,1/1000)</f>
        <v>61.8</v>
      </c>
      <c r="J695" s="75">
        <f>(Matrix_prices!J683+$D$2)*IF($M$2="Prices in $/MWh",1,1/1000)</f>
        <v>63.07</v>
      </c>
      <c r="K695" s="76">
        <f>(Matrix_prices!K683+$D$2)*IF($M$2="Prices in $/MWh",1,1/1000)</f>
        <v>63.38</v>
      </c>
      <c r="L695" s="75">
        <f>(Matrix_prices!L683+$D$2)*IF($M$2="Prices in $/MWh",1,1/1000)</f>
        <v>25.26</v>
      </c>
      <c r="M695" s="76">
        <f>(Matrix_prices!M683+$D$2)*IF($M$2="Prices in $/MWh",1,1/1000)</f>
        <v>26.33</v>
      </c>
      <c r="N695" s="75">
        <f>(Matrix_prices!N683+$D$2)*IF($M$2="Prices in $/MWh",1,1/1000)</f>
        <v>27.07</v>
      </c>
    </row>
    <row r="696" spans="3:14" x14ac:dyDescent="0.25">
      <c r="C696" s="78">
        <f>Matrix_prices!C684</f>
        <v>42736</v>
      </c>
      <c r="D696" s="79" t="str">
        <f>Matrix_prices!D684</f>
        <v>OH</v>
      </c>
      <c r="E696" s="80" t="str">
        <f>Matrix_prices!E684</f>
        <v>AEP OH</v>
      </c>
      <c r="F696" s="79" t="str">
        <f>Matrix_prices!F684</f>
        <v>GS2</v>
      </c>
      <c r="G696" s="80" t="str">
        <f>Matrix_prices!G684</f>
        <v>General Service Medium</v>
      </c>
      <c r="H696" s="81" t="str">
        <f t="shared" si="31"/>
        <v>100-500 MWh</v>
      </c>
      <c r="I696" s="80">
        <f>(Matrix_prices!I684+$D$2)*IF($M$2="Prices in $/MWh",1,1/1000)</f>
        <v>60.2</v>
      </c>
      <c r="J696" s="79">
        <f>(Matrix_prices!J684+$D$2)*IF($M$2="Prices in $/MWh",1,1/1000)</f>
        <v>61.47</v>
      </c>
      <c r="K696" s="80">
        <f>(Matrix_prices!K684+$D$2)*IF($M$2="Prices in $/MWh",1,1/1000)</f>
        <v>61.78</v>
      </c>
      <c r="L696" s="79">
        <f>(Matrix_prices!L684+$D$2)*IF($M$2="Prices in $/MWh",1,1/1000)</f>
        <v>23.66</v>
      </c>
      <c r="M696" s="80">
        <f>(Matrix_prices!M684+$D$2)*IF($M$2="Prices in $/MWh",1,1/1000)</f>
        <v>24.73</v>
      </c>
      <c r="N696" s="79">
        <f>(Matrix_prices!N684+$D$2)*IF($M$2="Prices in $/MWh",1,1/1000)</f>
        <v>25.47</v>
      </c>
    </row>
    <row r="697" spans="3:14" x14ac:dyDescent="0.25">
      <c r="C697" s="82">
        <f>Matrix_prices!C685</f>
        <v>42736</v>
      </c>
      <c r="D697" s="83" t="str">
        <f>Matrix_prices!D685</f>
        <v>OH</v>
      </c>
      <c r="E697" s="84" t="str">
        <f>Matrix_prices!E685</f>
        <v>AEP OH</v>
      </c>
      <c r="F697" s="83" t="str">
        <f>Matrix_prices!F685</f>
        <v>GS2</v>
      </c>
      <c r="G697" s="84" t="str">
        <f>Matrix_prices!G685</f>
        <v>General Service Medium</v>
      </c>
      <c r="H697" s="85" t="str">
        <f t="shared" si="32"/>
        <v>500-2500 MWh</v>
      </c>
      <c r="I697" s="84">
        <f>(Matrix_prices!I685+$D$2)*IF($M$2="Prices in $/MWh",1,1/1000)</f>
        <v>59.15</v>
      </c>
      <c r="J697" s="83">
        <f>(Matrix_prices!J685+$D$2)*IF($M$2="Prices in $/MWh",1,1/1000)</f>
        <v>60.42</v>
      </c>
      <c r="K697" s="84">
        <f>(Matrix_prices!K685+$D$2)*IF($M$2="Prices in $/MWh",1,1/1000)</f>
        <v>60.73</v>
      </c>
      <c r="L697" s="83">
        <f>(Matrix_prices!L685+$D$2)*IF($M$2="Prices in $/MWh",1,1/1000)</f>
        <v>22.61</v>
      </c>
      <c r="M697" s="84">
        <f>(Matrix_prices!M685+$D$2)*IF($M$2="Prices in $/MWh",1,1/1000)</f>
        <v>23.68</v>
      </c>
      <c r="N697" s="83">
        <f>(Matrix_prices!N685+$D$2)*IF($M$2="Prices in $/MWh",1,1/1000)</f>
        <v>24.42</v>
      </c>
    </row>
    <row r="698" spans="3:14" x14ac:dyDescent="0.25">
      <c r="C698" s="151">
        <f>Matrix_prices!C686</f>
        <v>42401</v>
      </c>
      <c r="D698" s="152" t="str">
        <f>Matrix_prices!D686</f>
        <v>OH</v>
      </c>
      <c r="E698" s="153" t="str">
        <f>Matrix_prices!E686</f>
        <v>AEP OH</v>
      </c>
      <c r="F698" s="152" t="str">
        <f>Matrix_prices!F686</f>
        <v>GS3</v>
      </c>
      <c r="G698" s="153" t="str">
        <f>Matrix_prices!G686</f>
        <v>General Service Large</v>
      </c>
      <c r="H698" s="157" t="str">
        <f t="shared" si="30"/>
        <v>0-100 MWh</v>
      </c>
      <c r="I698" s="153">
        <f>(Matrix_prices!I686+$D$2)*IF($M$2="Prices in $/MWh",1,1/1000)</f>
        <v>58.75</v>
      </c>
      <c r="J698" s="152">
        <f>(Matrix_prices!J686+$D$2)*IF($M$2="Prices in $/MWh",1,1/1000)</f>
        <v>59.38</v>
      </c>
      <c r="K698" s="153">
        <f>(Matrix_prices!K686+$D$2)*IF($M$2="Prices in $/MWh",1,1/1000)</f>
        <v>60.07</v>
      </c>
      <c r="L698" s="152">
        <f>(Matrix_prices!L686+$D$2)*IF($M$2="Prices in $/MWh",1,1/1000)</f>
        <v>23.14</v>
      </c>
      <c r="M698" s="153">
        <f>(Matrix_prices!M686+$D$2)*IF($M$2="Prices in $/MWh",1,1/1000)</f>
        <v>23.34</v>
      </c>
      <c r="N698" s="152">
        <f>(Matrix_prices!N686+$D$2)*IF($M$2="Prices in $/MWh",1,1/1000)</f>
        <v>24.42</v>
      </c>
    </row>
    <row r="699" spans="3:14" x14ac:dyDescent="0.25">
      <c r="C699" s="78">
        <f>Matrix_prices!C687</f>
        <v>42401</v>
      </c>
      <c r="D699" s="79" t="str">
        <f>Matrix_prices!D687</f>
        <v>OH</v>
      </c>
      <c r="E699" s="80" t="str">
        <f>Matrix_prices!E687</f>
        <v>AEP OH</v>
      </c>
      <c r="F699" s="79" t="str">
        <f>Matrix_prices!F687</f>
        <v>GS3</v>
      </c>
      <c r="G699" s="80" t="str">
        <f>Matrix_prices!G687</f>
        <v>General Service Large</v>
      </c>
      <c r="H699" s="81" t="str">
        <f t="shared" si="31"/>
        <v>100-500 MWh</v>
      </c>
      <c r="I699" s="80">
        <f>(Matrix_prices!I687+$D$2)*IF($M$2="Prices in $/MWh",1,1/1000)</f>
        <v>57.15</v>
      </c>
      <c r="J699" s="79">
        <f>(Matrix_prices!J687+$D$2)*IF($M$2="Prices in $/MWh",1,1/1000)</f>
        <v>57.78</v>
      </c>
      <c r="K699" s="80">
        <f>(Matrix_prices!K687+$D$2)*IF($M$2="Prices in $/MWh",1,1/1000)</f>
        <v>58.47</v>
      </c>
      <c r="L699" s="79">
        <f>(Matrix_prices!L687+$D$2)*IF($M$2="Prices in $/MWh",1,1/1000)</f>
        <v>21.54</v>
      </c>
      <c r="M699" s="80">
        <f>(Matrix_prices!M687+$D$2)*IF($M$2="Prices in $/MWh",1,1/1000)</f>
        <v>21.74</v>
      </c>
      <c r="N699" s="79">
        <f>(Matrix_prices!N687+$D$2)*IF($M$2="Prices in $/MWh",1,1/1000)</f>
        <v>22.82</v>
      </c>
    </row>
    <row r="700" spans="3:14" x14ac:dyDescent="0.25">
      <c r="C700" s="82">
        <f>Matrix_prices!C688</f>
        <v>42401</v>
      </c>
      <c r="D700" s="83" t="str">
        <f>Matrix_prices!D688</f>
        <v>OH</v>
      </c>
      <c r="E700" s="84" t="str">
        <f>Matrix_prices!E688</f>
        <v>AEP OH</v>
      </c>
      <c r="F700" s="83" t="str">
        <f>Matrix_prices!F688</f>
        <v>GS3</v>
      </c>
      <c r="G700" s="84" t="str">
        <f>Matrix_prices!G688</f>
        <v>General Service Large</v>
      </c>
      <c r="H700" s="85" t="str">
        <f t="shared" si="32"/>
        <v>500-2500 MWh</v>
      </c>
      <c r="I700" s="84">
        <f>(Matrix_prices!I688+$D$2)*IF($M$2="Prices in $/MWh",1,1/1000)</f>
        <v>56.1</v>
      </c>
      <c r="J700" s="83">
        <f>(Matrix_prices!J688+$D$2)*IF($M$2="Prices in $/MWh",1,1/1000)</f>
        <v>56.73</v>
      </c>
      <c r="K700" s="84">
        <f>(Matrix_prices!K688+$D$2)*IF($M$2="Prices in $/MWh",1,1/1000)</f>
        <v>57.42</v>
      </c>
      <c r="L700" s="83">
        <f>(Matrix_prices!L688+$D$2)*IF($M$2="Prices in $/MWh",1,1/1000)</f>
        <v>20.49</v>
      </c>
      <c r="M700" s="84">
        <f>(Matrix_prices!M688+$D$2)*IF($M$2="Prices in $/MWh",1,1/1000)</f>
        <v>20.69</v>
      </c>
      <c r="N700" s="83">
        <f>(Matrix_prices!N688+$D$2)*IF($M$2="Prices in $/MWh",1,1/1000)</f>
        <v>21.77</v>
      </c>
    </row>
    <row r="701" spans="3:14" x14ac:dyDescent="0.25">
      <c r="C701" s="74">
        <f>Matrix_prices!C689</f>
        <v>42430</v>
      </c>
      <c r="D701" s="75" t="str">
        <f>Matrix_prices!D689</f>
        <v>OH</v>
      </c>
      <c r="E701" s="76" t="str">
        <f>Matrix_prices!E689</f>
        <v>AEP OH</v>
      </c>
      <c r="F701" s="75" t="str">
        <f>Matrix_prices!F689</f>
        <v>GS3</v>
      </c>
      <c r="G701" s="76" t="str">
        <f>Matrix_prices!G689</f>
        <v>General Service Large</v>
      </c>
      <c r="H701" s="157" t="str">
        <f t="shared" si="30"/>
        <v>0-100 MWh</v>
      </c>
      <c r="I701" s="76">
        <f>(Matrix_prices!I689+$D$2)*IF($M$2="Prices in $/MWh",1,1/1000)</f>
        <v>58.6</v>
      </c>
      <c r="J701" s="75">
        <f>(Matrix_prices!J689+$D$2)*IF($M$2="Prices in $/MWh",1,1/1000)</f>
        <v>59.24</v>
      </c>
      <c r="K701" s="76">
        <f>(Matrix_prices!K689+$D$2)*IF($M$2="Prices in $/MWh",1,1/1000)</f>
        <v>60.2</v>
      </c>
      <c r="L701" s="75">
        <f>(Matrix_prices!L689+$D$2)*IF($M$2="Prices in $/MWh",1,1/1000)</f>
        <v>22.83</v>
      </c>
      <c r="M701" s="76">
        <f>(Matrix_prices!M689+$D$2)*IF($M$2="Prices in $/MWh",1,1/1000)</f>
        <v>23.22</v>
      </c>
      <c r="N701" s="75">
        <f>(Matrix_prices!N689+$D$2)*IF($M$2="Prices in $/MWh",1,1/1000)</f>
        <v>24.49</v>
      </c>
    </row>
    <row r="702" spans="3:14" x14ac:dyDescent="0.25">
      <c r="C702" s="78">
        <f>Matrix_prices!C690</f>
        <v>42430</v>
      </c>
      <c r="D702" s="79" t="str">
        <f>Matrix_prices!D690</f>
        <v>OH</v>
      </c>
      <c r="E702" s="80" t="str">
        <f>Matrix_prices!E690</f>
        <v>AEP OH</v>
      </c>
      <c r="F702" s="79" t="str">
        <f>Matrix_prices!F690</f>
        <v>GS3</v>
      </c>
      <c r="G702" s="80" t="str">
        <f>Matrix_prices!G690</f>
        <v>General Service Large</v>
      </c>
      <c r="H702" s="81" t="str">
        <f t="shared" si="31"/>
        <v>100-500 MWh</v>
      </c>
      <c r="I702" s="80">
        <f>(Matrix_prices!I690+$D$2)*IF($M$2="Prices in $/MWh",1,1/1000)</f>
        <v>57</v>
      </c>
      <c r="J702" s="79">
        <f>(Matrix_prices!J690+$D$2)*IF($M$2="Prices in $/MWh",1,1/1000)</f>
        <v>57.64</v>
      </c>
      <c r="K702" s="80">
        <f>(Matrix_prices!K690+$D$2)*IF($M$2="Prices in $/MWh",1,1/1000)</f>
        <v>58.6</v>
      </c>
      <c r="L702" s="79">
        <f>(Matrix_prices!L690+$D$2)*IF($M$2="Prices in $/MWh",1,1/1000)</f>
        <v>21.23</v>
      </c>
      <c r="M702" s="80">
        <f>(Matrix_prices!M690+$D$2)*IF($M$2="Prices in $/MWh",1,1/1000)</f>
        <v>21.62</v>
      </c>
      <c r="N702" s="79">
        <f>(Matrix_prices!N690+$D$2)*IF($M$2="Prices in $/MWh",1,1/1000)</f>
        <v>22.89</v>
      </c>
    </row>
    <row r="703" spans="3:14" x14ac:dyDescent="0.25">
      <c r="C703" s="82">
        <f>Matrix_prices!C691</f>
        <v>42430</v>
      </c>
      <c r="D703" s="83" t="str">
        <f>Matrix_prices!D691</f>
        <v>OH</v>
      </c>
      <c r="E703" s="84" t="str">
        <f>Matrix_prices!E691</f>
        <v>AEP OH</v>
      </c>
      <c r="F703" s="83" t="str">
        <f>Matrix_prices!F691</f>
        <v>GS3</v>
      </c>
      <c r="G703" s="84" t="str">
        <f>Matrix_prices!G691</f>
        <v>General Service Large</v>
      </c>
      <c r="H703" s="85" t="str">
        <f t="shared" si="32"/>
        <v>500-2500 MWh</v>
      </c>
      <c r="I703" s="84">
        <f>(Matrix_prices!I691+$D$2)*IF($M$2="Prices in $/MWh",1,1/1000)</f>
        <v>55.95</v>
      </c>
      <c r="J703" s="83">
        <f>(Matrix_prices!J691+$D$2)*IF($M$2="Prices in $/MWh",1,1/1000)</f>
        <v>56.59</v>
      </c>
      <c r="K703" s="84">
        <f>(Matrix_prices!K691+$D$2)*IF($M$2="Prices in $/MWh",1,1/1000)</f>
        <v>57.55</v>
      </c>
      <c r="L703" s="83">
        <f>(Matrix_prices!L691+$D$2)*IF($M$2="Prices in $/MWh",1,1/1000)</f>
        <v>20.18</v>
      </c>
      <c r="M703" s="84">
        <f>(Matrix_prices!M691+$D$2)*IF($M$2="Prices in $/MWh",1,1/1000)</f>
        <v>20.57</v>
      </c>
      <c r="N703" s="83">
        <f>(Matrix_prices!N691+$D$2)*IF($M$2="Prices in $/MWh",1,1/1000)</f>
        <v>21.84</v>
      </c>
    </row>
    <row r="704" spans="3:14" x14ac:dyDescent="0.25">
      <c r="C704" s="151">
        <f>Matrix_prices!C692</f>
        <v>42461</v>
      </c>
      <c r="D704" s="152" t="str">
        <f>Matrix_prices!D692</f>
        <v>OH</v>
      </c>
      <c r="E704" s="153" t="str">
        <f>Matrix_prices!E692</f>
        <v>AEP OH</v>
      </c>
      <c r="F704" s="152" t="str">
        <f>Matrix_prices!F692</f>
        <v>GS3</v>
      </c>
      <c r="G704" s="153" t="str">
        <f>Matrix_prices!G692</f>
        <v>General Service Large</v>
      </c>
      <c r="H704" s="157" t="str">
        <f t="shared" si="30"/>
        <v>0-100 MWh</v>
      </c>
      <c r="I704" s="153">
        <f>(Matrix_prices!I692+$D$2)*IF($M$2="Prices in $/MWh",1,1/1000)</f>
        <v>58.46</v>
      </c>
      <c r="J704" s="152">
        <f>(Matrix_prices!J692+$D$2)*IF($M$2="Prices in $/MWh",1,1/1000)</f>
        <v>59.03</v>
      </c>
      <c r="K704" s="153">
        <f>(Matrix_prices!K692+$D$2)*IF($M$2="Prices in $/MWh",1,1/1000)</f>
        <v>60.35</v>
      </c>
      <c r="L704" s="152">
        <f>(Matrix_prices!L692+$D$2)*IF($M$2="Prices in $/MWh",1,1/1000)</f>
        <v>22.51</v>
      </c>
      <c r="M704" s="153">
        <f>(Matrix_prices!M692+$D$2)*IF($M$2="Prices in $/MWh",1,1/1000)</f>
        <v>23.15</v>
      </c>
      <c r="N704" s="152">
        <f>(Matrix_prices!N692+$D$2)*IF($M$2="Prices in $/MWh",1,1/1000)</f>
        <v>24.58</v>
      </c>
    </row>
    <row r="705" spans="3:14" x14ac:dyDescent="0.25">
      <c r="C705" s="78">
        <f>Matrix_prices!C693</f>
        <v>42461</v>
      </c>
      <c r="D705" s="79" t="str">
        <f>Matrix_prices!D693</f>
        <v>OH</v>
      </c>
      <c r="E705" s="80" t="str">
        <f>Matrix_prices!E693</f>
        <v>AEP OH</v>
      </c>
      <c r="F705" s="79" t="str">
        <f>Matrix_prices!F693</f>
        <v>GS3</v>
      </c>
      <c r="G705" s="80" t="str">
        <f>Matrix_prices!G693</f>
        <v>General Service Large</v>
      </c>
      <c r="H705" s="81" t="str">
        <f t="shared" si="31"/>
        <v>100-500 MWh</v>
      </c>
      <c r="I705" s="80">
        <f>(Matrix_prices!I693+$D$2)*IF($M$2="Prices in $/MWh",1,1/1000)</f>
        <v>56.86</v>
      </c>
      <c r="J705" s="79">
        <f>(Matrix_prices!J693+$D$2)*IF($M$2="Prices in $/MWh",1,1/1000)</f>
        <v>57.43</v>
      </c>
      <c r="K705" s="80">
        <f>(Matrix_prices!K693+$D$2)*IF($M$2="Prices in $/MWh",1,1/1000)</f>
        <v>58.75</v>
      </c>
      <c r="L705" s="79">
        <f>(Matrix_prices!L693+$D$2)*IF($M$2="Prices in $/MWh",1,1/1000)</f>
        <v>20.91</v>
      </c>
      <c r="M705" s="80">
        <f>(Matrix_prices!M693+$D$2)*IF($M$2="Prices in $/MWh",1,1/1000)</f>
        <v>21.55</v>
      </c>
      <c r="N705" s="79">
        <f>(Matrix_prices!N693+$D$2)*IF($M$2="Prices in $/MWh",1,1/1000)</f>
        <v>22.98</v>
      </c>
    </row>
    <row r="706" spans="3:14" x14ac:dyDescent="0.25">
      <c r="C706" s="82">
        <f>Matrix_prices!C694</f>
        <v>42461</v>
      </c>
      <c r="D706" s="83" t="str">
        <f>Matrix_prices!D694</f>
        <v>OH</v>
      </c>
      <c r="E706" s="84" t="str">
        <f>Matrix_prices!E694</f>
        <v>AEP OH</v>
      </c>
      <c r="F706" s="83" t="str">
        <f>Matrix_prices!F694</f>
        <v>GS3</v>
      </c>
      <c r="G706" s="84" t="str">
        <f>Matrix_prices!G694</f>
        <v>General Service Large</v>
      </c>
      <c r="H706" s="85" t="str">
        <f t="shared" si="32"/>
        <v>500-2500 MWh</v>
      </c>
      <c r="I706" s="84">
        <f>(Matrix_prices!I694+$D$2)*IF($M$2="Prices in $/MWh",1,1/1000)</f>
        <v>55.81</v>
      </c>
      <c r="J706" s="83">
        <f>(Matrix_prices!J694+$D$2)*IF($M$2="Prices in $/MWh",1,1/1000)</f>
        <v>56.38</v>
      </c>
      <c r="K706" s="84">
        <f>(Matrix_prices!K694+$D$2)*IF($M$2="Prices in $/MWh",1,1/1000)</f>
        <v>57.7</v>
      </c>
      <c r="L706" s="83">
        <f>(Matrix_prices!L694+$D$2)*IF($M$2="Prices in $/MWh",1,1/1000)</f>
        <v>19.86</v>
      </c>
      <c r="M706" s="84">
        <f>(Matrix_prices!M694+$D$2)*IF($M$2="Prices in $/MWh",1,1/1000)</f>
        <v>20.5</v>
      </c>
      <c r="N706" s="83">
        <f>(Matrix_prices!N694+$D$2)*IF($M$2="Prices in $/MWh",1,1/1000)</f>
        <v>21.93</v>
      </c>
    </row>
    <row r="707" spans="3:14" x14ac:dyDescent="0.25">
      <c r="C707" s="74">
        <f>Matrix_prices!C695</f>
        <v>42491</v>
      </c>
      <c r="D707" s="75" t="str">
        <f>Matrix_prices!D695</f>
        <v>OH</v>
      </c>
      <c r="E707" s="76" t="str">
        <f>Matrix_prices!E695</f>
        <v>AEP OH</v>
      </c>
      <c r="F707" s="75" t="str">
        <f>Matrix_prices!F695</f>
        <v>GS3</v>
      </c>
      <c r="G707" s="76" t="str">
        <f>Matrix_prices!G695</f>
        <v>General Service Large</v>
      </c>
      <c r="H707" s="157" t="str">
        <f t="shared" si="30"/>
        <v>0-100 MWh</v>
      </c>
      <c r="I707" s="76">
        <f>(Matrix_prices!I695+$D$2)*IF($M$2="Prices in $/MWh",1,1/1000)</f>
        <v>58.2</v>
      </c>
      <c r="J707" s="75">
        <f>(Matrix_prices!J695+$D$2)*IF($M$2="Prices in $/MWh",1,1/1000)</f>
        <v>58.98</v>
      </c>
      <c r="K707" s="76">
        <f>(Matrix_prices!K695+$D$2)*IF($M$2="Prices in $/MWh",1,1/1000)</f>
        <v>60.41</v>
      </c>
      <c r="L707" s="75">
        <f>(Matrix_prices!L695+$D$2)*IF($M$2="Prices in $/MWh",1,1/1000)</f>
        <v>22.17</v>
      </c>
      <c r="M707" s="76">
        <f>(Matrix_prices!M695+$D$2)*IF($M$2="Prices in $/MWh",1,1/1000)</f>
        <v>23.2</v>
      </c>
      <c r="N707" s="75">
        <f>(Matrix_prices!N695+$D$2)*IF($M$2="Prices in $/MWh",1,1/1000)</f>
        <v>24.64</v>
      </c>
    </row>
    <row r="708" spans="3:14" x14ac:dyDescent="0.25">
      <c r="C708" s="78">
        <f>Matrix_prices!C696</f>
        <v>42491</v>
      </c>
      <c r="D708" s="79" t="str">
        <f>Matrix_prices!D696</f>
        <v>OH</v>
      </c>
      <c r="E708" s="80" t="str">
        <f>Matrix_prices!E696</f>
        <v>AEP OH</v>
      </c>
      <c r="F708" s="79" t="str">
        <f>Matrix_prices!F696</f>
        <v>GS3</v>
      </c>
      <c r="G708" s="80" t="str">
        <f>Matrix_prices!G696</f>
        <v>General Service Large</v>
      </c>
      <c r="H708" s="81" t="str">
        <f t="shared" si="31"/>
        <v>100-500 MWh</v>
      </c>
      <c r="I708" s="80">
        <f>(Matrix_prices!I696+$D$2)*IF($M$2="Prices in $/MWh",1,1/1000)</f>
        <v>56.6</v>
      </c>
      <c r="J708" s="79">
        <f>(Matrix_prices!J696+$D$2)*IF($M$2="Prices in $/MWh",1,1/1000)</f>
        <v>57.38</v>
      </c>
      <c r="K708" s="80">
        <f>(Matrix_prices!K696+$D$2)*IF($M$2="Prices in $/MWh",1,1/1000)</f>
        <v>58.81</v>
      </c>
      <c r="L708" s="79">
        <f>(Matrix_prices!L696+$D$2)*IF($M$2="Prices in $/MWh",1,1/1000)</f>
        <v>20.57</v>
      </c>
      <c r="M708" s="80">
        <f>(Matrix_prices!M696+$D$2)*IF($M$2="Prices in $/MWh",1,1/1000)</f>
        <v>21.6</v>
      </c>
      <c r="N708" s="79">
        <f>(Matrix_prices!N696+$D$2)*IF($M$2="Prices in $/MWh",1,1/1000)</f>
        <v>23.04</v>
      </c>
    </row>
    <row r="709" spans="3:14" x14ac:dyDescent="0.25">
      <c r="C709" s="82">
        <f>Matrix_prices!C697</f>
        <v>42491</v>
      </c>
      <c r="D709" s="83" t="str">
        <f>Matrix_prices!D697</f>
        <v>OH</v>
      </c>
      <c r="E709" s="84" t="str">
        <f>Matrix_prices!E697</f>
        <v>AEP OH</v>
      </c>
      <c r="F709" s="83" t="str">
        <f>Matrix_prices!F697</f>
        <v>GS3</v>
      </c>
      <c r="G709" s="84" t="str">
        <f>Matrix_prices!G697</f>
        <v>General Service Large</v>
      </c>
      <c r="H709" s="85" t="str">
        <f t="shared" si="32"/>
        <v>500-2500 MWh</v>
      </c>
      <c r="I709" s="84">
        <f>(Matrix_prices!I697+$D$2)*IF($M$2="Prices in $/MWh",1,1/1000)</f>
        <v>55.55</v>
      </c>
      <c r="J709" s="83">
        <f>(Matrix_prices!J697+$D$2)*IF($M$2="Prices in $/MWh",1,1/1000)</f>
        <v>56.33</v>
      </c>
      <c r="K709" s="84">
        <f>(Matrix_prices!K697+$D$2)*IF($M$2="Prices in $/MWh",1,1/1000)</f>
        <v>57.76</v>
      </c>
      <c r="L709" s="83">
        <f>(Matrix_prices!L697+$D$2)*IF($M$2="Prices in $/MWh",1,1/1000)</f>
        <v>19.52</v>
      </c>
      <c r="M709" s="84">
        <f>(Matrix_prices!M697+$D$2)*IF($M$2="Prices in $/MWh",1,1/1000)</f>
        <v>20.55</v>
      </c>
      <c r="N709" s="83">
        <f>(Matrix_prices!N697+$D$2)*IF($M$2="Prices in $/MWh",1,1/1000)</f>
        <v>21.99</v>
      </c>
    </row>
    <row r="710" spans="3:14" x14ac:dyDescent="0.25">
      <c r="C710" s="151">
        <f>Matrix_prices!C698</f>
        <v>42522</v>
      </c>
      <c r="D710" s="152" t="str">
        <f>Matrix_prices!D698</f>
        <v>OH</v>
      </c>
      <c r="E710" s="153" t="str">
        <f>Matrix_prices!E698</f>
        <v>AEP OH</v>
      </c>
      <c r="F710" s="152" t="str">
        <f>Matrix_prices!F698</f>
        <v>GS3</v>
      </c>
      <c r="G710" s="153" t="str">
        <f>Matrix_prices!G698</f>
        <v>General Service Large</v>
      </c>
      <c r="H710" s="157" t="str">
        <f t="shared" si="30"/>
        <v>0-100 MWh</v>
      </c>
      <c r="I710" s="153">
        <f>(Matrix_prices!I698+$D$2)*IF($M$2="Prices in $/MWh",1,1/1000)</f>
        <v>57.88</v>
      </c>
      <c r="J710" s="152">
        <f>(Matrix_prices!J698+$D$2)*IF($M$2="Prices in $/MWh",1,1/1000)</f>
        <v>58.98</v>
      </c>
      <c r="K710" s="153">
        <f>(Matrix_prices!K698+$D$2)*IF($M$2="Prices in $/MWh",1,1/1000)</f>
        <v>60.49</v>
      </c>
      <c r="L710" s="152">
        <f>(Matrix_prices!L698+$D$2)*IF($M$2="Prices in $/MWh",1,1/1000)</f>
        <v>21.78</v>
      </c>
      <c r="M710" s="153">
        <f>(Matrix_prices!M698+$D$2)*IF($M$2="Prices in $/MWh",1,1/1000)</f>
        <v>23.31</v>
      </c>
      <c r="N710" s="152">
        <f>(Matrix_prices!N698+$D$2)*IF($M$2="Prices in $/MWh",1,1/1000)</f>
        <v>24.69</v>
      </c>
    </row>
    <row r="711" spans="3:14" x14ac:dyDescent="0.25">
      <c r="C711" s="78">
        <f>Matrix_prices!C699</f>
        <v>42522</v>
      </c>
      <c r="D711" s="79" t="str">
        <f>Matrix_prices!D699</f>
        <v>OH</v>
      </c>
      <c r="E711" s="80" t="str">
        <f>Matrix_prices!E699</f>
        <v>AEP OH</v>
      </c>
      <c r="F711" s="79" t="str">
        <f>Matrix_prices!F699</f>
        <v>GS3</v>
      </c>
      <c r="G711" s="80" t="str">
        <f>Matrix_prices!G699</f>
        <v>General Service Large</v>
      </c>
      <c r="H711" s="81" t="str">
        <f t="shared" si="31"/>
        <v>100-500 MWh</v>
      </c>
      <c r="I711" s="80">
        <f>(Matrix_prices!I699+$D$2)*IF($M$2="Prices in $/MWh",1,1/1000)</f>
        <v>56.28</v>
      </c>
      <c r="J711" s="79">
        <f>(Matrix_prices!J699+$D$2)*IF($M$2="Prices in $/MWh",1,1/1000)</f>
        <v>57.38</v>
      </c>
      <c r="K711" s="80">
        <f>(Matrix_prices!K699+$D$2)*IF($M$2="Prices in $/MWh",1,1/1000)</f>
        <v>58.89</v>
      </c>
      <c r="L711" s="79">
        <f>(Matrix_prices!L699+$D$2)*IF($M$2="Prices in $/MWh",1,1/1000)</f>
        <v>20.18</v>
      </c>
      <c r="M711" s="80">
        <f>(Matrix_prices!M699+$D$2)*IF($M$2="Prices in $/MWh",1,1/1000)</f>
        <v>21.71</v>
      </c>
      <c r="N711" s="79">
        <f>(Matrix_prices!N699+$D$2)*IF($M$2="Prices in $/MWh",1,1/1000)</f>
        <v>23.09</v>
      </c>
    </row>
    <row r="712" spans="3:14" x14ac:dyDescent="0.25">
      <c r="C712" s="82">
        <f>Matrix_prices!C700</f>
        <v>42522</v>
      </c>
      <c r="D712" s="83" t="str">
        <f>Matrix_prices!D700</f>
        <v>OH</v>
      </c>
      <c r="E712" s="84" t="str">
        <f>Matrix_prices!E700</f>
        <v>AEP OH</v>
      </c>
      <c r="F712" s="83" t="str">
        <f>Matrix_prices!F700</f>
        <v>GS3</v>
      </c>
      <c r="G712" s="84" t="str">
        <f>Matrix_prices!G700</f>
        <v>General Service Large</v>
      </c>
      <c r="H712" s="85" t="str">
        <f t="shared" si="32"/>
        <v>500-2500 MWh</v>
      </c>
      <c r="I712" s="84">
        <f>(Matrix_prices!I700+$D$2)*IF($M$2="Prices in $/MWh",1,1/1000)</f>
        <v>55.23</v>
      </c>
      <c r="J712" s="83">
        <f>(Matrix_prices!J700+$D$2)*IF($M$2="Prices in $/MWh",1,1/1000)</f>
        <v>56.33</v>
      </c>
      <c r="K712" s="84">
        <f>(Matrix_prices!K700+$D$2)*IF($M$2="Prices in $/MWh",1,1/1000)</f>
        <v>57.84</v>
      </c>
      <c r="L712" s="83">
        <f>(Matrix_prices!L700+$D$2)*IF($M$2="Prices in $/MWh",1,1/1000)</f>
        <v>19.13</v>
      </c>
      <c r="M712" s="84">
        <f>(Matrix_prices!M700+$D$2)*IF($M$2="Prices in $/MWh",1,1/1000)</f>
        <v>20.66</v>
      </c>
      <c r="N712" s="83">
        <f>(Matrix_prices!N700+$D$2)*IF($M$2="Prices in $/MWh",1,1/1000)</f>
        <v>22.04</v>
      </c>
    </row>
    <row r="713" spans="3:14" x14ac:dyDescent="0.25">
      <c r="C713" s="74">
        <f>Matrix_prices!C701</f>
        <v>42552</v>
      </c>
      <c r="D713" s="75" t="str">
        <f>Matrix_prices!D701</f>
        <v>OH</v>
      </c>
      <c r="E713" s="76" t="str">
        <f>Matrix_prices!E701</f>
        <v>AEP OH</v>
      </c>
      <c r="F713" s="75" t="str">
        <f>Matrix_prices!F701</f>
        <v>GS3</v>
      </c>
      <c r="G713" s="76" t="str">
        <f>Matrix_prices!G701</f>
        <v>General Service Large</v>
      </c>
      <c r="H713" s="157" t="str">
        <f t="shared" si="30"/>
        <v>0-100 MWh</v>
      </c>
      <c r="I713" s="76">
        <f>(Matrix_prices!I701+$D$2)*IF($M$2="Prices in $/MWh",1,1/1000)</f>
        <v>58.4</v>
      </c>
      <c r="J713" s="75">
        <f>(Matrix_prices!J701+$D$2)*IF($M$2="Prices in $/MWh",1,1/1000)</f>
        <v>59.35</v>
      </c>
      <c r="K713" s="76">
        <f>(Matrix_prices!K701+$D$2)*IF($M$2="Prices in $/MWh",1,1/1000)</f>
        <v>60.78</v>
      </c>
      <c r="L713" s="75">
        <f>(Matrix_prices!L701+$D$2)*IF($M$2="Prices in $/MWh",1,1/1000)</f>
        <v>22.26</v>
      </c>
      <c r="M713" s="76">
        <f>(Matrix_prices!M701+$D$2)*IF($M$2="Prices in $/MWh",1,1/1000)</f>
        <v>23.77</v>
      </c>
      <c r="N713" s="75">
        <f>(Matrix_prices!N701+$D$2)*IF($M$2="Prices in $/MWh",1,1/1000)</f>
        <v>25.02</v>
      </c>
    </row>
    <row r="714" spans="3:14" x14ac:dyDescent="0.25">
      <c r="C714" s="78">
        <f>Matrix_prices!C702</f>
        <v>42552</v>
      </c>
      <c r="D714" s="79" t="str">
        <f>Matrix_prices!D702</f>
        <v>OH</v>
      </c>
      <c r="E714" s="80" t="str">
        <f>Matrix_prices!E702</f>
        <v>AEP OH</v>
      </c>
      <c r="F714" s="79" t="str">
        <f>Matrix_prices!F702</f>
        <v>GS3</v>
      </c>
      <c r="G714" s="80" t="str">
        <f>Matrix_prices!G702</f>
        <v>General Service Large</v>
      </c>
      <c r="H714" s="81" t="str">
        <f t="shared" si="31"/>
        <v>100-500 MWh</v>
      </c>
      <c r="I714" s="80">
        <f>(Matrix_prices!I702+$D$2)*IF($M$2="Prices in $/MWh",1,1/1000)</f>
        <v>56.8</v>
      </c>
      <c r="J714" s="79">
        <f>(Matrix_prices!J702+$D$2)*IF($M$2="Prices in $/MWh",1,1/1000)</f>
        <v>57.75</v>
      </c>
      <c r="K714" s="80">
        <f>(Matrix_prices!K702+$D$2)*IF($M$2="Prices in $/MWh",1,1/1000)</f>
        <v>59.18</v>
      </c>
      <c r="L714" s="79">
        <f>(Matrix_prices!L702+$D$2)*IF($M$2="Prices in $/MWh",1,1/1000)</f>
        <v>20.66</v>
      </c>
      <c r="M714" s="80">
        <f>(Matrix_prices!M702+$D$2)*IF($M$2="Prices in $/MWh",1,1/1000)</f>
        <v>22.17</v>
      </c>
      <c r="N714" s="79">
        <f>(Matrix_prices!N702+$D$2)*IF($M$2="Prices in $/MWh",1,1/1000)</f>
        <v>23.42</v>
      </c>
    </row>
    <row r="715" spans="3:14" x14ac:dyDescent="0.25">
      <c r="C715" s="82">
        <f>Matrix_prices!C703</f>
        <v>42552</v>
      </c>
      <c r="D715" s="83" t="str">
        <f>Matrix_prices!D703</f>
        <v>OH</v>
      </c>
      <c r="E715" s="84" t="str">
        <f>Matrix_prices!E703</f>
        <v>AEP OH</v>
      </c>
      <c r="F715" s="83" t="str">
        <f>Matrix_prices!F703</f>
        <v>GS3</v>
      </c>
      <c r="G715" s="84" t="str">
        <f>Matrix_prices!G703</f>
        <v>General Service Large</v>
      </c>
      <c r="H715" s="85" t="str">
        <f t="shared" si="32"/>
        <v>500-2500 MWh</v>
      </c>
      <c r="I715" s="84">
        <f>(Matrix_prices!I703+$D$2)*IF($M$2="Prices in $/MWh",1,1/1000)</f>
        <v>55.75</v>
      </c>
      <c r="J715" s="83">
        <f>(Matrix_prices!J703+$D$2)*IF($M$2="Prices in $/MWh",1,1/1000)</f>
        <v>56.7</v>
      </c>
      <c r="K715" s="84">
        <f>(Matrix_prices!K703+$D$2)*IF($M$2="Prices in $/MWh",1,1/1000)</f>
        <v>58.13</v>
      </c>
      <c r="L715" s="83">
        <f>(Matrix_prices!L703+$D$2)*IF($M$2="Prices in $/MWh",1,1/1000)</f>
        <v>19.61</v>
      </c>
      <c r="M715" s="84">
        <f>(Matrix_prices!M703+$D$2)*IF($M$2="Prices in $/MWh",1,1/1000)</f>
        <v>21.12</v>
      </c>
      <c r="N715" s="83">
        <f>(Matrix_prices!N703+$D$2)*IF($M$2="Prices in $/MWh",1,1/1000)</f>
        <v>22.37</v>
      </c>
    </row>
    <row r="716" spans="3:14" x14ac:dyDescent="0.25">
      <c r="C716" s="151">
        <f>Matrix_prices!C704</f>
        <v>42583</v>
      </c>
      <c r="D716" s="152" t="str">
        <f>Matrix_prices!D704</f>
        <v>OH</v>
      </c>
      <c r="E716" s="153" t="str">
        <f>Matrix_prices!E704</f>
        <v>AEP OH</v>
      </c>
      <c r="F716" s="152" t="str">
        <f>Matrix_prices!F704</f>
        <v>GS3</v>
      </c>
      <c r="G716" s="153" t="str">
        <f>Matrix_prices!G704</f>
        <v>General Service Large</v>
      </c>
      <c r="H716" s="157" t="str">
        <f t="shared" si="30"/>
        <v>0-100 MWh</v>
      </c>
      <c r="I716" s="153">
        <f>(Matrix_prices!I704+$D$2)*IF($M$2="Prices in $/MWh",1,1/1000)</f>
        <v>58.86</v>
      </c>
      <c r="J716" s="152">
        <f>(Matrix_prices!J704+$D$2)*IF($M$2="Prices in $/MWh",1,1/1000)</f>
        <v>59.96</v>
      </c>
      <c r="K716" s="153">
        <f>(Matrix_prices!K704+$D$2)*IF($M$2="Prices in $/MWh",1,1/1000)</f>
        <v>61.12</v>
      </c>
      <c r="L716" s="152">
        <f>(Matrix_prices!L704+$D$2)*IF($M$2="Prices in $/MWh",1,1/1000)</f>
        <v>22.79</v>
      </c>
      <c r="M716" s="153">
        <f>(Matrix_prices!M704+$D$2)*IF($M$2="Prices in $/MWh",1,1/1000)</f>
        <v>24.42</v>
      </c>
      <c r="N716" s="152">
        <f>(Matrix_prices!N704+$D$2)*IF($M$2="Prices in $/MWh",1,1/1000)</f>
        <v>25.36</v>
      </c>
    </row>
    <row r="717" spans="3:14" x14ac:dyDescent="0.25">
      <c r="C717" s="78">
        <f>Matrix_prices!C705</f>
        <v>42583</v>
      </c>
      <c r="D717" s="79" t="str">
        <f>Matrix_prices!D705</f>
        <v>OH</v>
      </c>
      <c r="E717" s="80" t="str">
        <f>Matrix_prices!E705</f>
        <v>AEP OH</v>
      </c>
      <c r="F717" s="79" t="str">
        <f>Matrix_prices!F705</f>
        <v>GS3</v>
      </c>
      <c r="G717" s="80" t="str">
        <f>Matrix_prices!G705</f>
        <v>General Service Large</v>
      </c>
      <c r="H717" s="81" t="str">
        <f t="shared" si="31"/>
        <v>100-500 MWh</v>
      </c>
      <c r="I717" s="80">
        <f>(Matrix_prices!I705+$D$2)*IF($M$2="Prices in $/MWh",1,1/1000)</f>
        <v>57.26</v>
      </c>
      <c r="J717" s="79">
        <f>(Matrix_prices!J705+$D$2)*IF($M$2="Prices in $/MWh",1,1/1000)</f>
        <v>58.36</v>
      </c>
      <c r="K717" s="80">
        <f>(Matrix_prices!K705+$D$2)*IF($M$2="Prices in $/MWh",1,1/1000)</f>
        <v>59.52</v>
      </c>
      <c r="L717" s="79">
        <f>(Matrix_prices!L705+$D$2)*IF($M$2="Prices in $/MWh",1,1/1000)</f>
        <v>21.19</v>
      </c>
      <c r="M717" s="80">
        <f>(Matrix_prices!M705+$D$2)*IF($M$2="Prices in $/MWh",1,1/1000)</f>
        <v>22.82</v>
      </c>
      <c r="N717" s="79">
        <f>(Matrix_prices!N705+$D$2)*IF($M$2="Prices in $/MWh",1,1/1000)</f>
        <v>23.76</v>
      </c>
    </row>
    <row r="718" spans="3:14" x14ac:dyDescent="0.25">
      <c r="C718" s="82">
        <f>Matrix_prices!C706</f>
        <v>42583</v>
      </c>
      <c r="D718" s="83" t="str">
        <f>Matrix_prices!D706</f>
        <v>OH</v>
      </c>
      <c r="E718" s="84" t="str">
        <f>Matrix_prices!E706</f>
        <v>AEP OH</v>
      </c>
      <c r="F718" s="83" t="str">
        <f>Matrix_prices!F706</f>
        <v>GS3</v>
      </c>
      <c r="G718" s="84" t="str">
        <f>Matrix_prices!G706</f>
        <v>General Service Large</v>
      </c>
      <c r="H718" s="85" t="str">
        <f t="shared" si="32"/>
        <v>500-2500 MWh</v>
      </c>
      <c r="I718" s="84">
        <f>(Matrix_prices!I706+$D$2)*IF($M$2="Prices in $/MWh",1,1/1000)</f>
        <v>56.21</v>
      </c>
      <c r="J718" s="83">
        <f>(Matrix_prices!J706+$D$2)*IF($M$2="Prices in $/MWh",1,1/1000)</f>
        <v>57.31</v>
      </c>
      <c r="K718" s="84">
        <f>(Matrix_prices!K706+$D$2)*IF($M$2="Prices in $/MWh",1,1/1000)</f>
        <v>58.47</v>
      </c>
      <c r="L718" s="83">
        <f>(Matrix_prices!L706+$D$2)*IF($M$2="Prices in $/MWh",1,1/1000)</f>
        <v>20.14</v>
      </c>
      <c r="M718" s="84">
        <f>(Matrix_prices!M706+$D$2)*IF($M$2="Prices in $/MWh",1,1/1000)</f>
        <v>21.77</v>
      </c>
      <c r="N718" s="83">
        <f>(Matrix_prices!N706+$D$2)*IF($M$2="Prices in $/MWh",1,1/1000)</f>
        <v>22.71</v>
      </c>
    </row>
    <row r="719" spans="3:14" x14ac:dyDescent="0.25">
      <c r="C719" s="74">
        <f>Matrix_prices!C707</f>
        <v>42614</v>
      </c>
      <c r="D719" s="75" t="str">
        <f>Matrix_prices!D707</f>
        <v>OH</v>
      </c>
      <c r="E719" s="76" t="str">
        <f>Matrix_prices!E707</f>
        <v>AEP OH</v>
      </c>
      <c r="F719" s="75" t="str">
        <f>Matrix_prices!F707</f>
        <v>GS3</v>
      </c>
      <c r="G719" s="76" t="str">
        <f>Matrix_prices!G707</f>
        <v>General Service Large</v>
      </c>
      <c r="H719" s="157" t="str">
        <f t="shared" si="30"/>
        <v>0-100 MWh</v>
      </c>
      <c r="I719" s="76">
        <f>(Matrix_prices!I707+$D$2)*IF($M$2="Prices in $/MWh",1,1/1000)</f>
        <v>59.26</v>
      </c>
      <c r="J719" s="75">
        <f>(Matrix_prices!J707+$D$2)*IF($M$2="Prices in $/MWh",1,1/1000)</f>
        <v>60.56</v>
      </c>
      <c r="K719" s="76">
        <f>(Matrix_prices!K707+$D$2)*IF($M$2="Prices in $/MWh",1,1/1000)</f>
        <v>61.39</v>
      </c>
      <c r="L719" s="75">
        <f>(Matrix_prices!L707+$D$2)*IF($M$2="Prices in $/MWh",1,1/1000)</f>
        <v>23.29</v>
      </c>
      <c r="M719" s="76">
        <f>(Matrix_prices!M707+$D$2)*IF($M$2="Prices in $/MWh",1,1/1000)</f>
        <v>25.01</v>
      </c>
      <c r="N719" s="75">
        <f>(Matrix_prices!N707+$D$2)*IF($M$2="Prices in $/MWh",1,1/1000)</f>
        <v>25.7</v>
      </c>
    </row>
    <row r="720" spans="3:14" x14ac:dyDescent="0.25">
      <c r="C720" s="78">
        <f>Matrix_prices!C708</f>
        <v>42614</v>
      </c>
      <c r="D720" s="79" t="str">
        <f>Matrix_prices!D708</f>
        <v>OH</v>
      </c>
      <c r="E720" s="80" t="str">
        <f>Matrix_prices!E708</f>
        <v>AEP OH</v>
      </c>
      <c r="F720" s="79" t="str">
        <f>Matrix_prices!F708</f>
        <v>GS3</v>
      </c>
      <c r="G720" s="80" t="str">
        <f>Matrix_prices!G708</f>
        <v>General Service Large</v>
      </c>
      <c r="H720" s="81" t="str">
        <f t="shared" si="31"/>
        <v>100-500 MWh</v>
      </c>
      <c r="I720" s="80">
        <f>(Matrix_prices!I708+$D$2)*IF($M$2="Prices in $/MWh",1,1/1000)</f>
        <v>57.66</v>
      </c>
      <c r="J720" s="79">
        <f>(Matrix_prices!J708+$D$2)*IF($M$2="Prices in $/MWh",1,1/1000)</f>
        <v>58.96</v>
      </c>
      <c r="K720" s="80">
        <f>(Matrix_prices!K708+$D$2)*IF($M$2="Prices in $/MWh",1,1/1000)</f>
        <v>59.79</v>
      </c>
      <c r="L720" s="79">
        <f>(Matrix_prices!L708+$D$2)*IF($M$2="Prices in $/MWh",1,1/1000)</f>
        <v>21.69</v>
      </c>
      <c r="M720" s="80">
        <f>(Matrix_prices!M708+$D$2)*IF($M$2="Prices in $/MWh",1,1/1000)</f>
        <v>23.41</v>
      </c>
      <c r="N720" s="79">
        <f>(Matrix_prices!N708+$D$2)*IF($M$2="Prices in $/MWh",1,1/1000)</f>
        <v>24.1</v>
      </c>
    </row>
    <row r="721" spans="3:14" x14ac:dyDescent="0.25">
      <c r="C721" s="82">
        <f>Matrix_prices!C709</f>
        <v>42614</v>
      </c>
      <c r="D721" s="83" t="str">
        <f>Matrix_prices!D709</f>
        <v>OH</v>
      </c>
      <c r="E721" s="84" t="str">
        <f>Matrix_prices!E709</f>
        <v>AEP OH</v>
      </c>
      <c r="F721" s="83" t="str">
        <f>Matrix_prices!F709</f>
        <v>GS3</v>
      </c>
      <c r="G721" s="84" t="str">
        <f>Matrix_prices!G709</f>
        <v>General Service Large</v>
      </c>
      <c r="H721" s="85" t="str">
        <f t="shared" si="32"/>
        <v>500-2500 MWh</v>
      </c>
      <c r="I721" s="84">
        <f>(Matrix_prices!I709+$D$2)*IF($M$2="Prices in $/MWh",1,1/1000)</f>
        <v>56.61</v>
      </c>
      <c r="J721" s="83">
        <f>(Matrix_prices!J709+$D$2)*IF($M$2="Prices in $/MWh",1,1/1000)</f>
        <v>57.91</v>
      </c>
      <c r="K721" s="84">
        <f>(Matrix_prices!K709+$D$2)*IF($M$2="Prices in $/MWh",1,1/1000)</f>
        <v>58.74</v>
      </c>
      <c r="L721" s="83">
        <f>(Matrix_prices!L709+$D$2)*IF($M$2="Prices in $/MWh",1,1/1000)</f>
        <v>20.64</v>
      </c>
      <c r="M721" s="84">
        <f>(Matrix_prices!M709+$D$2)*IF($M$2="Prices in $/MWh",1,1/1000)</f>
        <v>22.36</v>
      </c>
      <c r="N721" s="83">
        <f>(Matrix_prices!N709+$D$2)*IF($M$2="Prices in $/MWh",1,1/1000)</f>
        <v>23.05</v>
      </c>
    </row>
    <row r="722" spans="3:14" x14ac:dyDescent="0.25">
      <c r="C722" s="151">
        <f>Matrix_prices!C710</f>
        <v>42644</v>
      </c>
      <c r="D722" s="152" t="str">
        <f>Matrix_prices!D710</f>
        <v>OH</v>
      </c>
      <c r="E722" s="153" t="str">
        <f>Matrix_prices!E710</f>
        <v>AEP OH</v>
      </c>
      <c r="F722" s="152" t="str">
        <f>Matrix_prices!F710</f>
        <v>GS3</v>
      </c>
      <c r="G722" s="153" t="str">
        <f>Matrix_prices!G710</f>
        <v>General Service Large</v>
      </c>
      <c r="H722" s="157" t="str">
        <f t="shared" si="30"/>
        <v>0-100 MWh</v>
      </c>
      <c r="I722" s="153">
        <f>(Matrix_prices!I710+$D$2)*IF($M$2="Prices in $/MWh",1,1/1000)</f>
        <v>59.69</v>
      </c>
      <c r="J722" s="152">
        <f>(Matrix_prices!J710+$D$2)*IF($M$2="Prices in $/MWh",1,1/1000)</f>
        <v>61.3</v>
      </c>
      <c r="K722" s="153">
        <f>(Matrix_prices!K710+$D$2)*IF($M$2="Prices in $/MWh",1,1/1000)</f>
        <v>61.64</v>
      </c>
      <c r="L722" s="152">
        <f>(Matrix_prices!L710+$D$2)*IF($M$2="Prices in $/MWh",1,1/1000)</f>
        <v>23.76</v>
      </c>
      <c r="M722" s="153">
        <f>(Matrix_prices!M710+$D$2)*IF($M$2="Prices in $/MWh",1,1/1000)</f>
        <v>25.54</v>
      </c>
      <c r="N722" s="152">
        <f>(Matrix_prices!N710+$D$2)*IF($M$2="Prices in $/MWh",1,1/1000)</f>
        <v>26.03</v>
      </c>
    </row>
    <row r="723" spans="3:14" x14ac:dyDescent="0.25">
      <c r="C723" s="78">
        <f>Matrix_prices!C711</f>
        <v>42644</v>
      </c>
      <c r="D723" s="79" t="str">
        <f>Matrix_prices!D711</f>
        <v>OH</v>
      </c>
      <c r="E723" s="80" t="str">
        <f>Matrix_prices!E711</f>
        <v>AEP OH</v>
      </c>
      <c r="F723" s="79" t="str">
        <f>Matrix_prices!F711</f>
        <v>GS3</v>
      </c>
      <c r="G723" s="80" t="str">
        <f>Matrix_prices!G711</f>
        <v>General Service Large</v>
      </c>
      <c r="H723" s="81" t="str">
        <f t="shared" si="31"/>
        <v>100-500 MWh</v>
      </c>
      <c r="I723" s="80">
        <f>(Matrix_prices!I711+$D$2)*IF($M$2="Prices in $/MWh",1,1/1000)</f>
        <v>58.09</v>
      </c>
      <c r="J723" s="79">
        <f>(Matrix_prices!J711+$D$2)*IF($M$2="Prices in $/MWh",1,1/1000)</f>
        <v>59.7</v>
      </c>
      <c r="K723" s="80">
        <f>(Matrix_prices!K711+$D$2)*IF($M$2="Prices in $/MWh",1,1/1000)</f>
        <v>60.04</v>
      </c>
      <c r="L723" s="79">
        <f>(Matrix_prices!L711+$D$2)*IF($M$2="Prices in $/MWh",1,1/1000)</f>
        <v>22.16</v>
      </c>
      <c r="M723" s="80">
        <f>(Matrix_prices!M711+$D$2)*IF($M$2="Prices in $/MWh",1,1/1000)</f>
        <v>23.94</v>
      </c>
      <c r="N723" s="79">
        <f>(Matrix_prices!N711+$D$2)*IF($M$2="Prices in $/MWh",1,1/1000)</f>
        <v>24.43</v>
      </c>
    </row>
    <row r="724" spans="3:14" x14ac:dyDescent="0.25">
      <c r="C724" s="82">
        <f>Matrix_prices!C712</f>
        <v>42644</v>
      </c>
      <c r="D724" s="83" t="str">
        <f>Matrix_prices!D712</f>
        <v>OH</v>
      </c>
      <c r="E724" s="84" t="str">
        <f>Matrix_prices!E712</f>
        <v>AEP OH</v>
      </c>
      <c r="F724" s="83" t="str">
        <f>Matrix_prices!F712</f>
        <v>GS3</v>
      </c>
      <c r="G724" s="84" t="str">
        <f>Matrix_prices!G712</f>
        <v>General Service Large</v>
      </c>
      <c r="H724" s="85" t="str">
        <f t="shared" si="32"/>
        <v>500-2500 MWh</v>
      </c>
      <c r="I724" s="84">
        <f>(Matrix_prices!I712+$D$2)*IF($M$2="Prices in $/MWh",1,1/1000)</f>
        <v>57.04</v>
      </c>
      <c r="J724" s="83">
        <f>(Matrix_prices!J712+$D$2)*IF($M$2="Prices in $/MWh",1,1/1000)</f>
        <v>58.65</v>
      </c>
      <c r="K724" s="84">
        <f>(Matrix_prices!K712+$D$2)*IF($M$2="Prices in $/MWh",1,1/1000)</f>
        <v>58.99</v>
      </c>
      <c r="L724" s="83">
        <f>(Matrix_prices!L712+$D$2)*IF($M$2="Prices in $/MWh",1,1/1000)</f>
        <v>21.11</v>
      </c>
      <c r="M724" s="84">
        <f>(Matrix_prices!M712+$D$2)*IF($M$2="Prices in $/MWh",1,1/1000)</f>
        <v>22.89</v>
      </c>
      <c r="N724" s="83">
        <f>(Matrix_prices!N712+$D$2)*IF($M$2="Prices in $/MWh",1,1/1000)</f>
        <v>23.38</v>
      </c>
    </row>
    <row r="725" spans="3:14" x14ac:dyDescent="0.25">
      <c r="C725" s="74">
        <f>Matrix_prices!C713</f>
        <v>42675</v>
      </c>
      <c r="D725" s="75" t="str">
        <f>Matrix_prices!D713</f>
        <v>OH</v>
      </c>
      <c r="E725" s="76" t="str">
        <f>Matrix_prices!E713</f>
        <v>AEP OH</v>
      </c>
      <c r="F725" s="75" t="str">
        <f>Matrix_prices!F713</f>
        <v>GS3</v>
      </c>
      <c r="G725" s="76" t="str">
        <f>Matrix_prices!G713</f>
        <v>General Service Large</v>
      </c>
      <c r="H725" s="157" t="str">
        <f t="shared" si="30"/>
        <v>0-100 MWh</v>
      </c>
      <c r="I725" s="76">
        <f>(Matrix_prices!I713+$D$2)*IF($M$2="Prices in $/MWh",1,1/1000)</f>
        <v>60.15</v>
      </c>
      <c r="J725" s="75">
        <f>(Matrix_prices!J713+$D$2)*IF($M$2="Prices in $/MWh",1,1/1000)</f>
        <v>61.78</v>
      </c>
      <c r="K725" s="76">
        <f>(Matrix_prices!K713+$D$2)*IF($M$2="Prices in $/MWh",1,1/1000)</f>
        <v>61.94</v>
      </c>
      <c r="L725" s="75">
        <f>(Matrix_prices!L713+$D$2)*IF($M$2="Prices in $/MWh",1,1/1000)</f>
        <v>24.25</v>
      </c>
      <c r="M725" s="76">
        <f>(Matrix_prices!M713+$D$2)*IF($M$2="Prices in $/MWh",1,1/1000)</f>
        <v>25.93</v>
      </c>
      <c r="N725" s="75">
        <f>(Matrix_prices!N713+$D$2)*IF($M$2="Prices in $/MWh",1,1/1000)</f>
        <v>26.36</v>
      </c>
    </row>
    <row r="726" spans="3:14" x14ac:dyDescent="0.25">
      <c r="C726" s="78">
        <f>Matrix_prices!C714</f>
        <v>42675</v>
      </c>
      <c r="D726" s="79" t="str">
        <f>Matrix_prices!D714</f>
        <v>OH</v>
      </c>
      <c r="E726" s="80" t="str">
        <f>Matrix_prices!E714</f>
        <v>AEP OH</v>
      </c>
      <c r="F726" s="79" t="str">
        <f>Matrix_prices!F714</f>
        <v>GS3</v>
      </c>
      <c r="G726" s="80" t="str">
        <f>Matrix_prices!G714</f>
        <v>General Service Large</v>
      </c>
      <c r="H726" s="81" t="str">
        <f t="shared" si="31"/>
        <v>100-500 MWh</v>
      </c>
      <c r="I726" s="80">
        <f>(Matrix_prices!I714+$D$2)*IF($M$2="Prices in $/MWh",1,1/1000)</f>
        <v>58.55</v>
      </c>
      <c r="J726" s="79">
        <f>(Matrix_prices!J714+$D$2)*IF($M$2="Prices in $/MWh",1,1/1000)</f>
        <v>60.18</v>
      </c>
      <c r="K726" s="80">
        <f>(Matrix_prices!K714+$D$2)*IF($M$2="Prices in $/MWh",1,1/1000)</f>
        <v>60.34</v>
      </c>
      <c r="L726" s="79">
        <f>(Matrix_prices!L714+$D$2)*IF($M$2="Prices in $/MWh",1,1/1000)</f>
        <v>22.65</v>
      </c>
      <c r="M726" s="80">
        <f>(Matrix_prices!M714+$D$2)*IF($M$2="Prices in $/MWh",1,1/1000)</f>
        <v>24.33</v>
      </c>
      <c r="N726" s="79">
        <f>(Matrix_prices!N714+$D$2)*IF($M$2="Prices in $/MWh",1,1/1000)</f>
        <v>24.76</v>
      </c>
    </row>
    <row r="727" spans="3:14" x14ac:dyDescent="0.25">
      <c r="C727" s="82">
        <f>Matrix_prices!C715</f>
        <v>42675</v>
      </c>
      <c r="D727" s="83" t="str">
        <f>Matrix_prices!D715</f>
        <v>OH</v>
      </c>
      <c r="E727" s="84" t="str">
        <f>Matrix_prices!E715</f>
        <v>AEP OH</v>
      </c>
      <c r="F727" s="83" t="str">
        <f>Matrix_prices!F715</f>
        <v>GS3</v>
      </c>
      <c r="G727" s="84" t="str">
        <f>Matrix_prices!G715</f>
        <v>General Service Large</v>
      </c>
      <c r="H727" s="85" t="str">
        <f t="shared" si="32"/>
        <v>500-2500 MWh</v>
      </c>
      <c r="I727" s="84">
        <f>(Matrix_prices!I715+$D$2)*IF($M$2="Prices in $/MWh",1,1/1000)</f>
        <v>57.5</v>
      </c>
      <c r="J727" s="83">
        <f>(Matrix_prices!J715+$D$2)*IF($M$2="Prices in $/MWh",1,1/1000)</f>
        <v>59.13</v>
      </c>
      <c r="K727" s="84">
        <f>(Matrix_prices!K715+$D$2)*IF($M$2="Prices in $/MWh",1,1/1000)</f>
        <v>59.29</v>
      </c>
      <c r="L727" s="83">
        <f>(Matrix_prices!L715+$D$2)*IF($M$2="Prices in $/MWh",1,1/1000)</f>
        <v>21.6</v>
      </c>
      <c r="M727" s="84">
        <f>(Matrix_prices!M715+$D$2)*IF($M$2="Prices in $/MWh",1,1/1000)</f>
        <v>23.28</v>
      </c>
      <c r="N727" s="83">
        <f>(Matrix_prices!N715+$D$2)*IF($M$2="Prices in $/MWh",1,1/1000)</f>
        <v>23.71</v>
      </c>
    </row>
    <row r="728" spans="3:14" x14ac:dyDescent="0.25">
      <c r="C728" s="151">
        <f>Matrix_prices!C716</f>
        <v>42705</v>
      </c>
      <c r="D728" s="152" t="str">
        <f>Matrix_prices!D716</f>
        <v>OH</v>
      </c>
      <c r="E728" s="153" t="str">
        <f>Matrix_prices!E716</f>
        <v>AEP OH</v>
      </c>
      <c r="F728" s="152" t="str">
        <f>Matrix_prices!F716</f>
        <v>GS3</v>
      </c>
      <c r="G728" s="153" t="str">
        <f>Matrix_prices!G716</f>
        <v>General Service Large</v>
      </c>
      <c r="H728" s="157" t="str">
        <f t="shared" si="30"/>
        <v>0-100 MWh</v>
      </c>
      <c r="I728" s="153">
        <f>(Matrix_prices!I716+$D$2)*IF($M$2="Prices in $/MWh",1,1/1000)</f>
        <v>60.53</v>
      </c>
      <c r="J728" s="152">
        <f>(Matrix_prices!J716+$D$2)*IF($M$2="Prices in $/MWh",1,1/1000)</f>
        <v>62.13</v>
      </c>
      <c r="K728" s="153">
        <f>(Matrix_prices!K716+$D$2)*IF($M$2="Prices in $/MWh",1,1/1000)</f>
        <v>62.2</v>
      </c>
      <c r="L728" s="152">
        <f>(Matrix_prices!L716+$D$2)*IF($M$2="Prices in $/MWh",1,1/1000)</f>
        <v>24.7</v>
      </c>
      <c r="M728" s="153">
        <f>(Matrix_prices!M716+$D$2)*IF($M$2="Prices in $/MWh",1,1/1000)</f>
        <v>26.17</v>
      </c>
      <c r="N728" s="152">
        <f>(Matrix_prices!N716+$D$2)*IF($M$2="Prices in $/MWh",1,1/1000)</f>
        <v>26.67</v>
      </c>
    </row>
    <row r="729" spans="3:14" x14ac:dyDescent="0.25">
      <c r="C729" s="78">
        <f>Matrix_prices!C717</f>
        <v>42705</v>
      </c>
      <c r="D729" s="79" t="str">
        <f>Matrix_prices!D717</f>
        <v>OH</v>
      </c>
      <c r="E729" s="80" t="str">
        <f>Matrix_prices!E717</f>
        <v>AEP OH</v>
      </c>
      <c r="F729" s="79" t="str">
        <f>Matrix_prices!F717</f>
        <v>GS3</v>
      </c>
      <c r="G729" s="80" t="str">
        <f>Matrix_prices!G717</f>
        <v>General Service Large</v>
      </c>
      <c r="H729" s="81" t="str">
        <f t="shared" si="31"/>
        <v>100-500 MWh</v>
      </c>
      <c r="I729" s="80">
        <f>(Matrix_prices!I717+$D$2)*IF($M$2="Prices in $/MWh",1,1/1000)</f>
        <v>58.93</v>
      </c>
      <c r="J729" s="79">
        <f>(Matrix_prices!J717+$D$2)*IF($M$2="Prices in $/MWh",1,1/1000)</f>
        <v>60.53</v>
      </c>
      <c r="K729" s="80">
        <f>(Matrix_prices!K717+$D$2)*IF($M$2="Prices in $/MWh",1,1/1000)</f>
        <v>60.6</v>
      </c>
      <c r="L729" s="79">
        <f>(Matrix_prices!L717+$D$2)*IF($M$2="Prices in $/MWh",1,1/1000)</f>
        <v>23.1</v>
      </c>
      <c r="M729" s="80">
        <f>(Matrix_prices!M717+$D$2)*IF($M$2="Prices in $/MWh",1,1/1000)</f>
        <v>24.57</v>
      </c>
      <c r="N729" s="79">
        <f>(Matrix_prices!N717+$D$2)*IF($M$2="Prices in $/MWh",1,1/1000)</f>
        <v>25.07</v>
      </c>
    </row>
    <row r="730" spans="3:14" x14ac:dyDescent="0.25">
      <c r="C730" s="82">
        <f>Matrix_prices!C718</f>
        <v>42705</v>
      </c>
      <c r="D730" s="83" t="str">
        <f>Matrix_prices!D718</f>
        <v>OH</v>
      </c>
      <c r="E730" s="84" t="str">
        <f>Matrix_prices!E718</f>
        <v>AEP OH</v>
      </c>
      <c r="F730" s="83" t="str">
        <f>Matrix_prices!F718</f>
        <v>GS3</v>
      </c>
      <c r="G730" s="84" t="str">
        <f>Matrix_prices!G718</f>
        <v>General Service Large</v>
      </c>
      <c r="H730" s="85" t="str">
        <f t="shared" si="32"/>
        <v>500-2500 MWh</v>
      </c>
      <c r="I730" s="84">
        <f>(Matrix_prices!I718+$D$2)*IF($M$2="Prices in $/MWh",1,1/1000)</f>
        <v>57.88</v>
      </c>
      <c r="J730" s="83">
        <f>(Matrix_prices!J718+$D$2)*IF($M$2="Prices in $/MWh",1,1/1000)</f>
        <v>59.48</v>
      </c>
      <c r="K730" s="84">
        <f>(Matrix_prices!K718+$D$2)*IF($M$2="Prices in $/MWh",1,1/1000)</f>
        <v>59.55</v>
      </c>
      <c r="L730" s="83">
        <f>(Matrix_prices!L718+$D$2)*IF($M$2="Prices in $/MWh",1,1/1000)</f>
        <v>22.05</v>
      </c>
      <c r="M730" s="84">
        <f>(Matrix_prices!M718+$D$2)*IF($M$2="Prices in $/MWh",1,1/1000)</f>
        <v>23.52</v>
      </c>
      <c r="N730" s="83">
        <f>(Matrix_prices!N718+$D$2)*IF($M$2="Prices in $/MWh",1,1/1000)</f>
        <v>24.02</v>
      </c>
    </row>
    <row r="731" spans="3:14" x14ac:dyDescent="0.25">
      <c r="C731" s="74">
        <f>Matrix_prices!C719</f>
        <v>42736</v>
      </c>
      <c r="D731" s="75" t="str">
        <f>Matrix_prices!D719</f>
        <v>OH</v>
      </c>
      <c r="E731" s="76" t="str">
        <f>Matrix_prices!E719</f>
        <v>AEP OH</v>
      </c>
      <c r="F731" s="75" t="str">
        <f>Matrix_prices!F719</f>
        <v>GS3</v>
      </c>
      <c r="G731" s="76" t="str">
        <f>Matrix_prices!G719</f>
        <v>General Service Large</v>
      </c>
      <c r="H731" s="157" t="str">
        <f t="shared" ref="H731:H794" si="33">IF($M$2="Prices in $/MWh","0-100 MWh","0-100,000 kWh")</f>
        <v>0-100 MWh</v>
      </c>
      <c r="I731" s="76">
        <f>(Matrix_prices!I719+$D$2)*IF($M$2="Prices in $/MWh",1,1/1000)</f>
        <v>60.97</v>
      </c>
      <c r="J731" s="75">
        <f>(Matrix_prices!J719+$D$2)*IF($M$2="Prices in $/MWh",1,1/1000)</f>
        <v>62.4</v>
      </c>
      <c r="K731" s="76">
        <f>(Matrix_prices!K719+$D$2)*IF($M$2="Prices in $/MWh",1,1/1000)</f>
        <v>62.53</v>
      </c>
      <c r="L731" s="75">
        <f>(Matrix_prices!L719+$D$2)*IF($M$2="Prices in $/MWh",1,1/1000)</f>
        <v>25.21</v>
      </c>
      <c r="M731" s="76">
        <f>(Matrix_prices!M719+$D$2)*IF($M$2="Prices in $/MWh",1,1/1000)</f>
        <v>26.45</v>
      </c>
      <c r="N731" s="75">
        <f>(Matrix_prices!N719+$D$2)*IF($M$2="Prices in $/MWh",1,1/1000)</f>
        <v>27.02</v>
      </c>
    </row>
    <row r="732" spans="3:14" x14ac:dyDescent="0.25">
      <c r="C732" s="78">
        <f>Matrix_prices!C720</f>
        <v>42736</v>
      </c>
      <c r="D732" s="79" t="str">
        <f>Matrix_prices!D720</f>
        <v>OH</v>
      </c>
      <c r="E732" s="80" t="str">
        <f>Matrix_prices!E720</f>
        <v>AEP OH</v>
      </c>
      <c r="F732" s="79" t="str">
        <f>Matrix_prices!F720</f>
        <v>GS3</v>
      </c>
      <c r="G732" s="80" t="str">
        <f>Matrix_prices!G720</f>
        <v>General Service Large</v>
      </c>
      <c r="H732" s="81" t="str">
        <f t="shared" ref="H732:H795" si="34">IF($M$2="Prices in $/MWh","100-500 MWh","100,000-500,000 kWh")</f>
        <v>100-500 MWh</v>
      </c>
      <c r="I732" s="80">
        <f>(Matrix_prices!I720+$D$2)*IF($M$2="Prices in $/MWh",1,1/1000)</f>
        <v>59.37</v>
      </c>
      <c r="J732" s="79">
        <f>(Matrix_prices!J720+$D$2)*IF($M$2="Prices in $/MWh",1,1/1000)</f>
        <v>60.8</v>
      </c>
      <c r="K732" s="80">
        <f>(Matrix_prices!K720+$D$2)*IF($M$2="Prices in $/MWh",1,1/1000)</f>
        <v>60.93</v>
      </c>
      <c r="L732" s="79">
        <f>(Matrix_prices!L720+$D$2)*IF($M$2="Prices in $/MWh",1,1/1000)</f>
        <v>23.61</v>
      </c>
      <c r="M732" s="80">
        <f>(Matrix_prices!M720+$D$2)*IF($M$2="Prices in $/MWh",1,1/1000)</f>
        <v>24.85</v>
      </c>
      <c r="N732" s="79">
        <f>(Matrix_prices!N720+$D$2)*IF($M$2="Prices in $/MWh",1,1/1000)</f>
        <v>25.42</v>
      </c>
    </row>
    <row r="733" spans="3:14" x14ac:dyDescent="0.25">
      <c r="C733" s="82">
        <f>Matrix_prices!C721</f>
        <v>42736</v>
      </c>
      <c r="D733" s="83" t="str">
        <f>Matrix_prices!D721</f>
        <v>OH</v>
      </c>
      <c r="E733" s="84" t="str">
        <f>Matrix_prices!E721</f>
        <v>AEP OH</v>
      </c>
      <c r="F733" s="83" t="str">
        <f>Matrix_prices!F721</f>
        <v>GS3</v>
      </c>
      <c r="G733" s="84" t="str">
        <f>Matrix_prices!G721</f>
        <v>General Service Large</v>
      </c>
      <c r="H733" s="85" t="str">
        <f t="shared" ref="H733:H796" si="35">IF($M$2="Prices in $/MWh","500-2500 MWh","500,000-2,500,000 kWh")</f>
        <v>500-2500 MWh</v>
      </c>
      <c r="I733" s="84">
        <f>(Matrix_prices!I721+$D$2)*IF($M$2="Prices in $/MWh",1,1/1000)</f>
        <v>58.32</v>
      </c>
      <c r="J733" s="83">
        <f>(Matrix_prices!J721+$D$2)*IF($M$2="Prices in $/MWh",1,1/1000)</f>
        <v>59.75</v>
      </c>
      <c r="K733" s="84">
        <f>(Matrix_prices!K721+$D$2)*IF($M$2="Prices in $/MWh",1,1/1000)</f>
        <v>59.88</v>
      </c>
      <c r="L733" s="83">
        <f>(Matrix_prices!L721+$D$2)*IF($M$2="Prices in $/MWh",1,1/1000)</f>
        <v>22.56</v>
      </c>
      <c r="M733" s="84">
        <f>(Matrix_prices!M721+$D$2)*IF($M$2="Prices in $/MWh",1,1/1000)</f>
        <v>23.8</v>
      </c>
      <c r="N733" s="83">
        <f>(Matrix_prices!N721+$D$2)*IF($M$2="Prices in $/MWh",1,1/1000)</f>
        <v>24.37</v>
      </c>
    </row>
    <row r="734" spans="3:14" x14ac:dyDescent="0.25">
      <c r="C734" s="151">
        <f>Matrix_prices!C722</f>
        <v>42401</v>
      </c>
      <c r="D734" s="152" t="str">
        <f>Matrix_prices!D722</f>
        <v>OH</v>
      </c>
      <c r="E734" s="153" t="str">
        <f>Matrix_prices!E722</f>
        <v>Dayton</v>
      </c>
      <c r="F734" s="152" t="str">
        <f>Matrix_prices!F722</f>
        <v>SS</v>
      </c>
      <c r="G734" s="153" t="str">
        <f>Matrix_prices!G722</f>
        <v>Sec. Service</v>
      </c>
      <c r="H734" s="157" t="str">
        <f t="shared" si="33"/>
        <v>0-100 MWh</v>
      </c>
      <c r="I734" s="153">
        <f>(Matrix_prices!I722+$D$2)*IF($M$2="Prices in $/MWh",1,1/1000)</f>
        <v>59.48</v>
      </c>
      <c r="J734" s="152">
        <f>(Matrix_prices!J722+$D$2)*IF($M$2="Prices in $/MWh",1,1/1000)</f>
        <v>60.53</v>
      </c>
      <c r="K734" s="153">
        <f>(Matrix_prices!K722+$D$2)*IF($M$2="Prices in $/MWh",1,1/1000)</f>
        <v>60.91</v>
      </c>
      <c r="L734" s="152">
        <f>(Matrix_prices!L722+$D$2)*IF($M$2="Prices in $/MWh",1,1/1000)</f>
        <v>22.37</v>
      </c>
      <c r="M734" s="153">
        <f>(Matrix_prices!M722+$D$2)*IF($M$2="Prices in $/MWh",1,1/1000)</f>
        <v>22.8</v>
      </c>
      <c r="N734" s="152">
        <f>(Matrix_prices!N722+$D$2)*IF($M$2="Prices in $/MWh",1,1/1000)</f>
        <v>23.63</v>
      </c>
    </row>
    <row r="735" spans="3:14" x14ac:dyDescent="0.25">
      <c r="C735" s="78">
        <f>Matrix_prices!C723</f>
        <v>42401</v>
      </c>
      <c r="D735" s="79" t="str">
        <f>Matrix_prices!D723</f>
        <v>OH</v>
      </c>
      <c r="E735" s="80" t="str">
        <f>Matrix_prices!E723</f>
        <v>Dayton</v>
      </c>
      <c r="F735" s="79" t="str">
        <f>Matrix_prices!F723</f>
        <v>SS</v>
      </c>
      <c r="G735" s="80" t="str">
        <f>Matrix_prices!G723</f>
        <v>Sec. Service</v>
      </c>
      <c r="H735" s="81" t="str">
        <f t="shared" si="34"/>
        <v>100-500 MWh</v>
      </c>
      <c r="I735" s="80">
        <f>(Matrix_prices!I723+$D$2)*IF($M$2="Prices in $/MWh",1,1/1000)</f>
        <v>57.88</v>
      </c>
      <c r="J735" s="79">
        <f>(Matrix_prices!J723+$D$2)*IF($M$2="Prices in $/MWh",1,1/1000)</f>
        <v>58.93</v>
      </c>
      <c r="K735" s="80">
        <f>(Matrix_prices!K723+$D$2)*IF($M$2="Prices in $/MWh",1,1/1000)</f>
        <v>59.31</v>
      </c>
      <c r="L735" s="79">
        <f>(Matrix_prices!L723+$D$2)*IF($M$2="Prices in $/MWh",1,1/1000)</f>
        <v>20.77</v>
      </c>
      <c r="M735" s="80">
        <f>(Matrix_prices!M723+$D$2)*IF($M$2="Prices in $/MWh",1,1/1000)</f>
        <v>21.2</v>
      </c>
      <c r="N735" s="79">
        <f>(Matrix_prices!N723+$D$2)*IF($M$2="Prices in $/MWh",1,1/1000)</f>
        <v>22.03</v>
      </c>
    </row>
    <row r="736" spans="3:14" x14ac:dyDescent="0.25">
      <c r="C736" s="82">
        <f>Matrix_prices!C724</f>
        <v>42401</v>
      </c>
      <c r="D736" s="83" t="str">
        <f>Matrix_prices!D724</f>
        <v>OH</v>
      </c>
      <c r="E736" s="84" t="str">
        <f>Matrix_prices!E724</f>
        <v>Dayton</v>
      </c>
      <c r="F736" s="83" t="str">
        <f>Matrix_prices!F724</f>
        <v>SS</v>
      </c>
      <c r="G736" s="84" t="str">
        <f>Matrix_prices!G724</f>
        <v>Sec. Service</v>
      </c>
      <c r="H736" s="85" t="str">
        <f t="shared" si="35"/>
        <v>500-2500 MWh</v>
      </c>
      <c r="I736" s="84">
        <f>(Matrix_prices!I724+$D$2)*IF($M$2="Prices in $/MWh",1,1/1000)</f>
        <v>56.83</v>
      </c>
      <c r="J736" s="83">
        <f>(Matrix_prices!J724+$D$2)*IF($M$2="Prices in $/MWh",1,1/1000)</f>
        <v>57.88</v>
      </c>
      <c r="K736" s="84">
        <f>(Matrix_prices!K724+$D$2)*IF($M$2="Prices in $/MWh",1,1/1000)</f>
        <v>58.26</v>
      </c>
      <c r="L736" s="83">
        <f>(Matrix_prices!L724+$D$2)*IF($M$2="Prices in $/MWh",1,1/1000)</f>
        <v>19.72</v>
      </c>
      <c r="M736" s="84">
        <f>(Matrix_prices!M724+$D$2)*IF($M$2="Prices in $/MWh",1,1/1000)</f>
        <v>20.149999999999999</v>
      </c>
      <c r="N736" s="83">
        <f>(Matrix_prices!N724+$D$2)*IF($M$2="Prices in $/MWh",1,1/1000)</f>
        <v>20.98</v>
      </c>
    </row>
    <row r="737" spans="3:14" x14ac:dyDescent="0.25">
      <c r="C737" s="74">
        <f>Matrix_prices!C725</f>
        <v>42430</v>
      </c>
      <c r="D737" s="75" t="str">
        <f>Matrix_prices!D725</f>
        <v>OH</v>
      </c>
      <c r="E737" s="76" t="str">
        <f>Matrix_prices!E725</f>
        <v>Dayton</v>
      </c>
      <c r="F737" s="75" t="str">
        <f>Matrix_prices!F725</f>
        <v>SS</v>
      </c>
      <c r="G737" s="76" t="str">
        <f>Matrix_prices!G725</f>
        <v>Sec. Service</v>
      </c>
      <c r="H737" s="157" t="str">
        <f t="shared" si="33"/>
        <v>0-100 MWh</v>
      </c>
      <c r="I737" s="76">
        <f>(Matrix_prices!I725+$D$2)*IF($M$2="Prices in $/MWh",1,1/1000)</f>
        <v>59.41</v>
      </c>
      <c r="J737" s="75">
        <f>(Matrix_prices!J725+$D$2)*IF($M$2="Prices in $/MWh",1,1/1000)</f>
        <v>60.82</v>
      </c>
      <c r="K737" s="76">
        <f>(Matrix_prices!K725+$D$2)*IF($M$2="Prices in $/MWh",1,1/1000)</f>
        <v>61.08</v>
      </c>
      <c r="L737" s="75">
        <f>(Matrix_prices!L725+$D$2)*IF($M$2="Prices in $/MWh",1,1/1000)</f>
        <v>22.06</v>
      </c>
      <c r="M737" s="76">
        <f>(Matrix_prices!M725+$D$2)*IF($M$2="Prices in $/MWh",1,1/1000)</f>
        <v>22.99</v>
      </c>
      <c r="N737" s="75">
        <f>(Matrix_prices!N725+$D$2)*IF($M$2="Prices in $/MWh",1,1/1000)</f>
        <v>23.7</v>
      </c>
    </row>
    <row r="738" spans="3:14" x14ac:dyDescent="0.25">
      <c r="C738" s="78">
        <f>Matrix_prices!C726</f>
        <v>42430</v>
      </c>
      <c r="D738" s="79" t="str">
        <f>Matrix_prices!D726</f>
        <v>OH</v>
      </c>
      <c r="E738" s="80" t="str">
        <f>Matrix_prices!E726</f>
        <v>Dayton</v>
      </c>
      <c r="F738" s="79" t="str">
        <f>Matrix_prices!F726</f>
        <v>SS</v>
      </c>
      <c r="G738" s="80" t="str">
        <f>Matrix_prices!G726</f>
        <v>Sec. Service</v>
      </c>
      <c r="H738" s="81" t="str">
        <f t="shared" si="34"/>
        <v>100-500 MWh</v>
      </c>
      <c r="I738" s="80">
        <f>(Matrix_prices!I726+$D$2)*IF($M$2="Prices in $/MWh",1,1/1000)</f>
        <v>57.81</v>
      </c>
      <c r="J738" s="79">
        <f>(Matrix_prices!J726+$D$2)*IF($M$2="Prices in $/MWh",1,1/1000)</f>
        <v>59.22</v>
      </c>
      <c r="K738" s="80">
        <f>(Matrix_prices!K726+$D$2)*IF($M$2="Prices in $/MWh",1,1/1000)</f>
        <v>59.48</v>
      </c>
      <c r="L738" s="79">
        <f>(Matrix_prices!L726+$D$2)*IF($M$2="Prices in $/MWh",1,1/1000)</f>
        <v>20.46</v>
      </c>
      <c r="M738" s="80">
        <f>(Matrix_prices!M726+$D$2)*IF($M$2="Prices in $/MWh",1,1/1000)</f>
        <v>21.39</v>
      </c>
      <c r="N738" s="79">
        <f>(Matrix_prices!N726+$D$2)*IF($M$2="Prices in $/MWh",1,1/1000)</f>
        <v>22.1</v>
      </c>
    </row>
    <row r="739" spans="3:14" x14ac:dyDescent="0.25">
      <c r="C739" s="82">
        <f>Matrix_prices!C727</f>
        <v>42430</v>
      </c>
      <c r="D739" s="83" t="str">
        <f>Matrix_prices!D727</f>
        <v>OH</v>
      </c>
      <c r="E739" s="84" t="str">
        <f>Matrix_prices!E727</f>
        <v>Dayton</v>
      </c>
      <c r="F739" s="83" t="str">
        <f>Matrix_prices!F727</f>
        <v>SS</v>
      </c>
      <c r="G739" s="84" t="str">
        <f>Matrix_prices!G727</f>
        <v>Sec. Service</v>
      </c>
      <c r="H739" s="85" t="str">
        <f t="shared" si="35"/>
        <v>500-2500 MWh</v>
      </c>
      <c r="I739" s="84">
        <f>(Matrix_prices!I727+$D$2)*IF($M$2="Prices in $/MWh",1,1/1000)</f>
        <v>56.76</v>
      </c>
      <c r="J739" s="83">
        <f>(Matrix_prices!J727+$D$2)*IF($M$2="Prices in $/MWh",1,1/1000)</f>
        <v>58.17</v>
      </c>
      <c r="K739" s="84">
        <f>(Matrix_prices!K727+$D$2)*IF($M$2="Prices in $/MWh",1,1/1000)</f>
        <v>58.43</v>
      </c>
      <c r="L739" s="83">
        <f>(Matrix_prices!L727+$D$2)*IF($M$2="Prices in $/MWh",1,1/1000)</f>
        <v>19.41</v>
      </c>
      <c r="M739" s="84">
        <f>(Matrix_prices!M727+$D$2)*IF($M$2="Prices in $/MWh",1,1/1000)</f>
        <v>20.34</v>
      </c>
      <c r="N739" s="83">
        <f>(Matrix_prices!N727+$D$2)*IF($M$2="Prices in $/MWh",1,1/1000)</f>
        <v>21.05</v>
      </c>
    </row>
    <row r="740" spans="3:14" x14ac:dyDescent="0.25">
      <c r="C740" s="151">
        <f>Matrix_prices!C728</f>
        <v>42461</v>
      </c>
      <c r="D740" s="152" t="str">
        <f>Matrix_prices!D728</f>
        <v>OH</v>
      </c>
      <c r="E740" s="153" t="str">
        <f>Matrix_prices!E728</f>
        <v>Dayton</v>
      </c>
      <c r="F740" s="152" t="str">
        <f>Matrix_prices!F728</f>
        <v>SS</v>
      </c>
      <c r="G740" s="153" t="str">
        <f>Matrix_prices!G728</f>
        <v>Sec. Service</v>
      </c>
      <c r="H740" s="157" t="str">
        <f t="shared" si="33"/>
        <v>0-100 MWh</v>
      </c>
      <c r="I740" s="153">
        <f>(Matrix_prices!I728+$D$2)*IF($M$2="Prices in $/MWh",1,1/1000)</f>
        <v>59.4</v>
      </c>
      <c r="J740" s="152">
        <f>(Matrix_prices!J728+$D$2)*IF($M$2="Prices in $/MWh",1,1/1000)</f>
        <v>61.3</v>
      </c>
      <c r="K740" s="153">
        <f>(Matrix_prices!K728+$D$2)*IF($M$2="Prices in $/MWh",1,1/1000)</f>
        <v>61.27</v>
      </c>
      <c r="L740" s="152">
        <f>(Matrix_prices!L728+$D$2)*IF($M$2="Prices in $/MWh",1,1/1000)</f>
        <v>21.72</v>
      </c>
      <c r="M740" s="153">
        <f>(Matrix_prices!M728+$D$2)*IF($M$2="Prices in $/MWh",1,1/1000)</f>
        <v>23.48</v>
      </c>
      <c r="N740" s="152">
        <f>(Matrix_prices!N728+$D$2)*IF($M$2="Prices in $/MWh",1,1/1000)</f>
        <v>23.78</v>
      </c>
    </row>
    <row r="741" spans="3:14" x14ac:dyDescent="0.25">
      <c r="C741" s="78">
        <f>Matrix_prices!C729</f>
        <v>42461</v>
      </c>
      <c r="D741" s="79" t="str">
        <f>Matrix_prices!D729</f>
        <v>OH</v>
      </c>
      <c r="E741" s="80" t="str">
        <f>Matrix_prices!E729</f>
        <v>Dayton</v>
      </c>
      <c r="F741" s="79" t="str">
        <f>Matrix_prices!F729</f>
        <v>SS</v>
      </c>
      <c r="G741" s="80" t="str">
        <f>Matrix_prices!G729</f>
        <v>Sec. Service</v>
      </c>
      <c r="H741" s="81" t="str">
        <f t="shared" si="34"/>
        <v>100-500 MWh</v>
      </c>
      <c r="I741" s="80">
        <f>(Matrix_prices!I729+$D$2)*IF($M$2="Prices in $/MWh",1,1/1000)</f>
        <v>57.8</v>
      </c>
      <c r="J741" s="79">
        <f>(Matrix_prices!J729+$D$2)*IF($M$2="Prices in $/MWh",1,1/1000)</f>
        <v>59.7</v>
      </c>
      <c r="K741" s="80">
        <f>(Matrix_prices!K729+$D$2)*IF($M$2="Prices in $/MWh",1,1/1000)</f>
        <v>59.67</v>
      </c>
      <c r="L741" s="79">
        <f>(Matrix_prices!L729+$D$2)*IF($M$2="Prices in $/MWh",1,1/1000)</f>
        <v>20.12</v>
      </c>
      <c r="M741" s="80">
        <f>(Matrix_prices!M729+$D$2)*IF($M$2="Prices in $/MWh",1,1/1000)</f>
        <v>21.88</v>
      </c>
      <c r="N741" s="79">
        <f>(Matrix_prices!N729+$D$2)*IF($M$2="Prices in $/MWh",1,1/1000)</f>
        <v>22.18</v>
      </c>
    </row>
    <row r="742" spans="3:14" x14ac:dyDescent="0.25">
      <c r="C742" s="82">
        <f>Matrix_prices!C730</f>
        <v>42461</v>
      </c>
      <c r="D742" s="83" t="str">
        <f>Matrix_prices!D730</f>
        <v>OH</v>
      </c>
      <c r="E742" s="84" t="str">
        <f>Matrix_prices!E730</f>
        <v>Dayton</v>
      </c>
      <c r="F742" s="83" t="str">
        <f>Matrix_prices!F730</f>
        <v>SS</v>
      </c>
      <c r="G742" s="84" t="str">
        <f>Matrix_prices!G730</f>
        <v>Sec. Service</v>
      </c>
      <c r="H742" s="85" t="str">
        <f t="shared" si="35"/>
        <v>500-2500 MWh</v>
      </c>
      <c r="I742" s="84">
        <f>(Matrix_prices!I730+$D$2)*IF($M$2="Prices in $/MWh",1,1/1000)</f>
        <v>56.75</v>
      </c>
      <c r="J742" s="83">
        <f>(Matrix_prices!J730+$D$2)*IF($M$2="Prices in $/MWh",1,1/1000)</f>
        <v>58.65</v>
      </c>
      <c r="K742" s="84">
        <f>(Matrix_prices!K730+$D$2)*IF($M$2="Prices in $/MWh",1,1/1000)</f>
        <v>58.62</v>
      </c>
      <c r="L742" s="83">
        <f>(Matrix_prices!L730+$D$2)*IF($M$2="Prices in $/MWh",1,1/1000)</f>
        <v>19.07</v>
      </c>
      <c r="M742" s="84">
        <f>(Matrix_prices!M730+$D$2)*IF($M$2="Prices in $/MWh",1,1/1000)</f>
        <v>20.83</v>
      </c>
      <c r="N742" s="83">
        <f>(Matrix_prices!N730+$D$2)*IF($M$2="Prices in $/MWh",1,1/1000)</f>
        <v>21.13</v>
      </c>
    </row>
    <row r="743" spans="3:14" x14ac:dyDescent="0.25">
      <c r="C743" s="74">
        <f>Matrix_prices!C731</f>
        <v>42491</v>
      </c>
      <c r="D743" s="75" t="str">
        <f>Matrix_prices!D731</f>
        <v>OH</v>
      </c>
      <c r="E743" s="76" t="str">
        <f>Matrix_prices!E731</f>
        <v>Dayton</v>
      </c>
      <c r="F743" s="75" t="str">
        <f>Matrix_prices!F731</f>
        <v>SS</v>
      </c>
      <c r="G743" s="76" t="str">
        <f>Matrix_prices!G731</f>
        <v>Sec. Service</v>
      </c>
      <c r="H743" s="157" t="str">
        <f t="shared" si="33"/>
        <v>0-100 MWh</v>
      </c>
      <c r="I743" s="76">
        <f>(Matrix_prices!I731+$D$2)*IF($M$2="Prices in $/MWh",1,1/1000)</f>
        <v>59.19</v>
      </c>
      <c r="J743" s="75">
        <f>(Matrix_prices!J731+$D$2)*IF($M$2="Prices in $/MWh",1,1/1000)</f>
        <v>60.84</v>
      </c>
      <c r="K743" s="76">
        <f>(Matrix_prices!K731+$D$2)*IF($M$2="Prices in $/MWh",1,1/1000)</f>
        <v>61.38</v>
      </c>
      <c r="L743" s="75">
        <f>(Matrix_prices!L731+$D$2)*IF($M$2="Prices in $/MWh",1,1/1000)</f>
        <v>21.44</v>
      </c>
      <c r="M743" s="76">
        <f>(Matrix_prices!M731+$D$2)*IF($M$2="Prices in $/MWh",1,1/1000)</f>
        <v>23.27</v>
      </c>
      <c r="N743" s="75">
        <f>(Matrix_prices!N731+$D$2)*IF($M$2="Prices in $/MWh",1,1/1000)</f>
        <v>23.89</v>
      </c>
    </row>
    <row r="744" spans="3:14" x14ac:dyDescent="0.25">
      <c r="C744" s="78">
        <f>Matrix_prices!C732</f>
        <v>42491</v>
      </c>
      <c r="D744" s="79" t="str">
        <f>Matrix_prices!D732</f>
        <v>OH</v>
      </c>
      <c r="E744" s="80" t="str">
        <f>Matrix_prices!E732</f>
        <v>Dayton</v>
      </c>
      <c r="F744" s="79" t="str">
        <f>Matrix_prices!F732</f>
        <v>SS</v>
      </c>
      <c r="G744" s="80" t="str">
        <f>Matrix_prices!G732</f>
        <v>Sec. Service</v>
      </c>
      <c r="H744" s="81" t="str">
        <f t="shared" si="34"/>
        <v>100-500 MWh</v>
      </c>
      <c r="I744" s="80">
        <f>(Matrix_prices!I732+$D$2)*IF($M$2="Prices in $/MWh",1,1/1000)</f>
        <v>57.59</v>
      </c>
      <c r="J744" s="79">
        <f>(Matrix_prices!J732+$D$2)*IF($M$2="Prices in $/MWh",1,1/1000)</f>
        <v>59.24</v>
      </c>
      <c r="K744" s="80">
        <f>(Matrix_prices!K732+$D$2)*IF($M$2="Prices in $/MWh",1,1/1000)</f>
        <v>59.78</v>
      </c>
      <c r="L744" s="79">
        <f>(Matrix_prices!L732+$D$2)*IF($M$2="Prices in $/MWh",1,1/1000)</f>
        <v>19.84</v>
      </c>
      <c r="M744" s="80">
        <f>(Matrix_prices!M732+$D$2)*IF($M$2="Prices in $/MWh",1,1/1000)</f>
        <v>21.67</v>
      </c>
      <c r="N744" s="79">
        <f>(Matrix_prices!N732+$D$2)*IF($M$2="Prices in $/MWh",1,1/1000)</f>
        <v>22.29</v>
      </c>
    </row>
    <row r="745" spans="3:14" x14ac:dyDescent="0.25">
      <c r="C745" s="82">
        <f>Matrix_prices!C733</f>
        <v>42491</v>
      </c>
      <c r="D745" s="83" t="str">
        <f>Matrix_prices!D733</f>
        <v>OH</v>
      </c>
      <c r="E745" s="84" t="str">
        <f>Matrix_prices!E733</f>
        <v>Dayton</v>
      </c>
      <c r="F745" s="83" t="str">
        <f>Matrix_prices!F733</f>
        <v>SS</v>
      </c>
      <c r="G745" s="84" t="str">
        <f>Matrix_prices!G733</f>
        <v>Sec. Service</v>
      </c>
      <c r="H745" s="85" t="str">
        <f t="shared" si="35"/>
        <v>500-2500 MWh</v>
      </c>
      <c r="I745" s="84">
        <f>(Matrix_prices!I733+$D$2)*IF($M$2="Prices in $/MWh",1,1/1000)</f>
        <v>56.54</v>
      </c>
      <c r="J745" s="83">
        <f>(Matrix_prices!J733+$D$2)*IF($M$2="Prices in $/MWh",1,1/1000)</f>
        <v>58.19</v>
      </c>
      <c r="K745" s="84">
        <f>(Matrix_prices!K733+$D$2)*IF($M$2="Prices in $/MWh",1,1/1000)</f>
        <v>58.73</v>
      </c>
      <c r="L745" s="83">
        <f>(Matrix_prices!L733+$D$2)*IF($M$2="Prices in $/MWh",1,1/1000)</f>
        <v>18.79</v>
      </c>
      <c r="M745" s="84">
        <f>(Matrix_prices!M733+$D$2)*IF($M$2="Prices in $/MWh",1,1/1000)</f>
        <v>20.62</v>
      </c>
      <c r="N745" s="83">
        <f>(Matrix_prices!N733+$D$2)*IF($M$2="Prices in $/MWh",1,1/1000)</f>
        <v>21.24</v>
      </c>
    </row>
    <row r="746" spans="3:14" x14ac:dyDescent="0.25">
      <c r="C746" s="151">
        <f>Matrix_prices!C734</f>
        <v>42522</v>
      </c>
      <c r="D746" s="152" t="str">
        <f>Matrix_prices!D734</f>
        <v>OH</v>
      </c>
      <c r="E746" s="153" t="str">
        <f>Matrix_prices!E734</f>
        <v>Dayton</v>
      </c>
      <c r="F746" s="152" t="str">
        <f>Matrix_prices!F734</f>
        <v>SS</v>
      </c>
      <c r="G746" s="153" t="str">
        <f>Matrix_prices!G734</f>
        <v>Sec. Service</v>
      </c>
      <c r="H746" s="157" t="str">
        <f t="shared" si="33"/>
        <v>0-100 MWh</v>
      </c>
      <c r="I746" s="153">
        <f>(Matrix_prices!I734+$D$2)*IF($M$2="Prices in $/MWh",1,1/1000)</f>
        <v>58.94</v>
      </c>
      <c r="J746" s="152">
        <f>(Matrix_prices!J734+$D$2)*IF($M$2="Prices in $/MWh",1,1/1000)</f>
        <v>60.43</v>
      </c>
      <c r="K746" s="153">
        <f>(Matrix_prices!K734+$D$2)*IF($M$2="Prices in $/MWh",1,1/1000)</f>
        <v>61.5</v>
      </c>
      <c r="L746" s="152">
        <f>(Matrix_prices!L734+$D$2)*IF($M$2="Prices in $/MWh",1,1/1000)</f>
        <v>21.11</v>
      </c>
      <c r="M746" s="153">
        <f>(Matrix_prices!M734+$D$2)*IF($M$2="Prices in $/MWh",1,1/1000)</f>
        <v>23.09</v>
      </c>
      <c r="N746" s="152">
        <f>(Matrix_prices!N734+$D$2)*IF($M$2="Prices in $/MWh",1,1/1000)</f>
        <v>23.96</v>
      </c>
    </row>
    <row r="747" spans="3:14" x14ac:dyDescent="0.25">
      <c r="C747" s="78">
        <f>Matrix_prices!C735</f>
        <v>42522</v>
      </c>
      <c r="D747" s="79" t="str">
        <f>Matrix_prices!D735</f>
        <v>OH</v>
      </c>
      <c r="E747" s="80" t="str">
        <f>Matrix_prices!E735</f>
        <v>Dayton</v>
      </c>
      <c r="F747" s="79" t="str">
        <f>Matrix_prices!F735</f>
        <v>SS</v>
      </c>
      <c r="G747" s="80" t="str">
        <f>Matrix_prices!G735</f>
        <v>Sec. Service</v>
      </c>
      <c r="H747" s="81" t="str">
        <f t="shared" si="34"/>
        <v>100-500 MWh</v>
      </c>
      <c r="I747" s="80">
        <f>(Matrix_prices!I735+$D$2)*IF($M$2="Prices in $/MWh",1,1/1000)</f>
        <v>57.34</v>
      </c>
      <c r="J747" s="79">
        <f>(Matrix_prices!J735+$D$2)*IF($M$2="Prices in $/MWh",1,1/1000)</f>
        <v>58.83</v>
      </c>
      <c r="K747" s="80">
        <f>(Matrix_prices!K735+$D$2)*IF($M$2="Prices in $/MWh",1,1/1000)</f>
        <v>59.9</v>
      </c>
      <c r="L747" s="79">
        <f>(Matrix_prices!L735+$D$2)*IF($M$2="Prices in $/MWh",1,1/1000)</f>
        <v>19.510000000000002</v>
      </c>
      <c r="M747" s="80">
        <f>(Matrix_prices!M735+$D$2)*IF($M$2="Prices in $/MWh",1,1/1000)</f>
        <v>21.49</v>
      </c>
      <c r="N747" s="79">
        <f>(Matrix_prices!N735+$D$2)*IF($M$2="Prices in $/MWh",1,1/1000)</f>
        <v>22.36</v>
      </c>
    </row>
    <row r="748" spans="3:14" x14ac:dyDescent="0.25">
      <c r="C748" s="82">
        <f>Matrix_prices!C736</f>
        <v>42522</v>
      </c>
      <c r="D748" s="83" t="str">
        <f>Matrix_prices!D736</f>
        <v>OH</v>
      </c>
      <c r="E748" s="84" t="str">
        <f>Matrix_prices!E736</f>
        <v>Dayton</v>
      </c>
      <c r="F748" s="83" t="str">
        <f>Matrix_prices!F736</f>
        <v>SS</v>
      </c>
      <c r="G748" s="84" t="str">
        <f>Matrix_prices!G736</f>
        <v>Sec. Service</v>
      </c>
      <c r="H748" s="85" t="str">
        <f t="shared" si="35"/>
        <v>500-2500 MWh</v>
      </c>
      <c r="I748" s="84">
        <f>(Matrix_prices!I736+$D$2)*IF($M$2="Prices in $/MWh",1,1/1000)</f>
        <v>56.29</v>
      </c>
      <c r="J748" s="83">
        <f>(Matrix_prices!J736+$D$2)*IF($M$2="Prices in $/MWh",1,1/1000)</f>
        <v>57.78</v>
      </c>
      <c r="K748" s="84">
        <f>(Matrix_prices!K736+$D$2)*IF($M$2="Prices in $/MWh",1,1/1000)</f>
        <v>58.85</v>
      </c>
      <c r="L748" s="83">
        <f>(Matrix_prices!L736+$D$2)*IF($M$2="Prices in $/MWh",1,1/1000)</f>
        <v>18.46</v>
      </c>
      <c r="M748" s="84">
        <f>(Matrix_prices!M736+$D$2)*IF($M$2="Prices in $/MWh",1,1/1000)</f>
        <v>20.440000000000001</v>
      </c>
      <c r="N748" s="83">
        <f>(Matrix_prices!N736+$D$2)*IF($M$2="Prices in $/MWh",1,1/1000)</f>
        <v>21.31</v>
      </c>
    </row>
    <row r="749" spans="3:14" x14ac:dyDescent="0.25">
      <c r="C749" s="74">
        <f>Matrix_prices!C737</f>
        <v>42552</v>
      </c>
      <c r="D749" s="75" t="str">
        <f>Matrix_prices!D737</f>
        <v>OH</v>
      </c>
      <c r="E749" s="76" t="str">
        <f>Matrix_prices!E737</f>
        <v>Dayton</v>
      </c>
      <c r="F749" s="75" t="str">
        <f>Matrix_prices!F737</f>
        <v>SS</v>
      </c>
      <c r="G749" s="76" t="str">
        <f>Matrix_prices!G737</f>
        <v>Sec. Service</v>
      </c>
      <c r="H749" s="157" t="str">
        <f t="shared" si="33"/>
        <v>0-100 MWh</v>
      </c>
      <c r="I749" s="76">
        <f>(Matrix_prices!I737+$D$2)*IF($M$2="Prices in $/MWh",1,1/1000)</f>
        <v>59.46</v>
      </c>
      <c r="J749" s="75">
        <f>(Matrix_prices!J737+$D$2)*IF($M$2="Prices in $/MWh",1,1/1000)</f>
        <v>60.58</v>
      </c>
      <c r="K749" s="76">
        <f>(Matrix_prices!K737+$D$2)*IF($M$2="Prices in $/MWh",1,1/1000)</f>
        <v>61.8</v>
      </c>
      <c r="L749" s="75">
        <f>(Matrix_prices!L737+$D$2)*IF($M$2="Prices in $/MWh",1,1/1000)</f>
        <v>21.59</v>
      </c>
      <c r="M749" s="76">
        <f>(Matrix_prices!M737+$D$2)*IF($M$2="Prices in $/MWh",1,1/1000)</f>
        <v>23.41</v>
      </c>
      <c r="N749" s="75">
        <f>(Matrix_prices!N737+$D$2)*IF($M$2="Prices in $/MWh",1,1/1000)</f>
        <v>24.29</v>
      </c>
    </row>
    <row r="750" spans="3:14" x14ac:dyDescent="0.25">
      <c r="C750" s="78">
        <f>Matrix_prices!C738</f>
        <v>42552</v>
      </c>
      <c r="D750" s="79" t="str">
        <f>Matrix_prices!D738</f>
        <v>OH</v>
      </c>
      <c r="E750" s="80" t="str">
        <f>Matrix_prices!E738</f>
        <v>Dayton</v>
      </c>
      <c r="F750" s="79" t="str">
        <f>Matrix_prices!F738</f>
        <v>SS</v>
      </c>
      <c r="G750" s="80" t="str">
        <f>Matrix_prices!G738</f>
        <v>Sec. Service</v>
      </c>
      <c r="H750" s="81" t="str">
        <f t="shared" si="34"/>
        <v>100-500 MWh</v>
      </c>
      <c r="I750" s="80">
        <f>(Matrix_prices!I738+$D$2)*IF($M$2="Prices in $/MWh",1,1/1000)</f>
        <v>57.86</v>
      </c>
      <c r="J750" s="79">
        <f>(Matrix_prices!J738+$D$2)*IF($M$2="Prices in $/MWh",1,1/1000)</f>
        <v>58.98</v>
      </c>
      <c r="K750" s="80">
        <f>(Matrix_prices!K738+$D$2)*IF($M$2="Prices in $/MWh",1,1/1000)</f>
        <v>60.2</v>
      </c>
      <c r="L750" s="79">
        <f>(Matrix_prices!L738+$D$2)*IF($M$2="Prices in $/MWh",1,1/1000)</f>
        <v>19.989999999999998</v>
      </c>
      <c r="M750" s="80">
        <f>(Matrix_prices!M738+$D$2)*IF($M$2="Prices in $/MWh",1,1/1000)</f>
        <v>21.81</v>
      </c>
      <c r="N750" s="79">
        <f>(Matrix_prices!N738+$D$2)*IF($M$2="Prices in $/MWh",1,1/1000)</f>
        <v>22.69</v>
      </c>
    </row>
    <row r="751" spans="3:14" x14ac:dyDescent="0.25">
      <c r="C751" s="82">
        <f>Matrix_prices!C739</f>
        <v>42552</v>
      </c>
      <c r="D751" s="83" t="str">
        <f>Matrix_prices!D739</f>
        <v>OH</v>
      </c>
      <c r="E751" s="84" t="str">
        <f>Matrix_prices!E739</f>
        <v>Dayton</v>
      </c>
      <c r="F751" s="83" t="str">
        <f>Matrix_prices!F739</f>
        <v>SS</v>
      </c>
      <c r="G751" s="84" t="str">
        <f>Matrix_prices!G739</f>
        <v>Sec. Service</v>
      </c>
      <c r="H751" s="85" t="str">
        <f t="shared" si="35"/>
        <v>500-2500 MWh</v>
      </c>
      <c r="I751" s="84">
        <f>(Matrix_prices!I739+$D$2)*IF($M$2="Prices in $/MWh",1,1/1000)</f>
        <v>56.81</v>
      </c>
      <c r="J751" s="83">
        <f>(Matrix_prices!J739+$D$2)*IF($M$2="Prices in $/MWh",1,1/1000)</f>
        <v>57.93</v>
      </c>
      <c r="K751" s="84">
        <f>(Matrix_prices!K739+$D$2)*IF($M$2="Prices in $/MWh",1,1/1000)</f>
        <v>59.15</v>
      </c>
      <c r="L751" s="83">
        <f>(Matrix_prices!L739+$D$2)*IF($M$2="Prices in $/MWh",1,1/1000)</f>
        <v>18.940000000000001</v>
      </c>
      <c r="M751" s="84">
        <f>(Matrix_prices!M739+$D$2)*IF($M$2="Prices in $/MWh",1,1/1000)</f>
        <v>20.76</v>
      </c>
      <c r="N751" s="83">
        <f>(Matrix_prices!N739+$D$2)*IF($M$2="Prices in $/MWh",1,1/1000)</f>
        <v>21.64</v>
      </c>
    </row>
    <row r="752" spans="3:14" x14ac:dyDescent="0.25">
      <c r="C752" s="151">
        <f>Matrix_prices!C740</f>
        <v>42583</v>
      </c>
      <c r="D752" s="152" t="str">
        <f>Matrix_prices!D740</f>
        <v>OH</v>
      </c>
      <c r="E752" s="153" t="str">
        <f>Matrix_prices!E740</f>
        <v>Dayton</v>
      </c>
      <c r="F752" s="152" t="str">
        <f>Matrix_prices!F740</f>
        <v>SS</v>
      </c>
      <c r="G752" s="153" t="str">
        <f>Matrix_prices!G740</f>
        <v>Sec. Service</v>
      </c>
      <c r="H752" s="157" t="str">
        <f t="shared" si="33"/>
        <v>0-100 MWh</v>
      </c>
      <c r="I752" s="153">
        <f>(Matrix_prices!I740+$D$2)*IF($M$2="Prices in $/MWh",1,1/1000)</f>
        <v>59.9</v>
      </c>
      <c r="J752" s="152">
        <f>(Matrix_prices!J740+$D$2)*IF($M$2="Prices in $/MWh",1,1/1000)</f>
        <v>60.61</v>
      </c>
      <c r="K752" s="153">
        <f>(Matrix_prices!K740+$D$2)*IF($M$2="Prices in $/MWh",1,1/1000)</f>
        <v>62.16</v>
      </c>
      <c r="L752" s="152">
        <f>(Matrix_prices!L740+$D$2)*IF($M$2="Prices in $/MWh",1,1/1000)</f>
        <v>22.07</v>
      </c>
      <c r="M752" s="153">
        <f>(Matrix_prices!M740+$D$2)*IF($M$2="Prices in $/MWh",1,1/1000)</f>
        <v>23.42</v>
      </c>
      <c r="N752" s="152">
        <f>(Matrix_prices!N740+$D$2)*IF($M$2="Prices in $/MWh",1,1/1000)</f>
        <v>24.62</v>
      </c>
    </row>
    <row r="753" spans="3:14" x14ac:dyDescent="0.25">
      <c r="C753" s="78">
        <f>Matrix_prices!C741</f>
        <v>42583</v>
      </c>
      <c r="D753" s="79" t="str">
        <f>Matrix_prices!D741</f>
        <v>OH</v>
      </c>
      <c r="E753" s="80" t="str">
        <f>Matrix_prices!E741</f>
        <v>Dayton</v>
      </c>
      <c r="F753" s="79" t="str">
        <f>Matrix_prices!F741</f>
        <v>SS</v>
      </c>
      <c r="G753" s="80" t="str">
        <f>Matrix_prices!G741</f>
        <v>Sec. Service</v>
      </c>
      <c r="H753" s="81" t="str">
        <f t="shared" si="34"/>
        <v>100-500 MWh</v>
      </c>
      <c r="I753" s="80">
        <f>(Matrix_prices!I741+$D$2)*IF($M$2="Prices in $/MWh",1,1/1000)</f>
        <v>58.3</v>
      </c>
      <c r="J753" s="79">
        <f>(Matrix_prices!J741+$D$2)*IF($M$2="Prices in $/MWh",1,1/1000)</f>
        <v>59.01</v>
      </c>
      <c r="K753" s="80">
        <f>(Matrix_prices!K741+$D$2)*IF($M$2="Prices in $/MWh",1,1/1000)</f>
        <v>60.56</v>
      </c>
      <c r="L753" s="79">
        <f>(Matrix_prices!L741+$D$2)*IF($M$2="Prices in $/MWh",1,1/1000)</f>
        <v>20.47</v>
      </c>
      <c r="M753" s="80">
        <f>(Matrix_prices!M741+$D$2)*IF($M$2="Prices in $/MWh",1,1/1000)</f>
        <v>21.82</v>
      </c>
      <c r="N753" s="79">
        <f>(Matrix_prices!N741+$D$2)*IF($M$2="Prices in $/MWh",1,1/1000)</f>
        <v>23.02</v>
      </c>
    </row>
    <row r="754" spans="3:14" x14ac:dyDescent="0.25">
      <c r="C754" s="82">
        <f>Matrix_prices!C742</f>
        <v>42583</v>
      </c>
      <c r="D754" s="83" t="str">
        <f>Matrix_prices!D742</f>
        <v>OH</v>
      </c>
      <c r="E754" s="84" t="str">
        <f>Matrix_prices!E742</f>
        <v>Dayton</v>
      </c>
      <c r="F754" s="83" t="str">
        <f>Matrix_prices!F742</f>
        <v>SS</v>
      </c>
      <c r="G754" s="84" t="str">
        <f>Matrix_prices!G742</f>
        <v>Sec. Service</v>
      </c>
      <c r="H754" s="85" t="str">
        <f t="shared" si="35"/>
        <v>500-2500 MWh</v>
      </c>
      <c r="I754" s="84">
        <f>(Matrix_prices!I742+$D$2)*IF($M$2="Prices in $/MWh",1,1/1000)</f>
        <v>57.25</v>
      </c>
      <c r="J754" s="83">
        <f>(Matrix_prices!J742+$D$2)*IF($M$2="Prices in $/MWh",1,1/1000)</f>
        <v>57.96</v>
      </c>
      <c r="K754" s="84">
        <f>(Matrix_prices!K742+$D$2)*IF($M$2="Prices in $/MWh",1,1/1000)</f>
        <v>59.51</v>
      </c>
      <c r="L754" s="83">
        <f>(Matrix_prices!L742+$D$2)*IF($M$2="Prices in $/MWh",1,1/1000)</f>
        <v>19.420000000000002</v>
      </c>
      <c r="M754" s="84">
        <f>(Matrix_prices!M742+$D$2)*IF($M$2="Prices in $/MWh",1,1/1000)</f>
        <v>20.77</v>
      </c>
      <c r="N754" s="83">
        <f>(Matrix_prices!N742+$D$2)*IF($M$2="Prices in $/MWh",1,1/1000)</f>
        <v>21.97</v>
      </c>
    </row>
    <row r="755" spans="3:14" x14ac:dyDescent="0.25">
      <c r="C755" s="74">
        <f>Matrix_prices!C743</f>
        <v>42614</v>
      </c>
      <c r="D755" s="75" t="str">
        <f>Matrix_prices!D743</f>
        <v>OH</v>
      </c>
      <c r="E755" s="76" t="str">
        <f>Matrix_prices!E743</f>
        <v>Dayton</v>
      </c>
      <c r="F755" s="75" t="str">
        <f>Matrix_prices!F743</f>
        <v>SS</v>
      </c>
      <c r="G755" s="76" t="str">
        <f>Matrix_prices!G743</f>
        <v>Sec. Service</v>
      </c>
      <c r="H755" s="157" t="str">
        <f t="shared" si="33"/>
        <v>0-100 MWh</v>
      </c>
      <c r="I755" s="76">
        <f>(Matrix_prices!I743+$D$2)*IF($M$2="Prices in $/MWh",1,1/1000)</f>
        <v>60.29</v>
      </c>
      <c r="J755" s="75">
        <f>(Matrix_prices!J743+$D$2)*IF($M$2="Prices in $/MWh",1,1/1000)</f>
        <v>60.82</v>
      </c>
      <c r="K755" s="76">
        <f>(Matrix_prices!K743+$D$2)*IF($M$2="Prices in $/MWh",1,1/1000)</f>
        <v>62.42</v>
      </c>
      <c r="L755" s="75">
        <f>(Matrix_prices!L743+$D$2)*IF($M$2="Prices in $/MWh",1,1/1000)</f>
        <v>22.54</v>
      </c>
      <c r="M755" s="76">
        <f>(Matrix_prices!M743+$D$2)*IF($M$2="Prices in $/MWh",1,1/1000)</f>
        <v>23.63</v>
      </c>
      <c r="N755" s="75">
        <f>(Matrix_prices!N743+$D$2)*IF($M$2="Prices in $/MWh",1,1/1000)</f>
        <v>24.94</v>
      </c>
    </row>
    <row r="756" spans="3:14" x14ac:dyDescent="0.25">
      <c r="C756" s="78">
        <f>Matrix_prices!C744</f>
        <v>42614</v>
      </c>
      <c r="D756" s="79" t="str">
        <f>Matrix_prices!D744</f>
        <v>OH</v>
      </c>
      <c r="E756" s="80" t="str">
        <f>Matrix_prices!E744</f>
        <v>Dayton</v>
      </c>
      <c r="F756" s="79" t="str">
        <f>Matrix_prices!F744</f>
        <v>SS</v>
      </c>
      <c r="G756" s="80" t="str">
        <f>Matrix_prices!G744</f>
        <v>Sec. Service</v>
      </c>
      <c r="H756" s="81" t="str">
        <f t="shared" si="34"/>
        <v>100-500 MWh</v>
      </c>
      <c r="I756" s="80">
        <f>(Matrix_prices!I744+$D$2)*IF($M$2="Prices in $/MWh",1,1/1000)</f>
        <v>58.69</v>
      </c>
      <c r="J756" s="79">
        <f>(Matrix_prices!J744+$D$2)*IF($M$2="Prices in $/MWh",1,1/1000)</f>
        <v>59.22</v>
      </c>
      <c r="K756" s="80">
        <f>(Matrix_prices!K744+$D$2)*IF($M$2="Prices in $/MWh",1,1/1000)</f>
        <v>60.82</v>
      </c>
      <c r="L756" s="79">
        <f>(Matrix_prices!L744+$D$2)*IF($M$2="Prices in $/MWh",1,1/1000)</f>
        <v>20.94</v>
      </c>
      <c r="M756" s="80">
        <f>(Matrix_prices!M744+$D$2)*IF($M$2="Prices in $/MWh",1,1/1000)</f>
        <v>22.03</v>
      </c>
      <c r="N756" s="79">
        <f>(Matrix_prices!N744+$D$2)*IF($M$2="Prices in $/MWh",1,1/1000)</f>
        <v>23.34</v>
      </c>
    </row>
    <row r="757" spans="3:14" x14ac:dyDescent="0.25">
      <c r="C757" s="82">
        <f>Matrix_prices!C745</f>
        <v>42614</v>
      </c>
      <c r="D757" s="83" t="str">
        <f>Matrix_prices!D745</f>
        <v>OH</v>
      </c>
      <c r="E757" s="84" t="str">
        <f>Matrix_prices!E745</f>
        <v>Dayton</v>
      </c>
      <c r="F757" s="83" t="str">
        <f>Matrix_prices!F745</f>
        <v>SS</v>
      </c>
      <c r="G757" s="84" t="str">
        <f>Matrix_prices!G745</f>
        <v>Sec. Service</v>
      </c>
      <c r="H757" s="85" t="str">
        <f t="shared" si="35"/>
        <v>500-2500 MWh</v>
      </c>
      <c r="I757" s="84">
        <f>(Matrix_prices!I745+$D$2)*IF($M$2="Prices in $/MWh",1,1/1000)</f>
        <v>57.64</v>
      </c>
      <c r="J757" s="83">
        <f>(Matrix_prices!J745+$D$2)*IF($M$2="Prices in $/MWh",1,1/1000)</f>
        <v>58.17</v>
      </c>
      <c r="K757" s="84">
        <f>(Matrix_prices!K745+$D$2)*IF($M$2="Prices in $/MWh",1,1/1000)</f>
        <v>59.77</v>
      </c>
      <c r="L757" s="83">
        <f>(Matrix_prices!L745+$D$2)*IF($M$2="Prices in $/MWh",1,1/1000)</f>
        <v>19.89</v>
      </c>
      <c r="M757" s="84">
        <f>(Matrix_prices!M745+$D$2)*IF($M$2="Prices in $/MWh",1,1/1000)</f>
        <v>20.98</v>
      </c>
      <c r="N757" s="83">
        <f>(Matrix_prices!N745+$D$2)*IF($M$2="Prices in $/MWh",1,1/1000)</f>
        <v>22.29</v>
      </c>
    </row>
    <row r="758" spans="3:14" x14ac:dyDescent="0.25">
      <c r="C758" s="151">
        <f>Matrix_prices!C746</f>
        <v>42644</v>
      </c>
      <c r="D758" s="152" t="str">
        <f>Matrix_prices!D746</f>
        <v>OH</v>
      </c>
      <c r="E758" s="153" t="str">
        <f>Matrix_prices!E746</f>
        <v>Dayton</v>
      </c>
      <c r="F758" s="152" t="str">
        <f>Matrix_prices!F746</f>
        <v>SS</v>
      </c>
      <c r="G758" s="153" t="str">
        <f>Matrix_prices!G746</f>
        <v>Sec. Service</v>
      </c>
      <c r="H758" s="157" t="str">
        <f t="shared" si="33"/>
        <v>0-100 MWh</v>
      </c>
      <c r="I758" s="153">
        <f>(Matrix_prices!I746+$D$2)*IF($M$2="Prices in $/MWh",1,1/1000)</f>
        <v>60.74</v>
      </c>
      <c r="J758" s="152">
        <f>(Matrix_prices!J746+$D$2)*IF($M$2="Prices in $/MWh",1,1/1000)</f>
        <v>60.9</v>
      </c>
      <c r="K758" s="153">
        <f>(Matrix_prices!K746+$D$2)*IF($M$2="Prices in $/MWh",1,1/1000)</f>
        <v>62.69</v>
      </c>
      <c r="L758" s="152">
        <f>(Matrix_prices!L746+$D$2)*IF($M$2="Prices in $/MWh",1,1/1000)</f>
        <v>23.02</v>
      </c>
      <c r="M758" s="153">
        <f>(Matrix_prices!M746+$D$2)*IF($M$2="Prices in $/MWh",1,1/1000)</f>
        <v>23.57</v>
      </c>
      <c r="N758" s="152">
        <f>(Matrix_prices!N746+$D$2)*IF($M$2="Prices in $/MWh",1,1/1000)</f>
        <v>25.27</v>
      </c>
    </row>
    <row r="759" spans="3:14" x14ac:dyDescent="0.25">
      <c r="C759" s="78">
        <f>Matrix_prices!C747</f>
        <v>42644</v>
      </c>
      <c r="D759" s="79" t="str">
        <f>Matrix_prices!D747</f>
        <v>OH</v>
      </c>
      <c r="E759" s="80" t="str">
        <f>Matrix_prices!E747</f>
        <v>Dayton</v>
      </c>
      <c r="F759" s="79" t="str">
        <f>Matrix_prices!F747</f>
        <v>SS</v>
      </c>
      <c r="G759" s="80" t="str">
        <f>Matrix_prices!G747</f>
        <v>Sec. Service</v>
      </c>
      <c r="H759" s="81" t="str">
        <f t="shared" si="34"/>
        <v>100-500 MWh</v>
      </c>
      <c r="I759" s="80">
        <f>(Matrix_prices!I747+$D$2)*IF($M$2="Prices in $/MWh",1,1/1000)</f>
        <v>59.14</v>
      </c>
      <c r="J759" s="79">
        <f>(Matrix_prices!J747+$D$2)*IF($M$2="Prices in $/MWh",1,1/1000)</f>
        <v>59.3</v>
      </c>
      <c r="K759" s="80">
        <f>(Matrix_prices!K747+$D$2)*IF($M$2="Prices in $/MWh",1,1/1000)</f>
        <v>61.09</v>
      </c>
      <c r="L759" s="79">
        <f>(Matrix_prices!L747+$D$2)*IF($M$2="Prices in $/MWh",1,1/1000)</f>
        <v>21.42</v>
      </c>
      <c r="M759" s="80">
        <f>(Matrix_prices!M747+$D$2)*IF($M$2="Prices in $/MWh",1,1/1000)</f>
        <v>21.97</v>
      </c>
      <c r="N759" s="79">
        <f>(Matrix_prices!N747+$D$2)*IF($M$2="Prices in $/MWh",1,1/1000)</f>
        <v>23.67</v>
      </c>
    </row>
    <row r="760" spans="3:14" x14ac:dyDescent="0.25">
      <c r="C760" s="82">
        <f>Matrix_prices!C748</f>
        <v>42644</v>
      </c>
      <c r="D760" s="83" t="str">
        <f>Matrix_prices!D748</f>
        <v>OH</v>
      </c>
      <c r="E760" s="84" t="str">
        <f>Matrix_prices!E748</f>
        <v>Dayton</v>
      </c>
      <c r="F760" s="83" t="str">
        <f>Matrix_prices!F748</f>
        <v>SS</v>
      </c>
      <c r="G760" s="84" t="str">
        <f>Matrix_prices!G748</f>
        <v>Sec. Service</v>
      </c>
      <c r="H760" s="85" t="str">
        <f t="shared" si="35"/>
        <v>500-2500 MWh</v>
      </c>
      <c r="I760" s="84">
        <f>(Matrix_prices!I748+$D$2)*IF($M$2="Prices in $/MWh",1,1/1000)</f>
        <v>58.09</v>
      </c>
      <c r="J760" s="83">
        <f>(Matrix_prices!J748+$D$2)*IF($M$2="Prices in $/MWh",1,1/1000)</f>
        <v>58.25</v>
      </c>
      <c r="K760" s="84">
        <f>(Matrix_prices!K748+$D$2)*IF($M$2="Prices in $/MWh",1,1/1000)</f>
        <v>60.04</v>
      </c>
      <c r="L760" s="83">
        <f>(Matrix_prices!L748+$D$2)*IF($M$2="Prices in $/MWh",1,1/1000)</f>
        <v>20.37</v>
      </c>
      <c r="M760" s="84">
        <f>(Matrix_prices!M748+$D$2)*IF($M$2="Prices in $/MWh",1,1/1000)</f>
        <v>20.92</v>
      </c>
      <c r="N760" s="83">
        <f>(Matrix_prices!N748+$D$2)*IF($M$2="Prices in $/MWh",1,1/1000)</f>
        <v>22.62</v>
      </c>
    </row>
    <row r="761" spans="3:14" x14ac:dyDescent="0.25">
      <c r="C761" s="74">
        <f>Matrix_prices!C749</f>
        <v>42675</v>
      </c>
      <c r="D761" s="75" t="str">
        <f>Matrix_prices!D749</f>
        <v>OH</v>
      </c>
      <c r="E761" s="76" t="str">
        <f>Matrix_prices!E749</f>
        <v>Dayton</v>
      </c>
      <c r="F761" s="75" t="str">
        <f>Matrix_prices!F749</f>
        <v>SS</v>
      </c>
      <c r="G761" s="76" t="str">
        <f>Matrix_prices!G749</f>
        <v>Sec. Service</v>
      </c>
      <c r="H761" s="157" t="str">
        <f t="shared" si="33"/>
        <v>0-100 MWh</v>
      </c>
      <c r="I761" s="76">
        <f>(Matrix_prices!I749+$D$2)*IF($M$2="Prices in $/MWh",1,1/1000)</f>
        <v>61.14</v>
      </c>
      <c r="J761" s="75">
        <f>(Matrix_prices!J749+$D$2)*IF($M$2="Prices in $/MWh",1,1/1000)</f>
        <v>61.73</v>
      </c>
      <c r="K761" s="76">
        <f>(Matrix_prices!K749+$D$2)*IF($M$2="Prices in $/MWh",1,1/1000)</f>
        <v>62.92</v>
      </c>
      <c r="L761" s="75">
        <f>(Matrix_prices!L749+$D$2)*IF($M$2="Prices in $/MWh",1,1/1000)</f>
        <v>23.46</v>
      </c>
      <c r="M761" s="76">
        <f>(Matrix_prices!M749+$D$2)*IF($M$2="Prices in $/MWh",1,1/1000)</f>
        <v>24.19</v>
      </c>
      <c r="N761" s="75">
        <f>(Matrix_prices!N749+$D$2)*IF($M$2="Prices in $/MWh",1,1/1000)</f>
        <v>25.55</v>
      </c>
    </row>
    <row r="762" spans="3:14" x14ac:dyDescent="0.25">
      <c r="C762" s="78">
        <f>Matrix_prices!C750</f>
        <v>42675</v>
      </c>
      <c r="D762" s="79" t="str">
        <f>Matrix_prices!D750</f>
        <v>OH</v>
      </c>
      <c r="E762" s="80" t="str">
        <f>Matrix_prices!E750</f>
        <v>Dayton</v>
      </c>
      <c r="F762" s="79" t="str">
        <f>Matrix_prices!F750</f>
        <v>SS</v>
      </c>
      <c r="G762" s="80" t="str">
        <f>Matrix_prices!G750</f>
        <v>Sec. Service</v>
      </c>
      <c r="H762" s="81" t="str">
        <f t="shared" si="34"/>
        <v>100-500 MWh</v>
      </c>
      <c r="I762" s="80">
        <f>(Matrix_prices!I750+$D$2)*IF($M$2="Prices in $/MWh",1,1/1000)</f>
        <v>59.54</v>
      </c>
      <c r="J762" s="79">
        <f>(Matrix_prices!J750+$D$2)*IF($M$2="Prices in $/MWh",1,1/1000)</f>
        <v>60.13</v>
      </c>
      <c r="K762" s="80">
        <f>(Matrix_prices!K750+$D$2)*IF($M$2="Prices in $/MWh",1,1/1000)</f>
        <v>61.32</v>
      </c>
      <c r="L762" s="79">
        <f>(Matrix_prices!L750+$D$2)*IF($M$2="Prices in $/MWh",1,1/1000)</f>
        <v>21.86</v>
      </c>
      <c r="M762" s="80">
        <f>(Matrix_prices!M750+$D$2)*IF($M$2="Prices in $/MWh",1,1/1000)</f>
        <v>22.59</v>
      </c>
      <c r="N762" s="79">
        <f>(Matrix_prices!N750+$D$2)*IF($M$2="Prices in $/MWh",1,1/1000)</f>
        <v>23.95</v>
      </c>
    </row>
    <row r="763" spans="3:14" x14ac:dyDescent="0.25">
      <c r="C763" s="82">
        <f>Matrix_prices!C751</f>
        <v>42675</v>
      </c>
      <c r="D763" s="83" t="str">
        <f>Matrix_prices!D751</f>
        <v>OH</v>
      </c>
      <c r="E763" s="84" t="str">
        <f>Matrix_prices!E751</f>
        <v>Dayton</v>
      </c>
      <c r="F763" s="83" t="str">
        <f>Matrix_prices!F751</f>
        <v>SS</v>
      </c>
      <c r="G763" s="84" t="str">
        <f>Matrix_prices!G751</f>
        <v>Sec. Service</v>
      </c>
      <c r="H763" s="85" t="str">
        <f t="shared" si="35"/>
        <v>500-2500 MWh</v>
      </c>
      <c r="I763" s="84">
        <f>(Matrix_prices!I751+$D$2)*IF($M$2="Prices in $/MWh",1,1/1000)</f>
        <v>58.49</v>
      </c>
      <c r="J763" s="83">
        <f>(Matrix_prices!J751+$D$2)*IF($M$2="Prices in $/MWh",1,1/1000)</f>
        <v>59.08</v>
      </c>
      <c r="K763" s="84">
        <f>(Matrix_prices!K751+$D$2)*IF($M$2="Prices in $/MWh",1,1/1000)</f>
        <v>60.27</v>
      </c>
      <c r="L763" s="83">
        <f>(Matrix_prices!L751+$D$2)*IF($M$2="Prices in $/MWh",1,1/1000)</f>
        <v>20.81</v>
      </c>
      <c r="M763" s="84">
        <f>(Matrix_prices!M751+$D$2)*IF($M$2="Prices in $/MWh",1,1/1000)</f>
        <v>21.54</v>
      </c>
      <c r="N763" s="83">
        <f>(Matrix_prices!N751+$D$2)*IF($M$2="Prices in $/MWh",1,1/1000)</f>
        <v>22.9</v>
      </c>
    </row>
    <row r="764" spans="3:14" x14ac:dyDescent="0.25">
      <c r="C764" s="151">
        <f>Matrix_prices!C752</f>
        <v>42705</v>
      </c>
      <c r="D764" s="152" t="str">
        <f>Matrix_prices!D752</f>
        <v>OH</v>
      </c>
      <c r="E764" s="153" t="str">
        <f>Matrix_prices!E752</f>
        <v>Dayton</v>
      </c>
      <c r="F764" s="152" t="str">
        <f>Matrix_prices!F752</f>
        <v>SS</v>
      </c>
      <c r="G764" s="153" t="str">
        <f>Matrix_prices!G752</f>
        <v>Sec. Service</v>
      </c>
      <c r="H764" s="157" t="str">
        <f t="shared" si="33"/>
        <v>0-100 MWh</v>
      </c>
      <c r="I764" s="153">
        <f>(Matrix_prices!I752+$D$2)*IF($M$2="Prices in $/MWh",1,1/1000)</f>
        <v>61.54</v>
      </c>
      <c r="J764" s="152">
        <f>(Matrix_prices!J752+$D$2)*IF($M$2="Prices in $/MWh",1,1/1000)</f>
        <v>62.57</v>
      </c>
      <c r="K764" s="153">
        <f>(Matrix_prices!K752+$D$2)*IF($M$2="Prices in $/MWh",1,1/1000)</f>
        <v>63.18</v>
      </c>
      <c r="L764" s="152">
        <f>(Matrix_prices!L752+$D$2)*IF($M$2="Prices in $/MWh",1,1/1000)</f>
        <v>23.93</v>
      </c>
      <c r="M764" s="153">
        <f>(Matrix_prices!M752+$D$2)*IF($M$2="Prices in $/MWh",1,1/1000)</f>
        <v>24.8</v>
      </c>
      <c r="N764" s="152">
        <f>(Matrix_prices!N752+$D$2)*IF($M$2="Prices in $/MWh",1,1/1000)</f>
        <v>25.87</v>
      </c>
    </row>
    <row r="765" spans="3:14" x14ac:dyDescent="0.25">
      <c r="C765" s="78">
        <f>Matrix_prices!C753</f>
        <v>42705</v>
      </c>
      <c r="D765" s="79" t="str">
        <f>Matrix_prices!D753</f>
        <v>OH</v>
      </c>
      <c r="E765" s="80" t="str">
        <f>Matrix_prices!E753</f>
        <v>Dayton</v>
      </c>
      <c r="F765" s="79" t="str">
        <f>Matrix_prices!F753</f>
        <v>SS</v>
      </c>
      <c r="G765" s="80" t="str">
        <f>Matrix_prices!G753</f>
        <v>Sec. Service</v>
      </c>
      <c r="H765" s="81" t="str">
        <f t="shared" si="34"/>
        <v>100-500 MWh</v>
      </c>
      <c r="I765" s="80">
        <f>(Matrix_prices!I753+$D$2)*IF($M$2="Prices in $/MWh",1,1/1000)</f>
        <v>59.94</v>
      </c>
      <c r="J765" s="79">
        <f>(Matrix_prices!J753+$D$2)*IF($M$2="Prices in $/MWh",1,1/1000)</f>
        <v>60.97</v>
      </c>
      <c r="K765" s="80">
        <f>(Matrix_prices!K753+$D$2)*IF($M$2="Prices in $/MWh",1,1/1000)</f>
        <v>61.58</v>
      </c>
      <c r="L765" s="79">
        <f>(Matrix_prices!L753+$D$2)*IF($M$2="Prices in $/MWh",1,1/1000)</f>
        <v>22.33</v>
      </c>
      <c r="M765" s="80">
        <f>(Matrix_prices!M753+$D$2)*IF($M$2="Prices in $/MWh",1,1/1000)</f>
        <v>23.2</v>
      </c>
      <c r="N765" s="79">
        <f>(Matrix_prices!N753+$D$2)*IF($M$2="Prices in $/MWh",1,1/1000)</f>
        <v>24.27</v>
      </c>
    </row>
    <row r="766" spans="3:14" x14ac:dyDescent="0.25">
      <c r="C766" s="82">
        <f>Matrix_prices!C754</f>
        <v>42705</v>
      </c>
      <c r="D766" s="83" t="str">
        <f>Matrix_prices!D754</f>
        <v>OH</v>
      </c>
      <c r="E766" s="84" t="str">
        <f>Matrix_prices!E754</f>
        <v>Dayton</v>
      </c>
      <c r="F766" s="83" t="str">
        <f>Matrix_prices!F754</f>
        <v>SS</v>
      </c>
      <c r="G766" s="84" t="str">
        <f>Matrix_prices!G754</f>
        <v>Sec. Service</v>
      </c>
      <c r="H766" s="85" t="str">
        <f t="shared" si="35"/>
        <v>500-2500 MWh</v>
      </c>
      <c r="I766" s="84">
        <f>(Matrix_prices!I754+$D$2)*IF($M$2="Prices in $/MWh",1,1/1000)</f>
        <v>58.89</v>
      </c>
      <c r="J766" s="83">
        <f>(Matrix_prices!J754+$D$2)*IF($M$2="Prices in $/MWh",1,1/1000)</f>
        <v>59.92</v>
      </c>
      <c r="K766" s="84">
        <f>(Matrix_prices!K754+$D$2)*IF($M$2="Prices in $/MWh",1,1/1000)</f>
        <v>60.53</v>
      </c>
      <c r="L766" s="83">
        <f>(Matrix_prices!L754+$D$2)*IF($M$2="Prices in $/MWh",1,1/1000)</f>
        <v>21.28</v>
      </c>
      <c r="M766" s="84">
        <f>(Matrix_prices!M754+$D$2)*IF($M$2="Prices in $/MWh",1,1/1000)</f>
        <v>22.15</v>
      </c>
      <c r="N766" s="83">
        <f>(Matrix_prices!N754+$D$2)*IF($M$2="Prices in $/MWh",1,1/1000)</f>
        <v>23.22</v>
      </c>
    </row>
    <row r="767" spans="3:14" x14ac:dyDescent="0.25">
      <c r="C767" s="74">
        <f>Matrix_prices!C755</f>
        <v>42736</v>
      </c>
      <c r="D767" s="75" t="str">
        <f>Matrix_prices!D755</f>
        <v>OH</v>
      </c>
      <c r="E767" s="76" t="str">
        <f>Matrix_prices!E755</f>
        <v>Dayton</v>
      </c>
      <c r="F767" s="75" t="str">
        <f>Matrix_prices!F755</f>
        <v>SS</v>
      </c>
      <c r="G767" s="76" t="str">
        <f>Matrix_prices!G755</f>
        <v>Sec. Service</v>
      </c>
      <c r="H767" s="157" t="str">
        <f t="shared" si="33"/>
        <v>0-100 MWh</v>
      </c>
      <c r="I767" s="76">
        <f>(Matrix_prices!I755+$D$2)*IF($M$2="Prices in $/MWh",1,1/1000)</f>
        <v>61.97</v>
      </c>
      <c r="J767" s="75">
        <f>(Matrix_prices!J755+$D$2)*IF($M$2="Prices in $/MWh",1,1/1000)</f>
        <v>63.14</v>
      </c>
      <c r="K767" s="76">
        <f>(Matrix_prices!K755+$D$2)*IF($M$2="Prices in $/MWh",1,1/1000)</f>
        <v>63.52</v>
      </c>
      <c r="L767" s="75">
        <f>(Matrix_prices!L755+$D$2)*IF($M$2="Prices in $/MWh",1,1/1000)</f>
        <v>24.44</v>
      </c>
      <c r="M767" s="76">
        <f>(Matrix_prices!M755+$D$2)*IF($M$2="Prices in $/MWh",1,1/1000)</f>
        <v>25.27</v>
      </c>
      <c r="N767" s="75">
        <f>(Matrix_prices!N755+$D$2)*IF($M$2="Prices in $/MWh",1,1/1000)</f>
        <v>26.21</v>
      </c>
    </row>
    <row r="768" spans="3:14" x14ac:dyDescent="0.25">
      <c r="C768" s="78">
        <f>Matrix_prices!C756</f>
        <v>42736</v>
      </c>
      <c r="D768" s="79" t="str">
        <f>Matrix_prices!D756</f>
        <v>OH</v>
      </c>
      <c r="E768" s="80" t="str">
        <f>Matrix_prices!E756</f>
        <v>Dayton</v>
      </c>
      <c r="F768" s="79" t="str">
        <f>Matrix_prices!F756</f>
        <v>SS</v>
      </c>
      <c r="G768" s="80" t="str">
        <f>Matrix_prices!G756</f>
        <v>Sec. Service</v>
      </c>
      <c r="H768" s="81" t="str">
        <f t="shared" si="34"/>
        <v>100-500 MWh</v>
      </c>
      <c r="I768" s="80">
        <f>(Matrix_prices!I756+$D$2)*IF($M$2="Prices in $/MWh",1,1/1000)</f>
        <v>60.37</v>
      </c>
      <c r="J768" s="79">
        <f>(Matrix_prices!J756+$D$2)*IF($M$2="Prices in $/MWh",1,1/1000)</f>
        <v>61.54</v>
      </c>
      <c r="K768" s="80">
        <f>(Matrix_prices!K756+$D$2)*IF($M$2="Prices in $/MWh",1,1/1000)</f>
        <v>61.92</v>
      </c>
      <c r="L768" s="79">
        <f>(Matrix_prices!L756+$D$2)*IF($M$2="Prices in $/MWh",1,1/1000)</f>
        <v>22.84</v>
      </c>
      <c r="M768" s="80">
        <f>(Matrix_prices!M756+$D$2)*IF($M$2="Prices in $/MWh",1,1/1000)</f>
        <v>23.67</v>
      </c>
      <c r="N768" s="79">
        <f>(Matrix_prices!N756+$D$2)*IF($M$2="Prices in $/MWh",1,1/1000)</f>
        <v>24.61</v>
      </c>
    </row>
    <row r="769" spans="3:14" x14ac:dyDescent="0.25">
      <c r="C769" s="82">
        <f>Matrix_prices!C757</f>
        <v>42736</v>
      </c>
      <c r="D769" s="83" t="str">
        <f>Matrix_prices!D757</f>
        <v>OH</v>
      </c>
      <c r="E769" s="84" t="str">
        <f>Matrix_prices!E757</f>
        <v>Dayton</v>
      </c>
      <c r="F769" s="83" t="str">
        <f>Matrix_prices!F757</f>
        <v>SS</v>
      </c>
      <c r="G769" s="84" t="str">
        <f>Matrix_prices!G757</f>
        <v>Sec. Service</v>
      </c>
      <c r="H769" s="85" t="str">
        <f t="shared" si="35"/>
        <v>500-2500 MWh</v>
      </c>
      <c r="I769" s="84">
        <f>(Matrix_prices!I757+$D$2)*IF($M$2="Prices in $/MWh",1,1/1000)</f>
        <v>59.32</v>
      </c>
      <c r="J769" s="83">
        <f>(Matrix_prices!J757+$D$2)*IF($M$2="Prices in $/MWh",1,1/1000)</f>
        <v>60.49</v>
      </c>
      <c r="K769" s="84">
        <f>(Matrix_prices!K757+$D$2)*IF($M$2="Prices in $/MWh",1,1/1000)</f>
        <v>60.87</v>
      </c>
      <c r="L769" s="83">
        <f>(Matrix_prices!L757+$D$2)*IF($M$2="Prices in $/MWh",1,1/1000)</f>
        <v>21.79</v>
      </c>
      <c r="M769" s="84">
        <f>(Matrix_prices!M757+$D$2)*IF($M$2="Prices in $/MWh",1,1/1000)</f>
        <v>22.62</v>
      </c>
      <c r="N769" s="83">
        <f>(Matrix_prices!N757+$D$2)*IF($M$2="Prices in $/MWh",1,1/1000)</f>
        <v>23.56</v>
      </c>
    </row>
    <row r="770" spans="3:14" x14ac:dyDescent="0.25">
      <c r="C770" s="151">
        <f>Matrix_prices!C758</f>
        <v>42401</v>
      </c>
      <c r="D770" s="152" t="str">
        <f>Matrix_prices!D758</f>
        <v>OH</v>
      </c>
      <c r="E770" s="153" t="str">
        <f>Matrix_prices!E758</f>
        <v>Duke</v>
      </c>
      <c r="F770" s="152" t="str">
        <f>Matrix_prices!F758</f>
        <v>DS</v>
      </c>
      <c r="G770" s="153" t="str">
        <f>Matrix_prices!G758</f>
        <v>General Service</v>
      </c>
      <c r="H770" s="157" t="str">
        <f t="shared" si="33"/>
        <v>0-100 MWh</v>
      </c>
      <c r="I770" s="153">
        <f>(Matrix_prices!I758+$D$2)*IF($M$2="Prices in $/MWh",1,1/1000)</f>
        <v>59.32</v>
      </c>
      <c r="J770" s="152">
        <f>(Matrix_prices!J758+$D$2)*IF($M$2="Prices in $/MWh",1,1/1000)</f>
        <v>59.98</v>
      </c>
      <c r="K770" s="153">
        <f>(Matrix_prices!K758+$D$2)*IF($M$2="Prices in $/MWh",1,1/1000)</f>
        <v>60.68</v>
      </c>
      <c r="L770" s="152">
        <f>(Matrix_prices!L758+$D$2)*IF($M$2="Prices in $/MWh",1,1/1000)</f>
        <v>22.91</v>
      </c>
      <c r="M770" s="153">
        <f>(Matrix_prices!M758+$D$2)*IF($M$2="Prices in $/MWh",1,1/1000)</f>
        <v>23.08</v>
      </c>
      <c r="N770" s="152">
        <f>(Matrix_prices!N758+$D$2)*IF($M$2="Prices in $/MWh",1,1/1000)</f>
        <v>24.16</v>
      </c>
    </row>
    <row r="771" spans="3:14" x14ac:dyDescent="0.25">
      <c r="C771" s="78">
        <f>Matrix_prices!C759</f>
        <v>42401</v>
      </c>
      <c r="D771" s="79" t="str">
        <f>Matrix_prices!D759</f>
        <v>OH</v>
      </c>
      <c r="E771" s="80" t="str">
        <f>Matrix_prices!E759</f>
        <v>Duke</v>
      </c>
      <c r="F771" s="79" t="str">
        <f>Matrix_prices!F759</f>
        <v>DS</v>
      </c>
      <c r="G771" s="80" t="str">
        <f>Matrix_prices!G759</f>
        <v>General Service</v>
      </c>
      <c r="H771" s="81" t="str">
        <f t="shared" si="34"/>
        <v>100-500 MWh</v>
      </c>
      <c r="I771" s="80">
        <f>(Matrix_prices!I759+$D$2)*IF($M$2="Prices in $/MWh",1,1/1000)</f>
        <v>57.72</v>
      </c>
      <c r="J771" s="79">
        <f>(Matrix_prices!J759+$D$2)*IF($M$2="Prices in $/MWh",1,1/1000)</f>
        <v>58.38</v>
      </c>
      <c r="K771" s="80">
        <f>(Matrix_prices!K759+$D$2)*IF($M$2="Prices in $/MWh",1,1/1000)</f>
        <v>59.08</v>
      </c>
      <c r="L771" s="79">
        <f>(Matrix_prices!L759+$D$2)*IF($M$2="Prices in $/MWh",1,1/1000)</f>
        <v>21.31</v>
      </c>
      <c r="M771" s="80">
        <f>(Matrix_prices!M759+$D$2)*IF($M$2="Prices in $/MWh",1,1/1000)</f>
        <v>21.48</v>
      </c>
      <c r="N771" s="79">
        <f>(Matrix_prices!N759+$D$2)*IF($M$2="Prices in $/MWh",1,1/1000)</f>
        <v>22.56</v>
      </c>
    </row>
    <row r="772" spans="3:14" x14ac:dyDescent="0.25">
      <c r="C772" s="82">
        <f>Matrix_prices!C760</f>
        <v>42401</v>
      </c>
      <c r="D772" s="83" t="str">
        <f>Matrix_prices!D760</f>
        <v>OH</v>
      </c>
      <c r="E772" s="84" t="str">
        <f>Matrix_prices!E760</f>
        <v>Duke</v>
      </c>
      <c r="F772" s="83" t="str">
        <f>Matrix_prices!F760</f>
        <v>DS</v>
      </c>
      <c r="G772" s="84" t="str">
        <f>Matrix_prices!G760</f>
        <v>General Service</v>
      </c>
      <c r="H772" s="85" t="str">
        <f t="shared" si="35"/>
        <v>500-2500 MWh</v>
      </c>
      <c r="I772" s="84">
        <f>(Matrix_prices!I760+$D$2)*IF($M$2="Prices in $/MWh",1,1/1000)</f>
        <v>56.67</v>
      </c>
      <c r="J772" s="83">
        <f>(Matrix_prices!J760+$D$2)*IF($M$2="Prices in $/MWh",1,1/1000)</f>
        <v>57.33</v>
      </c>
      <c r="K772" s="84">
        <f>(Matrix_prices!K760+$D$2)*IF($M$2="Prices in $/MWh",1,1/1000)</f>
        <v>58.03</v>
      </c>
      <c r="L772" s="83">
        <f>(Matrix_prices!L760+$D$2)*IF($M$2="Prices in $/MWh",1,1/1000)</f>
        <v>20.260000000000002</v>
      </c>
      <c r="M772" s="84">
        <f>(Matrix_prices!M760+$D$2)*IF($M$2="Prices in $/MWh",1,1/1000)</f>
        <v>20.43</v>
      </c>
      <c r="N772" s="83">
        <f>(Matrix_prices!N760+$D$2)*IF($M$2="Prices in $/MWh",1,1/1000)</f>
        <v>21.51</v>
      </c>
    </row>
    <row r="773" spans="3:14" x14ac:dyDescent="0.25">
      <c r="C773" s="74">
        <f>Matrix_prices!C761</f>
        <v>42430</v>
      </c>
      <c r="D773" s="75" t="str">
        <f>Matrix_prices!D761</f>
        <v>OH</v>
      </c>
      <c r="E773" s="76" t="str">
        <f>Matrix_prices!E761</f>
        <v>Duke</v>
      </c>
      <c r="F773" s="75" t="str">
        <f>Matrix_prices!F761</f>
        <v>DS</v>
      </c>
      <c r="G773" s="76" t="str">
        <f>Matrix_prices!G761</f>
        <v>General Service</v>
      </c>
      <c r="H773" s="157" t="str">
        <f t="shared" si="33"/>
        <v>0-100 MWh</v>
      </c>
      <c r="I773" s="76">
        <f>(Matrix_prices!I761+$D$2)*IF($M$2="Prices in $/MWh",1,1/1000)</f>
        <v>59.21</v>
      </c>
      <c r="J773" s="75">
        <f>(Matrix_prices!J761+$D$2)*IF($M$2="Prices in $/MWh",1,1/1000)</f>
        <v>60.04</v>
      </c>
      <c r="K773" s="76">
        <f>(Matrix_prices!K761+$D$2)*IF($M$2="Prices in $/MWh",1,1/1000)</f>
        <v>60.82</v>
      </c>
      <c r="L773" s="75">
        <f>(Matrix_prices!L761+$D$2)*IF($M$2="Prices in $/MWh",1,1/1000)</f>
        <v>22.61</v>
      </c>
      <c r="M773" s="76">
        <f>(Matrix_prices!M761+$D$2)*IF($M$2="Prices in $/MWh",1,1/1000)</f>
        <v>23.01</v>
      </c>
      <c r="N773" s="75">
        <f>(Matrix_prices!N761+$D$2)*IF($M$2="Prices in $/MWh",1,1/1000)</f>
        <v>24.23</v>
      </c>
    </row>
    <row r="774" spans="3:14" x14ac:dyDescent="0.25">
      <c r="C774" s="78">
        <f>Matrix_prices!C762</f>
        <v>42430</v>
      </c>
      <c r="D774" s="79" t="str">
        <f>Matrix_prices!D762</f>
        <v>OH</v>
      </c>
      <c r="E774" s="80" t="str">
        <f>Matrix_prices!E762</f>
        <v>Duke</v>
      </c>
      <c r="F774" s="79" t="str">
        <f>Matrix_prices!F762</f>
        <v>DS</v>
      </c>
      <c r="G774" s="80" t="str">
        <f>Matrix_prices!G762</f>
        <v>General Service</v>
      </c>
      <c r="H774" s="81" t="str">
        <f t="shared" si="34"/>
        <v>100-500 MWh</v>
      </c>
      <c r="I774" s="80">
        <f>(Matrix_prices!I762+$D$2)*IF($M$2="Prices in $/MWh",1,1/1000)</f>
        <v>57.61</v>
      </c>
      <c r="J774" s="79">
        <f>(Matrix_prices!J762+$D$2)*IF($M$2="Prices in $/MWh",1,1/1000)</f>
        <v>58.44</v>
      </c>
      <c r="K774" s="80">
        <f>(Matrix_prices!K762+$D$2)*IF($M$2="Prices in $/MWh",1,1/1000)</f>
        <v>59.22</v>
      </c>
      <c r="L774" s="79">
        <f>(Matrix_prices!L762+$D$2)*IF($M$2="Prices in $/MWh",1,1/1000)</f>
        <v>21.01</v>
      </c>
      <c r="M774" s="80">
        <f>(Matrix_prices!M762+$D$2)*IF($M$2="Prices in $/MWh",1,1/1000)</f>
        <v>21.41</v>
      </c>
      <c r="N774" s="79">
        <f>(Matrix_prices!N762+$D$2)*IF($M$2="Prices in $/MWh",1,1/1000)</f>
        <v>22.63</v>
      </c>
    </row>
    <row r="775" spans="3:14" x14ac:dyDescent="0.25">
      <c r="C775" s="82">
        <f>Matrix_prices!C763</f>
        <v>42430</v>
      </c>
      <c r="D775" s="83" t="str">
        <f>Matrix_prices!D763</f>
        <v>OH</v>
      </c>
      <c r="E775" s="84" t="str">
        <f>Matrix_prices!E763</f>
        <v>Duke</v>
      </c>
      <c r="F775" s="83" t="str">
        <f>Matrix_prices!F763</f>
        <v>DS</v>
      </c>
      <c r="G775" s="84" t="str">
        <f>Matrix_prices!G763</f>
        <v>General Service</v>
      </c>
      <c r="H775" s="85" t="str">
        <f t="shared" si="35"/>
        <v>500-2500 MWh</v>
      </c>
      <c r="I775" s="84">
        <f>(Matrix_prices!I763+$D$2)*IF($M$2="Prices in $/MWh",1,1/1000)</f>
        <v>56.56</v>
      </c>
      <c r="J775" s="83">
        <f>(Matrix_prices!J763+$D$2)*IF($M$2="Prices in $/MWh",1,1/1000)</f>
        <v>57.39</v>
      </c>
      <c r="K775" s="84">
        <f>(Matrix_prices!K763+$D$2)*IF($M$2="Prices in $/MWh",1,1/1000)</f>
        <v>58.17</v>
      </c>
      <c r="L775" s="83">
        <f>(Matrix_prices!L763+$D$2)*IF($M$2="Prices in $/MWh",1,1/1000)</f>
        <v>19.96</v>
      </c>
      <c r="M775" s="84">
        <f>(Matrix_prices!M763+$D$2)*IF($M$2="Prices in $/MWh",1,1/1000)</f>
        <v>20.36</v>
      </c>
      <c r="N775" s="83">
        <f>(Matrix_prices!N763+$D$2)*IF($M$2="Prices in $/MWh",1,1/1000)</f>
        <v>21.58</v>
      </c>
    </row>
    <row r="776" spans="3:14" x14ac:dyDescent="0.25">
      <c r="C776" s="151">
        <f>Matrix_prices!C764</f>
        <v>42461</v>
      </c>
      <c r="D776" s="152" t="str">
        <f>Matrix_prices!D764</f>
        <v>OH</v>
      </c>
      <c r="E776" s="153" t="str">
        <f>Matrix_prices!E764</f>
        <v>Duke</v>
      </c>
      <c r="F776" s="152" t="str">
        <f>Matrix_prices!F764</f>
        <v>DS</v>
      </c>
      <c r="G776" s="153" t="str">
        <f>Matrix_prices!G764</f>
        <v>General Service</v>
      </c>
      <c r="H776" s="157" t="str">
        <f t="shared" si="33"/>
        <v>0-100 MWh</v>
      </c>
      <c r="I776" s="153">
        <f>(Matrix_prices!I764+$D$2)*IF($M$2="Prices in $/MWh",1,1/1000)</f>
        <v>59.1</v>
      </c>
      <c r="J776" s="152">
        <f>(Matrix_prices!J764+$D$2)*IF($M$2="Prices in $/MWh",1,1/1000)</f>
        <v>59.94</v>
      </c>
      <c r="K776" s="153">
        <f>(Matrix_prices!K764+$D$2)*IF($M$2="Prices in $/MWh",1,1/1000)</f>
        <v>60.97</v>
      </c>
      <c r="L776" s="152">
        <f>(Matrix_prices!L764+$D$2)*IF($M$2="Prices in $/MWh",1,1/1000)</f>
        <v>22.28</v>
      </c>
      <c r="M776" s="153">
        <f>(Matrix_prices!M764+$D$2)*IF($M$2="Prices in $/MWh",1,1/1000)</f>
        <v>23.03</v>
      </c>
      <c r="N776" s="152">
        <f>(Matrix_prices!N764+$D$2)*IF($M$2="Prices in $/MWh",1,1/1000)</f>
        <v>24.31</v>
      </c>
    </row>
    <row r="777" spans="3:14" x14ac:dyDescent="0.25">
      <c r="C777" s="78">
        <f>Matrix_prices!C765</f>
        <v>42461</v>
      </c>
      <c r="D777" s="79" t="str">
        <f>Matrix_prices!D765</f>
        <v>OH</v>
      </c>
      <c r="E777" s="80" t="str">
        <f>Matrix_prices!E765</f>
        <v>Duke</v>
      </c>
      <c r="F777" s="79" t="str">
        <f>Matrix_prices!F765</f>
        <v>DS</v>
      </c>
      <c r="G777" s="80" t="str">
        <f>Matrix_prices!G765</f>
        <v>General Service</v>
      </c>
      <c r="H777" s="81" t="str">
        <f t="shared" si="34"/>
        <v>100-500 MWh</v>
      </c>
      <c r="I777" s="80">
        <f>(Matrix_prices!I765+$D$2)*IF($M$2="Prices in $/MWh",1,1/1000)</f>
        <v>57.5</v>
      </c>
      <c r="J777" s="79">
        <f>(Matrix_prices!J765+$D$2)*IF($M$2="Prices in $/MWh",1,1/1000)</f>
        <v>58.34</v>
      </c>
      <c r="K777" s="80">
        <f>(Matrix_prices!K765+$D$2)*IF($M$2="Prices in $/MWh",1,1/1000)</f>
        <v>59.37</v>
      </c>
      <c r="L777" s="79">
        <f>(Matrix_prices!L765+$D$2)*IF($M$2="Prices in $/MWh",1,1/1000)</f>
        <v>20.68</v>
      </c>
      <c r="M777" s="80">
        <f>(Matrix_prices!M765+$D$2)*IF($M$2="Prices in $/MWh",1,1/1000)</f>
        <v>21.43</v>
      </c>
      <c r="N777" s="79">
        <f>(Matrix_prices!N765+$D$2)*IF($M$2="Prices in $/MWh",1,1/1000)</f>
        <v>22.71</v>
      </c>
    </row>
    <row r="778" spans="3:14" x14ac:dyDescent="0.25">
      <c r="C778" s="82">
        <f>Matrix_prices!C766</f>
        <v>42461</v>
      </c>
      <c r="D778" s="83" t="str">
        <f>Matrix_prices!D766</f>
        <v>OH</v>
      </c>
      <c r="E778" s="84" t="str">
        <f>Matrix_prices!E766</f>
        <v>Duke</v>
      </c>
      <c r="F778" s="83" t="str">
        <f>Matrix_prices!F766</f>
        <v>DS</v>
      </c>
      <c r="G778" s="84" t="str">
        <f>Matrix_prices!G766</f>
        <v>General Service</v>
      </c>
      <c r="H778" s="85" t="str">
        <f t="shared" si="35"/>
        <v>500-2500 MWh</v>
      </c>
      <c r="I778" s="84">
        <f>(Matrix_prices!I766+$D$2)*IF($M$2="Prices in $/MWh",1,1/1000)</f>
        <v>56.45</v>
      </c>
      <c r="J778" s="83">
        <f>(Matrix_prices!J766+$D$2)*IF($M$2="Prices in $/MWh",1,1/1000)</f>
        <v>57.29</v>
      </c>
      <c r="K778" s="84">
        <f>(Matrix_prices!K766+$D$2)*IF($M$2="Prices in $/MWh",1,1/1000)</f>
        <v>58.32</v>
      </c>
      <c r="L778" s="83">
        <f>(Matrix_prices!L766+$D$2)*IF($M$2="Prices in $/MWh",1,1/1000)</f>
        <v>19.63</v>
      </c>
      <c r="M778" s="84">
        <f>(Matrix_prices!M766+$D$2)*IF($M$2="Prices in $/MWh",1,1/1000)</f>
        <v>20.38</v>
      </c>
      <c r="N778" s="83">
        <f>(Matrix_prices!N766+$D$2)*IF($M$2="Prices in $/MWh",1,1/1000)</f>
        <v>21.66</v>
      </c>
    </row>
    <row r="779" spans="3:14" x14ac:dyDescent="0.25">
      <c r="C779" s="74">
        <f>Matrix_prices!C767</f>
        <v>42491</v>
      </c>
      <c r="D779" s="75" t="str">
        <f>Matrix_prices!D767</f>
        <v>OH</v>
      </c>
      <c r="E779" s="76" t="str">
        <f>Matrix_prices!E767</f>
        <v>Duke</v>
      </c>
      <c r="F779" s="75" t="str">
        <f>Matrix_prices!F767</f>
        <v>DS</v>
      </c>
      <c r="G779" s="76" t="str">
        <f>Matrix_prices!G767</f>
        <v>General Service</v>
      </c>
      <c r="H779" s="157" t="str">
        <f t="shared" si="33"/>
        <v>0-100 MWh</v>
      </c>
      <c r="I779" s="76">
        <f>(Matrix_prices!I767+$D$2)*IF($M$2="Prices in $/MWh",1,1/1000)</f>
        <v>58.86</v>
      </c>
      <c r="J779" s="75">
        <f>(Matrix_prices!J767+$D$2)*IF($M$2="Prices in $/MWh",1,1/1000)</f>
        <v>59.95</v>
      </c>
      <c r="K779" s="76">
        <f>(Matrix_prices!K767+$D$2)*IF($M$2="Prices in $/MWh",1,1/1000)</f>
        <v>61.04</v>
      </c>
      <c r="L779" s="75">
        <f>(Matrix_prices!L767+$D$2)*IF($M$2="Prices in $/MWh",1,1/1000)</f>
        <v>21.97</v>
      </c>
      <c r="M779" s="76">
        <f>(Matrix_prices!M767+$D$2)*IF($M$2="Prices in $/MWh",1,1/1000)</f>
        <v>23.11</v>
      </c>
      <c r="N779" s="75">
        <f>(Matrix_prices!N767+$D$2)*IF($M$2="Prices in $/MWh",1,1/1000)</f>
        <v>24.37</v>
      </c>
    </row>
    <row r="780" spans="3:14" x14ac:dyDescent="0.25">
      <c r="C780" s="78">
        <f>Matrix_prices!C768</f>
        <v>42491</v>
      </c>
      <c r="D780" s="79" t="str">
        <f>Matrix_prices!D768</f>
        <v>OH</v>
      </c>
      <c r="E780" s="80" t="str">
        <f>Matrix_prices!E768</f>
        <v>Duke</v>
      </c>
      <c r="F780" s="79" t="str">
        <f>Matrix_prices!F768</f>
        <v>DS</v>
      </c>
      <c r="G780" s="80" t="str">
        <f>Matrix_prices!G768</f>
        <v>General Service</v>
      </c>
      <c r="H780" s="81" t="str">
        <f t="shared" si="34"/>
        <v>100-500 MWh</v>
      </c>
      <c r="I780" s="80">
        <f>(Matrix_prices!I768+$D$2)*IF($M$2="Prices in $/MWh",1,1/1000)</f>
        <v>57.26</v>
      </c>
      <c r="J780" s="79">
        <f>(Matrix_prices!J768+$D$2)*IF($M$2="Prices in $/MWh",1,1/1000)</f>
        <v>58.35</v>
      </c>
      <c r="K780" s="80">
        <f>(Matrix_prices!K768+$D$2)*IF($M$2="Prices in $/MWh",1,1/1000)</f>
        <v>59.44</v>
      </c>
      <c r="L780" s="79">
        <f>(Matrix_prices!L768+$D$2)*IF($M$2="Prices in $/MWh",1,1/1000)</f>
        <v>20.37</v>
      </c>
      <c r="M780" s="80">
        <f>(Matrix_prices!M768+$D$2)*IF($M$2="Prices in $/MWh",1,1/1000)</f>
        <v>21.51</v>
      </c>
      <c r="N780" s="79">
        <f>(Matrix_prices!N768+$D$2)*IF($M$2="Prices in $/MWh",1,1/1000)</f>
        <v>22.77</v>
      </c>
    </row>
    <row r="781" spans="3:14" x14ac:dyDescent="0.25">
      <c r="C781" s="82">
        <f>Matrix_prices!C769</f>
        <v>42491</v>
      </c>
      <c r="D781" s="83" t="str">
        <f>Matrix_prices!D769</f>
        <v>OH</v>
      </c>
      <c r="E781" s="84" t="str">
        <f>Matrix_prices!E769</f>
        <v>Duke</v>
      </c>
      <c r="F781" s="83" t="str">
        <f>Matrix_prices!F769</f>
        <v>DS</v>
      </c>
      <c r="G781" s="84" t="str">
        <f>Matrix_prices!G769</f>
        <v>General Service</v>
      </c>
      <c r="H781" s="85" t="str">
        <f t="shared" si="35"/>
        <v>500-2500 MWh</v>
      </c>
      <c r="I781" s="84">
        <f>(Matrix_prices!I769+$D$2)*IF($M$2="Prices in $/MWh",1,1/1000)</f>
        <v>56.21</v>
      </c>
      <c r="J781" s="83">
        <f>(Matrix_prices!J769+$D$2)*IF($M$2="Prices in $/MWh",1,1/1000)</f>
        <v>57.3</v>
      </c>
      <c r="K781" s="84">
        <f>(Matrix_prices!K769+$D$2)*IF($M$2="Prices in $/MWh",1,1/1000)</f>
        <v>58.39</v>
      </c>
      <c r="L781" s="83">
        <f>(Matrix_prices!L769+$D$2)*IF($M$2="Prices in $/MWh",1,1/1000)</f>
        <v>19.32</v>
      </c>
      <c r="M781" s="84">
        <f>(Matrix_prices!M769+$D$2)*IF($M$2="Prices in $/MWh",1,1/1000)</f>
        <v>20.46</v>
      </c>
      <c r="N781" s="83">
        <f>(Matrix_prices!N769+$D$2)*IF($M$2="Prices in $/MWh",1,1/1000)</f>
        <v>21.72</v>
      </c>
    </row>
    <row r="782" spans="3:14" x14ac:dyDescent="0.25">
      <c r="C782" s="151">
        <f>Matrix_prices!C770</f>
        <v>42522</v>
      </c>
      <c r="D782" s="152" t="str">
        <f>Matrix_prices!D770</f>
        <v>OH</v>
      </c>
      <c r="E782" s="153" t="str">
        <f>Matrix_prices!E770</f>
        <v>Duke</v>
      </c>
      <c r="F782" s="152" t="str">
        <f>Matrix_prices!F770</f>
        <v>DS</v>
      </c>
      <c r="G782" s="153" t="str">
        <f>Matrix_prices!G770</f>
        <v>General Service</v>
      </c>
      <c r="H782" s="157" t="str">
        <f t="shared" si="33"/>
        <v>0-100 MWh</v>
      </c>
      <c r="I782" s="153">
        <f>(Matrix_prices!I770+$D$2)*IF($M$2="Prices in $/MWh",1,1/1000)</f>
        <v>58.6</v>
      </c>
      <c r="J782" s="152">
        <f>(Matrix_prices!J770+$D$2)*IF($M$2="Prices in $/MWh",1,1/1000)</f>
        <v>59.96</v>
      </c>
      <c r="K782" s="153">
        <f>(Matrix_prices!K770+$D$2)*IF($M$2="Prices in $/MWh",1,1/1000)</f>
        <v>61.15</v>
      </c>
      <c r="L782" s="152">
        <f>(Matrix_prices!L770+$D$2)*IF($M$2="Prices in $/MWh",1,1/1000)</f>
        <v>21.62</v>
      </c>
      <c r="M782" s="153">
        <f>(Matrix_prices!M770+$D$2)*IF($M$2="Prices in $/MWh",1,1/1000)</f>
        <v>23.23</v>
      </c>
      <c r="N782" s="152">
        <f>(Matrix_prices!N770+$D$2)*IF($M$2="Prices in $/MWh",1,1/1000)</f>
        <v>24.44</v>
      </c>
    </row>
    <row r="783" spans="3:14" x14ac:dyDescent="0.25">
      <c r="C783" s="78">
        <f>Matrix_prices!C771</f>
        <v>42522</v>
      </c>
      <c r="D783" s="79" t="str">
        <f>Matrix_prices!D771</f>
        <v>OH</v>
      </c>
      <c r="E783" s="80" t="str">
        <f>Matrix_prices!E771</f>
        <v>Duke</v>
      </c>
      <c r="F783" s="79" t="str">
        <f>Matrix_prices!F771</f>
        <v>DS</v>
      </c>
      <c r="G783" s="80" t="str">
        <f>Matrix_prices!G771</f>
        <v>General Service</v>
      </c>
      <c r="H783" s="81" t="str">
        <f t="shared" si="34"/>
        <v>100-500 MWh</v>
      </c>
      <c r="I783" s="80">
        <f>(Matrix_prices!I771+$D$2)*IF($M$2="Prices in $/MWh",1,1/1000)</f>
        <v>57</v>
      </c>
      <c r="J783" s="79">
        <f>(Matrix_prices!J771+$D$2)*IF($M$2="Prices in $/MWh",1,1/1000)</f>
        <v>58.36</v>
      </c>
      <c r="K783" s="80">
        <f>(Matrix_prices!K771+$D$2)*IF($M$2="Prices in $/MWh",1,1/1000)</f>
        <v>59.55</v>
      </c>
      <c r="L783" s="79">
        <f>(Matrix_prices!L771+$D$2)*IF($M$2="Prices in $/MWh",1,1/1000)</f>
        <v>20.02</v>
      </c>
      <c r="M783" s="80">
        <f>(Matrix_prices!M771+$D$2)*IF($M$2="Prices in $/MWh",1,1/1000)</f>
        <v>21.63</v>
      </c>
      <c r="N783" s="79">
        <f>(Matrix_prices!N771+$D$2)*IF($M$2="Prices in $/MWh",1,1/1000)</f>
        <v>22.84</v>
      </c>
    </row>
    <row r="784" spans="3:14" x14ac:dyDescent="0.25">
      <c r="C784" s="82">
        <f>Matrix_prices!C772</f>
        <v>42522</v>
      </c>
      <c r="D784" s="83" t="str">
        <f>Matrix_prices!D772</f>
        <v>OH</v>
      </c>
      <c r="E784" s="84" t="str">
        <f>Matrix_prices!E772</f>
        <v>Duke</v>
      </c>
      <c r="F784" s="83" t="str">
        <f>Matrix_prices!F772</f>
        <v>DS</v>
      </c>
      <c r="G784" s="84" t="str">
        <f>Matrix_prices!G772</f>
        <v>General Service</v>
      </c>
      <c r="H784" s="85" t="str">
        <f t="shared" si="35"/>
        <v>500-2500 MWh</v>
      </c>
      <c r="I784" s="84">
        <f>(Matrix_prices!I772+$D$2)*IF($M$2="Prices in $/MWh",1,1/1000)</f>
        <v>55.95</v>
      </c>
      <c r="J784" s="83">
        <f>(Matrix_prices!J772+$D$2)*IF($M$2="Prices in $/MWh",1,1/1000)</f>
        <v>57.31</v>
      </c>
      <c r="K784" s="84">
        <f>(Matrix_prices!K772+$D$2)*IF($M$2="Prices in $/MWh",1,1/1000)</f>
        <v>58.5</v>
      </c>
      <c r="L784" s="83">
        <f>(Matrix_prices!L772+$D$2)*IF($M$2="Prices in $/MWh",1,1/1000)</f>
        <v>18.97</v>
      </c>
      <c r="M784" s="84">
        <f>(Matrix_prices!M772+$D$2)*IF($M$2="Prices in $/MWh",1,1/1000)</f>
        <v>20.58</v>
      </c>
      <c r="N784" s="83">
        <f>(Matrix_prices!N772+$D$2)*IF($M$2="Prices in $/MWh",1,1/1000)</f>
        <v>21.79</v>
      </c>
    </row>
    <row r="785" spans="3:14" x14ac:dyDescent="0.25">
      <c r="C785" s="74">
        <f>Matrix_prices!C773</f>
        <v>42552</v>
      </c>
      <c r="D785" s="75" t="str">
        <f>Matrix_prices!D773</f>
        <v>OH</v>
      </c>
      <c r="E785" s="76" t="str">
        <f>Matrix_prices!E773</f>
        <v>Duke</v>
      </c>
      <c r="F785" s="75" t="str">
        <f>Matrix_prices!F773</f>
        <v>DS</v>
      </c>
      <c r="G785" s="76" t="str">
        <f>Matrix_prices!G773</f>
        <v>General Service</v>
      </c>
      <c r="H785" s="157" t="str">
        <f t="shared" si="33"/>
        <v>0-100 MWh</v>
      </c>
      <c r="I785" s="76">
        <f>(Matrix_prices!I773+$D$2)*IF($M$2="Prices in $/MWh",1,1/1000)</f>
        <v>59.11</v>
      </c>
      <c r="J785" s="75">
        <f>(Matrix_prices!J773+$D$2)*IF($M$2="Prices in $/MWh",1,1/1000)</f>
        <v>60.28</v>
      </c>
      <c r="K785" s="76">
        <f>(Matrix_prices!K773+$D$2)*IF($M$2="Prices in $/MWh",1,1/1000)</f>
        <v>61.4</v>
      </c>
      <c r="L785" s="75">
        <f>(Matrix_prices!L773+$D$2)*IF($M$2="Prices in $/MWh",1,1/1000)</f>
        <v>22.08</v>
      </c>
      <c r="M785" s="76">
        <f>(Matrix_prices!M773+$D$2)*IF($M$2="Prices in $/MWh",1,1/1000)</f>
        <v>23.66</v>
      </c>
      <c r="N785" s="75">
        <f>(Matrix_prices!N773+$D$2)*IF($M$2="Prices in $/MWh",1,1/1000)</f>
        <v>24.72</v>
      </c>
    </row>
    <row r="786" spans="3:14" x14ac:dyDescent="0.25">
      <c r="C786" s="78">
        <f>Matrix_prices!C774</f>
        <v>42552</v>
      </c>
      <c r="D786" s="79" t="str">
        <f>Matrix_prices!D774</f>
        <v>OH</v>
      </c>
      <c r="E786" s="80" t="str">
        <f>Matrix_prices!E774</f>
        <v>Duke</v>
      </c>
      <c r="F786" s="79" t="str">
        <f>Matrix_prices!F774</f>
        <v>DS</v>
      </c>
      <c r="G786" s="80" t="str">
        <f>Matrix_prices!G774</f>
        <v>General Service</v>
      </c>
      <c r="H786" s="81" t="str">
        <f t="shared" si="34"/>
        <v>100-500 MWh</v>
      </c>
      <c r="I786" s="80">
        <f>(Matrix_prices!I774+$D$2)*IF($M$2="Prices in $/MWh",1,1/1000)</f>
        <v>57.51</v>
      </c>
      <c r="J786" s="79">
        <f>(Matrix_prices!J774+$D$2)*IF($M$2="Prices in $/MWh",1,1/1000)</f>
        <v>58.68</v>
      </c>
      <c r="K786" s="80">
        <f>(Matrix_prices!K774+$D$2)*IF($M$2="Prices in $/MWh",1,1/1000)</f>
        <v>59.8</v>
      </c>
      <c r="L786" s="79">
        <f>(Matrix_prices!L774+$D$2)*IF($M$2="Prices in $/MWh",1,1/1000)</f>
        <v>20.48</v>
      </c>
      <c r="M786" s="80">
        <f>(Matrix_prices!M774+$D$2)*IF($M$2="Prices in $/MWh",1,1/1000)</f>
        <v>22.06</v>
      </c>
      <c r="N786" s="79">
        <f>(Matrix_prices!N774+$D$2)*IF($M$2="Prices in $/MWh",1,1/1000)</f>
        <v>23.12</v>
      </c>
    </row>
    <row r="787" spans="3:14" x14ac:dyDescent="0.25">
      <c r="C787" s="82">
        <f>Matrix_prices!C775</f>
        <v>42552</v>
      </c>
      <c r="D787" s="83" t="str">
        <f>Matrix_prices!D775</f>
        <v>OH</v>
      </c>
      <c r="E787" s="84" t="str">
        <f>Matrix_prices!E775</f>
        <v>Duke</v>
      </c>
      <c r="F787" s="83" t="str">
        <f>Matrix_prices!F775</f>
        <v>DS</v>
      </c>
      <c r="G787" s="84" t="str">
        <f>Matrix_prices!G775</f>
        <v>General Service</v>
      </c>
      <c r="H787" s="85" t="str">
        <f t="shared" si="35"/>
        <v>500-2500 MWh</v>
      </c>
      <c r="I787" s="84">
        <f>(Matrix_prices!I775+$D$2)*IF($M$2="Prices in $/MWh",1,1/1000)</f>
        <v>56.46</v>
      </c>
      <c r="J787" s="83">
        <f>(Matrix_prices!J775+$D$2)*IF($M$2="Prices in $/MWh",1,1/1000)</f>
        <v>57.63</v>
      </c>
      <c r="K787" s="84">
        <f>(Matrix_prices!K775+$D$2)*IF($M$2="Prices in $/MWh",1,1/1000)</f>
        <v>58.75</v>
      </c>
      <c r="L787" s="83">
        <f>(Matrix_prices!L775+$D$2)*IF($M$2="Prices in $/MWh",1,1/1000)</f>
        <v>19.43</v>
      </c>
      <c r="M787" s="84">
        <f>(Matrix_prices!M775+$D$2)*IF($M$2="Prices in $/MWh",1,1/1000)</f>
        <v>21.01</v>
      </c>
      <c r="N787" s="83">
        <f>(Matrix_prices!N775+$D$2)*IF($M$2="Prices in $/MWh",1,1/1000)</f>
        <v>22.07</v>
      </c>
    </row>
    <row r="788" spans="3:14" x14ac:dyDescent="0.25">
      <c r="C788" s="151">
        <f>Matrix_prices!C776</f>
        <v>42583</v>
      </c>
      <c r="D788" s="152" t="str">
        <f>Matrix_prices!D776</f>
        <v>OH</v>
      </c>
      <c r="E788" s="153" t="str">
        <f>Matrix_prices!E776</f>
        <v>Duke</v>
      </c>
      <c r="F788" s="152" t="str">
        <f>Matrix_prices!F776</f>
        <v>DS</v>
      </c>
      <c r="G788" s="153" t="str">
        <f>Matrix_prices!G776</f>
        <v>General Service</v>
      </c>
      <c r="H788" s="157" t="str">
        <f t="shared" si="33"/>
        <v>0-100 MWh</v>
      </c>
      <c r="I788" s="153">
        <f>(Matrix_prices!I776+$D$2)*IF($M$2="Prices in $/MWh",1,1/1000)</f>
        <v>59.54</v>
      </c>
      <c r="J788" s="152">
        <f>(Matrix_prices!J776+$D$2)*IF($M$2="Prices in $/MWh",1,1/1000)</f>
        <v>60.62</v>
      </c>
      <c r="K788" s="153">
        <f>(Matrix_prices!K776+$D$2)*IF($M$2="Prices in $/MWh",1,1/1000)</f>
        <v>61.71</v>
      </c>
      <c r="L788" s="152">
        <f>(Matrix_prices!L776+$D$2)*IF($M$2="Prices in $/MWh",1,1/1000)</f>
        <v>22.57</v>
      </c>
      <c r="M788" s="153">
        <f>(Matrix_prices!M776+$D$2)*IF($M$2="Prices in $/MWh",1,1/1000)</f>
        <v>24.19</v>
      </c>
      <c r="N788" s="152">
        <f>(Matrix_prices!N776+$D$2)*IF($M$2="Prices in $/MWh",1,1/1000)</f>
        <v>25.03</v>
      </c>
    </row>
    <row r="789" spans="3:14" x14ac:dyDescent="0.25">
      <c r="C789" s="78">
        <f>Matrix_prices!C777</f>
        <v>42583</v>
      </c>
      <c r="D789" s="79" t="str">
        <f>Matrix_prices!D777</f>
        <v>OH</v>
      </c>
      <c r="E789" s="80" t="str">
        <f>Matrix_prices!E777</f>
        <v>Duke</v>
      </c>
      <c r="F789" s="79" t="str">
        <f>Matrix_prices!F777</f>
        <v>DS</v>
      </c>
      <c r="G789" s="80" t="str">
        <f>Matrix_prices!G777</f>
        <v>General Service</v>
      </c>
      <c r="H789" s="81" t="str">
        <f t="shared" si="34"/>
        <v>100-500 MWh</v>
      </c>
      <c r="I789" s="80">
        <f>(Matrix_prices!I777+$D$2)*IF($M$2="Prices in $/MWh",1,1/1000)</f>
        <v>57.94</v>
      </c>
      <c r="J789" s="79">
        <f>(Matrix_prices!J777+$D$2)*IF($M$2="Prices in $/MWh",1,1/1000)</f>
        <v>59.02</v>
      </c>
      <c r="K789" s="80">
        <f>(Matrix_prices!K777+$D$2)*IF($M$2="Prices in $/MWh",1,1/1000)</f>
        <v>60.11</v>
      </c>
      <c r="L789" s="79">
        <f>(Matrix_prices!L777+$D$2)*IF($M$2="Prices in $/MWh",1,1/1000)</f>
        <v>20.97</v>
      </c>
      <c r="M789" s="80">
        <f>(Matrix_prices!M777+$D$2)*IF($M$2="Prices in $/MWh",1,1/1000)</f>
        <v>22.59</v>
      </c>
      <c r="N789" s="79">
        <f>(Matrix_prices!N777+$D$2)*IF($M$2="Prices in $/MWh",1,1/1000)</f>
        <v>23.43</v>
      </c>
    </row>
    <row r="790" spans="3:14" x14ac:dyDescent="0.25">
      <c r="C790" s="82">
        <f>Matrix_prices!C778</f>
        <v>42583</v>
      </c>
      <c r="D790" s="83" t="str">
        <f>Matrix_prices!D778</f>
        <v>OH</v>
      </c>
      <c r="E790" s="84" t="str">
        <f>Matrix_prices!E778</f>
        <v>Duke</v>
      </c>
      <c r="F790" s="83" t="str">
        <f>Matrix_prices!F778</f>
        <v>DS</v>
      </c>
      <c r="G790" s="84" t="str">
        <f>Matrix_prices!G778</f>
        <v>General Service</v>
      </c>
      <c r="H790" s="85" t="str">
        <f t="shared" si="35"/>
        <v>500-2500 MWh</v>
      </c>
      <c r="I790" s="84">
        <f>(Matrix_prices!I778+$D$2)*IF($M$2="Prices in $/MWh",1,1/1000)</f>
        <v>56.89</v>
      </c>
      <c r="J790" s="83">
        <f>(Matrix_prices!J778+$D$2)*IF($M$2="Prices in $/MWh",1,1/1000)</f>
        <v>57.97</v>
      </c>
      <c r="K790" s="84">
        <f>(Matrix_prices!K778+$D$2)*IF($M$2="Prices in $/MWh",1,1/1000)</f>
        <v>59.06</v>
      </c>
      <c r="L790" s="83">
        <f>(Matrix_prices!L778+$D$2)*IF($M$2="Prices in $/MWh",1,1/1000)</f>
        <v>19.920000000000002</v>
      </c>
      <c r="M790" s="84">
        <f>(Matrix_prices!M778+$D$2)*IF($M$2="Prices in $/MWh",1,1/1000)</f>
        <v>21.54</v>
      </c>
      <c r="N790" s="83">
        <f>(Matrix_prices!N778+$D$2)*IF($M$2="Prices in $/MWh",1,1/1000)</f>
        <v>22.38</v>
      </c>
    </row>
    <row r="791" spans="3:14" x14ac:dyDescent="0.25">
      <c r="C791" s="74">
        <f>Matrix_prices!C779</f>
        <v>42614</v>
      </c>
      <c r="D791" s="75" t="str">
        <f>Matrix_prices!D779</f>
        <v>OH</v>
      </c>
      <c r="E791" s="76" t="str">
        <f>Matrix_prices!E779</f>
        <v>Duke</v>
      </c>
      <c r="F791" s="75" t="str">
        <f>Matrix_prices!F779</f>
        <v>DS</v>
      </c>
      <c r="G791" s="76" t="str">
        <f>Matrix_prices!G779</f>
        <v>General Service</v>
      </c>
      <c r="H791" s="157" t="str">
        <f t="shared" si="33"/>
        <v>0-100 MWh</v>
      </c>
      <c r="I791" s="76">
        <f>(Matrix_prices!I779+$D$2)*IF($M$2="Prices in $/MWh",1,1/1000)</f>
        <v>59.92</v>
      </c>
      <c r="J791" s="75">
        <f>(Matrix_prices!J779+$D$2)*IF($M$2="Prices in $/MWh",1,1/1000)</f>
        <v>61.03</v>
      </c>
      <c r="K791" s="76">
        <f>(Matrix_prices!K779+$D$2)*IF($M$2="Prices in $/MWh",1,1/1000)</f>
        <v>61.96</v>
      </c>
      <c r="L791" s="75">
        <f>(Matrix_prices!L779+$D$2)*IF($M$2="Prices in $/MWh",1,1/1000)</f>
        <v>23.05</v>
      </c>
      <c r="M791" s="76">
        <f>(Matrix_prices!M779+$D$2)*IF($M$2="Prices in $/MWh",1,1/1000)</f>
        <v>24.7</v>
      </c>
      <c r="N791" s="75">
        <f>(Matrix_prices!N779+$D$2)*IF($M$2="Prices in $/MWh",1,1/1000)</f>
        <v>25.33</v>
      </c>
    </row>
    <row r="792" spans="3:14" x14ac:dyDescent="0.25">
      <c r="C792" s="78">
        <f>Matrix_prices!C780</f>
        <v>42614</v>
      </c>
      <c r="D792" s="79" t="str">
        <f>Matrix_prices!D780</f>
        <v>OH</v>
      </c>
      <c r="E792" s="80" t="str">
        <f>Matrix_prices!E780</f>
        <v>Duke</v>
      </c>
      <c r="F792" s="79" t="str">
        <f>Matrix_prices!F780</f>
        <v>DS</v>
      </c>
      <c r="G792" s="80" t="str">
        <f>Matrix_prices!G780</f>
        <v>General Service</v>
      </c>
      <c r="H792" s="81" t="str">
        <f t="shared" si="34"/>
        <v>100-500 MWh</v>
      </c>
      <c r="I792" s="80">
        <f>(Matrix_prices!I780+$D$2)*IF($M$2="Prices in $/MWh",1,1/1000)</f>
        <v>58.32</v>
      </c>
      <c r="J792" s="79">
        <f>(Matrix_prices!J780+$D$2)*IF($M$2="Prices in $/MWh",1,1/1000)</f>
        <v>59.43</v>
      </c>
      <c r="K792" s="80">
        <f>(Matrix_prices!K780+$D$2)*IF($M$2="Prices in $/MWh",1,1/1000)</f>
        <v>60.36</v>
      </c>
      <c r="L792" s="79">
        <f>(Matrix_prices!L780+$D$2)*IF($M$2="Prices in $/MWh",1,1/1000)</f>
        <v>21.45</v>
      </c>
      <c r="M792" s="80">
        <f>(Matrix_prices!M780+$D$2)*IF($M$2="Prices in $/MWh",1,1/1000)</f>
        <v>23.1</v>
      </c>
      <c r="N792" s="79">
        <f>(Matrix_prices!N780+$D$2)*IF($M$2="Prices in $/MWh",1,1/1000)</f>
        <v>23.73</v>
      </c>
    </row>
    <row r="793" spans="3:14" x14ac:dyDescent="0.25">
      <c r="C793" s="82">
        <f>Matrix_prices!C781</f>
        <v>42614</v>
      </c>
      <c r="D793" s="83" t="str">
        <f>Matrix_prices!D781</f>
        <v>OH</v>
      </c>
      <c r="E793" s="84" t="str">
        <f>Matrix_prices!E781</f>
        <v>Duke</v>
      </c>
      <c r="F793" s="83" t="str">
        <f>Matrix_prices!F781</f>
        <v>DS</v>
      </c>
      <c r="G793" s="84" t="str">
        <f>Matrix_prices!G781</f>
        <v>General Service</v>
      </c>
      <c r="H793" s="85" t="str">
        <f t="shared" si="35"/>
        <v>500-2500 MWh</v>
      </c>
      <c r="I793" s="84">
        <f>(Matrix_prices!I781+$D$2)*IF($M$2="Prices in $/MWh",1,1/1000)</f>
        <v>57.27</v>
      </c>
      <c r="J793" s="83">
        <f>(Matrix_prices!J781+$D$2)*IF($M$2="Prices in $/MWh",1,1/1000)</f>
        <v>58.38</v>
      </c>
      <c r="K793" s="84">
        <f>(Matrix_prices!K781+$D$2)*IF($M$2="Prices in $/MWh",1,1/1000)</f>
        <v>59.31</v>
      </c>
      <c r="L793" s="83">
        <f>(Matrix_prices!L781+$D$2)*IF($M$2="Prices in $/MWh",1,1/1000)</f>
        <v>20.399999999999999</v>
      </c>
      <c r="M793" s="84">
        <f>(Matrix_prices!M781+$D$2)*IF($M$2="Prices in $/MWh",1,1/1000)</f>
        <v>22.05</v>
      </c>
      <c r="N793" s="83">
        <f>(Matrix_prices!N781+$D$2)*IF($M$2="Prices in $/MWh",1,1/1000)</f>
        <v>22.68</v>
      </c>
    </row>
    <row r="794" spans="3:14" x14ac:dyDescent="0.25">
      <c r="C794" s="151">
        <f>Matrix_prices!C782</f>
        <v>42644</v>
      </c>
      <c r="D794" s="152" t="str">
        <f>Matrix_prices!D782</f>
        <v>OH</v>
      </c>
      <c r="E794" s="153" t="str">
        <f>Matrix_prices!E782</f>
        <v>Duke</v>
      </c>
      <c r="F794" s="152" t="str">
        <f>Matrix_prices!F782</f>
        <v>DS</v>
      </c>
      <c r="G794" s="153" t="str">
        <f>Matrix_prices!G782</f>
        <v>General Service</v>
      </c>
      <c r="H794" s="157" t="str">
        <f t="shared" si="33"/>
        <v>0-100 MWh</v>
      </c>
      <c r="I794" s="153">
        <f>(Matrix_prices!I782+$D$2)*IF($M$2="Prices in $/MWh",1,1/1000)</f>
        <v>60.36</v>
      </c>
      <c r="J794" s="152">
        <f>(Matrix_prices!J782+$D$2)*IF($M$2="Prices in $/MWh",1,1/1000)</f>
        <v>61.65</v>
      </c>
      <c r="K794" s="153">
        <f>(Matrix_prices!K782+$D$2)*IF($M$2="Prices in $/MWh",1,1/1000)</f>
        <v>62.19</v>
      </c>
      <c r="L794" s="152">
        <f>(Matrix_prices!L782+$D$2)*IF($M$2="Prices in $/MWh",1,1/1000)</f>
        <v>23.52</v>
      </c>
      <c r="M794" s="153">
        <f>(Matrix_prices!M782+$D$2)*IF($M$2="Prices in $/MWh",1,1/1000)</f>
        <v>25.12</v>
      </c>
      <c r="N794" s="152">
        <f>(Matrix_prices!N782+$D$2)*IF($M$2="Prices in $/MWh",1,1/1000)</f>
        <v>25.64</v>
      </c>
    </row>
    <row r="795" spans="3:14" x14ac:dyDescent="0.25">
      <c r="C795" s="78">
        <f>Matrix_prices!C783</f>
        <v>42644</v>
      </c>
      <c r="D795" s="79" t="str">
        <f>Matrix_prices!D783</f>
        <v>OH</v>
      </c>
      <c r="E795" s="80" t="str">
        <f>Matrix_prices!E783</f>
        <v>Duke</v>
      </c>
      <c r="F795" s="79" t="str">
        <f>Matrix_prices!F783</f>
        <v>DS</v>
      </c>
      <c r="G795" s="80" t="str">
        <f>Matrix_prices!G783</f>
        <v>General Service</v>
      </c>
      <c r="H795" s="81" t="str">
        <f t="shared" si="34"/>
        <v>100-500 MWh</v>
      </c>
      <c r="I795" s="80">
        <f>(Matrix_prices!I783+$D$2)*IF($M$2="Prices in $/MWh",1,1/1000)</f>
        <v>58.76</v>
      </c>
      <c r="J795" s="79">
        <f>(Matrix_prices!J783+$D$2)*IF($M$2="Prices in $/MWh",1,1/1000)</f>
        <v>60.05</v>
      </c>
      <c r="K795" s="80">
        <f>(Matrix_prices!K783+$D$2)*IF($M$2="Prices in $/MWh",1,1/1000)</f>
        <v>60.59</v>
      </c>
      <c r="L795" s="79">
        <f>(Matrix_prices!L783+$D$2)*IF($M$2="Prices in $/MWh",1,1/1000)</f>
        <v>21.92</v>
      </c>
      <c r="M795" s="80">
        <f>(Matrix_prices!M783+$D$2)*IF($M$2="Prices in $/MWh",1,1/1000)</f>
        <v>23.52</v>
      </c>
      <c r="N795" s="79">
        <f>(Matrix_prices!N783+$D$2)*IF($M$2="Prices in $/MWh",1,1/1000)</f>
        <v>24.04</v>
      </c>
    </row>
    <row r="796" spans="3:14" x14ac:dyDescent="0.25">
      <c r="C796" s="82">
        <f>Matrix_prices!C784</f>
        <v>42644</v>
      </c>
      <c r="D796" s="83" t="str">
        <f>Matrix_prices!D784</f>
        <v>OH</v>
      </c>
      <c r="E796" s="84" t="str">
        <f>Matrix_prices!E784</f>
        <v>Duke</v>
      </c>
      <c r="F796" s="83" t="str">
        <f>Matrix_prices!F784</f>
        <v>DS</v>
      </c>
      <c r="G796" s="84" t="str">
        <f>Matrix_prices!G784</f>
        <v>General Service</v>
      </c>
      <c r="H796" s="85" t="str">
        <f t="shared" si="35"/>
        <v>500-2500 MWh</v>
      </c>
      <c r="I796" s="84">
        <f>(Matrix_prices!I784+$D$2)*IF($M$2="Prices in $/MWh",1,1/1000)</f>
        <v>57.71</v>
      </c>
      <c r="J796" s="83">
        <f>(Matrix_prices!J784+$D$2)*IF($M$2="Prices in $/MWh",1,1/1000)</f>
        <v>59</v>
      </c>
      <c r="K796" s="84">
        <f>(Matrix_prices!K784+$D$2)*IF($M$2="Prices in $/MWh",1,1/1000)</f>
        <v>59.54</v>
      </c>
      <c r="L796" s="83">
        <f>(Matrix_prices!L784+$D$2)*IF($M$2="Prices in $/MWh",1,1/1000)</f>
        <v>20.87</v>
      </c>
      <c r="M796" s="84">
        <f>(Matrix_prices!M784+$D$2)*IF($M$2="Prices in $/MWh",1,1/1000)</f>
        <v>22.47</v>
      </c>
      <c r="N796" s="83">
        <f>(Matrix_prices!N784+$D$2)*IF($M$2="Prices in $/MWh",1,1/1000)</f>
        <v>22.99</v>
      </c>
    </row>
    <row r="797" spans="3:14" x14ac:dyDescent="0.25">
      <c r="C797" s="74">
        <f>Matrix_prices!C785</f>
        <v>42675</v>
      </c>
      <c r="D797" s="75" t="str">
        <f>Matrix_prices!D785</f>
        <v>OH</v>
      </c>
      <c r="E797" s="76" t="str">
        <f>Matrix_prices!E785</f>
        <v>Duke</v>
      </c>
      <c r="F797" s="75" t="str">
        <f>Matrix_prices!F785</f>
        <v>DS</v>
      </c>
      <c r="G797" s="76" t="str">
        <f>Matrix_prices!G785</f>
        <v>General Service</v>
      </c>
      <c r="H797" s="157" t="str">
        <f t="shared" ref="H797:H860" si="36">IF($M$2="Prices in $/MWh","0-100 MWh","0-100,000 kWh")</f>
        <v>0-100 MWh</v>
      </c>
      <c r="I797" s="76">
        <f>(Matrix_prices!I785+$D$2)*IF($M$2="Prices in $/MWh",1,1/1000)</f>
        <v>60.82</v>
      </c>
      <c r="J797" s="75">
        <f>(Matrix_prices!J785+$D$2)*IF($M$2="Prices in $/MWh",1,1/1000)</f>
        <v>62.05</v>
      </c>
      <c r="K797" s="76">
        <f>(Matrix_prices!K785+$D$2)*IF($M$2="Prices in $/MWh",1,1/1000)</f>
        <v>62.47</v>
      </c>
      <c r="L797" s="75">
        <f>(Matrix_prices!L785+$D$2)*IF($M$2="Prices in $/MWh",1,1/1000)</f>
        <v>23.99</v>
      </c>
      <c r="M797" s="76">
        <f>(Matrix_prices!M785+$D$2)*IF($M$2="Prices in $/MWh",1,1/1000)</f>
        <v>25.45</v>
      </c>
      <c r="N797" s="75">
        <f>(Matrix_prices!N785+$D$2)*IF($M$2="Prices in $/MWh",1,1/1000)</f>
        <v>25.93</v>
      </c>
    </row>
    <row r="798" spans="3:14" x14ac:dyDescent="0.25">
      <c r="C798" s="78">
        <f>Matrix_prices!C786</f>
        <v>42675</v>
      </c>
      <c r="D798" s="79" t="str">
        <f>Matrix_prices!D786</f>
        <v>OH</v>
      </c>
      <c r="E798" s="80" t="str">
        <f>Matrix_prices!E786</f>
        <v>Duke</v>
      </c>
      <c r="F798" s="79" t="str">
        <f>Matrix_prices!F786</f>
        <v>DS</v>
      </c>
      <c r="G798" s="80" t="str">
        <f>Matrix_prices!G786</f>
        <v>General Service</v>
      </c>
      <c r="H798" s="81" t="str">
        <f t="shared" ref="H798:H861" si="37">IF($M$2="Prices in $/MWh","100-500 MWh","100,000-500,000 kWh")</f>
        <v>100-500 MWh</v>
      </c>
      <c r="I798" s="80">
        <f>(Matrix_prices!I786+$D$2)*IF($M$2="Prices in $/MWh",1,1/1000)</f>
        <v>59.22</v>
      </c>
      <c r="J798" s="79">
        <f>(Matrix_prices!J786+$D$2)*IF($M$2="Prices in $/MWh",1,1/1000)</f>
        <v>60.45</v>
      </c>
      <c r="K798" s="80">
        <f>(Matrix_prices!K786+$D$2)*IF($M$2="Prices in $/MWh",1,1/1000)</f>
        <v>60.87</v>
      </c>
      <c r="L798" s="79">
        <f>(Matrix_prices!L786+$D$2)*IF($M$2="Prices in $/MWh",1,1/1000)</f>
        <v>22.39</v>
      </c>
      <c r="M798" s="80">
        <f>(Matrix_prices!M786+$D$2)*IF($M$2="Prices in $/MWh",1,1/1000)</f>
        <v>23.85</v>
      </c>
      <c r="N798" s="79">
        <f>(Matrix_prices!N786+$D$2)*IF($M$2="Prices in $/MWh",1,1/1000)</f>
        <v>24.33</v>
      </c>
    </row>
    <row r="799" spans="3:14" x14ac:dyDescent="0.25">
      <c r="C799" s="82">
        <f>Matrix_prices!C787</f>
        <v>42675</v>
      </c>
      <c r="D799" s="83" t="str">
        <f>Matrix_prices!D787</f>
        <v>OH</v>
      </c>
      <c r="E799" s="84" t="str">
        <f>Matrix_prices!E787</f>
        <v>Duke</v>
      </c>
      <c r="F799" s="83" t="str">
        <f>Matrix_prices!F787</f>
        <v>DS</v>
      </c>
      <c r="G799" s="84" t="str">
        <f>Matrix_prices!G787</f>
        <v>General Service</v>
      </c>
      <c r="H799" s="85" t="str">
        <f t="shared" ref="H799:H862" si="38">IF($M$2="Prices in $/MWh","500-2500 MWh","500,000-2,500,000 kWh")</f>
        <v>500-2500 MWh</v>
      </c>
      <c r="I799" s="84">
        <f>(Matrix_prices!I787+$D$2)*IF($M$2="Prices in $/MWh",1,1/1000)</f>
        <v>58.17</v>
      </c>
      <c r="J799" s="83">
        <f>(Matrix_prices!J787+$D$2)*IF($M$2="Prices in $/MWh",1,1/1000)</f>
        <v>59.4</v>
      </c>
      <c r="K799" s="84">
        <f>(Matrix_prices!K787+$D$2)*IF($M$2="Prices in $/MWh",1,1/1000)</f>
        <v>59.82</v>
      </c>
      <c r="L799" s="83">
        <f>(Matrix_prices!L787+$D$2)*IF($M$2="Prices in $/MWh",1,1/1000)</f>
        <v>21.34</v>
      </c>
      <c r="M799" s="84">
        <f>(Matrix_prices!M787+$D$2)*IF($M$2="Prices in $/MWh",1,1/1000)</f>
        <v>22.8</v>
      </c>
      <c r="N799" s="83">
        <f>(Matrix_prices!N787+$D$2)*IF($M$2="Prices in $/MWh",1,1/1000)</f>
        <v>23.28</v>
      </c>
    </row>
    <row r="800" spans="3:14" x14ac:dyDescent="0.25">
      <c r="C800" s="151">
        <f>Matrix_prices!C788</f>
        <v>42705</v>
      </c>
      <c r="D800" s="152" t="str">
        <f>Matrix_prices!D788</f>
        <v>OH</v>
      </c>
      <c r="E800" s="153" t="str">
        <f>Matrix_prices!E788</f>
        <v>Duke</v>
      </c>
      <c r="F800" s="152" t="str">
        <f>Matrix_prices!F788</f>
        <v>DS</v>
      </c>
      <c r="G800" s="153" t="str">
        <f>Matrix_prices!G788</f>
        <v>General Service</v>
      </c>
      <c r="H800" s="157" t="str">
        <f t="shared" si="36"/>
        <v>0-100 MWh</v>
      </c>
      <c r="I800" s="153">
        <f>(Matrix_prices!I788+$D$2)*IF($M$2="Prices in $/MWh",1,1/1000)</f>
        <v>61.22</v>
      </c>
      <c r="J800" s="152">
        <f>(Matrix_prices!J788+$D$2)*IF($M$2="Prices in $/MWh",1,1/1000)</f>
        <v>62.43</v>
      </c>
      <c r="K800" s="153">
        <f>(Matrix_prices!K788+$D$2)*IF($M$2="Prices in $/MWh",1,1/1000)</f>
        <v>62.71</v>
      </c>
      <c r="L800" s="152">
        <f>(Matrix_prices!L788+$D$2)*IF($M$2="Prices in $/MWh",1,1/1000)</f>
        <v>24.45</v>
      </c>
      <c r="M800" s="153">
        <f>(Matrix_prices!M788+$D$2)*IF($M$2="Prices in $/MWh",1,1/1000)</f>
        <v>25.7</v>
      </c>
      <c r="N800" s="152">
        <f>(Matrix_prices!N788+$D$2)*IF($M$2="Prices in $/MWh",1,1/1000)</f>
        <v>26.21</v>
      </c>
    </row>
    <row r="801" spans="3:14" x14ac:dyDescent="0.25">
      <c r="C801" s="78">
        <f>Matrix_prices!C789</f>
        <v>42705</v>
      </c>
      <c r="D801" s="79" t="str">
        <f>Matrix_prices!D789</f>
        <v>OH</v>
      </c>
      <c r="E801" s="80" t="str">
        <f>Matrix_prices!E789</f>
        <v>Duke</v>
      </c>
      <c r="F801" s="79" t="str">
        <f>Matrix_prices!F789</f>
        <v>DS</v>
      </c>
      <c r="G801" s="80" t="str">
        <f>Matrix_prices!G789</f>
        <v>General Service</v>
      </c>
      <c r="H801" s="81" t="str">
        <f t="shared" si="37"/>
        <v>100-500 MWh</v>
      </c>
      <c r="I801" s="80">
        <f>(Matrix_prices!I789+$D$2)*IF($M$2="Prices in $/MWh",1,1/1000)</f>
        <v>59.62</v>
      </c>
      <c r="J801" s="79">
        <f>(Matrix_prices!J789+$D$2)*IF($M$2="Prices in $/MWh",1,1/1000)</f>
        <v>60.83</v>
      </c>
      <c r="K801" s="80">
        <f>(Matrix_prices!K789+$D$2)*IF($M$2="Prices in $/MWh",1,1/1000)</f>
        <v>61.11</v>
      </c>
      <c r="L801" s="79">
        <f>(Matrix_prices!L789+$D$2)*IF($M$2="Prices in $/MWh",1,1/1000)</f>
        <v>22.85</v>
      </c>
      <c r="M801" s="80">
        <f>(Matrix_prices!M789+$D$2)*IF($M$2="Prices in $/MWh",1,1/1000)</f>
        <v>24.1</v>
      </c>
      <c r="N801" s="79">
        <f>(Matrix_prices!N789+$D$2)*IF($M$2="Prices in $/MWh",1,1/1000)</f>
        <v>24.61</v>
      </c>
    </row>
    <row r="802" spans="3:14" x14ac:dyDescent="0.25">
      <c r="C802" s="82">
        <f>Matrix_prices!C790</f>
        <v>42705</v>
      </c>
      <c r="D802" s="83" t="str">
        <f>Matrix_prices!D790</f>
        <v>OH</v>
      </c>
      <c r="E802" s="84" t="str">
        <f>Matrix_prices!E790</f>
        <v>Duke</v>
      </c>
      <c r="F802" s="83" t="str">
        <f>Matrix_prices!F790</f>
        <v>DS</v>
      </c>
      <c r="G802" s="84" t="str">
        <f>Matrix_prices!G790</f>
        <v>General Service</v>
      </c>
      <c r="H802" s="85" t="str">
        <f t="shared" si="38"/>
        <v>500-2500 MWh</v>
      </c>
      <c r="I802" s="84">
        <f>(Matrix_prices!I790+$D$2)*IF($M$2="Prices in $/MWh",1,1/1000)</f>
        <v>58.57</v>
      </c>
      <c r="J802" s="83">
        <f>(Matrix_prices!J790+$D$2)*IF($M$2="Prices in $/MWh",1,1/1000)</f>
        <v>59.78</v>
      </c>
      <c r="K802" s="84">
        <f>(Matrix_prices!K790+$D$2)*IF($M$2="Prices in $/MWh",1,1/1000)</f>
        <v>60.06</v>
      </c>
      <c r="L802" s="83">
        <f>(Matrix_prices!L790+$D$2)*IF($M$2="Prices in $/MWh",1,1/1000)</f>
        <v>21.8</v>
      </c>
      <c r="M802" s="84">
        <f>(Matrix_prices!M790+$D$2)*IF($M$2="Prices in $/MWh",1,1/1000)</f>
        <v>23.05</v>
      </c>
      <c r="N802" s="83">
        <f>(Matrix_prices!N790+$D$2)*IF($M$2="Prices in $/MWh",1,1/1000)</f>
        <v>23.56</v>
      </c>
    </row>
    <row r="803" spans="3:14" x14ac:dyDescent="0.25">
      <c r="C803" s="74">
        <f>Matrix_prices!C791</f>
        <v>42736</v>
      </c>
      <c r="D803" s="75" t="str">
        <f>Matrix_prices!D791</f>
        <v>OH</v>
      </c>
      <c r="E803" s="76" t="str">
        <f>Matrix_prices!E791</f>
        <v>Duke</v>
      </c>
      <c r="F803" s="75" t="str">
        <f>Matrix_prices!F791</f>
        <v>DS</v>
      </c>
      <c r="G803" s="76" t="str">
        <f>Matrix_prices!G791</f>
        <v>General Service</v>
      </c>
      <c r="H803" s="157" t="str">
        <f t="shared" si="36"/>
        <v>0-100 MWh</v>
      </c>
      <c r="I803" s="76">
        <f>(Matrix_prices!I791+$D$2)*IF($M$2="Prices in $/MWh",1,1/1000)</f>
        <v>61.64</v>
      </c>
      <c r="J803" s="75">
        <f>(Matrix_prices!J791+$D$2)*IF($M$2="Prices in $/MWh",1,1/1000)</f>
        <v>62.71</v>
      </c>
      <c r="K803" s="76">
        <f>(Matrix_prices!K791+$D$2)*IF($M$2="Prices in $/MWh",1,1/1000)</f>
        <v>63.01</v>
      </c>
      <c r="L803" s="75">
        <f>(Matrix_prices!L791+$D$2)*IF($M$2="Prices in $/MWh",1,1/1000)</f>
        <v>24.94</v>
      </c>
      <c r="M803" s="76">
        <f>(Matrix_prices!M791+$D$2)*IF($M$2="Prices in $/MWh",1,1/1000)</f>
        <v>25.95</v>
      </c>
      <c r="N803" s="75">
        <f>(Matrix_prices!N791+$D$2)*IF($M$2="Prices in $/MWh",1,1/1000)</f>
        <v>26.52</v>
      </c>
    </row>
    <row r="804" spans="3:14" x14ac:dyDescent="0.25">
      <c r="C804" s="78">
        <f>Matrix_prices!C792</f>
        <v>42736</v>
      </c>
      <c r="D804" s="79" t="str">
        <f>Matrix_prices!D792</f>
        <v>OH</v>
      </c>
      <c r="E804" s="80" t="str">
        <f>Matrix_prices!E792</f>
        <v>Duke</v>
      </c>
      <c r="F804" s="79" t="str">
        <f>Matrix_prices!F792</f>
        <v>DS</v>
      </c>
      <c r="G804" s="80" t="str">
        <f>Matrix_prices!G792</f>
        <v>General Service</v>
      </c>
      <c r="H804" s="81" t="str">
        <f t="shared" si="37"/>
        <v>100-500 MWh</v>
      </c>
      <c r="I804" s="80">
        <f>(Matrix_prices!I792+$D$2)*IF($M$2="Prices in $/MWh",1,1/1000)</f>
        <v>60.04</v>
      </c>
      <c r="J804" s="79">
        <f>(Matrix_prices!J792+$D$2)*IF($M$2="Prices in $/MWh",1,1/1000)</f>
        <v>61.11</v>
      </c>
      <c r="K804" s="80">
        <f>(Matrix_prices!K792+$D$2)*IF($M$2="Prices in $/MWh",1,1/1000)</f>
        <v>61.41</v>
      </c>
      <c r="L804" s="79">
        <f>(Matrix_prices!L792+$D$2)*IF($M$2="Prices in $/MWh",1,1/1000)</f>
        <v>23.34</v>
      </c>
      <c r="M804" s="80">
        <f>(Matrix_prices!M792+$D$2)*IF($M$2="Prices in $/MWh",1,1/1000)</f>
        <v>24.35</v>
      </c>
      <c r="N804" s="79">
        <f>(Matrix_prices!N792+$D$2)*IF($M$2="Prices in $/MWh",1,1/1000)</f>
        <v>24.92</v>
      </c>
    </row>
    <row r="805" spans="3:14" x14ac:dyDescent="0.25">
      <c r="C805" s="82">
        <f>Matrix_prices!C793</f>
        <v>42736</v>
      </c>
      <c r="D805" s="83" t="str">
        <f>Matrix_prices!D793</f>
        <v>OH</v>
      </c>
      <c r="E805" s="84" t="str">
        <f>Matrix_prices!E793</f>
        <v>Duke</v>
      </c>
      <c r="F805" s="83" t="str">
        <f>Matrix_prices!F793</f>
        <v>DS</v>
      </c>
      <c r="G805" s="84" t="str">
        <f>Matrix_prices!G793</f>
        <v>General Service</v>
      </c>
      <c r="H805" s="85" t="str">
        <f t="shared" si="38"/>
        <v>500-2500 MWh</v>
      </c>
      <c r="I805" s="84">
        <f>(Matrix_prices!I793+$D$2)*IF($M$2="Prices in $/MWh",1,1/1000)</f>
        <v>58.99</v>
      </c>
      <c r="J805" s="83">
        <f>(Matrix_prices!J793+$D$2)*IF($M$2="Prices in $/MWh",1,1/1000)</f>
        <v>60.06</v>
      </c>
      <c r="K805" s="84">
        <f>(Matrix_prices!K793+$D$2)*IF($M$2="Prices in $/MWh",1,1/1000)</f>
        <v>60.36</v>
      </c>
      <c r="L805" s="83">
        <f>(Matrix_prices!L793+$D$2)*IF($M$2="Prices in $/MWh",1,1/1000)</f>
        <v>22.29</v>
      </c>
      <c r="M805" s="84">
        <f>(Matrix_prices!M793+$D$2)*IF($M$2="Prices in $/MWh",1,1/1000)</f>
        <v>23.3</v>
      </c>
      <c r="N805" s="83">
        <f>(Matrix_prices!N793+$D$2)*IF($M$2="Prices in $/MWh",1,1/1000)</f>
        <v>23.87</v>
      </c>
    </row>
    <row r="806" spans="3:14" x14ac:dyDescent="0.25">
      <c r="C806" s="151">
        <f>Matrix_prices!C794</f>
        <v>42401</v>
      </c>
      <c r="D806" s="152" t="str">
        <f>Matrix_prices!D794</f>
        <v>OH</v>
      </c>
      <c r="E806" s="153" t="str">
        <f>Matrix_prices!E794</f>
        <v>FE OH</v>
      </c>
      <c r="F806" s="152" t="str">
        <f>Matrix_prices!F794</f>
        <v>GS</v>
      </c>
      <c r="G806" s="153" t="str">
        <f>Matrix_prices!G794</f>
        <v>General Service</v>
      </c>
      <c r="H806" s="157" t="str">
        <f t="shared" si="36"/>
        <v>0-100 MWh</v>
      </c>
      <c r="I806" s="153">
        <f>(Matrix_prices!I794+$D$2)*IF($M$2="Prices in $/MWh",1,1/1000)</f>
        <v>67.58</v>
      </c>
      <c r="J806" s="152">
        <f>(Matrix_prices!J794+$D$2)*IF($M$2="Prices in $/MWh",1,1/1000)</f>
        <v>66.63</v>
      </c>
      <c r="K806" s="153">
        <f>(Matrix_prices!K794+$D$2)*IF($M$2="Prices in $/MWh",1,1/1000)</f>
        <v>65.64</v>
      </c>
      <c r="L806" s="152">
        <f>(Matrix_prices!L794+$D$2)*IF($M$2="Prices in $/MWh",1,1/1000)</f>
        <v>30.7</v>
      </c>
      <c r="M806" s="153">
        <f>(Matrix_prices!M794+$D$2)*IF($M$2="Prices in $/MWh",1,1/1000)</f>
        <v>29.25</v>
      </c>
      <c r="N806" s="152">
        <f>(Matrix_prices!N794+$D$2)*IF($M$2="Prices in $/MWh",1,1/1000)</f>
        <v>28.64</v>
      </c>
    </row>
    <row r="807" spans="3:14" x14ac:dyDescent="0.25">
      <c r="C807" s="78">
        <f>Matrix_prices!C795</f>
        <v>42401</v>
      </c>
      <c r="D807" s="79" t="str">
        <f>Matrix_prices!D795</f>
        <v>OH</v>
      </c>
      <c r="E807" s="80" t="str">
        <f>Matrix_prices!E795</f>
        <v>FE OH</v>
      </c>
      <c r="F807" s="79" t="str">
        <f>Matrix_prices!F795</f>
        <v>GS</v>
      </c>
      <c r="G807" s="80" t="str">
        <f>Matrix_prices!G795</f>
        <v>General Service</v>
      </c>
      <c r="H807" s="81" t="str">
        <f t="shared" si="37"/>
        <v>100-500 MWh</v>
      </c>
      <c r="I807" s="80">
        <f>(Matrix_prices!I795+$D$2)*IF($M$2="Prices in $/MWh",1,1/1000)</f>
        <v>65.98</v>
      </c>
      <c r="J807" s="79">
        <f>(Matrix_prices!J795+$D$2)*IF($M$2="Prices in $/MWh",1,1/1000)</f>
        <v>65.03</v>
      </c>
      <c r="K807" s="80">
        <f>(Matrix_prices!K795+$D$2)*IF($M$2="Prices in $/MWh",1,1/1000)</f>
        <v>64.040000000000006</v>
      </c>
      <c r="L807" s="79">
        <f>(Matrix_prices!L795+$D$2)*IF($M$2="Prices in $/MWh",1,1/1000)</f>
        <v>29.1</v>
      </c>
      <c r="M807" s="80">
        <f>(Matrix_prices!M795+$D$2)*IF($M$2="Prices in $/MWh",1,1/1000)</f>
        <v>27.65</v>
      </c>
      <c r="N807" s="79">
        <f>(Matrix_prices!N795+$D$2)*IF($M$2="Prices in $/MWh",1,1/1000)</f>
        <v>27.04</v>
      </c>
    </row>
    <row r="808" spans="3:14" x14ac:dyDescent="0.25">
      <c r="C808" s="82">
        <f>Matrix_prices!C796</f>
        <v>42401</v>
      </c>
      <c r="D808" s="83" t="str">
        <f>Matrix_prices!D796</f>
        <v>OH</v>
      </c>
      <c r="E808" s="84" t="str">
        <f>Matrix_prices!E796</f>
        <v>FE OH</v>
      </c>
      <c r="F808" s="83" t="str">
        <f>Matrix_prices!F796</f>
        <v>GS</v>
      </c>
      <c r="G808" s="84" t="str">
        <f>Matrix_prices!G796</f>
        <v>General Service</v>
      </c>
      <c r="H808" s="85" t="str">
        <f t="shared" si="38"/>
        <v>500-2500 MWh</v>
      </c>
      <c r="I808" s="84">
        <f>(Matrix_prices!I796+$D$2)*IF($M$2="Prices in $/MWh",1,1/1000)</f>
        <v>64.930000000000007</v>
      </c>
      <c r="J808" s="83">
        <f>(Matrix_prices!J796+$D$2)*IF($M$2="Prices in $/MWh",1,1/1000)</f>
        <v>63.98</v>
      </c>
      <c r="K808" s="84">
        <f>(Matrix_prices!K796+$D$2)*IF($M$2="Prices in $/MWh",1,1/1000)</f>
        <v>62.99</v>
      </c>
      <c r="L808" s="83">
        <f>(Matrix_prices!L796+$D$2)*IF($M$2="Prices in $/MWh",1,1/1000)</f>
        <v>28.05</v>
      </c>
      <c r="M808" s="84">
        <f>(Matrix_prices!M796+$D$2)*IF($M$2="Prices in $/MWh",1,1/1000)</f>
        <v>26.6</v>
      </c>
      <c r="N808" s="83">
        <f>(Matrix_prices!N796+$D$2)*IF($M$2="Prices in $/MWh",1,1/1000)</f>
        <v>25.99</v>
      </c>
    </row>
    <row r="809" spans="3:14" x14ac:dyDescent="0.25">
      <c r="C809" s="74">
        <f>Matrix_prices!C797</f>
        <v>42430</v>
      </c>
      <c r="D809" s="75" t="str">
        <f>Matrix_prices!D797</f>
        <v>OH</v>
      </c>
      <c r="E809" s="76" t="str">
        <f>Matrix_prices!E797</f>
        <v>FE OH</v>
      </c>
      <c r="F809" s="75" t="str">
        <f>Matrix_prices!F797</f>
        <v>GS</v>
      </c>
      <c r="G809" s="76" t="str">
        <f>Matrix_prices!G797</f>
        <v>General Service</v>
      </c>
      <c r="H809" s="157" t="str">
        <f t="shared" si="36"/>
        <v>0-100 MWh</v>
      </c>
      <c r="I809" s="76">
        <f>(Matrix_prices!I797+$D$2)*IF($M$2="Prices in $/MWh",1,1/1000)</f>
        <v>66.459999999999994</v>
      </c>
      <c r="J809" s="75">
        <f>(Matrix_prices!J797+$D$2)*IF($M$2="Prices in $/MWh",1,1/1000)</f>
        <v>66</v>
      </c>
      <c r="K809" s="76">
        <f>(Matrix_prices!K797+$D$2)*IF($M$2="Prices in $/MWh",1,1/1000)</f>
        <v>65.150000000000006</v>
      </c>
      <c r="L809" s="75">
        <f>(Matrix_prices!L797+$D$2)*IF($M$2="Prices in $/MWh",1,1/1000)</f>
        <v>29.36</v>
      </c>
      <c r="M809" s="76">
        <f>(Matrix_prices!M797+$D$2)*IF($M$2="Prices in $/MWh",1,1/1000)</f>
        <v>28.52</v>
      </c>
      <c r="N809" s="75">
        <f>(Matrix_prices!N797+$D$2)*IF($M$2="Prices in $/MWh",1,1/1000)</f>
        <v>28.06</v>
      </c>
    </row>
    <row r="810" spans="3:14" x14ac:dyDescent="0.25">
      <c r="C810" s="78">
        <f>Matrix_prices!C798</f>
        <v>42430</v>
      </c>
      <c r="D810" s="79" t="str">
        <f>Matrix_prices!D798</f>
        <v>OH</v>
      </c>
      <c r="E810" s="80" t="str">
        <f>Matrix_prices!E798</f>
        <v>FE OH</v>
      </c>
      <c r="F810" s="79" t="str">
        <f>Matrix_prices!F798</f>
        <v>GS</v>
      </c>
      <c r="G810" s="80" t="str">
        <f>Matrix_prices!G798</f>
        <v>General Service</v>
      </c>
      <c r="H810" s="81" t="str">
        <f t="shared" si="37"/>
        <v>100-500 MWh</v>
      </c>
      <c r="I810" s="80">
        <f>(Matrix_prices!I798+$D$2)*IF($M$2="Prices in $/MWh",1,1/1000)</f>
        <v>64.86</v>
      </c>
      <c r="J810" s="79">
        <f>(Matrix_prices!J798+$D$2)*IF($M$2="Prices in $/MWh",1,1/1000)</f>
        <v>64.400000000000006</v>
      </c>
      <c r="K810" s="80">
        <f>(Matrix_prices!K798+$D$2)*IF($M$2="Prices in $/MWh",1,1/1000)</f>
        <v>63.55</v>
      </c>
      <c r="L810" s="79">
        <f>(Matrix_prices!L798+$D$2)*IF($M$2="Prices in $/MWh",1,1/1000)</f>
        <v>27.76</v>
      </c>
      <c r="M810" s="80">
        <f>(Matrix_prices!M798+$D$2)*IF($M$2="Prices in $/MWh",1,1/1000)</f>
        <v>26.92</v>
      </c>
      <c r="N810" s="79">
        <f>(Matrix_prices!N798+$D$2)*IF($M$2="Prices in $/MWh",1,1/1000)</f>
        <v>26.46</v>
      </c>
    </row>
    <row r="811" spans="3:14" x14ac:dyDescent="0.25">
      <c r="C811" s="82">
        <f>Matrix_prices!C799</f>
        <v>42430</v>
      </c>
      <c r="D811" s="83" t="str">
        <f>Matrix_prices!D799</f>
        <v>OH</v>
      </c>
      <c r="E811" s="84" t="str">
        <f>Matrix_prices!E799</f>
        <v>FE OH</v>
      </c>
      <c r="F811" s="83" t="str">
        <f>Matrix_prices!F799</f>
        <v>GS</v>
      </c>
      <c r="G811" s="84" t="str">
        <f>Matrix_prices!G799</f>
        <v>General Service</v>
      </c>
      <c r="H811" s="85" t="str">
        <f t="shared" si="38"/>
        <v>500-2500 MWh</v>
      </c>
      <c r="I811" s="84">
        <f>(Matrix_prices!I799+$D$2)*IF($M$2="Prices in $/MWh",1,1/1000)</f>
        <v>63.81</v>
      </c>
      <c r="J811" s="83">
        <f>(Matrix_prices!J799+$D$2)*IF($M$2="Prices in $/MWh",1,1/1000)</f>
        <v>63.35</v>
      </c>
      <c r="K811" s="84">
        <f>(Matrix_prices!K799+$D$2)*IF($M$2="Prices in $/MWh",1,1/1000)</f>
        <v>62.5</v>
      </c>
      <c r="L811" s="83">
        <f>(Matrix_prices!L799+$D$2)*IF($M$2="Prices in $/MWh",1,1/1000)</f>
        <v>26.71</v>
      </c>
      <c r="M811" s="84">
        <f>(Matrix_prices!M799+$D$2)*IF($M$2="Prices in $/MWh",1,1/1000)</f>
        <v>25.87</v>
      </c>
      <c r="N811" s="83">
        <f>(Matrix_prices!N799+$D$2)*IF($M$2="Prices in $/MWh",1,1/1000)</f>
        <v>25.41</v>
      </c>
    </row>
    <row r="812" spans="3:14" x14ac:dyDescent="0.25">
      <c r="C812" s="151">
        <f>Matrix_prices!C800</f>
        <v>42461</v>
      </c>
      <c r="D812" s="152" t="str">
        <f>Matrix_prices!D800</f>
        <v>OH</v>
      </c>
      <c r="E812" s="153" t="str">
        <f>Matrix_prices!E800</f>
        <v>FE OH</v>
      </c>
      <c r="F812" s="152" t="str">
        <f>Matrix_prices!F800</f>
        <v>GS</v>
      </c>
      <c r="G812" s="153" t="str">
        <f>Matrix_prices!G800</f>
        <v>General Service</v>
      </c>
      <c r="H812" s="157" t="str">
        <f t="shared" si="36"/>
        <v>0-100 MWh</v>
      </c>
      <c r="I812" s="153">
        <f>(Matrix_prices!I800+$D$2)*IF($M$2="Prices in $/MWh",1,1/1000)</f>
        <v>65.22</v>
      </c>
      <c r="J812" s="152">
        <f>(Matrix_prices!J800+$D$2)*IF($M$2="Prices in $/MWh",1,1/1000)</f>
        <v>65.06</v>
      </c>
      <c r="K812" s="153">
        <f>(Matrix_prices!K800+$D$2)*IF($M$2="Prices in $/MWh",1,1/1000)</f>
        <v>64.59</v>
      </c>
      <c r="L812" s="152">
        <f>(Matrix_prices!L800+$D$2)*IF($M$2="Prices in $/MWh",1,1/1000)</f>
        <v>27.9</v>
      </c>
      <c r="M812" s="153">
        <f>(Matrix_prices!M800+$D$2)*IF($M$2="Prices in $/MWh",1,1/1000)</f>
        <v>27.69</v>
      </c>
      <c r="N812" s="152">
        <f>(Matrix_prices!N800+$D$2)*IF($M$2="Prices in $/MWh",1,1/1000)</f>
        <v>27.42</v>
      </c>
    </row>
    <row r="813" spans="3:14" x14ac:dyDescent="0.25">
      <c r="C813" s="78">
        <f>Matrix_prices!C801</f>
        <v>42461</v>
      </c>
      <c r="D813" s="79" t="str">
        <f>Matrix_prices!D801</f>
        <v>OH</v>
      </c>
      <c r="E813" s="80" t="str">
        <f>Matrix_prices!E801</f>
        <v>FE OH</v>
      </c>
      <c r="F813" s="79" t="str">
        <f>Matrix_prices!F801</f>
        <v>GS</v>
      </c>
      <c r="G813" s="80" t="str">
        <f>Matrix_prices!G801</f>
        <v>General Service</v>
      </c>
      <c r="H813" s="81" t="str">
        <f t="shared" si="37"/>
        <v>100-500 MWh</v>
      </c>
      <c r="I813" s="80">
        <f>(Matrix_prices!I801+$D$2)*IF($M$2="Prices in $/MWh",1,1/1000)</f>
        <v>63.62</v>
      </c>
      <c r="J813" s="79">
        <f>(Matrix_prices!J801+$D$2)*IF($M$2="Prices in $/MWh",1,1/1000)</f>
        <v>63.46</v>
      </c>
      <c r="K813" s="80">
        <f>(Matrix_prices!K801+$D$2)*IF($M$2="Prices in $/MWh",1,1/1000)</f>
        <v>62.99</v>
      </c>
      <c r="L813" s="79">
        <f>(Matrix_prices!L801+$D$2)*IF($M$2="Prices in $/MWh",1,1/1000)</f>
        <v>26.3</v>
      </c>
      <c r="M813" s="80">
        <f>(Matrix_prices!M801+$D$2)*IF($M$2="Prices in $/MWh",1,1/1000)</f>
        <v>26.09</v>
      </c>
      <c r="N813" s="79">
        <f>(Matrix_prices!N801+$D$2)*IF($M$2="Prices in $/MWh",1,1/1000)</f>
        <v>25.82</v>
      </c>
    </row>
    <row r="814" spans="3:14" x14ac:dyDescent="0.25">
      <c r="C814" s="82">
        <f>Matrix_prices!C802</f>
        <v>42461</v>
      </c>
      <c r="D814" s="83" t="str">
        <f>Matrix_prices!D802</f>
        <v>OH</v>
      </c>
      <c r="E814" s="84" t="str">
        <f>Matrix_prices!E802</f>
        <v>FE OH</v>
      </c>
      <c r="F814" s="83" t="str">
        <f>Matrix_prices!F802</f>
        <v>GS</v>
      </c>
      <c r="G814" s="84" t="str">
        <f>Matrix_prices!G802</f>
        <v>General Service</v>
      </c>
      <c r="H814" s="85" t="str">
        <f t="shared" si="38"/>
        <v>500-2500 MWh</v>
      </c>
      <c r="I814" s="84">
        <f>(Matrix_prices!I802+$D$2)*IF($M$2="Prices in $/MWh",1,1/1000)</f>
        <v>62.57</v>
      </c>
      <c r="J814" s="83">
        <f>(Matrix_prices!J802+$D$2)*IF($M$2="Prices in $/MWh",1,1/1000)</f>
        <v>62.41</v>
      </c>
      <c r="K814" s="84">
        <f>(Matrix_prices!K802+$D$2)*IF($M$2="Prices in $/MWh",1,1/1000)</f>
        <v>61.94</v>
      </c>
      <c r="L814" s="83">
        <f>(Matrix_prices!L802+$D$2)*IF($M$2="Prices in $/MWh",1,1/1000)</f>
        <v>25.25</v>
      </c>
      <c r="M814" s="84">
        <f>(Matrix_prices!M802+$D$2)*IF($M$2="Prices in $/MWh",1,1/1000)</f>
        <v>25.04</v>
      </c>
      <c r="N814" s="83">
        <f>(Matrix_prices!N802+$D$2)*IF($M$2="Prices in $/MWh",1,1/1000)</f>
        <v>24.77</v>
      </c>
    </row>
    <row r="815" spans="3:14" x14ac:dyDescent="0.25">
      <c r="C815" s="74">
        <f>Matrix_prices!C803</f>
        <v>42491</v>
      </c>
      <c r="D815" s="75" t="str">
        <f>Matrix_prices!D803</f>
        <v>OH</v>
      </c>
      <c r="E815" s="76" t="str">
        <f>Matrix_prices!E803</f>
        <v>FE OH</v>
      </c>
      <c r="F815" s="75" t="str">
        <f>Matrix_prices!F803</f>
        <v>GS</v>
      </c>
      <c r="G815" s="76" t="str">
        <f>Matrix_prices!G803</f>
        <v>General Service</v>
      </c>
      <c r="H815" s="157" t="str">
        <f t="shared" si="36"/>
        <v>0-100 MWh</v>
      </c>
      <c r="I815" s="76">
        <f>(Matrix_prices!I803+$D$2)*IF($M$2="Prices in $/MWh",1,1/1000)</f>
        <v>63.89</v>
      </c>
      <c r="J815" s="75">
        <f>(Matrix_prices!J803+$D$2)*IF($M$2="Prices in $/MWh",1,1/1000)</f>
        <v>64.06</v>
      </c>
      <c r="K815" s="76">
        <f>(Matrix_prices!K803+$D$2)*IF($M$2="Prices in $/MWh",1,1/1000)</f>
        <v>63.98</v>
      </c>
      <c r="L815" s="75">
        <f>(Matrix_prices!L803+$D$2)*IF($M$2="Prices in $/MWh",1,1/1000)</f>
        <v>26.49</v>
      </c>
      <c r="M815" s="76">
        <f>(Matrix_prices!M803+$D$2)*IF($M$2="Prices in $/MWh",1,1/1000)</f>
        <v>26.76</v>
      </c>
      <c r="N815" s="75">
        <f>(Matrix_prices!N803+$D$2)*IF($M$2="Prices in $/MWh",1,1/1000)</f>
        <v>26.81</v>
      </c>
    </row>
    <row r="816" spans="3:14" x14ac:dyDescent="0.25">
      <c r="C816" s="78">
        <f>Matrix_prices!C804</f>
        <v>42491</v>
      </c>
      <c r="D816" s="79" t="str">
        <f>Matrix_prices!D804</f>
        <v>OH</v>
      </c>
      <c r="E816" s="80" t="str">
        <f>Matrix_prices!E804</f>
        <v>FE OH</v>
      </c>
      <c r="F816" s="79" t="str">
        <f>Matrix_prices!F804</f>
        <v>GS</v>
      </c>
      <c r="G816" s="80" t="str">
        <f>Matrix_prices!G804</f>
        <v>General Service</v>
      </c>
      <c r="H816" s="81" t="str">
        <f t="shared" si="37"/>
        <v>100-500 MWh</v>
      </c>
      <c r="I816" s="80">
        <f>(Matrix_prices!I804+$D$2)*IF($M$2="Prices in $/MWh",1,1/1000)</f>
        <v>62.29</v>
      </c>
      <c r="J816" s="79">
        <f>(Matrix_prices!J804+$D$2)*IF($M$2="Prices in $/MWh",1,1/1000)</f>
        <v>62.46</v>
      </c>
      <c r="K816" s="80">
        <f>(Matrix_prices!K804+$D$2)*IF($M$2="Prices in $/MWh",1,1/1000)</f>
        <v>62.38</v>
      </c>
      <c r="L816" s="79">
        <f>(Matrix_prices!L804+$D$2)*IF($M$2="Prices in $/MWh",1,1/1000)</f>
        <v>24.89</v>
      </c>
      <c r="M816" s="80">
        <f>(Matrix_prices!M804+$D$2)*IF($M$2="Prices in $/MWh",1,1/1000)</f>
        <v>25.16</v>
      </c>
      <c r="N816" s="79">
        <f>(Matrix_prices!N804+$D$2)*IF($M$2="Prices in $/MWh",1,1/1000)</f>
        <v>25.21</v>
      </c>
    </row>
    <row r="817" spans="3:14" x14ac:dyDescent="0.25">
      <c r="C817" s="82">
        <f>Matrix_prices!C805</f>
        <v>42491</v>
      </c>
      <c r="D817" s="83" t="str">
        <f>Matrix_prices!D805</f>
        <v>OH</v>
      </c>
      <c r="E817" s="84" t="str">
        <f>Matrix_prices!E805</f>
        <v>FE OH</v>
      </c>
      <c r="F817" s="83" t="str">
        <f>Matrix_prices!F805</f>
        <v>GS</v>
      </c>
      <c r="G817" s="84" t="str">
        <f>Matrix_prices!G805</f>
        <v>General Service</v>
      </c>
      <c r="H817" s="85" t="str">
        <f t="shared" si="38"/>
        <v>500-2500 MWh</v>
      </c>
      <c r="I817" s="84">
        <f>(Matrix_prices!I805+$D$2)*IF($M$2="Prices in $/MWh",1,1/1000)</f>
        <v>61.24</v>
      </c>
      <c r="J817" s="83">
        <f>(Matrix_prices!J805+$D$2)*IF($M$2="Prices in $/MWh",1,1/1000)</f>
        <v>61.41</v>
      </c>
      <c r="K817" s="84">
        <f>(Matrix_prices!K805+$D$2)*IF($M$2="Prices in $/MWh",1,1/1000)</f>
        <v>61.33</v>
      </c>
      <c r="L817" s="83">
        <f>(Matrix_prices!L805+$D$2)*IF($M$2="Prices in $/MWh",1,1/1000)</f>
        <v>23.84</v>
      </c>
      <c r="M817" s="84">
        <f>(Matrix_prices!M805+$D$2)*IF($M$2="Prices in $/MWh",1,1/1000)</f>
        <v>24.11</v>
      </c>
      <c r="N817" s="83">
        <f>(Matrix_prices!N805+$D$2)*IF($M$2="Prices in $/MWh",1,1/1000)</f>
        <v>24.16</v>
      </c>
    </row>
    <row r="818" spans="3:14" x14ac:dyDescent="0.25">
      <c r="C818" s="151">
        <f>Matrix_prices!C806</f>
        <v>42522</v>
      </c>
      <c r="D818" s="152" t="str">
        <f>Matrix_prices!D806</f>
        <v>OH</v>
      </c>
      <c r="E818" s="153" t="str">
        <f>Matrix_prices!E806</f>
        <v>FE OH</v>
      </c>
      <c r="F818" s="152" t="str">
        <f>Matrix_prices!F806</f>
        <v>GS</v>
      </c>
      <c r="G818" s="153" t="str">
        <f>Matrix_prices!G806</f>
        <v>General Service</v>
      </c>
      <c r="H818" s="157" t="str">
        <f t="shared" si="36"/>
        <v>0-100 MWh</v>
      </c>
      <c r="I818" s="153">
        <f>(Matrix_prices!I806+$D$2)*IF($M$2="Prices in $/MWh",1,1/1000)</f>
        <v>62.48</v>
      </c>
      <c r="J818" s="152">
        <f>(Matrix_prices!J806+$D$2)*IF($M$2="Prices in $/MWh",1,1/1000)</f>
        <v>63.04</v>
      </c>
      <c r="K818" s="153">
        <f>(Matrix_prices!K806+$D$2)*IF($M$2="Prices in $/MWh",1,1/1000)</f>
        <v>63.36</v>
      </c>
      <c r="L818" s="152">
        <f>(Matrix_prices!L806+$D$2)*IF($M$2="Prices in $/MWh",1,1/1000)</f>
        <v>25</v>
      </c>
      <c r="M818" s="153">
        <f>(Matrix_prices!M806+$D$2)*IF($M$2="Prices in $/MWh",1,1/1000)</f>
        <v>25.81</v>
      </c>
      <c r="N818" s="152">
        <f>(Matrix_prices!N806+$D$2)*IF($M$2="Prices in $/MWh",1,1/1000)</f>
        <v>26.16</v>
      </c>
    </row>
    <row r="819" spans="3:14" x14ac:dyDescent="0.25">
      <c r="C819" s="78">
        <f>Matrix_prices!C807</f>
        <v>42522</v>
      </c>
      <c r="D819" s="79" t="str">
        <f>Matrix_prices!D807</f>
        <v>OH</v>
      </c>
      <c r="E819" s="80" t="str">
        <f>Matrix_prices!E807</f>
        <v>FE OH</v>
      </c>
      <c r="F819" s="79" t="str">
        <f>Matrix_prices!F807</f>
        <v>GS</v>
      </c>
      <c r="G819" s="80" t="str">
        <f>Matrix_prices!G807</f>
        <v>General Service</v>
      </c>
      <c r="H819" s="81" t="str">
        <f t="shared" si="37"/>
        <v>100-500 MWh</v>
      </c>
      <c r="I819" s="80">
        <f>(Matrix_prices!I807+$D$2)*IF($M$2="Prices in $/MWh",1,1/1000)</f>
        <v>60.88</v>
      </c>
      <c r="J819" s="79">
        <f>(Matrix_prices!J807+$D$2)*IF($M$2="Prices in $/MWh",1,1/1000)</f>
        <v>61.44</v>
      </c>
      <c r="K819" s="80">
        <f>(Matrix_prices!K807+$D$2)*IF($M$2="Prices in $/MWh",1,1/1000)</f>
        <v>61.76</v>
      </c>
      <c r="L819" s="79">
        <f>(Matrix_prices!L807+$D$2)*IF($M$2="Prices in $/MWh",1,1/1000)</f>
        <v>23.4</v>
      </c>
      <c r="M819" s="80">
        <f>(Matrix_prices!M807+$D$2)*IF($M$2="Prices in $/MWh",1,1/1000)</f>
        <v>24.21</v>
      </c>
      <c r="N819" s="79">
        <f>(Matrix_prices!N807+$D$2)*IF($M$2="Prices in $/MWh",1,1/1000)</f>
        <v>24.56</v>
      </c>
    </row>
    <row r="820" spans="3:14" x14ac:dyDescent="0.25">
      <c r="C820" s="82">
        <f>Matrix_prices!C808</f>
        <v>42522</v>
      </c>
      <c r="D820" s="83" t="str">
        <f>Matrix_prices!D808</f>
        <v>OH</v>
      </c>
      <c r="E820" s="84" t="str">
        <f>Matrix_prices!E808</f>
        <v>FE OH</v>
      </c>
      <c r="F820" s="83" t="str">
        <f>Matrix_prices!F808</f>
        <v>GS</v>
      </c>
      <c r="G820" s="84" t="str">
        <f>Matrix_prices!G808</f>
        <v>General Service</v>
      </c>
      <c r="H820" s="85" t="str">
        <f t="shared" si="38"/>
        <v>500-2500 MWh</v>
      </c>
      <c r="I820" s="84">
        <f>(Matrix_prices!I808+$D$2)*IF($M$2="Prices in $/MWh",1,1/1000)</f>
        <v>59.83</v>
      </c>
      <c r="J820" s="83">
        <f>(Matrix_prices!J808+$D$2)*IF($M$2="Prices in $/MWh",1,1/1000)</f>
        <v>60.39</v>
      </c>
      <c r="K820" s="84">
        <f>(Matrix_prices!K808+$D$2)*IF($M$2="Prices in $/MWh",1,1/1000)</f>
        <v>60.71</v>
      </c>
      <c r="L820" s="83">
        <f>(Matrix_prices!L808+$D$2)*IF($M$2="Prices in $/MWh",1,1/1000)</f>
        <v>22.35</v>
      </c>
      <c r="M820" s="84">
        <f>(Matrix_prices!M808+$D$2)*IF($M$2="Prices in $/MWh",1,1/1000)</f>
        <v>23.16</v>
      </c>
      <c r="N820" s="83">
        <f>(Matrix_prices!N808+$D$2)*IF($M$2="Prices in $/MWh",1,1/1000)</f>
        <v>23.51</v>
      </c>
    </row>
    <row r="821" spans="3:14" x14ac:dyDescent="0.25">
      <c r="C821" s="74">
        <f>Matrix_prices!C809</f>
        <v>42552</v>
      </c>
      <c r="D821" s="75" t="str">
        <f>Matrix_prices!D809</f>
        <v>OH</v>
      </c>
      <c r="E821" s="76" t="str">
        <f>Matrix_prices!E809</f>
        <v>FE OH</v>
      </c>
      <c r="F821" s="75" t="str">
        <f>Matrix_prices!F809</f>
        <v>GS</v>
      </c>
      <c r="G821" s="76" t="str">
        <f>Matrix_prices!G809</f>
        <v>General Service</v>
      </c>
      <c r="H821" s="157" t="str">
        <f t="shared" si="36"/>
        <v>0-100 MWh</v>
      </c>
      <c r="I821" s="76">
        <f>(Matrix_prices!I809+$D$2)*IF($M$2="Prices in $/MWh",1,1/1000)</f>
        <v>62.73</v>
      </c>
      <c r="J821" s="75">
        <f>(Matrix_prices!J809+$D$2)*IF($M$2="Prices in $/MWh",1,1/1000)</f>
        <v>62.94</v>
      </c>
      <c r="K821" s="76">
        <f>(Matrix_prices!K809+$D$2)*IF($M$2="Prices in $/MWh",1,1/1000)</f>
        <v>63.52</v>
      </c>
      <c r="L821" s="75">
        <f>(Matrix_prices!L809+$D$2)*IF($M$2="Prices in $/MWh",1,1/1000)</f>
        <v>25.2</v>
      </c>
      <c r="M821" s="76">
        <f>(Matrix_prices!M809+$D$2)*IF($M$2="Prices in $/MWh",1,1/1000)</f>
        <v>25.87</v>
      </c>
      <c r="N821" s="75">
        <f>(Matrix_prices!N809+$D$2)*IF($M$2="Prices in $/MWh",1,1/1000)</f>
        <v>26.33</v>
      </c>
    </row>
    <row r="822" spans="3:14" x14ac:dyDescent="0.25">
      <c r="C822" s="78">
        <f>Matrix_prices!C810</f>
        <v>42552</v>
      </c>
      <c r="D822" s="79" t="str">
        <f>Matrix_prices!D810</f>
        <v>OH</v>
      </c>
      <c r="E822" s="80" t="str">
        <f>Matrix_prices!E810</f>
        <v>FE OH</v>
      </c>
      <c r="F822" s="79" t="str">
        <f>Matrix_prices!F810</f>
        <v>GS</v>
      </c>
      <c r="G822" s="80" t="str">
        <f>Matrix_prices!G810</f>
        <v>General Service</v>
      </c>
      <c r="H822" s="81" t="str">
        <f t="shared" si="37"/>
        <v>100-500 MWh</v>
      </c>
      <c r="I822" s="80">
        <f>(Matrix_prices!I810+$D$2)*IF($M$2="Prices in $/MWh",1,1/1000)</f>
        <v>61.13</v>
      </c>
      <c r="J822" s="79">
        <f>(Matrix_prices!J810+$D$2)*IF($M$2="Prices in $/MWh",1,1/1000)</f>
        <v>61.34</v>
      </c>
      <c r="K822" s="80">
        <f>(Matrix_prices!K810+$D$2)*IF($M$2="Prices in $/MWh",1,1/1000)</f>
        <v>61.92</v>
      </c>
      <c r="L822" s="79">
        <f>(Matrix_prices!L810+$D$2)*IF($M$2="Prices in $/MWh",1,1/1000)</f>
        <v>23.6</v>
      </c>
      <c r="M822" s="80">
        <f>(Matrix_prices!M810+$D$2)*IF($M$2="Prices in $/MWh",1,1/1000)</f>
        <v>24.27</v>
      </c>
      <c r="N822" s="79">
        <f>(Matrix_prices!N810+$D$2)*IF($M$2="Prices in $/MWh",1,1/1000)</f>
        <v>24.73</v>
      </c>
    </row>
    <row r="823" spans="3:14" x14ac:dyDescent="0.25">
      <c r="C823" s="82">
        <f>Matrix_prices!C811</f>
        <v>42552</v>
      </c>
      <c r="D823" s="83" t="str">
        <f>Matrix_prices!D811</f>
        <v>OH</v>
      </c>
      <c r="E823" s="84" t="str">
        <f>Matrix_prices!E811</f>
        <v>FE OH</v>
      </c>
      <c r="F823" s="83" t="str">
        <f>Matrix_prices!F811</f>
        <v>GS</v>
      </c>
      <c r="G823" s="84" t="str">
        <f>Matrix_prices!G811</f>
        <v>General Service</v>
      </c>
      <c r="H823" s="85" t="str">
        <f t="shared" si="38"/>
        <v>500-2500 MWh</v>
      </c>
      <c r="I823" s="84">
        <f>(Matrix_prices!I811+$D$2)*IF($M$2="Prices in $/MWh",1,1/1000)</f>
        <v>60.08</v>
      </c>
      <c r="J823" s="83">
        <f>(Matrix_prices!J811+$D$2)*IF($M$2="Prices in $/MWh",1,1/1000)</f>
        <v>60.29</v>
      </c>
      <c r="K823" s="84">
        <f>(Matrix_prices!K811+$D$2)*IF($M$2="Prices in $/MWh",1,1/1000)</f>
        <v>60.87</v>
      </c>
      <c r="L823" s="83">
        <f>(Matrix_prices!L811+$D$2)*IF($M$2="Prices in $/MWh",1,1/1000)</f>
        <v>22.55</v>
      </c>
      <c r="M823" s="84">
        <f>(Matrix_prices!M811+$D$2)*IF($M$2="Prices in $/MWh",1,1/1000)</f>
        <v>23.22</v>
      </c>
      <c r="N823" s="83">
        <f>(Matrix_prices!N811+$D$2)*IF($M$2="Prices in $/MWh",1,1/1000)</f>
        <v>23.68</v>
      </c>
    </row>
    <row r="824" spans="3:14" x14ac:dyDescent="0.25">
      <c r="C824" s="151">
        <f>Matrix_prices!C812</f>
        <v>42583</v>
      </c>
      <c r="D824" s="152" t="str">
        <f>Matrix_prices!D812</f>
        <v>OH</v>
      </c>
      <c r="E824" s="153" t="str">
        <f>Matrix_prices!E812</f>
        <v>FE OH</v>
      </c>
      <c r="F824" s="152" t="str">
        <f>Matrix_prices!F812</f>
        <v>GS</v>
      </c>
      <c r="G824" s="153" t="str">
        <f>Matrix_prices!G812</f>
        <v>General Service</v>
      </c>
      <c r="H824" s="157" t="str">
        <f t="shared" si="36"/>
        <v>0-100 MWh</v>
      </c>
      <c r="I824" s="153">
        <f>(Matrix_prices!I812+$D$2)*IF($M$2="Prices in $/MWh",1,1/1000)</f>
        <v>62.87</v>
      </c>
      <c r="J824" s="152">
        <f>(Matrix_prices!J812+$D$2)*IF($M$2="Prices in $/MWh",1,1/1000)</f>
        <v>62.83</v>
      </c>
      <c r="K824" s="153">
        <f>(Matrix_prices!K812+$D$2)*IF($M$2="Prices in $/MWh",1,1/1000)</f>
        <v>63.7</v>
      </c>
      <c r="L824" s="152">
        <f>(Matrix_prices!L812+$D$2)*IF($M$2="Prices in $/MWh",1,1/1000)</f>
        <v>25.38</v>
      </c>
      <c r="M824" s="153">
        <f>(Matrix_prices!M812+$D$2)*IF($M$2="Prices in $/MWh",1,1/1000)</f>
        <v>25.87</v>
      </c>
      <c r="N824" s="152">
        <f>(Matrix_prices!N812+$D$2)*IF($M$2="Prices in $/MWh",1,1/1000)</f>
        <v>26.5</v>
      </c>
    </row>
    <row r="825" spans="3:14" x14ac:dyDescent="0.25">
      <c r="C825" s="78">
        <f>Matrix_prices!C813</f>
        <v>42583</v>
      </c>
      <c r="D825" s="79" t="str">
        <f>Matrix_prices!D813</f>
        <v>OH</v>
      </c>
      <c r="E825" s="80" t="str">
        <f>Matrix_prices!E813</f>
        <v>FE OH</v>
      </c>
      <c r="F825" s="79" t="str">
        <f>Matrix_prices!F813</f>
        <v>GS</v>
      </c>
      <c r="G825" s="80" t="str">
        <f>Matrix_prices!G813</f>
        <v>General Service</v>
      </c>
      <c r="H825" s="81" t="str">
        <f t="shared" si="37"/>
        <v>100-500 MWh</v>
      </c>
      <c r="I825" s="80">
        <f>(Matrix_prices!I813+$D$2)*IF($M$2="Prices in $/MWh",1,1/1000)</f>
        <v>61.27</v>
      </c>
      <c r="J825" s="79">
        <f>(Matrix_prices!J813+$D$2)*IF($M$2="Prices in $/MWh",1,1/1000)</f>
        <v>61.23</v>
      </c>
      <c r="K825" s="80">
        <f>(Matrix_prices!K813+$D$2)*IF($M$2="Prices in $/MWh",1,1/1000)</f>
        <v>62.1</v>
      </c>
      <c r="L825" s="79">
        <f>(Matrix_prices!L813+$D$2)*IF($M$2="Prices in $/MWh",1,1/1000)</f>
        <v>23.78</v>
      </c>
      <c r="M825" s="80">
        <f>(Matrix_prices!M813+$D$2)*IF($M$2="Prices in $/MWh",1,1/1000)</f>
        <v>24.27</v>
      </c>
      <c r="N825" s="79">
        <f>(Matrix_prices!N813+$D$2)*IF($M$2="Prices in $/MWh",1,1/1000)</f>
        <v>24.9</v>
      </c>
    </row>
    <row r="826" spans="3:14" x14ac:dyDescent="0.25">
      <c r="C826" s="82">
        <f>Matrix_prices!C814</f>
        <v>42583</v>
      </c>
      <c r="D826" s="83" t="str">
        <f>Matrix_prices!D814</f>
        <v>OH</v>
      </c>
      <c r="E826" s="84" t="str">
        <f>Matrix_prices!E814</f>
        <v>FE OH</v>
      </c>
      <c r="F826" s="83" t="str">
        <f>Matrix_prices!F814</f>
        <v>GS</v>
      </c>
      <c r="G826" s="84" t="str">
        <f>Matrix_prices!G814</f>
        <v>General Service</v>
      </c>
      <c r="H826" s="85" t="str">
        <f t="shared" si="38"/>
        <v>500-2500 MWh</v>
      </c>
      <c r="I826" s="84">
        <f>(Matrix_prices!I814+$D$2)*IF($M$2="Prices in $/MWh",1,1/1000)</f>
        <v>60.22</v>
      </c>
      <c r="J826" s="83">
        <f>(Matrix_prices!J814+$D$2)*IF($M$2="Prices in $/MWh",1,1/1000)</f>
        <v>60.18</v>
      </c>
      <c r="K826" s="84">
        <f>(Matrix_prices!K814+$D$2)*IF($M$2="Prices in $/MWh",1,1/1000)</f>
        <v>61.05</v>
      </c>
      <c r="L826" s="83">
        <f>(Matrix_prices!L814+$D$2)*IF($M$2="Prices in $/MWh",1,1/1000)</f>
        <v>22.73</v>
      </c>
      <c r="M826" s="84">
        <f>(Matrix_prices!M814+$D$2)*IF($M$2="Prices in $/MWh",1,1/1000)</f>
        <v>23.22</v>
      </c>
      <c r="N826" s="83">
        <f>(Matrix_prices!N814+$D$2)*IF($M$2="Prices in $/MWh",1,1/1000)</f>
        <v>23.85</v>
      </c>
    </row>
    <row r="827" spans="3:14" x14ac:dyDescent="0.25">
      <c r="C827" s="74">
        <f>Matrix_prices!C815</f>
        <v>42614</v>
      </c>
      <c r="D827" s="75" t="str">
        <f>Matrix_prices!D815</f>
        <v>OH</v>
      </c>
      <c r="E827" s="76" t="str">
        <f>Matrix_prices!E815</f>
        <v>FE OH</v>
      </c>
      <c r="F827" s="75" t="str">
        <f>Matrix_prices!F815</f>
        <v>GS</v>
      </c>
      <c r="G827" s="76" t="str">
        <f>Matrix_prices!G815</f>
        <v>General Service</v>
      </c>
      <c r="H827" s="157" t="str">
        <f t="shared" si="36"/>
        <v>0-100 MWh</v>
      </c>
      <c r="I827" s="76">
        <f>(Matrix_prices!I815+$D$2)*IF($M$2="Prices in $/MWh",1,1/1000)</f>
        <v>62.98</v>
      </c>
      <c r="J827" s="75">
        <f>(Matrix_prices!J815+$D$2)*IF($M$2="Prices in $/MWh",1,1/1000)</f>
        <v>62.87</v>
      </c>
      <c r="K827" s="76">
        <f>(Matrix_prices!K815+$D$2)*IF($M$2="Prices in $/MWh",1,1/1000)</f>
        <v>63.82</v>
      </c>
      <c r="L827" s="75">
        <f>(Matrix_prices!L815+$D$2)*IF($M$2="Prices in $/MWh",1,1/1000)</f>
        <v>25.57</v>
      </c>
      <c r="M827" s="76">
        <f>(Matrix_prices!M815+$D$2)*IF($M$2="Prices in $/MWh",1,1/1000)</f>
        <v>25.96</v>
      </c>
      <c r="N827" s="75">
        <f>(Matrix_prices!N815+$D$2)*IF($M$2="Prices in $/MWh",1,1/1000)</f>
        <v>26.66</v>
      </c>
    </row>
    <row r="828" spans="3:14" x14ac:dyDescent="0.25">
      <c r="C828" s="78">
        <f>Matrix_prices!C816</f>
        <v>42614</v>
      </c>
      <c r="D828" s="79" t="str">
        <f>Matrix_prices!D816</f>
        <v>OH</v>
      </c>
      <c r="E828" s="80" t="str">
        <f>Matrix_prices!E816</f>
        <v>FE OH</v>
      </c>
      <c r="F828" s="79" t="str">
        <f>Matrix_prices!F816</f>
        <v>GS</v>
      </c>
      <c r="G828" s="80" t="str">
        <f>Matrix_prices!G816</f>
        <v>General Service</v>
      </c>
      <c r="H828" s="81" t="str">
        <f t="shared" si="37"/>
        <v>100-500 MWh</v>
      </c>
      <c r="I828" s="80">
        <f>(Matrix_prices!I816+$D$2)*IF($M$2="Prices in $/MWh",1,1/1000)</f>
        <v>61.38</v>
      </c>
      <c r="J828" s="79">
        <f>(Matrix_prices!J816+$D$2)*IF($M$2="Prices in $/MWh",1,1/1000)</f>
        <v>61.27</v>
      </c>
      <c r="K828" s="80">
        <f>(Matrix_prices!K816+$D$2)*IF($M$2="Prices in $/MWh",1,1/1000)</f>
        <v>62.22</v>
      </c>
      <c r="L828" s="79">
        <f>(Matrix_prices!L816+$D$2)*IF($M$2="Prices in $/MWh",1,1/1000)</f>
        <v>23.97</v>
      </c>
      <c r="M828" s="80">
        <f>(Matrix_prices!M816+$D$2)*IF($M$2="Prices in $/MWh",1,1/1000)</f>
        <v>24.36</v>
      </c>
      <c r="N828" s="79">
        <f>(Matrix_prices!N816+$D$2)*IF($M$2="Prices in $/MWh",1,1/1000)</f>
        <v>25.06</v>
      </c>
    </row>
    <row r="829" spans="3:14" x14ac:dyDescent="0.25">
      <c r="C829" s="82">
        <f>Matrix_prices!C817</f>
        <v>42614</v>
      </c>
      <c r="D829" s="83" t="str">
        <f>Matrix_prices!D817</f>
        <v>OH</v>
      </c>
      <c r="E829" s="84" t="str">
        <f>Matrix_prices!E817</f>
        <v>FE OH</v>
      </c>
      <c r="F829" s="83" t="str">
        <f>Matrix_prices!F817</f>
        <v>GS</v>
      </c>
      <c r="G829" s="84" t="str">
        <f>Matrix_prices!G817</f>
        <v>General Service</v>
      </c>
      <c r="H829" s="85" t="str">
        <f t="shared" si="38"/>
        <v>500-2500 MWh</v>
      </c>
      <c r="I829" s="84">
        <f>(Matrix_prices!I817+$D$2)*IF($M$2="Prices in $/MWh",1,1/1000)</f>
        <v>60.33</v>
      </c>
      <c r="J829" s="83">
        <f>(Matrix_prices!J817+$D$2)*IF($M$2="Prices in $/MWh",1,1/1000)</f>
        <v>60.22</v>
      </c>
      <c r="K829" s="84">
        <f>(Matrix_prices!K817+$D$2)*IF($M$2="Prices in $/MWh",1,1/1000)</f>
        <v>61.17</v>
      </c>
      <c r="L829" s="83">
        <f>(Matrix_prices!L817+$D$2)*IF($M$2="Prices in $/MWh",1,1/1000)</f>
        <v>22.92</v>
      </c>
      <c r="M829" s="84">
        <f>(Matrix_prices!M817+$D$2)*IF($M$2="Prices in $/MWh",1,1/1000)</f>
        <v>23.31</v>
      </c>
      <c r="N829" s="83">
        <f>(Matrix_prices!N817+$D$2)*IF($M$2="Prices in $/MWh",1,1/1000)</f>
        <v>24.01</v>
      </c>
    </row>
    <row r="830" spans="3:14" x14ac:dyDescent="0.25">
      <c r="C830" s="151">
        <f>Matrix_prices!C818</f>
        <v>42644</v>
      </c>
      <c r="D830" s="152" t="str">
        <f>Matrix_prices!D818</f>
        <v>OH</v>
      </c>
      <c r="E830" s="153" t="str">
        <f>Matrix_prices!E818</f>
        <v>FE OH</v>
      </c>
      <c r="F830" s="152" t="str">
        <f>Matrix_prices!F818</f>
        <v>GS</v>
      </c>
      <c r="G830" s="153" t="str">
        <f>Matrix_prices!G818</f>
        <v>General Service</v>
      </c>
      <c r="H830" s="157" t="str">
        <f t="shared" si="36"/>
        <v>0-100 MWh</v>
      </c>
      <c r="I830" s="153">
        <f>(Matrix_prices!I818+$D$2)*IF($M$2="Prices in $/MWh",1,1/1000)</f>
        <v>63.13</v>
      </c>
      <c r="J830" s="152">
        <f>(Matrix_prices!J818+$D$2)*IF($M$2="Prices in $/MWh",1,1/1000)</f>
        <v>63.16</v>
      </c>
      <c r="K830" s="153">
        <f>(Matrix_prices!K818+$D$2)*IF($M$2="Prices in $/MWh",1,1/1000)</f>
        <v>63.92</v>
      </c>
      <c r="L830" s="152">
        <f>(Matrix_prices!L818+$D$2)*IF($M$2="Prices in $/MWh",1,1/1000)</f>
        <v>25.76</v>
      </c>
      <c r="M830" s="153">
        <f>(Matrix_prices!M818+$D$2)*IF($M$2="Prices in $/MWh",1,1/1000)</f>
        <v>26.06</v>
      </c>
      <c r="N830" s="152">
        <f>(Matrix_prices!N818+$D$2)*IF($M$2="Prices in $/MWh",1,1/1000)</f>
        <v>26.83</v>
      </c>
    </row>
    <row r="831" spans="3:14" x14ac:dyDescent="0.25">
      <c r="C831" s="78">
        <f>Matrix_prices!C819</f>
        <v>42644</v>
      </c>
      <c r="D831" s="79" t="str">
        <f>Matrix_prices!D819</f>
        <v>OH</v>
      </c>
      <c r="E831" s="80" t="str">
        <f>Matrix_prices!E819</f>
        <v>FE OH</v>
      </c>
      <c r="F831" s="79" t="str">
        <f>Matrix_prices!F819</f>
        <v>GS</v>
      </c>
      <c r="G831" s="80" t="str">
        <f>Matrix_prices!G819</f>
        <v>General Service</v>
      </c>
      <c r="H831" s="81" t="str">
        <f t="shared" si="37"/>
        <v>100-500 MWh</v>
      </c>
      <c r="I831" s="80">
        <f>(Matrix_prices!I819+$D$2)*IF($M$2="Prices in $/MWh",1,1/1000)</f>
        <v>61.53</v>
      </c>
      <c r="J831" s="79">
        <f>(Matrix_prices!J819+$D$2)*IF($M$2="Prices in $/MWh",1,1/1000)</f>
        <v>61.56</v>
      </c>
      <c r="K831" s="80">
        <f>(Matrix_prices!K819+$D$2)*IF($M$2="Prices in $/MWh",1,1/1000)</f>
        <v>62.32</v>
      </c>
      <c r="L831" s="79">
        <f>(Matrix_prices!L819+$D$2)*IF($M$2="Prices in $/MWh",1,1/1000)</f>
        <v>24.16</v>
      </c>
      <c r="M831" s="80">
        <f>(Matrix_prices!M819+$D$2)*IF($M$2="Prices in $/MWh",1,1/1000)</f>
        <v>24.46</v>
      </c>
      <c r="N831" s="79">
        <f>(Matrix_prices!N819+$D$2)*IF($M$2="Prices in $/MWh",1,1/1000)</f>
        <v>25.23</v>
      </c>
    </row>
    <row r="832" spans="3:14" x14ac:dyDescent="0.25">
      <c r="C832" s="82">
        <f>Matrix_prices!C820</f>
        <v>42644</v>
      </c>
      <c r="D832" s="83" t="str">
        <f>Matrix_prices!D820</f>
        <v>OH</v>
      </c>
      <c r="E832" s="84" t="str">
        <f>Matrix_prices!E820</f>
        <v>FE OH</v>
      </c>
      <c r="F832" s="83" t="str">
        <f>Matrix_prices!F820</f>
        <v>GS</v>
      </c>
      <c r="G832" s="84" t="str">
        <f>Matrix_prices!G820</f>
        <v>General Service</v>
      </c>
      <c r="H832" s="85" t="str">
        <f t="shared" si="38"/>
        <v>500-2500 MWh</v>
      </c>
      <c r="I832" s="84">
        <f>(Matrix_prices!I820+$D$2)*IF($M$2="Prices in $/MWh",1,1/1000)</f>
        <v>60.48</v>
      </c>
      <c r="J832" s="83">
        <f>(Matrix_prices!J820+$D$2)*IF($M$2="Prices in $/MWh",1,1/1000)</f>
        <v>60.51</v>
      </c>
      <c r="K832" s="84">
        <f>(Matrix_prices!K820+$D$2)*IF($M$2="Prices in $/MWh",1,1/1000)</f>
        <v>61.27</v>
      </c>
      <c r="L832" s="83">
        <f>(Matrix_prices!L820+$D$2)*IF($M$2="Prices in $/MWh",1,1/1000)</f>
        <v>23.11</v>
      </c>
      <c r="M832" s="84">
        <f>(Matrix_prices!M820+$D$2)*IF($M$2="Prices in $/MWh",1,1/1000)</f>
        <v>23.41</v>
      </c>
      <c r="N832" s="83">
        <f>(Matrix_prices!N820+$D$2)*IF($M$2="Prices in $/MWh",1,1/1000)</f>
        <v>24.18</v>
      </c>
    </row>
    <row r="833" spans="2:15" x14ac:dyDescent="0.25">
      <c r="C833" s="74">
        <f>Matrix_prices!C821</f>
        <v>42675</v>
      </c>
      <c r="D833" s="75" t="str">
        <f>Matrix_prices!D821</f>
        <v>OH</v>
      </c>
      <c r="E833" s="76" t="str">
        <f>Matrix_prices!E821</f>
        <v>FE OH</v>
      </c>
      <c r="F833" s="75" t="str">
        <f>Matrix_prices!F821</f>
        <v>GS</v>
      </c>
      <c r="G833" s="76" t="str">
        <f>Matrix_prices!G821</f>
        <v>General Service</v>
      </c>
      <c r="H833" s="157" t="str">
        <f t="shared" si="36"/>
        <v>0-100 MWh</v>
      </c>
      <c r="I833" s="76">
        <f>(Matrix_prices!I821+$D$2)*IF($M$2="Prices in $/MWh",1,1/1000)</f>
        <v>63.3</v>
      </c>
      <c r="J833" s="75">
        <f>(Matrix_prices!J821+$D$2)*IF($M$2="Prices in $/MWh",1,1/1000)</f>
        <v>63.44</v>
      </c>
      <c r="K833" s="76">
        <f>(Matrix_prices!K821+$D$2)*IF($M$2="Prices in $/MWh",1,1/1000)</f>
        <v>64.05</v>
      </c>
      <c r="L833" s="75">
        <f>(Matrix_prices!L821+$D$2)*IF($M$2="Prices in $/MWh",1,1/1000)</f>
        <v>25.94</v>
      </c>
      <c r="M833" s="76">
        <f>(Matrix_prices!M821+$D$2)*IF($M$2="Prices in $/MWh",1,1/1000)</f>
        <v>26.28</v>
      </c>
      <c r="N833" s="75">
        <f>(Matrix_prices!N821+$D$2)*IF($M$2="Prices in $/MWh",1,1/1000)</f>
        <v>26.99</v>
      </c>
    </row>
    <row r="834" spans="2:15" x14ac:dyDescent="0.25">
      <c r="C834" s="78">
        <f>Matrix_prices!C822</f>
        <v>42675</v>
      </c>
      <c r="D834" s="79" t="str">
        <f>Matrix_prices!D822</f>
        <v>OH</v>
      </c>
      <c r="E834" s="80" t="str">
        <f>Matrix_prices!E822</f>
        <v>FE OH</v>
      </c>
      <c r="F834" s="79" t="str">
        <f>Matrix_prices!F822</f>
        <v>GS</v>
      </c>
      <c r="G834" s="80" t="str">
        <f>Matrix_prices!G822</f>
        <v>General Service</v>
      </c>
      <c r="H834" s="81" t="str">
        <f t="shared" si="37"/>
        <v>100-500 MWh</v>
      </c>
      <c r="I834" s="80">
        <f>(Matrix_prices!I822+$D$2)*IF($M$2="Prices in $/MWh",1,1/1000)</f>
        <v>61.7</v>
      </c>
      <c r="J834" s="79">
        <f>(Matrix_prices!J822+$D$2)*IF($M$2="Prices in $/MWh",1,1/1000)</f>
        <v>61.84</v>
      </c>
      <c r="K834" s="80">
        <f>(Matrix_prices!K822+$D$2)*IF($M$2="Prices in $/MWh",1,1/1000)</f>
        <v>62.45</v>
      </c>
      <c r="L834" s="79">
        <f>(Matrix_prices!L822+$D$2)*IF($M$2="Prices in $/MWh",1,1/1000)</f>
        <v>24.34</v>
      </c>
      <c r="M834" s="80">
        <f>(Matrix_prices!M822+$D$2)*IF($M$2="Prices in $/MWh",1,1/1000)</f>
        <v>24.68</v>
      </c>
      <c r="N834" s="79">
        <f>(Matrix_prices!N822+$D$2)*IF($M$2="Prices in $/MWh",1,1/1000)</f>
        <v>25.39</v>
      </c>
    </row>
    <row r="835" spans="2:15" x14ac:dyDescent="0.25">
      <c r="C835" s="82">
        <f>Matrix_prices!C823</f>
        <v>42675</v>
      </c>
      <c r="D835" s="83" t="str">
        <f>Matrix_prices!D823</f>
        <v>OH</v>
      </c>
      <c r="E835" s="84" t="str">
        <f>Matrix_prices!E823</f>
        <v>FE OH</v>
      </c>
      <c r="F835" s="83" t="str">
        <f>Matrix_prices!F823</f>
        <v>GS</v>
      </c>
      <c r="G835" s="84" t="str">
        <f>Matrix_prices!G823</f>
        <v>General Service</v>
      </c>
      <c r="H835" s="85" t="str">
        <f t="shared" si="38"/>
        <v>500-2500 MWh</v>
      </c>
      <c r="I835" s="84">
        <f>(Matrix_prices!I823+$D$2)*IF($M$2="Prices in $/MWh",1,1/1000)</f>
        <v>60.65</v>
      </c>
      <c r="J835" s="83">
        <f>(Matrix_prices!J823+$D$2)*IF($M$2="Prices in $/MWh",1,1/1000)</f>
        <v>60.79</v>
      </c>
      <c r="K835" s="84">
        <f>(Matrix_prices!K823+$D$2)*IF($M$2="Prices in $/MWh",1,1/1000)</f>
        <v>61.4</v>
      </c>
      <c r="L835" s="83">
        <f>(Matrix_prices!L823+$D$2)*IF($M$2="Prices in $/MWh",1,1/1000)</f>
        <v>23.29</v>
      </c>
      <c r="M835" s="84">
        <f>(Matrix_prices!M823+$D$2)*IF($M$2="Prices in $/MWh",1,1/1000)</f>
        <v>23.63</v>
      </c>
      <c r="N835" s="83">
        <f>(Matrix_prices!N823+$D$2)*IF($M$2="Prices in $/MWh",1,1/1000)</f>
        <v>24.34</v>
      </c>
    </row>
    <row r="836" spans="2:15" x14ac:dyDescent="0.25">
      <c r="C836" s="151">
        <f>Matrix_prices!C824</f>
        <v>42705</v>
      </c>
      <c r="D836" s="152" t="str">
        <f>Matrix_prices!D824</f>
        <v>OH</v>
      </c>
      <c r="E836" s="153" t="str">
        <f>Matrix_prices!E824</f>
        <v>FE OH</v>
      </c>
      <c r="F836" s="152" t="str">
        <f>Matrix_prices!F824</f>
        <v>GS</v>
      </c>
      <c r="G836" s="153" t="str">
        <f>Matrix_prices!G824</f>
        <v>General Service</v>
      </c>
      <c r="H836" s="157" t="str">
        <f t="shared" si="36"/>
        <v>0-100 MWh</v>
      </c>
      <c r="I836" s="153">
        <f>(Matrix_prices!I824+$D$2)*IF($M$2="Prices in $/MWh",1,1/1000)</f>
        <v>63.47</v>
      </c>
      <c r="J836" s="152">
        <f>(Matrix_prices!J824+$D$2)*IF($M$2="Prices in $/MWh",1,1/1000)</f>
        <v>63.75</v>
      </c>
      <c r="K836" s="153">
        <f>(Matrix_prices!K824+$D$2)*IF($M$2="Prices in $/MWh",1,1/1000)</f>
        <v>64.19</v>
      </c>
      <c r="L836" s="152">
        <f>(Matrix_prices!L824+$D$2)*IF($M$2="Prices in $/MWh",1,1/1000)</f>
        <v>26.18</v>
      </c>
      <c r="M836" s="153">
        <f>(Matrix_prices!M824+$D$2)*IF($M$2="Prices in $/MWh",1,1/1000)</f>
        <v>26.51</v>
      </c>
      <c r="N836" s="152">
        <f>(Matrix_prices!N824+$D$2)*IF($M$2="Prices in $/MWh",1,1/1000)</f>
        <v>27.18</v>
      </c>
    </row>
    <row r="837" spans="2:15" x14ac:dyDescent="0.25">
      <c r="C837" s="78">
        <f>Matrix_prices!C825</f>
        <v>42705</v>
      </c>
      <c r="D837" s="79" t="str">
        <f>Matrix_prices!D825</f>
        <v>OH</v>
      </c>
      <c r="E837" s="80" t="str">
        <f>Matrix_prices!E825</f>
        <v>FE OH</v>
      </c>
      <c r="F837" s="79" t="str">
        <f>Matrix_prices!F825</f>
        <v>GS</v>
      </c>
      <c r="G837" s="80" t="str">
        <f>Matrix_prices!G825</f>
        <v>General Service</v>
      </c>
      <c r="H837" s="81" t="str">
        <f t="shared" si="37"/>
        <v>100-500 MWh</v>
      </c>
      <c r="I837" s="80">
        <f>(Matrix_prices!I825+$D$2)*IF($M$2="Prices in $/MWh",1,1/1000)</f>
        <v>61.87</v>
      </c>
      <c r="J837" s="79">
        <f>(Matrix_prices!J825+$D$2)*IF($M$2="Prices in $/MWh",1,1/1000)</f>
        <v>62.15</v>
      </c>
      <c r="K837" s="80">
        <f>(Matrix_prices!K825+$D$2)*IF($M$2="Prices in $/MWh",1,1/1000)</f>
        <v>62.59</v>
      </c>
      <c r="L837" s="79">
        <f>(Matrix_prices!L825+$D$2)*IF($M$2="Prices in $/MWh",1,1/1000)</f>
        <v>24.58</v>
      </c>
      <c r="M837" s="80">
        <f>(Matrix_prices!M825+$D$2)*IF($M$2="Prices in $/MWh",1,1/1000)</f>
        <v>24.91</v>
      </c>
      <c r="N837" s="79">
        <f>(Matrix_prices!N825+$D$2)*IF($M$2="Prices in $/MWh",1,1/1000)</f>
        <v>25.58</v>
      </c>
    </row>
    <row r="838" spans="2:15" x14ac:dyDescent="0.25">
      <c r="C838" s="82">
        <f>Matrix_prices!C826</f>
        <v>42705</v>
      </c>
      <c r="D838" s="83" t="str">
        <f>Matrix_prices!D826</f>
        <v>OH</v>
      </c>
      <c r="E838" s="84" t="str">
        <f>Matrix_prices!E826</f>
        <v>FE OH</v>
      </c>
      <c r="F838" s="83" t="str">
        <f>Matrix_prices!F826</f>
        <v>GS</v>
      </c>
      <c r="G838" s="84" t="str">
        <f>Matrix_prices!G826</f>
        <v>General Service</v>
      </c>
      <c r="H838" s="85" t="str">
        <f t="shared" si="38"/>
        <v>500-2500 MWh</v>
      </c>
      <c r="I838" s="84">
        <f>(Matrix_prices!I826+$D$2)*IF($M$2="Prices in $/MWh",1,1/1000)</f>
        <v>60.82</v>
      </c>
      <c r="J838" s="83">
        <f>(Matrix_prices!J826+$D$2)*IF($M$2="Prices in $/MWh",1,1/1000)</f>
        <v>61.1</v>
      </c>
      <c r="K838" s="84">
        <f>(Matrix_prices!K826+$D$2)*IF($M$2="Prices in $/MWh",1,1/1000)</f>
        <v>61.54</v>
      </c>
      <c r="L838" s="83">
        <f>(Matrix_prices!L826+$D$2)*IF($M$2="Prices in $/MWh",1,1/1000)</f>
        <v>23.53</v>
      </c>
      <c r="M838" s="84">
        <f>(Matrix_prices!M826+$D$2)*IF($M$2="Prices in $/MWh",1,1/1000)</f>
        <v>23.86</v>
      </c>
      <c r="N838" s="83">
        <f>(Matrix_prices!N826+$D$2)*IF($M$2="Prices in $/MWh",1,1/1000)</f>
        <v>24.53</v>
      </c>
    </row>
    <row r="839" spans="2:15" x14ac:dyDescent="0.25">
      <c r="C839" s="74">
        <f>Matrix_prices!C827</f>
        <v>42736</v>
      </c>
      <c r="D839" s="75" t="str">
        <f>Matrix_prices!D827</f>
        <v>OH</v>
      </c>
      <c r="E839" s="76" t="str">
        <f>Matrix_prices!E827</f>
        <v>FE OH</v>
      </c>
      <c r="F839" s="75" t="str">
        <f>Matrix_prices!F827</f>
        <v>GS</v>
      </c>
      <c r="G839" s="76" t="str">
        <f>Matrix_prices!G827</f>
        <v>General Service</v>
      </c>
      <c r="H839" s="157" t="str">
        <f t="shared" si="36"/>
        <v>0-100 MWh</v>
      </c>
      <c r="I839" s="76">
        <f>(Matrix_prices!I827+$D$2)*IF($M$2="Prices in $/MWh",1,1/1000)</f>
        <v>63.6</v>
      </c>
      <c r="J839" s="75">
        <f>(Matrix_prices!J827+$D$2)*IF($M$2="Prices in $/MWh",1,1/1000)</f>
        <v>64.14</v>
      </c>
      <c r="K839" s="76">
        <f>(Matrix_prices!K827+$D$2)*IF($M$2="Prices in $/MWh",1,1/1000)</f>
        <v>64.36</v>
      </c>
      <c r="L839" s="75">
        <f>(Matrix_prices!L827+$D$2)*IF($M$2="Prices in $/MWh",1,1/1000)</f>
        <v>26.39</v>
      </c>
      <c r="M839" s="76">
        <f>(Matrix_prices!M827+$D$2)*IF($M$2="Prices in $/MWh",1,1/1000)</f>
        <v>26.83</v>
      </c>
      <c r="N839" s="75">
        <f>(Matrix_prices!N827+$D$2)*IF($M$2="Prices in $/MWh",1,1/1000)</f>
        <v>27.37</v>
      </c>
    </row>
    <row r="840" spans="2:15" x14ac:dyDescent="0.25">
      <c r="C840" s="78">
        <f>Matrix_prices!C828</f>
        <v>42736</v>
      </c>
      <c r="D840" s="79" t="str">
        <f>Matrix_prices!D828</f>
        <v>OH</v>
      </c>
      <c r="E840" s="80" t="str">
        <f>Matrix_prices!E828</f>
        <v>FE OH</v>
      </c>
      <c r="F840" s="79" t="str">
        <f>Matrix_prices!F828</f>
        <v>GS</v>
      </c>
      <c r="G840" s="80" t="str">
        <f>Matrix_prices!G828</f>
        <v>General Service</v>
      </c>
      <c r="H840" s="81" t="str">
        <f t="shared" si="37"/>
        <v>100-500 MWh</v>
      </c>
      <c r="I840" s="80">
        <f>(Matrix_prices!I828+$D$2)*IF($M$2="Prices in $/MWh",1,1/1000)</f>
        <v>62</v>
      </c>
      <c r="J840" s="79">
        <f>(Matrix_prices!J828+$D$2)*IF($M$2="Prices in $/MWh",1,1/1000)</f>
        <v>62.54</v>
      </c>
      <c r="K840" s="80">
        <f>(Matrix_prices!K828+$D$2)*IF($M$2="Prices in $/MWh",1,1/1000)</f>
        <v>62.76</v>
      </c>
      <c r="L840" s="79">
        <f>(Matrix_prices!L828+$D$2)*IF($M$2="Prices in $/MWh",1,1/1000)</f>
        <v>24.79</v>
      </c>
      <c r="M840" s="80">
        <f>(Matrix_prices!M828+$D$2)*IF($M$2="Prices in $/MWh",1,1/1000)</f>
        <v>25.23</v>
      </c>
      <c r="N840" s="79">
        <f>(Matrix_prices!N828+$D$2)*IF($M$2="Prices in $/MWh",1,1/1000)</f>
        <v>25.77</v>
      </c>
    </row>
    <row r="841" spans="2:15" ht="15.75" thickBot="1" x14ac:dyDescent="0.3">
      <c r="C841" s="82">
        <f>Matrix_prices!C829</f>
        <v>42736</v>
      </c>
      <c r="D841" s="83" t="str">
        <f>Matrix_prices!D829</f>
        <v>OH</v>
      </c>
      <c r="E841" s="84" t="str">
        <f>Matrix_prices!E829</f>
        <v>FE OH</v>
      </c>
      <c r="F841" s="83" t="str">
        <f>Matrix_prices!F829</f>
        <v>GS</v>
      </c>
      <c r="G841" s="84" t="str">
        <f>Matrix_prices!G829</f>
        <v>General Service</v>
      </c>
      <c r="H841" s="85" t="str">
        <f t="shared" si="38"/>
        <v>500-2500 MWh</v>
      </c>
      <c r="I841" s="84">
        <f>(Matrix_prices!I829+$D$2)*IF($M$2="Prices in $/MWh",1,1/1000)</f>
        <v>60.95</v>
      </c>
      <c r="J841" s="83">
        <f>(Matrix_prices!J829+$D$2)*IF($M$2="Prices in $/MWh",1,1/1000)</f>
        <v>61.49</v>
      </c>
      <c r="K841" s="84">
        <f>(Matrix_prices!K829+$D$2)*IF($M$2="Prices in $/MWh",1,1/1000)</f>
        <v>61.71</v>
      </c>
      <c r="L841" s="83">
        <f>(Matrix_prices!L829+$D$2)*IF($M$2="Prices in $/MWh",1,1/1000)</f>
        <v>23.74</v>
      </c>
      <c r="M841" s="84">
        <f>(Matrix_prices!M829+$D$2)*IF($M$2="Prices in $/MWh",1,1/1000)</f>
        <v>24.18</v>
      </c>
      <c r="N841" s="83">
        <f>(Matrix_prices!N829+$D$2)*IF($M$2="Prices in $/MWh",1,1/1000)</f>
        <v>24.72</v>
      </c>
    </row>
    <row r="842" spans="2:15" x14ac:dyDescent="0.25">
      <c r="B842" s="54"/>
      <c r="C842" s="151">
        <f>Matrix_prices!C830</f>
        <v>42401</v>
      </c>
      <c r="D842" s="152" t="str">
        <f>Matrix_prices!D830</f>
        <v>PA</v>
      </c>
      <c r="E842" s="153" t="str">
        <f>Matrix_prices!E830</f>
        <v>DQE</v>
      </c>
      <c r="F842" s="152" t="str">
        <f>Matrix_prices!F830</f>
        <v>GS</v>
      </c>
      <c r="G842" s="153" t="str">
        <f>Matrix_prices!G830</f>
        <v>General service</v>
      </c>
      <c r="H842" s="157" t="str">
        <f t="shared" si="36"/>
        <v>0-100 MWh</v>
      </c>
      <c r="I842" s="153">
        <f>(Matrix_prices!I830+$D$2)*IF($M$2="Prices in $/MWh",1,1/1000)</f>
        <v>70.08</v>
      </c>
      <c r="J842" s="152">
        <f>(Matrix_prices!J830+$D$2)*IF($M$2="Prices in $/MWh",1,1/1000)</f>
        <v>70.92</v>
      </c>
      <c r="K842" s="153">
        <f>(Matrix_prices!K830+$D$2)*IF($M$2="Prices in $/MWh",1,1/1000)</f>
        <v>71.53</v>
      </c>
      <c r="L842" s="152">
        <f>(Matrix_prices!L830+$D$2)*IF($M$2="Prices in $/MWh",1,1/1000)</f>
        <v>35.270000000000003</v>
      </c>
      <c r="M842" s="153">
        <f>(Matrix_prices!M830+$D$2)*IF($M$2="Prices in $/MWh",1,1/1000)</f>
        <v>35.67</v>
      </c>
      <c r="N842" s="152">
        <f>(Matrix_prices!N830+$D$2)*IF($M$2="Prices in $/MWh",1,1/1000)</f>
        <v>36.65</v>
      </c>
      <c r="O842" s="56"/>
    </row>
    <row r="843" spans="2:15" x14ac:dyDescent="0.25">
      <c r="B843" s="57"/>
      <c r="C843" s="78">
        <f>Matrix_prices!C831</f>
        <v>42401</v>
      </c>
      <c r="D843" s="79" t="str">
        <f>Matrix_prices!D831</f>
        <v>PA</v>
      </c>
      <c r="E843" s="80" t="str">
        <f>Matrix_prices!E831</f>
        <v>DQE</v>
      </c>
      <c r="F843" s="79" t="str">
        <f>Matrix_prices!F831</f>
        <v>GS</v>
      </c>
      <c r="G843" s="80" t="str">
        <f>Matrix_prices!G831</f>
        <v>General service</v>
      </c>
      <c r="H843" s="81" t="str">
        <f t="shared" si="37"/>
        <v>100-500 MWh</v>
      </c>
      <c r="I843" s="80">
        <f>(Matrix_prices!I831+$D$2)*IF($M$2="Prices in $/MWh",1,1/1000)</f>
        <v>68.48</v>
      </c>
      <c r="J843" s="79">
        <f>(Matrix_prices!J831+$D$2)*IF($M$2="Prices in $/MWh",1,1/1000)</f>
        <v>69.319999999999993</v>
      </c>
      <c r="K843" s="80">
        <f>(Matrix_prices!K831+$D$2)*IF($M$2="Prices in $/MWh",1,1/1000)</f>
        <v>69.930000000000007</v>
      </c>
      <c r="L843" s="79">
        <f>(Matrix_prices!L831+$D$2)*IF($M$2="Prices in $/MWh",1,1/1000)</f>
        <v>33.67</v>
      </c>
      <c r="M843" s="80">
        <f>(Matrix_prices!M831+$D$2)*IF($M$2="Prices in $/MWh",1,1/1000)</f>
        <v>34.07</v>
      </c>
      <c r="N843" s="79">
        <f>(Matrix_prices!N831+$D$2)*IF($M$2="Prices in $/MWh",1,1/1000)</f>
        <v>35.049999999999997</v>
      </c>
      <c r="O843" s="61"/>
    </row>
    <row r="844" spans="2:15" x14ac:dyDescent="0.25">
      <c r="B844" s="57"/>
      <c r="C844" s="82">
        <f>Matrix_prices!C832</f>
        <v>42401</v>
      </c>
      <c r="D844" s="83" t="str">
        <f>Matrix_prices!D832</f>
        <v>PA</v>
      </c>
      <c r="E844" s="84" t="str">
        <f>Matrix_prices!E832</f>
        <v>DQE</v>
      </c>
      <c r="F844" s="83" t="str">
        <f>Matrix_prices!F832</f>
        <v>GS</v>
      </c>
      <c r="G844" s="84" t="str">
        <f>Matrix_prices!G832</f>
        <v>General service</v>
      </c>
      <c r="H844" s="85" t="str">
        <f t="shared" si="38"/>
        <v>500-2500 MWh</v>
      </c>
      <c r="I844" s="84">
        <f>(Matrix_prices!I832+$D$2)*IF($M$2="Prices in $/MWh",1,1/1000)</f>
        <v>67.430000000000007</v>
      </c>
      <c r="J844" s="83">
        <f>(Matrix_prices!J832+$D$2)*IF($M$2="Prices in $/MWh",1,1/1000)</f>
        <v>68.27</v>
      </c>
      <c r="K844" s="84">
        <f>(Matrix_prices!K832+$D$2)*IF($M$2="Prices in $/MWh",1,1/1000)</f>
        <v>68.88</v>
      </c>
      <c r="L844" s="83">
        <f>(Matrix_prices!L832+$D$2)*IF($M$2="Prices in $/MWh",1,1/1000)</f>
        <v>32.619999999999997</v>
      </c>
      <c r="M844" s="84">
        <f>(Matrix_prices!M832+$D$2)*IF($M$2="Prices in $/MWh",1,1/1000)</f>
        <v>33.020000000000003</v>
      </c>
      <c r="N844" s="83">
        <f>(Matrix_prices!N832+$D$2)*IF($M$2="Prices in $/MWh",1,1/1000)</f>
        <v>34</v>
      </c>
      <c r="O844" s="61"/>
    </row>
    <row r="845" spans="2:15" x14ac:dyDescent="0.25">
      <c r="B845" s="57"/>
      <c r="C845" s="74">
        <f>Matrix_prices!C833</f>
        <v>42430</v>
      </c>
      <c r="D845" s="75" t="str">
        <f>Matrix_prices!D833</f>
        <v>PA</v>
      </c>
      <c r="E845" s="76" t="str">
        <f>Matrix_prices!E833</f>
        <v>DQE</v>
      </c>
      <c r="F845" s="75" t="str">
        <f>Matrix_prices!F833</f>
        <v>GS</v>
      </c>
      <c r="G845" s="76" t="str">
        <f>Matrix_prices!G833</f>
        <v>General service</v>
      </c>
      <c r="H845" s="157" t="str">
        <f t="shared" si="36"/>
        <v>0-100 MWh</v>
      </c>
      <c r="I845" s="76">
        <f>(Matrix_prices!I833+$D$2)*IF($M$2="Prices in $/MWh",1,1/1000)</f>
        <v>69.959999999999994</v>
      </c>
      <c r="J845" s="75">
        <f>(Matrix_prices!J833+$D$2)*IF($M$2="Prices in $/MWh",1,1/1000)</f>
        <v>70.86</v>
      </c>
      <c r="K845" s="76">
        <f>(Matrix_prices!K833+$D$2)*IF($M$2="Prices in $/MWh",1,1/1000)</f>
        <v>71.680000000000007</v>
      </c>
      <c r="L845" s="75">
        <f>(Matrix_prices!L833+$D$2)*IF($M$2="Prices in $/MWh",1,1/1000)</f>
        <v>34.950000000000003</v>
      </c>
      <c r="M845" s="76">
        <f>(Matrix_prices!M833+$D$2)*IF($M$2="Prices in $/MWh",1,1/1000)</f>
        <v>35.61</v>
      </c>
      <c r="N845" s="75">
        <f>(Matrix_prices!N833+$D$2)*IF($M$2="Prices in $/MWh",1,1/1000)</f>
        <v>36.729999999999997</v>
      </c>
      <c r="O845" s="61"/>
    </row>
    <row r="846" spans="2:15" x14ac:dyDescent="0.25">
      <c r="B846" s="57"/>
      <c r="C846" s="78">
        <f>Matrix_prices!C834</f>
        <v>42430</v>
      </c>
      <c r="D846" s="79" t="str">
        <f>Matrix_prices!D834</f>
        <v>PA</v>
      </c>
      <c r="E846" s="80" t="str">
        <f>Matrix_prices!E834</f>
        <v>DQE</v>
      </c>
      <c r="F846" s="79" t="str">
        <f>Matrix_prices!F834</f>
        <v>GS</v>
      </c>
      <c r="G846" s="80" t="str">
        <f>Matrix_prices!G834</f>
        <v>General service</v>
      </c>
      <c r="H846" s="81" t="str">
        <f t="shared" si="37"/>
        <v>100-500 MWh</v>
      </c>
      <c r="I846" s="80">
        <f>(Matrix_prices!I834+$D$2)*IF($M$2="Prices in $/MWh",1,1/1000)</f>
        <v>68.36</v>
      </c>
      <c r="J846" s="79">
        <f>(Matrix_prices!J834+$D$2)*IF($M$2="Prices in $/MWh",1,1/1000)</f>
        <v>69.260000000000005</v>
      </c>
      <c r="K846" s="80">
        <f>(Matrix_prices!K834+$D$2)*IF($M$2="Prices in $/MWh",1,1/1000)</f>
        <v>70.08</v>
      </c>
      <c r="L846" s="79">
        <f>(Matrix_prices!L834+$D$2)*IF($M$2="Prices in $/MWh",1,1/1000)</f>
        <v>33.35</v>
      </c>
      <c r="M846" s="80">
        <f>(Matrix_prices!M834+$D$2)*IF($M$2="Prices in $/MWh",1,1/1000)</f>
        <v>34.01</v>
      </c>
      <c r="N846" s="79">
        <f>(Matrix_prices!N834+$D$2)*IF($M$2="Prices in $/MWh",1,1/1000)</f>
        <v>35.130000000000003</v>
      </c>
      <c r="O846" s="61"/>
    </row>
    <row r="847" spans="2:15" x14ac:dyDescent="0.25">
      <c r="B847" s="57"/>
      <c r="C847" s="82">
        <f>Matrix_prices!C835</f>
        <v>42430</v>
      </c>
      <c r="D847" s="83" t="str">
        <f>Matrix_prices!D835</f>
        <v>PA</v>
      </c>
      <c r="E847" s="84" t="str">
        <f>Matrix_prices!E835</f>
        <v>DQE</v>
      </c>
      <c r="F847" s="83" t="str">
        <f>Matrix_prices!F835</f>
        <v>GS</v>
      </c>
      <c r="G847" s="84" t="str">
        <f>Matrix_prices!G835</f>
        <v>General service</v>
      </c>
      <c r="H847" s="85" t="str">
        <f t="shared" si="38"/>
        <v>500-2500 MWh</v>
      </c>
      <c r="I847" s="84">
        <f>(Matrix_prices!I835+$D$2)*IF($M$2="Prices in $/MWh",1,1/1000)</f>
        <v>67.31</v>
      </c>
      <c r="J847" s="83">
        <f>(Matrix_prices!J835+$D$2)*IF($M$2="Prices in $/MWh",1,1/1000)</f>
        <v>68.209999999999994</v>
      </c>
      <c r="K847" s="84">
        <f>(Matrix_prices!K835+$D$2)*IF($M$2="Prices in $/MWh",1,1/1000)</f>
        <v>69.03</v>
      </c>
      <c r="L847" s="83">
        <f>(Matrix_prices!L835+$D$2)*IF($M$2="Prices in $/MWh",1,1/1000)</f>
        <v>32.299999999999997</v>
      </c>
      <c r="M847" s="84">
        <f>(Matrix_prices!M835+$D$2)*IF($M$2="Prices in $/MWh",1,1/1000)</f>
        <v>32.96</v>
      </c>
      <c r="N847" s="83">
        <f>(Matrix_prices!N835+$D$2)*IF($M$2="Prices in $/MWh",1,1/1000)</f>
        <v>34.08</v>
      </c>
      <c r="O847" s="61"/>
    </row>
    <row r="848" spans="2:15" x14ac:dyDescent="0.25">
      <c r="B848" s="57"/>
      <c r="C848" s="151">
        <f>Matrix_prices!C836</f>
        <v>42461</v>
      </c>
      <c r="D848" s="152" t="str">
        <f>Matrix_prices!D836</f>
        <v>PA</v>
      </c>
      <c r="E848" s="153" t="str">
        <f>Matrix_prices!E836</f>
        <v>DQE</v>
      </c>
      <c r="F848" s="152" t="str">
        <f>Matrix_prices!F836</f>
        <v>GS</v>
      </c>
      <c r="G848" s="153" t="str">
        <f>Matrix_prices!G836</f>
        <v>General service</v>
      </c>
      <c r="H848" s="157" t="str">
        <f t="shared" si="36"/>
        <v>0-100 MWh</v>
      </c>
      <c r="I848" s="153">
        <f>(Matrix_prices!I836+$D$2)*IF($M$2="Prices in $/MWh",1,1/1000)</f>
        <v>69.819999999999993</v>
      </c>
      <c r="J848" s="152">
        <f>(Matrix_prices!J836+$D$2)*IF($M$2="Prices in $/MWh",1,1/1000)</f>
        <v>70.760000000000005</v>
      </c>
      <c r="K848" s="153">
        <f>(Matrix_prices!K836+$D$2)*IF($M$2="Prices in $/MWh",1,1/1000)</f>
        <v>71.849999999999994</v>
      </c>
      <c r="L848" s="152">
        <f>(Matrix_prices!L836+$D$2)*IF($M$2="Prices in $/MWh",1,1/1000)</f>
        <v>34.6</v>
      </c>
      <c r="M848" s="153">
        <f>(Matrix_prices!M836+$D$2)*IF($M$2="Prices in $/MWh",1,1/1000)</f>
        <v>35.65</v>
      </c>
      <c r="N848" s="152">
        <f>(Matrix_prices!N836+$D$2)*IF($M$2="Prices in $/MWh",1,1/1000)</f>
        <v>36.82</v>
      </c>
      <c r="O848" s="61"/>
    </row>
    <row r="849" spans="2:15" x14ac:dyDescent="0.25">
      <c r="B849" s="57"/>
      <c r="C849" s="78">
        <f>Matrix_prices!C837</f>
        <v>42461</v>
      </c>
      <c r="D849" s="79" t="str">
        <f>Matrix_prices!D837</f>
        <v>PA</v>
      </c>
      <c r="E849" s="80" t="str">
        <f>Matrix_prices!E837</f>
        <v>DQE</v>
      </c>
      <c r="F849" s="79" t="str">
        <f>Matrix_prices!F837</f>
        <v>GS</v>
      </c>
      <c r="G849" s="80" t="str">
        <f>Matrix_prices!G837</f>
        <v>General service</v>
      </c>
      <c r="H849" s="81" t="str">
        <f t="shared" si="37"/>
        <v>100-500 MWh</v>
      </c>
      <c r="I849" s="80">
        <f>(Matrix_prices!I837+$D$2)*IF($M$2="Prices in $/MWh",1,1/1000)</f>
        <v>68.22</v>
      </c>
      <c r="J849" s="79">
        <f>(Matrix_prices!J837+$D$2)*IF($M$2="Prices in $/MWh",1,1/1000)</f>
        <v>69.16</v>
      </c>
      <c r="K849" s="80">
        <f>(Matrix_prices!K837+$D$2)*IF($M$2="Prices in $/MWh",1,1/1000)</f>
        <v>70.25</v>
      </c>
      <c r="L849" s="79">
        <f>(Matrix_prices!L837+$D$2)*IF($M$2="Prices in $/MWh",1,1/1000)</f>
        <v>33</v>
      </c>
      <c r="M849" s="80">
        <f>(Matrix_prices!M837+$D$2)*IF($M$2="Prices in $/MWh",1,1/1000)</f>
        <v>34.049999999999997</v>
      </c>
      <c r="N849" s="79">
        <f>(Matrix_prices!N837+$D$2)*IF($M$2="Prices in $/MWh",1,1/1000)</f>
        <v>35.22</v>
      </c>
      <c r="O849" s="61"/>
    </row>
    <row r="850" spans="2:15" x14ac:dyDescent="0.25">
      <c r="B850" s="57"/>
      <c r="C850" s="82">
        <f>Matrix_prices!C838</f>
        <v>42461</v>
      </c>
      <c r="D850" s="83" t="str">
        <f>Matrix_prices!D838</f>
        <v>PA</v>
      </c>
      <c r="E850" s="84" t="str">
        <f>Matrix_prices!E838</f>
        <v>DQE</v>
      </c>
      <c r="F850" s="83" t="str">
        <f>Matrix_prices!F838</f>
        <v>GS</v>
      </c>
      <c r="G850" s="84" t="str">
        <f>Matrix_prices!G838</f>
        <v>General service</v>
      </c>
      <c r="H850" s="85" t="str">
        <f t="shared" si="38"/>
        <v>500-2500 MWh</v>
      </c>
      <c r="I850" s="84">
        <f>(Matrix_prices!I838+$D$2)*IF($M$2="Prices in $/MWh",1,1/1000)</f>
        <v>67.17</v>
      </c>
      <c r="J850" s="83">
        <f>(Matrix_prices!J838+$D$2)*IF($M$2="Prices in $/MWh",1,1/1000)</f>
        <v>68.11</v>
      </c>
      <c r="K850" s="84">
        <f>(Matrix_prices!K838+$D$2)*IF($M$2="Prices in $/MWh",1,1/1000)</f>
        <v>69.2</v>
      </c>
      <c r="L850" s="83">
        <f>(Matrix_prices!L838+$D$2)*IF($M$2="Prices in $/MWh",1,1/1000)</f>
        <v>31.95</v>
      </c>
      <c r="M850" s="84">
        <f>(Matrix_prices!M838+$D$2)*IF($M$2="Prices in $/MWh",1,1/1000)</f>
        <v>33</v>
      </c>
      <c r="N850" s="83">
        <f>(Matrix_prices!N838+$D$2)*IF($M$2="Prices in $/MWh",1,1/1000)</f>
        <v>34.17</v>
      </c>
      <c r="O850" s="61"/>
    </row>
    <row r="851" spans="2:15" x14ac:dyDescent="0.25">
      <c r="B851" s="57"/>
      <c r="C851" s="74">
        <f>Matrix_prices!C839</f>
        <v>42491</v>
      </c>
      <c r="D851" s="75" t="str">
        <f>Matrix_prices!D839</f>
        <v>PA</v>
      </c>
      <c r="E851" s="76" t="str">
        <f>Matrix_prices!E839</f>
        <v>DQE</v>
      </c>
      <c r="F851" s="75" t="str">
        <f>Matrix_prices!F839</f>
        <v>GS</v>
      </c>
      <c r="G851" s="76" t="str">
        <f>Matrix_prices!G839</f>
        <v>General service</v>
      </c>
      <c r="H851" s="157" t="str">
        <f t="shared" si="36"/>
        <v>0-100 MWh</v>
      </c>
      <c r="I851" s="76">
        <f>(Matrix_prices!I839+$D$2)*IF($M$2="Prices in $/MWh",1,1/1000)</f>
        <v>69.56</v>
      </c>
      <c r="J851" s="75">
        <f>(Matrix_prices!J839+$D$2)*IF($M$2="Prices in $/MWh",1,1/1000)</f>
        <v>70.72</v>
      </c>
      <c r="K851" s="76">
        <f>(Matrix_prices!K839+$D$2)*IF($M$2="Prices in $/MWh",1,1/1000)</f>
        <v>71.92</v>
      </c>
      <c r="L851" s="75">
        <f>(Matrix_prices!L839+$D$2)*IF($M$2="Prices in $/MWh",1,1/1000)</f>
        <v>34.270000000000003</v>
      </c>
      <c r="M851" s="76">
        <f>(Matrix_prices!M839+$D$2)*IF($M$2="Prices in $/MWh",1,1/1000)</f>
        <v>35.700000000000003</v>
      </c>
      <c r="N851" s="75">
        <f>(Matrix_prices!N839+$D$2)*IF($M$2="Prices in $/MWh",1,1/1000)</f>
        <v>36.9</v>
      </c>
      <c r="O851" s="61"/>
    </row>
    <row r="852" spans="2:15" x14ac:dyDescent="0.25">
      <c r="B852" s="57"/>
      <c r="C852" s="78">
        <f>Matrix_prices!C840</f>
        <v>42491</v>
      </c>
      <c r="D852" s="79" t="str">
        <f>Matrix_prices!D840</f>
        <v>PA</v>
      </c>
      <c r="E852" s="80" t="str">
        <f>Matrix_prices!E840</f>
        <v>DQE</v>
      </c>
      <c r="F852" s="79" t="str">
        <f>Matrix_prices!F840</f>
        <v>GS</v>
      </c>
      <c r="G852" s="80" t="str">
        <f>Matrix_prices!G840</f>
        <v>General service</v>
      </c>
      <c r="H852" s="81" t="str">
        <f t="shared" si="37"/>
        <v>100-500 MWh</v>
      </c>
      <c r="I852" s="80">
        <f>(Matrix_prices!I840+$D$2)*IF($M$2="Prices in $/MWh",1,1/1000)</f>
        <v>67.959999999999994</v>
      </c>
      <c r="J852" s="79">
        <f>(Matrix_prices!J840+$D$2)*IF($M$2="Prices in $/MWh",1,1/1000)</f>
        <v>69.12</v>
      </c>
      <c r="K852" s="80">
        <f>(Matrix_prices!K840+$D$2)*IF($M$2="Prices in $/MWh",1,1/1000)</f>
        <v>70.319999999999993</v>
      </c>
      <c r="L852" s="79">
        <f>(Matrix_prices!L840+$D$2)*IF($M$2="Prices in $/MWh",1,1/1000)</f>
        <v>32.67</v>
      </c>
      <c r="M852" s="80">
        <f>(Matrix_prices!M840+$D$2)*IF($M$2="Prices in $/MWh",1,1/1000)</f>
        <v>34.1</v>
      </c>
      <c r="N852" s="79">
        <f>(Matrix_prices!N840+$D$2)*IF($M$2="Prices in $/MWh",1,1/1000)</f>
        <v>35.299999999999997</v>
      </c>
      <c r="O852" s="61"/>
    </row>
    <row r="853" spans="2:15" x14ac:dyDescent="0.25">
      <c r="B853" s="57"/>
      <c r="C853" s="82">
        <f>Matrix_prices!C841</f>
        <v>42491</v>
      </c>
      <c r="D853" s="83" t="str">
        <f>Matrix_prices!D841</f>
        <v>PA</v>
      </c>
      <c r="E853" s="84" t="str">
        <f>Matrix_prices!E841</f>
        <v>DQE</v>
      </c>
      <c r="F853" s="83" t="str">
        <f>Matrix_prices!F841</f>
        <v>GS</v>
      </c>
      <c r="G853" s="84" t="str">
        <f>Matrix_prices!G841</f>
        <v>General service</v>
      </c>
      <c r="H853" s="85" t="str">
        <f t="shared" si="38"/>
        <v>500-2500 MWh</v>
      </c>
      <c r="I853" s="84">
        <f>(Matrix_prices!I841+$D$2)*IF($M$2="Prices in $/MWh",1,1/1000)</f>
        <v>66.91</v>
      </c>
      <c r="J853" s="83">
        <f>(Matrix_prices!J841+$D$2)*IF($M$2="Prices in $/MWh",1,1/1000)</f>
        <v>68.069999999999993</v>
      </c>
      <c r="K853" s="84">
        <f>(Matrix_prices!K841+$D$2)*IF($M$2="Prices in $/MWh",1,1/1000)</f>
        <v>69.27</v>
      </c>
      <c r="L853" s="83">
        <f>(Matrix_prices!L841+$D$2)*IF($M$2="Prices in $/MWh",1,1/1000)</f>
        <v>31.62</v>
      </c>
      <c r="M853" s="84">
        <f>(Matrix_prices!M841+$D$2)*IF($M$2="Prices in $/MWh",1,1/1000)</f>
        <v>33.049999999999997</v>
      </c>
      <c r="N853" s="83">
        <f>(Matrix_prices!N841+$D$2)*IF($M$2="Prices in $/MWh",1,1/1000)</f>
        <v>34.25</v>
      </c>
      <c r="O853" s="61"/>
    </row>
    <row r="854" spans="2:15" x14ac:dyDescent="0.25">
      <c r="B854" s="57"/>
      <c r="C854" s="151">
        <f>Matrix_prices!C842</f>
        <v>42522</v>
      </c>
      <c r="D854" s="152" t="str">
        <f>Matrix_prices!D842</f>
        <v>PA</v>
      </c>
      <c r="E854" s="153" t="str">
        <f>Matrix_prices!E842</f>
        <v>DQE</v>
      </c>
      <c r="F854" s="152" t="str">
        <f>Matrix_prices!F842</f>
        <v>GS</v>
      </c>
      <c r="G854" s="153" t="str">
        <f>Matrix_prices!G842</f>
        <v>General service</v>
      </c>
      <c r="H854" s="157" t="str">
        <f t="shared" si="36"/>
        <v>0-100 MWh</v>
      </c>
      <c r="I854" s="153">
        <f>(Matrix_prices!I842+$D$2)*IF($M$2="Prices in $/MWh",1,1/1000)</f>
        <v>69.239999999999995</v>
      </c>
      <c r="J854" s="152">
        <f>(Matrix_prices!J842+$D$2)*IF($M$2="Prices in $/MWh",1,1/1000)</f>
        <v>70.63</v>
      </c>
      <c r="K854" s="153">
        <f>(Matrix_prices!K842+$D$2)*IF($M$2="Prices in $/MWh",1,1/1000)</f>
        <v>72.02</v>
      </c>
      <c r="L854" s="152">
        <f>(Matrix_prices!L842+$D$2)*IF($M$2="Prices in $/MWh",1,1/1000)</f>
        <v>33.880000000000003</v>
      </c>
      <c r="M854" s="153">
        <f>(Matrix_prices!M842+$D$2)*IF($M$2="Prices in $/MWh",1,1/1000)</f>
        <v>35.72</v>
      </c>
      <c r="N854" s="152">
        <f>(Matrix_prices!N842+$D$2)*IF($M$2="Prices in $/MWh",1,1/1000)</f>
        <v>36.96</v>
      </c>
      <c r="O854" s="61"/>
    </row>
    <row r="855" spans="2:15" x14ac:dyDescent="0.25">
      <c r="B855" s="57"/>
      <c r="C855" s="78">
        <f>Matrix_prices!C843</f>
        <v>42522</v>
      </c>
      <c r="D855" s="79" t="str">
        <f>Matrix_prices!D843</f>
        <v>PA</v>
      </c>
      <c r="E855" s="80" t="str">
        <f>Matrix_prices!E843</f>
        <v>DQE</v>
      </c>
      <c r="F855" s="79" t="str">
        <f>Matrix_prices!F843</f>
        <v>GS</v>
      </c>
      <c r="G855" s="80" t="str">
        <f>Matrix_prices!G843</f>
        <v>General service</v>
      </c>
      <c r="H855" s="81" t="str">
        <f t="shared" si="37"/>
        <v>100-500 MWh</v>
      </c>
      <c r="I855" s="80">
        <f>(Matrix_prices!I843+$D$2)*IF($M$2="Prices in $/MWh",1,1/1000)</f>
        <v>67.64</v>
      </c>
      <c r="J855" s="79">
        <f>(Matrix_prices!J843+$D$2)*IF($M$2="Prices in $/MWh",1,1/1000)</f>
        <v>69.03</v>
      </c>
      <c r="K855" s="80">
        <f>(Matrix_prices!K843+$D$2)*IF($M$2="Prices in $/MWh",1,1/1000)</f>
        <v>70.42</v>
      </c>
      <c r="L855" s="79">
        <f>(Matrix_prices!L843+$D$2)*IF($M$2="Prices in $/MWh",1,1/1000)</f>
        <v>32.28</v>
      </c>
      <c r="M855" s="80">
        <f>(Matrix_prices!M843+$D$2)*IF($M$2="Prices in $/MWh",1,1/1000)</f>
        <v>34.119999999999997</v>
      </c>
      <c r="N855" s="79">
        <f>(Matrix_prices!N843+$D$2)*IF($M$2="Prices in $/MWh",1,1/1000)</f>
        <v>35.36</v>
      </c>
      <c r="O855" s="61"/>
    </row>
    <row r="856" spans="2:15" x14ac:dyDescent="0.25">
      <c r="B856" s="57"/>
      <c r="C856" s="82">
        <f>Matrix_prices!C844</f>
        <v>42522</v>
      </c>
      <c r="D856" s="83" t="str">
        <f>Matrix_prices!D844</f>
        <v>PA</v>
      </c>
      <c r="E856" s="84" t="str">
        <f>Matrix_prices!E844</f>
        <v>DQE</v>
      </c>
      <c r="F856" s="83" t="str">
        <f>Matrix_prices!F844</f>
        <v>GS</v>
      </c>
      <c r="G856" s="84" t="str">
        <f>Matrix_prices!G844</f>
        <v>General service</v>
      </c>
      <c r="H856" s="85" t="str">
        <f t="shared" si="38"/>
        <v>500-2500 MWh</v>
      </c>
      <c r="I856" s="84">
        <f>(Matrix_prices!I844+$D$2)*IF($M$2="Prices in $/MWh",1,1/1000)</f>
        <v>66.59</v>
      </c>
      <c r="J856" s="83">
        <f>(Matrix_prices!J844+$D$2)*IF($M$2="Prices in $/MWh",1,1/1000)</f>
        <v>67.98</v>
      </c>
      <c r="K856" s="84">
        <f>(Matrix_prices!K844+$D$2)*IF($M$2="Prices in $/MWh",1,1/1000)</f>
        <v>69.37</v>
      </c>
      <c r="L856" s="83">
        <f>(Matrix_prices!L844+$D$2)*IF($M$2="Prices in $/MWh",1,1/1000)</f>
        <v>31.23</v>
      </c>
      <c r="M856" s="84">
        <f>(Matrix_prices!M844+$D$2)*IF($M$2="Prices in $/MWh",1,1/1000)</f>
        <v>33.07</v>
      </c>
      <c r="N856" s="83">
        <f>(Matrix_prices!N844+$D$2)*IF($M$2="Prices in $/MWh",1,1/1000)</f>
        <v>34.31</v>
      </c>
      <c r="O856" s="61"/>
    </row>
    <row r="857" spans="2:15" x14ac:dyDescent="0.25">
      <c r="B857" s="57"/>
      <c r="C857" s="74">
        <f>Matrix_prices!C845</f>
        <v>42552</v>
      </c>
      <c r="D857" s="75" t="str">
        <f>Matrix_prices!D845</f>
        <v>PA</v>
      </c>
      <c r="E857" s="76" t="str">
        <f>Matrix_prices!E845</f>
        <v>DQE</v>
      </c>
      <c r="F857" s="75" t="str">
        <f>Matrix_prices!F845</f>
        <v>GS</v>
      </c>
      <c r="G857" s="76" t="str">
        <f>Matrix_prices!G845</f>
        <v>General service</v>
      </c>
      <c r="H857" s="157" t="str">
        <f t="shared" si="36"/>
        <v>0-100 MWh</v>
      </c>
      <c r="I857" s="76">
        <f>(Matrix_prices!I845+$D$2)*IF($M$2="Prices in $/MWh",1,1/1000)</f>
        <v>69.8</v>
      </c>
      <c r="J857" s="75">
        <f>(Matrix_prices!J845+$D$2)*IF($M$2="Prices in $/MWh",1,1/1000)</f>
        <v>70.84</v>
      </c>
      <c r="K857" s="76">
        <f>(Matrix_prices!K845+$D$2)*IF($M$2="Prices in $/MWh",1,1/1000)</f>
        <v>72.319999999999993</v>
      </c>
      <c r="L857" s="75">
        <f>(Matrix_prices!L845+$D$2)*IF($M$2="Prices in $/MWh",1,1/1000)</f>
        <v>34.4</v>
      </c>
      <c r="M857" s="76">
        <f>(Matrix_prices!M845+$D$2)*IF($M$2="Prices in $/MWh",1,1/1000)</f>
        <v>36.020000000000003</v>
      </c>
      <c r="N857" s="75">
        <f>(Matrix_prices!N845+$D$2)*IF($M$2="Prices in $/MWh",1,1/1000)</f>
        <v>37.299999999999997</v>
      </c>
      <c r="O857" s="61"/>
    </row>
    <row r="858" spans="2:15" x14ac:dyDescent="0.25">
      <c r="B858" s="57"/>
      <c r="C858" s="78">
        <f>Matrix_prices!C846</f>
        <v>42552</v>
      </c>
      <c r="D858" s="79" t="str">
        <f>Matrix_prices!D846</f>
        <v>PA</v>
      </c>
      <c r="E858" s="80" t="str">
        <f>Matrix_prices!E846</f>
        <v>DQE</v>
      </c>
      <c r="F858" s="79" t="str">
        <f>Matrix_prices!F846</f>
        <v>GS</v>
      </c>
      <c r="G858" s="80" t="str">
        <f>Matrix_prices!G846</f>
        <v>General service</v>
      </c>
      <c r="H858" s="81" t="str">
        <f t="shared" si="37"/>
        <v>100-500 MWh</v>
      </c>
      <c r="I858" s="80">
        <f>(Matrix_prices!I846+$D$2)*IF($M$2="Prices in $/MWh",1,1/1000)</f>
        <v>68.2</v>
      </c>
      <c r="J858" s="79">
        <f>(Matrix_prices!J846+$D$2)*IF($M$2="Prices in $/MWh",1,1/1000)</f>
        <v>69.239999999999995</v>
      </c>
      <c r="K858" s="80">
        <f>(Matrix_prices!K846+$D$2)*IF($M$2="Prices in $/MWh",1,1/1000)</f>
        <v>70.72</v>
      </c>
      <c r="L858" s="79">
        <f>(Matrix_prices!L846+$D$2)*IF($M$2="Prices in $/MWh",1,1/1000)</f>
        <v>32.799999999999997</v>
      </c>
      <c r="M858" s="80">
        <f>(Matrix_prices!M846+$D$2)*IF($M$2="Prices in $/MWh",1,1/1000)</f>
        <v>34.42</v>
      </c>
      <c r="N858" s="79">
        <f>(Matrix_prices!N846+$D$2)*IF($M$2="Prices in $/MWh",1,1/1000)</f>
        <v>35.700000000000003</v>
      </c>
      <c r="O858" s="61"/>
    </row>
    <row r="859" spans="2:15" x14ac:dyDescent="0.25">
      <c r="B859" s="57"/>
      <c r="C859" s="82">
        <f>Matrix_prices!C847</f>
        <v>42552</v>
      </c>
      <c r="D859" s="83" t="str">
        <f>Matrix_prices!D847</f>
        <v>PA</v>
      </c>
      <c r="E859" s="84" t="str">
        <f>Matrix_prices!E847</f>
        <v>DQE</v>
      </c>
      <c r="F859" s="83" t="str">
        <f>Matrix_prices!F847</f>
        <v>GS</v>
      </c>
      <c r="G859" s="84" t="str">
        <f>Matrix_prices!G847</f>
        <v>General service</v>
      </c>
      <c r="H859" s="85" t="str">
        <f t="shared" si="38"/>
        <v>500-2500 MWh</v>
      </c>
      <c r="I859" s="84">
        <f>(Matrix_prices!I847+$D$2)*IF($M$2="Prices in $/MWh",1,1/1000)</f>
        <v>67.150000000000006</v>
      </c>
      <c r="J859" s="83">
        <f>(Matrix_prices!J847+$D$2)*IF($M$2="Prices in $/MWh",1,1/1000)</f>
        <v>68.19</v>
      </c>
      <c r="K859" s="84">
        <f>(Matrix_prices!K847+$D$2)*IF($M$2="Prices in $/MWh",1,1/1000)</f>
        <v>69.67</v>
      </c>
      <c r="L859" s="83">
        <f>(Matrix_prices!L847+$D$2)*IF($M$2="Prices in $/MWh",1,1/1000)</f>
        <v>31.75</v>
      </c>
      <c r="M859" s="84">
        <f>(Matrix_prices!M847+$D$2)*IF($M$2="Prices in $/MWh",1,1/1000)</f>
        <v>33.369999999999997</v>
      </c>
      <c r="N859" s="83">
        <f>(Matrix_prices!N847+$D$2)*IF($M$2="Prices in $/MWh",1,1/1000)</f>
        <v>34.65</v>
      </c>
      <c r="O859" s="61"/>
    </row>
    <row r="860" spans="2:15" x14ac:dyDescent="0.25">
      <c r="B860" s="57"/>
      <c r="C860" s="151">
        <f>Matrix_prices!C848</f>
        <v>42583</v>
      </c>
      <c r="D860" s="152" t="str">
        <f>Matrix_prices!D848</f>
        <v>PA</v>
      </c>
      <c r="E860" s="153" t="str">
        <f>Matrix_prices!E848</f>
        <v>DQE</v>
      </c>
      <c r="F860" s="152" t="str">
        <f>Matrix_prices!F848</f>
        <v>GS</v>
      </c>
      <c r="G860" s="153" t="str">
        <f>Matrix_prices!G848</f>
        <v>General service</v>
      </c>
      <c r="H860" s="157" t="str">
        <f t="shared" si="36"/>
        <v>0-100 MWh</v>
      </c>
      <c r="I860" s="153">
        <f>(Matrix_prices!I848+$D$2)*IF($M$2="Prices in $/MWh",1,1/1000)</f>
        <v>70.27</v>
      </c>
      <c r="J860" s="152">
        <f>(Matrix_prices!J848+$D$2)*IF($M$2="Prices in $/MWh",1,1/1000)</f>
        <v>71.3</v>
      </c>
      <c r="K860" s="153">
        <f>(Matrix_prices!K848+$D$2)*IF($M$2="Prices in $/MWh",1,1/1000)</f>
        <v>72.650000000000006</v>
      </c>
      <c r="L860" s="152">
        <f>(Matrix_prices!L848+$D$2)*IF($M$2="Prices in $/MWh",1,1/1000)</f>
        <v>34.93</v>
      </c>
      <c r="M860" s="153">
        <f>(Matrix_prices!M848+$D$2)*IF($M$2="Prices in $/MWh",1,1/1000)</f>
        <v>36.47</v>
      </c>
      <c r="N860" s="152">
        <f>(Matrix_prices!N848+$D$2)*IF($M$2="Prices in $/MWh",1,1/1000)</f>
        <v>37.630000000000003</v>
      </c>
      <c r="O860" s="61"/>
    </row>
    <row r="861" spans="2:15" x14ac:dyDescent="0.25">
      <c r="B861" s="57"/>
      <c r="C861" s="78">
        <f>Matrix_prices!C849</f>
        <v>42583</v>
      </c>
      <c r="D861" s="79" t="str">
        <f>Matrix_prices!D849</f>
        <v>PA</v>
      </c>
      <c r="E861" s="80" t="str">
        <f>Matrix_prices!E849</f>
        <v>DQE</v>
      </c>
      <c r="F861" s="79" t="str">
        <f>Matrix_prices!F849</f>
        <v>GS</v>
      </c>
      <c r="G861" s="80" t="str">
        <f>Matrix_prices!G849</f>
        <v>General service</v>
      </c>
      <c r="H861" s="81" t="str">
        <f t="shared" si="37"/>
        <v>100-500 MWh</v>
      </c>
      <c r="I861" s="80">
        <f>(Matrix_prices!I849+$D$2)*IF($M$2="Prices in $/MWh",1,1/1000)</f>
        <v>68.67</v>
      </c>
      <c r="J861" s="79">
        <f>(Matrix_prices!J849+$D$2)*IF($M$2="Prices in $/MWh",1,1/1000)</f>
        <v>69.7</v>
      </c>
      <c r="K861" s="80">
        <f>(Matrix_prices!K849+$D$2)*IF($M$2="Prices in $/MWh",1,1/1000)</f>
        <v>71.05</v>
      </c>
      <c r="L861" s="79">
        <f>(Matrix_prices!L849+$D$2)*IF($M$2="Prices in $/MWh",1,1/1000)</f>
        <v>33.33</v>
      </c>
      <c r="M861" s="80">
        <f>(Matrix_prices!M849+$D$2)*IF($M$2="Prices in $/MWh",1,1/1000)</f>
        <v>34.869999999999997</v>
      </c>
      <c r="N861" s="79">
        <f>(Matrix_prices!N849+$D$2)*IF($M$2="Prices in $/MWh",1,1/1000)</f>
        <v>36.03</v>
      </c>
      <c r="O861" s="61"/>
    </row>
    <row r="862" spans="2:15" x14ac:dyDescent="0.25">
      <c r="B862" s="57"/>
      <c r="C862" s="82">
        <f>Matrix_prices!C850</f>
        <v>42583</v>
      </c>
      <c r="D862" s="83" t="str">
        <f>Matrix_prices!D850</f>
        <v>PA</v>
      </c>
      <c r="E862" s="84" t="str">
        <f>Matrix_prices!E850</f>
        <v>DQE</v>
      </c>
      <c r="F862" s="83" t="str">
        <f>Matrix_prices!F850</f>
        <v>GS</v>
      </c>
      <c r="G862" s="84" t="str">
        <f>Matrix_prices!G850</f>
        <v>General service</v>
      </c>
      <c r="H862" s="85" t="str">
        <f t="shared" si="38"/>
        <v>500-2500 MWh</v>
      </c>
      <c r="I862" s="84">
        <f>(Matrix_prices!I850+$D$2)*IF($M$2="Prices in $/MWh",1,1/1000)</f>
        <v>67.62</v>
      </c>
      <c r="J862" s="83">
        <f>(Matrix_prices!J850+$D$2)*IF($M$2="Prices in $/MWh",1,1/1000)</f>
        <v>68.650000000000006</v>
      </c>
      <c r="K862" s="84">
        <f>(Matrix_prices!K850+$D$2)*IF($M$2="Prices in $/MWh",1,1/1000)</f>
        <v>70</v>
      </c>
      <c r="L862" s="83">
        <f>(Matrix_prices!L850+$D$2)*IF($M$2="Prices in $/MWh",1,1/1000)</f>
        <v>32.28</v>
      </c>
      <c r="M862" s="84">
        <f>(Matrix_prices!M850+$D$2)*IF($M$2="Prices in $/MWh",1,1/1000)</f>
        <v>33.82</v>
      </c>
      <c r="N862" s="83">
        <f>(Matrix_prices!N850+$D$2)*IF($M$2="Prices in $/MWh",1,1/1000)</f>
        <v>34.979999999999997</v>
      </c>
      <c r="O862" s="61"/>
    </row>
    <row r="863" spans="2:15" x14ac:dyDescent="0.25">
      <c r="B863" s="57"/>
      <c r="C863" s="74">
        <f>Matrix_prices!C851</f>
        <v>42614</v>
      </c>
      <c r="D863" s="75" t="str">
        <f>Matrix_prices!D851</f>
        <v>PA</v>
      </c>
      <c r="E863" s="76" t="str">
        <f>Matrix_prices!E851</f>
        <v>DQE</v>
      </c>
      <c r="F863" s="75" t="str">
        <f>Matrix_prices!F851</f>
        <v>GS</v>
      </c>
      <c r="G863" s="76" t="str">
        <f>Matrix_prices!G851</f>
        <v>General service</v>
      </c>
      <c r="H863" s="157" t="str">
        <f t="shared" ref="H863:H926" si="39">IF($M$2="Prices in $/MWh","0-100 MWh","0-100,000 kWh")</f>
        <v>0-100 MWh</v>
      </c>
      <c r="I863" s="76">
        <f>(Matrix_prices!I851+$D$2)*IF($M$2="Prices in $/MWh",1,1/1000)</f>
        <v>70.7</v>
      </c>
      <c r="J863" s="75">
        <f>(Matrix_prices!J851+$D$2)*IF($M$2="Prices in $/MWh",1,1/1000)</f>
        <v>71.86</v>
      </c>
      <c r="K863" s="76">
        <f>(Matrix_prices!K851+$D$2)*IF($M$2="Prices in $/MWh",1,1/1000)</f>
        <v>72.930000000000007</v>
      </c>
      <c r="L863" s="75">
        <f>(Matrix_prices!L851+$D$2)*IF($M$2="Prices in $/MWh",1,1/1000)</f>
        <v>35.46</v>
      </c>
      <c r="M863" s="76">
        <f>(Matrix_prices!M851+$D$2)*IF($M$2="Prices in $/MWh",1,1/1000)</f>
        <v>37</v>
      </c>
      <c r="N863" s="75">
        <f>(Matrix_prices!N851+$D$2)*IF($M$2="Prices in $/MWh",1,1/1000)</f>
        <v>37.97</v>
      </c>
      <c r="O863" s="61"/>
    </row>
    <row r="864" spans="2:15" x14ac:dyDescent="0.25">
      <c r="B864" s="57"/>
      <c r="C864" s="78">
        <f>Matrix_prices!C852</f>
        <v>42614</v>
      </c>
      <c r="D864" s="79" t="str">
        <f>Matrix_prices!D852</f>
        <v>PA</v>
      </c>
      <c r="E864" s="80" t="str">
        <f>Matrix_prices!E852</f>
        <v>DQE</v>
      </c>
      <c r="F864" s="79" t="str">
        <f>Matrix_prices!F852</f>
        <v>GS</v>
      </c>
      <c r="G864" s="80" t="str">
        <f>Matrix_prices!G852</f>
        <v>General service</v>
      </c>
      <c r="H864" s="81" t="str">
        <f t="shared" ref="H864:H927" si="40">IF($M$2="Prices in $/MWh","100-500 MWh","100,000-500,000 kWh")</f>
        <v>100-500 MWh</v>
      </c>
      <c r="I864" s="80">
        <f>(Matrix_prices!I852+$D$2)*IF($M$2="Prices in $/MWh",1,1/1000)</f>
        <v>69.099999999999994</v>
      </c>
      <c r="J864" s="79">
        <f>(Matrix_prices!J852+$D$2)*IF($M$2="Prices in $/MWh",1,1/1000)</f>
        <v>70.260000000000005</v>
      </c>
      <c r="K864" s="80">
        <f>(Matrix_prices!K852+$D$2)*IF($M$2="Prices in $/MWh",1,1/1000)</f>
        <v>71.33</v>
      </c>
      <c r="L864" s="79">
        <f>(Matrix_prices!L852+$D$2)*IF($M$2="Prices in $/MWh",1,1/1000)</f>
        <v>33.86</v>
      </c>
      <c r="M864" s="80">
        <f>(Matrix_prices!M852+$D$2)*IF($M$2="Prices in $/MWh",1,1/1000)</f>
        <v>35.4</v>
      </c>
      <c r="N864" s="79">
        <f>(Matrix_prices!N852+$D$2)*IF($M$2="Prices in $/MWh",1,1/1000)</f>
        <v>36.369999999999997</v>
      </c>
      <c r="O864" s="61"/>
    </row>
    <row r="865" spans="2:15" x14ac:dyDescent="0.25">
      <c r="B865" s="57"/>
      <c r="C865" s="82">
        <f>Matrix_prices!C853</f>
        <v>42614</v>
      </c>
      <c r="D865" s="83" t="str">
        <f>Matrix_prices!D853</f>
        <v>PA</v>
      </c>
      <c r="E865" s="84" t="str">
        <f>Matrix_prices!E853</f>
        <v>DQE</v>
      </c>
      <c r="F865" s="83" t="str">
        <f>Matrix_prices!F853</f>
        <v>GS</v>
      </c>
      <c r="G865" s="84" t="str">
        <f>Matrix_prices!G853</f>
        <v>General service</v>
      </c>
      <c r="H865" s="85" t="str">
        <f t="shared" ref="H865:H928" si="41">IF($M$2="Prices in $/MWh","500-2500 MWh","500,000-2,500,000 kWh")</f>
        <v>500-2500 MWh</v>
      </c>
      <c r="I865" s="84">
        <f>(Matrix_prices!I853+$D$2)*IF($M$2="Prices in $/MWh",1,1/1000)</f>
        <v>68.05</v>
      </c>
      <c r="J865" s="83">
        <f>(Matrix_prices!J853+$D$2)*IF($M$2="Prices in $/MWh",1,1/1000)</f>
        <v>69.209999999999994</v>
      </c>
      <c r="K865" s="84">
        <f>(Matrix_prices!K853+$D$2)*IF($M$2="Prices in $/MWh",1,1/1000)</f>
        <v>70.28</v>
      </c>
      <c r="L865" s="83">
        <f>(Matrix_prices!L853+$D$2)*IF($M$2="Prices in $/MWh",1,1/1000)</f>
        <v>32.81</v>
      </c>
      <c r="M865" s="84">
        <f>(Matrix_prices!M853+$D$2)*IF($M$2="Prices in $/MWh",1,1/1000)</f>
        <v>34.35</v>
      </c>
      <c r="N865" s="83">
        <f>(Matrix_prices!N853+$D$2)*IF($M$2="Prices in $/MWh",1,1/1000)</f>
        <v>35.32</v>
      </c>
      <c r="O865" s="61"/>
    </row>
    <row r="866" spans="2:15" x14ac:dyDescent="0.25">
      <c r="B866" s="57"/>
      <c r="C866" s="151">
        <f>Matrix_prices!C854</f>
        <v>42644</v>
      </c>
      <c r="D866" s="152" t="str">
        <f>Matrix_prices!D854</f>
        <v>PA</v>
      </c>
      <c r="E866" s="153" t="str">
        <f>Matrix_prices!E854</f>
        <v>DQE</v>
      </c>
      <c r="F866" s="152" t="str">
        <f>Matrix_prices!F854</f>
        <v>GS</v>
      </c>
      <c r="G866" s="153" t="str">
        <f>Matrix_prices!G854</f>
        <v>General service</v>
      </c>
      <c r="H866" s="157" t="str">
        <f t="shared" si="39"/>
        <v>0-100 MWh</v>
      </c>
      <c r="I866" s="153">
        <f>(Matrix_prices!I854+$D$2)*IF($M$2="Prices in $/MWh",1,1/1000)</f>
        <v>71.19</v>
      </c>
      <c r="J866" s="152">
        <f>(Matrix_prices!J854+$D$2)*IF($M$2="Prices in $/MWh",1,1/1000)</f>
        <v>72.5</v>
      </c>
      <c r="K866" s="153">
        <f>(Matrix_prices!K854+$D$2)*IF($M$2="Prices in $/MWh",1,1/1000)</f>
        <v>73.209999999999994</v>
      </c>
      <c r="L866" s="152">
        <f>(Matrix_prices!L854+$D$2)*IF($M$2="Prices in $/MWh",1,1/1000)</f>
        <v>35.979999999999997</v>
      </c>
      <c r="M866" s="153">
        <f>(Matrix_prices!M854+$D$2)*IF($M$2="Prices in $/MWh",1,1/1000)</f>
        <v>37.450000000000003</v>
      </c>
      <c r="N866" s="152">
        <f>(Matrix_prices!N854+$D$2)*IF($M$2="Prices in $/MWh",1,1/1000)</f>
        <v>38.33</v>
      </c>
      <c r="O866" s="61"/>
    </row>
    <row r="867" spans="2:15" x14ac:dyDescent="0.25">
      <c r="B867" s="57"/>
      <c r="C867" s="78">
        <f>Matrix_prices!C855</f>
        <v>42644</v>
      </c>
      <c r="D867" s="79" t="str">
        <f>Matrix_prices!D855</f>
        <v>PA</v>
      </c>
      <c r="E867" s="80" t="str">
        <f>Matrix_prices!E855</f>
        <v>DQE</v>
      </c>
      <c r="F867" s="79" t="str">
        <f>Matrix_prices!F855</f>
        <v>GS</v>
      </c>
      <c r="G867" s="80" t="str">
        <f>Matrix_prices!G855</f>
        <v>General service</v>
      </c>
      <c r="H867" s="81" t="str">
        <f t="shared" si="40"/>
        <v>100-500 MWh</v>
      </c>
      <c r="I867" s="80">
        <f>(Matrix_prices!I855+$D$2)*IF($M$2="Prices in $/MWh",1,1/1000)</f>
        <v>69.59</v>
      </c>
      <c r="J867" s="79">
        <f>(Matrix_prices!J855+$D$2)*IF($M$2="Prices in $/MWh",1,1/1000)</f>
        <v>70.900000000000006</v>
      </c>
      <c r="K867" s="80">
        <f>(Matrix_prices!K855+$D$2)*IF($M$2="Prices in $/MWh",1,1/1000)</f>
        <v>71.61</v>
      </c>
      <c r="L867" s="79">
        <f>(Matrix_prices!L855+$D$2)*IF($M$2="Prices in $/MWh",1,1/1000)</f>
        <v>34.380000000000003</v>
      </c>
      <c r="M867" s="80">
        <f>(Matrix_prices!M855+$D$2)*IF($M$2="Prices in $/MWh",1,1/1000)</f>
        <v>35.85</v>
      </c>
      <c r="N867" s="79">
        <f>(Matrix_prices!N855+$D$2)*IF($M$2="Prices in $/MWh",1,1/1000)</f>
        <v>36.729999999999997</v>
      </c>
      <c r="O867" s="61"/>
    </row>
    <row r="868" spans="2:15" x14ac:dyDescent="0.25">
      <c r="B868" s="57"/>
      <c r="C868" s="82">
        <f>Matrix_prices!C856</f>
        <v>42644</v>
      </c>
      <c r="D868" s="83" t="str">
        <f>Matrix_prices!D856</f>
        <v>PA</v>
      </c>
      <c r="E868" s="84" t="str">
        <f>Matrix_prices!E856</f>
        <v>DQE</v>
      </c>
      <c r="F868" s="83" t="str">
        <f>Matrix_prices!F856</f>
        <v>GS</v>
      </c>
      <c r="G868" s="84" t="str">
        <f>Matrix_prices!G856</f>
        <v>General service</v>
      </c>
      <c r="H868" s="85" t="str">
        <f t="shared" si="41"/>
        <v>500-2500 MWh</v>
      </c>
      <c r="I868" s="84">
        <f>(Matrix_prices!I856+$D$2)*IF($M$2="Prices in $/MWh",1,1/1000)</f>
        <v>68.540000000000006</v>
      </c>
      <c r="J868" s="83">
        <f>(Matrix_prices!J856+$D$2)*IF($M$2="Prices in $/MWh",1,1/1000)</f>
        <v>69.849999999999994</v>
      </c>
      <c r="K868" s="84">
        <f>(Matrix_prices!K856+$D$2)*IF($M$2="Prices in $/MWh",1,1/1000)</f>
        <v>70.56</v>
      </c>
      <c r="L868" s="83">
        <f>(Matrix_prices!L856+$D$2)*IF($M$2="Prices in $/MWh",1,1/1000)</f>
        <v>33.33</v>
      </c>
      <c r="M868" s="84">
        <f>(Matrix_prices!M856+$D$2)*IF($M$2="Prices in $/MWh",1,1/1000)</f>
        <v>34.799999999999997</v>
      </c>
      <c r="N868" s="83">
        <f>(Matrix_prices!N856+$D$2)*IF($M$2="Prices in $/MWh",1,1/1000)</f>
        <v>35.68</v>
      </c>
      <c r="O868" s="61"/>
    </row>
    <row r="869" spans="2:15" x14ac:dyDescent="0.25">
      <c r="B869" s="57"/>
      <c r="C869" s="74">
        <f>Matrix_prices!C857</f>
        <v>42675</v>
      </c>
      <c r="D869" s="75" t="str">
        <f>Matrix_prices!D857</f>
        <v>PA</v>
      </c>
      <c r="E869" s="76" t="str">
        <f>Matrix_prices!E857</f>
        <v>DQE</v>
      </c>
      <c r="F869" s="75" t="str">
        <f>Matrix_prices!F857</f>
        <v>GS</v>
      </c>
      <c r="G869" s="76" t="str">
        <f>Matrix_prices!G857</f>
        <v>General service</v>
      </c>
      <c r="H869" s="157" t="str">
        <f t="shared" si="39"/>
        <v>0-100 MWh</v>
      </c>
      <c r="I869" s="76">
        <f>(Matrix_prices!I857+$D$2)*IF($M$2="Prices in $/MWh",1,1/1000)</f>
        <v>71.67</v>
      </c>
      <c r="J869" s="75">
        <f>(Matrix_prices!J857+$D$2)*IF($M$2="Prices in $/MWh",1,1/1000)</f>
        <v>72.98</v>
      </c>
      <c r="K869" s="76">
        <f>(Matrix_prices!K857+$D$2)*IF($M$2="Prices in $/MWh",1,1/1000)</f>
        <v>73.5</v>
      </c>
      <c r="L869" s="75">
        <f>(Matrix_prices!L857+$D$2)*IF($M$2="Prices in $/MWh",1,1/1000)</f>
        <v>36.479999999999997</v>
      </c>
      <c r="M869" s="76">
        <f>(Matrix_prices!M857+$D$2)*IF($M$2="Prices in $/MWh",1,1/1000)</f>
        <v>37.83</v>
      </c>
      <c r="N869" s="75">
        <f>(Matrix_prices!N857+$D$2)*IF($M$2="Prices in $/MWh",1,1/1000)</f>
        <v>38.65</v>
      </c>
      <c r="O869" s="61"/>
    </row>
    <row r="870" spans="2:15" x14ac:dyDescent="0.25">
      <c r="B870" s="57"/>
      <c r="C870" s="78">
        <f>Matrix_prices!C858</f>
        <v>42675</v>
      </c>
      <c r="D870" s="79" t="str">
        <f>Matrix_prices!D858</f>
        <v>PA</v>
      </c>
      <c r="E870" s="80" t="str">
        <f>Matrix_prices!E858</f>
        <v>DQE</v>
      </c>
      <c r="F870" s="79" t="str">
        <f>Matrix_prices!F858</f>
        <v>GS</v>
      </c>
      <c r="G870" s="80" t="str">
        <f>Matrix_prices!G858</f>
        <v>General service</v>
      </c>
      <c r="H870" s="81" t="str">
        <f t="shared" si="40"/>
        <v>100-500 MWh</v>
      </c>
      <c r="I870" s="80">
        <f>(Matrix_prices!I858+$D$2)*IF($M$2="Prices in $/MWh",1,1/1000)</f>
        <v>70.069999999999993</v>
      </c>
      <c r="J870" s="79">
        <f>(Matrix_prices!J858+$D$2)*IF($M$2="Prices in $/MWh",1,1/1000)</f>
        <v>71.38</v>
      </c>
      <c r="K870" s="80">
        <f>(Matrix_prices!K858+$D$2)*IF($M$2="Prices in $/MWh",1,1/1000)</f>
        <v>71.900000000000006</v>
      </c>
      <c r="L870" s="79">
        <f>(Matrix_prices!L858+$D$2)*IF($M$2="Prices in $/MWh",1,1/1000)</f>
        <v>34.880000000000003</v>
      </c>
      <c r="M870" s="80">
        <f>(Matrix_prices!M858+$D$2)*IF($M$2="Prices in $/MWh",1,1/1000)</f>
        <v>36.229999999999997</v>
      </c>
      <c r="N870" s="79">
        <f>(Matrix_prices!N858+$D$2)*IF($M$2="Prices in $/MWh",1,1/1000)</f>
        <v>37.049999999999997</v>
      </c>
      <c r="O870" s="61"/>
    </row>
    <row r="871" spans="2:15" x14ac:dyDescent="0.25">
      <c r="B871" s="57"/>
      <c r="C871" s="82">
        <f>Matrix_prices!C859</f>
        <v>42675</v>
      </c>
      <c r="D871" s="83" t="str">
        <f>Matrix_prices!D859</f>
        <v>PA</v>
      </c>
      <c r="E871" s="84" t="str">
        <f>Matrix_prices!E859</f>
        <v>DQE</v>
      </c>
      <c r="F871" s="83" t="str">
        <f>Matrix_prices!F859</f>
        <v>GS</v>
      </c>
      <c r="G871" s="84" t="str">
        <f>Matrix_prices!G859</f>
        <v>General service</v>
      </c>
      <c r="H871" s="85" t="str">
        <f t="shared" si="41"/>
        <v>500-2500 MWh</v>
      </c>
      <c r="I871" s="84">
        <f>(Matrix_prices!I859+$D$2)*IF($M$2="Prices in $/MWh",1,1/1000)</f>
        <v>69.02</v>
      </c>
      <c r="J871" s="83">
        <f>(Matrix_prices!J859+$D$2)*IF($M$2="Prices in $/MWh",1,1/1000)</f>
        <v>70.33</v>
      </c>
      <c r="K871" s="84">
        <f>(Matrix_prices!K859+$D$2)*IF($M$2="Prices in $/MWh",1,1/1000)</f>
        <v>70.849999999999994</v>
      </c>
      <c r="L871" s="83">
        <f>(Matrix_prices!L859+$D$2)*IF($M$2="Prices in $/MWh",1,1/1000)</f>
        <v>33.83</v>
      </c>
      <c r="M871" s="84">
        <f>(Matrix_prices!M859+$D$2)*IF($M$2="Prices in $/MWh",1,1/1000)</f>
        <v>35.18</v>
      </c>
      <c r="N871" s="83">
        <f>(Matrix_prices!N859+$D$2)*IF($M$2="Prices in $/MWh",1,1/1000)</f>
        <v>36</v>
      </c>
      <c r="O871" s="61"/>
    </row>
    <row r="872" spans="2:15" x14ac:dyDescent="0.25">
      <c r="B872" s="57"/>
      <c r="C872" s="151">
        <f>Matrix_prices!C860</f>
        <v>42705</v>
      </c>
      <c r="D872" s="152" t="str">
        <f>Matrix_prices!D860</f>
        <v>PA</v>
      </c>
      <c r="E872" s="153" t="str">
        <f>Matrix_prices!E860</f>
        <v>DQE</v>
      </c>
      <c r="F872" s="152" t="str">
        <f>Matrix_prices!F860</f>
        <v>GS</v>
      </c>
      <c r="G872" s="153" t="str">
        <f>Matrix_prices!G860</f>
        <v>General service</v>
      </c>
      <c r="H872" s="157" t="str">
        <f t="shared" si="39"/>
        <v>0-100 MWh</v>
      </c>
      <c r="I872" s="153">
        <f>(Matrix_prices!I860+$D$2)*IF($M$2="Prices in $/MWh",1,1/1000)</f>
        <v>72.099999999999994</v>
      </c>
      <c r="J872" s="152">
        <f>(Matrix_prices!J860+$D$2)*IF($M$2="Prices in $/MWh",1,1/1000)</f>
        <v>73.48</v>
      </c>
      <c r="K872" s="153">
        <f>(Matrix_prices!K860+$D$2)*IF($M$2="Prices in $/MWh",1,1/1000)</f>
        <v>73.77</v>
      </c>
      <c r="L872" s="152">
        <f>(Matrix_prices!L860+$D$2)*IF($M$2="Prices in $/MWh",1,1/1000)</f>
        <v>36.97</v>
      </c>
      <c r="M872" s="153">
        <f>(Matrix_prices!M860+$D$2)*IF($M$2="Prices in $/MWh",1,1/1000)</f>
        <v>38.229999999999997</v>
      </c>
      <c r="N872" s="152">
        <f>(Matrix_prices!N860+$D$2)*IF($M$2="Prices in $/MWh",1,1/1000)</f>
        <v>38.97</v>
      </c>
      <c r="O872" s="61"/>
    </row>
    <row r="873" spans="2:15" x14ac:dyDescent="0.25">
      <c r="B873" s="57"/>
      <c r="C873" s="78">
        <f>Matrix_prices!C861</f>
        <v>42705</v>
      </c>
      <c r="D873" s="79" t="str">
        <f>Matrix_prices!D861</f>
        <v>PA</v>
      </c>
      <c r="E873" s="80" t="str">
        <f>Matrix_prices!E861</f>
        <v>DQE</v>
      </c>
      <c r="F873" s="79" t="str">
        <f>Matrix_prices!F861</f>
        <v>GS</v>
      </c>
      <c r="G873" s="80" t="str">
        <f>Matrix_prices!G861</f>
        <v>General service</v>
      </c>
      <c r="H873" s="81" t="str">
        <f t="shared" si="40"/>
        <v>100-500 MWh</v>
      </c>
      <c r="I873" s="80">
        <f>(Matrix_prices!I861+$D$2)*IF($M$2="Prices in $/MWh",1,1/1000)</f>
        <v>70.5</v>
      </c>
      <c r="J873" s="79">
        <f>(Matrix_prices!J861+$D$2)*IF($M$2="Prices in $/MWh",1,1/1000)</f>
        <v>71.88</v>
      </c>
      <c r="K873" s="80">
        <f>(Matrix_prices!K861+$D$2)*IF($M$2="Prices in $/MWh",1,1/1000)</f>
        <v>72.17</v>
      </c>
      <c r="L873" s="79">
        <f>(Matrix_prices!L861+$D$2)*IF($M$2="Prices in $/MWh",1,1/1000)</f>
        <v>35.369999999999997</v>
      </c>
      <c r="M873" s="80">
        <f>(Matrix_prices!M861+$D$2)*IF($M$2="Prices in $/MWh",1,1/1000)</f>
        <v>36.630000000000003</v>
      </c>
      <c r="N873" s="79">
        <f>(Matrix_prices!N861+$D$2)*IF($M$2="Prices in $/MWh",1,1/1000)</f>
        <v>37.369999999999997</v>
      </c>
      <c r="O873" s="61"/>
    </row>
    <row r="874" spans="2:15" x14ac:dyDescent="0.25">
      <c r="B874" s="57"/>
      <c r="C874" s="82">
        <f>Matrix_prices!C862</f>
        <v>42705</v>
      </c>
      <c r="D874" s="83" t="str">
        <f>Matrix_prices!D862</f>
        <v>PA</v>
      </c>
      <c r="E874" s="84" t="str">
        <f>Matrix_prices!E862</f>
        <v>DQE</v>
      </c>
      <c r="F874" s="83" t="str">
        <f>Matrix_prices!F862</f>
        <v>GS</v>
      </c>
      <c r="G874" s="84" t="str">
        <f>Matrix_prices!G862</f>
        <v>General service</v>
      </c>
      <c r="H874" s="85" t="str">
        <f t="shared" si="41"/>
        <v>500-2500 MWh</v>
      </c>
      <c r="I874" s="84">
        <f>(Matrix_prices!I862+$D$2)*IF($M$2="Prices in $/MWh",1,1/1000)</f>
        <v>69.45</v>
      </c>
      <c r="J874" s="83">
        <f>(Matrix_prices!J862+$D$2)*IF($M$2="Prices in $/MWh",1,1/1000)</f>
        <v>70.83</v>
      </c>
      <c r="K874" s="84">
        <f>(Matrix_prices!K862+$D$2)*IF($M$2="Prices in $/MWh",1,1/1000)</f>
        <v>71.12</v>
      </c>
      <c r="L874" s="83">
        <f>(Matrix_prices!L862+$D$2)*IF($M$2="Prices in $/MWh",1,1/1000)</f>
        <v>34.32</v>
      </c>
      <c r="M874" s="84">
        <f>(Matrix_prices!M862+$D$2)*IF($M$2="Prices in $/MWh",1,1/1000)</f>
        <v>35.58</v>
      </c>
      <c r="N874" s="83">
        <f>(Matrix_prices!N862+$D$2)*IF($M$2="Prices in $/MWh",1,1/1000)</f>
        <v>36.32</v>
      </c>
      <c r="O874" s="61"/>
    </row>
    <row r="875" spans="2:15" x14ac:dyDescent="0.25">
      <c r="B875" s="57"/>
      <c r="C875" s="74">
        <f>Matrix_prices!C863</f>
        <v>42736</v>
      </c>
      <c r="D875" s="75" t="str">
        <f>Matrix_prices!D863</f>
        <v>PA</v>
      </c>
      <c r="E875" s="76" t="str">
        <f>Matrix_prices!E863</f>
        <v>DQE</v>
      </c>
      <c r="F875" s="75" t="str">
        <f>Matrix_prices!F863</f>
        <v>GS</v>
      </c>
      <c r="G875" s="76" t="str">
        <f>Matrix_prices!G863</f>
        <v>General service</v>
      </c>
      <c r="H875" s="157" t="str">
        <f t="shared" si="39"/>
        <v>0-100 MWh</v>
      </c>
      <c r="I875" s="76">
        <f>(Matrix_prices!I863+$D$2)*IF($M$2="Prices in $/MWh",1,1/1000)</f>
        <v>72.55</v>
      </c>
      <c r="J875" s="75">
        <f>(Matrix_prices!J863+$D$2)*IF($M$2="Prices in $/MWh",1,1/1000)</f>
        <v>73.989999999999995</v>
      </c>
      <c r="K875" s="76">
        <f>(Matrix_prices!K863+$D$2)*IF($M$2="Prices in $/MWh",1,1/1000)</f>
        <v>74.11</v>
      </c>
      <c r="L875" s="75">
        <f>(Matrix_prices!L863+$D$2)*IF($M$2="Prices in $/MWh",1,1/1000)</f>
        <v>37.51</v>
      </c>
      <c r="M875" s="76">
        <f>(Matrix_prices!M863+$D$2)*IF($M$2="Prices in $/MWh",1,1/1000)</f>
        <v>38.75</v>
      </c>
      <c r="N875" s="75">
        <f>(Matrix_prices!N863+$D$2)*IF($M$2="Prices in $/MWh",1,1/1000)</f>
        <v>39.32</v>
      </c>
      <c r="O875" s="61"/>
    </row>
    <row r="876" spans="2:15" x14ac:dyDescent="0.25">
      <c r="B876" s="57"/>
      <c r="C876" s="78">
        <f>Matrix_prices!C864</f>
        <v>42736</v>
      </c>
      <c r="D876" s="79" t="str">
        <f>Matrix_prices!D864</f>
        <v>PA</v>
      </c>
      <c r="E876" s="80" t="str">
        <f>Matrix_prices!E864</f>
        <v>DQE</v>
      </c>
      <c r="F876" s="79" t="str">
        <f>Matrix_prices!F864</f>
        <v>GS</v>
      </c>
      <c r="G876" s="80" t="str">
        <f>Matrix_prices!G864</f>
        <v>General service</v>
      </c>
      <c r="H876" s="81" t="str">
        <f t="shared" si="40"/>
        <v>100-500 MWh</v>
      </c>
      <c r="I876" s="80">
        <f>(Matrix_prices!I864+$D$2)*IF($M$2="Prices in $/MWh",1,1/1000)</f>
        <v>70.95</v>
      </c>
      <c r="J876" s="79">
        <f>(Matrix_prices!J864+$D$2)*IF($M$2="Prices in $/MWh",1,1/1000)</f>
        <v>72.39</v>
      </c>
      <c r="K876" s="80">
        <f>(Matrix_prices!K864+$D$2)*IF($M$2="Prices in $/MWh",1,1/1000)</f>
        <v>72.510000000000005</v>
      </c>
      <c r="L876" s="79">
        <f>(Matrix_prices!L864+$D$2)*IF($M$2="Prices in $/MWh",1,1/1000)</f>
        <v>35.909999999999997</v>
      </c>
      <c r="M876" s="80">
        <f>(Matrix_prices!M864+$D$2)*IF($M$2="Prices in $/MWh",1,1/1000)</f>
        <v>37.15</v>
      </c>
      <c r="N876" s="79">
        <f>(Matrix_prices!N864+$D$2)*IF($M$2="Prices in $/MWh",1,1/1000)</f>
        <v>37.72</v>
      </c>
      <c r="O876" s="61"/>
    </row>
    <row r="877" spans="2:15" x14ac:dyDescent="0.25">
      <c r="B877" s="57"/>
      <c r="C877" s="82">
        <f>Matrix_prices!C865</f>
        <v>42736</v>
      </c>
      <c r="D877" s="83" t="str">
        <f>Matrix_prices!D865</f>
        <v>PA</v>
      </c>
      <c r="E877" s="84" t="str">
        <f>Matrix_prices!E865</f>
        <v>DQE</v>
      </c>
      <c r="F877" s="83" t="str">
        <f>Matrix_prices!F865</f>
        <v>GS</v>
      </c>
      <c r="G877" s="84" t="str">
        <f>Matrix_prices!G865</f>
        <v>General service</v>
      </c>
      <c r="H877" s="85" t="str">
        <f t="shared" si="41"/>
        <v>500-2500 MWh</v>
      </c>
      <c r="I877" s="84">
        <f>(Matrix_prices!I865+$D$2)*IF($M$2="Prices in $/MWh",1,1/1000)</f>
        <v>69.900000000000006</v>
      </c>
      <c r="J877" s="83">
        <f>(Matrix_prices!J865+$D$2)*IF($M$2="Prices in $/MWh",1,1/1000)</f>
        <v>71.34</v>
      </c>
      <c r="K877" s="84">
        <f>(Matrix_prices!K865+$D$2)*IF($M$2="Prices in $/MWh",1,1/1000)</f>
        <v>71.459999999999994</v>
      </c>
      <c r="L877" s="83">
        <f>(Matrix_prices!L865+$D$2)*IF($M$2="Prices in $/MWh",1,1/1000)</f>
        <v>34.86</v>
      </c>
      <c r="M877" s="84">
        <f>(Matrix_prices!M865+$D$2)*IF($M$2="Prices in $/MWh",1,1/1000)</f>
        <v>36.1</v>
      </c>
      <c r="N877" s="83">
        <f>(Matrix_prices!N865+$D$2)*IF($M$2="Prices in $/MWh",1,1/1000)</f>
        <v>36.67</v>
      </c>
      <c r="O877" s="61"/>
    </row>
    <row r="878" spans="2:15" x14ac:dyDescent="0.25">
      <c r="B878" s="57"/>
      <c r="C878" s="151">
        <f>Matrix_prices!C866</f>
        <v>42401</v>
      </c>
      <c r="D878" s="152" t="str">
        <f>Matrix_prices!D866</f>
        <v>PA</v>
      </c>
      <c r="E878" s="153" t="str">
        <f>Matrix_prices!E866</f>
        <v>MetED</v>
      </c>
      <c r="F878" s="152" t="str">
        <f>Matrix_prices!F866</f>
        <v>GSCL</v>
      </c>
      <c r="G878" s="153" t="str">
        <f>Matrix_prices!G866</f>
        <v>General Service Large</v>
      </c>
      <c r="H878" s="157" t="str">
        <f t="shared" si="39"/>
        <v>0-100 MWh</v>
      </c>
      <c r="I878" s="153">
        <f>(Matrix_prices!I866+$D$2)*IF($M$2="Prices in $/MWh",1,1/1000)</f>
        <v>65.95</v>
      </c>
      <c r="J878" s="152">
        <f>(Matrix_prices!J866+$D$2)*IF($M$2="Prices in $/MWh",1,1/1000)</f>
        <v>66.62</v>
      </c>
      <c r="K878" s="153">
        <f>(Matrix_prices!K866+$D$2)*IF($M$2="Prices in $/MWh",1,1/1000)</f>
        <v>66.14</v>
      </c>
      <c r="L878" s="152">
        <f>(Matrix_prices!L866+$D$2)*IF($M$2="Prices in $/MWh",1,1/1000)</f>
        <v>23.53</v>
      </c>
      <c r="M878" s="153">
        <f>(Matrix_prices!M866+$D$2)*IF($M$2="Prices in $/MWh",1,1/1000)</f>
        <v>23.67</v>
      </c>
      <c r="N878" s="152">
        <f>(Matrix_prices!N866+$D$2)*IF($M$2="Prices in $/MWh",1,1/1000)</f>
        <v>23.83</v>
      </c>
      <c r="O878" s="61"/>
    </row>
    <row r="879" spans="2:15" x14ac:dyDescent="0.25">
      <c r="B879" s="57"/>
      <c r="C879" s="78">
        <f>Matrix_prices!C867</f>
        <v>42401</v>
      </c>
      <c r="D879" s="79" t="str">
        <f>Matrix_prices!D867</f>
        <v>PA</v>
      </c>
      <c r="E879" s="80" t="str">
        <f>Matrix_prices!E867</f>
        <v>MetED</v>
      </c>
      <c r="F879" s="79" t="str">
        <f>Matrix_prices!F867</f>
        <v>GSCL</v>
      </c>
      <c r="G879" s="80" t="str">
        <f>Matrix_prices!G867</f>
        <v>General Service Large</v>
      </c>
      <c r="H879" s="81" t="str">
        <f t="shared" si="40"/>
        <v>100-500 MWh</v>
      </c>
      <c r="I879" s="80">
        <f>(Matrix_prices!I867+$D$2)*IF($M$2="Prices in $/MWh",1,1/1000)</f>
        <v>64.349999999999994</v>
      </c>
      <c r="J879" s="79">
        <f>(Matrix_prices!J867+$D$2)*IF($M$2="Prices in $/MWh",1,1/1000)</f>
        <v>65.02</v>
      </c>
      <c r="K879" s="80">
        <f>(Matrix_prices!K867+$D$2)*IF($M$2="Prices in $/MWh",1,1/1000)</f>
        <v>64.540000000000006</v>
      </c>
      <c r="L879" s="79">
        <f>(Matrix_prices!L867+$D$2)*IF($M$2="Prices in $/MWh",1,1/1000)</f>
        <v>21.93</v>
      </c>
      <c r="M879" s="80">
        <f>(Matrix_prices!M867+$D$2)*IF($M$2="Prices in $/MWh",1,1/1000)</f>
        <v>22.07</v>
      </c>
      <c r="N879" s="79">
        <f>(Matrix_prices!N867+$D$2)*IF($M$2="Prices in $/MWh",1,1/1000)</f>
        <v>22.23</v>
      </c>
      <c r="O879" s="61"/>
    </row>
    <row r="880" spans="2:15" x14ac:dyDescent="0.25">
      <c r="B880" s="57"/>
      <c r="C880" s="82">
        <f>Matrix_prices!C868</f>
        <v>42401</v>
      </c>
      <c r="D880" s="83" t="str">
        <f>Matrix_prices!D868</f>
        <v>PA</v>
      </c>
      <c r="E880" s="84" t="str">
        <f>Matrix_prices!E868</f>
        <v>MetED</v>
      </c>
      <c r="F880" s="83" t="str">
        <f>Matrix_prices!F868</f>
        <v>GSCL</v>
      </c>
      <c r="G880" s="84" t="str">
        <f>Matrix_prices!G868</f>
        <v>General Service Large</v>
      </c>
      <c r="H880" s="85" t="str">
        <f t="shared" si="41"/>
        <v>500-2500 MWh</v>
      </c>
      <c r="I880" s="84">
        <f>(Matrix_prices!I868+$D$2)*IF($M$2="Prices in $/MWh",1,1/1000)</f>
        <v>63.3</v>
      </c>
      <c r="J880" s="83">
        <f>(Matrix_prices!J868+$D$2)*IF($M$2="Prices in $/MWh",1,1/1000)</f>
        <v>63.97</v>
      </c>
      <c r="K880" s="84">
        <f>(Matrix_prices!K868+$D$2)*IF($M$2="Prices in $/MWh",1,1/1000)</f>
        <v>63.49</v>
      </c>
      <c r="L880" s="83">
        <f>(Matrix_prices!L868+$D$2)*IF($M$2="Prices in $/MWh",1,1/1000)</f>
        <v>20.88</v>
      </c>
      <c r="M880" s="84">
        <f>(Matrix_prices!M868+$D$2)*IF($M$2="Prices in $/MWh",1,1/1000)</f>
        <v>21.02</v>
      </c>
      <c r="N880" s="83">
        <f>(Matrix_prices!N868+$D$2)*IF($M$2="Prices in $/MWh",1,1/1000)</f>
        <v>21.18</v>
      </c>
      <c r="O880" s="61"/>
    </row>
    <row r="881" spans="2:15" x14ac:dyDescent="0.25">
      <c r="B881" s="57"/>
      <c r="C881" s="74">
        <f>Matrix_prices!C869</f>
        <v>42430</v>
      </c>
      <c r="D881" s="75" t="str">
        <f>Matrix_prices!D869</f>
        <v>PA</v>
      </c>
      <c r="E881" s="76" t="str">
        <f>Matrix_prices!E869</f>
        <v>MetED</v>
      </c>
      <c r="F881" s="75" t="str">
        <f>Matrix_prices!F869</f>
        <v>GSCL</v>
      </c>
      <c r="G881" s="76" t="str">
        <f>Matrix_prices!G869</f>
        <v>General Service Large</v>
      </c>
      <c r="H881" s="157" t="str">
        <f t="shared" si="39"/>
        <v>0-100 MWh</v>
      </c>
      <c r="I881" s="76">
        <f>(Matrix_prices!I869+$D$2)*IF($M$2="Prices in $/MWh",1,1/1000)</f>
        <v>66.83</v>
      </c>
      <c r="J881" s="75">
        <f>(Matrix_prices!J869+$D$2)*IF($M$2="Prices in $/MWh",1,1/1000)</f>
        <v>65.97</v>
      </c>
      <c r="K881" s="76">
        <f>(Matrix_prices!K869+$D$2)*IF($M$2="Prices in $/MWh",1,1/1000)</f>
        <v>66.45</v>
      </c>
      <c r="L881" s="75">
        <f>(Matrix_prices!L869+$D$2)*IF($M$2="Prices in $/MWh",1,1/1000)</f>
        <v>23.49</v>
      </c>
      <c r="M881" s="76">
        <f>(Matrix_prices!M869+$D$2)*IF($M$2="Prices in $/MWh",1,1/1000)</f>
        <v>22.7</v>
      </c>
      <c r="N881" s="75">
        <f>(Matrix_prices!N869+$D$2)*IF($M$2="Prices in $/MWh",1,1/1000)</f>
        <v>23.8</v>
      </c>
      <c r="O881" s="61"/>
    </row>
    <row r="882" spans="2:15" x14ac:dyDescent="0.25">
      <c r="B882" s="57"/>
      <c r="C882" s="78">
        <f>Matrix_prices!C870</f>
        <v>42430</v>
      </c>
      <c r="D882" s="79" t="str">
        <f>Matrix_prices!D870</f>
        <v>PA</v>
      </c>
      <c r="E882" s="80" t="str">
        <f>Matrix_prices!E870</f>
        <v>MetED</v>
      </c>
      <c r="F882" s="79" t="str">
        <f>Matrix_prices!F870</f>
        <v>GSCL</v>
      </c>
      <c r="G882" s="80" t="str">
        <f>Matrix_prices!G870</f>
        <v>General Service Large</v>
      </c>
      <c r="H882" s="81" t="str">
        <f t="shared" si="40"/>
        <v>100-500 MWh</v>
      </c>
      <c r="I882" s="80">
        <f>(Matrix_prices!I870+$D$2)*IF($M$2="Prices in $/MWh",1,1/1000)</f>
        <v>65.23</v>
      </c>
      <c r="J882" s="79">
        <f>(Matrix_prices!J870+$D$2)*IF($M$2="Prices in $/MWh",1,1/1000)</f>
        <v>64.37</v>
      </c>
      <c r="K882" s="80">
        <f>(Matrix_prices!K870+$D$2)*IF($M$2="Prices in $/MWh",1,1/1000)</f>
        <v>64.849999999999994</v>
      </c>
      <c r="L882" s="79">
        <f>(Matrix_prices!L870+$D$2)*IF($M$2="Prices in $/MWh",1,1/1000)</f>
        <v>21.89</v>
      </c>
      <c r="M882" s="80">
        <f>(Matrix_prices!M870+$D$2)*IF($M$2="Prices in $/MWh",1,1/1000)</f>
        <v>21.1</v>
      </c>
      <c r="N882" s="79">
        <f>(Matrix_prices!N870+$D$2)*IF($M$2="Prices in $/MWh",1,1/1000)</f>
        <v>22.2</v>
      </c>
      <c r="O882" s="61"/>
    </row>
    <row r="883" spans="2:15" x14ac:dyDescent="0.25">
      <c r="B883" s="57"/>
      <c r="C883" s="82">
        <f>Matrix_prices!C871</f>
        <v>42430</v>
      </c>
      <c r="D883" s="83" t="str">
        <f>Matrix_prices!D871</f>
        <v>PA</v>
      </c>
      <c r="E883" s="84" t="str">
        <f>Matrix_prices!E871</f>
        <v>MetED</v>
      </c>
      <c r="F883" s="83" t="str">
        <f>Matrix_prices!F871</f>
        <v>GSCL</v>
      </c>
      <c r="G883" s="84" t="str">
        <f>Matrix_prices!G871</f>
        <v>General Service Large</v>
      </c>
      <c r="H883" s="85" t="str">
        <f t="shared" si="41"/>
        <v>500-2500 MWh</v>
      </c>
      <c r="I883" s="84">
        <f>(Matrix_prices!I871+$D$2)*IF($M$2="Prices in $/MWh",1,1/1000)</f>
        <v>64.180000000000007</v>
      </c>
      <c r="J883" s="83">
        <f>(Matrix_prices!J871+$D$2)*IF($M$2="Prices in $/MWh",1,1/1000)</f>
        <v>63.32</v>
      </c>
      <c r="K883" s="84">
        <f>(Matrix_prices!K871+$D$2)*IF($M$2="Prices in $/MWh",1,1/1000)</f>
        <v>63.8</v>
      </c>
      <c r="L883" s="83">
        <f>(Matrix_prices!L871+$D$2)*IF($M$2="Prices in $/MWh",1,1/1000)</f>
        <v>20.84</v>
      </c>
      <c r="M883" s="84">
        <f>(Matrix_prices!M871+$D$2)*IF($M$2="Prices in $/MWh",1,1/1000)</f>
        <v>20.05</v>
      </c>
      <c r="N883" s="83">
        <f>(Matrix_prices!N871+$D$2)*IF($M$2="Prices in $/MWh",1,1/1000)</f>
        <v>21.15</v>
      </c>
      <c r="O883" s="61"/>
    </row>
    <row r="884" spans="2:15" x14ac:dyDescent="0.25">
      <c r="B884" s="57"/>
      <c r="C884" s="151">
        <f>Matrix_prices!C872</f>
        <v>42461</v>
      </c>
      <c r="D884" s="152" t="str">
        <f>Matrix_prices!D872</f>
        <v>PA</v>
      </c>
      <c r="E884" s="153" t="str">
        <f>Matrix_prices!E872</f>
        <v>MetED</v>
      </c>
      <c r="F884" s="152" t="str">
        <f>Matrix_prices!F872</f>
        <v>GSCL</v>
      </c>
      <c r="G884" s="153" t="str">
        <f>Matrix_prices!G872</f>
        <v>General Service Large</v>
      </c>
      <c r="H884" s="157" t="str">
        <f t="shared" si="39"/>
        <v>0-100 MWh</v>
      </c>
      <c r="I884" s="153">
        <f>(Matrix_prices!I872+$D$2)*IF($M$2="Prices in $/MWh",1,1/1000)</f>
        <v>67.22</v>
      </c>
      <c r="J884" s="152">
        <f>(Matrix_prices!J872+$D$2)*IF($M$2="Prices in $/MWh",1,1/1000)</f>
        <v>65.5</v>
      </c>
      <c r="K884" s="153">
        <f>(Matrix_prices!K872+$D$2)*IF($M$2="Prices in $/MWh",1,1/1000)</f>
        <v>66.66</v>
      </c>
      <c r="L884" s="152">
        <f>(Matrix_prices!L872+$D$2)*IF($M$2="Prices in $/MWh",1,1/1000)</f>
        <v>23.91</v>
      </c>
      <c r="M884" s="153">
        <f>(Matrix_prices!M872+$D$2)*IF($M$2="Prices in $/MWh",1,1/1000)</f>
        <v>22.46</v>
      </c>
      <c r="N884" s="152">
        <f>(Matrix_prices!N872+$D$2)*IF($M$2="Prices in $/MWh",1,1/1000)</f>
        <v>24.12</v>
      </c>
      <c r="O884" s="61"/>
    </row>
    <row r="885" spans="2:15" x14ac:dyDescent="0.25">
      <c r="B885" s="57"/>
      <c r="C885" s="78">
        <f>Matrix_prices!C873</f>
        <v>42461</v>
      </c>
      <c r="D885" s="79" t="str">
        <f>Matrix_prices!D873</f>
        <v>PA</v>
      </c>
      <c r="E885" s="80" t="str">
        <f>Matrix_prices!E873</f>
        <v>MetED</v>
      </c>
      <c r="F885" s="79" t="str">
        <f>Matrix_prices!F873</f>
        <v>GSCL</v>
      </c>
      <c r="G885" s="80" t="str">
        <f>Matrix_prices!G873</f>
        <v>General Service Large</v>
      </c>
      <c r="H885" s="81" t="str">
        <f t="shared" si="40"/>
        <v>100-500 MWh</v>
      </c>
      <c r="I885" s="80">
        <f>(Matrix_prices!I873+$D$2)*IF($M$2="Prices in $/MWh",1,1/1000)</f>
        <v>65.62</v>
      </c>
      <c r="J885" s="79">
        <f>(Matrix_prices!J873+$D$2)*IF($M$2="Prices in $/MWh",1,1/1000)</f>
        <v>63.9</v>
      </c>
      <c r="K885" s="80">
        <f>(Matrix_prices!K873+$D$2)*IF($M$2="Prices in $/MWh",1,1/1000)</f>
        <v>65.06</v>
      </c>
      <c r="L885" s="79">
        <f>(Matrix_prices!L873+$D$2)*IF($M$2="Prices in $/MWh",1,1/1000)</f>
        <v>22.31</v>
      </c>
      <c r="M885" s="80">
        <f>(Matrix_prices!M873+$D$2)*IF($M$2="Prices in $/MWh",1,1/1000)</f>
        <v>20.86</v>
      </c>
      <c r="N885" s="79">
        <f>(Matrix_prices!N873+$D$2)*IF($M$2="Prices in $/MWh",1,1/1000)</f>
        <v>22.52</v>
      </c>
      <c r="O885" s="61"/>
    </row>
    <row r="886" spans="2:15" x14ac:dyDescent="0.25">
      <c r="B886" s="57"/>
      <c r="C886" s="82">
        <f>Matrix_prices!C874</f>
        <v>42461</v>
      </c>
      <c r="D886" s="83" t="str">
        <f>Matrix_prices!D874</f>
        <v>PA</v>
      </c>
      <c r="E886" s="84" t="str">
        <f>Matrix_prices!E874</f>
        <v>MetED</v>
      </c>
      <c r="F886" s="83" t="str">
        <f>Matrix_prices!F874</f>
        <v>GSCL</v>
      </c>
      <c r="G886" s="84" t="str">
        <f>Matrix_prices!G874</f>
        <v>General Service Large</v>
      </c>
      <c r="H886" s="85" t="str">
        <f t="shared" si="41"/>
        <v>500-2500 MWh</v>
      </c>
      <c r="I886" s="84">
        <f>(Matrix_prices!I874+$D$2)*IF($M$2="Prices in $/MWh",1,1/1000)</f>
        <v>64.569999999999993</v>
      </c>
      <c r="J886" s="83">
        <f>(Matrix_prices!J874+$D$2)*IF($M$2="Prices in $/MWh",1,1/1000)</f>
        <v>62.85</v>
      </c>
      <c r="K886" s="84">
        <f>(Matrix_prices!K874+$D$2)*IF($M$2="Prices in $/MWh",1,1/1000)</f>
        <v>64.010000000000005</v>
      </c>
      <c r="L886" s="83">
        <f>(Matrix_prices!L874+$D$2)*IF($M$2="Prices in $/MWh",1,1/1000)</f>
        <v>21.26</v>
      </c>
      <c r="M886" s="84">
        <f>(Matrix_prices!M874+$D$2)*IF($M$2="Prices in $/MWh",1,1/1000)</f>
        <v>19.809999999999999</v>
      </c>
      <c r="N886" s="83">
        <f>(Matrix_prices!N874+$D$2)*IF($M$2="Prices in $/MWh",1,1/1000)</f>
        <v>21.47</v>
      </c>
      <c r="O886" s="61"/>
    </row>
    <row r="887" spans="2:15" x14ac:dyDescent="0.25">
      <c r="B887" s="57"/>
      <c r="C887" s="74">
        <f>Matrix_prices!C875</f>
        <v>42491</v>
      </c>
      <c r="D887" s="75" t="str">
        <f>Matrix_prices!D875</f>
        <v>PA</v>
      </c>
      <c r="E887" s="76" t="str">
        <f>Matrix_prices!E875</f>
        <v>MetED</v>
      </c>
      <c r="F887" s="75" t="str">
        <f>Matrix_prices!F875</f>
        <v>GSCL</v>
      </c>
      <c r="G887" s="76" t="str">
        <f>Matrix_prices!G875</f>
        <v>General Service Large</v>
      </c>
      <c r="H887" s="157" t="str">
        <f t="shared" si="39"/>
        <v>0-100 MWh</v>
      </c>
      <c r="I887" s="76">
        <f>(Matrix_prices!I875+$D$2)*IF($M$2="Prices in $/MWh",1,1/1000)</f>
        <v>67.36</v>
      </c>
      <c r="J887" s="75">
        <f>(Matrix_prices!J875+$D$2)*IF($M$2="Prices in $/MWh",1,1/1000)</f>
        <v>65.28</v>
      </c>
      <c r="K887" s="76">
        <f>(Matrix_prices!K875+$D$2)*IF($M$2="Prices in $/MWh",1,1/1000)</f>
        <v>66.680000000000007</v>
      </c>
      <c r="L887" s="75">
        <f>(Matrix_prices!L875+$D$2)*IF($M$2="Prices in $/MWh",1,1/1000)</f>
        <v>24.01</v>
      </c>
      <c r="M887" s="76">
        <f>(Matrix_prices!M875+$D$2)*IF($M$2="Prices in $/MWh",1,1/1000)</f>
        <v>22.49</v>
      </c>
      <c r="N887" s="75">
        <f>(Matrix_prices!N875+$D$2)*IF($M$2="Prices in $/MWh",1,1/1000)</f>
        <v>24.18</v>
      </c>
      <c r="O887" s="61"/>
    </row>
    <row r="888" spans="2:15" x14ac:dyDescent="0.25">
      <c r="B888" s="57"/>
      <c r="C888" s="78">
        <f>Matrix_prices!C876</f>
        <v>42491</v>
      </c>
      <c r="D888" s="79" t="str">
        <f>Matrix_prices!D876</f>
        <v>PA</v>
      </c>
      <c r="E888" s="80" t="str">
        <f>Matrix_prices!E876</f>
        <v>MetED</v>
      </c>
      <c r="F888" s="79" t="str">
        <f>Matrix_prices!F876</f>
        <v>GSCL</v>
      </c>
      <c r="G888" s="80" t="str">
        <f>Matrix_prices!G876</f>
        <v>General Service Large</v>
      </c>
      <c r="H888" s="81" t="str">
        <f t="shared" si="40"/>
        <v>100-500 MWh</v>
      </c>
      <c r="I888" s="80">
        <f>(Matrix_prices!I876+$D$2)*IF($M$2="Prices in $/MWh",1,1/1000)</f>
        <v>65.760000000000005</v>
      </c>
      <c r="J888" s="79">
        <f>(Matrix_prices!J876+$D$2)*IF($M$2="Prices in $/MWh",1,1/1000)</f>
        <v>63.68</v>
      </c>
      <c r="K888" s="80">
        <f>(Matrix_prices!K876+$D$2)*IF($M$2="Prices in $/MWh",1,1/1000)</f>
        <v>65.08</v>
      </c>
      <c r="L888" s="79">
        <f>(Matrix_prices!L876+$D$2)*IF($M$2="Prices in $/MWh",1,1/1000)</f>
        <v>22.41</v>
      </c>
      <c r="M888" s="80">
        <f>(Matrix_prices!M876+$D$2)*IF($M$2="Prices in $/MWh",1,1/1000)</f>
        <v>20.89</v>
      </c>
      <c r="N888" s="79">
        <f>(Matrix_prices!N876+$D$2)*IF($M$2="Prices in $/MWh",1,1/1000)</f>
        <v>22.58</v>
      </c>
      <c r="O888" s="61"/>
    </row>
    <row r="889" spans="2:15" x14ac:dyDescent="0.25">
      <c r="B889" s="57"/>
      <c r="C889" s="82">
        <f>Matrix_prices!C877</f>
        <v>42491</v>
      </c>
      <c r="D889" s="83" t="str">
        <f>Matrix_prices!D877</f>
        <v>PA</v>
      </c>
      <c r="E889" s="84" t="str">
        <f>Matrix_prices!E877</f>
        <v>MetED</v>
      </c>
      <c r="F889" s="83" t="str">
        <f>Matrix_prices!F877</f>
        <v>GSCL</v>
      </c>
      <c r="G889" s="84" t="str">
        <f>Matrix_prices!G877</f>
        <v>General Service Large</v>
      </c>
      <c r="H889" s="85" t="str">
        <f t="shared" si="41"/>
        <v>500-2500 MWh</v>
      </c>
      <c r="I889" s="84">
        <f>(Matrix_prices!I877+$D$2)*IF($M$2="Prices in $/MWh",1,1/1000)</f>
        <v>64.709999999999994</v>
      </c>
      <c r="J889" s="83">
        <f>(Matrix_prices!J877+$D$2)*IF($M$2="Prices in $/MWh",1,1/1000)</f>
        <v>62.63</v>
      </c>
      <c r="K889" s="84">
        <f>(Matrix_prices!K877+$D$2)*IF($M$2="Prices in $/MWh",1,1/1000)</f>
        <v>64.03</v>
      </c>
      <c r="L889" s="83">
        <f>(Matrix_prices!L877+$D$2)*IF($M$2="Prices in $/MWh",1,1/1000)</f>
        <v>21.36</v>
      </c>
      <c r="M889" s="84">
        <f>(Matrix_prices!M877+$D$2)*IF($M$2="Prices in $/MWh",1,1/1000)</f>
        <v>19.84</v>
      </c>
      <c r="N889" s="83">
        <f>(Matrix_prices!N877+$D$2)*IF($M$2="Prices in $/MWh",1,1/1000)</f>
        <v>21.53</v>
      </c>
      <c r="O889" s="61"/>
    </row>
    <row r="890" spans="2:15" x14ac:dyDescent="0.25">
      <c r="B890" s="57"/>
      <c r="C890" s="151">
        <f>Matrix_prices!C878</f>
        <v>42522</v>
      </c>
      <c r="D890" s="152" t="str">
        <f>Matrix_prices!D878</f>
        <v>PA</v>
      </c>
      <c r="E890" s="153" t="str">
        <f>Matrix_prices!E878</f>
        <v>MetED</v>
      </c>
      <c r="F890" s="152" t="str">
        <f>Matrix_prices!F878</f>
        <v>GSCL</v>
      </c>
      <c r="G890" s="153" t="str">
        <f>Matrix_prices!G878</f>
        <v>General Service Large</v>
      </c>
      <c r="H890" s="157" t="str">
        <f t="shared" si="39"/>
        <v>0-100 MWh</v>
      </c>
      <c r="I890" s="153">
        <f>(Matrix_prices!I878+$D$2)*IF($M$2="Prices in $/MWh",1,1/1000)</f>
        <v>67.349999999999994</v>
      </c>
      <c r="J890" s="152">
        <f>(Matrix_prices!J878+$D$2)*IF($M$2="Prices in $/MWh",1,1/1000)</f>
        <v>65.14</v>
      </c>
      <c r="K890" s="153">
        <f>(Matrix_prices!K878+$D$2)*IF($M$2="Prices in $/MWh",1,1/1000)</f>
        <v>66.67</v>
      </c>
      <c r="L890" s="152">
        <f>(Matrix_prices!L878+$D$2)*IF($M$2="Prices in $/MWh",1,1/1000)</f>
        <v>23.98</v>
      </c>
      <c r="M890" s="153">
        <f>(Matrix_prices!M878+$D$2)*IF($M$2="Prices in $/MWh",1,1/1000)</f>
        <v>22.55</v>
      </c>
      <c r="N890" s="152">
        <f>(Matrix_prices!N878+$D$2)*IF($M$2="Prices in $/MWh",1,1/1000)</f>
        <v>24.18</v>
      </c>
      <c r="O890" s="61"/>
    </row>
    <row r="891" spans="2:15" x14ac:dyDescent="0.25">
      <c r="B891" s="57"/>
      <c r="C891" s="78">
        <f>Matrix_prices!C879</f>
        <v>42522</v>
      </c>
      <c r="D891" s="79" t="str">
        <f>Matrix_prices!D879</f>
        <v>PA</v>
      </c>
      <c r="E891" s="80" t="str">
        <f>Matrix_prices!E879</f>
        <v>MetED</v>
      </c>
      <c r="F891" s="79" t="str">
        <f>Matrix_prices!F879</f>
        <v>GSCL</v>
      </c>
      <c r="G891" s="80" t="str">
        <f>Matrix_prices!G879</f>
        <v>General Service Large</v>
      </c>
      <c r="H891" s="81" t="str">
        <f t="shared" si="40"/>
        <v>100-500 MWh</v>
      </c>
      <c r="I891" s="80">
        <f>(Matrix_prices!I879+$D$2)*IF($M$2="Prices in $/MWh",1,1/1000)</f>
        <v>65.75</v>
      </c>
      <c r="J891" s="79">
        <f>(Matrix_prices!J879+$D$2)*IF($M$2="Prices in $/MWh",1,1/1000)</f>
        <v>63.54</v>
      </c>
      <c r="K891" s="80">
        <f>(Matrix_prices!K879+$D$2)*IF($M$2="Prices in $/MWh",1,1/1000)</f>
        <v>65.069999999999993</v>
      </c>
      <c r="L891" s="79">
        <f>(Matrix_prices!L879+$D$2)*IF($M$2="Prices in $/MWh",1,1/1000)</f>
        <v>22.38</v>
      </c>
      <c r="M891" s="80">
        <f>(Matrix_prices!M879+$D$2)*IF($M$2="Prices in $/MWh",1,1/1000)</f>
        <v>20.95</v>
      </c>
      <c r="N891" s="79">
        <f>(Matrix_prices!N879+$D$2)*IF($M$2="Prices in $/MWh",1,1/1000)</f>
        <v>22.58</v>
      </c>
      <c r="O891" s="61"/>
    </row>
    <row r="892" spans="2:15" x14ac:dyDescent="0.25">
      <c r="B892" s="57"/>
      <c r="C892" s="82">
        <f>Matrix_prices!C880</f>
        <v>42522</v>
      </c>
      <c r="D892" s="83" t="str">
        <f>Matrix_prices!D880</f>
        <v>PA</v>
      </c>
      <c r="E892" s="84" t="str">
        <f>Matrix_prices!E880</f>
        <v>MetED</v>
      </c>
      <c r="F892" s="83" t="str">
        <f>Matrix_prices!F880</f>
        <v>GSCL</v>
      </c>
      <c r="G892" s="84" t="str">
        <f>Matrix_prices!G880</f>
        <v>General Service Large</v>
      </c>
      <c r="H892" s="85" t="str">
        <f t="shared" si="41"/>
        <v>500-2500 MWh</v>
      </c>
      <c r="I892" s="84">
        <f>(Matrix_prices!I880+$D$2)*IF($M$2="Prices in $/MWh",1,1/1000)</f>
        <v>64.7</v>
      </c>
      <c r="J892" s="83">
        <f>(Matrix_prices!J880+$D$2)*IF($M$2="Prices in $/MWh",1,1/1000)</f>
        <v>62.49</v>
      </c>
      <c r="K892" s="84">
        <f>(Matrix_prices!K880+$D$2)*IF($M$2="Prices in $/MWh",1,1/1000)</f>
        <v>64.02</v>
      </c>
      <c r="L892" s="83">
        <f>(Matrix_prices!L880+$D$2)*IF($M$2="Prices in $/MWh",1,1/1000)</f>
        <v>21.33</v>
      </c>
      <c r="M892" s="84">
        <f>(Matrix_prices!M880+$D$2)*IF($M$2="Prices in $/MWh",1,1/1000)</f>
        <v>19.899999999999999</v>
      </c>
      <c r="N892" s="83">
        <f>(Matrix_prices!N880+$D$2)*IF($M$2="Prices in $/MWh",1,1/1000)</f>
        <v>21.53</v>
      </c>
      <c r="O892" s="61"/>
    </row>
    <row r="893" spans="2:15" x14ac:dyDescent="0.25">
      <c r="B893" s="57"/>
      <c r="C893" s="74">
        <f>Matrix_prices!C881</f>
        <v>42552</v>
      </c>
      <c r="D893" s="75" t="str">
        <f>Matrix_prices!D881</f>
        <v>PA</v>
      </c>
      <c r="E893" s="76" t="str">
        <f>Matrix_prices!E881</f>
        <v>MetED</v>
      </c>
      <c r="F893" s="75" t="str">
        <f>Matrix_prices!F881</f>
        <v>GSCL</v>
      </c>
      <c r="G893" s="76" t="str">
        <f>Matrix_prices!G881</f>
        <v>General Service Large</v>
      </c>
      <c r="H893" s="157" t="str">
        <f t="shared" si="39"/>
        <v>0-100 MWh</v>
      </c>
      <c r="I893" s="76">
        <f>(Matrix_prices!I881+$D$2)*IF($M$2="Prices in $/MWh",1,1/1000)</f>
        <v>67.31</v>
      </c>
      <c r="J893" s="75">
        <f>(Matrix_prices!J881+$D$2)*IF($M$2="Prices in $/MWh",1,1/1000)</f>
        <v>65.42</v>
      </c>
      <c r="K893" s="76">
        <f>(Matrix_prices!K881+$D$2)*IF($M$2="Prices in $/MWh",1,1/1000)</f>
        <v>66.739999999999995</v>
      </c>
      <c r="L893" s="75">
        <f>(Matrix_prices!L881+$D$2)*IF($M$2="Prices in $/MWh",1,1/1000)</f>
        <v>23.97</v>
      </c>
      <c r="M893" s="76">
        <f>(Matrix_prices!M881+$D$2)*IF($M$2="Prices in $/MWh",1,1/1000)</f>
        <v>23.2</v>
      </c>
      <c r="N893" s="75">
        <f>(Matrix_prices!N881+$D$2)*IF($M$2="Prices in $/MWh",1,1/1000)</f>
        <v>24.41</v>
      </c>
      <c r="O893" s="61"/>
    </row>
    <row r="894" spans="2:15" x14ac:dyDescent="0.25">
      <c r="B894" s="57"/>
      <c r="C894" s="78">
        <f>Matrix_prices!C882</f>
        <v>42552</v>
      </c>
      <c r="D894" s="79" t="str">
        <f>Matrix_prices!D882</f>
        <v>PA</v>
      </c>
      <c r="E894" s="80" t="str">
        <f>Matrix_prices!E882</f>
        <v>MetED</v>
      </c>
      <c r="F894" s="79" t="str">
        <f>Matrix_prices!F882</f>
        <v>GSCL</v>
      </c>
      <c r="G894" s="80" t="str">
        <f>Matrix_prices!G882</f>
        <v>General Service Large</v>
      </c>
      <c r="H894" s="81" t="str">
        <f t="shared" si="40"/>
        <v>100-500 MWh</v>
      </c>
      <c r="I894" s="80">
        <f>(Matrix_prices!I882+$D$2)*IF($M$2="Prices in $/MWh",1,1/1000)</f>
        <v>65.709999999999994</v>
      </c>
      <c r="J894" s="79">
        <f>(Matrix_prices!J882+$D$2)*IF($M$2="Prices in $/MWh",1,1/1000)</f>
        <v>63.82</v>
      </c>
      <c r="K894" s="80">
        <f>(Matrix_prices!K882+$D$2)*IF($M$2="Prices in $/MWh",1,1/1000)</f>
        <v>65.14</v>
      </c>
      <c r="L894" s="79">
        <f>(Matrix_prices!L882+$D$2)*IF($M$2="Prices in $/MWh",1,1/1000)</f>
        <v>22.37</v>
      </c>
      <c r="M894" s="80">
        <f>(Matrix_prices!M882+$D$2)*IF($M$2="Prices in $/MWh",1,1/1000)</f>
        <v>21.6</v>
      </c>
      <c r="N894" s="79">
        <f>(Matrix_prices!N882+$D$2)*IF($M$2="Prices in $/MWh",1,1/1000)</f>
        <v>22.81</v>
      </c>
      <c r="O894" s="61"/>
    </row>
    <row r="895" spans="2:15" x14ac:dyDescent="0.25">
      <c r="B895" s="57"/>
      <c r="C895" s="82">
        <f>Matrix_prices!C883</f>
        <v>42552</v>
      </c>
      <c r="D895" s="83" t="str">
        <f>Matrix_prices!D883</f>
        <v>PA</v>
      </c>
      <c r="E895" s="84" t="str">
        <f>Matrix_prices!E883</f>
        <v>MetED</v>
      </c>
      <c r="F895" s="83" t="str">
        <f>Matrix_prices!F883</f>
        <v>GSCL</v>
      </c>
      <c r="G895" s="84" t="str">
        <f>Matrix_prices!G883</f>
        <v>General Service Large</v>
      </c>
      <c r="H895" s="85" t="str">
        <f t="shared" si="41"/>
        <v>500-2500 MWh</v>
      </c>
      <c r="I895" s="84">
        <f>(Matrix_prices!I883+$D$2)*IF($M$2="Prices in $/MWh",1,1/1000)</f>
        <v>64.66</v>
      </c>
      <c r="J895" s="83">
        <f>(Matrix_prices!J883+$D$2)*IF($M$2="Prices in $/MWh",1,1/1000)</f>
        <v>62.77</v>
      </c>
      <c r="K895" s="84">
        <f>(Matrix_prices!K883+$D$2)*IF($M$2="Prices in $/MWh",1,1/1000)</f>
        <v>64.09</v>
      </c>
      <c r="L895" s="83">
        <f>(Matrix_prices!L883+$D$2)*IF($M$2="Prices in $/MWh",1,1/1000)</f>
        <v>21.32</v>
      </c>
      <c r="M895" s="84">
        <f>(Matrix_prices!M883+$D$2)*IF($M$2="Prices in $/MWh",1,1/1000)</f>
        <v>20.55</v>
      </c>
      <c r="N895" s="83">
        <f>(Matrix_prices!N883+$D$2)*IF($M$2="Prices in $/MWh",1,1/1000)</f>
        <v>21.76</v>
      </c>
      <c r="O895" s="61"/>
    </row>
    <row r="896" spans="2:15" x14ac:dyDescent="0.25">
      <c r="B896" s="57"/>
      <c r="C896" s="151">
        <f>Matrix_prices!C884</f>
        <v>42583</v>
      </c>
      <c r="D896" s="152" t="str">
        <f>Matrix_prices!D884</f>
        <v>PA</v>
      </c>
      <c r="E896" s="153" t="str">
        <f>Matrix_prices!E884</f>
        <v>MetED</v>
      </c>
      <c r="F896" s="152" t="str">
        <f>Matrix_prices!F884</f>
        <v>GSCL</v>
      </c>
      <c r="G896" s="153" t="str">
        <f>Matrix_prices!G884</f>
        <v>General Service Large</v>
      </c>
      <c r="H896" s="157" t="str">
        <f t="shared" si="39"/>
        <v>0-100 MWh</v>
      </c>
      <c r="I896" s="153">
        <f>(Matrix_prices!I884+$D$2)*IF($M$2="Prices in $/MWh",1,1/1000)</f>
        <v>67.209999999999994</v>
      </c>
      <c r="J896" s="152">
        <f>(Matrix_prices!J884+$D$2)*IF($M$2="Prices in $/MWh",1,1/1000)</f>
        <v>66.37</v>
      </c>
      <c r="K896" s="153">
        <f>(Matrix_prices!K884+$D$2)*IF($M$2="Prices in $/MWh",1,1/1000)</f>
        <v>66.959999999999994</v>
      </c>
      <c r="L896" s="152">
        <f>(Matrix_prices!L884+$D$2)*IF($M$2="Prices in $/MWh",1,1/1000)</f>
        <v>24.01</v>
      </c>
      <c r="M896" s="153">
        <f>(Matrix_prices!M884+$D$2)*IF($M$2="Prices in $/MWh",1,1/1000)</f>
        <v>24.11</v>
      </c>
      <c r="N896" s="152">
        <f>(Matrix_prices!N884+$D$2)*IF($M$2="Prices in $/MWh",1,1/1000)</f>
        <v>24.82</v>
      </c>
      <c r="O896" s="61"/>
    </row>
    <row r="897" spans="2:15" x14ac:dyDescent="0.25">
      <c r="B897" s="57"/>
      <c r="C897" s="78">
        <f>Matrix_prices!C885</f>
        <v>42583</v>
      </c>
      <c r="D897" s="79" t="str">
        <f>Matrix_prices!D885</f>
        <v>PA</v>
      </c>
      <c r="E897" s="80" t="str">
        <f>Matrix_prices!E885</f>
        <v>MetED</v>
      </c>
      <c r="F897" s="79" t="str">
        <f>Matrix_prices!F885</f>
        <v>GSCL</v>
      </c>
      <c r="G897" s="80" t="str">
        <f>Matrix_prices!G885</f>
        <v>General Service Large</v>
      </c>
      <c r="H897" s="81" t="str">
        <f t="shared" si="40"/>
        <v>100-500 MWh</v>
      </c>
      <c r="I897" s="80">
        <f>(Matrix_prices!I885+$D$2)*IF($M$2="Prices in $/MWh",1,1/1000)</f>
        <v>65.61</v>
      </c>
      <c r="J897" s="79">
        <f>(Matrix_prices!J885+$D$2)*IF($M$2="Prices in $/MWh",1,1/1000)</f>
        <v>64.77</v>
      </c>
      <c r="K897" s="80">
        <f>(Matrix_prices!K885+$D$2)*IF($M$2="Prices in $/MWh",1,1/1000)</f>
        <v>65.36</v>
      </c>
      <c r="L897" s="79">
        <f>(Matrix_prices!L885+$D$2)*IF($M$2="Prices in $/MWh",1,1/1000)</f>
        <v>22.41</v>
      </c>
      <c r="M897" s="80">
        <f>(Matrix_prices!M885+$D$2)*IF($M$2="Prices in $/MWh",1,1/1000)</f>
        <v>22.51</v>
      </c>
      <c r="N897" s="79">
        <f>(Matrix_prices!N885+$D$2)*IF($M$2="Prices in $/MWh",1,1/1000)</f>
        <v>23.22</v>
      </c>
      <c r="O897" s="61"/>
    </row>
    <row r="898" spans="2:15" x14ac:dyDescent="0.25">
      <c r="B898" s="57"/>
      <c r="C898" s="82">
        <f>Matrix_prices!C886</f>
        <v>42583</v>
      </c>
      <c r="D898" s="83" t="str">
        <f>Matrix_prices!D886</f>
        <v>PA</v>
      </c>
      <c r="E898" s="84" t="str">
        <f>Matrix_prices!E886</f>
        <v>MetED</v>
      </c>
      <c r="F898" s="83" t="str">
        <f>Matrix_prices!F886</f>
        <v>GSCL</v>
      </c>
      <c r="G898" s="84" t="str">
        <f>Matrix_prices!G886</f>
        <v>General Service Large</v>
      </c>
      <c r="H898" s="85" t="str">
        <f t="shared" si="41"/>
        <v>500-2500 MWh</v>
      </c>
      <c r="I898" s="84">
        <f>(Matrix_prices!I886+$D$2)*IF($M$2="Prices in $/MWh",1,1/1000)</f>
        <v>64.56</v>
      </c>
      <c r="J898" s="83">
        <f>(Matrix_prices!J886+$D$2)*IF($M$2="Prices in $/MWh",1,1/1000)</f>
        <v>63.72</v>
      </c>
      <c r="K898" s="84">
        <f>(Matrix_prices!K886+$D$2)*IF($M$2="Prices in $/MWh",1,1/1000)</f>
        <v>64.31</v>
      </c>
      <c r="L898" s="83">
        <f>(Matrix_prices!L886+$D$2)*IF($M$2="Prices in $/MWh",1,1/1000)</f>
        <v>21.36</v>
      </c>
      <c r="M898" s="84">
        <f>(Matrix_prices!M886+$D$2)*IF($M$2="Prices in $/MWh",1,1/1000)</f>
        <v>21.46</v>
      </c>
      <c r="N898" s="83">
        <f>(Matrix_prices!N886+$D$2)*IF($M$2="Prices in $/MWh",1,1/1000)</f>
        <v>22.17</v>
      </c>
      <c r="O898" s="61"/>
    </row>
    <row r="899" spans="2:15" x14ac:dyDescent="0.25">
      <c r="B899" s="57"/>
      <c r="C899" s="74">
        <f>Matrix_prices!C887</f>
        <v>42614</v>
      </c>
      <c r="D899" s="75" t="str">
        <f>Matrix_prices!D887</f>
        <v>PA</v>
      </c>
      <c r="E899" s="76" t="str">
        <f>Matrix_prices!E887</f>
        <v>MetED</v>
      </c>
      <c r="F899" s="75" t="str">
        <f>Matrix_prices!F887</f>
        <v>GSCL</v>
      </c>
      <c r="G899" s="76" t="str">
        <f>Matrix_prices!G887</f>
        <v>General Service Large</v>
      </c>
      <c r="H899" s="157" t="str">
        <f t="shared" si="39"/>
        <v>0-100 MWh</v>
      </c>
      <c r="I899" s="76">
        <f>(Matrix_prices!I887+$D$2)*IF($M$2="Prices in $/MWh",1,1/1000)</f>
        <v>66.91</v>
      </c>
      <c r="J899" s="75">
        <f>(Matrix_prices!J887+$D$2)*IF($M$2="Prices in $/MWh",1,1/1000)</f>
        <v>67.239999999999995</v>
      </c>
      <c r="K899" s="76">
        <f>(Matrix_prices!K887+$D$2)*IF($M$2="Prices in $/MWh",1,1/1000)</f>
        <v>67.069999999999993</v>
      </c>
      <c r="L899" s="75">
        <f>(Matrix_prices!L887+$D$2)*IF($M$2="Prices in $/MWh",1,1/1000)</f>
        <v>23.72</v>
      </c>
      <c r="M899" s="76">
        <f>(Matrix_prices!M887+$D$2)*IF($M$2="Prices in $/MWh",1,1/1000)</f>
        <v>24.87</v>
      </c>
      <c r="N899" s="75">
        <f>(Matrix_prices!N887+$D$2)*IF($M$2="Prices in $/MWh",1,1/1000)</f>
        <v>25.15</v>
      </c>
      <c r="O899" s="61"/>
    </row>
    <row r="900" spans="2:15" x14ac:dyDescent="0.25">
      <c r="B900" s="57"/>
      <c r="C900" s="78">
        <f>Matrix_prices!C888</f>
        <v>42614</v>
      </c>
      <c r="D900" s="79" t="str">
        <f>Matrix_prices!D888</f>
        <v>PA</v>
      </c>
      <c r="E900" s="80" t="str">
        <f>Matrix_prices!E888</f>
        <v>MetED</v>
      </c>
      <c r="F900" s="79" t="str">
        <f>Matrix_prices!F888</f>
        <v>GSCL</v>
      </c>
      <c r="G900" s="80" t="str">
        <f>Matrix_prices!G888</f>
        <v>General Service Large</v>
      </c>
      <c r="H900" s="81" t="str">
        <f t="shared" si="40"/>
        <v>100-500 MWh</v>
      </c>
      <c r="I900" s="80">
        <f>(Matrix_prices!I888+$D$2)*IF($M$2="Prices in $/MWh",1,1/1000)</f>
        <v>65.31</v>
      </c>
      <c r="J900" s="79">
        <f>(Matrix_prices!J888+$D$2)*IF($M$2="Prices in $/MWh",1,1/1000)</f>
        <v>65.64</v>
      </c>
      <c r="K900" s="80">
        <f>(Matrix_prices!K888+$D$2)*IF($M$2="Prices in $/MWh",1,1/1000)</f>
        <v>65.47</v>
      </c>
      <c r="L900" s="79">
        <f>(Matrix_prices!L888+$D$2)*IF($M$2="Prices in $/MWh",1,1/1000)</f>
        <v>22.12</v>
      </c>
      <c r="M900" s="80">
        <f>(Matrix_prices!M888+$D$2)*IF($M$2="Prices in $/MWh",1,1/1000)</f>
        <v>23.27</v>
      </c>
      <c r="N900" s="79">
        <f>(Matrix_prices!N888+$D$2)*IF($M$2="Prices in $/MWh",1,1/1000)</f>
        <v>23.55</v>
      </c>
      <c r="O900" s="61"/>
    </row>
    <row r="901" spans="2:15" x14ac:dyDescent="0.25">
      <c r="B901" s="57"/>
      <c r="C901" s="82">
        <f>Matrix_prices!C889</f>
        <v>42614</v>
      </c>
      <c r="D901" s="83" t="str">
        <f>Matrix_prices!D889</f>
        <v>PA</v>
      </c>
      <c r="E901" s="84" t="str">
        <f>Matrix_prices!E889</f>
        <v>MetED</v>
      </c>
      <c r="F901" s="83" t="str">
        <f>Matrix_prices!F889</f>
        <v>GSCL</v>
      </c>
      <c r="G901" s="84" t="str">
        <f>Matrix_prices!G889</f>
        <v>General Service Large</v>
      </c>
      <c r="H901" s="85" t="str">
        <f t="shared" si="41"/>
        <v>500-2500 MWh</v>
      </c>
      <c r="I901" s="84">
        <f>(Matrix_prices!I889+$D$2)*IF($M$2="Prices in $/MWh",1,1/1000)</f>
        <v>64.260000000000005</v>
      </c>
      <c r="J901" s="83">
        <f>(Matrix_prices!J889+$D$2)*IF($M$2="Prices in $/MWh",1,1/1000)</f>
        <v>64.59</v>
      </c>
      <c r="K901" s="84">
        <f>(Matrix_prices!K889+$D$2)*IF($M$2="Prices in $/MWh",1,1/1000)</f>
        <v>64.42</v>
      </c>
      <c r="L901" s="83">
        <f>(Matrix_prices!L889+$D$2)*IF($M$2="Prices in $/MWh",1,1/1000)</f>
        <v>21.07</v>
      </c>
      <c r="M901" s="84">
        <f>(Matrix_prices!M889+$D$2)*IF($M$2="Prices in $/MWh",1,1/1000)</f>
        <v>22.22</v>
      </c>
      <c r="N901" s="83">
        <f>(Matrix_prices!N889+$D$2)*IF($M$2="Prices in $/MWh",1,1/1000)</f>
        <v>22.5</v>
      </c>
      <c r="O901" s="61"/>
    </row>
    <row r="902" spans="2:15" x14ac:dyDescent="0.25">
      <c r="B902" s="57"/>
      <c r="C902" s="151">
        <f>Matrix_prices!C890</f>
        <v>42644</v>
      </c>
      <c r="D902" s="152" t="str">
        <f>Matrix_prices!D890</f>
        <v>PA</v>
      </c>
      <c r="E902" s="153" t="str">
        <f>Matrix_prices!E890</f>
        <v>MetED</v>
      </c>
      <c r="F902" s="152" t="str">
        <f>Matrix_prices!F890</f>
        <v>GSCL</v>
      </c>
      <c r="G902" s="153" t="str">
        <f>Matrix_prices!G890</f>
        <v>General Service Large</v>
      </c>
      <c r="H902" s="157" t="str">
        <f t="shared" si="39"/>
        <v>0-100 MWh</v>
      </c>
      <c r="I902" s="153">
        <f>(Matrix_prices!I890+$D$2)*IF($M$2="Prices in $/MWh",1,1/1000)</f>
        <v>66.94</v>
      </c>
      <c r="J902" s="152">
        <f>(Matrix_prices!J890+$D$2)*IF($M$2="Prices in $/MWh",1,1/1000)</f>
        <v>68.040000000000006</v>
      </c>
      <c r="K902" s="153">
        <f>(Matrix_prices!K890+$D$2)*IF($M$2="Prices in $/MWh",1,1/1000)</f>
        <v>67.13</v>
      </c>
      <c r="L902" s="152">
        <f>(Matrix_prices!L890+$D$2)*IF($M$2="Prices in $/MWh",1,1/1000)</f>
        <v>23.96</v>
      </c>
      <c r="M902" s="153">
        <f>(Matrix_prices!M890+$D$2)*IF($M$2="Prices in $/MWh",1,1/1000)</f>
        <v>25.73</v>
      </c>
      <c r="N902" s="152">
        <f>(Matrix_prices!N890+$D$2)*IF($M$2="Prices in $/MWh",1,1/1000)</f>
        <v>25.41</v>
      </c>
      <c r="O902" s="61"/>
    </row>
    <row r="903" spans="2:15" x14ac:dyDescent="0.25">
      <c r="B903" s="57"/>
      <c r="C903" s="78">
        <f>Matrix_prices!C891</f>
        <v>42644</v>
      </c>
      <c r="D903" s="79" t="str">
        <f>Matrix_prices!D891</f>
        <v>PA</v>
      </c>
      <c r="E903" s="80" t="str">
        <f>Matrix_prices!E891</f>
        <v>MetED</v>
      </c>
      <c r="F903" s="79" t="str">
        <f>Matrix_prices!F891</f>
        <v>GSCL</v>
      </c>
      <c r="G903" s="80" t="str">
        <f>Matrix_prices!G891</f>
        <v>General Service Large</v>
      </c>
      <c r="H903" s="81" t="str">
        <f t="shared" si="40"/>
        <v>100-500 MWh</v>
      </c>
      <c r="I903" s="80">
        <f>(Matrix_prices!I891+$D$2)*IF($M$2="Prices in $/MWh",1,1/1000)</f>
        <v>65.34</v>
      </c>
      <c r="J903" s="79">
        <f>(Matrix_prices!J891+$D$2)*IF($M$2="Prices in $/MWh",1,1/1000)</f>
        <v>66.44</v>
      </c>
      <c r="K903" s="80">
        <f>(Matrix_prices!K891+$D$2)*IF($M$2="Prices in $/MWh",1,1/1000)</f>
        <v>65.53</v>
      </c>
      <c r="L903" s="79">
        <f>(Matrix_prices!L891+$D$2)*IF($M$2="Prices in $/MWh",1,1/1000)</f>
        <v>22.36</v>
      </c>
      <c r="M903" s="80">
        <f>(Matrix_prices!M891+$D$2)*IF($M$2="Prices in $/MWh",1,1/1000)</f>
        <v>24.13</v>
      </c>
      <c r="N903" s="79">
        <f>(Matrix_prices!N891+$D$2)*IF($M$2="Prices in $/MWh",1,1/1000)</f>
        <v>23.81</v>
      </c>
      <c r="O903" s="61"/>
    </row>
    <row r="904" spans="2:15" x14ac:dyDescent="0.25">
      <c r="B904" s="57"/>
      <c r="C904" s="82">
        <f>Matrix_prices!C892</f>
        <v>42644</v>
      </c>
      <c r="D904" s="83" t="str">
        <f>Matrix_prices!D892</f>
        <v>PA</v>
      </c>
      <c r="E904" s="84" t="str">
        <f>Matrix_prices!E892</f>
        <v>MetED</v>
      </c>
      <c r="F904" s="83" t="str">
        <f>Matrix_prices!F892</f>
        <v>GSCL</v>
      </c>
      <c r="G904" s="84" t="str">
        <f>Matrix_prices!G892</f>
        <v>General Service Large</v>
      </c>
      <c r="H904" s="85" t="str">
        <f t="shared" si="41"/>
        <v>500-2500 MWh</v>
      </c>
      <c r="I904" s="84">
        <f>(Matrix_prices!I892+$D$2)*IF($M$2="Prices in $/MWh",1,1/1000)</f>
        <v>64.290000000000006</v>
      </c>
      <c r="J904" s="83">
        <f>(Matrix_prices!J892+$D$2)*IF($M$2="Prices in $/MWh",1,1/1000)</f>
        <v>65.39</v>
      </c>
      <c r="K904" s="84">
        <f>(Matrix_prices!K892+$D$2)*IF($M$2="Prices in $/MWh",1,1/1000)</f>
        <v>64.48</v>
      </c>
      <c r="L904" s="83">
        <f>(Matrix_prices!L892+$D$2)*IF($M$2="Prices in $/MWh",1,1/1000)</f>
        <v>21.31</v>
      </c>
      <c r="M904" s="84">
        <f>(Matrix_prices!M892+$D$2)*IF($M$2="Prices in $/MWh",1,1/1000)</f>
        <v>23.08</v>
      </c>
      <c r="N904" s="83">
        <f>(Matrix_prices!N892+$D$2)*IF($M$2="Prices in $/MWh",1,1/1000)</f>
        <v>22.76</v>
      </c>
      <c r="O904" s="61"/>
    </row>
    <row r="905" spans="2:15" x14ac:dyDescent="0.25">
      <c r="B905" s="57"/>
      <c r="C905" s="74">
        <f>Matrix_prices!C893</f>
        <v>42675</v>
      </c>
      <c r="D905" s="75" t="str">
        <f>Matrix_prices!D893</f>
        <v>PA</v>
      </c>
      <c r="E905" s="76" t="str">
        <f>Matrix_prices!E893</f>
        <v>MetED</v>
      </c>
      <c r="F905" s="75" t="str">
        <f>Matrix_prices!F893</f>
        <v>GSCL</v>
      </c>
      <c r="G905" s="76" t="str">
        <f>Matrix_prices!G893</f>
        <v>General Service Large</v>
      </c>
      <c r="H905" s="157" t="str">
        <f t="shared" si="39"/>
        <v>0-100 MWh</v>
      </c>
      <c r="I905" s="76">
        <f>(Matrix_prices!I893+$D$2)*IF($M$2="Prices in $/MWh",1,1/1000)</f>
        <v>66.91</v>
      </c>
      <c r="J905" s="75">
        <f>(Matrix_prices!J893+$D$2)*IF($M$2="Prices in $/MWh",1,1/1000)</f>
        <v>68.290000000000006</v>
      </c>
      <c r="K905" s="76">
        <f>(Matrix_prices!K893+$D$2)*IF($M$2="Prices in $/MWh",1,1/1000)</f>
        <v>67.17</v>
      </c>
      <c r="L905" s="75">
        <f>(Matrix_prices!L893+$D$2)*IF($M$2="Prices in $/MWh",1,1/1000)</f>
        <v>24.11</v>
      </c>
      <c r="M905" s="76">
        <f>(Matrix_prices!M893+$D$2)*IF($M$2="Prices in $/MWh",1,1/1000)</f>
        <v>25.9</v>
      </c>
      <c r="N905" s="75">
        <f>(Matrix_prices!N893+$D$2)*IF($M$2="Prices in $/MWh",1,1/1000)</f>
        <v>25.57</v>
      </c>
      <c r="O905" s="61"/>
    </row>
    <row r="906" spans="2:15" x14ac:dyDescent="0.25">
      <c r="B906" s="57"/>
      <c r="C906" s="78">
        <f>Matrix_prices!C894</f>
        <v>42675</v>
      </c>
      <c r="D906" s="79" t="str">
        <f>Matrix_prices!D894</f>
        <v>PA</v>
      </c>
      <c r="E906" s="80" t="str">
        <f>Matrix_prices!E894</f>
        <v>MetED</v>
      </c>
      <c r="F906" s="79" t="str">
        <f>Matrix_prices!F894</f>
        <v>GSCL</v>
      </c>
      <c r="G906" s="80" t="str">
        <f>Matrix_prices!G894</f>
        <v>General Service Large</v>
      </c>
      <c r="H906" s="81" t="str">
        <f t="shared" si="40"/>
        <v>100-500 MWh</v>
      </c>
      <c r="I906" s="80">
        <f>(Matrix_prices!I894+$D$2)*IF($M$2="Prices in $/MWh",1,1/1000)</f>
        <v>65.31</v>
      </c>
      <c r="J906" s="79">
        <f>(Matrix_prices!J894+$D$2)*IF($M$2="Prices in $/MWh",1,1/1000)</f>
        <v>66.69</v>
      </c>
      <c r="K906" s="80">
        <f>(Matrix_prices!K894+$D$2)*IF($M$2="Prices in $/MWh",1,1/1000)</f>
        <v>65.569999999999993</v>
      </c>
      <c r="L906" s="79">
        <f>(Matrix_prices!L894+$D$2)*IF($M$2="Prices in $/MWh",1,1/1000)</f>
        <v>22.51</v>
      </c>
      <c r="M906" s="80">
        <f>(Matrix_prices!M894+$D$2)*IF($M$2="Prices in $/MWh",1,1/1000)</f>
        <v>24.3</v>
      </c>
      <c r="N906" s="79">
        <f>(Matrix_prices!N894+$D$2)*IF($M$2="Prices in $/MWh",1,1/1000)</f>
        <v>23.97</v>
      </c>
      <c r="O906" s="61"/>
    </row>
    <row r="907" spans="2:15" x14ac:dyDescent="0.25">
      <c r="B907" s="57"/>
      <c r="C907" s="82">
        <f>Matrix_prices!C895</f>
        <v>42675</v>
      </c>
      <c r="D907" s="83" t="str">
        <f>Matrix_prices!D895</f>
        <v>PA</v>
      </c>
      <c r="E907" s="84" t="str">
        <f>Matrix_prices!E895</f>
        <v>MetED</v>
      </c>
      <c r="F907" s="83" t="str">
        <f>Matrix_prices!F895</f>
        <v>GSCL</v>
      </c>
      <c r="G907" s="84" t="str">
        <f>Matrix_prices!G895</f>
        <v>General Service Large</v>
      </c>
      <c r="H907" s="85" t="str">
        <f t="shared" si="41"/>
        <v>500-2500 MWh</v>
      </c>
      <c r="I907" s="84">
        <f>(Matrix_prices!I895+$D$2)*IF($M$2="Prices in $/MWh",1,1/1000)</f>
        <v>64.260000000000005</v>
      </c>
      <c r="J907" s="83">
        <f>(Matrix_prices!J895+$D$2)*IF($M$2="Prices in $/MWh",1,1/1000)</f>
        <v>65.64</v>
      </c>
      <c r="K907" s="84">
        <f>(Matrix_prices!K895+$D$2)*IF($M$2="Prices in $/MWh",1,1/1000)</f>
        <v>64.52</v>
      </c>
      <c r="L907" s="83">
        <f>(Matrix_prices!L895+$D$2)*IF($M$2="Prices in $/MWh",1,1/1000)</f>
        <v>21.46</v>
      </c>
      <c r="M907" s="84">
        <f>(Matrix_prices!M895+$D$2)*IF($M$2="Prices in $/MWh",1,1/1000)</f>
        <v>23.25</v>
      </c>
      <c r="N907" s="83">
        <f>(Matrix_prices!N895+$D$2)*IF($M$2="Prices in $/MWh",1,1/1000)</f>
        <v>22.92</v>
      </c>
      <c r="O907" s="61"/>
    </row>
    <row r="908" spans="2:15" x14ac:dyDescent="0.25">
      <c r="B908" s="57"/>
      <c r="C908" s="151">
        <f>Matrix_prices!C896</f>
        <v>42705</v>
      </c>
      <c r="D908" s="152" t="str">
        <f>Matrix_prices!D896</f>
        <v>PA</v>
      </c>
      <c r="E908" s="153" t="str">
        <f>Matrix_prices!E896</f>
        <v>MetED</v>
      </c>
      <c r="F908" s="152" t="str">
        <f>Matrix_prices!F896</f>
        <v>GSCL</v>
      </c>
      <c r="G908" s="153" t="str">
        <f>Matrix_prices!G896</f>
        <v>General Service Large</v>
      </c>
      <c r="H908" s="157" t="str">
        <f t="shared" si="39"/>
        <v>0-100 MWh</v>
      </c>
      <c r="I908" s="153">
        <f>(Matrix_prices!I896+$D$2)*IF($M$2="Prices in $/MWh",1,1/1000)</f>
        <v>66.650000000000006</v>
      </c>
      <c r="J908" s="152">
        <f>(Matrix_prices!J896+$D$2)*IF($M$2="Prices in $/MWh",1,1/1000)</f>
        <v>68.239999999999995</v>
      </c>
      <c r="K908" s="153">
        <f>(Matrix_prices!K896+$D$2)*IF($M$2="Prices in $/MWh",1,1/1000)</f>
        <v>67.150000000000006</v>
      </c>
      <c r="L908" s="152">
        <f>(Matrix_prices!L896+$D$2)*IF($M$2="Prices in $/MWh",1,1/1000)</f>
        <v>23.91</v>
      </c>
      <c r="M908" s="153">
        <f>(Matrix_prices!M896+$D$2)*IF($M$2="Prices in $/MWh",1,1/1000)</f>
        <v>25.68</v>
      </c>
      <c r="N908" s="152">
        <f>(Matrix_prices!N896+$D$2)*IF($M$2="Prices in $/MWh",1,1/1000)</f>
        <v>25.68</v>
      </c>
      <c r="O908" s="61"/>
    </row>
    <row r="909" spans="2:15" x14ac:dyDescent="0.25">
      <c r="B909" s="57"/>
      <c r="C909" s="78">
        <f>Matrix_prices!C897</f>
        <v>42705</v>
      </c>
      <c r="D909" s="79" t="str">
        <f>Matrix_prices!D897</f>
        <v>PA</v>
      </c>
      <c r="E909" s="80" t="str">
        <f>Matrix_prices!E897</f>
        <v>MetED</v>
      </c>
      <c r="F909" s="79" t="str">
        <f>Matrix_prices!F897</f>
        <v>GSCL</v>
      </c>
      <c r="G909" s="80" t="str">
        <f>Matrix_prices!G897</f>
        <v>General Service Large</v>
      </c>
      <c r="H909" s="81" t="str">
        <f t="shared" si="40"/>
        <v>100-500 MWh</v>
      </c>
      <c r="I909" s="80">
        <f>(Matrix_prices!I897+$D$2)*IF($M$2="Prices in $/MWh",1,1/1000)</f>
        <v>65.05</v>
      </c>
      <c r="J909" s="79">
        <f>(Matrix_prices!J897+$D$2)*IF($M$2="Prices in $/MWh",1,1/1000)</f>
        <v>66.64</v>
      </c>
      <c r="K909" s="80">
        <f>(Matrix_prices!K897+$D$2)*IF($M$2="Prices in $/MWh",1,1/1000)</f>
        <v>65.55</v>
      </c>
      <c r="L909" s="79">
        <f>(Matrix_prices!L897+$D$2)*IF($M$2="Prices in $/MWh",1,1/1000)</f>
        <v>22.31</v>
      </c>
      <c r="M909" s="80">
        <f>(Matrix_prices!M897+$D$2)*IF($M$2="Prices in $/MWh",1,1/1000)</f>
        <v>24.08</v>
      </c>
      <c r="N909" s="79">
        <f>(Matrix_prices!N897+$D$2)*IF($M$2="Prices in $/MWh",1,1/1000)</f>
        <v>24.08</v>
      </c>
      <c r="O909" s="61"/>
    </row>
    <row r="910" spans="2:15" x14ac:dyDescent="0.25">
      <c r="B910" s="57"/>
      <c r="C910" s="82">
        <f>Matrix_prices!C898</f>
        <v>42705</v>
      </c>
      <c r="D910" s="83" t="str">
        <f>Matrix_prices!D898</f>
        <v>PA</v>
      </c>
      <c r="E910" s="84" t="str">
        <f>Matrix_prices!E898</f>
        <v>MetED</v>
      </c>
      <c r="F910" s="83" t="str">
        <f>Matrix_prices!F898</f>
        <v>GSCL</v>
      </c>
      <c r="G910" s="84" t="str">
        <f>Matrix_prices!G898</f>
        <v>General Service Large</v>
      </c>
      <c r="H910" s="85" t="str">
        <f t="shared" si="41"/>
        <v>500-2500 MWh</v>
      </c>
      <c r="I910" s="84">
        <f>(Matrix_prices!I898+$D$2)*IF($M$2="Prices in $/MWh",1,1/1000)</f>
        <v>64</v>
      </c>
      <c r="J910" s="83">
        <f>(Matrix_prices!J898+$D$2)*IF($M$2="Prices in $/MWh",1,1/1000)</f>
        <v>65.59</v>
      </c>
      <c r="K910" s="84">
        <f>(Matrix_prices!K898+$D$2)*IF($M$2="Prices in $/MWh",1,1/1000)</f>
        <v>64.5</v>
      </c>
      <c r="L910" s="83">
        <f>(Matrix_prices!L898+$D$2)*IF($M$2="Prices in $/MWh",1,1/1000)</f>
        <v>21.26</v>
      </c>
      <c r="M910" s="84">
        <f>(Matrix_prices!M898+$D$2)*IF($M$2="Prices in $/MWh",1,1/1000)</f>
        <v>23.03</v>
      </c>
      <c r="N910" s="83">
        <f>(Matrix_prices!N898+$D$2)*IF($M$2="Prices in $/MWh",1,1/1000)</f>
        <v>23.03</v>
      </c>
      <c r="O910" s="61"/>
    </row>
    <row r="911" spans="2:15" x14ac:dyDescent="0.25">
      <c r="B911" s="57"/>
      <c r="C911" s="74">
        <f>Matrix_prices!C899</f>
        <v>42736</v>
      </c>
      <c r="D911" s="75" t="str">
        <f>Matrix_prices!D899</f>
        <v>PA</v>
      </c>
      <c r="E911" s="76" t="str">
        <f>Matrix_prices!E899</f>
        <v>MetED</v>
      </c>
      <c r="F911" s="75" t="str">
        <f>Matrix_prices!F899</f>
        <v>GSCL</v>
      </c>
      <c r="G911" s="76" t="str">
        <f>Matrix_prices!G899</f>
        <v>General Service Large</v>
      </c>
      <c r="H911" s="157" t="str">
        <f t="shared" si="39"/>
        <v>0-100 MWh</v>
      </c>
      <c r="I911" s="76">
        <f>(Matrix_prices!I899+$D$2)*IF($M$2="Prices in $/MWh",1,1/1000)</f>
        <v>66.63</v>
      </c>
      <c r="J911" s="75">
        <f>(Matrix_prices!J899+$D$2)*IF($M$2="Prices in $/MWh",1,1/1000)</f>
        <v>68.02</v>
      </c>
      <c r="K911" s="76">
        <f>(Matrix_prices!K899+$D$2)*IF($M$2="Prices in $/MWh",1,1/1000)</f>
        <v>67.34</v>
      </c>
      <c r="L911" s="75">
        <f>(Matrix_prices!L899+$D$2)*IF($M$2="Prices in $/MWh",1,1/1000)</f>
        <v>24.15</v>
      </c>
      <c r="M911" s="76">
        <f>(Matrix_prices!M899+$D$2)*IF($M$2="Prices in $/MWh",1,1/1000)</f>
        <v>25.47</v>
      </c>
      <c r="N911" s="75">
        <f>(Matrix_prices!N899+$D$2)*IF($M$2="Prices in $/MWh",1,1/1000)</f>
        <v>25.96</v>
      </c>
      <c r="O911" s="61"/>
    </row>
    <row r="912" spans="2:15" x14ac:dyDescent="0.25">
      <c r="B912" s="57"/>
      <c r="C912" s="78">
        <f>Matrix_prices!C900</f>
        <v>42736</v>
      </c>
      <c r="D912" s="79" t="str">
        <f>Matrix_prices!D900</f>
        <v>PA</v>
      </c>
      <c r="E912" s="80" t="str">
        <f>Matrix_prices!E900</f>
        <v>MetED</v>
      </c>
      <c r="F912" s="79" t="str">
        <f>Matrix_prices!F900</f>
        <v>GSCL</v>
      </c>
      <c r="G912" s="80" t="str">
        <f>Matrix_prices!G900</f>
        <v>General Service Large</v>
      </c>
      <c r="H912" s="81" t="str">
        <f t="shared" si="40"/>
        <v>100-500 MWh</v>
      </c>
      <c r="I912" s="80">
        <f>(Matrix_prices!I900+$D$2)*IF($M$2="Prices in $/MWh",1,1/1000)</f>
        <v>65.03</v>
      </c>
      <c r="J912" s="79">
        <f>(Matrix_prices!J900+$D$2)*IF($M$2="Prices in $/MWh",1,1/1000)</f>
        <v>66.42</v>
      </c>
      <c r="K912" s="80">
        <f>(Matrix_prices!K900+$D$2)*IF($M$2="Prices in $/MWh",1,1/1000)</f>
        <v>65.739999999999995</v>
      </c>
      <c r="L912" s="79">
        <f>(Matrix_prices!L900+$D$2)*IF($M$2="Prices in $/MWh",1,1/1000)</f>
        <v>22.55</v>
      </c>
      <c r="M912" s="80">
        <f>(Matrix_prices!M900+$D$2)*IF($M$2="Prices in $/MWh",1,1/1000)</f>
        <v>23.87</v>
      </c>
      <c r="N912" s="79">
        <f>(Matrix_prices!N900+$D$2)*IF($M$2="Prices in $/MWh",1,1/1000)</f>
        <v>24.36</v>
      </c>
      <c r="O912" s="61"/>
    </row>
    <row r="913" spans="2:15" x14ac:dyDescent="0.25">
      <c r="B913" s="57"/>
      <c r="C913" s="82">
        <f>Matrix_prices!C901</f>
        <v>42736</v>
      </c>
      <c r="D913" s="83" t="str">
        <f>Matrix_prices!D901</f>
        <v>PA</v>
      </c>
      <c r="E913" s="84" t="str">
        <f>Matrix_prices!E901</f>
        <v>MetED</v>
      </c>
      <c r="F913" s="83" t="str">
        <f>Matrix_prices!F901</f>
        <v>GSCL</v>
      </c>
      <c r="G913" s="84" t="str">
        <f>Matrix_prices!G901</f>
        <v>General Service Large</v>
      </c>
      <c r="H913" s="85" t="str">
        <f t="shared" si="41"/>
        <v>500-2500 MWh</v>
      </c>
      <c r="I913" s="84">
        <f>(Matrix_prices!I901+$D$2)*IF($M$2="Prices in $/MWh",1,1/1000)</f>
        <v>63.98</v>
      </c>
      <c r="J913" s="83">
        <f>(Matrix_prices!J901+$D$2)*IF($M$2="Prices in $/MWh",1,1/1000)</f>
        <v>65.37</v>
      </c>
      <c r="K913" s="84">
        <f>(Matrix_prices!K901+$D$2)*IF($M$2="Prices in $/MWh",1,1/1000)</f>
        <v>64.69</v>
      </c>
      <c r="L913" s="83">
        <f>(Matrix_prices!L901+$D$2)*IF($M$2="Prices in $/MWh",1,1/1000)</f>
        <v>21.5</v>
      </c>
      <c r="M913" s="84">
        <f>(Matrix_prices!M901+$D$2)*IF($M$2="Prices in $/MWh",1,1/1000)</f>
        <v>22.82</v>
      </c>
      <c r="N913" s="83">
        <f>(Matrix_prices!N901+$D$2)*IF($M$2="Prices in $/MWh",1,1/1000)</f>
        <v>23.31</v>
      </c>
      <c r="O913" s="61"/>
    </row>
    <row r="914" spans="2:15" x14ac:dyDescent="0.25">
      <c r="B914" s="57"/>
      <c r="C914" s="151">
        <f>Matrix_prices!C902</f>
        <v>42401</v>
      </c>
      <c r="D914" s="152" t="str">
        <f>Matrix_prices!D902</f>
        <v>PA</v>
      </c>
      <c r="E914" s="153" t="str">
        <f>Matrix_prices!E902</f>
        <v>MetED</v>
      </c>
      <c r="F914" s="152" t="str">
        <f>Matrix_prices!F902</f>
        <v>GSCM</v>
      </c>
      <c r="G914" s="153" t="str">
        <f>Matrix_prices!G902</f>
        <v>General Service Medium</v>
      </c>
      <c r="H914" s="157" t="str">
        <f t="shared" si="39"/>
        <v>0-100 MWh</v>
      </c>
      <c r="I914" s="153">
        <f>(Matrix_prices!I902+$D$2)*IF($M$2="Prices in $/MWh",1,1/1000)</f>
        <v>67.010000000000005</v>
      </c>
      <c r="J914" s="152">
        <f>(Matrix_prices!J902+$D$2)*IF($M$2="Prices in $/MWh",1,1/1000)</f>
        <v>67.650000000000006</v>
      </c>
      <c r="K914" s="153">
        <f>(Matrix_prices!K902+$D$2)*IF($M$2="Prices in $/MWh",1,1/1000)</f>
        <v>67.2</v>
      </c>
      <c r="L914" s="152">
        <f>(Matrix_prices!L902+$D$2)*IF($M$2="Prices in $/MWh",1,1/1000)</f>
        <v>24.68</v>
      </c>
      <c r="M914" s="153">
        <f>(Matrix_prices!M902+$D$2)*IF($M$2="Prices in $/MWh",1,1/1000)</f>
        <v>24.79</v>
      </c>
      <c r="N914" s="152">
        <f>(Matrix_prices!N902+$D$2)*IF($M$2="Prices in $/MWh",1,1/1000)</f>
        <v>24.99</v>
      </c>
      <c r="O914" s="61"/>
    </row>
    <row r="915" spans="2:15" x14ac:dyDescent="0.25">
      <c r="B915" s="57"/>
      <c r="C915" s="78">
        <f>Matrix_prices!C903</f>
        <v>42401</v>
      </c>
      <c r="D915" s="79" t="str">
        <f>Matrix_prices!D903</f>
        <v>PA</v>
      </c>
      <c r="E915" s="80" t="str">
        <f>Matrix_prices!E903</f>
        <v>MetED</v>
      </c>
      <c r="F915" s="79" t="str">
        <f>Matrix_prices!F903</f>
        <v>GSCM</v>
      </c>
      <c r="G915" s="80" t="str">
        <f>Matrix_prices!G903</f>
        <v>General Service Medium</v>
      </c>
      <c r="H915" s="81" t="str">
        <f t="shared" si="40"/>
        <v>100-500 MWh</v>
      </c>
      <c r="I915" s="80">
        <f>(Matrix_prices!I903+$D$2)*IF($M$2="Prices in $/MWh",1,1/1000)</f>
        <v>65.41</v>
      </c>
      <c r="J915" s="79">
        <f>(Matrix_prices!J903+$D$2)*IF($M$2="Prices in $/MWh",1,1/1000)</f>
        <v>66.05</v>
      </c>
      <c r="K915" s="80">
        <f>(Matrix_prices!K903+$D$2)*IF($M$2="Prices in $/MWh",1,1/1000)</f>
        <v>65.599999999999994</v>
      </c>
      <c r="L915" s="79">
        <f>(Matrix_prices!L903+$D$2)*IF($M$2="Prices in $/MWh",1,1/1000)</f>
        <v>23.08</v>
      </c>
      <c r="M915" s="80">
        <f>(Matrix_prices!M903+$D$2)*IF($M$2="Prices in $/MWh",1,1/1000)</f>
        <v>23.19</v>
      </c>
      <c r="N915" s="79">
        <f>(Matrix_prices!N903+$D$2)*IF($M$2="Prices in $/MWh",1,1/1000)</f>
        <v>23.39</v>
      </c>
      <c r="O915" s="61"/>
    </row>
    <row r="916" spans="2:15" x14ac:dyDescent="0.25">
      <c r="B916" s="57"/>
      <c r="C916" s="82">
        <f>Matrix_prices!C904</f>
        <v>42401</v>
      </c>
      <c r="D916" s="83" t="str">
        <f>Matrix_prices!D904</f>
        <v>PA</v>
      </c>
      <c r="E916" s="84" t="str">
        <f>Matrix_prices!E904</f>
        <v>MetED</v>
      </c>
      <c r="F916" s="83" t="str">
        <f>Matrix_prices!F904</f>
        <v>GSCM</v>
      </c>
      <c r="G916" s="84" t="str">
        <f>Matrix_prices!G904</f>
        <v>General Service Medium</v>
      </c>
      <c r="H916" s="85" t="str">
        <f t="shared" si="41"/>
        <v>500-2500 MWh</v>
      </c>
      <c r="I916" s="84">
        <f>(Matrix_prices!I904+$D$2)*IF($M$2="Prices in $/MWh",1,1/1000)</f>
        <v>64.36</v>
      </c>
      <c r="J916" s="83">
        <f>(Matrix_prices!J904+$D$2)*IF($M$2="Prices in $/MWh",1,1/1000)</f>
        <v>65</v>
      </c>
      <c r="K916" s="84">
        <f>(Matrix_prices!K904+$D$2)*IF($M$2="Prices in $/MWh",1,1/1000)</f>
        <v>64.55</v>
      </c>
      <c r="L916" s="83">
        <f>(Matrix_prices!L904+$D$2)*IF($M$2="Prices in $/MWh",1,1/1000)</f>
        <v>22.03</v>
      </c>
      <c r="M916" s="84">
        <f>(Matrix_prices!M904+$D$2)*IF($M$2="Prices in $/MWh",1,1/1000)</f>
        <v>22.14</v>
      </c>
      <c r="N916" s="83">
        <f>(Matrix_prices!N904+$D$2)*IF($M$2="Prices in $/MWh",1,1/1000)</f>
        <v>22.34</v>
      </c>
      <c r="O916" s="61"/>
    </row>
    <row r="917" spans="2:15" x14ac:dyDescent="0.25">
      <c r="B917" s="57"/>
      <c r="C917" s="74">
        <f>Matrix_prices!C905</f>
        <v>42430</v>
      </c>
      <c r="D917" s="75" t="str">
        <f>Matrix_prices!D905</f>
        <v>PA</v>
      </c>
      <c r="E917" s="76" t="str">
        <f>Matrix_prices!E905</f>
        <v>MetED</v>
      </c>
      <c r="F917" s="75" t="str">
        <f>Matrix_prices!F905</f>
        <v>GSCM</v>
      </c>
      <c r="G917" s="76" t="str">
        <f>Matrix_prices!G905</f>
        <v>General Service Medium</v>
      </c>
      <c r="H917" s="157" t="str">
        <f t="shared" si="39"/>
        <v>0-100 MWh</v>
      </c>
      <c r="I917" s="76">
        <f>(Matrix_prices!I905+$D$2)*IF($M$2="Prices in $/MWh",1,1/1000)</f>
        <v>67.88</v>
      </c>
      <c r="J917" s="75">
        <f>(Matrix_prices!J905+$D$2)*IF($M$2="Prices in $/MWh",1,1/1000)</f>
        <v>67.06</v>
      </c>
      <c r="K917" s="76">
        <f>(Matrix_prices!K905+$D$2)*IF($M$2="Prices in $/MWh",1,1/1000)</f>
        <v>67.5</v>
      </c>
      <c r="L917" s="75">
        <f>(Matrix_prices!L905+$D$2)*IF($M$2="Prices in $/MWh",1,1/1000)</f>
        <v>24.64</v>
      </c>
      <c r="M917" s="76">
        <f>(Matrix_prices!M905+$D$2)*IF($M$2="Prices in $/MWh",1,1/1000)</f>
        <v>23.84</v>
      </c>
      <c r="N917" s="75">
        <f>(Matrix_prices!N905+$D$2)*IF($M$2="Prices in $/MWh",1,1/1000)</f>
        <v>24.97</v>
      </c>
      <c r="O917" s="61"/>
    </row>
    <row r="918" spans="2:15" x14ac:dyDescent="0.25">
      <c r="B918" s="57"/>
      <c r="C918" s="78">
        <f>Matrix_prices!C906</f>
        <v>42430</v>
      </c>
      <c r="D918" s="79" t="str">
        <f>Matrix_prices!D906</f>
        <v>PA</v>
      </c>
      <c r="E918" s="80" t="str">
        <f>Matrix_prices!E906</f>
        <v>MetED</v>
      </c>
      <c r="F918" s="79" t="str">
        <f>Matrix_prices!F906</f>
        <v>GSCM</v>
      </c>
      <c r="G918" s="80" t="str">
        <f>Matrix_prices!G906</f>
        <v>General Service Medium</v>
      </c>
      <c r="H918" s="81" t="str">
        <f t="shared" si="40"/>
        <v>100-500 MWh</v>
      </c>
      <c r="I918" s="80">
        <f>(Matrix_prices!I906+$D$2)*IF($M$2="Prices in $/MWh",1,1/1000)</f>
        <v>66.28</v>
      </c>
      <c r="J918" s="79">
        <f>(Matrix_prices!J906+$D$2)*IF($M$2="Prices in $/MWh",1,1/1000)</f>
        <v>65.459999999999994</v>
      </c>
      <c r="K918" s="80">
        <f>(Matrix_prices!K906+$D$2)*IF($M$2="Prices in $/MWh",1,1/1000)</f>
        <v>65.900000000000006</v>
      </c>
      <c r="L918" s="79">
        <f>(Matrix_prices!L906+$D$2)*IF($M$2="Prices in $/MWh",1,1/1000)</f>
        <v>23.04</v>
      </c>
      <c r="M918" s="80">
        <f>(Matrix_prices!M906+$D$2)*IF($M$2="Prices in $/MWh",1,1/1000)</f>
        <v>22.24</v>
      </c>
      <c r="N918" s="79">
        <f>(Matrix_prices!N906+$D$2)*IF($M$2="Prices in $/MWh",1,1/1000)</f>
        <v>23.37</v>
      </c>
      <c r="O918" s="61"/>
    </row>
    <row r="919" spans="2:15" x14ac:dyDescent="0.25">
      <c r="B919" s="57"/>
      <c r="C919" s="82">
        <f>Matrix_prices!C907</f>
        <v>42430</v>
      </c>
      <c r="D919" s="83" t="str">
        <f>Matrix_prices!D907</f>
        <v>PA</v>
      </c>
      <c r="E919" s="84" t="str">
        <f>Matrix_prices!E907</f>
        <v>MetED</v>
      </c>
      <c r="F919" s="83" t="str">
        <f>Matrix_prices!F907</f>
        <v>GSCM</v>
      </c>
      <c r="G919" s="84" t="str">
        <f>Matrix_prices!G907</f>
        <v>General Service Medium</v>
      </c>
      <c r="H919" s="85" t="str">
        <f t="shared" si="41"/>
        <v>500-2500 MWh</v>
      </c>
      <c r="I919" s="84">
        <f>(Matrix_prices!I907+$D$2)*IF($M$2="Prices in $/MWh",1,1/1000)</f>
        <v>65.23</v>
      </c>
      <c r="J919" s="83">
        <f>(Matrix_prices!J907+$D$2)*IF($M$2="Prices in $/MWh",1,1/1000)</f>
        <v>64.41</v>
      </c>
      <c r="K919" s="84">
        <f>(Matrix_prices!K907+$D$2)*IF($M$2="Prices in $/MWh",1,1/1000)</f>
        <v>64.849999999999994</v>
      </c>
      <c r="L919" s="83">
        <f>(Matrix_prices!L907+$D$2)*IF($M$2="Prices in $/MWh",1,1/1000)</f>
        <v>21.99</v>
      </c>
      <c r="M919" s="84">
        <f>(Matrix_prices!M907+$D$2)*IF($M$2="Prices in $/MWh",1,1/1000)</f>
        <v>21.19</v>
      </c>
      <c r="N919" s="83">
        <f>(Matrix_prices!N907+$D$2)*IF($M$2="Prices in $/MWh",1,1/1000)</f>
        <v>22.32</v>
      </c>
      <c r="O919" s="61"/>
    </row>
    <row r="920" spans="2:15" x14ac:dyDescent="0.25">
      <c r="B920" s="57"/>
      <c r="C920" s="151">
        <f>Matrix_prices!C908</f>
        <v>42461</v>
      </c>
      <c r="D920" s="152" t="str">
        <f>Matrix_prices!D908</f>
        <v>PA</v>
      </c>
      <c r="E920" s="153" t="str">
        <f>Matrix_prices!E908</f>
        <v>MetED</v>
      </c>
      <c r="F920" s="152" t="str">
        <f>Matrix_prices!F908</f>
        <v>GSCM</v>
      </c>
      <c r="G920" s="153" t="str">
        <f>Matrix_prices!G908</f>
        <v>General Service Medium</v>
      </c>
      <c r="H920" s="157" t="str">
        <f t="shared" si="39"/>
        <v>0-100 MWh</v>
      </c>
      <c r="I920" s="153">
        <f>(Matrix_prices!I908+$D$2)*IF($M$2="Prices in $/MWh",1,1/1000)</f>
        <v>68.27</v>
      </c>
      <c r="J920" s="152">
        <f>(Matrix_prices!J908+$D$2)*IF($M$2="Prices in $/MWh",1,1/1000)</f>
        <v>66.650000000000006</v>
      </c>
      <c r="K920" s="153">
        <f>(Matrix_prices!K908+$D$2)*IF($M$2="Prices in $/MWh",1,1/1000)</f>
        <v>67.72</v>
      </c>
      <c r="L920" s="152">
        <f>(Matrix_prices!L908+$D$2)*IF($M$2="Prices in $/MWh",1,1/1000)</f>
        <v>25.06</v>
      </c>
      <c r="M920" s="153">
        <f>(Matrix_prices!M908+$D$2)*IF($M$2="Prices in $/MWh",1,1/1000)</f>
        <v>23.63</v>
      </c>
      <c r="N920" s="152">
        <f>(Matrix_prices!N908+$D$2)*IF($M$2="Prices in $/MWh",1,1/1000)</f>
        <v>25.29</v>
      </c>
      <c r="O920" s="61"/>
    </row>
    <row r="921" spans="2:15" x14ac:dyDescent="0.25">
      <c r="B921" s="57"/>
      <c r="C921" s="78">
        <f>Matrix_prices!C909</f>
        <v>42461</v>
      </c>
      <c r="D921" s="79" t="str">
        <f>Matrix_prices!D909</f>
        <v>PA</v>
      </c>
      <c r="E921" s="80" t="str">
        <f>Matrix_prices!E909</f>
        <v>MetED</v>
      </c>
      <c r="F921" s="79" t="str">
        <f>Matrix_prices!F909</f>
        <v>GSCM</v>
      </c>
      <c r="G921" s="80" t="str">
        <f>Matrix_prices!G909</f>
        <v>General Service Medium</v>
      </c>
      <c r="H921" s="81" t="str">
        <f t="shared" si="40"/>
        <v>100-500 MWh</v>
      </c>
      <c r="I921" s="80">
        <f>(Matrix_prices!I909+$D$2)*IF($M$2="Prices in $/MWh",1,1/1000)</f>
        <v>66.67</v>
      </c>
      <c r="J921" s="79">
        <f>(Matrix_prices!J909+$D$2)*IF($M$2="Prices in $/MWh",1,1/1000)</f>
        <v>65.05</v>
      </c>
      <c r="K921" s="80">
        <f>(Matrix_prices!K909+$D$2)*IF($M$2="Prices in $/MWh",1,1/1000)</f>
        <v>66.12</v>
      </c>
      <c r="L921" s="79">
        <f>(Matrix_prices!L909+$D$2)*IF($M$2="Prices in $/MWh",1,1/1000)</f>
        <v>23.46</v>
      </c>
      <c r="M921" s="80">
        <f>(Matrix_prices!M909+$D$2)*IF($M$2="Prices in $/MWh",1,1/1000)</f>
        <v>22.03</v>
      </c>
      <c r="N921" s="79">
        <f>(Matrix_prices!N909+$D$2)*IF($M$2="Prices in $/MWh",1,1/1000)</f>
        <v>23.69</v>
      </c>
      <c r="O921" s="61"/>
    </row>
    <row r="922" spans="2:15" x14ac:dyDescent="0.25">
      <c r="B922" s="57"/>
      <c r="C922" s="82">
        <f>Matrix_prices!C910</f>
        <v>42461</v>
      </c>
      <c r="D922" s="83" t="str">
        <f>Matrix_prices!D910</f>
        <v>PA</v>
      </c>
      <c r="E922" s="84" t="str">
        <f>Matrix_prices!E910</f>
        <v>MetED</v>
      </c>
      <c r="F922" s="83" t="str">
        <f>Matrix_prices!F910</f>
        <v>GSCM</v>
      </c>
      <c r="G922" s="84" t="str">
        <f>Matrix_prices!G910</f>
        <v>General Service Medium</v>
      </c>
      <c r="H922" s="85" t="str">
        <f t="shared" si="41"/>
        <v>500-2500 MWh</v>
      </c>
      <c r="I922" s="84">
        <f>(Matrix_prices!I910+$D$2)*IF($M$2="Prices in $/MWh",1,1/1000)</f>
        <v>65.62</v>
      </c>
      <c r="J922" s="83">
        <f>(Matrix_prices!J910+$D$2)*IF($M$2="Prices in $/MWh",1,1/1000)</f>
        <v>64</v>
      </c>
      <c r="K922" s="84">
        <f>(Matrix_prices!K910+$D$2)*IF($M$2="Prices in $/MWh",1,1/1000)</f>
        <v>65.069999999999993</v>
      </c>
      <c r="L922" s="83">
        <f>(Matrix_prices!L910+$D$2)*IF($M$2="Prices in $/MWh",1,1/1000)</f>
        <v>22.41</v>
      </c>
      <c r="M922" s="84">
        <f>(Matrix_prices!M910+$D$2)*IF($M$2="Prices in $/MWh",1,1/1000)</f>
        <v>20.98</v>
      </c>
      <c r="N922" s="83">
        <f>(Matrix_prices!N910+$D$2)*IF($M$2="Prices in $/MWh",1,1/1000)</f>
        <v>22.64</v>
      </c>
      <c r="O922" s="61"/>
    </row>
    <row r="923" spans="2:15" x14ac:dyDescent="0.25">
      <c r="B923" s="57"/>
      <c r="C923" s="74">
        <f>Matrix_prices!C911</f>
        <v>42491</v>
      </c>
      <c r="D923" s="75" t="str">
        <f>Matrix_prices!D911</f>
        <v>PA</v>
      </c>
      <c r="E923" s="76" t="str">
        <f>Matrix_prices!E911</f>
        <v>MetED</v>
      </c>
      <c r="F923" s="75" t="str">
        <f>Matrix_prices!F911</f>
        <v>GSCM</v>
      </c>
      <c r="G923" s="76" t="str">
        <f>Matrix_prices!G911</f>
        <v>General Service Medium</v>
      </c>
      <c r="H923" s="157" t="str">
        <f t="shared" si="39"/>
        <v>0-100 MWh</v>
      </c>
      <c r="I923" s="76">
        <f>(Matrix_prices!I911+$D$2)*IF($M$2="Prices in $/MWh",1,1/1000)</f>
        <v>68.400000000000006</v>
      </c>
      <c r="J923" s="75">
        <f>(Matrix_prices!J911+$D$2)*IF($M$2="Prices in $/MWh",1,1/1000)</f>
        <v>66.48</v>
      </c>
      <c r="K923" s="76">
        <f>(Matrix_prices!K911+$D$2)*IF($M$2="Prices in $/MWh",1,1/1000)</f>
        <v>67.739999999999995</v>
      </c>
      <c r="L923" s="75">
        <f>(Matrix_prices!L911+$D$2)*IF($M$2="Prices in $/MWh",1,1/1000)</f>
        <v>25.16</v>
      </c>
      <c r="M923" s="76">
        <f>(Matrix_prices!M911+$D$2)*IF($M$2="Prices in $/MWh",1,1/1000)</f>
        <v>23.69</v>
      </c>
      <c r="N923" s="75">
        <f>(Matrix_prices!N911+$D$2)*IF($M$2="Prices in $/MWh",1,1/1000)</f>
        <v>25.34</v>
      </c>
      <c r="O923" s="61"/>
    </row>
    <row r="924" spans="2:15" x14ac:dyDescent="0.25">
      <c r="B924" s="57"/>
      <c r="C924" s="78">
        <f>Matrix_prices!C912</f>
        <v>42491</v>
      </c>
      <c r="D924" s="79" t="str">
        <f>Matrix_prices!D912</f>
        <v>PA</v>
      </c>
      <c r="E924" s="80" t="str">
        <f>Matrix_prices!E912</f>
        <v>MetED</v>
      </c>
      <c r="F924" s="79" t="str">
        <f>Matrix_prices!F912</f>
        <v>GSCM</v>
      </c>
      <c r="G924" s="80" t="str">
        <f>Matrix_prices!G912</f>
        <v>General Service Medium</v>
      </c>
      <c r="H924" s="81" t="str">
        <f t="shared" si="40"/>
        <v>100-500 MWh</v>
      </c>
      <c r="I924" s="80">
        <f>(Matrix_prices!I912+$D$2)*IF($M$2="Prices in $/MWh",1,1/1000)</f>
        <v>66.8</v>
      </c>
      <c r="J924" s="79">
        <f>(Matrix_prices!J912+$D$2)*IF($M$2="Prices in $/MWh",1,1/1000)</f>
        <v>64.88</v>
      </c>
      <c r="K924" s="80">
        <f>(Matrix_prices!K912+$D$2)*IF($M$2="Prices in $/MWh",1,1/1000)</f>
        <v>66.14</v>
      </c>
      <c r="L924" s="79">
        <f>(Matrix_prices!L912+$D$2)*IF($M$2="Prices in $/MWh",1,1/1000)</f>
        <v>23.56</v>
      </c>
      <c r="M924" s="80">
        <f>(Matrix_prices!M912+$D$2)*IF($M$2="Prices in $/MWh",1,1/1000)</f>
        <v>22.09</v>
      </c>
      <c r="N924" s="79">
        <f>(Matrix_prices!N912+$D$2)*IF($M$2="Prices in $/MWh",1,1/1000)</f>
        <v>23.74</v>
      </c>
      <c r="O924" s="61"/>
    </row>
    <row r="925" spans="2:15" x14ac:dyDescent="0.25">
      <c r="B925" s="57"/>
      <c r="C925" s="82">
        <f>Matrix_prices!C913</f>
        <v>42491</v>
      </c>
      <c r="D925" s="83" t="str">
        <f>Matrix_prices!D913</f>
        <v>PA</v>
      </c>
      <c r="E925" s="84" t="str">
        <f>Matrix_prices!E913</f>
        <v>MetED</v>
      </c>
      <c r="F925" s="83" t="str">
        <f>Matrix_prices!F913</f>
        <v>GSCM</v>
      </c>
      <c r="G925" s="84" t="str">
        <f>Matrix_prices!G913</f>
        <v>General Service Medium</v>
      </c>
      <c r="H925" s="85" t="str">
        <f t="shared" si="41"/>
        <v>500-2500 MWh</v>
      </c>
      <c r="I925" s="84">
        <f>(Matrix_prices!I913+$D$2)*IF($M$2="Prices in $/MWh",1,1/1000)</f>
        <v>65.75</v>
      </c>
      <c r="J925" s="83">
        <f>(Matrix_prices!J913+$D$2)*IF($M$2="Prices in $/MWh",1,1/1000)</f>
        <v>63.83</v>
      </c>
      <c r="K925" s="84">
        <f>(Matrix_prices!K913+$D$2)*IF($M$2="Prices in $/MWh",1,1/1000)</f>
        <v>65.09</v>
      </c>
      <c r="L925" s="83">
        <f>(Matrix_prices!L913+$D$2)*IF($M$2="Prices in $/MWh",1,1/1000)</f>
        <v>22.51</v>
      </c>
      <c r="M925" s="84">
        <f>(Matrix_prices!M913+$D$2)*IF($M$2="Prices in $/MWh",1,1/1000)</f>
        <v>21.04</v>
      </c>
      <c r="N925" s="83">
        <f>(Matrix_prices!N913+$D$2)*IF($M$2="Prices in $/MWh",1,1/1000)</f>
        <v>22.69</v>
      </c>
      <c r="O925" s="61"/>
    </row>
    <row r="926" spans="2:15" x14ac:dyDescent="0.25">
      <c r="B926" s="57"/>
      <c r="C926" s="151">
        <f>Matrix_prices!C914</f>
        <v>42522</v>
      </c>
      <c r="D926" s="152" t="str">
        <f>Matrix_prices!D914</f>
        <v>PA</v>
      </c>
      <c r="E926" s="153" t="str">
        <f>Matrix_prices!E914</f>
        <v>MetED</v>
      </c>
      <c r="F926" s="152" t="str">
        <f>Matrix_prices!F914</f>
        <v>GSCM</v>
      </c>
      <c r="G926" s="153" t="str">
        <f>Matrix_prices!G914</f>
        <v>General Service Medium</v>
      </c>
      <c r="H926" s="157" t="str">
        <f t="shared" si="39"/>
        <v>0-100 MWh</v>
      </c>
      <c r="I926" s="153">
        <f>(Matrix_prices!I914+$D$2)*IF($M$2="Prices in $/MWh",1,1/1000)</f>
        <v>68.400000000000006</v>
      </c>
      <c r="J926" s="152">
        <f>(Matrix_prices!J914+$D$2)*IF($M$2="Prices in $/MWh",1,1/1000)</f>
        <v>66.319999999999993</v>
      </c>
      <c r="K926" s="153">
        <f>(Matrix_prices!K914+$D$2)*IF($M$2="Prices in $/MWh",1,1/1000)</f>
        <v>67.739999999999995</v>
      </c>
      <c r="L926" s="152">
        <f>(Matrix_prices!L914+$D$2)*IF($M$2="Prices in $/MWh",1,1/1000)</f>
        <v>25.14</v>
      </c>
      <c r="M926" s="153">
        <f>(Matrix_prices!M914+$D$2)*IF($M$2="Prices in $/MWh",1,1/1000)</f>
        <v>23.73</v>
      </c>
      <c r="N926" s="152">
        <f>(Matrix_prices!N914+$D$2)*IF($M$2="Prices in $/MWh",1,1/1000)</f>
        <v>25.34</v>
      </c>
      <c r="O926" s="61"/>
    </row>
    <row r="927" spans="2:15" x14ac:dyDescent="0.25">
      <c r="B927" s="57"/>
      <c r="C927" s="78">
        <f>Matrix_prices!C915</f>
        <v>42522</v>
      </c>
      <c r="D927" s="79" t="str">
        <f>Matrix_prices!D915</f>
        <v>PA</v>
      </c>
      <c r="E927" s="80" t="str">
        <f>Matrix_prices!E915</f>
        <v>MetED</v>
      </c>
      <c r="F927" s="79" t="str">
        <f>Matrix_prices!F915</f>
        <v>GSCM</v>
      </c>
      <c r="G927" s="80" t="str">
        <f>Matrix_prices!G915</f>
        <v>General Service Medium</v>
      </c>
      <c r="H927" s="81" t="str">
        <f t="shared" si="40"/>
        <v>100-500 MWh</v>
      </c>
      <c r="I927" s="80">
        <f>(Matrix_prices!I915+$D$2)*IF($M$2="Prices in $/MWh",1,1/1000)</f>
        <v>66.8</v>
      </c>
      <c r="J927" s="79">
        <f>(Matrix_prices!J915+$D$2)*IF($M$2="Prices in $/MWh",1,1/1000)</f>
        <v>64.72</v>
      </c>
      <c r="K927" s="80">
        <f>(Matrix_prices!K915+$D$2)*IF($M$2="Prices in $/MWh",1,1/1000)</f>
        <v>66.14</v>
      </c>
      <c r="L927" s="79">
        <f>(Matrix_prices!L915+$D$2)*IF($M$2="Prices in $/MWh",1,1/1000)</f>
        <v>23.54</v>
      </c>
      <c r="M927" s="80">
        <f>(Matrix_prices!M915+$D$2)*IF($M$2="Prices in $/MWh",1,1/1000)</f>
        <v>22.13</v>
      </c>
      <c r="N927" s="79">
        <f>(Matrix_prices!N915+$D$2)*IF($M$2="Prices in $/MWh",1,1/1000)</f>
        <v>23.74</v>
      </c>
      <c r="O927" s="61"/>
    </row>
    <row r="928" spans="2:15" x14ac:dyDescent="0.25">
      <c r="B928" s="57"/>
      <c r="C928" s="82">
        <f>Matrix_prices!C916</f>
        <v>42522</v>
      </c>
      <c r="D928" s="83" t="str">
        <f>Matrix_prices!D916</f>
        <v>PA</v>
      </c>
      <c r="E928" s="84" t="str">
        <f>Matrix_prices!E916</f>
        <v>MetED</v>
      </c>
      <c r="F928" s="83" t="str">
        <f>Matrix_prices!F916</f>
        <v>GSCM</v>
      </c>
      <c r="G928" s="84" t="str">
        <f>Matrix_prices!G916</f>
        <v>General Service Medium</v>
      </c>
      <c r="H928" s="85" t="str">
        <f t="shared" si="41"/>
        <v>500-2500 MWh</v>
      </c>
      <c r="I928" s="84">
        <f>(Matrix_prices!I916+$D$2)*IF($M$2="Prices in $/MWh",1,1/1000)</f>
        <v>65.75</v>
      </c>
      <c r="J928" s="83">
        <f>(Matrix_prices!J916+$D$2)*IF($M$2="Prices in $/MWh",1,1/1000)</f>
        <v>63.67</v>
      </c>
      <c r="K928" s="84">
        <f>(Matrix_prices!K916+$D$2)*IF($M$2="Prices in $/MWh",1,1/1000)</f>
        <v>65.09</v>
      </c>
      <c r="L928" s="83">
        <f>(Matrix_prices!L916+$D$2)*IF($M$2="Prices in $/MWh",1,1/1000)</f>
        <v>22.49</v>
      </c>
      <c r="M928" s="84">
        <f>(Matrix_prices!M916+$D$2)*IF($M$2="Prices in $/MWh",1,1/1000)</f>
        <v>21.08</v>
      </c>
      <c r="N928" s="83">
        <f>(Matrix_prices!N916+$D$2)*IF($M$2="Prices in $/MWh",1,1/1000)</f>
        <v>22.69</v>
      </c>
      <c r="O928" s="61"/>
    </row>
    <row r="929" spans="2:15" x14ac:dyDescent="0.25">
      <c r="B929" s="57"/>
      <c r="C929" s="74">
        <f>Matrix_prices!C917</f>
        <v>42552</v>
      </c>
      <c r="D929" s="75" t="str">
        <f>Matrix_prices!D917</f>
        <v>PA</v>
      </c>
      <c r="E929" s="76" t="str">
        <f>Matrix_prices!E917</f>
        <v>MetED</v>
      </c>
      <c r="F929" s="75" t="str">
        <f>Matrix_prices!F917</f>
        <v>GSCM</v>
      </c>
      <c r="G929" s="76" t="str">
        <f>Matrix_prices!G917</f>
        <v>General Service Medium</v>
      </c>
      <c r="H929" s="157" t="str">
        <f t="shared" ref="H929:H992" si="42">IF($M$2="Prices in $/MWh","0-100 MWh","0-100,000 kWh")</f>
        <v>0-100 MWh</v>
      </c>
      <c r="I929" s="76">
        <f>(Matrix_prices!I917+$D$2)*IF($M$2="Prices in $/MWh",1,1/1000)</f>
        <v>68.37</v>
      </c>
      <c r="J929" s="75">
        <f>(Matrix_prices!J917+$D$2)*IF($M$2="Prices in $/MWh",1,1/1000)</f>
        <v>66.53</v>
      </c>
      <c r="K929" s="76">
        <f>(Matrix_prices!K917+$D$2)*IF($M$2="Prices in $/MWh",1,1/1000)</f>
        <v>67.8</v>
      </c>
      <c r="L929" s="75">
        <f>(Matrix_prices!L917+$D$2)*IF($M$2="Prices in $/MWh",1,1/1000)</f>
        <v>25.12</v>
      </c>
      <c r="M929" s="76">
        <f>(Matrix_prices!M917+$D$2)*IF($M$2="Prices in $/MWh",1,1/1000)</f>
        <v>24.37</v>
      </c>
      <c r="N929" s="75">
        <f>(Matrix_prices!N917+$D$2)*IF($M$2="Prices in $/MWh",1,1/1000)</f>
        <v>25.56</v>
      </c>
      <c r="O929" s="61"/>
    </row>
    <row r="930" spans="2:15" x14ac:dyDescent="0.25">
      <c r="B930" s="57"/>
      <c r="C930" s="78">
        <f>Matrix_prices!C918</f>
        <v>42552</v>
      </c>
      <c r="D930" s="79" t="str">
        <f>Matrix_prices!D918</f>
        <v>PA</v>
      </c>
      <c r="E930" s="80" t="str">
        <f>Matrix_prices!E918</f>
        <v>MetED</v>
      </c>
      <c r="F930" s="79" t="str">
        <f>Matrix_prices!F918</f>
        <v>GSCM</v>
      </c>
      <c r="G930" s="80" t="str">
        <f>Matrix_prices!G918</f>
        <v>General Service Medium</v>
      </c>
      <c r="H930" s="81" t="str">
        <f t="shared" ref="H930:H993" si="43">IF($M$2="Prices in $/MWh","100-500 MWh","100,000-500,000 kWh")</f>
        <v>100-500 MWh</v>
      </c>
      <c r="I930" s="80">
        <f>(Matrix_prices!I918+$D$2)*IF($M$2="Prices in $/MWh",1,1/1000)</f>
        <v>66.77</v>
      </c>
      <c r="J930" s="79">
        <f>(Matrix_prices!J918+$D$2)*IF($M$2="Prices in $/MWh",1,1/1000)</f>
        <v>64.930000000000007</v>
      </c>
      <c r="K930" s="80">
        <f>(Matrix_prices!K918+$D$2)*IF($M$2="Prices in $/MWh",1,1/1000)</f>
        <v>66.2</v>
      </c>
      <c r="L930" s="79">
        <f>(Matrix_prices!L918+$D$2)*IF($M$2="Prices in $/MWh",1,1/1000)</f>
        <v>23.52</v>
      </c>
      <c r="M930" s="80">
        <f>(Matrix_prices!M918+$D$2)*IF($M$2="Prices in $/MWh",1,1/1000)</f>
        <v>22.77</v>
      </c>
      <c r="N930" s="79">
        <f>(Matrix_prices!N918+$D$2)*IF($M$2="Prices in $/MWh",1,1/1000)</f>
        <v>23.96</v>
      </c>
      <c r="O930" s="61"/>
    </row>
    <row r="931" spans="2:15" x14ac:dyDescent="0.25">
      <c r="B931" s="57"/>
      <c r="C931" s="82">
        <f>Matrix_prices!C919</f>
        <v>42552</v>
      </c>
      <c r="D931" s="83" t="str">
        <f>Matrix_prices!D919</f>
        <v>PA</v>
      </c>
      <c r="E931" s="84" t="str">
        <f>Matrix_prices!E919</f>
        <v>MetED</v>
      </c>
      <c r="F931" s="83" t="str">
        <f>Matrix_prices!F919</f>
        <v>GSCM</v>
      </c>
      <c r="G931" s="84" t="str">
        <f>Matrix_prices!G919</f>
        <v>General Service Medium</v>
      </c>
      <c r="H931" s="85" t="str">
        <f t="shared" ref="H931:H994" si="44">IF($M$2="Prices in $/MWh","500-2500 MWh","500,000-2,500,000 kWh")</f>
        <v>500-2500 MWh</v>
      </c>
      <c r="I931" s="84">
        <f>(Matrix_prices!I919+$D$2)*IF($M$2="Prices in $/MWh",1,1/1000)</f>
        <v>65.72</v>
      </c>
      <c r="J931" s="83">
        <f>(Matrix_prices!J919+$D$2)*IF($M$2="Prices in $/MWh",1,1/1000)</f>
        <v>63.88</v>
      </c>
      <c r="K931" s="84">
        <f>(Matrix_prices!K919+$D$2)*IF($M$2="Prices in $/MWh",1,1/1000)</f>
        <v>65.150000000000006</v>
      </c>
      <c r="L931" s="83">
        <f>(Matrix_prices!L919+$D$2)*IF($M$2="Prices in $/MWh",1,1/1000)</f>
        <v>22.47</v>
      </c>
      <c r="M931" s="84">
        <f>(Matrix_prices!M919+$D$2)*IF($M$2="Prices in $/MWh",1,1/1000)</f>
        <v>21.72</v>
      </c>
      <c r="N931" s="83">
        <f>(Matrix_prices!N919+$D$2)*IF($M$2="Prices in $/MWh",1,1/1000)</f>
        <v>22.91</v>
      </c>
      <c r="O931" s="61"/>
    </row>
    <row r="932" spans="2:15" x14ac:dyDescent="0.25">
      <c r="B932" s="57"/>
      <c r="C932" s="151">
        <f>Matrix_prices!C920</f>
        <v>42583</v>
      </c>
      <c r="D932" s="152" t="str">
        <f>Matrix_prices!D920</f>
        <v>PA</v>
      </c>
      <c r="E932" s="153" t="str">
        <f>Matrix_prices!E920</f>
        <v>MetED</v>
      </c>
      <c r="F932" s="152" t="str">
        <f>Matrix_prices!F920</f>
        <v>GSCM</v>
      </c>
      <c r="G932" s="153" t="str">
        <f>Matrix_prices!G920</f>
        <v>General Service Medium</v>
      </c>
      <c r="H932" s="157" t="str">
        <f t="shared" si="42"/>
        <v>0-100 MWh</v>
      </c>
      <c r="I932" s="153">
        <f>(Matrix_prices!I920+$D$2)*IF($M$2="Prices in $/MWh",1,1/1000)</f>
        <v>68.27</v>
      </c>
      <c r="J932" s="152">
        <f>(Matrix_prices!J920+$D$2)*IF($M$2="Prices in $/MWh",1,1/1000)</f>
        <v>67.47</v>
      </c>
      <c r="K932" s="153">
        <f>(Matrix_prices!K920+$D$2)*IF($M$2="Prices in $/MWh",1,1/1000)</f>
        <v>68.03</v>
      </c>
      <c r="L932" s="152">
        <f>(Matrix_prices!L920+$D$2)*IF($M$2="Prices in $/MWh",1,1/1000)</f>
        <v>25.19</v>
      </c>
      <c r="M932" s="153">
        <f>(Matrix_prices!M920+$D$2)*IF($M$2="Prices in $/MWh",1,1/1000)</f>
        <v>25.32</v>
      </c>
      <c r="N932" s="152">
        <f>(Matrix_prices!N920+$D$2)*IF($M$2="Prices in $/MWh",1,1/1000)</f>
        <v>25.98</v>
      </c>
      <c r="O932" s="61"/>
    </row>
    <row r="933" spans="2:15" x14ac:dyDescent="0.25">
      <c r="B933" s="57"/>
      <c r="C933" s="78">
        <f>Matrix_prices!C921</f>
        <v>42583</v>
      </c>
      <c r="D933" s="79" t="str">
        <f>Matrix_prices!D921</f>
        <v>PA</v>
      </c>
      <c r="E933" s="80" t="str">
        <f>Matrix_prices!E921</f>
        <v>MetED</v>
      </c>
      <c r="F933" s="79" t="str">
        <f>Matrix_prices!F921</f>
        <v>GSCM</v>
      </c>
      <c r="G933" s="80" t="str">
        <f>Matrix_prices!G921</f>
        <v>General Service Medium</v>
      </c>
      <c r="H933" s="81" t="str">
        <f t="shared" si="43"/>
        <v>100-500 MWh</v>
      </c>
      <c r="I933" s="80">
        <f>(Matrix_prices!I921+$D$2)*IF($M$2="Prices in $/MWh",1,1/1000)</f>
        <v>66.67</v>
      </c>
      <c r="J933" s="79">
        <f>(Matrix_prices!J921+$D$2)*IF($M$2="Prices in $/MWh",1,1/1000)</f>
        <v>65.87</v>
      </c>
      <c r="K933" s="80">
        <f>(Matrix_prices!K921+$D$2)*IF($M$2="Prices in $/MWh",1,1/1000)</f>
        <v>66.430000000000007</v>
      </c>
      <c r="L933" s="79">
        <f>(Matrix_prices!L921+$D$2)*IF($M$2="Prices in $/MWh",1,1/1000)</f>
        <v>23.59</v>
      </c>
      <c r="M933" s="80">
        <f>(Matrix_prices!M921+$D$2)*IF($M$2="Prices in $/MWh",1,1/1000)</f>
        <v>23.72</v>
      </c>
      <c r="N933" s="79">
        <f>(Matrix_prices!N921+$D$2)*IF($M$2="Prices in $/MWh",1,1/1000)</f>
        <v>24.38</v>
      </c>
      <c r="O933" s="61"/>
    </row>
    <row r="934" spans="2:15" x14ac:dyDescent="0.25">
      <c r="B934" s="57"/>
      <c r="C934" s="82">
        <f>Matrix_prices!C922</f>
        <v>42583</v>
      </c>
      <c r="D934" s="83" t="str">
        <f>Matrix_prices!D922</f>
        <v>PA</v>
      </c>
      <c r="E934" s="84" t="str">
        <f>Matrix_prices!E922</f>
        <v>MetED</v>
      </c>
      <c r="F934" s="83" t="str">
        <f>Matrix_prices!F922</f>
        <v>GSCM</v>
      </c>
      <c r="G934" s="84" t="str">
        <f>Matrix_prices!G922</f>
        <v>General Service Medium</v>
      </c>
      <c r="H934" s="85" t="str">
        <f t="shared" si="44"/>
        <v>500-2500 MWh</v>
      </c>
      <c r="I934" s="84">
        <f>(Matrix_prices!I922+$D$2)*IF($M$2="Prices in $/MWh",1,1/1000)</f>
        <v>65.62</v>
      </c>
      <c r="J934" s="83">
        <f>(Matrix_prices!J922+$D$2)*IF($M$2="Prices in $/MWh",1,1/1000)</f>
        <v>64.819999999999993</v>
      </c>
      <c r="K934" s="84">
        <f>(Matrix_prices!K922+$D$2)*IF($M$2="Prices in $/MWh",1,1/1000)</f>
        <v>65.38</v>
      </c>
      <c r="L934" s="83">
        <f>(Matrix_prices!L922+$D$2)*IF($M$2="Prices in $/MWh",1,1/1000)</f>
        <v>22.54</v>
      </c>
      <c r="M934" s="84">
        <f>(Matrix_prices!M922+$D$2)*IF($M$2="Prices in $/MWh",1,1/1000)</f>
        <v>22.67</v>
      </c>
      <c r="N934" s="83">
        <f>(Matrix_prices!N922+$D$2)*IF($M$2="Prices in $/MWh",1,1/1000)</f>
        <v>23.33</v>
      </c>
      <c r="O934" s="61"/>
    </row>
    <row r="935" spans="2:15" x14ac:dyDescent="0.25">
      <c r="B935" s="57"/>
      <c r="C935" s="74">
        <f>Matrix_prices!C923</f>
        <v>42614</v>
      </c>
      <c r="D935" s="75" t="str">
        <f>Matrix_prices!D923</f>
        <v>PA</v>
      </c>
      <c r="E935" s="76" t="str">
        <f>Matrix_prices!E923</f>
        <v>MetED</v>
      </c>
      <c r="F935" s="75" t="str">
        <f>Matrix_prices!F923</f>
        <v>GSCM</v>
      </c>
      <c r="G935" s="76" t="str">
        <f>Matrix_prices!G923</f>
        <v>General Service Medium</v>
      </c>
      <c r="H935" s="157" t="str">
        <f t="shared" si="42"/>
        <v>0-100 MWh</v>
      </c>
      <c r="I935" s="76">
        <f>(Matrix_prices!I923+$D$2)*IF($M$2="Prices in $/MWh",1,1/1000)</f>
        <v>67.98</v>
      </c>
      <c r="J935" s="75">
        <f>(Matrix_prices!J923+$D$2)*IF($M$2="Prices in $/MWh",1,1/1000)</f>
        <v>68.290000000000006</v>
      </c>
      <c r="K935" s="76">
        <f>(Matrix_prices!K923+$D$2)*IF($M$2="Prices in $/MWh",1,1/1000)</f>
        <v>68.150000000000006</v>
      </c>
      <c r="L935" s="75">
        <f>(Matrix_prices!L923+$D$2)*IF($M$2="Prices in $/MWh",1,1/1000)</f>
        <v>24.91</v>
      </c>
      <c r="M935" s="76">
        <f>(Matrix_prices!M923+$D$2)*IF($M$2="Prices in $/MWh",1,1/1000)</f>
        <v>26.08</v>
      </c>
      <c r="N935" s="75">
        <f>(Matrix_prices!N923+$D$2)*IF($M$2="Prices in $/MWh",1,1/1000)</f>
        <v>26.31</v>
      </c>
      <c r="O935" s="61"/>
    </row>
    <row r="936" spans="2:15" x14ac:dyDescent="0.25">
      <c r="B936" s="57"/>
      <c r="C936" s="78">
        <f>Matrix_prices!C924</f>
        <v>42614</v>
      </c>
      <c r="D936" s="79" t="str">
        <f>Matrix_prices!D924</f>
        <v>PA</v>
      </c>
      <c r="E936" s="80" t="str">
        <f>Matrix_prices!E924</f>
        <v>MetED</v>
      </c>
      <c r="F936" s="79" t="str">
        <f>Matrix_prices!F924</f>
        <v>GSCM</v>
      </c>
      <c r="G936" s="80" t="str">
        <f>Matrix_prices!G924</f>
        <v>General Service Medium</v>
      </c>
      <c r="H936" s="81" t="str">
        <f t="shared" si="43"/>
        <v>100-500 MWh</v>
      </c>
      <c r="I936" s="80">
        <f>(Matrix_prices!I924+$D$2)*IF($M$2="Prices in $/MWh",1,1/1000)</f>
        <v>66.38</v>
      </c>
      <c r="J936" s="79">
        <f>(Matrix_prices!J924+$D$2)*IF($M$2="Prices in $/MWh",1,1/1000)</f>
        <v>66.69</v>
      </c>
      <c r="K936" s="80">
        <f>(Matrix_prices!K924+$D$2)*IF($M$2="Prices in $/MWh",1,1/1000)</f>
        <v>66.55</v>
      </c>
      <c r="L936" s="79">
        <f>(Matrix_prices!L924+$D$2)*IF($M$2="Prices in $/MWh",1,1/1000)</f>
        <v>23.31</v>
      </c>
      <c r="M936" s="80">
        <f>(Matrix_prices!M924+$D$2)*IF($M$2="Prices in $/MWh",1,1/1000)</f>
        <v>24.48</v>
      </c>
      <c r="N936" s="79">
        <f>(Matrix_prices!N924+$D$2)*IF($M$2="Prices in $/MWh",1,1/1000)</f>
        <v>24.71</v>
      </c>
      <c r="O936" s="61"/>
    </row>
    <row r="937" spans="2:15" x14ac:dyDescent="0.25">
      <c r="B937" s="57"/>
      <c r="C937" s="82">
        <f>Matrix_prices!C925</f>
        <v>42614</v>
      </c>
      <c r="D937" s="83" t="str">
        <f>Matrix_prices!D925</f>
        <v>PA</v>
      </c>
      <c r="E937" s="84" t="str">
        <f>Matrix_prices!E925</f>
        <v>MetED</v>
      </c>
      <c r="F937" s="83" t="str">
        <f>Matrix_prices!F925</f>
        <v>GSCM</v>
      </c>
      <c r="G937" s="84" t="str">
        <f>Matrix_prices!G925</f>
        <v>General Service Medium</v>
      </c>
      <c r="H937" s="85" t="str">
        <f t="shared" si="44"/>
        <v>500-2500 MWh</v>
      </c>
      <c r="I937" s="84">
        <f>(Matrix_prices!I925+$D$2)*IF($M$2="Prices in $/MWh",1,1/1000)</f>
        <v>65.33</v>
      </c>
      <c r="J937" s="83">
        <f>(Matrix_prices!J925+$D$2)*IF($M$2="Prices in $/MWh",1,1/1000)</f>
        <v>65.64</v>
      </c>
      <c r="K937" s="84">
        <f>(Matrix_prices!K925+$D$2)*IF($M$2="Prices in $/MWh",1,1/1000)</f>
        <v>65.5</v>
      </c>
      <c r="L937" s="83">
        <f>(Matrix_prices!L925+$D$2)*IF($M$2="Prices in $/MWh",1,1/1000)</f>
        <v>22.26</v>
      </c>
      <c r="M937" s="84">
        <f>(Matrix_prices!M925+$D$2)*IF($M$2="Prices in $/MWh",1,1/1000)</f>
        <v>23.43</v>
      </c>
      <c r="N937" s="83">
        <f>(Matrix_prices!N925+$D$2)*IF($M$2="Prices in $/MWh",1,1/1000)</f>
        <v>23.66</v>
      </c>
      <c r="O937" s="61"/>
    </row>
    <row r="938" spans="2:15" x14ac:dyDescent="0.25">
      <c r="B938" s="57"/>
      <c r="C938" s="151">
        <f>Matrix_prices!C926</f>
        <v>42644</v>
      </c>
      <c r="D938" s="152" t="str">
        <f>Matrix_prices!D926</f>
        <v>PA</v>
      </c>
      <c r="E938" s="153" t="str">
        <f>Matrix_prices!E926</f>
        <v>MetED</v>
      </c>
      <c r="F938" s="152" t="str">
        <f>Matrix_prices!F926</f>
        <v>GSCM</v>
      </c>
      <c r="G938" s="153" t="str">
        <f>Matrix_prices!G926</f>
        <v>General Service Medium</v>
      </c>
      <c r="H938" s="157" t="str">
        <f t="shared" si="42"/>
        <v>0-100 MWh</v>
      </c>
      <c r="I938" s="153">
        <f>(Matrix_prices!I926+$D$2)*IF($M$2="Prices in $/MWh",1,1/1000)</f>
        <v>68.02</v>
      </c>
      <c r="J938" s="152">
        <f>(Matrix_prices!J926+$D$2)*IF($M$2="Prices in $/MWh",1,1/1000)</f>
        <v>69.02</v>
      </c>
      <c r="K938" s="153">
        <f>(Matrix_prices!K926+$D$2)*IF($M$2="Prices in $/MWh",1,1/1000)</f>
        <v>68.209999999999994</v>
      </c>
      <c r="L938" s="152">
        <f>(Matrix_prices!L926+$D$2)*IF($M$2="Prices in $/MWh",1,1/1000)</f>
        <v>25.13</v>
      </c>
      <c r="M938" s="153">
        <f>(Matrix_prices!M926+$D$2)*IF($M$2="Prices in $/MWh",1,1/1000)</f>
        <v>26.89</v>
      </c>
      <c r="N938" s="152">
        <f>(Matrix_prices!N926+$D$2)*IF($M$2="Prices in $/MWh",1,1/1000)</f>
        <v>26.55</v>
      </c>
      <c r="O938" s="61"/>
    </row>
    <row r="939" spans="2:15" x14ac:dyDescent="0.25">
      <c r="B939" s="57"/>
      <c r="C939" s="78">
        <f>Matrix_prices!C927</f>
        <v>42644</v>
      </c>
      <c r="D939" s="79" t="str">
        <f>Matrix_prices!D927</f>
        <v>PA</v>
      </c>
      <c r="E939" s="80" t="str">
        <f>Matrix_prices!E927</f>
        <v>MetED</v>
      </c>
      <c r="F939" s="79" t="str">
        <f>Matrix_prices!F927</f>
        <v>GSCM</v>
      </c>
      <c r="G939" s="80" t="str">
        <f>Matrix_prices!G927</f>
        <v>General Service Medium</v>
      </c>
      <c r="H939" s="81" t="str">
        <f t="shared" si="43"/>
        <v>100-500 MWh</v>
      </c>
      <c r="I939" s="80">
        <f>(Matrix_prices!I927+$D$2)*IF($M$2="Prices in $/MWh",1,1/1000)</f>
        <v>66.42</v>
      </c>
      <c r="J939" s="79">
        <f>(Matrix_prices!J927+$D$2)*IF($M$2="Prices in $/MWh",1,1/1000)</f>
        <v>67.42</v>
      </c>
      <c r="K939" s="80">
        <f>(Matrix_prices!K927+$D$2)*IF($M$2="Prices in $/MWh",1,1/1000)</f>
        <v>66.61</v>
      </c>
      <c r="L939" s="79">
        <f>(Matrix_prices!L927+$D$2)*IF($M$2="Prices in $/MWh",1,1/1000)</f>
        <v>23.53</v>
      </c>
      <c r="M939" s="80">
        <f>(Matrix_prices!M927+$D$2)*IF($M$2="Prices in $/MWh",1,1/1000)</f>
        <v>25.29</v>
      </c>
      <c r="N939" s="79">
        <f>(Matrix_prices!N927+$D$2)*IF($M$2="Prices in $/MWh",1,1/1000)</f>
        <v>24.95</v>
      </c>
      <c r="O939" s="61"/>
    </row>
    <row r="940" spans="2:15" x14ac:dyDescent="0.25">
      <c r="B940" s="57"/>
      <c r="C940" s="82">
        <f>Matrix_prices!C928</f>
        <v>42644</v>
      </c>
      <c r="D940" s="83" t="str">
        <f>Matrix_prices!D928</f>
        <v>PA</v>
      </c>
      <c r="E940" s="84" t="str">
        <f>Matrix_prices!E928</f>
        <v>MetED</v>
      </c>
      <c r="F940" s="83" t="str">
        <f>Matrix_prices!F928</f>
        <v>GSCM</v>
      </c>
      <c r="G940" s="84" t="str">
        <f>Matrix_prices!G928</f>
        <v>General Service Medium</v>
      </c>
      <c r="H940" s="85" t="str">
        <f t="shared" si="44"/>
        <v>500-2500 MWh</v>
      </c>
      <c r="I940" s="84">
        <f>(Matrix_prices!I928+$D$2)*IF($M$2="Prices in $/MWh",1,1/1000)</f>
        <v>65.37</v>
      </c>
      <c r="J940" s="83">
        <f>(Matrix_prices!J928+$D$2)*IF($M$2="Prices in $/MWh",1,1/1000)</f>
        <v>66.37</v>
      </c>
      <c r="K940" s="84">
        <f>(Matrix_prices!K928+$D$2)*IF($M$2="Prices in $/MWh",1,1/1000)</f>
        <v>65.56</v>
      </c>
      <c r="L940" s="83">
        <f>(Matrix_prices!L928+$D$2)*IF($M$2="Prices in $/MWh",1,1/1000)</f>
        <v>22.48</v>
      </c>
      <c r="M940" s="84">
        <f>(Matrix_prices!M928+$D$2)*IF($M$2="Prices in $/MWh",1,1/1000)</f>
        <v>24.24</v>
      </c>
      <c r="N940" s="83">
        <f>(Matrix_prices!N928+$D$2)*IF($M$2="Prices in $/MWh",1,1/1000)</f>
        <v>23.9</v>
      </c>
      <c r="O940" s="61"/>
    </row>
    <row r="941" spans="2:15" x14ac:dyDescent="0.25">
      <c r="B941" s="57"/>
      <c r="C941" s="74">
        <f>Matrix_prices!C929</f>
        <v>42675</v>
      </c>
      <c r="D941" s="75" t="str">
        <f>Matrix_prices!D929</f>
        <v>PA</v>
      </c>
      <c r="E941" s="76" t="str">
        <f>Matrix_prices!E929</f>
        <v>MetED</v>
      </c>
      <c r="F941" s="75" t="str">
        <f>Matrix_prices!F929</f>
        <v>GSCM</v>
      </c>
      <c r="G941" s="76" t="str">
        <f>Matrix_prices!G929</f>
        <v>General Service Medium</v>
      </c>
      <c r="H941" s="157" t="str">
        <f t="shared" si="42"/>
        <v>0-100 MWh</v>
      </c>
      <c r="I941" s="76">
        <f>(Matrix_prices!I929+$D$2)*IF($M$2="Prices in $/MWh",1,1/1000)</f>
        <v>67.989999999999995</v>
      </c>
      <c r="J941" s="75">
        <f>(Matrix_prices!J929+$D$2)*IF($M$2="Prices in $/MWh",1,1/1000)</f>
        <v>69.22</v>
      </c>
      <c r="K941" s="76">
        <f>(Matrix_prices!K929+$D$2)*IF($M$2="Prices in $/MWh",1,1/1000)</f>
        <v>68.25</v>
      </c>
      <c r="L941" s="75">
        <f>(Matrix_prices!L929+$D$2)*IF($M$2="Prices in $/MWh",1,1/1000)</f>
        <v>25.29</v>
      </c>
      <c r="M941" s="76">
        <f>(Matrix_prices!M929+$D$2)*IF($M$2="Prices in $/MWh",1,1/1000)</f>
        <v>27.02</v>
      </c>
      <c r="N941" s="75">
        <f>(Matrix_prices!N929+$D$2)*IF($M$2="Prices in $/MWh",1,1/1000)</f>
        <v>26.72</v>
      </c>
      <c r="O941" s="61"/>
    </row>
    <row r="942" spans="2:15" x14ac:dyDescent="0.25">
      <c r="B942" s="57"/>
      <c r="C942" s="78">
        <f>Matrix_prices!C930</f>
        <v>42675</v>
      </c>
      <c r="D942" s="79" t="str">
        <f>Matrix_prices!D930</f>
        <v>PA</v>
      </c>
      <c r="E942" s="80" t="str">
        <f>Matrix_prices!E930</f>
        <v>MetED</v>
      </c>
      <c r="F942" s="79" t="str">
        <f>Matrix_prices!F930</f>
        <v>GSCM</v>
      </c>
      <c r="G942" s="80" t="str">
        <f>Matrix_prices!G930</f>
        <v>General Service Medium</v>
      </c>
      <c r="H942" s="81" t="str">
        <f t="shared" si="43"/>
        <v>100-500 MWh</v>
      </c>
      <c r="I942" s="80">
        <f>(Matrix_prices!I930+$D$2)*IF($M$2="Prices in $/MWh",1,1/1000)</f>
        <v>66.39</v>
      </c>
      <c r="J942" s="79">
        <f>(Matrix_prices!J930+$D$2)*IF($M$2="Prices in $/MWh",1,1/1000)</f>
        <v>67.62</v>
      </c>
      <c r="K942" s="80">
        <f>(Matrix_prices!K930+$D$2)*IF($M$2="Prices in $/MWh",1,1/1000)</f>
        <v>66.650000000000006</v>
      </c>
      <c r="L942" s="79">
        <f>(Matrix_prices!L930+$D$2)*IF($M$2="Prices in $/MWh",1,1/1000)</f>
        <v>23.69</v>
      </c>
      <c r="M942" s="80">
        <f>(Matrix_prices!M930+$D$2)*IF($M$2="Prices in $/MWh",1,1/1000)</f>
        <v>25.42</v>
      </c>
      <c r="N942" s="79">
        <f>(Matrix_prices!N930+$D$2)*IF($M$2="Prices in $/MWh",1,1/1000)</f>
        <v>25.12</v>
      </c>
      <c r="O942" s="61"/>
    </row>
    <row r="943" spans="2:15" x14ac:dyDescent="0.25">
      <c r="B943" s="57"/>
      <c r="C943" s="82">
        <f>Matrix_prices!C931</f>
        <v>42675</v>
      </c>
      <c r="D943" s="83" t="str">
        <f>Matrix_prices!D931</f>
        <v>PA</v>
      </c>
      <c r="E943" s="84" t="str">
        <f>Matrix_prices!E931</f>
        <v>MetED</v>
      </c>
      <c r="F943" s="83" t="str">
        <f>Matrix_prices!F931</f>
        <v>GSCM</v>
      </c>
      <c r="G943" s="84" t="str">
        <f>Matrix_prices!G931</f>
        <v>General Service Medium</v>
      </c>
      <c r="H943" s="85" t="str">
        <f t="shared" si="44"/>
        <v>500-2500 MWh</v>
      </c>
      <c r="I943" s="84">
        <f>(Matrix_prices!I931+$D$2)*IF($M$2="Prices in $/MWh",1,1/1000)</f>
        <v>65.34</v>
      </c>
      <c r="J943" s="83">
        <f>(Matrix_prices!J931+$D$2)*IF($M$2="Prices in $/MWh",1,1/1000)</f>
        <v>66.569999999999993</v>
      </c>
      <c r="K943" s="84">
        <f>(Matrix_prices!K931+$D$2)*IF($M$2="Prices in $/MWh",1,1/1000)</f>
        <v>65.599999999999994</v>
      </c>
      <c r="L943" s="83">
        <f>(Matrix_prices!L931+$D$2)*IF($M$2="Prices in $/MWh",1,1/1000)</f>
        <v>22.64</v>
      </c>
      <c r="M943" s="84">
        <f>(Matrix_prices!M931+$D$2)*IF($M$2="Prices in $/MWh",1,1/1000)</f>
        <v>24.37</v>
      </c>
      <c r="N943" s="83">
        <f>(Matrix_prices!N931+$D$2)*IF($M$2="Prices in $/MWh",1,1/1000)</f>
        <v>24.07</v>
      </c>
      <c r="O943" s="61"/>
    </row>
    <row r="944" spans="2:15" x14ac:dyDescent="0.25">
      <c r="B944" s="57"/>
      <c r="C944" s="151">
        <f>Matrix_prices!C932</f>
        <v>42705</v>
      </c>
      <c r="D944" s="152" t="str">
        <f>Matrix_prices!D932</f>
        <v>PA</v>
      </c>
      <c r="E944" s="153" t="str">
        <f>Matrix_prices!E932</f>
        <v>MetED</v>
      </c>
      <c r="F944" s="152" t="str">
        <f>Matrix_prices!F932</f>
        <v>GSCM</v>
      </c>
      <c r="G944" s="153" t="str">
        <f>Matrix_prices!G932</f>
        <v>General Service Medium</v>
      </c>
      <c r="H944" s="157" t="str">
        <f t="shared" si="42"/>
        <v>0-100 MWh</v>
      </c>
      <c r="I944" s="153">
        <f>(Matrix_prices!I932+$D$2)*IF($M$2="Prices in $/MWh",1,1/1000)</f>
        <v>67.72</v>
      </c>
      <c r="J944" s="152">
        <f>(Matrix_prices!J932+$D$2)*IF($M$2="Prices in $/MWh",1,1/1000)</f>
        <v>69.19</v>
      </c>
      <c r="K944" s="153">
        <f>(Matrix_prices!K932+$D$2)*IF($M$2="Prices in $/MWh",1,1/1000)</f>
        <v>68.23</v>
      </c>
      <c r="L944" s="152">
        <f>(Matrix_prices!L932+$D$2)*IF($M$2="Prices in $/MWh",1,1/1000)</f>
        <v>25.08</v>
      </c>
      <c r="M944" s="153">
        <f>(Matrix_prices!M932+$D$2)*IF($M$2="Prices in $/MWh",1,1/1000)</f>
        <v>26.82</v>
      </c>
      <c r="N944" s="152">
        <f>(Matrix_prices!N932+$D$2)*IF($M$2="Prices in $/MWh",1,1/1000)</f>
        <v>26.82</v>
      </c>
      <c r="O944" s="61"/>
    </row>
    <row r="945" spans="2:15" x14ac:dyDescent="0.25">
      <c r="B945" s="57"/>
      <c r="C945" s="78">
        <f>Matrix_prices!C933</f>
        <v>42705</v>
      </c>
      <c r="D945" s="79" t="str">
        <f>Matrix_prices!D933</f>
        <v>PA</v>
      </c>
      <c r="E945" s="80" t="str">
        <f>Matrix_prices!E933</f>
        <v>MetED</v>
      </c>
      <c r="F945" s="79" t="str">
        <f>Matrix_prices!F933</f>
        <v>GSCM</v>
      </c>
      <c r="G945" s="80" t="str">
        <f>Matrix_prices!G933</f>
        <v>General Service Medium</v>
      </c>
      <c r="H945" s="81" t="str">
        <f t="shared" si="43"/>
        <v>100-500 MWh</v>
      </c>
      <c r="I945" s="80">
        <f>(Matrix_prices!I933+$D$2)*IF($M$2="Prices in $/MWh",1,1/1000)</f>
        <v>66.12</v>
      </c>
      <c r="J945" s="79">
        <f>(Matrix_prices!J933+$D$2)*IF($M$2="Prices in $/MWh",1,1/1000)</f>
        <v>67.59</v>
      </c>
      <c r="K945" s="80">
        <f>(Matrix_prices!K933+$D$2)*IF($M$2="Prices in $/MWh",1,1/1000)</f>
        <v>66.63</v>
      </c>
      <c r="L945" s="79">
        <f>(Matrix_prices!L933+$D$2)*IF($M$2="Prices in $/MWh",1,1/1000)</f>
        <v>23.48</v>
      </c>
      <c r="M945" s="80">
        <f>(Matrix_prices!M933+$D$2)*IF($M$2="Prices in $/MWh",1,1/1000)</f>
        <v>25.22</v>
      </c>
      <c r="N945" s="79">
        <f>(Matrix_prices!N933+$D$2)*IF($M$2="Prices in $/MWh",1,1/1000)</f>
        <v>25.22</v>
      </c>
      <c r="O945" s="61"/>
    </row>
    <row r="946" spans="2:15" x14ac:dyDescent="0.25">
      <c r="B946" s="57"/>
      <c r="C946" s="82">
        <f>Matrix_prices!C934</f>
        <v>42705</v>
      </c>
      <c r="D946" s="83" t="str">
        <f>Matrix_prices!D934</f>
        <v>PA</v>
      </c>
      <c r="E946" s="84" t="str">
        <f>Matrix_prices!E934</f>
        <v>MetED</v>
      </c>
      <c r="F946" s="83" t="str">
        <f>Matrix_prices!F934</f>
        <v>GSCM</v>
      </c>
      <c r="G946" s="84" t="str">
        <f>Matrix_prices!G934</f>
        <v>General Service Medium</v>
      </c>
      <c r="H946" s="85" t="str">
        <f t="shared" si="44"/>
        <v>500-2500 MWh</v>
      </c>
      <c r="I946" s="84">
        <f>(Matrix_prices!I934+$D$2)*IF($M$2="Prices in $/MWh",1,1/1000)</f>
        <v>65.069999999999993</v>
      </c>
      <c r="J946" s="83">
        <f>(Matrix_prices!J934+$D$2)*IF($M$2="Prices in $/MWh",1,1/1000)</f>
        <v>66.540000000000006</v>
      </c>
      <c r="K946" s="84">
        <f>(Matrix_prices!K934+$D$2)*IF($M$2="Prices in $/MWh",1,1/1000)</f>
        <v>65.58</v>
      </c>
      <c r="L946" s="83">
        <f>(Matrix_prices!L934+$D$2)*IF($M$2="Prices in $/MWh",1,1/1000)</f>
        <v>22.43</v>
      </c>
      <c r="M946" s="84">
        <f>(Matrix_prices!M934+$D$2)*IF($M$2="Prices in $/MWh",1,1/1000)</f>
        <v>24.17</v>
      </c>
      <c r="N946" s="83">
        <f>(Matrix_prices!N934+$D$2)*IF($M$2="Prices in $/MWh",1,1/1000)</f>
        <v>24.17</v>
      </c>
      <c r="O946" s="61"/>
    </row>
    <row r="947" spans="2:15" x14ac:dyDescent="0.25">
      <c r="B947" s="57"/>
      <c r="C947" s="74">
        <f>Matrix_prices!C935</f>
        <v>42736</v>
      </c>
      <c r="D947" s="75" t="str">
        <f>Matrix_prices!D935</f>
        <v>PA</v>
      </c>
      <c r="E947" s="76" t="str">
        <f>Matrix_prices!E935</f>
        <v>MetED</v>
      </c>
      <c r="F947" s="75" t="str">
        <f>Matrix_prices!F935</f>
        <v>GSCM</v>
      </c>
      <c r="G947" s="76" t="str">
        <f>Matrix_prices!G935</f>
        <v>General Service Medium</v>
      </c>
      <c r="H947" s="157" t="str">
        <f t="shared" si="42"/>
        <v>0-100 MWh</v>
      </c>
      <c r="I947" s="76">
        <f>(Matrix_prices!I935+$D$2)*IF($M$2="Prices in $/MWh",1,1/1000)</f>
        <v>67.709999999999994</v>
      </c>
      <c r="J947" s="75">
        <f>(Matrix_prices!J935+$D$2)*IF($M$2="Prices in $/MWh",1,1/1000)</f>
        <v>69.040000000000006</v>
      </c>
      <c r="K947" s="76">
        <f>(Matrix_prices!K935+$D$2)*IF($M$2="Prices in $/MWh",1,1/1000)</f>
        <v>68.41</v>
      </c>
      <c r="L947" s="75">
        <f>(Matrix_prices!L935+$D$2)*IF($M$2="Prices in $/MWh",1,1/1000)</f>
        <v>25.34</v>
      </c>
      <c r="M947" s="76">
        <f>(Matrix_prices!M935+$D$2)*IF($M$2="Prices in $/MWh",1,1/1000)</f>
        <v>26.62</v>
      </c>
      <c r="N947" s="75">
        <f>(Matrix_prices!N935+$D$2)*IF($M$2="Prices in $/MWh",1,1/1000)</f>
        <v>27.1</v>
      </c>
      <c r="O947" s="61"/>
    </row>
    <row r="948" spans="2:15" x14ac:dyDescent="0.25">
      <c r="B948" s="57"/>
      <c r="C948" s="78">
        <f>Matrix_prices!C936</f>
        <v>42736</v>
      </c>
      <c r="D948" s="79" t="str">
        <f>Matrix_prices!D936</f>
        <v>PA</v>
      </c>
      <c r="E948" s="80" t="str">
        <f>Matrix_prices!E936</f>
        <v>MetED</v>
      </c>
      <c r="F948" s="79" t="str">
        <f>Matrix_prices!F936</f>
        <v>GSCM</v>
      </c>
      <c r="G948" s="80" t="str">
        <f>Matrix_prices!G936</f>
        <v>General Service Medium</v>
      </c>
      <c r="H948" s="81" t="str">
        <f t="shared" si="43"/>
        <v>100-500 MWh</v>
      </c>
      <c r="I948" s="80">
        <f>(Matrix_prices!I936+$D$2)*IF($M$2="Prices in $/MWh",1,1/1000)</f>
        <v>66.11</v>
      </c>
      <c r="J948" s="79">
        <f>(Matrix_prices!J936+$D$2)*IF($M$2="Prices in $/MWh",1,1/1000)</f>
        <v>67.44</v>
      </c>
      <c r="K948" s="80">
        <f>(Matrix_prices!K936+$D$2)*IF($M$2="Prices in $/MWh",1,1/1000)</f>
        <v>66.81</v>
      </c>
      <c r="L948" s="79">
        <f>(Matrix_prices!L936+$D$2)*IF($M$2="Prices in $/MWh",1,1/1000)</f>
        <v>23.74</v>
      </c>
      <c r="M948" s="80">
        <f>(Matrix_prices!M936+$D$2)*IF($M$2="Prices in $/MWh",1,1/1000)</f>
        <v>25.02</v>
      </c>
      <c r="N948" s="79">
        <f>(Matrix_prices!N936+$D$2)*IF($M$2="Prices in $/MWh",1,1/1000)</f>
        <v>25.5</v>
      </c>
      <c r="O948" s="61"/>
    </row>
    <row r="949" spans="2:15" x14ac:dyDescent="0.25">
      <c r="B949" s="57"/>
      <c r="C949" s="82">
        <f>Matrix_prices!C937</f>
        <v>42736</v>
      </c>
      <c r="D949" s="83" t="str">
        <f>Matrix_prices!D937</f>
        <v>PA</v>
      </c>
      <c r="E949" s="84" t="str">
        <f>Matrix_prices!E937</f>
        <v>MetED</v>
      </c>
      <c r="F949" s="83" t="str">
        <f>Matrix_prices!F937</f>
        <v>GSCM</v>
      </c>
      <c r="G949" s="84" t="str">
        <f>Matrix_prices!G937</f>
        <v>General Service Medium</v>
      </c>
      <c r="H949" s="85" t="str">
        <f t="shared" si="44"/>
        <v>500-2500 MWh</v>
      </c>
      <c r="I949" s="84">
        <f>(Matrix_prices!I937+$D$2)*IF($M$2="Prices in $/MWh",1,1/1000)</f>
        <v>65.06</v>
      </c>
      <c r="J949" s="83">
        <f>(Matrix_prices!J937+$D$2)*IF($M$2="Prices in $/MWh",1,1/1000)</f>
        <v>66.39</v>
      </c>
      <c r="K949" s="84">
        <f>(Matrix_prices!K937+$D$2)*IF($M$2="Prices in $/MWh",1,1/1000)</f>
        <v>65.760000000000005</v>
      </c>
      <c r="L949" s="83">
        <f>(Matrix_prices!L937+$D$2)*IF($M$2="Prices in $/MWh",1,1/1000)</f>
        <v>22.69</v>
      </c>
      <c r="M949" s="84">
        <f>(Matrix_prices!M937+$D$2)*IF($M$2="Prices in $/MWh",1,1/1000)</f>
        <v>23.97</v>
      </c>
      <c r="N949" s="83">
        <f>(Matrix_prices!N937+$D$2)*IF($M$2="Prices in $/MWh",1,1/1000)</f>
        <v>24.45</v>
      </c>
      <c r="O949" s="61"/>
    </row>
    <row r="950" spans="2:15" x14ac:dyDescent="0.25">
      <c r="B950" s="57"/>
      <c r="C950" s="151">
        <f>Matrix_prices!C938</f>
        <v>42401</v>
      </c>
      <c r="D950" s="152" t="str">
        <f>Matrix_prices!D938</f>
        <v>PA</v>
      </c>
      <c r="E950" s="153" t="str">
        <f>Matrix_prices!E938</f>
        <v>MetED</v>
      </c>
      <c r="F950" s="152" t="str">
        <f>Matrix_prices!F938</f>
        <v>GSCS</v>
      </c>
      <c r="G950" s="153" t="str">
        <f>Matrix_prices!G938</f>
        <v>General Service Small</v>
      </c>
      <c r="H950" s="157" t="str">
        <f t="shared" si="42"/>
        <v>0-100 MWh</v>
      </c>
      <c r="I950" s="153">
        <f>(Matrix_prices!I938+$D$2)*IF($M$2="Prices in $/MWh",1,1/1000)</f>
        <v>66.38</v>
      </c>
      <c r="J950" s="152">
        <f>(Matrix_prices!J938+$D$2)*IF($M$2="Prices in $/MWh",1,1/1000)</f>
        <v>67.510000000000005</v>
      </c>
      <c r="K950" s="153">
        <f>(Matrix_prices!K938+$D$2)*IF($M$2="Prices in $/MWh",1,1/1000)</f>
        <v>66.62</v>
      </c>
      <c r="L950" s="152">
        <f>(Matrix_prices!L938+$D$2)*IF($M$2="Prices in $/MWh",1,1/1000)</f>
        <v>24.73</v>
      </c>
      <c r="M950" s="153">
        <f>(Matrix_prices!M938+$D$2)*IF($M$2="Prices in $/MWh",1,1/1000)</f>
        <v>25.3</v>
      </c>
      <c r="N950" s="152">
        <f>(Matrix_prices!N938+$D$2)*IF($M$2="Prices in $/MWh",1,1/1000)</f>
        <v>25.08</v>
      </c>
      <c r="O950" s="61"/>
    </row>
    <row r="951" spans="2:15" x14ac:dyDescent="0.25">
      <c r="B951" s="57"/>
      <c r="C951" s="78">
        <f>Matrix_prices!C939</f>
        <v>42401</v>
      </c>
      <c r="D951" s="79" t="str">
        <f>Matrix_prices!D939</f>
        <v>PA</v>
      </c>
      <c r="E951" s="80" t="str">
        <f>Matrix_prices!E939</f>
        <v>MetED</v>
      </c>
      <c r="F951" s="79" t="str">
        <f>Matrix_prices!F939</f>
        <v>GSCS</v>
      </c>
      <c r="G951" s="80" t="str">
        <f>Matrix_prices!G939</f>
        <v>General Service Small</v>
      </c>
      <c r="H951" s="81" t="str">
        <f t="shared" si="43"/>
        <v>100-500 MWh</v>
      </c>
      <c r="I951" s="80">
        <f>(Matrix_prices!I939+$D$2)*IF($M$2="Prices in $/MWh",1,1/1000)</f>
        <v>64.78</v>
      </c>
      <c r="J951" s="79">
        <f>(Matrix_prices!J939+$D$2)*IF($M$2="Prices in $/MWh",1,1/1000)</f>
        <v>65.91</v>
      </c>
      <c r="K951" s="80">
        <f>(Matrix_prices!K939+$D$2)*IF($M$2="Prices in $/MWh",1,1/1000)</f>
        <v>65.02</v>
      </c>
      <c r="L951" s="79">
        <f>(Matrix_prices!L939+$D$2)*IF($M$2="Prices in $/MWh",1,1/1000)</f>
        <v>23.13</v>
      </c>
      <c r="M951" s="80">
        <f>(Matrix_prices!M939+$D$2)*IF($M$2="Prices in $/MWh",1,1/1000)</f>
        <v>23.7</v>
      </c>
      <c r="N951" s="79">
        <f>(Matrix_prices!N939+$D$2)*IF($M$2="Prices in $/MWh",1,1/1000)</f>
        <v>23.48</v>
      </c>
      <c r="O951" s="61"/>
    </row>
    <row r="952" spans="2:15" x14ac:dyDescent="0.25">
      <c r="B952" s="57"/>
      <c r="C952" s="82">
        <f>Matrix_prices!C940</f>
        <v>42401</v>
      </c>
      <c r="D952" s="83" t="str">
        <f>Matrix_prices!D940</f>
        <v>PA</v>
      </c>
      <c r="E952" s="84" t="str">
        <f>Matrix_prices!E940</f>
        <v>MetED</v>
      </c>
      <c r="F952" s="83" t="str">
        <f>Matrix_prices!F940</f>
        <v>GSCS</v>
      </c>
      <c r="G952" s="84" t="str">
        <f>Matrix_prices!G940</f>
        <v>General Service Small</v>
      </c>
      <c r="H952" s="85" t="str">
        <f t="shared" si="44"/>
        <v>500-2500 MWh</v>
      </c>
      <c r="I952" s="84">
        <f>(Matrix_prices!I940+$D$2)*IF($M$2="Prices in $/MWh",1,1/1000)</f>
        <v>63.73</v>
      </c>
      <c r="J952" s="83">
        <f>(Matrix_prices!J940+$D$2)*IF($M$2="Prices in $/MWh",1,1/1000)</f>
        <v>64.86</v>
      </c>
      <c r="K952" s="84">
        <f>(Matrix_prices!K940+$D$2)*IF($M$2="Prices in $/MWh",1,1/1000)</f>
        <v>63.97</v>
      </c>
      <c r="L952" s="83">
        <f>(Matrix_prices!L940+$D$2)*IF($M$2="Prices in $/MWh",1,1/1000)</f>
        <v>22.08</v>
      </c>
      <c r="M952" s="84">
        <f>(Matrix_prices!M940+$D$2)*IF($M$2="Prices in $/MWh",1,1/1000)</f>
        <v>22.65</v>
      </c>
      <c r="N952" s="83">
        <f>(Matrix_prices!N940+$D$2)*IF($M$2="Prices in $/MWh",1,1/1000)</f>
        <v>22.43</v>
      </c>
      <c r="O952" s="61"/>
    </row>
    <row r="953" spans="2:15" x14ac:dyDescent="0.25">
      <c r="B953" s="57"/>
      <c r="C953" s="74">
        <f>Matrix_prices!C941</f>
        <v>42430</v>
      </c>
      <c r="D953" s="75" t="str">
        <f>Matrix_prices!D941</f>
        <v>PA</v>
      </c>
      <c r="E953" s="76" t="str">
        <f>Matrix_prices!E941</f>
        <v>MetED</v>
      </c>
      <c r="F953" s="75" t="str">
        <f>Matrix_prices!F941</f>
        <v>GSCS</v>
      </c>
      <c r="G953" s="76" t="str">
        <f>Matrix_prices!G941</f>
        <v>General Service Small</v>
      </c>
      <c r="H953" s="157" t="str">
        <f t="shared" si="42"/>
        <v>0-100 MWh</v>
      </c>
      <c r="I953" s="76">
        <f>(Matrix_prices!I941+$D$2)*IF($M$2="Prices in $/MWh",1,1/1000)</f>
        <v>67.28</v>
      </c>
      <c r="J953" s="75">
        <f>(Matrix_prices!J941+$D$2)*IF($M$2="Prices in $/MWh",1,1/1000)</f>
        <v>67.010000000000005</v>
      </c>
      <c r="K953" s="76">
        <f>(Matrix_prices!K941+$D$2)*IF($M$2="Prices in $/MWh",1,1/1000)</f>
        <v>66.94</v>
      </c>
      <c r="L953" s="75">
        <f>(Matrix_prices!L941+$D$2)*IF($M$2="Prices in $/MWh",1,1/1000)</f>
        <v>24.7</v>
      </c>
      <c r="M953" s="76">
        <f>(Matrix_prices!M941+$D$2)*IF($M$2="Prices in $/MWh",1,1/1000)</f>
        <v>24.49</v>
      </c>
      <c r="N953" s="75">
        <f>(Matrix_prices!N941+$D$2)*IF($M$2="Prices in $/MWh",1,1/1000)</f>
        <v>25.06</v>
      </c>
      <c r="O953" s="61"/>
    </row>
    <row r="954" spans="2:15" x14ac:dyDescent="0.25">
      <c r="B954" s="57"/>
      <c r="C954" s="78">
        <f>Matrix_prices!C942</f>
        <v>42430</v>
      </c>
      <c r="D954" s="79" t="str">
        <f>Matrix_prices!D942</f>
        <v>PA</v>
      </c>
      <c r="E954" s="80" t="str">
        <f>Matrix_prices!E942</f>
        <v>MetED</v>
      </c>
      <c r="F954" s="79" t="str">
        <f>Matrix_prices!F942</f>
        <v>GSCS</v>
      </c>
      <c r="G954" s="80" t="str">
        <f>Matrix_prices!G942</f>
        <v>General Service Small</v>
      </c>
      <c r="H954" s="81" t="str">
        <f t="shared" si="43"/>
        <v>100-500 MWh</v>
      </c>
      <c r="I954" s="80">
        <f>(Matrix_prices!I942+$D$2)*IF($M$2="Prices in $/MWh",1,1/1000)</f>
        <v>65.680000000000007</v>
      </c>
      <c r="J954" s="79">
        <f>(Matrix_prices!J942+$D$2)*IF($M$2="Prices in $/MWh",1,1/1000)</f>
        <v>65.41</v>
      </c>
      <c r="K954" s="80">
        <f>(Matrix_prices!K942+$D$2)*IF($M$2="Prices in $/MWh",1,1/1000)</f>
        <v>65.34</v>
      </c>
      <c r="L954" s="79">
        <f>(Matrix_prices!L942+$D$2)*IF($M$2="Prices in $/MWh",1,1/1000)</f>
        <v>23.1</v>
      </c>
      <c r="M954" s="80">
        <f>(Matrix_prices!M942+$D$2)*IF($M$2="Prices in $/MWh",1,1/1000)</f>
        <v>22.89</v>
      </c>
      <c r="N954" s="79">
        <f>(Matrix_prices!N942+$D$2)*IF($M$2="Prices in $/MWh",1,1/1000)</f>
        <v>23.46</v>
      </c>
      <c r="O954" s="61"/>
    </row>
    <row r="955" spans="2:15" x14ac:dyDescent="0.25">
      <c r="B955" s="57"/>
      <c r="C955" s="82">
        <f>Matrix_prices!C943</f>
        <v>42430</v>
      </c>
      <c r="D955" s="83" t="str">
        <f>Matrix_prices!D943</f>
        <v>PA</v>
      </c>
      <c r="E955" s="84" t="str">
        <f>Matrix_prices!E943</f>
        <v>MetED</v>
      </c>
      <c r="F955" s="83" t="str">
        <f>Matrix_prices!F943</f>
        <v>GSCS</v>
      </c>
      <c r="G955" s="84" t="str">
        <f>Matrix_prices!G943</f>
        <v>General Service Small</v>
      </c>
      <c r="H955" s="85" t="str">
        <f t="shared" si="44"/>
        <v>500-2500 MWh</v>
      </c>
      <c r="I955" s="84">
        <f>(Matrix_prices!I943+$D$2)*IF($M$2="Prices in $/MWh",1,1/1000)</f>
        <v>64.63</v>
      </c>
      <c r="J955" s="83">
        <f>(Matrix_prices!J943+$D$2)*IF($M$2="Prices in $/MWh",1,1/1000)</f>
        <v>64.36</v>
      </c>
      <c r="K955" s="84">
        <f>(Matrix_prices!K943+$D$2)*IF($M$2="Prices in $/MWh",1,1/1000)</f>
        <v>64.290000000000006</v>
      </c>
      <c r="L955" s="83">
        <f>(Matrix_prices!L943+$D$2)*IF($M$2="Prices in $/MWh",1,1/1000)</f>
        <v>22.05</v>
      </c>
      <c r="M955" s="84">
        <f>(Matrix_prices!M943+$D$2)*IF($M$2="Prices in $/MWh",1,1/1000)</f>
        <v>21.84</v>
      </c>
      <c r="N955" s="83">
        <f>(Matrix_prices!N943+$D$2)*IF($M$2="Prices in $/MWh",1,1/1000)</f>
        <v>22.41</v>
      </c>
      <c r="O955" s="61"/>
    </row>
    <row r="956" spans="2:15" x14ac:dyDescent="0.25">
      <c r="B956" s="57"/>
      <c r="C956" s="151">
        <f>Matrix_prices!C944</f>
        <v>42461</v>
      </c>
      <c r="D956" s="152" t="str">
        <f>Matrix_prices!D944</f>
        <v>PA</v>
      </c>
      <c r="E956" s="153" t="str">
        <f>Matrix_prices!E944</f>
        <v>MetED</v>
      </c>
      <c r="F956" s="152" t="str">
        <f>Matrix_prices!F944</f>
        <v>GSCS</v>
      </c>
      <c r="G956" s="153" t="str">
        <f>Matrix_prices!G944</f>
        <v>General Service Small</v>
      </c>
      <c r="H956" s="157" t="str">
        <f t="shared" si="42"/>
        <v>0-100 MWh</v>
      </c>
      <c r="I956" s="153">
        <f>(Matrix_prices!I944+$D$2)*IF($M$2="Prices in $/MWh",1,1/1000)</f>
        <v>67.67</v>
      </c>
      <c r="J956" s="152">
        <f>(Matrix_prices!J944+$D$2)*IF($M$2="Prices in $/MWh",1,1/1000)</f>
        <v>66.319999999999993</v>
      </c>
      <c r="K956" s="153">
        <f>(Matrix_prices!K944+$D$2)*IF($M$2="Prices in $/MWh",1,1/1000)</f>
        <v>67.150000000000006</v>
      </c>
      <c r="L956" s="152">
        <f>(Matrix_prices!L944+$D$2)*IF($M$2="Prices in $/MWh",1,1/1000)</f>
        <v>25.11</v>
      </c>
      <c r="M956" s="153">
        <f>(Matrix_prices!M944+$D$2)*IF($M$2="Prices in $/MWh",1,1/1000)</f>
        <v>24.06</v>
      </c>
      <c r="N956" s="152">
        <f>(Matrix_prices!N944+$D$2)*IF($M$2="Prices in $/MWh",1,1/1000)</f>
        <v>25.37</v>
      </c>
      <c r="O956" s="61"/>
    </row>
    <row r="957" spans="2:15" x14ac:dyDescent="0.25">
      <c r="B957" s="57"/>
      <c r="C957" s="78">
        <f>Matrix_prices!C945</f>
        <v>42461</v>
      </c>
      <c r="D957" s="79" t="str">
        <f>Matrix_prices!D945</f>
        <v>PA</v>
      </c>
      <c r="E957" s="80" t="str">
        <f>Matrix_prices!E945</f>
        <v>MetED</v>
      </c>
      <c r="F957" s="79" t="str">
        <f>Matrix_prices!F945</f>
        <v>GSCS</v>
      </c>
      <c r="G957" s="80" t="str">
        <f>Matrix_prices!G945</f>
        <v>General Service Small</v>
      </c>
      <c r="H957" s="81" t="str">
        <f t="shared" si="43"/>
        <v>100-500 MWh</v>
      </c>
      <c r="I957" s="80">
        <f>(Matrix_prices!I945+$D$2)*IF($M$2="Prices in $/MWh",1,1/1000)</f>
        <v>66.069999999999993</v>
      </c>
      <c r="J957" s="79">
        <f>(Matrix_prices!J945+$D$2)*IF($M$2="Prices in $/MWh",1,1/1000)</f>
        <v>64.72</v>
      </c>
      <c r="K957" s="80">
        <f>(Matrix_prices!K945+$D$2)*IF($M$2="Prices in $/MWh",1,1/1000)</f>
        <v>65.55</v>
      </c>
      <c r="L957" s="79">
        <f>(Matrix_prices!L945+$D$2)*IF($M$2="Prices in $/MWh",1,1/1000)</f>
        <v>23.51</v>
      </c>
      <c r="M957" s="80">
        <f>(Matrix_prices!M945+$D$2)*IF($M$2="Prices in $/MWh",1,1/1000)</f>
        <v>22.46</v>
      </c>
      <c r="N957" s="79">
        <f>(Matrix_prices!N945+$D$2)*IF($M$2="Prices in $/MWh",1,1/1000)</f>
        <v>23.77</v>
      </c>
      <c r="O957" s="61"/>
    </row>
    <row r="958" spans="2:15" x14ac:dyDescent="0.25">
      <c r="B958" s="57"/>
      <c r="C958" s="82">
        <f>Matrix_prices!C946</f>
        <v>42461</v>
      </c>
      <c r="D958" s="83" t="str">
        <f>Matrix_prices!D946</f>
        <v>PA</v>
      </c>
      <c r="E958" s="84" t="str">
        <f>Matrix_prices!E946</f>
        <v>MetED</v>
      </c>
      <c r="F958" s="83" t="str">
        <f>Matrix_prices!F946</f>
        <v>GSCS</v>
      </c>
      <c r="G958" s="84" t="str">
        <f>Matrix_prices!G946</f>
        <v>General Service Small</v>
      </c>
      <c r="H958" s="85" t="str">
        <f t="shared" si="44"/>
        <v>500-2500 MWh</v>
      </c>
      <c r="I958" s="84">
        <f>(Matrix_prices!I946+$D$2)*IF($M$2="Prices in $/MWh",1,1/1000)</f>
        <v>65.02</v>
      </c>
      <c r="J958" s="83">
        <f>(Matrix_prices!J946+$D$2)*IF($M$2="Prices in $/MWh",1,1/1000)</f>
        <v>63.67</v>
      </c>
      <c r="K958" s="84">
        <f>(Matrix_prices!K946+$D$2)*IF($M$2="Prices in $/MWh",1,1/1000)</f>
        <v>64.5</v>
      </c>
      <c r="L958" s="83">
        <f>(Matrix_prices!L946+$D$2)*IF($M$2="Prices in $/MWh",1,1/1000)</f>
        <v>22.46</v>
      </c>
      <c r="M958" s="84">
        <f>(Matrix_prices!M946+$D$2)*IF($M$2="Prices in $/MWh",1,1/1000)</f>
        <v>21.41</v>
      </c>
      <c r="N958" s="83">
        <f>(Matrix_prices!N946+$D$2)*IF($M$2="Prices in $/MWh",1,1/1000)</f>
        <v>22.72</v>
      </c>
      <c r="O958" s="61"/>
    </row>
    <row r="959" spans="2:15" x14ac:dyDescent="0.25">
      <c r="B959" s="57"/>
      <c r="C959" s="74">
        <f>Matrix_prices!C947</f>
        <v>42491</v>
      </c>
      <c r="D959" s="75" t="str">
        <f>Matrix_prices!D947</f>
        <v>PA</v>
      </c>
      <c r="E959" s="76" t="str">
        <f>Matrix_prices!E947</f>
        <v>MetED</v>
      </c>
      <c r="F959" s="75" t="str">
        <f>Matrix_prices!F947</f>
        <v>GSCS</v>
      </c>
      <c r="G959" s="76" t="str">
        <f>Matrix_prices!G947</f>
        <v>General Service Small</v>
      </c>
      <c r="H959" s="157" t="str">
        <f t="shared" si="42"/>
        <v>0-100 MWh</v>
      </c>
      <c r="I959" s="76">
        <f>(Matrix_prices!I947+$D$2)*IF($M$2="Prices in $/MWh",1,1/1000)</f>
        <v>67.8</v>
      </c>
      <c r="J959" s="75">
        <f>(Matrix_prices!J947+$D$2)*IF($M$2="Prices in $/MWh",1,1/1000)</f>
        <v>65.88</v>
      </c>
      <c r="K959" s="76">
        <f>(Matrix_prices!K947+$D$2)*IF($M$2="Prices in $/MWh",1,1/1000)</f>
        <v>67.180000000000007</v>
      </c>
      <c r="L959" s="75">
        <f>(Matrix_prices!L947+$D$2)*IF($M$2="Prices in $/MWh",1,1/1000)</f>
        <v>25.21</v>
      </c>
      <c r="M959" s="76">
        <f>(Matrix_prices!M947+$D$2)*IF($M$2="Prices in $/MWh",1,1/1000)</f>
        <v>23.92</v>
      </c>
      <c r="N959" s="75">
        <f>(Matrix_prices!N947+$D$2)*IF($M$2="Prices in $/MWh",1,1/1000)</f>
        <v>25.43</v>
      </c>
      <c r="O959" s="61"/>
    </row>
    <row r="960" spans="2:15" x14ac:dyDescent="0.25">
      <c r="B960" s="57"/>
      <c r="C960" s="78">
        <f>Matrix_prices!C948</f>
        <v>42491</v>
      </c>
      <c r="D960" s="79" t="str">
        <f>Matrix_prices!D948</f>
        <v>PA</v>
      </c>
      <c r="E960" s="80" t="str">
        <f>Matrix_prices!E948</f>
        <v>MetED</v>
      </c>
      <c r="F960" s="79" t="str">
        <f>Matrix_prices!F948</f>
        <v>GSCS</v>
      </c>
      <c r="G960" s="80" t="str">
        <f>Matrix_prices!G948</f>
        <v>General Service Small</v>
      </c>
      <c r="H960" s="81" t="str">
        <f t="shared" si="43"/>
        <v>100-500 MWh</v>
      </c>
      <c r="I960" s="80">
        <f>(Matrix_prices!I948+$D$2)*IF($M$2="Prices in $/MWh",1,1/1000)</f>
        <v>66.2</v>
      </c>
      <c r="J960" s="79">
        <f>(Matrix_prices!J948+$D$2)*IF($M$2="Prices in $/MWh",1,1/1000)</f>
        <v>64.28</v>
      </c>
      <c r="K960" s="80">
        <f>(Matrix_prices!K948+$D$2)*IF($M$2="Prices in $/MWh",1,1/1000)</f>
        <v>65.58</v>
      </c>
      <c r="L960" s="79">
        <f>(Matrix_prices!L948+$D$2)*IF($M$2="Prices in $/MWh",1,1/1000)</f>
        <v>23.61</v>
      </c>
      <c r="M960" s="80">
        <f>(Matrix_prices!M948+$D$2)*IF($M$2="Prices in $/MWh",1,1/1000)</f>
        <v>22.32</v>
      </c>
      <c r="N960" s="79">
        <f>(Matrix_prices!N948+$D$2)*IF($M$2="Prices in $/MWh",1,1/1000)</f>
        <v>23.83</v>
      </c>
      <c r="O960" s="61"/>
    </row>
    <row r="961" spans="2:15" x14ac:dyDescent="0.25">
      <c r="B961" s="57"/>
      <c r="C961" s="82">
        <f>Matrix_prices!C949</f>
        <v>42491</v>
      </c>
      <c r="D961" s="83" t="str">
        <f>Matrix_prices!D949</f>
        <v>PA</v>
      </c>
      <c r="E961" s="84" t="str">
        <f>Matrix_prices!E949</f>
        <v>MetED</v>
      </c>
      <c r="F961" s="83" t="str">
        <f>Matrix_prices!F949</f>
        <v>GSCS</v>
      </c>
      <c r="G961" s="84" t="str">
        <f>Matrix_prices!G949</f>
        <v>General Service Small</v>
      </c>
      <c r="H961" s="85" t="str">
        <f t="shared" si="44"/>
        <v>500-2500 MWh</v>
      </c>
      <c r="I961" s="84">
        <f>(Matrix_prices!I949+$D$2)*IF($M$2="Prices in $/MWh",1,1/1000)</f>
        <v>65.150000000000006</v>
      </c>
      <c r="J961" s="83">
        <f>(Matrix_prices!J949+$D$2)*IF($M$2="Prices in $/MWh",1,1/1000)</f>
        <v>63.23</v>
      </c>
      <c r="K961" s="84">
        <f>(Matrix_prices!K949+$D$2)*IF($M$2="Prices in $/MWh",1,1/1000)</f>
        <v>64.53</v>
      </c>
      <c r="L961" s="83">
        <f>(Matrix_prices!L949+$D$2)*IF($M$2="Prices in $/MWh",1,1/1000)</f>
        <v>22.56</v>
      </c>
      <c r="M961" s="84">
        <f>(Matrix_prices!M949+$D$2)*IF($M$2="Prices in $/MWh",1,1/1000)</f>
        <v>21.27</v>
      </c>
      <c r="N961" s="83">
        <f>(Matrix_prices!N949+$D$2)*IF($M$2="Prices in $/MWh",1,1/1000)</f>
        <v>22.78</v>
      </c>
      <c r="O961" s="61"/>
    </row>
    <row r="962" spans="2:15" x14ac:dyDescent="0.25">
      <c r="B962" s="57"/>
      <c r="C962" s="151">
        <f>Matrix_prices!C950</f>
        <v>42522</v>
      </c>
      <c r="D962" s="152" t="str">
        <f>Matrix_prices!D950</f>
        <v>PA</v>
      </c>
      <c r="E962" s="153" t="str">
        <f>Matrix_prices!E950</f>
        <v>MetED</v>
      </c>
      <c r="F962" s="152" t="str">
        <f>Matrix_prices!F950</f>
        <v>GSCS</v>
      </c>
      <c r="G962" s="153" t="str">
        <f>Matrix_prices!G950</f>
        <v>General Service Small</v>
      </c>
      <c r="H962" s="157" t="str">
        <f t="shared" si="42"/>
        <v>0-100 MWh</v>
      </c>
      <c r="I962" s="153">
        <f>(Matrix_prices!I950+$D$2)*IF($M$2="Prices in $/MWh",1,1/1000)</f>
        <v>67.81</v>
      </c>
      <c r="J962" s="152">
        <f>(Matrix_prices!J950+$D$2)*IF($M$2="Prices in $/MWh",1,1/1000)</f>
        <v>65.489999999999995</v>
      </c>
      <c r="K962" s="153">
        <f>(Matrix_prices!K950+$D$2)*IF($M$2="Prices in $/MWh",1,1/1000)</f>
        <v>67.180000000000007</v>
      </c>
      <c r="L962" s="152">
        <f>(Matrix_prices!L950+$D$2)*IF($M$2="Prices in $/MWh",1,1/1000)</f>
        <v>25.19</v>
      </c>
      <c r="M962" s="153">
        <f>(Matrix_prices!M950+$D$2)*IF($M$2="Prices in $/MWh",1,1/1000)</f>
        <v>23.74</v>
      </c>
      <c r="N962" s="152">
        <f>(Matrix_prices!N950+$D$2)*IF($M$2="Prices in $/MWh",1,1/1000)</f>
        <v>25.43</v>
      </c>
      <c r="O962" s="61"/>
    </row>
    <row r="963" spans="2:15" x14ac:dyDescent="0.25">
      <c r="B963" s="57"/>
      <c r="C963" s="78">
        <f>Matrix_prices!C951</f>
        <v>42522</v>
      </c>
      <c r="D963" s="79" t="str">
        <f>Matrix_prices!D951</f>
        <v>PA</v>
      </c>
      <c r="E963" s="80" t="str">
        <f>Matrix_prices!E951</f>
        <v>MetED</v>
      </c>
      <c r="F963" s="79" t="str">
        <f>Matrix_prices!F951</f>
        <v>GSCS</v>
      </c>
      <c r="G963" s="80" t="str">
        <f>Matrix_prices!G951</f>
        <v>General Service Small</v>
      </c>
      <c r="H963" s="81" t="str">
        <f t="shared" si="43"/>
        <v>100-500 MWh</v>
      </c>
      <c r="I963" s="80">
        <f>(Matrix_prices!I951+$D$2)*IF($M$2="Prices in $/MWh",1,1/1000)</f>
        <v>66.209999999999994</v>
      </c>
      <c r="J963" s="79">
        <f>(Matrix_prices!J951+$D$2)*IF($M$2="Prices in $/MWh",1,1/1000)</f>
        <v>63.89</v>
      </c>
      <c r="K963" s="80">
        <f>(Matrix_prices!K951+$D$2)*IF($M$2="Prices in $/MWh",1,1/1000)</f>
        <v>65.58</v>
      </c>
      <c r="L963" s="79">
        <f>(Matrix_prices!L951+$D$2)*IF($M$2="Prices in $/MWh",1,1/1000)</f>
        <v>23.59</v>
      </c>
      <c r="M963" s="80">
        <f>(Matrix_prices!M951+$D$2)*IF($M$2="Prices in $/MWh",1,1/1000)</f>
        <v>22.14</v>
      </c>
      <c r="N963" s="79">
        <f>(Matrix_prices!N951+$D$2)*IF($M$2="Prices in $/MWh",1,1/1000)</f>
        <v>23.83</v>
      </c>
      <c r="O963" s="61"/>
    </row>
    <row r="964" spans="2:15" x14ac:dyDescent="0.25">
      <c r="B964" s="57"/>
      <c r="C964" s="82">
        <f>Matrix_prices!C952</f>
        <v>42522</v>
      </c>
      <c r="D964" s="83" t="str">
        <f>Matrix_prices!D952</f>
        <v>PA</v>
      </c>
      <c r="E964" s="84" t="str">
        <f>Matrix_prices!E952</f>
        <v>MetED</v>
      </c>
      <c r="F964" s="83" t="str">
        <f>Matrix_prices!F952</f>
        <v>GSCS</v>
      </c>
      <c r="G964" s="84" t="str">
        <f>Matrix_prices!G952</f>
        <v>General Service Small</v>
      </c>
      <c r="H964" s="85" t="str">
        <f t="shared" si="44"/>
        <v>500-2500 MWh</v>
      </c>
      <c r="I964" s="84">
        <f>(Matrix_prices!I952+$D$2)*IF($M$2="Prices in $/MWh",1,1/1000)</f>
        <v>65.16</v>
      </c>
      <c r="J964" s="83">
        <f>(Matrix_prices!J952+$D$2)*IF($M$2="Prices in $/MWh",1,1/1000)</f>
        <v>62.84</v>
      </c>
      <c r="K964" s="84">
        <f>(Matrix_prices!K952+$D$2)*IF($M$2="Prices in $/MWh",1,1/1000)</f>
        <v>64.53</v>
      </c>
      <c r="L964" s="83">
        <f>(Matrix_prices!L952+$D$2)*IF($M$2="Prices in $/MWh",1,1/1000)</f>
        <v>22.54</v>
      </c>
      <c r="M964" s="84">
        <f>(Matrix_prices!M952+$D$2)*IF($M$2="Prices in $/MWh",1,1/1000)</f>
        <v>21.09</v>
      </c>
      <c r="N964" s="83">
        <f>(Matrix_prices!N952+$D$2)*IF($M$2="Prices in $/MWh",1,1/1000)</f>
        <v>22.78</v>
      </c>
      <c r="O964" s="61"/>
    </row>
    <row r="965" spans="2:15" x14ac:dyDescent="0.25">
      <c r="B965" s="57"/>
      <c r="C965" s="74">
        <f>Matrix_prices!C953</f>
        <v>42552</v>
      </c>
      <c r="D965" s="75" t="str">
        <f>Matrix_prices!D953</f>
        <v>PA</v>
      </c>
      <c r="E965" s="76" t="str">
        <f>Matrix_prices!E953</f>
        <v>MetED</v>
      </c>
      <c r="F965" s="75" t="str">
        <f>Matrix_prices!F953</f>
        <v>GSCS</v>
      </c>
      <c r="G965" s="76" t="str">
        <f>Matrix_prices!G953</f>
        <v>General Service Small</v>
      </c>
      <c r="H965" s="157" t="str">
        <f t="shared" si="42"/>
        <v>0-100 MWh</v>
      </c>
      <c r="I965" s="76">
        <f>(Matrix_prices!I953+$D$2)*IF($M$2="Prices in $/MWh",1,1/1000)</f>
        <v>67.78</v>
      </c>
      <c r="J965" s="75">
        <f>(Matrix_prices!J953+$D$2)*IF($M$2="Prices in $/MWh",1,1/1000)</f>
        <v>65.62</v>
      </c>
      <c r="K965" s="76">
        <f>(Matrix_prices!K953+$D$2)*IF($M$2="Prices in $/MWh",1,1/1000)</f>
        <v>67.25</v>
      </c>
      <c r="L965" s="75">
        <f>(Matrix_prices!L953+$D$2)*IF($M$2="Prices in $/MWh",1,1/1000)</f>
        <v>25.17</v>
      </c>
      <c r="M965" s="76">
        <f>(Matrix_prices!M953+$D$2)*IF($M$2="Prices in $/MWh",1,1/1000)</f>
        <v>24.26</v>
      </c>
      <c r="N965" s="75">
        <f>(Matrix_prices!N953+$D$2)*IF($M$2="Prices in $/MWh",1,1/1000)</f>
        <v>25.63</v>
      </c>
      <c r="O965" s="61"/>
    </row>
    <row r="966" spans="2:15" x14ac:dyDescent="0.25">
      <c r="B966" s="57"/>
      <c r="C966" s="78">
        <f>Matrix_prices!C954</f>
        <v>42552</v>
      </c>
      <c r="D966" s="79" t="str">
        <f>Matrix_prices!D954</f>
        <v>PA</v>
      </c>
      <c r="E966" s="80" t="str">
        <f>Matrix_prices!E954</f>
        <v>MetED</v>
      </c>
      <c r="F966" s="79" t="str">
        <f>Matrix_prices!F954</f>
        <v>GSCS</v>
      </c>
      <c r="G966" s="80" t="str">
        <f>Matrix_prices!G954</f>
        <v>General Service Small</v>
      </c>
      <c r="H966" s="81" t="str">
        <f t="shared" si="43"/>
        <v>100-500 MWh</v>
      </c>
      <c r="I966" s="80">
        <f>(Matrix_prices!I954+$D$2)*IF($M$2="Prices in $/MWh",1,1/1000)</f>
        <v>66.180000000000007</v>
      </c>
      <c r="J966" s="79">
        <f>(Matrix_prices!J954+$D$2)*IF($M$2="Prices in $/MWh",1,1/1000)</f>
        <v>64.02</v>
      </c>
      <c r="K966" s="80">
        <f>(Matrix_prices!K954+$D$2)*IF($M$2="Prices in $/MWh",1,1/1000)</f>
        <v>65.650000000000006</v>
      </c>
      <c r="L966" s="79">
        <f>(Matrix_prices!L954+$D$2)*IF($M$2="Prices in $/MWh",1,1/1000)</f>
        <v>23.57</v>
      </c>
      <c r="M966" s="80">
        <f>(Matrix_prices!M954+$D$2)*IF($M$2="Prices in $/MWh",1,1/1000)</f>
        <v>22.66</v>
      </c>
      <c r="N966" s="79">
        <f>(Matrix_prices!N954+$D$2)*IF($M$2="Prices in $/MWh",1,1/1000)</f>
        <v>24.03</v>
      </c>
      <c r="O966" s="61"/>
    </row>
    <row r="967" spans="2:15" x14ac:dyDescent="0.25">
      <c r="B967" s="57"/>
      <c r="C967" s="82">
        <f>Matrix_prices!C955</f>
        <v>42552</v>
      </c>
      <c r="D967" s="83" t="str">
        <f>Matrix_prices!D955</f>
        <v>PA</v>
      </c>
      <c r="E967" s="84" t="str">
        <f>Matrix_prices!E955</f>
        <v>MetED</v>
      </c>
      <c r="F967" s="83" t="str">
        <f>Matrix_prices!F955</f>
        <v>GSCS</v>
      </c>
      <c r="G967" s="84" t="str">
        <f>Matrix_prices!G955</f>
        <v>General Service Small</v>
      </c>
      <c r="H967" s="85" t="str">
        <f t="shared" si="44"/>
        <v>500-2500 MWh</v>
      </c>
      <c r="I967" s="84">
        <f>(Matrix_prices!I955+$D$2)*IF($M$2="Prices in $/MWh",1,1/1000)</f>
        <v>65.13</v>
      </c>
      <c r="J967" s="83">
        <f>(Matrix_prices!J955+$D$2)*IF($M$2="Prices in $/MWh",1,1/1000)</f>
        <v>62.97</v>
      </c>
      <c r="K967" s="84">
        <f>(Matrix_prices!K955+$D$2)*IF($M$2="Prices in $/MWh",1,1/1000)</f>
        <v>64.599999999999994</v>
      </c>
      <c r="L967" s="83">
        <f>(Matrix_prices!L955+$D$2)*IF($M$2="Prices in $/MWh",1,1/1000)</f>
        <v>22.52</v>
      </c>
      <c r="M967" s="84">
        <f>(Matrix_prices!M955+$D$2)*IF($M$2="Prices in $/MWh",1,1/1000)</f>
        <v>21.61</v>
      </c>
      <c r="N967" s="83">
        <f>(Matrix_prices!N955+$D$2)*IF($M$2="Prices in $/MWh",1,1/1000)</f>
        <v>22.98</v>
      </c>
      <c r="O967" s="61"/>
    </row>
    <row r="968" spans="2:15" x14ac:dyDescent="0.25">
      <c r="B968" s="57"/>
      <c r="C968" s="151">
        <f>Matrix_prices!C956</f>
        <v>42583</v>
      </c>
      <c r="D968" s="152" t="str">
        <f>Matrix_prices!D956</f>
        <v>PA</v>
      </c>
      <c r="E968" s="153" t="str">
        <f>Matrix_prices!E956</f>
        <v>MetED</v>
      </c>
      <c r="F968" s="152" t="str">
        <f>Matrix_prices!F956</f>
        <v>GSCS</v>
      </c>
      <c r="G968" s="153" t="str">
        <f>Matrix_prices!G956</f>
        <v>General Service Small</v>
      </c>
      <c r="H968" s="157" t="str">
        <f t="shared" si="42"/>
        <v>0-100 MWh</v>
      </c>
      <c r="I968" s="153">
        <f>(Matrix_prices!I956+$D$2)*IF($M$2="Prices in $/MWh",1,1/1000)</f>
        <v>67.69</v>
      </c>
      <c r="J968" s="152">
        <f>(Matrix_prices!J956+$D$2)*IF($M$2="Prices in $/MWh",1,1/1000)</f>
        <v>66.47</v>
      </c>
      <c r="K968" s="153">
        <f>(Matrix_prices!K956+$D$2)*IF($M$2="Prices in $/MWh",1,1/1000)</f>
        <v>67.459999999999994</v>
      </c>
      <c r="L968" s="152">
        <f>(Matrix_prices!L956+$D$2)*IF($M$2="Prices in $/MWh",1,1/1000)</f>
        <v>25.21</v>
      </c>
      <c r="M968" s="153">
        <f>(Matrix_prices!M956+$D$2)*IF($M$2="Prices in $/MWh",1,1/1000)</f>
        <v>24.96</v>
      </c>
      <c r="N968" s="152">
        <f>(Matrix_prices!N956+$D$2)*IF($M$2="Prices in $/MWh",1,1/1000)</f>
        <v>26</v>
      </c>
      <c r="O968" s="61"/>
    </row>
    <row r="969" spans="2:15" x14ac:dyDescent="0.25">
      <c r="B969" s="57"/>
      <c r="C969" s="78">
        <f>Matrix_prices!C957</f>
        <v>42583</v>
      </c>
      <c r="D969" s="79" t="str">
        <f>Matrix_prices!D957</f>
        <v>PA</v>
      </c>
      <c r="E969" s="80" t="str">
        <f>Matrix_prices!E957</f>
        <v>MetED</v>
      </c>
      <c r="F969" s="79" t="str">
        <f>Matrix_prices!F957</f>
        <v>GSCS</v>
      </c>
      <c r="G969" s="80" t="str">
        <f>Matrix_prices!G957</f>
        <v>General Service Small</v>
      </c>
      <c r="H969" s="81" t="str">
        <f t="shared" si="43"/>
        <v>100-500 MWh</v>
      </c>
      <c r="I969" s="80">
        <f>(Matrix_prices!I957+$D$2)*IF($M$2="Prices in $/MWh",1,1/1000)</f>
        <v>66.09</v>
      </c>
      <c r="J969" s="79">
        <f>(Matrix_prices!J957+$D$2)*IF($M$2="Prices in $/MWh",1,1/1000)</f>
        <v>64.87</v>
      </c>
      <c r="K969" s="80">
        <f>(Matrix_prices!K957+$D$2)*IF($M$2="Prices in $/MWh",1,1/1000)</f>
        <v>65.86</v>
      </c>
      <c r="L969" s="79">
        <f>(Matrix_prices!L957+$D$2)*IF($M$2="Prices in $/MWh",1,1/1000)</f>
        <v>23.61</v>
      </c>
      <c r="M969" s="80">
        <f>(Matrix_prices!M957+$D$2)*IF($M$2="Prices in $/MWh",1,1/1000)</f>
        <v>23.36</v>
      </c>
      <c r="N969" s="79">
        <f>(Matrix_prices!N957+$D$2)*IF($M$2="Prices in $/MWh",1,1/1000)</f>
        <v>24.4</v>
      </c>
      <c r="O969" s="61"/>
    </row>
    <row r="970" spans="2:15" x14ac:dyDescent="0.25">
      <c r="B970" s="57"/>
      <c r="C970" s="82">
        <f>Matrix_prices!C958</f>
        <v>42583</v>
      </c>
      <c r="D970" s="83" t="str">
        <f>Matrix_prices!D958</f>
        <v>PA</v>
      </c>
      <c r="E970" s="84" t="str">
        <f>Matrix_prices!E958</f>
        <v>MetED</v>
      </c>
      <c r="F970" s="83" t="str">
        <f>Matrix_prices!F958</f>
        <v>GSCS</v>
      </c>
      <c r="G970" s="84" t="str">
        <f>Matrix_prices!G958</f>
        <v>General Service Small</v>
      </c>
      <c r="H970" s="85" t="str">
        <f t="shared" si="44"/>
        <v>500-2500 MWh</v>
      </c>
      <c r="I970" s="84">
        <f>(Matrix_prices!I958+$D$2)*IF($M$2="Prices in $/MWh",1,1/1000)</f>
        <v>65.040000000000006</v>
      </c>
      <c r="J970" s="83">
        <f>(Matrix_prices!J958+$D$2)*IF($M$2="Prices in $/MWh",1,1/1000)</f>
        <v>63.82</v>
      </c>
      <c r="K970" s="84">
        <f>(Matrix_prices!K958+$D$2)*IF($M$2="Prices in $/MWh",1,1/1000)</f>
        <v>64.81</v>
      </c>
      <c r="L970" s="83">
        <f>(Matrix_prices!L958+$D$2)*IF($M$2="Prices in $/MWh",1,1/1000)</f>
        <v>22.56</v>
      </c>
      <c r="M970" s="84">
        <f>(Matrix_prices!M958+$D$2)*IF($M$2="Prices in $/MWh",1,1/1000)</f>
        <v>22.31</v>
      </c>
      <c r="N970" s="83">
        <f>(Matrix_prices!N958+$D$2)*IF($M$2="Prices in $/MWh",1,1/1000)</f>
        <v>23.35</v>
      </c>
      <c r="O970" s="61"/>
    </row>
    <row r="971" spans="2:15" x14ac:dyDescent="0.25">
      <c r="B971" s="57"/>
      <c r="C971" s="74">
        <f>Matrix_prices!C959</f>
        <v>42614</v>
      </c>
      <c r="D971" s="75" t="str">
        <f>Matrix_prices!D959</f>
        <v>PA</v>
      </c>
      <c r="E971" s="76" t="str">
        <f>Matrix_prices!E959</f>
        <v>MetED</v>
      </c>
      <c r="F971" s="75" t="str">
        <f>Matrix_prices!F959</f>
        <v>GSCS</v>
      </c>
      <c r="G971" s="76" t="str">
        <f>Matrix_prices!G959</f>
        <v>General Service Small</v>
      </c>
      <c r="H971" s="157" t="str">
        <f t="shared" si="42"/>
        <v>0-100 MWh</v>
      </c>
      <c r="I971" s="76">
        <f>(Matrix_prices!I959+$D$2)*IF($M$2="Prices in $/MWh",1,1/1000)</f>
        <v>67.430000000000007</v>
      </c>
      <c r="J971" s="75">
        <f>(Matrix_prices!J959+$D$2)*IF($M$2="Prices in $/MWh",1,1/1000)</f>
        <v>67.19</v>
      </c>
      <c r="K971" s="76">
        <f>(Matrix_prices!K959+$D$2)*IF($M$2="Prices in $/MWh",1,1/1000)</f>
        <v>67.569999999999993</v>
      </c>
      <c r="L971" s="75">
        <f>(Matrix_prices!L959+$D$2)*IF($M$2="Prices in $/MWh",1,1/1000)</f>
        <v>24.96</v>
      </c>
      <c r="M971" s="76">
        <f>(Matrix_prices!M959+$D$2)*IF($M$2="Prices in $/MWh",1,1/1000)</f>
        <v>25.55</v>
      </c>
      <c r="N971" s="75">
        <f>(Matrix_prices!N959+$D$2)*IF($M$2="Prices in $/MWh",1,1/1000)</f>
        <v>26.3</v>
      </c>
      <c r="O971" s="61"/>
    </row>
    <row r="972" spans="2:15" x14ac:dyDescent="0.25">
      <c r="B972" s="57"/>
      <c r="C972" s="78">
        <f>Matrix_prices!C960</f>
        <v>42614</v>
      </c>
      <c r="D972" s="79" t="str">
        <f>Matrix_prices!D960</f>
        <v>PA</v>
      </c>
      <c r="E972" s="80" t="str">
        <f>Matrix_prices!E960</f>
        <v>MetED</v>
      </c>
      <c r="F972" s="79" t="str">
        <f>Matrix_prices!F960</f>
        <v>GSCS</v>
      </c>
      <c r="G972" s="80" t="str">
        <f>Matrix_prices!G960</f>
        <v>General Service Small</v>
      </c>
      <c r="H972" s="81" t="str">
        <f t="shared" si="43"/>
        <v>100-500 MWh</v>
      </c>
      <c r="I972" s="80">
        <f>(Matrix_prices!I960+$D$2)*IF($M$2="Prices in $/MWh",1,1/1000)</f>
        <v>65.83</v>
      </c>
      <c r="J972" s="79">
        <f>(Matrix_prices!J960+$D$2)*IF($M$2="Prices in $/MWh",1,1/1000)</f>
        <v>65.59</v>
      </c>
      <c r="K972" s="80">
        <f>(Matrix_prices!K960+$D$2)*IF($M$2="Prices in $/MWh",1,1/1000)</f>
        <v>65.97</v>
      </c>
      <c r="L972" s="79">
        <f>(Matrix_prices!L960+$D$2)*IF($M$2="Prices in $/MWh",1,1/1000)</f>
        <v>23.36</v>
      </c>
      <c r="M972" s="80">
        <f>(Matrix_prices!M960+$D$2)*IF($M$2="Prices in $/MWh",1,1/1000)</f>
        <v>23.95</v>
      </c>
      <c r="N972" s="79">
        <f>(Matrix_prices!N960+$D$2)*IF($M$2="Prices in $/MWh",1,1/1000)</f>
        <v>24.7</v>
      </c>
      <c r="O972" s="61"/>
    </row>
    <row r="973" spans="2:15" x14ac:dyDescent="0.25">
      <c r="B973" s="57"/>
      <c r="C973" s="82">
        <f>Matrix_prices!C961</f>
        <v>42614</v>
      </c>
      <c r="D973" s="83" t="str">
        <f>Matrix_prices!D961</f>
        <v>PA</v>
      </c>
      <c r="E973" s="84" t="str">
        <f>Matrix_prices!E961</f>
        <v>MetED</v>
      </c>
      <c r="F973" s="83" t="str">
        <f>Matrix_prices!F961</f>
        <v>GSCS</v>
      </c>
      <c r="G973" s="84" t="str">
        <f>Matrix_prices!G961</f>
        <v>General Service Small</v>
      </c>
      <c r="H973" s="85" t="str">
        <f t="shared" si="44"/>
        <v>500-2500 MWh</v>
      </c>
      <c r="I973" s="84">
        <f>(Matrix_prices!I961+$D$2)*IF($M$2="Prices in $/MWh",1,1/1000)</f>
        <v>64.78</v>
      </c>
      <c r="J973" s="83">
        <f>(Matrix_prices!J961+$D$2)*IF($M$2="Prices in $/MWh",1,1/1000)</f>
        <v>64.540000000000006</v>
      </c>
      <c r="K973" s="84">
        <f>(Matrix_prices!K961+$D$2)*IF($M$2="Prices in $/MWh",1,1/1000)</f>
        <v>64.92</v>
      </c>
      <c r="L973" s="83">
        <f>(Matrix_prices!L961+$D$2)*IF($M$2="Prices in $/MWh",1,1/1000)</f>
        <v>22.31</v>
      </c>
      <c r="M973" s="84">
        <f>(Matrix_prices!M961+$D$2)*IF($M$2="Prices in $/MWh",1,1/1000)</f>
        <v>22.9</v>
      </c>
      <c r="N973" s="83">
        <f>(Matrix_prices!N961+$D$2)*IF($M$2="Prices in $/MWh",1,1/1000)</f>
        <v>23.65</v>
      </c>
      <c r="O973" s="61"/>
    </row>
    <row r="974" spans="2:15" x14ac:dyDescent="0.25">
      <c r="B974" s="57"/>
      <c r="C974" s="151">
        <f>Matrix_prices!C962</f>
        <v>42644</v>
      </c>
      <c r="D974" s="152" t="str">
        <f>Matrix_prices!D962</f>
        <v>PA</v>
      </c>
      <c r="E974" s="153" t="str">
        <f>Matrix_prices!E962</f>
        <v>MetED</v>
      </c>
      <c r="F974" s="152" t="str">
        <f>Matrix_prices!F962</f>
        <v>GSCS</v>
      </c>
      <c r="G974" s="153" t="str">
        <f>Matrix_prices!G962</f>
        <v>General Service Small</v>
      </c>
      <c r="H974" s="157" t="str">
        <f t="shared" si="42"/>
        <v>0-100 MWh</v>
      </c>
      <c r="I974" s="153">
        <f>(Matrix_prices!I962+$D$2)*IF($M$2="Prices in $/MWh",1,1/1000)</f>
        <v>67.459999999999994</v>
      </c>
      <c r="J974" s="152">
        <f>(Matrix_prices!J962+$D$2)*IF($M$2="Prices in $/MWh",1,1/1000)</f>
        <v>68.180000000000007</v>
      </c>
      <c r="K974" s="153">
        <f>(Matrix_prices!K962+$D$2)*IF($M$2="Prices in $/MWh",1,1/1000)</f>
        <v>67.61</v>
      </c>
      <c r="L974" s="152">
        <f>(Matrix_prices!L962+$D$2)*IF($M$2="Prices in $/MWh",1,1/1000)</f>
        <v>25.19</v>
      </c>
      <c r="M974" s="153">
        <f>(Matrix_prices!M962+$D$2)*IF($M$2="Prices in $/MWh",1,1/1000)</f>
        <v>26.55</v>
      </c>
      <c r="N974" s="152">
        <f>(Matrix_prices!N962+$D$2)*IF($M$2="Prices in $/MWh",1,1/1000)</f>
        <v>26.54</v>
      </c>
      <c r="O974" s="61"/>
    </row>
    <row r="975" spans="2:15" x14ac:dyDescent="0.25">
      <c r="B975" s="57"/>
      <c r="C975" s="78">
        <f>Matrix_prices!C963</f>
        <v>42644</v>
      </c>
      <c r="D975" s="79" t="str">
        <f>Matrix_prices!D963</f>
        <v>PA</v>
      </c>
      <c r="E975" s="80" t="str">
        <f>Matrix_prices!E963</f>
        <v>MetED</v>
      </c>
      <c r="F975" s="79" t="str">
        <f>Matrix_prices!F963</f>
        <v>GSCS</v>
      </c>
      <c r="G975" s="80" t="str">
        <f>Matrix_prices!G963</f>
        <v>General Service Small</v>
      </c>
      <c r="H975" s="81" t="str">
        <f t="shared" si="43"/>
        <v>100-500 MWh</v>
      </c>
      <c r="I975" s="80">
        <f>(Matrix_prices!I963+$D$2)*IF($M$2="Prices in $/MWh",1,1/1000)</f>
        <v>65.86</v>
      </c>
      <c r="J975" s="79">
        <f>(Matrix_prices!J963+$D$2)*IF($M$2="Prices in $/MWh",1,1/1000)</f>
        <v>66.58</v>
      </c>
      <c r="K975" s="80">
        <f>(Matrix_prices!K963+$D$2)*IF($M$2="Prices in $/MWh",1,1/1000)</f>
        <v>66.010000000000005</v>
      </c>
      <c r="L975" s="79">
        <f>(Matrix_prices!L963+$D$2)*IF($M$2="Prices in $/MWh",1,1/1000)</f>
        <v>23.59</v>
      </c>
      <c r="M975" s="80">
        <f>(Matrix_prices!M963+$D$2)*IF($M$2="Prices in $/MWh",1,1/1000)</f>
        <v>24.95</v>
      </c>
      <c r="N975" s="79">
        <f>(Matrix_prices!N963+$D$2)*IF($M$2="Prices in $/MWh",1,1/1000)</f>
        <v>24.94</v>
      </c>
      <c r="O975" s="61"/>
    </row>
    <row r="976" spans="2:15" x14ac:dyDescent="0.25">
      <c r="B976" s="57"/>
      <c r="C976" s="82">
        <f>Matrix_prices!C964</f>
        <v>42644</v>
      </c>
      <c r="D976" s="83" t="str">
        <f>Matrix_prices!D964</f>
        <v>PA</v>
      </c>
      <c r="E976" s="84" t="str">
        <f>Matrix_prices!E964</f>
        <v>MetED</v>
      </c>
      <c r="F976" s="83" t="str">
        <f>Matrix_prices!F964</f>
        <v>GSCS</v>
      </c>
      <c r="G976" s="84" t="str">
        <f>Matrix_prices!G964</f>
        <v>General Service Small</v>
      </c>
      <c r="H976" s="85" t="str">
        <f t="shared" si="44"/>
        <v>500-2500 MWh</v>
      </c>
      <c r="I976" s="84">
        <f>(Matrix_prices!I964+$D$2)*IF($M$2="Prices in $/MWh",1,1/1000)</f>
        <v>64.81</v>
      </c>
      <c r="J976" s="83">
        <f>(Matrix_prices!J964+$D$2)*IF($M$2="Prices in $/MWh",1,1/1000)</f>
        <v>65.53</v>
      </c>
      <c r="K976" s="84">
        <f>(Matrix_prices!K964+$D$2)*IF($M$2="Prices in $/MWh",1,1/1000)</f>
        <v>64.959999999999994</v>
      </c>
      <c r="L976" s="83">
        <f>(Matrix_prices!L964+$D$2)*IF($M$2="Prices in $/MWh",1,1/1000)</f>
        <v>22.54</v>
      </c>
      <c r="M976" s="84">
        <f>(Matrix_prices!M964+$D$2)*IF($M$2="Prices in $/MWh",1,1/1000)</f>
        <v>23.9</v>
      </c>
      <c r="N976" s="83">
        <f>(Matrix_prices!N964+$D$2)*IF($M$2="Prices in $/MWh",1,1/1000)</f>
        <v>23.89</v>
      </c>
      <c r="O976" s="61"/>
    </row>
    <row r="977" spans="2:15" x14ac:dyDescent="0.25">
      <c r="B977" s="57"/>
      <c r="C977" s="74">
        <f>Matrix_prices!C965</f>
        <v>42675</v>
      </c>
      <c r="D977" s="75" t="str">
        <f>Matrix_prices!D965</f>
        <v>PA</v>
      </c>
      <c r="E977" s="76" t="str">
        <f>Matrix_prices!E965</f>
        <v>MetED</v>
      </c>
      <c r="F977" s="75" t="str">
        <f>Matrix_prices!F965</f>
        <v>GSCS</v>
      </c>
      <c r="G977" s="76" t="str">
        <f>Matrix_prices!G965</f>
        <v>General Service Small</v>
      </c>
      <c r="H977" s="157" t="str">
        <f t="shared" si="42"/>
        <v>0-100 MWh</v>
      </c>
      <c r="I977" s="76">
        <f>(Matrix_prices!I965+$D$2)*IF($M$2="Prices in $/MWh",1,1/1000)</f>
        <v>67.45</v>
      </c>
      <c r="J977" s="75">
        <f>(Matrix_prices!J965+$D$2)*IF($M$2="Prices in $/MWh",1,1/1000)</f>
        <v>68.680000000000007</v>
      </c>
      <c r="K977" s="76">
        <f>(Matrix_prices!K965+$D$2)*IF($M$2="Prices in $/MWh",1,1/1000)</f>
        <v>67.66</v>
      </c>
      <c r="L977" s="75">
        <f>(Matrix_prices!L965+$D$2)*IF($M$2="Prices in $/MWh",1,1/1000)</f>
        <v>25.39</v>
      </c>
      <c r="M977" s="76">
        <f>(Matrix_prices!M965+$D$2)*IF($M$2="Prices in $/MWh",1,1/1000)</f>
        <v>26.93</v>
      </c>
      <c r="N977" s="75">
        <f>(Matrix_prices!N965+$D$2)*IF($M$2="Prices in $/MWh",1,1/1000)</f>
        <v>26.73</v>
      </c>
      <c r="O977" s="61"/>
    </row>
    <row r="978" spans="2:15" x14ac:dyDescent="0.25">
      <c r="B978" s="57"/>
      <c r="C978" s="78">
        <f>Matrix_prices!C966</f>
        <v>42675</v>
      </c>
      <c r="D978" s="79" t="str">
        <f>Matrix_prices!D966</f>
        <v>PA</v>
      </c>
      <c r="E978" s="80" t="str">
        <f>Matrix_prices!E966</f>
        <v>MetED</v>
      </c>
      <c r="F978" s="79" t="str">
        <f>Matrix_prices!F966</f>
        <v>GSCS</v>
      </c>
      <c r="G978" s="80" t="str">
        <f>Matrix_prices!G966</f>
        <v>General Service Small</v>
      </c>
      <c r="H978" s="81" t="str">
        <f t="shared" si="43"/>
        <v>100-500 MWh</v>
      </c>
      <c r="I978" s="80">
        <f>(Matrix_prices!I966+$D$2)*IF($M$2="Prices in $/MWh",1,1/1000)</f>
        <v>65.849999999999994</v>
      </c>
      <c r="J978" s="79">
        <f>(Matrix_prices!J966+$D$2)*IF($M$2="Prices in $/MWh",1,1/1000)</f>
        <v>67.08</v>
      </c>
      <c r="K978" s="80">
        <f>(Matrix_prices!K966+$D$2)*IF($M$2="Prices in $/MWh",1,1/1000)</f>
        <v>66.06</v>
      </c>
      <c r="L978" s="79">
        <f>(Matrix_prices!L966+$D$2)*IF($M$2="Prices in $/MWh",1,1/1000)</f>
        <v>23.79</v>
      </c>
      <c r="M978" s="80">
        <f>(Matrix_prices!M966+$D$2)*IF($M$2="Prices in $/MWh",1,1/1000)</f>
        <v>25.33</v>
      </c>
      <c r="N978" s="79">
        <f>(Matrix_prices!N966+$D$2)*IF($M$2="Prices in $/MWh",1,1/1000)</f>
        <v>25.13</v>
      </c>
      <c r="O978" s="61"/>
    </row>
    <row r="979" spans="2:15" x14ac:dyDescent="0.25">
      <c r="B979" s="57"/>
      <c r="C979" s="82">
        <f>Matrix_prices!C967</f>
        <v>42675</v>
      </c>
      <c r="D979" s="83" t="str">
        <f>Matrix_prices!D967</f>
        <v>PA</v>
      </c>
      <c r="E979" s="84" t="str">
        <f>Matrix_prices!E967</f>
        <v>MetED</v>
      </c>
      <c r="F979" s="83" t="str">
        <f>Matrix_prices!F967</f>
        <v>GSCS</v>
      </c>
      <c r="G979" s="84" t="str">
        <f>Matrix_prices!G967</f>
        <v>General Service Small</v>
      </c>
      <c r="H979" s="85" t="str">
        <f t="shared" si="44"/>
        <v>500-2500 MWh</v>
      </c>
      <c r="I979" s="84">
        <f>(Matrix_prices!I967+$D$2)*IF($M$2="Prices in $/MWh",1,1/1000)</f>
        <v>64.8</v>
      </c>
      <c r="J979" s="83">
        <f>(Matrix_prices!J967+$D$2)*IF($M$2="Prices in $/MWh",1,1/1000)</f>
        <v>66.03</v>
      </c>
      <c r="K979" s="84">
        <f>(Matrix_prices!K967+$D$2)*IF($M$2="Prices in $/MWh",1,1/1000)</f>
        <v>65.010000000000005</v>
      </c>
      <c r="L979" s="83">
        <f>(Matrix_prices!L967+$D$2)*IF($M$2="Prices in $/MWh",1,1/1000)</f>
        <v>22.74</v>
      </c>
      <c r="M979" s="84">
        <f>(Matrix_prices!M967+$D$2)*IF($M$2="Prices in $/MWh",1,1/1000)</f>
        <v>24.28</v>
      </c>
      <c r="N979" s="83">
        <f>(Matrix_prices!N967+$D$2)*IF($M$2="Prices in $/MWh",1,1/1000)</f>
        <v>24.08</v>
      </c>
      <c r="O979" s="61"/>
    </row>
    <row r="980" spans="2:15" x14ac:dyDescent="0.25">
      <c r="B980" s="57"/>
      <c r="C980" s="151">
        <f>Matrix_prices!C968</f>
        <v>42705</v>
      </c>
      <c r="D980" s="152" t="str">
        <f>Matrix_prices!D968</f>
        <v>PA</v>
      </c>
      <c r="E980" s="153" t="str">
        <f>Matrix_prices!E968</f>
        <v>MetED</v>
      </c>
      <c r="F980" s="152" t="str">
        <f>Matrix_prices!F968</f>
        <v>GSCS</v>
      </c>
      <c r="G980" s="153" t="str">
        <f>Matrix_prices!G968</f>
        <v>General Service Small</v>
      </c>
      <c r="H980" s="157" t="str">
        <f t="shared" si="42"/>
        <v>0-100 MWh</v>
      </c>
      <c r="I980" s="153">
        <f>(Matrix_prices!I968+$D$2)*IF($M$2="Prices in $/MWh",1,1/1000)</f>
        <v>67.2</v>
      </c>
      <c r="J980" s="152">
        <f>(Matrix_prices!J968+$D$2)*IF($M$2="Prices in $/MWh",1,1/1000)</f>
        <v>68.94</v>
      </c>
      <c r="K980" s="153">
        <f>(Matrix_prices!K968+$D$2)*IF($M$2="Prices in $/MWh",1,1/1000)</f>
        <v>67.650000000000006</v>
      </c>
      <c r="L980" s="152">
        <f>(Matrix_prices!L968+$D$2)*IF($M$2="Prices in $/MWh",1,1/1000)</f>
        <v>25.19</v>
      </c>
      <c r="M980" s="153">
        <f>(Matrix_prices!M968+$D$2)*IF($M$2="Prices in $/MWh",1,1/1000)</f>
        <v>27.01</v>
      </c>
      <c r="N980" s="152">
        <f>(Matrix_prices!N968+$D$2)*IF($M$2="Prices in $/MWh",1,1/1000)</f>
        <v>26.85</v>
      </c>
      <c r="O980" s="61"/>
    </row>
    <row r="981" spans="2:15" x14ac:dyDescent="0.25">
      <c r="B981" s="57"/>
      <c r="C981" s="78">
        <f>Matrix_prices!C969</f>
        <v>42705</v>
      </c>
      <c r="D981" s="79" t="str">
        <f>Matrix_prices!D969</f>
        <v>PA</v>
      </c>
      <c r="E981" s="80" t="str">
        <f>Matrix_prices!E969</f>
        <v>MetED</v>
      </c>
      <c r="F981" s="79" t="str">
        <f>Matrix_prices!F969</f>
        <v>GSCS</v>
      </c>
      <c r="G981" s="80" t="str">
        <f>Matrix_prices!G969</f>
        <v>General Service Small</v>
      </c>
      <c r="H981" s="81" t="str">
        <f t="shared" si="43"/>
        <v>100-500 MWh</v>
      </c>
      <c r="I981" s="80">
        <f>(Matrix_prices!I969+$D$2)*IF($M$2="Prices in $/MWh",1,1/1000)</f>
        <v>65.599999999999994</v>
      </c>
      <c r="J981" s="79">
        <f>(Matrix_prices!J969+$D$2)*IF($M$2="Prices in $/MWh",1,1/1000)</f>
        <v>67.34</v>
      </c>
      <c r="K981" s="80">
        <f>(Matrix_prices!K969+$D$2)*IF($M$2="Prices in $/MWh",1,1/1000)</f>
        <v>66.05</v>
      </c>
      <c r="L981" s="79">
        <f>(Matrix_prices!L969+$D$2)*IF($M$2="Prices in $/MWh",1,1/1000)</f>
        <v>23.59</v>
      </c>
      <c r="M981" s="80">
        <f>(Matrix_prices!M969+$D$2)*IF($M$2="Prices in $/MWh",1,1/1000)</f>
        <v>25.41</v>
      </c>
      <c r="N981" s="79">
        <f>(Matrix_prices!N969+$D$2)*IF($M$2="Prices in $/MWh",1,1/1000)</f>
        <v>25.25</v>
      </c>
      <c r="O981" s="61"/>
    </row>
    <row r="982" spans="2:15" x14ac:dyDescent="0.25">
      <c r="B982" s="57"/>
      <c r="C982" s="82">
        <f>Matrix_prices!C970</f>
        <v>42705</v>
      </c>
      <c r="D982" s="83" t="str">
        <f>Matrix_prices!D970</f>
        <v>PA</v>
      </c>
      <c r="E982" s="84" t="str">
        <f>Matrix_prices!E970</f>
        <v>MetED</v>
      </c>
      <c r="F982" s="83" t="str">
        <f>Matrix_prices!F970</f>
        <v>GSCS</v>
      </c>
      <c r="G982" s="84" t="str">
        <f>Matrix_prices!G970</f>
        <v>General Service Small</v>
      </c>
      <c r="H982" s="85" t="str">
        <f t="shared" si="44"/>
        <v>500-2500 MWh</v>
      </c>
      <c r="I982" s="84">
        <f>(Matrix_prices!I970+$D$2)*IF($M$2="Prices in $/MWh",1,1/1000)</f>
        <v>64.55</v>
      </c>
      <c r="J982" s="83">
        <f>(Matrix_prices!J970+$D$2)*IF($M$2="Prices in $/MWh",1,1/1000)</f>
        <v>66.290000000000006</v>
      </c>
      <c r="K982" s="84">
        <f>(Matrix_prices!K970+$D$2)*IF($M$2="Prices in $/MWh",1,1/1000)</f>
        <v>65</v>
      </c>
      <c r="L982" s="83">
        <f>(Matrix_prices!L970+$D$2)*IF($M$2="Prices in $/MWh",1,1/1000)</f>
        <v>22.54</v>
      </c>
      <c r="M982" s="84">
        <f>(Matrix_prices!M970+$D$2)*IF($M$2="Prices in $/MWh",1,1/1000)</f>
        <v>24.36</v>
      </c>
      <c r="N982" s="83">
        <f>(Matrix_prices!N970+$D$2)*IF($M$2="Prices in $/MWh",1,1/1000)</f>
        <v>24.2</v>
      </c>
      <c r="O982" s="61"/>
    </row>
    <row r="983" spans="2:15" x14ac:dyDescent="0.25">
      <c r="B983" s="57"/>
      <c r="C983" s="74">
        <f>Matrix_prices!C971</f>
        <v>42736</v>
      </c>
      <c r="D983" s="75" t="str">
        <f>Matrix_prices!D971</f>
        <v>PA</v>
      </c>
      <c r="E983" s="76" t="str">
        <f>Matrix_prices!E971</f>
        <v>MetED</v>
      </c>
      <c r="F983" s="75" t="str">
        <f>Matrix_prices!F971</f>
        <v>GSCS</v>
      </c>
      <c r="G983" s="76" t="str">
        <f>Matrix_prices!G971</f>
        <v>General Service Small</v>
      </c>
      <c r="H983" s="157" t="str">
        <f t="shared" si="42"/>
        <v>0-100 MWh</v>
      </c>
      <c r="I983" s="76">
        <f>(Matrix_prices!I971+$D$2)*IF($M$2="Prices in $/MWh",1,1/1000)</f>
        <v>67.180000000000007</v>
      </c>
      <c r="J983" s="75">
        <f>(Matrix_prices!J971+$D$2)*IF($M$2="Prices in $/MWh",1,1/1000)</f>
        <v>68.900000000000006</v>
      </c>
      <c r="K983" s="76">
        <f>(Matrix_prices!K971+$D$2)*IF($M$2="Prices in $/MWh",1,1/1000)</f>
        <v>67.84</v>
      </c>
      <c r="L983" s="75">
        <f>(Matrix_prices!L971+$D$2)*IF($M$2="Prices in $/MWh",1,1/1000)</f>
        <v>25.46</v>
      </c>
      <c r="M983" s="76">
        <f>(Matrix_prices!M971+$D$2)*IF($M$2="Prices in $/MWh",1,1/1000)</f>
        <v>26.94</v>
      </c>
      <c r="N983" s="75">
        <f>(Matrix_prices!N971+$D$2)*IF($M$2="Prices in $/MWh",1,1/1000)</f>
        <v>27.14</v>
      </c>
      <c r="O983" s="61"/>
    </row>
    <row r="984" spans="2:15" x14ac:dyDescent="0.25">
      <c r="B984" s="57"/>
      <c r="C984" s="78">
        <f>Matrix_prices!C972</f>
        <v>42736</v>
      </c>
      <c r="D984" s="79" t="str">
        <f>Matrix_prices!D972</f>
        <v>PA</v>
      </c>
      <c r="E984" s="80" t="str">
        <f>Matrix_prices!E972</f>
        <v>MetED</v>
      </c>
      <c r="F984" s="79" t="str">
        <f>Matrix_prices!F972</f>
        <v>GSCS</v>
      </c>
      <c r="G984" s="80" t="str">
        <f>Matrix_prices!G972</f>
        <v>General Service Small</v>
      </c>
      <c r="H984" s="81" t="str">
        <f t="shared" si="43"/>
        <v>100-500 MWh</v>
      </c>
      <c r="I984" s="80">
        <f>(Matrix_prices!I972+$D$2)*IF($M$2="Prices in $/MWh",1,1/1000)</f>
        <v>65.58</v>
      </c>
      <c r="J984" s="79">
        <f>(Matrix_prices!J972+$D$2)*IF($M$2="Prices in $/MWh",1,1/1000)</f>
        <v>67.3</v>
      </c>
      <c r="K984" s="80">
        <f>(Matrix_prices!K972+$D$2)*IF($M$2="Prices in $/MWh",1,1/1000)</f>
        <v>66.239999999999995</v>
      </c>
      <c r="L984" s="79">
        <f>(Matrix_prices!L972+$D$2)*IF($M$2="Prices in $/MWh",1,1/1000)</f>
        <v>23.86</v>
      </c>
      <c r="M984" s="80">
        <f>(Matrix_prices!M972+$D$2)*IF($M$2="Prices in $/MWh",1,1/1000)</f>
        <v>25.34</v>
      </c>
      <c r="N984" s="79">
        <f>(Matrix_prices!N972+$D$2)*IF($M$2="Prices in $/MWh",1,1/1000)</f>
        <v>25.54</v>
      </c>
      <c r="O984" s="61"/>
    </row>
    <row r="985" spans="2:15" x14ac:dyDescent="0.25">
      <c r="B985" s="57"/>
      <c r="C985" s="82">
        <f>Matrix_prices!C973</f>
        <v>42736</v>
      </c>
      <c r="D985" s="83" t="str">
        <f>Matrix_prices!D973</f>
        <v>PA</v>
      </c>
      <c r="E985" s="84" t="str">
        <f>Matrix_prices!E973</f>
        <v>MetED</v>
      </c>
      <c r="F985" s="83" t="str">
        <f>Matrix_prices!F973</f>
        <v>GSCS</v>
      </c>
      <c r="G985" s="84" t="str">
        <f>Matrix_prices!G973</f>
        <v>General Service Small</v>
      </c>
      <c r="H985" s="85" t="str">
        <f t="shared" si="44"/>
        <v>500-2500 MWh</v>
      </c>
      <c r="I985" s="84">
        <f>(Matrix_prices!I973+$D$2)*IF($M$2="Prices in $/MWh",1,1/1000)</f>
        <v>64.53</v>
      </c>
      <c r="J985" s="83">
        <f>(Matrix_prices!J973+$D$2)*IF($M$2="Prices in $/MWh",1,1/1000)</f>
        <v>66.25</v>
      </c>
      <c r="K985" s="84">
        <f>(Matrix_prices!K973+$D$2)*IF($M$2="Prices in $/MWh",1,1/1000)</f>
        <v>65.19</v>
      </c>
      <c r="L985" s="83">
        <f>(Matrix_prices!L973+$D$2)*IF($M$2="Prices in $/MWh",1,1/1000)</f>
        <v>22.81</v>
      </c>
      <c r="M985" s="84">
        <f>(Matrix_prices!M973+$D$2)*IF($M$2="Prices in $/MWh",1,1/1000)</f>
        <v>24.29</v>
      </c>
      <c r="N985" s="83">
        <f>(Matrix_prices!N973+$D$2)*IF($M$2="Prices in $/MWh",1,1/1000)</f>
        <v>24.49</v>
      </c>
      <c r="O985" s="61"/>
    </row>
    <row r="986" spans="2:15" x14ac:dyDescent="0.25">
      <c r="B986" s="57"/>
      <c r="C986" s="151">
        <f>Matrix_prices!C974</f>
        <v>42401</v>
      </c>
      <c r="D986" s="152" t="str">
        <f>Matrix_prices!D974</f>
        <v>PA</v>
      </c>
      <c r="E986" s="153" t="str">
        <f>Matrix_prices!E974</f>
        <v>PECO</v>
      </c>
      <c r="F986" s="152" t="str">
        <f>Matrix_prices!F974</f>
        <v>GS</v>
      </c>
      <c r="G986" s="153" t="str">
        <f>Matrix_prices!G974</f>
        <v>General service</v>
      </c>
      <c r="H986" s="157" t="str">
        <f t="shared" si="42"/>
        <v>0-100 MWh</v>
      </c>
      <c r="I986" s="153">
        <f>(Matrix_prices!I974+$D$2)*IF($M$2="Prices in $/MWh",1,1/1000)</f>
        <v>69.61</v>
      </c>
      <c r="J986" s="152">
        <f>(Matrix_prices!J974+$D$2)*IF($M$2="Prices in $/MWh",1,1/1000)</f>
        <v>70.319999999999993</v>
      </c>
      <c r="K986" s="153">
        <f>(Matrix_prices!K974+$D$2)*IF($M$2="Prices in $/MWh",1,1/1000)</f>
        <v>69.94</v>
      </c>
      <c r="L986" s="152">
        <f>(Matrix_prices!L974+$D$2)*IF($M$2="Prices in $/MWh",1,1/1000)</f>
        <v>26.98</v>
      </c>
      <c r="M986" s="153">
        <f>(Matrix_prices!M974+$D$2)*IF($M$2="Prices in $/MWh",1,1/1000)</f>
        <v>27.46</v>
      </c>
      <c r="N986" s="152">
        <f>(Matrix_prices!N974+$D$2)*IF($M$2="Prices in $/MWh",1,1/1000)</f>
        <v>27.69</v>
      </c>
      <c r="O986" s="61"/>
    </row>
    <row r="987" spans="2:15" x14ac:dyDescent="0.25">
      <c r="B987" s="57"/>
      <c r="C987" s="78">
        <f>Matrix_prices!C975</f>
        <v>42401</v>
      </c>
      <c r="D987" s="79" t="str">
        <f>Matrix_prices!D975</f>
        <v>PA</v>
      </c>
      <c r="E987" s="80" t="str">
        <f>Matrix_prices!E975</f>
        <v>PECO</v>
      </c>
      <c r="F987" s="79" t="str">
        <f>Matrix_prices!F975</f>
        <v>GS</v>
      </c>
      <c r="G987" s="80" t="str">
        <f>Matrix_prices!G975</f>
        <v>General service</v>
      </c>
      <c r="H987" s="81" t="str">
        <f t="shared" si="43"/>
        <v>100-500 MWh</v>
      </c>
      <c r="I987" s="80">
        <f>(Matrix_prices!I975+$D$2)*IF($M$2="Prices in $/MWh",1,1/1000)</f>
        <v>68.010000000000005</v>
      </c>
      <c r="J987" s="79">
        <f>(Matrix_prices!J975+$D$2)*IF($M$2="Prices in $/MWh",1,1/1000)</f>
        <v>68.72</v>
      </c>
      <c r="K987" s="80">
        <f>(Matrix_prices!K975+$D$2)*IF($M$2="Prices in $/MWh",1,1/1000)</f>
        <v>68.34</v>
      </c>
      <c r="L987" s="79">
        <f>(Matrix_prices!L975+$D$2)*IF($M$2="Prices in $/MWh",1,1/1000)</f>
        <v>25.38</v>
      </c>
      <c r="M987" s="80">
        <f>(Matrix_prices!M975+$D$2)*IF($M$2="Prices in $/MWh",1,1/1000)</f>
        <v>25.86</v>
      </c>
      <c r="N987" s="79">
        <f>(Matrix_prices!N975+$D$2)*IF($M$2="Prices in $/MWh",1,1/1000)</f>
        <v>26.09</v>
      </c>
      <c r="O987" s="61"/>
    </row>
    <row r="988" spans="2:15" x14ac:dyDescent="0.25">
      <c r="B988" s="57"/>
      <c r="C988" s="82">
        <f>Matrix_prices!C976</f>
        <v>42401</v>
      </c>
      <c r="D988" s="83" t="str">
        <f>Matrix_prices!D976</f>
        <v>PA</v>
      </c>
      <c r="E988" s="84" t="str">
        <f>Matrix_prices!E976</f>
        <v>PECO</v>
      </c>
      <c r="F988" s="83" t="str">
        <f>Matrix_prices!F976</f>
        <v>GS</v>
      </c>
      <c r="G988" s="84" t="str">
        <f>Matrix_prices!G976</f>
        <v>General service</v>
      </c>
      <c r="H988" s="85" t="str">
        <f t="shared" si="44"/>
        <v>500-2500 MWh</v>
      </c>
      <c r="I988" s="84">
        <f>(Matrix_prices!I976+$D$2)*IF($M$2="Prices in $/MWh",1,1/1000)</f>
        <v>66.959999999999994</v>
      </c>
      <c r="J988" s="83">
        <f>(Matrix_prices!J976+$D$2)*IF($M$2="Prices in $/MWh",1,1/1000)</f>
        <v>67.67</v>
      </c>
      <c r="K988" s="84">
        <f>(Matrix_prices!K976+$D$2)*IF($M$2="Prices in $/MWh",1,1/1000)</f>
        <v>67.290000000000006</v>
      </c>
      <c r="L988" s="83">
        <f>(Matrix_prices!L976+$D$2)*IF($M$2="Prices in $/MWh",1,1/1000)</f>
        <v>24.33</v>
      </c>
      <c r="M988" s="84">
        <f>(Matrix_prices!M976+$D$2)*IF($M$2="Prices in $/MWh",1,1/1000)</f>
        <v>24.81</v>
      </c>
      <c r="N988" s="83">
        <f>(Matrix_prices!N976+$D$2)*IF($M$2="Prices in $/MWh",1,1/1000)</f>
        <v>25.04</v>
      </c>
      <c r="O988" s="61"/>
    </row>
    <row r="989" spans="2:15" x14ac:dyDescent="0.25">
      <c r="B989" s="57"/>
      <c r="C989" s="74">
        <f>Matrix_prices!C977</f>
        <v>42430</v>
      </c>
      <c r="D989" s="75" t="str">
        <f>Matrix_prices!D977</f>
        <v>PA</v>
      </c>
      <c r="E989" s="76" t="str">
        <f>Matrix_prices!E977</f>
        <v>PECO</v>
      </c>
      <c r="F989" s="75" t="str">
        <f>Matrix_prices!F977</f>
        <v>GS</v>
      </c>
      <c r="G989" s="76" t="str">
        <f>Matrix_prices!G977</f>
        <v>General service</v>
      </c>
      <c r="H989" s="157" t="str">
        <f t="shared" si="42"/>
        <v>0-100 MWh</v>
      </c>
      <c r="I989" s="76">
        <f>(Matrix_prices!I977+$D$2)*IF($M$2="Prices in $/MWh",1,1/1000)</f>
        <v>70.3</v>
      </c>
      <c r="J989" s="75">
        <f>(Matrix_prices!J977+$D$2)*IF($M$2="Prices in $/MWh",1,1/1000)</f>
        <v>69.59</v>
      </c>
      <c r="K989" s="76">
        <f>(Matrix_prices!K977+$D$2)*IF($M$2="Prices in $/MWh",1,1/1000)</f>
        <v>70.209999999999994</v>
      </c>
      <c r="L989" s="75">
        <f>(Matrix_prices!L977+$D$2)*IF($M$2="Prices in $/MWh",1,1/1000)</f>
        <v>26.95</v>
      </c>
      <c r="M989" s="76">
        <f>(Matrix_prices!M977+$D$2)*IF($M$2="Prices in $/MWh",1,1/1000)</f>
        <v>26.55</v>
      </c>
      <c r="N989" s="75">
        <f>(Matrix_prices!N977+$D$2)*IF($M$2="Prices in $/MWh",1,1/1000)</f>
        <v>27.67</v>
      </c>
      <c r="O989" s="61"/>
    </row>
    <row r="990" spans="2:15" x14ac:dyDescent="0.25">
      <c r="B990" s="57"/>
      <c r="C990" s="78">
        <f>Matrix_prices!C978</f>
        <v>42430</v>
      </c>
      <c r="D990" s="79" t="str">
        <f>Matrix_prices!D978</f>
        <v>PA</v>
      </c>
      <c r="E990" s="80" t="str">
        <f>Matrix_prices!E978</f>
        <v>PECO</v>
      </c>
      <c r="F990" s="79" t="str">
        <f>Matrix_prices!F978</f>
        <v>GS</v>
      </c>
      <c r="G990" s="80" t="str">
        <f>Matrix_prices!G978</f>
        <v>General service</v>
      </c>
      <c r="H990" s="81" t="str">
        <f t="shared" si="43"/>
        <v>100-500 MWh</v>
      </c>
      <c r="I990" s="80">
        <f>(Matrix_prices!I978+$D$2)*IF($M$2="Prices in $/MWh",1,1/1000)</f>
        <v>68.7</v>
      </c>
      <c r="J990" s="79">
        <f>(Matrix_prices!J978+$D$2)*IF($M$2="Prices in $/MWh",1,1/1000)</f>
        <v>67.989999999999995</v>
      </c>
      <c r="K990" s="80">
        <f>(Matrix_prices!K978+$D$2)*IF($M$2="Prices in $/MWh",1,1/1000)</f>
        <v>68.61</v>
      </c>
      <c r="L990" s="79">
        <f>(Matrix_prices!L978+$D$2)*IF($M$2="Prices in $/MWh",1,1/1000)</f>
        <v>25.35</v>
      </c>
      <c r="M990" s="80">
        <f>(Matrix_prices!M978+$D$2)*IF($M$2="Prices in $/MWh",1,1/1000)</f>
        <v>24.95</v>
      </c>
      <c r="N990" s="79">
        <f>(Matrix_prices!N978+$D$2)*IF($M$2="Prices in $/MWh",1,1/1000)</f>
        <v>26.07</v>
      </c>
      <c r="O990" s="61"/>
    </row>
    <row r="991" spans="2:15" x14ac:dyDescent="0.25">
      <c r="B991" s="57"/>
      <c r="C991" s="82">
        <f>Matrix_prices!C979</f>
        <v>42430</v>
      </c>
      <c r="D991" s="83" t="str">
        <f>Matrix_prices!D979</f>
        <v>PA</v>
      </c>
      <c r="E991" s="84" t="str">
        <f>Matrix_prices!E979</f>
        <v>PECO</v>
      </c>
      <c r="F991" s="83" t="str">
        <f>Matrix_prices!F979</f>
        <v>GS</v>
      </c>
      <c r="G991" s="84" t="str">
        <f>Matrix_prices!G979</f>
        <v>General service</v>
      </c>
      <c r="H991" s="85" t="str">
        <f t="shared" si="44"/>
        <v>500-2500 MWh</v>
      </c>
      <c r="I991" s="84">
        <f>(Matrix_prices!I979+$D$2)*IF($M$2="Prices in $/MWh",1,1/1000)</f>
        <v>67.650000000000006</v>
      </c>
      <c r="J991" s="83">
        <f>(Matrix_prices!J979+$D$2)*IF($M$2="Prices in $/MWh",1,1/1000)</f>
        <v>66.94</v>
      </c>
      <c r="K991" s="84">
        <f>(Matrix_prices!K979+$D$2)*IF($M$2="Prices in $/MWh",1,1/1000)</f>
        <v>67.56</v>
      </c>
      <c r="L991" s="83">
        <f>(Matrix_prices!L979+$D$2)*IF($M$2="Prices in $/MWh",1,1/1000)</f>
        <v>24.3</v>
      </c>
      <c r="M991" s="84">
        <f>(Matrix_prices!M979+$D$2)*IF($M$2="Prices in $/MWh",1,1/1000)</f>
        <v>23.9</v>
      </c>
      <c r="N991" s="83">
        <f>(Matrix_prices!N979+$D$2)*IF($M$2="Prices in $/MWh",1,1/1000)</f>
        <v>25.02</v>
      </c>
      <c r="O991" s="61"/>
    </row>
    <row r="992" spans="2:15" x14ac:dyDescent="0.25">
      <c r="B992" s="57"/>
      <c r="C992" s="151">
        <f>Matrix_prices!C980</f>
        <v>42461</v>
      </c>
      <c r="D992" s="152" t="str">
        <f>Matrix_prices!D980</f>
        <v>PA</v>
      </c>
      <c r="E992" s="153" t="str">
        <f>Matrix_prices!E980</f>
        <v>PECO</v>
      </c>
      <c r="F992" s="152" t="str">
        <f>Matrix_prices!F980</f>
        <v>GS</v>
      </c>
      <c r="G992" s="153" t="str">
        <f>Matrix_prices!G980</f>
        <v>General service</v>
      </c>
      <c r="H992" s="157" t="str">
        <f t="shared" si="42"/>
        <v>0-100 MWh</v>
      </c>
      <c r="I992" s="153">
        <f>(Matrix_prices!I980+$D$2)*IF($M$2="Prices in $/MWh",1,1/1000)</f>
        <v>70.760000000000005</v>
      </c>
      <c r="J992" s="152">
        <f>(Matrix_prices!J980+$D$2)*IF($M$2="Prices in $/MWh",1,1/1000)</f>
        <v>69.099999999999994</v>
      </c>
      <c r="K992" s="153">
        <f>(Matrix_prices!K980+$D$2)*IF($M$2="Prices in $/MWh",1,1/1000)</f>
        <v>70.430000000000007</v>
      </c>
      <c r="L992" s="152">
        <f>(Matrix_prices!L980+$D$2)*IF($M$2="Prices in $/MWh",1,1/1000)</f>
        <v>27.49</v>
      </c>
      <c r="M992" s="153">
        <f>(Matrix_prices!M980+$D$2)*IF($M$2="Prices in $/MWh",1,1/1000)</f>
        <v>26.35</v>
      </c>
      <c r="N992" s="152">
        <f>(Matrix_prices!N980+$D$2)*IF($M$2="Prices in $/MWh",1,1/1000)</f>
        <v>28</v>
      </c>
      <c r="O992" s="61"/>
    </row>
    <row r="993" spans="2:15" x14ac:dyDescent="0.25">
      <c r="B993" s="57"/>
      <c r="C993" s="78">
        <f>Matrix_prices!C981</f>
        <v>42461</v>
      </c>
      <c r="D993" s="79" t="str">
        <f>Matrix_prices!D981</f>
        <v>PA</v>
      </c>
      <c r="E993" s="80" t="str">
        <f>Matrix_prices!E981</f>
        <v>PECO</v>
      </c>
      <c r="F993" s="79" t="str">
        <f>Matrix_prices!F981</f>
        <v>GS</v>
      </c>
      <c r="G993" s="80" t="str">
        <f>Matrix_prices!G981</f>
        <v>General service</v>
      </c>
      <c r="H993" s="81" t="str">
        <f t="shared" si="43"/>
        <v>100-500 MWh</v>
      </c>
      <c r="I993" s="80">
        <f>(Matrix_prices!I981+$D$2)*IF($M$2="Prices in $/MWh",1,1/1000)</f>
        <v>69.16</v>
      </c>
      <c r="J993" s="79">
        <f>(Matrix_prices!J981+$D$2)*IF($M$2="Prices in $/MWh",1,1/1000)</f>
        <v>67.5</v>
      </c>
      <c r="K993" s="80">
        <f>(Matrix_prices!K981+$D$2)*IF($M$2="Prices in $/MWh",1,1/1000)</f>
        <v>68.83</v>
      </c>
      <c r="L993" s="79">
        <f>(Matrix_prices!L981+$D$2)*IF($M$2="Prices in $/MWh",1,1/1000)</f>
        <v>25.89</v>
      </c>
      <c r="M993" s="80">
        <f>(Matrix_prices!M981+$D$2)*IF($M$2="Prices in $/MWh",1,1/1000)</f>
        <v>24.75</v>
      </c>
      <c r="N993" s="79">
        <f>(Matrix_prices!N981+$D$2)*IF($M$2="Prices in $/MWh",1,1/1000)</f>
        <v>26.4</v>
      </c>
      <c r="O993" s="61"/>
    </row>
    <row r="994" spans="2:15" x14ac:dyDescent="0.25">
      <c r="B994" s="57"/>
      <c r="C994" s="82">
        <f>Matrix_prices!C982</f>
        <v>42461</v>
      </c>
      <c r="D994" s="83" t="str">
        <f>Matrix_prices!D982</f>
        <v>PA</v>
      </c>
      <c r="E994" s="84" t="str">
        <f>Matrix_prices!E982</f>
        <v>PECO</v>
      </c>
      <c r="F994" s="83" t="str">
        <f>Matrix_prices!F982</f>
        <v>GS</v>
      </c>
      <c r="G994" s="84" t="str">
        <f>Matrix_prices!G982</f>
        <v>General service</v>
      </c>
      <c r="H994" s="85" t="str">
        <f t="shared" si="44"/>
        <v>500-2500 MWh</v>
      </c>
      <c r="I994" s="84">
        <f>(Matrix_prices!I982+$D$2)*IF($M$2="Prices in $/MWh",1,1/1000)</f>
        <v>68.11</v>
      </c>
      <c r="J994" s="83">
        <f>(Matrix_prices!J982+$D$2)*IF($M$2="Prices in $/MWh",1,1/1000)</f>
        <v>66.45</v>
      </c>
      <c r="K994" s="84">
        <f>(Matrix_prices!K982+$D$2)*IF($M$2="Prices in $/MWh",1,1/1000)</f>
        <v>67.78</v>
      </c>
      <c r="L994" s="83">
        <f>(Matrix_prices!L982+$D$2)*IF($M$2="Prices in $/MWh",1,1/1000)</f>
        <v>24.84</v>
      </c>
      <c r="M994" s="84">
        <f>(Matrix_prices!M982+$D$2)*IF($M$2="Prices in $/MWh",1,1/1000)</f>
        <v>23.7</v>
      </c>
      <c r="N994" s="83">
        <f>(Matrix_prices!N982+$D$2)*IF($M$2="Prices in $/MWh",1,1/1000)</f>
        <v>25.35</v>
      </c>
      <c r="O994" s="61"/>
    </row>
    <row r="995" spans="2:15" x14ac:dyDescent="0.25">
      <c r="B995" s="57"/>
      <c r="C995" s="74">
        <f>Matrix_prices!C983</f>
        <v>42491</v>
      </c>
      <c r="D995" s="75" t="str">
        <f>Matrix_prices!D983</f>
        <v>PA</v>
      </c>
      <c r="E995" s="76" t="str">
        <f>Matrix_prices!E983</f>
        <v>PECO</v>
      </c>
      <c r="F995" s="75" t="str">
        <f>Matrix_prices!F983</f>
        <v>GS</v>
      </c>
      <c r="G995" s="76" t="str">
        <f>Matrix_prices!G983</f>
        <v>General service</v>
      </c>
      <c r="H995" s="157" t="str">
        <f t="shared" ref="H995:H1058" si="45">IF($M$2="Prices in $/MWh","0-100 MWh","0-100,000 kWh")</f>
        <v>0-100 MWh</v>
      </c>
      <c r="I995" s="76">
        <f>(Matrix_prices!I983+$D$2)*IF($M$2="Prices in $/MWh",1,1/1000)</f>
        <v>70.83</v>
      </c>
      <c r="J995" s="75">
        <f>(Matrix_prices!J983+$D$2)*IF($M$2="Prices in $/MWh",1,1/1000)</f>
        <v>68.83</v>
      </c>
      <c r="K995" s="76">
        <f>(Matrix_prices!K983+$D$2)*IF($M$2="Prices in $/MWh",1,1/1000)</f>
        <v>70.430000000000007</v>
      </c>
      <c r="L995" s="75">
        <f>(Matrix_prices!L983+$D$2)*IF($M$2="Prices in $/MWh",1,1/1000)</f>
        <v>27.47</v>
      </c>
      <c r="M995" s="76">
        <f>(Matrix_prices!M983+$D$2)*IF($M$2="Prices in $/MWh",1,1/1000)</f>
        <v>26.22</v>
      </c>
      <c r="N995" s="75">
        <f>(Matrix_prices!N983+$D$2)*IF($M$2="Prices in $/MWh",1,1/1000)</f>
        <v>28.03</v>
      </c>
      <c r="O995" s="61"/>
    </row>
    <row r="996" spans="2:15" x14ac:dyDescent="0.25">
      <c r="B996" s="57"/>
      <c r="C996" s="78">
        <f>Matrix_prices!C984</f>
        <v>42491</v>
      </c>
      <c r="D996" s="79" t="str">
        <f>Matrix_prices!D984</f>
        <v>PA</v>
      </c>
      <c r="E996" s="80" t="str">
        <f>Matrix_prices!E984</f>
        <v>PECO</v>
      </c>
      <c r="F996" s="79" t="str">
        <f>Matrix_prices!F984</f>
        <v>GS</v>
      </c>
      <c r="G996" s="80" t="str">
        <f>Matrix_prices!G984</f>
        <v>General service</v>
      </c>
      <c r="H996" s="81" t="str">
        <f t="shared" ref="H996:H1059" si="46">IF($M$2="Prices in $/MWh","100-500 MWh","100,000-500,000 kWh")</f>
        <v>100-500 MWh</v>
      </c>
      <c r="I996" s="80">
        <f>(Matrix_prices!I984+$D$2)*IF($M$2="Prices in $/MWh",1,1/1000)</f>
        <v>69.23</v>
      </c>
      <c r="J996" s="79">
        <f>(Matrix_prices!J984+$D$2)*IF($M$2="Prices in $/MWh",1,1/1000)</f>
        <v>67.23</v>
      </c>
      <c r="K996" s="80">
        <f>(Matrix_prices!K984+$D$2)*IF($M$2="Prices in $/MWh",1,1/1000)</f>
        <v>68.83</v>
      </c>
      <c r="L996" s="79">
        <f>(Matrix_prices!L984+$D$2)*IF($M$2="Prices in $/MWh",1,1/1000)</f>
        <v>25.87</v>
      </c>
      <c r="M996" s="80">
        <f>(Matrix_prices!M984+$D$2)*IF($M$2="Prices in $/MWh",1,1/1000)</f>
        <v>24.62</v>
      </c>
      <c r="N996" s="79">
        <f>(Matrix_prices!N984+$D$2)*IF($M$2="Prices in $/MWh",1,1/1000)</f>
        <v>26.43</v>
      </c>
      <c r="O996" s="61"/>
    </row>
    <row r="997" spans="2:15" x14ac:dyDescent="0.25">
      <c r="B997" s="57"/>
      <c r="C997" s="82">
        <f>Matrix_prices!C985</f>
        <v>42491</v>
      </c>
      <c r="D997" s="83" t="str">
        <f>Matrix_prices!D985</f>
        <v>PA</v>
      </c>
      <c r="E997" s="84" t="str">
        <f>Matrix_prices!E985</f>
        <v>PECO</v>
      </c>
      <c r="F997" s="83" t="str">
        <f>Matrix_prices!F985</f>
        <v>GS</v>
      </c>
      <c r="G997" s="84" t="str">
        <f>Matrix_prices!G985</f>
        <v>General service</v>
      </c>
      <c r="H997" s="85" t="str">
        <f t="shared" ref="H997:H1060" si="47">IF($M$2="Prices in $/MWh","500-2500 MWh","500,000-2,500,000 kWh")</f>
        <v>500-2500 MWh</v>
      </c>
      <c r="I997" s="84">
        <f>(Matrix_prices!I985+$D$2)*IF($M$2="Prices in $/MWh",1,1/1000)</f>
        <v>68.180000000000007</v>
      </c>
      <c r="J997" s="83">
        <f>(Matrix_prices!J985+$D$2)*IF($M$2="Prices in $/MWh",1,1/1000)</f>
        <v>66.180000000000007</v>
      </c>
      <c r="K997" s="84">
        <f>(Matrix_prices!K985+$D$2)*IF($M$2="Prices in $/MWh",1,1/1000)</f>
        <v>67.78</v>
      </c>
      <c r="L997" s="83">
        <f>(Matrix_prices!L985+$D$2)*IF($M$2="Prices in $/MWh",1,1/1000)</f>
        <v>24.82</v>
      </c>
      <c r="M997" s="84">
        <f>(Matrix_prices!M985+$D$2)*IF($M$2="Prices in $/MWh",1,1/1000)</f>
        <v>23.57</v>
      </c>
      <c r="N997" s="83">
        <f>(Matrix_prices!N985+$D$2)*IF($M$2="Prices in $/MWh",1,1/1000)</f>
        <v>25.38</v>
      </c>
      <c r="O997" s="61"/>
    </row>
    <row r="998" spans="2:15" x14ac:dyDescent="0.25">
      <c r="B998" s="57"/>
      <c r="C998" s="151">
        <f>Matrix_prices!C986</f>
        <v>42522</v>
      </c>
      <c r="D998" s="152" t="str">
        <f>Matrix_prices!D986</f>
        <v>PA</v>
      </c>
      <c r="E998" s="153" t="str">
        <f>Matrix_prices!E986</f>
        <v>PECO</v>
      </c>
      <c r="F998" s="152" t="str">
        <f>Matrix_prices!F986</f>
        <v>GS</v>
      </c>
      <c r="G998" s="153" t="str">
        <f>Matrix_prices!G986</f>
        <v>General service</v>
      </c>
      <c r="H998" s="157" t="str">
        <f t="shared" si="45"/>
        <v>0-100 MWh</v>
      </c>
      <c r="I998" s="153">
        <f>(Matrix_prices!I986+$D$2)*IF($M$2="Prices in $/MWh",1,1/1000)</f>
        <v>70.790000000000006</v>
      </c>
      <c r="J998" s="152">
        <f>(Matrix_prices!J986+$D$2)*IF($M$2="Prices in $/MWh",1,1/1000)</f>
        <v>68.7</v>
      </c>
      <c r="K998" s="153">
        <f>(Matrix_prices!K986+$D$2)*IF($M$2="Prices in $/MWh",1,1/1000)</f>
        <v>70.42</v>
      </c>
      <c r="L998" s="152">
        <f>(Matrix_prices!L986+$D$2)*IF($M$2="Prices in $/MWh",1,1/1000)</f>
        <v>27.39</v>
      </c>
      <c r="M998" s="153">
        <f>(Matrix_prices!M986+$D$2)*IF($M$2="Prices in $/MWh",1,1/1000)</f>
        <v>26.21</v>
      </c>
      <c r="N998" s="152">
        <f>(Matrix_prices!N986+$D$2)*IF($M$2="Prices in $/MWh",1,1/1000)</f>
        <v>28.04</v>
      </c>
      <c r="O998" s="61"/>
    </row>
    <row r="999" spans="2:15" x14ac:dyDescent="0.25">
      <c r="B999" s="57"/>
      <c r="C999" s="78">
        <f>Matrix_prices!C987</f>
        <v>42522</v>
      </c>
      <c r="D999" s="79" t="str">
        <f>Matrix_prices!D987</f>
        <v>PA</v>
      </c>
      <c r="E999" s="80" t="str">
        <f>Matrix_prices!E987</f>
        <v>PECO</v>
      </c>
      <c r="F999" s="79" t="str">
        <f>Matrix_prices!F987</f>
        <v>GS</v>
      </c>
      <c r="G999" s="80" t="str">
        <f>Matrix_prices!G987</f>
        <v>General service</v>
      </c>
      <c r="H999" s="81" t="str">
        <f t="shared" si="46"/>
        <v>100-500 MWh</v>
      </c>
      <c r="I999" s="80">
        <f>(Matrix_prices!I987+$D$2)*IF($M$2="Prices in $/MWh",1,1/1000)</f>
        <v>69.19</v>
      </c>
      <c r="J999" s="79">
        <f>(Matrix_prices!J987+$D$2)*IF($M$2="Prices in $/MWh",1,1/1000)</f>
        <v>67.099999999999994</v>
      </c>
      <c r="K999" s="80">
        <f>(Matrix_prices!K987+$D$2)*IF($M$2="Prices in $/MWh",1,1/1000)</f>
        <v>68.819999999999993</v>
      </c>
      <c r="L999" s="79">
        <f>(Matrix_prices!L987+$D$2)*IF($M$2="Prices in $/MWh",1,1/1000)</f>
        <v>25.79</v>
      </c>
      <c r="M999" s="80">
        <f>(Matrix_prices!M987+$D$2)*IF($M$2="Prices in $/MWh",1,1/1000)</f>
        <v>24.61</v>
      </c>
      <c r="N999" s="79">
        <f>(Matrix_prices!N987+$D$2)*IF($M$2="Prices in $/MWh",1,1/1000)</f>
        <v>26.44</v>
      </c>
      <c r="O999" s="61"/>
    </row>
    <row r="1000" spans="2:15" x14ac:dyDescent="0.25">
      <c r="B1000" s="57"/>
      <c r="C1000" s="82">
        <f>Matrix_prices!C988</f>
        <v>42522</v>
      </c>
      <c r="D1000" s="83" t="str">
        <f>Matrix_prices!D988</f>
        <v>PA</v>
      </c>
      <c r="E1000" s="84" t="str">
        <f>Matrix_prices!E988</f>
        <v>PECO</v>
      </c>
      <c r="F1000" s="83" t="str">
        <f>Matrix_prices!F988</f>
        <v>GS</v>
      </c>
      <c r="G1000" s="84" t="str">
        <f>Matrix_prices!G988</f>
        <v>General service</v>
      </c>
      <c r="H1000" s="85" t="str">
        <f t="shared" si="47"/>
        <v>500-2500 MWh</v>
      </c>
      <c r="I1000" s="84">
        <f>(Matrix_prices!I988+$D$2)*IF($M$2="Prices in $/MWh",1,1/1000)</f>
        <v>68.14</v>
      </c>
      <c r="J1000" s="83">
        <f>(Matrix_prices!J988+$D$2)*IF($M$2="Prices in $/MWh",1,1/1000)</f>
        <v>66.05</v>
      </c>
      <c r="K1000" s="84">
        <f>(Matrix_prices!K988+$D$2)*IF($M$2="Prices in $/MWh",1,1/1000)</f>
        <v>67.77</v>
      </c>
      <c r="L1000" s="83">
        <f>(Matrix_prices!L988+$D$2)*IF($M$2="Prices in $/MWh",1,1/1000)</f>
        <v>24.74</v>
      </c>
      <c r="M1000" s="84">
        <f>(Matrix_prices!M988+$D$2)*IF($M$2="Prices in $/MWh",1,1/1000)</f>
        <v>23.56</v>
      </c>
      <c r="N1000" s="83">
        <f>(Matrix_prices!N988+$D$2)*IF($M$2="Prices in $/MWh",1,1/1000)</f>
        <v>25.39</v>
      </c>
      <c r="O1000" s="61"/>
    </row>
    <row r="1001" spans="2:15" x14ac:dyDescent="0.25">
      <c r="B1001" s="57"/>
      <c r="C1001" s="74">
        <f>Matrix_prices!C989</f>
        <v>42552</v>
      </c>
      <c r="D1001" s="75" t="str">
        <f>Matrix_prices!D989</f>
        <v>PA</v>
      </c>
      <c r="E1001" s="76" t="str">
        <f>Matrix_prices!E989</f>
        <v>PECO</v>
      </c>
      <c r="F1001" s="75" t="str">
        <f>Matrix_prices!F989</f>
        <v>GS</v>
      </c>
      <c r="G1001" s="76" t="str">
        <f>Matrix_prices!G989</f>
        <v>General service</v>
      </c>
      <c r="H1001" s="157" t="str">
        <f t="shared" si="45"/>
        <v>0-100 MWh</v>
      </c>
      <c r="I1001" s="76">
        <f>(Matrix_prices!I989+$D$2)*IF($M$2="Prices in $/MWh",1,1/1000)</f>
        <v>70.87</v>
      </c>
      <c r="J1001" s="75">
        <f>(Matrix_prices!J989+$D$2)*IF($M$2="Prices in $/MWh",1,1/1000)</f>
        <v>69.09</v>
      </c>
      <c r="K1001" s="76">
        <f>(Matrix_prices!K989+$D$2)*IF($M$2="Prices in $/MWh",1,1/1000)</f>
        <v>70.73</v>
      </c>
      <c r="L1001" s="75">
        <f>(Matrix_prices!L989+$D$2)*IF($M$2="Prices in $/MWh",1,1/1000)</f>
        <v>27.6</v>
      </c>
      <c r="M1001" s="76">
        <f>(Matrix_prices!M989+$D$2)*IF($M$2="Prices in $/MWh",1,1/1000)</f>
        <v>26.97</v>
      </c>
      <c r="N1001" s="75">
        <f>(Matrix_prices!N989+$D$2)*IF($M$2="Prices in $/MWh",1,1/1000)</f>
        <v>28.51</v>
      </c>
      <c r="O1001" s="61"/>
    </row>
    <row r="1002" spans="2:15" x14ac:dyDescent="0.25">
      <c r="B1002" s="57"/>
      <c r="C1002" s="78">
        <f>Matrix_prices!C990</f>
        <v>42552</v>
      </c>
      <c r="D1002" s="79" t="str">
        <f>Matrix_prices!D990</f>
        <v>PA</v>
      </c>
      <c r="E1002" s="80" t="str">
        <f>Matrix_prices!E990</f>
        <v>PECO</v>
      </c>
      <c r="F1002" s="79" t="str">
        <f>Matrix_prices!F990</f>
        <v>GS</v>
      </c>
      <c r="G1002" s="80" t="str">
        <f>Matrix_prices!G990</f>
        <v>General service</v>
      </c>
      <c r="H1002" s="81" t="str">
        <f t="shared" si="46"/>
        <v>100-500 MWh</v>
      </c>
      <c r="I1002" s="80">
        <f>(Matrix_prices!I990+$D$2)*IF($M$2="Prices in $/MWh",1,1/1000)</f>
        <v>69.27</v>
      </c>
      <c r="J1002" s="79">
        <f>(Matrix_prices!J990+$D$2)*IF($M$2="Prices in $/MWh",1,1/1000)</f>
        <v>67.489999999999995</v>
      </c>
      <c r="K1002" s="80">
        <f>(Matrix_prices!K990+$D$2)*IF($M$2="Prices in $/MWh",1,1/1000)</f>
        <v>69.13</v>
      </c>
      <c r="L1002" s="79">
        <f>(Matrix_prices!L990+$D$2)*IF($M$2="Prices in $/MWh",1,1/1000)</f>
        <v>26</v>
      </c>
      <c r="M1002" s="80">
        <f>(Matrix_prices!M990+$D$2)*IF($M$2="Prices in $/MWh",1,1/1000)</f>
        <v>25.37</v>
      </c>
      <c r="N1002" s="79">
        <f>(Matrix_prices!N990+$D$2)*IF($M$2="Prices in $/MWh",1,1/1000)</f>
        <v>26.91</v>
      </c>
      <c r="O1002" s="61"/>
    </row>
    <row r="1003" spans="2:15" x14ac:dyDescent="0.25">
      <c r="B1003" s="57"/>
      <c r="C1003" s="82">
        <f>Matrix_prices!C991</f>
        <v>42552</v>
      </c>
      <c r="D1003" s="83" t="str">
        <f>Matrix_prices!D991</f>
        <v>PA</v>
      </c>
      <c r="E1003" s="84" t="str">
        <f>Matrix_prices!E991</f>
        <v>PECO</v>
      </c>
      <c r="F1003" s="83" t="str">
        <f>Matrix_prices!F991</f>
        <v>GS</v>
      </c>
      <c r="G1003" s="84" t="str">
        <f>Matrix_prices!G991</f>
        <v>General service</v>
      </c>
      <c r="H1003" s="85" t="str">
        <f t="shared" si="47"/>
        <v>500-2500 MWh</v>
      </c>
      <c r="I1003" s="84">
        <f>(Matrix_prices!I991+$D$2)*IF($M$2="Prices in $/MWh",1,1/1000)</f>
        <v>68.22</v>
      </c>
      <c r="J1003" s="83">
        <f>(Matrix_prices!J991+$D$2)*IF($M$2="Prices in $/MWh",1,1/1000)</f>
        <v>66.44</v>
      </c>
      <c r="K1003" s="84">
        <f>(Matrix_prices!K991+$D$2)*IF($M$2="Prices in $/MWh",1,1/1000)</f>
        <v>68.08</v>
      </c>
      <c r="L1003" s="83">
        <f>(Matrix_prices!L991+$D$2)*IF($M$2="Prices in $/MWh",1,1/1000)</f>
        <v>24.95</v>
      </c>
      <c r="M1003" s="84">
        <f>(Matrix_prices!M991+$D$2)*IF($M$2="Prices in $/MWh",1,1/1000)</f>
        <v>24.32</v>
      </c>
      <c r="N1003" s="83">
        <f>(Matrix_prices!N991+$D$2)*IF($M$2="Prices in $/MWh",1,1/1000)</f>
        <v>25.86</v>
      </c>
      <c r="O1003" s="61"/>
    </row>
    <row r="1004" spans="2:15" x14ac:dyDescent="0.25">
      <c r="B1004" s="57"/>
      <c r="C1004" s="151">
        <f>Matrix_prices!C992</f>
        <v>42583</v>
      </c>
      <c r="D1004" s="152" t="str">
        <f>Matrix_prices!D992</f>
        <v>PA</v>
      </c>
      <c r="E1004" s="153" t="str">
        <f>Matrix_prices!E992</f>
        <v>PECO</v>
      </c>
      <c r="F1004" s="152" t="str">
        <f>Matrix_prices!F992</f>
        <v>GS</v>
      </c>
      <c r="G1004" s="153" t="str">
        <f>Matrix_prices!G992</f>
        <v>General service</v>
      </c>
      <c r="H1004" s="157" t="str">
        <f t="shared" si="45"/>
        <v>0-100 MWh</v>
      </c>
      <c r="I1004" s="153">
        <f>(Matrix_prices!I992+$D$2)*IF($M$2="Prices in $/MWh",1,1/1000)</f>
        <v>70.8</v>
      </c>
      <c r="J1004" s="152">
        <f>(Matrix_prices!J992+$D$2)*IF($M$2="Prices in $/MWh",1,1/1000)</f>
        <v>70.13</v>
      </c>
      <c r="K1004" s="153">
        <f>(Matrix_prices!K992+$D$2)*IF($M$2="Prices in $/MWh",1,1/1000)</f>
        <v>71.12</v>
      </c>
      <c r="L1004" s="152">
        <f>(Matrix_prices!L992+$D$2)*IF($M$2="Prices in $/MWh",1,1/1000)</f>
        <v>27.76</v>
      </c>
      <c r="M1004" s="153">
        <f>(Matrix_prices!M992+$D$2)*IF($M$2="Prices in $/MWh",1,1/1000)</f>
        <v>27.97</v>
      </c>
      <c r="N1004" s="152">
        <f>(Matrix_prices!N992+$D$2)*IF($M$2="Prices in $/MWh",1,1/1000)</f>
        <v>29.05</v>
      </c>
      <c r="O1004" s="61"/>
    </row>
    <row r="1005" spans="2:15" x14ac:dyDescent="0.25">
      <c r="B1005" s="57"/>
      <c r="C1005" s="78">
        <f>Matrix_prices!C993</f>
        <v>42583</v>
      </c>
      <c r="D1005" s="79" t="str">
        <f>Matrix_prices!D993</f>
        <v>PA</v>
      </c>
      <c r="E1005" s="80" t="str">
        <f>Matrix_prices!E993</f>
        <v>PECO</v>
      </c>
      <c r="F1005" s="79" t="str">
        <f>Matrix_prices!F993</f>
        <v>GS</v>
      </c>
      <c r="G1005" s="80" t="str">
        <f>Matrix_prices!G993</f>
        <v>General service</v>
      </c>
      <c r="H1005" s="81" t="str">
        <f t="shared" si="46"/>
        <v>100-500 MWh</v>
      </c>
      <c r="I1005" s="80">
        <f>(Matrix_prices!I993+$D$2)*IF($M$2="Prices in $/MWh",1,1/1000)</f>
        <v>69.2</v>
      </c>
      <c r="J1005" s="79">
        <f>(Matrix_prices!J993+$D$2)*IF($M$2="Prices in $/MWh",1,1/1000)</f>
        <v>68.53</v>
      </c>
      <c r="K1005" s="80">
        <f>(Matrix_prices!K993+$D$2)*IF($M$2="Prices in $/MWh",1,1/1000)</f>
        <v>69.52</v>
      </c>
      <c r="L1005" s="79">
        <f>(Matrix_prices!L993+$D$2)*IF($M$2="Prices in $/MWh",1,1/1000)</f>
        <v>26.16</v>
      </c>
      <c r="M1005" s="80">
        <f>(Matrix_prices!M993+$D$2)*IF($M$2="Prices in $/MWh",1,1/1000)</f>
        <v>26.37</v>
      </c>
      <c r="N1005" s="79">
        <f>(Matrix_prices!N993+$D$2)*IF($M$2="Prices in $/MWh",1,1/1000)</f>
        <v>27.45</v>
      </c>
      <c r="O1005" s="61"/>
    </row>
    <row r="1006" spans="2:15" x14ac:dyDescent="0.25">
      <c r="B1006" s="57"/>
      <c r="C1006" s="82">
        <f>Matrix_prices!C994</f>
        <v>42583</v>
      </c>
      <c r="D1006" s="83" t="str">
        <f>Matrix_prices!D994</f>
        <v>PA</v>
      </c>
      <c r="E1006" s="84" t="str">
        <f>Matrix_prices!E994</f>
        <v>PECO</v>
      </c>
      <c r="F1006" s="83" t="str">
        <f>Matrix_prices!F994</f>
        <v>GS</v>
      </c>
      <c r="G1006" s="84" t="str">
        <f>Matrix_prices!G994</f>
        <v>General service</v>
      </c>
      <c r="H1006" s="85" t="str">
        <f t="shared" si="47"/>
        <v>500-2500 MWh</v>
      </c>
      <c r="I1006" s="84">
        <f>(Matrix_prices!I994+$D$2)*IF($M$2="Prices in $/MWh",1,1/1000)</f>
        <v>68.150000000000006</v>
      </c>
      <c r="J1006" s="83">
        <f>(Matrix_prices!J994+$D$2)*IF($M$2="Prices in $/MWh",1,1/1000)</f>
        <v>67.48</v>
      </c>
      <c r="K1006" s="84">
        <f>(Matrix_prices!K994+$D$2)*IF($M$2="Prices in $/MWh",1,1/1000)</f>
        <v>68.47</v>
      </c>
      <c r="L1006" s="83">
        <f>(Matrix_prices!L994+$D$2)*IF($M$2="Prices in $/MWh",1,1/1000)</f>
        <v>25.11</v>
      </c>
      <c r="M1006" s="84">
        <f>(Matrix_prices!M994+$D$2)*IF($M$2="Prices in $/MWh",1,1/1000)</f>
        <v>25.32</v>
      </c>
      <c r="N1006" s="83">
        <f>(Matrix_prices!N994+$D$2)*IF($M$2="Prices in $/MWh",1,1/1000)</f>
        <v>26.4</v>
      </c>
      <c r="O1006" s="61"/>
    </row>
    <row r="1007" spans="2:15" x14ac:dyDescent="0.25">
      <c r="B1007" s="57"/>
      <c r="C1007" s="74">
        <f>Matrix_prices!C995</f>
        <v>42614</v>
      </c>
      <c r="D1007" s="75" t="str">
        <f>Matrix_prices!D995</f>
        <v>PA</v>
      </c>
      <c r="E1007" s="76" t="str">
        <f>Matrix_prices!E995</f>
        <v>PECO</v>
      </c>
      <c r="F1007" s="75" t="str">
        <f>Matrix_prices!F995</f>
        <v>GS</v>
      </c>
      <c r="G1007" s="76" t="str">
        <f>Matrix_prices!G995</f>
        <v>General service</v>
      </c>
      <c r="H1007" s="157" t="str">
        <f t="shared" si="45"/>
        <v>0-100 MWh</v>
      </c>
      <c r="I1007" s="76">
        <f>(Matrix_prices!I995+$D$2)*IF($M$2="Prices in $/MWh",1,1/1000)</f>
        <v>70.760000000000005</v>
      </c>
      <c r="J1007" s="75">
        <f>(Matrix_prices!J995+$D$2)*IF($M$2="Prices in $/MWh",1,1/1000)</f>
        <v>71.23</v>
      </c>
      <c r="K1007" s="76">
        <f>(Matrix_prices!K995+$D$2)*IF($M$2="Prices in $/MWh",1,1/1000)</f>
        <v>71.489999999999995</v>
      </c>
      <c r="L1007" s="75">
        <f>(Matrix_prices!L995+$D$2)*IF($M$2="Prices in $/MWh",1,1/1000)</f>
        <v>27.98</v>
      </c>
      <c r="M1007" s="76">
        <f>(Matrix_prices!M995+$D$2)*IF($M$2="Prices in $/MWh",1,1/1000)</f>
        <v>29.05</v>
      </c>
      <c r="N1007" s="75">
        <f>(Matrix_prices!N995+$D$2)*IF($M$2="Prices in $/MWh",1,1/1000)</f>
        <v>29.65</v>
      </c>
      <c r="O1007" s="61"/>
    </row>
    <row r="1008" spans="2:15" x14ac:dyDescent="0.25">
      <c r="B1008" s="57"/>
      <c r="C1008" s="78">
        <f>Matrix_prices!C996</f>
        <v>42614</v>
      </c>
      <c r="D1008" s="79" t="str">
        <f>Matrix_prices!D996</f>
        <v>PA</v>
      </c>
      <c r="E1008" s="80" t="str">
        <f>Matrix_prices!E996</f>
        <v>PECO</v>
      </c>
      <c r="F1008" s="79" t="str">
        <f>Matrix_prices!F996</f>
        <v>GS</v>
      </c>
      <c r="G1008" s="80" t="str">
        <f>Matrix_prices!G996</f>
        <v>General service</v>
      </c>
      <c r="H1008" s="81" t="str">
        <f t="shared" si="46"/>
        <v>100-500 MWh</v>
      </c>
      <c r="I1008" s="80">
        <f>(Matrix_prices!I996+$D$2)*IF($M$2="Prices in $/MWh",1,1/1000)</f>
        <v>69.16</v>
      </c>
      <c r="J1008" s="79">
        <f>(Matrix_prices!J996+$D$2)*IF($M$2="Prices in $/MWh",1,1/1000)</f>
        <v>69.63</v>
      </c>
      <c r="K1008" s="80">
        <f>(Matrix_prices!K996+$D$2)*IF($M$2="Prices in $/MWh",1,1/1000)</f>
        <v>69.89</v>
      </c>
      <c r="L1008" s="79">
        <f>(Matrix_prices!L996+$D$2)*IF($M$2="Prices in $/MWh",1,1/1000)</f>
        <v>26.38</v>
      </c>
      <c r="M1008" s="80">
        <f>(Matrix_prices!M996+$D$2)*IF($M$2="Prices in $/MWh",1,1/1000)</f>
        <v>27.45</v>
      </c>
      <c r="N1008" s="79">
        <f>(Matrix_prices!N996+$D$2)*IF($M$2="Prices in $/MWh",1,1/1000)</f>
        <v>28.05</v>
      </c>
      <c r="O1008" s="61"/>
    </row>
    <row r="1009" spans="2:15" x14ac:dyDescent="0.25">
      <c r="B1009" s="57"/>
      <c r="C1009" s="82">
        <f>Matrix_prices!C997</f>
        <v>42614</v>
      </c>
      <c r="D1009" s="83" t="str">
        <f>Matrix_prices!D997</f>
        <v>PA</v>
      </c>
      <c r="E1009" s="84" t="str">
        <f>Matrix_prices!E997</f>
        <v>PECO</v>
      </c>
      <c r="F1009" s="83" t="str">
        <f>Matrix_prices!F997</f>
        <v>GS</v>
      </c>
      <c r="G1009" s="84" t="str">
        <f>Matrix_prices!G997</f>
        <v>General service</v>
      </c>
      <c r="H1009" s="85" t="str">
        <f t="shared" si="47"/>
        <v>500-2500 MWh</v>
      </c>
      <c r="I1009" s="84">
        <f>(Matrix_prices!I997+$D$2)*IF($M$2="Prices in $/MWh",1,1/1000)</f>
        <v>68.11</v>
      </c>
      <c r="J1009" s="83">
        <f>(Matrix_prices!J997+$D$2)*IF($M$2="Prices in $/MWh",1,1/1000)</f>
        <v>68.58</v>
      </c>
      <c r="K1009" s="84">
        <f>(Matrix_prices!K997+$D$2)*IF($M$2="Prices in $/MWh",1,1/1000)</f>
        <v>68.84</v>
      </c>
      <c r="L1009" s="83">
        <f>(Matrix_prices!L997+$D$2)*IF($M$2="Prices in $/MWh",1,1/1000)</f>
        <v>25.33</v>
      </c>
      <c r="M1009" s="84">
        <f>(Matrix_prices!M997+$D$2)*IF($M$2="Prices in $/MWh",1,1/1000)</f>
        <v>26.4</v>
      </c>
      <c r="N1009" s="83">
        <f>(Matrix_prices!N997+$D$2)*IF($M$2="Prices in $/MWh",1,1/1000)</f>
        <v>27</v>
      </c>
      <c r="O1009" s="61"/>
    </row>
    <row r="1010" spans="2:15" x14ac:dyDescent="0.25">
      <c r="B1010" s="57"/>
      <c r="C1010" s="151">
        <f>Matrix_prices!C998</f>
        <v>42644</v>
      </c>
      <c r="D1010" s="152" t="str">
        <f>Matrix_prices!D998</f>
        <v>PA</v>
      </c>
      <c r="E1010" s="153" t="str">
        <f>Matrix_prices!E998</f>
        <v>PECO</v>
      </c>
      <c r="F1010" s="152" t="str">
        <f>Matrix_prices!F998</f>
        <v>GS</v>
      </c>
      <c r="G1010" s="153" t="str">
        <f>Matrix_prices!G998</f>
        <v>General service</v>
      </c>
      <c r="H1010" s="157" t="str">
        <f t="shared" si="45"/>
        <v>0-100 MWh</v>
      </c>
      <c r="I1010" s="153">
        <f>(Matrix_prices!I998+$D$2)*IF($M$2="Prices in $/MWh",1,1/1000)</f>
        <v>70.849999999999994</v>
      </c>
      <c r="J1010" s="152">
        <f>(Matrix_prices!J998+$D$2)*IF($M$2="Prices in $/MWh",1,1/1000)</f>
        <v>72.11</v>
      </c>
      <c r="K1010" s="153">
        <f>(Matrix_prices!K998+$D$2)*IF($M$2="Prices in $/MWh",1,1/1000)</f>
        <v>71.83</v>
      </c>
      <c r="L1010" s="152">
        <f>(Matrix_prices!L998+$D$2)*IF($M$2="Prices in $/MWh",1,1/1000)</f>
        <v>28.33</v>
      </c>
      <c r="M1010" s="153">
        <f>(Matrix_prices!M998+$D$2)*IF($M$2="Prices in $/MWh",1,1/1000)</f>
        <v>29.95</v>
      </c>
      <c r="N1010" s="152">
        <f>(Matrix_prices!N998+$D$2)*IF($M$2="Prices in $/MWh",1,1/1000)</f>
        <v>30.22</v>
      </c>
      <c r="O1010" s="61"/>
    </row>
    <row r="1011" spans="2:15" x14ac:dyDescent="0.25">
      <c r="B1011" s="57"/>
      <c r="C1011" s="78">
        <f>Matrix_prices!C999</f>
        <v>42644</v>
      </c>
      <c r="D1011" s="79" t="str">
        <f>Matrix_prices!D999</f>
        <v>PA</v>
      </c>
      <c r="E1011" s="80" t="str">
        <f>Matrix_prices!E999</f>
        <v>PECO</v>
      </c>
      <c r="F1011" s="79" t="str">
        <f>Matrix_prices!F999</f>
        <v>GS</v>
      </c>
      <c r="G1011" s="80" t="str">
        <f>Matrix_prices!G999</f>
        <v>General service</v>
      </c>
      <c r="H1011" s="81" t="str">
        <f t="shared" si="46"/>
        <v>100-500 MWh</v>
      </c>
      <c r="I1011" s="80">
        <f>(Matrix_prices!I999+$D$2)*IF($M$2="Prices in $/MWh",1,1/1000)</f>
        <v>69.25</v>
      </c>
      <c r="J1011" s="79">
        <f>(Matrix_prices!J999+$D$2)*IF($M$2="Prices in $/MWh",1,1/1000)</f>
        <v>70.510000000000005</v>
      </c>
      <c r="K1011" s="80">
        <f>(Matrix_prices!K999+$D$2)*IF($M$2="Prices in $/MWh",1,1/1000)</f>
        <v>70.23</v>
      </c>
      <c r="L1011" s="79">
        <f>(Matrix_prices!L999+$D$2)*IF($M$2="Prices in $/MWh",1,1/1000)</f>
        <v>26.73</v>
      </c>
      <c r="M1011" s="80">
        <f>(Matrix_prices!M999+$D$2)*IF($M$2="Prices in $/MWh",1,1/1000)</f>
        <v>28.35</v>
      </c>
      <c r="N1011" s="79">
        <f>(Matrix_prices!N999+$D$2)*IF($M$2="Prices in $/MWh",1,1/1000)</f>
        <v>28.62</v>
      </c>
      <c r="O1011" s="61"/>
    </row>
    <row r="1012" spans="2:15" x14ac:dyDescent="0.25">
      <c r="B1012" s="57"/>
      <c r="C1012" s="82">
        <f>Matrix_prices!C1000</f>
        <v>42644</v>
      </c>
      <c r="D1012" s="83" t="str">
        <f>Matrix_prices!D1000</f>
        <v>PA</v>
      </c>
      <c r="E1012" s="84" t="str">
        <f>Matrix_prices!E1000</f>
        <v>PECO</v>
      </c>
      <c r="F1012" s="83" t="str">
        <f>Matrix_prices!F1000</f>
        <v>GS</v>
      </c>
      <c r="G1012" s="84" t="str">
        <f>Matrix_prices!G1000</f>
        <v>General service</v>
      </c>
      <c r="H1012" s="85" t="str">
        <f t="shared" si="47"/>
        <v>500-2500 MWh</v>
      </c>
      <c r="I1012" s="84">
        <f>(Matrix_prices!I1000+$D$2)*IF($M$2="Prices in $/MWh",1,1/1000)</f>
        <v>68.2</v>
      </c>
      <c r="J1012" s="83">
        <f>(Matrix_prices!J1000+$D$2)*IF($M$2="Prices in $/MWh",1,1/1000)</f>
        <v>69.459999999999994</v>
      </c>
      <c r="K1012" s="84">
        <f>(Matrix_prices!K1000+$D$2)*IF($M$2="Prices in $/MWh",1,1/1000)</f>
        <v>69.180000000000007</v>
      </c>
      <c r="L1012" s="83">
        <f>(Matrix_prices!L1000+$D$2)*IF($M$2="Prices in $/MWh",1,1/1000)</f>
        <v>25.68</v>
      </c>
      <c r="M1012" s="84">
        <f>(Matrix_prices!M1000+$D$2)*IF($M$2="Prices in $/MWh",1,1/1000)</f>
        <v>27.3</v>
      </c>
      <c r="N1012" s="83">
        <f>(Matrix_prices!N1000+$D$2)*IF($M$2="Prices in $/MWh",1,1/1000)</f>
        <v>27.57</v>
      </c>
      <c r="O1012" s="61"/>
    </row>
    <row r="1013" spans="2:15" x14ac:dyDescent="0.25">
      <c r="B1013" s="57"/>
      <c r="C1013" s="74">
        <f>Matrix_prices!C1001</f>
        <v>42675</v>
      </c>
      <c r="D1013" s="75" t="str">
        <f>Matrix_prices!D1001</f>
        <v>PA</v>
      </c>
      <c r="E1013" s="76" t="str">
        <f>Matrix_prices!E1001</f>
        <v>PECO</v>
      </c>
      <c r="F1013" s="75" t="str">
        <f>Matrix_prices!F1001</f>
        <v>GS</v>
      </c>
      <c r="G1013" s="76" t="str">
        <f>Matrix_prices!G1001</f>
        <v>General service</v>
      </c>
      <c r="H1013" s="157" t="str">
        <f t="shared" si="45"/>
        <v>0-100 MWh</v>
      </c>
      <c r="I1013" s="76">
        <f>(Matrix_prices!I1001+$D$2)*IF($M$2="Prices in $/MWh",1,1/1000)</f>
        <v>70.78</v>
      </c>
      <c r="J1013" s="75">
        <f>(Matrix_prices!J1001+$D$2)*IF($M$2="Prices in $/MWh",1,1/1000)</f>
        <v>72.349999999999994</v>
      </c>
      <c r="K1013" s="76">
        <f>(Matrix_prices!K1001+$D$2)*IF($M$2="Prices in $/MWh",1,1/1000)</f>
        <v>72.13</v>
      </c>
      <c r="L1013" s="75">
        <f>(Matrix_prices!L1001+$D$2)*IF($M$2="Prices in $/MWh",1,1/1000)</f>
        <v>28.41</v>
      </c>
      <c r="M1013" s="76">
        <f>(Matrix_prices!M1001+$D$2)*IF($M$2="Prices in $/MWh",1,1/1000)</f>
        <v>30.2</v>
      </c>
      <c r="N1013" s="75">
        <f>(Matrix_prices!N1001+$D$2)*IF($M$2="Prices in $/MWh",1,1/1000)</f>
        <v>30.68</v>
      </c>
      <c r="O1013" s="61"/>
    </row>
    <row r="1014" spans="2:15" x14ac:dyDescent="0.25">
      <c r="B1014" s="57"/>
      <c r="C1014" s="78">
        <f>Matrix_prices!C1002</f>
        <v>42675</v>
      </c>
      <c r="D1014" s="79" t="str">
        <f>Matrix_prices!D1002</f>
        <v>PA</v>
      </c>
      <c r="E1014" s="80" t="str">
        <f>Matrix_prices!E1002</f>
        <v>PECO</v>
      </c>
      <c r="F1014" s="79" t="str">
        <f>Matrix_prices!F1002</f>
        <v>GS</v>
      </c>
      <c r="G1014" s="80" t="str">
        <f>Matrix_prices!G1002</f>
        <v>General service</v>
      </c>
      <c r="H1014" s="81" t="str">
        <f t="shared" si="46"/>
        <v>100-500 MWh</v>
      </c>
      <c r="I1014" s="80">
        <f>(Matrix_prices!I1002+$D$2)*IF($M$2="Prices in $/MWh",1,1/1000)</f>
        <v>69.180000000000007</v>
      </c>
      <c r="J1014" s="79">
        <f>(Matrix_prices!J1002+$D$2)*IF($M$2="Prices in $/MWh",1,1/1000)</f>
        <v>70.75</v>
      </c>
      <c r="K1014" s="80">
        <f>(Matrix_prices!K1002+$D$2)*IF($M$2="Prices in $/MWh",1,1/1000)</f>
        <v>70.53</v>
      </c>
      <c r="L1014" s="79">
        <f>(Matrix_prices!L1002+$D$2)*IF($M$2="Prices in $/MWh",1,1/1000)</f>
        <v>26.81</v>
      </c>
      <c r="M1014" s="80">
        <f>(Matrix_prices!M1002+$D$2)*IF($M$2="Prices in $/MWh",1,1/1000)</f>
        <v>28.6</v>
      </c>
      <c r="N1014" s="79">
        <f>(Matrix_prices!N1002+$D$2)*IF($M$2="Prices in $/MWh",1,1/1000)</f>
        <v>29.08</v>
      </c>
      <c r="O1014" s="61"/>
    </row>
    <row r="1015" spans="2:15" x14ac:dyDescent="0.25">
      <c r="B1015" s="57"/>
      <c r="C1015" s="82">
        <f>Matrix_prices!C1003</f>
        <v>42675</v>
      </c>
      <c r="D1015" s="83" t="str">
        <f>Matrix_prices!D1003</f>
        <v>PA</v>
      </c>
      <c r="E1015" s="84" t="str">
        <f>Matrix_prices!E1003</f>
        <v>PECO</v>
      </c>
      <c r="F1015" s="83" t="str">
        <f>Matrix_prices!F1003</f>
        <v>GS</v>
      </c>
      <c r="G1015" s="84" t="str">
        <f>Matrix_prices!G1003</f>
        <v>General service</v>
      </c>
      <c r="H1015" s="85" t="str">
        <f t="shared" si="47"/>
        <v>500-2500 MWh</v>
      </c>
      <c r="I1015" s="84">
        <f>(Matrix_prices!I1003+$D$2)*IF($M$2="Prices in $/MWh",1,1/1000)</f>
        <v>68.13</v>
      </c>
      <c r="J1015" s="83">
        <f>(Matrix_prices!J1003+$D$2)*IF($M$2="Prices in $/MWh",1,1/1000)</f>
        <v>69.7</v>
      </c>
      <c r="K1015" s="84">
        <f>(Matrix_prices!K1003+$D$2)*IF($M$2="Prices in $/MWh",1,1/1000)</f>
        <v>69.48</v>
      </c>
      <c r="L1015" s="83">
        <f>(Matrix_prices!L1003+$D$2)*IF($M$2="Prices in $/MWh",1,1/1000)</f>
        <v>25.76</v>
      </c>
      <c r="M1015" s="84">
        <f>(Matrix_prices!M1003+$D$2)*IF($M$2="Prices in $/MWh",1,1/1000)</f>
        <v>27.55</v>
      </c>
      <c r="N1015" s="83">
        <f>(Matrix_prices!N1003+$D$2)*IF($M$2="Prices in $/MWh",1,1/1000)</f>
        <v>28.03</v>
      </c>
      <c r="O1015" s="61"/>
    </row>
    <row r="1016" spans="2:15" x14ac:dyDescent="0.25">
      <c r="B1016" s="57"/>
      <c r="C1016" s="151">
        <f>Matrix_prices!C1004</f>
        <v>42705</v>
      </c>
      <c r="D1016" s="152" t="str">
        <f>Matrix_prices!D1004</f>
        <v>PA</v>
      </c>
      <c r="E1016" s="153" t="str">
        <f>Matrix_prices!E1004</f>
        <v>PECO</v>
      </c>
      <c r="F1016" s="152" t="str">
        <f>Matrix_prices!F1004</f>
        <v>GS</v>
      </c>
      <c r="G1016" s="153" t="str">
        <f>Matrix_prices!G1004</f>
        <v>General service</v>
      </c>
      <c r="H1016" s="157" t="str">
        <f t="shared" si="45"/>
        <v>0-100 MWh</v>
      </c>
      <c r="I1016" s="153">
        <f>(Matrix_prices!I1004+$D$2)*IF($M$2="Prices in $/MWh",1,1/1000)</f>
        <v>70.569999999999993</v>
      </c>
      <c r="J1016" s="152">
        <f>(Matrix_prices!J1004+$D$2)*IF($M$2="Prices in $/MWh",1,1/1000)</f>
        <v>72.31</v>
      </c>
      <c r="K1016" s="153">
        <f>(Matrix_prices!K1004+$D$2)*IF($M$2="Prices in $/MWh",1,1/1000)</f>
        <v>72.39</v>
      </c>
      <c r="L1016" s="152">
        <f>(Matrix_prices!L1004+$D$2)*IF($M$2="Prices in $/MWh",1,1/1000)</f>
        <v>28.32</v>
      </c>
      <c r="M1016" s="153">
        <f>(Matrix_prices!M1004+$D$2)*IF($M$2="Prices in $/MWh",1,1/1000)</f>
        <v>30.13</v>
      </c>
      <c r="N1016" s="152">
        <f>(Matrix_prices!N1004+$D$2)*IF($M$2="Prices in $/MWh",1,1/1000)</f>
        <v>31.11</v>
      </c>
      <c r="O1016" s="61"/>
    </row>
    <row r="1017" spans="2:15" x14ac:dyDescent="0.25">
      <c r="B1017" s="57"/>
      <c r="C1017" s="78">
        <f>Matrix_prices!C1005</f>
        <v>42705</v>
      </c>
      <c r="D1017" s="79" t="str">
        <f>Matrix_prices!D1005</f>
        <v>PA</v>
      </c>
      <c r="E1017" s="80" t="str">
        <f>Matrix_prices!E1005</f>
        <v>PECO</v>
      </c>
      <c r="F1017" s="79" t="str">
        <f>Matrix_prices!F1005</f>
        <v>GS</v>
      </c>
      <c r="G1017" s="80" t="str">
        <f>Matrix_prices!G1005</f>
        <v>General service</v>
      </c>
      <c r="H1017" s="81" t="str">
        <f t="shared" si="46"/>
        <v>100-500 MWh</v>
      </c>
      <c r="I1017" s="80">
        <f>(Matrix_prices!I1005+$D$2)*IF($M$2="Prices in $/MWh",1,1/1000)</f>
        <v>68.97</v>
      </c>
      <c r="J1017" s="79">
        <f>(Matrix_prices!J1005+$D$2)*IF($M$2="Prices in $/MWh",1,1/1000)</f>
        <v>70.709999999999994</v>
      </c>
      <c r="K1017" s="80">
        <f>(Matrix_prices!K1005+$D$2)*IF($M$2="Prices in $/MWh",1,1/1000)</f>
        <v>70.790000000000006</v>
      </c>
      <c r="L1017" s="79">
        <f>(Matrix_prices!L1005+$D$2)*IF($M$2="Prices in $/MWh",1,1/1000)</f>
        <v>26.72</v>
      </c>
      <c r="M1017" s="80">
        <f>(Matrix_prices!M1005+$D$2)*IF($M$2="Prices in $/MWh",1,1/1000)</f>
        <v>28.53</v>
      </c>
      <c r="N1017" s="79">
        <f>(Matrix_prices!N1005+$D$2)*IF($M$2="Prices in $/MWh",1,1/1000)</f>
        <v>29.51</v>
      </c>
      <c r="O1017" s="61"/>
    </row>
    <row r="1018" spans="2:15" x14ac:dyDescent="0.25">
      <c r="B1018" s="57"/>
      <c r="C1018" s="82">
        <f>Matrix_prices!C1006</f>
        <v>42705</v>
      </c>
      <c r="D1018" s="83" t="str">
        <f>Matrix_prices!D1006</f>
        <v>PA</v>
      </c>
      <c r="E1018" s="84" t="str">
        <f>Matrix_prices!E1006</f>
        <v>PECO</v>
      </c>
      <c r="F1018" s="83" t="str">
        <f>Matrix_prices!F1006</f>
        <v>GS</v>
      </c>
      <c r="G1018" s="84" t="str">
        <f>Matrix_prices!G1006</f>
        <v>General service</v>
      </c>
      <c r="H1018" s="85" t="str">
        <f t="shared" si="47"/>
        <v>500-2500 MWh</v>
      </c>
      <c r="I1018" s="84">
        <f>(Matrix_prices!I1006+$D$2)*IF($M$2="Prices in $/MWh",1,1/1000)</f>
        <v>67.92</v>
      </c>
      <c r="J1018" s="83">
        <f>(Matrix_prices!J1006+$D$2)*IF($M$2="Prices in $/MWh",1,1/1000)</f>
        <v>69.66</v>
      </c>
      <c r="K1018" s="84">
        <f>(Matrix_prices!K1006+$D$2)*IF($M$2="Prices in $/MWh",1,1/1000)</f>
        <v>69.739999999999995</v>
      </c>
      <c r="L1018" s="83">
        <f>(Matrix_prices!L1006+$D$2)*IF($M$2="Prices in $/MWh",1,1/1000)</f>
        <v>25.67</v>
      </c>
      <c r="M1018" s="84">
        <f>(Matrix_prices!M1006+$D$2)*IF($M$2="Prices in $/MWh",1,1/1000)</f>
        <v>27.48</v>
      </c>
      <c r="N1018" s="83">
        <f>(Matrix_prices!N1006+$D$2)*IF($M$2="Prices in $/MWh",1,1/1000)</f>
        <v>28.46</v>
      </c>
      <c r="O1018" s="61"/>
    </row>
    <row r="1019" spans="2:15" x14ac:dyDescent="0.25">
      <c r="B1019" s="57"/>
      <c r="C1019" s="74">
        <f>Matrix_prices!C1007</f>
        <v>42736</v>
      </c>
      <c r="D1019" s="75" t="str">
        <f>Matrix_prices!D1007</f>
        <v>PA</v>
      </c>
      <c r="E1019" s="76" t="str">
        <f>Matrix_prices!E1007</f>
        <v>PECO</v>
      </c>
      <c r="F1019" s="75" t="str">
        <f>Matrix_prices!F1007</f>
        <v>GS</v>
      </c>
      <c r="G1019" s="76" t="str">
        <f>Matrix_prices!G1007</f>
        <v>General service</v>
      </c>
      <c r="H1019" s="157" t="str">
        <f t="shared" si="45"/>
        <v>0-100 MWh</v>
      </c>
      <c r="I1019" s="76">
        <f>(Matrix_prices!I1007+$D$2)*IF($M$2="Prices in $/MWh",1,1/1000)</f>
        <v>70.48</v>
      </c>
      <c r="J1019" s="75">
        <f>(Matrix_prices!J1007+$D$2)*IF($M$2="Prices in $/MWh",1,1/1000)</f>
        <v>72.239999999999995</v>
      </c>
      <c r="K1019" s="76">
        <f>(Matrix_prices!K1007+$D$2)*IF($M$2="Prices in $/MWh",1,1/1000)</f>
        <v>72.69</v>
      </c>
      <c r="L1019" s="75">
        <f>(Matrix_prices!L1007+$D$2)*IF($M$2="Prices in $/MWh",1,1/1000)</f>
        <v>28.45</v>
      </c>
      <c r="M1019" s="76">
        <f>(Matrix_prices!M1007+$D$2)*IF($M$2="Prices in $/MWh",1,1/1000)</f>
        <v>30.05</v>
      </c>
      <c r="N1019" s="75">
        <f>(Matrix_prices!N1007+$D$2)*IF($M$2="Prices in $/MWh",1,1/1000)</f>
        <v>31.5</v>
      </c>
      <c r="O1019" s="61"/>
    </row>
    <row r="1020" spans="2:15" x14ac:dyDescent="0.25">
      <c r="B1020" s="57"/>
      <c r="C1020" s="78">
        <f>Matrix_prices!C1008</f>
        <v>42736</v>
      </c>
      <c r="D1020" s="79" t="str">
        <f>Matrix_prices!D1008</f>
        <v>PA</v>
      </c>
      <c r="E1020" s="80" t="str">
        <f>Matrix_prices!E1008</f>
        <v>PECO</v>
      </c>
      <c r="F1020" s="79" t="str">
        <f>Matrix_prices!F1008</f>
        <v>GS</v>
      </c>
      <c r="G1020" s="80" t="str">
        <f>Matrix_prices!G1008</f>
        <v>General service</v>
      </c>
      <c r="H1020" s="81" t="str">
        <f t="shared" si="46"/>
        <v>100-500 MWh</v>
      </c>
      <c r="I1020" s="80">
        <f>(Matrix_prices!I1008+$D$2)*IF($M$2="Prices in $/MWh",1,1/1000)</f>
        <v>68.88</v>
      </c>
      <c r="J1020" s="79">
        <f>(Matrix_prices!J1008+$D$2)*IF($M$2="Prices in $/MWh",1,1/1000)</f>
        <v>70.64</v>
      </c>
      <c r="K1020" s="80">
        <f>(Matrix_prices!K1008+$D$2)*IF($M$2="Prices in $/MWh",1,1/1000)</f>
        <v>71.09</v>
      </c>
      <c r="L1020" s="79">
        <f>(Matrix_prices!L1008+$D$2)*IF($M$2="Prices in $/MWh",1,1/1000)</f>
        <v>26.85</v>
      </c>
      <c r="M1020" s="80">
        <f>(Matrix_prices!M1008+$D$2)*IF($M$2="Prices in $/MWh",1,1/1000)</f>
        <v>28.45</v>
      </c>
      <c r="N1020" s="79">
        <f>(Matrix_prices!N1008+$D$2)*IF($M$2="Prices in $/MWh",1,1/1000)</f>
        <v>29.9</v>
      </c>
      <c r="O1020" s="61"/>
    </row>
    <row r="1021" spans="2:15" x14ac:dyDescent="0.25">
      <c r="B1021" s="57"/>
      <c r="C1021" s="82">
        <f>Matrix_prices!C1009</f>
        <v>42736</v>
      </c>
      <c r="D1021" s="83" t="str">
        <f>Matrix_prices!D1009</f>
        <v>PA</v>
      </c>
      <c r="E1021" s="84" t="str">
        <f>Matrix_prices!E1009</f>
        <v>PECO</v>
      </c>
      <c r="F1021" s="83" t="str">
        <f>Matrix_prices!F1009</f>
        <v>GS</v>
      </c>
      <c r="G1021" s="84" t="str">
        <f>Matrix_prices!G1009</f>
        <v>General service</v>
      </c>
      <c r="H1021" s="85" t="str">
        <f t="shared" si="47"/>
        <v>500-2500 MWh</v>
      </c>
      <c r="I1021" s="84">
        <f>(Matrix_prices!I1009+$D$2)*IF($M$2="Prices in $/MWh",1,1/1000)</f>
        <v>67.83</v>
      </c>
      <c r="J1021" s="83">
        <f>(Matrix_prices!J1009+$D$2)*IF($M$2="Prices in $/MWh",1,1/1000)</f>
        <v>69.59</v>
      </c>
      <c r="K1021" s="84">
        <f>(Matrix_prices!K1009+$D$2)*IF($M$2="Prices in $/MWh",1,1/1000)</f>
        <v>70.040000000000006</v>
      </c>
      <c r="L1021" s="83">
        <f>(Matrix_prices!L1009+$D$2)*IF($M$2="Prices in $/MWh",1,1/1000)</f>
        <v>25.8</v>
      </c>
      <c r="M1021" s="84">
        <f>(Matrix_prices!M1009+$D$2)*IF($M$2="Prices in $/MWh",1,1/1000)</f>
        <v>27.4</v>
      </c>
      <c r="N1021" s="83">
        <f>(Matrix_prices!N1009+$D$2)*IF($M$2="Prices in $/MWh",1,1/1000)</f>
        <v>28.85</v>
      </c>
      <c r="O1021" s="61"/>
    </row>
    <row r="1022" spans="2:15" x14ac:dyDescent="0.25">
      <c r="B1022" s="57"/>
      <c r="C1022" s="151">
        <f>Matrix_prices!C1010</f>
        <v>42401</v>
      </c>
      <c r="D1022" s="152" t="str">
        <f>Matrix_prices!D1010</f>
        <v>PA</v>
      </c>
      <c r="E1022" s="153" t="str">
        <f>Matrix_prices!E1010</f>
        <v>Penelec</v>
      </c>
      <c r="F1022" s="152" t="str">
        <f>Matrix_prices!F1010</f>
        <v>GSCL</v>
      </c>
      <c r="G1022" s="153" t="str">
        <f>Matrix_prices!G1010</f>
        <v>General Service Large</v>
      </c>
      <c r="H1022" s="157" t="str">
        <f t="shared" si="45"/>
        <v>0-100 MWh</v>
      </c>
      <c r="I1022" s="153">
        <f>(Matrix_prices!I1010+$D$2)*IF($M$2="Prices in $/MWh",1,1/1000)</f>
        <v>69.16</v>
      </c>
      <c r="J1022" s="152">
        <f>(Matrix_prices!J1010+$D$2)*IF($M$2="Prices in $/MWh",1,1/1000)</f>
        <v>69.61</v>
      </c>
      <c r="K1022" s="153">
        <f>(Matrix_prices!K1010+$D$2)*IF($M$2="Prices in $/MWh",1,1/1000)</f>
        <v>69.08</v>
      </c>
      <c r="L1022" s="152">
        <f>(Matrix_prices!L1010+$D$2)*IF($M$2="Prices in $/MWh",1,1/1000)</f>
        <v>29.35</v>
      </c>
      <c r="M1022" s="153">
        <f>(Matrix_prices!M1010+$D$2)*IF($M$2="Prices in $/MWh",1,1/1000)</f>
        <v>29.45</v>
      </c>
      <c r="N1022" s="152">
        <f>(Matrix_prices!N1010+$D$2)*IF($M$2="Prices in $/MWh",1,1/1000)</f>
        <v>29.42</v>
      </c>
      <c r="O1022" s="61"/>
    </row>
    <row r="1023" spans="2:15" x14ac:dyDescent="0.25">
      <c r="B1023" s="57"/>
      <c r="C1023" s="78">
        <f>Matrix_prices!C1011</f>
        <v>42401</v>
      </c>
      <c r="D1023" s="79" t="str">
        <f>Matrix_prices!D1011</f>
        <v>PA</v>
      </c>
      <c r="E1023" s="80" t="str">
        <f>Matrix_prices!E1011</f>
        <v>Penelec</v>
      </c>
      <c r="F1023" s="79" t="str">
        <f>Matrix_prices!F1011</f>
        <v>GSCL</v>
      </c>
      <c r="G1023" s="80" t="str">
        <f>Matrix_prices!G1011</f>
        <v>General Service Large</v>
      </c>
      <c r="H1023" s="81" t="str">
        <f t="shared" si="46"/>
        <v>100-500 MWh</v>
      </c>
      <c r="I1023" s="80">
        <f>(Matrix_prices!I1011+$D$2)*IF($M$2="Prices in $/MWh",1,1/1000)</f>
        <v>67.56</v>
      </c>
      <c r="J1023" s="79">
        <f>(Matrix_prices!J1011+$D$2)*IF($M$2="Prices in $/MWh",1,1/1000)</f>
        <v>68.010000000000005</v>
      </c>
      <c r="K1023" s="80">
        <f>(Matrix_prices!K1011+$D$2)*IF($M$2="Prices in $/MWh",1,1/1000)</f>
        <v>67.48</v>
      </c>
      <c r="L1023" s="79">
        <f>(Matrix_prices!L1011+$D$2)*IF($M$2="Prices in $/MWh",1,1/1000)</f>
        <v>27.75</v>
      </c>
      <c r="M1023" s="80">
        <f>(Matrix_prices!M1011+$D$2)*IF($M$2="Prices in $/MWh",1,1/1000)</f>
        <v>27.85</v>
      </c>
      <c r="N1023" s="79">
        <f>(Matrix_prices!N1011+$D$2)*IF($M$2="Prices in $/MWh",1,1/1000)</f>
        <v>27.82</v>
      </c>
      <c r="O1023" s="61"/>
    </row>
    <row r="1024" spans="2:15" x14ac:dyDescent="0.25">
      <c r="B1024" s="57"/>
      <c r="C1024" s="82">
        <f>Matrix_prices!C1012</f>
        <v>42401</v>
      </c>
      <c r="D1024" s="83" t="str">
        <f>Matrix_prices!D1012</f>
        <v>PA</v>
      </c>
      <c r="E1024" s="84" t="str">
        <f>Matrix_prices!E1012</f>
        <v>Penelec</v>
      </c>
      <c r="F1024" s="83" t="str">
        <f>Matrix_prices!F1012</f>
        <v>GSCL</v>
      </c>
      <c r="G1024" s="84" t="str">
        <f>Matrix_prices!G1012</f>
        <v>General Service Large</v>
      </c>
      <c r="H1024" s="85" t="str">
        <f t="shared" si="47"/>
        <v>500-2500 MWh</v>
      </c>
      <c r="I1024" s="84">
        <f>(Matrix_prices!I1012+$D$2)*IF($M$2="Prices in $/MWh",1,1/1000)</f>
        <v>66.510000000000005</v>
      </c>
      <c r="J1024" s="83">
        <f>(Matrix_prices!J1012+$D$2)*IF($M$2="Prices in $/MWh",1,1/1000)</f>
        <v>66.959999999999994</v>
      </c>
      <c r="K1024" s="84">
        <f>(Matrix_prices!K1012+$D$2)*IF($M$2="Prices in $/MWh",1,1/1000)</f>
        <v>66.430000000000007</v>
      </c>
      <c r="L1024" s="83">
        <f>(Matrix_prices!L1012+$D$2)*IF($M$2="Prices in $/MWh",1,1/1000)</f>
        <v>26.7</v>
      </c>
      <c r="M1024" s="84">
        <f>(Matrix_prices!M1012+$D$2)*IF($M$2="Prices in $/MWh",1,1/1000)</f>
        <v>26.8</v>
      </c>
      <c r="N1024" s="83">
        <f>(Matrix_prices!N1012+$D$2)*IF($M$2="Prices in $/MWh",1,1/1000)</f>
        <v>26.77</v>
      </c>
      <c r="O1024" s="61"/>
    </row>
    <row r="1025" spans="2:15" x14ac:dyDescent="0.25">
      <c r="B1025" s="57"/>
      <c r="C1025" s="74">
        <f>Matrix_prices!C1013</f>
        <v>42430</v>
      </c>
      <c r="D1025" s="75" t="str">
        <f>Matrix_prices!D1013</f>
        <v>PA</v>
      </c>
      <c r="E1025" s="76" t="str">
        <f>Matrix_prices!E1013</f>
        <v>Penelec</v>
      </c>
      <c r="F1025" s="75" t="str">
        <f>Matrix_prices!F1013</f>
        <v>GSCL</v>
      </c>
      <c r="G1025" s="76" t="str">
        <f>Matrix_prices!G1013</f>
        <v>General Service Large</v>
      </c>
      <c r="H1025" s="157" t="str">
        <f t="shared" si="45"/>
        <v>0-100 MWh</v>
      </c>
      <c r="I1025" s="76">
        <f>(Matrix_prices!I1013+$D$2)*IF($M$2="Prices in $/MWh",1,1/1000)</f>
        <v>69.59</v>
      </c>
      <c r="J1025" s="75">
        <f>(Matrix_prices!J1013+$D$2)*IF($M$2="Prices in $/MWh",1,1/1000)</f>
        <v>69.349999999999994</v>
      </c>
      <c r="K1025" s="76">
        <f>(Matrix_prices!K1013+$D$2)*IF($M$2="Prices in $/MWh",1,1/1000)</f>
        <v>69.239999999999995</v>
      </c>
      <c r="L1025" s="75">
        <f>(Matrix_prices!L1013+$D$2)*IF($M$2="Prices in $/MWh",1,1/1000)</f>
        <v>29.37</v>
      </c>
      <c r="M1025" s="76">
        <f>(Matrix_prices!M1013+$D$2)*IF($M$2="Prices in $/MWh",1,1/1000)</f>
        <v>29.35</v>
      </c>
      <c r="N1025" s="75">
        <f>(Matrix_prices!N1013+$D$2)*IF($M$2="Prices in $/MWh",1,1/1000)</f>
        <v>29.44</v>
      </c>
      <c r="O1025" s="61"/>
    </row>
    <row r="1026" spans="2:15" x14ac:dyDescent="0.25">
      <c r="B1026" s="57"/>
      <c r="C1026" s="78">
        <f>Matrix_prices!C1014</f>
        <v>42430</v>
      </c>
      <c r="D1026" s="79" t="str">
        <f>Matrix_prices!D1014</f>
        <v>PA</v>
      </c>
      <c r="E1026" s="80" t="str">
        <f>Matrix_prices!E1014</f>
        <v>Penelec</v>
      </c>
      <c r="F1026" s="79" t="str">
        <f>Matrix_prices!F1014</f>
        <v>GSCL</v>
      </c>
      <c r="G1026" s="80" t="str">
        <f>Matrix_prices!G1014</f>
        <v>General Service Large</v>
      </c>
      <c r="H1026" s="81" t="str">
        <f t="shared" si="46"/>
        <v>100-500 MWh</v>
      </c>
      <c r="I1026" s="80">
        <f>(Matrix_prices!I1014+$D$2)*IF($M$2="Prices in $/MWh",1,1/1000)</f>
        <v>67.989999999999995</v>
      </c>
      <c r="J1026" s="79">
        <f>(Matrix_prices!J1014+$D$2)*IF($M$2="Prices in $/MWh",1,1/1000)</f>
        <v>67.75</v>
      </c>
      <c r="K1026" s="80">
        <f>(Matrix_prices!K1014+$D$2)*IF($M$2="Prices in $/MWh",1,1/1000)</f>
        <v>67.64</v>
      </c>
      <c r="L1026" s="79">
        <f>(Matrix_prices!L1014+$D$2)*IF($M$2="Prices in $/MWh",1,1/1000)</f>
        <v>27.77</v>
      </c>
      <c r="M1026" s="80">
        <f>(Matrix_prices!M1014+$D$2)*IF($M$2="Prices in $/MWh",1,1/1000)</f>
        <v>27.75</v>
      </c>
      <c r="N1026" s="79">
        <f>(Matrix_prices!N1014+$D$2)*IF($M$2="Prices in $/MWh",1,1/1000)</f>
        <v>27.84</v>
      </c>
      <c r="O1026" s="61"/>
    </row>
    <row r="1027" spans="2:15" x14ac:dyDescent="0.25">
      <c r="B1027" s="57"/>
      <c r="C1027" s="82">
        <f>Matrix_prices!C1015</f>
        <v>42430</v>
      </c>
      <c r="D1027" s="83" t="str">
        <f>Matrix_prices!D1015</f>
        <v>PA</v>
      </c>
      <c r="E1027" s="84" t="str">
        <f>Matrix_prices!E1015</f>
        <v>Penelec</v>
      </c>
      <c r="F1027" s="83" t="str">
        <f>Matrix_prices!F1015</f>
        <v>GSCL</v>
      </c>
      <c r="G1027" s="84" t="str">
        <f>Matrix_prices!G1015</f>
        <v>General Service Large</v>
      </c>
      <c r="H1027" s="85" t="str">
        <f t="shared" si="47"/>
        <v>500-2500 MWh</v>
      </c>
      <c r="I1027" s="84">
        <f>(Matrix_prices!I1015+$D$2)*IF($M$2="Prices in $/MWh",1,1/1000)</f>
        <v>66.94</v>
      </c>
      <c r="J1027" s="83">
        <f>(Matrix_prices!J1015+$D$2)*IF($M$2="Prices in $/MWh",1,1/1000)</f>
        <v>66.7</v>
      </c>
      <c r="K1027" s="84">
        <f>(Matrix_prices!K1015+$D$2)*IF($M$2="Prices in $/MWh",1,1/1000)</f>
        <v>66.59</v>
      </c>
      <c r="L1027" s="83">
        <f>(Matrix_prices!L1015+$D$2)*IF($M$2="Prices in $/MWh",1,1/1000)</f>
        <v>26.72</v>
      </c>
      <c r="M1027" s="84">
        <f>(Matrix_prices!M1015+$D$2)*IF($M$2="Prices in $/MWh",1,1/1000)</f>
        <v>26.7</v>
      </c>
      <c r="N1027" s="83">
        <f>(Matrix_prices!N1015+$D$2)*IF($M$2="Prices in $/MWh",1,1/1000)</f>
        <v>26.79</v>
      </c>
      <c r="O1027" s="61"/>
    </row>
    <row r="1028" spans="2:15" x14ac:dyDescent="0.25">
      <c r="B1028" s="57"/>
      <c r="C1028" s="151">
        <f>Matrix_prices!C1016</f>
        <v>42461</v>
      </c>
      <c r="D1028" s="152" t="str">
        <f>Matrix_prices!D1016</f>
        <v>PA</v>
      </c>
      <c r="E1028" s="153" t="str">
        <f>Matrix_prices!E1016</f>
        <v>Penelec</v>
      </c>
      <c r="F1028" s="152" t="str">
        <f>Matrix_prices!F1016</f>
        <v>GSCL</v>
      </c>
      <c r="G1028" s="153" t="str">
        <f>Matrix_prices!G1016</f>
        <v>General Service Large</v>
      </c>
      <c r="H1028" s="157" t="str">
        <f t="shared" si="45"/>
        <v>0-100 MWh</v>
      </c>
      <c r="I1028" s="153">
        <f>(Matrix_prices!I1016+$D$2)*IF($M$2="Prices in $/MWh",1,1/1000)</f>
        <v>69.78</v>
      </c>
      <c r="J1028" s="152">
        <f>(Matrix_prices!J1016+$D$2)*IF($M$2="Prices in $/MWh",1,1/1000)</f>
        <v>69.040000000000006</v>
      </c>
      <c r="K1028" s="153">
        <f>(Matrix_prices!K1016+$D$2)*IF($M$2="Prices in $/MWh",1,1/1000)</f>
        <v>69.290000000000006</v>
      </c>
      <c r="L1028" s="152">
        <f>(Matrix_prices!L1016+$D$2)*IF($M$2="Prices in $/MWh",1,1/1000)</f>
        <v>29.38</v>
      </c>
      <c r="M1028" s="153">
        <f>(Matrix_prices!M1016+$D$2)*IF($M$2="Prices in $/MWh",1,1/1000)</f>
        <v>29.31</v>
      </c>
      <c r="N1028" s="152">
        <f>(Matrix_prices!N1016+$D$2)*IF($M$2="Prices in $/MWh",1,1/1000)</f>
        <v>29.46</v>
      </c>
      <c r="O1028" s="61"/>
    </row>
    <row r="1029" spans="2:15" x14ac:dyDescent="0.25">
      <c r="B1029" s="57"/>
      <c r="C1029" s="78">
        <f>Matrix_prices!C1017</f>
        <v>42461</v>
      </c>
      <c r="D1029" s="79" t="str">
        <f>Matrix_prices!D1017</f>
        <v>PA</v>
      </c>
      <c r="E1029" s="80" t="str">
        <f>Matrix_prices!E1017</f>
        <v>Penelec</v>
      </c>
      <c r="F1029" s="79" t="str">
        <f>Matrix_prices!F1017</f>
        <v>GSCL</v>
      </c>
      <c r="G1029" s="80" t="str">
        <f>Matrix_prices!G1017</f>
        <v>General Service Large</v>
      </c>
      <c r="H1029" s="81" t="str">
        <f t="shared" si="46"/>
        <v>100-500 MWh</v>
      </c>
      <c r="I1029" s="80">
        <f>(Matrix_prices!I1017+$D$2)*IF($M$2="Prices in $/MWh",1,1/1000)</f>
        <v>68.180000000000007</v>
      </c>
      <c r="J1029" s="79">
        <f>(Matrix_prices!J1017+$D$2)*IF($M$2="Prices in $/MWh",1,1/1000)</f>
        <v>67.44</v>
      </c>
      <c r="K1029" s="80">
        <f>(Matrix_prices!K1017+$D$2)*IF($M$2="Prices in $/MWh",1,1/1000)</f>
        <v>67.69</v>
      </c>
      <c r="L1029" s="79">
        <f>(Matrix_prices!L1017+$D$2)*IF($M$2="Prices in $/MWh",1,1/1000)</f>
        <v>27.78</v>
      </c>
      <c r="M1029" s="80">
        <f>(Matrix_prices!M1017+$D$2)*IF($M$2="Prices in $/MWh",1,1/1000)</f>
        <v>27.71</v>
      </c>
      <c r="N1029" s="79">
        <f>(Matrix_prices!N1017+$D$2)*IF($M$2="Prices in $/MWh",1,1/1000)</f>
        <v>27.86</v>
      </c>
      <c r="O1029" s="61"/>
    </row>
    <row r="1030" spans="2:15" x14ac:dyDescent="0.25">
      <c r="B1030" s="57"/>
      <c r="C1030" s="82">
        <f>Matrix_prices!C1018</f>
        <v>42461</v>
      </c>
      <c r="D1030" s="83" t="str">
        <f>Matrix_prices!D1018</f>
        <v>PA</v>
      </c>
      <c r="E1030" s="84" t="str">
        <f>Matrix_prices!E1018</f>
        <v>Penelec</v>
      </c>
      <c r="F1030" s="83" t="str">
        <f>Matrix_prices!F1018</f>
        <v>GSCL</v>
      </c>
      <c r="G1030" s="84" t="str">
        <f>Matrix_prices!G1018</f>
        <v>General Service Large</v>
      </c>
      <c r="H1030" s="85" t="str">
        <f t="shared" si="47"/>
        <v>500-2500 MWh</v>
      </c>
      <c r="I1030" s="84">
        <f>(Matrix_prices!I1018+$D$2)*IF($M$2="Prices in $/MWh",1,1/1000)</f>
        <v>67.13</v>
      </c>
      <c r="J1030" s="83">
        <f>(Matrix_prices!J1018+$D$2)*IF($M$2="Prices in $/MWh",1,1/1000)</f>
        <v>66.39</v>
      </c>
      <c r="K1030" s="84">
        <f>(Matrix_prices!K1018+$D$2)*IF($M$2="Prices in $/MWh",1,1/1000)</f>
        <v>66.64</v>
      </c>
      <c r="L1030" s="83">
        <f>(Matrix_prices!L1018+$D$2)*IF($M$2="Prices in $/MWh",1,1/1000)</f>
        <v>26.73</v>
      </c>
      <c r="M1030" s="84">
        <f>(Matrix_prices!M1018+$D$2)*IF($M$2="Prices in $/MWh",1,1/1000)</f>
        <v>26.66</v>
      </c>
      <c r="N1030" s="83">
        <f>(Matrix_prices!N1018+$D$2)*IF($M$2="Prices in $/MWh",1,1/1000)</f>
        <v>26.81</v>
      </c>
      <c r="O1030" s="61"/>
    </row>
    <row r="1031" spans="2:15" x14ac:dyDescent="0.25">
      <c r="B1031" s="57"/>
      <c r="C1031" s="74">
        <f>Matrix_prices!C1019</f>
        <v>42491</v>
      </c>
      <c r="D1031" s="75" t="str">
        <f>Matrix_prices!D1019</f>
        <v>PA</v>
      </c>
      <c r="E1031" s="76" t="str">
        <f>Matrix_prices!E1019</f>
        <v>Penelec</v>
      </c>
      <c r="F1031" s="75" t="str">
        <f>Matrix_prices!F1019</f>
        <v>GSCL</v>
      </c>
      <c r="G1031" s="76" t="str">
        <f>Matrix_prices!G1019</f>
        <v>General Service Large</v>
      </c>
      <c r="H1031" s="157" t="str">
        <f t="shared" si="45"/>
        <v>0-100 MWh</v>
      </c>
      <c r="I1031" s="76">
        <f>(Matrix_prices!I1019+$D$2)*IF($M$2="Prices in $/MWh",1,1/1000)</f>
        <v>69.87</v>
      </c>
      <c r="J1031" s="75">
        <f>(Matrix_prices!J1019+$D$2)*IF($M$2="Prices in $/MWh",1,1/1000)</f>
        <v>68.83</v>
      </c>
      <c r="K1031" s="76">
        <f>(Matrix_prices!K1019+$D$2)*IF($M$2="Prices in $/MWh",1,1/1000)</f>
        <v>69.28</v>
      </c>
      <c r="L1031" s="75">
        <f>(Matrix_prices!L1019+$D$2)*IF($M$2="Prices in $/MWh",1,1/1000)</f>
        <v>29.4</v>
      </c>
      <c r="M1031" s="76">
        <f>(Matrix_prices!M1019+$D$2)*IF($M$2="Prices in $/MWh",1,1/1000)</f>
        <v>29.27</v>
      </c>
      <c r="N1031" s="75">
        <f>(Matrix_prices!N1019+$D$2)*IF($M$2="Prices in $/MWh",1,1/1000)</f>
        <v>29.46</v>
      </c>
      <c r="O1031" s="61"/>
    </row>
    <row r="1032" spans="2:15" x14ac:dyDescent="0.25">
      <c r="B1032" s="57"/>
      <c r="C1032" s="78">
        <f>Matrix_prices!C1020</f>
        <v>42491</v>
      </c>
      <c r="D1032" s="79" t="str">
        <f>Matrix_prices!D1020</f>
        <v>PA</v>
      </c>
      <c r="E1032" s="80" t="str">
        <f>Matrix_prices!E1020</f>
        <v>Penelec</v>
      </c>
      <c r="F1032" s="79" t="str">
        <f>Matrix_prices!F1020</f>
        <v>GSCL</v>
      </c>
      <c r="G1032" s="80" t="str">
        <f>Matrix_prices!G1020</f>
        <v>General Service Large</v>
      </c>
      <c r="H1032" s="81" t="str">
        <f t="shared" si="46"/>
        <v>100-500 MWh</v>
      </c>
      <c r="I1032" s="80">
        <f>(Matrix_prices!I1020+$D$2)*IF($M$2="Prices in $/MWh",1,1/1000)</f>
        <v>68.27</v>
      </c>
      <c r="J1032" s="79">
        <f>(Matrix_prices!J1020+$D$2)*IF($M$2="Prices in $/MWh",1,1/1000)</f>
        <v>67.23</v>
      </c>
      <c r="K1032" s="80">
        <f>(Matrix_prices!K1020+$D$2)*IF($M$2="Prices in $/MWh",1,1/1000)</f>
        <v>67.680000000000007</v>
      </c>
      <c r="L1032" s="79">
        <f>(Matrix_prices!L1020+$D$2)*IF($M$2="Prices in $/MWh",1,1/1000)</f>
        <v>27.8</v>
      </c>
      <c r="M1032" s="80">
        <f>(Matrix_prices!M1020+$D$2)*IF($M$2="Prices in $/MWh",1,1/1000)</f>
        <v>27.67</v>
      </c>
      <c r="N1032" s="79">
        <f>(Matrix_prices!N1020+$D$2)*IF($M$2="Prices in $/MWh",1,1/1000)</f>
        <v>27.86</v>
      </c>
      <c r="O1032" s="61"/>
    </row>
    <row r="1033" spans="2:15" x14ac:dyDescent="0.25">
      <c r="B1033" s="57"/>
      <c r="C1033" s="82">
        <f>Matrix_prices!C1021</f>
        <v>42491</v>
      </c>
      <c r="D1033" s="83" t="str">
        <f>Matrix_prices!D1021</f>
        <v>PA</v>
      </c>
      <c r="E1033" s="84" t="str">
        <f>Matrix_prices!E1021</f>
        <v>Penelec</v>
      </c>
      <c r="F1033" s="83" t="str">
        <f>Matrix_prices!F1021</f>
        <v>GSCL</v>
      </c>
      <c r="G1033" s="84" t="str">
        <f>Matrix_prices!G1021</f>
        <v>General Service Large</v>
      </c>
      <c r="H1033" s="85" t="str">
        <f t="shared" si="47"/>
        <v>500-2500 MWh</v>
      </c>
      <c r="I1033" s="84">
        <f>(Matrix_prices!I1021+$D$2)*IF($M$2="Prices in $/MWh",1,1/1000)</f>
        <v>67.22</v>
      </c>
      <c r="J1033" s="83">
        <f>(Matrix_prices!J1021+$D$2)*IF($M$2="Prices in $/MWh",1,1/1000)</f>
        <v>66.180000000000007</v>
      </c>
      <c r="K1033" s="84">
        <f>(Matrix_prices!K1021+$D$2)*IF($M$2="Prices in $/MWh",1,1/1000)</f>
        <v>66.63</v>
      </c>
      <c r="L1033" s="83">
        <f>(Matrix_prices!L1021+$D$2)*IF($M$2="Prices in $/MWh",1,1/1000)</f>
        <v>26.75</v>
      </c>
      <c r="M1033" s="84">
        <f>(Matrix_prices!M1021+$D$2)*IF($M$2="Prices in $/MWh",1,1/1000)</f>
        <v>26.62</v>
      </c>
      <c r="N1033" s="83">
        <f>(Matrix_prices!N1021+$D$2)*IF($M$2="Prices in $/MWh",1,1/1000)</f>
        <v>26.81</v>
      </c>
      <c r="O1033" s="61"/>
    </row>
    <row r="1034" spans="2:15" x14ac:dyDescent="0.25">
      <c r="B1034" s="57"/>
      <c r="C1034" s="151">
        <f>Matrix_prices!C1022</f>
        <v>42522</v>
      </c>
      <c r="D1034" s="152" t="str">
        <f>Matrix_prices!D1022</f>
        <v>PA</v>
      </c>
      <c r="E1034" s="153" t="str">
        <f>Matrix_prices!E1022</f>
        <v>Penelec</v>
      </c>
      <c r="F1034" s="152" t="str">
        <f>Matrix_prices!F1022</f>
        <v>GSCL</v>
      </c>
      <c r="G1034" s="153" t="str">
        <f>Matrix_prices!G1022</f>
        <v>General Service Large</v>
      </c>
      <c r="H1034" s="157" t="str">
        <f t="shared" si="45"/>
        <v>0-100 MWh</v>
      </c>
      <c r="I1034" s="153">
        <f>(Matrix_prices!I1022+$D$2)*IF($M$2="Prices in $/MWh",1,1/1000)</f>
        <v>69.86</v>
      </c>
      <c r="J1034" s="152">
        <f>(Matrix_prices!J1022+$D$2)*IF($M$2="Prices in $/MWh",1,1/1000)</f>
        <v>68.650000000000006</v>
      </c>
      <c r="K1034" s="153">
        <f>(Matrix_prices!K1022+$D$2)*IF($M$2="Prices in $/MWh",1,1/1000)</f>
        <v>69.260000000000005</v>
      </c>
      <c r="L1034" s="152">
        <f>(Matrix_prices!L1022+$D$2)*IF($M$2="Prices in $/MWh",1,1/1000)</f>
        <v>29.38</v>
      </c>
      <c r="M1034" s="153">
        <f>(Matrix_prices!M1022+$D$2)*IF($M$2="Prices in $/MWh",1,1/1000)</f>
        <v>29.23</v>
      </c>
      <c r="N1034" s="152">
        <f>(Matrix_prices!N1022+$D$2)*IF($M$2="Prices in $/MWh",1,1/1000)</f>
        <v>29.45</v>
      </c>
      <c r="O1034" s="61"/>
    </row>
    <row r="1035" spans="2:15" x14ac:dyDescent="0.25">
      <c r="B1035" s="57"/>
      <c r="C1035" s="78">
        <f>Matrix_prices!C1023</f>
        <v>42522</v>
      </c>
      <c r="D1035" s="79" t="str">
        <f>Matrix_prices!D1023</f>
        <v>PA</v>
      </c>
      <c r="E1035" s="80" t="str">
        <f>Matrix_prices!E1023</f>
        <v>Penelec</v>
      </c>
      <c r="F1035" s="79" t="str">
        <f>Matrix_prices!F1023</f>
        <v>GSCL</v>
      </c>
      <c r="G1035" s="80" t="str">
        <f>Matrix_prices!G1023</f>
        <v>General Service Large</v>
      </c>
      <c r="H1035" s="81" t="str">
        <f t="shared" si="46"/>
        <v>100-500 MWh</v>
      </c>
      <c r="I1035" s="80">
        <f>(Matrix_prices!I1023+$D$2)*IF($M$2="Prices in $/MWh",1,1/1000)</f>
        <v>68.260000000000005</v>
      </c>
      <c r="J1035" s="79">
        <f>(Matrix_prices!J1023+$D$2)*IF($M$2="Prices in $/MWh",1,1/1000)</f>
        <v>67.05</v>
      </c>
      <c r="K1035" s="80">
        <f>(Matrix_prices!K1023+$D$2)*IF($M$2="Prices in $/MWh",1,1/1000)</f>
        <v>67.66</v>
      </c>
      <c r="L1035" s="79">
        <f>(Matrix_prices!L1023+$D$2)*IF($M$2="Prices in $/MWh",1,1/1000)</f>
        <v>27.78</v>
      </c>
      <c r="M1035" s="80">
        <f>(Matrix_prices!M1023+$D$2)*IF($M$2="Prices in $/MWh",1,1/1000)</f>
        <v>27.63</v>
      </c>
      <c r="N1035" s="79">
        <f>(Matrix_prices!N1023+$D$2)*IF($M$2="Prices in $/MWh",1,1/1000)</f>
        <v>27.85</v>
      </c>
      <c r="O1035" s="61"/>
    </row>
    <row r="1036" spans="2:15" x14ac:dyDescent="0.25">
      <c r="B1036" s="57"/>
      <c r="C1036" s="82">
        <f>Matrix_prices!C1024</f>
        <v>42522</v>
      </c>
      <c r="D1036" s="83" t="str">
        <f>Matrix_prices!D1024</f>
        <v>PA</v>
      </c>
      <c r="E1036" s="84" t="str">
        <f>Matrix_prices!E1024</f>
        <v>Penelec</v>
      </c>
      <c r="F1036" s="83" t="str">
        <f>Matrix_prices!F1024</f>
        <v>GSCL</v>
      </c>
      <c r="G1036" s="84" t="str">
        <f>Matrix_prices!G1024</f>
        <v>General Service Large</v>
      </c>
      <c r="H1036" s="85" t="str">
        <f t="shared" si="47"/>
        <v>500-2500 MWh</v>
      </c>
      <c r="I1036" s="84">
        <f>(Matrix_prices!I1024+$D$2)*IF($M$2="Prices in $/MWh",1,1/1000)</f>
        <v>67.209999999999994</v>
      </c>
      <c r="J1036" s="83">
        <f>(Matrix_prices!J1024+$D$2)*IF($M$2="Prices in $/MWh",1,1/1000)</f>
        <v>66</v>
      </c>
      <c r="K1036" s="84">
        <f>(Matrix_prices!K1024+$D$2)*IF($M$2="Prices in $/MWh",1,1/1000)</f>
        <v>66.61</v>
      </c>
      <c r="L1036" s="83">
        <f>(Matrix_prices!L1024+$D$2)*IF($M$2="Prices in $/MWh",1,1/1000)</f>
        <v>26.73</v>
      </c>
      <c r="M1036" s="84">
        <f>(Matrix_prices!M1024+$D$2)*IF($M$2="Prices in $/MWh",1,1/1000)</f>
        <v>26.58</v>
      </c>
      <c r="N1036" s="83">
        <f>(Matrix_prices!N1024+$D$2)*IF($M$2="Prices in $/MWh",1,1/1000)</f>
        <v>26.8</v>
      </c>
      <c r="O1036" s="61"/>
    </row>
    <row r="1037" spans="2:15" x14ac:dyDescent="0.25">
      <c r="B1037" s="57"/>
      <c r="C1037" s="74">
        <f>Matrix_prices!C1025</f>
        <v>42552</v>
      </c>
      <c r="D1037" s="75" t="str">
        <f>Matrix_prices!D1025</f>
        <v>PA</v>
      </c>
      <c r="E1037" s="76" t="str">
        <f>Matrix_prices!E1025</f>
        <v>Penelec</v>
      </c>
      <c r="F1037" s="75" t="str">
        <f>Matrix_prices!F1025</f>
        <v>GSCL</v>
      </c>
      <c r="G1037" s="76" t="str">
        <f>Matrix_prices!G1025</f>
        <v>General Service Large</v>
      </c>
      <c r="H1037" s="157" t="str">
        <f t="shared" si="45"/>
        <v>0-100 MWh</v>
      </c>
      <c r="I1037" s="76">
        <f>(Matrix_prices!I1025+$D$2)*IF($M$2="Prices in $/MWh",1,1/1000)</f>
        <v>69.86</v>
      </c>
      <c r="J1037" s="75">
        <f>(Matrix_prices!J1025+$D$2)*IF($M$2="Prices in $/MWh",1,1/1000)</f>
        <v>68.61</v>
      </c>
      <c r="K1037" s="76">
        <f>(Matrix_prices!K1025+$D$2)*IF($M$2="Prices in $/MWh",1,1/1000)</f>
        <v>69.28</v>
      </c>
      <c r="L1037" s="75">
        <f>(Matrix_prices!L1025+$D$2)*IF($M$2="Prices in $/MWh",1,1/1000)</f>
        <v>29.41</v>
      </c>
      <c r="M1037" s="76">
        <f>(Matrix_prices!M1025+$D$2)*IF($M$2="Prices in $/MWh",1,1/1000)</f>
        <v>29.3</v>
      </c>
      <c r="N1037" s="75">
        <f>(Matrix_prices!N1025+$D$2)*IF($M$2="Prices in $/MWh",1,1/1000)</f>
        <v>29.55</v>
      </c>
      <c r="O1037" s="61"/>
    </row>
    <row r="1038" spans="2:15" x14ac:dyDescent="0.25">
      <c r="B1038" s="57"/>
      <c r="C1038" s="78">
        <f>Matrix_prices!C1026</f>
        <v>42552</v>
      </c>
      <c r="D1038" s="79" t="str">
        <f>Matrix_prices!D1026</f>
        <v>PA</v>
      </c>
      <c r="E1038" s="80" t="str">
        <f>Matrix_prices!E1026</f>
        <v>Penelec</v>
      </c>
      <c r="F1038" s="79" t="str">
        <f>Matrix_prices!F1026</f>
        <v>GSCL</v>
      </c>
      <c r="G1038" s="80" t="str">
        <f>Matrix_prices!G1026</f>
        <v>General Service Large</v>
      </c>
      <c r="H1038" s="81" t="str">
        <f t="shared" si="46"/>
        <v>100-500 MWh</v>
      </c>
      <c r="I1038" s="80">
        <f>(Matrix_prices!I1026+$D$2)*IF($M$2="Prices in $/MWh",1,1/1000)</f>
        <v>68.260000000000005</v>
      </c>
      <c r="J1038" s="79">
        <f>(Matrix_prices!J1026+$D$2)*IF($M$2="Prices in $/MWh",1,1/1000)</f>
        <v>67.010000000000005</v>
      </c>
      <c r="K1038" s="80">
        <f>(Matrix_prices!K1026+$D$2)*IF($M$2="Prices in $/MWh",1,1/1000)</f>
        <v>67.680000000000007</v>
      </c>
      <c r="L1038" s="79">
        <f>(Matrix_prices!L1026+$D$2)*IF($M$2="Prices in $/MWh",1,1/1000)</f>
        <v>27.81</v>
      </c>
      <c r="M1038" s="80">
        <f>(Matrix_prices!M1026+$D$2)*IF($M$2="Prices in $/MWh",1,1/1000)</f>
        <v>27.7</v>
      </c>
      <c r="N1038" s="79">
        <f>(Matrix_prices!N1026+$D$2)*IF($M$2="Prices in $/MWh",1,1/1000)</f>
        <v>27.95</v>
      </c>
      <c r="O1038" s="61"/>
    </row>
    <row r="1039" spans="2:15" x14ac:dyDescent="0.25">
      <c r="B1039" s="57"/>
      <c r="C1039" s="82">
        <f>Matrix_prices!C1027</f>
        <v>42552</v>
      </c>
      <c r="D1039" s="83" t="str">
        <f>Matrix_prices!D1027</f>
        <v>PA</v>
      </c>
      <c r="E1039" s="84" t="str">
        <f>Matrix_prices!E1027</f>
        <v>Penelec</v>
      </c>
      <c r="F1039" s="83" t="str">
        <f>Matrix_prices!F1027</f>
        <v>GSCL</v>
      </c>
      <c r="G1039" s="84" t="str">
        <f>Matrix_prices!G1027</f>
        <v>General Service Large</v>
      </c>
      <c r="H1039" s="85" t="str">
        <f t="shared" si="47"/>
        <v>500-2500 MWh</v>
      </c>
      <c r="I1039" s="84">
        <f>(Matrix_prices!I1027+$D$2)*IF($M$2="Prices in $/MWh",1,1/1000)</f>
        <v>67.209999999999994</v>
      </c>
      <c r="J1039" s="83">
        <f>(Matrix_prices!J1027+$D$2)*IF($M$2="Prices in $/MWh",1,1/1000)</f>
        <v>65.959999999999994</v>
      </c>
      <c r="K1039" s="84">
        <f>(Matrix_prices!K1027+$D$2)*IF($M$2="Prices in $/MWh",1,1/1000)</f>
        <v>66.63</v>
      </c>
      <c r="L1039" s="83">
        <f>(Matrix_prices!L1027+$D$2)*IF($M$2="Prices in $/MWh",1,1/1000)</f>
        <v>26.76</v>
      </c>
      <c r="M1039" s="84">
        <f>(Matrix_prices!M1027+$D$2)*IF($M$2="Prices in $/MWh",1,1/1000)</f>
        <v>26.65</v>
      </c>
      <c r="N1039" s="83">
        <f>(Matrix_prices!N1027+$D$2)*IF($M$2="Prices in $/MWh",1,1/1000)</f>
        <v>26.9</v>
      </c>
      <c r="O1039" s="61"/>
    </row>
    <row r="1040" spans="2:15" x14ac:dyDescent="0.25">
      <c r="B1040" s="57"/>
      <c r="C1040" s="151">
        <f>Matrix_prices!C1028</f>
        <v>42583</v>
      </c>
      <c r="D1040" s="152" t="str">
        <f>Matrix_prices!D1028</f>
        <v>PA</v>
      </c>
      <c r="E1040" s="153" t="str">
        <f>Matrix_prices!E1028</f>
        <v>Penelec</v>
      </c>
      <c r="F1040" s="152" t="str">
        <f>Matrix_prices!F1028</f>
        <v>GSCL</v>
      </c>
      <c r="G1040" s="153" t="str">
        <f>Matrix_prices!G1028</f>
        <v>General Service Large</v>
      </c>
      <c r="H1040" s="157" t="str">
        <f t="shared" si="45"/>
        <v>0-100 MWh</v>
      </c>
      <c r="I1040" s="153">
        <f>(Matrix_prices!I1028+$D$2)*IF($M$2="Prices in $/MWh",1,1/1000)</f>
        <v>69.760000000000005</v>
      </c>
      <c r="J1040" s="152">
        <f>(Matrix_prices!J1028+$D$2)*IF($M$2="Prices in $/MWh",1,1/1000)</f>
        <v>68.989999999999995</v>
      </c>
      <c r="K1040" s="153">
        <f>(Matrix_prices!K1028+$D$2)*IF($M$2="Prices in $/MWh",1,1/1000)</f>
        <v>69.33</v>
      </c>
      <c r="L1040" s="152">
        <f>(Matrix_prices!L1028+$D$2)*IF($M$2="Prices in $/MWh",1,1/1000)</f>
        <v>29.44</v>
      </c>
      <c r="M1040" s="153">
        <f>(Matrix_prices!M1028+$D$2)*IF($M$2="Prices in $/MWh",1,1/1000)</f>
        <v>29.4</v>
      </c>
      <c r="N1040" s="152">
        <f>(Matrix_prices!N1028+$D$2)*IF($M$2="Prices in $/MWh",1,1/1000)</f>
        <v>29.64</v>
      </c>
      <c r="O1040" s="61"/>
    </row>
    <row r="1041" spans="2:15" x14ac:dyDescent="0.25">
      <c r="B1041" s="57"/>
      <c r="C1041" s="78">
        <f>Matrix_prices!C1029</f>
        <v>42583</v>
      </c>
      <c r="D1041" s="79" t="str">
        <f>Matrix_prices!D1029</f>
        <v>PA</v>
      </c>
      <c r="E1041" s="80" t="str">
        <f>Matrix_prices!E1029</f>
        <v>Penelec</v>
      </c>
      <c r="F1041" s="79" t="str">
        <f>Matrix_prices!F1029</f>
        <v>GSCL</v>
      </c>
      <c r="G1041" s="80" t="str">
        <f>Matrix_prices!G1029</f>
        <v>General Service Large</v>
      </c>
      <c r="H1041" s="81" t="str">
        <f t="shared" si="46"/>
        <v>100-500 MWh</v>
      </c>
      <c r="I1041" s="80">
        <f>(Matrix_prices!I1029+$D$2)*IF($M$2="Prices in $/MWh",1,1/1000)</f>
        <v>68.16</v>
      </c>
      <c r="J1041" s="79">
        <f>(Matrix_prices!J1029+$D$2)*IF($M$2="Prices in $/MWh",1,1/1000)</f>
        <v>67.39</v>
      </c>
      <c r="K1041" s="80">
        <f>(Matrix_prices!K1029+$D$2)*IF($M$2="Prices in $/MWh",1,1/1000)</f>
        <v>67.73</v>
      </c>
      <c r="L1041" s="79">
        <f>(Matrix_prices!L1029+$D$2)*IF($M$2="Prices in $/MWh",1,1/1000)</f>
        <v>27.84</v>
      </c>
      <c r="M1041" s="80">
        <f>(Matrix_prices!M1029+$D$2)*IF($M$2="Prices in $/MWh",1,1/1000)</f>
        <v>27.8</v>
      </c>
      <c r="N1041" s="79">
        <f>(Matrix_prices!N1029+$D$2)*IF($M$2="Prices in $/MWh",1,1/1000)</f>
        <v>28.04</v>
      </c>
      <c r="O1041" s="61"/>
    </row>
    <row r="1042" spans="2:15" x14ac:dyDescent="0.25">
      <c r="B1042" s="57"/>
      <c r="C1042" s="82">
        <f>Matrix_prices!C1030</f>
        <v>42583</v>
      </c>
      <c r="D1042" s="83" t="str">
        <f>Matrix_prices!D1030</f>
        <v>PA</v>
      </c>
      <c r="E1042" s="84" t="str">
        <f>Matrix_prices!E1030</f>
        <v>Penelec</v>
      </c>
      <c r="F1042" s="83" t="str">
        <f>Matrix_prices!F1030</f>
        <v>GSCL</v>
      </c>
      <c r="G1042" s="84" t="str">
        <f>Matrix_prices!G1030</f>
        <v>General Service Large</v>
      </c>
      <c r="H1042" s="85" t="str">
        <f t="shared" si="47"/>
        <v>500-2500 MWh</v>
      </c>
      <c r="I1042" s="84">
        <f>(Matrix_prices!I1030+$D$2)*IF($M$2="Prices in $/MWh",1,1/1000)</f>
        <v>67.11</v>
      </c>
      <c r="J1042" s="83">
        <f>(Matrix_prices!J1030+$D$2)*IF($M$2="Prices in $/MWh",1,1/1000)</f>
        <v>66.34</v>
      </c>
      <c r="K1042" s="84">
        <f>(Matrix_prices!K1030+$D$2)*IF($M$2="Prices in $/MWh",1,1/1000)</f>
        <v>66.680000000000007</v>
      </c>
      <c r="L1042" s="83">
        <f>(Matrix_prices!L1030+$D$2)*IF($M$2="Prices in $/MWh",1,1/1000)</f>
        <v>26.79</v>
      </c>
      <c r="M1042" s="84">
        <f>(Matrix_prices!M1030+$D$2)*IF($M$2="Prices in $/MWh",1,1/1000)</f>
        <v>26.75</v>
      </c>
      <c r="N1042" s="83">
        <f>(Matrix_prices!N1030+$D$2)*IF($M$2="Prices in $/MWh",1,1/1000)</f>
        <v>26.99</v>
      </c>
      <c r="O1042" s="61"/>
    </row>
    <row r="1043" spans="2:15" x14ac:dyDescent="0.25">
      <c r="B1043" s="57"/>
      <c r="C1043" s="74">
        <f>Matrix_prices!C1031</f>
        <v>42614</v>
      </c>
      <c r="D1043" s="75" t="str">
        <f>Matrix_prices!D1031</f>
        <v>PA</v>
      </c>
      <c r="E1043" s="76" t="str">
        <f>Matrix_prices!E1031</f>
        <v>Penelec</v>
      </c>
      <c r="F1043" s="75" t="str">
        <f>Matrix_prices!F1031</f>
        <v>GSCL</v>
      </c>
      <c r="G1043" s="76" t="str">
        <f>Matrix_prices!G1031</f>
        <v>General Service Large</v>
      </c>
      <c r="H1043" s="157" t="str">
        <f t="shared" si="45"/>
        <v>0-100 MWh</v>
      </c>
      <c r="I1043" s="76">
        <f>(Matrix_prices!I1031+$D$2)*IF($M$2="Prices in $/MWh",1,1/1000)</f>
        <v>69.62</v>
      </c>
      <c r="J1043" s="75">
        <f>(Matrix_prices!J1031+$D$2)*IF($M$2="Prices in $/MWh",1,1/1000)</f>
        <v>69.37</v>
      </c>
      <c r="K1043" s="76">
        <f>(Matrix_prices!K1031+$D$2)*IF($M$2="Prices in $/MWh",1,1/1000)</f>
        <v>69.319999999999993</v>
      </c>
      <c r="L1043" s="75">
        <f>(Matrix_prices!L1031+$D$2)*IF($M$2="Prices in $/MWh",1,1/1000)</f>
        <v>29.45</v>
      </c>
      <c r="M1043" s="76">
        <f>(Matrix_prices!M1031+$D$2)*IF($M$2="Prices in $/MWh",1,1/1000)</f>
        <v>29.53</v>
      </c>
      <c r="N1043" s="75">
        <f>(Matrix_prices!N1031+$D$2)*IF($M$2="Prices in $/MWh",1,1/1000)</f>
        <v>29.73</v>
      </c>
      <c r="O1043" s="61"/>
    </row>
    <row r="1044" spans="2:15" x14ac:dyDescent="0.25">
      <c r="B1044" s="57"/>
      <c r="C1044" s="78">
        <f>Matrix_prices!C1032</f>
        <v>42614</v>
      </c>
      <c r="D1044" s="79" t="str">
        <f>Matrix_prices!D1032</f>
        <v>PA</v>
      </c>
      <c r="E1044" s="80" t="str">
        <f>Matrix_prices!E1032</f>
        <v>Penelec</v>
      </c>
      <c r="F1044" s="79" t="str">
        <f>Matrix_prices!F1032</f>
        <v>GSCL</v>
      </c>
      <c r="G1044" s="80" t="str">
        <f>Matrix_prices!G1032</f>
        <v>General Service Large</v>
      </c>
      <c r="H1044" s="81" t="str">
        <f t="shared" si="46"/>
        <v>100-500 MWh</v>
      </c>
      <c r="I1044" s="80">
        <f>(Matrix_prices!I1032+$D$2)*IF($M$2="Prices in $/MWh",1,1/1000)</f>
        <v>68.02</v>
      </c>
      <c r="J1044" s="79">
        <f>(Matrix_prices!J1032+$D$2)*IF($M$2="Prices in $/MWh",1,1/1000)</f>
        <v>67.77</v>
      </c>
      <c r="K1044" s="80">
        <f>(Matrix_prices!K1032+$D$2)*IF($M$2="Prices in $/MWh",1,1/1000)</f>
        <v>67.72</v>
      </c>
      <c r="L1044" s="79">
        <f>(Matrix_prices!L1032+$D$2)*IF($M$2="Prices in $/MWh",1,1/1000)</f>
        <v>27.85</v>
      </c>
      <c r="M1044" s="80">
        <f>(Matrix_prices!M1032+$D$2)*IF($M$2="Prices in $/MWh",1,1/1000)</f>
        <v>27.93</v>
      </c>
      <c r="N1044" s="79">
        <f>(Matrix_prices!N1032+$D$2)*IF($M$2="Prices in $/MWh",1,1/1000)</f>
        <v>28.13</v>
      </c>
      <c r="O1044" s="61"/>
    </row>
    <row r="1045" spans="2:15" x14ac:dyDescent="0.25">
      <c r="B1045" s="57"/>
      <c r="C1045" s="82">
        <f>Matrix_prices!C1033</f>
        <v>42614</v>
      </c>
      <c r="D1045" s="83" t="str">
        <f>Matrix_prices!D1033</f>
        <v>PA</v>
      </c>
      <c r="E1045" s="84" t="str">
        <f>Matrix_prices!E1033</f>
        <v>Penelec</v>
      </c>
      <c r="F1045" s="83" t="str">
        <f>Matrix_prices!F1033</f>
        <v>GSCL</v>
      </c>
      <c r="G1045" s="84" t="str">
        <f>Matrix_prices!G1033</f>
        <v>General Service Large</v>
      </c>
      <c r="H1045" s="85" t="str">
        <f t="shared" si="47"/>
        <v>500-2500 MWh</v>
      </c>
      <c r="I1045" s="84">
        <f>(Matrix_prices!I1033+$D$2)*IF($M$2="Prices in $/MWh",1,1/1000)</f>
        <v>66.97</v>
      </c>
      <c r="J1045" s="83">
        <f>(Matrix_prices!J1033+$D$2)*IF($M$2="Prices in $/MWh",1,1/1000)</f>
        <v>66.72</v>
      </c>
      <c r="K1045" s="84">
        <f>(Matrix_prices!K1033+$D$2)*IF($M$2="Prices in $/MWh",1,1/1000)</f>
        <v>66.67</v>
      </c>
      <c r="L1045" s="83">
        <f>(Matrix_prices!L1033+$D$2)*IF($M$2="Prices in $/MWh",1,1/1000)</f>
        <v>26.8</v>
      </c>
      <c r="M1045" s="84">
        <f>(Matrix_prices!M1033+$D$2)*IF($M$2="Prices in $/MWh",1,1/1000)</f>
        <v>26.88</v>
      </c>
      <c r="N1045" s="83">
        <f>(Matrix_prices!N1033+$D$2)*IF($M$2="Prices in $/MWh",1,1/1000)</f>
        <v>27.08</v>
      </c>
      <c r="O1045" s="61"/>
    </row>
    <row r="1046" spans="2:15" x14ac:dyDescent="0.25">
      <c r="B1046" s="57"/>
      <c r="C1046" s="151">
        <f>Matrix_prices!C1034</f>
        <v>42644</v>
      </c>
      <c r="D1046" s="152" t="str">
        <f>Matrix_prices!D1034</f>
        <v>PA</v>
      </c>
      <c r="E1046" s="153" t="str">
        <f>Matrix_prices!E1034</f>
        <v>Penelec</v>
      </c>
      <c r="F1046" s="152" t="str">
        <f>Matrix_prices!F1034</f>
        <v>GSCL</v>
      </c>
      <c r="G1046" s="153" t="str">
        <f>Matrix_prices!G1034</f>
        <v>General Service Large</v>
      </c>
      <c r="H1046" s="157" t="str">
        <f t="shared" si="45"/>
        <v>0-100 MWh</v>
      </c>
      <c r="I1046" s="153">
        <f>(Matrix_prices!I1034+$D$2)*IF($M$2="Prices in $/MWh",1,1/1000)</f>
        <v>69.55</v>
      </c>
      <c r="J1046" s="152">
        <f>(Matrix_prices!J1034+$D$2)*IF($M$2="Prices in $/MWh",1,1/1000)</f>
        <v>69.709999999999994</v>
      </c>
      <c r="K1046" s="153">
        <f>(Matrix_prices!K1034+$D$2)*IF($M$2="Prices in $/MWh",1,1/1000)</f>
        <v>69.31</v>
      </c>
      <c r="L1046" s="152">
        <f>(Matrix_prices!L1034+$D$2)*IF($M$2="Prices in $/MWh",1,1/1000)</f>
        <v>29.47</v>
      </c>
      <c r="M1046" s="153">
        <f>(Matrix_prices!M1034+$D$2)*IF($M$2="Prices in $/MWh",1,1/1000)</f>
        <v>29.62</v>
      </c>
      <c r="N1046" s="152">
        <f>(Matrix_prices!N1034+$D$2)*IF($M$2="Prices in $/MWh",1,1/1000)</f>
        <v>29.83</v>
      </c>
      <c r="O1046" s="61"/>
    </row>
    <row r="1047" spans="2:15" x14ac:dyDescent="0.25">
      <c r="B1047" s="57"/>
      <c r="C1047" s="78">
        <f>Matrix_prices!C1035</f>
        <v>42644</v>
      </c>
      <c r="D1047" s="79" t="str">
        <f>Matrix_prices!D1035</f>
        <v>PA</v>
      </c>
      <c r="E1047" s="80" t="str">
        <f>Matrix_prices!E1035</f>
        <v>Penelec</v>
      </c>
      <c r="F1047" s="79" t="str">
        <f>Matrix_prices!F1035</f>
        <v>GSCL</v>
      </c>
      <c r="G1047" s="80" t="str">
        <f>Matrix_prices!G1035</f>
        <v>General Service Large</v>
      </c>
      <c r="H1047" s="81" t="str">
        <f t="shared" si="46"/>
        <v>100-500 MWh</v>
      </c>
      <c r="I1047" s="80">
        <f>(Matrix_prices!I1035+$D$2)*IF($M$2="Prices in $/MWh",1,1/1000)</f>
        <v>67.95</v>
      </c>
      <c r="J1047" s="79">
        <f>(Matrix_prices!J1035+$D$2)*IF($M$2="Prices in $/MWh",1,1/1000)</f>
        <v>68.11</v>
      </c>
      <c r="K1047" s="80">
        <f>(Matrix_prices!K1035+$D$2)*IF($M$2="Prices in $/MWh",1,1/1000)</f>
        <v>67.709999999999994</v>
      </c>
      <c r="L1047" s="79">
        <f>(Matrix_prices!L1035+$D$2)*IF($M$2="Prices in $/MWh",1,1/1000)</f>
        <v>27.87</v>
      </c>
      <c r="M1047" s="80">
        <f>(Matrix_prices!M1035+$D$2)*IF($M$2="Prices in $/MWh",1,1/1000)</f>
        <v>28.02</v>
      </c>
      <c r="N1047" s="79">
        <f>(Matrix_prices!N1035+$D$2)*IF($M$2="Prices in $/MWh",1,1/1000)</f>
        <v>28.23</v>
      </c>
      <c r="O1047" s="61"/>
    </row>
    <row r="1048" spans="2:15" x14ac:dyDescent="0.25">
      <c r="B1048" s="57"/>
      <c r="C1048" s="82">
        <f>Matrix_prices!C1036</f>
        <v>42644</v>
      </c>
      <c r="D1048" s="83" t="str">
        <f>Matrix_prices!D1036</f>
        <v>PA</v>
      </c>
      <c r="E1048" s="84" t="str">
        <f>Matrix_prices!E1036</f>
        <v>Penelec</v>
      </c>
      <c r="F1048" s="83" t="str">
        <f>Matrix_prices!F1036</f>
        <v>GSCL</v>
      </c>
      <c r="G1048" s="84" t="str">
        <f>Matrix_prices!G1036</f>
        <v>General Service Large</v>
      </c>
      <c r="H1048" s="85" t="str">
        <f t="shared" si="47"/>
        <v>500-2500 MWh</v>
      </c>
      <c r="I1048" s="84">
        <f>(Matrix_prices!I1036+$D$2)*IF($M$2="Prices in $/MWh",1,1/1000)</f>
        <v>66.900000000000006</v>
      </c>
      <c r="J1048" s="83">
        <f>(Matrix_prices!J1036+$D$2)*IF($M$2="Prices in $/MWh",1,1/1000)</f>
        <v>67.06</v>
      </c>
      <c r="K1048" s="84">
        <f>(Matrix_prices!K1036+$D$2)*IF($M$2="Prices in $/MWh",1,1/1000)</f>
        <v>66.66</v>
      </c>
      <c r="L1048" s="83">
        <f>(Matrix_prices!L1036+$D$2)*IF($M$2="Prices in $/MWh",1,1/1000)</f>
        <v>26.82</v>
      </c>
      <c r="M1048" s="84">
        <f>(Matrix_prices!M1036+$D$2)*IF($M$2="Prices in $/MWh",1,1/1000)</f>
        <v>26.97</v>
      </c>
      <c r="N1048" s="83">
        <f>(Matrix_prices!N1036+$D$2)*IF($M$2="Prices in $/MWh",1,1/1000)</f>
        <v>27.18</v>
      </c>
      <c r="O1048" s="61"/>
    </row>
    <row r="1049" spans="2:15" x14ac:dyDescent="0.25">
      <c r="B1049" s="57"/>
      <c r="C1049" s="74">
        <f>Matrix_prices!C1037</f>
        <v>42675</v>
      </c>
      <c r="D1049" s="75" t="str">
        <f>Matrix_prices!D1037</f>
        <v>PA</v>
      </c>
      <c r="E1049" s="76" t="str">
        <f>Matrix_prices!E1037</f>
        <v>Penelec</v>
      </c>
      <c r="F1049" s="75" t="str">
        <f>Matrix_prices!F1037</f>
        <v>GSCL</v>
      </c>
      <c r="G1049" s="76" t="str">
        <f>Matrix_prices!G1037</f>
        <v>General Service Large</v>
      </c>
      <c r="H1049" s="157" t="str">
        <f t="shared" si="45"/>
        <v>0-100 MWh</v>
      </c>
      <c r="I1049" s="76">
        <f>(Matrix_prices!I1037+$D$2)*IF($M$2="Prices in $/MWh",1,1/1000)</f>
        <v>69.430000000000007</v>
      </c>
      <c r="J1049" s="75">
        <f>(Matrix_prices!J1037+$D$2)*IF($M$2="Prices in $/MWh",1,1/1000)</f>
        <v>69.84</v>
      </c>
      <c r="K1049" s="76">
        <f>(Matrix_prices!K1037+$D$2)*IF($M$2="Prices in $/MWh",1,1/1000)</f>
        <v>69.28</v>
      </c>
      <c r="L1049" s="75">
        <f>(Matrix_prices!L1037+$D$2)*IF($M$2="Prices in $/MWh",1,1/1000)</f>
        <v>29.46</v>
      </c>
      <c r="M1049" s="76">
        <f>(Matrix_prices!M1037+$D$2)*IF($M$2="Prices in $/MWh",1,1/1000)</f>
        <v>29.66</v>
      </c>
      <c r="N1049" s="75">
        <f>(Matrix_prices!N1037+$D$2)*IF($M$2="Prices in $/MWh",1,1/1000)</f>
        <v>29.9</v>
      </c>
      <c r="O1049" s="61"/>
    </row>
    <row r="1050" spans="2:15" x14ac:dyDescent="0.25">
      <c r="B1050" s="57"/>
      <c r="C1050" s="78">
        <f>Matrix_prices!C1038</f>
        <v>42675</v>
      </c>
      <c r="D1050" s="79" t="str">
        <f>Matrix_prices!D1038</f>
        <v>PA</v>
      </c>
      <c r="E1050" s="80" t="str">
        <f>Matrix_prices!E1038</f>
        <v>Penelec</v>
      </c>
      <c r="F1050" s="79" t="str">
        <f>Matrix_prices!F1038</f>
        <v>GSCL</v>
      </c>
      <c r="G1050" s="80" t="str">
        <f>Matrix_prices!G1038</f>
        <v>General Service Large</v>
      </c>
      <c r="H1050" s="81" t="str">
        <f t="shared" si="46"/>
        <v>100-500 MWh</v>
      </c>
      <c r="I1050" s="80">
        <f>(Matrix_prices!I1038+$D$2)*IF($M$2="Prices in $/MWh",1,1/1000)</f>
        <v>67.83</v>
      </c>
      <c r="J1050" s="79">
        <f>(Matrix_prices!J1038+$D$2)*IF($M$2="Prices in $/MWh",1,1/1000)</f>
        <v>68.239999999999995</v>
      </c>
      <c r="K1050" s="80">
        <f>(Matrix_prices!K1038+$D$2)*IF($M$2="Prices in $/MWh",1,1/1000)</f>
        <v>67.680000000000007</v>
      </c>
      <c r="L1050" s="79">
        <f>(Matrix_prices!L1038+$D$2)*IF($M$2="Prices in $/MWh",1,1/1000)</f>
        <v>27.86</v>
      </c>
      <c r="M1050" s="80">
        <f>(Matrix_prices!M1038+$D$2)*IF($M$2="Prices in $/MWh",1,1/1000)</f>
        <v>28.06</v>
      </c>
      <c r="N1050" s="79">
        <f>(Matrix_prices!N1038+$D$2)*IF($M$2="Prices in $/MWh",1,1/1000)</f>
        <v>28.3</v>
      </c>
      <c r="O1050" s="61"/>
    </row>
    <row r="1051" spans="2:15" x14ac:dyDescent="0.25">
      <c r="B1051" s="57"/>
      <c r="C1051" s="82">
        <f>Matrix_prices!C1039</f>
        <v>42675</v>
      </c>
      <c r="D1051" s="83" t="str">
        <f>Matrix_prices!D1039</f>
        <v>PA</v>
      </c>
      <c r="E1051" s="84" t="str">
        <f>Matrix_prices!E1039</f>
        <v>Penelec</v>
      </c>
      <c r="F1051" s="83" t="str">
        <f>Matrix_prices!F1039</f>
        <v>GSCL</v>
      </c>
      <c r="G1051" s="84" t="str">
        <f>Matrix_prices!G1039</f>
        <v>General Service Large</v>
      </c>
      <c r="H1051" s="85" t="str">
        <f t="shared" si="47"/>
        <v>500-2500 MWh</v>
      </c>
      <c r="I1051" s="84">
        <f>(Matrix_prices!I1039+$D$2)*IF($M$2="Prices in $/MWh",1,1/1000)</f>
        <v>66.78</v>
      </c>
      <c r="J1051" s="83">
        <f>(Matrix_prices!J1039+$D$2)*IF($M$2="Prices in $/MWh",1,1/1000)</f>
        <v>67.19</v>
      </c>
      <c r="K1051" s="84">
        <f>(Matrix_prices!K1039+$D$2)*IF($M$2="Prices in $/MWh",1,1/1000)</f>
        <v>66.63</v>
      </c>
      <c r="L1051" s="83">
        <f>(Matrix_prices!L1039+$D$2)*IF($M$2="Prices in $/MWh",1,1/1000)</f>
        <v>26.81</v>
      </c>
      <c r="M1051" s="84">
        <f>(Matrix_prices!M1039+$D$2)*IF($M$2="Prices in $/MWh",1,1/1000)</f>
        <v>27.01</v>
      </c>
      <c r="N1051" s="83">
        <f>(Matrix_prices!N1039+$D$2)*IF($M$2="Prices in $/MWh",1,1/1000)</f>
        <v>27.25</v>
      </c>
      <c r="O1051" s="61"/>
    </row>
    <row r="1052" spans="2:15" x14ac:dyDescent="0.25">
      <c r="B1052" s="57"/>
      <c r="C1052" s="151">
        <f>Matrix_prices!C1040</f>
        <v>42705</v>
      </c>
      <c r="D1052" s="152" t="str">
        <f>Matrix_prices!D1040</f>
        <v>PA</v>
      </c>
      <c r="E1052" s="153" t="str">
        <f>Matrix_prices!E1040</f>
        <v>Penelec</v>
      </c>
      <c r="F1052" s="152" t="str">
        <f>Matrix_prices!F1040</f>
        <v>GSCL</v>
      </c>
      <c r="G1052" s="153" t="str">
        <f>Matrix_prices!G1040</f>
        <v>General Service Large</v>
      </c>
      <c r="H1052" s="157" t="str">
        <f t="shared" si="45"/>
        <v>0-100 MWh</v>
      </c>
      <c r="I1052" s="153">
        <f>(Matrix_prices!I1040+$D$2)*IF($M$2="Prices in $/MWh",1,1/1000)</f>
        <v>69.28</v>
      </c>
      <c r="J1052" s="152">
        <f>(Matrix_prices!J1040+$D$2)*IF($M$2="Prices in $/MWh",1,1/1000)</f>
        <v>69.89</v>
      </c>
      <c r="K1052" s="153">
        <f>(Matrix_prices!K1040+$D$2)*IF($M$2="Prices in $/MWh",1,1/1000)</f>
        <v>69.260000000000005</v>
      </c>
      <c r="L1052" s="152">
        <f>(Matrix_prices!L1040+$D$2)*IF($M$2="Prices in $/MWh",1,1/1000)</f>
        <v>29.46</v>
      </c>
      <c r="M1052" s="153">
        <f>(Matrix_prices!M1040+$D$2)*IF($M$2="Prices in $/MWh",1,1/1000)</f>
        <v>29.68</v>
      </c>
      <c r="N1052" s="152">
        <f>(Matrix_prices!N1040+$D$2)*IF($M$2="Prices in $/MWh",1,1/1000)</f>
        <v>29.97</v>
      </c>
      <c r="O1052" s="61"/>
    </row>
    <row r="1053" spans="2:15" x14ac:dyDescent="0.25">
      <c r="B1053" s="57"/>
      <c r="C1053" s="78">
        <f>Matrix_prices!C1041</f>
        <v>42705</v>
      </c>
      <c r="D1053" s="79" t="str">
        <f>Matrix_prices!D1041</f>
        <v>PA</v>
      </c>
      <c r="E1053" s="80" t="str">
        <f>Matrix_prices!E1041</f>
        <v>Penelec</v>
      </c>
      <c r="F1053" s="79" t="str">
        <f>Matrix_prices!F1041</f>
        <v>GSCL</v>
      </c>
      <c r="G1053" s="80" t="str">
        <f>Matrix_prices!G1041</f>
        <v>General Service Large</v>
      </c>
      <c r="H1053" s="81" t="str">
        <f t="shared" si="46"/>
        <v>100-500 MWh</v>
      </c>
      <c r="I1053" s="80">
        <f>(Matrix_prices!I1041+$D$2)*IF($M$2="Prices in $/MWh",1,1/1000)</f>
        <v>67.680000000000007</v>
      </c>
      <c r="J1053" s="79">
        <f>(Matrix_prices!J1041+$D$2)*IF($M$2="Prices in $/MWh",1,1/1000)</f>
        <v>68.290000000000006</v>
      </c>
      <c r="K1053" s="80">
        <f>(Matrix_prices!K1041+$D$2)*IF($M$2="Prices in $/MWh",1,1/1000)</f>
        <v>67.66</v>
      </c>
      <c r="L1053" s="79">
        <f>(Matrix_prices!L1041+$D$2)*IF($M$2="Prices in $/MWh",1,1/1000)</f>
        <v>27.86</v>
      </c>
      <c r="M1053" s="80">
        <f>(Matrix_prices!M1041+$D$2)*IF($M$2="Prices in $/MWh",1,1/1000)</f>
        <v>28.08</v>
      </c>
      <c r="N1053" s="79">
        <f>(Matrix_prices!N1041+$D$2)*IF($M$2="Prices in $/MWh",1,1/1000)</f>
        <v>28.37</v>
      </c>
      <c r="O1053" s="61"/>
    </row>
    <row r="1054" spans="2:15" x14ac:dyDescent="0.25">
      <c r="B1054" s="57"/>
      <c r="C1054" s="82">
        <f>Matrix_prices!C1042</f>
        <v>42705</v>
      </c>
      <c r="D1054" s="83" t="str">
        <f>Matrix_prices!D1042</f>
        <v>PA</v>
      </c>
      <c r="E1054" s="84" t="str">
        <f>Matrix_prices!E1042</f>
        <v>Penelec</v>
      </c>
      <c r="F1054" s="83" t="str">
        <f>Matrix_prices!F1042</f>
        <v>GSCL</v>
      </c>
      <c r="G1054" s="84" t="str">
        <f>Matrix_prices!G1042</f>
        <v>General Service Large</v>
      </c>
      <c r="H1054" s="85" t="str">
        <f t="shared" si="47"/>
        <v>500-2500 MWh</v>
      </c>
      <c r="I1054" s="84">
        <f>(Matrix_prices!I1042+$D$2)*IF($M$2="Prices in $/MWh",1,1/1000)</f>
        <v>66.63</v>
      </c>
      <c r="J1054" s="83">
        <f>(Matrix_prices!J1042+$D$2)*IF($M$2="Prices in $/MWh",1,1/1000)</f>
        <v>67.239999999999995</v>
      </c>
      <c r="K1054" s="84">
        <f>(Matrix_prices!K1042+$D$2)*IF($M$2="Prices in $/MWh",1,1/1000)</f>
        <v>66.61</v>
      </c>
      <c r="L1054" s="83">
        <f>(Matrix_prices!L1042+$D$2)*IF($M$2="Prices in $/MWh",1,1/1000)</f>
        <v>26.81</v>
      </c>
      <c r="M1054" s="84">
        <f>(Matrix_prices!M1042+$D$2)*IF($M$2="Prices in $/MWh",1,1/1000)</f>
        <v>27.03</v>
      </c>
      <c r="N1054" s="83">
        <f>(Matrix_prices!N1042+$D$2)*IF($M$2="Prices in $/MWh",1,1/1000)</f>
        <v>27.32</v>
      </c>
      <c r="O1054" s="61"/>
    </row>
    <row r="1055" spans="2:15" x14ac:dyDescent="0.25">
      <c r="B1055" s="57"/>
      <c r="C1055" s="74">
        <f>Matrix_prices!C1043</f>
        <v>42736</v>
      </c>
      <c r="D1055" s="75" t="str">
        <f>Matrix_prices!D1043</f>
        <v>PA</v>
      </c>
      <c r="E1055" s="76" t="str">
        <f>Matrix_prices!E1043</f>
        <v>Penelec</v>
      </c>
      <c r="F1055" s="75" t="str">
        <f>Matrix_prices!F1043</f>
        <v>GSCL</v>
      </c>
      <c r="G1055" s="76" t="str">
        <f>Matrix_prices!G1043</f>
        <v>General Service Large</v>
      </c>
      <c r="H1055" s="157" t="str">
        <f t="shared" si="45"/>
        <v>0-100 MWh</v>
      </c>
      <c r="I1055" s="76">
        <f>(Matrix_prices!I1043+$D$2)*IF($M$2="Prices in $/MWh",1,1/1000)</f>
        <v>69.14</v>
      </c>
      <c r="J1055" s="75">
        <f>(Matrix_prices!J1043+$D$2)*IF($M$2="Prices in $/MWh",1,1/1000)</f>
        <v>69.86</v>
      </c>
      <c r="K1055" s="76">
        <f>(Matrix_prices!K1043+$D$2)*IF($M$2="Prices in $/MWh",1,1/1000)</f>
        <v>69.290000000000006</v>
      </c>
      <c r="L1055" s="75">
        <f>(Matrix_prices!L1043+$D$2)*IF($M$2="Prices in $/MWh",1,1/1000)</f>
        <v>29.49</v>
      </c>
      <c r="M1055" s="76">
        <f>(Matrix_prices!M1043+$D$2)*IF($M$2="Prices in $/MWh",1,1/1000)</f>
        <v>29.76</v>
      </c>
      <c r="N1055" s="75">
        <f>(Matrix_prices!N1043+$D$2)*IF($M$2="Prices in $/MWh",1,1/1000)</f>
        <v>30.07</v>
      </c>
      <c r="O1055" s="61"/>
    </row>
    <row r="1056" spans="2:15" x14ac:dyDescent="0.25">
      <c r="B1056" s="57"/>
      <c r="C1056" s="78">
        <f>Matrix_prices!C1044</f>
        <v>42736</v>
      </c>
      <c r="D1056" s="79" t="str">
        <f>Matrix_prices!D1044</f>
        <v>PA</v>
      </c>
      <c r="E1056" s="80" t="str">
        <f>Matrix_prices!E1044</f>
        <v>Penelec</v>
      </c>
      <c r="F1056" s="79" t="str">
        <f>Matrix_prices!F1044</f>
        <v>GSCL</v>
      </c>
      <c r="G1056" s="80" t="str">
        <f>Matrix_prices!G1044</f>
        <v>General Service Large</v>
      </c>
      <c r="H1056" s="81" t="str">
        <f t="shared" si="46"/>
        <v>100-500 MWh</v>
      </c>
      <c r="I1056" s="80">
        <f>(Matrix_prices!I1044+$D$2)*IF($M$2="Prices in $/MWh",1,1/1000)</f>
        <v>67.540000000000006</v>
      </c>
      <c r="J1056" s="79">
        <f>(Matrix_prices!J1044+$D$2)*IF($M$2="Prices in $/MWh",1,1/1000)</f>
        <v>68.260000000000005</v>
      </c>
      <c r="K1056" s="80">
        <f>(Matrix_prices!K1044+$D$2)*IF($M$2="Prices in $/MWh",1,1/1000)</f>
        <v>67.69</v>
      </c>
      <c r="L1056" s="79">
        <f>(Matrix_prices!L1044+$D$2)*IF($M$2="Prices in $/MWh",1,1/1000)</f>
        <v>27.89</v>
      </c>
      <c r="M1056" s="80">
        <f>(Matrix_prices!M1044+$D$2)*IF($M$2="Prices in $/MWh",1,1/1000)</f>
        <v>28.16</v>
      </c>
      <c r="N1056" s="79">
        <f>(Matrix_prices!N1044+$D$2)*IF($M$2="Prices in $/MWh",1,1/1000)</f>
        <v>28.47</v>
      </c>
      <c r="O1056" s="61"/>
    </row>
    <row r="1057" spans="2:15" x14ac:dyDescent="0.25">
      <c r="B1057" s="57"/>
      <c r="C1057" s="82">
        <f>Matrix_prices!C1045</f>
        <v>42736</v>
      </c>
      <c r="D1057" s="83" t="str">
        <f>Matrix_prices!D1045</f>
        <v>PA</v>
      </c>
      <c r="E1057" s="84" t="str">
        <f>Matrix_prices!E1045</f>
        <v>Penelec</v>
      </c>
      <c r="F1057" s="83" t="str">
        <f>Matrix_prices!F1045</f>
        <v>GSCL</v>
      </c>
      <c r="G1057" s="84" t="str">
        <f>Matrix_prices!G1045</f>
        <v>General Service Large</v>
      </c>
      <c r="H1057" s="85" t="str">
        <f t="shared" si="47"/>
        <v>500-2500 MWh</v>
      </c>
      <c r="I1057" s="84">
        <f>(Matrix_prices!I1045+$D$2)*IF($M$2="Prices in $/MWh",1,1/1000)</f>
        <v>66.489999999999995</v>
      </c>
      <c r="J1057" s="83">
        <f>(Matrix_prices!J1045+$D$2)*IF($M$2="Prices in $/MWh",1,1/1000)</f>
        <v>67.209999999999994</v>
      </c>
      <c r="K1057" s="84">
        <f>(Matrix_prices!K1045+$D$2)*IF($M$2="Prices in $/MWh",1,1/1000)</f>
        <v>66.64</v>
      </c>
      <c r="L1057" s="83">
        <f>(Matrix_prices!L1045+$D$2)*IF($M$2="Prices in $/MWh",1,1/1000)</f>
        <v>26.84</v>
      </c>
      <c r="M1057" s="84">
        <f>(Matrix_prices!M1045+$D$2)*IF($M$2="Prices in $/MWh",1,1/1000)</f>
        <v>27.11</v>
      </c>
      <c r="N1057" s="83">
        <f>(Matrix_prices!N1045+$D$2)*IF($M$2="Prices in $/MWh",1,1/1000)</f>
        <v>27.42</v>
      </c>
      <c r="O1057" s="61"/>
    </row>
    <row r="1058" spans="2:15" x14ac:dyDescent="0.25">
      <c r="B1058" s="57"/>
      <c r="C1058" s="151">
        <f>Matrix_prices!C1046</f>
        <v>42401</v>
      </c>
      <c r="D1058" s="152" t="str">
        <f>Matrix_prices!D1046</f>
        <v>PA</v>
      </c>
      <c r="E1058" s="153" t="str">
        <f>Matrix_prices!E1046</f>
        <v>Penelec</v>
      </c>
      <c r="F1058" s="152" t="str">
        <f>Matrix_prices!F1046</f>
        <v>GSCM</v>
      </c>
      <c r="G1058" s="153" t="str">
        <f>Matrix_prices!G1046</f>
        <v>General Service Medium</v>
      </c>
      <c r="H1058" s="157" t="str">
        <f t="shared" si="45"/>
        <v>0-100 MWh</v>
      </c>
      <c r="I1058" s="153">
        <f>(Matrix_prices!I1046+$D$2)*IF($M$2="Prices in $/MWh",1,1/1000)</f>
        <v>70.34</v>
      </c>
      <c r="J1058" s="152">
        <f>(Matrix_prices!J1046+$D$2)*IF($M$2="Prices in $/MWh",1,1/1000)</f>
        <v>70.849999999999994</v>
      </c>
      <c r="K1058" s="153">
        <f>(Matrix_prices!K1046+$D$2)*IF($M$2="Prices in $/MWh",1,1/1000)</f>
        <v>70.25</v>
      </c>
      <c r="L1058" s="152">
        <f>(Matrix_prices!L1046+$D$2)*IF($M$2="Prices in $/MWh",1,1/1000)</f>
        <v>30.47</v>
      </c>
      <c r="M1058" s="153">
        <f>(Matrix_prices!M1046+$D$2)*IF($M$2="Prices in $/MWh",1,1/1000)</f>
        <v>30.59</v>
      </c>
      <c r="N1058" s="152">
        <f>(Matrix_prices!N1046+$D$2)*IF($M$2="Prices in $/MWh",1,1/1000)</f>
        <v>30.53</v>
      </c>
      <c r="O1058" s="61"/>
    </row>
    <row r="1059" spans="2:15" x14ac:dyDescent="0.25">
      <c r="B1059" s="57"/>
      <c r="C1059" s="78">
        <f>Matrix_prices!C1047</f>
        <v>42401</v>
      </c>
      <c r="D1059" s="79" t="str">
        <f>Matrix_prices!D1047</f>
        <v>PA</v>
      </c>
      <c r="E1059" s="80" t="str">
        <f>Matrix_prices!E1047</f>
        <v>Penelec</v>
      </c>
      <c r="F1059" s="79" t="str">
        <f>Matrix_prices!F1047</f>
        <v>GSCM</v>
      </c>
      <c r="G1059" s="80" t="str">
        <f>Matrix_prices!G1047</f>
        <v>General Service Medium</v>
      </c>
      <c r="H1059" s="81" t="str">
        <f t="shared" si="46"/>
        <v>100-500 MWh</v>
      </c>
      <c r="I1059" s="80">
        <f>(Matrix_prices!I1047+$D$2)*IF($M$2="Prices in $/MWh",1,1/1000)</f>
        <v>68.739999999999995</v>
      </c>
      <c r="J1059" s="79">
        <f>(Matrix_prices!J1047+$D$2)*IF($M$2="Prices in $/MWh",1,1/1000)</f>
        <v>69.25</v>
      </c>
      <c r="K1059" s="80">
        <f>(Matrix_prices!K1047+$D$2)*IF($M$2="Prices in $/MWh",1,1/1000)</f>
        <v>68.650000000000006</v>
      </c>
      <c r="L1059" s="79">
        <f>(Matrix_prices!L1047+$D$2)*IF($M$2="Prices in $/MWh",1,1/1000)</f>
        <v>28.87</v>
      </c>
      <c r="M1059" s="80">
        <f>(Matrix_prices!M1047+$D$2)*IF($M$2="Prices in $/MWh",1,1/1000)</f>
        <v>28.99</v>
      </c>
      <c r="N1059" s="79">
        <f>(Matrix_prices!N1047+$D$2)*IF($M$2="Prices in $/MWh",1,1/1000)</f>
        <v>28.93</v>
      </c>
      <c r="O1059" s="61"/>
    </row>
    <row r="1060" spans="2:15" x14ac:dyDescent="0.25">
      <c r="B1060" s="57"/>
      <c r="C1060" s="82">
        <f>Matrix_prices!C1048</f>
        <v>42401</v>
      </c>
      <c r="D1060" s="83" t="str">
        <f>Matrix_prices!D1048</f>
        <v>PA</v>
      </c>
      <c r="E1060" s="84" t="str">
        <f>Matrix_prices!E1048</f>
        <v>Penelec</v>
      </c>
      <c r="F1060" s="83" t="str">
        <f>Matrix_prices!F1048</f>
        <v>GSCM</v>
      </c>
      <c r="G1060" s="84" t="str">
        <f>Matrix_prices!G1048</f>
        <v>General Service Medium</v>
      </c>
      <c r="H1060" s="85" t="str">
        <f t="shared" si="47"/>
        <v>500-2500 MWh</v>
      </c>
      <c r="I1060" s="84">
        <f>(Matrix_prices!I1048+$D$2)*IF($M$2="Prices in $/MWh",1,1/1000)</f>
        <v>67.69</v>
      </c>
      <c r="J1060" s="83">
        <f>(Matrix_prices!J1048+$D$2)*IF($M$2="Prices in $/MWh",1,1/1000)</f>
        <v>68.2</v>
      </c>
      <c r="K1060" s="84">
        <f>(Matrix_prices!K1048+$D$2)*IF($M$2="Prices in $/MWh",1,1/1000)</f>
        <v>67.599999999999994</v>
      </c>
      <c r="L1060" s="83">
        <f>(Matrix_prices!L1048+$D$2)*IF($M$2="Prices in $/MWh",1,1/1000)</f>
        <v>27.82</v>
      </c>
      <c r="M1060" s="84">
        <f>(Matrix_prices!M1048+$D$2)*IF($M$2="Prices in $/MWh",1,1/1000)</f>
        <v>27.94</v>
      </c>
      <c r="N1060" s="83">
        <f>(Matrix_prices!N1048+$D$2)*IF($M$2="Prices in $/MWh",1,1/1000)</f>
        <v>27.88</v>
      </c>
      <c r="O1060" s="61"/>
    </row>
    <row r="1061" spans="2:15" x14ac:dyDescent="0.25">
      <c r="B1061" s="57"/>
      <c r="C1061" s="74">
        <f>Matrix_prices!C1049</f>
        <v>42430</v>
      </c>
      <c r="D1061" s="75" t="str">
        <f>Matrix_prices!D1049</f>
        <v>PA</v>
      </c>
      <c r="E1061" s="76" t="str">
        <f>Matrix_prices!E1049</f>
        <v>Penelec</v>
      </c>
      <c r="F1061" s="75" t="str">
        <f>Matrix_prices!F1049</f>
        <v>GSCM</v>
      </c>
      <c r="G1061" s="76" t="str">
        <f>Matrix_prices!G1049</f>
        <v>General Service Medium</v>
      </c>
      <c r="H1061" s="157" t="str">
        <f t="shared" ref="H1061:H1124" si="48">IF($M$2="Prices in $/MWh","0-100 MWh","0-100,000 kWh")</f>
        <v>0-100 MWh</v>
      </c>
      <c r="I1061" s="76">
        <f>(Matrix_prices!I1049+$D$2)*IF($M$2="Prices in $/MWh",1,1/1000)</f>
        <v>70.77</v>
      </c>
      <c r="J1061" s="75">
        <f>(Matrix_prices!J1049+$D$2)*IF($M$2="Prices in $/MWh",1,1/1000)</f>
        <v>70.67</v>
      </c>
      <c r="K1061" s="76">
        <f>(Matrix_prices!K1049+$D$2)*IF($M$2="Prices in $/MWh",1,1/1000)</f>
        <v>70.41</v>
      </c>
      <c r="L1061" s="75">
        <f>(Matrix_prices!L1049+$D$2)*IF($M$2="Prices in $/MWh",1,1/1000)</f>
        <v>30.49</v>
      </c>
      <c r="M1061" s="76">
        <f>(Matrix_prices!M1049+$D$2)*IF($M$2="Prices in $/MWh",1,1/1000)</f>
        <v>30.52</v>
      </c>
      <c r="N1061" s="75">
        <f>(Matrix_prices!N1049+$D$2)*IF($M$2="Prices in $/MWh",1,1/1000)</f>
        <v>30.55</v>
      </c>
      <c r="O1061" s="61"/>
    </row>
    <row r="1062" spans="2:15" x14ac:dyDescent="0.25">
      <c r="B1062" s="57"/>
      <c r="C1062" s="78">
        <f>Matrix_prices!C1050</f>
        <v>42430</v>
      </c>
      <c r="D1062" s="79" t="str">
        <f>Matrix_prices!D1050</f>
        <v>PA</v>
      </c>
      <c r="E1062" s="80" t="str">
        <f>Matrix_prices!E1050</f>
        <v>Penelec</v>
      </c>
      <c r="F1062" s="79" t="str">
        <f>Matrix_prices!F1050</f>
        <v>GSCM</v>
      </c>
      <c r="G1062" s="80" t="str">
        <f>Matrix_prices!G1050</f>
        <v>General Service Medium</v>
      </c>
      <c r="H1062" s="81" t="str">
        <f t="shared" ref="H1062:H1125" si="49">IF($M$2="Prices in $/MWh","100-500 MWh","100,000-500,000 kWh")</f>
        <v>100-500 MWh</v>
      </c>
      <c r="I1062" s="80">
        <f>(Matrix_prices!I1050+$D$2)*IF($M$2="Prices in $/MWh",1,1/1000)</f>
        <v>69.17</v>
      </c>
      <c r="J1062" s="79">
        <f>(Matrix_prices!J1050+$D$2)*IF($M$2="Prices in $/MWh",1,1/1000)</f>
        <v>69.069999999999993</v>
      </c>
      <c r="K1062" s="80">
        <f>(Matrix_prices!K1050+$D$2)*IF($M$2="Prices in $/MWh",1,1/1000)</f>
        <v>68.81</v>
      </c>
      <c r="L1062" s="79">
        <f>(Matrix_prices!L1050+$D$2)*IF($M$2="Prices in $/MWh",1,1/1000)</f>
        <v>28.89</v>
      </c>
      <c r="M1062" s="80">
        <f>(Matrix_prices!M1050+$D$2)*IF($M$2="Prices in $/MWh",1,1/1000)</f>
        <v>28.92</v>
      </c>
      <c r="N1062" s="79">
        <f>(Matrix_prices!N1050+$D$2)*IF($M$2="Prices in $/MWh",1,1/1000)</f>
        <v>28.95</v>
      </c>
      <c r="O1062" s="61"/>
    </row>
    <row r="1063" spans="2:15" x14ac:dyDescent="0.25">
      <c r="B1063" s="57"/>
      <c r="C1063" s="82">
        <f>Matrix_prices!C1051</f>
        <v>42430</v>
      </c>
      <c r="D1063" s="83" t="str">
        <f>Matrix_prices!D1051</f>
        <v>PA</v>
      </c>
      <c r="E1063" s="84" t="str">
        <f>Matrix_prices!E1051</f>
        <v>Penelec</v>
      </c>
      <c r="F1063" s="83" t="str">
        <f>Matrix_prices!F1051</f>
        <v>GSCM</v>
      </c>
      <c r="G1063" s="84" t="str">
        <f>Matrix_prices!G1051</f>
        <v>General Service Medium</v>
      </c>
      <c r="H1063" s="85" t="str">
        <f t="shared" ref="H1063:H1126" si="50">IF($M$2="Prices in $/MWh","500-2500 MWh","500,000-2,500,000 kWh")</f>
        <v>500-2500 MWh</v>
      </c>
      <c r="I1063" s="84">
        <f>(Matrix_prices!I1051+$D$2)*IF($M$2="Prices in $/MWh",1,1/1000)</f>
        <v>68.12</v>
      </c>
      <c r="J1063" s="83">
        <f>(Matrix_prices!J1051+$D$2)*IF($M$2="Prices in $/MWh",1,1/1000)</f>
        <v>68.02</v>
      </c>
      <c r="K1063" s="84">
        <f>(Matrix_prices!K1051+$D$2)*IF($M$2="Prices in $/MWh",1,1/1000)</f>
        <v>67.760000000000005</v>
      </c>
      <c r="L1063" s="83">
        <f>(Matrix_prices!L1051+$D$2)*IF($M$2="Prices in $/MWh",1,1/1000)</f>
        <v>27.84</v>
      </c>
      <c r="M1063" s="84">
        <f>(Matrix_prices!M1051+$D$2)*IF($M$2="Prices in $/MWh",1,1/1000)</f>
        <v>27.87</v>
      </c>
      <c r="N1063" s="83">
        <f>(Matrix_prices!N1051+$D$2)*IF($M$2="Prices in $/MWh",1,1/1000)</f>
        <v>27.9</v>
      </c>
      <c r="O1063" s="61"/>
    </row>
    <row r="1064" spans="2:15" x14ac:dyDescent="0.25">
      <c r="B1064" s="57"/>
      <c r="C1064" s="151">
        <f>Matrix_prices!C1052</f>
        <v>42461</v>
      </c>
      <c r="D1064" s="152" t="str">
        <f>Matrix_prices!D1052</f>
        <v>PA</v>
      </c>
      <c r="E1064" s="153" t="str">
        <f>Matrix_prices!E1052</f>
        <v>Penelec</v>
      </c>
      <c r="F1064" s="152" t="str">
        <f>Matrix_prices!F1052</f>
        <v>GSCM</v>
      </c>
      <c r="G1064" s="153" t="str">
        <f>Matrix_prices!G1052</f>
        <v>General Service Medium</v>
      </c>
      <c r="H1064" s="157" t="str">
        <f t="shared" si="48"/>
        <v>0-100 MWh</v>
      </c>
      <c r="I1064" s="153">
        <f>(Matrix_prices!I1052+$D$2)*IF($M$2="Prices in $/MWh",1,1/1000)</f>
        <v>70.959999999999994</v>
      </c>
      <c r="J1064" s="152">
        <f>(Matrix_prices!J1052+$D$2)*IF($M$2="Prices in $/MWh",1,1/1000)</f>
        <v>70.41</v>
      </c>
      <c r="K1064" s="153">
        <f>(Matrix_prices!K1052+$D$2)*IF($M$2="Prices in $/MWh",1,1/1000)</f>
        <v>70.459999999999994</v>
      </c>
      <c r="L1064" s="152">
        <f>(Matrix_prices!L1052+$D$2)*IF($M$2="Prices in $/MWh",1,1/1000)</f>
        <v>30.5</v>
      </c>
      <c r="M1064" s="153">
        <f>(Matrix_prices!M1052+$D$2)*IF($M$2="Prices in $/MWh",1,1/1000)</f>
        <v>30.5</v>
      </c>
      <c r="N1064" s="152">
        <f>(Matrix_prices!N1052+$D$2)*IF($M$2="Prices in $/MWh",1,1/1000)</f>
        <v>30.56</v>
      </c>
      <c r="O1064" s="61"/>
    </row>
    <row r="1065" spans="2:15" x14ac:dyDescent="0.25">
      <c r="B1065" s="57"/>
      <c r="C1065" s="78">
        <f>Matrix_prices!C1053</f>
        <v>42461</v>
      </c>
      <c r="D1065" s="79" t="str">
        <f>Matrix_prices!D1053</f>
        <v>PA</v>
      </c>
      <c r="E1065" s="80" t="str">
        <f>Matrix_prices!E1053</f>
        <v>Penelec</v>
      </c>
      <c r="F1065" s="79" t="str">
        <f>Matrix_prices!F1053</f>
        <v>GSCM</v>
      </c>
      <c r="G1065" s="80" t="str">
        <f>Matrix_prices!G1053</f>
        <v>General Service Medium</v>
      </c>
      <c r="H1065" s="81" t="str">
        <f t="shared" si="49"/>
        <v>100-500 MWh</v>
      </c>
      <c r="I1065" s="80">
        <f>(Matrix_prices!I1053+$D$2)*IF($M$2="Prices in $/MWh",1,1/1000)</f>
        <v>69.36</v>
      </c>
      <c r="J1065" s="79">
        <f>(Matrix_prices!J1053+$D$2)*IF($M$2="Prices in $/MWh",1,1/1000)</f>
        <v>68.81</v>
      </c>
      <c r="K1065" s="80">
        <f>(Matrix_prices!K1053+$D$2)*IF($M$2="Prices in $/MWh",1,1/1000)</f>
        <v>68.86</v>
      </c>
      <c r="L1065" s="79">
        <f>(Matrix_prices!L1053+$D$2)*IF($M$2="Prices in $/MWh",1,1/1000)</f>
        <v>28.9</v>
      </c>
      <c r="M1065" s="80">
        <f>(Matrix_prices!M1053+$D$2)*IF($M$2="Prices in $/MWh",1,1/1000)</f>
        <v>28.9</v>
      </c>
      <c r="N1065" s="79">
        <f>(Matrix_prices!N1053+$D$2)*IF($M$2="Prices in $/MWh",1,1/1000)</f>
        <v>28.96</v>
      </c>
      <c r="O1065" s="61"/>
    </row>
    <row r="1066" spans="2:15" x14ac:dyDescent="0.25">
      <c r="B1066" s="57"/>
      <c r="C1066" s="82">
        <f>Matrix_prices!C1054</f>
        <v>42461</v>
      </c>
      <c r="D1066" s="83" t="str">
        <f>Matrix_prices!D1054</f>
        <v>PA</v>
      </c>
      <c r="E1066" s="84" t="str">
        <f>Matrix_prices!E1054</f>
        <v>Penelec</v>
      </c>
      <c r="F1066" s="83" t="str">
        <f>Matrix_prices!F1054</f>
        <v>GSCM</v>
      </c>
      <c r="G1066" s="84" t="str">
        <f>Matrix_prices!G1054</f>
        <v>General Service Medium</v>
      </c>
      <c r="H1066" s="85" t="str">
        <f t="shared" si="50"/>
        <v>500-2500 MWh</v>
      </c>
      <c r="I1066" s="84">
        <f>(Matrix_prices!I1054+$D$2)*IF($M$2="Prices in $/MWh",1,1/1000)</f>
        <v>68.31</v>
      </c>
      <c r="J1066" s="83">
        <f>(Matrix_prices!J1054+$D$2)*IF($M$2="Prices in $/MWh",1,1/1000)</f>
        <v>67.760000000000005</v>
      </c>
      <c r="K1066" s="84">
        <f>(Matrix_prices!K1054+$D$2)*IF($M$2="Prices in $/MWh",1,1/1000)</f>
        <v>67.81</v>
      </c>
      <c r="L1066" s="83">
        <f>(Matrix_prices!L1054+$D$2)*IF($M$2="Prices in $/MWh",1,1/1000)</f>
        <v>27.85</v>
      </c>
      <c r="M1066" s="84">
        <f>(Matrix_prices!M1054+$D$2)*IF($M$2="Prices in $/MWh",1,1/1000)</f>
        <v>27.85</v>
      </c>
      <c r="N1066" s="83">
        <f>(Matrix_prices!N1054+$D$2)*IF($M$2="Prices in $/MWh",1,1/1000)</f>
        <v>27.91</v>
      </c>
      <c r="O1066" s="61"/>
    </row>
    <row r="1067" spans="2:15" x14ac:dyDescent="0.25">
      <c r="B1067" s="57"/>
      <c r="C1067" s="74">
        <f>Matrix_prices!C1055</f>
        <v>42491</v>
      </c>
      <c r="D1067" s="75" t="str">
        <f>Matrix_prices!D1055</f>
        <v>PA</v>
      </c>
      <c r="E1067" s="76" t="str">
        <f>Matrix_prices!E1055</f>
        <v>Penelec</v>
      </c>
      <c r="F1067" s="75" t="str">
        <f>Matrix_prices!F1055</f>
        <v>GSCM</v>
      </c>
      <c r="G1067" s="76" t="str">
        <f>Matrix_prices!G1055</f>
        <v>General Service Medium</v>
      </c>
      <c r="H1067" s="157" t="str">
        <f t="shared" si="48"/>
        <v>0-100 MWh</v>
      </c>
      <c r="I1067" s="76">
        <f>(Matrix_prices!I1055+$D$2)*IF($M$2="Prices in $/MWh",1,1/1000)</f>
        <v>71.06</v>
      </c>
      <c r="J1067" s="75">
        <f>(Matrix_prices!J1055+$D$2)*IF($M$2="Prices in $/MWh",1,1/1000)</f>
        <v>70.23</v>
      </c>
      <c r="K1067" s="76">
        <f>(Matrix_prices!K1055+$D$2)*IF($M$2="Prices in $/MWh",1,1/1000)</f>
        <v>70.459999999999994</v>
      </c>
      <c r="L1067" s="75">
        <f>(Matrix_prices!L1055+$D$2)*IF($M$2="Prices in $/MWh",1,1/1000)</f>
        <v>30.52</v>
      </c>
      <c r="M1067" s="76">
        <f>(Matrix_prices!M1055+$D$2)*IF($M$2="Prices in $/MWh",1,1/1000)</f>
        <v>30.5</v>
      </c>
      <c r="N1067" s="75">
        <f>(Matrix_prices!N1055+$D$2)*IF($M$2="Prices in $/MWh",1,1/1000)</f>
        <v>30.57</v>
      </c>
      <c r="O1067" s="61"/>
    </row>
    <row r="1068" spans="2:15" x14ac:dyDescent="0.25">
      <c r="B1068" s="57"/>
      <c r="C1068" s="78">
        <f>Matrix_prices!C1056</f>
        <v>42491</v>
      </c>
      <c r="D1068" s="79" t="str">
        <f>Matrix_prices!D1056</f>
        <v>PA</v>
      </c>
      <c r="E1068" s="80" t="str">
        <f>Matrix_prices!E1056</f>
        <v>Penelec</v>
      </c>
      <c r="F1068" s="79" t="str">
        <f>Matrix_prices!F1056</f>
        <v>GSCM</v>
      </c>
      <c r="G1068" s="80" t="str">
        <f>Matrix_prices!G1056</f>
        <v>General Service Medium</v>
      </c>
      <c r="H1068" s="81" t="str">
        <f t="shared" si="49"/>
        <v>100-500 MWh</v>
      </c>
      <c r="I1068" s="80">
        <f>(Matrix_prices!I1056+$D$2)*IF($M$2="Prices in $/MWh",1,1/1000)</f>
        <v>69.459999999999994</v>
      </c>
      <c r="J1068" s="79">
        <f>(Matrix_prices!J1056+$D$2)*IF($M$2="Prices in $/MWh",1,1/1000)</f>
        <v>68.63</v>
      </c>
      <c r="K1068" s="80">
        <f>(Matrix_prices!K1056+$D$2)*IF($M$2="Prices in $/MWh",1,1/1000)</f>
        <v>68.86</v>
      </c>
      <c r="L1068" s="79">
        <f>(Matrix_prices!L1056+$D$2)*IF($M$2="Prices in $/MWh",1,1/1000)</f>
        <v>28.92</v>
      </c>
      <c r="M1068" s="80">
        <f>(Matrix_prices!M1056+$D$2)*IF($M$2="Prices in $/MWh",1,1/1000)</f>
        <v>28.9</v>
      </c>
      <c r="N1068" s="79">
        <f>(Matrix_prices!N1056+$D$2)*IF($M$2="Prices in $/MWh",1,1/1000)</f>
        <v>28.97</v>
      </c>
      <c r="O1068" s="61"/>
    </row>
    <row r="1069" spans="2:15" x14ac:dyDescent="0.25">
      <c r="B1069" s="57"/>
      <c r="C1069" s="82">
        <f>Matrix_prices!C1057</f>
        <v>42491</v>
      </c>
      <c r="D1069" s="83" t="str">
        <f>Matrix_prices!D1057</f>
        <v>PA</v>
      </c>
      <c r="E1069" s="84" t="str">
        <f>Matrix_prices!E1057</f>
        <v>Penelec</v>
      </c>
      <c r="F1069" s="83" t="str">
        <f>Matrix_prices!F1057</f>
        <v>GSCM</v>
      </c>
      <c r="G1069" s="84" t="str">
        <f>Matrix_prices!G1057</f>
        <v>General Service Medium</v>
      </c>
      <c r="H1069" s="85" t="str">
        <f t="shared" si="50"/>
        <v>500-2500 MWh</v>
      </c>
      <c r="I1069" s="84">
        <f>(Matrix_prices!I1057+$D$2)*IF($M$2="Prices in $/MWh",1,1/1000)</f>
        <v>68.41</v>
      </c>
      <c r="J1069" s="83">
        <f>(Matrix_prices!J1057+$D$2)*IF($M$2="Prices in $/MWh",1,1/1000)</f>
        <v>67.58</v>
      </c>
      <c r="K1069" s="84">
        <f>(Matrix_prices!K1057+$D$2)*IF($M$2="Prices in $/MWh",1,1/1000)</f>
        <v>67.81</v>
      </c>
      <c r="L1069" s="83">
        <f>(Matrix_prices!L1057+$D$2)*IF($M$2="Prices in $/MWh",1,1/1000)</f>
        <v>27.87</v>
      </c>
      <c r="M1069" s="84">
        <f>(Matrix_prices!M1057+$D$2)*IF($M$2="Prices in $/MWh",1,1/1000)</f>
        <v>27.85</v>
      </c>
      <c r="N1069" s="83">
        <f>(Matrix_prices!N1057+$D$2)*IF($M$2="Prices in $/MWh",1,1/1000)</f>
        <v>27.92</v>
      </c>
      <c r="O1069" s="61"/>
    </row>
    <row r="1070" spans="2:15" x14ac:dyDescent="0.25">
      <c r="B1070" s="57"/>
      <c r="C1070" s="151">
        <f>Matrix_prices!C1058</f>
        <v>42522</v>
      </c>
      <c r="D1070" s="152" t="str">
        <f>Matrix_prices!D1058</f>
        <v>PA</v>
      </c>
      <c r="E1070" s="153" t="str">
        <f>Matrix_prices!E1058</f>
        <v>Penelec</v>
      </c>
      <c r="F1070" s="152" t="str">
        <f>Matrix_prices!F1058</f>
        <v>GSCM</v>
      </c>
      <c r="G1070" s="153" t="str">
        <f>Matrix_prices!G1058</f>
        <v>General Service Medium</v>
      </c>
      <c r="H1070" s="157" t="str">
        <f t="shared" si="48"/>
        <v>0-100 MWh</v>
      </c>
      <c r="I1070" s="153">
        <f>(Matrix_prices!I1058+$D$2)*IF($M$2="Prices in $/MWh",1,1/1000)</f>
        <v>71.06</v>
      </c>
      <c r="J1070" s="152">
        <f>(Matrix_prices!J1058+$D$2)*IF($M$2="Prices in $/MWh",1,1/1000)</f>
        <v>69.930000000000007</v>
      </c>
      <c r="K1070" s="153">
        <f>(Matrix_prices!K1058+$D$2)*IF($M$2="Prices in $/MWh",1,1/1000)</f>
        <v>70.45</v>
      </c>
      <c r="L1070" s="152">
        <f>(Matrix_prices!L1058+$D$2)*IF($M$2="Prices in $/MWh",1,1/1000)</f>
        <v>30.5</v>
      </c>
      <c r="M1070" s="153">
        <f>(Matrix_prices!M1058+$D$2)*IF($M$2="Prices in $/MWh",1,1/1000)</f>
        <v>30.37</v>
      </c>
      <c r="N1070" s="152">
        <f>(Matrix_prices!N1058+$D$2)*IF($M$2="Prices in $/MWh",1,1/1000)</f>
        <v>30.56</v>
      </c>
      <c r="O1070" s="61"/>
    </row>
    <row r="1071" spans="2:15" x14ac:dyDescent="0.25">
      <c r="B1071" s="57"/>
      <c r="C1071" s="78">
        <f>Matrix_prices!C1059</f>
        <v>42522</v>
      </c>
      <c r="D1071" s="79" t="str">
        <f>Matrix_prices!D1059</f>
        <v>PA</v>
      </c>
      <c r="E1071" s="80" t="str">
        <f>Matrix_prices!E1059</f>
        <v>Penelec</v>
      </c>
      <c r="F1071" s="79" t="str">
        <f>Matrix_prices!F1059</f>
        <v>GSCM</v>
      </c>
      <c r="G1071" s="80" t="str">
        <f>Matrix_prices!G1059</f>
        <v>General Service Medium</v>
      </c>
      <c r="H1071" s="81" t="str">
        <f t="shared" si="49"/>
        <v>100-500 MWh</v>
      </c>
      <c r="I1071" s="80">
        <f>(Matrix_prices!I1059+$D$2)*IF($M$2="Prices in $/MWh",1,1/1000)</f>
        <v>69.459999999999994</v>
      </c>
      <c r="J1071" s="79">
        <f>(Matrix_prices!J1059+$D$2)*IF($M$2="Prices in $/MWh",1,1/1000)</f>
        <v>68.33</v>
      </c>
      <c r="K1071" s="80">
        <f>(Matrix_prices!K1059+$D$2)*IF($M$2="Prices in $/MWh",1,1/1000)</f>
        <v>68.849999999999994</v>
      </c>
      <c r="L1071" s="79">
        <f>(Matrix_prices!L1059+$D$2)*IF($M$2="Prices in $/MWh",1,1/1000)</f>
        <v>28.9</v>
      </c>
      <c r="M1071" s="80">
        <f>(Matrix_prices!M1059+$D$2)*IF($M$2="Prices in $/MWh",1,1/1000)</f>
        <v>28.77</v>
      </c>
      <c r="N1071" s="79">
        <f>(Matrix_prices!N1059+$D$2)*IF($M$2="Prices in $/MWh",1,1/1000)</f>
        <v>28.96</v>
      </c>
      <c r="O1071" s="61"/>
    </row>
    <row r="1072" spans="2:15" x14ac:dyDescent="0.25">
      <c r="B1072" s="57"/>
      <c r="C1072" s="82">
        <f>Matrix_prices!C1060</f>
        <v>42522</v>
      </c>
      <c r="D1072" s="83" t="str">
        <f>Matrix_prices!D1060</f>
        <v>PA</v>
      </c>
      <c r="E1072" s="84" t="str">
        <f>Matrix_prices!E1060</f>
        <v>Penelec</v>
      </c>
      <c r="F1072" s="83" t="str">
        <f>Matrix_prices!F1060</f>
        <v>GSCM</v>
      </c>
      <c r="G1072" s="84" t="str">
        <f>Matrix_prices!G1060</f>
        <v>General Service Medium</v>
      </c>
      <c r="H1072" s="85" t="str">
        <f t="shared" si="50"/>
        <v>500-2500 MWh</v>
      </c>
      <c r="I1072" s="84">
        <f>(Matrix_prices!I1060+$D$2)*IF($M$2="Prices in $/MWh",1,1/1000)</f>
        <v>68.41</v>
      </c>
      <c r="J1072" s="83">
        <f>(Matrix_prices!J1060+$D$2)*IF($M$2="Prices in $/MWh",1,1/1000)</f>
        <v>67.28</v>
      </c>
      <c r="K1072" s="84">
        <f>(Matrix_prices!K1060+$D$2)*IF($M$2="Prices in $/MWh",1,1/1000)</f>
        <v>67.8</v>
      </c>
      <c r="L1072" s="83">
        <f>(Matrix_prices!L1060+$D$2)*IF($M$2="Prices in $/MWh",1,1/1000)</f>
        <v>27.85</v>
      </c>
      <c r="M1072" s="84">
        <f>(Matrix_prices!M1060+$D$2)*IF($M$2="Prices in $/MWh",1,1/1000)</f>
        <v>27.72</v>
      </c>
      <c r="N1072" s="83">
        <f>(Matrix_prices!N1060+$D$2)*IF($M$2="Prices in $/MWh",1,1/1000)</f>
        <v>27.91</v>
      </c>
      <c r="O1072" s="61"/>
    </row>
    <row r="1073" spans="2:15" x14ac:dyDescent="0.25">
      <c r="B1073" s="57"/>
      <c r="C1073" s="74">
        <f>Matrix_prices!C1061</f>
        <v>42552</v>
      </c>
      <c r="D1073" s="75" t="str">
        <f>Matrix_prices!D1061</f>
        <v>PA</v>
      </c>
      <c r="E1073" s="76" t="str">
        <f>Matrix_prices!E1061</f>
        <v>Penelec</v>
      </c>
      <c r="F1073" s="75" t="str">
        <f>Matrix_prices!F1061</f>
        <v>GSCM</v>
      </c>
      <c r="G1073" s="76" t="str">
        <f>Matrix_prices!G1061</f>
        <v>General Service Medium</v>
      </c>
      <c r="H1073" s="157" t="str">
        <f t="shared" si="48"/>
        <v>0-100 MWh</v>
      </c>
      <c r="I1073" s="76">
        <f>(Matrix_prices!I1061+$D$2)*IF($M$2="Prices in $/MWh",1,1/1000)</f>
        <v>71.040000000000006</v>
      </c>
      <c r="J1073" s="75">
        <f>(Matrix_prices!J1061+$D$2)*IF($M$2="Prices in $/MWh",1,1/1000)</f>
        <v>69.81</v>
      </c>
      <c r="K1073" s="76">
        <f>(Matrix_prices!K1061+$D$2)*IF($M$2="Prices in $/MWh",1,1/1000)</f>
        <v>70.459999999999994</v>
      </c>
      <c r="L1073" s="75">
        <f>(Matrix_prices!L1061+$D$2)*IF($M$2="Prices in $/MWh",1,1/1000)</f>
        <v>30.52</v>
      </c>
      <c r="M1073" s="76">
        <f>(Matrix_prices!M1061+$D$2)*IF($M$2="Prices in $/MWh",1,1/1000)</f>
        <v>30.41</v>
      </c>
      <c r="N1073" s="75">
        <f>(Matrix_prices!N1061+$D$2)*IF($M$2="Prices in $/MWh",1,1/1000)</f>
        <v>30.65</v>
      </c>
      <c r="O1073" s="61"/>
    </row>
    <row r="1074" spans="2:15" x14ac:dyDescent="0.25">
      <c r="B1074" s="57"/>
      <c r="C1074" s="78">
        <f>Matrix_prices!C1062</f>
        <v>42552</v>
      </c>
      <c r="D1074" s="79" t="str">
        <f>Matrix_prices!D1062</f>
        <v>PA</v>
      </c>
      <c r="E1074" s="80" t="str">
        <f>Matrix_prices!E1062</f>
        <v>Penelec</v>
      </c>
      <c r="F1074" s="79" t="str">
        <f>Matrix_prices!F1062</f>
        <v>GSCM</v>
      </c>
      <c r="G1074" s="80" t="str">
        <f>Matrix_prices!G1062</f>
        <v>General Service Medium</v>
      </c>
      <c r="H1074" s="81" t="str">
        <f t="shared" si="49"/>
        <v>100-500 MWh</v>
      </c>
      <c r="I1074" s="80">
        <f>(Matrix_prices!I1062+$D$2)*IF($M$2="Prices in $/MWh",1,1/1000)</f>
        <v>69.44</v>
      </c>
      <c r="J1074" s="79">
        <f>(Matrix_prices!J1062+$D$2)*IF($M$2="Prices in $/MWh",1,1/1000)</f>
        <v>68.209999999999994</v>
      </c>
      <c r="K1074" s="80">
        <f>(Matrix_prices!K1062+$D$2)*IF($M$2="Prices in $/MWh",1,1/1000)</f>
        <v>68.86</v>
      </c>
      <c r="L1074" s="79">
        <f>(Matrix_prices!L1062+$D$2)*IF($M$2="Prices in $/MWh",1,1/1000)</f>
        <v>28.92</v>
      </c>
      <c r="M1074" s="80">
        <f>(Matrix_prices!M1062+$D$2)*IF($M$2="Prices in $/MWh",1,1/1000)</f>
        <v>28.81</v>
      </c>
      <c r="N1074" s="79">
        <f>(Matrix_prices!N1062+$D$2)*IF($M$2="Prices in $/MWh",1,1/1000)</f>
        <v>29.05</v>
      </c>
      <c r="O1074" s="61"/>
    </row>
    <row r="1075" spans="2:15" x14ac:dyDescent="0.25">
      <c r="B1075" s="57"/>
      <c r="C1075" s="82">
        <f>Matrix_prices!C1063</f>
        <v>42552</v>
      </c>
      <c r="D1075" s="83" t="str">
        <f>Matrix_prices!D1063</f>
        <v>PA</v>
      </c>
      <c r="E1075" s="84" t="str">
        <f>Matrix_prices!E1063</f>
        <v>Penelec</v>
      </c>
      <c r="F1075" s="83" t="str">
        <f>Matrix_prices!F1063</f>
        <v>GSCM</v>
      </c>
      <c r="G1075" s="84" t="str">
        <f>Matrix_prices!G1063</f>
        <v>General Service Medium</v>
      </c>
      <c r="H1075" s="85" t="str">
        <f t="shared" si="50"/>
        <v>500-2500 MWh</v>
      </c>
      <c r="I1075" s="84">
        <f>(Matrix_prices!I1063+$D$2)*IF($M$2="Prices in $/MWh",1,1/1000)</f>
        <v>68.39</v>
      </c>
      <c r="J1075" s="83">
        <f>(Matrix_prices!J1063+$D$2)*IF($M$2="Prices in $/MWh",1,1/1000)</f>
        <v>67.16</v>
      </c>
      <c r="K1075" s="84">
        <f>(Matrix_prices!K1063+$D$2)*IF($M$2="Prices in $/MWh",1,1/1000)</f>
        <v>67.81</v>
      </c>
      <c r="L1075" s="83">
        <f>(Matrix_prices!L1063+$D$2)*IF($M$2="Prices in $/MWh",1,1/1000)</f>
        <v>27.87</v>
      </c>
      <c r="M1075" s="84">
        <f>(Matrix_prices!M1063+$D$2)*IF($M$2="Prices in $/MWh",1,1/1000)</f>
        <v>27.76</v>
      </c>
      <c r="N1075" s="83">
        <f>(Matrix_prices!N1063+$D$2)*IF($M$2="Prices in $/MWh",1,1/1000)</f>
        <v>28</v>
      </c>
      <c r="O1075" s="61"/>
    </row>
    <row r="1076" spans="2:15" x14ac:dyDescent="0.25">
      <c r="B1076" s="57"/>
      <c r="C1076" s="151">
        <f>Matrix_prices!C1064</f>
        <v>42583</v>
      </c>
      <c r="D1076" s="152" t="str">
        <f>Matrix_prices!D1064</f>
        <v>PA</v>
      </c>
      <c r="E1076" s="153" t="str">
        <f>Matrix_prices!E1064</f>
        <v>Penelec</v>
      </c>
      <c r="F1076" s="152" t="str">
        <f>Matrix_prices!F1064</f>
        <v>GSCM</v>
      </c>
      <c r="G1076" s="153" t="str">
        <f>Matrix_prices!G1064</f>
        <v>General Service Medium</v>
      </c>
      <c r="H1076" s="157" t="str">
        <f t="shared" si="48"/>
        <v>0-100 MWh</v>
      </c>
      <c r="I1076" s="153">
        <f>(Matrix_prices!I1064+$D$2)*IF($M$2="Prices in $/MWh",1,1/1000)</f>
        <v>70.959999999999994</v>
      </c>
      <c r="J1076" s="152">
        <f>(Matrix_prices!J1064+$D$2)*IF($M$2="Prices in $/MWh",1,1/1000)</f>
        <v>70.12</v>
      </c>
      <c r="K1076" s="153">
        <f>(Matrix_prices!K1064+$D$2)*IF($M$2="Prices in $/MWh",1,1/1000)</f>
        <v>70.52</v>
      </c>
      <c r="L1076" s="152">
        <f>(Matrix_prices!L1064+$D$2)*IF($M$2="Prices in $/MWh",1,1/1000)</f>
        <v>30.56</v>
      </c>
      <c r="M1076" s="153">
        <f>(Matrix_prices!M1064+$D$2)*IF($M$2="Prices in $/MWh",1,1/1000)</f>
        <v>30.49</v>
      </c>
      <c r="N1076" s="152">
        <f>(Matrix_prices!N1064+$D$2)*IF($M$2="Prices in $/MWh",1,1/1000)</f>
        <v>30.75</v>
      </c>
      <c r="O1076" s="61"/>
    </row>
    <row r="1077" spans="2:15" x14ac:dyDescent="0.25">
      <c r="B1077" s="57"/>
      <c r="C1077" s="78">
        <f>Matrix_prices!C1065</f>
        <v>42583</v>
      </c>
      <c r="D1077" s="79" t="str">
        <f>Matrix_prices!D1065</f>
        <v>PA</v>
      </c>
      <c r="E1077" s="80" t="str">
        <f>Matrix_prices!E1065</f>
        <v>Penelec</v>
      </c>
      <c r="F1077" s="79" t="str">
        <f>Matrix_prices!F1065</f>
        <v>GSCM</v>
      </c>
      <c r="G1077" s="80" t="str">
        <f>Matrix_prices!G1065</f>
        <v>General Service Medium</v>
      </c>
      <c r="H1077" s="81" t="str">
        <f t="shared" si="49"/>
        <v>100-500 MWh</v>
      </c>
      <c r="I1077" s="80">
        <f>(Matrix_prices!I1065+$D$2)*IF($M$2="Prices in $/MWh",1,1/1000)</f>
        <v>69.36</v>
      </c>
      <c r="J1077" s="79">
        <f>(Matrix_prices!J1065+$D$2)*IF($M$2="Prices in $/MWh",1,1/1000)</f>
        <v>68.52</v>
      </c>
      <c r="K1077" s="80">
        <f>(Matrix_prices!K1065+$D$2)*IF($M$2="Prices in $/MWh",1,1/1000)</f>
        <v>68.92</v>
      </c>
      <c r="L1077" s="79">
        <f>(Matrix_prices!L1065+$D$2)*IF($M$2="Prices in $/MWh",1,1/1000)</f>
        <v>28.96</v>
      </c>
      <c r="M1077" s="80">
        <f>(Matrix_prices!M1065+$D$2)*IF($M$2="Prices in $/MWh",1,1/1000)</f>
        <v>28.89</v>
      </c>
      <c r="N1077" s="79">
        <f>(Matrix_prices!N1065+$D$2)*IF($M$2="Prices in $/MWh",1,1/1000)</f>
        <v>29.15</v>
      </c>
      <c r="O1077" s="61"/>
    </row>
    <row r="1078" spans="2:15" x14ac:dyDescent="0.25">
      <c r="B1078" s="57"/>
      <c r="C1078" s="82">
        <f>Matrix_prices!C1066</f>
        <v>42583</v>
      </c>
      <c r="D1078" s="83" t="str">
        <f>Matrix_prices!D1066</f>
        <v>PA</v>
      </c>
      <c r="E1078" s="84" t="str">
        <f>Matrix_prices!E1066</f>
        <v>Penelec</v>
      </c>
      <c r="F1078" s="83" t="str">
        <f>Matrix_prices!F1066</f>
        <v>GSCM</v>
      </c>
      <c r="G1078" s="84" t="str">
        <f>Matrix_prices!G1066</f>
        <v>General Service Medium</v>
      </c>
      <c r="H1078" s="85" t="str">
        <f t="shared" si="50"/>
        <v>500-2500 MWh</v>
      </c>
      <c r="I1078" s="84">
        <f>(Matrix_prices!I1066+$D$2)*IF($M$2="Prices in $/MWh",1,1/1000)</f>
        <v>68.31</v>
      </c>
      <c r="J1078" s="83">
        <f>(Matrix_prices!J1066+$D$2)*IF($M$2="Prices in $/MWh",1,1/1000)</f>
        <v>67.47</v>
      </c>
      <c r="K1078" s="84">
        <f>(Matrix_prices!K1066+$D$2)*IF($M$2="Prices in $/MWh",1,1/1000)</f>
        <v>67.87</v>
      </c>
      <c r="L1078" s="83">
        <f>(Matrix_prices!L1066+$D$2)*IF($M$2="Prices in $/MWh",1,1/1000)</f>
        <v>27.91</v>
      </c>
      <c r="M1078" s="84">
        <f>(Matrix_prices!M1066+$D$2)*IF($M$2="Prices in $/MWh",1,1/1000)</f>
        <v>27.84</v>
      </c>
      <c r="N1078" s="83">
        <f>(Matrix_prices!N1066+$D$2)*IF($M$2="Prices in $/MWh",1,1/1000)</f>
        <v>28.1</v>
      </c>
      <c r="O1078" s="61"/>
    </row>
    <row r="1079" spans="2:15" x14ac:dyDescent="0.25">
      <c r="B1079" s="57"/>
      <c r="C1079" s="74">
        <f>Matrix_prices!C1067</f>
        <v>42614</v>
      </c>
      <c r="D1079" s="75" t="str">
        <f>Matrix_prices!D1067</f>
        <v>PA</v>
      </c>
      <c r="E1079" s="76" t="str">
        <f>Matrix_prices!E1067</f>
        <v>Penelec</v>
      </c>
      <c r="F1079" s="75" t="str">
        <f>Matrix_prices!F1067</f>
        <v>GSCM</v>
      </c>
      <c r="G1079" s="76" t="str">
        <f>Matrix_prices!G1067</f>
        <v>General Service Medium</v>
      </c>
      <c r="H1079" s="157" t="str">
        <f t="shared" si="48"/>
        <v>0-100 MWh</v>
      </c>
      <c r="I1079" s="76">
        <f>(Matrix_prices!I1067+$D$2)*IF($M$2="Prices in $/MWh",1,1/1000)</f>
        <v>70.819999999999993</v>
      </c>
      <c r="J1079" s="75">
        <f>(Matrix_prices!J1067+$D$2)*IF($M$2="Prices in $/MWh",1,1/1000)</f>
        <v>70.41</v>
      </c>
      <c r="K1079" s="76">
        <f>(Matrix_prices!K1067+$D$2)*IF($M$2="Prices in $/MWh",1,1/1000)</f>
        <v>70.510000000000005</v>
      </c>
      <c r="L1079" s="75">
        <f>(Matrix_prices!L1067+$D$2)*IF($M$2="Prices in $/MWh",1,1/1000)</f>
        <v>30.57</v>
      </c>
      <c r="M1079" s="76">
        <f>(Matrix_prices!M1067+$D$2)*IF($M$2="Prices in $/MWh",1,1/1000)</f>
        <v>30.59</v>
      </c>
      <c r="N1079" s="75">
        <f>(Matrix_prices!N1067+$D$2)*IF($M$2="Prices in $/MWh",1,1/1000)</f>
        <v>30.84</v>
      </c>
      <c r="O1079" s="61"/>
    </row>
    <row r="1080" spans="2:15" x14ac:dyDescent="0.25">
      <c r="B1080" s="57"/>
      <c r="C1080" s="78">
        <f>Matrix_prices!C1068</f>
        <v>42614</v>
      </c>
      <c r="D1080" s="79" t="str">
        <f>Matrix_prices!D1068</f>
        <v>PA</v>
      </c>
      <c r="E1080" s="80" t="str">
        <f>Matrix_prices!E1068</f>
        <v>Penelec</v>
      </c>
      <c r="F1080" s="79" t="str">
        <f>Matrix_prices!F1068</f>
        <v>GSCM</v>
      </c>
      <c r="G1080" s="80" t="str">
        <f>Matrix_prices!G1068</f>
        <v>General Service Medium</v>
      </c>
      <c r="H1080" s="81" t="str">
        <f t="shared" si="49"/>
        <v>100-500 MWh</v>
      </c>
      <c r="I1080" s="80">
        <f>(Matrix_prices!I1068+$D$2)*IF($M$2="Prices in $/MWh",1,1/1000)</f>
        <v>69.22</v>
      </c>
      <c r="J1080" s="79">
        <f>(Matrix_prices!J1068+$D$2)*IF($M$2="Prices in $/MWh",1,1/1000)</f>
        <v>68.81</v>
      </c>
      <c r="K1080" s="80">
        <f>(Matrix_prices!K1068+$D$2)*IF($M$2="Prices in $/MWh",1,1/1000)</f>
        <v>68.91</v>
      </c>
      <c r="L1080" s="79">
        <f>(Matrix_prices!L1068+$D$2)*IF($M$2="Prices in $/MWh",1,1/1000)</f>
        <v>28.97</v>
      </c>
      <c r="M1080" s="80">
        <f>(Matrix_prices!M1068+$D$2)*IF($M$2="Prices in $/MWh",1,1/1000)</f>
        <v>28.99</v>
      </c>
      <c r="N1080" s="79">
        <f>(Matrix_prices!N1068+$D$2)*IF($M$2="Prices in $/MWh",1,1/1000)</f>
        <v>29.24</v>
      </c>
      <c r="O1080" s="61"/>
    </row>
    <row r="1081" spans="2:15" x14ac:dyDescent="0.25">
      <c r="B1081" s="57"/>
      <c r="C1081" s="82">
        <f>Matrix_prices!C1069</f>
        <v>42614</v>
      </c>
      <c r="D1081" s="83" t="str">
        <f>Matrix_prices!D1069</f>
        <v>PA</v>
      </c>
      <c r="E1081" s="84" t="str">
        <f>Matrix_prices!E1069</f>
        <v>Penelec</v>
      </c>
      <c r="F1081" s="83" t="str">
        <f>Matrix_prices!F1069</f>
        <v>GSCM</v>
      </c>
      <c r="G1081" s="84" t="str">
        <f>Matrix_prices!G1069</f>
        <v>General Service Medium</v>
      </c>
      <c r="H1081" s="85" t="str">
        <f t="shared" si="50"/>
        <v>500-2500 MWh</v>
      </c>
      <c r="I1081" s="84">
        <f>(Matrix_prices!I1069+$D$2)*IF($M$2="Prices in $/MWh",1,1/1000)</f>
        <v>68.17</v>
      </c>
      <c r="J1081" s="83">
        <f>(Matrix_prices!J1069+$D$2)*IF($M$2="Prices in $/MWh",1,1/1000)</f>
        <v>67.760000000000005</v>
      </c>
      <c r="K1081" s="84">
        <f>(Matrix_prices!K1069+$D$2)*IF($M$2="Prices in $/MWh",1,1/1000)</f>
        <v>67.86</v>
      </c>
      <c r="L1081" s="83">
        <f>(Matrix_prices!L1069+$D$2)*IF($M$2="Prices in $/MWh",1,1/1000)</f>
        <v>27.92</v>
      </c>
      <c r="M1081" s="84">
        <f>(Matrix_prices!M1069+$D$2)*IF($M$2="Prices in $/MWh",1,1/1000)</f>
        <v>27.94</v>
      </c>
      <c r="N1081" s="83">
        <f>(Matrix_prices!N1069+$D$2)*IF($M$2="Prices in $/MWh",1,1/1000)</f>
        <v>28.19</v>
      </c>
      <c r="O1081" s="61"/>
    </row>
    <row r="1082" spans="2:15" x14ac:dyDescent="0.25">
      <c r="B1082" s="57"/>
      <c r="C1082" s="151">
        <f>Matrix_prices!C1070</f>
        <v>42644</v>
      </c>
      <c r="D1082" s="152" t="str">
        <f>Matrix_prices!D1070</f>
        <v>PA</v>
      </c>
      <c r="E1082" s="153" t="str">
        <f>Matrix_prices!E1070</f>
        <v>Penelec</v>
      </c>
      <c r="F1082" s="152" t="str">
        <f>Matrix_prices!F1070</f>
        <v>GSCM</v>
      </c>
      <c r="G1082" s="153" t="str">
        <f>Matrix_prices!G1070</f>
        <v>General Service Medium</v>
      </c>
      <c r="H1082" s="157" t="str">
        <f t="shared" si="48"/>
        <v>0-100 MWh</v>
      </c>
      <c r="I1082" s="153">
        <f>(Matrix_prices!I1070+$D$2)*IF($M$2="Prices in $/MWh",1,1/1000)</f>
        <v>70.75</v>
      </c>
      <c r="J1082" s="152">
        <f>(Matrix_prices!J1070+$D$2)*IF($M$2="Prices in $/MWh",1,1/1000)</f>
        <v>70.7</v>
      </c>
      <c r="K1082" s="153">
        <f>(Matrix_prices!K1070+$D$2)*IF($M$2="Prices in $/MWh",1,1/1000)</f>
        <v>70.5</v>
      </c>
      <c r="L1082" s="152">
        <f>(Matrix_prices!L1070+$D$2)*IF($M$2="Prices in $/MWh",1,1/1000)</f>
        <v>30.59</v>
      </c>
      <c r="M1082" s="153">
        <f>(Matrix_prices!M1070+$D$2)*IF($M$2="Prices in $/MWh",1,1/1000)</f>
        <v>30.64</v>
      </c>
      <c r="N1082" s="152">
        <f>(Matrix_prices!N1070+$D$2)*IF($M$2="Prices in $/MWh",1,1/1000)</f>
        <v>30.94</v>
      </c>
      <c r="O1082" s="61"/>
    </row>
    <row r="1083" spans="2:15" x14ac:dyDescent="0.25">
      <c r="B1083" s="57"/>
      <c r="C1083" s="78">
        <f>Matrix_prices!C1071</f>
        <v>42644</v>
      </c>
      <c r="D1083" s="79" t="str">
        <f>Matrix_prices!D1071</f>
        <v>PA</v>
      </c>
      <c r="E1083" s="80" t="str">
        <f>Matrix_prices!E1071</f>
        <v>Penelec</v>
      </c>
      <c r="F1083" s="79" t="str">
        <f>Matrix_prices!F1071</f>
        <v>GSCM</v>
      </c>
      <c r="G1083" s="80" t="str">
        <f>Matrix_prices!G1071</f>
        <v>General Service Medium</v>
      </c>
      <c r="H1083" s="81" t="str">
        <f t="shared" si="49"/>
        <v>100-500 MWh</v>
      </c>
      <c r="I1083" s="80">
        <f>(Matrix_prices!I1071+$D$2)*IF($M$2="Prices in $/MWh",1,1/1000)</f>
        <v>69.150000000000006</v>
      </c>
      <c r="J1083" s="79">
        <f>(Matrix_prices!J1071+$D$2)*IF($M$2="Prices in $/MWh",1,1/1000)</f>
        <v>69.099999999999994</v>
      </c>
      <c r="K1083" s="80">
        <f>(Matrix_prices!K1071+$D$2)*IF($M$2="Prices in $/MWh",1,1/1000)</f>
        <v>68.900000000000006</v>
      </c>
      <c r="L1083" s="79">
        <f>(Matrix_prices!L1071+$D$2)*IF($M$2="Prices in $/MWh",1,1/1000)</f>
        <v>28.99</v>
      </c>
      <c r="M1083" s="80">
        <f>(Matrix_prices!M1071+$D$2)*IF($M$2="Prices in $/MWh",1,1/1000)</f>
        <v>29.04</v>
      </c>
      <c r="N1083" s="79">
        <f>(Matrix_prices!N1071+$D$2)*IF($M$2="Prices in $/MWh",1,1/1000)</f>
        <v>29.34</v>
      </c>
      <c r="O1083" s="61"/>
    </row>
    <row r="1084" spans="2:15" x14ac:dyDescent="0.25">
      <c r="B1084" s="57"/>
      <c r="C1084" s="82">
        <f>Matrix_prices!C1072</f>
        <v>42644</v>
      </c>
      <c r="D1084" s="83" t="str">
        <f>Matrix_prices!D1072</f>
        <v>PA</v>
      </c>
      <c r="E1084" s="84" t="str">
        <f>Matrix_prices!E1072</f>
        <v>Penelec</v>
      </c>
      <c r="F1084" s="83" t="str">
        <f>Matrix_prices!F1072</f>
        <v>GSCM</v>
      </c>
      <c r="G1084" s="84" t="str">
        <f>Matrix_prices!G1072</f>
        <v>General Service Medium</v>
      </c>
      <c r="H1084" s="85" t="str">
        <f t="shared" si="50"/>
        <v>500-2500 MWh</v>
      </c>
      <c r="I1084" s="84">
        <f>(Matrix_prices!I1072+$D$2)*IF($M$2="Prices in $/MWh",1,1/1000)</f>
        <v>68.099999999999994</v>
      </c>
      <c r="J1084" s="83">
        <f>(Matrix_prices!J1072+$D$2)*IF($M$2="Prices in $/MWh",1,1/1000)</f>
        <v>68.05</v>
      </c>
      <c r="K1084" s="84">
        <f>(Matrix_prices!K1072+$D$2)*IF($M$2="Prices in $/MWh",1,1/1000)</f>
        <v>67.849999999999994</v>
      </c>
      <c r="L1084" s="83">
        <f>(Matrix_prices!L1072+$D$2)*IF($M$2="Prices in $/MWh",1,1/1000)</f>
        <v>27.94</v>
      </c>
      <c r="M1084" s="84">
        <f>(Matrix_prices!M1072+$D$2)*IF($M$2="Prices in $/MWh",1,1/1000)</f>
        <v>27.99</v>
      </c>
      <c r="N1084" s="83">
        <f>(Matrix_prices!N1072+$D$2)*IF($M$2="Prices in $/MWh",1,1/1000)</f>
        <v>28.29</v>
      </c>
      <c r="O1084" s="61"/>
    </row>
    <row r="1085" spans="2:15" x14ac:dyDescent="0.25">
      <c r="B1085" s="57"/>
      <c r="C1085" s="74">
        <f>Matrix_prices!C1073</f>
        <v>42675</v>
      </c>
      <c r="D1085" s="75" t="str">
        <f>Matrix_prices!D1073</f>
        <v>PA</v>
      </c>
      <c r="E1085" s="76" t="str">
        <f>Matrix_prices!E1073</f>
        <v>Penelec</v>
      </c>
      <c r="F1085" s="75" t="str">
        <f>Matrix_prices!F1073</f>
        <v>GSCM</v>
      </c>
      <c r="G1085" s="76" t="str">
        <f>Matrix_prices!G1073</f>
        <v>General Service Medium</v>
      </c>
      <c r="H1085" s="157" t="str">
        <f t="shared" si="48"/>
        <v>0-100 MWh</v>
      </c>
      <c r="I1085" s="76">
        <f>(Matrix_prices!I1073+$D$2)*IF($M$2="Prices in $/MWh",1,1/1000)</f>
        <v>70.63</v>
      </c>
      <c r="J1085" s="75">
        <f>(Matrix_prices!J1073+$D$2)*IF($M$2="Prices in $/MWh",1,1/1000)</f>
        <v>70.8</v>
      </c>
      <c r="K1085" s="76">
        <f>(Matrix_prices!K1073+$D$2)*IF($M$2="Prices in $/MWh",1,1/1000)</f>
        <v>70.48</v>
      </c>
      <c r="L1085" s="75">
        <f>(Matrix_prices!L1073+$D$2)*IF($M$2="Prices in $/MWh",1,1/1000)</f>
        <v>30.59</v>
      </c>
      <c r="M1085" s="76">
        <f>(Matrix_prices!M1073+$D$2)*IF($M$2="Prices in $/MWh",1,1/1000)</f>
        <v>30.65</v>
      </c>
      <c r="N1085" s="75">
        <f>(Matrix_prices!N1073+$D$2)*IF($M$2="Prices in $/MWh",1,1/1000)</f>
        <v>31</v>
      </c>
      <c r="O1085" s="61"/>
    </row>
    <row r="1086" spans="2:15" x14ac:dyDescent="0.25">
      <c r="B1086" s="57"/>
      <c r="C1086" s="78">
        <f>Matrix_prices!C1074</f>
        <v>42675</v>
      </c>
      <c r="D1086" s="79" t="str">
        <f>Matrix_prices!D1074</f>
        <v>PA</v>
      </c>
      <c r="E1086" s="80" t="str">
        <f>Matrix_prices!E1074</f>
        <v>Penelec</v>
      </c>
      <c r="F1086" s="79" t="str">
        <f>Matrix_prices!F1074</f>
        <v>GSCM</v>
      </c>
      <c r="G1086" s="80" t="str">
        <f>Matrix_prices!G1074</f>
        <v>General Service Medium</v>
      </c>
      <c r="H1086" s="81" t="str">
        <f t="shared" si="49"/>
        <v>100-500 MWh</v>
      </c>
      <c r="I1086" s="80">
        <f>(Matrix_prices!I1074+$D$2)*IF($M$2="Prices in $/MWh",1,1/1000)</f>
        <v>69.03</v>
      </c>
      <c r="J1086" s="79">
        <f>(Matrix_prices!J1074+$D$2)*IF($M$2="Prices in $/MWh",1,1/1000)</f>
        <v>69.2</v>
      </c>
      <c r="K1086" s="80">
        <f>(Matrix_prices!K1074+$D$2)*IF($M$2="Prices in $/MWh",1,1/1000)</f>
        <v>68.88</v>
      </c>
      <c r="L1086" s="79">
        <f>(Matrix_prices!L1074+$D$2)*IF($M$2="Prices in $/MWh",1,1/1000)</f>
        <v>28.99</v>
      </c>
      <c r="M1086" s="80">
        <f>(Matrix_prices!M1074+$D$2)*IF($M$2="Prices in $/MWh",1,1/1000)</f>
        <v>29.05</v>
      </c>
      <c r="N1086" s="79">
        <f>(Matrix_prices!N1074+$D$2)*IF($M$2="Prices in $/MWh",1,1/1000)</f>
        <v>29.4</v>
      </c>
      <c r="O1086" s="61"/>
    </row>
    <row r="1087" spans="2:15" x14ac:dyDescent="0.25">
      <c r="B1087" s="57"/>
      <c r="C1087" s="82">
        <f>Matrix_prices!C1075</f>
        <v>42675</v>
      </c>
      <c r="D1087" s="83" t="str">
        <f>Matrix_prices!D1075</f>
        <v>PA</v>
      </c>
      <c r="E1087" s="84" t="str">
        <f>Matrix_prices!E1075</f>
        <v>Penelec</v>
      </c>
      <c r="F1087" s="83" t="str">
        <f>Matrix_prices!F1075</f>
        <v>GSCM</v>
      </c>
      <c r="G1087" s="84" t="str">
        <f>Matrix_prices!G1075</f>
        <v>General Service Medium</v>
      </c>
      <c r="H1087" s="85" t="str">
        <f t="shared" si="50"/>
        <v>500-2500 MWh</v>
      </c>
      <c r="I1087" s="84">
        <f>(Matrix_prices!I1075+$D$2)*IF($M$2="Prices in $/MWh",1,1/1000)</f>
        <v>67.98</v>
      </c>
      <c r="J1087" s="83">
        <f>(Matrix_prices!J1075+$D$2)*IF($M$2="Prices in $/MWh",1,1/1000)</f>
        <v>68.150000000000006</v>
      </c>
      <c r="K1087" s="84">
        <f>(Matrix_prices!K1075+$D$2)*IF($M$2="Prices in $/MWh",1,1/1000)</f>
        <v>67.83</v>
      </c>
      <c r="L1087" s="83">
        <f>(Matrix_prices!L1075+$D$2)*IF($M$2="Prices in $/MWh",1,1/1000)</f>
        <v>27.94</v>
      </c>
      <c r="M1087" s="84">
        <f>(Matrix_prices!M1075+$D$2)*IF($M$2="Prices in $/MWh",1,1/1000)</f>
        <v>28</v>
      </c>
      <c r="N1087" s="83">
        <f>(Matrix_prices!N1075+$D$2)*IF($M$2="Prices in $/MWh",1,1/1000)</f>
        <v>28.35</v>
      </c>
      <c r="O1087" s="61"/>
    </row>
    <row r="1088" spans="2:15" x14ac:dyDescent="0.25">
      <c r="B1088" s="57"/>
      <c r="C1088" s="151">
        <f>Matrix_prices!C1076</f>
        <v>42705</v>
      </c>
      <c r="D1088" s="152" t="str">
        <f>Matrix_prices!D1076</f>
        <v>PA</v>
      </c>
      <c r="E1088" s="153" t="str">
        <f>Matrix_prices!E1076</f>
        <v>Penelec</v>
      </c>
      <c r="F1088" s="152" t="str">
        <f>Matrix_prices!F1076</f>
        <v>GSCM</v>
      </c>
      <c r="G1088" s="153" t="str">
        <f>Matrix_prices!G1076</f>
        <v>General Service Medium</v>
      </c>
      <c r="H1088" s="157" t="str">
        <f t="shared" si="48"/>
        <v>0-100 MWh</v>
      </c>
      <c r="I1088" s="153">
        <f>(Matrix_prices!I1076+$D$2)*IF($M$2="Prices in $/MWh",1,1/1000)</f>
        <v>70.44</v>
      </c>
      <c r="J1088" s="152">
        <f>(Matrix_prices!J1076+$D$2)*IF($M$2="Prices in $/MWh",1,1/1000)</f>
        <v>70.97</v>
      </c>
      <c r="K1088" s="153">
        <f>(Matrix_prices!K1076+$D$2)*IF($M$2="Prices in $/MWh",1,1/1000)</f>
        <v>70.430000000000007</v>
      </c>
      <c r="L1088" s="152">
        <f>(Matrix_prices!L1076+$D$2)*IF($M$2="Prices in $/MWh",1,1/1000)</f>
        <v>30.56</v>
      </c>
      <c r="M1088" s="153">
        <f>(Matrix_prices!M1076+$D$2)*IF($M$2="Prices in $/MWh",1,1/1000)</f>
        <v>30.75</v>
      </c>
      <c r="N1088" s="152">
        <f>(Matrix_prices!N1076+$D$2)*IF($M$2="Prices in $/MWh",1,1/1000)</f>
        <v>31.07</v>
      </c>
      <c r="O1088" s="61"/>
    </row>
    <row r="1089" spans="2:15" x14ac:dyDescent="0.25">
      <c r="B1089" s="57"/>
      <c r="C1089" s="78">
        <f>Matrix_prices!C1077</f>
        <v>42705</v>
      </c>
      <c r="D1089" s="79" t="str">
        <f>Matrix_prices!D1077</f>
        <v>PA</v>
      </c>
      <c r="E1089" s="80" t="str">
        <f>Matrix_prices!E1077</f>
        <v>Penelec</v>
      </c>
      <c r="F1089" s="79" t="str">
        <f>Matrix_prices!F1077</f>
        <v>GSCM</v>
      </c>
      <c r="G1089" s="80" t="str">
        <f>Matrix_prices!G1077</f>
        <v>General Service Medium</v>
      </c>
      <c r="H1089" s="81" t="str">
        <f t="shared" si="49"/>
        <v>100-500 MWh</v>
      </c>
      <c r="I1089" s="80">
        <f>(Matrix_prices!I1077+$D$2)*IF($M$2="Prices in $/MWh",1,1/1000)</f>
        <v>68.84</v>
      </c>
      <c r="J1089" s="79">
        <f>(Matrix_prices!J1077+$D$2)*IF($M$2="Prices in $/MWh",1,1/1000)</f>
        <v>69.37</v>
      </c>
      <c r="K1089" s="80">
        <f>(Matrix_prices!K1077+$D$2)*IF($M$2="Prices in $/MWh",1,1/1000)</f>
        <v>68.83</v>
      </c>
      <c r="L1089" s="79">
        <f>(Matrix_prices!L1077+$D$2)*IF($M$2="Prices in $/MWh",1,1/1000)</f>
        <v>28.96</v>
      </c>
      <c r="M1089" s="80">
        <f>(Matrix_prices!M1077+$D$2)*IF($M$2="Prices in $/MWh",1,1/1000)</f>
        <v>29.15</v>
      </c>
      <c r="N1089" s="79">
        <f>(Matrix_prices!N1077+$D$2)*IF($M$2="Prices in $/MWh",1,1/1000)</f>
        <v>29.47</v>
      </c>
      <c r="O1089" s="61"/>
    </row>
    <row r="1090" spans="2:15" x14ac:dyDescent="0.25">
      <c r="B1090" s="57"/>
      <c r="C1090" s="82">
        <f>Matrix_prices!C1078</f>
        <v>42705</v>
      </c>
      <c r="D1090" s="83" t="str">
        <f>Matrix_prices!D1078</f>
        <v>PA</v>
      </c>
      <c r="E1090" s="84" t="str">
        <f>Matrix_prices!E1078</f>
        <v>Penelec</v>
      </c>
      <c r="F1090" s="83" t="str">
        <f>Matrix_prices!F1078</f>
        <v>GSCM</v>
      </c>
      <c r="G1090" s="84" t="str">
        <f>Matrix_prices!G1078</f>
        <v>General Service Medium</v>
      </c>
      <c r="H1090" s="85" t="str">
        <f t="shared" si="50"/>
        <v>500-2500 MWh</v>
      </c>
      <c r="I1090" s="84">
        <f>(Matrix_prices!I1078+$D$2)*IF($M$2="Prices in $/MWh",1,1/1000)</f>
        <v>67.790000000000006</v>
      </c>
      <c r="J1090" s="83">
        <f>(Matrix_prices!J1078+$D$2)*IF($M$2="Prices in $/MWh",1,1/1000)</f>
        <v>68.319999999999993</v>
      </c>
      <c r="K1090" s="84">
        <f>(Matrix_prices!K1078+$D$2)*IF($M$2="Prices in $/MWh",1,1/1000)</f>
        <v>67.78</v>
      </c>
      <c r="L1090" s="83">
        <f>(Matrix_prices!L1078+$D$2)*IF($M$2="Prices in $/MWh",1,1/1000)</f>
        <v>27.91</v>
      </c>
      <c r="M1090" s="84">
        <f>(Matrix_prices!M1078+$D$2)*IF($M$2="Prices in $/MWh",1,1/1000)</f>
        <v>28.1</v>
      </c>
      <c r="N1090" s="83">
        <f>(Matrix_prices!N1078+$D$2)*IF($M$2="Prices in $/MWh",1,1/1000)</f>
        <v>28.42</v>
      </c>
      <c r="O1090" s="61"/>
    </row>
    <row r="1091" spans="2:15" x14ac:dyDescent="0.25">
      <c r="B1091" s="57"/>
      <c r="C1091" s="74">
        <f>Matrix_prices!C1079</f>
        <v>42736</v>
      </c>
      <c r="D1091" s="75" t="str">
        <f>Matrix_prices!D1079</f>
        <v>PA</v>
      </c>
      <c r="E1091" s="76" t="str">
        <f>Matrix_prices!E1079</f>
        <v>Penelec</v>
      </c>
      <c r="F1091" s="75" t="str">
        <f>Matrix_prices!F1079</f>
        <v>GSCM</v>
      </c>
      <c r="G1091" s="76" t="str">
        <f>Matrix_prices!G1079</f>
        <v>General Service Medium</v>
      </c>
      <c r="H1091" s="157" t="str">
        <f t="shared" si="48"/>
        <v>0-100 MWh</v>
      </c>
      <c r="I1091" s="76">
        <f>(Matrix_prices!I1079+$D$2)*IF($M$2="Prices in $/MWh",1,1/1000)</f>
        <v>70.31</v>
      </c>
      <c r="J1091" s="75">
        <f>(Matrix_prices!J1079+$D$2)*IF($M$2="Prices in $/MWh",1,1/1000)</f>
        <v>71.010000000000005</v>
      </c>
      <c r="K1091" s="76">
        <f>(Matrix_prices!K1079+$D$2)*IF($M$2="Prices in $/MWh",1,1/1000)</f>
        <v>70.47</v>
      </c>
      <c r="L1091" s="75">
        <f>(Matrix_prices!L1079+$D$2)*IF($M$2="Prices in $/MWh",1,1/1000)</f>
        <v>30.59</v>
      </c>
      <c r="M1091" s="76">
        <f>(Matrix_prices!M1079+$D$2)*IF($M$2="Prices in $/MWh",1,1/1000)</f>
        <v>30.86</v>
      </c>
      <c r="N1091" s="75">
        <f>(Matrix_prices!N1079+$D$2)*IF($M$2="Prices in $/MWh",1,1/1000)</f>
        <v>31.17</v>
      </c>
      <c r="O1091" s="61"/>
    </row>
    <row r="1092" spans="2:15" x14ac:dyDescent="0.25">
      <c r="B1092" s="57"/>
      <c r="C1092" s="78">
        <f>Matrix_prices!C1080</f>
        <v>42736</v>
      </c>
      <c r="D1092" s="79" t="str">
        <f>Matrix_prices!D1080</f>
        <v>PA</v>
      </c>
      <c r="E1092" s="80" t="str">
        <f>Matrix_prices!E1080</f>
        <v>Penelec</v>
      </c>
      <c r="F1092" s="79" t="str">
        <f>Matrix_prices!F1080</f>
        <v>GSCM</v>
      </c>
      <c r="G1092" s="80" t="str">
        <f>Matrix_prices!G1080</f>
        <v>General Service Medium</v>
      </c>
      <c r="H1092" s="81" t="str">
        <f t="shared" si="49"/>
        <v>100-500 MWh</v>
      </c>
      <c r="I1092" s="80">
        <f>(Matrix_prices!I1080+$D$2)*IF($M$2="Prices in $/MWh",1,1/1000)</f>
        <v>68.709999999999994</v>
      </c>
      <c r="J1092" s="79">
        <f>(Matrix_prices!J1080+$D$2)*IF($M$2="Prices in $/MWh",1,1/1000)</f>
        <v>69.41</v>
      </c>
      <c r="K1092" s="80">
        <f>(Matrix_prices!K1080+$D$2)*IF($M$2="Prices in $/MWh",1,1/1000)</f>
        <v>68.87</v>
      </c>
      <c r="L1092" s="79">
        <f>(Matrix_prices!L1080+$D$2)*IF($M$2="Prices in $/MWh",1,1/1000)</f>
        <v>28.99</v>
      </c>
      <c r="M1092" s="80">
        <f>(Matrix_prices!M1080+$D$2)*IF($M$2="Prices in $/MWh",1,1/1000)</f>
        <v>29.26</v>
      </c>
      <c r="N1092" s="79">
        <f>(Matrix_prices!N1080+$D$2)*IF($M$2="Prices in $/MWh",1,1/1000)</f>
        <v>29.57</v>
      </c>
      <c r="O1092" s="61"/>
    </row>
    <row r="1093" spans="2:15" x14ac:dyDescent="0.25">
      <c r="B1093" s="57"/>
      <c r="C1093" s="82">
        <f>Matrix_prices!C1081</f>
        <v>42736</v>
      </c>
      <c r="D1093" s="83" t="str">
        <f>Matrix_prices!D1081</f>
        <v>PA</v>
      </c>
      <c r="E1093" s="84" t="str">
        <f>Matrix_prices!E1081</f>
        <v>Penelec</v>
      </c>
      <c r="F1093" s="83" t="str">
        <f>Matrix_prices!F1081</f>
        <v>GSCM</v>
      </c>
      <c r="G1093" s="84" t="str">
        <f>Matrix_prices!G1081</f>
        <v>General Service Medium</v>
      </c>
      <c r="H1093" s="85" t="str">
        <f t="shared" si="50"/>
        <v>500-2500 MWh</v>
      </c>
      <c r="I1093" s="84">
        <f>(Matrix_prices!I1081+$D$2)*IF($M$2="Prices in $/MWh",1,1/1000)</f>
        <v>67.66</v>
      </c>
      <c r="J1093" s="83">
        <f>(Matrix_prices!J1081+$D$2)*IF($M$2="Prices in $/MWh",1,1/1000)</f>
        <v>68.36</v>
      </c>
      <c r="K1093" s="84">
        <f>(Matrix_prices!K1081+$D$2)*IF($M$2="Prices in $/MWh",1,1/1000)</f>
        <v>67.819999999999993</v>
      </c>
      <c r="L1093" s="83">
        <f>(Matrix_prices!L1081+$D$2)*IF($M$2="Prices in $/MWh",1,1/1000)</f>
        <v>27.94</v>
      </c>
      <c r="M1093" s="84">
        <f>(Matrix_prices!M1081+$D$2)*IF($M$2="Prices in $/MWh",1,1/1000)</f>
        <v>28.21</v>
      </c>
      <c r="N1093" s="83">
        <f>(Matrix_prices!N1081+$D$2)*IF($M$2="Prices in $/MWh",1,1/1000)</f>
        <v>28.52</v>
      </c>
      <c r="O1093" s="61"/>
    </row>
    <row r="1094" spans="2:15" x14ac:dyDescent="0.25">
      <c r="B1094" s="57"/>
      <c r="C1094" s="151">
        <f>Matrix_prices!C1082</f>
        <v>42401</v>
      </c>
      <c r="D1094" s="152" t="str">
        <f>Matrix_prices!D1082</f>
        <v>PA</v>
      </c>
      <c r="E1094" s="153" t="str">
        <f>Matrix_prices!E1082</f>
        <v>Penelec</v>
      </c>
      <c r="F1094" s="152" t="str">
        <f>Matrix_prices!F1082</f>
        <v>GSCS</v>
      </c>
      <c r="G1094" s="153" t="str">
        <f>Matrix_prices!G1082</f>
        <v>General Service Small</v>
      </c>
      <c r="H1094" s="157" t="str">
        <f t="shared" si="48"/>
        <v>0-100 MWh</v>
      </c>
      <c r="I1094" s="153">
        <f>(Matrix_prices!I1082+$D$2)*IF($M$2="Prices in $/MWh",1,1/1000)</f>
        <v>69.64</v>
      </c>
      <c r="J1094" s="152">
        <f>(Matrix_prices!J1082+$D$2)*IF($M$2="Prices in $/MWh",1,1/1000)</f>
        <v>70.650000000000006</v>
      </c>
      <c r="K1094" s="153">
        <f>(Matrix_prices!K1082+$D$2)*IF($M$2="Prices in $/MWh",1,1/1000)</f>
        <v>69.63</v>
      </c>
      <c r="L1094" s="152">
        <f>(Matrix_prices!L1082+$D$2)*IF($M$2="Prices in $/MWh",1,1/1000)</f>
        <v>30.55</v>
      </c>
      <c r="M1094" s="153">
        <f>(Matrix_prices!M1082+$D$2)*IF($M$2="Prices in $/MWh",1,1/1000)</f>
        <v>31.14</v>
      </c>
      <c r="N1094" s="152">
        <f>(Matrix_prices!N1082+$D$2)*IF($M$2="Prices in $/MWh",1,1/1000)</f>
        <v>30.61</v>
      </c>
      <c r="O1094" s="61"/>
    </row>
    <row r="1095" spans="2:15" x14ac:dyDescent="0.25">
      <c r="B1095" s="57"/>
      <c r="C1095" s="78">
        <f>Matrix_prices!C1083</f>
        <v>42401</v>
      </c>
      <c r="D1095" s="79" t="str">
        <f>Matrix_prices!D1083</f>
        <v>PA</v>
      </c>
      <c r="E1095" s="80" t="str">
        <f>Matrix_prices!E1083</f>
        <v>Penelec</v>
      </c>
      <c r="F1095" s="79" t="str">
        <f>Matrix_prices!F1083</f>
        <v>GSCS</v>
      </c>
      <c r="G1095" s="80" t="str">
        <f>Matrix_prices!G1083</f>
        <v>General Service Small</v>
      </c>
      <c r="H1095" s="81" t="str">
        <f t="shared" si="49"/>
        <v>100-500 MWh</v>
      </c>
      <c r="I1095" s="80">
        <f>(Matrix_prices!I1083+$D$2)*IF($M$2="Prices in $/MWh",1,1/1000)</f>
        <v>68.040000000000006</v>
      </c>
      <c r="J1095" s="79">
        <f>(Matrix_prices!J1083+$D$2)*IF($M$2="Prices in $/MWh",1,1/1000)</f>
        <v>69.05</v>
      </c>
      <c r="K1095" s="80">
        <f>(Matrix_prices!K1083+$D$2)*IF($M$2="Prices in $/MWh",1,1/1000)</f>
        <v>68.03</v>
      </c>
      <c r="L1095" s="79">
        <f>(Matrix_prices!L1083+$D$2)*IF($M$2="Prices in $/MWh",1,1/1000)</f>
        <v>28.95</v>
      </c>
      <c r="M1095" s="80">
        <f>(Matrix_prices!M1083+$D$2)*IF($M$2="Prices in $/MWh",1,1/1000)</f>
        <v>29.54</v>
      </c>
      <c r="N1095" s="79">
        <f>(Matrix_prices!N1083+$D$2)*IF($M$2="Prices in $/MWh",1,1/1000)</f>
        <v>29.01</v>
      </c>
      <c r="O1095" s="61"/>
    </row>
    <row r="1096" spans="2:15" x14ac:dyDescent="0.25">
      <c r="B1096" s="57"/>
      <c r="C1096" s="82">
        <f>Matrix_prices!C1084</f>
        <v>42401</v>
      </c>
      <c r="D1096" s="83" t="str">
        <f>Matrix_prices!D1084</f>
        <v>PA</v>
      </c>
      <c r="E1096" s="84" t="str">
        <f>Matrix_prices!E1084</f>
        <v>Penelec</v>
      </c>
      <c r="F1096" s="83" t="str">
        <f>Matrix_prices!F1084</f>
        <v>GSCS</v>
      </c>
      <c r="G1096" s="84" t="str">
        <f>Matrix_prices!G1084</f>
        <v>General Service Small</v>
      </c>
      <c r="H1096" s="85" t="str">
        <f t="shared" si="50"/>
        <v>500-2500 MWh</v>
      </c>
      <c r="I1096" s="84">
        <f>(Matrix_prices!I1084+$D$2)*IF($M$2="Prices in $/MWh",1,1/1000)</f>
        <v>66.989999999999995</v>
      </c>
      <c r="J1096" s="83">
        <f>(Matrix_prices!J1084+$D$2)*IF($M$2="Prices in $/MWh",1,1/1000)</f>
        <v>68</v>
      </c>
      <c r="K1096" s="84">
        <f>(Matrix_prices!K1084+$D$2)*IF($M$2="Prices in $/MWh",1,1/1000)</f>
        <v>66.98</v>
      </c>
      <c r="L1096" s="83">
        <f>(Matrix_prices!L1084+$D$2)*IF($M$2="Prices in $/MWh",1,1/1000)</f>
        <v>27.9</v>
      </c>
      <c r="M1096" s="84">
        <f>(Matrix_prices!M1084+$D$2)*IF($M$2="Prices in $/MWh",1,1/1000)</f>
        <v>28.49</v>
      </c>
      <c r="N1096" s="83">
        <f>(Matrix_prices!N1084+$D$2)*IF($M$2="Prices in $/MWh",1,1/1000)</f>
        <v>27.96</v>
      </c>
      <c r="O1096" s="61"/>
    </row>
    <row r="1097" spans="2:15" x14ac:dyDescent="0.25">
      <c r="B1097" s="57"/>
      <c r="C1097" s="74">
        <f>Matrix_prices!C1085</f>
        <v>42430</v>
      </c>
      <c r="D1097" s="75" t="str">
        <f>Matrix_prices!D1085</f>
        <v>PA</v>
      </c>
      <c r="E1097" s="76" t="str">
        <f>Matrix_prices!E1085</f>
        <v>Penelec</v>
      </c>
      <c r="F1097" s="75" t="str">
        <f>Matrix_prices!F1085</f>
        <v>GSCS</v>
      </c>
      <c r="G1097" s="76" t="str">
        <f>Matrix_prices!G1085</f>
        <v>General Service Small</v>
      </c>
      <c r="H1097" s="157" t="str">
        <f t="shared" si="48"/>
        <v>0-100 MWh</v>
      </c>
      <c r="I1097" s="76">
        <f>(Matrix_prices!I1085+$D$2)*IF($M$2="Prices in $/MWh",1,1/1000)</f>
        <v>70.25</v>
      </c>
      <c r="J1097" s="75">
        <f>(Matrix_prices!J1085+$D$2)*IF($M$2="Prices in $/MWh",1,1/1000)</f>
        <v>71.14</v>
      </c>
      <c r="K1097" s="76">
        <f>(Matrix_prices!K1085+$D$2)*IF($M$2="Prices in $/MWh",1,1/1000)</f>
        <v>69.87</v>
      </c>
      <c r="L1097" s="75">
        <f>(Matrix_prices!L1085+$D$2)*IF($M$2="Prices in $/MWh",1,1/1000)</f>
        <v>30.61</v>
      </c>
      <c r="M1097" s="76">
        <f>(Matrix_prices!M1085+$D$2)*IF($M$2="Prices in $/MWh",1,1/1000)</f>
        <v>31.82</v>
      </c>
      <c r="N1097" s="75">
        <f>(Matrix_prices!N1085+$D$2)*IF($M$2="Prices in $/MWh",1,1/1000)</f>
        <v>30.65</v>
      </c>
      <c r="O1097" s="61"/>
    </row>
    <row r="1098" spans="2:15" x14ac:dyDescent="0.25">
      <c r="B1098" s="57"/>
      <c r="C1098" s="78">
        <f>Matrix_prices!C1086</f>
        <v>42430</v>
      </c>
      <c r="D1098" s="79" t="str">
        <f>Matrix_prices!D1086</f>
        <v>PA</v>
      </c>
      <c r="E1098" s="80" t="str">
        <f>Matrix_prices!E1086</f>
        <v>Penelec</v>
      </c>
      <c r="F1098" s="79" t="str">
        <f>Matrix_prices!F1086</f>
        <v>GSCS</v>
      </c>
      <c r="G1098" s="80" t="str">
        <f>Matrix_prices!G1086</f>
        <v>General Service Small</v>
      </c>
      <c r="H1098" s="81" t="str">
        <f t="shared" si="49"/>
        <v>100-500 MWh</v>
      </c>
      <c r="I1098" s="80">
        <f>(Matrix_prices!I1086+$D$2)*IF($M$2="Prices in $/MWh",1,1/1000)</f>
        <v>68.650000000000006</v>
      </c>
      <c r="J1098" s="79">
        <f>(Matrix_prices!J1086+$D$2)*IF($M$2="Prices in $/MWh",1,1/1000)</f>
        <v>69.540000000000006</v>
      </c>
      <c r="K1098" s="80">
        <f>(Matrix_prices!K1086+$D$2)*IF($M$2="Prices in $/MWh",1,1/1000)</f>
        <v>68.27</v>
      </c>
      <c r="L1098" s="79">
        <f>(Matrix_prices!L1086+$D$2)*IF($M$2="Prices in $/MWh",1,1/1000)</f>
        <v>29.01</v>
      </c>
      <c r="M1098" s="80">
        <f>(Matrix_prices!M1086+$D$2)*IF($M$2="Prices in $/MWh",1,1/1000)</f>
        <v>30.22</v>
      </c>
      <c r="N1098" s="79">
        <f>(Matrix_prices!N1086+$D$2)*IF($M$2="Prices in $/MWh",1,1/1000)</f>
        <v>29.05</v>
      </c>
      <c r="O1098" s="61"/>
    </row>
    <row r="1099" spans="2:15" x14ac:dyDescent="0.25">
      <c r="B1099" s="57"/>
      <c r="C1099" s="82">
        <f>Matrix_prices!C1087</f>
        <v>42430</v>
      </c>
      <c r="D1099" s="83" t="str">
        <f>Matrix_prices!D1087</f>
        <v>PA</v>
      </c>
      <c r="E1099" s="84" t="str">
        <f>Matrix_prices!E1087</f>
        <v>Penelec</v>
      </c>
      <c r="F1099" s="83" t="str">
        <f>Matrix_prices!F1087</f>
        <v>GSCS</v>
      </c>
      <c r="G1099" s="84" t="str">
        <f>Matrix_prices!G1087</f>
        <v>General Service Small</v>
      </c>
      <c r="H1099" s="85" t="str">
        <f t="shared" si="50"/>
        <v>500-2500 MWh</v>
      </c>
      <c r="I1099" s="84">
        <f>(Matrix_prices!I1087+$D$2)*IF($M$2="Prices in $/MWh",1,1/1000)</f>
        <v>67.599999999999994</v>
      </c>
      <c r="J1099" s="83">
        <f>(Matrix_prices!J1087+$D$2)*IF($M$2="Prices in $/MWh",1,1/1000)</f>
        <v>68.489999999999995</v>
      </c>
      <c r="K1099" s="84">
        <f>(Matrix_prices!K1087+$D$2)*IF($M$2="Prices in $/MWh",1,1/1000)</f>
        <v>67.22</v>
      </c>
      <c r="L1099" s="83">
        <f>(Matrix_prices!L1087+$D$2)*IF($M$2="Prices in $/MWh",1,1/1000)</f>
        <v>27.96</v>
      </c>
      <c r="M1099" s="84">
        <f>(Matrix_prices!M1087+$D$2)*IF($M$2="Prices in $/MWh",1,1/1000)</f>
        <v>29.17</v>
      </c>
      <c r="N1099" s="83">
        <f>(Matrix_prices!N1087+$D$2)*IF($M$2="Prices in $/MWh",1,1/1000)</f>
        <v>28</v>
      </c>
      <c r="O1099" s="61"/>
    </row>
    <row r="1100" spans="2:15" x14ac:dyDescent="0.25">
      <c r="B1100" s="57"/>
      <c r="C1100" s="151">
        <f>Matrix_prices!C1088</f>
        <v>42461</v>
      </c>
      <c r="D1100" s="152" t="str">
        <f>Matrix_prices!D1088</f>
        <v>PA</v>
      </c>
      <c r="E1100" s="153" t="str">
        <f>Matrix_prices!E1088</f>
        <v>Penelec</v>
      </c>
      <c r="F1100" s="152" t="str">
        <f>Matrix_prices!F1088</f>
        <v>GSCS</v>
      </c>
      <c r="G1100" s="153" t="str">
        <f>Matrix_prices!G1088</f>
        <v>General Service Small</v>
      </c>
      <c r="H1100" s="157" t="str">
        <f t="shared" si="48"/>
        <v>0-100 MWh</v>
      </c>
      <c r="I1100" s="153">
        <f>(Matrix_prices!I1088+$D$2)*IF($M$2="Prices in $/MWh",1,1/1000)</f>
        <v>70.459999999999994</v>
      </c>
      <c r="J1100" s="152">
        <f>(Matrix_prices!J1088+$D$2)*IF($M$2="Prices in $/MWh",1,1/1000)</f>
        <v>71.12</v>
      </c>
      <c r="K1100" s="153">
        <f>(Matrix_prices!K1088+$D$2)*IF($M$2="Prices in $/MWh",1,1/1000)</f>
        <v>69.94</v>
      </c>
      <c r="L1100" s="152">
        <f>(Matrix_prices!L1088+$D$2)*IF($M$2="Prices in $/MWh",1,1/1000)</f>
        <v>30.64</v>
      </c>
      <c r="M1100" s="153">
        <f>(Matrix_prices!M1088+$D$2)*IF($M$2="Prices in $/MWh",1,1/1000)</f>
        <v>32.020000000000003</v>
      </c>
      <c r="N1100" s="152">
        <f>(Matrix_prices!N1088+$D$2)*IF($M$2="Prices in $/MWh",1,1/1000)</f>
        <v>30.68</v>
      </c>
      <c r="O1100" s="61"/>
    </row>
    <row r="1101" spans="2:15" x14ac:dyDescent="0.25">
      <c r="B1101" s="57"/>
      <c r="C1101" s="78">
        <f>Matrix_prices!C1089</f>
        <v>42461</v>
      </c>
      <c r="D1101" s="79" t="str">
        <f>Matrix_prices!D1089</f>
        <v>PA</v>
      </c>
      <c r="E1101" s="80" t="str">
        <f>Matrix_prices!E1089</f>
        <v>Penelec</v>
      </c>
      <c r="F1101" s="79" t="str">
        <f>Matrix_prices!F1089</f>
        <v>GSCS</v>
      </c>
      <c r="G1101" s="80" t="str">
        <f>Matrix_prices!G1089</f>
        <v>General Service Small</v>
      </c>
      <c r="H1101" s="81" t="str">
        <f t="shared" si="49"/>
        <v>100-500 MWh</v>
      </c>
      <c r="I1101" s="80">
        <f>(Matrix_prices!I1089+$D$2)*IF($M$2="Prices in $/MWh",1,1/1000)</f>
        <v>68.86</v>
      </c>
      <c r="J1101" s="79">
        <f>(Matrix_prices!J1089+$D$2)*IF($M$2="Prices in $/MWh",1,1/1000)</f>
        <v>69.52</v>
      </c>
      <c r="K1101" s="80">
        <f>(Matrix_prices!K1089+$D$2)*IF($M$2="Prices in $/MWh",1,1/1000)</f>
        <v>68.34</v>
      </c>
      <c r="L1101" s="79">
        <f>(Matrix_prices!L1089+$D$2)*IF($M$2="Prices in $/MWh",1,1/1000)</f>
        <v>29.04</v>
      </c>
      <c r="M1101" s="80">
        <f>(Matrix_prices!M1089+$D$2)*IF($M$2="Prices in $/MWh",1,1/1000)</f>
        <v>30.42</v>
      </c>
      <c r="N1101" s="79">
        <f>(Matrix_prices!N1089+$D$2)*IF($M$2="Prices in $/MWh",1,1/1000)</f>
        <v>29.08</v>
      </c>
      <c r="O1101" s="61"/>
    </row>
    <row r="1102" spans="2:15" x14ac:dyDescent="0.25">
      <c r="B1102" s="57"/>
      <c r="C1102" s="82">
        <f>Matrix_prices!C1090</f>
        <v>42461</v>
      </c>
      <c r="D1102" s="83" t="str">
        <f>Matrix_prices!D1090</f>
        <v>PA</v>
      </c>
      <c r="E1102" s="84" t="str">
        <f>Matrix_prices!E1090</f>
        <v>Penelec</v>
      </c>
      <c r="F1102" s="83" t="str">
        <f>Matrix_prices!F1090</f>
        <v>GSCS</v>
      </c>
      <c r="G1102" s="84" t="str">
        <f>Matrix_prices!G1090</f>
        <v>General Service Small</v>
      </c>
      <c r="H1102" s="85" t="str">
        <f t="shared" si="50"/>
        <v>500-2500 MWh</v>
      </c>
      <c r="I1102" s="84">
        <f>(Matrix_prices!I1090+$D$2)*IF($M$2="Prices in $/MWh",1,1/1000)</f>
        <v>67.81</v>
      </c>
      <c r="J1102" s="83">
        <f>(Matrix_prices!J1090+$D$2)*IF($M$2="Prices in $/MWh",1,1/1000)</f>
        <v>68.47</v>
      </c>
      <c r="K1102" s="84">
        <f>(Matrix_prices!K1090+$D$2)*IF($M$2="Prices in $/MWh",1,1/1000)</f>
        <v>67.290000000000006</v>
      </c>
      <c r="L1102" s="83">
        <f>(Matrix_prices!L1090+$D$2)*IF($M$2="Prices in $/MWh",1,1/1000)</f>
        <v>27.99</v>
      </c>
      <c r="M1102" s="84">
        <f>(Matrix_prices!M1090+$D$2)*IF($M$2="Prices in $/MWh",1,1/1000)</f>
        <v>29.37</v>
      </c>
      <c r="N1102" s="83">
        <f>(Matrix_prices!N1090+$D$2)*IF($M$2="Prices in $/MWh",1,1/1000)</f>
        <v>28.03</v>
      </c>
      <c r="O1102" s="61"/>
    </row>
    <row r="1103" spans="2:15" x14ac:dyDescent="0.25">
      <c r="B1103" s="57"/>
      <c r="C1103" s="74">
        <f>Matrix_prices!C1091</f>
        <v>42491</v>
      </c>
      <c r="D1103" s="75" t="str">
        <f>Matrix_prices!D1091</f>
        <v>PA</v>
      </c>
      <c r="E1103" s="76" t="str">
        <f>Matrix_prices!E1091</f>
        <v>Penelec</v>
      </c>
      <c r="F1103" s="75" t="str">
        <f>Matrix_prices!F1091</f>
        <v>GSCS</v>
      </c>
      <c r="G1103" s="76" t="str">
        <f>Matrix_prices!G1091</f>
        <v>General Service Small</v>
      </c>
      <c r="H1103" s="157" t="str">
        <f t="shared" si="48"/>
        <v>0-100 MWh</v>
      </c>
      <c r="I1103" s="76">
        <f>(Matrix_prices!I1091+$D$2)*IF($M$2="Prices in $/MWh",1,1/1000)</f>
        <v>70.56</v>
      </c>
      <c r="J1103" s="75">
        <f>(Matrix_prices!J1091+$D$2)*IF($M$2="Prices in $/MWh",1,1/1000)</f>
        <v>71.02</v>
      </c>
      <c r="K1103" s="76">
        <f>(Matrix_prices!K1091+$D$2)*IF($M$2="Prices in $/MWh",1,1/1000)</f>
        <v>69.95</v>
      </c>
      <c r="L1103" s="75">
        <f>(Matrix_prices!L1091+$D$2)*IF($M$2="Prices in $/MWh",1,1/1000)</f>
        <v>30.65</v>
      </c>
      <c r="M1103" s="76">
        <f>(Matrix_prices!M1091+$D$2)*IF($M$2="Prices in $/MWh",1,1/1000)</f>
        <v>32.08</v>
      </c>
      <c r="N1103" s="75">
        <f>(Matrix_prices!N1091+$D$2)*IF($M$2="Prices in $/MWh",1,1/1000)</f>
        <v>30.69</v>
      </c>
      <c r="O1103" s="61"/>
    </row>
    <row r="1104" spans="2:15" x14ac:dyDescent="0.25">
      <c r="B1104" s="57"/>
      <c r="C1104" s="78">
        <f>Matrix_prices!C1092</f>
        <v>42491</v>
      </c>
      <c r="D1104" s="79" t="str">
        <f>Matrix_prices!D1092</f>
        <v>PA</v>
      </c>
      <c r="E1104" s="80" t="str">
        <f>Matrix_prices!E1092</f>
        <v>Penelec</v>
      </c>
      <c r="F1104" s="79" t="str">
        <f>Matrix_prices!F1092</f>
        <v>GSCS</v>
      </c>
      <c r="G1104" s="80" t="str">
        <f>Matrix_prices!G1092</f>
        <v>General Service Small</v>
      </c>
      <c r="H1104" s="81" t="str">
        <f t="shared" si="49"/>
        <v>100-500 MWh</v>
      </c>
      <c r="I1104" s="80">
        <f>(Matrix_prices!I1092+$D$2)*IF($M$2="Prices in $/MWh",1,1/1000)</f>
        <v>68.959999999999994</v>
      </c>
      <c r="J1104" s="79">
        <f>(Matrix_prices!J1092+$D$2)*IF($M$2="Prices in $/MWh",1,1/1000)</f>
        <v>69.42</v>
      </c>
      <c r="K1104" s="80">
        <f>(Matrix_prices!K1092+$D$2)*IF($M$2="Prices in $/MWh",1,1/1000)</f>
        <v>68.349999999999994</v>
      </c>
      <c r="L1104" s="79">
        <f>(Matrix_prices!L1092+$D$2)*IF($M$2="Prices in $/MWh",1,1/1000)</f>
        <v>29.05</v>
      </c>
      <c r="M1104" s="80">
        <f>(Matrix_prices!M1092+$D$2)*IF($M$2="Prices in $/MWh",1,1/1000)</f>
        <v>30.48</v>
      </c>
      <c r="N1104" s="79">
        <f>(Matrix_prices!N1092+$D$2)*IF($M$2="Prices in $/MWh",1,1/1000)</f>
        <v>29.09</v>
      </c>
      <c r="O1104" s="61"/>
    </row>
    <row r="1105" spans="2:15" x14ac:dyDescent="0.25">
      <c r="B1105" s="57"/>
      <c r="C1105" s="82">
        <f>Matrix_prices!C1093</f>
        <v>42491</v>
      </c>
      <c r="D1105" s="83" t="str">
        <f>Matrix_prices!D1093</f>
        <v>PA</v>
      </c>
      <c r="E1105" s="84" t="str">
        <f>Matrix_prices!E1093</f>
        <v>Penelec</v>
      </c>
      <c r="F1105" s="83" t="str">
        <f>Matrix_prices!F1093</f>
        <v>GSCS</v>
      </c>
      <c r="G1105" s="84" t="str">
        <f>Matrix_prices!G1093</f>
        <v>General Service Small</v>
      </c>
      <c r="H1105" s="85" t="str">
        <f t="shared" si="50"/>
        <v>500-2500 MWh</v>
      </c>
      <c r="I1105" s="84">
        <f>(Matrix_prices!I1093+$D$2)*IF($M$2="Prices in $/MWh",1,1/1000)</f>
        <v>67.91</v>
      </c>
      <c r="J1105" s="83">
        <f>(Matrix_prices!J1093+$D$2)*IF($M$2="Prices in $/MWh",1,1/1000)</f>
        <v>68.37</v>
      </c>
      <c r="K1105" s="84">
        <f>(Matrix_prices!K1093+$D$2)*IF($M$2="Prices in $/MWh",1,1/1000)</f>
        <v>67.3</v>
      </c>
      <c r="L1105" s="83">
        <f>(Matrix_prices!L1093+$D$2)*IF($M$2="Prices in $/MWh",1,1/1000)</f>
        <v>28</v>
      </c>
      <c r="M1105" s="84">
        <f>(Matrix_prices!M1093+$D$2)*IF($M$2="Prices in $/MWh",1,1/1000)</f>
        <v>29.43</v>
      </c>
      <c r="N1105" s="83">
        <f>(Matrix_prices!N1093+$D$2)*IF($M$2="Prices in $/MWh",1,1/1000)</f>
        <v>28.04</v>
      </c>
      <c r="O1105" s="61"/>
    </row>
    <row r="1106" spans="2:15" x14ac:dyDescent="0.25">
      <c r="B1106" s="57"/>
      <c r="C1106" s="151">
        <f>Matrix_prices!C1094</f>
        <v>42522</v>
      </c>
      <c r="D1106" s="152" t="str">
        <f>Matrix_prices!D1094</f>
        <v>PA</v>
      </c>
      <c r="E1106" s="153" t="str">
        <f>Matrix_prices!E1094</f>
        <v>Penelec</v>
      </c>
      <c r="F1106" s="152" t="str">
        <f>Matrix_prices!F1094</f>
        <v>GSCS</v>
      </c>
      <c r="G1106" s="153" t="str">
        <f>Matrix_prices!G1094</f>
        <v>General Service Small</v>
      </c>
      <c r="H1106" s="157" t="str">
        <f t="shared" si="48"/>
        <v>0-100 MWh</v>
      </c>
      <c r="I1106" s="153">
        <f>(Matrix_prices!I1094+$D$2)*IF($M$2="Prices in $/MWh",1,1/1000)</f>
        <v>70.58</v>
      </c>
      <c r="J1106" s="152">
        <f>(Matrix_prices!J1094+$D$2)*IF($M$2="Prices in $/MWh",1,1/1000)</f>
        <v>70.2</v>
      </c>
      <c r="K1106" s="153">
        <f>(Matrix_prices!K1094+$D$2)*IF($M$2="Prices in $/MWh",1,1/1000)</f>
        <v>69.97</v>
      </c>
      <c r="L1106" s="152">
        <f>(Matrix_prices!L1094+$D$2)*IF($M$2="Prices in $/MWh",1,1/1000)</f>
        <v>30.64</v>
      </c>
      <c r="M1106" s="153">
        <f>(Matrix_prices!M1094+$D$2)*IF($M$2="Prices in $/MWh",1,1/1000)</f>
        <v>31.48</v>
      </c>
      <c r="N1106" s="152">
        <f>(Matrix_prices!N1094+$D$2)*IF($M$2="Prices in $/MWh",1,1/1000)</f>
        <v>30.69</v>
      </c>
      <c r="O1106" s="61"/>
    </row>
    <row r="1107" spans="2:15" x14ac:dyDescent="0.25">
      <c r="B1107" s="57"/>
      <c r="C1107" s="78">
        <f>Matrix_prices!C1095</f>
        <v>42522</v>
      </c>
      <c r="D1107" s="79" t="str">
        <f>Matrix_prices!D1095</f>
        <v>PA</v>
      </c>
      <c r="E1107" s="80" t="str">
        <f>Matrix_prices!E1095</f>
        <v>Penelec</v>
      </c>
      <c r="F1107" s="79" t="str">
        <f>Matrix_prices!F1095</f>
        <v>GSCS</v>
      </c>
      <c r="G1107" s="80" t="str">
        <f>Matrix_prices!G1095</f>
        <v>General Service Small</v>
      </c>
      <c r="H1107" s="81" t="str">
        <f t="shared" si="49"/>
        <v>100-500 MWh</v>
      </c>
      <c r="I1107" s="80">
        <f>(Matrix_prices!I1095+$D$2)*IF($M$2="Prices in $/MWh",1,1/1000)</f>
        <v>68.98</v>
      </c>
      <c r="J1107" s="79">
        <f>(Matrix_prices!J1095+$D$2)*IF($M$2="Prices in $/MWh",1,1/1000)</f>
        <v>68.599999999999994</v>
      </c>
      <c r="K1107" s="80">
        <f>(Matrix_prices!K1095+$D$2)*IF($M$2="Prices in $/MWh",1,1/1000)</f>
        <v>68.37</v>
      </c>
      <c r="L1107" s="79">
        <f>(Matrix_prices!L1095+$D$2)*IF($M$2="Prices in $/MWh",1,1/1000)</f>
        <v>29.04</v>
      </c>
      <c r="M1107" s="80">
        <f>(Matrix_prices!M1095+$D$2)*IF($M$2="Prices in $/MWh",1,1/1000)</f>
        <v>29.88</v>
      </c>
      <c r="N1107" s="79">
        <f>(Matrix_prices!N1095+$D$2)*IF($M$2="Prices in $/MWh",1,1/1000)</f>
        <v>29.09</v>
      </c>
      <c r="O1107" s="61"/>
    </row>
    <row r="1108" spans="2:15" x14ac:dyDescent="0.25">
      <c r="B1108" s="57"/>
      <c r="C1108" s="82">
        <f>Matrix_prices!C1096</f>
        <v>42522</v>
      </c>
      <c r="D1108" s="83" t="str">
        <f>Matrix_prices!D1096</f>
        <v>PA</v>
      </c>
      <c r="E1108" s="84" t="str">
        <f>Matrix_prices!E1096</f>
        <v>Penelec</v>
      </c>
      <c r="F1108" s="83" t="str">
        <f>Matrix_prices!F1096</f>
        <v>GSCS</v>
      </c>
      <c r="G1108" s="84" t="str">
        <f>Matrix_prices!G1096</f>
        <v>General Service Small</v>
      </c>
      <c r="H1108" s="85" t="str">
        <f t="shared" si="50"/>
        <v>500-2500 MWh</v>
      </c>
      <c r="I1108" s="84">
        <f>(Matrix_prices!I1096+$D$2)*IF($M$2="Prices in $/MWh",1,1/1000)</f>
        <v>67.930000000000007</v>
      </c>
      <c r="J1108" s="83">
        <f>(Matrix_prices!J1096+$D$2)*IF($M$2="Prices in $/MWh",1,1/1000)</f>
        <v>67.55</v>
      </c>
      <c r="K1108" s="84">
        <f>(Matrix_prices!K1096+$D$2)*IF($M$2="Prices in $/MWh",1,1/1000)</f>
        <v>67.319999999999993</v>
      </c>
      <c r="L1108" s="83">
        <f>(Matrix_prices!L1096+$D$2)*IF($M$2="Prices in $/MWh",1,1/1000)</f>
        <v>27.99</v>
      </c>
      <c r="M1108" s="84">
        <f>(Matrix_prices!M1096+$D$2)*IF($M$2="Prices in $/MWh",1,1/1000)</f>
        <v>28.83</v>
      </c>
      <c r="N1108" s="83">
        <f>(Matrix_prices!N1096+$D$2)*IF($M$2="Prices in $/MWh",1,1/1000)</f>
        <v>28.04</v>
      </c>
      <c r="O1108" s="61"/>
    </row>
    <row r="1109" spans="2:15" x14ac:dyDescent="0.25">
      <c r="B1109" s="57"/>
      <c r="C1109" s="74">
        <f>Matrix_prices!C1097</f>
        <v>42552</v>
      </c>
      <c r="D1109" s="75" t="str">
        <f>Matrix_prices!D1097</f>
        <v>PA</v>
      </c>
      <c r="E1109" s="76" t="str">
        <f>Matrix_prices!E1097</f>
        <v>Penelec</v>
      </c>
      <c r="F1109" s="75" t="str">
        <f>Matrix_prices!F1097</f>
        <v>GSCS</v>
      </c>
      <c r="G1109" s="76" t="str">
        <f>Matrix_prices!G1097</f>
        <v>General Service Small</v>
      </c>
      <c r="H1109" s="157" t="str">
        <f t="shared" si="48"/>
        <v>0-100 MWh</v>
      </c>
      <c r="I1109" s="76">
        <f>(Matrix_prices!I1097+$D$2)*IF($M$2="Prices in $/MWh",1,1/1000)</f>
        <v>70.58</v>
      </c>
      <c r="J1109" s="75">
        <f>(Matrix_prices!J1097+$D$2)*IF($M$2="Prices in $/MWh",1,1/1000)</f>
        <v>69.31</v>
      </c>
      <c r="K1109" s="76">
        <f>(Matrix_prices!K1097+$D$2)*IF($M$2="Prices in $/MWh",1,1/1000)</f>
        <v>69.989999999999995</v>
      </c>
      <c r="L1109" s="75">
        <f>(Matrix_prices!L1097+$D$2)*IF($M$2="Prices in $/MWh",1,1/1000)</f>
        <v>30.65</v>
      </c>
      <c r="M1109" s="76">
        <f>(Matrix_prices!M1097+$D$2)*IF($M$2="Prices in $/MWh",1,1/1000)</f>
        <v>30.8</v>
      </c>
      <c r="N1109" s="75">
        <f>(Matrix_prices!N1097+$D$2)*IF($M$2="Prices in $/MWh",1,1/1000)</f>
        <v>30.77</v>
      </c>
      <c r="O1109" s="61"/>
    </row>
    <row r="1110" spans="2:15" x14ac:dyDescent="0.25">
      <c r="B1110" s="57"/>
      <c r="C1110" s="78">
        <f>Matrix_prices!C1098</f>
        <v>42552</v>
      </c>
      <c r="D1110" s="79" t="str">
        <f>Matrix_prices!D1098</f>
        <v>PA</v>
      </c>
      <c r="E1110" s="80" t="str">
        <f>Matrix_prices!E1098</f>
        <v>Penelec</v>
      </c>
      <c r="F1110" s="79" t="str">
        <f>Matrix_prices!F1098</f>
        <v>GSCS</v>
      </c>
      <c r="G1110" s="80" t="str">
        <f>Matrix_prices!G1098</f>
        <v>General Service Small</v>
      </c>
      <c r="H1110" s="81" t="str">
        <f t="shared" si="49"/>
        <v>100-500 MWh</v>
      </c>
      <c r="I1110" s="80">
        <f>(Matrix_prices!I1098+$D$2)*IF($M$2="Prices in $/MWh",1,1/1000)</f>
        <v>68.98</v>
      </c>
      <c r="J1110" s="79">
        <f>(Matrix_prices!J1098+$D$2)*IF($M$2="Prices in $/MWh",1,1/1000)</f>
        <v>67.709999999999994</v>
      </c>
      <c r="K1110" s="80">
        <f>(Matrix_prices!K1098+$D$2)*IF($M$2="Prices in $/MWh",1,1/1000)</f>
        <v>68.39</v>
      </c>
      <c r="L1110" s="79">
        <f>(Matrix_prices!L1098+$D$2)*IF($M$2="Prices in $/MWh",1,1/1000)</f>
        <v>29.05</v>
      </c>
      <c r="M1110" s="80">
        <f>(Matrix_prices!M1098+$D$2)*IF($M$2="Prices in $/MWh",1,1/1000)</f>
        <v>29.2</v>
      </c>
      <c r="N1110" s="79">
        <f>(Matrix_prices!N1098+$D$2)*IF($M$2="Prices in $/MWh",1,1/1000)</f>
        <v>29.17</v>
      </c>
      <c r="O1110" s="61"/>
    </row>
    <row r="1111" spans="2:15" x14ac:dyDescent="0.25">
      <c r="B1111" s="57"/>
      <c r="C1111" s="82">
        <f>Matrix_prices!C1099</f>
        <v>42552</v>
      </c>
      <c r="D1111" s="83" t="str">
        <f>Matrix_prices!D1099</f>
        <v>PA</v>
      </c>
      <c r="E1111" s="84" t="str">
        <f>Matrix_prices!E1099</f>
        <v>Penelec</v>
      </c>
      <c r="F1111" s="83" t="str">
        <f>Matrix_prices!F1099</f>
        <v>GSCS</v>
      </c>
      <c r="G1111" s="84" t="str">
        <f>Matrix_prices!G1099</f>
        <v>General Service Small</v>
      </c>
      <c r="H1111" s="85" t="str">
        <f t="shared" si="50"/>
        <v>500-2500 MWh</v>
      </c>
      <c r="I1111" s="84">
        <f>(Matrix_prices!I1099+$D$2)*IF($M$2="Prices in $/MWh",1,1/1000)</f>
        <v>67.930000000000007</v>
      </c>
      <c r="J1111" s="83">
        <f>(Matrix_prices!J1099+$D$2)*IF($M$2="Prices in $/MWh",1,1/1000)</f>
        <v>66.66</v>
      </c>
      <c r="K1111" s="84">
        <f>(Matrix_prices!K1099+$D$2)*IF($M$2="Prices in $/MWh",1,1/1000)</f>
        <v>67.34</v>
      </c>
      <c r="L1111" s="83">
        <f>(Matrix_prices!L1099+$D$2)*IF($M$2="Prices in $/MWh",1,1/1000)</f>
        <v>28</v>
      </c>
      <c r="M1111" s="84">
        <f>(Matrix_prices!M1099+$D$2)*IF($M$2="Prices in $/MWh",1,1/1000)</f>
        <v>28.15</v>
      </c>
      <c r="N1111" s="83">
        <f>(Matrix_prices!N1099+$D$2)*IF($M$2="Prices in $/MWh",1,1/1000)</f>
        <v>28.12</v>
      </c>
      <c r="O1111" s="61"/>
    </row>
    <row r="1112" spans="2:15" x14ac:dyDescent="0.25">
      <c r="B1112" s="57"/>
      <c r="C1112" s="151">
        <f>Matrix_prices!C1100</f>
        <v>42583</v>
      </c>
      <c r="D1112" s="152" t="str">
        <f>Matrix_prices!D1100</f>
        <v>PA</v>
      </c>
      <c r="E1112" s="153" t="str">
        <f>Matrix_prices!E1100</f>
        <v>Penelec</v>
      </c>
      <c r="F1112" s="152" t="str">
        <f>Matrix_prices!F1100</f>
        <v>GSCS</v>
      </c>
      <c r="G1112" s="153" t="str">
        <f>Matrix_prices!G1100</f>
        <v>General Service Small</v>
      </c>
      <c r="H1112" s="157" t="str">
        <f t="shared" si="48"/>
        <v>0-100 MWh</v>
      </c>
      <c r="I1112" s="153">
        <f>(Matrix_prices!I1100+$D$2)*IF($M$2="Prices in $/MWh",1,1/1000)</f>
        <v>70.5</v>
      </c>
      <c r="J1112" s="152">
        <f>(Matrix_prices!J1100+$D$2)*IF($M$2="Prices in $/MWh",1,1/1000)</f>
        <v>69.23</v>
      </c>
      <c r="K1112" s="153">
        <f>(Matrix_prices!K1100+$D$2)*IF($M$2="Prices in $/MWh",1,1/1000)</f>
        <v>70.05</v>
      </c>
      <c r="L1112" s="152">
        <f>(Matrix_prices!L1100+$D$2)*IF($M$2="Prices in $/MWh",1,1/1000)</f>
        <v>30.67</v>
      </c>
      <c r="M1112" s="153">
        <f>(Matrix_prices!M1100+$D$2)*IF($M$2="Prices in $/MWh",1,1/1000)</f>
        <v>30.15</v>
      </c>
      <c r="N1112" s="152">
        <f>(Matrix_prices!N1100+$D$2)*IF($M$2="Prices in $/MWh",1,1/1000)</f>
        <v>30.86</v>
      </c>
      <c r="O1112" s="61"/>
    </row>
    <row r="1113" spans="2:15" x14ac:dyDescent="0.25">
      <c r="B1113" s="57"/>
      <c r="C1113" s="78">
        <f>Matrix_prices!C1101</f>
        <v>42583</v>
      </c>
      <c r="D1113" s="79" t="str">
        <f>Matrix_prices!D1101</f>
        <v>PA</v>
      </c>
      <c r="E1113" s="80" t="str">
        <f>Matrix_prices!E1101</f>
        <v>Penelec</v>
      </c>
      <c r="F1113" s="79" t="str">
        <f>Matrix_prices!F1101</f>
        <v>GSCS</v>
      </c>
      <c r="G1113" s="80" t="str">
        <f>Matrix_prices!G1101</f>
        <v>General Service Small</v>
      </c>
      <c r="H1113" s="81" t="str">
        <f t="shared" si="49"/>
        <v>100-500 MWh</v>
      </c>
      <c r="I1113" s="80">
        <f>(Matrix_prices!I1101+$D$2)*IF($M$2="Prices in $/MWh",1,1/1000)</f>
        <v>68.900000000000006</v>
      </c>
      <c r="J1113" s="79">
        <f>(Matrix_prices!J1101+$D$2)*IF($M$2="Prices in $/MWh",1,1/1000)</f>
        <v>67.63</v>
      </c>
      <c r="K1113" s="80">
        <f>(Matrix_prices!K1101+$D$2)*IF($M$2="Prices in $/MWh",1,1/1000)</f>
        <v>68.45</v>
      </c>
      <c r="L1113" s="79">
        <f>(Matrix_prices!L1101+$D$2)*IF($M$2="Prices in $/MWh",1,1/1000)</f>
        <v>29.07</v>
      </c>
      <c r="M1113" s="80">
        <f>(Matrix_prices!M1101+$D$2)*IF($M$2="Prices in $/MWh",1,1/1000)</f>
        <v>28.55</v>
      </c>
      <c r="N1113" s="79">
        <f>(Matrix_prices!N1101+$D$2)*IF($M$2="Prices in $/MWh",1,1/1000)</f>
        <v>29.26</v>
      </c>
      <c r="O1113" s="61"/>
    </row>
    <row r="1114" spans="2:15" x14ac:dyDescent="0.25">
      <c r="B1114" s="57"/>
      <c r="C1114" s="82">
        <f>Matrix_prices!C1102</f>
        <v>42583</v>
      </c>
      <c r="D1114" s="83" t="str">
        <f>Matrix_prices!D1102</f>
        <v>PA</v>
      </c>
      <c r="E1114" s="84" t="str">
        <f>Matrix_prices!E1102</f>
        <v>Penelec</v>
      </c>
      <c r="F1114" s="83" t="str">
        <f>Matrix_prices!F1102</f>
        <v>GSCS</v>
      </c>
      <c r="G1114" s="84" t="str">
        <f>Matrix_prices!G1102</f>
        <v>General Service Small</v>
      </c>
      <c r="H1114" s="85" t="str">
        <f t="shared" si="50"/>
        <v>500-2500 MWh</v>
      </c>
      <c r="I1114" s="84">
        <f>(Matrix_prices!I1102+$D$2)*IF($M$2="Prices in $/MWh",1,1/1000)</f>
        <v>67.849999999999994</v>
      </c>
      <c r="J1114" s="83">
        <f>(Matrix_prices!J1102+$D$2)*IF($M$2="Prices in $/MWh",1,1/1000)</f>
        <v>66.58</v>
      </c>
      <c r="K1114" s="84">
        <f>(Matrix_prices!K1102+$D$2)*IF($M$2="Prices in $/MWh",1,1/1000)</f>
        <v>67.400000000000006</v>
      </c>
      <c r="L1114" s="83">
        <f>(Matrix_prices!L1102+$D$2)*IF($M$2="Prices in $/MWh",1,1/1000)</f>
        <v>28.02</v>
      </c>
      <c r="M1114" s="84">
        <f>(Matrix_prices!M1102+$D$2)*IF($M$2="Prices in $/MWh",1,1/1000)</f>
        <v>27.5</v>
      </c>
      <c r="N1114" s="83">
        <f>(Matrix_prices!N1102+$D$2)*IF($M$2="Prices in $/MWh",1,1/1000)</f>
        <v>28.21</v>
      </c>
      <c r="O1114" s="61"/>
    </row>
    <row r="1115" spans="2:15" x14ac:dyDescent="0.25">
      <c r="B1115" s="57"/>
      <c r="C1115" s="74">
        <f>Matrix_prices!C1103</f>
        <v>42614</v>
      </c>
      <c r="D1115" s="75" t="str">
        <f>Matrix_prices!D1103</f>
        <v>PA</v>
      </c>
      <c r="E1115" s="76" t="str">
        <f>Matrix_prices!E1103</f>
        <v>Penelec</v>
      </c>
      <c r="F1115" s="75" t="str">
        <f>Matrix_prices!F1103</f>
        <v>GSCS</v>
      </c>
      <c r="G1115" s="76" t="str">
        <f>Matrix_prices!G1103</f>
        <v>General Service Small</v>
      </c>
      <c r="H1115" s="157" t="str">
        <f t="shared" si="48"/>
        <v>0-100 MWh</v>
      </c>
      <c r="I1115" s="76">
        <f>(Matrix_prices!I1103+$D$2)*IF($M$2="Prices in $/MWh",1,1/1000)</f>
        <v>70.41</v>
      </c>
      <c r="J1115" s="75">
        <f>(Matrix_prices!J1103+$D$2)*IF($M$2="Prices in $/MWh",1,1/1000)</f>
        <v>69.069999999999993</v>
      </c>
      <c r="K1115" s="76">
        <f>(Matrix_prices!K1103+$D$2)*IF($M$2="Prices in $/MWh",1,1/1000)</f>
        <v>70.069999999999993</v>
      </c>
      <c r="L1115" s="75">
        <f>(Matrix_prices!L1103+$D$2)*IF($M$2="Prices in $/MWh",1,1/1000)</f>
        <v>30.67</v>
      </c>
      <c r="M1115" s="76">
        <f>(Matrix_prices!M1103+$D$2)*IF($M$2="Prices in $/MWh",1,1/1000)</f>
        <v>29.62</v>
      </c>
      <c r="N1115" s="75">
        <f>(Matrix_prices!N1103+$D$2)*IF($M$2="Prices in $/MWh",1,1/1000)</f>
        <v>30.94</v>
      </c>
      <c r="O1115" s="61"/>
    </row>
    <row r="1116" spans="2:15" x14ac:dyDescent="0.25">
      <c r="B1116" s="57"/>
      <c r="C1116" s="78">
        <f>Matrix_prices!C1104</f>
        <v>42614</v>
      </c>
      <c r="D1116" s="79" t="str">
        <f>Matrix_prices!D1104</f>
        <v>PA</v>
      </c>
      <c r="E1116" s="80" t="str">
        <f>Matrix_prices!E1104</f>
        <v>Penelec</v>
      </c>
      <c r="F1116" s="79" t="str">
        <f>Matrix_prices!F1104</f>
        <v>GSCS</v>
      </c>
      <c r="G1116" s="80" t="str">
        <f>Matrix_prices!G1104</f>
        <v>General Service Small</v>
      </c>
      <c r="H1116" s="81" t="str">
        <f t="shared" si="49"/>
        <v>100-500 MWh</v>
      </c>
      <c r="I1116" s="80">
        <f>(Matrix_prices!I1104+$D$2)*IF($M$2="Prices in $/MWh",1,1/1000)</f>
        <v>68.81</v>
      </c>
      <c r="J1116" s="79">
        <f>(Matrix_prices!J1104+$D$2)*IF($M$2="Prices in $/MWh",1,1/1000)</f>
        <v>67.47</v>
      </c>
      <c r="K1116" s="80">
        <f>(Matrix_prices!K1104+$D$2)*IF($M$2="Prices in $/MWh",1,1/1000)</f>
        <v>68.47</v>
      </c>
      <c r="L1116" s="79">
        <f>(Matrix_prices!L1104+$D$2)*IF($M$2="Prices in $/MWh",1,1/1000)</f>
        <v>29.07</v>
      </c>
      <c r="M1116" s="80">
        <f>(Matrix_prices!M1104+$D$2)*IF($M$2="Prices in $/MWh",1,1/1000)</f>
        <v>28.02</v>
      </c>
      <c r="N1116" s="79">
        <f>(Matrix_prices!N1104+$D$2)*IF($M$2="Prices in $/MWh",1,1/1000)</f>
        <v>29.34</v>
      </c>
      <c r="O1116" s="61"/>
    </row>
    <row r="1117" spans="2:15" x14ac:dyDescent="0.25">
      <c r="B1117" s="57"/>
      <c r="C1117" s="82">
        <f>Matrix_prices!C1105</f>
        <v>42614</v>
      </c>
      <c r="D1117" s="83" t="str">
        <f>Matrix_prices!D1105</f>
        <v>PA</v>
      </c>
      <c r="E1117" s="84" t="str">
        <f>Matrix_prices!E1105</f>
        <v>Penelec</v>
      </c>
      <c r="F1117" s="83" t="str">
        <f>Matrix_prices!F1105</f>
        <v>GSCS</v>
      </c>
      <c r="G1117" s="84" t="str">
        <f>Matrix_prices!G1105</f>
        <v>General Service Small</v>
      </c>
      <c r="H1117" s="85" t="str">
        <f t="shared" si="50"/>
        <v>500-2500 MWh</v>
      </c>
      <c r="I1117" s="84">
        <f>(Matrix_prices!I1105+$D$2)*IF($M$2="Prices in $/MWh",1,1/1000)</f>
        <v>67.760000000000005</v>
      </c>
      <c r="J1117" s="83">
        <f>(Matrix_prices!J1105+$D$2)*IF($M$2="Prices in $/MWh",1,1/1000)</f>
        <v>66.42</v>
      </c>
      <c r="K1117" s="84">
        <f>(Matrix_prices!K1105+$D$2)*IF($M$2="Prices in $/MWh",1,1/1000)</f>
        <v>67.42</v>
      </c>
      <c r="L1117" s="83">
        <f>(Matrix_prices!L1105+$D$2)*IF($M$2="Prices in $/MWh",1,1/1000)</f>
        <v>28.02</v>
      </c>
      <c r="M1117" s="84">
        <f>(Matrix_prices!M1105+$D$2)*IF($M$2="Prices in $/MWh",1,1/1000)</f>
        <v>26.97</v>
      </c>
      <c r="N1117" s="83">
        <f>(Matrix_prices!N1105+$D$2)*IF($M$2="Prices in $/MWh",1,1/1000)</f>
        <v>28.29</v>
      </c>
      <c r="O1117" s="61"/>
    </row>
    <row r="1118" spans="2:15" x14ac:dyDescent="0.25">
      <c r="B1118" s="57"/>
      <c r="C1118" s="151">
        <f>Matrix_prices!C1106</f>
        <v>42644</v>
      </c>
      <c r="D1118" s="152" t="str">
        <f>Matrix_prices!D1106</f>
        <v>PA</v>
      </c>
      <c r="E1118" s="153" t="str">
        <f>Matrix_prices!E1106</f>
        <v>Penelec</v>
      </c>
      <c r="F1118" s="152" t="str">
        <f>Matrix_prices!F1106</f>
        <v>GSCS</v>
      </c>
      <c r="G1118" s="153" t="str">
        <f>Matrix_prices!G1106</f>
        <v>General Service Small</v>
      </c>
      <c r="H1118" s="157" t="str">
        <f t="shared" si="48"/>
        <v>0-100 MWh</v>
      </c>
      <c r="I1118" s="153">
        <f>(Matrix_prices!I1106+$D$2)*IF($M$2="Prices in $/MWh",1,1/1000)</f>
        <v>70.34</v>
      </c>
      <c r="J1118" s="152">
        <f>(Matrix_prices!J1106+$D$2)*IF($M$2="Prices in $/MWh",1,1/1000)</f>
        <v>69.16</v>
      </c>
      <c r="K1118" s="153">
        <f>(Matrix_prices!K1106+$D$2)*IF($M$2="Prices in $/MWh",1,1/1000)</f>
        <v>70.05</v>
      </c>
      <c r="L1118" s="152">
        <f>(Matrix_prices!L1106+$D$2)*IF($M$2="Prices in $/MWh",1,1/1000)</f>
        <v>30.67</v>
      </c>
      <c r="M1118" s="153">
        <f>(Matrix_prices!M1106+$D$2)*IF($M$2="Prices in $/MWh",1,1/1000)</f>
        <v>29.5</v>
      </c>
      <c r="N1118" s="152">
        <f>(Matrix_prices!N1106+$D$2)*IF($M$2="Prices in $/MWh",1,1/1000)</f>
        <v>31.01</v>
      </c>
      <c r="O1118" s="61"/>
    </row>
    <row r="1119" spans="2:15" x14ac:dyDescent="0.25">
      <c r="B1119" s="57"/>
      <c r="C1119" s="78">
        <f>Matrix_prices!C1107</f>
        <v>42644</v>
      </c>
      <c r="D1119" s="79" t="str">
        <f>Matrix_prices!D1107</f>
        <v>PA</v>
      </c>
      <c r="E1119" s="80" t="str">
        <f>Matrix_prices!E1107</f>
        <v>Penelec</v>
      </c>
      <c r="F1119" s="79" t="str">
        <f>Matrix_prices!F1107</f>
        <v>GSCS</v>
      </c>
      <c r="G1119" s="80" t="str">
        <f>Matrix_prices!G1107</f>
        <v>General Service Small</v>
      </c>
      <c r="H1119" s="81" t="str">
        <f t="shared" si="49"/>
        <v>100-500 MWh</v>
      </c>
      <c r="I1119" s="80">
        <f>(Matrix_prices!I1107+$D$2)*IF($M$2="Prices in $/MWh",1,1/1000)</f>
        <v>68.739999999999995</v>
      </c>
      <c r="J1119" s="79">
        <f>(Matrix_prices!J1107+$D$2)*IF($M$2="Prices in $/MWh",1,1/1000)</f>
        <v>67.56</v>
      </c>
      <c r="K1119" s="80">
        <f>(Matrix_prices!K1107+$D$2)*IF($M$2="Prices in $/MWh",1,1/1000)</f>
        <v>68.45</v>
      </c>
      <c r="L1119" s="79">
        <f>(Matrix_prices!L1107+$D$2)*IF($M$2="Prices in $/MWh",1,1/1000)</f>
        <v>29.07</v>
      </c>
      <c r="M1119" s="80">
        <f>(Matrix_prices!M1107+$D$2)*IF($M$2="Prices in $/MWh",1,1/1000)</f>
        <v>27.9</v>
      </c>
      <c r="N1119" s="79">
        <f>(Matrix_prices!N1107+$D$2)*IF($M$2="Prices in $/MWh",1,1/1000)</f>
        <v>29.41</v>
      </c>
      <c r="O1119" s="61"/>
    </row>
    <row r="1120" spans="2:15" x14ac:dyDescent="0.25">
      <c r="B1120" s="57"/>
      <c r="C1120" s="82">
        <f>Matrix_prices!C1108</f>
        <v>42644</v>
      </c>
      <c r="D1120" s="83" t="str">
        <f>Matrix_prices!D1108</f>
        <v>PA</v>
      </c>
      <c r="E1120" s="84" t="str">
        <f>Matrix_prices!E1108</f>
        <v>Penelec</v>
      </c>
      <c r="F1120" s="83" t="str">
        <f>Matrix_prices!F1108</f>
        <v>GSCS</v>
      </c>
      <c r="G1120" s="84" t="str">
        <f>Matrix_prices!G1108</f>
        <v>General Service Small</v>
      </c>
      <c r="H1120" s="85" t="str">
        <f t="shared" si="50"/>
        <v>500-2500 MWh</v>
      </c>
      <c r="I1120" s="84">
        <f>(Matrix_prices!I1108+$D$2)*IF($M$2="Prices in $/MWh",1,1/1000)</f>
        <v>67.69</v>
      </c>
      <c r="J1120" s="83">
        <f>(Matrix_prices!J1108+$D$2)*IF($M$2="Prices in $/MWh",1,1/1000)</f>
        <v>66.510000000000005</v>
      </c>
      <c r="K1120" s="84">
        <f>(Matrix_prices!K1108+$D$2)*IF($M$2="Prices in $/MWh",1,1/1000)</f>
        <v>67.400000000000006</v>
      </c>
      <c r="L1120" s="83">
        <f>(Matrix_prices!L1108+$D$2)*IF($M$2="Prices in $/MWh",1,1/1000)</f>
        <v>28.02</v>
      </c>
      <c r="M1120" s="84">
        <f>(Matrix_prices!M1108+$D$2)*IF($M$2="Prices in $/MWh",1,1/1000)</f>
        <v>26.85</v>
      </c>
      <c r="N1120" s="83">
        <f>(Matrix_prices!N1108+$D$2)*IF($M$2="Prices in $/MWh",1,1/1000)</f>
        <v>28.36</v>
      </c>
      <c r="O1120" s="61"/>
    </row>
    <row r="1121" spans="2:15" x14ac:dyDescent="0.25">
      <c r="B1121" s="57"/>
      <c r="C1121" s="74">
        <f>Matrix_prices!C1109</f>
        <v>42675</v>
      </c>
      <c r="D1121" s="75" t="str">
        <f>Matrix_prices!D1109</f>
        <v>PA</v>
      </c>
      <c r="E1121" s="76" t="str">
        <f>Matrix_prices!E1109</f>
        <v>Penelec</v>
      </c>
      <c r="F1121" s="75" t="str">
        <f>Matrix_prices!F1109</f>
        <v>GSCS</v>
      </c>
      <c r="G1121" s="76" t="str">
        <f>Matrix_prices!G1109</f>
        <v>General Service Small</v>
      </c>
      <c r="H1121" s="157" t="str">
        <f t="shared" si="48"/>
        <v>0-100 MWh</v>
      </c>
      <c r="I1121" s="76">
        <f>(Matrix_prices!I1109+$D$2)*IF($M$2="Prices in $/MWh",1,1/1000)</f>
        <v>70.23</v>
      </c>
      <c r="J1121" s="75">
        <f>(Matrix_prices!J1109+$D$2)*IF($M$2="Prices in $/MWh",1,1/1000)</f>
        <v>69.2</v>
      </c>
      <c r="K1121" s="76">
        <f>(Matrix_prices!K1109+$D$2)*IF($M$2="Prices in $/MWh",1,1/1000)</f>
        <v>70.05</v>
      </c>
      <c r="L1121" s="75">
        <f>(Matrix_prices!L1109+$D$2)*IF($M$2="Prices in $/MWh",1,1/1000)</f>
        <v>30.66</v>
      </c>
      <c r="M1121" s="76">
        <f>(Matrix_prices!M1109+$D$2)*IF($M$2="Prices in $/MWh",1,1/1000)</f>
        <v>29.46</v>
      </c>
      <c r="N1121" s="75">
        <f>(Matrix_prices!N1109+$D$2)*IF($M$2="Prices in $/MWh",1,1/1000)</f>
        <v>31.07</v>
      </c>
      <c r="O1121" s="61"/>
    </row>
    <row r="1122" spans="2:15" x14ac:dyDescent="0.25">
      <c r="B1122" s="57"/>
      <c r="C1122" s="78">
        <f>Matrix_prices!C1110</f>
        <v>42675</v>
      </c>
      <c r="D1122" s="79" t="str">
        <f>Matrix_prices!D1110</f>
        <v>PA</v>
      </c>
      <c r="E1122" s="80" t="str">
        <f>Matrix_prices!E1110</f>
        <v>Penelec</v>
      </c>
      <c r="F1122" s="79" t="str">
        <f>Matrix_prices!F1110</f>
        <v>GSCS</v>
      </c>
      <c r="G1122" s="80" t="str">
        <f>Matrix_prices!G1110</f>
        <v>General Service Small</v>
      </c>
      <c r="H1122" s="81" t="str">
        <f t="shared" si="49"/>
        <v>100-500 MWh</v>
      </c>
      <c r="I1122" s="80">
        <f>(Matrix_prices!I1110+$D$2)*IF($M$2="Prices in $/MWh",1,1/1000)</f>
        <v>68.63</v>
      </c>
      <c r="J1122" s="79">
        <f>(Matrix_prices!J1110+$D$2)*IF($M$2="Prices in $/MWh",1,1/1000)</f>
        <v>67.599999999999994</v>
      </c>
      <c r="K1122" s="80">
        <f>(Matrix_prices!K1110+$D$2)*IF($M$2="Prices in $/MWh",1,1/1000)</f>
        <v>68.45</v>
      </c>
      <c r="L1122" s="79">
        <f>(Matrix_prices!L1110+$D$2)*IF($M$2="Prices in $/MWh",1,1/1000)</f>
        <v>29.06</v>
      </c>
      <c r="M1122" s="80">
        <f>(Matrix_prices!M1110+$D$2)*IF($M$2="Prices in $/MWh",1,1/1000)</f>
        <v>27.86</v>
      </c>
      <c r="N1122" s="79">
        <f>(Matrix_prices!N1110+$D$2)*IF($M$2="Prices in $/MWh",1,1/1000)</f>
        <v>29.47</v>
      </c>
      <c r="O1122" s="61"/>
    </row>
    <row r="1123" spans="2:15" x14ac:dyDescent="0.25">
      <c r="B1123" s="57"/>
      <c r="C1123" s="82">
        <f>Matrix_prices!C1111</f>
        <v>42675</v>
      </c>
      <c r="D1123" s="83" t="str">
        <f>Matrix_prices!D1111</f>
        <v>PA</v>
      </c>
      <c r="E1123" s="84" t="str">
        <f>Matrix_prices!E1111</f>
        <v>Penelec</v>
      </c>
      <c r="F1123" s="83" t="str">
        <f>Matrix_prices!F1111</f>
        <v>GSCS</v>
      </c>
      <c r="G1123" s="84" t="str">
        <f>Matrix_prices!G1111</f>
        <v>General Service Small</v>
      </c>
      <c r="H1123" s="85" t="str">
        <f t="shared" si="50"/>
        <v>500-2500 MWh</v>
      </c>
      <c r="I1123" s="84">
        <f>(Matrix_prices!I1111+$D$2)*IF($M$2="Prices in $/MWh",1,1/1000)</f>
        <v>67.58</v>
      </c>
      <c r="J1123" s="83">
        <f>(Matrix_prices!J1111+$D$2)*IF($M$2="Prices in $/MWh",1,1/1000)</f>
        <v>66.55</v>
      </c>
      <c r="K1123" s="84">
        <f>(Matrix_prices!K1111+$D$2)*IF($M$2="Prices in $/MWh",1,1/1000)</f>
        <v>67.400000000000006</v>
      </c>
      <c r="L1123" s="83">
        <f>(Matrix_prices!L1111+$D$2)*IF($M$2="Prices in $/MWh",1,1/1000)</f>
        <v>28.01</v>
      </c>
      <c r="M1123" s="84">
        <f>(Matrix_prices!M1111+$D$2)*IF($M$2="Prices in $/MWh",1,1/1000)</f>
        <v>26.81</v>
      </c>
      <c r="N1123" s="83">
        <f>(Matrix_prices!N1111+$D$2)*IF($M$2="Prices in $/MWh",1,1/1000)</f>
        <v>28.42</v>
      </c>
      <c r="O1123" s="61"/>
    </row>
    <row r="1124" spans="2:15" x14ac:dyDescent="0.25">
      <c r="B1124" s="57"/>
      <c r="C1124" s="151">
        <f>Matrix_prices!C1112</f>
        <v>42705</v>
      </c>
      <c r="D1124" s="152" t="str">
        <f>Matrix_prices!D1112</f>
        <v>PA</v>
      </c>
      <c r="E1124" s="153" t="str">
        <f>Matrix_prices!E1112</f>
        <v>Penelec</v>
      </c>
      <c r="F1124" s="152" t="str">
        <f>Matrix_prices!F1112</f>
        <v>GSCS</v>
      </c>
      <c r="G1124" s="153" t="str">
        <f>Matrix_prices!G1112</f>
        <v>General Service Small</v>
      </c>
      <c r="H1124" s="157" t="str">
        <f t="shared" si="48"/>
        <v>0-100 MWh</v>
      </c>
      <c r="I1124" s="153">
        <f>(Matrix_prices!I1112+$D$2)*IF($M$2="Prices in $/MWh",1,1/1000)</f>
        <v>69.92</v>
      </c>
      <c r="J1124" s="152">
        <f>(Matrix_prices!J1112+$D$2)*IF($M$2="Prices in $/MWh",1,1/1000)</f>
        <v>69.72</v>
      </c>
      <c r="K1124" s="153">
        <f>(Matrix_prices!K1112+$D$2)*IF($M$2="Prices in $/MWh",1,1/1000)</f>
        <v>69.930000000000007</v>
      </c>
      <c r="L1124" s="152">
        <f>(Matrix_prices!L1112+$D$2)*IF($M$2="Prices in $/MWh",1,1/1000)</f>
        <v>30.55</v>
      </c>
      <c r="M1124" s="153">
        <f>(Matrix_prices!M1112+$D$2)*IF($M$2="Prices in $/MWh",1,1/1000)</f>
        <v>29.89</v>
      </c>
      <c r="N1124" s="152">
        <f>(Matrix_prices!N1112+$D$2)*IF($M$2="Prices in $/MWh",1,1/1000)</f>
        <v>31.1</v>
      </c>
      <c r="O1124" s="61"/>
    </row>
    <row r="1125" spans="2:15" x14ac:dyDescent="0.25">
      <c r="B1125" s="57"/>
      <c r="C1125" s="78">
        <f>Matrix_prices!C1113</f>
        <v>42705</v>
      </c>
      <c r="D1125" s="79" t="str">
        <f>Matrix_prices!D1113</f>
        <v>PA</v>
      </c>
      <c r="E1125" s="80" t="str">
        <f>Matrix_prices!E1113</f>
        <v>Penelec</v>
      </c>
      <c r="F1125" s="79" t="str">
        <f>Matrix_prices!F1113</f>
        <v>GSCS</v>
      </c>
      <c r="G1125" s="80" t="str">
        <f>Matrix_prices!G1113</f>
        <v>General Service Small</v>
      </c>
      <c r="H1125" s="81" t="str">
        <f t="shared" si="49"/>
        <v>100-500 MWh</v>
      </c>
      <c r="I1125" s="80">
        <f>(Matrix_prices!I1113+$D$2)*IF($M$2="Prices in $/MWh",1,1/1000)</f>
        <v>68.319999999999993</v>
      </c>
      <c r="J1125" s="79">
        <f>(Matrix_prices!J1113+$D$2)*IF($M$2="Prices in $/MWh",1,1/1000)</f>
        <v>68.12</v>
      </c>
      <c r="K1125" s="80">
        <f>(Matrix_prices!K1113+$D$2)*IF($M$2="Prices in $/MWh",1,1/1000)</f>
        <v>68.33</v>
      </c>
      <c r="L1125" s="79">
        <f>(Matrix_prices!L1113+$D$2)*IF($M$2="Prices in $/MWh",1,1/1000)</f>
        <v>28.95</v>
      </c>
      <c r="M1125" s="80">
        <f>(Matrix_prices!M1113+$D$2)*IF($M$2="Prices in $/MWh",1,1/1000)</f>
        <v>28.29</v>
      </c>
      <c r="N1125" s="79">
        <f>(Matrix_prices!N1113+$D$2)*IF($M$2="Prices in $/MWh",1,1/1000)</f>
        <v>29.5</v>
      </c>
      <c r="O1125" s="61"/>
    </row>
    <row r="1126" spans="2:15" x14ac:dyDescent="0.25">
      <c r="B1126" s="57"/>
      <c r="C1126" s="82">
        <f>Matrix_prices!C1114</f>
        <v>42705</v>
      </c>
      <c r="D1126" s="83" t="str">
        <f>Matrix_prices!D1114</f>
        <v>PA</v>
      </c>
      <c r="E1126" s="84" t="str">
        <f>Matrix_prices!E1114</f>
        <v>Penelec</v>
      </c>
      <c r="F1126" s="83" t="str">
        <f>Matrix_prices!F1114</f>
        <v>GSCS</v>
      </c>
      <c r="G1126" s="84" t="str">
        <f>Matrix_prices!G1114</f>
        <v>General Service Small</v>
      </c>
      <c r="H1126" s="85" t="str">
        <f t="shared" si="50"/>
        <v>500-2500 MWh</v>
      </c>
      <c r="I1126" s="84">
        <f>(Matrix_prices!I1114+$D$2)*IF($M$2="Prices in $/MWh",1,1/1000)</f>
        <v>67.27</v>
      </c>
      <c r="J1126" s="83">
        <f>(Matrix_prices!J1114+$D$2)*IF($M$2="Prices in $/MWh",1,1/1000)</f>
        <v>67.069999999999993</v>
      </c>
      <c r="K1126" s="84">
        <f>(Matrix_prices!K1114+$D$2)*IF($M$2="Prices in $/MWh",1,1/1000)</f>
        <v>67.28</v>
      </c>
      <c r="L1126" s="83">
        <f>(Matrix_prices!L1114+$D$2)*IF($M$2="Prices in $/MWh",1,1/1000)</f>
        <v>27.9</v>
      </c>
      <c r="M1126" s="84">
        <f>(Matrix_prices!M1114+$D$2)*IF($M$2="Prices in $/MWh",1,1/1000)</f>
        <v>27.24</v>
      </c>
      <c r="N1126" s="83">
        <f>(Matrix_prices!N1114+$D$2)*IF($M$2="Prices in $/MWh",1,1/1000)</f>
        <v>28.45</v>
      </c>
      <c r="O1126" s="61"/>
    </row>
    <row r="1127" spans="2:15" x14ac:dyDescent="0.25">
      <c r="B1127" s="57"/>
      <c r="C1127" s="74">
        <f>Matrix_prices!C1115</f>
        <v>42736</v>
      </c>
      <c r="D1127" s="75" t="str">
        <f>Matrix_prices!D1115</f>
        <v>PA</v>
      </c>
      <c r="E1127" s="76" t="str">
        <f>Matrix_prices!E1115</f>
        <v>Penelec</v>
      </c>
      <c r="F1127" s="75" t="str">
        <f>Matrix_prices!F1115</f>
        <v>GSCS</v>
      </c>
      <c r="G1127" s="76" t="str">
        <f>Matrix_prices!G1115</f>
        <v>General Service Small</v>
      </c>
      <c r="H1127" s="157" t="str">
        <f t="shared" ref="H1127:H1190" si="51">IF($M$2="Prices in $/MWh","0-100 MWh","0-100,000 kWh")</f>
        <v>0-100 MWh</v>
      </c>
      <c r="I1127" s="76">
        <f>(Matrix_prices!I1115+$D$2)*IF($M$2="Prices in $/MWh",1,1/1000)</f>
        <v>69.81</v>
      </c>
      <c r="J1127" s="75">
        <f>(Matrix_prices!J1115+$D$2)*IF($M$2="Prices in $/MWh",1,1/1000)</f>
        <v>70.53</v>
      </c>
      <c r="K1127" s="76">
        <f>(Matrix_prices!K1115+$D$2)*IF($M$2="Prices in $/MWh",1,1/1000)</f>
        <v>69.98</v>
      </c>
      <c r="L1127" s="75">
        <f>(Matrix_prices!L1115+$D$2)*IF($M$2="Prices in $/MWh",1,1/1000)</f>
        <v>30.64</v>
      </c>
      <c r="M1127" s="76">
        <f>(Matrix_prices!M1115+$D$2)*IF($M$2="Prices in $/MWh",1,1/1000)</f>
        <v>30.66</v>
      </c>
      <c r="N1127" s="75">
        <f>(Matrix_prices!N1115+$D$2)*IF($M$2="Prices in $/MWh",1,1/1000)</f>
        <v>31.22</v>
      </c>
      <c r="O1127" s="61"/>
    </row>
    <row r="1128" spans="2:15" x14ac:dyDescent="0.25">
      <c r="B1128" s="57"/>
      <c r="C1128" s="78">
        <f>Matrix_prices!C1116</f>
        <v>42736</v>
      </c>
      <c r="D1128" s="79" t="str">
        <f>Matrix_prices!D1116</f>
        <v>PA</v>
      </c>
      <c r="E1128" s="80" t="str">
        <f>Matrix_prices!E1116</f>
        <v>Penelec</v>
      </c>
      <c r="F1128" s="79" t="str">
        <f>Matrix_prices!F1116</f>
        <v>GSCS</v>
      </c>
      <c r="G1128" s="80" t="str">
        <f>Matrix_prices!G1116</f>
        <v>General Service Small</v>
      </c>
      <c r="H1128" s="81" t="str">
        <f t="shared" ref="H1128:H1191" si="52">IF($M$2="Prices in $/MWh","100-500 MWh","100,000-500,000 kWh")</f>
        <v>100-500 MWh</v>
      </c>
      <c r="I1128" s="80">
        <f>(Matrix_prices!I1116+$D$2)*IF($M$2="Prices in $/MWh",1,1/1000)</f>
        <v>68.209999999999994</v>
      </c>
      <c r="J1128" s="79">
        <f>(Matrix_prices!J1116+$D$2)*IF($M$2="Prices in $/MWh",1,1/1000)</f>
        <v>68.930000000000007</v>
      </c>
      <c r="K1128" s="80">
        <f>(Matrix_prices!K1116+$D$2)*IF($M$2="Prices in $/MWh",1,1/1000)</f>
        <v>68.38</v>
      </c>
      <c r="L1128" s="79">
        <f>(Matrix_prices!L1116+$D$2)*IF($M$2="Prices in $/MWh",1,1/1000)</f>
        <v>29.04</v>
      </c>
      <c r="M1128" s="80">
        <f>(Matrix_prices!M1116+$D$2)*IF($M$2="Prices in $/MWh",1,1/1000)</f>
        <v>29.06</v>
      </c>
      <c r="N1128" s="79">
        <f>(Matrix_prices!N1116+$D$2)*IF($M$2="Prices in $/MWh",1,1/1000)</f>
        <v>29.62</v>
      </c>
      <c r="O1128" s="61"/>
    </row>
    <row r="1129" spans="2:15" x14ac:dyDescent="0.25">
      <c r="B1129" s="57"/>
      <c r="C1129" s="82">
        <f>Matrix_prices!C1117</f>
        <v>42736</v>
      </c>
      <c r="D1129" s="83" t="str">
        <f>Matrix_prices!D1117</f>
        <v>PA</v>
      </c>
      <c r="E1129" s="84" t="str">
        <f>Matrix_prices!E1117</f>
        <v>Penelec</v>
      </c>
      <c r="F1129" s="83" t="str">
        <f>Matrix_prices!F1117</f>
        <v>GSCS</v>
      </c>
      <c r="G1129" s="84" t="str">
        <f>Matrix_prices!G1117</f>
        <v>General Service Small</v>
      </c>
      <c r="H1129" s="85" t="str">
        <f t="shared" ref="H1129:H1192" si="53">IF($M$2="Prices in $/MWh","500-2500 MWh","500,000-2,500,000 kWh")</f>
        <v>500-2500 MWh</v>
      </c>
      <c r="I1129" s="84">
        <f>(Matrix_prices!I1117+$D$2)*IF($M$2="Prices in $/MWh",1,1/1000)</f>
        <v>67.16</v>
      </c>
      <c r="J1129" s="83">
        <f>(Matrix_prices!J1117+$D$2)*IF($M$2="Prices in $/MWh",1,1/1000)</f>
        <v>67.88</v>
      </c>
      <c r="K1129" s="84">
        <f>(Matrix_prices!K1117+$D$2)*IF($M$2="Prices in $/MWh",1,1/1000)</f>
        <v>67.33</v>
      </c>
      <c r="L1129" s="83">
        <f>(Matrix_prices!L1117+$D$2)*IF($M$2="Prices in $/MWh",1,1/1000)</f>
        <v>27.99</v>
      </c>
      <c r="M1129" s="84">
        <f>(Matrix_prices!M1117+$D$2)*IF($M$2="Prices in $/MWh",1,1/1000)</f>
        <v>28.01</v>
      </c>
      <c r="N1129" s="83">
        <f>(Matrix_prices!N1117+$D$2)*IF($M$2="Prices in $/MWh",1,1/1000)</f>
        <v>28.57</v>
      </c>
      <c r="O1129" s="61"/>
    </row>
    <row r="1130" spans="2:15" x14ac:dyDescent="0.25">
      <c r="B1130" s="57"/>
      <c r="C1130" s="151">
        <f>Matrix_prices!C1118</f>
        <v>42401</v>
      </c>
      <c r="D1130" s="152" t="str">
        <f>Matrix_prices!D1118</f>
        <v>PA</v>
      </c>
      <c r="E1130" s="153" t="str">
        <f>Matrix_prices!E1118</f>
        <v>Penn Pwr</v>
      </c>
      <c r="F1130" s="152" t="str">
        <f>Matrix_prices!F1118</f>
        <v>GS</v>
      </c>
      <c r="G1130" s="153" t="str">
        <f>Matrix_prices!G1118</f>
        <v>General service</v>
      </c>
      <c r="H1130" s="157" t="str">
        <f t="shared" si="51"/>
        <v>0-100 MWh</v>
      </c>
      <c r="I1130" s="153">
        <f>(Matrix_prices!I1118+$D$2)*IF($M$2="Prices in $/MWh",1,1/1000)</f>
        <v>79.989999999999995</v>
      </c>
      <c r="J1130" s="152">
        <f>(Matrix_prices!J1118+$D$2)*IF($M$2="Prices in $/MWh",1,1/1000)</f>
        <v>79.11</v>
      </c>
      <c r="K1130" s="153">
        <f>(Matrix_prices!K1118+$D$2)*IF($M$2="Prices in $/MWh",1,1/1000)</f>
        <v>78.150000000000006</v>
      </c>
      <c r="L1130" s="152">
        <f>(Matrix_prices!L1118+$D$2)*IF($M$2="Prices in $/MWh",1,1/1000)</f>
        <v>43.22</v>
      </c>
      <c r="M1130" s="153">
        <f>(Matrix_prices!M1118+$D$2)*IF($M$2="Prices in $/MWh",1,1/1000)</f>
        <v>41.85</v>
      </c>
      <c r="N1130" s="152">
        <f>(Matrix_prices!N1118+$D$2)*IF($M$2="Prices in $/MWh",1,1/1000)</f>
        <v>41.25</v>
      </c>
      <c r="O1130" s="61"/>
    </row>
    <row r="1131" spans="2:15" x14ac:dyDescent="0.25">
      <c r="B1131" s="57"/>
      <c r="C1131" s="78">
        <f>Matrix_prices!C1119</f>
        <v>42401</v>
      </c>
      <c r="D1131" s="79" t="str">
        <f>Matrix_prices!D1119</f>
        <v>PA</v>
      </c>
      <c r="E1131" s="80" t="str">
        <f>Matrix_prices!E1119</f>
        <v>Penn Pwr</v>
      </c>
      <c r="F1131" s="79" t="str">
        <f>Matrix_prices!F1119</f>
        <v>GS</v>
      </c>
      <c r="G1131" s="80" t="str">
        <f>Matrix_prices!G1119</f>
        <v>General service</v>
      </c>
      <c r="H1131" s="81" t="str">
        <f t="shared" si="52"/>
        <v>100-500 MWh</v>
      </c>
      <c r="I1131" s="80">
        <f>(Matrix_prices!I1119+$D$2)*IF($M$2="Prices in $/MWh",1,1/1000)</f>
        <v>78.39</v>
      </c>
      <c r="J1131" s="79">
        <f>(Matrix_prices!J1119+$D$2)*IF($M$2="Prices in $/MWh",1,1/1000)</f>
        <v>77.510000000000005</v>
      </c>
      <c r="K1131" s="80">
        <f>(Matrix_prices!K1119+$D$2)*IF($M$2="Prices in $/MWh",1,1/1000)</f>
        <v>76.55</v>
      </c>
      <c r="L1131" s="79">
        <f>(Matrix_prices!L1119+$D$2)*IF($M$2="Prices in $/MWh",1,1/1000)</f>
        <v>41.62</v>
      </c>
      <c r="M1131" s="80">
        <f>(Matrix_prices!M1119+$D$2)*IF($M$2="Prices in $/MWh",1,1/1000)</f>
        <v>40.25</v>
      </c>
      <c r="N1131" s="79">
        <f>(Matrix_prices!N1119+$D$2)*IF($M$2="Prices in $/MWh",1,1/1000)</f>
        <v>39.65</v>
      </c>
      <c r="O1131" s="61"/>
    </row>
    <row r="1132" spans="2:15" x14ac:dyDescent="0.25">
      <c r="B1132" s="57"/>
      <c r="C1132" s="82">
        <f>Matrix_prices!C1120</f>
        <v>42401</v>
      </c>
      <c r="D1132" s="83" t="str">
        <f>Matrix_prices!D1120</f>
        <v>PA</v>
      </c>
      <c r="E1132" s="84" t="str">
        <f>Matrix_prices!E1120</f>
        <v>Penn Pwr</v>
      </c>
      <c r="F1132" s="83" t="str">
        <f>Matrix_prices!F1120</f>
        <v>GS</v>
      </c>
      <c r="G1132" s="84" t="str">
        <f>Matrix_prices!G1120</f>
        <v>General service</v>
      </c>
      <c r="H1132" s="85" t="str">
        <f t="shared" si="53"/>
        <v>500-2500 MWh</v>
      </c>
      <c r="I1132" s="84">
        <f>(Matrix_prices!I1120+$D$2)*IF($M$2="Prices in $/MWh",1,1/1000)</f>
        <v>77.34</v>
      </c>
      <c r="J1132" s="83">
        <f>(Matrix_prices!J1120+$D$2)*IF($M$2="Prices in $/MWh",1,1/1000)</f>
        <v>76.459999999999994</v>
      </c>
      <c r="K1132" s="84">
        <f>(Matrix_prices!K1120+$D$2)*IF($M$2="Prices in $/MWh",1,1/1000)</f>
        <v>75.5</v>
      </c>
      <c r="L1132" s="83">
        <f>(Matrix_prices!L1120+$D$2)*IF($M$2="Prices in $/MWh",1,1/1000)</f>
        <v>40.57</v>
      </c>
      <c r="M1132" s="84">
        <f>(Matrix_prices!M1120+$D$2)*IF($M$2="Prices in $/MWh",1,1/1000)</f>
        <v>39.200000000000003</v>
      </c>
      <c r="N1132" s="83">
        <f>(Matrix_prices!N1120+$D$2)*IF($M$2="Prices in $/MWh",1,1/1000)</f>
        <v>38.6</v>
      </c>
      <c r="O1132" s="61"/>
    </row>
    <row r="1133" spans="2:15" x14ac:dyDescent="0.25">
      <c r="B1133" s="57"/>
      <c r="C1133" s="74">
        <f>Matrix_prices!C1121</f>
        <v>42430</v>
      </c>
      <c r="D1133" s="75" t="str">
        <f>Matrix_prices!D1121</f>
        <v>PA</v>
      </c>
      <c r="E1133" s="76" t="str">
        <f>Matrix_prices!E1121</f>
        <v>Penn Pwr</v>
      </c>
      <c r="F1133" s="75" t="str">
        <f>Matrix_prices!F1121</f>
        <v>GS</v>
      </c>
      <c r="G1133" s="76" t="str">
        <f>Matrix_prices!G1121</f>
        <v>General service</v>
      </c>
      <c r="H1133" s="157" t="str">
        <f t="shared" si="51"/>
        <v>0-100 MWh</v>
      </c>
      <c r="I1133" s="76">
        <f>(Matrix_prices!I1121+$D$2)*IF($M$2="Prices in $/MWh",1,1/1000)</f>
        <v>78.91</v>
      </c>
      <c r="J1133" s="75">
        <f>(Matrix_prices!J1121+$D$2)*IF($M$2="Prices in $/MWh",1,1/1000)</f>
        <v>78.599999999999994</v>
      </c>
      <c r="K1133" s="76">
        <f>(Matrix_prices!K1121+$D$2)*IF($M$2="Prices in $/MWh",1,1/1000)</f>
        <v>77.67</v>
      </c>
      <c r="L1133" s="75">
        <f>(Matrix_prices!L1121+$D$2)*IF($M$2="Prices in $/MWh",1,1/1000)</f>
        <v>41.91</v>
      </c>
      <c r="M1133" s="76">
        <f>(Matrix_prices!M1121+$D$2)*IF($M$2="Prices in $/MWh",1,1/1000)</f>
        <v>41.23</v>
      </c>
      <c r="N1133" s="75">
        <f>(Matrix_prices!N1121+$D$2)*IF($M$2="Prices in $/MWh",1,1/1000)</f>
        <v>40.68</v>
      </c>
      <c r="O1133" s="61"/>
    </row>
    <row r="1134" spans="2:15" x14ac:dyDescent="0.25">
      <c r="B1134" s="57"/>
      <c r="C1134" s="78">
        <f>Matrix_prices!C1122</f>
        <v>42430</v>
      </c>
      <c r="D1134" s="79" t="str">
        <f>Matrix_prices!D1122</f>
        <v>PA</v>
      </c>
      <c r="E1134" s="80" t="str">
        <f>Matrix_prices!E1122</f>
        <v>Penn Pwr</v>
      </c>
      <c r="F1134" s="79" t="str">
        <f>Matrix_prices!F1122</f>
        <v>GS</v>
      </c>
      <c r="G1134" s="80" t="str">
        <f>Matrix_prices!G1122</f>
        <v>General service</v>
      </c>
      <c r="H1134" s="81" t="str">
        <f t="shared" si="52"/>
        <v>100-500 MWh</v>
      </c>
      <c r="I1134" s="80">
        <f>(Matrix_prices!I1122+$D$2)*IF($M$2="Prices in $/MWh",1,1/1000)</f>
        <v>77.31</v>
      </c>
      <c r="J1134" s="79">
        <f>(Matrix_prices!J1122+$D$2)*IF($M$2="Prices in $/MWh",1,1/1000)</f>
        <v>77</v>
      </c>
      <c r="K1134" s="80">
        <f>(Matrix_prices!K1122+$D$2)*IF($M$2="Prices in $/MWh",1,1/1000)</f>
        <v>76.069999999999993</v>
      </c>
      <c r="L1134" s="79">
        <f>(Matrix_prices!L1122+$D$2)*IF($M$2="Prices in $/MWh",1,1/1000)</f>
        <v>40.31</v>
      </c>
      <c r="M1134" s="80">
        <f>(Matrix_prices!M1122+$D$2)*IF($M$2="Prices in $/MWh",1,1/1000)</f>
        <v>39.630000000000003</v>
      </c>
      <c r="N1134" s="79">
        <f>(Matrix_prices!N1122+$D$2)*IF($M$2="Prices in $/MWh",1,1/1000)</f>
        <v>39.08</v>
      </c>
      <c r="O1134" s="61"/>
    </row>
    <row r="1135" spans="2:15" x14ac:dyDescent="0.25">
      <c r="B1135" s="57"/>
      <c r="C1135" s="82">
        <f>Matrix_prices!C1123</f>
        <v>42430</v>
      </c>
      <c r="D1135" s="83" t="str">
        <f>Matrix_prices!D1123</f>
        <v>PA</v>
      </c>
      <c r="E1135" s="84" t="str">
        <f>Matrix_prices!E1123</f>
        <v>Penn Pwr</v>
      </c>
      <c r="F1135" s="83" t="str">
        <f>Matrix_prices!F1123</f>
        <v>GS</v>
      </c>
      <c r="G1135" s="84" t="str">
        <f>Matrix_prices!G1123</f>
        <v>General service</v>
      </c>
      <c r="H1135" s="85" t="str">
        <f t="shared" si="53"/>
        <v>500-2500 MWh</v>
      </c>
      <c r="I1135" s="84">
        <f>(Matrix_prices!I1123+$D$2)*IF($M$2="Prices in $/MWh",1,1/1000)</f>
        <v>76.260000000000005</v>
      </c>
      <c r="J1135" s="83">
        <f>(Matrix_prices!J1123+$D$2)*IF($M$2="Prices in $/MWh",1,1/1000)</f>
        <v>75.95</v>
      </c>
      <c r="K1135" s="84">
        <f>(Matrix_prices!K1123+$D$2)*IF($M$2="Prices in $/MWh",1,1/1000)</f>
        <v>75.02</v>
      </c>
      <c r="L1135" s="83">
        <f>(Matrix_prices!L1123+$D$2)*IF($M$2="Prices in $/MWh",1,1/1000)</f>
        <v>39.26</v>
      </c>
      <c r="M1135" s="84">
        <f>(Matrix_prices!M1123+$D$2)*IF($M$2="Prices in $/MWh",1,1/1000)</f>
        <v>38.58</v>
      </c>
      <c r="N1135" s="83">
        <f>(Matrix_prices!N1123+$D$2)*IF($M$2="Prices in $/MWh",1,1/1000)</f>
        <v>38.03</v>
      </c>
      <c r="O1135" s="61"/>
    </row>
    <row r="1136" spans="2:15" x14ac:dyDescent="0.25">
      <c r="B1136" s="57"/>
      <c r="C1136" s="151">
        <f>Matrix_prices!C1124</f>
        <v>42461</v>
      </c>
      <c r="D1136" s="152" t="str">
        <f>Matrix_prices!D1124</f>
        <v>PA</v>
      </c>
      <c r="E1136" s="153" t="str">
        <f>Matrix_prices!E1124</f>
        <v>Penn Pwr</v>
      </c>
      <c r="F1136" s="152" t="str">
        <f>Matrix_prices!F1124</f>
        <v>GS</v>
      </c>
      <c r="G1136" s="153" t="str">
        <f>Matrix_prices!G1124</f>
        <v>General service</v>
      </c>
      <c r="H1136" s="157" t="str">
        <f t="shared" si="51"/>
        <v>0-100 MWh</v>
      </c>
      <c r="I1136" s="153">
        <f>(Matrix_prices!I1124+$D$2)*IF($M$2="Prices in $/MWh",1,1/1000)</f>
        <v>77.709999999999994</v>
      </c>
      <c r="J1136" s="152">
        <f>(Matrix_prices!J1124+$D$2)*IF($M$2="Prices in $/MWh",1,1/1000)</f>
        <v>77.67</v>
      </c>
      <c r="K1136" s="153">
        <f>(Matrix_prices!K1124+$D$2)*IF($M$2="Prices in $/MWh",1,1/1000)</f>
        <v>77.14</v>
      </c>
      <c r="L1136" s="152">
        <f>(Matrix_prices!L1124+$D$2)*IF($M$2="Prices in $/MWh",1,1/1000)</f>
        <v>40.49</v>
      </c>
      <c r="M1136" s="153">
        <f>(Matrix_prices!M1124+$D$2)*IF($M$2="Prices in $/MWh",1,1/1000)</f>
        <v>40.409999999999997</v>
      </c>
      <c r="N1136" s="152">
        <f>(Matrix_prices!N1124+$D$2)*IF($M$2="Prices in $/MWh",1,1/1000)</f>
        <v>40.08</v>
      </c>
      <c r="O1136" s="61"/>
    </row>
    <row r="1137" spans="2:15" x14ac:dyDescent="0.25">
      <c r="B1137" s="57"/>
      <c r="C1137" s="78">
        <f>Matrix_prices!C1125</f>
        <v>42461</v>
      </c>
      <c r="D1137" s="79" t="str">
        <f>Matrix_prices!D1125</f>
        <v>PA</v>
      </c>
      <c r="E1137" s="80" t="str">
        <f>Matrix_prices!E1125</f>
        <v>Penn Pwr</v>
      </c>
      <c r="F1137" s="79" t="str">
        <f>Matrix_prices!F1125</f>
        <v>GS</v>
      </c>
      <c r="G1137" s="80" t="str">
        <f>Matrix_prices!G1125</f>
        <v>General service</v>
      </c>
      <c r="H1137" s="81" t="str">
        <f t="shared" si="52"/>
        <v>100-500 MWh</v>
      </c>
      <c r="I1137" s="80">
        <f>(Matrix_prices!I1125+$D$2)*IF($M$2="Prices in $/MWh",1,1/1000)</f>
        <v>76.11</v>
      </c>
      <c r="J1137" s="79">
        <f>(Matrix_prices!J1125+$D$2)*IF($M$2="Prices in $/MWh",1,1/1000)</f>
        <v>76.069999999999993</v>
      </c>
      <c r="K1137" s="80">
        <f>(Matrix_prices!K1125+$D$2)*IF($M$2="Prices in $/MWh",1,1/1000)</f>
        <v>75.540000000000006</v>
      </c>
      <c r="L1137" s="79">
        <f>(Matrix_prices!L1125+$D$2)*IF($M$2="Prices in $/MWh",1,1/1000)</f>
        <v>38.89</v>
      </c>
      <c r="M1137" s="80">
        <f>(Matrix_prices!M1125+$D$2)*IF($M$2="Prices in $/MWh",1,1/1000)</f>
        <v>38.81</v>
      </c>
      <c r="N1137" s="79">
        <f>(Matrix_prices!N1125+$D$2)*IF($M$2="Prices in $/MWh",1,1/1000)</f>
        <v>38.479999999999997</v>
      </c>
      <c r="O1137" s="61"/>
    </row>
    <row r="1138" spans="2:15" x14ac:dyDescent="0.25">
      <c r="B1138" s="57"/>
      <c r="C1138" s="82">
        <f>Matrix_prices!C1126</f>
        <v>42461</v>
      </c>
      <c r="D1138" s="83" t="str">
        <f>Matrix_prices!D1126</f>
        <v>PA</v>
      </c>
      <c r="E1138" s="84" t="str">
        <f>Matrix_prices!E1126</f>
        <v>Penn Pwr</v>
      </c>
      <c r="F1138" s="83" t="str">
        <f>Matrix_prices!F1126</f>
        <v>GS</v>
      </c>
      <c r="G1138" s="84" t="str">
        <f>Matrix_prices!G1126</f>
        <v>General service</v>
      </c>
      <c r="H1138" s="85" t="str">
        <f t="shared" si="53"/>
        <v>500-2500 MWh</v>
      </c>
      <c r="I1138" s="84">
        <f>(Matrix_prices!I1126+$D$2)*IF($M$2="Prices in $/MWh",1,1/1000)</f>
        <v>75.06</v>
      </c>
      <c r="J1138" s="83">
        <f>(Matrix_prices!J1126+$D$2)*IF($M$2="Prices in $/MWh",1,1/1000)</f>
        <v>75.02</v>
      </c>
      <c r="K1138" s="84">
        <f>(Matrix_prices!K1126+$D$2)*IF($M$2="Prices in $/MWh",1,1/1000)</f>
        <v>74.489999999999995</v>
      </c>
      <c r="L1138" s="83">
        <f>(Matrix_prices!L1126+$D$2)*IF($M$2="Prices in $/MWh",1,1/1000)</f>
        <v>37.840000000000003</v>
      </c>
      <c r="M1138" s="84">
        <f>(Matrix_prices!M1126+$D$2)*IF($M$2="Prices in $/MWh",1,1/1000)</f>
        <v>37.76</v>
      </c>
      <c r="N1138" s="83">
        <f>(Matrix_prices!N1126+$D$2)*IF($M$2="Prices in $/MWh",1,1/1000)</f>
        <v>37.43</v>
      </c>
      <c r="O1138" s="61"/>
    </row>
    <row r="1139" spans="2:15" x14ac:dyDescent="0.25">
      <c r="B1139" s="57"/>
      <c r="C1139" s="74">
        <f>Matrix_prices!C1127</f>
        <v>42491</v>
      </c>
      <c r="D1139" s="75" t="str">
        <f>Matrix_prices!D1127</f>
        <v>PA</v>
      </c>
      <c r="E1139" s="76" t="str">
        <f>Matrix_prices!E1127</f>
        <v>Penn Pwr</v>
      </c>
      <c r="F1139" s="75" t="str">
        <f>Matrix_prices!F1127</f>
        <v>GS</v>
      </c>
      <c r="G1139" s="76" t="str">
        <f>Matrix_prices!G1127</f>
        <v>General service</v>
      </c>
      <c r="H1139" s="157" t="str">
        <f t="shared" si="51"/>
        <v>0-100 MWh</v>
      </c>
      <c r="I1139" s="76">
        <f>(Matrix_prices!I1127+$D$2)*IF($M$2="Prices in $/MWh",1,1/1000)</f>
        <v>76.41</v>
      </c>
      <c r="J1139" s="75">
        <f>(Matrix_prices!J1127+$D$2)*IF($M$2="Prices in $/MWh",1,1/1000)</f>
        <v>76.77</v>
      </c>
      <c r="K1139" s="76">
        <f>(Matrix_prices!K1127+$D$2)*IF($M$2="Prices in $/MWh",1,1/1000)</f>
        <v>76.55</v>
      </c>
      <c r="L1139" s="75">
        <f>(Matrix_prices!L1127+$D$2)*IF($M$2="Prices in $/MWh",1,1/1000)</f>
        <v>39.11</v>
      </c>
      <c r="M1139" s="76">
        <f>(Matrix_prices!M1127+$D$2)*IF($M$2="Prices in $/MWh",1,1/1000)</f>
        <v>39.58</v>
      </c>
      <c r="N1139" s="75">
        <f>(Matrix_prices!N1127+$D$2)*IF($M$2="Prices in $/MWh",1,1/1000)</f>
        <v>39.49</v>
      </c>
      <c r="O1139" s="61"/>
    </row>
    <row r="1140" spans="2:15" x14ac:dyDescent="0.25">
      <c r="B1140" s="57"/>
      <c r="C1140" s="78">
        <f>Matrix_prices!C1128</f>
        <v>42491</v>
      </c>
      <c r="D1140" s="79" t="str">
        <f>Matrix_prices!D1128</f>
        <v>PA</v>
      </c>
      <c r="E1140" s="80" t="str">
        <f>Matrix_prices!E1128</f>
        <v>Penn Pwr</v>
      </c>
      <c r="F1140" s="79" t="str">
        <f>Matrix_prices!F1128</f>
        <v>GS</v>
      </c>
      <c r="G1140" s="80" t="str">
        <f>Matrix_prices!G1128</f>
        <v>General service</v>
      </c>
      <c r="H1140" s="81" t="str">
        <f t="shared" si="52"/>
        <v>100-500 MWh</v>
      </c>
      <c r="I1140" s="80">
        <f>(Matrix_prices!I1128+$D$2)*IF($M$2="Prices in $/MWh",1,1/1000)</f>
        <v>74.81</v>
      </c>
      <c r="J1140" s="79">
        <f>(Matrix_prices!J1128+$D$2)*IF($M$2="Prices in $/MWh",1,1/1000)</f>
        <v>75.17</v>
      </c>
      <c r="K1140" s="80">
        <f>(Matrix_prices!K1128+$D$2)*IF($M$2="Prices in $/MWh",1,1/1000)</f>
        <v>74.95</v>
      </c>
      <c r="L1140" s="79">
        <f>(Matrix_prices!L1128+$D$2)*IF($M$2="Prices in $/MWh",1,1/1000)</f>
        <v>37.51</v>
      </c>
      <c r="M1140" s="80">
        <f>(Matrix_prices!M1128+$D$2)*IF($M$2="Prices in $/MWh",1,1/1000)</f>
        <v>37.979999999999997</v>
      </c>
      <c r="N1140" s="79">
        <f>(Matrix_prices!N1128+$D$2)*IF($M$2="Prices in $/MWh",1,1/1000)</f>
        <v>37.89</v>
      </c>
      <c r="O1140" s="61"/>
    </row>
    <row r="1141" spans="2:15" x14ac:dyDescent="0.25">
      <c r="B1141" s="57"/>
      <c r="C1141" s="82">
        <f>Matrix_prices!C1129</f>
        <v>42491</v>
      </c>
      <c r="D1141" s="83" t="str">
        <f>Matrix_prices!D1129</f>
        <v>PA</v>
      </c>
      <c r="E1141" s="84" t="str">
        <f>Matrix_prices!E1129</f>
        <v>Penn Pwr</v>
      </c>
      <c r="F1141" s="83" t="str">
        <f>Matrix_prices!F1129</f>
        <v>GS</v>
      </c>
      <c r="G1141" s="84" t="str">
        <f>Matrix_prices!G1129</f>
        <v>General service</v>
      </c>
      <c r="H1141" s="85" t="str">
        <f t="shared" si="53"/>
        <v>500-2500 MWh</v>
      </c>
      <c r="I1141" s="84">
        <f>(Matrix_prices!I1129+$D$2)*IF($M$2="Prices in $/MWh",1,1/1000)</f>
        <v>73.760000000000005</v>
      </c>
      <c r="J1141" s="83">
        <f>(Matrix_prices!J1129+$D$2)*IF($M$2="Prices in $/MWh",1,1/1000)</f>
        <v>74.12</v>
      </c>
      <c r="K1141" s="84">
        <f>(Matrix_prices!K1129+$D$2)*IF($M$2="Prices in $/MWh",1,1/1000)</f>
        <v>73.900000000000006</v>
      </c>
      <c r="L1141" s="83">
        <f>(Matrix_prices!L1129+$D$2)*IF($M$2="Prices in $/MWh",1,1/1000)</f>
        <v>36.46</v>
      </c>
      <c r="M1141" s="84">
        <f>(Matrix_prices!M1129+$D$2)*IF($M$2="Prices in $/MWh",1,1/1000)</f>
        <v>36.93</v>
      </c>
      <c r="N1141" s="83">
        <f>(Matrix_prices!N1129+$D$2)*IF($M$2="Prices in $/MWh",1,1/1000)</f>
        <v>36.840000000000003</v>
      </c>
      <c r="O1141" s="61"/>
    </row>
    <row r="1142" spans="2:15" x14ac:dyDescent="0.25">
      <c r="B1142" s="57"/>
      <c r="C1142" s="151">
        <f>Matrix_prices!C1130</f>
        <v>42522</v>
      </c>
      <c r="D1142" s="152" t="str">
        <f>Matrix_prices!D1130</f>
        <v>PA</v>
      </c>
      <c r="E1142" s="153" t="str">
        <f>Matrix_prices!E1130</f>
        <v>Penn Pwr</v>
      </c>
      <c r="F1142" s="152" t="str">
        <f>Matrix_prices!F1130</f>
        <v>GS</v>
      </c>
      <c r="G1142" s="153" t="str">
        <f>Matrix_prices!G1130</f>
        <v>General service</v>
      </c>
      <c r="H1142" s="157" t="str">
        <f t="shared" si="51"/>
        <v>0-100 MWh</v>
      </c>
      <c r="I1142" s="153">
        <f>(Matrix_prices!I1130+$D$2)*IF($M$2="Prices in $/MWh",1,1/1000)</f>
        <v>75.03</v>
      </c>
      <c r="J1142" s="152">
        <f>(Matrix_prices!J1130+$D$2)*IF($M$2="Prices in $/MWh",1,1/1000)</f>
        <v>75.72</v>
      </c>
      <c r="K1142" s="153">
        <f>(Matrix_prices!K1130+$D$2)*IF($M$2="Prices in $/MWh",1,1/1000)</f>
        <v>75.959999999999994</v>
      </c>
      <c r="L1142" s="152">
        <f>(Matrix_prices!L1130+$D$2)*IF($M$2="Prices in $/MWh",1,1/1000)</f>
        <v>37.659999999999997</v>
      </c>
      <c r="M1142" s="153">
        <f>(Matrix_prices!M1130+$D$2)*IF($M$2="Prices in $/MWh",1,1/1000)</f>
        <v>38.6</v>
      </c>
      <c r="N1142" s="152">
        <f>(Matrix_prices!N1130+$D$2)*IF($M$2="Prices in $/MWh",1,1/1000)</f>
        <v>38.86</v>
      </c>
      <c r="O1142" s="61"/>
    </row>
    <row r="1143" spans="2:15" x14ac:dyDescent="0.25">
      <c r="B1143" s="57"/>
      <c r="C1143" s="78">
        <f>Matrix_prices!C1131</f>
        <v>42522</v>
      </c>
      <c r="D1143" s="79" t="str">
        <f>Matrix_prices!D1131</f>
        <v>PA</v>
      </c>
      <c r="E1143" s="80" t="str">
        <f>Matrix_prices!E1131</f>
        <v>Penn Pwr</v>
      </c>
      <c r="F1143" s="79" t="str">
        <f>Matrix_prices!F1131</f>
        <v>GS</v>
      </c>
      <c r="G1143" s="80" t="str">
        <f>Matrix_prices!G1131</f>
        <v>General service</v>
      </c>
      <c r="H1143" s="81" t="str">
        <f t="shared" si="52"/>
        <v>100-500 MWh</v>
      </c>
      <c r="I1143" s="80">
        <f>(Matrix_prices!I1131+$D$2)*IF($M$2="Prices in $/MWh",1,1/1000)</f>
        <v>73.430000000000007</v>
      </c>
      <c r="J1143" s="79">
        <f>(Matrix_prices!J1131+$D$2)*IF($M$2="Prices in $/MWh",1,1/1000)</f>
        <v>74.12</v>
      </c>
      <c r="K1143" s="80">
        <f>(Matrix_prices!K1131+$D$2)*IF($M$2="Prices in $/MWh",1,1/1000)</f>
        <v>74.36</v>
      </c>
      <c r="L1143" s="79">
        <f>(Matrix_prices!L1131+$D$2)*IF($M$2="Prices in $/MWh",1,1/1000)</f>
        <v>36.06</v>
      </c>
      <c r="M1143" s="80">
        <f>(Matrix_prices!M1131+$D$2)*IF($M$2="Prices in $/MWh",1,1/1000)</f>
        <v>37</v>
      </c>
      <c r="N1143" s="79">
        <f>(Matrix_prices!N1131+$D$2)*IF($M$2="Prices in $/MWh",1,1/1000)</f>
        <v>37.26</v>
      </c>
      <c r="O1143" s="61"/>
    </row>
    <row r="1144" spans="2:15" x14ac:dyDescent="0.25">
      <c r="B1144" s="57"/>
      <c r="C1144" s="82">
        <f>Matrix_prices!C1132</f>
        <v>42522</v>
      </c>
      <c r="D1144" s="83" t="str">
        <f>Matrix_prices!D1132</f>
        <v>PA</v>
      </c>
      <c r="E1144" s="84" t="str">
        <f>Matrix_prices!E1132</f>
        <v>Penn Pwr</v>
      </c>
      <c r="F1144" s="83" t="str">
        <f>Matrix_prices!F1132</f>
        <v>GS</v>
      </c>
      <c r="G1144" s="84" t="str">
        <f>Matrix_prices!G1132</f>
        <v>General service</v>
      </c>
      <c r="H1144" s="85" t="str">
        <f t="shared" si="53"/>
        <v>500-2500 MWh</v>
      </c>
      <c r="I1144" s="84">
        <f>(Matrix_prices!I1132+$D$2)*IF($M$2="Prices in $/MWh",1,1/1000)</f>
        <v>72.38</v>
      </c>
      <c r="J1144" s="83">
        <f>(Matrix_prices!J1132+$D$2)*IF($M$2="Prices in $/MWh",1,1/1000)</f>
        <v>73.069999999999993</v>
      </c>
      <c r="K1144" s="84">
        <f>(Matrix_prices!K1132+$D$2)*IF($M$2="Prices in $/MWh",1,1/1000)</f>
        <v>73.31</v>
      </c>
      <c r="L1144" s="83">
        <f>(Matrix_prices!L1132+$D$2)*IF($M$2="Prices in $/MWh",1,1/1000)</f>
        <v>35.01</v>
      </c>
      <c r="M1144" s="84">
        <f>(Matrix_prices!M1132+$D$2)*IF($M$2="Prices in $/MWh",1,1/1000)</f>
        <v>35.950000000000003</v>
      </c>
      <c r="N1144" s="83">
        <f>(Matrix_prices!N1132+$D$2)*IF($M$2="Prices in $/MWh",1,1/1000)</f>
        <v>36.21</v>
      </c>
      <c r="O1144" s="61"/>
    </row>
    <row r="1145" spans="2:15" x14ac:dyDescent="0.25">
      <c r="B1145" s="57"/>
      <c r="C1145" s="74">
        <f>Matrix_prices!C1133</f>
        <v>42552</v>
      </c>
      <c r="D1145" s="75" t="str">
        <f>Matrix_prices!D1133</f>
        <v>PA</v>
      </c>
      <c r="E1145" s="76" t="str">
        <f>Matrix_prices!E1133</f>
        <v>Penn Pwr</v>
      </c>
      <c r="F1145" s="75" t="str">
        <f>Matrix_prices!F1133</f>
        <v>GS</v>
      </c>
      <c r="G1145" s="76" t="str">
        <f>Matrix_prices!G1133</f>
        <v>General service</v>
      </c>
      <c r="H1145" s="157" t="str">
        <f t="shared" si="51"/>
        <v>0-100 MWh</v>
      </c>
      <c r="I1145" s="76">
        <f>(Matrix_prices!I1133+$D$2)*IF($M$2="Prices in $/MWh",1,1/1000)</f>
        <v>75.27</v>
      </c>
      <c r="J1145" s="75">
        <f>(Matrix_prices!J1133+$D$2)*IF($M$2="Prices in $/MWh",1,1/1000)</f>
        <v>75.53</v>
      </c>
      <c r="K1145" s="76">
        <f>(Matrix_prices!K1133+$D$2)*IF($M$2="Prices in $/MWh",1,1/1000)</f>
        <v>76.099999999999994</v>
      </c>
      <c r="L1145" s="75">
        <f>(Matrix_prices!L1133+$D$2)*IF($M$2="Prices in $/MWh",1,1/1000)</f>
        <v>37.840000000000003</v>
      </c>
      <c r="M1145" s="76">
        <f>(Matrix_prices!M1133+$D$2)*IF($M$2="Prices in $/MWh",1,1/1000)</f>
        <v>38.57</v>
      </c>
      <c r="N1145" s="75">
        <f>(Matrix_prices!N1133+$D$2)*IF($M$2="Prices in $/MWh",1,1/1000)</f>
        <v>39.03</v>
      </c>
      <c r="O1145" s="61"/>
    </row>
    <row r="1146" spans="2:15" x14ac:dyDescent="0.25">
      <c r="B1146" s="57"/>
      <c r="C1146" s="78">
        <f>Matrix_prices!C1134</f>
        <v>42552</v>
      </c>
      <c r="D1146" s="79" t="str">
        <f>Matrix_prices!D1134</f>
        <v>PA</v>
      </c>
      <c r="E1146" s="80" t="str">
        <f>Matrix_prices!E1134</f>
        <v>Penn Pwr</v>
      </c>
      <c r="F1146" s="79" t="str">
        <f>Matrix_prices!F1134</f>
        <v>GS</v>
      </c>
      <c r="G1146" s="80" t="str">
        <f>Matrix_prices!G1134</f>
        <v>General service</v>
      </c>
      <c r="H1146" s="81" t="str">
        <f t="shared" si="52"/>
        <v>100-500 MWh</v>
      </c>
      <c r="I1146" s="80">
        <f>(Matrix_prices!I1134+$D$2)*IF($M$2="Prices in $/MWh",1,1/1000)</f>
        <v>73.67</v>
      </c>
      <c r="J1146" s="79">
        <f>(Matrix_prices!J1134+$D$2)*IF($M$2="Prices in $/MWh",1,1/1000)</f>
        <v>73.930000000000007</v>
      </c>
      <c r="K1146" s="80">
        <f>(Matrix_prices!K1134+$D$2)*IF($M$2="Prices in $/MWh",1,1/1000)</f>
        <v>74.5</v>
      </c>
      <c r="L1146" s="79">
        <f>(Matrix_prices!L1134+$D$2)*IF($M$2="Prices in $/MWh",1,1/1000)</f>
        <v>36.24</v>
      </c>
      <c r="M1146" s="80">
        <f>(Matrix_prices!M1134+$D$2)*IF($M$2="Prices in $/MWh",1,1/1000)</f>
        <v>36.97</v>
      </c>
      <c r="N1146" s="79">
        <f>(Matrix_prices!N1134+$D$2)*IF($M$2="Prices in $/MWh",1,1/1000)</f>
        <v>37.43</v>
      </c>
      <c r="O1146" s="61"/>
    </row>
    <row r="1147" spans="2:15" x14ac:dyDescent="0.25">
      <c r="B1147" s="57"/>
      <c r="C1147" s="82">
        <f>Matrix_prices!C1135</f>
        <v>42552</v>
      </c>
      <c r="D1147" s="83" t="str">
        <f>Matrix_prices!D1135</f>
        <v>PA</v>
      </c>
      <c r="E1147" s="84" t="str">
        <f>Matrix_prices!E1135</f>
        <v>Penn Pwr</v>
      </c>
      <c r="F1147" s="83" t="str">
        <f>Matrix_prices!F1135</f>
        <v>GS</v>
      </c>
      <c r="G1147" s="84" t="str">
        <f>Matrix_prices!G1135</f>
        <v>General service</v>
      </c>
      <c r="H1147" s="85" t="str">
        <f t="shared" si="53"/>
        <v>500-2500 MWh</v>
      </c>
      <c r="I1147" s="84">
        <f>(Matrix_prices!I1135+$D$2)*IF($M$2="Prices in $/MWh",1,1/1000)</f>
        <v>72.62</v>
      </c>
      <c r="J1147" s="83">
        <f>(Matrix_prices!J1135+$D$2)*IF($M$2="Prices in $/MWh",1,1/1000)</f>
        <v>72.88</v>
      </c>
      <c r="K1147" s="84">
        <f>(Matrix_prices!K1135+$D$2)*IF($M$2="Prices in $/MWh",1,1/1000)</f>
        <v>73.45</v>
      </c>
      <c r="L1147" s="83">
        <f>(Matrix_prices!L1135+$D$2)*IF($M$2="Prices in $/MWh",1,1/1000)</f>
        <v>35.19</v>
      </c>
      <c r="M1147" s="84">
        <f>(Matrix_prices!M1135+$D$2)*IF($M$2="Prices in $/MWh",1,1/1000)</f>
        <v>35.92</v>
      </c>
      <c r="N1147" s="83">
        <f>(Matrix_prices!N1135+$D$2)*IF($M$2="Prices in $/MWh",1,1/1000)</f>
        <v>36.380000000000003</v>
      </c>
      <c r="O1147" s="61"/>
    </row>
    <row r="1148" spans="2:15" x14ac:dyDescent="0.25">
      <c r="B1148" s="57"/>
      <c r="C1148" s="151">
        <f>Matrix_prices!C1136</f>
        <v>42583</v>
      </c>
      <c r="D1148" s="152" t="str">
        <f>Matrix_prices!D1136</f>
        <v>PA</v>
      </c>
      <c r="E1148" s="153" t="str">
        <f>Matrix_prices!E1136</f>
        <v>Penn Pwr</v>
      </c>
      <c r="F1148" s="152" t="str">
        <f>Matrix_prices!F1136</f>
        <v>GS</v>
      </c>
      <c r="G1148" s="153" t="str">
        <f>Matrix_prices!G1136</f>
        <v>General service</v>
      </c>
      <c r="H1148" s="157" t="str">
        <f t="shared" si="51"/>
        <v>0-100 MWh</v>
      </c>
      <c r="I1148" s="153">
        <f>(Matrix_prices!I1136+$D$2)*IF($M$2="Prices in $/MWh",1,1/1000)</f>
        <v>75.45</v>
      </c>
      <c r="J1148" s="152">
        <f>(Matrix_prices!J1136+$D$2)*IF($M$2="Prices in $/MWh",1,1/1000)</f>
        <v>75.400000000000006</v>
      </c>
      <c r="K1148" s="153">
        <f>(Matrix_prices!K1136+$D$2)*IF($M$2="Prices in $/MWh",1,1/1000)</f>
        <v>76.31</v>
      </c>
      <c r="L1148" s="152">
        <f>(Matrix_prices!L1136+$D$2)*IF($M$2="Prices in $/MWh",1,1/1000)</f>
        <v>38.06</v>
      </c>
      <c r="M1148" s="153">
        <f>(Matrix_prices!M1136+$D$2)*IF($M$2="Prices in $/MWh",1,1/1000)</f>
        <v>38.54</v>
      </c>
      <c r="N1148" s="152">
        <f>(Matrix_prices!N1136+$D$2)*IF($M$2="Prices in $/MWh",1,1/1000)</f>
        <v>39.21</v>
      </c>
      <c r="O1148" s="61"/>
    </row>
    <row r="1149" spans="2:15" x14ac:dyDescent="0.25">
      <c r="B1149" s="57"/>
      <c r="C1149" s="78">
        <f>Matrix_prices!C1137</f>
        <v>42583</v>
      </c>
      <c r="D1149" s="79" t="str">
        <f>Matrix_prices!D1137</f>
        <v>PA</v>
      </c>
      <c r="E1149" s="80" t="str">
        <f>Matrix_prices!E1137</f>
        <v>Penn Pwr</v>
      </c>
      <c r="F1149" s="79" t="str">
        <f>Matrix_prices!F1137</f>
        <v>GS</v>
      </c>
      <c r="G1149" s="80" t="str">
        <f>Matrix_prices!G1137</f>
        <v>General service</v>
      </c>
      <c r="H1149" s="81" t="str">
        <f t="shared" si="52"/>
        <v>100-500 MWh</v>
      </c>
      <c r="I1149" s="80">
        <f>(Matrix_prices!I1137+$D$2)*IF($M$2="Prices in $/MWh",1,1/1000)</f>
        <v>73.849999999999994</v>
      </c>
      <c r="J1149" s="79">
        <f>(Matrix_prices!J1137+$D$2)*IF($M$2="Prices in $/MWh",1,1/1000)</f>
        <v>73.8</v>
      </c>
      <c r="K1149" s="80">
        <f>(Matrix_prices!K1137+$D$2)*IF($M$2="Prices in $/MWh",1,1/1000)</f>
        <v>74.709999999999994</v>
      </c>
      <c r="L1149" s="79">
        <f>(Matrix_prices!L1137+$D$2)*IF($M$2="Prices in $/MWh",1,1/1000)</f>
        <v>36.46</v>
      </c>
      <c r="M1149" s="80">
        <f>(Matrix_prices!M1137+$D$2)*IF($M$2="Prices in $/MWh",1,1/1000)</f>
        <v>36.94</v>
      </c>
      <c r="N1149" s="79">
        <f>(Matrix_prices!N1137+$D$2)*IF($M$2="Prices in $/MWh",1,1/1000)</f>
        <v>37.61</v>
      </c>
      <c r="O1149" s="61"/>
    </row>
    <row r="1150" spans="2:15" x14ac:dyDescent="0.25">
      <c r="B1150" s="57"/>
      <c r="C1150" s="82">
        <f>Matrix_prices!C1138</f>
        <v>42583</v>
      </c>
      <c r="D1150" s="83" t="str">
        <f>Matrix_prices!D1138</f>
        <v>PA</v>
      </c>
      <c r="E1150" s="84" t="str">
        <f>Matrix_prices!E1138</f>
        <v>Penn Pwr</v>
      </c>
      <c r="F1150" s="83" t="str">
        <f>Matrix_prices!F1138</f>
        <v>GS</v>
      </c>
      <c r="G1150" s="84" t="str">
        <f>Matrix_prices!G1138</f>
        <v>General service</v>
      </c>
      <c r="H1150" s="85" t="str">
        <f t="shared" si="53"/>
        <v>500-2500 MWh</v>
      </c>
      <c r="I1150" s="84">
        <f>(Matrix_prices!I1138+$D$2)*IF($M$2="Prices in $/MWh",1,1/1000)</f>
        <v>72.8</v>
      </c>
      <c r="J1150" s="83">
        <f>(Matrix_prices!J1138+$D$2)*IF($M$2="Prices in $/MWh",1,1/1000)</f>
        <v>72.75</v>
      </c>
      <c r="K1150" s="84">
        <f>(Matrix_prices!K1138+$D$2)*IF($M$2="Prices in $/MWh",1,1/1000)</f>
        <v>73.66</v>
      </c>
      <c r="L1150" s="83">
        <f>(Matrix_prices!L1138+$D$2)*IF($M$2="Prices in $/MWh",1,1/1000)</f>
        <v>35.409999999999997</v>
      </c>
      <c r="M1150" s="84">
        <f>(Matrix_prices!M1138+$D$2)*IF($M$2="Prices in $/MWh",1,1/1000)</f>
        <v>35.89</v>
      </c>
      <c r="N1150" s="83">
        <f>(Matrix_prices!N1138+$D$2)*IF($M$2="Prices in $/MWh",1,1/1000)</f>
        <v>36.56</v>
      </c>
      <c r="O1150" s="61"/>
    </row>
    <row r="1151" spans="2:15" x14ac:dyDescent="0.25">
      <c r="B1151" s="57"/>
      <c r="C1151" s="74">
        <f>Matrix_prices!C1139</f>
        <v>42614</v>
      </c>
      <c r="D1151" s="75" t="str">
        <f>Matrix_prices!D1139</f>
        <v>PA</v>
      </c>
      <c r="E1151" s="76" t="str">
        <f>Matrix_prices!E1139</f>
        <v>Penn Pwr</v>
      </c>
      <c r="F1151" s="75" t="str">
        <f>Matrix_prices!F1139</f>
        <v>GS</v>
      </c>
      <c r="G1151" s="76" t="str">
        <f>Matrix_prices!G1139</f>
        <v>General service</v>
      </c>
      <c r="H1151" s="157" t="str">
        <f t="shared" si="51"/>
        <v>0-100 MWh</v>
      </c>
      <c r="I1151" s="76">
        <f>(Matrix_prices!I1139+$D$2)*IF($M$2="Prices in $/MWh",1,1/1000)</f>
        <v>75.569999999999993</v>
      </c>
      <c r="J1151" s="75">
        <f>(Matrix_prices!J1139+$D$2)*IF($M$2="Prices in $/MWh",1,1/1000)</f>
        <v>75.349999999999994</v>
      </c>
      <c r="K1151" s="76">
        <f>(Matrix_prices!K1139+$D$2)*IF($M$2="Prices in $/MWh",1,1/1000)</f>
        <v>76.44</v>
      </c>
      <c r="L1151" s="75">
        <f>(Matrix_prices!L1139+$D$2)*IF($M$2="Prices in $/MWh",1,1/1000)</f>
        <v>38.26</v>
      </c>
      <c r="M1151" s="76">
        <f>(Matrix_prices!M1139+$D$2)*IF($M$2="Prices in $/MWh",1,1/1000)</f>
        <v>38.54</v>
      </c>
      <c r="N1151" s="75">
        <f>(Matrix_prices!N1139+$D$2)*IF($M$2="Prices in $/MWh",1,1/1000)</f>
        <v>39.39</v>
      </c>
      <c r="O1151" s="61"/>
    </row>
    <row r="1152" spans="2:15" x14ac:dyDescent="0.25">
      <c r="B1152" s="57"/>
      <c r="C1152" s="78">
        <f>Matrix_prices!C1140</f>
        <v>42614</v>
      </c>
      <c r="D1152" s="79" t="str">
        <f>Matrix_prices!D1140</f>
        <v>PA</v>
      </c>
      <c r="E1152" s="80" t="str">
        <f>Matrix_prices!E1140</f>
        <v>Penn Pwr</v>
      </c>
      <c r="F1152" s="79" t="str">
        <f>Matrix_prices!F1140</f>
        <v>GS</v>
      </c>
      <c r="G1152" s="80" t="str">
        <f>Matrix_prices!G1140</f>
        <v>General service</v>
      </c>
      <c r="H1152" s="81" t="str">
        <f t="shared" si="52"/>
        <v>100-500 MWh</v>
      </c>
      <c r="I1152" s="80">
        <f>(Matrix_prices!I1140+$D$2)*IF($M$2="Prices in $/MWh",1,1/1000)</f>
        <v>73.97</v>
      </c>
      <c r="J1152" s="79">
        <f>(Matrix_prices!J1140+$D$2)*IF($M$2="Prices in $/MWh",1,1/1000)</f>
        <v>73.75</v>
      </c>
      <c r="K1152" s="80">
        <f>(Matrix_prices!K1140+$D$2)*IF($M$2="Prices in $/MWh",1,1/1000)</f>
        <v>74.84</v>
      </c>
      <c r="L1152" s="79">
        <f>(Matrix_prices!L1140+$D$2)*IF($M$2="Prices in $/MWh",1,1/1000)</f>
        <v>36.659999999999997</v>
      </c>
      <c r="M1152" s="80">
        <f>(Matrix_prices!M1140+$D$2)*IF($M$2="Prices in $/MWh",1,1/1000)</f>
        <v>36.94</v>
      </c>
      <c r="N1152" s="79">
        <f>(Matrix_prices!N1140+$D$2)*IF($M$2="Prices in $/MWh",1,1/1000)</f>
        <v>37.79</v>
      </c>
      <c r="O1152" s="61"/>
    </row>
    <row r="1153" spans="2:15" x14ac:dyDescent="0.25">
      <c r="B1153" s="57"/>
      <c r="C1153" s="82">
        <f>Matrix_prices!C1141</f>
        <v>42614</v>
      </c>
      <c r="D1153" s="83" t="str">
        <f>Matrix_prices!D1141</f>
        <v>PA</v>
      </c>
      <c r="E1153" s="84" t="str">
        <f>Matrix_prices!E1141</f>
        <v>Penn Pwr</v>
      </c>
      <c r="F1153" s="83" t="str">
        <f>Matrix_prices!F1141</f>
        <v>GS</v>
      </c>
      <c r="G1153" s="84" t="str">
        <f>Matrix_prices!G1141</f>
        <v>General service</v>
      </c>
      <c r="H1153" s="85" t="str">
        <f t="shared" si="53"/>
        <v>500-2500 MWh</v>
      </c>
      <c r="I1153" s="84">
        <f>(Matrix_prices!I1141+$D$2)*IF($M$2="Prices in $/MWh",1,1/1000)</f>
        <v>72.92</v>
      </c>
      <c r="J1153" s="83">
        <f>(Matrix_prices!J1141+$D$2)*IF($M$2="Prices in $/MWh",1,1/1000)</f>
        <v>72.7</v>
      </c>
      <c r="K1153" s="84">
        <f>(Matrix_prices!K1141+$D$2)*IF($M$2="Prices in $/MWh",1,1/1000)</f>
        <v>73.790000000000006</v>
      </c>
      <c r="L1153" s="83">
        <f>(Matrix_prices!L1141+$D$2)*IF($M$2="Prices in $/MWh",1,1/1000)</f>
        <v>35.61</v>
      </c>
      <c r="M1153" s="84">
        <f>(Matrix_prices!M1141+$D$2)*IF($M$2="Prices in $/MWh",1,1/1000)</f>
        <v>35.89</v>
      </c>
      <c r="N1153" s="83">
        <f>(Matrix_prices!N1141+$D$2)*IF($M$2="Prices in $/MWh",1,1/1000)</f>
        <v>36.74</v>
      </c>
      <c r="O1153" s="61"/>
    </row>
    <row r="1154" spans="2:15" x14ac:dyDescent="0.25">
      <c r="B1154" s="57"/>
      <c r="C1154" s="151">
        <f>Matrix_prices!C1142</f>
        <v>42644</v>
      </c>
      <c r="D1154" s="152" t="str">
        <f>Matrix_prices!D1142</f>
        <v>PA</v>
      </c>
      <c r="E1154" s="153" t="str">
        <f>Matrix_prices!E1142</f>
        <v>Penn Pwr</v>
      </c>
      <c r="F1154" s="152" t="str">
        <f>Matrix_prices!F1142</f>
        <v>GS</v>
      </c>
      <c r="G1154" s="153" t="str">
        <f>Matrix_prices!G1142</f>
        <v>General service</v>
      </c>
      <c r="H1154" s="157" t="str">
        <f t="shared" si="51"/>
        <v>0-100 MWh</v>
      </c>
      <c r="I1154" s="153">
        <f>(Matrix_prices!I1142+$D$2)*IF($M$2="Prices in $/MWh",1,1/1000)</f>
        <v>75.739999999999995</v>
      </c>
      <c r="J1154" s="152">
        <f>(Matrix_prices!J1142+$D$2)*IF($M$2="Prices in $/MWh",1,1/1000)</f>
        <v>75.69</v>
      </c>
      <c r="K1154" s="153">
        <f>(Matrix_prices!K1142+$D$2)*IF($M$2="Prices in $/MWh",1,1/1000)</f>
        <v>76.56</v>
      </c>
      <c r="L1154" s="152">
        <f>(Matrix_prices!L1142+$D$2)*IF($M$2="Prices in $/MWh",1,1/1000)</f>
        <v>38.47</v>
      </c>
      <c r="M1154" s="153">
        <f>(Matrix_prices!M1142+$D$2)*IF($M$2="Prices in $/MWh",1,1/1000)</f>
        <v>38.700000000000003</v>
      </c>
      <c r="N1154" s="152">
        <f>(Matrix_prices!N1142+$D$2)*IF($M$2="Prices in $/MWh",1,1/1000)</f>
        <v>39.590000000000003</v>
      </c>
      <c r="O1154" s="61"/>
    </row>
    <row r="1155" spans="2:15" x14ac:dyDescent="0.25">
      <c r="B1155" s="57"/>
      <c r="C1155" s="78">
        <f>Matrix_prices!C1143</f>
        <v>42644</v>
      </c>
      <c r="D1155" s="79" t="str">
        <f>Matrix_prices!D1143</f>
        <v>PA</v>
      </c>
      <c r="E1155" s="80" t="str">
        <f>Matrix_prices!E1143</f>
        <v>Penn Pwr</v>
      </c>
      <c r="F1155" s="79" t="str">
        <f>Matrix_prices!F1143</f>
        <v>GS</v>
      </c>
      <c r="G1155" s="80" t="str">
        <f>Matrix_prices!G1143</f>
        <v>General service</v>
      </c>
      <c r="H1155" s="81" t="str">
        <f t="shared" si="52"/>
        <v>100-500 MWh</v>
      </c>
      <c r="I1155" s="80">
        <f>(Matrix_prices!I1143+$D$2)*IF($M$2="Prices in $/MWh",1,1/1000)</f>
        <v>74.14</v>
      </c>
      <c r="J1155" s="79">
        <f>(Matrix_prices!J1143+$D$2)*IF($M$2="Prices in $/MWh",1,1/1000)</f>
        <v>74.09</v>
      </c>
      <c r="K1155" s="80">
        <f>(Matrix_prices!K1143+$D$2)*IF($M$2="Prices in $/MWh",1,1/1000)</f>
        <v>74.959999999999994</v>
      </c>
      <c r="L1155" s="79">
        <f>(Matrix_prices!L1143+$D$2)*IF($M$2="Prices in $/MWh",1,1/1000)</f>
        <v>36.869999999999997</v>
      </c>
      <c r="M1155" s="80">
        <f>(Matrix_prices!M1143+$D$2)*IF($M$2="Prices in $/MWh",1,1/1000)</f>
        <v>37.1</v>
      </c>
      <c r="N1155" s="79">
        <f>(Matrix_prices!N1143+$D$2)*IF($M$2="Prices in $/MWh",1,1/1000)</f>
        <v>37.99</v>
      </c>
      <c r="O1155" s="61"/>
    </row>
    <row r="1156" spans="2:15" x14ac:dyDescent="0.25">
      <c r="B1156" s="57"/>
      <c r="C1156" s="82">
        <f>Matrix_prices!C1144</f>
        <v>42644</v>
      </c>
      <c r="D1156" s="83" t="str">
        <f>Matrix_prices!D1144</f>
        <v>PA</v>
      </c>
      <c r="E1156" s="84" t="str">
        <f>Matrix_prices!E1144</f>
        <v>Penn Pwr</v>
      </c>
      <c r="F1156" s="83" t="str">
        <f>Matrix_prices!F1144</f>
        <v>GS</v>
      </c>
      <c r="G1156" s="84" t="str">
        <f>Matrix_prices!G1144</f>
        <v>General service</v>
      </c>
      <c r="H1156" s="85" t="str">
        <f t="shared" si="53"/>
        <v>500-2500 MWh</v>
      </c>
      <c r="I1156" s="84">
        <f>(Matrix_prices!I1144+$D$2)*IF($M$2="Prices in $/MWh",1,1/1000)</f>
        <v>73.09</v>
      </c>
      <c r="J1156" s="83">
        <f>(Matrix_prices!J1144+$D$2)*IF($M$2="Prices in $/MWh",1,1/1000)</f>
        <v>73.040000000000006</v>
      </c>
      <c r="K1156" s="84">
        <f>(Matrix_prices!K1144+$D$2)*IF($M$2="Prices in $/MWh",1,1/1000)</f>
        <v>73.91</v>
      </c>
      <c r="L1156" s="83">
        <f>(Matrix_prices!L1144+$D$2)*IF($M$2="Prices in $/MWh",1,1/1000)</f>
        <v>35.82</v>
      </c>
      <c r="M1156" s="84">
        <f>(Matrix_prices!M1144+$D$2)*IF($M$2="Prices in $/MWh",1,1/1000)</f>
        <v>36.049999999999997</v>
      </c>
      <c r="N1156" s="83">
        <f>(Matrix_prices!N1144+$D$2)*IF($M$2="Prices in $/MWh",1,1/1000)</f>
        <v>36.94</v>
      </c>
      <c r="O1156" s="61"/>
    </row>
    <row r="1157" spans="2:15" x14ac:dyDescent="0.25">
      <c r="B1157" s="57"/>
      <c r="C1157" s="74">
        <f>Matrix_prices!C1145</f>
        <v>42675</v>
      </c>
      <c r="D1157" s="75" t="str">
        <f>Matrix_prices!D1145</f>
        <v>PA</v>
      </c>
      <c r="E1157" s="76" t="str">
        <f>Matrix_prices!E1145</f>
        <v>Penn Pwr</v>
      </c>
      <c r="F1157" s="75" t="str">
        <f>Matrix_prices!F1145</f>
        <v>GS</v>
      </c>
      <c r="G1157" s="76" t="str">
        <f>Matrix_prices!G1145</f>
        <v>General service</v>
      </c>
      <c r="H1157" s="157" t="str">
        <f t="shared" si="51"/>
        <v>0-100 MWh</v>
      </c>
      <c r="I1157" s="76">
        <f>(Matrix_prices!I1145+$D$2)*IF($M$2="Prices in $/MWh",1,1/1000)</f>
        <v>75.91</v>
      </c>
      <c r="J1157" s="75">
        <f>(Matrix_prices!J1145+$D$2)*IF($M$2="Prices in $/MWh",1,1/1000)</f>
        <v>75.900000000000006</v>
      </c>
      <c r="K1157" s="76">
        <f>(Matrix_prices!K1145+$D$2)*IF($M$2="Prices in $/MWh",1,1/1000)</f>
        <v>76.7</v>
      </c>
      <c r="L1157" s="75">
        <f>(Matrix_prices!L1145+$D$2)*IF($M$2="Prices in $/MWh",1,1/1000)</f>
        <v>38.659999999999997</v>
      </c>
      <c r="M1157" s="76">
        <f>(Matrix_prices!M1145+$D$2)*IF($M$2="Prices in $/MWh",1,1/1000)</f>
        <v>38.840000000000003</v>
      </c>
      <c r="N1157" s="75">
        <f>(Matrix_prices!N1145+$D$2)*IF($M$2="Prices in $/MWh",1,1/1000)</f>
        <v>39.75</v>
      </c>
      <c r="O1157" s="61"/>
    </row>
    <row r="1158" spans="2:15" x14ac:dyDescent="0.25">
      <c r="B1158" s="57"/>
      <c r="C1158" s="78">
        <f>Matrix_prices!C1146</f>
        <v>42675</v>
      </c>
      <c r="D1158" s="79" t="str">
        <f>Matrix_prices!D1146</f>
        <v>PA</v>
      </c>
      <c r="E1158" s="80" t="str">
        <f>Matrix_prices!E1146</f>
        <v>Penn Pwr</v>
      </c>
      <c r="F1158" s="79" t="str">
        <f>Matrix_prices!F1146</f>
        <v>GS</v>
      </c>
      <c r="G1158" s="80" t="str">
        <f>Matrix_prices!G1146</f>
        <v>General service</v>
      </c>
      <c r="H1158" s="81" t="str">
        <f t="shared" si="52"/>
        <v>100-500 MWh</v>
      </c>
      <c r="I1158" s="80">
        <f>(Matrix_prices!I1146+$D$2)*IF($M$2="Prices in $/MWh",1,1/1000)</f>
        <v>74.31</v>
      </c>
      <c r="J1158" s="79">
        <f>(Matrix_prices!J1146+$D$2)*IF($M$2="Prices in $/MWh",1,1/1000)</f>
        <v>74.3</v>
      </c>
      <c r="K1158" s="80">
        <f>(Matrix_prices!K1146+$D$2)*IF($M$2="Prices in $/MWh",1,1/1000)</f>
        <v>75.099999999999994</v>
      </c>
      <c r="L1158" s="79">
        <f>(Matrix_prices!L1146+$D$2)*IF($M$2="Prices in $/MWh",1,1/1000)</f>
        <v>37.06</v>
      </c>
      <c r="M1158" s="80">
        <f>(Matrix_prices!M1146+$D$2)*IF($M$2="Prices in $/MWh",1,1/1000)</f>
        <v>37.24</v>
      </c>
      <c r="N1158" s="79">
        <f>(Matrix_prices!N1146+$D$2)*IF($M$2="Prices in $/MWh",1,1/1000)</f>
        <v>38.15</v>
      </c>
      <c r="O1158" s="61"/>
    </row>
    <row r="1159" spans="2:15" x14ac:dyDescent="0.25">
      <c r="B1159" s="57"/>
      <c r="C1159" s="82">
        <f>Matrix_prices!C1147</f>
        <v>42675</v>
      </c>
      <c r="D1159" s="83" t="str">
        <f>Matrix_prices!D1147</f>
        <v>PA</v>
      </c>
      <c r="E1159" s="84" t="str">
        <f>Matrix_prices!E1147</f>
        <v>Penn Pwr</v>
      </c>
      <c r="F1159" s="83" t="str">
        <f>Matrix_prices!F1147</f>
        <v>GS</v>
      </c>
      <c r="G1159" s="84" t="str">
        <f>Matrix_prices!G1147</f>
        <v>General service</v>
      </c>
      <c r="H1159" s="85" t="str">
        <f t="shared" si="53"/>
        <v>500-2500 MWh</v>
      </c>
      <c r="I1159" s="84">
        <f>(Matrix_prices!I1147+$D$2)*IF($M$2="Prices in $/MWh",1,1/1000)</f>
        <v>73.260000000000005</v>
      </c>
      <c r="J1159" s="83">
        <f>(Matrix_prices!J1147+$D$2)*IF($M$2="Prices in $/MWh",1,1/1000)</f>
        <v>73.25</v>
      </c>
      <c r="K1159" s="84">
        <f>(Matrix_prices!K1147+$D$2)*IF($M$2="Prices in $/MWh",1,1/1000)</f>
        <v>74.05</v>
      </c>
      <c r="L1159" s="83">
        <f>(Matrix_prices!L1147+$D$2)*IF($M$2="Prices in $/MWh",1,1/1000)</f>
        <v>36.01</v>
      </c>
      <c r="M1159" s="84">
        <f>(Matrix_prices!M1147+$D$2)*IF($M$2="Prices in $/MWh",1,1/1000)</f>
        <v>36.19</v>
      </c>
      <c r="N1159" s="83">
        <f>(Matrix_prices!N1147+$D$2)*IF($M$2="Prices in $/MWh",1,1/1000)</f>
        <v>37.1</v>
      </c>
      <c r="O1159" s="61"/>
    </row>
    <row r="1160" spans="2:15" x14ac:dyDescent="0.25">
      <c r="B1160" s="57"/>
      <c r="C1160" s="151">
        <f>Matrix_prices!C1148</f>
        <v>42705</v>
      </c>
      <c r="D1160" s="152" t="str">
        <f>Matrix_prices!D1148</f>
        <v>PA</v>
      </c>
      <c r="E1160" s="153" t="str">
        <f>Matrix_prices!E1148</f>
        <v>Penn Pwr</v>
      </c>
      <c r="F1160" s="152" t="str">
        <f>Matrix_prices!F1148</f>
        <v>GS</v>
      </c>
      <c r="G1160" s="153" t="str">
        <f>Matrix_prices!G1148</f>
        <v>General service</v>
      </c>
      <c r="H1160" s="157" t="str">
        <f t="shared" si="51"/>
        <v>0-100 MWh</v>
      </c>
      <c r="I1160" s="153">
        <f>(Matrix_prices!I1148+$D$2)*IF($M$2="Prices in $/MWh",1,1/1000)</f>
        <v>76</v>
      </c>
      <c r="J1160" s="152">
        <f>(Matrix_prices!J1148+$D$2)*IF($M$2="Prices in $/MWh",1,1/1000)</f>
        <v>76.22</v>
      </c>
      <c r="K1160" s="153">
        <f>(Matrix_prices!K1148+$D$2)*IF($M$2="Prices in $/MWh",1,1/1000)</f>
        <v>76.8</v>
      </c>
      <c r="L1160" s="152">
        <f>(Matrix_prices!L1148+$D$2)*IF($M$2="Prices in $/MWh",1,1/1000)</f>
        <v>38.82</v>
      </c>
      <c r="M1160" s="153">
        <f>(Matrix_prices!M1148+$D$2)*IF($M$2="Prices in $/MWh",1,1/1000)</f>
        <v>39.090000000000003</v>
      </c>
      <c r="N1160" s="152">
        <f>(Matrix_prices!N1148+$D$2)*IF($M$2="Prices in $/MWh",1,1/1000)</f>
        <v>39.9</v>
      </c>
      <c r="O1160" s="61"/>
    </row>
    <row r="1161" spans="2:15" x14ac:dyDescent="0.25">
      <c r="B1161" s="57"/>
      <c r="C1161" s="78">
        <f>Matrix_prices!C1149</f>
        <v>42705</v>
      </c>
      <c r="D1161" s="79" t="str">
        <f>Matrix_prices!D1149</f>
        <v>PA</v>
      </c>
      <c r="E1161" s="80" t="str">
        <f>Matrix_prices!E1149</f>
        <v>Penn Pwr</v>
      </c>
      <c r="F1161" s="79" t="str">
        <f>Matrix_prices!F1149</f>
        <v>GS</v>
      </c>
      <c r="G1161" s="80" t="str">
        <f>Matrix_prices!G1149</f>
        <v>General service</v>
      </c>
      <c r="H1161" s="81" t="str">
        <f t="shared" si="52"/>
        <v>100-500 MWh</v>
      </c>
      <c r="I1161" s="80">
        <f>(Matrix_prices!I1149+$D$2)*IF($M$2="Prices in $/MWh",1,1/1000)</f>
        <v>74.400000000000006</v>
      </c>
      <c r="J1161" s="79">
        <f>(Matrix_prices!J1149+$D$2)*IF($M$2="Prices in $/MWh",1,1/1000)</f>
        <v>74.62</v>
      </c>
      <c r="K1161" s="80">
        <f>(Matrix_prices!K1149+$D$2)*IF($M$2="Prices in $/MWh",1,1/1000)</f>
        <v>75.2</v>
      </c>
      <c r="L1161" s="79">
        <f>(Matrix_prices!L1149+$D$2)*IF($M$2="Prices in $/MWh",1,1/1000)</f>
        <v>37.22</v>
      </c>
      <c r="M1161" s="80">
        <f>(Matrix_prices!M1149+$D$2)*IF($M$2="Prices in $/MWh",1,1/1000)</f>
        <v>37.49</v>
      </c>
      <c r="N1161" s="79">
        <f>(Matrix_prices!N1149+$D$2)*IF($M$2="Prices in $/MWh",1,1/1000)</f>
        <v>38.299999999999997</v>
      </c>
      <c r="O1161" s="61"/>
    </row>
    <row r="1162" spans="2:15" x14ac:dyDescent="0.25">
      <c r="B1162" s="57"/>
      <c r="C1162" s="82">
        <f>Matrix_prices!C1150</f>
        <v>42705</v>
      </c>
      <c r="D1162" s="83" t="str">
        <f>Matrix_prices!D1150</f>
        <v>PA</v>
      </c>
      <c r="E1162" s="84" t="str">
        <f>Matrix_prices!E1150</f>
        <v>Penn Pwr</v>
      </c>
      <c r="F1162" s="83" t="str">
        <f>Matrix_prices!F1150</f>
        <v>GS</v>
      </c>
      <c r="G1162" s="84" t="str">
        <f>Matrix_prices!G1150</f>
        <v>General service</v>
      </c>
      <c r="H1162" s="85" t="str">
        <f t="shared" si="53"/>
        <v>500-2500 MWh</v>
      </c>
      <c r="I1162" s="84">
        <f>(Matrix_prices!I1150+$D$2)*IF($M$2="Prices in $/MWh",1,1/1000)</f>
        <v>73.349999999999994</v>
      </c>
      <c r="J1162" s="83">
        <f>(Matrix_prices!J1150+$D$2)*IF($M$2="Prices in $/MWh",1,1/1000)</f>
        <v>73.569999999999993</v>
      </c>
      <c r="K1162" s="84">
        <f>(Matrix_prices!K1150+$D$2)*IF($M$2="Prices in $/MWh",1,1/1000)</f>
        <v>74.150000000000006</v>
      </c>
      <c r="L1162" s="83">
        <f>(Matrix_prices!L1150+$D$2)*IF($M$2="Prices in $/MWh",1,1/1000)</f>
        <v>36.17</v>
      </c>
      <c r="M1162" s="84">
        <f>(Matrix_prices!M1150+$D$2)*IF($M$2="Prices in $/MWh",1,1/1000)</f>
        <v>36.44</v>
      </c>
      <c r="N1162" s="83">
        <f>(Matrix_prices!N1150+$D$2)*IF($M$2="Prices in $/MWh",1,1/1000)</f>
        <v>37.25</v>
      </c>
      <c r="O1162" s="61"/>
    </row>
    <row r="1163" spans="2:15" x14ac:dyDescent="0.25">
      <c r="B1163" s="57"/>
      <c r="C1163" s="74">
        <f>Matrix_prices!C1151</f>
        <v>42736</v>
      </c>
      <c r="D1163" s="75" t="str">
        <f>Matrix_prices!D1151</f>
        <v>PA</v>
      </c>
      <c r="E1163" s="76" t="str">
        <f>Matrix_prices!E1151</f>
        <v>Penn Pwr</v>
      </c>
      <c r="F1163" s="75" t="str">
        <f>Matrix_prices!F1151</f>
        <v>GS</v>
      </c>
      <c r="G1163" s="76" t="str">
        <f>Matrix_prices!G1151</f>
        <v>General service</v>
      </c>
      <c r="H1163" s="157" t="str">
        <f t="shared" si="51"/>
        <v>0-100 MWh</v>
      </c>
      <c r="I1163" s="76">
        <f>(Matrix_prices!I1151+$D$2)*IF($M$2="Prices in $/MWh",1,1/1000)</f>
        <v>76.180000000000007</v>
      </c>
      <c r="J1163" s="75">
        <f>(Matrix_prices!J1151+$D$2)*IF($M$2="Prices in $/MWh",1,1/1000)</f>
        <v>76.73</v>
      </c>
      <c r="K1163" s="76">
        <f>(Matrix_prices!K1151+$D$2)*IF($M$2="Prices in $/MWh",1,1/1000)</f>
        <v>77</v>
      </c>
      <c r="L1163" s="75">
        <f>(Matrix_prices!L1151+$D$2)*IF($M$2="Prices in $/MWh",1,1/1000)</f>
        <v>39.07</v>
      </c>
      <c r="M1163" s="76">
        <f>(Matrix_prices!M1151+$D$2)*IF($M$2="Prices in $/MWh",1,1/1000)</f>
        <v>39.520000000000003</v>
      </c>
      <c r="N1163" s="75">
        <f>(Matrix_prices!N1151+$D$2)*IF($M$2="Prices in $/MWh",1,1/1000)</f>
        <v>40.11</v>
      </c>
      <c r="O1163" s="61"/>
    </row>
    <row r="1164" spans="2:15" x14ac:dyDescent="0.25">
      <c r="B1164" s="57"/>
      <c r="C1164" s="78">
        <f>Matrix_prices!C1152</f>
        <v>42736</v>
      </c>
      <c r="D1164" s="79" t="str">
        <f>Matrix_prices!D1152</f>
        <v>PA</v>
      </c>
      <c r="E1164" s="80" t="str">
        <f>Matrix_prices!E1152</f>
        <v>Penn Pwr</v>
      </c>
      <c r="F1164" s="79" t="str">
        <f>Matrix_prices!F1152</f>
        <v>GS</v>
      </c>
      <c r="G1164" s="80" t="str">
        <f>Matrix_prices!G1152</f>
        <v>General service</v>
      </c>
      <c r="H1164" s="81" t="str">
        <f t="shared" si="52"/>
        <v>100-500 MWh</v>
      </c>
      <c r="I1164" s="80">
        <f>(Matrix_prices!I1152+$D$2)*IF($M$2="Prices in $/MWh",1,1/1000)</f>
        <v>74.58</v>
      </c>
      <c r="J1164" s="79">
        <f>(Matrix_prices!J1152+$D$2)*IF($M$2="Prices in $/MWh",1,1/1000)</f>
        <v>75.13</v>
      </c>
      <c r="K1164" s="80">
        <f>(Matrix_prices!K1152+$D$2)*IF($M$2="Prices in $/MWh",1,1/1000)</f>
        <v>75.400000000000006</v>
      </c>
      <c r="L1164" s="79">
        <f>(Matrix_prices!L1152+$D$2)*IF($M$2="Prices in $/MWh",1,1/1000)</f>
        <v>37.47</v>
      </c>
      <c r="M1164" s="80">
        <f>(Matrix_prices!M1152+$D$2)*IF($M$2="Prices in $/MWh",1,1/1000)</f>
        <v>37.92</v>
      </c>
      <c r="N1164" s="79">
        <f>(Matrix_prices!N1152+$D$2)*IF($M$2="Prices in $/MWh",1,1/1000)</f>
        <v>38.51</v>
      </c>
      <c r="O1164" s="61"/>
    </row>
    <row r="1165" spans="2:15" x14ac:dyDescent="0.25">
      <c r="B1165" s="57"/>
      <c r="C1165" s="82">
        <f>Matrix_prices!C1153</f>
        <v>42736</v>
      </c>
      <c r="D1165" s="83" t="str">
        <f>Matrix_prices!D1153</f>
        <v>PA</v>
      </c>
      <c r="E1165" s="84" t="str">
        <f>Matrix_prices!E1153</f>
        <v>Penn Pwr</v>
      </c>
      <c r="F1165" s="83" t="str">
        <f>Matrix_prices!F1153</f>
        <v>GS</v>
      </c>
      <c r="G1165" s="84" t="str">
        <f>Matrix_prices!G1153</f>
        <v>General service</v>
      </c>
      <c r="H1165" s="85" t="str">
        <f t="shared" si="53"/>
        <v>500-2500 MWh</v>
      </c>
      <c r="I1165" s="84">
        <f>(Matrix_prices!I1153+$D$2)*IF($M$2="Prices in $/MWh",1,1/1000)</f>
        <v>73.53</v>
      </c>
      <c r="J1165" s="83">
        <f>(Matrix_prices!J1153+$D$2)*IF($M$2="Prices in $/MWh",1,1/1000)</f>
        <v>74.08</v>
      </c>
      <c r="K1165" s="84">
        <f>(Matrix_prices!K1153+$D$2)*IF($M$2="Prices in $/MWh",1,1/1000)</f>
        <v>74.349999999999994</v>
      </c>
      <c r="L1165" s="83">
        <f>(Matrix_prices!L1153+$D$2)*IF($M$2="Prices in $/MWh",1,1/1000)</f>
        <v>36.42</v>
      </c>
      <c r="M1165" s="84">
        <f>(Matrix_prices!M1153+$D$2)*IF($M$2="Prices in $/MWh",1,1/1000)</f>
        <v>36.869999999999997</v>
      </c>
      <c r="N1165" s="83">
        <f>(Matrix_prices!N1153+$D$2)*IF($M$2="Prices in $/MWh",1,1/1000)</f>
        <v>37.46</v>
      </c>
      <c r="O1165" s="61"/>
    </row>
    <row r="1166" spans="2:15" x14ac:dyDescent="0.25">
      <c r="B1166" s="57"/>
      <c r="C1166" s="151">
        <f>Matrix_prices!C1154</f>
        <v>42401</v>
      </c>
      <c r="D1166" s="152" t="str">
        <f>Matrix_prices!D1154</f>
        <v>PA</v>
      </c>
      <c r="E1166" s="153" t="str">
        <f>Matrix_prices!E1154</f>
        <v>PPL</v>
      </c>
      <c r="F1166" s="152" t="str">
        <f>Matrix_prices!F1154</f>
        <v>GS1</v>
      </c>
      <c r="G1166" s="153" t="str">
        <f>Matrix_prices!G1154</f>
        <v>General Service Small</v>
      </c>
      <c r="H1166" s="157" t="str">
        <f t="shared" si="51"/>
        <v>0-100 MWh</v>
      </c>
      <c r="I1166" s="153">
        <f>(Matrix_prices!I1154+$D$2)*IF($M$2="Prices in $/MWh",1,1/1000)</f>
        <v>72.56</v>
      </c>
      <c r="J1166" s="152">
        <f>(Matrix_prices!J1154+$D$2)*IF($M$2="Prices in $/MWh",1,1/1000)</f>
        <v>73.39</v>
      </c>
      <c r="K1166" s="153">
        <f>(Matrix_prices!K1154+$D$2)*IF($M$2="Prices in $/MWh",1,1/1000)</f>
        <v>72.89</v>
      </c>
      <c r="L1166" s="152">
        <f>(Matrix_prices!L1154+$D$2)*IF($M$2="Prices in $/MWh",1,1/1000)</f>
        <v>30.96</v>
      </c>
      <c r="M1166" s="153">
        <f>(Matrix_prices!M1154+$D$2)*IF($M$2="Prices in $/MWh",1,1/1000)</f>
        <v>31.45</v>
      </c>
      <c r="N1166" s="152">
        <f>(Matrix_prices!N1154+$D$2)*IF($M$2="Prices in $/MWh",1,1/1000)</f>
        <v>31.44</v>
      </c>
      <c r="O1166" s="61"/>
    </row>
    <row r="1167" spans="2:15" x14ac:dyDescent="0.25">
      <c r="B1167" s="57"/>
      <c r="C1167" s="78">
        <f>Matrix_prices!C1155</f>
        <v>42401</v>
      </c>
      <c r="D1167" s="79" t="str">
        <f>Matrix_prices!D1155</f>
        <v>PA</v>
      </c>
      <c r="E1167" s="80" t="str">
        <f>Matrix_prices!E1155</f>
        <v>PPL</v>
      </c>
      <c r="F1167" s="79" t="str">
        <f>Matrix_prices!F1155</f>
        <v>GS1</v>
      </c>
      <c r="G1167" s="80" t="str">
        <f>Matrix_prices!G1155</f>
        <v>General Service Small</v>
      </c>
      <c r="H1167" s="81" t="str">
        <f t="shared" si="52"/>
        <v>100-500 MWh</v>
      </c>
      <c r="I1167" s="80">
        <f>(Matrix_prices!I1155+$D$2)*IF($M$2="Prices in $/MWh",1,1/1000)</f>
        <v>70.959999999999994</v>
      </c>
      <c r="J1167" s="79">
        <f>(Matrix_prices!J1155+$D$2)*IF($M$2="Prices in $/MWh",1,1/1000)</f>
        <v>71.790000000000006</v>
      </c>
      <c r="K1167" s="80">
        <f>(Matrix_prices!K1155+$D$2)*IF($M$2="Prices in $/MWh",1,1/1000)</f>
        <v>71.290000000000006</v>
      </c>
      <c r="L1167" s="79">
        <f>(Matrix_prices!L1155+$D$2)*IF($M$2="Prices in $/MWh",1,1/1000)</f>
        <v>29.36</v>
      </c>
      <c r="M1167" s="80">
        <f>(Matrix_prices!M1155+$D$2)*IF($M$2="Prices in $/MWh",1,1/1000)</f>
        <v>29.85</v>
      </c>
      <c r="N1167" s="79">
        <f>(Matrix_prices!N1155+$D$2)*IF($M$2="Prices in $/MWh",1,1/1000)</f>
        <v>29.84</v>
      </c>
      <c r="O1167" s="61"/>
    </row>
    <row r="1168" spans="2:15" x14ac:dyDescent="0.25">
      <c r="B1168" s="57"/>
      <c r="C1168" s="82">
        <f>Matrix_prices!C1156</f>
        <v>42401</v>
      </c>
      <c r="D1168" s="83" t="str">
        <f>Matrix_prices!D1156</f>
        <v>PA</v>
      </c>
      <c r="E1168" s="84" t="str">
        <f>Matrix_prices!E1156</f>
        <v>PPL</v>
      </c>
      <c r="F1168" s="83" t="str">
        <f>Matrix_prices!F1156</f>
        <v>GS1</v>
      </c>
      <c r="G1168" s="84" t="str">
        <f>Matrix_prices!G1156</f>
        <v>General Service Small</v>
      </c>
      <c r="H1168" s="85" t="str">
        <f t="shared" si="53"/>
        <v>500-2500 MWh</v>
      </c>
      <c r="I1168" s="84">
        <f>(Matrix_prices!I1156+$D$2)*IF($M$2="Prices in $/MWh",1,1/1000)</f>
        <v>69.91</v>
      </c>
      <c r="J1168" s="83">
        <f>(Matrix_prices!J1156+$D$2)*IF($M$2="Prices in $/MWh",1,1/1000)</f>
        <v>70.739999999999995</v>
      </c>
      <c r="K1168" s="84">
        <f>(Matrix_prices!K1156+$D$2)*IF($M$2="Prices in $/MWh",1,1/1000)</f>
        <v>70.239999999999995</v>
      </c>
      <c r="L1168" s="83">
        <f>(Matrix_prices!L1156+$D$2)*IF($M$2="Prices in $/MWh",1,1/1000)</f>
        <v>28.31</v>
      </c>
      <c r="M1168" s="84">
        <f>(Matrix_prices!M1156+$D$2)*IF($M$2="Prices in $/MWh",1,1/1000)</f>
        <v>28.8</v>
      </c>
      <c r="N1168" s="83">
        <f>(Matrix_prices!N1156+$D$2)*IF($M$2="Prices in $/MWh",1,1/1000)</f>
        <v>28.79</v>
      </c>
      <c r="O1168" s="61"/>
    </row>
    <row r="1169" spans="2:15" x14ac:dyDescent="0.25">
      <c r="B1169" s="57"/>
      <c r="C1169" s="74">
        <f>Matrix_prices!C1157</f>
        <v>42430</v>
      </c>
      <c r="D1169" s="75" t="str">
        <f>Matrix_prices!D1157</f>
        <v>PA</v>
      </c>
      <c r="E1169" s="76" t="str">
        <f>Matrix_prices!E1157</f>
        <v>PPL</v>
      </c>
      <c r="F1169" s="75" t="str">
        <f>Matrix_prices!F1157</f>
        <v>GS1</v>
      </c>
      <c r="G1169" s="76" t="str">
        <f>Matrix_prices!G1157</f>
        <v>General Service Small</v>
      </c>
      <c r="H1169" s="157" t="str">
        <f t="shared" si="51"/>
        <v>0-100 MWh</v>
      </c>
      <c r="I1169" s="76">
        <f>(Matrix_prices!I1157+$D$2)*IF($M$2="Prices in $/MWh",1,1/1000)</f>
        <v>73.459999999999994</v>
      </c>
      <c r="J1169" s="75">
        <f>(Matrix_prices!J1157+$D$2)*IF($M$2="Prices in $/MWh",1,1/1000)</f>
        <v>73</v>
      </c>
      <c r="K1169" s="76">
        <f>(Matrix_prices!K1157+$D$2)*IF($M$2="Prices in $/MWh",1,1/1000)</f>
        <v>73.290000000000006</v>
      </c>
      <c r="L1169" s="75">
        <f>(Matrix_prices!L1157+$D$2)*IF($M$2="Prices in $/MWh",1,1/1000)</f>
        <v>30.95</v>
      </c>
      <c r="M1169" s="76">
        <f>(Matrix_prices!M1157+$D$2)*IF($M$2="Prices in $/MWh",1,1/1000)</f>
        <v>30.83</v>
      </c>
      <c r="N1169" s="75">
        <f>(Matrix_prices!N1157+$D$2)*IF($M$2="Prices in $/MWh",1,1/1000)</f>
        <v>31.42</v>
      </c>
      <c r="O1169" s="61"/>
    </row>
    <row r="1170" spans="2:15" x14ac:dyDescent="0.25">
      <c r="B1170" s="57"/>
      <c r="C1170" s="78">
        <f>Matrix_prices!C1158</f>
        <v>42430</v>
      </c>
      <c r="D1170" s="79" t="str">
        <f>Matrix_prices!D1158</f>
        <v>PA</v>
      </c>
      <c r="E1170" s="80" t="str">
        <f>Matrix_prices!E1158</f>
        <v>PPL</v>
      </c>
      <c r="F1170" s="79" t="str">
        <f>Matrix_prices!F1158</f>
        <v>GS1</v>
      </c>
      <c r="G1170" s="80" t="str">
        <f>Matrix_prices!G1158</f>
        <v>General Service Small</v>
      </c>
      <c r="H1170" s="81" t="str">
        <f t="shared" si="52"/>
        <v>100-500 MWh</v>
      </c>
      <c r="I1170" s="80">
        <f>(Matrix_prices!I1158+$D$2)*IF($M$2="Prices in $/MWh",1,1/1000)</f>
        <v>71.86</v>
      </c>
      <c r="J1170" s="79">
        <f>(Matrix_prices!J1158+$D$2)*IF($M$2="Prices in $/MWh",1,1/1000)</f>
        <v>71.400000000000006</v>
      </c>
      <c r="K1170" s="80">
        <f>(Matrix_prices!K1158+$D$2)*IF($M$2="Prices in $/MWh",1,1/1000)</f>
        <v>71.69</v>
      </c>
      <c r="L1170" s="79">
        <f>(Matrix_prices!L1158+$D$2)*IF($M$2="Prices in $/MWh",1,1/1000)</f>
        <v>29.35</v>
      </c>
      <c r="M1170" s="80">
        <f>(Matrix_prices!M1158+$D$2)*IF($M$2="Prices in $/MWh",1,1/1000)</f>
        <v>29.23</v>
      </c>
      <c r="N1170" s="79">
        <f>(Matrix_prices!N1158+$D$2)*IF($M$2="Prices in $/MWh",1,1/1000)</f>
        <v>29.82</v>
      </c>
      <c r="O1170" s="61"/>
    </row>
    <row r="1171" spans="2:15" x14ac:dyDescent="0.25">
      <c r="B1171" s="57"/>
      <c r="C1171" s="82">
        <f>Matrix_prices!C1159</f>
        <v>42430</v>
      </c>
      <c r="D1171" s="83" t="str">
        <f>Matrix_prices!D1159</f>
        <v>PA</v>
      </c>
      <c r="E1171" s="84" t="str">
        <f>Matrix_prices!E1159</f>
        <v>PPL</v>
      </c>
      <c r="F1171" s="83" t="str">
        <f>Matrix_prices!F1159</f>
        <v>GS1</v>
      </c>
      <c r="G1171" s="84" t="str">
        <f>Matrix_prices!G1159</f>
        <v>General Service Small</v>
      </c>
      <c r="H1171" s="85" t="str">
        <f t="shared" si="53"/>
        <v>500-2500 MWh</v>
      </c>
      <c r="I1171" s="84">
        <f>(Matrix_prices!I1159+$D$2)*IF($M$2="Prices in $/MWh",1,1/1000)</f>
        <v>70.81</v>
      </c>
      <c r="J1171" s="83">
        <f>(Matrix_prices!J1159+$D$2)*IF($M$2="Prices in $/MWh",1,1/1000)</f>
        <v>70.349999999999994</v>
      </c>
      <c r="K1171" s="84">
        <f>(Matrix_prices!K1159+$D$2)*IF($M$2="Prices in $/MWh",1,1/1000)</f>
        <v>70.64</v>
      </c>
      <c r="L1171" s="83">
        <f>(Matrix_prices!L1159+$D$2)*IF($M$2="Prices in $/MWh",1,1/1000)</f>
        <v>28.3</v>
      </c>
      <c r="M1171" s="84">
        <f>(Matrix_prices!M1159+$D$2)*IF($M$2="Prices in $/MWh",1,1/1000)</f>
        <v>28.18</v>
      </c>
      <c r="N1171" s="83">
        <f>(Matrix_prices!N1159+$D$2)*IF($M$2="Prices in $/MWh",1,1/1000)</f>
        <v>28.77</v>
      </c>
      <c r="O1171" s="61"/>
    </row>
    <row r="1172" spans="2:15" x14ac:dyDescent="0.25">
      <c r="B1172" s="57"/>
      <c r="C1172" s="151">
        <f>Matrix_prices!C1160</f>
        <v>42461</v>
      </c>
      <c r="D1172" s="152" t="str">
        <f>Matrix_prices!D1160</f>
        <v>PA</v>
      </c>
      <c r="E1172" s="153" t="str">
        <f>Matrix_prices!E1160</f>
        <v>PPL</v>
      </c>
      <c r="F1172" s="152" t="str">
        <f>Matrix_prices!F1160</f>
        <v>GS1</v>
      </c>
      <c r="G1172" s="153" t="str">
        <f>Matrix_prices!G1160</f>
        <v>General Service Small</v>
      </c>
      <c r="H1172" s="157" t="str">
        <f t="shared" si="51"/>
        <v>0-100 MWh</v>
      </c>
      <c r="I1172" s="153">
        <f>(Matrix_prices!I1160+$D$2)*IF($M$2="Prices in $/MWh",1,1/1000)</f>
        <v>73.94</v>
      </c>
      <c r="J1172" s="152">
        <f>(Matrix_prices!J1160+$D$2)*IF($M$2="Prices in $/MWh",1,1/1000)</f>
        <v>72.62</v>
      </c>
      <c r="K1172" s="153">
        <f>(Matrix_prices!K1160+$D$2)*IF($M$2="Prices in $/MWh",1,1/1000)</f>
        <v>73.510000000000005</v>
      </c>
      <c r="L1172" s="152">
        <f>(Matrix_prices!L1160+$D$2)*IF($M$2="Prices in $/MWh",1,1/1000)</f>
        <v>31.53</v>
      </c>
      <c r="M1172" s="153">
        <f>(Matrix_prices!M1160+$D$2)*IF($M$2="Prices in $/MWh",1,1/1000)</f>
        <v>30.66</v>
      </c>
      <c r="N1172" s="152">
        <f>(Matrix_prices!N1160+$D$2)*IF($M$2="Prices in $/MWh",1,1/1000)</f>
        <v>31.77</v>
      </c>
      <c r="O1172" s="61"/>
    </row>
    <row r="1173" spans="2:15" x14ac:dyDescent="0.25">
      <c r="B1173" s="57"/>
      <c r="C1173" s="78">
        <f>Matrix_prices!C1161</f>
        <v>42461</v>
      </c>
      <c r="D1173" s="79" t="str">
        <f>Matrix_prices!D1161</f>
        <v>PA</v>
      </c>
      <c r="E1173" s="80" t="str">
        <f>Matrix_prices!E1161</f>
        <v>PPL</v>
      </c>
      <c r="F1173" s="79" t="str">
        <f>Matrix_prices!F1161</f>
        <v>GS1</v>
      </c>
      <c r="G1173" s="80" t="str">
        <f>Matrix_prices!G1161</f>
        <v>General Service Small</v>
      </c>
      <c r="H1173" s="81" t="str">
        <f t="shared" si="52"/>
        <v>100-500 MWh</v>
      </c>
      <c r="I1173" s="80">
        <f>(Matrix_prices!I1161+$D$2)*IF($M$2="Prices in $/MWh",1,1/1000)</f>
        <v>72.34</v>
      </c>
      <c r="J1173" s="79">
        <f>(Matrix_prices!J1161+$D$2)*IF($M$2="Prices in $/MWh",1,1/1000)</f>
        <v>71.02</v>
      </c>
      <c r="K1173" s="80">
        <f>(Matrix_prices!K1161+$D$2)*IF($M$2="Prices in $/MWh",1,1/1000)</f>
        <v>71.91</v>
      </c>
      <c r="L1173" s="79">
        <f>(Matrix_prices!L1161+$D$2)*IF($M$2="Prices in $/MWh",1,1/1000)</f>
        <v>29.93</v>
      </c>
      <c r="M1173" s="80">
        <f>(Matrix_prices!M1161+$D$2)*IF($M$2="Prices in $/MWh",1,1/1000)</f>
        <v>29.06</v>
      </c>
      <c r="N1173" s="79">
        <f>(Matrix_prices!N1161+$D$2)*IF($M$2="Prices in $/MWh",1,1/1000)</f>
        <v>30.17</v>
      </c>
      <c r="O1173" s="61"/>
    </row>
    <row r="1174" spans="2:15" x14ac:dyDescent="0.25">
      <c r="B1174" s="57"/>
      <c r="C1174" s="82">
        <f>Matrix_prices!C1162</f>
        <v>42461</v>
      </c>
      <c r="D1174" s="83" t="str">
        <f>Matrix_prices!D1162</f>
        <v>PA</v>
      </c>
      <c r="E1174" s="84" t="str">
        <f>Matrix_prices!E1162</f>
        <v>PPL</v>
      </c>
      <c r="F1174" s="83" t="str">
        <f>Matrix_prices!F1162</f>
        <v>GS1</v>
      </c>
      <c r="G1174" s="84" t="str">
        <f>Matrix_prices!G1162</f>
        <v>General Service Small</v>
      </c>
      <c r="H1174" s="85" t="str">
        <f t="shared" si="53"/>
        <v>500-2500 MWh</v>
      </c>
      <c r="I1174" s="84">
        <f>(Matrix_prices!I1162+$D$2)*IF($M$2="Prices in $/MWh",1,1/1000)</f>
        <v>71.290000000000006</v>
      </c>
      <c r="J1174" s="83">
        <f>(Matrix_prices!J1162+$D$2)*IF($M$2="Prices in $/MWh",1,1/1000)</f>
        <v>69.97</v>
      </c>
      <c r="K1174" s="84">
        <f>(Matrix_prices!K1162+$D$2)*IF($M$2="Prices in $/MWh",1,1/1000)</f>
        <v>70.86</v>
      </c>
      <c r="L1174" s="83">
        <f>(Matrix_prices!L1162+$D$2)*IF($M$2="Prices in $/MWh",1,1/1000)</f>
        <v>28.88</v>
      </c>
      <c r="M1174" s="84">
        <f>(Matrix_prices!M1162+$D$2)*IF($M$2="Prices in $/MWh",1,1/1000)</f>
        <v>28.01</v>
      </c>
      <c r="N1174" s="83">
        <f>(Matrix_prices!N1162+$D$2)*IF($M$2="Prices in $/MWh",1,1/1000)</f>
        <v>29.12</v>
      </c>
      <c r="O1174" s="61"/>
    </row>
    <row r="1175" spans="2:15" x14ac:dyDescent="0.25">
      <c r="B1175" s="57"/>
      <c r="C1175" s="74">
        <f>Matrix_prices!C1163</f>
        <v>42491</v>
      </c>
      <c r="D1175" s="75" t="str">
        <f>Matrix_prices!D1163</f>
        <v>PA</v>
      </c>
      <c r="E1175" s="76" t="str">
        <f>Matrix_prices!E1163</f>
        <v>PPL</v>
      </c>
      <c r="F1175" s="75" t="str">
        <f>Matrix_prices!F1163</f>
        <v>GS1</v>
      </c>
      <c r="G1175" s="76" t="str">
        <f>Matrix_prices!G1163</f>
        <v>General Service Small</v>
      </c>
      <c r="H1175" s="157" t="str">
        <f t="shared" si="51"/>
        <v>0-100 MWh</v>
      </c>
      <c r="I1175" s="76">
        <f>(Matrix_prices!I1163+$D$2)*IF($M$2="Prices in $/MWh",1,1/1000)</f>
        <v>73.959999999999994</v>
      </c>
      <c r="J1175" s="75">
        <f>(Matrix_prices!J1163+$D$2)*IF($M$2="Prices in $/MWh",1,1/1000)</f>
        <v>72.37</v>
      </c>
      <c r="K1175" s="76">
        <f>(Matrix_prices!K1163+$D$2)*IF($M$2="Prices in $/MWh",1,1/1000)</f>
        <v>73.5</v>
      </c>
      <c r="L1175" s="75">
        <f>(Matrix_prices!L1163+$D$2)*IF($M$2="Prices in $/MWh",1,1/1000)</f>
        <v>31.41</v>
      </c>
      <c r="M1175" s="76">
        <f>(Matrix_prices!M1163+$D$2)*IF($M$2="Prices in $/MWh",1,1/1000)</f>
        <v>30.57</v>
      </c>
      <c r="N1175" s="75">
        <f>(Matrix_prices!N1163+$D$2)*IF($M$2="Prices in $/MWh",1,1/1000)</f>
        <v>31.77</v>
      </c>
      <c r="O1175" s="61"/>
    </row>
    <row r="1176" spans="2:15" x14ac:dyDescent="0.25">
      <c r="B1176" s="57"/>
      <c r="C1176" s="78">
        <f>Matrix_prices!C1164</f>
        <v>42491</v>
      </c>
      <c r="D1176" s="79" t="str">
        <f>Matrix_prices!D1164</f>
        <v>PA</v>
      </c>
      <c r="E1176" s="80" t="str">
        <f>Matrix_prices!E1164</f>
        <v>PPL</v>
      </c>
      <c r="F1176" s="79" t="str">
        <f>Matrix_prices!F1164</f>
        <v>GS1</v>
      </c>
      <c r="G1176" s="80" t="str">
        <f>Matrix_prices!G1164</f>
        <v>General Service Small</v>
      </c>
      <c r="H1176" s="81" t="str">
        <f t="shared" si="52"/>
        <v>100-500 MWh</v>
      </c>
      <c r="I1176" s="80">
        <f>(Matrix_prices!I1164+$D$2)*IF($M$2="Prices in $/MWh",1,1/1000)</f>
        <v>72.36</v>
      </c>
      <c r="J1176" s="79">
        <f>(Matrix_prices!J1164+$D$2)*IF($M$2="Prices in $/MWh",1,1/1000)</f>
        <v>70.77</v>
      </c>
      <c r="K1176" s="80">
        <f>(Matrix_prices!K1164+$D$2)*IF($M$2="Prices in $/MWh",1,1/1000)</f>
        <v>71.900000000000006</v>
      </c>
      <c r="L1176" s="79">
        <f>(Matrix_prices!L1164+$D$2)*IF($M$2="Prices in $/MWh",1,1/1000)</f>
        <v>29.81</v>
      </c>
      <c r="M1176" s="80">
        <f>(Matrix_prices!M1164+$D$2)*IF($M$2="Prices in $/MWh",1,1/1000)</f>
        <v>28.97</v>
      </c>
      <c r="N1176" s="79">
        <f>(Matrix_prices!N1164+$D$2)*IF($M$2="Prices in $/MWh",1,1/1000)</f>
        <v>30.17</v>
      </c>
      <c r="O1176" s="61"/>
    </row>
    <row r="1177" spans="2:15" x14ac:dyDescent="0.25">
      <c r="B1177" s="57"/>
      <c r="C1177" s="82">
        <f>Matrix_prices!C1165</f>
        <v>42491</v>
      </c>
      <c r="D1177" s="83" t="str">
        <f>Matrix_prices!D1165</f>
        <v>PA</v>
      </c>
      <c r="E1177" s="84" t="str">
        <f>Matrix_prices!E1165</f>
        <v>PPL</v>
      </c>
      <c r="F1177" s="83" t="str">
        <f>Matrix_prices!F1165</f>
        <v>GS1</v>
      </c>
      <c r="G1177" s="84" t="str">
        <f>Matrix_prices!G1165</f>
        <v>General Service Small</v>
      </c>
      <c r="H1177" s="85" t="str">
        <f t="shared" si="53"/>
        <v>500-2500 MWh</v>
      </c>
      <c r="I1177" s="84">
        <f>(Matrix_prices!I1165+$D$2)*IF($M$2="Prices in $/MWh",1,1/1000)</f>
        <v>71.31</v>
      </c>
      <c r="J1177" s="83">
        <f>(Matrix_prices!J1165+$D$2)*IF($M$2="Prices in $/MWh",1,1/1000)</f>
        <v>69.72</v>
      </c>
      <c r="K1177" s="84">
        <f>(Matrix_prices!K1165+$D$2)*IF($M$2="Prices in $/MWh",1,1/1000)</f>
        <v>70.849999999999994</v>
      </c>
      <c r="L1177" s="83">
        <f>(Matrix_prices!L1165+$D$2)*IF($M$2="Prices in $/MWh",1,1/1000)</f>
        <v>28.76</v>
      </c>
      <c r="M1177" s="84">
        <f>(Matrix_prices!M1165+$D$2)*IF($M$2="Prices in $/MWh",1,1/1000)</f>
        <v>27.92</v>
      </c>
      <c r="N1177" s="83">
        <f>(Matrix_prices!N1165+$D$2)*IF($M$2="Prices in $/MWh",1,1/1000)</f>
        <v>29.12</v>
      </c>
      <c r="O1177" s="61"/>
    </row>
    <row r="1178" spans="2:15" x14ac:dyDescent="0.25">
      <c r="B1178" s="57"/>
      <c r="C1178" s="151">
        <f>Matrix_prices!C1166</f>
        <v>42522</v>
      </c>
      <c r="D1178" s="152" t="str">
        <f>Matrix_prices!D1166</f>
        <v>PA</v>
      </c>
      <c r="E1178" s="153" t="str">
        <f>Matrix_prices!E1166</f>
        <v>PPL</v>
      </c>
      <c r="F1178" s="152" t="str">
        <f>Matrix_prices!F1166</f>
        <v>GS1</v>
      </c>
      <c r="G1178" s="153" t="str">
        <f>Matrix_prices!G1166</f>
        <v>General Service Small</v>
      </c>
      <c r="H1178" s="157" t="str">
        <f t="shared" si="51"/>
        <v>0-100 MWh</v>
      </c>
      <c r="I1178" s="153">
        <f>(Matrix_prices!I1166+$D$2)*IF($M$2="Prices in $/MWh",1,1/1000)</f>
        <v>73.92</v>
      </c>
      <c r="J1178" s="152">
        <f>(Matrix_prices!J1166+$D$2)*IF($M$2="Prices in $/MWh",1,1/1000)</f>
        <v>72.06</v>
      </c>
      <c r="K1178" s="153">
        <f>(Matrix_prices!K1166+$D$2)*IF($M$2="Prices in $/MWh",1,1/1000)</f>
        <v>73.48</v>
      </c>
      <c r="L1178" s="152">
        <f>(Matrix_prices!L1166+$D$2)*IF($M$2="Prices in $/MWh",1,1/1000)</f>
        <v>31.34</v>
      </c>
      <c r="M1178" s="153">
        <f>(Matrix_prices!M1166+$D$2)*IF($M$2="Prices in $/MWh",1,1/1000)</f>
        <v>30.48</v>
      </c>
      <c r="N1178" s="152">
        <f>(Matrix_prices!N1166+$D$2)*IF($M$2="Prices in $/MWh",1,1/1000)</f>
        <v>31.78</v>
      </c>
      <c r="O1178" s="61"/>
    </row>
    <row r="1179" spans="2:15" x14ac:dyDescent="0.25">
      <c r="B1179" s="57"/>
      <c r="C1179" s="78">
        <f>Matrix_prices!C1167</f>
        <v>42522</v>
      </c>
      <c r="D1179" s="79" t="str">
        <f>Matrix_prices!D1167</f>
        <v>PA</v>
      </c>
      <c r="E1179" s="80" t="str">
        <f>Matrix_prices!E1167</f>
        <v>PPL</v>
      </c>
      <c r="F1179" s="79" t="str">
        <f>Matrix_prices!F1167</f>
        <v>GS1</v>
      </c>
      <c r="G1179" s="80" t="str">
        <f>Matrix_prices!G1167</f>
        <v>General Service Small</v>
      </c>
      <c r="H1179" s="81" t="str">
        <f t="shared" si="52"/>
        <v>100-500 MWh</v>
      </c>
      <c r="I1179" s="80">
        <f>(Matrix_prices!I1167+$D$2)*IF($M$2="Prices in $/MWh",1,1/1000)</f>
        <v>72.319999999999993</v>
      </c>
      <c r="J1179" s="79">
        <f>(Matrix_prices!J1167+$D$2)*IF($M$2="Prices in $/MWh",1,1/1000)</f>
        <v>70.459999999999994</v>
      </c>
      <c r="K1179" s="80">
        <f>(Matrix_prices!K1167+$D$2)*IF($M$2="Prices in $/MWh",1,1/1000)</f>
        <v>71.88</v>
      </c>
      <c r="L1179" s="79">
        <f>(Matrix_prices!L1167+$D$2)*IF($M$2="Prices in $/MWh",1,1/1000)</f>
        <v>29.74</v>
      </c>
      <c r="M1179" s="80">
        <f>(Matrix_prices!M1167+$D$2)*IF($M$2="Prices in $/MWh",1,1/1000)</f>
        <v>28.88</v>
      </c>
      <c r="N1179" s="79">
        <f>(Matrix_prices!N1167+$D$2)*IF($M$2="Prices in $/MWh",1,1/1000)</f>
        <v>30.18</v>
      </c>
      <c r="O1179" s="61"/>
    </row>
    <row r="1180" spans="2:15" x14ac:dyDescent="0.25">
      <c r="B1180" s="57"/>
      <c r="C1180" s="82">
        <f>Matrix_prices!C1168</f>
        <v>42522</v>
      </c>
      <c r="D1180" s="83" t="str">
        <f>Matrix_prices!D1168</f>
        <v>PA</v>
      </c>
      <c r="E1180" s="84" t="str">
        <f>Matrix_prices!E1168</f>
        <v>PPL</v>
      </c>
      <c r="F1180" s="83" t="str">
        <f>Matrix_prices!F1168</f>
        <v>GS1</v>
      </c>
      <c r="G1180" s="84" t="str">
        <f>Matrix_prices!G1168</f>
        <v>General Service Small</v>
      </c>
      <c r="H1180" s="85" t="str">
        <f t="shared" si="53"/>
        <v>500-2500 MWh</v>
      </c>
      <c r="I1180" s="84">
        <f>(Matrix_prices!I1168+$D$2)*IF($M$2="Prices in $/MWh",1,1/1000)</f>
        <v>71.27</v>
      </c>
      <c r="J1180" s="83">
        <f>(Matrix_prices!J1168+$D$2)*IF($M$2="Prices in $/MWh",1,1/1000)</f>
        <v>69.41</v>
      </c>
      <c r="K1180" s="84">
        <f>(Matrix_prices!K1168+$D$2)*IF($M$2="Prices in $/MWh",1,1/1000)</f>
        <v>70.83</v>
      </c>
      <c r="L1180" s="83">
        <f>(Matrix_prices!L1168+$D$2)*IF($M$2="Prices in $/MWh",1,1/1000)</f>
        <v>28.69</v>
      </c>
      <c r="M1180" s="84">
        <f>(Matrix_prices!M1168+$D$2)*IF($M$2="Prices in $/MWh",1,1/1000)</f>
        <v>27.83</v>
      </c>
      <c r="N1180" s="83">
        <f>(Matrix_prices!N1168+$D$2)*IF($M$2="Prices in $/MWh",1,1/1000)</f>
        <v>29.13</v>
      </c>
      <c r="O1180" s="61"/>
    </row>
    <row r="1181" spans="2:15" x14ac:dyDescent="0.25">
      <c r="B1181" s="57"/>
      <c r="C1181" s="74">
        <f>Matrix_prices!C1169</f>
        <v>42552</v>
      </c>
      <c r="D1181" s="75" t="str">
        <f>Matrix_prices!D1169</f>
        <v>PA</v>
      </c>
      <c r="E1181" s="76" t="str">
        <f>Matrix_prices!E1169</f>
        <v>PPL</v>
      </c>
      <c r="F1181" s="75" t="str">
        <f>Matrix_prices!F1169</f>
        <v>GS1</v>
      </c>
      <c r="G1181" s="76" t="str">
        <f>Matrix_prices!G1169</f>
        <v>General Service Small</v>
      </c>
      <c r="H1181" s="157" t="str">
        <f t="shared" si="51"/>
        <v>0-100 MWh</v>
      </c>
      <c r="I1181" s="76">
        <f>(Matrix_prices!I1169+$D$2)*IF($M$2="Prices in $/MWh",1,1/1000)</f>
        <v>73.94</v>
      </c>
      <c r="J1181" s="75">
        <f>(Matrix_prices!J1169+$D$2)*IF($M$2="Prices in $/MWh",1,1/1000)</f>
        <v>72.040000000000006</v>
      </c>
      <c r="K1181" s="76">
        <f>(Matrix_prices!K1169+$D$2)*IF($M$2="Prices in $/MWh",1,1/1000)</f>
        <v>73.55</v>
      </c>
      <c r="L1181" s="75">
        <f>(Matrix_prices!L1169+$D$2)*IF($M$2="Prices in $/MWh",1,1/1000)</f>
        <v>31.45</v>
      </c>
      <c r="M1181" s="76">
        <f>(Matrix_prices!M1169+$D$2)*IF($M$2="Prices in $/MWh",1,1/1000)</f>
        <v>30.87</v>
      </c>
      <c r="N1181" s="75">
        <f>(Matrix_prices!N1169+$D$2)*IF($M$2="Prices in $/MWh",1,1/1000)</f>
        <v>32.03</v>
      </c>
      <c r="O1181" s="61"/>
    </row>
    <row r="1182" spans="2:15" x14ac:dyDescent="0.25">
      <c r="B1182" s="57"/>
      <c r="C1182" s="78">
        <f>Matrix_prices!C1170</f>
        <v>42552</v>
      </c>
      <c r="D1182" s="79" t="str">
        <f>Matrix_prices!D1170</f>
        <v>PA</v>
      </c>
      <c r="E1182" s="80" t="str">
        <f>Matrix_prices!E1170</f>
        <v>PPL</v>
      </c>
      <c r="F1182" s="79" t="str">
        <f>Matrix_prices!F1170</f>
        <v>GS1</v>
      </c>
      <c r="G1182" s="80" t="str">
        <f>Matrix_prices!G1170</f>
        <v>General Service Small</v>
      </c>
      <c r="H1182" s="81" t="str">
        <f t="shared" si="52"/>
        <v>100-500 MWh</v>
      </c>
      <c r="I1182" s="80">
        <f>(Matrix_prices!I1170+$D$2)*IF($M$2="Prices in $/MWh",1,1/1000)</f>
        <v>72.34</v>
      </c>
      <c r="J1182" s="79">
        <f>(Matrix_prices!J1170+$D$2)*IF($M$2="Prices in $/MWh",1,1/1000)</f>
        <v>70.44</v>
      </c>
      <c r="K1182" s="80">
        <f>(Matrix_prices!K1170+$D$2)*IF($M$2="Prices in $/MWh",1,1/1000)</f>
        <v>71.95</v>
      </c>
      <c r="L1182" s="79">
        <f>(Matrix_prices!L1170+$D$2)*IF($M$2="Prices in $/MWh",1,1/1000)</f>
        <v>29.85</v>
      </c>
      <c r="M1182" s="80">
        <f>(Matrix_prices!M1170+$D$2)*IF($M$2="Prices in $/MWh",1,1/1000)</f>
        <v>29.27</v>
      </c>
      <c r="N1182" s="79">
        <f>(Matrix_prices!N1170+$D$2)*IF($M$2="Prices in $/MWh",1,1/1000)</f>
        <v>30.43</v>
      </c>
      <c r="O1182" s="61"/>
    </row>
    <row r="1183" spans="2:15" x14ac:dyDescent="0.25">
      <c r="B1183" s="57"/>
      <c r="C1183" s="82">
        <f>Matrix_prices!C1171</f>
        <v>42552</v>
      </c>
      <c r="D1183" s="83" t="str">
        <f>Matrix_prices!D1171</f>
        <v>PA</v>
      </c>
      <c r="E1183" s="84" t="str">
        <f>Matrix_prices!E1171</f>
        <v>PPL</v>
      </c>
      <c r="F1183" s="83" t="str">
        <f>Matrix_prices!F1171</f>
        <v>GS1</v>
      </c>
      <c r="G1183" s="84" t="str">
        <f>Matrix_prices!G1171</f>
        <v>General Service Small</v>
      </c>
      <c r="H1183" s="85" t="str">
        <f t="shared" si="53"/>
        <v>500-2500 MWh</v>
      </c>
      <c r="I1183" s="84">
        <f>(Matrix_prices!I1171+$D$2)*IF($M$2="Prices in $/MWh",1,1/1000)</f>
        <v>71.290000000000006</v>
      </c>
      <c r="J1183" s="83">
        <f>(Matrix_prices!J1171+$D$2)*IF($M$2="Prices in $/MWh",1,1/1000)</f>
        <v>69.39</v>
      </c>
      <c r="K1183" s="84">
        <f>(Matrix_prices!K1171+$D$2)*IF($M$2="Prices in $/MWh",1,1/1000)</f>
        <v>70.900000000000006</v>
      </c>
      <c r="L1183" s="83">
        <f>(Matrix_prices!L1171+$D$2)*IF($M$2="Prices in $/MWh",1,1/1000)</f>
        <v>28.8</v>
      </c>
      <c r="M1183" s="84">
        <f>(Matrix_prices!M1171+$D$2)*IF($M$2="Prices in $/MWh",1,1/1000)</f>
        <v>28.22</v>
      </c>
      <c r="N1183" s="83">
        <f>(Matrix_prices!N1171+$D$2)*IF($M$2="Prices in $/MWh",1,1/1000)</f>
        <v>29.38</v>
      </c>
      <c r="O1183" s="61"/>
    </row>
    <row r="1184" spans="2:15" x14ac:dyDescent="0.25">
      <c r="B1184" s="57"/>
      <c r="C1184" s="151">
        <f>Matrix_prices!C1172</f>
        <v>42583</v>
      </c>
      <c r="D1184" s="152" t="str">
        <f>Matrix_prices!D1172</f>
        <v>PA</v>
      </c>
      <c r="E1184" s="153" t="str">
        <f>Matrix_prices!E1172</f>
        <v>PPL</v>
      </c>
      <c r="F1184" s="152" t="str">
        <f>Matrix_prices!F1172</f>
        <v>GS1</v>
      </c>
      <c r="G1184" s="153" t="str">
        <f>Matrix_prices!G1172</f>
        <v>General Service Small</v>
      </c>
      <c r="H1184" s="157" t="str">
        <f t="shared" si="51"/>
        <v>0-100 MWh</v>
      </c>
      <c r="I1184" s="153">
        <f>(Matrix_prices!I1172+$D$2)*IF($M$2="Prices in $/MWh",1,1/1000)</f>
        <v>73.87</v>
      </c>
      <c r="J1184" s="152">
        <f>(Matrix_prices!J1172+$D$2)*IF($M$2="Prices in $/MWh",1,1/1000)</f>
        <v>73.040000000000006</v>
      </c>
      <c r="K1184" s="153">
        <f>(Matrix_prices!K1172+$D$2)*IF($M$2="Prices in $/MWh",1,1/1000)</f>
        <v>73.599999999999994</v>
      </c>
      <c r="L1184" s="152">
        <f>(Matrix_prices!L1172+$D$2)*IF($M$2="Prices in $/MWh",1,1/1000)</f>
        <v>31.59</v>
      </c>
      <c r="M1184" s="153">
        <f>(Matrix_prices!M1172+$D$2)*IF($M$2="Prices in $/MWh",1,1/1000)</f>
        <v>31.53</v>
      </c>
      <c r="N1184" s="152">
        <f>(Matrix_prices!N1172+$D$2)*IF($M$2="Prices in $/MWh",1,1/1000)</f>
        <v>32.200000000000003</v>
      </c>
      <c r="O1184" s="61"/>
    </row>
    <row r="1185" spans="2:15" x14ac:dyDescent="0.25">
      <c r="B1185" s="57"/>
      <c r="C1185" s="78">
        <f>Matrix_prices!C1173</f>
        <v>42583</v>
      </c>
      <c r="D1185" s="79" t="str">
        <f>Matrix_prices!D1173</f>
        <v>PA</v>
      </c>
      <c r="E1185" s="80" t="str">
        <f>Matrix_prices!E1173</f>
        <v>PPL</v>
      </c>
      <c r="F1185" s="79" t="str">
        <f>Matrix_prices!F1173</f>
        <v>GS1</v>
      </c>
      <c r="G1185" s="80" t="str">
        <f>Matrix_prices!G1173</f>
        <v>General Service Small</v>
      </c>
      <c r="H1185" s="81" t="str">
        <f t="shared" si="52"/>
        <v>100-500 MWh</v>
      </c>
      <c r="I1185" s="80">
        <f>(Matrix_prices!I1173+$D$2)*IF($M$2="Prices in $/MWh",1,1/1000)</f>
        <v>72.27</v>
      </c>
      <c r="J1185" s="79">
        <f>(Matrix_prices!J1173+$D$2)*IF($M$2="Prices in $/MWh",1,1/1000)</f>
        <v>71.44</v>
      </c>
      <c r="K1185" s="80">
        <f>(Matrix_prices!K1173+$D$2)*IF($M$2="Prices in $/MWh",1,1/1000)</f>
        <v>72</v>
      </c>
      <c r="L1185" s="79">
        <f>(Matrix_prices!L1173+$D$2)*IF($M$2="Prices in $/MWh",1,1/1000)</f>
        <v>29.99</v>
      </c>
      <c r="M1185" s="80">
        <f>(Matrix_prices!M1173+$D$2)*IF($M$2="Prices in $/MWh",1,1/1000)</f>
        <v>29.93</v>
      </c>
      <c r="N1185" s="79">
        <f>(Matrix_prices!N1173+$D$2)*IF($M$2="Prices in $/MWh",1,1/1000)</f>
        <v>30.6</v>
      </c>
      <c r="O1185" s="61"/>
    </row>
    <row r="1186" spans="2:15" x14ac:dyDescent="0.25">
      <c r="B1186" s="57"/>
      <c r="C1186" s="82">
        <f>Matrix_prices!C1174</f>
        <v>42583</v>
      </c>
      <c r="D1186" s="83" t="str">
        <f>Matrix_prices!D1174</f>
        <v>PA</v>
      </c>
      <c r="E1186" s="84" t="str">
        <f>Matrix_prices!E1174</f>
        <v>PPL</v>
      </c>
      <c r="F1186" s="83" t="str">
        <f>Matrix_prices!F1174</f>
        <v>GS1</v>
      </c>
      <c r="G1186" s="84" t="str">
        <f>Matrix_prices!G1174</f>
        <v>General Service Small</v>
      </c>
      <c r="H1186" s="85" t="str">
        <f t="shared" si="53"/>
        <v>500-2500 MWh</v>
      </c>
      <c r="I1186" s="84">
        <f>(Matrix_prices!I1174+$D$2)*IF($M$2="Prices in $/MWh",1,1/1000)</f>
        <v>71.22</v>
      </c>
      <c r="J1186" s="83">
        <f>(Matrix_prices!J1174+$D$2)*IF($M$2="Prices in $/MWh",1,1/1000)</f>
        <v>70.39</v>
      </c>
      <c r="K1186" s="84">
        <f>(Matrix_prices!K1174+$D$2)*IF($M$2="Prices in $/MWh",1,1/1000)</f>
        <v>70.95</v>
      </c>
      <c r="L1186" s="83">
        <f>(Matrix_prices!L1174+$D$2)*IF($M$2="Prices in $/MWh",1,1/1000)</f>
        <v>28.94</v>
      </c>
      <c r="M1186" s="84">
        <f>(Matrix_prices!M1174+$D$2)*IF($M$2="Prices in $/MWh",1,1/1000)</f>
        <v>28.88</v>
      </c>
      <c r="N1186" s="83">
        <f>(Matrix_prices!N1174+$D$2)*IF($M$2="Prices in $/MWh",1,1/1000)</f>
        <v>29.55</v>
      </c>
      <c r="O1186" s="61"/>
    </row>
    <row r="1187" spans="2:15" x14ac:dyDescent="0.25">
      <c r="B1187" s="57"/>
      <c r="C1187" s="74">
        <f>Matrix_prices!C1175</f>
        <v>42614</v>
      </c>
      <c r="D1187" s="75" t="str">
        <f>Matrix_prices!D1175</f>
        <v>PA</v>
      </c>
      <c r="E1187" s="76" t="str">
        <f>Matrix_prices!E1175</f>
        <v>PPL</v>
      </c>
      <c r="F1187" s="75" t="str">
        <f>Matrix_prices!F1175</f>
        <v>GS1</v>
      </c>
      <c r="G1187" s="76" t="str">
        <f>Matrix_prices!G1175</f>
        <v>General Service Small</v>
      </c>
      <c r="H1187" s="157" t="str">
        <f t="shared" si="51"/>
        <v>0-100 MWh</v>
      </c>
      <c r="I1187" s="76">
        <f>(Matrix_prices!I1175+$D$2)*IF($M$2="Prices in $/MWh",1,1/1000)</f>
        <v>73.790000000000006</v>
      </c>
      <c r="J1187" s="75">
        <f>(Matrix_prices!J1175+$D$2)*IF($M$2="Prices in $/MWh",1,1/1000)</f>
        <v>73.91</v>
      </c>
      <c r="K1187" s="76">
        <f>(Matrix_prices!K1175+$D$2)*IF($M$2="Prices in $/MWh",1,1/1000)</f>
        <v>73.64</v>
      </c>
      <c r="L1187" s="75">
        <f>(Matrix_prices!L1175+$D$2)*IF($M$2="Prices in $/MWh",1,1/1000)</f>
        <v>31.7</v>
      </c>
      <c r="M1187" s="76">
        <f>(Matrix_prices!M1175+$D$2)*IF($M$2="Prices in $/MWh",1,1/1000)</f>
        <v>32.19</v>
      </c>
      <c r="N1187" s="75">
        <f>(Matrix_prices!N1175+$D$2)*IF($M$2="Prices in $/MWh",1,1/1000)</f>
        <v>32.39</v>
      </c>
      <c r="O1187" s="61"/>
    </row>
    <row r="1188" spans="2:15" x14ac:dyDescent="0.25">
      <c r="B1188" s="57"/>
      <c r="C1188" s="78">
        <f>Matrix_prices!C1176</f>
        <v>42614</v>
      </c>
      <c r="D1188" s="79" t="str">
        <f>Matrix_prices!D1176</f>
        <v>PA</v>
      </c>
      <c r="E1188" s="80" t="str">
        <f>Matrix_prices!E1176</f>
        <v>PPL</v>
      </c>
      <c r="F1188" s="79" t="str">
        <f>Matrix_prices!F1176</f>
        <v>GS1</v>
      </c>
      <c r="G1188" s="80" t="str">
        <f>Matrix_prices!G1176</f>
        <v>General Service Small</v>
      </c>
      <c r="H1188" s="81" t="str">
        <f t="shared" si="52"/>
        <v>100-500 MWh</v>
      </c>
      <c r="I1188" s="80">
        <f>(Matrix_prices!I1176+$D$2)*IF($M$2="Prices in $/MWh",1,1/1000)</f>
        <v>72.19</v>
      </c>
      <c r="J1188" s="79">
        <f>(Matrix_prices!J1176+$D$2)*IF($M$2="Prices in $/MWh",1,1/1000)</f>
        <v>72.31</v>
      </c>
      <c r="K1188" s="80">
        <f>(Matrix_prices!K1176+$D$2)*IF($M$2="Prices in $/MWh",1,1/1000)</f>
        <v>72.040000000000006</v>
      </c>
      <c r="L1188" s="79">
        <f>(Matrix_prices!L1176+$D$2)*IF($M$2="Prices in $/MWh",1,1/1000)</f>
        <v>30.1</v>
      </c>
      <c r="M1188" s="80">
        <f>(Matrix_prices!M1176+$D$2)*IF($M$2="Prices in $/MWh",1,1/1000)</f>
        <v>30.59</v>
      </c>
      <c r="N1188" s="79">
        <f>(Matrix_prices!N1176+$D$2)*IF($M$2="Prices in $/MWh",1,1/1000)</f>
        <v>30.79</v>
      </c>
      <c r="O1188" s="61"/>
    </row>
    <row r="1189" spans="2:15" x14ac:dyDescent="0.25">
      <c r="B1189" s="57"/>
      <c r="C1189" s="82">
        <f>Matrix_prices!C1177</f>
        <v>42614</v>
      </c>
      <c r="D1189" s="83" t="str">
        <f>Matrix_prices!D1177</f>
        <v>PA</v>
      </c>
      <c r="E1189" s="84" t="str">
        <f>Matrix_prices!E1177</f>
        <v>PPL</v>
      </c>
      <c r="F1189" s="83" t="str">
        <f>Matrix_prices!F1177</f>
        <v>GS1</v>
      </c>
      <c r="G1189" s="84" t="str">
        <f>Matrix_prices!G1177</f>
        <v>General Service Small</v>
      </c>
      <c r="H1189" s="85" t="str">
        <f t="shared" si="53"/>
        <v>500-2500 MWh</v>
      </c>
      <c r="I1189" s="84">
        <f>(Matrix_prices!I1177+$D$2)*IF($M$2="Prices in $/MWh",1,1/1000)</f>
        <v>71.14</v>
      </c>
      <c r="J1189" s="83">
        <f>(Matrix_prices!J1177+$D$2)*IF($M$2="Prices in $/MWh",1,1/1000)</f>
        <v>71.260000000000005</v>
      </c>
      <c r="K1189" s="84">
        <f>(Matrix_prices!K1177+$D$2)*IF($M$2="Prices in $/MWh",1,1/1000)</f>
        <v>70.989999999999995</v>
      </c>
      <c r="L1189" s="83">
        <f>(Matrix_prices!L1177+$D$2)*IF($M$2="Prices in $/MWh",1,1/1000)</f>
        <v>29.05</v>
      </c>
      <c r="M1189" s="84">
        <f>(Matrix_prices!M1177+$D$2)*IF($M$2="Prices in $/MWh",1,1/1000)</f>
        <v>29.54</v>
      </c>
      <c r="N1189" s="83">
        <f>(Matrix_prices!N1177+$D$2)*IF($M$2="Prices in $/MWh",1,1/1000)</f>
        <v>29.74</v>
      </c>
      <c r="O1189" s="61"/>
    </row>
    <row r="1190" spans="2:15" x14ac:dyDescent="0.25">
      <c r="B1190" s="57"/>
      <c r="C1190" s="151">
        <f>Matrix_prices!C1178</f>
        <v>42644</v>
      </c>
      <c r="D1190" s="152" t="str">
        <f>Matrix_prices!D1178</f>
        <v>PA</v>
      </c>
      <c r="E1190" s="153" t="str">
        <f>Matrix_prices!E1178</f>
        <v>PPL</v>
      </c>
      <c r="F1190" s="152" t="str">
        <f>Matrix_prices!F1178</f>
        <v>GS1</v>
      </c>
      <c r="G1190" s="153" t="str">
        <f>Matrix_prices!G1178</f>
        <v>General Service Small</v>
      </c>
      <c r="H1190" s="157" t="str">
        <f t="shared" si="51"/>
        <v>0-100 MWh</v>
      </c>
      <c r="I1190" s="153">
        <f>(Matrix_prices!I1178+$D$2)*IF($M$2="Prices in $/MWh",1,1/1000)</f>
        <v>73.69</v>
      </c>
      <c r="J1190" s="152">
        <f>(Matrix_prices!J1178+$D$2)*IF($M$2="Prices in $/MWh",1,1/1000)</f>
        <v>74.5</v>
      </c>
      <c r="K1190" s="153">
        <f>(Matrix_prices!K1178+$D$2)*IF($M$2="Prices in $/MWh",1,1/1000)</f>
        <v>73.599999999999994</v>
      </c>
      <c r="L1190" s="152">
        <f>(Matrix_prices!L1178+$D$2)*IF($M$2="Prices in $/MWh",1,1/1000)</f>
        <v>31.68</v>
      </c>
      <c r="M1190" s="153">
        <f>(Matrix_prices!M1178+$D$2)*IF($M$2="Prices in $/MWh",1,1/1000)</f>
        <v>32.79</v>
      </c>
      <c r="N1190" s="152">
        <f>(Matrix_prices!N1178+$D$2)*IF($M$2="Prices in $/MWh",1,1/1000)</f>
        <v>32.49</v>
      </c>
      <c r="O1190" s="61"/>
    </row>
    <row r="1191" spans="2:15" x14ac:dyDescent="0.25">
      <c r="B1191" s="57"/>
      <c r="C1191" s="78">
        <f>Matrix_prices!C1179</f>
        <v>42644</v>
      </c>
      <c r="D1191" s="79" t="str">
        <f>Matrix_prices!D1179</f>
        <v>PA</v>
      </c>
      <c r="E1191" s="80" t="str">
        <f>Matrix_prices!E1179</f>
        <v>PPL</v>
      </c>
      <c r="F1191" s="79" t="str">
        <f>Matrix_prices!F1179</f>
        <v>GS1</v>
      </c>
      <c r="G1191" s="80" t="str">
        <f>Matrix_prices!G1179</f>
        <v>General Service Small</v>
      </c>
      <c r="H1191" s="81" t="str">
        <f t="shared" si="52"/>
        <v>100-500 MWh</v>
      </c>
      <c r="I1191" s="80">
        <f>(Matrix_prices!I1179+$D$2)*IF($M$2="Prices in $/MWh",1,1/1000)</f>
        <v>72.09</v>
      </c>
      <c r="J1191" s="79">
        <f>(Matrix_prices!J1179+$D$2)*IF($M$2="Prices in $/MWh",1,1/1000)</f>
        <v>72.900000000000006</v>
      </c>
      <c r="K1191" s="80">
        <f>(Matrix_prices!K1179+$D$2)*IF($M$2="Prices in $/MWh",1,1/1000)</f>
        <v>72</v>
      </c>
      <c r="L1191" s="79">
        <f>(Matrix_prices!L1179+$D$2)*IF($M$2="Prices in $/MWh",1,1/1000)</f>
        <v>30.08</v>
      </c>
      <c r="M1191" s="80">
        <f>(Matrix_prices!M1179+$D$2)*IF($M$2="Prices in $/MWh",1,1/1000)</f>
        <v>31.19</v>
      </c>
      <c r="N1191" s="79">
        <f>(Matrix_prices!N1179+$D$2)*IF($M$2="Prices in $/MWh",1,1/1000)</f>
        <v>30.89</v>
      </c>
      <c r="O1191" s="61"/>
    </row>
    <row r="1192" spans="2:15" x14ac:dyDescent="0.25">
      <c r="B1192" s="57"/>
      <c r="C1192" s="82">
        <f>Matrix_prices!C1180</f>
        <v>42644</v>
      </c>
      <c r="D1192" s="83" t="str">
        <f>Matrix_prices!D1180</f>
        <v>PA</v>
      </c>
      <c r="E1192" s="84" t="str">
        <f>Matrix_prices!E1180</f>
        <v>PPL</v>
      </c>
      <c r="F1192" s="83" t="str">
        <f>Matrix_prices!F1180</f>
        <v>GS1</v>
      </c>
      <c r="G1192" s="84" t="str">
        <f>Matrix_prices!G1180</f>
        <v>General Service Small</v>
      </c>
      <c r="H1192" s="85" t="str">
        <f t="shared" si="53"/>
        <v>500-2500 MWh</v>
      </c>
      <c r="I1192" s="84">
        <f>(Matrix_prices!I1180+$D$2)*IF($M$2="Prices in $/MWh",1,1/1000)</f>
        <v>71.040000000000006</v>
      </c>
      <c r="J1192" s="83">
        <f>(Matrix_prices!J1180+$D$2)*IF($M$2="Prices in $/MWh",1,1/1000)</f>
        <v>71.849999999999994</v>
      </c>
      <c r="K1192" s="84">
        <f>(Matrix_prices!K1180+$D$2)*IF($M$2="Prices in $/MWh",1,1/1000)</f>
        <v>70.95</v>
      </c>
      <c r="L1192" s="83">
        <f>(Matrix_prices!L1180+$D$2)*IF($M$2="Prices in $/MWh",1,1/1000)</f>
        <v>29.03</v>
      </c>
      <c r="M1192" s="84">
        <f>(Matrix_prices!M1180+$D$2)*IF($M$2="Prices in $/MWh",1,1/1000)</f>
        <v>30.14</v>
      </c>
      <c r="N1192" s="83">
        <f>(Matrix_prices!N1180+$D$2)*IF($M$2="Prices in $/MWh",1,1/1000)</f>
        <v>29.84</v>
      </c>
      <c r="O1192" s="61"/>
    </row>
    <row r="1193" spans="2:15" x14ac:dyDescent="0.25">
      <c r="B1193" s="57"/>
      <c r="C1193" s="74">
        <f>Matrix_prices!C1181</f>
        <v>42675</v>
      </c>
      <c r="D1193" s="75" t="str">
        <f>Matrix_prices!D1181</f>
        <v>PA</v>
      </c>
      <c r="E1193" s="76" t="str">
        <f>Matrix_prices!E1181</f>
        <v>PPL</v>
      </c>
      <c r="F1193" s="75" t="str">
        <f>Matrix_prices!F1181</f>
        <v>GS1</v>
      </c>
      <c r="G1193" s="76" t="str">
        <f>Matrix_prices!G1181</f>
        <v>General Service Small</v>
      </c>
      <c r="H1193" s="157" t="str">
        <f t="shared" ref="H1193:H1256" si="54">IF($M$2="Prices in $/MWh","0-100 MWh","0-100,000 kWh")</f>
        <v>0-100 MWh</v>
      </c>
      <c r="I1193" s="76">
        <f>(Matrix_prices!I1181+$D$2)*IF($M$2="Prices in $/MWh",1,1/1000)</f>
        <v>73.569999999999993</v>
      </c>
      <c r="J1193" s="75">
        <f>(Matrix_prices!J1181+$D$2)*IF($M$2="Prices in $/MWh",1,1/1000)</f>
        <v>74.650000000000006</v>
      </c>
      <c r="K1193" s="76">
        <f>(Matrix_prices!K1181+$D$2)*IF($M$2="Prices in $/MWh",1,1/1000)</f>
        <v>73.569999999999993</v>
      </c>
      <c r="L1193" s="75">
        <f>(Matrix_prices!L1181+$D$2)*IF($M$2="Prices in $/MWh",1,1/1000)</f>
        <v>31.69</v>
      </c>
      <c r="M1193" s="76">
        <f>(Matrix_prices!M1181+$D$2)*IF($M$2="Prices in $/MWh",1,1/1000)</f>
        <v>32.880000000000003</v>
      </c>
      <c r="N1193" s="75">
        <f>(Matrix_prices!N1181+$D$2)*IF($M$2="Prices in $/MWh",1,1/1000)</f>
        <v>32.57</v>
      </c>
      <c r="O1193" s="61"/>
    </row>
    <row r="1194" spans="2:15" x14ac:dyDescent="0.25">
      <c r="B1194" s="57"/>
      <c r="C1194" s="78">
        <f>Matrix_prices!C1182</f>
        <v>42675</v>
      </c>
      <c r="D1194" s="79" t="str">
        <f>Matrix_prices!D1182</f>
        <v>PA</v>
      </c>
      <c r="E1194" s="80" t="str">
        <f>Matrix_prices!E1182</f>
        <v>PPL</v>
      </c>
      <c r="F1194" s="79" t="str">
        <f>Matrix_prices!F1182</f>
        <v>GS1</v>
      </c>
      <c r="G1194" s="80" t="str">
        <f>Matrix_prices!G1182</f>
        <v>General Service Small</v>
      </c>
      <c r="H1194" s="81" t="str">
        <f t="shared" ref="H1194:H1257" si="55">IF($M$2="Prices in $/MWh","100-500 MWh","100,000-500,000 kWh")</f>
        <v>100-500 MWh</v>
      </c>
      <c r="I1194" s="80">
        <f>(Matrix_prices!I1182+$D$2)*IF($M$2="Prices in $/MWh",1,1/1000)</f>
        <v>71.97</v>
      </c>
      <c r="J1194" s="79">
        <f>(Matrix_prices!J1182+$D$2)*IF($M$2="Prices in $/MWh",1,1/1000)</f>
        <v>73.05</v>
      </c>
      <c r="K1194" s="80">
        <f>(Matrix_prices!K1182+$D$2)*IF($M$2="Prices in $/MWh",1,1/1000)</f>
        <v>71.97</v>
      </c>
      <c r="L1194" s="79">
        <f>(Matrix_prices!L1182+$D$2)*IF($M$2="Prices in $/MWh",1,1/1000)</f>
        <v>30.09</v>
      </c>
      <c r="M1194" s="80">
        <f>(Matrix_prices!M1182+$D$2)*IF($M$2="Prices in $/MWh",1,1/1000)</f>
        <v>31.28</v>
      </c>
      <c r="N1194" s="79">
        <f>(Matrix_prices!N1182+$D$2)*IF($M$2="Prices in $/MWh",1,1/1000)</f>
        <v>30.97</v>
      </c>
      <c r="O1194" s="61"/>
    </row>
    <row r="1195" spans="2:15" x14ac:dyDescent="0.25">
      <c r="B1195" s="57"/>
      <c r="C1195" s="82">
        <f>Matrix_prices!C1183</f>
        <v>42675</v>
      </c>
      <c r="D1195" s="83" t="str">
        <f>Matrix_prices!D1183</f>
        <v>PA</v>
      </c>
      <c r="E1195" s="84" t="str">
        <f>Matrix_prices!E1183</f>
        <v>PPL</v>
      </c>
      <c r="F1195" s="83" t="str">
        <f>Matrix_prices!F1183</f>
        <v>GS1</v>
      </c>
      <c r="G1195" s="84" t="str">
        <f>Matrix_prices!G1183</f>
        <v>General Service Small</v>
      </c>
      <c r="H1195" s="85" t="str">
        <f t="shared" ref="H1195:H1258" si="56">IF($M$2="Prices in $/MWh","500-2500 MWh","500,000-2,500,000 kWh")</f>
        <v>500-2500 MWh</v>
      </c>
      <c r="I1195" s="84">
        <f>(Matrix_prices!I1183+$D$2)*IF($M$2="Prices in $/MWh",1,1/1000)</f>
        <v>70.92</v>
      </c>
      <c r="J1195" s="83">
        <f>(Matrix_prices!J1183+$D$2)*IF($M$2="Prices in $/MWh",1,1/1000)</f>
        <v>72</v>
      </c>
      <c r="K1195" s="84">
        <f>(Matrix_prices!K1183+$D$2)*IF($M$2="Prices in $/MWh",1,1/1000)</f>
        <v>70.92</v>
      </c>
      <c r="L1195" s="83">
        <f>(Matrix_prices!L1183+$D$2)*IF($M$2="Prices in $/MWh",1,1/1000)</f>
        <v>29.04</v>
      </c>
      <c r="M1195" s="84">
        <f>(Matrix_prices!M1183+$D$2)*IF($M$2="Prices in $/MWh",1,1/1000)</f>
        <v>30.23</v>
      </c>
      <c r="N1195" s="83">
        <f>(Matrix_prices!N1183+$D$2)*IF($M$2="Prices in $/MWh",1,1/1000)</f>
        <v>29.92</v>
      </c>
      <c r="O1195" s="61"/>
    </row>
    <row r="1196" spans="2:15" x14ac:dyDescent="0.25">
      <c r="B1196" s="57"/>
      <c r="C1196" s="151">
        <f>Matrix_prices!C1184</f>
        <v>42705</v>
      </c>
      <c r="D1196" s="152" t="str">
        <f>Matrix_prices!D1184</f>
        <v>PA</v>
      </c>
      <c r="E1196" s="153" t="str">
        <f>Matrix_prices!E1184</f>
        <v>PPL</v>
      </c>
      <c r="F1196" s="152" t="str">
        <f>Matrix_prices!F1184</f>
        <v>GS1</v>
      </c>
      <c r="G1196" s="153" t="str">
        <f>Matrix_prices!G1184</f>
        <v>General Service Small</v>
      </c>
      <c r="H1196" s="157" t="str">
        <f t="shared" si="54"/>
        <v>0-100 MWh</v>
      </c>
      <c r="I1196" s="153">
        <f>(Matrix_prices!I1184+$D$2)*IF($M$2="Prices in $/MWh",1,1/1000)</f>
        <v>73.3</v>
      </c>
      <c r="J1196" s="152">
        <f>(Matrix_prices!J1184+$D$2)*IF($M$2="Prices in $/MWh",1,1/1000)</f>
        <v>74.77</v>
      </c>
      <c r="K1196" s="153">
        <f>(Matrix_prices!K1184+$D$2)*IF($M$2="Prices in $/MWh",1,1/1000)</f>
        <v>73.48</v>
      </c>
      <c r="L1196" s="152">
        <f>(Matrix_prices!L1184+$D$2)*IF($M$2="Prices in $/MWh",1,1/1000)</f>
        <v>31.59</v>
      </c>
      <c r="M1196" s="153">
        <f>(Matrix_prices!M1184+$D$2)*IF($M$2="Prices in $/MWh",1,1/1000)</f>
        <v>32.93</v>
      </c>
      <c r="N1196" s="152">
        <f>(Matrix_prices!N1184+$D$2)*IF($M$2="Prices in $/MWh",1,1/1000)</f>
        <v>32.630000000000003</v>
      </c>
      <c r="O1196" s="61"/>
    </row>
    <row r="1197" spans="2:15" x14ac:dyDescent="0.25">
      <c r="B1197" s="57"/>
      <c r="C1197" s="78">
        <f>Matrix_prices!C1185</f>
        <v>42705</v>
      </c>
      <c r="D1197" s="79" t="str">
        <f>Matrix_prices!D1185</f>
        <v>PA</v>
      </c>
      <c r="E1197" s="80" t="str">
        <f>Matrix_prices!E1185</f>
        <v>PPL</v>
      </c>
      <c r="F1197" s="79" t="str">
        <f>Matrix_prices!F1185</f>
        <v>GS1</v>
      </c>
      <c r="G1197" s="80" t="str">
        <f>Matrix_prices!G1185</f>
        <v>General Service Small</v>
      </c>
      <c r="H1197" s="81" t="str">
        <f t="shared" si="55"/>
        <v>100-500 MWh</v>
      </c>
      <c r="I1197" s="80">
        <f>(Matrix_prices!I1185+$D$2)*IF($M$2="Prices in $/MWh",1,1/1000)</f>
        <v>71.7</v>
      </c>
      <c r="J1197" s="79">
        <f>(Matrix_prices!J1185+$D$2)*IF($M$2="Prices in $/MWh",1,1/1000)</f>
        <v>73.17</v>
      </c>
      <c r="K1197" s="80">
        <f>(Matrix_prices!K1185+$D$2)*IF($M$2="Prices in $/MWh",1,1/1000)</f>
        <v>71.88</v>
      </c>
      <c r="L1197" s="79">
        <f>(Matrix_prices!L1185+$D$2)*IF($M$2="Prices in $/MWh",1,1/1000)</f>
        <v>29.99</v>
      </c>
      <c r="M1197" s="80">
        <f>(Matrix_prices!M1185+$D$2)*IF($M$2="Prices in $/MWh",1,1/1000)</f>
        <v>31.33</v>
      </c>
      <c r="N1197" s="79">
        <f>(Matrix_prices!N1185+$D$2)*IF($M$2="Prices in $/MWh",1,1/1000)</f>
        <v>31.03</v>
      </c>
      <c r="O1197" s="61"/>
    </row>
    <row r="1198" spans="2:15" x14ac:dyDescent="0.25">
      <c r="B1198" s="57"/>
      <c r="C1198" s="82">
        <f>Matrix_prices!C1186</f>
        <v>42705</v>
      </c>
      <c r="D1198" s="83" t="str">
        <f>Matrix_prices!D1186</f>
        <v>PA</v>
      </c>
      <c r="E1198" s="84" t="str">
        <f>Matrix_prices!E1186</f>
        <v>PPL</v>
      </c>
      <c r="F1198" s="83" t="str">
        <f>Matrix_prices!F1186</f>
        <v>GS1</v>
      </c>
      <c r="G1198" s="84" t="str">
        <f>Matrix_prices!G1186</f>
        <v>General Service Small</v>
      </c>
      <c r="H1198" s="85" t="str">
        <f t="shared" si="56"/>
        <v>500-2500 MWh</v>
      </c>
      <c r="I1198" s="84">
        <f>(Matrix_prices!I1186+$D$2)*IF($M$2="Prices in $/MWh",1,1/1000)</f>
        <v>70.650000000000006</v>
      </c>
      <c r="J1198" s="83">
        <f>(Matrix_prices!J1186+$D$2)*IF($M$2="Prices in $/MWh",1,1/1000)</f>
        <v>72.12</v>
      </c>
      <c r="K1198" s="84">
        <f>(Matrix_prices!K1186+$D$2)*IF($M$2="Prices in $/MWh",1,1/1000)</f>
        <v>70.83</v>
      </c>
      <c r="L1198" s="83">
        <f>(Matrix_prices!L1186+$D$2)*IF($M$2="Prices in $/MWh",1,1/1000)</f>
        <v>28.94</v>
      </c>
      <c r="M1198" s="84">
        <f>(Matrix_prices!M1186+$D$2)*IF($M$2="Prices in $/MWh",1,1/1000)</f>
        <v>30.28</v>
      </c>
      <c r="N1198" s="83">
        <f>(Matrix_prices!N1186+$D$2)*IF($M$2="Prices in $/MWh",1,1/1000)</f>
        <v>29.98</v>
      </c>
      <c r="O1198" s="61"/>
    </row>
    <row r="1199" spans="2:15" x14ac:dyDescent="0.25">
      <c r="B1199" s="57"/>
      <c r="C1199" s="74">
        <f>Matrix_prices!C1187</f>
        <v>42736</v>
      </c>
      <c r="D1199" s="75" t="str">
        <f>Matrix_prices!D1187</f>
        <v>PA</v>
      </c>
      <c r="E1199" s="76" t="str">
        <f>Matrix_prices!E1187</f>
        <v>PPL</v>
      </c>
      <c r="F1199" s="75" t="str">
        <f>Matrix_prices!F1187</f>
        <v>GS1</v>
      </c>
      <c r="G1199" s="76" t="str">
        <f>Matrix_prices!G1187</f>
        <v>General Service Small</v>
      </c>
      <c r="H1199" s="157" t="str">
        <f t="shared" si="54"/>
        <v>0-100 MWh</v>
      </c>
      <c r="I1199" s="76">
        <f>(Matrix_prices!I1187+$D$2)*IF($M$2="Prices in $/MWh",1,1/1000)</f>
        <v>73.31</v>
      </c>
      <c r="J1199" s="75">
        <f>(Matrix_prices!J1187+$D$2)*IF($M$2="Prices in $/MWh",1,1/1000)</f>
        <v>74.91</v>
      </c>
      <c r="K1199" s="76">
        <f>(Matrix_prices!K1187+$D$2)*IF($M$2="Prices in $/MWh",1,1/1000)</f>
        <v>73.62</v>
      </c>
      <c r="L1199" s="75">
        <f>(Matrix_prices!L1187+$D$2)*IF($M$2="Prices in $/MWh",1,1/1000)</f>
        <v>31.96</v>
      </c>
      <c r="M1199" s="76">
        <f>(Matrix_prices!M1187+$D$2)*IF($M$2="Prices in $/MWh",1,1/1000)</f>
        <v>33.15</v>
      </c>
      <c r="N1199" s="75">
        <f>(Matrix_prices!N1187+$D$2)*IF($M$2="Prices in $/MWh",1,1/1000)</f>
        <v>32.92</v>
      </c>
      <c r="O1199" s="61"/>
    </row>
    <row r="1200" spans="2:15" x14ac:dyDescent="0.25">
      <c r="B1200" s="57"/>
      <c r="C1200" s="78">
        <f>Matrix_prices!C1188</f>
        <v>42736</v>
      </c>
      <c r="D1200" s="79" t="str">
        <f>Matrix_prices!D1188</f>
        <v>PA</v>
      </c>
      <c r="E1200" s="80" t="str">
        <f>Matrix_prices!E1188</f>
        <v>PPL</v>
      </c>
      <c r="F1200" s="79" t="str">
        <f>Matrix_prices!F1188</f>
        <v>GS1</v>
      </c>
      <c r="G1200" s="80" t="str">
        <f>Matrix_prices!G1188</f>
        <v>General Service Small</v>
      </c>
      <c r="H1200" s="81" t="str">
        <f t="shared" si="55"/>
        <v>100-500 MWh</v>
      </c>
      <c r="I1200" s="80">
        <f>(Matrix_prices!I1188+$D$2)*IF($M$2="Prices in $/MWh",1,1/1000)</f>
        <v>71.709999999999994</v>
      </c>
      <c r="J1200" s="79">
        <f>(Matrix_prices!J1188+$D$2)*IF($M$2="Prices in $/MWh",1,1/1000)</f>
        <v>73.31</v>
      </c>
      <c r="K1200" s="80">
        <f>(Matrix_prices!K1188+$D$2)*IF($M$2="Prices in $/MWh",1,1/1000)</f>
        <v>72.02</v>
      </c>
      <c r="L1200" s="79">
        <f>(Matrix_prices!L1188+$D$2)*IF($M$2="Prices in $/MWh",1,1/1000)</f>
        <v>30.36</v>
      </c>
      <c r="M1200" s="80">
        <f>(Matrix_prices!M1188+$D$2)*IF($M$2="Prices in $/MWh",1,1/1000)</f>
        <v>31.55</v>
      </c>
      <c r="N1200" s="79">
        <f>(Matrix_prices!N1188+$D$2)*IF($M$2="Prices in $/MWh",1,1/1000)</f>
        <v>31.32</v>
      </c>
      <c r="O1200" s="61"/>
    </row>
    <row r="1201" spans="2:15" x14ac:dyDescent="0.25">
      <c r="B1201" s="57"/>
      <c r="C1201" s="82">
        <f>Matrix_prices!C1189</f>
        <v>42736</v>
      </c>
      <c r="D1201" s="83" t="str">
        <f>Matrix_prices!D1189</f>
        <v>PA</v>
      </c>
      <c r="E1201" s="84" t="str">
        <f>Matrix_prices!E1189</f>
        <v>PPL</v>
      </c>
      <c r="F1201" s="83" t="str">
        <f>Matrix_prices!F1189</f>
        <v>GS1</v>
      </c>
      <c r="G1201" s="84" t="str">
        <f>Matrix_prices!G1189</f>
        <v>General Service Small</v>
      </c>
      <c r="H1201" s="85" t="str">
        <f t="shared" si="56"/>
        <v>500-2500 MWh</v>
      </c>
      <c r="I1201" s="84">
        <f>(Matrix_prices!I1189+$D$2)*IF($M$2="Prices in $/MWh",1,1/1000)</f>
        <v>70.66</v>
      </c>
      <c r="J1201" s="83">
        <f>(Matrix_prices!J1189+$D$2)*IF($M$2="Prices in $/MWh",1,1/1000)</f>
        <v>72.260000000000005</v>
      </c>
      <c r="K1201" s="84">
        <f>(Matrix_prices!K1189+$D$2)*IF($M$2="Prices in $/MWh",1,1/1000)</f>
        <v>70.97</v>
      </c>
      <c r="L1201" s="83">
        <f>(Matrix_prices!L1189+$D$2)*IF($M$2="Prices in $/MWh",1,1/1000)</f>
        <v>29.31</v>
      </c>
      <c r="M1201" s="84">
        <f>(Matrix_prices!M1189+$D$2)*IF($M$2="Prices in $/MWh",1,1/1000)</f>
        <v>30.5</v>
      </c>
      <c r="N1201" s="83">
        <f>(Matrix_prices!N1189+$D$2)*IF($M$2="Prices in $/MWh",1,1/1000)</f>
        <v>30.27</v>
      </c>
      <c r="O1201" s="61"/>
    </row>
    <row r="1202" spans="2:15" x14ac:dyDescent="0.25">
      <c r="B1202" s="57"/>
      <c r="C1202" s="151">
        <f>Matrix_prices!C1190</f>
        <v>42401</v>
      </c>
      <c r="D1202" s="152" t="str">
        <f>Matrix_prices!D1190</f>
        <v>PA</v>
      </c>
      <c r="E1202" s="153" t="str">
        <f>Matrix_prices!E1190</f>
        <v>PPL</v>
      </c>
      <c r="F1202" s="152" t="str">
        <f>Matrix_prices!F1190</f>
        <v>GS3</v>
      </c>
      <c r="G1202" s="153" t="str">
        <f>Matrix_prices!G1190</f>
        <v>General Service Large</v>
      </c>
      <c r="H1202" s="157" t="str">
        <f t="shared" si="54"/>
        <v>0-100 MWh</v>
      </c>
      <c r="I1202" s="153">
        <f>(Matrix_prices!I1190+$D$2)*IF($M$2="Prices in $/MWh",1,1/1000)</f>
        <v>73.48</v>
      </c>
      <c r="J1202" s="152">
        <f>(Matrix_prices!J1190+$D$2)*IF($M$2="Prices in $/MWh",1,1/1000)</f>
        <v>74.16</v>
      </c>
      <c r="K1202" s="153">
        <f>(Matrix_prices!K1190+$D$2)*IF($M$2="Prices in $/MWh",1,1/1000)</f>
        <v>73.819999999999993</v>
      </c>
      <c r="L1202" s="152">
        <f>(Matrix_prices!L1190+$D$2)*IF($M$2="Prices in $/MWh",1,1/1000)</f>
        <v>30.83</v>
      </c>
      <c r="M1202" s="153">
        <f>(Matrix_prices!M1190+$D$2)*IF($M$2="Prices in $/MWh",1,1/1000)</f>
        <v>31.17</v>
      </c>
      <c r="N1202" s="152">
        <f>(Matrix_prices!N1190+$D$2)*IF($M$2="Prices in $/MWh",1,1/1000)</f>
        <v>31.33</v>
      </c>
      <c r="O1202" s="61"/>
    </row>
    <row r="1203" spans="2:15" x14ac:dyDescent="0.25">
      <c r="B1203" s="57"/>
      <c r="C1203" s="78">
        <f>Matrix_prices!C1191</f>
        <v>42401</v>
      </c>
      <c r="D1203" s="79" t="str">
        <f>Matrix_prices!D1191</f>
        <v>PA</v>
      </c>
      <c r="E1203" s="80" t="str">
        <f>Matrix_prices!E1191</f>
        <v>PPL</v>
      </c>
      <c r="F1203" s="79" t="str">
        <f>Matrix_prices!F1191</f>
        <v>GS3</v>
      </c>
      <c r="G1203" s="80" t="str">
        <f>Matrix_prices!G1191</f>
        <v>General Service Large</v>
      </c>
      <c r="H1203" s="81" t="str">
        <f t="shared" si="55"/>
        <v>100-500 MWh</v>
      </c>
      <c r="I1203" s="80">
        <f>(Matrix_prices!I1191+$D$2)*IF($M$2="Prices in $/MWh",1,1/1000)</f>
        <v>71.88</v>
      </c>
      <c r="J1203" s="79">
        <f>(Matrix_prices!J1191+$D$2)*IF($M$2="Prices in $/MWh",1,1/1000)</f>
        <v>72.56</v>
      </c>
      <c r="K1203" s="80">
        <f>(Matrix_prices!K1191+$D$2)*IF($M$2="Prices in $/MWh",1,1/1000)</f>
        <v>72.22</v>
      </c>
      <c r="L1203" s="79">
        <f>(Matrix_prices!L1191+$D$2)*IF($M$2="Prices in $/MWh",1,1/1000)</f>
        <v>29.23</v>
      </c>
      <c r="M1203" s="80">
        <f>(Matrix_prices!M1191+$D$2)*IF($M$2="Prices in $/MWh",1,1/1000)</f>
        <v>29.57</v>
      </c>
      <c r="N1203" s="79">
        <f>(Matrix_prices!N1191+$D$2)*IF($M$2="Prices in $/MWh",1,1/1000)</f>
        <v>29.73</v>
      </c>
      <c r="O1203" s="61"/>
    </row>
    <row r="1204" spans="2:15" x14ac:dyDescent="0.25">
      <c r="B1204" s="57"/>
      <c r="C1204" s="82">
        <f>Matrix_prices!C1192</f>
        <v>42401</v>
      </c>
      <c r="D1204" s="83" t="str">
        <f>Matrix_prices!D1192</f>
        <v>PA</v>
      </c>
      <c r="E1204" s="84" t="str">
        <f>Matrix_prices!E1192</f>
        <v>PPL</v>
      </c>
      <c r="F1204" s="83" t="str">
        <f>Matrix_prices!F1192</f>
        <v>GS3</v>
      </c>
      <c r="G1204" s="84" t="str">
        <f>Matrix_prices!G1192</f>
        <v>General Service Large</v>
      </c>
      <c r="H1204" s="85" t="str">
        <f t="shared" si="56"/>
        <v>500-2500 MWh</v>
      </c>
      <c r="I1204" s="84">
        <f>(Matrix_prices!I1192+$D$2)*IF($M$2="Prices in $/MWh",1,1/1000)</f>
        <v>70.83</v>
      </c>
      <c r="J1204" s="83">
        <f>(Matrix_prices!J1192+$D$2)*IF($M$2="Prices in $/MWh",1,1/1000)</f>
        <v>71.510000000000005</v>
      </c>
      <c r="K1204" s="84">
        <f>(Matrix_prices!K1192+$D$2)*IF($M$2="Prices in $/MWh",1,1/1000)</f>
        <v>71.17</v>
      </c>
      <c r="L1204" s="83">
        <f>(Matrix_prices!L1192+$D$2)*IF($M$2="Prices in $/MWh",1,1/1000)</f>
        <v>28.18</v>
      </c>
      <c r="M1204" s="84">
        <f>(Matrix_prices!M1192+$D$2)*IF($M$2="Prices in $/MWh",1,1/1000)</f>
        <v>28.52</v>
      </c>
      <c r="N1204" s="83">
        <f>(Matrix_prices!N1192+$D$2)*IF($M$2="Prices in $/MWh",1,1/1000)</f>
        <v>28.68</v>
      </c>
      <c r="O1204" s="61"/>
    </row>
    <row r="1205" spans="2:15" x14ac:dyDescent="0.25">
      <c r="B1205" s="57"/>
      <c r="C1205" s="74">
        <f>Matrix_prices!C1193</f>
        <v>42430</v>
      </c>
      <c r="D1205" s="75" t="str">
        <f>Matrix_prices!D1193</f>
        <v>PA</v>
      </c>
      <c r="E1205" s="76" t="str">
        <f>Matrix_prices!E1193</f>
        <v>PPL</v>
      </c>
      <c r="F1205" s="75" t="str">
        <f>Matrix_prices!F1193</f>
        <v>GS3</v>
      </c>
      <c r="G1205" s="76" t="str">
        <f>Matrix_prices!G1193</f>
        <v>General Service Large</v>
      </c>
      <c r="H1205" s="157" t="str">
        <f t="shared" si="54"/>
        <v>0-100 MWh</v>
      </c>
      <c r="I1205" s="76">
        <f>(Matrix_prices!I1193+$D$2)*IF($M$2="Prices in $/MWh",1,1/1000)</f>
        <v>74.37</v>
      </c>
      <c r="J1205" s="75">
        <f>(Matrix_prices!J1193+$D$2)*IF($M$2="Prices in $/MWh",1,1/1000)</f>
        <v>73.63</v>
      </c>
      <c r="K1205" s="76">
        <f>(Matrix_prices!K1193+$D$2)*IF($M$2="Prices in $/MWh",1,1/1000)</f>
        <v>74.22</v>
      </c>
      <c r="L1205" s="75">
        <f>(Matrix_prices!L1193+$D$2)*IF($M$2="Prices in $/MWh",1,1/1000)</f>
        <v>30.81</v>
      </c>
      <c r="M1205" s="76">
        <f>(Matrix_prices!M1193+$D$2)*IF($M$2="Prices in $/MWh",1,1/1000)</f>
        <v>30.37</v>
      </c>
      <c r="N1205" s="75">
        <f>(Matrix_prices!N1193+$D$2)*IF($M$2="Prices in $/MWh",1,1/1000)</f>
        <v>31.31</v>
      </c>
      <c r="O1205" s="61"/>
    </row>
    <row r="1206" spans="2:15" x14ac:dyDescent="0.25">
      <c r="B1206" s="57"/>
      <c r="C1206" s="78">
        <f>Matrix_prices!C1194</f>
        <v>42430</v>
      </c>
      <c r="D1206" s="79" t="str">
        <f>Matrix_prices!D1194</f>
        <v>PA</v>
      </c>
      <c r="E1206" s="80" t="str">
        <f>Matrix_prices!E1194</f>
        <v>PPL</v>
      </c>
      <c r="F1206" s="79" t="str">
        <f>Matrix_prices!F1194</f>
        <v>GS3</v>
      </c>
      <c r="G1206" s="80" t="str">
        <f>Matrix_prices!G1194</f>
        <v>General Service Large</v>
      </c>
      <c r="H1206" s="81" t="str">
        <f t="shared" si="55"/>
        <v>100-500 MWh</v>
      </c>
      <c r="I1206" s="80">
        <f>(Matrix_prices!I1194+$D$2)*IF($M$2="Prices in $/MWh",1,1/1000)</f>
        <v>72.77</v>
      </c>
      <c r="J1206" s="79">
        <f>(Matrix_prices!J1194+$D$2)*IF($M$2="Prices in $/MWh",1,1/1000)</f>
        <v>72.03</v>
      </c>
      <c r="K1206" s="80">
        <f>(Matrix_prices!K1194+$D$2)*IF($M$2="Prices in $/MWh",1,1/1000)</f>
        <v>72.62</v>
      </c>
      <c r="L1206" s="79">
        <f>(Matrix_prices!L1194+$D$2)*IF($M$2="Prices in $/MWh",1,1/1000)</f>
        <v>29.21</v>
      </c>
      <c r="M1206" s="80">
        <f>(Matrix_prices!M1194+$D$2)*IF($M$2="Prices in $/MWh",1,1/1000)</f>
        <v>28.77</v>
      </c>
      <c r="N1206" s="79">
        <f>(Matrix_prices!N1194+$D$2)*IF($M$2="Prices in $/MWh",1,1/1000)</f>
        <v>29.71</v>
      </c>
      <c r="O1206" s="61"/>
    </row>
    <row r="1207" spans="2:15" x14ac:dyDescent="0.25">
      <c r="B1207" s="57"/>
      <c r="C1207" s="82">
        <f>Matrix_prices!C1195</f>
        <v>42430</v>
      </c>
      <c r="D1207" s="83" t="str">
        <f>Matrix_prices!D1195</f>
        <v>PA</v>
      </c>
      <c r="E1207" s="84" t="str">
        <f>Matrix_prices!E1195</f>
        <v>PPL</v>
      </c>
      <c r="F1207" s="83" t="str">
        <f>Matrix_prices!F1195</f>
        <v>GS3</v>
      </c>
      <c r="G1207" s="84" t="str">
        <f>Matrix_prices!G1195</f>
        <v>General Service Large</v>
      </c>
      <c r="H1207" s="85" t="str">
        <f t="shared" si="56"/>
        <v>500-2500 MWh</v>
      </c>
      <c r="I1207" s="84">
        <f>(Matrix_prices!I1195+$D$2)*IF($M$2="Prices in $/MWh",1,1/1000)</f>
        <v>71.72</v>
      </c>
      <c r="J1207" s="83">
        <f>(Matrix_prices!J1195+$D$2)*IF($M$2="Prices in $/MWh",1,1/1000)</f>
        <v>70.98</v>
      </c>
      <c r="K1207" s="84">
        <f>(Matrix_prices!K1195+$D$2)*IF($M$2="Prices in $/MWh",1,1/1000)</f>
        <v>71.569999999999993</v>
      </c>
      <c r="L1207" s="83">
        <f>(Matrix_prices!L1195+$D$2)*IF($M$2="Prices in $/MWh",1,1/1000)</f>
        <v>28.16</v>
      </c>
      <c r="M1207" s="84">
        <f>(Matrix_prices!M1195+$D$2)*IF($M$2="Prices in $/MWh",1,1/1000)</f>
        <v>27.72</v>
      </c>
      <c r="N1207" s="83">
        <f>(Matrix_prices!N1195+$D$2)*IF($M$2="Prices in $/MWh",1,1/1000)</f>
        <v>28.66</v>
      </c>
      <c r="O1207" s="61"/>
    </row>
    <row r="1208" spans="2:15" x14ac:dyDescent="0.25">
      <c r="B1208" s="57"/>
      <c r="C1208" s="151">
        <f>Matrix_prices!C1196</f>
        <v>42461</v>
      </c>
      <c r="D1208" s="152" t="str">
        <f>Matrix_prices!D1196</f>
        <v>PA</v>
      </c>
      <c r="E1208" s="153" t="str">
        <f>Matrix_prices!E1196</f>
        <v>PPL</v>
      </c>
      <c r="F1208" s="152" t="str">
        <f>Matrix_prices!F1196</f>
        <v>GS3</v>
      </c>
      <c r="G1208" s="153" t="str">
        <f>Matrix_prices!G1196</f>
        <v>General Service Large</v>
      </c>
      <c r="H1208" s="157" t="str">
        <f t="shared" si="54"/>
        <v>0-100 MWh</v>
      </c>
      <c r="I1208" s="153">
        <f>(Matrix_prices!I1196+$D$2)*IF($M$2="Prices in $/MWh",1,1/1000)</f>
        <v>74.84</v>
      </c>
      <c r="J1208" s="152">
        <f>(Matrix_prices!J1196+$D$2)*IF($M$2="Prices in $/MWh",1,1/1000)</f>
        <v>73.180000000000007</v>
      </c>
      <c r="K1208" s="153">
        <f>(Matrix_prices!K1196+$D$2)*IF($M$2="Prices in $/MWh",1,1/1000)</f>
        <v>74.44</v>
      </c>
      <c r="L1208" s="152">
        <f>(Matrix_prices!L1196+$D$2)*IF($M$2="Prices in $/MWh",1,1/1000)</f>
        <v>31.37</v>
      </c>
      <c r="M1208" s="153">
        <f>(Matrix_prices!M1196+$D$2)*IF($M$2="Prices in $/MWh",1,1/1000)</f>
        <v>30.13</v>
      </c>
      <c r="N1208" s="152">
        <f>(Matrix_prices!N1196+$D$2)*IF($M$2="Prices in $/MWh",1,1/1000)</f>
        <v>31.65</v>
      </c>
      <c r="O1208" s="61"/>
    </row>
    <row r="1209" spans="2:15" x14ac:dyDescent="0.25">
      <c r="B1209" s="57"/>
      <c r="C1209" s="78">
        <f>Matrix_prices!C1197</f>
        <v>42461</v>
      </c>
      <c r="D1209" s="79" t="str">
        <f>Matrix_prices!D1197</f>
        <v>PA</v>
      </c>
      <c r="E1209" s="80" t="str">
        <f>Matrix_prices!E1197</f>
        <v>PPL</v>
      </c>
      <c r="F1209" s="79" t="str">
        <f>Matrix_prices!F1197</f>
        <v>GS3</v>
      </c>
      <c r="G1209" s="80" t="str">
        <f>Matrix_prices!G1197</f>
        <v>General Service Large</v>
      </c>
      <c r="H1209" s="81" t="str">
        <f t="shared" si="55"/>
        <v>100-500 MWh</v>
      </c>
      <c r="I1209" s="80">
        <f>(Matrix_prices!I1197+$D$2)*IF($M$2="Prices in $/MWh",1,1/1000)</f>
        <v>73.239999999999995</v>
      </c>
      <c r="J1209" s="79">
        <f>(Matrix_prices!J1197+$D$2)*IF($M$2="Prices in $/MWh",1,1/1000)</f>
        <v>71.58</v>
      </c>
      <c r="K1209" s="80">
        <f>(Matrix_prices!K1197+$D$2)*IF($M$2="Prices in $/MWh",1,1/1000)</f>
        <v>72.84</v>
      </c>
      <c r="L1209" s="79">
        <f>(Matrix_prices!L1197+$D$2)*IF($M$2="Prices in $/MWh",1,1/1000)</f>
        <v>29.77</v>
      </c>
      <c r="M1209" s="80">
        <f>(Matrix_prices!M1197+$D$2)*IF($M$2="Prices in $/MWh",1,1/1000)</f>
        <v>28.53</v>
      </c>
      <c r="N1209" s="79">
        <f>(Matrix_prices!N1197+$D$2)*IF($M$2="Prices in $/MWh",1,1/1000)</f>
        <v>30.05</v>
      </c>
      <c r="O1209" s="61"/>
    </row>
    <row r="1210" spans="2:15" x14ac:dyDescent="0.25">
      <c r="B1210" s="57"/>
      <c r="C1210" s="82">
        <f>Matrix_prices!C1198</f>
        <v>42461</v>
      </c>
      <c r="D1210" s="83" t="str">
        <f>Matrix_prices!D1198</f>
        <v>PA</v>
      </c>
      <c r="E1210" s="84" t="str">
        <f>Matrix_prices!E1198</f>
        <v>PPL</v>
      </c>
      <c r="F1210" s="83" t="str">
        <f>Matrix_prices!F1198</f>
        <v>GS3</v>
      </c>
      <c r="G1210" s="84" t="str">
        <f>Matrix_prices!G1198</f>
        <v>General Service Large</v>
      </c>
      <c r="H1210" s="85" t="str">
        <f t="shared" si="56"/>
        <v>500-2500 MWh</v>
      </c>
      <c r="I1210" s="84">
        <f>(Matrix_prices!I1198+$D$2)*IF($M$2="Prices in $/MWh",1,1/1000)</f>
        <v>72.19</v>
      </c>
      <c r="J1210" s="83">
        <f>(Matrix_prices!J1198+$D$2)*IF($M$2="Prices in $/MWh",1,1/1000)</f>
        <v>70.53</v>
      </c>
      <c r="K1210" s="84">
        <f>(Matrix_prices!K1198+$D$2)*IF($M$2="Prices in $/MWh",1,1/1000)</f>
        <v>71.790000000000006</v>
      </c>
      <c r="L1210" s="83">
        <f>(Matrix_prices!L1198+$D$2)*IF($M$2="Prices in $/MWh",1,1/1000)</f>
        <v>28.72</v>
      </c>
      <c r="M1210" s="84">
        <f>(Matrix_prices!M1198+$D$2)*IF($M$2="Prices in $/MWh",1,1/1000)</f>
        <v>27.48</v>
      </c>
      <c r="N1210" s="83">
        <f>(Matrix_prices!N1198+$D$2)*IF($M$2="Prices in $/MWh",1,1/1000)</f>
        <v>29</v>
      </c>
      <c r="O1210" s="61"/>
    </row>
    <row r="1211" spans="2:15" x14ac:dyDescent="0.25">
      <c r="B1211" s="57"/>
      <c r="C1211" s="74">
        <f>Matrix_prices!C1199</f>
        <v>42491</v>
      </c>
      <c r="D1211" s="75" t="str">
        <f>Matrix_prices!D1199</f>
        <v>PA</v>
      </c>
      <c r="E1211" s="76" t="str">
        <f>Matrix_prices!E1199</f>
        <v>PPL</v>
      </c>
      <c r="F1211" s="75" t="str">
        <f>Matrix_prices!F1199</f>
        <v>GS3</v>
      </c>
      <c r="G1211" s="76" t="str">
        <f>Matrix_prices!G1199</f>
        <v>General Service Large</v>
      </c>
      <c r="H1211" s="157" t="str">
        <f t="shared" si="54"/>
        <v>0-100 MWh</v>
      </c>
      <c r="I1211" s="76">
        <f>(Matrix_prices!I1199+$D$2)*IF($M$2="Prices in $/MWh",1,1/1000)</f>
        <v>74.86</v>
      </c>
      <c r="J1211" s="75">
        <f>(Matrix_prices!J1199+$D$2)*IF($M$2="Prices in $/MWh",1,1/1000)</f>
        <v>72.98</v>
      </c>
      <c r="K1211" s="76">
        <f>(Matrix_prices!K1199+$D$2)*IF($M$2="Prices in $/MWh",1,1/1000)</f>
        <v>74.42</v>
      </c>
      <c r="L1211" s="75">
        <f>(Matrix_prices!L1199+$D$2)*IF($M$2="Prices in $/MWh",1,1/1000)</f>
        <v>31.26</v>
      </c>
      <c r="M1211" s="76">
        <f>(Matrix_prices!M1199+$D$2)*IF($M$2="Prices in $/MWh",1,1/1000)</f>
        <v>30.07</v>
      </c>
      <c r="N1211" s="75">
        <f>(Matrix_prices!N1199+$D$2)*IF($M$2="Prices in $/MWh",1,1/1000)</f>
        <v>31.65</v>
      </c>
      <c r="O1211" s="61"/>
    </row>
    <row r="1212" spans="2:15" x14ac:dyDescent="0.25">
      <c r="B1212" s="57"/>
      <c r="C1212" s="78">
        <f>Matrix_prices!C1200</f>
        <v>42491</v>
      </c>
      <c r="D1212" s="79" t="str">
        <f>Matrix_prices!D1200</f>
        <v>PA</v>
      </c>
      <c r="E1212" s="80" t="str">
        <f>Matrix_prices!E1200</f>
        <v>PPL</v>
      </c>
      <c r="F1212" s="79" t="str">
        <f>Matrix_prices!F1200</f>
        <v>GS3</v>
      </c>
      <c r="G1212" s="80" t="str">
        <f>Matrix_prices!G1200</f>
        <v>General Service Large</v>
      </c>
      <c r="H1212" s="81" t="str">
        <f t="shared" si="55"/>
        <v>100-500 MWh</v>
      </c>
      <c r="I1212" s="80">
        <f>(Matrix_prices!I1200+$D$2)*IF($M$2="Prices in $/MWh",1,1/1000)</f>
        <v>73.260000000000005</v>
      </c>
      <c r="J1212" s="79">
        <f>(Matrix_prices!J1200+$D$2)*IF($M$2="Prices in $/MWh",1,1/1000)</f>
        <v>71.38</v>
      </c>
      <c r="K1212" s="80">
        <f>(Matrix_prices!K1200+$D$2)*IF($M$2="Prices in $/MWh",1,1/1000)</f>
        <v>72.819999999999993</v>
      </c>
      <c r="L1212" s="79">
        <f>(Matrix_prices!L1200+$D$2)*IF($M$2="Prices in $/MWh",1,1/1000)</f>
        <v>29.66</v>
      </c>
      <c r="M1212" s="80">
        <f>(Matrix_prices!M1200+$D$2)*IF($M$2="Prices in $/MWh",1,1/1000)</f>
        <v>28.47</v>
      </c>
      <c r="N1212" s="79">
        <f>(Matrix_prices!N1200+$D$2)*IF($M$2="Prices in $/MWh",1,1/1000)</f>
        <v>30.05</v>
      </c>
      <c r="O1212" s="61"/>
    </row>
    <row r="1213" spans="2:15" x14ac:dyDescent="0.25">
      <c r="B1213" s="57"/>
      <c r="C1213" s="82">
        <f>Matrix_prices!C1201</f>
        <v>42491</v>
      </c>
      <c r="D1213" s="83" t="str">
        <f>Matrix_prices!D1201</f>
        <v>PA</v>
      </c>
      <c r="E1213" s="84" t="str">
        <f>Matrix_prices!E1201</f>
        <v>PPL</v>
      </c>
      <c r="F1213" s="83" t="str">
        <f>Matrix_prices!F1201</f>
        <v>GS3</v>
      </c>
      <c r="G1213" s="84" t="str">
        <f>Matrix_prices!G1201</f>
        <v>General Service Large</v>
      </c>
      <c r="H1213" s="85" t="str">
        <f t="shared" si="56"/>
        <v>500-2500 MWh</v>
      </c>
      <c r="I1213" s="84">
        <f>(Matrix_prices!I1201+$D$2)*IF($M$2="Prices in $/MWh",1,1/1000)</f>
        <v>72.209999999999994</v>
      </c>
      <c r="J1213" s="83">
        <f>(Matrix_prices!J1201+$D$2)*IF($M$2="Prices in $/MWh",1,1/1000)</f>
        <v>70.33</v>
      </c>
      <c r="K1213" s="84">
        <f>(Matrix_prices!K1201+$D$2)*IF($M$2="Prices in $/MWh",1,1/1000)</f>
        <v>71.77</v>
      </c>
      <c r="L1213" s="83">
        <f>(Matrix_prices!L1201+$D$2)*IF($M$2="Prices in $/MWh",1,1/1000)</f>
        <v>28.61</v>
      </c>
      <c r="M1213" s="84">
        <f>(Matrix_prices!M1201+$D$2)*IF($M$2="Prices in $/MWh",1,1/1000)</f>
        <v>27.42</v>
      </c>
      <c r="N1213" s="83">
        <f>(Matrix_prices!N1201+$D$2)*IF($M$2="Prices in $/MWh",1,1/1000)</f>
        <v>29</v>
      </c>
      <c r="O1213" s="61"/>
    </row>
    <row r="1214" spans="2:15" x14ac:dyDescent="0.25">
      <c r="B1214" s="57"/>
      <c r="C1214" s="151">
        <f>Matrix_prices!C1202</f>
        <v>42522</v>
      </c>
      <c r="D1214" s="152" t="str">
        <f>Matrix_prices!D1202</f>
        <v>PA</v>
      </c>
      <c r="E1214" s="153" t="str">
        <f>Matrix_prices!E1202</f>
        <v>PPL</v>
      </c>
      <c r="F1214" s="152" t="str">
        <f>Matrix_prices!F1202</f>
        <v>GS3</v>
      </c>
      <c r="G1214" s="153" t="str">
        <f>Matrix_prices!G1202</f>
        <v>General Service Large</v>
      </c>
      <c r="H1214" s="157" t="str">
        <f t="shared" si="54"/>
        <v>0-100 MWh</v>
      </c>
      <c r="I1214" s="153">
        <f>(Matrix_prices!I1202+$D$2)*IF($M$2="Prices in $/MWh",1,1/1000)</f>
        <v>74.8</v>
      </c>
      <c r="J1214" s="152">
        <f>(Matrix_prices!J1202+$D$2)*IF($M$2="Prices in $/MWh",1,1/1000)</f>
        <v>72.86</v>
      </c>
      <c r="K1214" s="153">
        <f>(Matrix_prices!K1202+$D$2)*IF($M$2="Prices in $/MWh",1,1/1000)</f>
        <v>74.400000000000006</v>
      </c>
      <c r="L1214" s="152">
        <f>(Matrix_prices!L1202+$D$2)*IF($M$2="Prices in $/MWh",1,1/1000)</f>
        <v>31.16</v>
      </c>
      <c r="M1214" s="153">
        <f>(Matrix_prices!M1202+$D$2)*IF($M$2="Prices in $/MWh",1,1/1000)</f>
        <v>30.16</v>
      </c>
      <c r="N1214" s="152">
        <f>(Matrix_prices!N1202+$D$2)*IF($M$2="Prices in $/MWh",1,1/1000)</f>
        <v>31.65</v>
      </c>
      <c r="O1214" s="61"/>
    </row>
    <row r="1215" spans="2:15" x14ac:dyDescent="0.25">
      <c r="B1215" s="57"/>
      <c r="C1215" s="78">
        <f>Matrix_prices!C1203</f>
        <v>42522</v>
      </c>
      <c r="D1215" s="79" t="str">
        <f>Matrix_prices!D1203</f>
        <v>PA</v>
      </c>
      <c r="E1215" s="80" t="str">
        <f>Matrix_prices!E1203</f>
        <v>PPL</v>
      </c>
      <c r="F1215" s="79" t="str">
        <f>Matrix_prices!F1203</f>
        <v>GS3</v>
      </c>
      <c r="G1215" s="80" t="str">
        <f>Matrix_prices!G1203</f>
        <v>General Service Large</v>
      </c>
      <c r="H1215" s="81" t="str">
        <f t="shared" si="55"/>
        <v>100-500 MWh</v>
      </c>
      <c r="I1215" s="80">
        <f>(Matrix_prices!I1203+$D$2)*IF($M$2="Prices in $/MWh",1,1/1000)</f>
        <v>73.2</v>
      </c>
      <c r="J1215" s="79">
        <f>(Matrix_prices!J1203+$D$2)*IF($M$2="Prices in $/MWh",1,1/1000)</f>
        <v>71.260000000000005</v>
      </c>
      <c r="K1215" s="80">
        <f>(Matrix_prices!K1203+$D$2)*IF($M$2="Prices in $/MWh",1,1/1000)</f>
        <v>72.8</v>
      </c>
      <c r="L1215" s="79">
        <f>(Matrix_prices!L1203+$D$2)*IF($M$2="Prices in $/MWh",1,1/1000)</f>
        <v>29.56</v>
      </c>
      <c r="M1215" s="80">
        <f>(Matrix_prices!M1203+$D$2)*IF($M$2="Prices in $/MWh",1,1/1000)</f>
        <v>28.56</v>
      </c>
      <c r="N1215" s="79">
        <f>(Matrix_prices!N1203+$D$2)*IF($M$2="Prices in $/MWh",1,1/1000)</f>
        <v>30.05</v>
      </c>
      <c r="O1215" s="61"/>
    </row>
    <row r="1216" spans="2:15" x14ac:dyDescent="0.25">
      <c r="B1216" s="57"/>
      <c r="C1216" s="82">
        <f>Matrix_prices!C1204</f>
        <v>42522</v>
      </c>
      <c r="D1216" s="83" t="str">
        <f>Matrix_prices!D1204</f>
        <v>PA</v>
      </c>
      <c r="E1216" s="84" t="str">
        <f>Matrix_prices!E1204</f>
        <v>PPL</v>
      </c>
      <c r="F1216" s="83" t="str">
        <f>Matrix_prices!F1204</f>
        <v>GS3</v>
      </c>
      <c r="G1216" s="84" t="str">
        <f>Matrix_prices!G1204</f>
        <v>General Service Large</v>
      </c>
      <c r="H1216" s="85" t="str">
        <f t="shared" si="56"/>
        <v>500-2500 MWh</v>
      </c>
      <c r="I1216" s="84">
        <f>(Matrix_prices!I1204+$D$2)*IF($M$2="Prices in $/MWh",1,1/1000)</f>
        <v>72.150000000000006</v>
      </c>
      <c r="J1216" s="83">
        <f>(Matrix_prices!J1204+$D$2)*IF($M$2="Prices in $/MWh",1,1/1000)</f>
        <v>70.209999999999994</v>
      </c>
      <c r="K1216" s="84">
        <f>(Matrix_prices!K1204+$D$2)*IF($M$2="Prices in $/MWh",1,1/1000)</f>
        <v>71.75</v>
      </c>
      <c r="L1216" s="83">
        <f>(Matrix_prices!L1204+$D$2)*IF($M$2="Prices in $/MWh",1,1/1000)</f>
        <v>28.51</v>
      </c>
      <c r="M1216" s="84">
        <f>(Matrix_prices!M1204+$D$2)*IF($M$2="Prices in $/MWh",1,1/1000)</f>
        <v>27.51</v>
      </c>
      <c r="N1216" s="83">
        <f>(Matrix_prices!N1204+$D$2)*IF($M$2="Prices in $/MWh",1,1/1000)</f>
        <v>29</v>
      </c>
      <c r="O1216" s="61"/>
    </row>
    <row r="1217" spans="2:15" x14ac:dyDescent="0.25">
      <c r="B1217" s="57"/>
      <c r="C1217" s="74">
        <f>Matrix_prices!C1205</f>
        <v>42552</v>
      </c>
      <c r="D1217" s="75" t="str">
        <f>Matrix_prices!D1205</f>
        <v>PA</v>
      </c>
      <c r="E1217" s="76" t="str">
        <f>Matrix_prices!E1205</f>
        <v>PPL</v>
      </c>
      <c r="F1217" s="75" t="str">
        <f>Matrix_prices!F1205</f>
        <v>GS3</v>
      </c>
      <c r="G1217" s="76" t="str">
        <f>Matrix_prices!G1205</f>
        <v>General Service Large</v>
      </c>
      <c r="H1217" s="157" t="str">
        <f t="shared" si="54"/>
        <v>0-100 MWh</v>
      </c>
      <c r="I1217" s="76">
        <f>(Matrix_prices!I1205+$D$2)*IF($M$2="Prices in $/MWh",1,1/1000)</f>
        <v>74.83</v>
      </c>
      <c r="J1217" s="75">
        <f>(Matrix_prices!J1205+$D$2)*IF($M$2="Prices in $/MWh",1,1/1000)</f>
        <v>73</v>
      </c>
      <c r="K1217" s="76">
        <f>(Matrix_prices!K1205+$D$2)*IF($M$2="Prices in $/MWh",1,1/1000)</f>
        <v>74.489999999999995</v>
      </c>
      <c r="L1217" s="75">
        <f>(Matrix_prices!L1205+$D$2)*IF($M$2="Prices in $/MWh",1,1/1000)</f>
        <v>31.29</v>
      </c>
      <c r="M1217" s="76">
        <f>(Matrix_prices!M1205+$D$2)*IF($M$2="Prices in $/MWh",1,1/1000)</f>
        <v>30.71</v>
      </c>
      <c r="N1217" s="75">
        <f>(Matrix_prices!N1205+$D$2)*IF($M$2="Prices in $/MWh",1,1/1000)</f>
        <v>31.94</v>
      </c>
      <c r="O1217" s="61"/>
    </row>
    <row r="1218" spans="2:15" x14ac:dyDescent="0.25">
      <c r="B1218" s="57"/>
      <c r="C1218" s="78">
        <f>Matrix_prices!C1206</f>
        <v>42552</v>
      </c>
      <c r="D1218" s="79" t="str">
        <f>Matrix_prices!D1206</f>
        <v>PA</v>
      </c>
      <c r="E1218" s="80" t="str">
        <f>Matrix_prices!E1206</f>
        <v>PPL</v>
      </c>
      <c r="F1218" s="79" t="str">
        <f>Matrix_prices!F1206</f>
        <v>GS3</v>
      </c>
      <c r="G1218" s="80" t="str">
        <f>Matrix_prices!G1206</f>
        <v>General Service Large</v>
      </c>
      <c r="H1218" s="81" t="str">
        <f t="shared" si="55"/>
        <v>100-500 MWh</v>
      </c>
      <c r="I1218" s="80">
        <f>(Matrix_prices!I1206+$D$2)*IF($M$2="Prices in $/MWh",1,1/1000)</f>
        <v>73.23</v>
      </c>
      <c r="J1218" s="79">
        <f>(Matrix_prices!J1206+$D$2)*IF($M$2="Prices in $/MWh",1,1/1000)</f>
        <v>71.400000000000006</v>
      </c>
      <c r="K1218" s="80">
        <f>(Matrix_prices!K1206+$D$2)*IF($M$2="Prices in $/MWh",1,1/1000)</f>
        <v>72.89</v>
      </c>
      <c r="L1218" s="79">
        <f>(Matrix_prices!L1206+$D$2)*IF($M$2="Prices in $/MWh",1,1/1000)</f>
        <v>29.69</v>
      </c>
      <c r="M1218" s="80">
        <f>(Matrix_prices!M1206+$D$2)*IF($M$2="Prices in $/MWh",1,1/1000)</f>
        <v>29.11</v>
      </c>
      <c r="N1218" s="79">
        <f>(Matrix_prices!N1206+$D$2)*IF($M$2="Prices in $/MWh",1,1/1000)</f>
        <v>30.34</v>
      </c>
      <c r="O1218" s="61"/>
    </row>
    <row r="1219" spans="2:15" x14ac:dyDescent="0.25">
      <c r="B1219" s="57"/>
      <c r="C1219" s="82">
        <f>Matrix_prices!C1207</f>
        <v>42552</v>
      </c>
      <c r="D1219" s="83" t="str">
        <f>Matrix_prices!D1207</f>
        <v>PA</v>
      </c>
      <c r="E1219" s="84" t="str">
        <f>Matrix_prices!E1207</f>
        <v>PPL</v>
      </c>
      <c r="F1219" s="83" t="str">
        <f>Matrix_prices!F1207</f>
        <v>GS3</v>
      </c>
      <c r="G1219" s="84" t="str">
        <f>Matrix_prices!G1207</f>
        <v>General Service Large</v>
      </c>
      <c r="H1219" s="85" t="str">
        <f t="shared" si="56"/>
        <v>500-2500 MWh</v>
      </c>
      <c r="I1219" s="84">
        <f>(Matrix_prices!I1207+$D$2)*IF($M$2="Prices in $/MWh",1,1/1000)</f>
        <v>72.180000000000007</v>
      </c>
      <c r="J1219" s="83">
        <f>(Matrix_prices!J1207+$D$2)*IF($M$2="Prices in $/MWh",1,1/1000)</f>
        <v>70.349999999999994</v>
      </c>
      <c r="K1219" s="84">
        <f>(Matrix_prices!K1207+$D$2)*IF($M$2="Prices in $/MWh",1,1/1000)</f>
        <v>71.84</v>
      </c>
      <c r="L1219" s="83">
        <f>(Matrix_prices!L1207+$D$2)*IF($M$2="Prices in $/MWh",1,1/1000)</f>
        <v>28.64</v>
      </c>
      <c r="M1219" s="84">
        <f>(Matrix_prices!M1207+$D$2)*IF($M$2="Prices in $/MWh",1,1/1000)</f>
        <v>28.06</v>
      </c>
      <c r="N1219" s="83">
        <f>(Matrix_prices!N1207+$D$2)*IF($M$2="Prices in $/MWh",1,1/1000)</f>
        <v>29.29</v>
      </c>
      <c r="O1219" s="61"/>
    </row>
    <row r="1220" spans="2:15" x14ac:dyDescent="0.25">
      <c r="B1220" s="57"/>
      <c r="C1220" s="151">
        <f>Matrix_prices!C1208</f>
        <v>42583</v>
      </c>
      <c r="D1220" s="152" t="str">
        <f>Matrix_prices!D1208</f>
        <v>PA</v>
      </c>
      <c r="E1220" s="153" t="str">
        <f>Matrix_prices!E1208</f>
        <v>PPL</v>
      </c>
      <c r="F1220" s="152" t="str">
        <f>Matrix_prices!F1208</f>
        <v>GS3</v>
      </c>
      <c r="G1220" s="153" t="str">
        <f>Matrix_prices!G1208</f>
        <v>General Service Large</v>
      </c>
      <c r="H1220" s="157" t="str">
        <f t="shared" si="54"/>
        <v>0-100 MWh</v>
      </c>
      <c r="I1220" s="153">
        <f>(Matrix_prices!I1208+$D$2)*IF($M$2="Prices in $/MWh",1,1/1000)</f>
        <v>74.77</v>
      </c>
      <c r="J1220" s="152">
        <f>(Matrix_prices!J1208+$D$2)*IF($M$2="Prices in $/MWh",1,1/1000)</f>
        <v>74.11</v>
      </c>
      <c r="K1220" s="153">
        <f>(Matrix_prices!K1208+$D$2)*IF($M$2="Prices in $/MWh",1,1/1000)</f>
        <v>74.56</v>
      </c>
      <c r="L1220" s="152">
        <f>(Matrix_prices!L1208+$D$2)*IF($M$2="Prices in $/MWh",1,1/1000)</f>
        <v>31.45</v>
      </c>
      <c r="M1220" s="153">
        <f>(Matrix_prices!M1208+$D$2)*IF($M$2="Prices in $/MWh",1,1/1000)</f>
        <v>31.57</v>
      </c>
      <c r="N1220" s="152">
        <f>(Matrix_prices!N1208+$D$2)*IF($M$2="Prices in $/MWh",1,1/1000)</f>
        <v>32.14</v>
      </c>
      <c r="O1220" s="61"/>
    </row>
    <row r="1221" spans="2:15" x14ac:dyDescent="0.25">
      <c r="B1221" s="57"/>
      <c r="C1221" s="78">
        <f>Matrix_prices!C1209</f>
        <v>42583</v>
      </c>
      <c r="D1221" s="79" t="str">
        <f>Matrix_prices!D1209</f>
        <v>PA</v>
      </c>
      <c r="E1221" s="80" t="str">
        <f>Matrix_prices!E1209</f>
        <v>PPL</v>
      </c>
      <c r="F1221" s="79" t="str">
        <f>Matrix_prices!F1209</f>
        <v>GS3</v>
      </c>
      <c r="G1221" s="80" t="str">
        <f>Matrix_prices!G1209</f>
        <v>General Service Large</v>
      </c>
      <c r="H1221" s="81" t="str">
        <f t="shared" si="55"/>
        <v>100-500 MWh</v>
      </c>
      <c r="I1221" s="80">
        <f>(Matrix_prices!I1209+$D$2)*IF($M$2="Prices in $/MWh",1,1/1000)</f>
        <v>73.17</v>
      </c>
      <c r="J1221" s="79">
        <f>(Matrix_prices!J1209+$D$2)*IF($M$2="Prices in $/MWh",1,1/1000)</f>
        <v>72.510000000000005</v>
      </c>
      <c r="K1221" s="80">
        <f>(Matrix_prices!K1209+$D$2)*IF($M$2="Prices in $/MWh",1,1/1000)</f>
        <v>72.959999999999994</v>
      </c>
      <c r="L1221" s="79">
        <f>(Matrix_prices!L1209+$D$2)*IF($M$2="Prices in $/MWh",1,1/1000)</f>
        <v>29.85</v>
      </c>
      <c r="M1221" s="80">
        <f>(Matrix_prices!M1209+$D$2)*IF($M$2="Prices in $/MWh",1,1/1000)</f>
        <v>29.97</v>
      </c>
      <c r="N1221" s="79">
        <f>(Matrix_prices!N1209+$D$2)*IF($M$2="Prices in $/MWh",1,1/1000)</f>
        <v>30.54</v>
      </c>
      <c r="O1221" s="61"/>
    </row>
    <row r="1222" spans="2:15" x14ac:dyDescent="0.25">
      <c r="B1222" s="57"/>
      <c r="C1222" s="82">
        <f>Matrix_prices!C1210</f>
        <v>42583</v>
      </c>
      <c r="D1222" s="83" t="str">
        <f>Matrix_prices!D1210</f>
        <v>PA</v>
      </c>
      <c r="E1222" s="84" t="str">
        <f>Matrix_prices!E1210</f>
        <v>PPL</v>
      </c>
      <c r="F1222" s="83" t="str">
        <f>Matrix_prices!F1210</f>
        <v>GS3</v>
      </c>
      <c r="G1222" s="84" t="str">
        <f>Matrix_prices!G1210</f>
        <v>General Service Large</v>
      </c>
      <c r="H1222" s="85" t="str">
        <f t="shared" si="56"/>
        <v>500-2500 MWh</v>
      </c>
      <c r="I1222" s="84">
        <f>(Matrix_prices!I1210+$D$2)*IF($M$2="Prices in $/MWh",1,1/1000)</f>
        <v>72.12</v>
      </c>
      <c r="J1222" s="83">
        <f>(Matrix_prices!J1210+$D$2)*IF($M$2="Prices in $/MWh",1,1/1000)</f>
        <v>71.459999999999994</v>
      </c>
      <c r="K1222" s="84">
        <f>(Matrix_prices!K1210+$D$2)*IF($M$2="Prices in $/MWh",1,1/1000)</f>
        <v>71.91</v>
      </c>
      <c r="L1222" s="83">
        <f>(Matrix_prices!L1210+$D$2)*IF($M$2="Prices in $/MWh",1,1/1000)</f>
        <v>28.8</v>
      </c>
      <c r="M1222" s="84">
        <f>(Matrix_prices!M1210+$D$2)*IF($M$2="Prices in $/MWh",1,1/1000)</f>
        <v>28.92</v>
      </c>
      <c r="N1222" s="83">
        <f>(Matrix_prices!N1210+$D$2)*IF($M$2="Prices in $/MWh",1,1/1000)</f>
        <v>29.49</v>
      </c>
      <c r="O1222" s="61"/>
    </row>
    <row r="1223" spans="2:15" x14ac:dyDescent="0.25">
      <c r="B1223" s="57"/>
      <c r="C1223" s="74">
        <f>Matrix_prices!C1211</f>
        <v>42614</v>
      </c>
      <c r="D1223" s="75" t="str">
        <f>Matrix_prices!D1211</f>
        <v>PA</v>
      </c>
      <c r="E1223" s="76" t="str">
        <f>Matrix_prices!E1211</f>
        <v>PPL</v>
      </c>
      <c r="F1223" s="75" t="str">
        <f>Matrix_prices!F1211</f>
        <v>GS3</v>
      </c>
      <c r="G1223" s="76" t="str">
        <f>Matrix_prices!G1211</f>
        <v>General Service Large</v>
      </c>
      <c r="H1223" s="157" t="str">
        <f t="shared" si="54"/>
        <v>0-100 MWh</v>
      </c>
      <c r="I1223" s="76">
        <f>(Matrix_prices!I1211+$D$2)*IF($M$2="Prices in $/MWh",1,1/1000)</f>
        <v>74.69</v>
      </c>
      <c r="J1223" s="75">
        <f>(Matrix_prices!J1211+$D$2)*IF($M$2="Prices in $/MWh",1,1/1000)</f>
        <v>75.13</v>
      </c>
      <c r="K1223" s="76">
        <f>(Matrix_prices!K1211+$D$2)*IF($M$2="Prices in $/MWh",1,1/1000)</f>
        <v>74.599999999999994</v>
      </c>
      <c r="L1223" s="75">
        <f>(Matrix_prices!L1211+$D$2)*IF($M$2="Prices in $/MWh",1,1/1000)</f>
        <v>31.59</v>
      </c>
      <c r="M1223" s="76">
        <f>(Matrix_prices!M1211+$D$2)*IF($M$2="Prices in $/MWh",1,1/1000)</f>
        <v>32.44</v>
      </c>
      <c r="N1223" s="75">
        <f>(Matrix_prices!N1211+$D$2)*IF($M$2="Prices in $/MWh",1,1/1000)</f>
        <v>32.35</v>
      </c>
      <c r="O1223" s="61"/>
    </row>
    <row r="1224" spans="2:15" x14ac:dyDescent="0.25">
      <c r="B1224" s="57"/>
      <c r="C1224" s="78">
        <f>Matrix_prices!C1212</f>
        <v>42614</v>
      </c>
      <c r="D1224" s="79" t="str">
        <f>Matrix_prices!D1212</f>
        <v>PA</v>
      </c>
      <c r="E1224" s="80" t="str">
        <f>Matrix_prices!E1212</f>
        <v>PPL</v>
      </c>
      <c r="F1224" s="79" t="str">
        <f>Matrix_prices!F1212</f>
        <v>GS3</v>
      </c>
      <c r="G1224" s="80" t="str">
        <f>Matrix_prices!G1212</f>
        <v>General Service Large</v>
      </c>
      <c r="H1224" s="81" t="str">
        <f t="shared" si="55"/>
        <v>100-500 MWh</v>
      </c>
      <c r="I1224" s="80">
        <f>(Matrix_prices!I1212+$D$2)*IF($M$2="Prices in $/MWh",1,1/1000)</f>
        <v>73.09</v>
      </c>
      <c r="J1224" s="79">
        <f>(Matrix_prices!J1212+$D$2)*IF($M$2="Prices in $/MWh",1,1/1000)</f>
        <v>73.53</v>
      </c>
      <c r="K1224" s="80">
        <f>(Matrix_prices!K1212+$D$2)*IF($M$2="Prices in $/MWh",1,1/1000)</f>
        <v>73</v>
      </c>
      <c r="L1224" s="79">
        <f>(Matrix_prices!L1212+$D$2)*IF($M$2="Prices in $/MWh",1,1/1000)</f>
        <v>29.99</v>
      </c>
      <c r="M1224" s="80">
        <f>(Matrix_prices!M1212+$D$2)*IF($M$2="Prices in $/MWh",1,1/1000)</f>
        <v>30.84</v>
      </c>
      <c r="N1224" s="79">
        <f>(Matrix_prices!N1212+$D$2)*IF($M$2="Prices in $/MWh",1,1/1000)</f>
        <v>30.75</v>
      </c>
      <c r="O1224" s="61"/>
    </row>
    <row r="1225" spans="2:15" x14ac:dyDescent="0.25">
      <c r="B1225" s="57"/>
      <c r="C1225" s="82">
        <f>Matrix_prices!C1213</f>
        <v>42614</v>
      </c>
      <c r="D1225" s="83" t="str">
        <f>Matrix_prices!D1213</f>
        <v>PA</v>
      </c>
      <c r="E1225" s="84" t="str">
        <f>Matrix_prices!E1213</f>
        <v>PPL</v>
      </c>
      <c r="F1225" s="83" t="str">
        <f>Matrix_prices!F1213</f>
        <v>GS3</v>
      </c>
      <c r="G1225" s="84" t="str">
        <f>Matrix_prices!G1213</f>
        <v>General Service Large</v>
      </c>
      <c r="H1225" s="85" t="str">
        <f t="shared" si="56"/>
        <v>500-2500 MWh</v>
      </c>
      <c r="I1225" s="84">
        <f>(Matrix_prices!I1213+$D$2)*IF($M$2="Prices in $/MWh",1,1/1000)</f>
        <v>72.040000000000006</v>
      </c>
      <c r="J1225" s="83">
        <f>(Matrix_prices!J1213+$D$2)*IF($M$2="Prices in $/MWh",1,1/1000)</f>
        <v>72.48</v>
      </c>
      <c r="K1225" s="84">
        <f>(Matrix_prices!K1213+$D$2)*IF($M$2="Prices in $/MWh",1,1/1000)</f>
        <v>71.95</v>
      </c>
      <c r="L1225" s="83">
        <f>(Matrix_prices!L1213+$D$2)*IF($M$2="Prices in $/MWh",1,1/1000)</f>
        <v>28.94</v>
      </c>
      <c r="M1225" s="84">
        <f>(Matrix_prices!M1213+$D$2)*IF($M$2="Prices in $/MWh",1,1/1000)</f>
        <v>29.79</v>
      </c>
      <c r="N1225" s="83">
        <f>(Matrix_prices!N1213+$D$2)*IF($M$2="Prices in $/MWh",1,1/1000)</f>
        <v>29.7</v>
      </c>
      <c r="O1225" s="61"/>
    </row>
    <row r="1226" spans="2:15" x14ac:dyDescent="0.25">
      <c r="B1226" s="57"/>
      <c r="C1226" s="151">
        <f>Matrix_prices!C1214</f>
        <v>42644</v>
      </c>
      <c r="D1226" s="152" t="str">
        <f>Matrix_prices!D1214</f>
        <v>PA</v>
      </c>
      <c r="E1226" s="153" t="str">
        <f>Matrix_prices!E1214</f>
        <v>PPL</v>
      </c>
      <c r="F1226" s="152" t="str">
        <f>Matrix_prices!F1214</f>
        <v>GS3</v>
      </c>
      <c r="G1226" s="153" t="str">
        <f>Matrix_prices!G1214</f>
        <v>General Service Large</v>
      </c>
      <c r="H1226" s="157" t="str">
        <f t="shared" si="54"/>
        <v>0-100 MWh</v>
      </c>
      <c r="I1226" s="153">
        <f>(Matrix_prices!I1214+$D$2)*IF($M$2="Prices in $/MWh",1,1/1000)</f>
        <v>74.599999999999994</v>
      </c>
      <c r="J1226" s="152">
        <f>(Matrix_prices!J1214+$D$2)*IF($M$2="Prices in $/MWh",1,1/1000)</f>
        <v>75.81</v>
      </c>
      <c r="K1226" s="153">
        <f>(Matrix_prices!K1214+$D$2)*IF($M$2="Prices in $/MWh",1,1/1000)</f>
        <v>74.58</v>
      </c>
      <c r="L1226" s="152">
        <f>(Matrix_prices!L1214+$D$2)*IF($M$2="Prices in $/MWh",1,1/1000)</f>
        <v>31.58</v>
      </c>
      <c r="M1226" s="153">
        <f>(Matrix_prices!M1214+$D$2)*IF($M$2="Prices in $/MWh",1,1/1000)</f>
        <v>33.14</v>
      </c>
      <c r="N1226" s="152">
        <f>(Matrix_prices!N1214+$D$2)*IF($M$2="Prices in $/MWh",1,1/1000)</f>
        <v>32.49</v>
      </c>
      <c r="O1226" s="61"/>
    </row>
    <row r="1227" spans="2:15" x14ac:dyDescent="0.25">
      <c r="B1227" s="57"/>
      <c r="C1227" s="78">
        <f>Matrix_prices!C1215</f>
        <v>42644</v>
      </c>
      <c r="D1227" s="79" t="str">
        <f>Matrix_prices!D1215</f>
        <v>PA</v>
      </c>
      <c r="E1227" s="80" t="str">
        <f>Matrix_prices!E1215</f>
        <v>PPL</v>
      </c>
      <c r="F1227" s="79" t="str">
        <f>Matrix_prices!F1215</f>
        <v>GS3</v>
      </c>
      <c r="G1227" s="80" t="str">
        <f>Matrix_prices!G1215</f>
        <v>General Service Large</v>
      </c>
      <c r="H1227" s="81" t="str">
        <f t="shared" si="55"/>
        <v>100-500 MWh</v>
      </c>
      <c r="I1227" s="80">
        <f>(Matrix_prices!I1215+$D$2)*IF($M$2="Prices in $/MWh",1,1/1000)</f>
        <v>73</v>
      </c>
      <c r="J1227" s="79">
        <f>(Matrix_prices!J1215+$D$2)*IF($M$2="Prices in $/MWh",1,1/1000)</f>
        <v>74.209999999999994</v>
      </c>
      <c r="K1227" s="80">
        <f>(Matrix_prices!K1215+$D$2)*IF($M$2="Prices in $/MWh",1,1/1000)</f>
        <v>72.98</v>
      </c>
      <c r="L1227" s="79">
        <f>(Matrix_prices!L1215+$D$2)*IF($M$2="Prices in $/MWh",1,1/1000)</f>
        <v>29.98</v>
      </c>
      <c r="M1227" s="80">
        <f>(Matrix_prices!M1215+$D$2)*IF($M$2="Prices in $/MWh",1,1/1000)</f>
        <v>31.54</v>
      </c>
      <c r="N1227" s="79">
        <f>(Matrix_prices!N1215+$D$2)*IF($M$2="Prices in $/MWh",1,1/1000)</f>
        <v>30.89</v>
      </c>
      <c r="O1227" s="61"/>
    </row>
    <row r="1228" spans="2:15" x14ac:dyDescent="0.25">
      <c r="B1228" s="57"/>
      <c r="C1228" s="82">
        <f>Matrix_prices!C1216</f>
        <v>42644</v>
      </c>
      <c r="D1228" s="83" t="str">
        <f>Matrix_prices!D1216</f>
        <v>PA</v>
      </c>
      <c r="E1228" s="84" t="str">
        <f>Matrix_prices!E1216</f>
        <v>PPL</v>
      </c>
      <c r="F1228" s="83" t="str">
        <f>Matrix_prices!F1216</f>
        <v>GS3</v>
      </c>
      <c r="G1228" s="84" t="str">
        <f>Matrix_prices!G1216</f>
        <v>General Service Large</v>
      </c>
      <c r="H1228" s="85" t="str">
        <f t="shared" si="56"/>
        <v>500-2500 MWh</v>
      </c>
      <c r="I1228" s="84">
        <f>(Matrix_prices!I1216+$D$2)*IF($M$2="Prices in $/MWh",1,1/1000)</f>
        <v>71.95</v>
      </c>
      <c r="J1228" s="83">
        <f>(Matrix_prices!J1216+$D$2)*IF($M$2="Prices in $/MWh",1,1/1000)</f>
        <v>73.16</v>
      </c>
      <c r="K1228" s="84">
        <f>(Matrix_prices!K1216+$D$2)*IF($M$2="Prices in $/MWh",1,1/1000)</f>
        <v>71.930000000000007</v>
      </c>
      <c r="L1228" s="83">
        <f>(Matrix_prices!L1216+$D$2)*IF($M$2="Prices in $/MWh",1,1/1000)</f>
        <v>28.93</v>
      </c>
      <c r="M1228" s="84">
        <f>(Matrix_prices!M1216+$D$2)*IF($M$2="Prices in $/MWh",1,1/1000)</f>
        <v>30.49</v>
      </c>
      <c r="N1228" s="83">
        <f>(Matrix_prices!N1216+$D$2)*IF($M$2="Prices in $/MWh",1,1/1000)</f>
        <v>29.84</v>
      </c>
      <c r="O1228" s="61"/>
    </row>
    <row r="1229" spans="2:15" x14ac:dyDescent="0.25">
      <c r="B1229" s="57"/>
      <c r="C1229" s="74">
        <f>Matrix_prices!C1217</f>
        <v>42675</v>
      </c>
      <c r="D1229" s="75" t="str">
        <f>Matrix_prices!D1217</f>
        <v>PA</v>
      </c>
      <c r="E1229" s="76" t="str">
        <f>Matrix_prices!E1217</f>
        <v>PPL</v>
      </c>
      <c r="F1229" s="75" t="str">
        <f>Matrix_prices!F1217</f>
        <v>GS3</v>
      </c>
      <c r="G1229" s="76" t="str">
        <f>Matrix_prices!G1217</f>
        <v>General Service Large</v>
      </c>
      <c r="H1229" s="157" t="str">
        <f t="shared" si="54"/>
        <v>0-100 MWh</v>
      </c>
      <c r="I1229" s="76">
        <f>(Matrix_prices!I1217+$D$2)*IF($M$2="Prices in $/MWh",1,1/1000)</f>
        <v>74.47</v>
      </c>
      <c r="J1229" s="75">
        <f>(Matrix_prices!J1217+$D$2)*IF($M$2="Prices in $/MWh",1,1/1000)</f>
        <v>75.92</v>
      </c>
      <c r="K1229" s="76">
        <f>(Matrix_prices!K1217+$D$2)*IF($M$2="Prices in $/MWh",1,1/1000)</f>
        <v>74.56</v>
      </c>
      <c r="L1229" s="75">
        <f>(Matrix_prices!L1217+$D$2)*IF($M$2="Prices in $/MWh",1,1/1000)</f>
        <v>31.58</v>
      </c>
      <c r="M1229" s="76">
        <f>(Matrix_prices!M1217+$D$2)*IF($M$2="Prices in $/MWh",1,1/1000)</f>
        <v>33.200000000000003</v>
      </c>
      <c r="N1229" s="75">
        <f>(Matrix_prices!N1217+$D$2)*IF($M$2="Prices in $/MWh",1,1/1000)</f>
        <v>32.58</v>
      </c>
      <c r="O1229" s="61"/>
    </row>
    <row r="1230" spans="2:15" x14ac:dyDescent="0.25">
      <c r="B1230" s="57"/>
      <c r="C1230" s="78">
        <f>Matrix_prices!C1218</f>
        <v>42675</v>
      </c>
      <c r="D1230" s="79" t="str">
        <f>Matrix_prices!D1218</f>
        <v>PA</v>
      </c>
      <c r="E1230" s="80" t="str">
        <f>Matrix_prices!E1218</f>
        <v>PPL</v>
      </c>
      <c r="F1230" s="79" t="str">
        <f>Matrix_prices!F1218</f>
        <v>GS3</v>
      </c>
      <c r="G1230" s="80" t="str">
        <f>Matrix_prices!G1218</f>
        <v>General Service Large</v>
      </c>
      <c r="H1230" s="81" t="str">
        <f t="shared" si="55"/>
        <v>100-500 MWh</v>
      </c>
      <c r="I1230" s="80">
        <f>(Matrix_prices!I1218+$D$2)*IF($M$2="Prices in $/MWh",1,1/1000)</f>
        <v>72.87</v>
      </c>
      <c r="J1230" s="79">
        <f>(Matrix_prices!J1218+$D$2)*IF($M$2="Prices in $/MWh",1,1/1000)</f>
        <v>74.319999999999993</v>
      </c>
      <c r="K1230" s="80">
        <f>(Matrix_prices!K1218+$D$2)*IF($M$2="Prices in $/MWh",1,1/1000)</f>
        <v>72.959999999999994</v>
      </c>
      <c r="L1230" s="79">
        <f>(Matrix_prices!L1218+$D$2)*IF($M$2="Prices in $/MWh",1,1/1000)</f>
        <v>29.98</v>
      </c>
      <c r="M1230" s="80">
        <f>(Matrix_prices!M1218+$D$2)*IF($M$2="Prices in $/MWh",1,1/1000)</f>
        <v>31.6</v>
      </c>
      <c r="N1230" s="79">
        <f>(Matrix_prices!N1218+$D$2)*IF($M$2="Prices in $/MWh",1,1/1000)</f>
        <v>30.98</v>
      </c>
      <c r="O1230" s="61"/>
    </row>
    <row r="1231" spans="2:15" x14ac:dyDescent="0.25">
      <c r="B1231" s="57"/>
      <c r="C1231" s="82">
        <f>Matrix_prices!C1219</f>
        <v>42675</v>
      </c>
      <c r="D1231" s="83" t="str">
        <f>Matrix_prices!D1219</f>
        <v>PA</v>
      </c>
      <c r="E1231" s="84" t="str">
        <f>Matrix_prices!E1219</f>
        <v>PPL</v>
      </c>
      <c r="F1231" s="83" t="str">
        <f>Matrix_prices!F1219</f>
        <v>GS3</v>
      </c>
      <c r="G1231" s="84" t="str">
        <f>Matrix_prices!G1219</f>
        <v>General Service Large</v>
      </c>
      <c r="H1231" s="85" t="str">
        <f t="shared" si="56"/>
        <v>500-2500 MWh</v>
      </c>
      <c r="I1231" s="84">
        <f>(Matrix_prices!I1219+$D$2)*IF($M$2="Prices in $/MWh",1,1/1000)</f>
        <v>71.819999999999993</v>
      </c>
      <c r="J1231" s="83">
        <f>(Matrix_prices!J1219+$D$2)*IF($M$2="Prices in $/MWh",1,1/1000)</f>
        <v>73.27</v>
      </c>
      <c r="K1231" s="84">
        <f>(Matrix_prices!K1219+$D$2)*IF($M$2="Prices in $/MWh",1,1/1000)</f>
        <v>71.91</v>
      </c>
      <c r="L1231" s="83">
        <f>(Matrix_prices!L1219+$D$2)*IF($M$2="Prices in $/MWh",1,1/1000)</f>
        <v>28.93</v>
      </c>
      <c r="M1231" s="84">
        <f>(Matrix_prices!M1219+$D$2)*IF($M$2="Prices in $/MWh",1,1/1000)</f>
        <v>30.55</v>
      </c>
      <c r="N1231" s="83">
        <f>(Matrix_prices!N1219+$D$2)*IF($M$2="Prices in $/MWh",1,1/1000)</f>
        <v>29.93</v>
      </c>
      <c r="O1231" s="61"/>
    </row>
    <row r="1232" spans="2:15" x14ac:dyDescent="0.25">
      <c r="B1232" s="57"/>
      <c r="C1232" s="151">
        <f>Matrix_prices!C1220</f>
        <v>42705</v>
      </c>
      <c r="D1232" s="152" t="str">
        <f>Matrix_prices!D1220</f>
        <v>PA</v>
      </c>
      <c r="E1232" s="153" t="str">
        <f>Matrix_prices!E1220</f>
        <v>PPL</v>
      </c>
      <c r="F1232" s="152" t="str">
        <f>Matrix_prices!F1220</f>
        <v>GS3</v>
      </c>
      <c r="G1232" s="153" t="str">
        <f>Matrix_prices!G1220</f>
        <v>General Service Large</v>
      </c>
      <c r="H1232" s="157" t="str">
        <f t="shared" si="54"/>
        <v>0-100 MWh</v>
      </c>
      <c r="I1232" s="153">
        <f>(Matrix_prices!I1220+$D$2)*IF($M$2="Prices in $/MWh",1,1/1000)</f>
        <v>74.239999999999995</v>
      </c>
      <c r="J1232" s="152">
        <f>(Matrix_prices!J1220+$D$2)*IF($M$2="Prices in $/MWh",1,1/1000)</f>
        <v>75.849999999999994</v>
      </c>
      <c r="K1232" s="153">
        <f>(Matrix_prices!K1220+$D$2)*IF($M$2="Prices in $/MWh",1,1/1000)</f>
        <v>74.48</v>
      </c>
      <c r="L1232" s="152">
        <f>(Matrix_prices!L1220+$D$2)*IF($M$2="Prices in $/MWh",1,1/1000)</f>
        <v>31.51</v>
      </c>
      <c r="M1232" s="153">
        <f>(Matrix_prices!M1220+$D$2)*IF($M$2="Prices in $/MWh",1,1/1000)</f>
        <v>33.06</v>
      </c>
      <c r="N1232" s="152">
        <f>(Matrix_prices!N1220+$D$2)*IF($M$2="Prices in $/MWh",1,1/1000)</f>
        <v>32.65</v>
      </c>
      <c r="O1232" s="61"/>
    </row>
    <row r="1233" spans="2:15" x14ac:dyDescent="0.25">
      <c r="B1233" s="57"/>
      <c r="C1233" s="78">
        <f>Matrix_prices!C1221</f>
        <v>42705</v>
      </c>
      <c r="D1233" s="79" t="str">
        <f>Matrix_prices!D1221</f>
        <v>PA</v>
      </c>
      <c r="E1233" s="80" t="str">
        <f>Matrix_prices!E1221</f>
        <v>PPL</v>
      </c>
      <c r="F1233" s="79" t="str">
        <f>Matrix_prices!F1221</f>
        <v>GS3</v>
      </c>
      <c r="G1233" s="80" t="str">
        <f>Matrix_prices!G1221</f>
        <v>General Service Large</v>
      </c>
      <c r="H1233" s="81" t="str">
        <f t="shared" si="55"/>
        <v>100-500 MWh</v>
      </c>
      <c r="I1233" s="80">
        <f>(Matrix_prices!I1221+$D$2)*IF($M$2="Prices in $/MWh",1,1/1000)</f>
        <v>72.64</v>
      </c>
      <c r="J1233" s="79">
        <f>(Matrix_prices!J1221+$D$2)*IF($M$2="Prices in $/MWh",1,1/1000)</f>
        <v>74.25</v>
      </c>
      <c r="K1233" s="80">
        <f>(Matrix_prices!K1221+$D$2)*IF($M$2="Prices in $/MWh",1,1/1000)</f>
        <v>72.88</v>
      </c>
      <c r="L1233" s="79">
        <f>(Matrix_prices!L1221+$D$2)*IF($M$2="Prices in $/MWh",1,1/1000)</f>
        <v>29.91</v>
      </c>
      <c r="M1233" s="80">
        <f>(Matrix_prices!M1221+$D$2)*IF($M$2="Prices in $/MWh",1,1/1000)</f>
        <v>31.46</v>
      </c>
      <c r="N1233" s="79">
        <f>(Matrix_prices!N1221+$D$2)*IF($M$2="Prices in $/MWh",1,1/1000)</f>
        <v>31.05</v>
      </c>
      <c r="O1233" s="61"/>
    </row>
    <row r="1234" spans="2:15" x14ac:dyDescent="0.25">
      <c r="B1234" s="57"/>
      <c r="C1234" s="82">
        <f>Matrix_prices!C1222</f>
        <v>42705</v>
      </c>
      <c r="D1234" s="83" t="str">
        <f>Matrix_prices!D1222</f>
        <v>PA</v>
      </c>
      <c r="E1234" s="84" t="str">
        <f>Matrix_prices!E1222</f>
        <v>PPL</v>
      </c>
      <c r="F1234" s="83" t="str">
        <f>Matrix_prices!F1222</f>
        <v>GS3</v>
      </c>
      <c r="G1234" s="84" t="str">
        <f>Matrix_prices!G1222</f>
        <v>General Service Large</v>
      </c>
      <c r="H1234" s="85" t="str">
        <f t="shared" si="56"/>
        <v>500-2500 MWh</v>
      </c>
      <c r="I1234" s="84">
        <f>(Matrix_prices!I1222+$D$2)*IF($M$2="Prices in $/MWh",1,1/1000)</f>
        <v>71.59</v>
      </c>
      <c r="J1234" s="83">
        <f>(Matrix_prices!J1222+$D$2)*IF($M$2="Prices in $/MWh",1,1/1000)</f>
        <v>73.2</v>
      </c>
      <c r="K1234" s="84">
        <f>(Matrix_prices!K1222+$D$2)*IF($M$2="Prices in $/MWh",1,1/1000)</f>
        <v>71.83</v>
      </c>
      <c r="L1234" s="83">
        <f>(Matrix_prices!L1222+$D$2)*IF($M$2="Prices in $/MWh",1,1/1000)</f>
        <v>28.86</v>
      </c>
      <c r="M1234" s="84">
        <f>(Matrix_prices!M1222+$D$2)*IF($M$2="Prices in $/MWh",1,1/1000)</f>
        <v>30.41</v>
      </c>
      <c r="N1234" s="83">
        <f>(Matrix_prices!N1222+$D$2)*IF($M$2="Prices in $/MWh",1,1/1000)</f>
        <v>30</v>
      </c>
      <c r="O1234" s="61"/>
    </row>
    <row r="1235" spans="2:15" x14ac:dyDescent="0.25">
      <c r="B1235" s="57"/>
      <c r="C1235" s="74">
        <f>Matrix_prices!C1223</f>
        <v>42736</v>
      </c>
      <c r="D1235" s="75" t="str">
        <f>Matrix_prices!D1223</f>
        <v>PA</v>
      </c>
      <c r="E1235" s="76" t="str">
        <f>Matrix_prices!E1223</f>
        <v>PPL</v>
      </c>
      <c r="F1235" s="75" t="str">
        <f>Matrix_prices!F1223</f>
        <v>GS3</v>
      </c>
      <c r="G1235" s="76" t="str">
        <f>Matrix_prices!G1223</f>
        <v>General Service Large</v>
      </c>
      <c r="H1235" s="157" t="str">
        <f t="shared" si="54"/>
        <v>0-100 MWh</v>
      </c>
      <c r="I1235" s="76">
        <f>(Matrix_prices!I1223+$D$2)*IF($M$2="Prices in $/MWh",1,1/1000)</f>
        <v>74.260000000000005</v>
      </c>
      <c r="J1235" s="75">
        <f>(Matrix_prices!J1223+$D$2)*IF($M$2="Prices in $/MWh",1,1/1000)</f>
        <v>75.84</v>
      </c>
      <c r="K1235" s="76">
        <f>(Matrix_prices!K1223+$D$2)*IF($M$2="Prices in $/MWh",1,1/1000)</f>
        <v>74.63</v>
      </c>
      <c r="L1235" s="75">
        <f>(Matrix_prices!L1223+$D$2)*IF($M$2="Prices in $/MWh",1,1/1000)</f>
        <v>31.87</v>
      </c>
      <c r="M1235" s="76">
        <f>(Matrix_prices!M1223+$D$2)*IF($M$2="Prices in $/MWh",1,1/1000)</f>
        <v>33.14</v>
      </c>
      <c r="N1235" s="75">
        <f>(Matrix_prices!N1223+$D$2)*IF($M$2="Prices in $/MWh",1,1/1000)</f>
        <v>32.93</v>
      </c>
      <c r="O1235" s="61"/>
    </row>
    <row r="1236" spans="2:15" x14ac:dyDescent="0.25">
      <c r="B1236" s="57"/>
      <c r="C1236" s="78">
        <f>Matrix_prices!C1224</f>
        <v>42736</v>
      </c>
      <c r="D1236" s="79" t="str">
        <f>Matrix_prices!D1224</f>
        <v>PA</v>
      </c>
      <c r="E1236" s="80" t="str">
        <f>Matrix_prices!E1224</f>
        <v>PPL</v>
      </c>
      <c r="F1236" s="79" t="str">
        <f>Matrix_prices!F1224</f>
        <v>GS3</v>
      </c>
      <c r="G1236" s="80" t="str">
        <f>Matrix_prices!G1224</f>
        <v>General Service Large</v>
      </c>
      <c r="H1236" s="81" t="str">
        <f t="shared" si="55"/>
        <v>100-500 MWh</v>
      </c>
      <c r="I1236" s="80">
        <f>(Matrix_prices!I1224+$D$2)*IF($M$2="Prices in $/MWh",1,1/1000)</f>
        <v>72.66</v>
      </c>
      <c r="J1236" s="79">
        <f>(Matrix_prices!J1224+$D$2)*IF($M$2="Prices in $/MWh",1,1/1000)</f>
        <v>74.239999999999995</v>
      </c>
      <c r="K1236" s="80">
        <f>(Matrix_prices!K1224+$D$2)*IF($M$2="Prices in $/MWh",1,1/1000)</f>
        <v>73.03</v>
      </c>
      <c r="L1236" s="79">
        <f>(Matrix_prices!L1224+$D$2)*IF($M$2="Prices in $/MWh",1,1/1000)</f>
        <v>30.27</v>
      </c>
      <c r="M1236" s="80">
        <f>(Matrix_prices!M1224+$D$2)*IF($M$2="Prices in $/MWh",1,1/1000)</f>
        <v>31.54</v>
      </c>
      <c r="N1236" s="79">
        <f>(Matrix_prices!N1224+$D$2)*IF($M$2="Prices in $/MWh",1,1/1000)</f>
        <v>31.33</v>
      </c>
      <c r="O1236" s="61"/>
    </row>
    <row r="1237" spans="2:15" x14ac:dyDescent="0.25">
      <c r="B1237" s="57"/>
      <c r="C1237" s="82">
        <f>Matrix_prices!C1225</f>
        <v>42736</v>
      </c>
      <c r="D1237" s="83" t="str">
        <f>Matrix_prices!D1225</f>
        <v>PA</v>
      </c>
      <c r="E1237" s="84" t="str">
        <f>Matrix_prices!E1225</f>
        <v>PPL</v>
      </c>
      <c r="F1237" s="83" t="str">
        <f>Matrix_prices!F1225</f>
        <v>GS3</v>
      </c>
      <c r="G1237" s="84" t="str">
        <f>Matrix_prices!G1225</f>
        <v>General Service Large</v>
      </c>
      <c r="H1237" s="85" t="str">
        <f t="shared" si="56"/>
        <v>500-2500 MWh</v>
      </c>
      <c r="I1237" s="84">
        <f>(Matrix_prices!I1225+$D$2)*IF($M$2="Prices in $/MWh",1,1/1000)</f>
        <v>71.61</v>
      </c>
      <c r="J1237" s="83">
        <f>(Matrix_prices!J1225+$D$2)*IF($M$2="Prices in $/MWh",1,1/1000)</f>
        <v>73.19</v>
      </c>
      <c r="K1237" s="84">
        <f>(Matrix_prices!K1225+$D$2)*IF($M$2="Prices in $/MWh",1,1/1000)</f>
        <v>71.98</v>
      </c>
      <c r="L1237" s="83">
        <f>(Matrix_prices!L1225+$D$2)*IF($M$2="Prices in $/MWh",1,1/1000)</f>
        <v>29.22</v>
      </c>
      <c r="M1237" s="84">
        <f>(Matrix_prices!M1225+$D$2)*IF($M$2="Prices in $/MWh",1,1/1000)</f>
        <v>30.49</v>
      </c>
      <c r="N1237" s="83">
        <f>(Matrix_prices!N1225+$D$2)*IF($M$2="Prices in $/MWh",1,1/1000)</f>
        <v>30.28</v>
      </c>
      <c r="O1237" s="61"/>
    </row>
    <row r="1238" spans="2:15" x14ac:dyDescent="0.25">
      <c r="B1238" s="57"/>
      <c r="C1238" s="151">
        <f>Matrix_prices!C1226</f>
        <v>42401</v>
      </c>
      <c r="D1238" s="152" t="str">
        <f>Matrix_prices!D1226</f>
        <v>PA</v>
      </c>
      <c r="E1238" s="153" t="str">
        <f>Matrix_prices!E1226</f>
        <v>WPP</v>
      </c>
      <c r="F1238" s="152" t="str">
        <f>Matrix_prices!F1226</f>
        <v>GS20</v>
      </c>
      <c r="G1238" s="153" t="str">
        <f>Matrix_prices!G1226</f>
        <v>General Service</v>
      </c>
      <c r="H1238" s="157" t="str">
        <f t="shared" si="54"/>
        <v>0-100 MWh</v>
      </c>
      <c r="I1238" s="153">
        <f>(Matrix_prices!I1226+$D$2)*IF($M$2="Prices in $/MWh",1,1/1000)</f>
        <v>69.87</v>
      </c>
      <c r="J1238" s="152">
        <f>(Matrix_prices!J1226+$D$2)*IF($M$2="Prices in $/MWh",1,1/1000)</f>
        <v>70.680000000000007</v>
      </c>
      <c r="K1238" s="153">
        <f>(Matrix_prices!K1226+$D$2)*IF($M$2="Prices in $/MWh",1,1/1000)</f>
        <v>71.430000000000007</v>
      </c>
      <c r="L1238" s="152">
        <f>(Matrix_prices!L1226+$D$2)*IF($M$2="Prices in $/MWh",1,1/1000)</f>
        <v>30.46</v>
      </c>
      <c r="M1238" s="153">
        <f>(Matrix_prices!M1226+$D$2)*IF($M$2="Prices in $/MWh",1,1/1000)</f>
        <v>30.86</v>
      </c>
      <c r="N1238" s="152">
        <f>(Matrix_prices!N1226+$D$2)*IF($M$2="Prices in $/MWh",1,1/1000)</f>
        <v>32.19</v>
      </c>
      <c r="O1238" s="61"/>
    </row>
    <row r="1239" spans="2:15" x14ac:dyDescent="0.25">
      <c r="B1239" s="57"/>
      <c r="C1239" s="78">
        <f>Matrix_prices!C1227</f>
        <v>42401</v>
      </c>
      <c r="D1239" s="79" t="str">
        <f>Matrix_prices!D1227</f>
        <v>PA</v>
      </c>
      <c r="E1239" s="80" t="str">
        <f>Matrix_prices!E1227</f>
        <v>WPP</v>
      </c>
      <c r="F1239" s="79" t="str">
        <f>Matrix_prices!F1227</f>
        <v>GS20</v>
      </c>
      <c r="G1239" s="80" t="str">
        <f>Matrix_prices!G1227</f>
        <v>General Service</v>
      </c>
      <c r="H1239" s="81" t="str">
        <f t="shared" si="55"/>
        <v>100-500 MWh</v>
      </c>
      <c r="I1239" s="80">
        <f>(Matrix_prices!I1227+$D$2)*IF($M$2="Prices in $/MWh",1,1/1000)</f>
        <v>68.27</v>
      </c>
      <c r="J1239" s="79">
        <f>(Matrix_prices!J1227+$D$2)*IF($M$2="Prices in $/MWh",1,1/1000)</f>
        <v>69.08</v>
      </c>
      <c r="K1239" s="80">
        <f>(Matrix_prices!K1227+$D$2)*IF($M$2="Prices in $/MWh",1,1/1000)</f>
        <v>69.83</v>
      </c>
      <c r="L1239" s="79">
        <f>(Matrix_prices!L1227+$D$2)*IF($M$2="Prices in $/MWh",1,1/1000)</f>
        <v>28.86</v>
      </c>
      <c r="M1239" s="80">
        <f>(Matrix_prices!M1227+$D$2)*IF($M$2="Prices in $/MWh",1,1/1000)</f>
        <v>29.26</v>
      </c>
      <c r="N1239" s="79">
        <f>(Matrix_prices!N1227+$D$2)*IF($M$2="Prices in $/MWh",1,1/1000)</f>
        <v>30.59</v>
      </c>
      <c r="O1239" s="61"/>
    </row>
    <row r="1240" spans="2:15" x14ac:dyDescent="0.25">
      <c r="B1240" s="57"/>
      <c r="C1240" s="82">
        <f>Matrix_prices!C1228</f>
        <v>42401</v>
      </c>
      <c r="D1240" s="83" t="str">
        <f>Matrix_prices!D1228</f>
        <v>PA</v>
      </c>
      <c r="E1240" s="84" t="str">
        <f>Matrix_prices!E1228</f>
        <v>WPP</v>
      </c>
      <c r="F1240" s="83" t="str">
        <f>Matrix_prices!F1228</f>
        <v>GS20</v>
      </c>
      <c r="G1240" s="84" t="str">
        <f>Matrix_prices!G1228</f>
        <v>General Service</v>
      </c>
      <c r="H1240" s="85" t="str">
        <f t="shared" si="56"/>
        <v>500-2500 MWh</v>
      </c>
      <c r="I1240" s="84">
        <f>(Matrix_prices!I1228+$D$2)*IF($M$2="Prices in $/MWh",1,1/1000)</f>
        <v>67.22</v>
      </c>
      <c r="J1240" s="83">
        <f>(Matrix_prices!J1228+$D$2)*IF($M$2="Prices in $/MWh",1,1/1000)</f>
        <v>68.03</v>
      </c>
      <c r="K1240" s="84">
        <f>(Matrix_prices!K1228+$D$2)*IF($M$2="Prices in $/MWh",1,1/1000)</f>
        <v>68.78</v>
      </c>
      <c r="L1240" s="83">
        <f>(Matrix_prices!L1228+$D$2)*IF($M$2="Prices in $/MWh",1,1/1000)</f>
        <v>27.81</v>
      </c>
      <c r="M1240" s="84">
        <f>(Matrix_prices!M1228+$D$2)*IF($M$2="Prices in $/MWh",1,1/1000)</f>
        <v>28.21</v>
      </c>
      <c r="N1240" s="83">
        <f>(Matrix_prices!N1228+$D$2)*IF($M$2="Prices in $/MWh",1,1/1000)</f>
        <v>29.54</v>
      </c>
      <c r="O1240" s="61"/>
    </row>
    <row r="1241" spans="2:15" x14ac:dyDescent="0.25">
      <c r="B1241" s="57"/>
      <c r="C1241" s="74">
        <f>Matrix_prices!C1229</f>
        <v>42430</v>
      </c>
      <c r="D1241" s="75" t="str">
        <f>Matrix_prices!D1229</f>
        <v>PA</v>
      </c>
      <c r="E1241" s="76" t="str">
        <f>Matrix_prices!E1229</f>
        <v>WPP</v>
      </c>
      <c r="F1241" s="75" t="str">
        <f>Matrix_prices!F1229</f>
        <v>GS20</v>
      </c>
      <c r="G1241" s="76" t="str">
        <f>Matrix_prices!G1229</f>
        <v>General Service</v>
      </c>
      <c r="H1241" s="157" t="str">
        <f t="shared" si="54"/>
        <v>0-100 MWh</v>
      </c>
      <c r="I1241" s="76">
        <f>(Matrix_prices!I1229+$D$2)*IF($M$2="Prices in $/MWh",1,1/1000)</f>
        <v>70.069999999999993</v>
      </c>
      <c r="J1241" s="75">
        <f>(Matrix_prices!J1229+$D$2)*IF($M$2="Prices in $/MWh",1,1/1000)</f>
        <v>70.77</v>
      </c>
      <c r="K1241" s="76">
        <f>(Matrix_prices!K1229+$D$2)*IF($M$2="Prices in $/MWh",1,1/1000)</f>
        <v>71.72</v>
      </c>
      <c r="L1241" s="75">
        <f>(Matrix_prices!L1229+$D$2)*IF($M$2="Prices in $/MWh",1,1/1000)</f>
        <v>30.29</v>
      </c>
      <c r="M1241" s="76">
        <f>(Matrix_prices!M1229+$D$2)*IF($M$2="Prices in $/MWh",1,1/1000)</f>
        <v>31.13</v>
      </c>
      <c r="N1241" s="75">
        <f>(Matrix_prices!N1229+$D$2)*IF($M$2="Prices in $/MWh",1,1/1000)</f>
        <v>32.380000000000003</v>
      </c>
      <c r="O1241" s="61"/>
    </row>
    <row r="1242" spans="2:15" x14ac:dyDescent="0.25">
      <c r="B1242" s="57"/>
      <c r="C1242" s="78">
        <f>Matrix_prices!C1230</f>
        <v>42430</v>
      </c>
      <c r="D1242" s="79" t="str">
        <f>Matrix_prices!D1230</f>
        <v>PA</v>
      </c>
      <c r="E1242" s="80" t="str">
        <f>Matrix_prices!E1230</f>
        <v>WPP</v>
      </c>
      <c r="F1242" s="79" t="str">
        <f>Matrix_prices!F1230</f>
        <v>GS20</v>
      </c>
      <c r="G1242" s="80" t="str">
        <f>Matrix_prices!G1230</f>
        <v>General Service</v>
      </c>
      <c r="H1242" s="81" t="str">
        <f t="shared" si="55"/>
        <v>100-500 MWh</v>
      </c>
      <c r="I1242" s="80">
        <f>(Matrix_prices!I1230+$D$2)*IF($M$2="Prices in $/MWh",1,1/1000)</f>
        <v>68.47</v>
      </c>
      <c r="J1242" s="79">
        <f>(Matrix_prices!J1230+$D$2)*IF($M$2="Prices in $/MWh",1,1/1000)</f>
        <v>69.17</v>
      </c>
      <c r="K1242" s="80">
        <f>(Matrix_prices!K1230+$D$2)*IF($M$2="Prices in $/MWh",1,1/1000)</f>
        <v>70.12</v>
      </c>
      <c r="L1242" s="79">
        <f>(Matrix_prices!L1230+$D$2)*IF($M$2="Prices in $/MWh",1,1/1000)</f>
        <v>28.69</v>
      </c>
      <c r="M1242" s="80">
        <f>(Matrix_prices!M1230+$D$2)*IF($M$2="Prices in $/MWh",1,1/1000)</f>
        <v>29.53</v>
      </c>
      <c r="N1242" s="79">
        <f>(Matrix_prices!N1230+$D$2)*IF($M$2="Prices in $/MWh",1,1/1000)</f>
        <v>30.78</v>
      </c>
      <c r="O1242" s="61"/>
    </row>
    <row r="1243" spans="2:15" x14ac:dyDescent="0.25">
      <c r="B1243" s="57"/>
      <c r="C1243" s="82">
        <f>Matrix_prices!C1231</f>
        <v>42430</v>
      </c>
      <c r="D1243" s="83" t="str">
        <f>Matrix_prices!D1231</f>
        <v>PA</v>
      </c>
      <c r="E1243" s="84" t="str">
        <f>Matrix_prices!E1231</f>
        <v>WPP</v>
      </c>
      <c r="F1243" s="83" t="str">
        <f>Matrix_prices!F1231</f>
        <v>GS20</v>
      </c>
      <c r="G1243" s="84" t="str">
        <f>Matrix_prices!G1231</f>
        <v>General Service</v>
      </c>
      <c r="H1243" s="85" t="str">
        <f t="shared" si="56"/>
        <v>500-2500 MWh</v>
      </c>
      <c r="I1243" s="84">
        <f>(Matrix_prices!I1231+$D$2)*IF($M$2="Prices in $/MWh",1,1/1000)</f>
        <v>67.42</v>
      </c>
      <c r="J1243" s="83">
        <f>(Matrix_prices!J1231+$D$2)*IF($M$2="Prices in $/MWh",1,1/1000)</f>
        <v>68.12</v>
      </c>
      <c r="K1243" s="84">
        <f>(Matrix_prices!K1231+$D$2)*IF($M$2="Prices in $/MWh",1,1/1000)</f>
        <v>69.069999999999993</v>
      </c>
      <c r="L1243" s="83">
        <f>(Matrix_prices!L1231+$D$2)*IF($M$2="Prices in $/MWh",1,1/1000)</f>
        <v>27.64</v>
      </c>
      <c r="M1243" s="84">
        <f>(Matrix_prices!M1231+$D$2)*IF($M$2="Prices in $/MWh",1,1/1000)</f>
        <v>28.48</v>
      </c>
      <c r="N1243" s="83">
        <f>(Matrix_prices!N1231+$D$2)*IF($M$2="Prices in $/MWh",1,1/1000)</f>
        <v>29.73</v>
      </c>
      <c r="O1243" s="61"/>
    </row>
    <row r="1244" spans="2:15" x14ac:dyDescent="0.25">
      <c r="B1244" s="57"/>
      <c r="C1244" s="151">
        <f>Matrix_prices!C1232</f>
        <v>42461</v>
      </c>
      <c r="D1244" s="152" t="str">
        <f>Matrix_prices!D1232</f>
        <v>PA</v>
      </c>
      <c r="E1244" s="153" t="str">
        <f>Matrix_prices!E1232</f>
        <v>WPP</v>
      </c>
      <c r="F1244" s="152" t="str">
        <f>Matrix_prices!F1232</f>
        <v>GS20</v>
      </c>
      <c r="G1244" s="153" t="str">
        <f>Matrix_prices!G1232</f>
        <v>General Service</v>
      </c>
      <c r="H1244" s="157" t="str">
        <f t="shared" si="54"/>
        <v>0-100 MWh</v>
      </c>
      <c r="I1244" s="153">
        <f>(Matrix_prices!I1232+$D$2)*IF($M$2="Prices in $/MWh",1,1/1000)</f>
        <v>70.02</v>
      </c>
      <c r="J1244" s="152">
        <f>(Matrix_prices!J1232+$D$2)*IF($M$2="Prices in $/MWh",1,1/1000)</f>
        <v>70.72</v>
      </c>
      <c r="K1244" s="153">
        <f>(Matrix_prices!K1232+$D$2)*IF($M$2="Prices in $/MWh",1,1/1000)</f>
        <v>71.92</v>
      </c>
      <c r="L1244" s="152">
        <f>(Matrix_prices!L1232+$D$2)*IF($M$2="Prices in $/MWh",1,1/1000)</f>
        <v>30.06</v>
      </c>
      <c r="M1244" s="153">
        <f>(Matrix_prices!M1232+$D$2)*IF($M$2="Prices in $/MWh",1,1/1000)</f>
        <v>31.35</v>
      </c>
      <c r="N1244" s="152">
        <f>(Matrix_prices!N1232+$D$2)*IF($M$2="Prices in $/MWh",1,1/1000)</f>
        <v>32.54</v>
      </c>
      <c r="O1244" s="61"/>
    </row>
    <row r="1245" spans="2:15" x14ac:dyDescent="0.25">
      <c r="B1245" s="57"/>
      <c r="C1245" s="78">
        <f>Matrix_prices!C1233</f>
        <v>42461</v>
      </c>
      <c r="D1245" s="79" t="str">
        <f>Matrix_prices!D1233</f>
        <v>PA</v>
      </c>
      <c r="E1245" s="80" t="str">
        <f>Matrix_prices!E1233</f>
        <v>WPP</v>
      </c>
      <c r="F1245" s="79" t="str">
        <f>Matrix_prices!F1233</f>
        <v>GS20</v>
      </c>
      <c r="G1245" s="80" t="str">
        <f>Matrix_prices!G1233</f>
        <v>General Service</v>
      </c>
      <c r="H1245" s="81" t="str">
        <f t="shared" si="55"/>
        <v>100-500 MWh</v>
      </c>
      <c r="I1245" s="80">
        <f>(Matrix_prices!I1233+$D$2)*IF($M$2="Prices in $/MWh",1,1/1000)</f>
        <v>68.42</v>
      </c>
      <c r="J1245" s="79">
        <f>(Matrix_prices!J1233+$D$2)*IF($M$2="Prices in $/MWh",1,1/1000)</f>
        <v>69.12</v>
      </c>
      <c r="K1245" s="80">
        <f>(Matrix_prices!K1233+$D$2)*IF($M$2="Prices in $/MWh",1,1/1000)</f>
        <v>70.319999999999993</v>
      </c>
      <c r="L1245" s="79">
        <f>(Matrix_prices!L1233+$D$2)*IF($M$2="Prices in $/MWh",1,1/1000)</f>
        <v>28.46</v>
      </c>
      <c r="M1245" s="80">
        <f>(Matrix_prices!M1233+$D$2)*IF($M$2="Prices in $/MWh",1,1/1000)</f>
        <v>29.75</v>
      </c>
      <c r="N1245" s="79">
        <f>(Matrix_prices!N1233+$D$2)*IF($M$2="Prices in $/MWh",1,1/1000)</f>
        <v>30.94</v>
      </c>
      <c r="O1245" s="61"/>
    </row>
    <row r="1246" spans="2:15" x14ac:dyDescent="0.25">
      <c r="B1246" s="57"/>
      <c r="C1246" s="82">
        <f>Matrix_prices!C1234</f>
        <v>42461</v>
      </c>
      <c r="D1246" s="83" t="str">
        <f>Matrix_prices!D1234</f>
        <v>PA</v>
      </c>
      <c r="E1246" s="84" t="str">
        <f>Matrix_prices!E1234</f>
        <v>WPP</v>
      </c>
      <c r="F1246" s="83" t="str">
        <f>Matrix_prices!F1234</f>
        <v>GS20</v>
      </c>
      <c r="G1246" s="84" t="str">
        <f>Matrix_prices!G1234</f>
        <v>General Service</v>
      </c>
      <c r="H1246" s="85" t="str">
        <f t="shared" si="56"/>
        <v>500-2500 MWh</v>
      </c>
      <c r="I1246" s="84">
        <f>(Matrix_prices!I1234+$D$2)*IF($M$2="Prices in $/MWh",1,1/1000)</f>
        <v>67.37</v>
      </c>
      <c r="J1246" s="83">
        <f>(Matrix_prices!J1234+$D$2)*IF($M$2="Prices in $/MWh",1,1/1000)</f>
        <v>68.069999999999993</v>
      </c>
      <c r="K1246" s="84">
        <f>(Matrix_prices!K1234+$D$2)*IF($M$2="Prices in $/MWh",1,1/1000)</f>
        <v>69.27</v>
      </c>
      <c r="L1246" s="83">
        <f>(Matrix_prices!L1234+$D$2)*IF($M$2="Prices in $/MWh",1,1/1000)</f>
        <v>27.41</v>
      </c>
      <c r="M1246" s="84">
        <f>(Matrix_prices!M1234+$D$2)*IF($M$2="Prices in $/MWh",1,1/1000)</f>
        <v>28.7</v>
      </c>
      <c r="N1246" s="83">
        <f>(Matrix_prices!N1234+$D$2)*IF($M$2="Prices in $/MWh",1,1/1000)</f>
        <v>29.89</v>
      </c>
      <c r="O1246" s="61"/>
    </row>
    <row r="1247" spans="2:15" x14ac:dyDescent="0.25">
      <c r="B1247" s="57"/>
      <c r="C1247" s="74">
        <f>Matrix_prices!C1235</f>
        <v>42491</v>
      </c>
      <c r="D1247" s="75" t="str">
        <f>Matrix_prices!D1235</f>
        <v>PA</v>
      </c>
      <c r="E1247" s="76" t="str">
        <f>Matrix_prices!E1235</f>
        <v>WPP</v>
      </c>
      <c r="F1247" s="75" t="str">
        <f>Matrix_prices!F1235</f>
        <v>GS20</v>
      </c>
      <c r="G1247" s="76" t="str">
        <f>Matrix_prices!G1235</f>
        <v>General Service</v>
      </c>
      <c r="H1247" s="157" t="str">
        <f t="shared" si="54"/>
        <v>0-100 MWh</v>
      </c>
      <c r="I1247" s="76">
        <f>(Matrix_prices!I1235+$D$2)*IF($M$2="Prices in $/MWh",1,1/1000)</f>
        <v>69.87</v>
      </c>
      <c r="J1247" s="75">
        <f>(Matrix_prices!J1235+$D$2)*IF($M$2="Prices in $/MWh",1,1/1000)</f>
        <v>70.72</v>
      </c>
      <c r="K1247" s="76">
        <f>(Matrix_prices!K1235+$D$2)*IF($M$2="Prices in $/MWh",1,1/1000)</f>
        <v>72.06</v>
      </c>
      <c r="L1247" s="75">
        <f>(Matrix_prices!L1235+$D$2)*IF($M$2="Prices in $/MWh",1,1/1000)</f>
        <v>29.84</v>
      </c>
      <c r="M1247" s="76">
        <f>(Matrix_prices!M1235+$D$2)*IF($M$2="Prices in $/MWh",1,1/1000)</f>
        <v>31.57</v>
      </c>
      <c r="N1247" s="75">
        <f>(Matrix_prices!N1235+$D$2)*IF($M$2="Prices in $/MWh",1,1/1000)</f>
        <v>32.69</v>
      </c>
      <c r="O1247" s="61"/>
    </row>
    <row r="1248" spans="2:15" x14ac:dyDescent="0.25">
      <c r="B1248" s="57"/>
      <c r="C1248" s="78">
        <f>Matrix_prices!C1236</f>
        <v>42491</v>
      </c>
      <c r="D1248" s="79" t="str">
        <f>Matrix_prices!D1236</f>
        <v>PA</v>
      </c>
      <c r="E1248" s="80" t="str">
        <f>Matrix_prices!E1236</f>
        <v>WPP</v>
      </c>
      <c r="F1248" s="79" t="str">
        <f>Matrix_prices!F1236</f>
        <v>GS20</v>
      </c>
      <c r="G1248" s="80" t="str">
        <f>Matrix_prices!G1236</f>
        <v>General Service</v>
      </c>
      <c r="H1248" s="81" t="str">
        <f t="shared" si="55"/>
        <v>100-500 MWh</v>
      </c>
      <c r="I1248" s="80">
        <f>(Matrix_prices!I1236+$D$2)*IF($M$2="Prices in $/MWh",1,1/1000)</f>
        <v>68.27</v>
      </c>
      <c r="J1248" s="79">
        <f>(Matrix_prices!J1236+$D$2)*IF($M$2="Prices in $/MWh",1,1/1000)</f>
        <v>69.12</v>
      </c>
      <c r="K1248" s="80">
        <f>(Matrix_prices!K1236+$D$2)*IF($M$2="Prices in $/MWh",1,1/1000)</f>
        <v>70.459999999999994</v>
      </c>
      <c r="L1248" s="79">
        <f>(Matrix_prices!L1236+$D$2)*IF($M$2="Prices in $/MWh",1,1/1000)</f>
        <v>28.24</v>
      </c>
      <c r="M1248" s="80">
        <f>(Matrix_prices!M1236+$D$2)*IF($M$2="Prices in $/MWh",1,1/1000)</f>
        <v>29.97</v>
      </c>
      <c r="N1248" s="79">
        <f>(Matrix_prices!N1236+$D$2)*IF($M$2="Prices in $/MWh",1,1/1000)</f>
        <v>31.09</v>
      </c>
      <c r="O1248" s="61"/>
    </row>
    <row r="1249" spans="2:15" x14ac:dyDescent="0.25">
      <c r="B1249" s="57"/>
      <c r="C1249" s="82">
        <f>Matrix_prices!C1237</f>
        <v>42491</v>
      </c>
      <c r="D1249" s="83" t="str">
        <f>Matrix_prices!D1237</f>
        <v>PA</v>
      </c>
      <c r="E1249" s="84" t="str">
        <f>Matrix_prices!E1237</f>
        <v>WPP</v>
      </c>
      <c r="F1249" s="83" t="str">
        <f>Matrix_prices!F1237</f>
        <v>GS20</v>
      </c>
      <c r="G1249" s="84" t="str">
        <f>Matrix_prices!G1237</f>
        <v>General Service</v>
      </c>
      <c r="H1249" s="85" t="str">
        <f t="shared" si="56"/>
        <v>500-2500 MWh</v>
      </c>
      <c r="I1249" s="84">
        <f>(Matrix_prices!I1237+$D$2)*IF($M$2="Prices in $/MWh",1,1/1000)</f>
        <v>67.22</v>
      </c>
      <c r="J1249" s="83">
        <f>(Matrix_prices!J1237+$D$2)*IF($M$2="Prices in $/MWh",1,1/1000)</f>
        <v>68.069999999999993</v>
      </c>
      <c r="K1249" s="84">
        <f>(Matrix_prices!K1237+$D$2)*IF($M$2="Prices in $/MWh",1,1/1000)</f>
        <v>69.41</v>
      </c>
      <c r="L1249" s="83">
        <f>(Matrix_prices!L1237+$D$2)*IF($M$2="Prices in $/MWh",1,1/1000)</f>
        <v>27.19</v>
      </c>
      <c r="M1249" s="84">
        <f>(Matrix_prices!M1237+$D$2)*IF($M$2="Prices in $/MWh",1,1/1000)</f>
        <v>28.92</v>
      </c>
      <c r="N1249" s="83">
        <f>(Matrix_prices!N1237+$D$2)*IF($M$2="Prices in $/MWh",1,1/1000)</f>
        <v>30.04</v>
      </c>
      <c r="O1249" s="61"/>
    </row>
    <row r="1250" spans="2:15" x14ac:dyDescent="0.25">
      <c r="B1250" s="57"/>
      <c r="C1250" s="151">
        <f>Matrix_prices!C1238</f>
        <v>42522</v>
      </c>
      <c r="D1250" s="152" t="str">
        <f>Matrix_prices!D1238</f>
        <v>PA</v>
      </c>
      <c r="E1250" s="153" t="str">
        <f>Matrix_prices!E1238</f>
        <v>WPP</v>
      </c>
      <c r="F1250" s="152" t="str">
        <f>Matrix_prices!F1238</f>
        <v>GS20</v>
      </c>
      <c r="G1250" s="153" t="str">
        <f>Matrix_prices!G1238</f>
        <v>General Service</v>
      </c>
      <c r="H1250" s="157" t="str">
        <f t="shared" si="54"/>
        <v>0-100 MWh</v>
      </c>
      <c r="I1250" s="153">
        <f>(Matrix_prices!I1238+$D$2)*IF($M$2="Prices in $/MWh",1,1/1000)</f>
        <v>69.62</v>
      </c>
      <c r="J1250" s="152">
        <f>(Matrix_prices!J1238+$D$2)*IF($M$2="Prices in $/MWh",1,1/1000)</f>
        <v>70.680000000000007</v>
      </c>
      <c r="K1250" s="153">
        <f>(Matrix_prices!K1238+$D$2)*IF($M$2="Prices in $/MWh",1,1/1000)</f>
        <v>72.2</v>
      </c>
      <c r="L1250" s="152">
        <f>(Matrix_prices!L1238+$D$2)*IF($M$2="Prices in $/MWh",1,1/1000)</f>
        <v>29.57</v>
      </c>
      <c r="M1250" s="153">
        <f>(Matrix_prices!M1238+$D$2)*IF($M$2="Prices in $/MWh",1,1/1000)</f>
        <v>31.69</v>
      </c>
      <c r="N1250" s="152">
        <f>(Matrix_prices!N1238+$D$2)*IF($M$2="Prices in $/MWh",1,1/1000)</f>
        <v>32.83</v>
      </c>
      <c r="O1250" s="61"/>
    </row>
    <row r="1251" spans="2:15" x14ac:dyDescent="0.25">
      <c r="B1251" s="57"/>
      <c r="C1251" s="78">
        <f>Matrix_prices!C1239</f>
        <v>42522</v>
      </c>
      <c r="D1251" s="79" t="str">
        <f>Matrix_prices!D1239</f>
        <v>PA</v>
      </c>
      <c r="E1251" s="80" t="str">
        <f>Matrix_prices!E1239</f>
        <v>WPP</v>
      </c>
      <c r="F1251" s="79" t="str">
        <f>Matrix_prices!F1239</f>
        <v>GS20</v>
      </c>
      <c r="G1251" s="80" t="str">
        <f>Matrix_prices!G1239</f>
        <v>General Service</v>
      </c>
      <c r="H1251" s="81" t="str">
        <f t="shared" si="55"/>
        <v>100-500 MWh</v>
      </c>
      <c r="I1251" s="80">
        <f>(Matrix_prices!I1239+$D$2)*IF($M$2="Prices in $/MWh",1,1/1000)</f>
        <v>68.02</v>
      </c>
      <c r="J1251" s="79">
        <f>(Matrix_prices!J1239+$D$2)*IF($M$2="Prices in $/MWh",1,1/1000)</f>
        <v>69.08</v>
      </c>
      <c r="K1251" s="80">
        <f>(Matrix_prices!K1239+$D$2)*IF($M$2="Prices in $/MWh",1,1/1000)</f>
        <v>70.599999999999994</v>
      </c>
      <c r="L1251" s="79">
        <f>(Matrix_prices!L1239+$D$2)*IF($M$2="Prices in $/MWh",1,1/1000)</f>
        <v>27.97</v>
      </c>
      <c r="M1251" s="80">
        <f>(Matrix_prices!M1239+$D$2)*IF($M$2="Prices in $/MWh",1,1/1000)</f>
        <v>30.09</v>
      </c>
      <c r="N1251" s="79">
        <f>(Matrix_prices!N1239+$D$2)*IF($M$2="Prices in $/MWh",1,1/1000)</f>
        <v>31.23</v>
      </c>
      <c r="O1251" s="61"/>
    </row>
    <row r="1252" spans="2:15" x14ac:dyDescent="0.25">
      <c r="B1252" s="57"/>
      <c r="C1252" s="82">
        <f>Matrix_prices!C1240</f>
        <v>42522</v>
      </c>
      <c r="D1252" s="83" t="str">
        <f>Matrix_prices!D1240</f>
        <v>PA</v>
      </c>
      <c r="E1252" s="84" t="str">
        <f>Matrix_prices!E1240</f>
        <v>WPP</v>
      </c>
      <c r="F1252" s="83" t="str">
        <f>Matrix_prices!F1240</f>
        <v>GS20</v>
      </c>
      <c r="G1252" s="84" t="str">
        <f>Matrix_prices!G1240</f>
        <v>General Service</v>
      </c>
      <c r="H1252" s="85" t="str">
        <f t="shared" si="56"/>
        <v>500-2500 MWh</v>
      </c>
      <c r="I1252" s="84">
        <f>(Matrix_prices!I1240+$D$2)*IF($M$2="Prices in $/MWh",1,1/1000)</f>
        <v>66.97</v>
      </c>
      <c r="J1252" s="83">
        <f>(Matrix_prices!J1240+$D$2)*IF($M$2="Prices in $/MWh",1,1/1000)</f>
        <v>68.03</v>
      </c>
      <c r="K1252" s="84">
        <f>(Matrix_prices!K1240+$D$2)*IF($M$2="Prices in $/MWh",1,1/1000)</f>
        <v>69.55</v>
      </c>
      <c r="L1252" s="83">
        <f>(Matrix_prices!L1240+$D$2)*IF($M$2="Prices in $/MWh",1,1/1000)</f>
        <v>26.92</v>
      </c>
      <c r="M1252" s="84">
        <f>(Matrix_prices!M1240+$D$2)*IF($M$2="Prices in $/MWh",1,1/1000)</f>
        <v>29.04</v>
      </c>
      <c r="N1252" s="83">
        <f>(Matrix_prices!N1240+$D$2)*IF($M$2="Prices in $/MWh",1,1/1000)</f>
        <v>30.18</v>
      </c>
      <c r="O1252" s="61"/>
    </row>
    <row r="1253" spans="2:15" x14ac:dyDescent="0.25">
      <c r="B1253" s="57"/>
      <c r="C1253" s="74">
        <f>Matrix_prices!C1241</f>
        <v>42552</v>
      </c>
      <c r="D1253" s="75" t="str">
        <f>Matrix_prices!D1241</f>
        <v>PA</v>
      </c>
      <c r="E1253" s="76" t="str">
        <f>Matrix_prices!E1241</f>
        <v>WPP</v>
      </c>
      <c r="F1253" s="75" t="str">
        <f>Matrix_prices!F1241</f>
        <v>GS20</v>
      </c>
      <c r="G1253" s="76" t="str">
        <f>Matrix_prices!G1241</f>
        <v>General Service</v>
      </c>
      <c r="H1253" s="157" t="str">
        <f t="shared" si="54"/>
        <v>0-100 MWh</v>
      </c>
      <c r="I1253" s="76">
        <f>(Matrix_prices!I1241+$D$2)*IF($M$2="Prices in $/MWh",1,1/1000)</f>
        <v>70.11</v>
      </c>
      <c r="J1253" s="75">
        <f>(Matrix_prices!J1241+$D$2)*IF($M$2="Prices in $/MWh",1,1/1000)</f>
        <v>70.95</v>
      </c>
      <c r="K1253" s="76">
        <f>(Matrix_prices!K1241+$D$2)*IF($M$2="Prices in $/MWh",1,1/1000)</f>
        <v>72.459999999999994</v>
      </c>
      <c r="L1253" s="75">
        <f>(Matrix_prices!L1241+$D$2)*IF($M$2="Prices in $/MWh",1,1/1000)</f>
        <v>30.11</v>
      </c>
      <c r="M1253" s="76">
        <f>(Matrix_prices!M1241+$D$2)*IF($M$2="Prices in $/MWh",1,1/1000)</f>
        <v>32.14</v>
      </c>
      <c r="N1253" s="75">
        <f>(Matrix_prices!N1241+$D$2)*IF($M$2="Prices in $/MWh",1,1/1000)</f>
        <v>33.19</v>
      </c>
      <c r="O1253" s="61"/>
    </row>
    <row r="1254" spans="2:15" x14ac:dyDescent="0.25">
      <c r="B1254" s="57"/>
      <c r="C1254" s="78">
        <f>Matrix_prices!C1242</f>
        <v>42552</v>
      </c>
      <c r="D1254" s="79" t="str">
        <f>Matrix_prices!D1242</f>
        <v>PA</v>
      </c>
      <c r="E1254" s="80" t="str">
        <f>Matrix_prices!E1242</f>
        <v>WPP</v>
      </c>
      <c r="F1254" s="79" t="str">
        <f>Matrix_prices!F1242</f>
        <v>GS20</v>
      </c>
      <c r="G1254" s="80" t="str">
        <f>Matrix_prices!G1242</f>
        <v>General Service</v>
      </c>
      <c r="H1254" s="81" t="str">
        <f t="shared" si="55"/>
        <v>100-500 MWh</v>
      </c>
      <c r="I1254" s="80">
        <f>(Matrix_prices!I1242+$D$2)*IF($M$2="Prices in $/MWh",1,1/1000)</f>
        <v>68.510000000000005</v>
      </c>
      <c r="J1254" s="79">
        <f>(Matrix_prices!J1242+$D$2)*IF($M$2="Prices in $/MWh",1,1/1000)</f>
        <v>69.349999999999994</v>
      </c>
      <c r="K1254" s="80">
        <f>(Matrix_prices!K1242+$D$2)*IF($M$2="Prices in $/MWh",1,1/1000)</f>
        <v>70.86</v>
      </c>
      <c r="L1254" s="79">
        <f>(Matrix_prices!L1242+$D$2)*IF($M$2="Prices in $/MWh",1,1/1000)</f>
        <v>28.51</v>
      </c>
      <c r="M1254" s="80">
        <f>(Matrix_prices!M1242+$D$2)*IF($M$2="Prices in $/MWh",1,1/1000)</f>
        <v>30.54</v>
      </c>
      <c r="N1254" s="79">
        <f>(Matrix_prices!N1242+$D$2)*IF($M$2="Prices in $/MWh",1,1/1000)</f>
        <v>31.59</v>
      </c>
      <c r="O1254" s="61"/>
    </row>
    <row r="1255" spans="2:15" x14ac:dyDescent="0.25">
      <c r="B1255" s="57"/>
      <c r="C1255" s="82">
        <f>Matrix_prices!C1243</f>
        <v>42552</v>
      </c>
      <c r="D1255" s="83" t="str">
        <f>Matrix_prices!D1243</f>
        <v>PA</v>
      </c>
      <c r="E1255" s="84" t="str">
        <f>Matrix_prices!E1243</f>
        <v>WPP</v>
      </c>
      <c r="F1255" s="83" t="str">
        <f>Matrix_prices!F1243</f>
        <v>GS20</v>
      </c>
      <c r="G1255" s="84" t="str">
        <f>Matrix_prices!G1243</f>
        <v>General Service</v>
      </c>
      <c r="H1255" s="85" t="str">
        <f t="shared" si="56"/>
        <v>500-2500 MWh</v>
      </c>
      <c r="I1255" s="84">
        <f>(Matrix_prices!I1243+$D$2)*IF($M$2="Prices in $/MWh",1,1/1000)</f>
        <v>67.459999999999994</v>
      </c>
      <c r="J1255" s="83">
        <f>(Matrix_prices!J1243+$D$2)*IF($M$2="Prices in $/MWh",1,1/1000)</f>
        <v>68.3</v>
      </c>
      <c r="K1255" s="84">
        <f>(Matrix_prices!K1243+$D$2)*IF($M$2="Prices in $/MWh",1,1/1000)</f>
        <v>69.81</v>
      </c>
      <c r="L1255" s="83">
        <f>(Matrix_prices!L1243+$D$2)*IF($M$2="Prices in $/MWh",1,1/1000)</f>
        <v>27.46</v>
      </c>
      <c r="M1255" s="84">
        <f>(Matrix_prices!M1243+$D$2)*IF($M$2="Prices in $/MWh",1,1/1000)</f>
        <v>29.49</v>
      </c>
      <c r="N1255" s="83">
        <f>(Matrix_prices!N1243+$D$2)*IF($M$2="Prices in $/MWh",1,1/1000)</f>
        <v>30.54</v>
      </c>
      <c r="O1255" s="61"/>
    </row>
    <row r="1256" spans="2:15" x14ac:dyDescent="0.25">
      <c r="B1256" s="57"/>
      <c r="C1256" s="151">
        <f>Matrix_prices!C1244</f>
        <v>42583</v>
      </c>
      <c r="D1256" s="152" t="str">
        <f>Matrix_prices!D1244</f>
        <v>PA</v>
      </c>
      <c r="E1256" s="153" t="str">
        <f>Matrix_prices!E1244</f>
        <v>WPP</v>
      </c>
      <c r="F1256" s="152" t="str">
        <f>Matrix_prices!F1244</f>
        <v>GS20</v>
      </c>
      <c r="G1256" s="153" t="str">
        <f>Matrix_prices!G1244</f>
        <v>General Service</v>
      </c>
      <c r="H1256" s="157" t="str">
        <f t="shared" si="54"/>
        <v>0-100 MWh</v>
      </c>
      <c r="I1256" s="153">
        <f>(Matrix_prices!I1244+$D$2)*IF($M$2="Prices in $/MWh",1,1/1000)</f>
        <v>70.59</v>
      </c>
      <c r="J1256" s="152">
        <f>(Matrix_prices!J1244+$D$2)*IF($M$2="Prices in $/MWh",1,1/1000)</f>
        <v>71.61</v>
      </c>
      <c r="K1256" s="153">
        <f>(Matrix_prices!K1244+$D$2)*IF($M$2="Prices in $/MWh",1,1/1000)</f>
        <v>72.819999999999993</v>
      </c>
      <c r="L1256" s="152">
        <f>(Matrix_prices!L1244+$D$2)*IF($M$2="Prices in $/MWh",1,1/1000)</f>
        <v>30.7</v>
      </c>
      <c r="M1256" s="153">
        <f>(Matrix_prices!M1244+$D$2)*IF($M$2="Prices in $/MWh",1,1/1000)</f>
        <v>32.53</v>
      </c>
      <c r="N1256" s="152">
        <f>(Matrix_prices!N1244+$D$2)*IF($M$2="Prices in $/MWh",1,1/1000)</f>
        <v>33.58</v>
      </c>
      <c r="O1256" s="61"/>
    </row>
    <row r="1257" spans="2:15" x14ac:dyDescent="0.25">
      <c r="B1257" s="57"/>
      <c r="C1257" s="78">
        <f>Matrix_prices!C1245</f>
        <v>42583</v>
      </c>
      <c r="D1257" s="79" t="str">
        <f>Matrix_prices!D1245</f>
        <v>PA</v>
      </c>
      <c r="E1257" s="80" t="str">
        <f>Matrix_prices!E1245</f>
        <v>WPP</v>
      </c>
      <c r="F1257" s="79" t="str">
        <f>Matrix_prices!F1245</f>
        <v>GS20</v>
      </c>
      <c r="G1257" s="80" t="str">
        <f>Matrix_prices!G1245</f>
        <v>General Service</v>
      </c>
      <c r="H1257" s="81" t="str">
        <f t="shared" si="55"/>
        <v>100-500 MWh</v>
      </c>
      <c r="I1257" s="80">
        <f>(Matrix_prices!I1245+$D$2)*IF($M$2="Prices in $/MWh",1,1/1000)</f>
        <v>68.989999999999995</v>
      </c>
      <c r="J1257" s="79">
        <f>(Matrix_prices!J1245+$D$2)*IF($M$2="Prices in $/MWh",1,1/1000)</f>
        <v>70.010000000000005</v>
      </c>
      <c r="K1257" s="80">
        <f>(Matrix_prices!K1245+$D$2)*IF($M$2="Prices in $/MWh",1,1/1000)</f>
        <v>71.22</v>
      </c>
      <c r="L1257" s="79">
        <f>(Matrix_prices!L1245+$D$2)*IF($M$2="Prices in $/MWh",1,1/1000)</f>
        <v>29.1</v>
      </c>
      <c r="M1257" s="80">
        <f>(Matrix_prices!M1245+$D$2)*IF($M$2="Prices in $/MWh",1,1/1000)</f>
        <v>30.93</v>
      </c>
      <c r="N1257" s="79">
        <f>(Matrix_prices!N1245+$D$2)*IF($M$2="Prices in $/MWh",1,1/1000)</f>
        <v>31.98</v>
      </c>
      <c r="O1257" s="61"/>
    </row>
    <row r="1258" spans="2:15" x14ac:dyDescent="0.25">
      <c r="B1258" s="57"/>
      <c r="C1258" s="82">
        <f>Matrix_prices!C1246</f>
        <v>42583</v>
      </c>
      <c r="D1258" s="83" t="str">
        <f>Matrix_prices!D1246</f>
        <v>PA</v>
      </c>
      <c r="E1258" s="84" t="str">
        <f>Matrix_prices!E1246</f>
        <v>WPP</v>
      </c>
      <c r="F1258" s="83" t="str">
        <f>Matrix_prices!F1246</f>
        <v>GS20</v>
      </c>
      <c r="G1258" s="84" t="str">
        <f>Matrix_prices!G1246</f>
        <v>General Service</v>
      </c>
      <c r="H1258" s="85" t="str">
        <f t="shared" si="56"/>
        <v>500-2500 MWh</v>
      </c>
      <c r="I1258" s="84">
        <f>(Matrix_prices!I1246+$D$2)*IF($M$2="Prices in $/MWh",1,1/1000)</f>
        <v>67.94</v>
      </c>
      <c r="J1258" s="83">
        <f>(Matrix_prices!J1246+$D$2)*IF($M$2="Prices in $/MWh",1,1/1000)</f>
        <v>68.959999999999994</v>
      </c>
      <c r="K1258" s="84">
        <f>(Matrix_prices!K1246+$D$2)*IF($M$2="Prices in $/MWh",1,1/1000)</f>
        <v>70.17</v>
      </c>
      <c r="L1258" s="83">
        <f>(Matrix_prices!L1246+$D$2)*IF($M$2="Prices in $/MWh",1,1/1000)</f>
        <v>28.05</v>
      </c>
      <c r="M1258" s="84">
        <f>(Matrix_prices!M1246+$D$2)*IF($M$2="Prices in $/MWh",1,1/1000)</f>
        <v>29.88</v>
      </c>
      <c r="N1258" s="83">
        <f>(Matrix_prices!N1246+$D$2)*IF($M$2="Prices in $/MWh",1,1/1000)</f>
        <v>30.93</v>
      </c>
      <c r="O1258" s="61"/>
    </row>
    <row r="1259" spans="2:15" x14ac:dyDescent="0.25">
      <c r="B1259" s="57"/>
      <c r="C1259" s="74">
        <f>Matrix_prices!C1247</f>
        <v>42614</v>
      </c>
      <c r="D1259" s="75" t="str">
        <f>Matrix_prices!D1247</f>
        <v>PA</v>
      </c>
      <c r="E1259" s="76" t="str">
        <f>Matrix_prices!E1247</f>
        <v>WPP</v>
      </c>
      <c r="F1259" s="75" t="str">
        <f>Matrix_prices!F1247</f>
        <v>GS20</v>
      </c>
      <c r="G1259" s="76" t="str">
        <f>Matrix_prices!G1247</f>
        <v>General Service</v>
      </c>
      <c r="H1259" s="157" t="str">
        <f t="shared" ref="H1259:H1271" si="57">IF($M$2="Prices in $/MWh","0-100 MWh","0-100,000 kWh")</f>
        <v>0-100 MWh</v>
      </c>
      <c r="I1259" s="76">
        <f>(Matrix_prices!I1247+$D$2)*IF($M$2="Prices in $/MWh",1,1/1000)</f>
        <v>70.989999999999995</v>
      </c>
      <c r="J1259" s="75">
        <f>(Matrix_prices!J1247+$D$2)*IF($M$2="Prices in $/MWh",1,1/1000)</f>
        <v>72.19</v>
      </c>
      <c r="K1259" s="76">
        <f>(Matrix_prices!K1247+$D$2)*IF($M$2="Prices in $/MWh",1,1/1000)</f>
        <v>73.099999999999994</v>
      </c>
      <c r="L1259" s="75">
        <f>(Matrix_prices!L1247+$D$2)*IF($M$2="Prices in $/MWh",1,1/1000)</f>
        <v>31.25</v>
      </c>
      <c r="M1259" s="76">
        <f>(Matrix_prices!M1247+$D$2)*IF($M$2="Prices in $/MWh",1,1/1000)</f>
        <v>32.89</v>
      </c>
      <c r="N1259" s="75">
        <f>(Matrix_prices!N1247+$D$2)*IF($M$2="Prices in $/MWh",1,1/1000)</f>
        <v>33.950000000000003</v>
      </c>
      <c r="O1259" s="61"/>
    </row>
    <row r="1260" spans="2:15" x14ac:dyDescent="0.25">
      <c r="B1260" s="57"/>
      <c r="C1260" s="78">
        <f>Matrix_prices!C1248</f>
        <v>42614</v>
      </c>
      <c r="D1260" s="79" t="str">
        <f>Matrix_prices!D1248</f>
        <v>PA</v>
      </c>
      <c r="E1260" s="80" t="str">
        <f>Matrix_prices!E1248</f>
        <v>WPP</v>
      </c>
      <c r="F1260" s="79" t="str">
        <f>Matrix_prices!F1248</f>
        <v>GS20</v>
      </c>
      <c r="G1260" s="80" t="str">
        <f>Matrix_prices!G1248</f>
        <v>General Service</v>
      </c>
      <c r="H1260" s="81" t="str">
        <f t="shared" ref="H1260:H1272" si="58">IF($M$2="Prices in $/MWh","100-500 MWh","100,000-500,000 kWh")</f>
        <v>100-500 MWh</v>
      </c>
      <c r="I1260" s="80">
        <f>(Matrix_prices!I1248+$D$2)*IF($M$2="Prices in $/MWh",1,1/1000)</f>
        <v>69.39</v>
      </c>
      <c r="J1260" s="79">
        <f>(Matrix_prices!J1248+$D$2)*IF($M$2="Prices in $/MWh",1,1/1000)</f>
        <v>70.59</v>
      </c>
      <c r="K1260" s="80">
        <f>(Matrix_prices!K1248+$D$2)*IF($M$2="Prices in $/MWh",1,1/1000)</f>
        <v>71.5</v>
      </c>
      <c r="L1260" s="79">
        <f>(Matrix_prices!L1248+$D$2)*IF($M$2="Prices in $/MWh",1,1/1000)</f>
        <v>29.65</v>
      </c>
      <c r="M1260" s="80">
        <f>(Matrix_prices!M1248+$D$2)*IF($M$2="Prices in $/MWh",1,1/1000)</f>
        <v>31.29</v>
      </c>
      <c r="N1260" s="79">
        <f>(Matrix_prices!N1248+$D$2)*IF($M$2="Prices in $/MWh",1,1/1000)</f>
        <v>32.35</v>
      </c>
      <c r="O1260" s="61"/>
    </row>
    <row r="1261" spans="2:15" x14ac:dyDescent="0.25">
      <c r="B1261" s="57"/>
      <c r="C1261" s="82">
        <f>Matrix_prices!C1249</f>
        <v>42614</v>
      </c>
      <c r="D1261" s="83" t="str">
        <f>Matrix_prices!D1249</f>
        <v>PA</v>
      </c>
      <c r="E1261" s="84" t="str">
        <f>Matrix_prices!E1249</f>
        <v>WPP</v>
      </c>
      <c r="F1261" s="83" t="str">
        <f>Matrix_prices!F1249</f>
        <v>GS20</v>
      </c>
      <c r="G1261" s="84" t="str">
        <f>Matrix_prices!G1249</f>
        <v>General Service</v>
      </c>
      <c r="H1261" s="85" t="str">
        <f t="shared" ref="H1261:H1273" si="59">IF($M$2="Prices in $/MWh","500-2500 MWh","500,000-2,500,000 kWh")</f>
        <v>500-2500 MWh</v>
      </c>
      <c r="I1261" s="84">
        <f>(Matrix_prices!I1249+$D$2)*IF($M$2="Prices in $/MWh",1,1/1000)</f>
        <v>68.34</v>
      </c>
      <c r="J1261" s="83">
        <f>(Matrix_prices!J1249+$D$2)*IF($M$2="Prices in $/MWh",1,1/1000)</f>
        <v>69.540000000000006</v>
      </c>
      <c r="K1261" s="84">
        <f>(Matrix_prices!K1249+$D$2)*IF($M$2="Prices in $/MWh",1,1/1000)</f>
        <v>70.45</v>
      </c>
      <c r="L1261" s="83">
        <f>(Matrix_prices!L1249+$D$2)*IF($M$2="Prices in $/MWh",1,1/1000)</f>
        <v>28.6</v>
      </c>
      <c r="M1261" s="84">
        <f>(Matrix_prices!M1249+$D$2)*IF($M$2="Prices in $/MWh",1,1/1000)</f>
        <v>30.24</v>
      </c>
      <c r="N1261" s="83">
        <f>(Matrix_prices!N1249+$D$2)*IF($M$2="Prices in $/MWh",1,1/1000)</f>
        <v>31.3</v>
      </c>
      <c r="O1261" s="61"/>
    </row>
    <row r="1262" spans="2:15" x14ac:dyDescent="0.25">
      <c r="B1262" s="57"/>
      <c r="C1262" s="151">
        <f>Matrix_prices!C1250</f>
        <v>42644</v>
      </c>
      <c r="D1262" s="152" t="str">
        <f>Matrix_prices!D1250</f>
        <v>PA</v>
      </c>
      <c r="E1262" s="153" t="str">
        <f>Matrix_prices!E1250</f>
        <v>WPP</v>
      </c>
      <c r="F1262" s="152" t="str">
        <f>Matrix_prices!F1250</f>
        <v>GS20</v>
      </c>
      <c r="G1262" s="153" t="str">
        <f>Matrix_prices!G1250</f>
        <v>General Service</v>
      </c>
      <c r="H1262" s="157" t="str">
        <f t="shared" si="57"/>
        <v>0-100 MWh</v>
      </c>
      <c r="I1262" s="153">
        <f>(Matrix_prices!I1250+$D$2)*IF($M$2="Prices in $/MWh",1,1/1000)</f>
        <v>71.430000000000007</v>
      </c>
      <c r="J1262" s="152">
        <f>(Matrix_prices!J1250+$D$2)*IF($M$2="Prices in $/MWh",1,1/1000)</f>
        <v>72.819999999999993</v>
      </c>
      <c r="K1262" s="153">
        <f>(Matrix_prices!K1250+$D$2)*IF($M$2="Prices in $/MWh",1,1/1000)</f>
        <v>73.36</v>
      </c>
      <c r="L1262" s="152">
        <f>(Matrix_prices!L1250+$D$2)*IF($M$2="Prices in $/MWh",1,1/1000)</f>
        <v>31.79</v>
      </c>
      <c r="M1262" s="153">
        <f>(Matrix_prices!M1250+$D$2)*IF($M$2="Prices in $/MWh",1,1/1000)</f>
        <v>33.24</v>
      </c>
      <c r="N1262" s="152">
        <f>(Matrix_prices!N1250+$D$2)*IF($M$2="Prices in $/MWh",1,1/1000)</f>
        <v>34.32</v>
      </c>
      <c r="O1262" s="61"/>
    </row>
    <row r="1263" spans="2:15" x14ac:dyDescent="0.25">
      <c r="B1263" s="57"/>
      <c r="C1263" s="78">
        <f>Matrix_prices!C1251</f>
        <v>42644</v>
      </c>
      <c r="D1263" s="79" t="str">
        <f>Matrix_prices!D1251</f>
        <v>PA</v>
      </c>
      <c r="E1263" s="80" t="str">
        <f>Matrix_prices!E1251</f>
        <v>WPP</v>
      </c>
      <c r="F1263" s="79" t="str">
        <f>Matrix_prices!F1251</f>
        <v>GS20</v>
      </c>
      <c r="G1263" s="80" t="str">
        <f>Matrix_prices!G1251</f>
        <v>General Service</v>
      </c>
      <c r="H1263" s="81" t="str">
        <f t="shared" si="58"/>
        <v>100-500 MWh</v>
      </c>
      <c r="I1263" s="80">
        <f>(Matrix_prices!I1251+$D$2)*IF($M$2="Prices in $/MWh",1,1/1000)</f>
        <v>69.83</v>
      </c>
      <c r="J1263" s="79">
        <f>(Matrix_prices!J1251+$D$2)*IF($M$2="Prices in $/MWh",1,1/1000)</f>
        <v>71.22</v>
      </c>
      <c r="K1263" s="80">
        <f>(Matrix_prices!K1251+$D$2)*IF($M$2="Prices in $/MWh",1,1/1000)</f>
        <v>71.760000000000005</v>
      </c>
      <c r="L1263" s="79">
        <f>(Matrix_prices!L1251+$D$2)*IF($M$2="Prices in $/MWh",1,1/1000)</f>
        <v>30.19</v>
      </c>
      <c r="M1263" s="80">
        <f>(Matrix_prices!M1251+$D$2)*IF($M$2="Prices in $/MWh",1,1/1000)</f>
        <v>31.64</v>
      </c>
      <c r="N1263" s="79">
        <f>(Matrix_prices!N1251+$D$2)*IF($M$2="Prices in $/MWh",1,1/1000)</f>
        <v>32.72</v>
      </c>
      <c r="O1263" s="61"/>
    </row>
    <row r="1264" spans="2:15" x14ac:dyDescent="0.25">
      <c r="B1264" s="57"/>
      <c r="C1264" s="82">
        <f>Matrix_prices!C1252</f>
        <v>42644</v>
      </c>
      <c r="D1264" s="83" t="str">
        <f>Matrix_prices!D1252</f>
        <v>PA</v>
      </c>
      <c r="E1264" s="84" t="str">
        <f>Matrix_prices!E1252</f>
        <v>WPP</v>
      </c>
      <c r="F1264" s="83" t="str">
        <f>Matrix_prices!F1252</f>
        <v>GS20</v>
      </c>
      <c r="G1264" s="84" t="str">
        <f>Matrix_prices!G1252</f>
        <v>General Service</v>
      </c>
      <c r="H1264" s="85" t="str">
        <f t="shared" si="59"/>
        <v>500-2500 MWh</v>
      </c>
      <c r="I1264" s="84">
        <f>(Matrix_prices!I1252+$D$2)*IF($M$2="Prices in $/MWh",1,1/1000)</f>
        <v>68.78</v>
      </c>
      <c r="J1264" s="83">
        <f>(Matrix_prices!J1252+$D$2)*IF($M$2="Prices in $/MWh",1,1/1000)</f>
        <v>70.17</v>
      </c>
      <c r="K1264" s="84">
        <f>(Matrix_prices!K1252+$D$2)*IF($M$2="Prices in $/MWh",1,1/1000)</f>
        <v>70.709999999999994</v>
      </c>
      <c r="L1264" s="83">
        <f>(Matrix_prices!L1252+$D$2)*IF($M$2="Prices in $/MWh",1,1/1000)</f>
        <v>29.14</v>
      </c>
      <c r="M1264" s="84">
        <f>(Matrix_prices!M1252+$D$2)*IF($M$2="Prices in $/MWh",1,1/1000)</f>
        <v>30.59</v>
      </c>
      <c r="N1264" s="83">
        <f>(Matrix_prices!N1252+$D$2)*IF($M$2="Prices in $/MWh",1,1/1000)</f>
        <v>31.67</v>
      </c>
      <c r="O1264" s="61"/>
    </row>
    <row r="1265" spans="2:15" x14ac:dyDescent="0.25">
      <c r="B1265" s="57"/>
      <c r="C1265" s="74">
        <f>Matrix_prices!C1253</f>
        <v>42675</v>
      </c>
      <c r="D1265" s="75" t="str">
        <f>Matrix_prices!D1253</f>
        <v>PA</v>
      </c>
      <c r="E1265" s="76" t="str">
        <f>Matrix_prices!E1253</f>
        <v>WPP</v>
      </c>
      <c r="F1265" s="75" t="str">
        <f>Matrix_prices!F1253</f>
        <v>GS20</v>
      </c>
      <c r="G1265" s="76" t="str">
        <f>Matrix_prices!G1253</f>
        <v>General Service</v>
      </c>
      <c r="H1265" s="157" t="str">
        <f t="shared" si="57"/>
        <v>0-100 MWh</v>
      </c>
      <c r="I1265" s="76">
        <f>(Matrix_prices!I1253+$D$2)*IF($M$2="Prices in $/MWh",1,1/1000)</f>
        <v>71.849999999999994</v>
      </c>
      <c r="J1265" s="75">
        <f>(Matrix_prices!J1253+$D$2)*IF($M$2="Prices in $/MWh",1,1/1000)</f>
        <v>73.27</v>
      </c>
      <c r="K1265" s="76">
        <f>(Matrix_prices!K1253+$D$2)*IF($M$2="Prices in $/MWh",1,1/1000)</f>
        <v>73.61</v>
      </c>
      <c r="L1265" s="75">
        <f>(Matrix_prices!L1253+$D$2)*IF($M$2="Prices in $/MWh",1,1/1000)</f>
        <v>32.31</v>
      </c>
      <c r="M1265" s="76">
        <f>(Matrix_prices!M1253+$D$2)*IF($M$2="Prices in $/MWh",1,1/1000)</f>
        <v>33.58</v>
      </c>
      <c r="N1265" s="75">
        <f>(Matrix_prices!N1253+$D$2)*IF($M$2="Prices in $/MWh",1,1/1000)</f>
        <v>34.65</v>
      </c>
      <c r="O1265" s="61"/>
    </row>
    <row r="1266" spans="2:15" x14ac:dyDescent="0.25">
      <c r="B1266" s="57"/>
      <c r="C1266" s="78">
        <f>Matrix_prices!C1254</f>
        <v>42675</v>
      </c>
      <c r="D1266" s="79" t="str">
        <f>Matrix_prices!D1254</f>
        <v>PA</v>
      </c>
      <c r="E1266" s="80" t="str">
        <f>Matrix_prices!E1254</f>
        <v>WPP</v>
      </c>
      <c r="F1266" s="79" t="str">
        <f>Matrix_prices!F1254</f>
        <v>GS20</v>
      </c>
      <c r="G1266" s="80" t="str">
        <f>Matrix_prices!G1254</f>
        <v>General Service</v>
      </c>
      <c r="H1266" s="81" t="str">
        <f t="shared" si="58"/>
        <v>100-500 MWh</v>
      </c>
      <c r="I1266" s="80">
        <f>(Matrix_prices!I1254+$D$2)*IF($M$2="Prices in $/MWh",1,1/1000)</f>
        <v>70.25</v>
      </c>
      <c r="J1266" s="79">
        <f>(Matrix_prices!J1254+$D$2)*IF($M$2="Prices in $/MWh",1,1/1000)</f>
        <v>71.67</v>
      </c>
      <c r="K1266" s="80">
        <f>(Matrix_prices!K1254+$D$2)*IF($M$2="Prices in $/MWh",1,1/1000)</f>
        <v>72.010000000000005</v>
      </c>
      <c r="L1266" s="79">
        <f>(Matrix_prices!L1254+$D$2)*IF($M$2="Prices in $/MWh",1,1/1000)</f>
        <v>30.71</v>
      </c>
      <c r="M1266" s="80">
        <f>(Matrix_prices!M1254+$D$2)*IF($M$2="Prices in $/MWh",1,1/1000)</f>
        <v>31.98</v>
      </c>
      <c r="N1266" s="79">
        <f>(Matrix_prices!N1254+$D$2)*IF($M$2="Prices in $/MWh",1,1/1000)</f>
        <v>33.049999999999997</v>
      </c>
      <c r="O1266" s="61"/>
    </row>
    <row r="1267" spans="2:15" x14ac:dyDescent="0.25">
      <c r="B1267" s="57"/>
      <c r="C1267" s="82">
        <f>Matrix_prices!C1255</f>
        <v>42675</v>
      </c>
      <c r="D1267" s="83" t="str">
        <f>Matrix_prices!D1255</f>
        <v>PA</v>
      </c>
      <c r="E1267" s="84" t="str">
        <f>Matrix_prices!E1255</f>
        <v>WPP</v>
      </c>
      <c r="F1267" s="83" t="str">
        <f>Matrix_prices!F1255</f>
        <v>GS20</v>
      </c>
      <c r="G1267" s="84" t="str">
        <f>Matrix_prices!G1255</f>
        <v>General Service</v>
      </c>
      <c r="H1267" s="85" t="str">
        <f t="shared" si="59"/>
        <v>500-2500 MWh</v>
      </c>
      <c r="I1267" s="84">
        <f>(Matrix_prices!I1255+$D$2)*IF($M$2="Prices in $/MWh",1,1/1000)</f>
        <v>69.2</v>
      </c>
      <c r="J1267" s="83">
        <f>(Matrix_prices!J1255+$D$2)*IF($M$2="Prices in $/MWh",1,1/1000)</f>
        <v>70.62</v>
      </c>
      <c r="K1267" s="84">
        <f>(Matrix_prices!K1255+$D$2)*IF($M$2="Prices in $/MWh",1,1/1000)</f>
        <v>70.959999999999994</v>
      </c>
      <c r="L1267" s="83">
        <f>(Matrix_prices!L1255+$D$2)*IF($M$2="Prices in $/MWh",1,1/1000)</f>
        <v>29.66</v>
      </c>
      <c r="M1267" s="84">
        <f>(Matrix_prices!M1255+$D$2)*IF($M$2="Prices in $/MWh",1,1/1000)</f>
        <v>30.93</v>
      </c>
      <c r="N1267" s="83">
        <f>(Matrix_prices!N1255+$D$2)*IF($M$2="Prices in $/MWh",1,1/1000)</f>
        <v>32</v>
      </c>
      <c r="O1267" s="61"/>
    </row>
    <row r="1268" spans="2:15" x14ac:dyDescent="0.25">
      <c r="B1268" s="57"/>
      <c r="C1268" s="151">
        <f>Matrix_prices!C1256</f>
        <v>42705</v>
      </c>
      <c r="D1268" s="152" t="str">
        <f>Matrix_prices!D1256</f>
        <v>PA</v>
      </c>
      <c r="E1268" s="153" t="str">
        <f>Matrix_prices!E1256</f>
        <v>WPP</v>
      </c>
      <c r="F1268" s="152" t="str">
        <f>Matrix_prices!F1256</f>
        <v>GS20</v>
      </c>
      <c r="G1268" s="153" t="str">
        <f>Matrix_prices!G1256</f>
        <v>General Service</v>
      </c>
      <c r="H1268" s="157" t="str">
        <f t="shared" si="57"/>
        <v>0-100 MWh</v>
      </c>
      <c r="I1268" s="153">
        <f>(Matrix_prices!I1256+$D$2)*IF($M$2="Prices in $/MWh",1,1/1000)</f>
        <v>72.19</v>
      </c>
      <c r="J1268" s="152">
        <f>(Matrix_prices!J1256+$D$2)*IF($M$2="Prices in $/MWh",1,1/1000)</f>
        <v>73.72</v>
      </c>
      <c r="K1268" s="153">
        <f>(Matrix_prices!K1256+$D$2)*IF($M$2="Prices in $/MWh",1,1/1000)</f>
        <v>73.83</v>
      </c>
      <c r="L1268" s="152">
        <f>(Matrix_prices!L1256+$D$2)*IF($M$2="Prices in $/MWh",1,1/1000)</f>
        <v>32.799999999999997</v>
      </c>
      <c r="M1268" s="153">
        <f>(Matrix_prices!M1256+$D$2)*IF($M$2="Prices in $/MWh",1,1/1000)</f>
        <v>33.96</v>
      </c>
      <c r="N1268" s="152">
        <f>(Matrix_prices!N1256+$D$2)*IF($M$2="Prices in $/MWh",1,1/1000)</f>
        <v>34.97</v>
      </c>
      <c r="O1268" s="61"/>
    </row>
    <row r="1269" spans="2:15" x14ac:dyDescent="0.25">
      <c r="B1269" s="57"/>
      <c r="C1269" s="78">
        <f>Matrix_prices!C1257</f>
        <v>42705</v>
      </c>
      <c r="D1269" s="79" t="str">
        <f>Matrix_prices!D1257</f>
        <v>PA</v>
      </c>
      <c r="E1269" s="80" t="str">
        <f>Matrix_prices!E1257</f>
        <v>WPP</v>
      </c>
      <c r="F1269" s="79" t="str">
        <f>Matrix_prices!F1257</f>
        <v>GS20</v>
      </c>
      <c r="G1269" s="80" t="str">
        <f>Matrix_prices!G1257</f>
        <v>General Service</v>
      </c>
      <c r="H1269" s="81" t="str">
        <f t="shared" si="58"/>
        <v>100-500 MWh</v>
      </c>
      <c r="I1269" s="80">
        <f>(Matrix_prices!I1257+$D$2)*IF($M$2="Prices in $/MWh",1,1/1000)</f>
        <v>70.59</v>
      </c>
      <c r="J1269" s="79">
        <f>(Matrix_prices!J1257+$D$2)*IF($M$2="Prices in $/MWh",1,1/1000)</f>
        <v>72.12</v>
      </c>
      <c r="K1269" s="80">
        <f>(Matrix_prices!K1257+$D$2)*IF($M$2="Prices in $/MWh",1,1/1000)</f>
        <v>72.23</v>
      </c>
      <c r="L1269" s="79">
        <f>(Matrix_prices!L1257+$D$2)*IF($M$2="Prices in $/MWh",1,1/1000)</f>
        <v>31.2</v>
      </c>
      <c r="M1269" s="80">
        <f>(Matrix_prices!M1257+$D$2)*IF($M$2="Prices in $/MWh",1,1/1000)</f>
        <v>32.36</v>
      </c>
      <c r="N1269" s="79">
        <f>(Matrix_prices!N1257+$D$2)*IF($M$2="Prices in $/MWh",1,1/1000)</f>
        <v>33.369999999999997</v>
      </c>
      <c r="O1269" s="61"/>
    </row>
    <row r="1270" spans="2:15" x14ac:dyDescent="0.25">
      <c r="B1270" s="57"/>
      <c r="C1270" s="82">
        <f>Matrix_prices!C1258</f>
        <v>42705</v>
      </c>
      <c r="D1270" s="83" t="str">
        <f>Matrix_prices!D1258</f>
        <v>PA</v>
      </c>
      <c r="E1270" s="84" t="str">
        <f>Matrix_prices!E1258</f>
        <v>WPP</v>
      </c>
      <c r="F1270" s="83" t="str">
        <f>Matrix_prices!F1258</f>
        <v>GS20</v>
      </c>
      <c r="G1270" s="84" t="str">
        <f>Matrix_prices!G1258</f>
        <v>General Service</v>
      </c>
      <c r="H1270" s="85" t="str">
        <f t="shared" si="59"/>
        <v>500-2500 MWh</v>
      </c>
      <c r="I1270" s="84">
        <f>(Matrix_prices!I1258+$D$2)*IF($M$2="Prices in $/MWh",1,1/1000)</f>
        <v>69.540000000000006</v>
      </c>
      <c r="J1270" s="83">
        <f>(Matrix_prices!J1258+$D$2)*IF($M$2="Prices in $/MWh",1,1/1000)</f>
        <v>71.069999999999993</v>
      </c>
      <c r="K1270" s="84">
        <f>(Matrix_prices!K1258+$D$2)*IF($M$2="Prices in $/MWh",1,1/1000)</f>
        <v>71.180000000000007</v>
      </c>
      <c r="L1270" s="83">
        <f>(Matrix_prices!L1258+$D$2)*IF($M$2="Prices in $/MWh",1,1/1000)</f>
        <v>30.15</v>
      </c>
      <c r="M1270" s="84">
        <f>(Matrix_prices!M1258+$D$2)*IF($M$2="Prices in $/MWh",1,1/1000)</f>
        <v>31.31</v>
      </c>
      <c r="N1270" s="83">
        <f>(Matrix_prices!N1258+$D$2)*IF($M$2="Prices in $/MWh",1,1/1000)</f>
        <v>32.32</v>
      </c>
      <c r="O1270" s="61"/>
    </row>
    <row r="1271" spans="2:15" x14ac:dyDescent="0.25">
      <c r="B1271" s="57"/>
      <c r="C1271" s="74">
        <f>Matrix_prices!C1259</f>
        <v>42736</v>
      </c>
      <c r="D1271" s="75" t="str">
        <f>Matrix_prices!D1259</f>
        <v>PA</v>
      </c>
      <c r="E1271" s="76" t="str">
        <f>Matrix_prices!E1259</f>
        <v>WPP</v>
      </c>
      <c r="F1271" s="75" t="str">
        <f>Matrix_prices!F1259</f>
        <v>GS20</v>
      </c>
      <c r="G1271" s="76" t="str">
        <f>Matrix_prices!G1259</f>
        <v>General Service</v>
      </c>
      <c r="H1271" s="157" t="str">
        <f t="shared" si="57"/>
        <v>0-100 MWh</v>
      </c>
      <c r="I1271" s="76">
        <f>(Matrix_prices!I1259+$D$2)*IF($M$2="Prices in $/MWh",1,1/1000)</f>
        <v>72.58</v>
      </c>
      <c r="J1271" s="75">
        <f>(Matrix_prices!J1259+$D$2)*IF($M$2="Prices in $/MWh",1,1/1000)</f>
        <v>74.06</v>
      </c>
      <c r="K1271" s="76">
        <f>(Matrix_prices!K1259+$D$2)*IF($M$2="Prices in $/MWh",1,1/1000)</f>
        <v>74.13</v>
      </c>
      <c r="L1271" s="75">
        <f>(Matrix_prices!L1259+$D$2)*IF($M$2="Prices in $/MWh",1,1/1000)</f>
        <v>33.36</v>
      </c>
      <c r="M1271" s="76">
        <f>(Matrix_prices!M1259+$D$2)*IF($M$2="Prices in $/MWh",1,1/1000)</f>
        <v>34.35</v>
      </c>
      <c r="N1271" s="75">
        <f>(Matrix_prices!N1259+$D$2)*IF($M$2="Prices in $/MWh",1,1/1000)</f>
        <v>35.33</v>
      </c>
      <c r="O1271" s="61"/>
    </row>
    <row r="1272" spans="2:15" x14ac:dyDescent="0.25">
      <c r="B1272" s="57"/>
      <c r="C1272" s="78">
        <f>Matrix_prices!C1260</f>
        <v>42736</v>
      </c>
      <c r="D1272" s="79" t="str">
        <f>Matrix_prices!D1260</f>
        <v>PA</v>
      </c>
      <c r="E1272" s="80" t="str">
        <f>Matrix_prices!E1260</f>
        <v>WPP</v>
      </c>
      <c r="F1272" s="79" t="str">
        <f>Matrix_prices!F1260</f>
        <v>GS20</v>
      </c>
      <c r="G1272" s="80" t="str">
        <f>Matrix_prices!G1260</f>
        <v>General Service</v>
      </c>
      <c r="H1272" s="81" t="str">
        <f t="shared" si="58"/>
        <v>100-500 MWh</v>
      </c>
      <c r="I1272" s="80">
        <f>(Matrix_prices!I1260+$D$2)*IF($M$2="Prices in $/MWh",1,1/1000)</f>
        <v>70.98</v>
      </c>
      <c r="J1272" s="79">
        <f>(Matrix_prices!J1260+$D$2)*IF($M$2="Prices in $/MWh",1,1/1000)</f>
        <v>72.459999999999994</v>
      </c>
      <c r="K1272" s="80">
        <f>(Matrix_prices!K1260+$D$2)*IF($M$2="Prices in $/MWh",1,1/1000)</f>
        <v>72.53</v>
      </c>
      <c r="L1272" s="79">
        <f>(Matrix_prices!L1260+$D$2)*IF($M$2="Prices in $/MWh",1,1/1000)</f>
        <v>31.76</v>
      </c>
      <c r="M1272" s="80">
        <f>(Matrix_prices!M1260+$D$2)*IF($M$2="Prices in $/MWh",1,1/1000)</f>
        <v>32.75</v>
      </c>
      <c r="N1272" s="79">
        <f>(Matrix_prices!N1260+$D$2)*IF($M$2="Prices in $/MWh",1,1/1000)</f>
        <v>33.729999999999997</v>
      </c>
      <c r="O1272" s="61"/>
    </row>
    <row r="1273" spans="2:15" x14ac:dyDescent="0.25">
      <c r="B1273" s="57"/>
      <c r="C1273" s="82">
        <f>Matrix_prices!C1261</f>
        <v>42736</v>
      </c>
      <c r="D1273" s="83" t="str">
        <f>Matrix_prices!D1261</f>
        <v>PA</v>
      </c>
      <c r="E1273" s="84" t="str">
        <f>Matrix_prices!E1261</f>
        <v>WPP</v>
      </c>
      <c r="F1273" s="83" t="str">
        <f>Matrix_prices!F1261</f>
        <v>GS20</v>
      </c>
      <c r="G1273" s="84" t="str">
        <f>Matrix_prices!G1261</f>
        <v>General Service</v>
      </c>
      <c r="H1273" s="85" t="str">
        <f t="shared" si="59"/>
        <v>500-2500 MWh</v>
      </c>
      <c r="I1273" s="84">
        <f>(Matrix_prices!I1261+$D$2)*IF($M$2="Prices in $/MWh",1,1/1000)</f>
        <v>69.930000000000007</v>
      </c>
      <c r="J1273" s="83">
        <f>(Matrix_prices!J1261+$D$2)*IF($M$2="Prices in $/MWh",1,1/1000)</f>
        <v>71.41</v>
      </c>
      <c r="K1273" s="84">
        <f>(Matrix_prices!K1261+$D$2)*IF($M$2="Prices in $/MWh",1,1/1000)</f>
        <v>71.48</v>
      </c>
      <c r="L1273" s="83">
        <f>(Matrix_prices!L1261+$D$2)*IF($M$2="Prices in $/MWh",1,1/1000)</f>
        <v>30.71</v>
      </c>
      <c r="M1273" s="84">
        <f>(Matrix_prices!M1261+$D$2)*IF($M$2="Prices in $/MWh",1,1/1000)</f>
        <v>31.7</v>
      </c>
      <c r="N1273" s="83">
        <f>(Matrix_prices!N1261+$D$2)*IF($M$2="Prices in $/MWh",1,1/1000)</f>
        <v>32.68</v>
      </c>
      <c r="O1273" s="61"/>
    </row>
    <row r="1274" spans="2:15" ht="15.75" thickBot="1" x14ac:dyDescent="0.3">
      <c r="B1274" s="57"/>
      <c r="C1274" s="127"/>
      <c r="D1274" s="60"/>
      <c r="E1274" s="60"/>
      <c r="F1274" s="60"/>
      <c r="G1274" s="60"/>
      <c r="H1274" s="60"/>
      <c r="I1274" s="136"/>
      <c r="J1274" s="136"/>
      <c r="K1274" s="136"/>
      <c r="L1274" s="136"/>
      <c r="M1274" s="136"/>
      <c r="N1274" s="136"/>
      <c r="O1274" s="61"/>
    </row>
    <row r="1275" spans="2:15" x14ac:dyDescent="0.25">
      <c r="B1275" s="57"/>
      <c r="C1275" s="109" t="s">
        <v>650</v>
      </c>
      <c r="D1275" s="3"/>
      <c r="E1275" s="3"/>
      <c r="F1275" s="3"/>
      <c r="G1275" s="3"/>
      <c r="H1275" s="3"/>
      <c r="I1275" s="3"/>
      <c r="J1275" s="3"/>
      <c r="K1275" s="3"/>
      <c r="L1275" s="3"/>
      <c r="M1275" s="3"/>
      <c r="N1275" s="4"/>
      <c r="O1275" s="61"/>
    </row>
    <row r="1276" spans="2:15" x14ac:dyDescent="0.25">
      <c r="B1276" s="57"/>
      <c r="C1276" s="5" t="s">
        <v>651</v>
      </c>
      <c r="D1276" s="6"/>
      <c r="E1276" s="6"/>
      <c r="F1276" s="6"/>
      <c r="G1276" s="6"/>
      <c r="H1276" s="6"/>
      <c r="I1276" s="6"/>
      <c r="J1276" s="6"/>
      <c r="K1276" s="6"/>
      <c r="L1276" s="6"/>
      <c r="M1276" s="6"/>
      <c r="N1276" s="7"/>
      <c r="O1276" s="61"/>
    </row>
    <row r="1277" spans="2:15" x14ac:dyDescent="0.25">
      <c r="B1277" s="57"/>
      <c r="C1277" s="5" t="s">
        <v>652</v>
      </c>
      <c r="D1277" s="6"/>
      <c r="E1277" s="6"/>
      <c r="F1277" s="6"/>
      <c r="G1277" s="6"/>
      <c r="H1277" s="6"/>
      <c r="I1277" s="6"/>
      <c r="J1277" s="6"/>
      <c r="K1277" s="6"/>
      <c r="L1277" s="6"/>
      <c r="M1277" s="6"/>
      <c r="N1277" s="7"/>
      <c r="O1277" s="61"/>
    </row>
    <row r="1278" spans="2:15" x14ac:dyDescent="0.25">
      <c r="B1278" s="57"/>
      <c r="C1278" s="5" t="s">
        <v>653</v>
      </c>
      <c r="D1278" s="6"/>
      <c r="E1278" s="6"/>
      <c r="F1278" s="6"/>
      <c r="G1278" s="6"/>
      <c r="H1278" s="6"/>
      <c r="I1278" s="6"/>
      <c r="J1278" s="6"/>
      <c r="K1278" s="6"/>
      <c r="L1278" s="6"/>
      <c r="M1278" s="6"/>
      <c r="N1278" s="7"/>
      <c r="O1278" s="61"/>
    </row>
    <row r="1279" spans="2:15" x14ac:dyDescent="0.25">
      <c r="B1279" s="57"/>
      <c r="C1279" s="5" t="s">
        <v>654</v>
      </c>
      <c r="D1279" s="6"/>
      <c r="E1279" s="6"/>
      <c r="F1279" s="6"/>
      <c r="G1279" s="6"/>
      <c r="H1279" s="6"/>
      <c r="I1279" s="6"/>
      <c r="J1279" s="6"/>
      <c r="K1279" s="6"/>
      <c r="L1279" s="6"/>
      <c r="M1279" s="6"/>
      <c r="N1279" s="7"/>
      <c r="O1279" s="61"/>
    </row>
    <row r="1280" spans="2:15" x14ac:dyDescent="0.25">
      <c r="B1280" s="57"/>
      <c r="C1280" s="5" t="s">
        <v>655</v>
      </c>
      <c r="D1280" s="6"/>
      <c r="E1280" s="6"/>
      <c r="F1280" s="6"/>
      <c r="G1280" s="6"/>
      <c r="H1280" s="6"/>
      <c r="I1280" s="6"/>
      <c r="J1280" s="6"/>
      <c r="K1280" s="6"/>
      <c r="L1280" s="6"/>
      <c r="M1280" s="6"/>
      <c r="N1280" s="7"/>
      <c r="O1280" s="61"/>
    </row>
    <row r="1281" spans="2:15" x14ac:dyDescent="0.25">
      <c r="B1281" s="57"/>
      <c r="C1281" s="5" t="s">
        <v>656</v>
      </c>
      <c r="D1281" s="6"/>
      <c r="E1281" s="6"/>
      <c r="F1281" s="6"/>
      <c r="G1281" s="6"/>
      <c r="H1281" s="6"/>
      <c r="I1281" s="6"/>
      <c r="J1281" s="6"/>
      <c r="K1281" s="6"/>
      <c r="L1281" s="6"/>
      <c r="M1281" s="6"/>
      <c r="N1281" s="7"/>
      <c r="O1281" s="61"/>
    </row>
    <row r="1282" spans="2:15" ht="15.75" thickBot="1" x14ac:dyDescent="0.3">
      <c r="B1282" s="57"/>
      <c r="C1282" s="155" t="s">
        <v>657</v>
      </c>
      <c r="D1282" s="156"/>
      <c r="E1282" s="156"/>
      <c r="F1282" s="156"/>
      <c r="G1282" s="156"/>
      <c r="H1282" s="156"/>
      <c r="I1282" s="156"/>
      <c r="J1282" s="156"/>
      <c r="K1282" s="156"/>
      <c r="L1282" s="156"/>
      <c r="M1282" s="156"/>
      <c r="N1282" s="117"/>
      <c r="O1282" s="61"/>
    </row>
    <row r="1283" spans="2:15" ht="15.75" thickBot="1" x14ac:dyDescent="0.3">
      <c r="B1283" s="57"/>
      <c r="C1283" s="8" t="s">
        <v>17</v>
      </c>
      <c r="D1283" s="9"/>
      <c r="E1283" s="9"/>
      <c r="F1283" s="9"/>
      <c r="G1283" s="9"/>
      <c r="H1283" s="9"/>
      <c r="I1283" s="9"/>
      <c r="J1283" s="9"/>
      <c r="K1283" s="9"/>
      <c r="L1283" s="9"/>
      <c r="M1283" s="9"/>
      <c r="N1283" s="10"/>
      <c r="O1283" s="61"/>
    </row>
    <row r="1284" spans="2:15" ht="15.75" thickBot="1" x14ac:dyDescent="0.3">
      <c r="B1284" s="86"/>
      <c r="C1284" s="162"/>
      <c r="D1284" s="87"/>
      <c r="E1284" s="87"/>
      <c r="F1284" s="87"/>
      <c r="G1284" s="87"/>
      <c r="H1284" s="87"/>
      <c r="I1284" s="135"/>
      <c r="J1284" s="135"/>
      <c r="K1284" s="135"/>
      <c r="L1284" s="135"/>
      <c r="M1284" s="135"/>
      <c r="N1284" s="135"/>
      <c r="O1284" s="88"/>
    </row>
  </sheetData>
  <sheetProtection autoFilter="0"/>
  <autoFilter ref="C13:N13"/>
  <mergeCells count="5">
    <mergeCell ref="L12:N12"/>
    <mergeCell ref="I12:K12"/>
    <mergeCell ref="C8:C9"/>
    <mergeCell ref="C6:G7"/>
    <mergeCell ref="M2:N2"/>
  </mergeCells>
  <dataValidations count="4">
    <dataValidation type="list" allowBlank="1" showInputMessage="1" showErrorMessage="1" sqref="K2 M2">
      <formula1>"Prices in $/MWh,Prices in $/kWh"</formula1>
    </dataValidation>
    <dataValidation type="decimal" allowBlank="1" showErrorMessage="1" errorTitle="Invalid Input" error="Please enter numerical value." promptTitle="Broker Fee" sqref="D2">
      <formula1>-99</formula1>
      <formula2>99</formula2>
    </dataValidation>
    <dataValidation type="list" allowBlank="1" showInputMessage="1" showErrorMessage="1" sqref="D11">
      <formula1>"PA, OH, IL, NJ, MD"</formula1>
    </dataValidation>
    <dataValidation type="list" allowBlank="1" showInputMessage="1" showErrorMessage="1" sqref="F11">
      <formula1>list_Mth</formula1>
    </dataValidation>
  </dataValidations>
  <printOptions horizontalCentered="1"/>
  <pageMargins left="0.45" right="0.45" top="0.5" bottom="0.5" header="0.3" footer="0.3"/>
  <pageSetup scale="67" fitToHeight="10" orientation="portrait" r:id="rId1"/>
  <headerFooter>
    <oddFooter>&amp;CPage &amp;P of &amp;N&amp;R&amp;D  &amp;T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6" tint="0.79998168889431442"/>
    <pageSetUpPr fitToPage="1"/>
  </sheetPr>
  <dimension ref="A1:P458"/>
  <sheetViews>
    <sheetView showGridLines="0" zoomScale="70" zoomScaleNormal="70" workbookViewId="0">
      <pane ySplit="13" topLeftCell="A388" activePane="bottomLeft" state="frozen"/>
      <selection activeCell="A2" sqref="A2:F2"/>
      <selection pane="bottomLeft" activeCell="M2" sqref="M2:N2"/>
    </sheetView>
  </sheetViews>
  <sheetFormatPr defaultRowHeight="15" x14ac:dyDescent="0.25"/>
  <cols>
    <col min="1" max="1" width="3.83203125" style="49" customWidth="1"/>
    <col min="2" max="2" width="2.5" style="70" customWidth="1"/>
    <col min="3" max="3" width="25.33203125" style="49" customWidth="1"/>
    <col min="4" max="5" width="14.5" style="49" customWidth="1"/>
    <col min="6" max="6" width="35" style="49" customWidth="1"/>
    <col min="7" max="7" width="26.5" style="49" customWidth="1"/>
    <col min="8" max="8" width="20.33203125" style="49" customWidth="1"/>
    <col min="9" max="9" width="12" style="49" customWidth="1"/>
    <col min="10" max="10" width="14.33203125" style="49" customWidth="1"/>
    <col min="11" max="11" width="12" style="49" customWidth="1"/>
    <col min="12" max="13" width="11.5" style="49" customWidth="1"/>
    <col min="14" max="14" width="12.5" style="49" customWidth="1"/>
    <col min="15" max="15" width="2.5" style="49" customWidth="1"/>
    <col min="16" max="16" width="3.83203125" style="49" customWidth="1"/>
    <col min="17" max="16384" width="9.33203125" style="49"/>
  </cols>
  <sheetData>
    <row r="1" spans="2:15" ht="5.25" customHeight="1" x14ac:dyDescent="0.25">
      <c r="B1" s="49"/>
    </row>
    <row r="2" spans="2:15" s="50" customFormat="1" ht="18.75" x14ac:dyDescent="0.3">
      <c r="C2" s="51" t="s">
        <v>54</v>
      </c>
      <c r="D2" s="11">
        <v>0</v>
      </c>
      <c r="E2" s="52" t="s">
        <v>90</v>
      </c>
      <c r="M2" s="173" t="s">
        <v>1116</v>
      </c>
      <c r="N2" s="174"/>
      <c r="O2" s="52" t="s">
        <v>90</v>
      </c>
    </row>
    <row r="3" spans="2:15" ht="5.25" customHeight="1" thickBot="1" x14ac:dyDescent="0.3">
      <c r="B3" s="53"/>
    </row>
    <row r="4" spans="2:15" ht="5.25" customHeight="1" x14ac:dyDescent="0.25">
      <c r="B4" s="54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6"/>
    </row>
    <row r="5" spans="2:15" ht="26.25" x14ac:dyDescent="0.4">
      <c r="B5" s="57"/>
      <c r="C5" s="58"/>
      <c r="D5" s="58"/>
      <c r="E5" s="58"/>
      <c r="F5" s="58"/>
      <c r="H5" s="59"/>
      <c r="I5" s="59"/>
      <c r="J5" s="59"/>
      <c r="K5" s="59"/>
      <c r="L5" s="59"/>
      <c r="M5" s="60"/>
      <c r="N5" s="60"/>
      <c r="O5" s="61"/>
    </row>
    <row r="6" spans="2:15" ht="11.25" customHeight="1" x14ac:dyDescent="0.25">
      <c r="B6" s="57"/>
      <c r="C6" s="169" t="s">
        <v>658</v>
      </c>
      <c r="D6" s="169"/>
      <c r="E6" s="169"/>
      <c r="F6" s="169"/>
      <c r="G6" s="59"/>
      <c r="H6" s="59"/>
      <c r="I6" s="59"/>
      <c r="J6" s="59"/>
      <c r="K6" s="59"/>
      <c r="L6" s="59"/>
      <c r="M6" s="60"/>
      <c r="N6" s="60"/>
      <c r="O6" s="61"/>
    </row>
    <row r="7" spans="2:15" ht="11.25" customHeight="1" x14ac:dyDescent="0.25">
      <c r="B7" s="57"/>
      <c r="C7" s="169"/>
      <c r="D7" s="169"/>
      <c r="E7" s="169"/>
      <c r="F7" s="169"/>
      <c r="G7" s="62"/>
      <c r="H7" s="62"/>
      <c r="I7" s="62"/>
      <c r="J7" s="62"/>
      <c r="K7" s="62"/>
      <c r="L7" s="62"/>
      <c r="M7" s="60"/>
      <c r="N7" s="60"/>
      <c r="O7" s="61"/>
    </row>
    <row r="8" spans="2:15" ht="15" customHeight="1" x14ac:dyDescent="0.25">
      <c r="B8" s="57"/>
      <c r="C8" s="172">
        <f>PA_prices!A2</f>
        <v>42374</v>
      </c>
      <c r="D8" s="60"/>
      <c r="E8" s="59"/>
      <c r="F8" s="62"/>
      <c r="G8" s="62"/>
      <c r="H8" s="62"/>
      <c r="I8" s="62"/>
      <c r="J8" s="62"/>
      <c r="K8" s="62"/>
      <c r="L8" s="62"/>
      <c r="M8" s="60"/>
      <c r="N8" s="60"/>
      <c r="O8" s="61"/>
    </row>
    <row r="9" spans="2:15" ht="10.5" customHeight="1" x14ac:dyDescent="0.25">
      <c r="B9" s="57"/>
      <c r="C9" s="172"/>
      <c r="D9" s="65"/>
      <c r="E9" s="65"/>
      <c r="F9" s="62"/>
      <c r="G9" s="62"/>
      <c r="H9" s="62"/>
      <c r="I9" s="62"/>
      <c r="J9" s="62"/>
      <c r="K9" s="62"/>
      <c r="L9" s="66" t="s">
        <v>92</v>
      </c>
      <c r="M9" s="67" t="s">
        <v>93</v>
      </c>
      <c r="N9" s="60"/>
      <c r="O9" s="61"/>
    </row>
    <row r="10" spans="2:15" ht="18" x14ac:dyDescent="0.25">
      <c r="B10" s="57"/>
      <c r="C10" s="63" t="s">
        <v>0</v>
      </c>
      <c r="D10" s="65"/>
      <c r="E10" s="65"/>
      <c r="F10" s="62"/>
      <c r="G10" s="62"/>
      <c r="H10" s="68"/>
      <c r="I10" s="68"/>
      <c r="J10" s="68"/>
      <c r="K10" s="68"/>
      <c r="L10" s="68">
        <f>IF(PA!L2="Prices in $/kWh",1000,1)</f>
        <v>1</v>
      </c>
      <c r="M10" s="69">
        <f>IF(PA!L2="Prices in $/kWh",2,1)</f>
        <v>1</v>
      </c>
      <c r="N10" s="69"/>
      <c r="O10" s="61"/>
    </row>
    <row r="11" spans="2:15" ht="10.5" customHeight="1" thickBot="1" x14ac:dyDescent="0.3">
      <c r="B11" s="57"/>
      <c r="C11" s="64"/>
      <c r="D11" s="60"/>
      <c r="E11" s="60"/>
      <c r="F11" s="62"/>
      <c r="G11" s="62"/>
      <c r="H11" s="69"/>
      <c r="I11" s="69"/>
      <c r="J11" s="69"/>
      <c r="K11" s="69"/>
      <c r="L11" s="69">
        <v>3</v>
      </c>
      <c r="M11" s="69">
        <v>4</v>
      </c>
      <c r="N11" s="69">
        <v>5</v>
      </c>
      <c r="O11" s="61"/>
    </row>
    <row r="12" spans="2:15" ht="18.75" thickBot="1" x14ac:dyDescent="0.3">
      <c r="B12" s="57"/>
      <c r="C12" s="63" t="s">
        <v>48</v>
      </c>
      <c r="D12" s="60"/>
      <c r="E12" s="60"/>
      <c r="F12" s="60"/>
      <c r="G12" s="60"/>
      <c r="H12" s="60"/>
      <c r="I12" s="111" t="str">
        <f>IF(PA!L2="Prices in $/kWh","Fixed Term (months) - $/kWh","Fixed Term (months) - $/MWh")</f>
        <v>Fixed Term (months) - $/MWh</v>
      </c>
      <c r="J12" s="112"/>
      <c r="K12" s="112"/>
      <c r="L12" s="113" t="str">
        <f>IF(PA!L2="Prices in $/kWh","Real Time SPP Term (months) - $/kWh","Real Time SPP Term (months) - $/MWh")</f>
        <v>Real Time SPP Term (months) - $/MWh</v>
      </c>
      <c r="M12" s="114"/>
      <c r="N12" s="114"/>
      <c r="O12" s="119"/>
    </row>
    <row r="13" spans="2:15" ht="25.5" customHeight="1" x14ac:dyDescent="0.25">
      <c r="B13" s="57"/>
      <c r="C13" s="71" t="s">
        <v>1</v>
      </c>
      <c r="D13" s="71" t="s">
        <v>2</v>
      </c>
      <c r="E13" s="71" t="s">
        <v>3</v>
      </c>
      <c r="F13" s="71" t="s">
        <v>4</v>
      </c>
      <c r="G13" s="71" t="s">
        <v>89</v>
      </c>
      <c r="H13" s="71" t="s">
        <v>55</v>
      </c>
      <c r="I13" s="72" t="s">
        <v>56</v>
      </c>
      <c r="J13" s="72" t="s">
        <v>57</v>
      </c>
      <c r="K13" s="73" t="s">
        <v>58</v>
      </c>
      <c r="L13" s="116" t="s">
        <v>56</v>
      </c>
      <c r="M13" s="72" t="s">
        <v>57</v>
      </c>
      <c r="N13" s="118" t="s">
        <v>58</v>
      </c>
      <c r="O13" s="119"/>
    </row>
    <row r="14" spans="2:15" x14ac:dyDescent="0.25">
      <c r="B14" s="99" t="s">
        <v>636</v>
      </c>
      <c r="C14" s="74" t="str">
        <f>PA_prices!C2</f>
        <v>February-2016</v>
      </c>
      <c r="D14" s="75" t="str">
        <f>PA_prices!D2</f>
        <v>PA</v>
      </c>
      <c r="E14" s="76" t="str">
        <f>PA_prices!E2</f>
        <v>DQE</v>
      </c>
      <c r="F14" s="75" t="str">
        <f>PA_prices!F2</f>
        <v>GS</v>
      </c>
      <c r="G14" s="76" t="str">
        <f>PA_prices!G2</f>
        <v>General service</v>
      </c>
      <c r="H14" s="77" t="str">
        <f>IF($M$2="Prices in $/MWh","0-100 MWh","0-100,000 kWh")</f>
        <v>0-100 MWh</v>
      </c>
      <c r="I14" s="76">
        <f>(PA_prices!I2+$D$2)*IF($M$2="Prices in $/MWh",1,1/1000)</f>
        <v>70.08</v>
      </c>
      <c r="J14" s="75">
        <f>(PA_prices!J2+$D$2)*IF($M$2="Prices in $/MWh",1,1/1000)</f>
        <v>70.92</v>
      </c>
      <c r="K14" s="76">
        <f>(PA_prices!K2+$D$2)*IF($M$2="Prices in $/MWh",1,1/1000)</f>
        <v>71.53</v>
      </c>
      <c r="L14" s="75">
        <f>(PA_prices!L2+$D$2)*IF($M$2="Prices in $/MWh",1,1/1000)</f>
        <v>35.270000000000003</v>
      </c>
      <c r="M14" s="76">
        <f>(PA_prices!M2+$D$2)*IF($M$2="Prices in $/MWh",1,1/1000)</f>
        <v>35.67</v>
      </c>
      <c r="N14" s="75">
        <f>(PA_prices!N2+$D$2)*IF($M$2="Prices in $/MWh",1,1/1000)</f>
        <v>36.65</v>
      </c>
      <c r="O14" s="61"/>
    </row>
    <row r="15" spans="2:15" x14ac:dyDescent="0.25">
      <c r="B15" s="99" t="s">
        <v>636</v>
      </c>
      <c r="C15" s="78" t="str">
        <f>PA_prices!C3</f>
        <v>February-2016</v>
      </c>
      <c r="D15" s="79" t="str">
        <f>PA_prices!D3</f>
        <v>PA</v>
      </c>
      <c r="E15" s="80" t="str">
        <f>PA_prices!E3</f>
        <v>DQE</v>
      </c>
      <c r="F15" s="79" t="str">
        <f>PA_prices!F3</f>
        <v>GS</v>
      </c>
      <c r="G15" s="80" t="str">
        <f>PA_prices!G3</f>
        <v>General service</v>
      </c>
      <c r="H15" s="81" t="str">
        <f>IF($M$2="Prices in $/MWh","100-500 MWh","100,000-500,000 kWh")</f>
        <v>100-500 MWh</v>
      </c>
      <c r="I15" s="80">
        <f>(PA_prices!I3+$D$2)*IF($M$2="Prices in $/MWh",1,1/1000)</f>
        <v>68.48</v>
      </c>
      <c r="J15" s="79">
        <f>(PA_prices!J3+$D$2)*IF($M$2="Prices in $/MWh",1,1/1000)</f>
        <v>69.319999999999993</v>
      </c>
      <c r="K15" s="80">
        <f>(PA_prices!K3+$D$2)*IF($M$2="Prices in $/MWh",1,1/1000)</f>
        <v>69.930000000000007</v>
      </c>
      <c r="L15" s="79">
        <f>(PA_prices!L3+$D$2)*IF($M$2="Prices in $/MWh",1,1/1000)</f>
        <v>33.67</v>
      </c>
      <c r="M15" s="80">
        <f>(PA_prices!M3+$D$2)*IF($M$2="Prices in $/MWh",1,1/1000)</f>
        <v>34.07</v>
      </c>
      <c r="N15" s="79">
        <f>(PA_prices!N3+$D$2)*IF($M$2="Prices in $/MWh",1,1/1000)</f>
        <v>35.049999999999997</v>
      </c>
      <c r="O15" s="61"/>
    </row>
    <row r="16" spans="2:15" x14ac:dyDescent="0.25">
      <c r="B16" s="99" t="s">
        <v>636</v>
      </c>
      <c r="C16" s="82" t="str">
        <f>PA_prices!C4</f>
        <v>February-2016</v>
      </c>
      <c r="D16" s="83" t="str">
        <f>PA_prices!D4</f>
        <v>PA</v>
      </c>
      <c r="E16" s="84" t="str">
        <f>PA_prices!E4</f>
        <v>DQE</v>
      </c>
      <c r="F16" s="83" t="str">
        <f>PA_prices!F4</f>
        <v>GS</v>
      </c>
      <c r="G16" s="84" t="str">
        <f>PA_prices!G4</f>
        <v>General service</v>
      </c>
      <c r="H16" s="85" t="str">
        <f>IF($M$2="Prices in $/MWh","500-2500 MWh","500,000-2,500,000 kWh")</f>
        <v>500-2500 MWh</v>
      </c>
      <c r="I16" s="84">
        <f>(PA_prices!I4+$D$2)*IF($M$2="Prices in $/MWh",1,1/1000)</f>
        <v>67.430000000000007</v>
      </c>
      <c r="J16" s="83">
        <f>(PA_prices!J4+$D$2)*IF($M$2="Prices in $/MWh",1,1/1000)</f>
        <v>68.27</v>
      </c>
      <c r="K16" s="84">
        <f>(PA_prices!K4+$D$2)*IF($M$2="Prices in $/MWh",1,1/1000)</f>
        <v>68.88</v>
      </c>
      <c r="L16" s="83">
        <f>(PA_prices!L4+$D$2)*IF($M$2="Prices in $/MWh",1,1/1000)</f>
        <v>32.619999999999997</v>
      </c>
      <c r="M16" s="84">
        <f>(PA_prices!M4+$D$2)*IF($M$2="Prices in $/MWh",1,1/1000)</f>
        <v>33.020000000000003</v>
      </c>
      <c r="N16" s="83">
        <f>(PA_prices!N4+$D$2)*IF($M$2="Prices in $/MWh",1,1/1000)</f>
        <v>34</v>
      </c>
      <c r="O16" s="61"/>
    </row>
    <row r="17" spans="2:15" x14ac:dyDescent="0.25">
      <c r="B17" s="99" t="s">
        <v>636</v>
      </c>
      <c r="C17" s="74" t="str">
        <f>PA_prices!C5</f>
        <v>March-2016</v>
      </c>
      <c r="D17" s="75" t="str">
        <f>PA_prices!D5</f>
        <v>PA</v>
      </c>
      <c r="E17" s="76" t="str">
        <f>PA_prices!E5</f>
        <v>DQE</v>
      </c>
      <c r="F17" s="75" t="str">
        <f>PA_prices!F5</f>
        <v>GS</v>
      </c>
      <c r="G17" s="76" t="str">
        <f>PA_prices!G5</f>
        <v>General service</v>
      </c>
      <c r="H17" s="77" t="str">
        <f t="shared" ref="H17" si="0">IF($M$2="Prices in $/MWh","0-100 MWh","0-100,000 kWh")</f>
        <v>0-100 MWh</v>
      </c>
      <c r="I17" s="76">
        <f>(PA_prices!I5+$D$2)*IF($M$2="Prices in $/MWh",1,1/1000)</f>
        <v>69.959999999999994</v>
      </c>
      <c r="J17" s="75">
        <f>(PA_prices!J5+$D$2)*IF($M$2="Prices in $/MWh",1,1/1000)</f>
        <v>70.86</v>
      </c>
      <c r="K17" s="76">
        <f>(PA_prices!K5+$D$2)*IF($M$2="Prices in $/MWh",1,1/1000)</f>
        <v>71.680000000000007</v>
      </c>
      <c r="L17" s="75">
        <f>(PA_prices!L5+$D$2)*IF($M$2="Prices in $/MWh",1,1/1000)</f>
        <v>34.950000000000003</v>
      </c>
      <c r="M17" s="76">
        <f>(PA_prices!M5+$D$2)*IF($M$2="Prices in $/MWh",1,1/1000)</f>
        <v>35.61</v>
      </c>
      <c r="N17" s="75">
        <f>(PA_prices!N5+$D$2)*IF($M$2="Prices in $/MWh",1,1/1000)</f>
        <v>36.729999999999997</v>
      </c>
      <c r="O17" s="61"/>
    </row>
    <row r="18" spans="2:15" x14ac:dyDescent="0.25">
      <c r="B18" s="99" t="s">
        <v>636</v>
      </c>
      <c r="C18" s="78" t="str">
        <f>PA_prices!C6</f>
        <v>March-2016</v>
      </c>
      <c r="D18" s="79" t="str">
        <f>PA_prices!D6</f>
        <v>PA</v>
      </c>
      <c r="E18" s="80" t="str">
        <f>PA_prices!E6</f>
        <v>DQE</v>
      </c>
      <c r="F18" s="79" t="str">
        <f>PA_prices!F6</f>
        <v>GS</v>
      </c>
      <c r="G18" s="80" t="str">
        <f>PA_prices!G6</f>
        <v>General service</v>
      </c>
      <c r="H18" s="81" t="str">
        <f t="shared" ref="H18" si="1">IF($M$2="Prices in $/MWh","100-500 MWh","100,000-500,000 kWh")</f>
        <v>100-500 MWh</v>
      </c>
      <c r="I18" s="80">
        <f>(PA_prices!I6+$D$2)*IF($M$2="Prices in $/MWh",1,1/1000)</f>
        <v>68.36</v>
      </c>
      <c r="J18" s="79">
        <f>(PA_prices!J6+$D$2)*IF($M$2="Prices in $/MWh",1,1/1000)</f>
        <v>69.260000000000005</v>
      </c>
      <c r="K18" s="80">
        <f>(PA_prices!K6+$D$2)*IF($M$2="Prices in $/MWh",1,1/1000)</f>
        <v>70.08</v>
      </c>
      <c r="L18" s="79">
        <f>(PA_prices!L6+$D$2)*IF($M$2="Prices in $/MWh",1,1/1000)</f>
        <v>33.35</v>
      </c>
      <c r="M18" s="80">
        <f>(PA_prices!M6+$D$2)*IF($M$2="Prices in $/MWh",1,1/1000)</f>
        <v>34.01</v>
      </c>
      <c r="N18" s="79">
        <f>(PA_prices!N6+$D$2)*IF($M$2="Prices in $/MWh",1,1/1000)</f>
        <v>35.130000000000003</v>
      </c>
      <c r="O18" s="61"/>
    </row>
    <row r="19" spans="2:15" x14ac:dyDescent="0.25">
      <c r="B19" s="99" t="s">
        <v>636</v>
      </c>
      <c r="C19" s="82" t="str">
        <f>PA_prices!C7</f>
        <v>March-2016</v>
      </c>
      <c r="D19" s="83" t="str">
        <f>PA_prices!D7</f>
        <v>PA</v>
      </c>
      <c r="E19" s="84" t="str">
        <f>PA_prices!E7</f>
        <v>DQE</v>
      </c>
      <c r="F19" s="83" t="str">
        <f>PA_prices!F7</f>
        <v>GS</v>
      </c>
      <c r="G19" s="84" t="str">
        <f>PA_prices!G7</f>
        <v>General service</v>
      </c>
      <c r="H19" s="85" t="str">
        <f t="shared" ref="H19" si="2">IF($M$2="Prices in $/MWh","500-2500 MWh","500,000-2,500,000 kWh")</f>
        <v>500-2500 MWh</v>
      </c>
      <c r="I19" s="84">
        <f>(PA_prices!I7+$D$2)*IF($M$2="Prices in $/MWh",1,1/1000)</f>
        <v>67.31</v>
      </c>
      <c r="J19" s="83">
        <f>(PA_prices!J7+$D$2)*IF($M$2="Prices in $/MWh",1,1/1000)</f>
        <v>68.209999999999994</v>
      </c>
      <c r="K19" s="84">
        <f>(PA_prices!K7+$D$2)*IF($M$2="Prices in $/MWh",1,1/1000)</f>
        <v>69.03</v>
      </c>
      <c r="L19" s="83">
        <f>(PA_prices!L7+$D$2)*IF($M$2="Prices in $/MWh",1,1/1000)</f>
        <v>32.299999999999997</v>
      </c>
      <c r="M19" s="84">
        <f>(PA_prices!M7+$D$2)*IF($M$2="Prices in $/MWh",1,1/1000)</f>
        <v>32.96</v>
      </c>
      <c r="N19" s="83">
        <f>(PA_prices!N7+$D$2)*IF($M$2="Prices in $/MWh",1,1/1000)</f>
        <v>34.08</v>
      </c>
      <c r="O19" s="61"/>
    </row>
    <row r="20" spans="2:15" x14ac:dyDescent="0.25">
      <c r="B20" s="99" t="s">
        <v>636</v>
      </c>
      <c r="C20" s="74" t="str">
        <f>PA_prices!C8</f>
        <v>April-2016</v>
      </c>
      <c r="D20" s="75" t="str">
        <f>PA_prices!D8</f>
        <v>PA</v>
      </c>
      <c r="E20" s="76" t="str">
        <f>PA_prices!E8</f>
        <v>DQE</v>
      </c>
      <c r="F20" s="75" t="str">
        <f>PA_prices!F8</f>
        <v>GS</v>
      </c>
      <c r="G20" s="76" t="str">
        <f>PA_prices!G8</f>
        <v>General service</v>
      </c>
      <c r="H20" s="77" t="str">
        <f t="shared" ref="H20" si="3">IF($M$2="Prices in $/MWh","0-100 MWh","0-100,000 kWh")</f>
        <v>0-100 MWh</v>
      </c>
      <c r="I20" s="76">
        <f>(PA_prices!I8+$D$2)*IF($M$2="Prices in $/MWh",1,1/1000)</f>
        <v>69.819999999999993</v>
      </c>
      <c r="J20" s="75">
        <f>(PA_prices!J8+$D$2)*IF($M$2="Prices in $/MWh",1,1/1000)</f>
        <v>70.760000000000005</v>
      </c>
      <c r="K20" s="76">
        <f>(PA_prices!K8+$D$2)*IF($M$2="Prices in $/MWh",1,1/1000)</f>
        <v>71.849999999999994</v>
      </c>
      <c r="L20" s="75">
        <f>(PA_prices!L8+$D$2)*IF($M$2="Prices in $/MWh",1,1/1000)</f>
        <v>34.6</v>
      </c>
      <c r="M20" s="76">
        <f>(PA_prices!M8+$D$2)*IF($M$2="Prices in $/MWh",1,1/1000)</f>
        <v>35.65</v>
      </c>
      <c r="N20" s="75">
        <f>(PA_prices!N8+$D$2)*IF($M$2="Prices in $/MWh",1,1/1000)</f>
        <v>36.82</v>
      </c>
      <c r="O20" s="61"/>
    </row>
    <row r="21" spans="2:15" x14ac:dyDescent="0.25">
      <c r="B21" s="99" t="s">
        <v>636</v>
      </c>
      <c r="C21" s="78" t="str">
        <f>PA_prices!C9</f>
        <v>April-2016</v>
      </c>
      <c r="D21" s="79" t="str">
        <f>PA_prices!D9</f>
        <v>PA</v>
      </c>
      <c r="E21" s="80" t="str">
        <f>PA_prices!E9</f>
        <v>DQE</v>
      </c>
      <c r="F21" s="79" t="str">
        <f>PA_prices!F9</f>
        <v>GS</v>
      </c>
      <c r="G21" s="80" t="str">
        <f>PA_prices!G9</f>
        <v>General service</v>
      </c>
      <c r="H21" s="81" t="str">
        <f t="shared" ref="H21" si="4">IF($M$2="Prices in $/MWh","100-500 MWh","100,000-500,000 kWh")</f>
        <v>100-500 MWh</v>
      </c>
      <c r="I21" s="80">
        <f>(PA_prices!I9+$D$2)*IF($M$2="Prices in $/MWh",1,1/1000)</f>
        <v>68.22</v>
      </c>
      <c r="J21" s="79">
        <f>(PA_prices!J9+$D$2)*IF($M$2="Prices in $/MWh",1,1/1000)</f>
        <v>69.16</v>
      </c>
      <c r="K21" s="80">
        <f>(PA_prices!K9+$D$2)*IF($M$2="Prices in $/MWh",1,1/1000)</f>
        <v>70.25</v>
      </c>
      <c r="L21" s="79">
        <f>(PA_prices!L9+$D$2)*IF($M$2="Prices in $/MWh",1,1/1000)</f>
        <v>33</v>
      </c>
      <c r="M21" s="80">
        <f>(PA_prices!M9+$D$2)*IF($M$2="Prices in $/MWh",1,1/1000)</f>
        <v>34.049999999999997</v>
      </c>
      <c r="N21" s="79">
        <f>(PA_prices!N9+$D$2)*IF($M$2="Prices in $/MWh",1,1/1000)</f>
        <v>35.22</v>
      </c>
      <c r="O21" s="61"/>
    </row>
    <row r="22" spans="2:15" x14ac:dyDescent="0.25">
      <c r="B22" s="99" t="s">
        <v>636</v>
      </c>
      <c r="C22" s="82" t="str">
        <f>PA_prices!C10</f>
        <v>April-2016</v>
      </c>
      <c r="D22" s="83" t="str">
        <f>PA_prices!D10</f>
        <v>PA</v>
      </c>
      <c r="E22" s="84" t="str">
        <f>PA_prices!E10</f>
        <v>DQE</v>
      </c>
      <c r="F22" s="83" t="str">
        <f>PA_prices!F10</f>
        <v>GS</v>
      </c>
      <c r="G22" s="84" t="str">
        <f>PA_prices!G10</f>
        <v>General service</v>
      </c>
      <c r="H22" s="85" t="str">
        <f t="shared" ref="H22" si="5">IF($M$2="Prices in $/MWh","500-2500 MWh","500,000-2,500,000 kWh")</f>
        <v>500-2500 MWh</v>
      </c>
      <c r="I22" s="84">
        <f>(PA_prices!I10+$D$2)*IF($M$2="Prices in $/MWh",1,1/1000)</f>
        <v>67.17</v>
      </c>
      <c r="J22" s="83">
        <f>(PA_prices!J10+$D$2)*IF($M$2="Prices in $/MWh",1,1/1000)</f>
        <v>68.11</v>
      </c>
      <c r="K22" s="84">
        <f>(PA_prices!K10+$D$2)*IF($M$2="Prices in $/MWh",1,1/1000)</f>
        <v>69.2</v>
      </c>
      <c r="L22" s="83">
        <f>(PA_prices!L10+$D$2)*IF($M$2="Prices in $/MWh",1,1/1000)</f>
        <v>31.95</v>
      </c>
      <c r="M22" s="84">
        <f>(PA_prices!M10+$D$2)*IF($M$2="Prices in $/MWh",1,1/1000)</f>
        <v>33</v>
      </c>
      <c r="N22" s="83">
        <f>(PA_prices!N10+$D$2)*IF($M$2="Prices in $/MWh",1,1/1000)</f>
        <v>34.17</v>
      </c>
      <c r="O22" s="61"/>
    </row>
    <row r="23" spans="2:15" x14ac:dyDescent="0.25">
      <c r="B23" s="99" t="s">
        <v>636</v>
      </c>
      <c r="C23" s="74" t="str">
        <f>PA_prices!C11</f>
        <v>May-2016</v>
      </c>
      <c r="D23" s="75" t="str">
        <f>PA_prices!D11</f>
        <v>PA</v>
      </c>
      <c r="E23" s="76" t="str">
        <f>PA_prices!E11</f>
        <v>DQE</v>
      </c>
      <c r="F23" s="75" t="str">
        <f>PA_prices!F11</f>
        <v>GS</v>
      </c>
      <c r="G23" s="76" t="str">
        <f>PA_prices!G11</f>
        <v>General service</v>
      </c>
      <c r="H23" s="77" t="str">
        <f t="shared" ref="H23" si="6">IF($M$2="Prices in $/MWh","0-100 MWh","0-100,000 kWh")</f>
        <v>0-100 MWh</v>
      </c>
      <c r="I23" s="76">
        <f>(PA_prices!I11+$D$2)*IF($M$2="Prices in $/MWh",1,1/1000)</f>
        <v>69.56</v>
      </c>
      <c r="J23" s="75">
        <f>(PA_prices!J11+$D$2)*IF($M$2="Prices in $/MWh",1,1/1000)</f>
        <v>70.72</v>
      </c>
      <c r="K23" s="76">
        <f>(PA_prices!K11+$D$2)*IF($M$2="Prices in $/MWh",1,1/1000)</f>
        <v>71.92</v>
      </c>
      <c r="L23" s="75">
        <f>(PA_prices!L11+$D$2)*IF($M$2="Prices in $/MWh",1,1/1000)</f>
        <v>34.270000000000003</v>
      </c>
      <c r="M23" s="76">
        <f>(PA_prices!M11+$D$2)*IF($M$2="Prices in $/MWh",1,1/1000)</f>
        <v>35.700000000000003</v>
      </c>
      <c r="N23" s="75">
        <f>(PA_prices!N11+$D$2)*IF($M$2="Prices in $/MWh",1,1/1000)</f>
        <v>36.9</v>
      </c>
      <c r="O23" s="61"/>
    </row>
    <row r="24" spans="2:15" x14ac:dyDescent="0.25">
      <c r="B24" s="99" t="s">
        <v>636</v>
      </c>
      <c r="C24" s="78" t="str">
        <f>PA_prices!C12</f>
        <v>May-2016</v>
      </c>
      <c r="D24" s="79" t="str">
        <f>PA_prices!D12</f>
        <v>PA</v>
      </c>
      <c r="E24" s="80" t="str">
        <f>PA_prices!E12</f>
        <v>DQE</v>
      </c>
      <c r="F24" s="79" t="str">
        <f>PA_prices!F12</f>
        <v>GS</v>
      </c>
      <c r="G24" s="80" t="str">
        <f>PA_prices!G12</f>
        <v>General service</v>
      </c>
      <c r="H24" s="81" t="str">
        <f t="shared" ref="H24" si="7">IF($M$2="Prices in $/MWh","100-500 MWh","100,000-500,000 kWh")</f>
        <v>100-500 MWh</v>
      </c>
      <c r="I24" s="80">
        <f>(PA_prices!I12+$D$2)*IF($M$2="Prices in $/MWh",1,1/1000)</f>
        <v>67.959999999999994</v>
      </c>
      <c r="J24" s="79">
        <f>(PA_prices!J12+$D$2)*IF($M$2="Prices in $/MWh",1,1/1000)</f>
        <v>69.12</v>
      </c>
      <c r="K24" s="80">
        <f>(PA_prices!K12+$D$2)*IF($M$2="Prices in $/MWh",1,1/1000)</f>
        <v>70.319999999999993</v>
      </c>
      <c r="L24" s="79">
        <f>(PA_prices!L12+$D$2)*IF($M$2="Prices in $/MWh",1,1/1000)</f>
        <v>32.67</v>
      </c>
      <c r="M24" s="80">
        <f>(PA_prices!M12+$D$2)*IF($M$2="Prices in $/MWh",1,1/1000)</f>
        <v>34.1</v>
      </c>
      <c r="N24" s="79">
        <f>(PA_prices!N12+$D$2)*IF($M$2="Prices in $/MWh",1,1/1000)</f>
        <v>35.299999999999997</v>
      </c>
      <c r="O24" s="61"/>
    </row>
    <row r="25" spans="2:15" x14ac:dyDescent="0.25">
      <c r="B25" s="99" t="s">
        <v>636</v>
      </c>
      <c r="C25" s="82" t="str">
        <f>PA_prices!C13</f>
        <v>May-2016</v>
      </c>
      <c r="D25" s="83" t="str">
        <f>PA_prices!D13</f>
        <v>PA</v>
      </c>
      <c r="E25" s="84" t="str">
        <f>PA_prices!E13</f>
        <v>DQE</v>
      </c>
      <c r="F25" s="83" t="str">
        <f>PA_prices!F13</f>
        <v>GS</v>
      </c>
      <c r="G25" s="84" t="str">
        <f>PA_prices!G13</f>
        <v>General service</v>
      </c>
      <c r="H25" s="85" t="str">
        <f t="shared" ref="H25" si="8">IF($M$2="Prices in $/MWh","500-2500 MWh","500,000-2,500,000 kWh")</f>
        <v>500-2500 MWh</v>
      </c>
      <c r="I25" s="84">
        <f>(PA_prices!I13+$D$2)*IF($M$2="Prices in $/MWh",1,1/1000)</f>
        <v>66.91</v>
      </c>
      <c r="J25" s="83">
        <f>(PA_prices!J13+$D$2)*IF($M$2="Prices in $/MWh",1,1/1000)</f>
        <v>68.069999999999993</v>
      </c>
      <c r="K25" s="84">
        <f>(PA_prices!K13+$D$2)*IF($M$2="Prices in $/MWh",1,1/1000)</f>
        <v>69.27</v>
      </c>
      <c r="L25" s="83">
        <f>(PA_prices!L13+$D$2)*IF($M$2="Prices in $/MWh",1,1/1000)</f>
        <v>31.62</v>
      </c>
      <c r="M25" s="84">
        <f>(PA_prices!M13+$D$2)*IF($M$2="Prices in $/MWh",1,1/1000)</f>
        <v>33.049999999999997</v>
      </c>
      <c r="N25" s="83">
        <f>(PA_prices!N13+$D$2)*IF($M$2="Prices in $/MWh",1,1/1000)</f>
        <v>34.25</v>
      </c>
      <c r="O25" s="61"/>
    </row>
    <row r="26" spans="2:15" x14ac:dyDescent="0.25">
      <c r="B26" s="99" t="s">
        <v>636</v>
      </c>
      <c r="C26" s="74" t="str">
        <f>PA_prices!C14</f>
        <v>June-2016</v>
      </c>
      <c r="D26" s="75" t="str">
        <f>PA_prices!D14</f>
        <v>PA</v>
      </c>
      <c r="E26" s="76" t="str">
        <f>PA_prices!E14</f>
        <v>DQE</v>
      </c>
      <c r="F26" s="75" t="str">
        <f>PA_prices!F14</f>
        <v>GS</v>
      </c>
      <c r="G26" s="76" t="str">
        <f>PA_prices!G14</f>
        <v>General service</v>
      </c>
      <c r="H26" s="77" t="str">
        <f t="shared" ref="H26" si="9">IF($M$2="Prices in $/MWh","0-100 MWh","0-100,000 kWh")</f>
        <v>0-100 MWh</v>
      </c>
      <c r="I26" s="76">
        <f>(PA_prices!I14+$D$2)*IF($M$2="Prices in $/MWh",1,1/1000)</f>
        <v>69.239999999999995</v>
      </c>
      <c r="J26" s="75">
        <f>(PA_prices!J14+$D$2)*IF($M$2="Prices in $/MWh",1,1/1000)</f>
        <v>70.63</v>
      </c>
      <c r="K26" s="76">
        <f>(PA_prices!K14+$D$2)*IF($M$2="Prices in $/MWh",1,1/1000)</f>
        <v>72.02</v>
      </c>
      <c r="L26" s="75">
        <f>(PA_prices!L14+$D$2)*IF($M$2="Prices in $/MWh",1,1/1000)</f>
        <v>33.880000000000003</v>
      </c>
      <c r="M26" s="76">
        <f>(PA_prices!M14+$D$2)*IF($M$2="Prices in $/MWh",1,1/1000)</f>
        <v>35.72</v>
      </c>
      <c r="N26" s="75">
        <f>(PA_prices!N14+$D$2)*IF($M$2="Prices in $/MWh",1,1/1000)</f>
        <v>36.96</v>
      </c>
      <c r="O26" s="61"/>
    </row>
    <row r="27" spans="2:15" x14ac:dyDescent="0.25">
      <c r="B27" s="99" t="s">
        <v>636</v>
      </c>
      <c r="C27" s="78" t="str">
        <f>PA_prices!C15</f>
        <v>June-2016</v>
      </c>
      <c r="D27" s="79" t="str">
        <f>PA_prices!D15</f>
        <v>PA</v>
      </c>
      <c r="E27" s="80" t="str">
        <f>PA_prices!E15</f>
        <v>DQE</v>
      </c>
      <c r="F27" s="79" t="str">
        <f>PA_prices!F15</f>
        <v>GS</v>
      </c>
      <c r="G27" s="80" t="str">
        <f>PA_prices!G15</f>
        <v>General service</v>
      </c>
      <c r="H27" s="81" t="str">
        <f t="shared" ref="H27" si="10">IF($M$2="Prices in $/MWh","100-500 MWh","100,000-500,000 kWh")</f>
        <v>100-500 MWh</v>
      </c>
      <c r="I27" s="80">
        <f>(PA_prices!I15+$D$2)*IF($M$2="Prices in $/MWh",1,1/1000)</f>
        <v>67.64</v>
      </c>
      <c r="J27" s="79">
        <f>(PA_prices!J15+$D$2)*IF($M$2="Prices in $/MWh",1,1/1000)</f>
        <v>69.03</v>
      </c>
      <c r="K27" s="80">
        <f>(PA_prices!K15+$D$2)*IF($M$2="Prices in $/MWh",1,1/1000)</f>
        <v>70.42</v>
      </c>
      <c r="L27" s="79">
        <f>(PA_prices!L15+$D$2)*IF($M$2="Prices in $/MWh",1,1/1000)</f>
        <v>32.28</v>
      </c>
      <c r="M27" s="80">
        <f>(PA_prices!M15+$D$2)*IF($M$2="Prices in $/MWh",1,1/1000)</f>
        <v>34.119999999999997</v>
      </c>
      <c r="N27" s="79">
        <f>(PA_prices!N15+$D$2)*IF($M$2="Prices in $/MWh",1,1/1000)</f>
        <v>35.36</v>
      </c>
      <c r="O27" s="61"/>
    </row>
    <row r="28" spans="2:15" x14ac:dyDescent="0.25">
      <c r="B28" s="99" t="s">
        <v>636</v>
      </c>
      <c r="C28" s="82" t="str">
        <f>PA_prices!C16</f>
        <v>June-2016</v>
      </c>
      <c r="D28" s="83" t="str">
        <f>PA_prices!D16</f>
        <v>PA</v>
      </c>
      <c r="E28" s="84" t="str">
        <f>PA_prices!E16</f>
        <v>DQE</v>
      </c>
      <c r="F28" s="83" t="str">
        <f>PA_prices!F16</f>
        <v>GS</v>
      </c>
      <c r="G28" s="84" t="str">
        <f>PA_prices!G16</f>
        <v>General service</v>
      </c>
      <c r="H28" s="85" t="str">
        <f t="shared" ref="H28" si="11">IF($M$2="Prices in $/MWh","500-2500 MWh","500,000-2,500,000 kWh")</f>
        <v>500-2500 MWh</v>
      </c>
      <c r="I28" s="84">
        <f>(PA_prices!I16+$D$2)*IF($M$2="Prices in $/MWh",1,1/1000)</f>
        <v>66.59</v>
      </c>
      <c r="J28" s="83">
        <f>(PA_prices!J16+$D$2)*IF($M$2="Prices in $/MWh",1,1/1000)</f>
        <v>67.98</v>
      </c>
      <c r="K28" s="84">
        <f>(PA_prices!K16+$D$2)*IF($M$2="Prices in $/MWh",1,1/1000)</f>
        <v>69.37</v>
      </c>
      <c r="L28" s="83">
        <f>(PA_prices!L16+$D$2)*IF($M$2="Prices in $/MWh",1,1/1000)</f>
        <v>31.23</v>
      </c>
      <c r="M28" s="84">
        <f>(PA_prices!M16+$D$2)*IF($M$2="Prices in $/MWh",1,1/1000)</f>
        <v>33.07</v>
      </c>
      <c r="N28" s="83">
        <f>(PA_prices!N16+$D$2)*IF($M$2="Prices in $/MWh",1,1/1000)</f>
        <v>34.31</v>
      </c>
      <c r="O28" s="61"/>
    </row>
    <row r="29" spans="2:15" x14ac:dyDescent="0.25">
      <c r="B29" s="99" t="s">
        <v>636</v>
      </c>
      <c r="C29" s="74" t="str">
        <f>PA_prices!C17</f>
        <v>July-2016</v>
      </c>
      <c r="D29" s="75" t="str">
        <f>PA_prices!D17</f>
        <v>PA</v>
      </c>
      <c r="E29" s="76" t="str">
        <f>PA_prices!E17</f>
        <v>DQE</v>
      </c>
      <c r="F29" s="75" t="str">
        <f>PA_prices!F17</f>
        <v>GS</v>
      </c>
      <c r="G29" s="76" t="str">
        <f>PA_prices!G17</f>
        <v>General service</v>
      </c>
      <c r="H29" s="77" t="str">
        <f t="shared" ref="H29" si="12">IF($M$2="Prices in $/MWh","0-100 MWh","0-100,000 kWh")</f>
        <v>0-100 MWh</v>
      </c>
      <c r="I29" s="76">
        <f>(PA_prices!I17+$D$2)*IF($M$2="Prices in $/MWh",1,1/1000)</f>
        <v>69.8</v>
      </c>
      <c r="J29" s="75">
        <f>(PA_prices!J17+$D$2)*IF($M$2="Prices in $/MWh",1,1/1000)</f>
        <v>70.84</v>
      </c>
      <c r="K29" s="76">
        <f>(PA_prices!K17+$D$2)*IF($M$2="Prices in $/MWh",1,1/1000)</f>
        <v>72.319999999999993</v>
      </c>
      <c r="L29" s="75">
        <f>(PA_prices!L17+$D$2)*IF($M$2="Prices in $/MWh",1,1/1000)</f>
        <v>34.4</v>
      </c>
      <c r="M29" s="76">
        <f>(PA_prices!M17+$D$2)*IF($M$2="Prices in $/MWh",1,1/1000)</f>
        <v>36.020000000000003</v>
      </c>
      <c r="N29" s="75">
        <f>(PA_prices!N17+$D$2)*IF($M$2="Prices in $/MWh",1,1/1000)</f>
        <v>37.299999999999997</v>
      </c>
      <c r="O29" s="61"/>
    </row>
    <row r="30" spans="2:15" x14ac:dyDescent="0.25">
      <c r="B30" s="99" t="s">
        <v>636</v>
      </c>
      <c r="C30" s="78" t="str">
        <f>PA_prices!C18</f>
        <v>July-2016</v>
      </c>
      <c r="D30" s="79" t="str">
        <f>PA_prices!D18</f>
        <v>PA</v>
      </c>
      <c r="E30" s="80" t="str">
        <f>PA_prices!E18</f>
        <v>DQE</v>
      </c>
      <c r="F30" s="79" t="str">
        <f>PA_prices!F18</f>
        <v>GS</v>
      </c>
      <c r="G30" s="80" t="str">
        <f>PA_prices!G18</f>
        <v>General service</v>
      </c>
      <c r="H30" s="81" t="str">
        <f t="shared" ref="H30" si="13">IF($M$2="Prices in $/MWh","100-500 MWh","100,000-500,000 kWh")</f>
        <v>100-500 MWh</v>
      </c>
      <c r="I30" s="80">
        <f>(PA_prices!I18+$D$2)*IF($M$2="Prices in $/MWh",1,1/1000)</f>
        <v>68.2</v>
      </c>
      <c r="J30" s="79">
        <f>(PA_prices!J18+$D$2)*IF($M$2="Prices in $/MWh",1,1/1000)</f>
        <v>69.239999999999995</v>
      </c>
      <c r="K30" s="80">
        <f>(PA_prices!K18+$D$2)*IF($M$2="Prices in $/MWh",1,1/1000)</f>
        <v>70.72</v>
      </c>
      <c r="L30" s="79">
        <f>(PA_prices!L18+$D$2)*IF($M$2="Prices in $/MWh",1,1/1000)</f>
        <v>32.799999999999997</v>
      </c>
      <c r="M30" s="80">
        <f>(PA_prices!M18+$D$2)*IF($M$2="Prices in $/MWh",1,1/1000)</f>
        <v>34.42</v>
      </c>
      <c r="N30" s="79">
        <f>(PA_prices!N18+$D$2)*IF($M$2="Prices in $/MWh",1,1/1000)</f>
        <v>35.700000000000003</v>
      </c>
      <c r="O30" s="61"/>
    </row>
    <row r="31" spans="2:15" x14ac:dyDescent="0.25">
      <c r="B31" s="99" t="s">
        <v>636</v>
      </c>
      <c r="C31" s="82" t="str">
        <f>PA_prices!C19</f>
        <v>July-2016</v>
      </c>
      <c r="D31" s="83" t="str">
        <f>PA_prices!D19</f>
        <v>PA</v>
      </c>
      <c r="E31" s="84" t="str">
        <f>PA_prices!E19</f>
        <v>DQE</v>
      </c>
      <c r="F31" s="83" t="str">
        <f>PA_prices!F19</f>
        <v>GS</v>
      </c>
      <c r="G31" s="84" t="str">
        <f>PA_prices!G19</f>
        <v>General service</v>
      </c>
      <c r="H31" s="85" t="str">
        <f t="shared" ref="H31" si="14">IF($M$2="Prices in $/MWh","500-2500 MWh","500,000-2,500,000 kWh")</f>
        <v>500-2500 MWh</v>
      </c>
      <c r="I31" s="84">
        <f>(PA_prices!I19+$D$2)*IF($M$2="Prices in $/MWh",1,1/1000)</f>
        <v>67.150000000000006</v>
      </c>
      <c r="J31" s="83">
        <f>(PA_prices!J19+$D$2)*IF($M$2="Prices in $/MWh",1,1/1000)</f>
        <v>68.19</v>
      </c>
      <c r="K31" s="84">
        <f>(PA_prices!K19+$D$2)*IF($M$2="Prices in $/MWh",1,1/1000)</f>
        <v>69.67</v>
      </c>
      <c r="L31" s="83">
        <f>(PA_prices!L19+$D$2)*IF($M$2="Prices in $/MWh",1,1/1000)</f>
        <v>31.75</v>
      </c>
      <c r="M31" s="84">
        <f>(PA_prices!M19+$D$2)*IF($M$2="Prices in $/MWh",1,1/1000)</f>
        <v>33.369999999999997</v>
      </c>
      <c r="N31" s="83">
        <f>(PA_prices!N19+$D$2)*IF($M$2="Prices in $/MWh",1,1/1000)</f>
        <v>34.65</v>
      </c>
      <c r="O31" s="61"/>
    </row>
    <row r="32" spans="2:15" x14ac:dyDescent="0.25">
      <c r="B32" s="99" t="s">
        <v>636</v>
      </c>
      <c r="C32" s="74" t="str">
        <f>PA_prices!C20</f>
        <v>August-2016</v>
      </c>
      <c r="D32" s="75" t="str">
        <f>PA_prices!D20</f>
        <v>PA</v>
      </c>
      <c r="E32" s="76" t="str">
        <f>PA_prices!E20</f>
        <v>DQE</v>
      </c>
      <c r="F32" s="75" t="str">
        <f>PA_prices!F20</f>
        <v>GS</v>
      </c>
      <c r="G32" s="76" t="str">
        <f>PA_prices!G20</f>
        <v>General service</v>
      </c>
      <c r="H32" s="77" t="str">
        <f t="shared" ref="H32" si="15">IF($M$2="Prices in $/MWh","0-100 MWh","0-100,000 kWh")</f>
        <v>0-100 MWh</v>
      </c>
      <c r="I32" s="76">
        <f>(PA_prices!I20+$D$2)*IF($M$2="Prices in $/MWh",1,1/1000)</f>
        <v>70.27</v>
      </c>
      <c r="J32" s="75">
        <f>(PA_prices!J20+$D$2)*IF($M$2="Prices in $/MWh",1,1/1000)</f>
        <v>71.3</v>
      </c>
      <c r="K32" s="76">
        <f>(PA_prices!K20+$D$2)*IF($M$2="Prices in $/MWh",1,1/1000)</f>
        <v>72.650000000000006</v>
      </c>
      <c r="L32" s="75">
        <f>(PA_prices!L20+$D$2)*IF($M$2="Prices in $/MWh",1,1/1000)</f>
        <v>34.93</v>
      </c>
      <c r="M32" s="76">
        <f>(PA_prices!M20+$D$2)*IF($M$2="Prices in $/MWh",1,1/1000)</f>
        <v>36.47</v>
      </c>
      <c r="N32" s="75">
        <f>(PA_prices!N20+$D$2)*IF($M$2="Prices in $/MWh",1,1/1000)</f>
        <v>37.630000000000003</v>
      </c>
      <c r="O32" s="61"/>
    </row>
    <row r="33" spans="2:15" x14ac:dyDescent="0.25">
      <c r="B33" s="99" t="s">
        <v>636</v>
      </c>
      <c r="C33" s="78" t="str">
        <f>PA_prices!C21</f>
        <v>August-2016</v>
      </c>
      <c r="D33" s="79" t="str">
        <f>PA_prices!D21</f>
        <v>PA</v>
      </c>
      <c r="E33" s="80" t="str">
        <f>PA_prices!E21</f>
        <v>DQE</v>
      </c>
      <c r="F33" s="79" t="str">
        <f>PA_prices!F21</f>
        <v>GS</v>
      </c>
      <c r="G33" s="80" t="str">
        <f>PA_prices!G21</f>
        <v>General service</v>
      </c>
      <c r="H33" s="81" t="str">
        <f t="shared" ref="H33" si="16">IF($M$2="Prices in $/MWh","100-500 MWh","100,000-500,000 kWh")</f>
        <v>100-500 MWh</v>
      </c>
      <c r="I33" s="80">
        <f>(PA_prices!I21+$D$2)*IF($M$2="Prices in $/MWh",1,1/1000)</f>
        <v>68.67</v>
      </c>
      <c r="J33" s="79">
        <f>(PA_prices!J21+$D$2)*IF($M$2="Prices in $/MWh",1,1/1000)</f>
        <v>69.7</v>
      </c>
      <c r="K33" s="80">
        <f>(PA_prices!K21+$D$2)*IF($M$2="Prices in $/MWh",1,1/1000)</f>
        <v>71.05</v>
      </c>
      <c r="L33" s="79">
        <f>(PA_prices!L21+$D$2)*IF($M$2="Prices in $/MWh",1,1/1000)</f>
        <v>33.33</v>
      </c>
      <c r="M33" s="80">
        <f>(PA_prices!M21+$D$2)*IF($M$2="Prices in $/MWh",1,1/1000)</f>
        <v>34.869999999999997</v>
      </c>
      <c r="N33" s="79">
        <f>(PA_prices!N21+$D$2)*IF($M$2="Prices in $/MWh",1,1/1000)</f>
        <v>36.03</v>
      </c>
      <c r="O33" s="61"/>
    </row>
    <row r="34" spans="2:15" x14ac:dyDescent="0.25">
      <c r="B34" s="99" t="s">
        <v>636</v>
      </c>
      <c r="C34" s="82" t="str">
        <f>PA_prices!C22</f>
        <v>August-2016</v>
      </c>
      <c r="D34" s="83" t="str">
        <f>PA_prices!D22</f>
        <v>PA</v>
      </c>
      <c r="E34" s="84" t="str">
        <f>PA_prices!E22</f>
        <v>DQE</v>
      </c>
      <c r="F34" s="83" t="str">
        <f>PA_prices!F22</f>
        <v>GS</v>
      </c>
      <c r="G34" s="84" t="str">
        <f>PA_prices!G22</f>
        <v>General service</v>
      </c>
      <c r="H34" s="85" t="str">
        <f t="shared" ref="H34" si="17">IF($M$2="Prices in $/MWh","500-2500 MWh","500,000-2,500,000 kWh")</f>
        <v>500-2500 MWh</v>
      </c>
      <c r="I34" s="84">
        <f>(PA_prices!I22+$D$2)*IF($M$2="Prices in $/MWh",1,1/1000)</f>
        <v>67.62</v>
      </c>
      <c r="J34" s="83">
        <f>(PA_prices!J22+$D$2)*IF($M$2="Prices in $/MWh",1,1/1000)</f>
        <v>68.650000000000006</v>
      </c>
      <c r="K34" s="84">
        <f>(PA_prices!K22+$D$2)*IF($M$2="Prices in $/MWh",1,1/1000)</f>
        <v>70</v>
      </c>
      <c r="L34" s="83">
        <f>(PA_prices!L22+$D$2)*IF($M$2="Prices in $/MWh",1,1/1000)</f>
        <v>32.28</v>
      </c>
      <c r="M34" s="84">
        <f>(PA_prices!M22+$D$2)*IF($M$2="Prices in $/MWh",1,1/1000)</f>
        <v>33.82</v>
      </c>
      <c r="N34" s="83">
        <f>(PA_prices!N22+$D$2)*IF($M$2="Prices in $/MWh",1,1/1000)</f>
        <v>34.979999999999997</v>
      </c>
      <c r="O34" s="61"/>
    </row>
    <row r="35" spans="2:15" x14ac:dyDescent="0.25">
      <c r="B35" s="99" t="s">
        <v>636</v>
      </c>
      <c r="C35" s="74" t="str">
        <f>PA_prices!C23</f>
        <v>September-2016</v>
      </c>
      <c r="D35" s="75" t="str">
        <f>PA_prices!D23</f>
        <v>PA</v>
      </c>
      <c r="E35" s="76" t="str">
        <f>PA_prices!E23</f>
        <v>DQE</v>
      </c>
      <c r="F35" s="75" t="str">
        <f>PA_prices!F23</f>
        <v>GS</v>
      </c>
      <c r="G35" s="76" t="str">
        <f>PA_prices!G23</f>
        <v>General service</v>
      </c>
      <c r="H35" s="77" t="str">
        <f t="shared" ref="H35" si="18">IF($M$2="Prices in $/MWh","0-100 MWh","0-100,000 kWh")</f>
        <v>0-100 MWh</v>
      </c>
      <c r="I35" s="76">
        <f>(PA_prices!I23+$D$2)*IF($M$2="Prices in $/MWh",1,1/1000)</f>
        <v>70.7</v>
      </c>
      <c r="J35" s="75">
        <f>(PA_prices!J23+$D$2)*IF($M$2="Prices in $/MWh",1,1/1000)</f>
        <v>71.86</v>
      </c>
      <c r="K35" s="76">
        <f>(PA_prices!K23+$D$2)*IF($M$2="Prices in $/MWh",1,1/1000)</f>
        <v>72.930000000000007</v>
      </c>
      <c r="L35" s="75">
        <f>(PA_prices!L23+$D$2)*IF($M$2="Prices in $/MWh",1,1/1000)</f>
        <v>35.46</v>
      </c>
      <c r="M35" s="76">
        <f>(PA_prices!M23+$D$2)*IF($M$2="Prices in $/MWh",1,1/1000)</f>
        <v>37</v>
      </c>
      <c r="N35" s="75">
        <f>(PA_prices!N23+$D$2)*IF($M$2="Prices in $/MWh",1,1/1000)</f>
        <v>37.97</v>
      </c>
      <c r="O35" s="61"/>
    </row>
    <row r="36" spans="2:15" x14ac:dyDescent="0.25">
      <c r="B36" s="99" t="s">
        <v>636</v>
      </c>
      <c r="C36" s="78" t="str">
        <f>PA_prices!C24</f>
        <v>September-2016</v>
      </c>
      <c r="D36" s="79" t="str">
        <f>PA_prices!D24</f>
        <v>PA</v>
      </c>
      <c r="E36" s="80" t="str">
        <f>PA_prices!E24</f>
        <v>DQE</v>
      </c>
      <c r="F36" s="79" t="str">
        <f>PA_prices!F24</f>
        <v>GS</v>
      </c>
      <c r="G36" s="80" t="str">
        <f>PA_prices!G24</f>
        <v>General service</v>
      </c>
      <c r="H36" s="81" t="str">
        <f t="shared" ref="H36" si="19">IF($M$2="Prices in $/MWh","100-500 MWh","100,000-500,000 kWh")</f>
        <v>100-500 MWh</v>
      </c>
      <c r="I36" s="80">
        <f>(PA_prices!I24+$D$2)*IF($M$2="Prices in $/MWh",1,1/1000)</f>
        <v>69.099999999999994</v>
      </c>
      <c r="J36" s="79">
        <f>(PA_prices!J24+$D$2)*IF($M$2="Prices in $/MWh",1,1/1000)</f>
        <v>70.260000000000005</v>
      </c>
      <c r="K36" s="80">
        <f>(PA_prices!K24+$D$2)*IF($M$2="Prices in $/MWh",1,1/1000)</f>
        <v>71.33</v>
      </c>
      <c r="L36" s="79">
        <f>(PA_prices!L24+$D$2)*IF($M$2="Prices in $/MWh",1,1/1000)</f>
        <v>33.86</v>
      </c>
      <c r="M36" s="80">
        <f>(PA_prices!M24+$D$2)*IF($M$2="Prices in $/MWh",1,1/1000)</f>
        <v>35.4</v>
      </c>
      <c r="N36" s="79">
        <f>(PA_prices!N24+$D$2)*IF($M$2="Prices in $/MWh",1,1/1000)</f>
        <v>36.369999999999997</v>
      </c>
      <c r="O36" s="61"/>
    </row>
    <row r="37" spans="2:15" x14ac:dyDescent="0.25">
      <c r="B37" s="99" t="s">
        <v>636</v>
      </c>
      <c r="C37" s="82" t="str">
        <f>PA_prices!C25</f>
        <v>September-2016</v>
      </c>
      <c r="D37" s="83" t="str">
        <f>PA_prices!D25</f>
        <v>PA</v>
      </c>
      <c r="E37" s="84" t="str">
        <f>PA_prices!E25</f>
        <v>DQE</v>
      </c>
      <c r="F37" s="83" t="str">
        <f>PA_prices!F25</f>
        <v>GS</v>
      </c>
      <c r="G37" s="84" t="str">
        <f>PA_prices!G25</f>
        <v>General service</v>
      </c>
      <c r="H37" s="85" t="str">
        <f t="shared" ref="H37" si="20">IF($M$2="Prices in $/MWh","500-2500 MWh","500,000-2,500,000 kWh")</f>
        <v>500-2500 MWh</v>
      </c>
      <c r="I37" s="84">
        <f>(PA_prices!I25+$D$2)*IF($M$2="Prices in $/MWh",1,1/1000)</f>
        <v>68.05</v>
      </c>
      <c r="J37" s="83">
        <f>(PA_prices!J25+$D$2)*IF($M$2="Prices in $/MWh",1,1/1000)</f>
        <v>69.209999999999994</v>
      </c>
      <c r="K37" s="84">
        <f>(PA_prices!K25+$D$2)*IF($M$2="Prices in $/MWh",1,1/1000)</f>
        <v>70.28</v>
      </c>
      <c r="L37" s="83">
        <f>(PA_prices!L25+$D$2)*IF($M$2="Prices in $/MWh",1,1/1000)</f>
        <v>32.81</v>
      </c>
      <c r="M37" s="84">
        <f>(PA_prices!M25+$D$2)*IF($M$2="Prices in $/MWh",1,1/1000)</f>
        <v>34.35</v>
      </c>
      <c r="N37" s="83">
        <f>(PA_prices!N25+$D$2)*IF($M$2="Prices in $/MWh",1,1/1000)</f>
        <v>35.32</v>
      </c>
      <c r="O37" s="61"/>
    </row>
    <row r="38" spans="2:15" x14ac:dyDescent="0.25">
      <c r="B38" s="99" t="s">
        <v>636</v>
      </c>
      <c r="C38" s="74" t="str">
        <f>PA_prices!C26</f>
        <v>October-2016</v>
      </c>
      <c r="D38" s="75" t="str">
        <f>PA_prices!D26</f>
        <v>PA</v>
      </c>
      <c r="E38" s="76" t="str">
        <f>PA_prices!E26</f>
        <v>DQE</v>
      </c>
      <c r="F38" s="75" t="str">
        <f>PA_prices!F26</f>
        <v>GS</v>
      </c>
      <c r="G38" s="76" t="str">
        <f>PA_prices!G26</f>
        <v>General service</v>
      </c>
      <c r="H38" s="77" t="str">
        <f t="shared" ref="H38" si="21">IF($M$2="Prices in $/MWh","0-100 MWh","0-100,000 kWh")</f>
        <v>0-100 MWh</v>
      </c>
      <c r="I38" s="76">
        <f>(PA_prices!I26+$D$2)*IF($M$2="Prices in $/MWh",1,1/1000)</f>
        <v>71.19</v>
      </c>
      <c r="J38" s="75">
        <f>(PA_prices!J26+$D$2)*IF($M$2="Prices in $/MWh",1,1/1000)</f>
        <v>72.5</v>
      </c>
      <c r="K38" s="76">
        <f>(PA_prices!K26+$D$2)*IF($M$2="Prices in $/MWh",1,1/1000)</f>
        <v>73.209999999999994</v>
      </c>
      <c r="L38" s="75">
        <f>(PA_prices!L26+$D$2)*IF($M$2="Prices in $/MWh",1,1/1000)</f>
        <v>35.979999999999997</v>
      </c>
      <c r="M38" s="76">
        <f>(PA_prices!M26+$D$2)*IF($M$2="Prices in $/MWh",1,1/1000)</f>
        <v>37.450000000000003</v>
      </c>
      <c r="N38" s="75">
        <f>(PA_prices!N26+$D$2)*IF($M$2="Prices in $/MWh",1,1/1000)</f>
        <v>38.33</v>
      </c>
      <c r="O38" s="61"/>
    </row>
    <row r="39" spans="2:15" x14ac:dyDescent="0.25">
      <c r="B39" s="99" t="s">
        <v>636</v>
      </c>
      <c r="C39" s="78" t="str">
        <f>PA_prices!C27</f>
        <v>October-2016</v>
      </c>
      <c r="D39" s="79" t="str">
        <f>PA_prices!D27</f>
        <v>PA</v>
      </c>
      <c r="E39" s="80" t="str">
        <f>PA_prices!E27</f>
        <v>DQE</v>
      </c>
      <c r="F39" s="79" t="str">
        <f>PA_prices!F27</f>
        <v>GS</v>
      </c>
      <c r="G39" s="80" t="str">
        <f>PA_prices!G27</f>
        <v>General service</v>
      </c>
      <c r="H39" s="81" t="str">
        <f t="shared" ref="H39" si="22">IF($M$2="Prices in $/MWh","100-500 MWh","100,000-500,000 kWh")</f>
        <v>100-500 MWh</v>
      </c>
      <c r="I39" s="80">
        <f>(PA_prices!I27+$D$2)*IF($M$2="Prices in $/MWh",1,1/1000)</f>
        <v>69.59</v>
      </c>
      <c r="J39" s="79">
        <f>(PA_prices!J27+$D$2)*IF($M$2="Prices in $/MWh",1,1/1000)</f>
        <v>70.900000000000006</v>
      </c>
      <c r="K39" s="80">
        <f>(PA_prices!K27+$D$2)*IF($M$2="Prices in $/MWh",1,1/1000)</f>
        <v>71.61</v>
      </c>
      <c r="L39" s="79">
        <f>(PA_prices!L27+$D$2)*IF($M$2="Prices in $/MWh",1,1/1000)</f>
        <v>34.380000000000003</v>
      </c>
      <c r="M39" s="80">
        <f>(PA_prices!M27+$D$2)*IF($M$2="Prices in $/MWh",1,1/1000)</f>
        <v>35.85</v>
      </c>
      <c r="N39" s="79">
        <f>(PA_prices!N27+$D$2)*IF($M$2="Prices in $/MWh",1,1/1000)</f>
        <v>36.729999999999997</v>
      </c>
      <c r="O39" s="61"/>
    </row>
    <row r="40" spans="2:15" x14ac:dyDescent="0.25">
      <c r="B40" s="99" t="s">
        <v>636</v>
      </c>
      <c r="C40" s="82" t="str">
        <f>PA_prices!C28</f>
        <v>October-2016</v>
      </c>
      <c r="D40" s="83" t="str">
        <f>PA_prices!D28</f>
        <v>PA</v>
      </c>
      <c r="E40" s="84" t="str">
        <f>PA_prices!E28</f>
        <v>DQE</v>
      </c>
      <c r="F40" s="83" t="str">
        <f>PA_prices!F28</f>
        <v>GS</v>
      </c>
      <c r="G40" s="84" t="str">
        <f>PA_prices!G28</f>
        <v>General service</v>
      </c>
      <c r="H40" s="85" t="str">
        <f t="shared" ref="H40" si="23">IF($M$2="Prices in $/MWh","500-2500 MWh","500,000-2,500,000 kWh")</f>
        <v>500-2500 MWh</v>
      </c>
      <c r="I40" s="84">
        <f>(PA_prices!I28+$D$2)*IF($M$2="Prices in $/MWh",1,1/1000)</f>
        <v>68.540000000000006</v>
      </c>
      <c r="J40" s="83">
        <f>(PA_prices!J28+$D$2)*IF($M$2="Prices in $/MWh",1,1/1000)</f>
        <v>69.849999999999994</v>
      </c>
      <c r="K40" s="84">
        <f>(PA_prices!K28+$D$2)*IF($M$2="Prices in $/MWh",1,1/1000)</f>
        <v>70.56</v>
      </c>
      <c r="L40" s="83">
        <f>(PA_prices!L28+$D$2)*IF($M$2="Prices in $/MWh",1,1/1000)</f>
        <v>33.33</v>
      </c>
      <c r="M40" s="84">
        <f>(PA_prices!M28+$D$2)*IF($M$2="Prices in $/MWh",1,1/1000)</f>
        <v>34.799999999999997</v>
      </c>
      <c r="N40" s="83">
        <f>(PA_prices!N28+$D$2)*IF($M$2="Prices in $/MWh",1,1/1000)</f>
        <v>35.68</v>
      </c>
      <c r="O40" s="61"/>
    </row>
    <row r="41" spans="2:15" x14ac:dyDescent="0.25">
      <c r="B41" s="99" t="s">
        <v>636</v>
      </c>
      <c r="C41" s="74" t="str">
        <f>PA_prices!C29</f>
        <v>November-2016</v>
      </c>
      <c r="D41" s="75" t="str">
        <f>PA_prices!D29</f>
        <v>PA</v>
      </c>
      <c r="E41" s="76" t="str">
        <f>PA_prices!E29</f>
        <v>DQE</v>
      </c>
      <c r="F41" s="75" t="str">
        <f>PA_prices!F29</f>
        <v>GS</v>
      </c>
      <c r="G41" s="76" t="str">
        <f>PA_prices!G29</f>
        <v>General service</v>
      </c>
      <c r="H41" s="77" t="str">
        <f t="shared" ref="H41" si="24">IF($M$2="Prices in $/MWh","0-100 MWh","0-100,000 kWh")</f>
        <v>0-100 MWh</v>
      </c>
      <c r="I41" s="76">
        <f>(PA_prices!I29+$D$2)*IF($M$2="Prices in $/MWh",1,1/1000)</f>
        <v>71.67</v>
      </c>
      <c r="J41" s="75">
        <f>(PA_prices!J29+$D$2)*IF($M$2="Prices in $/MWh",1,1/1000)</f>
        <v>72.98</v>
      </c>
      <c r="K41" s="76">
        <f>(PA_prices!K29+$D$2)*IF($M$2="Prices in $/MWh",1,1/1000)</f>
        <v>73.5</v>
      </c>
      <c r="L41" s="75">
        <f>(PA_prices!L29+$D$2)*IF($M$2="Prices in $/MWh",1,1/1000)</f>
        <v>36.479999999999997</v>
      </c>
      <c r="M41" s="76">
        <f>(PA_prices!M29+$D$2)*IF($M$2="Prices in $/MWh",1,1/1000)</f>
        <v>37.83</v>
      </c>
      <c r="N41" s="75">
        <f>(PA_prices!N29+$D$2)*IF($M$2="Prices in $/MWh",1,1/1000)</f>
        <v>38.65</v>
      </c>
      <c r="O41" s="61"/>
    </row>
    <row r="42" spans="2:15" x14ac:dyDescent="0.25">
      <c r="B42" s="99" t="s">
        <v>636</v>
      </c>
      <c r="C42" s="78" t="str">
        <f>PA_prices!C30</f>
        <v>November-2016</v>
      </c>
      <c r="D42" s="79" t="str">
        <f>PA_prices!D30</f>
        <v>PA</v>
      </c>
      <c r="E42" s="80" t="str">
        <f>PA_prices!E30</f>
        <v>DQE</v>
      </c>
      <c r="F42" s="79" t="str">
        <f>PA_prices!F30</f>
        <v>GS</v>
      </c>
      <c r="G42" s="80" t="str">
        <f>PA_prices!G30</f>
        <v>General service</v>
      </c>
      <c r="H42" s="81" t="str">
        <f t="shared" ref="H42" si="25">IF($M$2="Prices in $/MWh","100-500 MWh","100,000-500,000 kWh")</f>
        <v>100-500 MWh</v>
      </c>
      <c r="I42" s="80">
        <f>(PA_prices!I30+$D$2)*IF($M$2="Prices in $/MWh",1,1/1000)</f>
        <v>70.069999999999993</v>
      </c>
      <c r="J42" s="79">
        <f>(PA_prices!J30+$D$2)*IF($M$2="Prices in $/MWh",1,1/1000)</f>
        <v>71.38</v>
      </c>
      <c r="K42" s="80">
        <f>(PA_prices!K30+$D$2)*IF($M$2="Prices in $/MWh",1,1/1000)</f>
        <v>71.900000000000006</v>
      </c>
      <c r="L42" s="79">
        <f>(PA_prices!L30+$D$2)*IF($M$2="Prices in $/MWh",1,1/1000)</f>
        <v>34.880000000000003</v>
      </c>
      <c r="M42" s="80">
        <f>(PA_prices!M30+$D$2)*IF($M$2="Prices in $/MWh",1,1/1000)</f>
        <v>36.229999999999997</v>
      </c>
      <c r="N42" s="79">
        <f>(PA_prices!N30+$D$2)*IF($M$2="Prices in $/MWh",1,1/1000)</f>
        <v>37.049999999999997</v>
      </c>
      <c r="O42" s="61"/>
    </row>
    <row r="43" spans="2:15" x14ac:dyDescent="0.25">
      <c r="B43" s="99" t="s">
        <v>636</v>
      </c>
      <c r="C43" s="82" t="str">
        <f>PA_prices!C31</f>
        <v>November-2016</v>
      </c>
      <c r="D43" s="83" t="str">
        <f>PA_prices!D31</f>
        <v>PA</v>
      </c>
      <c r="E43" s="84" t="str">
        <f>PA_prices!E31</f>
        <v>DQE</v>
      </c>
      <c r="F43" s="83" t="str">
        <f>PA_prices!F31</f>
        <v>GS</v>
      </c>
      <c r="G43" s="84" t="str">
        <f>PA_prices!G31</f>
        <v>General service</v>
      </c>
      <c r="H43" s="85" t="str">
        <f t="shared" ref="H43" si="26">IF($M$2="Prices in $/MWh","500-2500 MWh","500,000-2,500,000 kWh")</f>
        <v>500-2500 MWh</v>
      </c>
      <c r="I43" s="84">
        <f>(PA_prices!I31+$D$2)*IF($M$2="Prices in $/MWh",1,1/1000)</f>
        <v>69.02</v>
      </c>
      <c r="J43" s="83">
        <f>(PA_prices!J31+$D$2)*IF($M$2="Prices in $/MWh",1,1/1000)</f>
        <v>70.33</v>
      </c>
      <c r="K43" s="84">
        <f>(PA_prices!K31+$D$2)*IF($M$2="Prices in $/MWh",1,1/1000)</f>
        <v>70.849999999999994</v>
      </c>
      <c r="L43" s="83">
        <f>(PA_prices!L31+$D$2)*IF($M$2="Prices in $/MWh",1,1/1000)</f>
        <v>33.83</v>
      </c>
      <c r="M43" s="84">
        <f>(PA_prices!M31+$D$2)*IF($M$2="Prices in $/MWh",1,1/1000)</f>
        <v>35.18</v>
      </c>
      <c r="N43" s="83">
        <f>(PA_prices!N31+$D$2)*IF($M$2="Prices in $/MWh",1,1/1000)</f>
        <v>36</v>
      </c>
      <c r="O43" s="61"/>
    </row>
    <row r="44" spans="2:15" x14ac:dyDescent="0.25">
      <c r="B44" s="99" t="s">
        <v>636</v>
      </c>
      <c r="C44" s="74" t="str">
        <f>PA_prices!C32</f>
        <v>December-2016</v>
      </c>
      <c r="D44" s="75" t="str">
        <f>PA_prices!D32</f>
        <v>PA</v>
      </c>
      <c r="E44" s="76" t="str">
        <f>PA_prices!E32</f>
        <v>DQE</v>
      </c>
      <c r="F44" s="75" t="str">
        <f>PA_prices!F32</f>
        <v>GS</v>
      </c>
      <c r="G44" s="76" t="str">
        <f>PA_prices!G32</f>
        <v>General service</v>
      </c>
      <c r="H44" s="77" t="str">
        <f t="shared" ref="H44" si="27">IF($M$2="Prices in $/MWh","0-100 MWh","0-100,000 kWh")</f>
        <v>0-100 MWh</v>
      </c>
      <c r="I44" s="76">
        <f>(PA_prices!I32+$D$2)*IF($M$2="Prices in $/MWh",1,1/1000)</f>
        <v>72.099999999999994</v>
      </c>
      <c r="J44" s="75">
        <f>(PA_prices!J32+$D$2)*IF($M$2="Prices in $/MWh",1,1/1000)</f>
        <v>73.48</v>
      </c>
      <c r="K44" s="76">
        <f>(PA_prices!K32+$D$2)*IF($M$2="Prices in $/MWh",1,1/1000)</f>
        <v>73.77</v>
      </c>
      <c r="L44" s="75">
        <f>(PA_prices!L32+$D$2)*IF($M$2="Prices in $/MWh",1,1/1000)</f>
        <v>36.97</v>
      </c>
      <c r="M44" s="76">
        <f>(PA_prices!M32+$D$2)*IF($M$2="Prices in $/MWh",1,1/1000)</f>
        <v>38.229999999999997</v>
      </c>
      <c r="N44" s="75">
        <f>(PA_prices!N32+$D$2)*IF($M$2="Prices in $/MWh",1,1/1000)</f>
        <v>38.97</v>
      </c>
      <c r="O44" s="61"/>
    </row>
    <row r="45" spans="2:15" x14ac:dyDescent="0.25">
      <c r="B45" s="99" t="s">
        <v>636</v>
      </c>
      <c r="C45" s="78" t="str">
        <f>PA_prices!C33</f>
        <v>December-2016</v>
      </c>
      <c r="D45" s="79" t="str">
        <f>PA_prices!D33</f>
        <v>PA</v>
      </c>
      <c r="E45" s="80" t="str">
        <f>PA_prices!E33</f>
        <v>DQE</v>
      </c>
      <c r="F45" s="79" t="str">
        <f>PA_prices!F33</f>
        <v>GS</v>
      </c>
      <c r="G45" s="80" t="str">
        <f>PA_prices!G33</f>
        <v>General service</v>
      </c>
      <c r="H45" s="81" t="str">
        <f t="shared" ref="H45" si="28">IF($M$2="Prices in $/MWh","100-500 MWh","100,000-500,000 kWh")</f>
        <v>100-500 MWh</v>
      </c>
      <c r="I45" s="80">
        <f>(PA_prices!I33+$D$2)*IF($M$2="Prices in $/MWh",1,1/1000)</f>
        <v>70.5</v>
      </c>
      <c r="J45" s="79">
        <f>(PA_prices!J33+$D$2)*IF($M$2="Prices in $/MWh",1,1/1000)</f>
        <v>71.88</v>
      </c>
      <c r="K45" s="80">
        <f>(PA_prices!K33+$D$2)*IF($M$2="Prices in $/MWh",1,1/1000)</f>
        <v>72.17</v>
      </c>
      <c r="L45" s="79">
        <f>(PA_prices!L33+$D$2)*IF($M$2="Prices in $/MWh",1,1/1000)</f>
        <v>35.369999999999997</v>
      </c>
      <c r="M45" s="80">
        <f>(PA_prices!M33+$D$2)*IF($M$2="Prices in $/MWh",1,1/1000)</f>
        <v>36.630000000000003</v>
      </c>
      <c r="N45" s="79">
        <f>(PA_prices!N33+$D$2)*IF($M$2="Prices in $/MWh",1,1/1000)</f>
        <v>37.369999999999997</v>
      </c>
      <c r="O45" s="61"/>
    </row>
    <row r="46" spans="2:15" x14ac:dyDescent="0.25">
      <c r="B46" s="99" t="s">
        <v>636</v>
      </c>
      <c r="C46" s="82" t="str">
        <f>PA_prices!C34</f>
        <v>December-2016</v>
      </c>
      <c r="D46" s="83" t="str">
        <f>PA_prices!D34</f>
        <v>PA</v>
      </c>
      <c r="E46" s="84" t="str">
        <f>PA_prices!E34</f>
        <v>DQE</v>
      </c>
      <c r="F46" s="83" t="str">
        <f>PA_prices!F34</f>
        <v>GS</v>
      </c>
      <c r="G46" s="84" t="str">
        <f>PA_prices!G34</f>
        <v>General service</v>
      </c>
      <c r="H46" s="85" t="str">
        <f t="shared" ref="H46" si="29">IF($M$2="Prices in $/MWh","500-2500 MWh","500,000-2,500,000 kWh")</f>
        <v>500-2500 MWh</v>
      </c>
      <c r="I46" s="84">
        <f>(PA_prices!I34+$D$2)*IF($M$2="Prices in $/MWh",1,1/1000)</f>
        <v>69.45</v>
      </c>
      <c r="J46" s="83">
        <f>(PA_prices!J34+$D$2)*IF($M$2="Prices in $/MWh",1,1/1000)</f>
        <v>70.83</v>
      </c>
      <c r="K46" s="84">
        <f>(PA_prices!K34+$D$2)*IF($M$2="Prices in $/MWh",1,1/1000)</f>
        <v>71.12</v>
      </c>
      <c r="L46" s="83">
        <f>(PA_prices!L34+$D$2)*IF($M$2="Prices in $/MWh",1,1/1000)</f>
        <v>34.32</v>
      </c>
      <c r="M46" s="84">
        <f>(PA_prices!M34+$D$2)*IF($M$2="Prices in $/MWh",1,1/1000)</f>
        <v>35.58</v>
      </c>
      <c r="N46" s="83">
        <f>(PA_prices!N34+$D$2)*IF($M$2="Prices in $/MWh",1,1/1000)</f>
        <v>36.32</v>
      </c>
      <c r="O46" s="61"/>
    </row>
    <row r="47" spans="2:15" x14ac:dyDescent="0.25">
      <c r="B47" s="99" t="s">
        <v>636</v>
      </c>
      <c r="C47" s="74" t="str">
        <f>PA_prices!C35</f>
        <v>January-2017</v>
      </c>
      <c r="D47" s="75" t="str">
        <f>PA_prices!D35</f>
        <v>PA</v>
      </c>
      <c r="E47" s="76" t="str">
        <f>PA_prices!E35</f>
        <v>DQE</v>
      </c>
      <c r="F47" s="75" t="str">
        <f>PA_prices!F35</f>
        <v>GS</v>
      </c>
      <c r="G47" s="76" t="str">
        <f>PA_prices!G35</f>
        <v>General service</v>
      </c>
      <c r="H47" s="77" t="str">
        <f t="shared" ref="H47" si="30">IF($M$2="Prices in $/MWh","0-100 MWh","0-100,000 kWh")</f>
        <v>0-100 MWh</v>
      </c>
      <c r="I47" s="76">
        <f>(PA_prices!I35+$D$2)*IF($M$2="Prices in $/MWh",1,1/1000)</f>
        <v>72.55</v>
      </c>
      <c r="J47" s="75">
        <f>(PA_prices!J35+$D$2)*IF($M$2="Prices in $/MWh",1,1/1000)</f>
        <v>73.989999999999995</v>
      </c>
      <c r="K47" s="76">
        <f>(PA_prices!K35+$D$2)*IF($M$2="Prices in $/MWh",1,1/1000)</f>
        <v>74.11</v>
      </c>
      <c r="L47" s="75">
        <f>(PA_prices!L35+$D$2)*IF($M$2="Prices in $/MWh",1,1/1000)</f>
        <v>37.51</v>
      </c>
      <c r="M47" s="76">
        <f>(PA_prices!M35+$D$2)*IF($M$2="Prices in $/MWh",1,1/1000)</f>
        <v>38.75</v>
      </c>
      <c r="N47" s="75">
        <f>(PA_prices!N35+$D$2)*IF($M$2="Prices in $/MWh",1,1/1000)</f>
        <v>39.32</v>
      </c>
      <c r="O47" s="61"/>
    </row>
    <row r="48" spans="2:15" x14ac:dyDescent="0.25">
      <c r="B48" s="99" t="s">
        <v>636</v>
      </c>
      <c r="C48" s="78" t="str">
        <f>PA_prices!C36</f>
        <v>January-2017</v>
      </c>
      <c r="D48" s="79" t="str">
        <f>PA_prices!D36</f>
        <v>PA</v>
      </c>
      <c r="E48" s="80" t="str">
        <f>PA_prices!E36</f>
        <v>DQE</v>
      </c>
      <c r="F48" s="79" t="str">
        <f>PA_prices!F36</f>
        <v>GS</v>
      </c>
      <c r="G48" s="80" t="str">
        <f>PA_prices!G36</f>
        <v>General service</v>
      </c>
      <c r="H48" s="81" t="str">
        <f t="shared" ref="H48" si="31">IF($M$2="Prices in $/MWh","100-500 MWh","100,000-500,000 kWh")</f>
        <v>100-500 MWh</v>
      </c>
      <c r="I48" s="80">
        <f>(PA_prices!I36+$D$2)*IF($M$2="Prices in $/MWh",1,1/1000)</f>
        <v>70.95</v>
      </c>
      <c r="J48" s="79">
        <f>(PA_prices!J36+$D$2)*IF($M$2="Prices in $/MWh",1,1/1000)</f>
        <v>72.39</v>
      </c>
      <c r="K48" s="80">
        <f>(PA_prices!K36+$D$2)*IF($M$2="Prices in $/MWh",1,1/1000)</f>
        <v>72.510000000000005</v>
      </c>
      <c r="L48" s="79">
        <f>(PA_prices!L36+$D$2)*IF($M$2="Prices in $/MWh",1,1/1000)</f>
        <v>35.909999999999997</v>
      </c>
      <c r="M48" s="80">
        <f>(PA_prices!M36+$D$2)*IF($M$2="Prices in $/MWh",1,1/1000)</f>
        <v>37.15</v>
      </c>
      <c r="N48" s="79">
        <f>(PA_prices!N36+$D$2)*IF($M$2="Prices in $/MWh",1,1/1000)</f>
        <v>37.72</v>
      </c>
      <c r="O48" s="61"/>
    </row>
    <row r="49" spans="2:15" x14ac:dyDescent="0.25">
      <c r="B49" s="99" t="s">
        <v>636</v>
      </c>
      <c r="C49" s="82" t="str">
        <f>PA_prices!C37</f>
        <v>January-2017</v>
      </c>
      <c r="D49" s="83" t="str">
        <f>PA_prices!D37</f>
        <v>PA</v>
      </c>
      <c r="E49" s="84" t="str">
        <f>PA_prices!E37</f>
        <v>DQE</v>
      </c>
      <c r="F49" s="83" t="str">
        <f>PA_prices!F37</f>
        <v>GS</v>
      </c>
      <c r="G49" s="84" t="str">
        <f>PA_prices!G37</f>
        <v>General service</v>
      </c>
      <c r="H49" s="85" t="str">
        <f t="shared" ref="H49" si="32">IF($M$2="Prices in $/MWh","500-2500 MWh","500,000-2,500,000 kWh")</f>
        <v>500-2500 MWh</v>
      </c>
      <c r="I49" s="84">
        <f>(PA_prices!I37+$D$2)*IF($M$2="Prices in $/MWh",1,1/1000)</f>
        <v>69.900000000000006</v>
      </c>
      <c r="J49" s="83">
        <f>(PA_prices!J37+$D$2)*IF($M$2="Prices in $/MWh",1,1/1000)</f>
        <v>71.34</v>
      </c>
      <c r="K49" s="84">
        <f>(PA_prices!K37+$D$2)*IF($M$2="Prices in $/MWh",1,1/1000)</f>
        <v>71.459999999999994</v>
      </c>
      <c r="L49" s="83">
        <f>(PA_prices!L37+$D$2)*IF($M$2="Prices in $/MWh",1,1/1000)</f>
        <v>34.86</v>
      </c>
      <c r="M49" s="84">
        <f>(PA_prices!M37+$D$2)*IF($M$2="Prices in $/MWh",1,1/1000)</f>
        <v>36.1</v>
      </c>
      <c r="N49" s="83">
        <f>(PA_prices!N37+$D$2)*IF($M$2="Prices in $/MWh",1,1/1000)</f>
        <v>36.67</v>
      </c>
      <c r="O49" s="61"/>
    </row>
    <row r="50" spans="2:15" x14ac:dyDescent="0.25">
      <c r="B50" s="99" t="s">
        <v>637</v>
      </c>
      <c r="C50" s="74" t="str">
        <f>PA_prices!C38</f>
        <v>February-2016</v>
      </c>
      <c r="D50" s="75" t="str">
        <f>PA_prices!D38</f>
        <v>PA</v>
      </c>
      <c r="E50" s="76" t="str">
        <f>PA_prices!E38</f>
        <v>MetED</v>
      </c>
      <c r="F50" s="75" t="str">
        <f>PA_prices!F38</f>
        <v>GSCL</v>
      </c>
      <c r="G50" s="76" t="str">
        <f>PA_prices!G38</f>
        <v>General Service Large</v>
      </c>
      <c r="H50" s="77" t="str">
        <f t="shared" ref="H50" si="33">IF($M$2="Prices in $/MWh","0-100 MWh","0-100,000 kWh")</f>
        <v>0-100 MWh</v>
      </c>
      <c r="I50" s="76">
        <f>(PA_prices!I38+$D$2)*IF($M$2="Prices in $/MWh",1,1/1000)</f>
        <v>65.95</v>
      </c>
      <c r="J50" s="75">
        <f>(PA_prices!J38+$D$2)*IF($M$2="Prices in $/MWh",1,1/1000)</f>
        <v>66.62</v>
      </c>
      <c r="K50" s="76">
        <f>(PA_prices!K38+$D$2)*IF($M$2="Prices in $/MWh",1,1/1000)</f>
        <v>66.14</v>
      </c>
      <c r="L50" s="75">
        <f>(PA_prices!L38+$D$2)*IF($M$2="Prices in $/MWh",1,1/1000)</f>
        <v>23.53</v>
      </c>
      <c r="M50" s="76">
        <f>(PA_prices!M38+$D$2)*IF($M$2="Prices in $/MWh",1,1/1000)</f>
        <v>23.67</v>
      </c>
      <c r="N50" s="75">
        <f>(PA_prices!N38+$D$2)*IF($M$2="Prices in $/MWh",1,1/1000)</f>
        <v>23.83</v>
      </c>
      <c r="O50" s="61"/>
    </row>
    <row r="51" spans="2:15" x14ac:dyDescent="0.25">
      <c r="B51" s="99" t="s">
        <v>637</v>
      </c>
      <c r="C51" s="78" t="str">
        <f>PA_prices!C39</f>
        <v>February-2016</v>
      </c>
      <c r="D51" s="79" t="str">
        <f>PA_prices!D39</f>
        <v>PA</v>
      </c>
      <c r="E51" s="80" t="str">
        <f>PA_prices!E39</f>
        <v>MetED</v>
      </c>
      <c r="F51" s="79" t="str">
        <f>PA_prices!F39</f>
        <v>GSCL</v>
      </c>
      <c r="G51" s="80" t="str">
        <f>PA_prices!G39</f>
        <v>General Service Large</v>
      </c>
      <c r="H51" s="81" t="str">
        <f t="shared" ref="H51" si="34">IF($M$2="Prices in $/MWh","100-500 MWh","100,000-500,000 kWh")</f>
        <v>100-500 MWh</v>
      </c>
      <c r="I51" s="80">
        <f>(PA_prices!I39+$D$2)*IF($M$2="Prices in $/MWh",1,1/1000)</f>
        <v>64.349999999999994</v>
      </c>
      <c r="J51" s="79">
        <f>(PA_prices!J39+$D$2)*IF($M$2="Prices in $/MWh",1,1/1000)</f>
        <v>65.02</v>
      </c>
      <c r="K51" s="80">
        <f>(PA_prices!K39+$D$2)*IF($M$2="Prices in $/MWh",1,1/1000)</f>
        <v>64.540000000000006</v>
      </c>
      <c r="L51" s="79">
        <f>(PA_prices!L39+$D$2)*IF($M$2="Prices in $/MWh",1,1/1000)</f>
        <v>21.93</v>
      </c>
      <c r="M51" s="80">
        <f>(PA_prices!M39+$D$2)*IF($M$2="Prices in $/MWh",1,1/1000)</f>
        <v>22.07</v>
      </c>
      <c r="N51" s="79">
        <f>(PA_prices!N39+$D$2)*IF($M$2="Prices in $/MWh",1,1/1000)</f>
        <v>22.23</v>
      </c>
      <c r="O51" s="61"/>
    </row>
    <row r="52" spans="2:15" x14ac:dyDescent="0.25">
      <c r="B52" s="99" t="s">
        <v>637</v>
      </c>
      <c r="C52" s="82" t="str">
        <f>PA_prices!C40</f>
        <v>February-2016</v>
      </c>
      <c r="D52" s="83" t="str">
        <f>PA_prices!D40</f>
        <v>PA</v>
      </c>
      <c r="E52" s="84" t="str">
        <f>PA_prices!E40</f>
        <v>MetED</v>
      </c>
      <c r="F52" s="83" t="str">
        <f>PA_prices!F40</f>
        <v>GSCL</v>
      </c>
      <c r="G52" s="84" t="str">
        <f>PA_prices!G40</f>
        <v>General Service Large</v>
      </c>
      <c r="H52" s="85" t="str">
        <f t="shared" ref="H52" si="35">IF($M$2="Prices in $/MWh","500-2500 MWh","500,000-2,500,000 kWh")</f>
        <v>500-2500 MWh</v>
      </c>
      <c r="I52" s="84">
        <f>(PA_prices!I40+$D$2)*IF($M$2="Prices in $/MWh",1,1/1000)</f>
        <v>63.3</v>
      </c>
      <c r="J52" s="83">
        <f>(PA_prices!J40+$D$2)*IF($M$2="Prices in $/MWh",1,1/1000)</f>
        <v>63.97</v>
      </c>
      <c r="K52" s="84">
        <f>(PA_prices!K40+$D$2)*IF($M$2="Prices in $/MWh",1,1/1000)</f>
        <v>63.49</v>
      </c>
      <c r="L52" s="83">
        <f>(PA_prices!L40+$D$2)*IF($M$2="Prices in $/MWh",1,1/1000)</f>
        <v>20.88</v>
      </c>
      <c r="M52" s="84">
        <f>(PA_prices!M40+$D$2)*IF($M$2="Prices in $/MWh",1,1/1000)</f>
        <v>21.02</v>
      </c>
      <c r="N52" s="83">
        <f>(PA_prices!N40+$D$2)*IF($M$2="Prices in $/MWh",1,1/1000)</f>
        <v>21.18</v>
      </c>
      <c r="O52" s="61"/>
    </row>
    <row r="53" spans="2:15" x14ac:dyDescent="0.25">
      <c r="B53" s="99" t="s">
        <v>637</v>
      </c>
      <c r="C53" s="74" t="str">
        <f>PA_prices!C41</f>
        <v>March-2016</v>
      </c>
      <c r="D53" s="75" t="str">
        <f>PA_prices!D41</f>
        <v>PA</v>
      </c>
      <c r="E53" s="76" t="str">
        <f>PA_prices!E41</f>
        <v>MetED</v>
      </c>
      <c r="F53" s="75" t="str">
        <f>PA_prices!F41</f>
        <v>GSCL</v>
      </c>
      <c r="G53" s="76" t="str">
        <f>PA_prices!G41</f>
        <v>General Service Large</v>
      </c>
      <c r="H53" s="77" t="str">
        <f t="shared" ref="H53" si="36">IF($M$2="Prices in $/MWh","0-100 MWh","0-100,000 kWh")</f>
        <v>0-100 MWh</v>
      </c>
      <c r="I53" s="76">
        <f>(PA_prices!I41+$D$2)*IF($M$2="Prices in $/MWh",1,1/1000)</f>
        <v>66.83</v>
      </c>
      <c r="J53" s="75">
        <f>(PA_prices!J41+$D$2)*IF($M$2="Prices in $/MWh",1,1/1000)</f>
        <v>65.97</v>
      </c>
      <c r="K53" s="76">
        <f>(PA_prices!K41+$D$2)*IF($M$2="Prices in $/MWh",1,1/1000)</f>
        <v>66.45</v>
      </c>
      <c r="L53" s="75">
        <f>(PA_prices!L41+$D$2)*IF($M$2="Prices in $/MWh",1,1/1000)</f>
        <v>23.49</v>
      </c>
      <c r="M53" s="76">
        <f>(PA_prices!M41+$D$2)*IF($M$2="Prices in $/MWh",1,1/1000)</f>
        <v>22.7</v>
      </c>
      <c r="N53" s="75">
        <f>(PA_prices!N41+$D$2)*IF($M$2="Prices in $/MWh",1,1/1000)</f>
        <v>23.8</v>
      </c>
      <c r="O53" s="61"/>
    </row>
    <row r="54" spans="2:15" x14ac:dyDescent="0.25">
      <c r="B54" s="99" t="s">
        <v>637</v>
      </c>
      <c r="C54" s="78" t="str">
        <f>PA_prices!C42</f>
        <v>March-2016</v>
      </c>
      <c r="D54" s="79" t="str">
        <f>PA_prices!D42</f>
        <v>PA</v>
      </c>
      <c r="E54" s="80" t="str">
        <f>PA_prices!E42</f>
        <v>MetED</v>
      </c>
      <c r="F54" s="79" t="str">
        <f>PA_prices!F42</f>
        <v>GSCL</v>
      </c>
      <c r="G54" s="80" t="str">
        <f>PA_prices!G42</f>
        <v>General Service Large</v>
      </c>
      <c r="H54" s="81" t="str">
        <f t="shared" ref="H54" si="37">IF($M$2="Prices in $/MWh","100-500 MWh","100,000-500,000 kWh")</f>
        <v>100-500 MWh</v>
      </c>
      <c r="I54" s="80">
        <f>(PA_prices!I42+$D$2)*IF($M$2="Prices in $/MWh",1,1/1000)</f>
        <v>65.23</v>
      </c>
      <c r="J54" s="79">
        <f>(PA_prices!J42+$D$2)*IF($M$2="Prices in $/MWh",1,1/1000)</f>
        <v>64.37</v>
      </c>
      <c r="K54" s="80">
        <f>(PA_prices!K42+$D$2)*IF($M$2="Prices in $/MWh",1,1/1000)</f>
        <v>64.849999999999994</v>
      </c>
      <c r="L54" s="79">
        <f>(PA_prices!L42+$D$2)*IF($M$2="Prices in $/MWh",1,1/1000)</f>
        <v>21.89</v>
      </c>
      <c r="M54" s="80">
        <f>(PA_prices!M42+$D$2)*IF($M$2="Prices in $/MWh",1,1/1000)</f>
        <v>21.1</v>
      </c>
      <c r="N54" s="79">
        <f>(PA_prices!N42+$D$2)*IF($M$2="Prices in $/MWh",1,1/1000)</f>
        <v>22.2</v>
      </c>
      <c r="O54" s="61"/>
    </row>
    <row r="55" spans="2:15" x14ac:dyDescent="0.25">
      <c r="B55" s="99" t="s">
        <v>637</v>
      </c>
      <c r="C55" s="82" t="str">
        <f>PA_prices!C43</f>
        <v>March-2016</v>
      </c>
      <c r="D55" s="83" t="str">
        <f>PA_prices!D43</f>
        <v>PA</v>
      </c>
      <c r="E55" s="84" t="str">
        <f>PA_prices!E43</f>
        <v>MetED</v>
      </c>
      <c r="F55" s="83" t="str">
        <f>PA_prices!F43</f>
        <v>GSCL</v>
      </c>
      <c r="G55" s="84" t="str">
        <f>PA_prices!G43</f>
        <v>General Service Large</v>
      </c>
      <c r="H55" s="85" t="str">
        <f t="shared" ref="H55" si="38">IF($M$2="Prices in $/MWh","500-2500 MWh","500,000-2,500,000 kWh")</f>
        <v>500-2500 MWh</v>
      </c>
      <c r="I55" s="84">
        <f>(PA_prices!I43+$D$2)*IF($M$2="Prices in $/MWh",1,1/1000)</f>
        <v>64.180000000000007</v>
      </c>
      <c r="J55" s="83">
        <f>(PA_prices!J43+$D$2)*IF($M$2="Prices in $/MWh",1,1/1000)</f>
        <v>63.32</v>
      </c>
      <c r="K55" s="84">
        <f>(PA_prices!K43+$D$2)*IF($M$2="Prices in $/MWh",1,1/1000)</f>
        <v>63.8</v>
      </c>
      <c r="L55" s="83">
        <f>(PA_prices!L43+$D$2)*IF($M$2="Prices in $/MWh",1,1/1000)</f>
        <v>20.84</v>
      </c>
      <c r="M55" s="84">
        <f>(PA_prices!M43+$D$2)*IF($M$2="Prices in $/MWh",1,1/1000)</f>
        <v>20.05</v>
      </c>
      <c r="N55" s="83">
        <f>(PA_prices!N43+$D$2)*IF($M$2="Prices in $/MWh",1,1/1000)</f>
        <v>21.15</v>
      </c>
      <c r="O55" s="61"/>
    </row>
    <row r="56" spans="2:15" x14ac:dyDescent="0.25">
      <c r="B56" s="99" t="s">
        <v>637</v>
      </c>
      <c r="C56" s="74" t="str">
        <f>PA_prices!C44</f>
        <v>April-2016</v>
      </c>
      <c r="D56" s="75" t="str">
        <f>PA_prices!D44</f>
        <v>PA</v>
      </c>
      <c r="E56" s="76" t="str">
        <f>PA_prices!E44</f>
        <v>MetED</v>
      </c>
      <c r="F56" s="75" t="str">
        <f>PA_prices!F44</f>
        <v>GSCL</v>
      </c>
      <c r="G56" s="76" t="str">
        <f>PA_prices!G44</f>
        <v>General Service Large</v>
      </c>
      <c r="H56" s="77" t="str">
        <f t="shared" ref="H56" si="39">IF($M$2="Prices in $/MWh","0-100 MWh","0-100,000 kWh")</f>
        <v>0-100 MWh</v>
      </c>
      <c r="I56" s="76">
        <f>(PA_prices!I44+$D$2)*IF($M$2="Prices in $/MWh",1,1/1000)</f>
        <v>67.22</v>
      </c>
      <c r="J56" s="75">
        <f>(PA_prices!J44+$D$2)*IF($M$2="Prices in $/MWh",1,1/1000)</f>
        <v>65.5</v>
      </c>
      <c r="K56" s="76">
        <f>(PA_prices!K44+$D$2)*IF($M$2="Prices in $/MWh",1,1/1000)</f>
        <v>66.66</v>
      </c>
      <c r="L56" s="75">
        <f>(PA_prices!L44+$D$2)*IF($M$2="Prices in $/MWh",1,1/1000)</f>
        <v>23.91</v>
      </c>
      <c r="M56" s="76">
        <f>(PA_prices!M44+$D$2)*IF($M$2="Prices in $/MWh",1,1/1000)</f>
        <v>22.46</v>
      </c>
      <c r="N56" s="75">
        <f>(PA_prices!N44+$D$2)*IF($M$2="Prices in $/MWh",1,1/1000)</f>
        <v>24.12</v>
      </c>
      <c r="O56" s="61"/>
    </row>
    <row r="57" spans="2:15" x14ac:dyDescent="0.25">
      <c r="B57" s="99" t="s">
        <v>637</v>
      </c>
      <c r="C57" s="78" t="str">
        <f>PA_prices!C45</f>
        <v>April-2016</v>
      </c>
      <c r="D57" s="79" t="str">
        <f>PA_prices!D45</f>
        <v>PA</v>
      </c>
      <c r="E57" s="80" t="str">
        <f>PA_prices!E45</f>
        <v>MetED</v>
      </c>
      <c r="F57" s="79" t="str">
        <f>PA_prices!F45</f>
        <v>GSCL</v>
      </c>
      <c r="G57" s="80" t="str">
        <f>PA_prices!G45</f>
        <v>General Service Large</v>
      </c>
      <c r="H57" s="81" t="str">
        <f t="shared" ref="H57" si="40">IF($M$2="Prices in $/MWh","100-500 MWh","100,000-500,000 kWh")</f>
        <v>100-500 MWh</v>
      </c>
      <c r="I57" s="80">
        <f>(PA_prices!I45+$D$2)*IF($M$2="Prices in $/MWh",1,1/1000)</f>
        <v>65.62</v>
      </c>
      <c r="J57" s="79">
        <f>(PA_prices!J45+$D$2)*IF($M$2="Prices in $/MWh",1,1/1000)</f>
        <v>63.9</v>
      </c>
      <c r="K57" s="80">
        <f>(PA_prices!K45+$D$2)*IF($M$2="Prices in $/MWh",1,1/1000)</f>
        <v>65.06</v>
      </c>
      <c r="L57" s="79">
        <f>(PA_prices!L45+$D$2)*IF($M$2="Prices in $/MWh",1,1/1000)</f>
        <v>22.31</v>
      </c>
      <c r="M57" s="80">
        <f>(PA_prices!M45+$D$2)*IF($M$2="Prices in $/MWh",1,1/1000)</f>
        <v>20.86</v>
      </c>
      <c r="N57" s="79">
        <f>(PA_prices!N45+$D$2)*IF($M$2="Prices in $/MWh",1,1/1000)</f>
        <v>22.52</v>
      </c>
      <c r="O57" s="61"/>
    </row>
    <row r="58" spans="2:15" x14ac:dyDescent="0.25">
      <c r="B58" s="99" t="s">
        <v>637</v>
      </c>
      <c r="C58" s="82" t="str">
        <f>PA_prices!C46</f>
        <v>April-2016</v>
      </c>
      <c r="D58" s="83" t="str">
        <f>PA_prices!D46</f>
        <v>PA</v>
      </c>
      <c r="E58" s="84" t="str">
        <f>PA_prices!E46</f>
        <v>MetED</v>
      </c>
      <c r="F58" s="83" t="str">
        <f>PA_prices!F46</f>
        <v>GSCL</v>
      </c>
      <c r="G58" s="84" t="str">
        <f>PA_prices!G46</f>
        <v>General Service Large</v>
      </c>
      <c r="H58" s="85" t="str">
        <f t="shared" ref="H58" si="41">IF($M$2="Prices in $/MWh","500-2500 MWh","500,000-2,500,000 kWh")</f>
        <v>500-2500 MWh</v>
      </c>
      <c r="I58" s="84">
        <f>(PA_prices!I46+$D$2)*IF($M$2="Prices in $/MWh",1,1/1000)</f>
        <v>64.569999999999993</v>
      </c>
      <c r="J58" s="83">
        <f>(PA_prices!J46+$D$2)*IF($M$2="Prices in $/MWh",1,1/1000)</f>
        <v>62.85</v>
      </c>
      <c r="K58" s="84">
        <f>(PA_prices!K46+$D$2)*IF($M$2="Prices in $/MWh",1,1/1000)</f>
        <v>64.010000000000005</v>
      </c>
      <c r="L58" s="83">
        <f>(PA_prices!L46+$D$2)*IF($M$2="Prices in $/MWh",1,1/1000)</f>
        <v>21.26</v>
      </c>
      <c r="M58" s="84">
        <f>(PA_prices!M46+$D$2)*IF($M$2="Prices in $/MWh",1,1/1000)</f>
        <v>19.809999999999999</v>
      </c>
      <c r="N58" s="83">
        <f>(PA_prices!N46+$D$2)*IF($M$2="Prices in $/MWh",1,1/1000)</f>
        <v>21.47</v>
      </c>
      <c r="O58" s="61"/>
    </row>
    <row r="59" spans="2:15" x14ac:dyDescent="0.25">
      <c r="B59" s="99" t="s">
        <v>637</v>
      </c>
      <c r="C59" s="74" t="str">
        <f>PA_prices!C47</f>
        <v>May-2016</v>
      </c>
      <c r="D59" s="75" t="str">
        <f>PA_prices!D47</f>
        <v>PA</v>
      </c>
      <c r="E59" s="76" t="str">
        <f>PA_prices!E47</f>
        <v>MetED</v>
      </c>
      <c r="F59" s="75" t="str">
        <f>PA_prices!F47</f>
        <v>GSCL</v>
      </c>
      <c r="G59" s="76" t="str">
        <f>PA_prices!G47</f>
        <v>General Service Large</v>
      </c>
      <c r="H59" s="77" t="str">
        <f t="shared" ref="H59" si="42">IF($M$2="Prices in $/MWh","0-100 MWh","0-100,000 kWh")</f>
        <v>0-100 MWh</v>
      </c>
      <c r="I59" s="76">
        <f>(PA_prices!I47+$D$2)*IF($M$2="Prices in $/MWh",1,1/1000)</f>
        <v>67.36</v>
      </c>
      <c r="J59" s="75">
        <f>(PA_prices!J47+$D$2)*IF($M$2="Prices in $/MWh",1,1/1000)</f>
        <v>65.28</v>
      </c>
      <c r="K59" s="76">
        <f>(PA_prices!K47+$D$2)*IF($M$2="Prices in $/MWh",1,1/1000)</f>
        <v>66.680000000000007</v>
      </c>
      <c r="L59" s="75">
        <f>(PA_prices!L47+$D$2)*IF($M$2="Prices in $/MWh",1,1/1000)</f>
        <v>24.01</v>
      </c>
      <c r="M59" s="76">
        <f>(PA_prices!M47+$D$2)*IF($M$2="Prices in $/MWh",1,1/1000)</f>
        <v>22.49</v>
      </c>
      <c r="N59" s="75">
        <f>(PA_prices!N47+$D$2)*IF($M$2="Prices in $/MWh",1,1/1000)</f>
        <v>24.18</v>
      </c>
      <c r="O59" s="61"/>
    </row>
    <row r="60" spans="2:15" x14ac:dyDescent="0.25">
      <c r="B60" s="99" t="s">
        <v>637</v>
      </c>
      <c r="C60" s="78" t="str">
        <f>PA_prices!C48</f>
        <v>May-2016</v>
      </c>
      <c r="D60" s="79" t="str">
        <f>PA_prices!D48</f>
        <v>PA</v>
      </c>
      <c r="E60" s="80" t="str">
        <f>PA_prices!E48</f>
        <v>MetED</v>
      </c>
      <c r="F60" s="79" t="str">
        <f>PA_prices!F48</f>
        <v>GSCL</v>
      </c>
      <c r="G60" s="80" t="str">
        <f>PA_prices!G48</f>
        <v>General Service Large</v>
      </c>
      <c r="H60" s="81" t="str">
        <f t="shared" ref="H60" si="43">IF($M$2="Prices in $/MWh","100-500 MWh","100,000-500,000 kWh")</f>
        <v>100-500 MWh</v>
      </c>
      <c r="I60" s="80">
        <f>(PA_prices!I48+$D$2)*IF($M$2="Prices in $/MWh",1,1/1000)</f>
        <v>65.760000000000005</v>
      </c>
      <c r="J60" s="79">
        <f>(PA_prices!J48+$D$2)*IF($M$2="Prices in $/MWh",1,1/1000)</f>
        <v>63.68</v>
      </c>
      <c r="K60" s="80">
        <f>(PA_prices!K48+$D$2)*IF($M$2="Prices in $/MWh",1,1/1000)</f>
        <v>65.08</v>
      </c>
      <c r="L60" s="79">
        <f>(PA_prices!L48+$D$2)*IF($M$2="Prices in $/MWh",1,1/1000)</f>
        <v>22.41</v>
      </c>
      <c r="M60" s="80">
        <f>(PA_prices!M48+$D$2)*IF($M$2="Prices in $/MWh",1,1/1000)</f>
        <v>20.89</v>
      </c>
      <c r="N60" s="79">
        <f>(PA_prices!N48+$D$2)*IF($M$2="Prices in $/MWh",1,1/1000)</f>
        <v>22.58</v>
      </c>
      <c r="O60" s="61"/>
    </row>
    <row r="61" spans="2:15" x14ac:dyDescent="0.25">
      <c r="B61" s="99" t="s">
        <v>637</v>
      </c>
      <c r="C61" s="82" t="str">
        <f>PA_prices!C49</f>
        <v>May-2016</v>
      </c>
      <c r="D61" s="83" t="str">
        <f>PA_prices!D49</f>
        <v>PA</v>
      </c>
      <c r="E61" s="84" t="str">
        <f>PA_prices!E49</f>
        <v>MetED</v>
      </c>
      <c r="F61" s="83" t="str">
        <f>PA_prices!F49</f>
        <v>GSCL</v>
      </c>
      <c r="G61" s="84" t="str">
        <f>PA_prices!G49</f>
        <v>General Service Large</v>
      </c>
      <c r="H61" s="85" t="str">
        <f t="shared" ref="H61" si="44">IF($M$2="Prices in $/MWh","500-2500 MWh","500,000-2,500,000 kWh")</f>
        <v>500-2500 MWh</v>
      </c>
      <c r="I61" s="84">
        <f>(PA_prices!I49+$D$2)*IF($M$2="Prices in $/MWh",1,1/1000)</f>
        <v>64.709999999999994</v>
      </c>
      <c r="J61" s="83">
        <f>(PA_prices!J49+$D$2)*IF($M$2="Prices in $/MWh",1,1/1000)</f>
        <v>62.63</v>
      </c>
      <c r="K61" s="84">
        <f>(PA_prices!K49+$D$2)*IF($M$2="Prices in $/MWh",1,1/1000)</f>
        <v>64.03</v>
      </c>
      <c r="L61" s="83">
        <f>(PA_prices!L49+$D$2)*IF($M$2="Prices in $/MWh",1,1/1000)</f>
        <v>21.36</v>
      </c>
      <c r="M61" s="84">
        <f>(PA_prices!M49+$D$2)*IF($M$2="Prices in $/MWh",1,1/1000)</f>
        <v>19.84</v>
      </c>
      <c r="N61" s="83">
        <f>(PA_prices!N49+$D$2)*IF($M$2="Prices in $/MWh",1,1/1000)</f>
        <v>21.53</v>
      </c>
      <c r="O61" s="61"/>
    </row>
    <row r="62" spans="2:15" x14ac:dyDescent="0.25">
      <c r="B62" s="99" t="s">
        <v>637</v>
      </c>
      <c r="C62" s="74" t="str">
        <f>PA_prices!C50</f>
        <v>June-2016</v>
      </c>
      <c r="D62" s="75" t="str">
        <f>PA_prices!D50</f>
        <v>PA</v>
      </c>
      <c r="E62" s="76" t="str">
        <f>PA_prices!E50</f>
        <v>MetED</v>
      </c>
      <c r="F62" s="75" t="str">
        <f>PA_prices!F50</f>
        <v>GSCL</v>
      </c>
      <c r="G62" s="76" t="str">
        <f>PA_prices!G50</f>
        <v>General Service Large</v>
      </c>
      <c r="H62" s="77" t="str">
        <f t="shared" ref="H62" si="45">IF($M$2="Prices in $/MWh","0-100 MWh","0-100,000 kWh")</f>
        <v>0-100 MWh</v>
      </c>
      <c r="I62" s="76">
        <f>(PA_prices!I50+$D$2)*IF($M$2="Prices in $/MWh",1,1/1000)</f>
        <v>67.349999999999994</v>
      </c>
      <c r="J62" s="75">
        <f>(PA_prices!J50+$D$2)*IF($M$2="Prices in $/MWh",1,1/1000)</f>
        <v>65.14</v>
      </c>
      <c r="K62" s="76">
        <f>(PA_prices!K50+$D$2)*IF($M$2="Prices in $/MWh",1,1/1000)</f>
        <v>66.67</v>
      </c>
      <c r="L62" s="75">
        <f>(PA_prices!L50+$D$2)*IF($M$2="Prices in $/MWh",1,1/1000)</f>
        <v>23.98</v>
      </c>
      <c r="M62" s="76">
        <f>(PA_prices!M50+$D$2)*IF($M$2="Prices in $/MWh",1,1/1000)</f>
        <v>22.55</v>
      </c>
      <c r="N62" s="75">
        <f>(PA_prices!N50+$D$2)*IF($M$2="Prices in $/MWh",1,1/1000)</f>
        <v>24.18</v>
      </c>
      <c r="O62" s="61"/>
    </row>
    <row r="63" spans="2:15" x14ac:dyDescent="0.25">
      <c r="B63" s="99" t="s">
        <v>637</v>
      </c>
      <c r="C63" s="78" t="str">
        <f>PA_prices!C51</f>
        <v>June-2016</v>
      </c>
      <c r="D63" s="79" t="str">
        <f>PA_prices!D51</f>
        <v>PA</v>
      </c>
      <c r="E63" s="80" t="str">
        <f>PA_prices!E51</f>
        <v>MetED</v>
      </c>
      <c r="F63" s="79" t="str">
        <f>PA_prices!F51</f>
        <v>GSCL</v>
      </c>
      <c r="G63" s="80" t="str">
        <f>PA_prices!G51</f>
        <v>General Service Large</v>
      </c>
      <c r="H63" s="81" t="str">
        <f t="shared" ref="H63" si="46">IF($M$2="Prices in $/MWh","100-500 MWh","100,000-500,000 kWh")</f>
        <v>100-500 MWh</v>
      </c>
      <c r="I63" s="80">
        <f>(PA_prices!I51+$D$2)*IF($M$2="Prices in $/MWh",1,1/1000)</f>
        <v>65.75</v>
      </c>
      <c r="J63" s="79">
        <f>(PA_prices!J51+$D$2)*IF($M$2="Prices in $/MWh",1,1/1000)</f>
        <v>63.54</v>
      </c>
      <c r="K63" s="80">
        <f>(PA_prices!K51+$D$2)*IF($M$2="Prices in $/MWh",1,1/1000)</f>
        <v>65.069999999999993</v>
      </c>
      <c r="L63" s="79">
        <f>(PA_prices!L51+$D$2)*IF($M$2="Prices in $/MWh",1,1/1000)</f>
        <v>22.38</v>
      </c>
      <c r="M63" s="80">
        <f>(PA_prices!M51+$D$2)*IF($M$2="Prices in $/MWh",1,1/1000)</f>
        <v>20.95</v>
      </c>
      <c r="N63" s="79">
        <f>(PA_prices!N51+$D$2)*IF($M$2="Prices in $/MWh",1,1/1000)</f>
        <v>22.58</v>
      </c>
      <c r="O63" s="61"/>
    </row>
    <row r="64" spans="2:15" x14ac:dyDescent="0.25">
      <c r="B64" s="99" t="s">
        <v>637</v>
      </c>
      <c r="C64" s="82" t="str">
        <f>PA_prices!C52</f>
        <v>June-2016</v>
      </c>
      <c r="D64" s="83" t="str">
        <f>PA_prices!D52</f>
        <v>PA</v>
      </c>
      <c r="E64" s="84" t="str">
        <f>PA_prices!E52</f>
        <v>MetED</v>
      </c>
      <c r="F64" s="83" t="str">
        <f>PA_prices!F52</f>
        <v>GSCL</v>
      </c>
      <c r="G64" s="84" t="str">
        <f>PA_prices!G52</f>
        <v>General Service Large</v>
      </c>
      <c r="H64" s="85" t="str">
        <f t="shared" ref="H64" si="47">IF($M$2="Prices in $/MWh","500-2500 MWh","500,000-2,500,000 kWh")</f>
        <v>500-2500 MWh</v>
      </c>
      <c r="I64" s="84">
        <f>(PA_prices!I52+$D$2)*IF($M$2="Prices in $/MWh",1,1/1000)</f>
        <v>64.7</v>
      </c>
      <c r="J64" s="83">
        <f>(PA_prices!J52+$D$2)*IF($M$2="Prices in $/MWh",1,1/1000)</f>
        <v>62.49</v>
      </c>
      <c r="K64" s="84">
        <f>(PA_prices!K52+$D$2)*IF($M$2="Prices in $/MWh",1,1/1000)</f>
        <v>64.02</v>
      </c>
      <c r="L64" s="83">
        <f>(PA_prices!L52+$D$2)*IF($M$2="Prices in $/MWh",1,1/1000)</f>
        <v>21.33</v>
      </c>
      <c r="M64" s="84">
        <f>(PA_prices!M52+$D$2)*IF($M$2="Prices in $/MWh",1,1/1000)</f>
        <v>19.899999999999999</v>
      </c>
      <c r="N64" s="83">
        <f>(PA_prices!N52+$D$2)*IF($M$2="Prices in $/MWh",1,1/1000)</f>
        <v>21.53</v>
      </c>
      <c r="O64" s="61"/>
    </row>
    <row r="65" spans="2:15" x14ac:dyDescent="0.25">
      <c r="B65" s="99" t="s">
        <v>637</v>
      </c>
      <c r="C65" s="74" t="str">
        <f>PA_prices!C53</f>
        <v>July-2016</v>
      </c>
      <c r="D65" s="75" t="str">
        <f>PA_prices!D53</f>
        <v>PA</v>
      </c>
      <c r="E65" s="76" t="str">
        <f>PA_prices!E53</f>
        <v>MetED</v>
      </c>
      <c r="F65" s="75" t="str">
        <f>PA_prices!F53</f>
        <v>GSCL</v>
      </c>
      <c r="G65" s="76" t="str">
        <f>PA_prices!G53</f>
        <v>General Service Large</v>
      </c>
      <c r="H65" s="77" t="str">
        <f t="shared" ref="H65" si="48">IF($M$2="Prices in $/MWh","0-100 MWh","0-100,000 kWh")</f>
        <v>0-100 MWh</v>
      </c>
      <c r="I65" s="76">
        <f>(PA_prices!I53+$D$2)*IF($M$2="Prices in $/MWh",1,1/1000)</f>
        <v>67.31</v>
      </c>
      <c r="J65" s="75">
        <f>(PA_prices!J53+$D$2)*IF($M$2="Prices in $/MWh",1,1/1000)</f>
        <v>65.42</v>
      </c>
      <c r="K65" s="76">
        <f>(PA_prices!K53+$D$2)*IF($M$2="Prices in $/MWh",1,1/1000)</f>
        <v>66.739999999999995</v>
      </c>
      <c r="L65" s="75">
        <f>(PA_prices!L53+$D$2)*IF($M$2="Prices in $/MWh",1,1/1000)</f>
        <v>23.97</v>
      </c>
      <c r="M65" s="76">
        <f>(PA_prices!M53+$D$2)*IF($M$2="Prices in $/MWh",1,1/1000)</f>
        <v>23.2</v>
      </c>
      <c r="N65" s="75">
        <f>(PA_prices!N53+$D$2)*IF($M$2="Prices in $/MWh",1,1/1000)</f>
        <v>24.41</v>
      </c>
      <c r="O65" s="61"/>
    </row>
    <row r="66" spans="2:15" x14ac:dyDescent="0.25">
      <c r="B66" s="99" t="s">
        <v>637</v>
      </c>
      <c r="C66" s="78" t="str">
        <f>PA_prices!C54</f>
        <v>July-2016</v>
      </c>
      <c r="D66" s="79" t="str">
        <f>PA_prices!D54</f>
        <v>PA</v>
      </c>
      <c r="E66" s="80" t="str">
        <f>PA_prices!E54</f>
        <v>MetED</v>
      </c>
      <c r="F66" s="79" t="str">
        <f>PA_prices!F54</f>
        <v>GSCL</v>
      </c>
      <c r="G66" s="80" t="str">
        <f>PA_prices!G54</f>
        <v>General Service Large</v>
      </c>
      <c r="H66" s="81" t="str">
        <f t="shared" ref="H66" si="49">IF($M$2="Prices in $/MWh","100-500 MWh","100,000-500,000 kWh")</f>
        <v>100-500 MWh</v>
      </c>
      <c r="I66" s="80">
        <f>(PA_prices!I54+$D$2)*IF($M$2="Prices in $/MWh",1,1/1000)</f>
        <v>65.709999999999994</v>
      </c>
      <c r="J66" s="79">
        <f>(PA_prices!J54+$D$2)*IF($M$2="Prices in $/MWh",1,1/1000)</f>
        <v>63.82</v>
      </c>
      <c r="K66" s="80">
        <f>(PA_prices!K54+$D$2)*IF($M$2="Prices in $/MWh",1,1/1000)</f>
        <v>65.14</v>
      </c>
      <c r="L66" s="79">
        <f>(PA_prices!L54+$D$2)*IF($M$2="Prices in $/MWh",1,1/1000)</f>
        <v>22.37</v>
      </c>
      <c r="M66" s="80">
        <f>(PA_prices!M54+$D$2)*IF($M$2="Prices in $/MWh",1,1/1000)</f>
        <v>21.6</v>
      </c>
      <c r="N66" s="79">
        <f>(PA_prices!N54+$D$2)*IF($M$2="Prices in $/MWh",1,1/1000)</f>
        <v>22.81</v>
      </c>
      <c r="O66" s="61"/>
    </row>
    <row r="67" spans="2:15" x14ac:dyDescent="0.25">
      <c r="B67" s="99" t="s">
        <v>637</v>
      </c>
      <c r="C67" s="82" t="str">
        <f>PA_prices!C55</f>
        <v>July-2016</v>
      </c>
      <c r="D67" s="83" t="str">
        <f>PA_prices!D55</f>
        <v>PA</v>
      </c>
      <c r="E67" s="84" t="str">
        <f>PA_prices!E55</f>
        <v>MetED</v>
      </c>
      <c r="F67" s="83" t="str">
        <f>PA_prices!F55</f>
        <v>GSCL</v>
      </c>
      <c r="G67" s="84" t="str">
        <f>PA_prices!G55</f>
        <v>General Service Large</v>
      </c>
      <c r="H67" s="85" t="str">
        <f t="shared" ref="H67" si="50">IF($M$2="Prices in $/MWh","500-2500 MWh","500,000-2,500,000 kWh")</f>
        <v>500-2500 MWh</v>
      </c>
      <c r="I67" s="84">
        <f>(PA_prices!I55+$D$2)*IF($M$2="Prices in $/MWh",1,1/1000)</f>
        <v>64.66</v>
      </c>
      <c r="J67" s="83">
        <f>(PA_prices!J55+$D$2)*IF($M$2="Prices in $/MWh",1,1/1000)</f>
        <v>62.77</v>
      </c>
      <c r="K67" s="84">
        <f>(PA_prices!K55+$D$2)*IF($M$2="Prices in $/MWh",1,1/1000)</f>
        <v>64.09</v>
      </c>
      <c r="L67" s="83">
        <f>(PA_prices!L55+$D$2)*IF($M$2="Prices in $/MWh",1,1/1000)</f>
        <v>21.32</v>
      </c>
      <c r="M67" s="84">
        <f>(PA_prices!M55+$D$2)*IF($M$2="Prices in $/MWh",1,1/1000)</f>
        <v>20.55</v>
      </c>
      <c r="N67" s="83">
        <f>(PA_prices!N55+$D$2)*IF($M$2="Prices in $/MWh",1,1/1000)</f>
        <v>21.76</v>
      </c>
      <c r="O67" s="61"/>
    </row>
    <row r="68" spans="2:15" x14ac:dyDescent="0.25">
      <c r="B68" s="99" t="s">
        <v>637</v>
      </c>
      <c r="C68" s="74" t="str">
        <f>PA_prices!C56</f>
        <v>August-2016</v>
      </c>
      <c r="D68" s="75" t="str">
        <f>PA_prices!D56</f>
        <v>PA</v>
      </c>
      <c r="E68" s="76" t="str">
        <f>PA_prices!E56</f>
        <v>MetED</v>
      </c>
      <c r="F68" s="75" t="str">
        <f>PA_prices!F56</f>
        <v>GSCL</v>
      </c>
      <c r="G68" s="76" t="str">
        <f>PA_prices!G56</f>
        <v>General Service Large</v>
      </c>
      <c r="H68" s="77" t="str">
        <f t="shared" ref="H68" si="51">IF($M$2="Prices in $/MWh","0-100 MWh","0-100,000 kWh")</f>
        <v>0-100 MWh</v>
      </c>
      <c r="I68" s="76">
        <f>(PA_prices!I56+$D$2)*IF($M$2="Prices in $/MWh",1,1/1000)</f>
        <v>67.209999999999994</v>
      </c>
      <c r="J68" s="75">
        <f>(PA_prices!J56+$D$2)*IF($M$2="Prices in $/MWh",1,1/1000)</f>
        <v>66.37</v>
      </c>
      <c r="K68" s="76">
        <f>(PA_prices!K56+$D$2)*IF($M$2="Prices in $/MWh",1,1/1000)</f>
        <v>66.959999999999994</v>
      </c>
      <c r="L68" s="75">
        <f>(PA_prices!L56+$D$2)*IF($M$2="Prices in $/MWh",1,1/1000)</f>
        <v>24.01</v>
      </c>
      <c r="M68" s="76">
        <f>(PA_prices!M56+$D$2)*IF($M$2="Prices in $/MWh",1,1/1000)</f>
        <v>24.11</v>
      </c>
      <c r="N68" s="75">
        <f>(PA_prices!N56+$D$2)*IF($M$2="Prices in $/MWh",1,1/1000)</f>
        <v>24.82</v>
      </c>
      <c r="O68" s="61"/>
    </row>
    <row r="69" spans="2:15" x14ac:dyDescent="0.25">
      <c r="B69" s="99" t="s">
        <v>637</v>
      </c>
      <c r="C69" s="78" t="str">
        <f>PA_prices!C57</f>
        <v>August-2016</v>
      </c>
      <c r="D69" s="79" t="str">
        <f>PA_prices!D57</f>
        <v>PA</v>
      </c>
      <c r="E69" s="80" t="str">
        <f>PA_prices!E57</f>
        <v>MetED</v>
      </c>
      <c r="F69" s="79" t="str">
        <f>PA_prices!F57</f>
        <v>GSCL</v>
      </c>
      <c r="G69" s="80" t="str">
        <f>PA_prices!G57</f>
        <v>General Service Large</v>
      </c>
      <c r="H69" s="81" t="str">
        <f t="shared" ref="H69" si="52">IF($M$2="Prices in $/MWh","100-500 MWh","100,000-500,000 kWh")</f>
        <v>100-500 MWh</v>
      </c>
      <c r="I69" s="80">
        <f>(PA_prices!I57+$D$2)*IF($M$2="Prices in $/MWh",1,1/1000)</f>
        <v>65.61</v>
      </c>
      <c r="J69" s="79">
        <f>(PA_prices!J57+$D$2)*IF($M$2="Prices in $/MWh",1,1/1000)</f>
        <v>64.77</v>
      </c>
      <c r="K69" s="80">
        <f>(PA_prices!K57+$D$2)*IF($M$2="Prices in $/MWh",1,1/1000)</f>
        <v>65.36</v>
      </c>
      <c r="L69" s="79">
        <f>(PA_prices!L57+$D$2)*IF($M$2="Prices in $/MWh",1,1/1000)</f>
        <v>22.41</v>
      </c>
      <c r="M69" s="80">
        <f>(PA_prices!M57+$D$2)*IF($M$2="Prices in $/MWh",1,1/1000)</f>
        <v>22.51</v>
      </c>
      <c r="N69" s="79">
        <f>(PA_prices!N57+$D$2)*IF($M$2="Prices in $/MWh",1,1/1000)</f>
        <v>23.22</v>
      </c>
      <c r="O69" s="61"/>
    </row>
    <row r="70" spans="2:15" x14ac:dyDescent="0.25">
      <c r="B70" s="99" t="s">
        <v>637</v>
      </c>
      <c r="C70" s="82" t="str">
        <f>PA_prices!C58</f>
        <v>August-2016</v>
      </c>
      <c r="D70" s="83" t="str">
        <f>PA_prices!D58</f>
        <v>PA</v>
      </c>
      <c r="E70" s="84" t="str">
        <f>PA_prices!E58</f>
        <v>MetED</v>
      </c>
      <c r="F70" s="83" t="str">
        <f>PA_prices!F58</f>
        <v>GSCL</v>
      </c>
      <c r="G70" s="84" t="str">
        <f>PA_prices!G58</f>
        <v>General Service Large</v>
      </c>
      <c r="H70" s="85" t="str">
        <f t="shared" ref="H70" si="53">IF($M$2="Prices in $/MWh","500-2500 MWh","500,000-2,500,000 kWh")</f>
        <v>500-2500 MWh</v>
      </c>
      <c r="I70" s="84">
        <f>(PA_prices!I58+$D$2)*IF($M$2="Prices in $/MWh",1,1/1000)</f>
        <v>64.56</v>
      </c>
      <c r="J70" s="83">
        <f>(PA_prices!J58+$D$2)*IF($M$2="Prices in $/MWh",1,1/1000)</f>
        <v>63.72</v>
      </c>
      <c r="K70" s="84">
        <f>(PA_prices!K58+$D$2)*IF($M$2="Prices in $/MWh",1,1/1000)</f>
        <v>64.31</v>
      </c>
      <c r="L70" s="83">
        <f>(PA_prices!L58+$D$2)*IF($M$2="Prices in $/MWh",1,1/1000)</f>
        <v>21.36</v>
      </c>
      <c r="M70" s="84">
        <f>(PA_prices!M58+$D$2)*IF($M$2="Prices in $/MWh",1,1/1000)</f>
        <v>21.46</v>
      </c>
      <c r="N70" s="83">
        <f>(PA_prices!N58+$D$2)*IF($M$2="Prices in $/MWh",1,1/1000)</f>
        <v>22.17</v>
      </c>
      <c r="O70" s="61"/>
    </row>
    <row r="71" spans="2:15" x14ac:dyDescent="0.25">
      <c r="B71" s="99" t="s">
        <v>637</v>
      </c>
      <c r="C71" s="74" t="str">
        <f>PA_prices!C59</f>
        <v>September-2016</v>
      </c>
      <c r="D71" s="75" t="str">
        <f>PA_prices!D59</f>
        <v>PA</v>
      </c>
      <c r="E71" s="76" t="str">
        <f>PA_prices!E59</f>
        <v>MetED</v>
      </c>
      <c r="F71" s="75" t="str">
        <f>PA_prices!F59</f>
        <v>GSCL</v>
      </c>
      <c r="G71" s="76" t="str">
        <f>PA_prices!G59</f>
        <v>General Service Large</v>
      </c>
      <c r="H71" s="77" t="str">
        <f t="shared" ref="H71" si="54">IF($M$2="Prices in $/MWh","0-100 MWh","0-100,000 kWh")</f>
        <v>0-100 MWh</v>
      </c>
      <c r="I71" s="76">
        <f>(PA_prices!I59+$D$2)*IF($M$2="Prices in $/MWh",1,1/1000)</f>
        <v>66.91</v>
      </c>
      <c r="J71" s="75">
        <f>(PA_prices!J59+$D$2)*IF($M$2="Prices in $/MWh",1,1/1000)</f>
        <v>67.239999999999995</v>
      </c>
      <c r="K71" s="76">
        <f>(PA_prices!K59+$D$2)*IF($M$2="Prices in $/MWh",1,1/1000)</f>
        <v>67.069999999999993</v>
      </c>
      <c r="L71" s="75">
        <f>(PA_prices!L59+$D$2)*IF($M$2="Prices in $/MWh",1,1/1000)</f>
        <v>23.72</v>
      </c>
      <c r="M71" s="76">
        <f>(PA_prices!M59+$D$2)*IF($M$2="Prices in $/MWh",1,1/1000)</f>
        <v>24.87</v>
      </c>
      <c r="N71" s="75">
        <f>(PA_prices!N59+$D$2)*IF($M$2="Prices in $/MWh",1,1/1000)</f>
        <v>25.15</v>
      </c>
      <c r="O71" s="61"/>
    </row>
    <row r="72" spans="2:15" x14ac:dyDescent="0.25">
      <c r="B72" s="99" t="s">
        <v>637</v>
      </c>
      <c r="C72" s="78" t="str">
        <f>PA_prices!C60</f>
        <v>September-2016</v>
      </c>
      <c r="D72" s="79" t="str">
        <f>PA_prices!D60</f>
        <v>PA</v>
      </c>
      <c r="E72" s="80" t="str">
        <f>PA_prices!E60</f>
        <v>MetED</v>
      </c>
      <c r="F72" s="79" t="str">
        <f>PA_prices!F60</f>
        <v>GSCL</v>
      </c>
      <c r="G72" s="80" t="str">
        <f>PA_prices!G60</f>
        <v>General Service Large</v>
      </c>
      <c r="H72" s="81" t="str">
        <f t="shared" ref="H72" si="55">IF($M$2="Prices in $/MWh","100-500 MWh","100,000-500,000 kWh")</f>
        <v>100-500 MWh</v>
      </c>
      <c r="I72" s="80">
        <f>(PA_prices!I60+$D$2)*IF($M$2="Prices in $/MWh",1,1/1000)</f>
        <v>65.31</v>
      </c>
      <c r="J72" s="79">
        <f>(PA_prices!J60+$D$2)*IF($M$2="Prices in $/MWh",1,1/1000)</f>
        <v>65.64</v>
      </c>
      <c r="K72" s="80">
        <f>(PA_prices!K60+$D$2)*IF($M$2="Prices in $/MWh",1,1/1000)</f>
        <v>65.47</v>
      </c>
      <c r="L72" s="79">
        <f>(PA_prices!L60+$D$2)*IF($M$2="Prices in $/MWh",1,1/1000)</f>
        <v>22.12</v>
      </c>
      <c r="M72" s="80">
        <f>(PA_prices!M60+$D$2)*IF($M$2="Prices in $/MWh",1,1/1000)</f>
        <v>23.27</v>
      </c>
      <c r="N72" s="79">
        <f>(PA_prices!N60+$D$2)*IF($M$2="Prices in $/MWh",1,1/1000)</f>
        <v>23.55</v>
      </c>
      <c r="O72" s="61"/>
    </row>
    <row r="73" spans="2:15" x14ac:dyDescent="0.25">
      <c r="B73" s="99" t="s">
        <v>637</v>
      </c>
      <c r="C73" s="82" t="str">
        <f>PA_prices!C61</f>
        <v>September-2016</v>
      </c>
      <c r="D73" s="83" t="str">
        <f>PA_prices!D61</f>
        <v>PA</v>
      </c>
      <c r="E73" s="84" t="str">
        <f>PA_prices!E61</f>
        <v>MetED</v>
      </c>
      <c r="F73" s="83" t="str">
        <f>PA_prices!F61</f>
        <v>GSCL</v>
      </c>
      <c r="G73" s="84" t="str">
        <f>PA_prices!G61</f>
        <v>General Service Large</v>
      </c>
      <c r="H73" s="85" t="str">
        <f t="shared" ref="H73" si="56">IF($M$2="Prices in $/MWh","500-2500 MWh","500,000-2,500,000 kWh")</f>
        <v>500-2500 MWh</v>
      </c>
      <c r="I73" s="84">
        <f>(PA_prices!I61+$D$2)*IF($M$2="Prices in $/MWh",1,1/1000)</f>
        <v>64.260000000000005</v>
      </c>
      <c r="J73" s="83">
        <f>(PA_prices!J61+$D$2)*IF($M$2="Prices in $/MWh",1,1/1000)</f>
        <v>64.59</v>
      </c>
      <c r="K73" s="84">
        <f>(PA_prices!K61+$D$2)*IF($M$2="Prices in $/MWh",1,1/1000)</f>
        <v>64.42</v>
      </c>
      <c r="L73" s="83">
        <f>(PA_prices!L61+$D$2)*IF($M$2="Prices in $/MWh",1,1/1000)</f>
        <v>21.07</v>
      </c>
      <c r="M73" s="84">
        <f>(PA_prices!M61+$D$2)*IF($M$2="Prices in $/MWh",1,1/1000)</f>
        <v>22.22</v>
      </c>
      <c r="N73" s="83">
        <f>(PA_prices!N61+$D$2)*IF($M$2="Prices in $/MWh",1,1/1000)</f>
        <v>22.5</v>
      </c>
      <c r="O73" s="61"/>
    </row>
    <row r="74" spans="2:15" x14ac:dyDescent="0.25">
      <c r="B74" s="99" t="s">
        <v>637</v>
      </c>
      <c r="C74" s="74" t="str">
        <f>PA_prices!C62</f>
        <v>October-2016</v>
      </c>
      <c r="D74" s="75" t="str">
        <f>PA_prices!D62</f>
        <v>PA</v>
      </c>
      <c r="E74" s="76" t="str">
        <f>PA_prices!E62</f>
        <v>MetED</v>
      </c>
      <c r="F74" s="75" t="str">
        <f>PA_prices!F62</f>
        <v>GSCL</v>
      </c>
      <c r="G74" s="76" t="str">
        <f>PA_prices!G62</f>
        <v>General Service Large</v>
      </c>
      <c r="H74" s="77" t="str">
        <f t="shared" ref="H74" si="57">IF($M$2="Prices in $/MWh","0-100 MWh","0-100,000 kWh")</f>
        <v>0-100 MWh</v>
      </c>
      <c r="I74" s="76">
        <f>(PA_prices!I62+$D$2)*IF($M$2="Prices in $/MWh",1,1/1000)</f>
        <v>66.94</v>
      </c>
      <c r="J74" s="75">
        <f>(PA_prices!J62+$D$2)*IF($M$2="Prices in $/MWh",1,1/1000)</f>
        <v>68.040000000000006</v>
      </c>
      <c r="K74" s="76">
        <f>(PA_prices!K62+$D$2)*IF($M$2="Prices in $/MWh",1,1/1000)</f>
        <v>67.13</v>
      </c>
      <c r="L74" s="75">
        <f>(PA_prices!L62+$D$2)*IF($M$2="Prices in $/MWh",1,1/1000)</f>
        <v>23.96</v>
      </c>
      <c r="M74" s="76">
        <f>(PA_prices!M62+$D$2)*IF($M$2="Prices in $/MWh",1,1/1000)</f>
        <v>25.73</v>
      </c>
      <c r="N74" s="75">
        <f>(PA_prices!N62+$D$2)*IF($M$2="Prices in $/MWh",1,1/1000)</f>
        <v>25.41</v>
      </c>
      <c r="O74" s="61"/>
    </row>
    <row r="75" spans="2:15" x14ac:dyDescent="0.25">
      <c r="B75" s="99" t="s">
        <v>637</v>
      </c>
      <c r="C75" s="78" t="str">
        <f>PA_prices!C63</f>
        <v>October-2016</v>
      </c>
      <c r="D75" s="79" t="str">
        <f>PA_prices!D63</f>
        <v>PA</v>
      </c>
      <c r="E75" s="80" t="str">
        <f>PA_prices!E63</f>
        <v>MetED</v>
      </c>
      <c r="F75" s="79" t="str">
        <f>PA_prices!F63</f>
        <v>GSCL</v>
      </c>
      <c r="G75" s="80" t="str">
        <f>PA_prices!G63</f>
        <v>General Service Large</v>
      </c>
      <c r="H75" s="81" t="str">
        <f t="shared" ref="H75" si="58">IF($M$2="Prices in $/MWh","100-500 MWh","100,000-500,000 kWh")</f>
        <v>100-500 MWh</v>
      </c>
      <c r="I75" s="80">
        <f>(PA_prices!I63+$D$2)*IF($M$2="Prices in $/MWh",1,1/1000)</f>
        <v>65.34</v>
      </c>
      <c r="J75" s="79">
        <f>(PA_prices!J63+$D$2)*IF($M$2="Prices in $/MWh",1,1/1000)</f>
        <v>66.44</v>
      </c>
      <c r="K75" s="80">
        <f>(PA_prices!K63+$D$2)*IF($M$2="Prices in $/MWh",1,1/1000)</f>
        <v>65.53</v>
      </c>
      <c r="L75" s="79">
        <f>(PA_prices!L63+$D$2)*IF($M$2="Prices in $/MWh",1,1/1000)</f>
        <v>22.36</v>
      </c>
      <c r="M75" s="80">
        <f>(PA_prices!M63+$D$2)*IF($M$2="Prices in $/MWh",1,1/1000)</f>
        <v>24.13</v>
      </c>
      <c r="N75" s="79">
        <f>(PA_prices!N63+$D$2)*IF($M$2="Prices in $/MWh",1,1/1000)</f>
        <v>23.81</v>
      </c>
      <c r="O75" s="61"/>
    </row>
    <row r="76" spans="2:15" x14ac:dyDescent="0.25">
      <c r="B76" s="99" t="s">
        <v>637</v>
      </c>
      <c r="C76" s="82" t="str">
        <f>PA_prices!C64</f>
        <v>October-2016</v>
      </c>
      <c r="D76" s="83" t="str">
        <f>PA_prices!D64</f>
        <v>PA</v>
      </c>
      <c r="E76" s="84" t="str">
        <f>PA_prices!E64</f>
        <v>MetED</v>
      </c>
      <c r="F76" s="83" t="str">
        <f>PA_prices!F64</f>
        <v>GSCL</v>
      </c>
      <c r="G76" s="84" t="str">
        <f>PA_prices!G64</f>
        <v>General Service Large</v>
      </c>
      <c r="H76" s="85" t="str">
        <f t="shared" ref="H76" si="59">IF($M$2="Prices in $/MWh","500-2500 MWh","500,000-2,500,000 kWh")</f>
        <v>500-2500 MWh</v>
      </c>
      <c r="I76" s="84">
        <f>(PA_prices!I64+$D$2)*IF($M$2="Prices in $/MWh",1,1/1000)</f>
        <v>64.290000000000006</v>
      </c>
      <c r="J76" s="83">
        <f>(PA_prices!J64+$D$2)*IF($M$2="Prices in $/MWh",1,1/1000)</f>
        <v>65.39</v>
      </c>
      <c r="K76" s="84">
        <f>(PA_prices!K64+$D$2)*IF($M$2="Prices in $/MWh",1,1/1000)</f>
        <v>64.48</v>
      </c>
      <c r="L76" s="83">
        <f>(PA_prices!L64+$D$2)*IF($M$2="Prices in $/MWh",1,1/1000)</f>
        <v>21.31</v>
      </c>
      <c r="M76" s="84">
        <f>(PA_prices!M64+$D$2)*IF($M$2="Prices in $/MWh",1,1/1000)</f>
        <v>23.08</v>
      </c>
      <c r="N76" s="83">
        <f>(PA_prices!N64+$D$2)*IF($M$2="Prices in $/MWh",1,1/1000)</f>
        <v>22.76</v>
      </c>
      <c r="O76" s="61"/>
    </row>
    <row r="77" spans="2:15" x14ac:dyDescent="0.25">
      <c r="B77" s="99" t="s">
        <v>637</v>
      </c>
      <c r="C77" s="74" t="str">
        <f>PA_prices!C65</f>
        <v>November-2016</v>
      </c>
      <c r="D77" s="75" t="str">
        <f>PA_prices!D65</f>
        <v>PA</v>
      </c>
      <c r="E77" s="76" t="str">
        <f>PA_prices!E65</f>
        <v>MetED</v>
      </c>
      <c r="F77" s="75" t="str">
        <f>PA_prices!F65</f>
        <v>GSCL</v>
      </c>
      <c r="G77" s="76" t="str">
        <f>PA_prices!G65</f>
        <v>General Service Large</v>
      </c>
      <c r="H77" s="77" t="str">
        <f t="shared" ref="H77" si="60">IF($M$2="Prices in $/MWh","0-100 MWh","0-100,000 kWh")</f>
        <v>0-100 MWh</v>
      </c>
      <c r="I77" s="76">
        <f>(PA_prices!I65+$D$2)*IF($M$2="Prices in $/MWh",1,1/1000)</f>
        <v>66.91</v>
      </c>
      <c r="J77" s="75">
        <f>(PA_prices!J65+$D$2)*IF($M$2="Prices in $/MWh",1,1/1000)</f>
        <v>68.290000000000006</v>
      </c>
      <c r="K77" s="76">
        <f>(PA_prices!K65+$D$2)*IF($M$2="Prices in $/MWh",1,1/1000)</f>
        <v>67.17</v>
      </c>
      <c r="L77" s="75">
        <f>(PA_prices!L65+$D$2)*IF($M$2="Prices in $/MWh",1,1/1000)</f>
        <v>24.11</v>
      </c>
      <c r="M77" s="76">
        <f>(PA_prices!M65+$D$2)*IF($M$2="Prices in $/MWh",1,1/1000)</f>
        <v>25.9</v>
      </c>
      <c r="N77" s="75">
        <f>(PA_prices!N65+$D$2)*IF($M$2="Prices in $/MWh",1,1/1000)</f>
        <v>25.57</v>
      </c>
      <c r="O77" s="61"/>
    </row>
    <row r="78" spans="2:15" x14ac:dyDescent="0.25">
      <c r="B78" s="99" t="s">
        <v>637</v>
      </c>
      <c r="C78" s="78" t="str">
        <f>PA_prices!C66</f>
        <v>November-2016</v>
      </c>
      <c r="D78" s="79" t="str">
        <f>PA_prices!D66</f>
        <v>PA</v>
      </c>
      <c r="E78" s="80" t="str">
        <f>PA_prices!E66</f>
        <v>MetED</v>
      </c>
      <c r="F78" s="79" t="str">
        <f>PA_prices!F66</f>
        <v>GSCL</v>
      </c>
      <c r="G78" s="80" t="str">
        <f>PA_prices!G66</f>
        <v>General Service Large</v>
      </c>
      <c r="H78" s="81" t="str">
        <f t="shared" ref="H78" si="61">IF($M$2="Prices in $/MWh","100-500 MWh","100,000-500,000 kWh")</f>
        <v>100-500 MWh</v>
      </c>
      <c r="I78" s="80">
        <f>(PA_prices!I66+$D$2)*IF($M$2="Prices in $/MWh",1,1/1000)</f>
        <v>65.31</v>
      </c>
      <c r="J78" s="79">
        <f>(PA_prices!J66+$D$2)*IF($M$2="Prices in $/MWh",1,1/1000)</f>
        <v>66.69</v>
      </c>
      <c r="K78" s="80">
        <f>(PA_prices!K66+$D$2)*IF($M$2="Prices in $/MWh",1,1/1000)</f>
        <v>65.569999999999993</v>
      </c>
      <c r="L78" s="79">
        <f>(PA_prices!L66+$D$2)*IF($M$2="Prices in $/MWh",1,1/1000)</f>
        <v>22.51</v>
      </c>
      <c r="M78" s="80">
        <f>(PA_prices!M66+$D$2)*IF($M$2="Prices in $/MWh",1,1/1000)</f>
        <v>24.3</v>
      </c>
      <c r="N78" s="79">
        <f>(PA_prices!N66+$D$2)*IF($M$2="Prices in $/MWh",1,1/1000)</f>
        <v>23.97</v>
      </c>
      <c r="O78" s="61"/>
    </row>
    <row r="79" spans="2:15" x14ac:dyDescent="0.25">
      <c r="B79" s="99" t="s">
        <v>637</v>
      </c>
      <c r="C79" s="82" t="str">
        <f>PA_prices!C67</f>
        <v>November-2016</v>
      </c>
      <c r="D79" s="83" t="str">
        <f>PA_prices!D67</f>
        <v>PA</v>
      </c>
      <c r="E79" s="84" t="str">
        <f>PA_prices!E67</f>
        <v>MetED</v>
      </c>
      <c r="F79" s="83" t="str">
        <f>PA_prices!F67</f>
        <v>GSCL</v>
      </c>
      <c r="G79" s="84" t="str">
        <f>PA_prices!G67</f>
        <v>General Service Large</v>
      </c>
      <c r="H79" s="85" t="str">
        <f t="shared" ref="H79" si="62">IF($M$2="Prices in $/MWh","500-2500 MWh","500,000-2,500,000 kWh")</f>
        <v>500-2500 MWh</v>
      </c>
      <c r="I79" s="84">
        <f>(PA_prices!I67+$D$2)*IF($M$2="Prices in $/MWh",1,1/1000)</f>
        <v>64.260000000000005</v>
      </c>
      <c r="J79" s="83">
        <f>(PA_prices!J67+$D$2)*IF($M$2="Prices in $/MWh",1,1/1000)</f>
        <v>65.64</v>
      </c>
      <c r="K79" s="84">
        <f>(PA_prices!K67+$D$2)*IF($M$2="Prices in $/MWh",1,1/1000)</f>
        <v>64.52</v>
      </c>
      <c r="L79" s="83">
        <f>(PA_prices!L67+$D$2)*IF($M$2="Prices in $/MWh",1,1/1000)</f>
        <v>21.46</v>
      </c>
      <c r="M79" s="84">
        <f>(PA_prices!M67+$D$2)*IF($M$2="Prices in $/MWh",1,1/1000)</f>
        <v>23.25</v>
      </c>
      <c r="N79" s="83">
        <f>(PA_prices!N67+$D$2)*IF($M$2="Prices in $/MWh",1,1/1000)</f>
        <v>22.92</v>
      </c>
      <c r="O79" s="61"/>
    </row>
    <row r="80" spans="2:15" x14ac:dyDescent="0.25">
      <c r="B80" s="99" t="s">
        <v>637</v>
      </c>
      <c r="C80" s="74" t="str">
        <f>PA_prices!C68</f>
        <v>December-2016</v>
      </c>
      <c r="D80" s="75" t="str">
        <f>PA_prices!D68</f>
        <v>PA</v>
      </c>
      <c r="E80" s="76" t="str">
        <f>PA_prices!E68</f>
        <v>MetED</v>
      </c>
      <c r="F80" s="75" t="str">
        <f>PA_prices!F68</f>
        <v>GSCL</v>
      </c>
      <c r="G80" s="76" t="str">
        <f>PA_prices!G68</f>
        <v>General Service Large</v>
      </c>
      <c r="H80" s="77" t="str">
        <f t="shared" ref="H80" si="63">IF($M$2="Prices in $/MWh","0-100 MWh","0-100,000 kWh")</f>
        <v>0-100 MWh</v>
      </c>
      <c r="I80" s="76">
        <f>(PA_prices!I68+$D$2)*IF($M$2="Prices in $/MWh",1,1/1000)</f>
        <v>66.650000000000006</v>
      </c>
      <c r="J80" s="75">
        <f>(PA_prices!J68+$D$2)*IF($M$2="Prices in $/MWh",1,1/1000)</f>
        <v>68.239999999999995</v>
      </c>
      <c r="K80" s="76">
        <f>(PA_prices!K68+$D$2)*IF($M$2="Prices in $/MWh",1,1/1000)</f>
        <v>67.150000000000006</v>
      </c>
      <c r="L80" s="75">
        <f>(PA_prices!L68+$D$2)*IF($M$2="Prices in $/MWh",1,1/1000)</f>
        <v>23.91</v>
      </c>
      <c r="M80" s="76">
        <f>(PA_prices!M68+$D$2)*IF($M$2="Prices in $/MWh",1,1/1000)</f>
        <v>25.68</v>
      </c>
      <c r="N80" s="75">
        <f>(PA_prices!N68+$D$2)*IF($M$2="Prices in $/MWh",1,1/1000)</f>
        <v>25.68</v>
      </c>
      <c r="O80" s="61"/>
    </row>
    <row r="81" spans="2:15" x14ac:dyDescent="0.25">
      <c r="B81" s="99" t="s">
        <v>637</v>
      </c>
      <c r="C81" s="78" t="str">
        <f>PA_prices!C69</f>
        <v>December-2016</v>
      </c>
      <c r="D81" s="79" t="str">
        <f>PA_prices!D69</f>
        <v>PA</v>
      </c>
      <c r="E81" s="80" t="str">
        <f>PA_prices!E69</f>
        <v>MetED</v>
      </c>
      <c r="F81" s="79" t="str">
        <f>PA_prices!F69</f>
        <v>GSCL</v>
      </c>
      <c r="G81" s="80" t="str">
        <f>PA_prices!G69</f>
        <v>General Service Large</v>
      </c>
      <c r="H81" s="81" t="str">
        <f t="shared" ref="H81" si="64">IF($M$2="Prices in $/MWh","100-500 MWh","100,000-500,000 kWh")</f>
        <v>100-500 MWh</v>
      </c>
      <c r="I81" s="80">
        <f>(PA_prices!I69+$D$2)*IF($M$2="Prices in $/MWh",1,1/1000)</f>
        <v>65.05</v>
      </c>
      <c r="J81" s="79">
        <f>(PA_prices!J69+$D$2)*IF($M$2="Prices in $/MWh",1,1/1000)</f>
        <v>66.64</v>
      </c>
      <c r="K81" s="80">
        <f>(PA_prices!K69+$D$2)*IF($M$2="Prices in $/MWh",1,1/1000)</f>
        <v>65.55</v>
      </c>
      <c r="L81" s="79">
        <f>(PA_prices!L69+$D$2)*IF($M$2="Prices in $/MWh",1,1/1000)</f>
        <v>22.31</v>
      </c>
      <c r="M81" s="80">
        <f>(PA_prices!M69+$D$2)*IF($M$2="Prices in $/MWh",1,1/1000)</f>
        <v>24.08</v>
      </c>
      <c r="N81" s="79">
        <f>(PA_prices!N69+$D$2)*IF($M$2="Prices in $/MWh",1,1/1000)</f>
        <v>24.08</v>
      </c>
      <c r="O81" s="61"/>
    </row>
    <row r="82" spans="2:15" x14ac:dyDescent="0.25">
      <c r="B82" s="99" t="s">
        <v>637</v>
      </c>
      <c r="C82" s="82" t="str">
        <f>PA_prices!C70</f>
        <v>December-2016</v>
      </c>
      <c r="D82" s="83" t="str">
        <f>PA_prices!D70</f>
        <v>PA</v>
      </c>
      <c r="E82" s="84" t="str">
        <f>PA_prices!E70</f>
        <v>MetED</v>
      </c>
      <c r="F82" s="83" t="str">
        <f>PA_prices!F70</f>
        <v>GSCL</v>
      </c>
      <c r="G82" s="84" t="str">
        <f>PA_prices!G70</f>
        <v>General Service Large</v>
      </c>
      <c r="H82" s="85" t="str">
        <f t="shared" ref="H82" si="65">IF($M$2="Prices in $/MWh","500-2500 MWh","500,000-2,500,000 kWh")</f>
        <v>500-2500 MWh</v>
      </c>
      <c r="I82" s="84">
        <f>(PA_prices!I70+$D$2)*IF($M$2="Prices in $/MWh",1,1/1000)</f>
        <v>64</v>
      </c>
      <c r="J82" s="83">
        <f>(PA_prices!J70+$D$2)*IF($M$2="Prices in $/MWh",1,1/1000)</f>
        <v>65.59</v>
      </c>
      <c r="K82" s="84">
        <f>(PA_prices!K70+$D$2)*IF($M$2="Prices in $/MWh",1,1/1000)</f>
        <v>64.5</v>
      </c>
      <c r="L82" s="83">
        <f>(PA_prices!L70+$D$2)*IF($M$2="Prices in $/MWh",1,1/1000)</f>
        <v>21.26</v>
      </c>
      <c r="M82" s="84">
        <f>(PA_prices!M70+$D$2)*IF($M$2="Prices in $/MWh",1,1/1000)</f>
        <v>23.03</v>
      </c>
      <c r="N82" s="83">
        <f>(PA_prices!N70+$D$2)*IF($M$2="Prices in $/MWh",1,1/1000)</f>
        <v>23.03</v>
      </c>
      <c r="O82" s="61"/>
    </row>
    <row r="83" spans="2:15" x14ac:dyDescent="0.25">
      <c r="B83" s="99" t="s">
        <v>637</v>
      </c>
      <c r="C83" s="74" t="str">
        <f>PA_prices!C71</f>
        <v>January-2017</v>
      </c>
      <c r="D83" s="75" t="str">
        <f>PA_prices!D71</f>
        <v>PA</v>
      </c>
      <c r="E83" s="76" t="str">
        <f>PA_prices!E71</f>
        <v>MetED</v>
      </c>
      <c r="F83" s="75" t="str">
        <f>PA_prices!F71</f>
        <v>GSCL</v>
      </c>
      <c r="G83" s="76" t="str">
        <f>PA_prices!G71</f>
        <v>General Service Large</v>
      </c>
      <c r="H83" s="77" t="str">
        <f t="shared" ref="H83" si="66">IF($M$2="Prices in $/MWh","0-100 MWh","0-100,000 kWh")</f>
        <v>0-100 MWh</v>
      </c>
      <c r="I83" s="76">
        <f>(PA_prices!I71+$D$2)*IF($M$2="Prices in $/MWh",1,1/1000)</f>
        <v>66.63</v>
      </c>
      <c r="J83" s="75">
        <f>(PA_prices!J71+$D$2)*IF($M$2="Prices in $/MWh",1,1/1000)</f>
        <v>68.02</v>
      </c>
      <c r="K83" s="76">
        <f>(PA_prices!K71+$D$2)*IF($M$2="Prices in $/MWh",1,1/1000)</f>
        <v>67.34</v>
      </c>
      <c r="L83" s="75">
        <f>(PA_prices!L71+$D$2)*IF($M$2="Prices in $/MWh",1,1/1000)</f>
        <v>24.15</v>
      </c>
      <c r="M83" s="76">
        <f>(PA_prices!M71+$D$2)*IF($M$2="Prices in $/MWh",1,1/1000)</f>
        <v>25.47</v>
      </c>
      <c r="N83" s="75">
        <f>(PA_prices!N71+$D$2)*IF($M$2="Prices in $/MWh",1,1/1000)</f>
        <v>25.96</v>
      </c>
      <c r="O83" s="61"/>
    </row>
    <row r="84" spans="2:15" x14ac:dyDescent="0.25">
      <c r="B84" s="99" t="s">
        <v>637</v>
      </c>
      <c r="C84" s="78" t="str">
        <f>PA_prices!C72</f>
        <v>January-2017</v>
      </c>
      <c r="D84" s="79" t="str">
        <f>PA_prices!D72</f>
        <v>PA</v>
      </c>
      <c r="E84" s="80" t="str">
        <f>PA_prices!E72</f>
        <v>MetED</v>
      </c>
      <c r="F84" s="79" t="str">
        <f>PA_prices!F72</f>
        <v>GSCL</v>
      </c>
      <c r="G84" s="80" t="str">
        <f>PA_prices!G72</f>
        <v>General Service Large</v>
      </c>
      <c r="H84" s="81" t="str">
        <f t="shared" ref="H84" si="67">IF($M$2="Prices in $/MWh","100-500 MWh","100,000-500,000 kWh")</f>
        <v>100-500 MWh</v>
      </c>
      <c r="I84" s="80">
        <f>(PA_prices!I72+$D$2)*IF($M$2="Prices in $/MWh",1,1/1000)</f>
        <v>65.03</v>
      </c>
      <c r="J84" s="79">
        <f>(PA_prices!J72+$D$2)*IF($M$2="Prices in $/MWh",1,1/1000)</f>
        <v>66.42</v>
      </c>
      <c r="K84" s="80">
        <f>(PA_prices!K72+$D$2)*IF($M$2="Prices in $/MWh",1,1/1000)</f>
        <v>65.739999999999995</v>
      </c>
      <c r="L84" s="79">
        <f>(PA_prices!L72+$D$2)*IF($M$2="Prices in $/MWh",1,1/1000)</f>
        <v>22.55</v>
      </c>
      <c r="M84" s="80">
        <f>(PA_prices!M72+$D$2)*IF($M$2="Prices in $/MWh",1,1/1000)</f>
        <v>23.87</v>
      </c>
      <c r="N84" s="79">
        <f>(PA_prices!N72+$D$2)*IF($M$2="Prices in $/MWh",1,1/1000)</f>
        <v>24.36</v>
      </c>
      <c r="O84" s="61"/>
    </row>
    <row r="85" spans="2:15" x14ac:dyDescent="0.25">
      <c r="B85" s="99" t="s">
        <v>637</v>
      </c>
      <c r="C85" s="82" t="str">
        <f>PA_prices!C73</f>
        <v>January-2017</v>
      </c>
      <c r="D85" s="83" t="str">
        <f>PA_prices!D73</f>
        <v>PA</v>
      </c>
      <c r="E85" s="84" t="str">
        <f>PA_prices!E73</f>
        <v>MetED</v>
      </c>
      <c r="F85" s="83" t="str">
        <f>PA_prices!F73</f>
        <v>GSCL</v>
      </c>
      <c r="G85" s="84" t="str">
        <f>PA_prices!G73</f>
        <v>General Service Large</v>
      </c>
      <c r="H85" s="85" t="str">
        <f t="shared" ref="H85" si="68">IF($M$2="Prices in $/MWh","500-2500 MWh","500,000-2,500,000 kWh")</f>
        <v>500-2500 MWh</v>
      </c>
      <c r="I85" s="84">
        <f>(PA_prices!I73+$D$2)*IF($M$2="Prices in $/MWh",1,1/1000)</f>
        <v>63.98</v>
      </c>
      <c r="J85" s="83">
        <f>(PA_prices!J73+$D$2)*IF($M$2="Prices in $/MWh",1,1/1000)</f>
        <v>65.37</v>
      </c>
      <c r="K85" s="84">
        <f>(PA_prices!K73+$D$2)*IF($M$2="Prices in $/MWh",1,1/1000)</f>
        <v>64.69</v>
      </c>
      <c r="L85" s="83">
        <f>(PA_prices!L73+$D$2)*IF($M$2="Prices in $/MWh",1,1/1000)</f>
        <v>21.5</v>
      </c>
      <c r="M85" s="84">
        <f>(PA_prices!M73+$D$2)*IF($M$2="Prices in $/MWh",1,1/1000)</f>
        <v>22.82</v>
      </c>
      <c r="N85" s="83">
        <f>(PA_prices!N73+$D$2)*IF($M$2="Prices in $/MWh",1,1/1000)</f>
        <v>23.31</v>
      </c>
      <c r="O85" s="61"/>
    </row>
    <row r="86" spans="2:15" x14ac:dyDescent="0.25">
      <c r="B86" s="99" t="s">
        <v>638</v>
      </c>
      <c r="C86" s="74" t="str">
        <f>PA_prices!C74</f>
        <v>February-2016</v>
      </c>
      <c r="D86" s="75" t="str">
        <f>PA_prices!D74</f>
        <v>PA</v>
      </c>
      <c r="E86" s="76" t="str">
        <f>PA_prices!E74</f>
        <v>MetED</v>
      </c>
      <c r="F86" s="75" t="str">
        <f>PA_prices!F74</f>
        <v>GSCM</v>
      </c>
      <c r="G86" s="76" t="str">
        <f>PA_prices!G74</f>
        <v>General Service Medium</v>
      </c>
      <c r="H86" s="77" t="str">
        <f t="shared" ref="H86" si="69">IF($M$2="Prices in $/MWh","0-100 MWh","0-100,000 kWh")</f>
        <v>0-100 MWh</v>
      </c>
      <c r="I86" s="76">
        <f>(PA_prices!I74+$D$2)*IF($M$2="Prices in $/MWh",1,1/1000)</f>
        <v>67.010000000000005</v>
      </c>
      <c r="J86" s="75">
        <f>(PA_prices!J74+$D$2)*IF($M$2="Prices in $/MWh",1,1/1000)</f>
        <v>67.650000000000006</v>
      </c>
      <c r="K86" s="76">
        <f>(PA_prices!K74+$D$2)*IF($M$2="Prices in $/MWh",1,1/1000)</f>
        <v>67.2</v>
      </c>
      <c r="L86" s="75">
        <f>(PA_prices!L74+$D$2)*IF($M$2="Prices in $/MWh",1,1/1000)</f>
        <v>24.68</v>
      </c>
      <c r="M86" s="76">
        <f>(PA_prices!M74+$D$2)*IF($M$2="Prices in $/MWh",1,1/1000)</f>
        <v>24.79</v>
      </c>
      <c r="N86" s="75">
        <f>(PA_prices!N74+$D$2)*IF($M$2="Prices in $/MWh",1,1/1000)</f>
        <v>24.99</v>
      </c>
      <c r="O86" s="61"/>
    </row>
    <row r="87" spans="2:15" x14ac:dyDescent="0.25">
      <c r="B87" s="99" t="s">
        <v>638</v>
      </c>
      <c r="C87" s="78" t="str">
        <f>PA_prices!C75</f>
        <v>February-2016</v>
      </c>
      <c r="D87" s="79" t="str">
        <f>PA_prices!D75</f>
        <v>PA</v>
      </c>
      <c r="E87" s="80" t="str">
        <f>PA_prices!E75</f>
        <v>MetED</v>
      </c>
      <c r="F87" s="79" t="str">
        <f>PA_prices!F75</f>
        <v>GSCM</v>
      </c>
      <c r="G87" s="80" t="str">
        <f>PA_prices!G75</f>
        <v>General Service Medium</v>
      </c>
      <c r="H87" s="81" t="str">
        <f t="shared" ref="H87" si="70">IF($M$2="Prices in $/MWh","100-500 MWh","100,000-500,000 kWh")</f>
        <v>100-500 MWh</v>
      </c>
      <c r="I87" s="80">
        <f>(PA_prices!I75+$D$2)*IF($M$2="Prices in $/MWh",1,1/1000)</f>
        <v>65.41</v>
      </c>
      <c r="J87" s="79">
        <f>(PA_prices!J75+$D$2)*IF($M$2="Prices in $/MWh",1,1/1000)</f>
        <v>66.05</v>
      </c>
      <c r="K87" s="80">
        <f>(PA_prices!K75+$D$2)*IF($M$2="Prices in $/MWh",1,1/1000)</f>
        <v>65.599999999999994</v>
      </c>
      <c r="L87" s="79">
        <f>(PA_prices!L75+$D$2)*IF($M$2="Prices in $/MWh",1,1/1000)</f>
        <v>23.08</v>
      </c>
      <c r="M87" s="80">
        <f>(PA_prices!M75+$D$2)*IF($M$2="Prices in $/MWh",1,1/1000)</f>
        <v>23.19</v>
      </c>
      <c r="N87" s="79">
        <f>(PA_prices!N75+$D$2)*IF($M$2="Prices in $/MWh",1,1/1000)</f>
        <v>23.39</v>
      </c>
      <c r="O87" s="61"/>
    </row>
    <row r="88" spans="2:15" x14ac:dyDescent="0.25">
      <c r="B88" s="99" t="s">
        <v>638</v>
      </c>
      <c r="C88" s="82" t="str">
        <f>PA_prices!C76</f>
        <v>February-2016</v>
      </c>
      <c r="D88" s="83" t="str">
        <f>PA_prices!D76</f>
        <v>PA</v>
      </c>
      <c r="E88" s="84" t="str">
        <f>PA_prices!E76</f>
        <v>MetED</v>
      </c>
      <c r="F88" s="83" t="str">
        <f>PA_prices!F76</f>
        <v>GSCM</v>
      </c>
      <c r="G88" s="84" t="str">
        <f>PA_prices!G76</f>
        <v>General Service Medium</v>
      </c>
      <c r="H88" s="85" t="str">
        <f t="shared" ref="H88" si="71">IF($M$2="Prices in $/MWh","500-2500 MWh","500,000-2,500,000 kWh")</f>
        <v>500-2500 MWh</v>
      </c>
      <c r="I88" s="84">
        <f>(PA_prices!I76+$D$2)*IF($M$2="Prices in $/MWh",1,1/1000)</f>
        <v>64.36</v>
      </c>
      <c r="J88" s="83">
        <f>(PA_prices!J76+$D$2)*IF($M$2="Prices in $/MWh",1,1/1000)</f>
        <v>65</v>
      </c>
      <c r="K88" s="84">
        <f>(PA_prices!K76+$D$2)*IF($M$2="Prices in $/MWh",1,1/1000)</f>
        <v>64.55</v>
      </c>
      <c r="L88" s="83">
        <f>(PA_prices!L76+$D$2)*IF($M$2="Prices in $/MWh",1,1/1000)</f>
        <v>22.03</v>
      </c>
      <c r="M88" s="84">
        <f>(PA_prices!M76+$D$2)*IF($M$2="Prices in $/MWh",1,1/1000)</f>
        <v>22.14</v>
      </c>
      <c r="N88" s="83">
        <f>(PA_prices!N76+$D$2)*IF($M$2="Prices in $/MWh",1,1/1000)</f>
        <v>22.34</v>
      </c>
      <c r="O88" s="61"/>
    </row>
    <row r="89" spans="2:15" x14ac:dyDescent="0.25">
      <c r="B89" s="99" t="s">
        <v>638</v>
      </c>
      <c r="C89" s="74" t="str">
        <f>PA_prices!C77</f>
        <v>March-2016</v>
      </c>
      <c r="D89" s="75" t="str">
        <f>PA_prices!D77</f>
        <v>PA</v>
      </c>
      <c r="E89" s="76" t="str">
        <f>PA_prices!E77</f>
        <v>MetED</v>
      </c>
      <c r="F89" s="75" t="str">
        <f>PA_prices!F77</f>
        <v>GSCM</v>
      </c>
      <c r="G89" s="76" t="str">
        <f>PA_prices!G77</f>
        <v>General Service Medium</v>
      </c>
      <c r="H89" s="77" t="str">
        <f t="shared" ref="H89" si="72">IF($M$2="Prices in $/MWh","0-100 MWh","0-100,000 kWh")</f>
        <v>0-100 MWh</v>
      </c>
      <c r="I89" s="76">
        <f>(PA_prices!I77+$D$2)*IF($M$2="Prices in $/MWh",1,1/1000)</f>
        <v>67.88</v>
      </c>
      <c r="J89" s="75">
        <f>(PA_prices!J77+$D$2)*IF($M$2="Prices in $/MWh",1,1/1000)</f>
        <v>67.06</v>
      </c>
      <c r="K89" s="76">
        <f>(PA_prices!K77+$D$2)*IF($M$2="Prices in $/MWh",1,1/1000)</f>
        <v>67.5</v>
      </c>
      <c r="L89" s="75">
        <f>(PA_prices!L77+$D$2)*IF($M$2="Prices in $/MWh",1,1/1000)</f>
        <v>24.64</v>
      </c>
      <c r="M89" s="76">
        <f>(PA_prices!M77+$D$2)*IF($M$2="Prices in $/MWh",1,1/1000)</f>
        <v>23.84</v>
      </c>
      <c r="N89" s="75">
        <f>(PA_prices!N77+$D$2)*IF($M$2="Prices in $/MWh",1,1/1000)</f>
        <v>24.97</v>
      </c>
      <c r="O89" s="61"/>
    </row>
    <row r="90" spans="2:15" x14ac:dyDescent="0.25">
      <c r="B90" s="99" t="s">
        <v>638</v>
      </c>
      <c r="C90" s="78" t="str">
        <f>PA_prices!C78</f>
        <v>March-2016</v>
      </c>
      <c r="D90" s="79" t="str">
        <f>PA_prices!D78</f>
        <v>PA</v>
      </c>
      <c r="E90" s="80" t="str">
        <f>PA_prices!E78</f>
        <v>MetED</v>
      </c>
      <c r="F90" s="79" t="str">
        <f>PA_prices!F78</f>
        <v>GSCM</v>
      </c>
      <c r="G90" s="80" t="str">
        <f>PA_prices!G78</f>
        <v>General Service Medium</v>
      </c>
      <c r="H90" s="81" t="str">
        <f t="shared" ref="H90" si="73">IF($M$2="Prices in $/MWh","100-500 MWh","100,000-500,000 kWh")</f>
        <v>100-500 MWh</v>
      </c>
      <c r="I90" s="80">
        <f>(PA_prices!I78+$D$2)*IF($M$2="Prices in $/MWh",1,1/1000)</f>
        <v>66.28</v>
      </c>
      <c r="J90" s="79">
        <f>(PA_prices!J78+$D$2)*IF($M$2="Prices in $/MWh",1,1/1000)</f>
        <v>65.459999999999994</v>
      </c>
      <c r="K90" s="80">
        <f>(PA_prices!K78+$D$2)*IF($M$2="Prices in $/MWh",1,1/1000)</f>
        <v>65.900000000000006</v>
      </c>
      <c r="L90" s="79">
        <f>(PA_prices!L78+$D$2)*IF($M$2="Prices in $/MWh",1,1/1000)</f>
        <v>23.04</v>
      </c>
      <c r="M90" s="80">
        <f>(PA_prices!M78+$D$2)*IF($M$2="Prices in $/MWh",1,1/1000)</f>
        <v>22.24</v>
      </c>
      <c r="N90" s="79">
        <f>(PA_prices!N78+$D$2)*IF($M$2="Prices in $/MWh",1,1/1000)</f>
        <v>23.37</v>
      </c>
      <c r="O90" s="61"/>
    </row>
    <row r="91" spans="2:15" x14ac:dyDescent="0.25">
      <c r="B91" s="99" t="s">
        <v>638</v>
      </c>
      <c r="C91" s="82" t="str">
        <f>PA_prices!C79</f>
        <v>March-2016</v>
      </c>
      <c r="D91" s="83" t="str">
        <f>PA_prices!D79</f>
        <v>PA</v>
      </c>
      <c r="E91" s="84" t="str">
        <f>PA_prices!E79</f>
        <v>MetED</v>
      </c>
      <c r="F91" s="83" t="str">
        <f>PA_prices!F79</f>
        <v>GSCM</v>
      </c>
      <c r="G91" s="84" t="str">
        <f>PA_prices!G79</f>
        <v>General Service Medium</v>
      </c>
      <c r="H91" s="85" t="str">
        <f t="shared" ref="H91" si="74">IF($M$2="Prices in $/MWh","500-2500 MWh","500,000-2,500,000 kWh")</f>
        <v>500-2500 MWh</v>
      </c>
      <c r="I91" s="84">
        <f>(PA_prices!I79+$D$2)*IF($M$2="Prices in $/MWh",1,1/1000)</f>
        <v>65.23</v>
      </c>
      <c r="J91" s="83">
        <f>(PA_prices!J79+$D$2)*IF($M$2="Prices in $/MWh",1,1/1000)</f>
        <v>64.41</v>
      </c>
      <c r="K91" s="84">
        <f>(PA_prices!K79+$D$2)*IF($M$2="Prices in $/MWh",1,1/1000)</f>
        <v>64.849999999999994</v>
      </c>
      <c r="L91" s="83">
        <f>(PA_prices!L79+$D$2)*IF($M$2="Prices in $/MWh",1,1/1000)</f>
        <v>21.99</v>
      </c>
      <c r="M91" s="84">
        <f>(PA_prices!M79+$D$2)*IF($M$2="Prices in $/MWh",1,1/1000)</f>
        <v>21.19</v>
      </c>
      <c r="N91" s="83">
        <f>(PA_prices!N79+$D$2)*IF($M$2="Prices in $/MWh",1,1/1000)</f>
        <v>22.32</v>
      </c>
      <c r="O91" s="61"/>
    </row>
    <row r="92" spans="2:15" x14ac:dyDescent="0.25">
      <c r="B92" s="99" t="s">
        <v>638</v>
      </c>
      <c r="C92" s="74" t="str">
        <f>PA_prices!C80</f>
        <v>April-2016</v>
      </c>
      <c r="D92" s="75" t="str">
        <f>PA_prices!D80</f>
        <v>PA</v>
      </c>
      <c r="E92" s="76" t="str">
        <f>PA_prices!E80</f>
        <v>MetED</v>
      </c>
      <c r="F92" s="75" t="str">
        <f>PA_prices!F80</f>
        <v>GSCM</v>
      </c>
      <c r="G92" s="76" t="str">
        <f>PA_prices!G80</f>
        <v>General Service Medium</v>
      </c>
      <c r="H92" s="77" t="str">
        <f t="shared" ref="H92" si="75">IF($M$2="Prices in $/MWh","0-100 MWh","0-100,000 kWh")</f>
        <v>0-100 MWh</v>
      </c>
      <c r="I92" s="76">
        <f>(PA_prices!I80+$D$2)*IF($M$2="Prices in $/MWh",1,1/1000)</f>
        <v>68.27</v>
      </c>
      <c r="J92" s="75">
        <f>(PA_prices!J80+$D$2)*IF($M$2="Prices in $/MWh",1,1/1000)</f>
        <v>66.650000000000006</v>
      </c>
      <c r="K92" s="76">
        <f>(PA_prices!K80+$D$2)*IF($M$2="Prices in $/MWh",1,1/1000)</f>
        <v>67.72</v>
      </c>
      <c r="L92" s="75">
        <f>(PA_prices!L80+$D$2)*IF($M$2="Prices in $/MWh",1,1/1000)</f>
        <v>25.06</v>
      </c>
      <c r="M92" s="76">
        <f>(PA_prices!M80+$D$2)*IF($M$2="Prices in $/MWh",1,1/1000)</f>
        <v>23.63</v>
      </c>
      <c r="N92" s="75">
        <f>(PA_prices!N80+$D$2)*IF($M$2="Prices in $/MWh",1,1/1000)</f>
        <v>25.29</v>
      </c>
      <c r="O92" s="61"/>
    </row>
    <row r="93" spans="2:15" x14ac:dyDescent="0.25">
      <c r="B93" s="99" t="s">
        <v>638</v>
      </c>
      <c r="C93" s="78" t="str">
        <f>PA_prices!C81</f>
        <v>April-2016</v>
      </c>
      <c r="D93" s="79" t="str">
        <f>PA_prices!D81</f>
        <v>PA</v>
      </c>
      <c r="E93" s="80" t="str">
        <f>PA_prices!E81</f>
        <v>MetED</v>
      </c>
      <c r="F93" s="79" t="str">
        <f>PA_prices!F81</f>
        <v>GSCM</v>
      </c>
      <c r="G93" s="80" t="str">
        <f>PA_prices!G81</f>
        <v>General Service Medium</v>
      </c>
      <c r="H93" s="81" t="str">
        <f t="shared" ref="H93" si="76">IF($M$2="Prices in $/MWh","100-500 MWh","100,000-500,000 kWh")</f>
        <v>100-500 MWh</v>
      </c>
      <c r="I93" s="80">
        <f>(PA_prices!I81+$D$2)*IF($M$2="Prices in $/MWh",1,1/1000)</f>
        <v>66.67</v>
      </c>
      <c r="J93" s="79">
        <f>(PA_prices!J81+$D$2)*IF($M$2="Prices in $/MWh",1,1/1000)</f>
        <v>65.05</v>
      </c>
      <c r="K93" s="80">
        <f>(PA_prices!K81+$D$2)*IF($M$2="Prices in $/MWh",1,1/1000)</f>
        <v>66.12</v>
      </c>
      <c r="L93" s="79">
        <f>(PA_prices!L81+$D$2)*IF($M$2="Prices in $/MWh",1,1/1000)</f>
        <v>23.46</v>
      </c>
      <c r="M93" s="80">
        <f>(PA_prices!M81+$D$2)*IF($M$2="Prices in $/MWh",1,1/1000)</f>
        <v>22.03</v>
      </c>
      <c r="N93" s="79">
        <f>(PA_prices!N81+$D$2)*IF($M$2="Prices in $/MWh",1,1/1000)</f>
        <v>23.69</v>
      </c>
      <c r="O93" s="61"/>
    </row>
    <row r="94" spans="2:15" x14ac:dyDescent="0.25">
      <c r="B94" s="99" t="s">
        <v>638</v>
      </c>
      <c r="C94" s="82" t="str">
        <f>PA_prices!C82</f>
        <v>April-2016</v>
      </c>
      <c r="D94" s="83" t="str">
        <f>PA_prices!D82</f>
        <v>PA</v>
      </c>
      <c r="E94" s="84" t="str">
        <f>PA_prices!E82</f>
        <v>MetED</v>
      </c>
      <c r="F94" s="83" t="str">
        <f>PA_prices!F82</f>
        <v>GSCM</v>
      </c>
      <c r="G94" s="84" t="str">
        <f>PA_prices!G82</f>
        <v>General Service Medium</v>
      </c>
      <c r="H94" s="85" t="str">
        <f t="shared" ref="H94" si="77">IF($M$2="Prices in $/MWh","500-2500 MWh","500,000-2,500,000 kWh")</f>
        <v>500-2500 MWh</v>
      </c>
      <c r="I94" s="84">
        <f>(PA_prices!I82+$D$2)*IF($M$2="Prices in $/MWh",1,1/1000)</f>
        <v>65.62</v>
      </c>
      <c r="J94" s="83">
        <f>(PA_prices!J82+$D$2)*IF($M$2="Prices in $/MWh",1,1/1000)</f>
        <v>64</v>
      </c>
      <c r="K94" s="84">
        <f>(PA_prices!K82+$D$2)*IF($M$2="Prices in $/MWh",1,1/1000)</f>
        <v>65.069999999999993</v>
      </c>
      <c r="L94" s="83">
        <f>(PA_prices!L82+$D$2)*IF($M$2="Prices in $/MWh",1,1/1000)</f>
        <v>22.41</v>
      </c>
      <c r="M94" s="84">
        <f>(PA_prices!M82+$D$2)*IF($M$2="Prices in $/MWh",1,1/1000)</f>
        <v>20.98</v>
      </c>
      <c r="N94" s="83">
        <f>(PA_prices!N82+$D$2)*IF($M$2="Prices in $/MWh",1,1/1000)</f>
        <v>22.64</v>
      </c>
      <c r="O94" s="61"/>
    </row>
    <row r="95" spans="2:15" x14ac:dyDescent="0.25">
      <c r="B95" s="99" t="s">
        <v>638</v>
      </c>
      <c r="C95" s="74" t="str">
        <f>PA_prices!C83</f>
        <v>May-2016</v>
      </c>
      <c r="D95" s="75" t="str">
        <f>PA_prices!D83</f>
        <v>PA</v>
      </c>
      <c r="E95" s="76" t="str">
        <f>PA_prices!E83</f>
        <v>MetED</v>
      </c>
      <c r="F95" s="75" t="str">
        <f>PA_prices!F83</f>
        <v>GSCM</v>
      </c>
      <c r="G95" s="76" t="str">
        <f>PA_prices!G83</f>
        <v>General Service Medium</v>
      </c>
      <c r="H95" s="77" t="str">
        <f t="shared" ref="H95" si="78">IF($M$2="Prices in $/MWh","0-100 MWh","0-100,000 kWh")</f>
        <v>0-100 MWh</v>
      </c>
      <c r="I95" s="76">
        <f>(PA_prices!I83+$D$2)*IF($M$2="Prices in $/MWh",1,1/1000)</f>
        <v>68.400000000000006</v>
      </c>
      <c r="J95" s="75">
        <f>(PA_prices!J83+$D$2)*IF($M$2="Prices in $/MWh",1,1/1000)</f>
        <v>66.48</v>
      </c>
      <c r="K95" s="76">
        <f>(PA_prices!K83+$D$2)*IF($M$2="Prices in $/MWh",1,1/1000)</f>
        <v>67.739999999999995</v>
      </c>
      <c r="L95" s="75">
        <f>(PA_prices!L83+$D$2)*IF($M$2="Prices in $/MWh",1,1/1000)</f>
        <v>25.16</v>
      </c>
      <c r="M95" s="76">
        <f>(PA_prices!M83+$D$2)*IF($M$2="Prices in $/MWh",1,1/1000)</f>
        <v>23.69</v>
      </c>
      <c r="N95" s="75">
        <f>(PA_prices!N83+$D$2)*IF($M$2="Prices in $/MWh",1,1/1000)</f>
        <v>25.34</v>
      </c>
      <c r="O95" s="61"/>
    </row>
    <row r="96" spans="2:15" x14ac:dyDescent="0.25">
      <c r="B96" s="99" t="s">
        <v>638</v>
      </c>
      <c r="C96" s="78" t="str">
        <f>PA_prices!C84</f>
        <v>May-2016</v>
      </c>
      <c r="D96" s="79" t="str">
        <f>PA_prices!D84</f>
        <v>PA</v>
      </c>
      <c r="E96" s="80" t="str">
        <f>PA_prices!E84</f>
        <v>MetED</v>
      </c>
      <c r="F96" s="79" t="str">
        <f>PA_prices!F84</f>
        <v>GSCM</v>
      </c>
      <c r="G96" s="80" t="str">
        <f>PA_prices!G84</f>
        <v>General Service Medium</v>
      </c>
      <c r="H96" s="81" t="str">
        <f t="shared" ref="H96" si="79">IF($M$2="Prices in $/MWh","100-500 MWh","100,000-500,000 kWh")</f>
        <v>100-500 MWh</v>
      </c>
      <c r="I96" s="80">
        <f>(PA_prices!I84+$D$2)*IF($M$2="Prices in $/MWh",1,1/1000)</f>
        <v>66.8</v>
      </c>
      <c r="J96" s="79">
        <f>(PA_prices!J84+$D$2)*IF($M$2="Prices in $/MWh",1,1/1000)</f>
        <v>64.88</v>
      </c>
      <c r="K96" s="80">
        <f>(PA_prices!K84+$D$2)*IF($M$2="Prices in $/MWh",1,1/1000)</f>
        <v>66.14</v>
      </c>
      <c r="L96" s="79">
        <f>(PA_prices!L84+$D$2)*IF($M$2="Prices in $/MWh",1,1/1000)</f>
        <v>23.56</v>
      </c>
      <c r="M96" s="80">
        <f>(PA_prices!M84+$D$2)*IF($M$2="Prices in $/MWh",1,1/1000)</f>
        <v>22.09</v>
      </c>
      <c r="N96" s="79">
        <f>(PA_prices!N84+$D$2)*IF($M$2="Prices in $/MWh",1,1/1000)</f>
        <v>23.74</v>
      </c>
      <c r="O96" s="61"/>
    </row>
    <row r="97" spans="2:15" x14ac:dyDescent="0.25">
      <c r="B97" s="99" t="s">
        <v>638</v>
      </c>
      <c r="C97" s="82" t="str">
        <f>PA_prices!C85</f>
        <v>May-2016</v>
      </c>
      <c r="D97" s="83" t="str">
        <f>PA_prices!D85</f>
        <v>PA</v>
      </c>
      <c r="E97" s="84" t="str">
        <f>PA_prices!E85</f>
        <v>MetED</v>
      </c>
      <c r="F97" s="83" t="str">
        <f>PA_prices!F85</f>
        <v>GSCM</v>
      </c>
      <c r="G97" s="84" t="str">
        <f>PA_prices!G85</f>
        <v>General Service Medium</v>
      </c>
      <c r="H97" s="85" t="str">
        <f t="shared" ref="H97" si="80">IF($M$2="Prices in $/MWh","500-2500 MWh","500,000-2,500,000 kWh")</f>
        <v>500-2500 MWh</v>
      </c>
      <c r="I97" s="84">
        <f>(PA_prices!I85+$D$2)*IF($M$2="Prices in $/MWh",1,1/1000)</f>
        <v>65.75</v>
      </c>
      <c r="J97" s="83">
        <f>(PA_prices!J85+$D$2)*IF($M$2="Prices in $/MWh",1,1/1000)</f>
        <v>63.83</v>
      </c>
      <c r="K97" s="84">
        <f>(PA_prices!K85+$D$2)*IF($M$2="Prices in $/MWh",1,1/1000)</f>
        <v>65.09</v>
      </c>
      <c r="L97" s="83">
        <f>(PA_prices!L85+$D$2)*IF($M$2="Prices in $/MWh",1,1/1000)</f>
        <v>22.51</v>
      </c>
      <c r="M97" s="84">
        <f>(PA_prices!M85+$D$2)*IF($M$2="Prices in $/MWh",1,1/1000)</f>
        <v>21.04</v>
      </c>
      <c r="N97" s="83">
        <f>(PA_prices!N85+$D$2)*IF($M$2="Prices in $/MWh",1,1/1000)</f>
        <v>22.69</v>
      </c>
      <c r="O97" s="61"/>
    </row>
    <row r="98" spans="2:15" x14ac:dyDescent="0.25">
      <c r="B98" s="99" t="s">
        <v>638</v>
      </c>
      <c r="C98" s="74" t="str">
        <f>PA_prices!C86</f>
        <v>June-2016</v>
      </c>
      <c r="D98" s="75" t="str">
        <f>PA_prices!D86</f>
        <v>PA</v>
      </c>
      <c r="E98" s="76" t="str">
        <f>PA_prices!E86</f>
        <v>MetED</v>
      </c>
      <c r="F98" s="75" t="str">
        <f>PA_prices!F86</f>
        <v>GSCM</v>
      </c>
      <c r="G98" s="76" t="str">
        <f>PA_prices!G86</f>
        <v>General Service Medium</v>
      </c>
      <c r="H98" s="77" t="str">
        <f t="shared" ref="H98" si="81">IF($M$2="Prices in $/MWh","0-100 MWh","0-100,000 kWh")</f>
        <v>0-100 MWh</v>
      </c>
      <c r="I98" s="76">
        <f>(PA_prices!I86+$D$2)*IF($M$2="Prices in $/MWh",1,1/1000)</f>
        <v>68.400000000000006</v>
      </c>
      <c r="J98" s="75">
        <f>(PA_prices!J86+$D$2)*IF($M$2="Prices in $/MWh",1,1/1000)</f>
        <v>66.319999999999993</v>
      </c>
      <c r="K98" s="76">
        <f>(PA_prices!K86+$D$2)*IF($M$2="Prices in $/MWh",1,1/1000)</f>
        <v>67.739999999999995</v>
      </c>
      <c r="L98" s="75">
        <f>(PA_prices!L86+$D$2)*IF($M$2="Prices in $/MWh",1,1/1000)</f>
        <v>25.14</v>
      </c>
      <c r="M98" s="76">
        <f>(PA_prices!M86+$D$2)*IF($M$2="Prices in $/MWh",1,1/1000)</f>
        <v>23.73</v>
      </c>
      <c r="N98" s="75">
        <f>(PA_prices!N86+$D$2)*IF($M$2="Prices in $/MWh",1,1/1000)</f>
        <v>25.34</v>
      </c>
      <c r="O98" s="61"/>
    </row>
    <row r="99" spans="2:15" x14ac:dyDescent="0.25">
      <c r="B99" s="99" t="s">
        <v>638</v>
      </c>
      <c r="C99" s="78" t="str">
        <f>PA_prices!C87</f>
        <v>June-2016</v>
      </c>
      <c r="D99" s="79" t="str">
        <f>PA_prices!D87</f>
        <v>PA</v>
      </c>
      <c r="E99" s="80" t="str">
        <f>PA_prices!E87</f>
        <v>MetED</v>
      </c>
      <c r="F99" s="79" t="str">
        <f>PA_prices!F87</f>
        <v>GSCM</v>
      </c>
      <c r="G99" s="80" t="str">
        <f>PA_prices!G87</f>
        <v>General Service Medium</v>
      </c>
      <c r="H99" s="81" t="str">
        <f t="shared" ref="H99" si="82">IF($M$2="Prices in $/MWh","100-500 MWh","100,000-500,000 kWh")</f>
        <v>100-500 MWh</v>
      </c>
      <c r="I99" s="80">
        <f>(PA_prices!I87+$D$2)*IF($M$2="Prices in $/MWh",1,1/1000)</f>
        <v>66.8</v>
      </c>
      <c r="J99" s="79">
        <f>(PA_prices!J87+$D$2)*IF($M$2="Prices in $/MWh",1,1/1000)</f>
        <v>64.72</v>
      </c>
      <c r="K99" s="80">
        <f>(PA_prices!K87+$D$2)*IF($M$2="Prices in $/MWh",1,1/1000)</f>
        <v>66.14</v>
      </c>
      <c r="L99" s="79">
        <f>(PA_prices!L87+$D$2)*IF($M$2="Prices in $/MWh",1,1/1000)</f>
        <v>23.54</v>
      </c>
      <c r="M99" s="80">
        <f>(PA_prices!M87+$D$2)*IF($M$2="Prices in $/MWh",1,1/1000)</f>
        <v>22.13</v>
      </c>
      <c r="N99" s="79">
        <f>(PA_prices!N87+$D$2)*IF($M$2="Prices in $/MWh",1,1/1000)</f>
        <v>23.74</v>
      </c>
      <c r="O99" s="61"/>
    </row>
    <row r="100" spans="2:15" x14ac:dyDescent="0.25">
      <c r="B100" s="99" t="s">
        <v>638</v>
      </c>
      <c r="C100" s="82" t="str">
        <f>PA_prices!C88</f>
        <v>June-2016</v>
      </c>
      <c r="D100" s="83" t="str">
        <f>PA_prices!D88</f>
        <v>PA</v>
      </c>
      <c r="E100" s="84" t="str">
        <f>PA_prices!E88</f>
        <v>MetED</v>
      </c>
      <c r="F100" s="83" t="str">
        <f>PA_prices!F88</f>
        <v>GSCM</v>
      </c>
      <c r="G100" s="84" t="str">
        <f>PA_prices!G88</f>
        <v>General Service Medium</v>
      </c>
      <c r="H100" s="85" t="str">
        <f t="shared" ref="H100" si="83">IF($M$2="Prices in $/MWh","500-2500 MWh","500,000-2,500,000 kWh")</f>
        <v>500-2500 MWh</v>
      </c>
      <c r="I100" s="84">
        <f>(PA_prices!I88+$D$2)*IF($M$2="Prices in $/MWh",1,1/1000)</f>
        <v>65.75</v>
      </c>
      <c r="J100" s="83">
        <f>(PA_prices!J88+$D$2)*IF($M$2="Prices in $/MWh",1,1/1000)</f>
        <v>63.67</v>
      </c>
      <c r="K100" s="84">
        <f>(PA_prices!K88+$D$2)*IF($M$2="Prices in $/MWh",1,1/1000)</f>
        <v>65.09</v>
      </c>
      <c r="L100" s="83">
        <f>(PA_prices!L88+$D$2)*IF($M$2="Prices in $/MWh",1,1/1000)</f>
        <v>22.49</v>
      </c>
      <c r="M100" s="84">
        <f>(PA_prices!M88+$D$2)*IF($M$2="Prices in $/MWh",1,1/1000)</f>
        <v>21.08</v>
      </c>
      <c r="N100" s="83">
        <f>(PA_prices!N88+$D$2)*IF($M$2="Prices in $/MWh",1,1/1000)</f>
        <v>22.69</v>
      </c>
      <c r="O100" s="61"/>
    </row>
    <row r="101" spans="2:15" x14ac:dyDescent="0.25">
      <c r="B101" s="99" t="s">
        <v>638</v>
      </c>
      <c r="C101" s="74" t="str">
        <f>PA_prices!C89</f>
        <v>July-2016</v>
      </c>
      <c r="D101" s="75" t="str">
        <f>PA_prices!D89</f>
        <v>PA</v>
      </c>
      <c r="E101" s="76" t="str">
        <f>PA_prices!E89</f>
        <v>MetED</v>
      </c>
      <c r="F101" s="75" t="str">
        <f>PA_prices!F89</f>
        <v>GSCM</v>
      </c>
      <c r="G101" s="76" t="str">
        <f>PA_prices!G89</f>
        <v>General Service Medium</v>
      </c>
      <c r="H101" s="77" t="str">
        <f t="shared" ref="H101" si="84">IF($M$2="Prices in $/MWh","0-100 MWh","0-100,000 kWh")</f>
        <v>0-100 MWh</v>
      </c>
      <c r="I101" s="76">
        <f>(PA_prices!I89+$D$2)*IF($M$2="Prices in $/MWh",1,1/1000)</f>
        <v>68.37</v>
      </c>
      <c r="J101" s="75">
        <f>(PA_prices!J89+$D$2)*IF($M$2="Prices in $/MWh",1,1/1000)</f>
        <v>66.53</v>
      </c>
      <c r="K101" s="76">
        <f>(PA_prices!K89+$D$2)*IF($M$2="Prices in $/MWh",1,1/1000)</f>
        <v>67.8</v>
      </c>
      <c r="L101" s="75">
        <f>(PA_prices!L89+$D$2)*IF($M$2="Prices in $/MWh",1,1/1000)</f>
        <v>25.12</v>
      </c>
      <c r="M101" s="76">
        <f>(PA_prices!M89+$D$2)*IF($M$2="Prices in $/MWh",1,1/1000)</f>
        <v>24.37</v>
      </c>
      <c r="N101" s="75">
        <f>(PA_prices!N89+$D$2)*IF($M$2="Prices in $/MWh",1,1/1000)</f>
        <v>25.56</v>
      </c>
      <c r="O101" s="61"/>
    </row>
    <row r="102" spans="2:15" x14ac:dyDescent="0.25">
      <c r="B102" s="99" t="s">
        <v>638</v>
      </c>
      <c r="C102" s="78" t="str">
        <f>PA_prices!C90</f>
        <v>July-2016</v>
      </c>
      <c r="D102" s="79" t="str">
        <f>PA_prices!D90</f>
        <v>PA</v>
      </c>
      <c r="E102" s="80" t="str">
        <f>PA_prices!E90</f>
        <v>MetED</v>
      </c>
      <c r="F102" s="79" t="str">
        <f>PA_prices!F90</f>
        <v>GSCM</v>
      </c>
      <c r="G102" s="80" t="str">
        <f>PA_prices!G90</f>
        <v>General Service Medium</v>
      </c>
      <c r="H102" s="81" t="str">
        <f t="shared" ref="H102" si="85">IF($M$2="Prices in $/MWh","100-500 MWh","100,000-500,000 kWh")</f>
        <v>100-500 MWh</v>
      </c>
      <c r="I102" s="80">
        <f>(PA_prices!I90+$D$2)*IF($M$2="Prices in $/MWh",1,1/1000)</f>
        <v>66.77</v>
      </c>
      <c r="J102" s="79">
        <f>(PA_prices!J90+$D$2)*IF($M$2="Prices in $/MWh",1,1/1000)</f>
        <v>64.930000000000007</v>
      </c>
      <c r="K102" s="80">
        <f>(PA_prices!K90+$D$2)*IF($M$2="Prices in $/MWh",1,1/1000)</f>
        <v>66.2</v>
      </c>
      <c r="L102" s="79">
        <f>(PA_prices!L90+$D$2)*IF($M$2="Prices in $/MWh",1,1/1000)</f>
        <v>23.52</v>
      </c>
      <c r="M102" s="80">
        <f>(PA_prices!M90+$D$2)*IF($M$2="Prices in $/MWh",1,1/1000)</f>
        <v>22.77</v>
      </c>
      <c r="N102" s="79">
        <f>(PA_prices!N90+$D$2)*IF($M$2="Prices in $/MWh",1,1/1000)</f>
        <v>23.96</v>
      </c>
      <c r="O102" s="61"/>
    </row>
    <row r="103" spans="2:15" x14ac:dyDescent="0.25">
      <c r="B103" s="99" t="s">
        <v>638</v>
      </c>
      <c r="C103" s="82" t="str">
        <f>PA_prices!C91</f>
        <v>July-2016</v>
      </c>
      <c r="D103" s="83" t="str">
        <f>PA_prices!D91</f>
        <v>PA</v>
      </c>
      <c r="E103" s="84" t="str">
        <f>PA_prices!E91</f>
        <v>MetED</v>
      </c>
      <c r="F103" s="83" t="str">
        <f>PA_prices!F91</f>
        <v>GSCM</v>
      </c>
      <c r="G103" s="84" t="str">
        <f>PA_prices!G91</f>
        <v>General Service Medium</v>
      </c>
      <c r="H103" s="85" t="str">
        <f t="shared" ref="H103" si="86">IF($M$2="Prices in $/MWh","500-2500 MWh","500,000-2,500,000 kWh")</f>
        <v>500-2500 MWh</v>
      </c>
      <c r="I103" s="84">
        <f>(PA_prices!I91+$D$2)*IF($M$2="Prices in $/MWh",1,1/1000)</f>
        <v>65.72</v>
      </c>
      <c r="J103" s="83">
        <f>(PA_prices!J91+$D$2)*IF($M$2="Prices in $/MWh",1,1/1000)</f>
        <v>63.88</v>
      </c>
      <c r="K103" s="84">
        <f>(PA_prices!K91+$D$2)*IF($M$2="Prices in $/MWh",1,1/1000)</f>
        <v>65.150000000000006</v>
      </c>
      <c r="L103" s="83">
        <f>(PA_prices!L91+$D$2)*IF($M$2="Prices in $/MWh",1,1/1000)</f>
        <v>22.47</v>
      </c>
      <c r="M103" s="84">
        <f>(PA_prices!M91+$D$2)*IF($M$2="Prices in $/MWh",1,1/1000)</f>
        <v>21.72</v>
      </c>
      <c r="N103" s="83">
        <f>(PA_prices!N91+$D$2)*IF($M$2="Prices in $/MWh",1,1/1000)</f>
        <v>22.91</v>
      </c>
      <c r="O103" s="61"/>
    </row>
    <row r="104" spans="2:15" x14ac:dyDescent="0.25">
      <c r="B104" s="99" t="s">
        <v>638</v>
      </c>
      <c r="C104" s="74" t="str">
        <f>PA_prices!C92</f>
        <v>August-2016</v>
      </c>
      <c r="D104" s="75" t="str">
        <f>PA_prices!D92</f>
        <v>PA</v>
      </c>
      <c r="E104" s="76" t="str">
        <f>PA_prices!E92</f>
        <v>MetED</v>
      </c>
      <c r="F104" s="75" t="str">
        <f>PA_prices!F92</f>
        <v>GSCM</v>
      </c>
      <c r="G104" s="76" t="str">
        <f>PA_prices!G92</f>
        <v>General Service Medium</v>
      </c>
      <c r="H104" s="77" t="str">
        <f t="shared" ref="H104" si="87">IF($M$2="Prices in $/MWh","0-100 MWh","0-100,000 kWh")</f>
        <v>0-100 MWh</v>
      </c>
      <c r="I104" s="76">
        <f>(PA_prices!I92+$D$2)*IF($M$2="Prices in $/MWh",1,1/1000)</f>
        <v>68.27</v>
      </c>
      <c r="J104" s="75">
        <f>(PA_prices!J92+$D$2)*IF($M$2="Prices in $/MWh",1,1/1000)</f>
        <v>67.47</v>
      </c>
      <c r="K104" s="76">
        <f>(PA_prices!K92+$D$2)*IF($M$2="Prices in $/MWh",1,1/1000)</f>
        <v>68.03</v>
      </c>
      <c r="L104" s="75">
        <f>(PA_prices!L92+$D$2)*IF($M$2="Prices in $/MWh",1,1/1000)</f>
        <v>25.19</v>
      </c>
      <c r="M104" s="76">
        <f>(PA_prices!M92+$D$2)*IF($M$2="Prices in $/MWh",1,1/1000)</f>
        <v>25.32</v>
      </c>
      <c r="N104" s="75">
        <f>(PA_prices!N92+$D$2)*IF($M$2="Prices in $/MWh",1,1/1000)</f>
        <v>25.98</v>
      </c>
      <c r="O104" s="61"/>
    </row>
    <row r="105" spans="2:15" x14ac:dyDescent="0.25">
      <c r="B105" s="99" t="s">
        <v>638</v>
      </c>
      <c r="C105" s="78" t="str">
        <f>PA_prices!C93</f>
        <v>August-2016</v>
      </c>
      <c r="D105" s="79" t="str">
        <f>PA_prices!D93</f>
        <v>PA</v>
      </c>
      <c r="E105" s="80" t="str">
        <f>PA_prices!E93</f>
        <v>MetED</v>
      </c>
      <c r="F105" s="79" t="str">
        <f>PA_prices!F93</f>
        <v>GSCM</v>
      </c>
      <c r="G105" s="80" t="str">
        <f>PA_prices!G93</f>
        <v>General Service Medium</v>
      </c>
      <c r="H105" s="81" t="str">
        <f t="shared" ref="H105" si="88">IF($M$2="Prices in $/MWh","100-500 MWh","100,000-500,000 kWh")</f>
        <v>100-500 MWh</v>
      </c>
      <c r="I105" s="80">
        <f>(PA_prices!I93+$D$2)*IF($M$2="Prices in $/MWh",1,1/1000)</f>
        <v>66.67</v>
      </c>
      <c r="J105" s="79">
        <f>(PA_prices!J93+$D$2)*IF($M$2="Prices in $/MWh",1,1/1000)</f>
        <v>65.87</v>
      </c>
      <c r="K105" s="80">
        <f>(PA_prices!K93+$D$2)*IF($M$2="Prices in $/MWh",1,1/1000)</f>
        <v>66.430000000000007</v>
      </c>
      <c r="L105" s="79">
        <f>(PA_prices!L93+$D$2)*IF($M$2="Prices in $/MWh",1,1/1000)</f>
        <v>23.59</v>
      </c>
      <c r="M105" s="80">
        <f>(PA_prices!M93+$D$2)*IF($M$2="Prices in $/MWh",1,1/1000)</f>
        <v>23.72</v>
      </c>
      <c r="N105" s="79">
        <f>(PA_prices!N93+$D$2)*IF($M$2="Prices in $/MWh",1,1/1000)</f>
        <v>24.38</v>
      </c>
      <c r="O105" s="61"/>
    </row>
    <row r="106" spans="2:15" x14ac:dyDescent="0.25">
      <c r="B106" s="99" t="s">
        <v>638</v>
      </c>
      <c r="C106" s="82" t="str">
        <f>PA_prices!C94</f>
        <v>August-2016</v>
      </c>
      <c r="D106" s="83" t="str">
        <f>PA_prices!D94</f>
        <v>PA</v>
      </c>
      <c r="E106" s="84" t="str">
        <f>PA_prices!E94</f>
        <v>MetED</v>
      </c>
      <c r="F106" s="83" t="str">
        <f>PA_prices!F94</f>
        <v>GSCM</v>
      </c>
      <c r="G106" s="84" t="str">
        <f>PA_prices!G94</f>
        <v>General Service Medium</v>
      </c>
      <c r="H106" s="85" t="str">
        <f t="shared" ref="H106" si="89">IF($M$2="Prices in $/MWh","500-2500 MWh","500,000-2,500,000 kWh")</f>
        <v>500-2500 MWh</v>
      </c>
      <c r="I106" s="84">
        <f>(PA_prices!I94+$D$2)*IF($M$2="Prices in $/MWh",1,1/1000)</f>
        <v>65.62</v>
      </c>
      <c r="J106" s="83">
        <f>(PA_prices!J94+$D$2)*IF($M$2="Prices in $/MWh",1,1/1000)</f>
        <v>64.819999999999993</v>
      </c>
      <c r="K106" s="84">
        <f>(PA_prices!K94+$D$2)*IF($M$2="Prices in $/MWh",1,1/1000)</f>
        <v>65.38</v>
      </c>
      <c r="L106" s="83">
        <f>(PA_prices!L94+$D$2)*IF($M$2="Prices in $/MWh",1,1/1000)</f>
        <v>22.54</v>
      </c>
      <c r="M106" s="84">
        <f>(PA_prices!M94+$D$2)*IF($M$2="Prices in $/MWh",1,1/1000)</f>
        <v>22.67</v>
      </c>
      <c r="N106" s="83">
        <f>(PA_prices!N94+$D$2)*IF($M$2="Prices in $/MWh",1,1/1000)</f>
        <v>23.33</v>
      </c>
      <c r="O106" s="61"/>
    </row>
    <row r="107" spans="2:15" x14ac:dyDescent="0.25">
      <c r="B107" s="99" t="s">
        <v>638</v>
      </c>
      <c r="C107" s="74" t="str">
        <f>PA_prices!C95</f>
        <v>September-2016</v>
      </c>
      <c r="D107" s="75" t="str">
        <f>PA_prices!D95</f>
        <v>PA</v>
      </c>
      <c r="E107" s="76" t="str">
        <f>PA_prices!E95</f>
        <v>MetED</v>
      </c>
      <c r="F107" s="75" t="str">
        <f>PA_prices!F95</f>
        <v>GSCM</v>
      </c>
      <c r="G107" s="76" t="str">
        <f>PA_prices!G95</f>
        <v>General Service Medium</v>
      </c>
      <c r="H107" s="77" t="str">
        <f t="shared" ref="H107" si="90">IF($M$2="Prices in $/MWh","0-100 MWh","0-100,000 kWh")</f>
        <v>0-100 MWh</v>
      </c>
      <c r="I107" s="76">
        <f>(PA_prices!I95+$D$2)*IF($M$2="Prices in $/MWh",1,1/1000)</f>
        <v>67.98</v>
      </c>
      <c r="J107" s="75">
        <f>(PA_prices!J95+$D$2)*IF($M$2="Prices in $/MWh",1,1/1000)</f>
        <v>68.290000000000006</v>
      </c>
      <c r="K107" s="76">
        <f>(PA_prices!K95+$D$2)*IF($M$2="Prices in $/MWh",1,1/1000)</f>
        <v>68.150000000000006</v>
      </c>
      <c r="L107" s="75">
        <f>(PA_prices!L95+$D$2)*IF($M$2="Prices in $/MWh",1,1/1000)</f>
        <v>24.91</v>
      </c>
      <c r="M107" s="76">
        <f>(PA_prices!M95+$D$2)*IF($M$2="Prices in $/MWh",1,1/1000)</f>
        <v>26.08</v>
      </c>
      <c r="N107" s="75">
        <f>(PA_prices!N95+$D$2)*IF($M$2="Prices in $/MWh",1,1/1000)</f>
        <v>26.31</v>
      </c>
      <c r="O107" s="61"/>
    </row>
    <row r="108" spans="2:15" x14ac:dyDescent="0.25">
      <c r="B108" s="99" t="s">
        <v>638</v>
      </c>
      <c r="C108" s="78" t="str">
        <f>PA_prices!C96</f>
        <v>September-2016</v>
      </c>
      <c r="D108" s="79" t="str">
        <f>PA_prices!D96</f>
        <v>PA</v>
      </c>
      <c r="E108" s="80" t="str">
        <f>PA_prices!E96</f>
        <v>MetED</v>
      </c>
      <c r="F108" s="79" t="str">
        <f>PA_prices!F96</f>
        <v>GSCM</v>
      </c>
      <c r="G108" s="80" t="str">
        <f>PA_prices!G96</f>
        <v>General Service Medium</v>
      </c>
      <c r="H108" s="81" t="str">
        <f t="shared" ref="H108" si="91">IF($M$2="Prices in $/MWh","100-500 MWh","100,000-500,000 kWh")</f>
        <v>100-500 MWh</v>
      </c>
      <c r="I108" s="80">
        <f>(PA_prices!I96+$D$2)*IF($M$2="Prices in $/MWh",1,1/1000)</f>
        <v>66.38</v>
      </c>
      <c r="J108" s="79">
        <f>(PA_prices!J96+$D$2)*IF($M$2="Prices in $/MWh",1,1/1000)</f>
        <v>66.69</v>
      </c>
      <c r="K108" s="80">
        <f>(PA_prices!K96+$D$2)*IF($M$2="Prices in $/MWh",1,1/1000)</f>
        <v>66.55</v>
      </c>
      <c r="L108" s="79">
        <f>(PA_prices!L96+$D$2)*IF($M$2="Prices in $/MWh",1,1/1000)</f>
        <v>23.31</v>
      </c>
      <c r="M108" s="80">
        <f>(PA_prices!M96+$D$2)*IF($M$2="Prices in $/MWh",1,1/1000)</f>
        <v>24.48</v>
      </c>
      <c r="N108" s="79">
        <f>(PA_prices!N96+$D$2)*IF($M$2="Prices in $/MWh",1,1/1000)</f>
        <v>24.71</v>
      </c>
      <c r="O108" s="61"/>
    </row>
    <row r="109" spans="2:15" x14ac:dyDescent="0.25">
      <c r="B109" s="99" t="s">
        <v>638</v>
      </c>
      <c r="C109" s="82" t="str">
        <f>PA_prices!C97</f>
        <v>September-2016</v>
      </c>
      <c r="D109" s="83" t="str">
        <f>PA_prices!D97</f>
        <v>PA</v>
      </c>
      <c r="E109" s="84" t="str">
        <f>PA_prices!E97</f>
        <v>MetED</v>
      </c>
      <c r="F109" s="83" t="str">
        <f>PA_prices!F97</f>
        <v>GSCM</v>
      </c>
      <c r="G109" s="84" t="str">
        <f>PA_prices!G97</f>
        <v>General Service Medium</v>
      </c>
      <c r="H109" s="85" t="str">
        <f t="shared" ref="H109" si="92">IF($M$2="Prices in $/MWh","500-2500 MWh","500,000-2,500,000 kWh")</f>
        <v>500-2500 MWh</v>
      </c>
      <c r="I109" s="84">
        <f>(PA_prices!I97+$D$2)*IF($M$2="Prices in $/MWh",1,1/1000)</f>
        <v>65.33</v>
      </c>
      <c r="J109" s="83">
        <f>(PA_prices!J97+$D$2)*IF($M$2="Prices in $/MWh",1,1/1000)</f>
        <v>65.64</v>
      </c>
      <c r="K109" s="84">
        <f>(PA_prices!K97+$D$2)*IF($M$2="Prices in $/MWh",1,1/1000)</f>
        <v>65.5</v>
      </c>
      <c r="L109" s="83">
        <f>(PA_prices!L97+$D$2)*IF($M$2="Prices in $/MWh",1,1/1000)</f>
        <v>22.26</v>
      </c>
      <c r="M109" s="84">
        <f>(PA_prices!M97+$D$2)*IF($M$2="Prices in $/MWh",1,1/1000)</f>
        <v>23.43</v>
      </c>
      <c r="N109" s="83">
        <f>(PA_prices!N97+$D$2)*IF($M$2="Prices in $/MWh",1,1/1000)</f>
        <v>23.66</v>
      </c>
      <c r="O109" s="61"/>
    </row>
    <row r="110" spans="2:15" x14ac:dyDescent="0.25">
      <c r="B110" s="99" t="s">
        <v>638</v>
      </c>
      <c r="C110" s="74" t="str">
        <f>PA_prices!C98</f>
        <v>October-2016</v>
      </c>
      <c r="D110" s="75" t="str">
        <f>PA_prices!D98</f>
        <v>PA</v>
      </c>
      <c r="E110" s="76" t="str">
        <f>PA_prices!E98</f>
        <v>MetED</v>
      </c>
      <c r="F110" s="75" t="str">
        <f>PA_prices!F98</f>
        <v>GSCM</v>
      </c>
      <c r="G110" s="76" t="str">
        <f>PA_prices!G98</f>
        <v>General Service Medium</v>
      </c>
      <c r="H110" s="77" t="str">
        <f t="shared" ref="H110" si="93">IF($M$2="Prices in $/MWh","0-100 MWh","0-100,000 kWh")</f>
        <v>0-100 MWh</v>
      </c>
      <c r="I110" s="76">
        <f>(PA_prices!I98+$D$2)*IF($M$2="Prices in $/MWh",1,1/1000)</f>
        <v>68.02</v>
      </c>
      <c r="J110" s="75">
        <f>(PA_prices!J98+$D$2)*IF($M$2="Prices in $/MWh",1,1/1000)</f>
        <v>69.02</v>
      </c>
      <c r="K110" s="76">
        <f>(PA_prices!K98+$D$2)*IF($M$2="Prices in $/MWh",1,1/1000)</f>
        <v>68.209999999999994</v>
      </c>
      <c r="L110" s="75">
        <f>(PA_prices!L98+$D$2)*IF($M$2="Prices in $/MWh",1,1/1000)</f>
        <v>25.13</v>
      </c>
      <c r="M110" s="76">
        <f>(PA_prices!M98+$D$2)*IF($M$2="Prices in $/MWh",1,1/1000)</f>
        <v>26.89</v>
      </c>
      <c r="N110" s="75">
        <f>(PA_prices!N98+$D$2)*IF($M$2="Prices in $/MWh",1,1/1000)</f>
        <v>26.55</v>
      </c>
      <c r="O110" s="61"/>
    </row>
    <row r="111" spans="2:15" x14ac:dyDescent="0.25">
      <c r="B111" s="99" t="s">
        <v>638</v>
      </c>
      <c r="C111" s="78" t="str">
        <f>PA_prices!C99</f>
        <v>October-2016</v>
      </c>
      <c r="D111" s="79" t="str">
        <f>PA_prices!D99</f>
        <v>PA</v>
      </c>
      <c r="E111" s="80" t="str">
        <f>PA_prices!E99</f>
        <v>MetED</v>
      </c>
      <c r="F111" s="79" t="str">
        <f>PA_prices!F99</f>
        <v>GSCM</v>
      </c>
      <c r="G111" s="80" t="str">
        <f>PA_prices!G99</f>
        <v>General Service Medium</v>
      </c>
      <c r="H111" s="81" t="str">
        <f t="shared" ref="H111" si="94">IF($M$2="Prices in $/MWh","100-500 MWh","100,000-500,000 kWh")</f>
        <v>100-500 MWh</v>
      </c>
      <c r="I111" s="80">
        <f>(PA_prices!I99+$D$2)*IF($M$2="Prices in $/MWh",1,1/1000)</f>
        <v>66.42</v>
      </c>
      <c r="J111" s="79">
        <f>(PA_prices!J99+$D$2)*IF($M$2="Prices in $/MWh",1,1/1000)</f>
        <v>67.42</v>
      </c>
      <c r="K111" s="80">
        <f>(PA_prices!K99+$D$2)*IF($M$2="Prices in $/MWh",1,1/1000)</f>
        <v>66.61</v>
      </c>
      <c r="L111" s="79">
        <f>(PA_prices!L99+$D$2)*IF($M$2="Prices in $/MWh",1,1/1000)</f>
        <v>23.53</v>
      </c>
      <c r="M111" s="80">
        <f>(PA_prices!M99+$D$2)*IF($M$2="Prices in $/MWh",1,1/1000)</f>
        <v>25.29</v>
      </c>
      <c r="N111" s="79">
        <f>(PA_prices!N99+$D$2)*IF($M$2="Prices in $/MWh",1,1/1000)</f>
        <v>24.95</v>
      </c>
      <c r="O111" s="61"/>
    </row>
    <row r="112" spans="2:15" x14ac:dyDescent="0.25">
      <c r="B112" s="99" t="s">
        <v>638</v>
      </c>
      <c r="C112" s="82" t="str">
        <f>PA_prices!C100</f>
        <v>October-2016</v>
      </c>
      <c r="D112" s="83" t="str">
        <f>PA_prices!D100</f>
        <v>PA</v>
      </c>
      <c r="E112" s="84" t="str">
        <f>PA_prices!E100</f>
        <v>MetED</v>
      </c>
      <c r="F112" s="83" t="str">
        <f>PA_prices!F100</f>
        <v>GSCM</v>
      </c>
      <c r="G112" s="84" t="str">
        <f>PA_prices!G100</f>
        <v>General Service Medium</v>
      </c>
      <c r="H112" s="85" t="str">
        <f t="shared" ref="H112" si="95">IF($M$2="Prices in $/MWh","500-2500 MWh","500,000-2,500,000 kWh")</f>
        <v>500-2500 MWh</v>
      </c>
      <c r="I112" s="84">
        <f>(PA_prices!I100+$D$2)*IF($M$2="Prices in $/MWh",1,1/1000)</f>
        <v>65.37</v>
      </c>
      <c r="J112" s="83">
        <f>(PA_prices!J100+$D$2)*IF($M$2="Prices in $/MWh",1,1/1000)</f>
        <v>66.37</v>
      </c>
      <c r="K112" s="84">
        <f>(PA_prices!K100+$D$2)*IF($M$2="Prices in $/MWh",1,1/1000)</f>
        <v>65.56</v>
      </c>
      <c r="L112" s="83">
        <f>(PA_prices!L100+$D$2)*IF($M$2="Prices in $/MWh",1,1/1000)</f>
        <v>22.48</v>
      </c>
      <c r="M112" s="84">
        <f>(PA_prices!M100+$D$2)*IF($M$2="Prices in $/MWh",1,1/1000)</f>
        <v>24.24</v>
      </c>
      <c r="N112" s="83">
        <f>(PA_prices!N100+$D$2)*IF($M$2="Prices in $/MWh",1,1/1000)</f>
        <v>23.9</v>
      </c>
      <c r="O112" s="61"/>
    </row>
    <row r="113" spans="2:15" x14ac:dyDescent="0.25">
      <c r="B113" s="99" t="s">
        <v>638</v>
      </c>
      <c r="C113" s="74" t="str">
        <f>PA_prices!C101</f>
        <v>November-2016</v>
      </c>
      <c r="D113" s="75" t="str">
        <f>PA_prices!D101</f>
        <v>PA</v>
      </c>
      <c r="E113" s="76" t="str">
        <f>PA_prices!E101</f>
        <v>MetED</v>
      </c>
      <c r="F113" s="75" t="str">
        <f>PA_prices!F101</f>
        <v>GSCM</v>
      </c>
      <c r="G113" s="76" t="str">
        <f>PA_prices!G101</f>
        <v>General Service Medium</v>
      </c>
      <c r="H113" s="77" t="str">
        <f t="shared" ref="H113" si="96">IF($M$2="Prices in $/MWh","0-100 MWh","0-100,000 kWh")</f>
        <v>0-100 MWh</v>
      </c>
      <c r="I113" s="76">
        <f>(PA_prices!I101+$D$2)*IF($M$2="Prices in $/MWh",1,1/1000)</f>
        <v>67.989999999999995</v>
      </c>
      <c r="J113" s="75">
        <f>(PA_prices!J101+$D$2)*IF($M$2="Prices in $/MWh",1,1/1000)</f>
        <v>69.22</v>
      </c>
      <c r="K113" s="76">
        <f>(PA_prices!K101+$D$2)*IF($M$2="Prices in $/MWh",1,1/1000)</f>
        <v>68.25</v>
      </c>
      <c r="L113" s="75">
        <f>(PA_prices!L101+$D$2)*IF($M$2="Prices in $/MWh",1,1/1000)</f>
        <v>25.29</v>
      </c>
      <c r="M113" s="76">
        <f>(PA_prices!M101+$D$2)*IF($M$2="Prices in $/MWh",1,1/1000)</f>
        <v>27.02</v>
      </c>
      <c r="N113" s="75">
        <f>(PA_prices!N101+$D$2)*IF($M$2="Prices in $/MWh",1,1/1000)</f>
        <v>26.72</v>
      </c>
      <c r="O113" s="61"/>
    </row>
    <row r="114" spans="2:15" x14ac:dyDescent="0.25">
      <c r="B114" s="99" t="s">
        <v>638</v>
      </c>
      <c r="C114" s="78" t="str">
        <f>PA_prices!C102</f>
        <v>November-2016</v>
      </c>
      <c r="D114" s="79" t="str">
        <f>PA_prices!D102</f>
        <v>PA</v>
      </c>
      <c r="E114" s="80" t="str">
        <f>PA_prices!E102</f>
        <v>MetED</v>
      </c>
      <c r="F114" s="79" t="str">
        <f>PA_prices!F102</f>
        <v>GSCM</v>
      </c>
      <c r="G114" s="80" t="str">
        <f>PA_prices!G102</f>
        <v>General Service Medium</v>
      </c>
      <c r="H114" s="81" t="str">
        <f t="shared" ref="H114" si="97">IF($M$2="Prices in $/MWh","100-500 MWh","100,000-500,000 kWh")</f>
        <v>100-500 MWh</v>
      </c>
      <c r="I114" s="80">
        <f>(PA_prices!I102+$D$2)*IF($M$2="Prices in $/MWh",1,1/1000)</f>
        <v>66.39</v>
      </c>
      <c r="J114" s="79">
        <f>(PA_prices!J102+$D$2)*IF($M$2="Prices in $/MWh",1,1/1000)</f>
        <v>67.62</v>
      </c>
      <c r="K114" s="80">
        <f>(PA_prices!K102+$D$2)*IF($M$2="Prices in $/MWh",1,1/1000)</f>
        <v>66.650000000000006</v>
      </c>
      <c r="L114" s="79">
        <f>(PA_prices!L102+$D$2)*IF($M$2="Prices in $/MWh",1,1/1000)</f>
        <v>23.69</v>
      </c>
      <c r="M114" s="80">
        <f>(PA_prices!M102+$D$2)*IF($M$2="Prices in $/MWh",1,1/1000)</f>
        <v>25.42</v>
      </c>
      <c r="N114" s="79">
        <f>(PA_prices!N102+$D$2)*IF($M$2="Prices in $/MWh",1,1/1000)</f>
        <v>25.12</v>
      </c>
      <c r="O114" s="61"/>
    </row>
    <row r="115" spans="2:15" x14ac:dyDescent="0.25">
      <c r="B115" s="99" t="s">
        <v>638</v>
      </c>
      <c r="C115" s="82" t="str">
        <f>PA_prices!C103</f>
        <v>November-2016</v>
      </c>
      <c r="D115" s="83" t="str">
        <f>PA_prices!D103</f>
        <v>PA</v>
      </c>
      <c r="E115" s="84" t="str">
        <f>PA_prices!E103</f>
        <v>MetED</v>
      </c>
      <c r="F115" s="83" t="str">
        <f>PA_prices!F103</f>
        <v>GSCM</v>
      </c>
      <c r="G115" s="84" t="str">
        <f>PA_prices!G103</f>
        <v>General Service Medium</v>
      </c>
      <c r="H115" s="85" t="str">
        <f t="shared" ref="H115" si="98">IF($M$2="Prices in $/MWh","500-2500 MWh","500,000-2,500,000 kWh")</f>
        <v>500-2500 MWh</v>
      </c>
      <c r="I115" s="84">
        <f>(PA_prices!I103+$D$2)*IF($M$2="Prices in $/MWh",1,1/1000)</f>
        <v>65.34</v>
      </c>
      <c r="J115" s="83">
        <f>(PA_prices!J103+$D$2)*IF($M$2="Prices in $/MWh",1,1/1000)</f>
        <v>66.569999999999993</v>
      </c>
      <c r="K115" s="84">
        <f>(PA_prices!K103+$D$2)*IF($M$2="Prices in $/MWh",1,1/1000)</f>
        <v>65.599999999999994</v>
      </c>
      <c r="L115" s="83">
        <f>(PA_prices!L103+$D$2)*IF($M$2="Prices in $/MWh",1,1/1000)</f>
        <v>22.64</v>
      </c>
      <c r="M115" s="84">
        <f>(PA_prices!M103+$D$2)*IF($M$2="Prices in $/MWh",1,1/1000)</f>
        <v>24.37</v>
      </c>
      <c r="N115" s="83">
        <f>(PA_prices!N103+$D$2)*IF($M$2="Prices in $/MWh",1,1/1000)</f>
        <v>24.07</v>
      </c>
      <c r="O115" s="61"/>
    </row>
    <row r="116" spans="2:15" x14ac:dyDescent="0.25">
      <c r="B116" s="99" t="s">
        <v>638</v>
      </c>
      <c r="C116" s="74" t="str">
        <f>PA_prices!C104</f>
        <v>December-2016</v>
      </c>
      <c r="D116" s="75" t="str">
        <f>PA_prices!D104</f>
        <v>PA</v>
      </c>
      <c r="E116" s="76" t="str">
        <f>PA_prices!E104</f>
        <v>MetED</v>
      </c>
      <c r="F116" s="75" t="str">
        <f>PA_prices!F104</f>
        <v>GSCM</v>
      </c>
      <c r="G116" s="76" t="str">
        <f>PA_prices!G104</f>
        <v>General Service Medium</v>
      </c>
      <c r="H116" s="77" t="str">
        <f t="shared" ref="H116" si="99">IF($M$2="Prices in $/MWh","0-100 MWh","0-100,000 kWh")</f>
        <v>0-100 MWh</v>
      </c>
      <c r="I116" s="76">
        <f>(PA_prices!I104+$D$2)*IF($M$2="Prices in $/MWh",1,1/1000)</f>
        <v>67.72</v>
      </c>
      <c r="J116" s="75">
        <f>(PA_prices!J104+$D$2)*IF($M$2="Prices in $/MWh",1,1/1000)</f>
        <v>69.19</v>
      </c>
      <c r="K116" s="76">
        <f>(PA_prices!K104+$D$2)*IF($M$2="Prices in $/MWh",1,1/1000)</f>
        <v>68.23</v>
      </c>
      <c r="L116" s="75">
        <f>(PA_prices!L104+$D$2)*IF($M$2="Prices in $/MWh",1,1/1000)</f>
        <v>25.08</v>
      </c>
      <c r="M116" s="76">
        <f>(PA_prices!M104+$D$2)*IF($M$2="Prices in $/MWh",1,1/1000)</f>
        <v>26.82</v>
      </c>
      <c r="N116" s="75">
        <f>(PA_prices!N104+$D$2)*IF($M$2="Prices in $/MWh",1,1/1000)</f>
        <v>26.82</v>
      </c>
      <c r="O116" s="61"/>
    </row>
    <row r="117" spans="2:15" x14ac:dyDescent="0.25">
      <c r="B117" s="99" t="s">
        <v>638</v>
      </c>
      <c r="C117" s="78" t="str">
        <f>PA_prices!C105</f>
        <v>December-2016</v>
      </c>
      <c r="D117" s="79" t="str">
        <f>PA_prices!D105</f>
        <v>PA</v>
      </c>
      <c r="E117" s="80" t="str">
        <f>PA_prices!E105</f>
        <v>MetED</v>
      </c>
      <c r="F117" s="79" t="str">
        <f>PA_prices!F105</f>
        <v>GSCM</v>
      </c>
      <c r="G117" s="80" t="str">
        <f>PA_prices!G105</f>
        <v>General Service Medium</v>
      </c>
      <c r="H117" s="81" t="str">
        <f t="shared" ref="H117" si="100">IF($M$2="Prices in $/MWh","100-500 MWh","100,000-500,000 kWh")</f>
        <v>100-500 MWh</v>
      </c>
      <c r="I117" s="80">
        <f>(PA_prices!I105+$D$2)*IF($M$2="Prices in $/MWh",1,1/1000)</f>
        <v>66.12</v>
      </c>
      <c r="J117" s="79">
        <f>(PA_prices!J105+$D$2)*IF($M$2="Prices in $/MWh",1,1/1000)</f>
        <v>67.59</v>
      </c>
      <c r="K117" s="80">
        <f>(PA_prices!K105+$D$2)*IF($M$2="Prices in $/MWh",1,1/1000)</f>
        <v>66.63</v>
      </c>
      <c r="L117" s="79">
        <f>(PA_prices!L105+$D$2)*IF($M$2="Prices in $/MWh",1,1/1000)</f>
        <v>23.48</v>
      </c>
      <c r="M117" s="80">
        <f>(PA_prices!M105+$D$2)*IF($M$2="Prices in $/MWh",1,1/1000)</f>
        <v>25.22</v>
      </c>
      <c r="N117" s="79">
        <f>(PA_prices!N105+$D$2)*IF($M$2="Prices in $/MWh",1,1/1000)</f>
        <v>25.22</v>
      </c>
      <c r="O117" s="61"/>
    </row>
    <row r="118" spans="2:15" x14ac:dyDescent="0.25">
      <c r="B118" s="99" t="s">
        <v>638</v>
      </c>
      <c r="C118" s="82" t="str">
        <f>PA_prices!C106</f>
        <v>December-2016</v>
      </c>
      <c r="D118" s="83" t="str">
        <f>PA_prices!D106</f>
        <v>PA</v>
      </c>
      <c r="E118" s="84" t="str">
        <f>PA_prices!E106</f>
        <v>MetED</v>
      </c>
      <c r="F118" s="83" t="str">
        <f>PA_prices!F106</f>
        <v>GSCM</v>
      </c>
      <c r="G118" s="84" t="str">
        <f>PA_prices!G106</f>
        <v>General Service Medium</v>
      </c>
      <c r="H118" s="85" t="str">
        <f t="shared" ref="H118" si="101">IF($M$2="Prices in $/MWh","500-2500 MWh","500,000-2,500,000 kWh")</f>
        <v>500-2500 MWh</v>
      </c>
      <c r="I118" s="84">
        <f>(PA_prices!I106+$D$2)*IF($M$2="Prices in $/MWh",1,1/1000)</f>
        <v>65.069999999999993</v>
      </c>
      <c r="J118" s="83">
        <f>(PA_prices!J106+$D$2)*IF($M$2="Prices in $/MWh",1,1/1000)</f>
        <v>66.540000000000006</v>
      </c>
      <c r="K118" s="84">
        <f>(PA_prices!K106+$D$2)*IF($M$2="Prices in $/MWh",1,1/1000)</f>
        <v>65.58</v>
      </c>
      <c r="L118" s="83">
        <f>(PA_prices!L106+$D$2)*IF($M$2="Prices in $/MWh",1,1/1000)</f>
        <v>22.43</v>
      </c>
      <c r="M118" s="84">
        <f>(PA_prices!M106+$D$2)*IF($M$2="Prices in $/MWh",1,1/1000)</f>
        <v>24.17</v>
      </c>
      <c r="N118" s="83">
        <f>(PA_prices!N106+$D$2)*IF($M$2="Prices in $/MWh",1,1/1000)</f>
        <v>24.17</v>
      </c>
      <c r="O118" s="61"/>
    </row>
    <row r="119" spans="2:15" x14ac:dyDescent="0.25">
      <c r="B119" s="99" t="s">
        <v>638</v>
      </c>
      <c r="C119" s="74" t="str">
        <f>PA_prices!C107</f>
        <v>January-2017</v>
      </c>
      <c r="D119" s="75" t="str">
        <f>PA_prices!D107</f>
        <v>PA</v>
      </c>
      <c r="E119" s="76" t="str">
        <f>PA_prices!E107</f>
        <v>MetED</v>
      </c>
      <c r="F119" s="75" t="str">
        <f>PA_prices!F107</f>
        <v>GSCM</v>
      </c>
      <c r="G119" s="76" t="str">
        <f>PA_prices!G107</f>
        <v>General Service Medium</v>
      </c>
      <c r="H119" s="77" t="str">
        <f t="shared" ref="H119" si="102">IF($M$2="Prices in $/MWh","0-100 MWh","0-100,000 kWh")</f>
        <v>0-100 MWh</v>
      </c>
      <c r="I119" s="76">
        <f>(PA_prices!I107+$D$2)*IF($M$2="Prices in $/MWh",1,1/1000)</f>
        <v>67.709999999999994</v>
      </c>
      <c r="J119" s="75">
        <f>(PA_prices!J107+$D$2)*IF($M$2="Prices in $/MWh",1,1/1000)</f>
        <v>69.040000000000006</v>
      </c>
      <c r="K119" s="76">
        <f>(PA_prices!K107+$D$2)*IF($M$2="Prices in $/MWh",1,1/1000)</f>
        <v>68.41</v>
      </c>
      <c r="L119" s="75">
        <f>(PA_prices!L107+$D$2)*IF($M$2="Prices in $/MWh",1,1/1000)</f>
        <v>25.34</v>
      </c>
      <c r="M119" s="76">
        <f>(PA_prices!M107+$D$2)*IF($M$2="Prices in $/MWh",1,1/1000)</f>
        <v>26.62</v>
      </c>
      <c r="N119" s="75">
        <f>(PA_prices!N107+$D$2)*IF($M$2="Prices in $/MWh",1,1/1000)</f>
        <v>27.1</v>
      </c>
      <c r="O119" s="61"/>
    </row>
    <row r="120" spans="2:15" x14ac:dyDescent="0.25">
      <c r="B120" s="99" t="s">
        <v>638</v>
      </c>
      <c r="C120" s="78" t="str">
        <f>PA_prices!C108</f>
        <v>January-2017</v>
      </c>
      <c r="D120" s="79" t="str">
        <f>PA_prices!D108</f>
        <v>PA</v>
      </c>
      <c r="E120" s="80" t="str">
        <f>PA_prices!E108</f>
        <v>MetED</v>
      </c>
      <c r="F120" s="79" t="str">
        <f>PA_prices!F108</f>
        <v>GSCM</v>
      </c>
      <c r="G120" s="80" t="str">
        <f>PA_prices!G108</f>
        <v>General Service Medium</v>
      </c>
      <c r="H120" s="81" t="str">
        <f t="shared" ref="H120" si="103">IF($M$2="Prices in $/MWh","100-500 MWh","100,000-500,000 kWh")</f>
        <v>100-500 MWh</v>
      </c>
      <c r="I120" s="80">
        <f>(PA_prices!I108+$D$2)*IF($M$2="Prices in $/MWh",1,1/1000)</f>
        <v>66.11</v>
      </c>
      <c r="J120" s="79">
        <f>(PA_prices!J108+$D$2)*IF($M$2="Prices in $/MWh",1,1/1000)</f>
        <v>67.44</v>
      </c>
      <c r="K120" s="80">
        <f>(PA_prices!K108+$D$2)*IF($M$2="Prices in $/MWh",1,1/1000)</f>
        <v>66.81</v>
      </c>
      <c r="L120" s="79">
        <f>(PA_prices!L108+$D$2)*IF($M$2="Prices in $/MWh",1,1/1000)</f>
        <v>23.74</v>
      </c>
      <c r="M120" s="80">
        <f>(PA_prices!M108+$D$2)*IF($M$2="Prices in $/MWh",1,1/1000)</f>
        <v>25.02</v>
      </c>
      <c r="N120" s="79">
        <f>(PA_prices!N108+$D$2)*IF($M$2="Prices in $/MWh",1,1/1000)</f>
        <v>25.5</v>
      </c>
      <c r="O120" s="61"/>
    </row>
    <row r="121" spans="2:15" x14ac:dyDescent="0.25">
      <c r="B121" s="99" t="s">
        <v>638</v>
      </c>
      <c r="C121" s="82" t="str">
        <f>PA_prices!C109</f>
        <v>January-2017</v>
      </c>
      <c r="D121" s="83" t="str">
        <f>PA_prices!D109</f>
        <v>PA</v>
      </c>
      <c r="E121" s="84" t="str">
        <f>PA_prices!E109</f>
        <v>MetED</v>
      </c>
      <c r="F121" s="83" t="str">
        <f>PA_prices!F109</f>
        <v>GSCM</v>
      </c>
      <c r="G121" s="84" t="str">
        <f>PA_prices!G109</f>
        <v>General Service Medium</v>
      </c>
      <c r="H121" s="85" t="str">
        <f t="shared" ref="H121" si="104">IF($M$2="Prices in $/MWh","500-2500 MWh","500,000-2,500,000 kWh")</f>
        <v>500-2500 MWh</v>
      </c>
      <c r="I121" s="84">
        <f>(PA_prices!I109+$D$2)*IF($M$2="Prices in $/MWh",1,1/1000)</f>
        <v>65.06</v>
      </c>
      <c r="J121" s="83">
        <f>(PA_prices!J109+$D$2)*IF($M$2="Prices in $/MWh",1,1/1000)</f>
        <v>66.39</v>
      </c>
      <c r="K121" s="84">
        <f>(PA_prices!K109+$D$2)*IF($M$2="Prices in $/MWh",1,1/1000)</f>
        <v>65.760000000000005</v>
      </c>
      <c r="L121" s="83">
        <f>(PA_prices!L109+$D$2)*IF($M$2="Prices in $/MWh",1,1/1000)</f>
        <v>22.69</v>
      </c>
      <c r="M121" s="84">
        <f>(PA_prices!M109+$D$2)*IF($M$2="Prices in $/MWh",1,1/1000)</f>
        <v>23.97</v>
      </c>
      <c r="N121" s="83">
        <f>(PA_prices!N109+$D$2)*IF($M$2="Prices in $/MWh",1,1/1000)</f>
        <v>24.45</v>
      </c>
      <c r="O121" s="61"/>
    </row>
    <row r="122" spans="2:15" x14ac:dyDescent="0.25">
      <c r="B122" s="99" t="s">
        <v>639</v>
      </c>
      <c r="C122" s="74" t="str">
        <f>PA_prices!C110</f>
        <v>February-2016</v>
      </c>
      <c r="D122" s="75" t="str">
        <f>PA_prices!D110</f>
        <v>PA</v>
      </c>
      <c r="E122" s="76" t="str">
        <f>PA_prices!E110</f>
        <v>MetED</v>
      </c>
      <c r="F122" s="75" t="str">
        <f>PA_prices!F110</f>
        <v>GSCS</v>
      </c>
      <c r="G122" s="76" t="str">
        <f>PA_prices!G110</f>
        <v>General Service Small</v>
      </c>
      <c r="H122" s="77" t="str">
        <f t="shared" ref="H122" si="105">IF($M$2="Prices in $/MWh","0-100 MWh","0-100,000 kWh")</f>
        <v>0-100 MWh</v>
      </c>
      <c r="I122" s="76">
        <f>(PA_prices!I110+$D$2)*IF($M$2="Prices in $/MWh",1,1/1000)</f>
        <v>66.38</v>
      </c>
      <c r="J122" s="75">
        <f>(PA_prices!J110+$D$2)*IF($M$2="Prices in $/MWh",1,1/1000)</f>
        <v>67.510000000000005</v>
      </c>
      <c r="K122" s="76">
        <f>(PA_prices!K110+$D$2)*IF($M$2="Prices in $/MWh",1,1/1000)</f>
        <v>66.62</v>
      </c>
      <c r="L122" s="75">
        <f>(PA_prices!L110+$D$2)*IF($M$2="Prices in $/MWh",1,1/1000)</f>
        <v>24.73</v>
      </c>
      <c r="M122" s="76">
        <f>(PA_prices!M110+$D$2)*IF($M$2="Prices in $/MWh",1,1/1000)</f>
        <v>25.3</v>
      </c>
      <c r="N122" s="75">
        <f>(PA_prices!N110+$D$2)*IF($M$2="Prices in $/MWh",1,1/1000)</f>
        <v>25.08</v>
      </c>
      <c r="O122" s="61"/>
    </row>
    <row r="123" spans="2:15" x14ac:dyDescent="0.25">
      <c r="B123" s="99" t="s">
        <v>639</v>
      </c>
      <c r="C123" s="78" t="str">
        <f>PA_prices!C111</f>
        <v>February-2016</v>
      </c>
      <c r="D123" s="79" t="str">
        <f>PA_prices!D111</f>
        <v>PA</v>
      </c>
      <c r="E123" s="80" t="str">
        <f>PA_prices!E111</f>
        <v>MetED</v>
      </c>
      <c r="F123" s="79" t="str">
        <f>PA_prices!F111</f>
        <v>GSCS</v>
      </c>
      <c r="G123" s="80" t="str">
        <f>PA_prices!G111</f>
        <v>General Service Small</v>
      </c>
      <c r="H123" s="81" t="str">
        <f t="shared" ref="H123" si="106">IF($M$2="Prices in $/MWh","100-500 MWh","100,000-500,000 kWh")</f>
        <v>100-500 MWh</v>
      </c>
      <c r="I123" s="80">
        <f>(PA_prices!I111+$D$2)*IF($M$2="Prices in $/MWh",1,1/1000)</f>
        <v>64.78</v>
      </c>
      <c r="J123" s="79">
        <f>(PA_prices!J111+$D$2)*IF($M$2="Prices in $/MWh",1,1/1000)</f>
        <v>65.91</v>
      </c>
      <c r="K123" s="80">
        <f>(PA_prices!K111+$D$2)*IF($M$2="Prices in $/MWh",1,1/1000)</f>
        <v>65.02</v>
      </c>
      <c r="L123" s="79">
        <f>(PA_prices!L111+$D$2)*IF($M$2="Prices in $/MWh",1,1/1000)</f>
        <v>23.13</v>
      </c>
      <c r="M123" s="80">
        <f>(PA_prices!M111+$D$2)*IF($M$2="Prices in $/MWh",1,1/1000)</f>
        <v>23.7</v>
      </c>
      <c r="N123" s="79">
        <f>(PA_prices!N111+$D$2)*IF($M$2="Prices in $/MWh",1,1/1000)</f>
        <v>23.48</v>
      </c>
      <c r="O123" s="61"/>
    </row>
    <row r="124" spans="2:15" x14ac:dyDescent="0.25">
      <c r="B124" s="99" t="s">
        <v>639</v>
      </c>
      <c r="C124" s="82" t="str">
        <f>PA_prices!C112</f>
        <v>February-2016</v>
      </c>
      <c r="D124" s="83" t="str">
        <f>PA_prices!D112</f>
        <v>PA</v>
      </c>
      <c r="E124" s="84" t="str">
        <f>PA_prices!E112</f>
        <v>MetED</v>
      </c>
      <c r="F124" s="83" t="str">
        <f>PA_prices!F112</f>
        <v>GSCS</v>
      </c>
      <c r="G124" s="84" t="str">
        <f>PA_prices!G112</f>
        <v>General Service Small</v>
      </c>
      <c r="H124" s="85" t="str">
        <f t="shared" ref="H124" si="107">IF($M$2="Prices in $/MWh","500-2500 MWh","500,000-2,500,000 kWh")</f>
        <v>500-2500 MWh</v>
      </c>
      <c r="I124" s="84">
        <f>(PA_prices!I112+$D$2)*IF($M$2="Prices in $/MWh",1,1/1000)</f>
        <v>63.73</v>
      </c>
      <c r="J124" s="83">
        <f>(PA_prices!J112+$D$2)*IF($M$2="Prices in $/MWh",1,1/1000)</f>
        <v>64.86</v>
      </c>
      <c r="K124" s="84">
        <f>(PA_prices!K112+$D$2)*IF($M$2="Prices in $/MWh",1,1/1000)</f>
        <v>63.97</v>
      </c>
      <c r="L124" s="83">
        <f>(PA_prices!L112+$D$2)*IF($M$2="Prices in $/MWh",1,1/1000)</f>
        <v>22.08</v>
      </c>
      <c r="M124" s="84">
        <f>(PA_prices!M112+$D$2)*IF($M$2="Prices in $/MWh",1,1/1000)</f>
        <v>22.65</v>
      </c>
      <c r="N124" s="83">
        <f>(PA_prices!N112+$D$2)*IF($M$2="Prices in $/MWh",1,1/1000)</f>
        <v>22.43</v>
      </c>
      <c r="O124" s="61"/>
    </row>
    <row r="125" spans="2:15" x14ac:dyDescent="0.25">
      <c r="B125" s="99" t="s">
        <v>639</v>
      </c>
      <c r="C125" s="74" t="str">
        <f>PA_prices!C113</f>
        <v>March-2016</v>
      </c>
      <c r="D125" s="75" t="str">
        <f>PA_prices!D113</f>
        <v>PA</v>
      </c>
      <c r="E125" s="76" t="str">
        <f>PA_prices!E113</f>
        <v>MetED</v>
      </c>
      <c r="F125" s="75" t="str">
        <f>PA_prices!F113</f>
        <v>GSCS</v>
      </c>
      <c r="G125" s="76" t="str">
        <f>PA_prices!G113</f>
        <v>General Service Small</v>
      </c>
      <c r="H125" s="77" t="str">
        <f t="shared" ref="H125" si="108">IF($M$2="Prices in $/MWh","0-100 MWh","0-100,000 kWh")</f>
        <v>0-100 MWh</v>
      </c>
      <c r="I125" s="76">
        <f>(PA_prices!I113+$D$2)*IF($M$2="Prices in $/MWh",1,1/1000)</f>
        <v>67.28</v>
      </c>
      <c r="J125" s="75">
        <f>(PA_prices!J113+$D$2)*IF($M$2="Prices in $/MWh",1,1/1000)</f>
        <v>67.010000000000005</v>
      </c>
      <c r="K125" s="76">
        <f>(PA_prices!K113+$D$2)*IF($M$2="Prices in $/MWh",1,1/1000)</f>
        <v>66.94</v>
      </c>
      <c r="L125" s="75">
        <f>(PA_prices!L113+$D$2)*IF($M$2="Prices in $/MWh",1,1/1000)</f>
        <v>24.7</v>
      </c>
      <c r="M125" s="76">
        <f>(PA_prices!M113+$D$2)*IF($M$2="Prices in $/MWh",1,1/1000)</f>
        <v>24.49</v>
      </c>
      <c r="N125" s="75">
        <f>(PA_prices!N113+$D$2)*IF($M$2="Prices in $/MWh",1,1/1000)</f>
        <v>25.06</v>
      </c>
      <c r="O125" s="61"/>
    </row>
    <row r="126" spans="2:15" x14ac:dyDescent="0.25">
      <c r="B126" s="99" t="s">
        <v>639</v>
      </c>
      <c r="C126" s="78" t="str">
        <f>PA_prices!C114</f>
        <v>March-2016</v>
      </c>
      <c r="D126" s="79" t="str">
        <f>PA_prices!D114</f>
        <v>PA</v>
      </c>
      <c r="E126" s="80" t="str">
        <f>PA_prices!E114</f>
        <v>MetED</v>
      </c>
      <c r="F126" s="79" t="str">
        <f>PA_prices!F114</f>
        <v>GSCS</v>
      </c>
      <c r="G126" s="80" t="str">
        <f>PA_prices!G114</f>
        <v>General Service Small</v>
      </c>
      <c r="H126" s="81" t="str">
        <f t="shared" ref="H126" si="109">IF($M$2="Prices in $/MWh","100-500 MWh","100,000-500,000 kWh")</f>
        <v>100-500 MWh</v>
      </c>
      <c r="I126" s="80">
        <f>(PA_prices!I114+$D$2)*IF($M$2="Prices in $/MWh",1,1/1000)</f>
        <v>65.680000000000007</v>
      </c>
      <c r="J126" s="79">
        <f>(PA_prices!J114+$D$2)*IF($M$2="Prices in $/MWh",1,1/1000)</f>
        <v>65.41</v>
      </c>
      <c r="K126" s="80">
        <f>(PA_prices!K114+$D$2)*IF($M$2="Prices in $/MWh",1,1/1000)</f>
        <v>65.34</v>
      </c>
      <c r="L126" s="79">
        <f>(PA_prices!L114+$D$2)*IF($M$2="Prices in $/MWh",1,1/1000)</f>
        <v>23.1</v>
      </c>
      <c r="M126" s="80">
        <f>(PA_prices!M114+$D$2)*IF($M$2="Prices in $/MWh",1,1/1000)</f>
        <v>22.89</v>
      </c>
      <c r="N126" s="79">
        <f>(PA_prices!N114+$D$2)*IF($M$2="Prices in $/MWh",1,1/1000)</f>
        <v>23.46</v>
      </c>
      <c r="O126" s="61"/>
    </row>
    <row r="127" spans="2:15" x14ac:dyDescent="0.25">
      <c r="B127" s="99" t="s">
        <v>639</v>
      </c>
      <c r="C127" s="82" t="str">
        <f>PA_prices!C115</f>
        <v>March-2016</v>
      </c>
      <c r="D127" s="83" t="str">
        <f>PA_prices!D115</f>
        <v>PA</v>
      </c>
      <c r="E127" s="84" t="str">
        <f>PA_prices!E115</f>
        <v>MetED</v>
      </c>
      <c r="F127" s="83" t="str">
        <f>PA_prices!F115</f>
        <v>GSCS</v>
      </c>
      <c r="G127" s="84" t="str">
        <f>PA_prices!G115</f>
        <v>General Service Small</v>
      </c>
      <c r="H127" s="85" t="str">
        <f t="shared" ref="H127" si="110">IF($M$2="Prices in $/MWh","500-2500 MWh","500,000-2,500,000 kWh")</f>
        <v>500-2500 MWh</v>
      </c>
      <c r="I127" s="84">
        <f>(PA_prices!I115+$D$2)*IF($M$2="Prices in $/MWh",1,1/1000)</f>
        <v>64.63</v>
      </c>
      <c r="J127" s="83">
        <f>(PA_prices!J115+$D$2)*IF($M$2="Prices in $/MWh",1,1/1000)</f>
        <v>64.36</v>
      </c>
      <c r="K127" s="84">
        <f>(PA_prices!K115+$D$2)*IF($M$2="Prices in $/MWh",1,1/1000)</f>
        <v>64.290000000000006</v>
      </c>
      <c r="L127" s="83">
        <f>(PA_prices!L115+$D$2)*IF($M$2="Prices in $/MWh",1,1/1000)</f>
        <v>22.05</v>
      </c>
      <c r="M127" s="84">
        <f>(PA_prices!M115+$D$2)*IF($M$2="Prices in $/MWh",1,1/1000)</f>
        <v>21.84</v>
      </c>
      <c r="N127" s="83">
        <f>(PA_prices!N115+$D$2)*IF($M$2="Prices in $/MWh",1,1/1000)</f>
        <v>22.41</v>
      </c>
      <c r="O127" s="61"/>
    </row>
    <row r="128" spans="2:15" x14ac:dyDescent="0.25">
      <c r="B128" s="99" t="s">
        <v>639</v>
      </c>
      <c r="C128" s="74" t="str">
        <f>PA_prices!C116</f>
        <v>April-2016</v>
      </c>
      <c r="D128" s="75" t="str">
        <f>PA_prices!D116</f>
        <v>PA</v>
      </c>
      <c r="E128" s="76" t="str">
        <f>PA_prices!E116</f>
        <v>MetED</v>
      </c>
      <c r="F128" s="75" t="str">
        <f>PA_prices!F116</f>
        <v>GSCS</v>
      </c>
      <c r="G128" s="76" t="str">
        <f>PA_prices!G116</f>
        <v>General Service Small</v>
      </c>
      <c r="H128" s="77" t="str">
        <f t="shared" ref="H128" si="111">IF($M$2="Prices in $/MWh","0-100 MWh","0-100,000 kWh")</f>
        <v>0-100 MWh</v>
      </c>
      <c r="I128" s="76">
        <f>(PA_prices!I116+$D$2)*IF($M$2="Prices in $/MWh",1,1/1000)</f>
        <v>67.67</v>
      </c>
      <c r="J128" s="75">
        <f>(PA_prices!J116+$D$2)*IF($M$2="Prices in $/MWh",1,1/1000)</f>
        <v>66.319999999999993</v>
      </c>
      <c r="K128" s="76">
        <f>(PA_prices!K116+$D$2)*IF($M$2="Prices in $/MWh",1,1/1000)</f>
        <v>67.150000000000006</v>
      </c>
      <c r="L128" s="75">
        <f>(PA_prices!L116+$D$2)*IF($M$2="Prices in $/MWh",1,1/1000)</f>
        <v>25.11</v>
      </c>
      <c r="M128" s="76">
        <f>(PA_prices!M116+$D$2)*IF($M$2="Prices in $/MWh",1,1/1000)</f>
        <v>24.06</v>
      </c>
      <c r="N128" s="75">
        <f>(PA_prices!N116+$D$2)*IF($M$2="Prices in $/MWh",1,1/1000)</f>
        <v>25.37</v>
      </c>
      <c r="O128" s="61"/>
    </row>
    <row r="129" spans="2:15" x14ac:dyDescent="0.25">
      <c r="B129" s="99" t="s">
        <v>639</v>
      </c>
      <c r="C129" s="78" t="str">
        <f>PA_prices!C117</f>
        <v>April-2016</v>
      </c>
      <c r="D129" s="79" t="str">
        <f>PA_prices!D117</f>
        <v>PA</v>
      </c>
      <c r="E129" s="80" t="str">
        <f>PA_prices!E117</f>
        <v>MetED</v>
      </c>
      <c r="F129" s="79" t="str">
        <f>PA_prices!F117</f>
        <v>GSCS</v>
      </c>
      <c r="G129" s="80" t="str">
        <f>PA_prices!G117</f>
        <v>General Service Small</v>
      </c>
      <c r="H129" s="81" t="str">
        <f t="shared" ref="H129" si="112">IF($M$2="Prices in $/MWh","100-500 MWh","100,000-500,000 kWh")</f>
        <v>100-500 MWh</v>
      </c>
      <c r="I129" s="80">
        <f>(PA_prices!I117+$D$2)*IF($M$2="Prices in $/MWh",1,1/1000)</f>
        <v>66.069999999999993</v>
      </c>
      <c r="J129" s="79">
        <f>(PA_prices!J117+$D$2)*IF($M$2="Prices in $/MWh",1,1/1000)</f>
        <v>64.72</v>
      </c>
      <c r="K129" s="80">
        <f>(PA_prices!K117+$D$2)*IF($M$2="Prices in $/MWh",1,1/1000)</f>
        <v>65.55</v>
      </c>
      <c r="L129" s="79">
        <f>(PA_prices!L117+$D$2)*IF($M$2="Prices in $/MWh",1,1/1000)</f>
        <v>23.51</v>
      </c>
      <c r="M129" s="80">
        <f>(PA_prices!M117+$D$2)*IF($M$2="Prices in $/MWh",1,1/1000)</f>
        <v>22.46</v>
      </c>
      <c r="N129" s="79">
        <f>(PA_prices!N117+$D$2)*IF($M$2="Prices in $/MWh",1,1/1000)</f>
        <v>23.77</v>
      </c>
      <c r="O129" s="61"/>
    </row>
    <row r="130" spans="2:15" x14ac:dyDescent="0.25">
      <c r="B130" s="99" t="s">
        <v>639</v>
      </c>
      <c r="C130" s="82" t="str">
        <f>PA_prices!C118</f>
        <v>April-2016</v>
      </c>
      <c r="D130" s="83" t="str">
        <f>PA_prices!D118</f>
        <v>PA</v>
      </c>
      <c r="E130" s="84" t="str">
        <f>PA_prices!E118</f>
        <v>MetED</v>
      </c>
      <c r="F130" s="83" t="str">
        <f>PA_prices!F118</f>
        <v>GSCS</v>
      </c>
      <c r="G130" s="84" t="str">
        <f>PA_prices!G118</f>
        <v>General Service Small</v>
      </c>
      <c r="H130" s="85" t="str">
        <f t="shared" ref="H130" si="113">IF($M$2="Prices in $/MWh","500-2500 MWh","500,000-2,500,000 kWh")</f>
        <v>500-2500 MWh</v>
      </c>
      <c r="I130" s="84">
        <f>(PA_prices!I118+$D$2)*IF($M$2="Prices in $/MWh",1,1/1000)</f>
        <v>65.02</v>
      </c>
      <c r="J130" s="83">
        <f>(PA_prices!J118+$D$2)*IF($M$2="Prices in $/MWh",1,1/1000)</f>
        <v>63.67</v>
      </c>
      <c r="K130" s="84">
        <f>(PA_prices!K118+$D$2)*IF($M$2="Prices in $/MWh",1,1/1000)</f>
        <v>64.5</v>
      </c>
      <c r="L130" s="83">
        <f>(PA_prices!L118+$D$2)*IF($M$2="Prices in $/MWh",1,1/1000)</f>
        <v>22.46</v>
      </c>
      <c r="M130" s="84">
        <f>(PA_prices!M118+$D$2)*IF($M$2="Prices in $/MWh",1,1/1000)</f>
        <v>21.41</v>
      </c>
      <c r="N130" s="83">
        <f>(PA_prices!N118+$D$2)*IF($M$2="Prices in $/MWh",1,1/1000)</f>
        <v>22.72</v>
      </c>
      <c r="O130" s="61"/>
    </row>
    <row r="131" spans="2:15" x14ac:dyDescent="0.25">
      <c r="B131" s="99" t="s">
        <v>639</v>
      </c>
      <c r="C131" s="74" t="str">
        <f>PA_prices!C119</f>
        <v>May-2016</v>
      </c>
      <c r="D131" s="75" t="str">
        <f>PA_prices!D119</f>
        <v>PA</v>
      </c>
      <c r="E131" s="76" t="str">
        <f>PA_prices!E119</f>
        <v>MetED</v>
      </c>
      <c r="F131" s="75" t="str">
        <f>PA_prices!F119</f>
        <v>GSCS</v>
      </c>
      <c r="G131" s="76" t="str">
        <f>PA_prices!G119</f>
        <v>General Service Small</v>
      </c>
      <c r="H131" s="77" t="str">
        <f t="shared" ref="H131" si="114">IF($M$2="Prices in $/MWh","0-100 MWh","0-100,000 kWh")</f>
        <v>0-100 MWh</v>
      </c>
      <c r="I131" s="76">
        <f>(PA_prices!I119+$D$2)*IF($M$2="Prices in $/MWh",1,1/1000)</f>
        <v>67.8</v>
      </c>
      <c r="J131" s="75">
        <f>(PA_prices!J119+$D$2)*IF($M$2="Prices in $/MWh",1,1/1000)</f>
        <v>65.88</v>
      </c>
      <c r="K131" s="76">
        <f>(PA_prices!K119+$D$2)*IF($M$2="Prices in $/MWh",1,1/1000)</f>
        <v>67.180000000000007</v>
      </c>
      <c r="L131" s="75">
        <f>(PA_prices!L119+$D$2)*IF($M$2="Prices in $/MWh",1,1/1000)</f>
        <v>25.21</v>
      </c>
      <c r="M131" s="76">
        <f>(PA_prices!M119+$D$2)*IF($M$2="Prices in $/MWh",1,1/1000)</f>
        <v>23.92</v>
      </c>
      <c r="N131" s="75">
        <f>(PA_prices!N119+$D$2)*IF($M$2="Prices in $/MWh",1,1/1000)</f>
        <v>25.43</v>
      </c>
      <c r="O131" s="61"/>
    </row>
    <row r="132" spans="2:15" x14ac:dyDescent="0.25">
      <c r="B132" s="99" t="s">
        <v>639</v>
      </c>
      <c r="C132" s="78" t="str">
        <f>PA_prices!C120</f>
        <v>May-2016</v>
      </c>
      <c r="D132" s="79" t="str">
        <f>PA_prices!D120</f>
        <v>PA</v>
      </c>
      <c r="E132" s="80" t="str">
        <f>PA_prices!E120</f>
        <v>MetED</v>
      </c>
      <c r="F132" s="79" t="str">
        <f>PA_prices!F120</f>
        <v>GSCS</v>
      </c>
      <c r="G132" s="80" t="str">
        <f>PA_prices!G120</f>
        <v>General Service Small</v>
      </c>
      <c r="H132" s="81" t="str">
        <f t="shared" ref="H132" si="115">IF($M$2="Prices in $/MWh","100-500 MWh","100,000-500,000 kWh")</f>
        <v>100-500 MWh</v>
      </c>
      <c r="I132" s="80">
        <f>(PA_prices!I120+$D$2)*IF($M$2="Prices in $/MWh",1,1/1000)</f>
        <v>66.2</v>
      </c>
      <c r="J132" s="79">
        <f>(PA_prices!J120+$D$2)*IF($M$2="Prices in $/MWh",1,1/1000)</f>
        <v>64.28</v>
      </c>
      <c r="K132" s="80">
        <f>(PA_prices!K120+$D$2)*IF($M$2="Prices in $/MWh",1,1/1000)</f>
        <v>65.58</v>
      </c>
      <c r="L132" s="79">
        <f>(PA_prices!L120+$D$2)*IF($M$2="Prices in $/MWh",1,1/1000)</f>
        <v>23.61</v>
      </c>
      <c r="M132" s="80">
        <f>(PA_prices!M120+$D$2)*IF($M$2="Prices in $/MWh",1,1/1000)</f>
        <v>22.32</v>
      </c>
      <c r="N132" s="79">
        <f>(PA_prices!N120+$D$2)*IF($M$2="Prices in $/MWh",1,1/1000)</f>
        <v>23.83</v>
      </c>
      <c r="O132" s="61"/>
    </row>
    <row r="133" spans="2:15" x14ac:dyDescent="0.25">
      <c r="B133" s="99" t="s">
        <v>639</v>
      </c>
      <c r="C133" s="82" t="str">
        <f>PA_prices!C121</f>
        <v>May-2016</v>
      </c>
      <c r="D133" s="83" t="str">
        <f>PA_prices!D121</f>
        <v>PA</v>
      </c>
      <c r="E133" s="84" t="str">
        <f>PA_prices!E121</f>
        <v>MetED</v>
      </c>
      <c r="F133" s="83" t="str">
        <f>PA_prices!F121</f>
        <v>GSCS</v>
      </c>
      <c r="G133" s="84" t="str">
        <f>PA_prices!G121</f>
        <v>General Service Small</v>
      </c>
      <c r="H133" s="85" t="str">
        <f t="shared" ref="H133" si="116">IF($M$2="Prices in $/MWh","500-2500 MWh","500,000-2,500,000 kWh")</f>
        <v>500-2500 MWh</v>
      </c>
      <c r="I133" s="84">
        <f>(PA_prices!I121+$D$2)*IF($M$2="Prices in $/MWh",1,1/1000)</f>
        <v>65.150000000000006</v>
      </c>
      <c r="J133" s="83">
        <f>(PA_prices!J121+$D$2)*IF($M$2="Prices in $/MWh",1,1/1000)</f>
        <v>63.23</v>
      </c>
      <c r="K133" s="84">
        <f>(PA_prices!K121+$D$2)*IF($M$2="Prices in $/MWh",1,1/1000)</f>
        <v>64.53</v>
      </c>
      <c r="L133" s="83">
        <f>(PA_prices!L121+$D$2)*IF($M$2="Prices in $/MWh",1,1/1000)</f>
        <v>22.56</v>
      </c>
      <c r="M133" s="84">
        <f>(PA_prices!M121+$D$2)*IF($M$2="Prices in $/MWh",1,1/1000)</f>
        <v>21.27</v>
      </c>
      <c r="N133" s="83">
        <f>(PA_prices!N121+$D$2)*IF($M$2="Prices in $/MWh",1,1/1000)</f>
        <v>22.78</v>
      </c>
      <c r="O133" s="61"/>
    </row>
    <row r="134" spans="2:15" x14ac:dyDescent="0.25">
      <c r="B134" s="99" t="s">
        <v>639</v>
      </c>
      <c r="C134" s="74" t="str">
        <f>PA_prices!C122</f>
        <v>June-2016</v>
      </c>
      <c r="D134" s="75" t="str">
        <f>PA_prices!D122</f>
        <v>PA</v>
      </c>
      <c r="E134" s="76" t="str">
        <f>PA_prices!E122</f>
        <v>MetED</v>
      </c>
      <c r="F134" s="75" t="str">
        <f>PA_prices!F122</f>
        <v>GSCS</v>
      </c>
      <c r="G134" s="76" t="str">
        <f>PA_prices!G122</f>
        <v>General Service Small</v>
      </c>
      <c r="H134" s="77" t="str">
        <f t="shared" ref="H134" si="117">IF($M$2="Prices in $/MWh","0-100 MWh","0-100,000 kWh")</f>
        <v>0-100 MWh</v>
      </c>
      <c r="I134" s="76">
        <f>(PA_prices!I122+$D$2)*IF($M$2="Prices in $/MWh",1,1/1000)</f>
        <v>67.81</v>
      </c>
      <c r="J134" s="75">
        <f>(PA_prices!J122+$D$2)*IF($M$2="Prices in $/MWh",1,1/1000)</f>
        <v>65.489999999999995</v>
      </c>
      <c r="K134" s="76">
        <f>(PA_prices!K122+$D$2)*IF($M$2="Prices in $/MWh",1,1/1000)</f>
        <v>67.180000000000007</v>
      </c>
      <c r="L134" s="75">
        <f>(PA_prices!L122+$D$2)*IF($M$2="Prices in $/MWh",1,1/1000)</f>
        <v>25.19</v>
      </c>
      <c r="M134" s="76">
        <f>(PA_prices!M122+$D$2)*IF($M$2="Prices in $/MWh",1,1/1000)</f>
        <v>23.74</v>
      </c>
      <c r="N134" s="75">
        <f>(PA_prices!N122+$D$2)*IF($M$2="Prices in $/MWh",1,1/1000)</f>
        <v>25.43</v>
      </c>
      <c r="O134" s="61"/>
    </row>
    <row r="135" spans="2:15" x14ac:dyDescent="0.25">
      <c r="B135" s="99" t="s">
        <v>639</v>
      </c>
      <c r="C135" s="78" t="str">
        <f>PA_prices!C123</f>
        <v>June-2016</v>
      </c>
      <c r="D135" s="79" t="str">
        <f>PA_prices!D123</f>
        <v>PA</v>
      </c>
      <c r="E135" s="80" t="str">
        <f>PA_prices!E123</f>
        <v>MetED</v>
      </c>
      <c r="F135" s="79" t="str">
        <f>PA_prices!F123</f>
        <v>GSCS</v>
      </c>
      <c r="G135" s="80" t="str">
        <f>PA_prices!G123</f>
        <v>General Service Small</v>
      </c>
      <c r="H135" s="81" t="str">
        <f t="shared" ref="H135" si="118">IF($M$2="Prices in $/MWh","100-500 MWh","100,000-500,000 kWh")</f>
        <v>100-500 MWh</v>
      </c>
      <c r="I135" s="80">
        <f>(PA_prices!I123+$D$2)*IF($M$2="Prices in $/MWh",1,1/1000)</f>
        <v>66.209999999999994</v>
      </c>
      <c r="J135" s="79">
        <f>(PA_prices!J123+$D$2)*IF($M$2="Prices in $/MWh",1,1/1000)</f>
        <v>63.89</v>
      </c>
      <c r="K135" s="80">
        <f>(PA_prices!K123+$D$2)*IF($M$2="Prices in $/MWh",1,1/1000)</f>
        <v>65.58</v>
      </c>
      <c r="L135" s="79">
        <f>(PA_prices!L123+$D$2)*IF($M$2="Prices in $/MWh",1,1/1000)</f>
        <v>23.59</v>
      </c>
      <c r="M135" s="80">
        <f>(PA_prices!M123+$D$2)*IF($M$2="Prices in $/MWh",1,1/1000)</f>
        <v>22.14</v>
      </c>
      <c r="N135" s="79">
        <f>(PA_prices!N123+$D$2)*IF($M$2="Prices in $/MWh",1,1/1000)</f>
        <v>23.83</v>
      </c>
      <c r="O135" s="61"/>
    </row>
    <row r="136" spans="2:15" x14ac:dyDescent="0.25">
      <c r="B136" s="99" t="s">
        <v>639</v>
      </c>
      <c r="C136" s="82" t="str">
        <f>PA_prices!C124</f>
        <v>June-2016</v>
      </c>
      <c r="D136" s="83" t="str">
        <f>PA_prices!D124</f>
        <v>PA</v>
      </c>
      <c r="E136" s="84" t="str">
        <f>PA_prices!E124</f>
        <v>MetED</v>
      </c>
      <c r="F136" s="83" t="str">
        <f>PA_prices!F124</f>
        <v>GSCS</v>
      </c>
      <c r="G136" s="84" t="str">
        <f>PA_prices!G124</f>
        <v>General Service Small</v>
      </c>
      <c r="H136" s="85" t="str">
        <f t="shared" ref="H136" si="119">IF($M$2="Prices in $/MWh","500-2500 MWh","500,000-2,500,000 kWh")</f>
        <v>500-2500 MWh</v>
      </c>
      <c r="I136" s="84">
        <f>(PA_prices!I124+$D$2)*IF($M$2="Prices in $/MWh",1,1/1000)</f>
        <v>65.16</v>
      </c>
      <c r="J136" s="83">
        <f>(PA_prices!J124+$D$2)*IF($M$2="Prices in $/MWh",1,1/1000)</f>
        <v>62.84</v>
      </c>
      <c r="K136" s="84">
        <f>(PA_prices!K124+$D$2)*IF($M$2="Prices in $/MWh",1,1/1000)</f>
        <v>64.53</v>
      </c>
      <c r="L136" s="83">
        <f>(PA_prices!L124+$D$2)*IF($M$2="Prices in $/MWh",1,1/1000)</f>
        <v>22.54</v>
      </c>
      <c r="M136" s="84">
        <f>(PA_prices!M124+$D$2)*IF($M$2="Prices in $/MWh",1,1/1000)</f>
        <v>21.09</v>
      </c>
      <c r="N136" s="83">
        <f>(PA_prices!N124+$D$2)*IF($M$2="Prices in $/MWh",1,1/1000)</f>
        <v>22.78</v>
      </c>
      <c r="O136" s="61"/>
    </row>
    <row r="137" spans="2:15" x14ac:dyDescent="0.25">
      <c r="B137" s="99" t="s">
        <v>639</v>
      </c>
      <c r="C137" s="74" t="str">
        <f>PA_prices!C125</f>
        <v>July-2016</v>
      </c>
      <c r="D137" s="75" t="str">
        <f>PA_prices!D125</f>
        <v>PA</v>
      </c>
      <c r="E137" s="76" t="str">
        <f>PA_prices!E125</f>
        <v>MetED</v>
      </c>
      <c r="F137" s="75" t="str">
        <f>PA_prices!F125</f>
        <v>GSCS</v>
      </c>
      <c r="G137" s="76" t="str">
        <f>PA_prices!G125</f>
        <v>General Service Small</v>
      </c>
      <c r="H137" s="77" t="str">
        <f t="shared" ref="H137" si="120">IF($M$2="Prices in $/MWh","0-100 MWh","0-100,000 kWh")</f>
        <v>0-100 MWh</v>
      </c>
      <c r="I137" s="76">
        <f>(PA_prices!I125+$D$2)*IF($M$2="Prices in $/MWh",1,1/1000)</f>
        <v>67.78</v>
      </c>
      <c r="J137" s="75">
        <f>(PA_prices!J125+$D$2)*IF($M$2="Prices in $/MWh",1,1/1000)</f>
        <v>65.62</v>
      </c>
      <c r="K137" s="76">
        <f>(PA_prices!K125+$D$2)*IF($M$2="Prices in $/MWh",1,1/1000)</f>
        <v>67.25</v>
      </c>
      <c r="L137" s="75">
        <f>(PA_prices!L125+$D$2)*IF($M$2="Prices in $/MWh",1,1/1000)</f>
        <v>25.17</v>
      </c>
      <c r="M137" s="76">
        <f>(PA_prices!M125+$D$2)*IF($M$2="Prices in $/MWh",1,1/1000)</f>
        <v>24.26</v>
      </c>
      <c r="N137" s="75">
        <f>(PA_prices!N125+$D$2)*IF($M$2="Prices in $/MWh",1,1/1000)</f>
        <v>25.63</v>
      </c>
      <c r="O137" s="61"/>
    </row>
    <row r="138" spans="2:15" x14ac:dyDescent="0.25">
      <c r="B138" s="99" t="s">
        <v>639</v>
      </c>
      <c r="C138" s="78" t="str">
        <f>PA_prices!C126</f>
        <v>July-2016</v>
      </c>
      <c r="D138" s="79" t="str">
        <f>PA_prices!D126</f>
        <v>PA</v>
      </c>
      <c r="E138" s="80" t="str">
        <f>PA_prices!E126</f>
        <v>MetED</v>
      </c>
      <c r="F138" s="79" t="str">
        <f>PA_prices!F126</f>
        <v>GSCS</v>
      </c>
      <c r="G138" s="80" t="str">
        <f>PA_prices!G126</f>
        <v>General Service Small</v>
      </c>
      <c r="H138" s="81" t="str">
        <f t="shared" ref="H138" si="121">IF($M$2="Prices in $/MWh","100-500 MWh","100,000-500,000 kWh")</f>
        <v>100-500 MWh</v>
      </c>
      <c r="I138" s="80">
        <f>(PA_prices!I126+$D$2)*IF($M$2="Prices in $/MWh",1,1/1000)</f>
        <v>66.180000000000007</v>
      </c>
      <c r="J138" s="79">
        <f>(PA_prices!J126+$D$2)*IF($M$2="Prices in $/MWh",1,1/1000)</f>
        <v>64.02</v>
      </c>
      <c r="K138" s="80">
        <f>(PA_prices!K126+$D$2)*IF($M$2="Prices in $/MWh",1,1/1000)</f>
        <v>65.650000000000006</v>
      </c>
      <c r="L138" s="79">
        <f>(PA_prices!L126+$D$2)*IF($M$2="Prices in $/MWh",1,1/1000)</f>
        <v>23.57</v>
      </c>
      <c r="M138" s="80">
        <f>(PA_prices!M126+$D$2)*IF($M$2="Prices in $/MWh",1,1/1000)</f>
        <v>22.66</v>
      </c>
      <c r="N138" s="79">
        <f>(PA_prices!N126+$D$2)*IF($M$2="Prices in $/MWh",1,1/1000)</f>
        <v>24.03</v>
      </c>
      <c r="O138" s="61"/>
    </row>
    <row r="139" spans="2:15" x14ac:dyDescent="0.25">
      <c r="B139" s="99" t="s">
        <v>639</v>
      </c>
      <c r="C139" s="82" t="str">
        <f>PA_prices!C127</f>
        <v>July-2016</v>
      </c>
      <c r="D139" s="83" t="str">
        <f>PA_prices!D127</f>
        <v>PA</v>
      </c>
      <c r="E139" s="84" t="str">
        <f>PA_prices!E127</f>
        <v>MetED</v>
      </c>
      <c r="F139" s="83" t="str">
        <f>PA_prices!F127</f>
        <v>GSCS</v>
      </c>
      <c r="G139" s="84" t="str">
        <f>PA_prices!G127</f>
        <v>General Service Small</v>
      </c>
      <c r="H139" s="85" t="str">
        <f t="shared" ref="H139" si="122">IF($M$2="Prices in $/MWh","500-2500 MWh","500,000-2,500,000 kWh")</f>
        <v>500-2500 MWh</v>
      </c>
      <c r="I139" s="84">
        <f>(PA_prices!I127+$D$2)*IF($M$2="Prices in $/MWh",1,1/1000)</f>
        <v>65.13</v>
      </c>
      <c r="J139" s="83">
        <f>(PA_prices!J127+$D$2)*IF($M$2="Prices in $/MWh",1,1/1000)</f>
        <v>62.97</v>
      </c>
      <c r="K139" s="84">
        <f>(PA_prices!K127+$D$2)*IF($M$2="Prices in $/MWh",1,1/1000)</f>
        <v>64.599999999999994</v>
      </c>
      <c r="L139" s="83">
        <f>(PA_prices!L127+$D$2)*IF($M$2="Prices in $/MWh",1,1/1000)</f>
        <v>22.52</v>
      </c>
      <c r="M139" s="84">
        <f>(PA_prices!M127+$D$2)*IF($M$2="Prices in $/MWh",1,1/1000)</f>
        <v>21.61</v>
      </c>
      <c r="N139" s="83">
        <f>(PA_prices!N127+$D$2)*IF($M$2="Prices in $/MWh",1,1/1000)</f>
        <v>22.98</v>
      </c>
      <c r="O139" s="61"/>
    </row>
    <row r="140" spans="2:15" x14ac:dyDescent="0.25">
      <c r="B140" s="99" t="s">
        <v>639</v>
      </c>
      <c r="C140" s="74" t="str">
        <f>PA_prices!C128</f>
        <v>August-2016</v>
      </c>
      <c r="D140" s="75" t="str">
        <f>PA_prices!D128</f>
        <v>PA</v>
      </c>
      <c r="E140" s="76" t="str">
        <f>PA_prices!E128</f>
        <v>MetED</v>
      </c>
      <c r="F140" s="75" t="str">
        <f>PA_prices!F128</f>
        <v>GSCS</v>
      </c>
      <c r="G140" s="76" t="str">
        <f>PA_prices!G128</f>
        <v>General Service Small</v>
      </c>
      <c r="H140" s="77" t="str">
        <f t="shared" ref="H140" si="123">IF($M$2="Prices in $/MWh","0-100 MWh","0-100,000 kWh")</f>
        <v>0-100 MWh</v>
      </c>
      <c r="I140" s="76">
        <f>(PA_prices!I128+$D$2)*IF($M$2="Prices in $/MWh",1,1/1000)</f>
        <v>67.69</v>
      </c>
      <c r="J140" s="75">
        <f>(PA_prices!J128+$D$2)*IF($M$2="Prices in $/MWh",1,1/1000)</f>
        <v>66.47</v>
      </c>
      <c r="K140" s="76">
        <f>(PA_prices!K128+$D$2)*IF($M$2="Prices in $/MWh",1,1/1000)</f>
        <v>67.459999999999994</v>
      </c>
      <c r="L140" s="75">
        <f>(PA_prices!L128+$D$2)*IF($M$2="Prices in $/MWh",1,1/1000)</f>
        <v>25.21</v>
      </c>
      <c r="M140" s="76">
        <f>(PA_prices!M128+$D$2)*IF($M$2="Prices in $/MWh",1,1/1000)</f>
        <v>24.96</v>
      </c>
      <c r="N140" s="75">
        <f>(PA_prices!N128+$D$2)*IF($M$2="Prices in $/MWh",1,1/1000)</f>
        <v>26</v>
      </c>
      <c r="O140" s="61"/>
    </row>
    <row r="141" spans="2:15" x14ac:dyDescent="0.25">
      <c r="B141" s="99" t="s">
        <v>639</v>
      </c>
      <c r="C141" s="78" t="str">
        <f>PA_prices!C129</f>
        <v>August-2016</v>
      </c>
      <c r="D141" s="79" t="str">
        <f>PA_prices!D129</f>
        <v>PA</v>
      </c>
      <c r="E141" s="80" t="str">
        <f>PA_prices!E129</f>
        <v>MetED</v>
      </c>
      <c r="F141" s="79" t="str">
        <f>PA_prices!F129</f>
        <v>GSCS</v>
      </c>
      <c r="G141" s="80" t="str">
        <f>PA_prices!G129</f>
        <v>General Service Small</v>
      </c>
      <c r="H141" s="81" t="str">
        <f t="shared" ref="H141" si="124">IF($M$2="Prices in $/MWh","100-500 MWh","100,000-500,000 kWh")</f>
        <v>100-500 MWh</v>
      </c>
      <c r="I141" s="80">
        <f>(PA_prices!I129+$D$2)*IF($M$2="Prices in $/MWh",1,1/1000)</f>
        <v>66.09</v>
      </c>
      <c r="J141" s="79">
        <f>(PA_prices!J129+$D$2)*IF($M$2="Prices in $/MWh",1,1/1000)</f>
        <v>64.87</v>
      </c>
      <c r="K141" s="80">
        <f>(PA_prices!K129+$D$2)*IF($M$2="Prices in $/MWh",1,1/1000)</f>
        <v>65.86</v>
      </c>
      <c r="L141" s="79">
        <f>(PA_prices!L129+$D$2)*IF($M$2="Prices in $/MWh",1,1/1000)</f>
        <v>23.61</v>
      </c>
      <c r="M141" s="80">
        <f>(PA_prices!M129+$D$2)*IF($M$2="Prices in $/MWh",1,1/1000)</f>
        <v>23.36</v>
      </c>
      <c r="N141" s="79">
        <f>(PA_prices!N129+$D$2)*IF($M$2="Prices in $/MWh",1,1/1000)</f>
        <v>24.4</v>
      </c>
      <c r="O141" s="61"/>
    </row>
    <row r="142" spans="2:15" x14ac:dyDescent="0.25">
      <c r="B142" s="99" t="s">
        <v>639</v>
      </c>
      <c r="C142" s="82" t="str">
        <f>PA_prices!C130</f>
        <v>August-2016</v>
      </c>
      <c r="D142" s="83" t="str">
        <f>PA_prices!D130</f>
        <v>PA</v>
      </c>
      <c r="E142" s="84" t="str">
        <f>PA_prices!E130</f>
        <v>MetED</v>
      </c>
      <c r="F142" s="83" t="str">
        <f>PA_prices!F130</f>
        <v>GSCS</v>
      </c>
      <c r="G142" s="84" t="str">
        <f>PA_prices!G130</f>
        <v>General Service Small</v>
      </c>
      <c r="H142" s="85" t="str">
        <f t="shared" ref="H142" si="125">IF($M$2="Prices in $/MWh","500-2500 MWh","500,000-2,500,000 kWh")</f>
        <v>500-2500 MWh</v>
      </c>
      <c r="I142" s="84">
        <f>(PA_prices!I130+$D$2)*IF($M$2="Prices in $/MWh",1,1/1000)</f>
        <v>65.040000000000006</v>
      </c>
      <c r="J142" s="83">
        <f>(PA_prices!J130+$D$2)*IF($M$2="Prices in $/MWh",1,1/1000)</f>
        <v>63.82</v>
      </c>
      <c r="K142" s="84">
        <f>(PA_prices!K130+$D$2)*IF($M$2="Prices in $/MWh",1,1/1000)</f>
        <v>64.81</v>
      </c>
      <c r="L142" s="83">
        <f>(PA_prices!L130+$D$2)*IF($M$2="Prices in $/MWh",1,1/1000)</f>
        <v>22.56</v>
      </c>
      <c r="M142" s="84">
        <f>(PA_prices!M130+$D$2)*IF($M$2="Prices in $/MWh",1,1/1000)</f>
        <v>22.31</v>
      </c>
      <c r="N142" s="83">
        <f>(PA_prices!N130+$D$2)*IF($M$2="Prices in $/MWh",1,1/1000)</f>
        <v>23.35</v>
      </c>
      <c r="O142" s="61"/>
    </row>
    <row r="143" spans="2:15" x14ac:dyDescent="0.25">
      <c r="B143" s="99" t="s">
        <v>639</v>
      </c>
      <c r="C143" s="74" t="str">
        <f>PA_prices!C131</f>
        <v>September-2016</v>
      </c>
      <c r="D143" s="75" t="str">
        <f>PA_prices!D131</f>
        <v>PA</v>
      </c>
      <c r="E143" s="76" t="str">
        <f>PA_prices!E131</f>
        <v>MetED</v>
      </c>
      <c r="F143" s="75" t="str">
        <f>PA_prices!F131</f>
        <v>GSCS</v>
      </c>
      <c r="G143" s="76" t="str">
        <f>PA_prices!G131</f>
        <v>General Service Small</v>
      </c>
      <c r="H143" s="77" t="str">
        <f t="shared" ref="H143" si="126">IF($M$2="Prices in $/MWh","0-100 MWh","0-100,000 kWh")</f>
        <v>0-100 MWh</v>
      </c>
      <c r="I143" s="76">
        <f>(PA_prices!I131+$D$2)*IF($M$2="Prices in $/MWh",1,1/1000)</f>
        <v>67.430000000000007</v>
      </c>
      <c r="J143" s="75">
        <f>(PA_prices!J131+$D$2)*IF($M$2="Prices in $/MWh",1,1/1000)</f>
        <v>67.19</v>
      </c>
      <c r="K143" s="76">
        <f>(PA_prices!K131+$D$2)*IF($M$2="Prices in $/MWh",1,1/1000)</f>
        <v>67.569999999999993</v>
      </c>
      <c r="L143" s="75">
        <f>(PA_prices!L131+$D$2)*IF($M$2="Prices in $/MWh",1,1/1000)</f>
        <v>24.96</v>
      </c>
      <c r="M143" s="76">
        <f>(PA_prices!M131+$D$2)*IF($M$2="Prices in $/MWh",1,1/1000)</f>
        <v>25.55</v>
      </c>
      <c r="N143" s="75">
        <f>(PA_prices!N131+$D$2)*IF($M$2="Prices in $/MWh",1,1/1000)</f>
        <v>26.3</v>
      </c>
      <c r="O143" s="61"/>
    </row>
    <row r="144" spans="2:15" x14ac:dyDescent="0.25">
      <c r="B144" s="99" t="s">
        <v>639</v>
      </c>
      <c r="C144" s="78" t="str">
        <f>PA_prices!C132</f>
        <v>September-2016</v>
      </c>
      <c r="D144" s="79" t="str">
        <f>PA_prices!D132</f>
        <v>PA</v>
      </c>
      <c r="E144" s="80" t="str">
        <f>PA_prices!E132</f>
        <v>MetED</v>
      </c>
      <c r="F144" s="79" t="str">
        <f>PA_prices!F132</f>
        <v>GSCS</v>
      </c>
      <c r="G144" s="80" t="str">
        <f>PA_prices!G132</f>
        <v>General Service Small</v>
      </c>
      <c r="H144" s="81" t="str">
        <f t="shared" ref="H144" si="127">IF($M$2="Prices in $/MWh","100-500 MWh","100,000-500,000 kWh")</f>
        <v>100-500 MWh</v>
      </c>
      <c r="I144" s="80">
        <f>(PA_prices!I132+$D$2)*IF($M$2="Prices in $/MWh",1,1/1000)</f>
        <v>65.83</v>
      </c>
      <c r="J144" s="79">
        <f>(PA_prices!J132+$D$2)*IF($M$2="Prices in $/MWh",1,1/1000)</f>
        <v>65.59</v>
      </c>
      <c r="K144" s="80">
        <f>(PA_prices!K132+$D$2)*IF($M$2="Prices in $/MWh",1,1/1000)</f>
        <v>65.97</v>
      </c>
      <c r="L144" s="79">
        <f>(PA_prices!L132+$D$2)*IF($M$2="Prices in $/MWh",1,1/1000)</f>
        <v>23.36</v>
      </c>
      <c r="M144" s="80">
        <f>(PA_prices!M132+$D$2)*IF($M$2="Prices in $/MWh",1,1/1000)</f>
        <v>23.95</v>
      </c>
      <c r="N144" s="79">
        <f>(PA_prices!N132+$D$2)*IF($M$2="Prices in $/MWh",1,1/1000)</f>
        <v>24.7</v>
      </c>
      <c r="O144" s="61"/>
    </row>
    <row r="145" spans="2:15" x14ac:dyDescent="0.25">
      <c r="B145" s="99" t="s">
        <v>639</v>
      </c>
      <c r="C145" s="82" t="str">
        <f>PA_prices!C133</f>
        <v>September-2016</v>
      </c>
      <c r="D145" s="83" t="str">
        <f>PA_prices!D133</f>
        <v>PA</v>
      </c>
      <c r="E145" s="84" t="str">
        <f>PA_prices!E133</f>
        <v>MetED</v>
      </c>
      <c r="F145" s="83" t="str">
        <f>PA_prices!F133</f>
        <v>GSCS</v>
      </c>
      <c r="G145" s="84" t="str">
        <f>PA_prices!G133</f>
        <v>General Service Small</v>
      </c>
      <c r="H145" s="85" t="str">
        <f t="shared" ref="H145" si="128">IF($M$2="Prices in $/MWh","500-2500 MWh","500,000-2,500,000 kWh")</f>
        <v>500-2500 MWh</v>
      </c>
      <c r="I145" s="84">
        <f>(PA_prices!I133+$D$2)*IF($M$2="Prices in $/MWh",1,1/1000)</f>
        <v>64.78</v>
      </c>
      <c r="J145" s="83">
        <f>(PA_prices!J133+$D$2)*IF($M$2="Prices in $/MWh",1,1/1000)</f>
        <v>64.540000000000006</v>
      </c>
      <c r="K145" s="84">
        <f>(PA_prices!K133+$D$2)*IF($M$2="Prices in $/MWh",1,1/1000)</f>
        <v>64.92</v>
      </c>
      <c r="L145" s="83">
        <f>(PA_prices!L133+$D$2)*IF($M$2="Prices in $/MWh",1,1/1000)</f>
        <v>22.31</v>
      </c>
      <c r="M145" s="84">
        <f>(PA_prices!M133+$D$2)*IF($M$2="Prices in $/MWh",1,1/1000)</f>
        <v>22.9</v>
      </c>
      <c r="N145" s="83">
        <f>(PA_prices!N133+$D$2)*IF($M$2="Prices in $/MWh",1,1/1000)</f>
        <v>23.65</v>
      </c>
      <c r="O145" s="61"/>
    </row>
    <row r="146" spans="2:15" x14ac:dyDescent="0.25">
      <c r="B146" s="99" t="s">
        <v>639</v>
      </c>
      <c r="C146" s="74" t="str">
        <f>PA_prices!C134</f>
        <v>October-2016</v>
      </c>
      <c r="D146" s="75" t="str">
        <f>PA_prices!D134</f>
        <v>PA</v>
      </c>
      <c r="E146" s="76" t="str">
        <f>PA_prices!E134</f>
        <v>MetED</v>
      </c>
      <c r="F146" s="75" t="str">
        <f>PA_prices!F134</f>
        <v>GSCS</v>
      </c>
      <c r="G146" s="76" t="str">
        <f>PA_prices!G134</f>
        <v>General Service Small</v>
      </c>
      <c r="H146" s="77" t="str">
        <f t="shared" ref="H146" si="129">IF($M$2="Prices in $/MWh","0-100 MWh","0-100,000 kWh")</f>
        <v>0-100 MWh</v>
      </c>
      <c r="I146" s="76">
        <f>(PA_prices!I134+$D$2)*IF($M$2="Prices in $/MWh",1,1/1000)</f>
        <v>67.459999999999994</v>
      </c>
      <c r="J146" s="75">
        <f>(PA_prices!J134+$D$2)*IF($M$2="Prices in $/MWh",1,1/1000)</f>
        <v>68.180000000000007</v>
      </c>
      <c r="K146" s="76">
        <f>(PA_prices!K134+$D$2)*IF($M$2="Prices in $/MWh",1,1/1000)</f>
        <v>67.61</v>
      </c>
      <c r="L146" s="75">
        <f>(PA_prices!L134+$D$2)*IF($M$2="Prices in $/MWh",1,1/1000)</f>
        <v>25.19</v>
      </c>
      <c r="M146" s="76">
        <f>(PA_prices!M134+$D$2)*IF($M$2="Prices in $/MWh",1,1/1000)</f>
        <v>26.55</v>
      </c>
      <c r="N146" s="75">
        <f>(PA_prices!N134+$D$2)*IF($M$2="Prices in $/MWh",1,1/1000)</f>
        <v>26.54</v>
      </c>
      <c r="O146" s="61"/>
    </row>
    <row r="147" spans="2:15" x14ac:dyDescent="0.25">
      <c r="B147" s="99" t="s">
        <v>639</v>
      </c>
      <c r="C147" s="78" t="str">
        <f>PA_prices!C135</f>
        <v>October-2016</v>
      </c>
      <c r="D147" s="79" t="str">
        <f>PA_prices!D135</f>
        <v>PA</v>
      </c>
      <c r="E147" s="80" t="str">
        <f>PA_prices!E135</f>
        <v>MetED</v>
      </c>
      <c r="F147" s="79" t="str">
        <f>PA_prices!F135</f>
        <v>GSCS</v>
      </c>
      <c r="G147" s="80" t="str">
        <f>PA_prices!G135</f>
        <v>General Service Small</v>
      </c>
      <c r="H147" s="81" t="str">
        <f t="shared" ref="H147" si="130">IF($M$2="Prices in $/MWh","100-500 MWh","100,000-500,000 kWh")</f>
        <v>100-500 MWh</v>
      </c>
      <c r="I147" s="80">
        <f>(PA_prices!I135+$D$2)*IF($M$2="Prices in $/MWh",1,1/1000)</f>
        <v>65.86</v>
      </c>
      <c r="J147" s="79">
        <f>(PA_prices!J135+$D$2)*IF($M$2="Prices in $/MWh",1,1/1000)</f>
        <v>66.58</v>
      </c>
      <c r="K147" s="80">
        <f>(PA_prices!K135+$D$2)*IF($M$2="Prices in $/MWh",1,1/1000)</f>
        <v>66.010000000000005</v>
      </c>
      <c r="L147" s="79">
        <f>(PA_prices!L135+$D$2)*IF($M$2="Prices in $/MWh",1,1/1000)</f>
        <v>23.59</v>
      </c>
      <c r="M147" s="80">
        <f>(PA_prices!M135+$D$2)*IF($M$2="Prices in $/MWh",1,1/1000)</f>
        <v>24.95</v>
      </c>
      <c r="N147" s="79">
        <f>(PA_prices!N135+$D$2)*IF($M$2="Prices in $/MWh",1,1/1000)</f>
        <v>24.94</v>
      </c>
      <c r="O147" s="61"/>
    </row>
    <row r="148" spans="2:15" x14ac:dyDescent="0.25">
      <c r="B148" s="99" t="s">
        <v>639</v>
      </c>
      <c r="C148" s="82" t="str">
        <f>PA_prices!C136</f>
        <v>October-2016</v>
      </c>
      <c r="D148" s="83" t="str">
        <f>PA_prices!D136</f>
        <v>PA</v>
      </c>
      <c r="E148" s="84" t="str">
        <f>PA_prices!E136</f>
        <v>MetED</v>
      </c>
      <c r="F148" s="83" t="str">
        <f>PA_prices!F136</f>
        <v>GSCS</v>
      </c>
      <c r="G148" s="84" t="str">
        <f>PA_prices!G136</f>
        <v>General Service Small</v>
      </c>
      <c r="H148" s="85" t="str">
        <f t="shared" ref="H148" si="131">IF($M$2="Prices in $/MWh","500-2500 MWh","500,000-2,500,000 kWh")</f>
        <v>500-2500 MWh</v>
      </c>
      <c r="I148" s="84">
        <f>(PA_prices!I136+$D$2)*IF($M$2="Prices in $/MWh",1,1/1000)</f>
        <v>64.81</v>
      </c>
      <c r="J148" s="83">
        <f>(PA_prices!J136+$D$2)*IF($M$2="Prices in $/MWh",1,1/1000)</f>
        <v>65.53</v>
      </c>
      <c r="K148" s="84">
        <f>(PA_prices!K136+$D$2)*IF($M$2="Prices in $/MWh",1,1/1000)</f>
        <v>64.959999999999994</v>
      </c>
      <c r="L148" s="83">
        <f>(PA_prices!L136+$D$2)*IF($M$2="Prices in $/MWh",1,1/1000)</f>
        <v>22.54</v>
      </c>
      <c r="M148" s="84">
        <f>(PA_prices!M136+$D$2)*IF($M$2="Prices in $/MWh",1,1/1000)</f>
        <v>23.9</v>
      </c>
      <c r="N148" s="83">
        <f>(PA_prices!N136+$D$2)*IF($M$2="Prices in $/MWh",1,1/1000)</f>
        <v>23.89</v>
      </c>
      <c r="O148" s="61"/>
    </row>
    <row r="149" spans="2:15" x14ac:dyDescent="0.25">
      <c r="B149" s="99" t="s">
        <v>639</v>
      </c>
      <c r="C149" s="74" t="str">
        <f>PA_prices!C137</f>
        <v>November-2016</v>
      </c>
      <c r="D149" s="75" t="str">
        <f>PA_prices!D137</f>
        <v>PA</v>
      </c>
      <c r="E149" s="76" t="str">
        <f>PA_prices!E137</f>
        <v>MetED</v>
      </c>
      <c r="F149" s="75" t="str">
        <f>PA_prices!F137</f>
        <v>GSCS</v>
      </c>
      <c r="G149" s="76" t="str">
        <f>PA_prices!G137</f>
        <v>General Service Small</v>
      </c>
      <c r="H149" s="77" t="str">
        <f t="shared" ref="H149" si="132">IF($M$2="Prices in $/MWh","0-100 MWh","0-100,000 kWh")</f>
        <v>0-100 MWh</v>
      </c>
      <c r="I149" s="76">
        <f>(PA_prices!I137+$D$2)*IF($M$2="Prices in $/MWh",1,1/1000)</f>
        <v>67.45</v>
      </c>
      <c r="J149" s="75">
        <f>(PA_prices!J137+$D$2)*IF($M$2="Prices in $/MWh",1,1/1000)</f>
        <v>68.680000000000007</v>
      </c>
      <c r="K149" s="76">
        <f>(PA_prices!K137+$D$2)*IF($M$2="Prices in $/MWh",1,1/1000)</f>
        <v>67.66</v>
      </c>
      <c r="L149" s="75">
        <f>(PA_prices!L137+$D$2)*IF($M$2="Prices in $/MWh",1,1/1000)</f>
        <v>25.39</v>
      </c>
      <c r="M149" s="76">
        <f>(PA_prices!M137+$D$2)*IF($M$2="Prices in $/MWh",1,1/1000)</f>
        <v>26.93</v>
      </c>
      <c r="N149" s="75">
        <f>(PA_prices!N137+$D$2)*IF($M$2="Prices in $/MWh",1,1/1000)</f>
        <v>26.73</v>
      </c>
      <c r="O149" s="61"/>
    </row>
    <row r="150" spans="2:15" x14ac:dyDescent="0.25">
      <c r="B150" s="99" t="s">
        <v>639</v>
      </c>
      <c r="C150" s="78" t="str">
        <f>PA_prices!C138</f>
        <v>November-2016</v>
      </c>
      <c r="D150" s="79" t="str">
        <f>PA_prices!D138</f>
        <v>PA</v>
      </c>
      <c r="E150" s="80" t="str">
        <f>PA_prices!E138</f>
        <v>MetED</v>
      </c>
      <c r="F150" s="79" t="str">
        <f>PA_prices!F138</f>
        <v>GSCS</v>
      </c>
      <c r="G150" s="80" t="str">
        <f>PA_prices!G138</f>
        <v>General Service Small</v>
      </c>
      <c r="H150" s="81" t="str">
        <f t="shared" ref="H150" si="133">IF($M$2="Prices in $/MWh","100-500 MWh","100,000-500,000 kWh")</f>
        <v>100-500 MWh</v>
      </c>
      <c r="I150" s="80">
        <f>(PA_prices!I138+$D$2)*IF($M$2="Prices in $/MWh",1,1/1000)</f>
        <v>65.849999999999994</v>
      </c>
      <c r="J150" s="79">
        <f>(PA_prices!J138+$D$2)*IF($M$2="Prices in $/MWh",1,1/1000)</f>
        <v>67.08</v>
      </c>
      <c r="K150" s="80">
        <f>(PA_prices!K138+$D$2)*IF($M$2="Prices in $/MWh",1,1/1000)</f>
        <v>66.06</v>
      </c>
      <c r="L150" s="79">
        <f>(PA_prices!L138+$D$2)*IF($M$2="Prices in $/MWh",1,1/1000)</f>
        <v>23.79</v>
      </c>
      <c r="M150" s="80">
        <f>(PA_prices!M138+$D$2)*IF($M$2="Prices in $/MWh",1,1/1000)</f>
        <v>25.33</v>
      </c>
      <c r="N150" s="79">
        <f>(PA_prices!N138+$D$2)*IF($M$2="Prices in $/MWh",1,1/1000)</f>
        <v>25.13</v>
      </c>
      <c r="O150" s="61"/>
    </row>
    <row r="151" spans="2:15" x14ac:dyDescent="0.25">
      <c r="B151" s="99" t="s">
        <v>639</v>
      </c>
      <c r="C151" s="82" t="str">
        <f>PA_prices!C139</f>
        <v>November-2016</v>
      </c>
      <c r="D151" s="83" t="str">
        <f>PA_prices!D139</f>
        <v>PA</v>
      </c>
      <c r="E151" s="84" t="str">
        <f>PA_prices!E139</f>
        <v>MetED</v>
      </c>
      <c r="F151" s="83" t="str">
        <f>PA_prices!F139</f>
        <v>GSCS</v>
      </c>
      <c r="G151" s="84" t="str">
        <f>PA_prices!G139</f>
        <v>General Service Small</v>
      </c>
      <c r="H151" s="85" t="str">
        <f t="shared" ref="H151" si="134">IF($M$2="Prices in $/MWh","500-2500 MWh","500,000-2,500,000 kWh")</f>
        <v>500-2500 MWh</v>
      </c>
      <c r="I151" s="84">
        <f>(PA_prices!I139+$D$2)*IF($M$2="Prices in $/MWh",1,1/1000)</f>
        <v>64.8</v>
      </c>
      <c r="J151" s="83">
        <f>(PA_prices!J139+$D$2)*IF($M$2="Prices in $/MWh",1,1/1000)</f>
        <v>66.03</v>
      </c>
      <c r="K151" s="84">
        <f>(PA_prices!K139+$D$2)*IF($M$2="Prices in $/MWh",1,1/1000)</f>
        <v>65.010000000000005</v>
      </c>
      <c r="L151" s="83">
        <f>(PA_prices!L139+$D$2)*IF($M$2="Prices in $/MWh",1,1/1000)</f>
        <v>22.74</v>
      </c>
      <c r="M151" s="84">
        <f>(PA_prices!M139+$D$2)*IF($M$2="Prices in $/MWh",1,1/1000)</f>
        <v>24.28</v>
      </c>
      <c r="N151" s="83">
        <f>(PA_prices!N139+$D$2)*IF($M$2="Prices in $/MWh",1,1/1000)</f>
        <v>24.08</v>
      </c>
      <c r="O151" s="61"/>
    </row>
    <row r="152" spans="2:15" x14ac:dyDescent="0.25">
      <c r="B152" s="99" t="s">
        <v>639</v>
      </c>
      <c r="C152" s="74" t="str">
        <f>PA_prices!C140</f>
        <v>December-2016</v>
      </c>
      <c r="D152" s="75" t="str">
        <f>PA_prices!D140</f>
        <v>PA</v>
      </c>
      <c r="E152" s="76" t="str">
        <f>PA_prices!E140</f>
        <v>MetED</v>
      </c>
      <c r="F152" s="75" t="str">
        <f>PA_prices!F140</f>
        <v>GSCS</v>
      </c>
      <c r="G152" s="76" t="str">
        <f>PA_prices!G140</f>
        <v>General Service Small</v>
      </c>
      <c r="H152" s="77" t="str">
        <f t="shared" ref="H152" si="135">IF($M$2="Prices in $/MWh","0-100 MWh","0-100,000 kWh")</f>
        <v>0-100 MWh</v>
      </c>
      <c r="I152" s="76">
        <f>(PA_prices!I140+$D$2)*IF($M$2="Prices in $/MWh",1,1/1000)</f>
        <v>67.2</v>
      </c>
      <c r="J152" s="75">
        <f>(PA_prices!J140+$D$2)*IF($M$2="Prices in $/MWh",1,1/1000)</f>
        <v>68.94</v>
      </c>
      <c r="K152" s="76">
        <f>(PA_prices!K140+$D$2)*IF($M$2="Prices in $/MWh",1,1/1000)</f>
        <v>67.650000000000006</v>
      </c>
      <c r="L152" s="75">
        <f>(PA_prices!L140+$D$2)*IF($M$2="Prices in $/MWh",1,1/1000)</f>
        <v>25.19</v>
      </c>
      <c r="M152" s="76">
        <f>(PA_prices!M140+$D$2)*IF($M$2="Prices in $/MWh",1,1/1000)</f>
        <v>27.01</v>
      </c>
      <c r="N152" s="75">
        <f>(PA_prices!N140+$D$2)*IF($M$2="Prices in $/MWh",1,1/1000)</f>
        <v>26.85</v>
      </c>
      <c r="O152" s="61"/>
    </row>
    <row r="153" spans="2:15" x14ac:dyDescent="0.25">
      <c r="B153" s="99" t="s">
        <v>639</v>
      </c>
      <c r="C153" s="78" t="str">
        <f>PA_prices!C141</f>
        <v>December-2016</v>
      </c>
      <c r="D153" s="79" t="str">
        <f>PA_prices!D141</f>
        <v>PA</v>
      </c>
      <c r="E153" s="80" t="str">
        <f>PA_prices!E141</f>
        <v>MetED</v>
      </c>
      <c r="F153" s="79" t="str">
        <f>PA_prices!F141</f>
        <v>GSCS</v>
      </c>
      <c r="G153" s="80" t="str">
        <f>PA_prices!G141</f>
        <v>General Service Small</v>
      </c>
      <c r="H153" s="81" t="str">
        <f t="shared" ref="H153" si="136">IF($M$2="Prices in $/MWh","100-500 MWh","100,000-500,000 kWh")</f>
        <v>100-500 MWh</v>
      </c>
      <c r="I153" s="80">
        <f>(PA_prices!I141+$D$2)*IF($M$2="Prices in $/MWh",1,1/1000)</f>
        <v>65.599999999999994</v>
      </c>
      <c r="J153" s="79">
        <f>(PA_prices!J141+$D$2)*IF($M$2="Prices in $/MWh",1,1/1000)</f>
        <v>67.34</v>
      </c>
      <c r="K153" s="80">
        <f>(PA_prices!K141+$D$2)*IF($M$2="Prices in $/MWh",1,1/1000)</f>
        <v>66.05</v>
      </c>
      <c r="L153" s="79">
        <f>(PA_prices!L141+$D$2)*IF($M$2="Prices in $/MWh",1,1/1000)</f>
        <v>23.59</v>
      </c>
      <c r="M153" s="80">
        <f>(PA_prices!M141+$D$2)*IF($M$2="Prices in $/MWh",1,1/1000)</f>
        <v>25.41</v>
      </c>
      <c r="N153" s="79">
        <f>(PA_prices!N141+$D$2)*IF($M$2="Prices in $/MWh",1,1/1000)</f>
        <v>25.25</v>
      </c>
      <c r="O153" s="61"/>
    </row>
    <row r="154" spans="2:15" x14ac:dyDescent="0.25">
      <c r="B154" s="99" t="s">
        <v>639</v>
      </c>
      <c r="C154" s="82" t="str">
        <f>PA_prices!C142</f>
        <v>December-2016</v>
      </c>
      <c r="D154" s="83" t="str">
        <f>PA_prices!D142</f>
        <v>PA</v>
      </c>
      <c r="E154" s="84" t="str">
        <f>PA_prices!E142</f>
        <v>MetED</v>
      </c>
      <c r="F154" s="83" t="str">
        <f>PA_prices!F142</f>
        <v>GSCS</v>
      </c>
      <c r="G154" s="84" t="str">
        <f>PA_prices!G142</f>
        <v>General Service Small</v>
      </c>
      <c r="H154" s="85" t="str">
        <f t="shared" ref="H154" si="137">IF($M$2="Prices in $/MWh","500-2500 MWh","500,000-2,500,000 kWh")</f>
        <v>500-2500 MWh</v>
      </c>
      <c r="I154" s="84">
        <f>(PA_prices!I142+$D$2)*IF($M$2="Prices in $/MWh",1,1/1000)</f>
        <v>64.55</v>
      </c>
      <c r="J154" s="83">
        <f>(PA_prices!J142+$D$2)*IF($M$2="Prices in $/MWh",1,1/1000)</f>
        <v>66.290000000000006</v>
      </c>
      <c r="K154" s="84">
        <f>(PA_prices!K142+$D$2)*IF($M$2="Prices in $/MWh",1,1/1000)</f>
        <v>65</v>
      </c>
      <c r="L154" s="83">
        <f>(PA_prices!L142+$D$2)*IF($M$2="Prices in $/MWh",1,1/1000)</f>
        <v>22.54</v>
      </c>
      <c r="M154" s="84">
        <f>(PA_prices!M142+$D$2)*IF($M$2="Prices in $/MWh",1,1/1000)</f>
        <v>24.36</v>
      </c>
      <c r="N154" s="83">
        <f>(PA_prices!N142+$D$2)*IF($M$2="Prices in $/MWh",1,1/1000)</f>
        <v>24.2</v>
      </c>
      <c r="O154" s="61"/>
    </row>
    <row r="155" spans="2:15" x14ac:dyDescent="0.25">
      <c r="B155" s="99" t="s">
        <v>639</v>
      </c>
      <c r="C155" s="74" t="str">
        <f>PA_prices!C143</f>
        <v>January-2017</v>
      </c>
      <c r="D155" s="75" t="str">
        <f>PA_prices!D143</f>
        <v>PA</v>
      </c>
      <c r="E155" s="76" t="str">
        <f>PA_prices!E143</f>
        <v>MetED</v>
      </c>
      <c r="F155" s="75" t="str">
        <f>PA_prices!F143</f>
        <v>GSCS</v>
      </c>
      <c r="G155" s="76" t="str">
        <f>PA_prices!G143</f>
        <v>General Service Small</v>
      </c>
      <c r="H155" s="77" t="str">
        <f t="shared" ref="H155" si="138">IF($M$2="Prices in $/MWh","0-100 MWh","0-100,000 kWh")</f>
        <v>0-100 MWh</v>
      </c>
      <c r="I155" s="76">
        <f>(PA_prices!I143+$D$2)*IF($M$2="Prices in $/MWh",1,1/1000)</f>
        <v>67.180000000000007</v>
      </c>
      <c r="J155" s="75">
        <f>(PA_prices!J143+$D$2)*IF($M$2="Prices in $/MWh",1,1/1000)</f>
        <v>68.900000000000006</v>
      </c>
      <c r="K155" s="76">
        <f>(PA_prices!K143+$D$2)*IF($M$2="Prices in $/MWh",1,1/1000)</f>
        <v>67.84</v>
      </c>
      <c r="L155" s="75">
        <f>(PA_prices!L143+$D$2)*IF($M$2="Prices in $/MWh",1,1/1000)</f>
        <v>25.46</v>
      </c>
      <c r="M155" s="76">
        <f>(PA_prices!M143+$D$2)*IF($M$2="Prices in $/MWh",1,1/1000)</f>
        <v>26.94</v>
      </c>
      <c r="N155" s="75">
        <f>(PA_prices!N143+$D$2)*IF($M$2="Prices in $/MWh",1,1/1000)</f>
        <v>27.14</v>
      </c>
      <c r="O155" s="61"/>
    </row>
    <row r="156" spans="2:15" x14ac:dyDescent="0.25">
      <c r="B156" s="99" t="s">
        <v>639</v>
      </c>
      <c r="C156" s="78" t="str">
        <f>PA_prices!C144</f>
        <v>January-2017</v>
      </c>
      <c r="D156" s="79" t="str">
        <f>PA_prices!D144</f>
        <v>PA</v>
      </c>
      <c r="E156" s="80" t="str">
        <f>PA_prices!E144</f>
        <v>MetED</v>
      </c>
      <c r="F156" s="79" t="str">
        <f>PA_prices!F144</f>
        <v>GSCS</v>
      </c>
      <c r="G156" s="80" t="str">
        <f>PA_prices!G144</f>
        <v>General Service Small</v>
      </c>
      <c r="H156" s="81" t="str">
        <f t="shared" ref="H156" si="139">IF($M$2="Prices in $/MWh","100-500 MWh","100,000-500,000 kWh")</f>
        <v>100-500 MWh</v>
      </c>
      <c r="I156" s="80">
        <f>(PA_prices!I144+$D$2)*IF($M$2="Prices in $/MWh",1,1/1000)</f>
        <v>65.58</v>
      </c>
      <c r="J156" s="79">
        <f>(PA_prices!J144+$D$2)*IF($M$2="Prices in $/MWh",1,1/1000)</f>
        <v>67.3</v>
      </c>
      <c r="K156" s="80">
        <f>(PA_prices!K144+$D$2)*IF($M$2="Prices in $/MWh",1,1/1000)</f>
        <v>66.239999999999995</v>
      </c>
      <c r="L156" s="79">
        <f>(PA_prices!L144+$D$2)*IF($M$2="Prices in $/MWh",1,1/1000)</f>
        <v>23.86</v>
      </c>
      <c r="M156" s="80">
        <f>(PA_prices!M144+$D$2)*IF($M$2="Prices in $/MWh",1,1/1000)</f>
        <v>25.34</v>
      </c>
      <c r="N156" s="79">
        <f>(PA_prices!N144+$D$2)*IF($M$2="Prices in $/MWh",1,1/1000)</f>
        <v>25.54</v>
      </c>
      <c r="O156" s="61"/>
    </row>
    <row r="157" spans="2:15" x14ac:dyDescent="0.25">
      <c r="B157" s="99" t="s">
        <v>639</v>
      </c>
      <c r="C157" s="82" t="str">
        <f>PA_prices!C145</f>
        <v>January-2017</v>
      </c>
      <c r="D157" s="83" t="str">
        <f>PA_prices!D145</f>
        <v>PA</v>
      </c>
      <c r="E157" s="84" t="str">
        <f>PA_prices!E145</f>
        <v>MetED</v>
      </c>
      <c r="F157" s="83" t="str">
        <f>PA_prices!F145</f>
        <v>GSCS</v>
      </c>
      <c r="G157" s="84" t="str">
        <f>PA_prices!G145</f>
        <v>General Service Small</v>
      </c>
      <c r="H157" s="85" t="str">
        <f t="shared" ref="H157" si="140">IF($M$2="Prices in $/MWh","500-2500 MWh","500,000-2,500,000 kWh")</f>
        <v>500-2500 MWh</v>
      </c>
      <c r="I157" s="84">
        <f>(PA_prices!I145+$D$2)*IF($M$2="Prices in $/MWh",1,1/1000)</f>
        <v>64.53</v>
      </c>
      <c r="J157" s="83">
        <f>(PA_prices!J145+$D$2)*IF($M$2="Prices in $/MWh",1,1/1000)</f>
        <v>66.25</v>
      </c>
      <c r="K157" s="84">
        <f>(PA_prices!K145+$D$2)*IF($M$2="Prices in $/MWh",1,1/1000)</f>
        <v>65.19</v>
      </c>
      <c r="L157" s="83">
        <f>(PA_prices!L145+$D$2)*IF($M$2="Prices in $/MWh",1,1/1000)</f>
        <v>22.81</v>
      </c>
      <c r="M157" s="84">
        <f>(PA_prices!M145+$D$2)*IF($M$2="Prices in $/MWh",1,1/1000)</f>
        <v>24.29</v>
      </c>
      <c r="N157" s="83">
        <f>(PA_prices!N145+$D$2)*IF($M$2="Prices in $/MWh",1,1/1000)</f>
        <v>24.49</v>
      </c>
      <c r="O157" s="61"/>
    </row>
    <row r="158" spans="2:15" x14ac:dyDescent="0.25">
      <c r="B158" s="99" t="s">
        <v>640</v>
      </c>
      <c r="C158" s="74" t="str">
        <f>PA_prices!C146</f>
        <v>February-2016</v>
      </c>
      <c r="D158" s="75" t="str">
        <f>PA_prices!D146</f>
        <v>PA</v>
      </c>
      <c r="E158" s="76" t="str">
        <f>PA_prices!E146</f>
        <v>PECO</v>
      </c>
      <c r="F158" s="75" t="str">
        <f>PA_prices!F146</f>
        <v>GS</v>
      </c>
      <c r="G158" s="76" t="str">
        <f>PA_prices!G146</f>
        <v>General service</v>
      </c>
      <c r="H158" s="77" t="str">
        <f t="shared" ref="H158" si="141">IF($M$2="Prices in $/MWh","0-100 MWh","0-100,000 kWh")</f>
        <v>0-100 MWh</v>
      </c>
      <c r="I158" s="76">
        <f>(PA_prices!I146+$D$2)*IF($M$2="Prices in $/MWh",1,1/1000)</f>
        <v>69.61</v>
      </c>
      <c r="J158" s="75">
        <f>(PA_prices!J146+$D$2)*IF($M$2="Prices in $/MWh",1,1/1000)</f>
        <v>70.319999999999993</v>
      </c>
      <c r="K158" s="76">
        <f>(PA_prices!K146+$D$2)*IF($M$2="Prices in $/MWh",1,1/1000)</f>
        <v>69.94</v>
      </c>
      <c r="L158" s="75">
        <f>(PA_prices!L146+$D$2)*IF($M$2="Prices in $/MWh",1,1/1000)</f>
        <v>26.98</v>
      </c>
      <c r="M158" s="76">
        <f>(PA_prices!M146+$D$2)*IF($M$2="Prices in $/MWh",1,1/1000)</f>
        <v>27.46</v>
      </c>
      <c r="N158" s="75">
        <f>(PA_prices!N146+$D$2)*IF($M$2="Prices in $/MWh",1,1/1000)</f>
        <v>27.69</v>
      </c>
      <c r="O158" s="61"/>
    </row>
    <row r="159" spans="2:15" x14ac:dyDescent="0.25">
      <c r="B159" s="99" t="s">
        <v>640</v>
      </c>
      <c r="C159" s="78" t="str">
        <f>PA_prices!C147</f>
        <v>February-2016</v>
      </c>
      <c r="D159" s="79" t="str">
        <f>PA_prices!D147</f>
        <v>PA</v>
      </c>
      <c r="E159" s="80" t="str">
        <f>PA_prices!E147</f>
        <v>PECO</v>
      </c>
      <c r="F159" s="79" t="str">
        <f>PA_prices!F147</f>
        <v>GS</v>
      </c>
      <c r="G159" s="80" t="str">
        <f>PA_prices!G147</f>
        <v>General service</v>
      </c>
      <c r="H159" s="81" t="str">
        <f t="shared" ref="H159" si="142">IF($M$2="Prices in $/MWh","100-500 MWh","100,000-500,000 kWh")</f>
        <v>100-500 MWh</v>
      </c>
      <c r="I159" s="80">
        <f>(PA_prices!I147+$D$2)*IF($M$2="Prices in $/MWh",1,1/1000)</f>
        <v>68.010000000000005</v>
      </c>
      <c r="J159" s="79">
        <f>(PA_prices!J147+$D$2)*IF($M$2="Prices in $/MWh",1,1/1000)</f>
        <v>68.72</v>
      </c>
      <c r="K159" s="80">
        <f>(PA_prices!K147+$D$2)*IF($M$2="Prices in $/MWh",1,1/1000)</f>
        <v>68.34</v>
      </c>
      <c r="L159" s="79">
        <f>(PA_prices!L147+$D$2)*IF($M$2="Prices in $/MWh",1,1/1000)</f>
        <v>25.38</v>
      </c>
      <c r="M159" s="80">
        <f>(PA_prices!M147+$D$2)*IF($M$2="Prices in $/MWh",1,1/1000)</f>
        <v>25.86</v>
      </c>
      <c r="N159" s="79">
        <f>(PA_prices!N147+$D$2)*IF($M$2="Prices in $/MWh",1,1/1000)</f>
        <v>26.09</v>
      </c>
      <c r="O159" s="61"/>
    </row>
    <row r="160" spans="2:15" x14ac:dyDescent="0.25">
      <c r="B160" s="99" t="s">
        <v>640</v>
      </c>
      <c r="C160" s="82" t="str">
        <f>PA_prices!C148</f>
        <v>February-2016</v>
      </c>
      <c r="D160" s="83" t="str">
        <f>PA_prices!D148</f>
        <v>PA</v>
      </c>
      <c r="E160" s="84" t="str">
        <f>PA_prices!E148</f>
        <v>PECO</v>
      </c>
      <c r="F160" s="83" t="str">
        <f>PA_prices!F148</f>
        <v>GS</v>
      </c>
      <c r="G160" s="84" t="str">
        <f>PA_prices!G148</f>
        <v>General service</v>
      </c>
      <c r="H160" s="85" t="str">
        <f t="shared" ref="H160" si="143">IF($M$2="Prices in $/MWh","500-2500 MWh","500,000-2,500,000 kWh")</f>
        <v>500-2500 MWh</v>
      </c>
      <c r="I160" s="84">
        <f>(PA_prices!I148+$D$2)*IF($M$2="Prices in $/MWh",1,1/1000)</f>
        <v>66.959999999999994</v>
      </c>
      <c r="J160" s="83">
        <f>(PA_prices!J148+$D$2)*IF($M$2="Prices in $/MWh",1,1/1000)</f>
        <v>67.67</v>
      </c>
      <c r="K160" s="84">
        <f>(PA_prices!K148+$D$2)*IF($M$2="Prices in $/MWh",1,1/1000)</f>
        <v>67.290000000000006</v>
      </c>
      <c r="L160" s="83">
        <f>(PA_prices!L148+$D$2)*IF($M$2="Prices in $/MWh",1,1/1000)</f>
        <v>24.33</v>
      </c>
      <c r="M160" s="84">
        <f>(PA_prices!M148+$D$2)*IF($M$2="Prices in $/MWh",1,1/1000)</f>
        <v>24.81</v>
      </c>
      <c r="N160" s="83">
        <f>(PA_prices!N148+$D$2)*IF($M$2="Prices in $/MWh",1,1/1000)</f>
        <v>25.04</v>
      </c>
      <c r="O160" s="61"/>
    </row>
    <row r="161" spans="2:15" x14ac:dyDescent="0.25">
      <c r="B161" s="99" t="s">
        <v>640</v>
      </c>
      <c r="C161" s="74" t="str">
        <f>PA_prices!C149</f>
        <v>March-2016</v>
      </c>
      <c r="D161" s="75" t="str">
        <f>PA_prices!D149</f>
        <v>PA</v>
      </c>
      <c r="E161" s="76" t="str">
        <f>PA_prices!E149</f>
        <v>PECO</v>
      </c>
      <c r="F161" s="75" t="str">
        <f>PA_prices!F149</f>
        <v>GS</v>
      </c>
      <c r="G161" s="76" t="str">
        <f>PA_prices!G149</f>
        <v>General service</v>
      </c>
      <c r="H161" s="77" t="str">
        <f t="shared" ref="H161" si="144">IF($M$2="Prices in $/MWh","0-100 MWh","0-100,000 kWh")</f>
        <v>0-100 MWh</v>
      </c>
      <c r="I161" s="76">
        <f>(PA_prices!I149+$D$2)*IF($M$2="Prices in $/MWh",1,1/1000)</f>
        <v>70.3</v>
      </c>
      <c r="J161" s="75">
        <f>(PA_prices!J149+$D$2)*IF($M$2="Prices in $/MWh",1,1/1000)</f>
        <v>69.59</v>
      </c>
      <c r="K161" s="76">
        <f>(PA_prices!K149+$D$2)*IF($M$2="Prices in $/MWh",1,1/1000)</f>
        <v>70.209999999999994</v>
      </c>
      <c r="L161" s="75">
        <f>(PA_prices!L149+$D$2)*IF($M$2="Prices in $/MWh",1,1/1000)</f>
        <v>26.95</v>
      </c>
      <c r="M161" s="76">
        <f>(PA_prices!M149+$D$2)*IF($M$2="Prices in $/MWh",1,1/1000)</f>
        <v>26.55</v>
      </c>
      <c r="N161" s="75">
        <f>(PA_prices!N149+$D$2)*IF($M$2="Prices in $/MWh",1,1/1000)</f>
        <v>27.67</v>
      </c>
      <c r="O161" s="61"/>
    </row>
    <row r="162" spans="2:15" x14ac:dyDescent="0.25">
      <c r="B162" s="99" t="s">
        <v>640</v>
      </c>
      <c r="C162" s="78" t="str">
        <f>PA_prices!C150</f>
        <v>March-2016</v>
      </c>
      <c r="D162" s="79" t="str">
        <f>PA_prices!D150</f>
        <v>PA</v>
      </c>
      <c r="E162" s="80" t="str">
        <f>PA_prices!E150</f>
        <v>PECO</v>
      </c>
      <c r="F162" s="79" t="str">
        <f>PA_prices!F150</f>
        <v>GS</v>
      </c>
      <c r="G162" s="80" t="str">
        <f>PA_prices!G150</f>
        <v>General service</v>
      </c>
      <c r="H162" s="81" t="str">
        <f t="shared" ref="H162" si="145">IF($M$2="Prices in $/MWh","100-500 MWh","100,000-500,000 kWh")</f>
        <v>100-500 MWh</v>
      </c>
      <c r="I162" s="80">
        <f>(PA_prices!I150+$D$2)*IF($M$2="Prices in $/MWh",1,1/1000)</f>
        <v>68.7</v>
      </c>
      <c r="J162" s="79">
        <f>(PA_prices!J150+$D$2)*IF($M$2="Prices in $/MWh",1,1/1000)</f>
        <v>67.989999999999995</v>
      </c>
      <c r="K162" s="80">
        <f>(PA_prices!K150+$D$2)*IF($M$2="Prices in $/MWh",1,1/1000)</f>
        <v>68.61</v>
      </c>
      <c r="L162" s="79">
        <f>(PA_prices!L150+$D$2)*IF($M$2="Prices in $/MWh",1,1/1000)</f>
        <v>25.35</v>
      </c>
      <c r="M162" s="80">
        <f>(PA_prices!M150+$D$2)*IF($M$2="Prices in $/MWh",1,1/1000)</f>
        <v>24.95</v>
      </c>
      <c r="N162" s="79">
        <f>(PA_prices!N150+$D$2)*IF($M$2="Prices in $/MWh",1,1/1000)</f>
        <v>26.07</v>
      </c>
      <c r="O162" s="61"/>
    </row>
    <row r="163" spans="2:15" x14ac:dyDescent="0.25">
      <c r="B163" s="99" t="s">
        <v>640</v>
      </c>
      <c r="C163" s="82" t="str">
        <f>PA_prices!C151</f>
        <v>March-2016</v>
      </c>
      <c r="D163" s="83" t="str">
        <f>PA_prices!D151</f>
        <v>PA</v>
      </c>
      <c r="E163" s="84" t="str">
        <f>PA_prices!E151</f>
        <v>PECO</v>
      </c>
      <c r="F163" s="83" t="str">
        <f>PA_prices!F151</f>
        <v>GS</v>
      </c>
      <c r="G163" s="84" t="str">
        <f>PA_prices!G151</f>
        <v>General service</v>
      </c>
      <c r="H163" s="85" t="str">
        <f t="shared" ref="H163" si="146">IF($M$2="Prices in $/MWh","500-2500 MWh","500,000-2,500,000 kWh")</f>
        <v>500-2500 MWh</v>
      </c>
      <c r="I163" s="84">
        <f>(PA_prices!I151+$D$2)*IF($M$2="Prices in $/MWh",1,1/1000)</f>
        <v>67.650000000000006</v>
      </c>
      <c r="J163" s="83">
        <f>(PA_prices!J151+$D$2)*IF($M$2="Prices in $/MWh",1,1/1000)</f>
        <v>66.94</v>
      </c>
      <c r="K163" s="84">
        <f>(PA_prices!K151+$D$2)*IF($M$2="Prices in $/MWh",1,1/1000)</f>
        <v>67.56</v>
      </c>
      <c r="L163" s="83">
        <f>(PA_prices!L151+$D$2)*IF($M$2="Prices in $/MWh",1,1/1000)</f>
        <v>24.3</v>
      </c>
      <c r="M163" s="84">
        <f>(PA_prices!M151+$D$2)*IF($M$2="Prices in $/MWh",1,1/1000)</f>
        <v>23.9</v>
      </c>
      <c r="N163" s="83">
        <f>(PA_prices!N151+$D$2)*IF($M$2="Prices in $/MWh",1,1/1000)</f>
        <v>25.02</v>
      </c>
      <c r="O163" s="61"/>
    </row>
    <row r="164" spans="2:15" x14ac:dyDescent="0.25">
      <c r="B164" s="99" t="s">
        <v>640</v>
      </c>
      <c r="C164" s="74" t="str">
        <f>PA_prices!C152</f>
        <v>April-2016</v>
      </c>
      <c r="D164" s="75" t="str">
        <f>PA_prices!D152</f>
        <v>PA</v>
      </c>
      <c r="E164" s="76" t="str">
        <f>PA_prices!E152</f>
        <v>PECO</v>
      </c>
      <c r="F164" s="75" t="str">
        <f>PA_prices!F152</f>
        <v>GS</v>
      </c>
      <c r="G164" s="76" t="str">
        <f>PA_prices!G152</f>
        <v>General service</v>
      </c>
      <c r="H164" s="77" t="str">
        <f t="shared" ref="H164" si="147">IF($M$2="Prices in $/MWh","0-100 MWh","0-100,000 kWh")</f>
        <v>0-100 MWh</v>
      </c>
      <c r="I164" s="76">
        <f>(PA_prices!I152+$D$2)*IF($M$2="Prices in $/MWh",1,1/1000)</f>
        <v>70.760000000000005</v>
      </c>
      <c r="J164" s="75">
        <f>(PA_prices!J152+$D$2)*IF($M$2="Prices in $/MWh",1,1/1000)</f>
        <v>69.099999999999994</v>
      </c>
      <c r="K164" s="76">
        <f>(PA_prices!K152+$D$2)*IF($M$2="Prices in $/MWh",1,1/1000)</f>
        <v>70.430000000000007</v>
      </c>
      <c r="L164" s="75">
        <f>(PA_prices!L152+$D$2)*IF($M$2="Prices in $/MWh",1,1/1000)</f>
        <v>27.49</v>
      </c>
      <c r="M164" s="76">
        <f>(PA_prices!M152+$D$2)*IF($M$2="Prices in $/MWh",1,1/1000)</f>
        <v>26.35</v>
      </c>
      <c r="N164" s="75">
        <f>(PA_prices!N152+$D$2)*IF($M$2="Prices in $/MWh",1,1/1000)</f>
        <v>28</v>
      </c>
      <c r="O164" s="61"/>
    </row>
    <row r="165" spans="2:15" x14ac:dyDescent="0.25">
      <c r="B165" s="99" t="s">
        <v>640</v>
      </c>
      <c r="C165" s="78" t="str">
        <f>PA_prices!C153</f>
        <v>April-2016</v>
      </c>
      <c r="D165" s="79" t="str">
        <f>PA_prices!D153</f>
        <v>PA</v>
      </c>
      <c r="E165" s="80" t="str">
        <f>PA_prices!E153</f>
        <v>PECO</v>
      </c>
      <c r="F165" s="79" t="str">
        <f>PA_prices!F153</f>
        <v>GS</v>
      </c>
      <c r="G165" s="80" t="str">
        <f>PA_prices!G153</f>
        <v>General service</v>
      </c>
      <c r="H165" s="81" t="str">
        <f t="shared" ref="H165" si="148">IF($M$2="Prices in $/MWh","100-500 MWh","100,000-500,000 kWh")</f>
        <v>100-500 MWh</v>
      </c>
      <c r="I165" s="80">
        <f>(PA_prices!I153+$D$2)*IF($M$2="Prices in $/MWh",1,1/1000)</f>
        <v>69.16</v>
      </c>
      <c r="J165" s="79">
        <f>(PA_prices!J153+$D$2)*IF($M$2="Prices in $/MWh",1,1/1000)</f>
        <v>67.5</v>
      </c>
      <c r="K165" s="80">
        <f>(PA_prices!K153+$D$2)*IF($M$2="Prices in $/MWh",1,1/1000)</f>
        <v>68.83</v>
      </c>
      <c r="L165" s="79">
        <f>(PA_prices!L153+$D$2)*IF($M$2="Prices in $/MWh",1,1/1000)</f>
        <v>25.89</v>
      </c>
      <c r="M165" s="80">
        <f>(PA_prices!M153+$D$2)*IF($M$2="Prices in $/MWh",1,1/1000)</f>
        <v>24.75</v>
      </c>
      <c r="N165" s="79">
        <f>(PA_prices!N153+$D$2)*IF($M$2="Prices in $/MWh",1,1/1000)</f>
        <v>26.4</v>
      </c>
      <c r="O165" s="61"/>
    </row>
    <row r="166" spans="2:15" x14ac:dyDescent="0.25">
      <c r="B166" s="99" t="s">
        <v>640</v>
      </c>
      <c r="C166" s="82" t="str">
        <f>PA_prices!C154</f>
        <v>April-2016</v>
      </c>
      <c r="D166" s="83" t="str">
        <f>PA_prices!D154</f>
        <v>PA</v>
      </c>
      <c r="E166" s="84" t="str">
        <f>PA_prices!E154</f>
        <v>PECO</v>
      </c>
      <c r="F166" s="83" t="str">
        <f>PA_prices!F154</f>
        <v>GS</v>
      </c>
      <c r="G166" s="84" t="str">
        <f>PA_prices!G154</f>
        <v>General service</v>
      </c>
      <c r="H166" s="85" t="str">
        <f t="shared" ref="H166" si="149">IF($M$2="Prices in $/MWh","500-2500 MWh","500,000-2,500,000 kWh")</f>
        <v>500-2500 MWh</v>
      </c>
      <c r="I166" s="84">
        <f>(PA_prices!I154+$D$2)*IF($M$2="Prices in $/MWh",1,1/1000)</f>
        <v>68.11</v>
      </c>
      <c r="J166" s="83">
        <f>(PA_prices!J154+$D$2)*IF($M$2="Prices in $/MWh",1,1/1000)</f>
        <v>66.45</v>
      </c>
      <c r="K166" s="84">
        <f>(PA_prices!K154+$D$2)*IF($M$2="Prices in $/MWh",1,1/1000)</f>
        <v>67.78</v>
      </c>
      <c r="L166" s="83">
        <f>(PA_prices!L154+$D$2)*IF($M$2="Prices in $/MWh",1,1/1000)</f>
        <v>24.84</v>
      </c>
      <c r="M166" s="84">
        <f>(PA_prices!M154+$D$2)*IF($M$2="Prices in $/MWh",1,1/1000)</f>
        <v>23.7</v>
      </c>
      <c r="N166" s="83">
        <f>(PA_prices!N154+$D$2)*IF($M$2="Prices in $/MWh",1,1/1000)</f>
        <v>25.35</v>
      </c>
      <c r="O166" s="61"/>
    </row>
    <row r="167" spans="2:15" x14ac:dyDescent="0.25">
      <c r="B167" s="99" t="s">
        <v>640</v>
      </c>
      <c r="C167" s="74" t="str">
        <f>PA_prices!C155</f>
        <v>May-2016</v>
      </c>
      <c r="D167" s="75" t="str">
        <f>PA_prices!D155</f>
        <v>PA</v>
      </c>
      <c r="E167" s="76" t="str">
        <f>PA_prices!E155</f>
        <v>PECO</v>
      </c>
      <c r="F167" s="75" t="str">
        <f>PA_prices!F155</f>
        <v>GS</v>
      </c>
      <c r="G167" s="76" t="str">
        <f>PA_prices!G155</f>
        <v>General service</v>
      </c>
      <c r="H167" s="77" t="str">
        <f t="shared" ref="H167" si="150">IF($M$2="Prices in $/MWh","0-100 MWh","0-100,000 kWh")</f>
        <v>0-100 MWh</v>
      </c>
      <c r="I167" s="76">
        <f>(PA_prices!I155+$D$2)*IF($M$2="Prices in $/MWh",1,1/1000)</f>
        <v>70.83</v>
      </c>
      <c r="J167" s="75">
        <f>(PA_prices!J155+$D$2)*IF($M$2="Prices in $/MWh",1,1/1000)</f>
        <v>68.83</v>
      </c>
      <c r="K167" s="76">
        <f>(PA_prices!K155+$D$2)*IF($M$2="Prices in $/MWh",1,1/1000)</f>
        <v>70.430000000000007</v>
      </c>
      <c r="L167" s="75">
        <f>(PA_prices!L155+$D$2)*IF($M$2="Prices in $/MWh",1,1/1000)</f>
        <v>27.47</v>
      </c>
      <c r="M167" s="76">
        <f>(PA_prices!M155+$D$2)*IF($M$2="Prices in $/MWh",1,1/1000)</f>
        <v>26.22</v>
      </c>
      <c r="N167" s="75">
        <f>(PA_prices!N155+$D$2)*IF($M$2="Prices in $/MWh",1,1/1000)</f>
        <v>28.03</v>
      </c>
      <c r="O167" s="61"/>
    </row>
    <row r="168" spans="2:15" x14ac:dyDescent="0.25">
      <c r="B168" s="99" t="s">
        <v>640</v>
      </c>
      <c r="C168" s="78" t="str">
        <f>PA_prices!C156</f>
        <v>May-2016</v>
      </c>
      <c r="D168" s="79" t="str">
        <f>PA_prices!D156</f>
        <v>PA</v>
      </c>
      <c r="E168" s="80" t="str">
        <f>PA_prices!E156</f>
        <v>PECO</v>
      </c>
      <c r="F168" s="79" t="str">
        <f>PA_prices!F156</f>
        <v>GS</v>
      </c>
      <c r="G168" s="80" t="str">
        <f>PA_prices!G156</f>
        <v>General service</v>
      </c>
      <c r="H168" s="81" t="str">
        <f t="shared" ref="H168" si="151">IF($M$2="Prices in $/MWh","100-500 MWh","100,000-500,000 kWh")</f>
        <v>100-500 MWh</v>
      </c>
      <c r="I168" s="80">
        <f>(PA_prices!I156+$D$2)*IF($M$2="Prices in $/MWh",1,1/1000)</f>
        <v>69.23</v>
      </c>
      <c r="J168" s="79">
        <f>(PA_prices!J156+$D$2)*IF($M$2="Prices in $/MWh",1,1/1000)</f>
        <v>67.23</v>
      </c>
      <c r="K168" s="80">
        <f>(PA_prices!K156+$D$2)*IF($M$2="Prices in $/MWh",1,1/1000)</f>
        <v>68.83</v>
      </c>
      <c r="L168" s="79">
        <f>(PA_prices!L156+$D$2)*IF($M$2="Prices in $/MWh",1,1/1000)</f>
        <v>25.87</v>
      </c>
      <c r="M168" s="80">
        <f>(PA_prices!M156+$D$2)*IF($M$2="Prices in $/MWh",1,1/1000)</f>
        <v>24.62</v>
      </c>
      <c r="N168" s="79">
        <f>(PA_prices!N156+$D$2)*IF($M$2="Prices in $/MWh",1,1/1000)</f>
        <v>26.43</v>
      </c>
      <c r="O168" s="61"/>
    </row>
    <row r="169" spans="2:15" x14ac:dyDescent="0.25">
      <c r="B169" s="99" t="s">
        <v>640</v>
      </c>
      <c r="C169" s="82" t="str">
        <f>PA_prices!C157</f>
        <v>May-2016</v>
      </c>
      <c r="D169" s="83" t="str">
        <f>PA_prices!D157</f>
        <v>PA</v>
      </c>
      <c r="E169" s="84" t="str">
        <f>PA_prices!E157</f>
        <v>PECO</v>
      </c>
      <c r="F169" s="83" t="str">
        <f>PA_prices!F157</f>
        <v>GS</v>
      </c>
      <c r="G169" s="84" t="str">
        <f>PA_prices!G157</f>
        <v>General service</v>
      </c>
      <c r="H169" s="85" t="str">
        <f t="shared" ref="H169" si="152">IF($M$2="Prices in $/MWh","500-2500 MWh","500,000-2,500,000 kWh")</f>
        <v>500-2500 MWh</v>
      </c>
      <c r="I169" s="84">
        <f>(PA_prices!I157+$D$2)*IF($M$2="Prices in $/MWh",1,1/1000)</f>
        <v>68.180000000000007</v>
      </c>
      <c r="J169" s="83">
        <f>(PA_prices!J157+$D$2)*IF($M$2="Prices in $/MWh",1,1/1000)</f>
        <v>66.180000000000007</v>
      </c>
      <c r="K169" s="84">
        <f>(PA_prices!K157+$D$2)*IF($M$2="Prices in $/MWh",1,1/1000)</f>
        <v>67.78</v>
      </c>
      <c r="L169" s="83">
        <f>(PA_prices!L157+$D$2)*IF($M$2="Prices in $/MWh",1,1/1000)</f>
        <v>24.82</v>
      </c>
      <c r="M169" s="84">
        <f>(PA_prices!M157+$D$2)*IF($M$2="Prices in $/MWh",1,1/1000)</f>
        <v>23.57</v>
      </c>
      <c r="N169" s="83">
        <f>(PA_prices!N157+$D$2)*IF($M$2="Prices in $/MWh",1,1/1000)</f>
        <v>25.38</v>
      </c>
      <c r="O169" s="61"/>
    </row>
    <row r="170" spans="2:15" x14ac:dyDescent="0.25">
      <c r="B170" s="99" t="s">
        <v>640</v>
      </c>
      <c r="C170" s="74" t="str">
        <f>PA_prices!C158</f>
        <v>June-2016</v>
      </c>
      <c r="D170" s="75" t="str">
        <f>PA_prices!D158</f>
        <v>PA</v>
      </c>
      <c r="E170" s="76" t="str">
        <f>PA_prices!E158</f>
        <v>PECO</v>
      </c>
      <c r="F170" s="75" t="str">
        <f>PA_prices!F158</f>
        <v>GS</v>
      </c>
      <c r="G170" s="76" t="str">
        <f>PA_prices!G158</f>
        <v>General service</v>
      </c>
      <c r="H170" s="77" t="str">
        <f t="shared" ref="H170" si="153">IF($M$2="Prices in $/MWh","0-100 MWh","0-100,000 kWh")</f>
        <v>0-100 MWh</v>
      </c>
      <c r="I170" s="76">
        <f>(PA_prices!I158+$D$2)*IF($M$2="Prices in $/MWh",1,1/1000)</f>
        <v>70.790000000000006</v>
      </c>
      <c r="J170" s="75">
        <f>(PA_prices!J158+$D$2)*IF($M$2="Prices in $/MWh",1,1/1000)</f>
        <v>68.7</v>
      </c>
      <c r="K170" s="76">
        <f>(PA_prices!K158+$D$2)*IF($M$2="Prices in $/MWh",1,1/1000)</f>
        <v>70.42</v>
      </c>
      <c r="L170" s="75">
        <f>(PA_prices!L158+$D$2)*IF($M$2="Prices in $/MWh",1,1/1000)</f>
        <v>27.39</v>
      </c>
      <c r="M170" s="76">
        <f>(PA_prices!M158+$D$2)*IF($M$2="Prices in $/MWh",1,1/1000)</f>
        <v>26.21</v>
      </c>
      <c r="N170" s="75">
        <f>(PA_prices!N158+$D$2)*IF($M$2="Prices in $/MWh",1,1/1000)</f>
        <v>28.04</v>
      </c>
      <c r="O170" s="61"/>
    </row>
    <row r="171" spans="2:15" x14ac:dyDescent="0.25">
      <c r="B171" s="99" t="s">
        <v>640</v>
      </c>
      <c r="C171" s="78" t="str">
        <f>PA_prices!C159</f>
        <v>June-2016</v>
      </c>
      <c r="D171" s="79" t="str">
        <f>PA_prices!D159</f>
        <v>PA</v>
      </c>
      <c r="E171" s="80" t="str">
        <f>PA_prices!E159</f>
        <v>PECO</v>
      </c>
      <c r="F171" s="79" t="str">
        <f>PA_prices!F159</f>
        <v>GS</v>
      </c>
      <c r="G171" s="80" t="str">
        <f>PA_prices!G159</f>
        <v>General service</v>
      </c>
      <c r="H171" s="81" t="str">
        <f t="shared" ref="H171" si="154">IF($M$2="Prices in $/MWh","100-500 MWh","100,000-500,000 kWh")</f>
        <v>100-500 MWh</v>
      </c>
      <c r="I171" s="80">
        <f>(PA_prices!I159+$D$2)*IF($M$2="Prices in $/MWh",1,1/1000)</f>
        <v>69.19</v>
      </c>
      <c r="J171" s="79">
        <f>(PA_prices!J159+$D$2)*IF($M$2="Prices in $/MWh",1,1/1000)</f>
        <v>67.099999999999994</v>
      </c>
      <c r="K171" s="80">
        <f>(PA_prices!K159+$D$2)*IF($M$2="Prices in $/MWh",1,1/1000)</f>
        <v>68.819999999999993</v>
      </c>
      <c r="L171" s="79">
        <f>(PA_prices!L159+$D$2)*IF($M$2="Prices in $/MWh",1,1/1000)</f>
        <v>25.79</v>
      </c>
      <c r="M171" s="80">
        <f>(PA_prices!M159+$D$2)*IF($M$2="Prices in $/MWh",1,1/1000)</f>
        <v>24.61</v>
      </c>
      <c r="N171" s="79">
        <f>(PA_prices!N159+$D$2)*IF($M$2="Prices in $/MWh",1,1/1000)</f>
        <v>26.44</v>
      </c>
      <c r="O171" s="61"/>
    </row>
    <row r="172" spans="2:15" x14ac:dyDescent="0.25">
      <c r="B172" s="99" t="s">
        <v>640</v>
      </c>
      <c r="C172" s="82" t="str">
        <f>PA_prices!C160</f>
        <v>June-2016</v>
      </c>
      <c r="D172" s="83" t="str">
        <f>PA_prices!D160</f>
        <v>PA</v>
      </c>
      <c r="E172" s="84" t="str">
        <f>PA_prices!E160</f>
        <v>PECO</v>
      </c>
      <c r="F172" s="83" t="str">
        <f>PA_prices!F160</f>
        <v>GS</v>
      </c>
      <c r="G172" s="84" t="str">
        <f>PA_prices!G160</f>
        <v>General service</v>
      </c>
      <c r="H172" s="85" t="str">
        <f t="shared" ref="H172" si="155">IF($M$2="Prices in $/MWh","500-2500 MWh","500,000-2,500,000 kWh")</f>
        <v>500-2500 MWh</v>
      </c>
      <c r="I172" s="84">
        <f>(PA_prices!I160+$D$2)*IF($M$2="Prices in $/MWh",1,1/1000)</f>
        <v>68.14</v>
      </c>
      <c r="J172" s="83">
        <f>(PA_prices!J160+$D$2)*IF($M$2="Prices in $/MWh",1,1/1000)</f>
        <v>66.05</v>
      </c>
      <c r="K172" s="84">
        <f>(PA_prices!K160+$D$2)*IF($M$2="Prices in $/MWh",1,1/1000)</f>
        <v>67.77</v>
      </c>
      <c r="L172" s="83">
        <f>(PA_prices!L160+$D$2)*IF($M$2="Prices in $/MWh",1,1/1000)</f>
        <v>24.74</v>
      </c>
      <c r="M172" s="84">
        <f>(PA_prices!M160+$D$2)*IF($M$2="Prices in $/MWh",1,1/1000)</f>
        <v>23.56</v>
      </c>
      <c r="N172" s="83">
        <f>(PA_prices!N160+$D$2)*IF($M$2="Prices in $/MWh",1,1/1000)</f>
        <v>25.39</v>
      </c>
      <c r="O172" s="61"/>
    </row>
    <row r="173" spans="2:15" x14ac:dyDescent="0.25">
      <c r="B173" s="99" t="s">
        <v>640</v>
      </c>
      <c r="C173" s="74" t="str">
        <f>PA_prices!C161</f>
        <v>July-2016</v>
      </c>
      <c r="D173" s="75" t="str">
        <f>PA_prices!D161</f>
        <v>PA</v>
      </c>
      <c r="E173" s="76" t="str">
        <f>PA_prices!E161</f>
        <v>PECO</v>
      </c>
      <c r="F173" s="75" t="str">
        <f>PA_prices!F161</f>
        <v>GS</v>
      </c>
      <c r="G173" s="76" t="str">
        <f>PA_prices!G161</f>
        <v>General service</v>
      </c>
      <c r="H173" s="77" t="str">
        <f t="shared" ref="H173" si="156">IF($M$2="Prices in $/MWh","0-100 MWh","0-100,000 kWh")</f>
        <v>0-100 MWh</v>
      </c>
      <c r="I173" s="76">
        <f>(PA_prices!I161+$D$2)*IF($M$2="Prices in $/MWh",1,1/1000)</f>
        <v>70.87</v>
      </c>
      <c r="J173" s="75">
        <f>(PA_prices!J161+$D$2)*IF($M$2="Prices in $/MWh",1,1/1000)</f>
        <v>69.09</v>
      </c>
      <c r="K173" s="76">
        <f>(PA_prices!K161+$D$2)*IF($M$2="Prices in $/MWh",1,1/1000)</f>
        <v>70.73</v>
      </c>
      <c r="L173" s="75">
        <f>(PA_prices!L161+$D$2)*IF($M$2="Prices in $/MWh",1,1/1000)</f>
        <v>27.6</v>
      </c>
      <c r="M173" s="76">
        <f>(PA_prices!M161+$D$2)*IF($M$2="Prices in $/MWh",1,1/1000)</f>
        <v>26.97</v>
      </c>
      <c r="N173" s="75">
        <f>(PA_prices!N161+$D$2)*IF($M$2="Prices in $/MWh",1,1/1000)</f>
        <v>28.51</v>
      </c>
      <c r="O173" s="61"/>
    </row>
    <row r="174" spans="2:15" x14ac:dyDescent="0.25">
      <c r="B174" s="99" t="s">
        <v>640</v>
      </c>
      <c r="C174" s="78" t="str">
        <f>PA_prices!C162</f>
        <v>July-2016</v>
      </c>
      <c r="D174" s="79" t="str">
        <f>PA_prices!D162</f>
        <v>PA</v>
      </c>
      <c r="E174" s="80" t="str">
        <f>PA_prices!E162</f>
        <v>PECO</v>
      </c>
      <c r="F174" s="79" t="str">
        <f>PA_prices!F162</f>
        <v>GS</v>
      </c>
      <c r="G174" s="80" t="str">
        <f>PA_prices!G162</f>
        <v>General service</v>
      </c>
      <c r="H174" s="81" t="str">
        <f t="shared" ref="H174" si="157">IF($M$2="Prices in $/MWh","100-500 MWh","100,000-500,000 kWh")</f>
        <v>100-500 MWh</v>
      </c>
      <c r="I174" s="80">
        <f>(PA_prices!I162+$D$2)*IF($M$2="Prices in $/MWh",1,1/1000)</f>
        <v>69.27</v>
      </c>
      <c r="J174" s="79">
        <f>(PA_prices!J162+$D$2)*IF($M$2="Prices in $/MWh",1,1/1000)</f>
        <v>67.489999999999995</v>
      </c>
      <c r="K174" s="80">
        <f>(PA_prices!K162+$D$2)*IF($M$2="Prices in $/MWh",1,1/1000)</f>
        <v>69.13</v>
      </c>
      <c r="L174" s="79">
        <f>(PA_prices!L162+$D$2)*IF($M$2="Prices in $/MWh",1,1/1000)</f>
        <v>26</v>
      </c>
      <c r="M174" s="80">
        <f>(PA_prices!M162+$D$2)*IF($M$2="Prices in $/MWh",1,1/1000)</f>
        <v>25.37</v>
      </c>
      <c r="N174" s="79">
        <f>(PA_prices!N162+$D$2)*IF($M$2="Prices in $/MWh",1,1/1000)</f>
        <v>26.91</v>
      </c>
      <c r="O174" s="61"/>
    </row>
    <row r="175" spans="2:15" x14ac:dyDescent="0.25">
      <c r="B175" s="99" t="s">
        <v>640</v>
      </c>
      <c r="C175" s="82" t="str">
        <f>PA_prices!C163</f>
        <v>July-2016</v>
      </c>
      <c r="D175" s="83" t="str">
        <f>PA_prices!D163</f>
        <v>PA</v>
      </c>
      <c r="E175" s="84" t="str">
        <f>PA_prices!E163</f>
        <v>PECO</v>
      </c>
      <c r="F175" s="83" t="str">
        <f>PA_prices!F163</f>
        <v>GS</v>
      </c>
      <c r="G175" s="84" t="str">
        <f>PA_prices!G163</f>
        <v>General service</v>
      </c>
      <c r="H175" s="85" t="str">
        <f t="shared" ref="H175" si="158">IF($M$2="Prices in $/MWh","500-2500 MWh","500,000-2,500,000 kWh")</f>
        <v>500-2500 MWh</v>
      </c>
      <c r="I175" s="84">
        <f>(PA_prices!I163+$D$2)*IF($M$2="Prices in $/MWh",1,1/1000)</f>
        <v>68.22</v>
      </c>
      <c r="J175" s="83">
        <f>(PA_prices!J163+$D$2)*IF($M$2="Prices in $/MWh",1,1/1000)</f>
        <v>66.44</v>
      </c>
      <c r="K175" s="84">
        <f>(PA_prices!K163+$D$2)*IF($M$2="Prices in $/MWh",1,1/1000)</f>
        <v>68.08</v>
      </c>
      <c r="L175" s="83">
        <f>(PA_prices!L163+$D$2)*IF($M$2="Prices in $/MWh",1,1/1000)</f>
        <v>24.95</v>
      </c>
      <c r="M175" s="84">
        <f>(PA_prices!M163+$D$2)*IF($M$2="Prices in $/MWh",1,1/1000)</f>
        <v>24.32</v>
      </c>
      <c r="N175" s="83">
        <f>(PA_prices!N163+$D$2)*IF($M$2="Prices in $/MWh",1,1/1000)</f>
        <v>25.86</v>
      </c>
      <c r="O175" s="61"/>
    </row>
    <row r="176" spans="2:15" x14ac:dyDescent="0.25">
      <c r="B176" s="99" t="s">
        <v>640</v>
      </c>
      <c r="C176" s="74" t="str">
        <f>PA_prices!C164</f>
        <v>August-2016</v>
      </c>
      <c r="D176" s="75" t="str">
        <f>PA_prices!D164</f>
        <v>PA</v>
      </c>
      <c r="E176" s="76" t="str">
        <f>PA_prices!E164</f>
        <v>PECO</v>
      </c>
      <c r="F176" s="75" t="str">
        <f>PA_prices!F164</f>
        <v>GS</v>
      </c>
      <c r="G176" s="76" t="str">
        <f>PA_prices!G164</f>
        <v>General service</v>
      </c>
      <c r="H176" s="77" t="str">
        <f t="shared" ref="H176" si="159">IF($M$2="Prices in $/MWh","0-100 MWh","0-100,000 kWh")</f>
        <v>0-100 MWh</v>
      </c>
      <c r="I176" s="76">
        <f>(PA_prices!I164+$D$2)*IF($M$2="Prices in $/MWh",1,1/1000)</f>
        <v>70.8</v>
      </c>
      <c r="J176" s="75">
        <f>(PA_prices!J164+$D$2)*IF($M$2="Prices in $/MWh",1,1/1000)</f>
        <v>70.13</v>
      </c>
      <c r="K176" s="76">
        <f>(PA_prices!K164+$D$2)*IF($M$2="Prices in $/MWh",1,1/1000)</f>
        <v>71.12</v>
      </c>
      <c r="L176" s="75">
        <f>(PA_prices!L164+$D$2)*IF($M$2="Prices in $/MWh",1,1/1000)</f>
        <v>27.76</v>
      </c>
      <c r="M176" s="76">
        <f>(PA_prices!M164+$D$2)*IF($M$2="Prices in $/MWh",1,1/1000)</f>
        <v>27.97</v>
      </c>
      <c r="N176" s="75">
        <f>(PA_prices!N164+$D$2)*IF($M$2="Prices in $/MWh",1,1/1000)</f>
        <v>29.05</v>
      </c>
      <c r="O176" s="61"/>
    </row>
    <row r="177" spans="2:15" x14ac:dyDescent="0.25">
      <c r="B177" s="99" t="s">
        <v>640</v>
      </c>
      <c r="C177" s="78" t="str">
        <f>PA_prices!C165</f>
        <v>August-2016</v>
      </c>
      <c r="D177" s="79" t="str">
        <f>PA_prices!D165</f>
        <v>PA</v>
      </c>
      <c r="E177" s="80" t="str">
        <f>PA_prices!E165</f>
        <v>PECO</v>
      </c>
      <c r="F177" s="79" t="str">
        <f>PA_prices!F165</f>
        <v>GS</v>
      </c>
      <c r="G177" s="80" t="str">
        <f>PA_prices!G165</f>
        <v>General service</v>
      </c>
      <c r="H177" s="81" t="str">
        <f t="shared" ref="H177" si="160">IF($M$2="Prices in $/MWh","100-500 MWh","100,000-500,000 kWh")</f>
        <v>100-500 MWh</v>
      </c>
      <c r="I177" s="80">
        <f>(PA_prices!I165+$D$2)*IF($M$2="Prices in $/MWh",1,1/1000)</f>
        <v>69.2</v>
      </c>
      <c r="J177" s="79">
        <f>(PA_prices!J165+$D$2)*IF($M$2="Prices in $/MWh",1,1/1000)</f>
        <v>68.53</v>
      </c>
      <c r="K177" s="80">
        <f>(PA_prices!K165+$D$2)*IF($M$2="Prices in $/MWh",1,1/1000)</f>
        <v>69.52</v>
      </c>
      <c r="L177" s="79">
        <f>(PA_prices!L165+$D$2)*IF($M$2="Prices in $/MWh",1,1/1000)</f>
        <v>26.16</v>
      </c>
      <c r="M177" s="80">
        <f>(PA_prices!M165+$D$2)*IF($M$2="Prices in $/MWh",1,1/1000)</f>
        <v>26.37</v>
      </c>
      <c r="N177" s="79">
        <f>(PA_prices!N165+$D$2)*IF($M$2="Prices in $/MWh",1,1/1000)</f>
        <v>27.45</v>
      </c>
      <c r="O177" s="61"/>
    </row>
    <row r="178" spans="2:15" x14ac:dyDescent="0.25">
      <c r="B178" s="99" t="s">
        <v>640</v>
      </c>
      <c r="C178" s="82" t="str">
        <f>PA_prices!C166</f>
        <v>August-2016</v>
      </c>
      <c r="D178" s="83" t="str">
        <f>PA_prices!D166</f>
        <v>PA</v>
      </c>
      <c r="E178" s="84" t="str">
        <f>PA_prices!E166</f>
        <v>PECO</v>
      </c>
      <c r="F178" s="83" t="str">
        <f>PA_prices!F166</f>
        <v>GS</v>
      </c>
      <c r="G178" s="84" t="str">
        <f>PA_prices!G166</f>
        <v>General service</v>
      </c>
      <c r="H178" s="85" t="str">
        <f t="shared" ref="H178" si="161">IF($M$2="Prices in $/MWh","500-2500 MWh","500,000-2,500,000 kWh")</f>
        <v>500-2500 MWh</v>
      </c>
      <c r="I178" s="84">
        <f>(PA_prices!I166+$D$2)*IF($M$2="Prices in $/MWh",1,1/1000)</f>
        <v>68.150000000000006</v>
      </c>
      <c r="J178" s="83">
        <f>(PA_prices!J166+$D$2)*IF($M$2="Prices in $/MWh",1,1/1000)</f>
        <v>67.48</v>
      </c>
      <c r="K178" s="84">
        <f>(PA_prices!K166+$D$2)*IF($M$2="Prices in $/MWh",1,1/1000)</f>
        <v>68.47</v>
      </c>
      <c r="L178" s="83">
        <f>(PA_prices!L166+$D$2)*IF($M$2="Prices in $/MWh",1,1/1000)</f>
        <v>25.11</v>
      </c>
      <c r="M178" s="84">
        <f>(PA_prices!M166+$D$2)*IF($M$2="Prices in $/MWh",1,1/1000)</f>
        <v>25.32</v>
      </c>
      <c r="N178" s="83">
        <f>(PA_prices!N166+$D$2)*IF($M$2="Prices in $/MWh",1,1/1000)</f>
        <v>26.4</v>
      </c>
      <c r="O178" s="61"/>
    </row>
    <row r="179" spans="2:15" x14ac:dyDescent="0.25">
      <c r="B179" s="99" t="s">
        <v>640</v>
      </c>
      <c r="C179" s="74" t="str">
        <f>PA_prices!C167</f>
        <v>September-2016</v>
      </c>
      <c r="D179" s="75" t="str">
        <f>PA_prices!D167</f>
        <v>PA</v>
      </c>
      <c r="E179" s="76" t="str">
        <f>PA_prices!E167</f>
        <v>PECO</v>
      </c>
      <c r="F179" s="75" t="str">
        <f>PA_prices!F167</f>
        <v>GS</v>
      </c>
      <c r="G179" s="76" t="str">
        <f>PA_prices!G167</f>
        <v>General service</v>
      </c>
      <c r="H179" s="77" t="str">
        <f t="shared" ref="H179" si="162">IF($M$2="Prices in $/MWh","0-100 MWh","0-100,000 kWh")</f>
        <v>0-100 MWh</v>
      </c>
      <c r="I179" s="76">
        <f>(PA_prices!I167+$D$2)*IF($M$2="Prices in $/MWh",1,1/1000)</f>
        <v>70.760000000000005</v>
      </c>
      <c r="J179" s="75">
        <f>(PA_prices!J167+$D$2)*IF($M$2="Prices in $/MWh",1,1/1000)</f>
        <v>71.23</v>
      </c>
      <c r="K179" s="76">
        <f>(PA_prices!K167+$D$2)*IF($M$2="Prices in $/MWh",1,1/1000)</f>
        <v>71.489999999999995</v>
      </c>
      <c r="L179" s="75">
        <f>(PA_prices!L167+$D$2)*IF($M$2="Prices in $/MWh",1,1/1000)</f>
        <v>27.98</v>
      </c>
      <c r="M179" s="76">
        <f>(PA_prices!M167+$D$2)*IF($M$2="Prices in $/MWh",1,1/1000)</f>
        <v>29.05</v>
      </c>
      <c r="N179" s="75">
        <f>(PA_prices!N167+$D$2)*IF($M$2="Prices in $/MWh",1,1/1000)</f>
        <v>29.65</v>
      </c>
      <c r="O179" s="61"/>
    </row>
    <row r="180" spans="2:15" x14ac:dyDescent="0.25">
      <c r="B180" s="99" t="s">
        <v>640</v>
      </c>
      <c r="C180" s="78" t="str">
        <f>PA_prices!C168</f>
        <v>September-2016</v>
      </c>
      <c r="D180" s="79" t="str">
        <f>PA_prices!D168</f>
        <v>PA</v>
      </c>
      <c r="E180" s="80" t="str">
        <f>PA_prices!E168</f>
        <v>PECO</v>
      </c>
      <c r="F180" s="79" t="str">
        <f>PA_prices!F168</f>
        <v>GS</v>
      </c>
      <c r="G180" s="80" t="str">
        <f>PA_prices!G168</f>
        <v>General service</v>
      </c>
      <c r="H180" s="81" t="str">
        <f t="shared" ref="H180" si="163">IF($M$2="Prices in $/MWh","100-500 MWh","100,000-500,000 kWh")</f>
        <v>100-500 MWh</v>
      </c>
      <c r="I180" s="80">
        <f>(PA_prices!I168+$D$2)*IF($M$2="Prices in $/MWh",1,1/1000)</f>
        <v>69.16</v>
      </c>
      <c r="J180" s="79">
        <f>(PA_prices!J168+$D$2)*IF($M$2="Prices in $/MWh",1,1/1000)</f>
        <v>69.63</v>
      </c>
      <c r="K180" s="80">
        <f>(PA_prices!K168+$D$2)*IF($M$2="Prices in $/MWh",1,1/1000)</f>
        <v>69.89</v>
      </c>
      <c r="L180" s="79">
        <f>(PA_prices!L168+$D$2)*IF($M$2="Prices in $/MWh",1,1/1000)</f>
        <v>26.38</v>
      </c>
      <c r="M180" s="80">
        <f>(PA_prices!M168+$D$2)*IF($M$2="Prices in $/MWh",1,1/1000)</f>
        <v>27.45</v>
      </c>
      <c r="N180" s="79">
        <f>(PA_prices!N168+$D$2)*IF($M$2="Prices in $/MWh",1,1/1000)</f>
        <v>28.05</v>
      </c>
      <c r="O180" s="61"/>
    </row>
    <row r="181" spans="2:15" x14ac:dyDescent="0.25">
      <c r="B181" s="99" t="s">
        <v>640</v>
      </c>
      <c r="C181" s="82" t="str">
        <f>PA_prices!C169</f>
        <v>September-2016</v>
      </c>
      <c r="D181" s="83" t="str">
        <f>PA_prices!D169</f>
        <v>PA</v>
      </c>
      <c r="E181" s="84" t="str">
        <f>PA_prices!E169</f>
        <v>PECO</v>
      </c>
      <c r="F181" s="83" t="str">
        <f>PA_prices!F169</f>
        <v>GS</v>
      </c>
      <c r="G181" s="84" t="str">
        <f>PA_prices!G169</f>
        <v>General service</v>
      </c>
      <c r="H181" s="85" t="str">
        <f t="shared" ref="H181" si="164">IF($M$2="Prices in $/MWh","500-2500 MWh","500,000-2,500,000 kWh")</f>
        <v>500-2500 MWh</v>
      </c>
      <c r="I181" s="84">
        <f>(PA_prices!I169+$D$2)*IF($M$2="Prices in $/MWh",1,1/1000)</f>
        <v>68.11</v>
      </c>
      <c r="J181" s="83">
        <f>(PA_prices!J169+$D$2)*IF($M$2="Prices in $/MWh",1,1/1000)</f>
        <v>68.58</v>
      </c>
      <c r="K181" s="84">
        <f>(PA_prices!K169+$D$2)*IF($M$2="Prices in $/MWh",1,1/1000)</f>
        <v>68.84</v>
      </c>
      <c r="L181" s="83">
        <f>(PA_prices!L169+$D$2)*IF($M$2="Prices in $/MWh",1,1/1000)</f>
        <v>25.33</v>
      </c>
      <c r="M181" s="84">
        <f>(PA_prices!M169+$D$2)*IF($M$2="Prices in $/MWh",1,1/1000)</f>
        <v>26.4</v>
      </c>
      <c r="N181" s="83">
        <f>(PA_prices!N169+$D$2)*IF($M$2="Prices in $/MWh",1,1/1000)</f>
        <v>27</v>
      </c>
      <c r="O181" s="61"/>
    </row>
    <row r="182" spans="2:15" x14ac:dyDescent="0.25">
      <c r="B182" s="99" t="s">
        <v>640</v>
      </c>
      <c r="C182" s="74" t="str">
        <f>PA_prices!C170</f>
        <v>October-2016</v>
      </c>
      <c r="D182" s="75" t="str">
        <f>PA_prices!D170</f>
        <v>PA</v>
      </c>
      <c r="E182" s="76" t="str">
        <f>PA_prices!E170</f>
        <v>PECO</v>
      </c>
      <c r="F182" s="75" t="str">
        <f>PA_prices!F170</f>
        <v>GS</v>
      </c>
      <c r="G182" s="76" t="str">
        <f>PA_prices!G170</f>
        <v>General service</v>
      </c>
      <c r="H182" s="77" t="str">
        <f t="shared" ref="H182" si="165">IF($M$2="Prices in $/MWh","0-100 MWh","0-100,000 kWh")</f>
        <v>0-100 MWh</v>
      </c>
      <c r="I182" s="76">
        <f>(PA_prices!I170+$D$2)*IF($M$2="Prices in $/MWh",1,1/1000)</f>
        <v>70.849999999999994</v>
      </c>
      <c r="J182" s="75">
        <f>(PA_prices!J170+$D$2)*IF($M$2="Prices in $/MWh",1,1/1000)</f>
        <v>72.11</v>
      </c>
      <c r="K182" s="76">
        <f>(PA_prices!K170+$D$2)*IF($M$2="Prices in $/MWh",1,1/1000)</f>
        <v>71.83</v>
      </c>
      <c r="L182" s="75">
        <f>(PA_prices!L170+$D$2)*IF($M$2="Prices in $/MWh",1,1/1000)</f>
        <v>28.33</v>
      </c>
      <c r="M182" s="76">
        <f>(PA_prices!M170+$D$2)*IF($M$2="Prices in $/MWh",1,1/1000)</f>
        <v>29.95</v>
      </c>
      <c r="N182" s="75">
        <f>(PA_prices!N170+$D$2)*IF($M$2="Prices in $/MWh",1,1/1000)</f>
        <v>30.22</v>
      </c>
      <c r="O182" s="61"/>
    </row>
    <row r="183" spans="2:15" x14ac:dyDescent="0.25">
      <c r="B183" s="99" t="s">
        <v>640</v>
      </c>
      <c r="C183" s="78" t="str">
        <f>PA_prices!C171</f>
        <v>October-2016</v>
      </c>
      <c r="D183" s="79" t="str">
        <f>PA_prices!D171</f>
        <v>PA</v>
      </c>
      <c r="E183" s="80" t="str">
        <f>PA_prices!E171</f>
        <v>PECO</v>
      </c>
      <c r="F183" s="79" t="str">
        <f>PA_prices!F171</f>
        <v>GS</v>
      </c>
      <c r="G183" s="80" t="str">
        <f>PA_prices!G171</f>
        <v>General service</v>
      </c>
      <c r="H183" s="81" t="str">
        <f t="shared" ref="H183" si="166">IF($M$2="Prices in $/MWh","100-500 MWh","100,000-500,000 kWh")</f>
        <v>100-500 MWh</v>
      </c>
      <c r="I183" s="80">
        <f>(PA_prices!I171+$D$2)*IF($M$2="Prices in $/MWh",1,1/1000)</f>
        <v>69.25</v>
      </c>
      <c r="J183" s="79">
        <f>(PA_prices!J171+$D$2)*IF($M$2="Prices in $/MWh",1,1/1000)</f>
        <v>70.510000000000005</v>
      </c>
      <c r="K183" s="80">
        <f>(PA_prices!K171+$D$2)*IF($M$2="Prices in $/MWh",1,1/1000)</f>
        <v>70.23</v>
      </c>
      <c r="L183" s="79">
        <f>(PA_prices!L171+$D$2)*IF($M$2="Prices in $/MWh",1,1/1000)</f>
        <v>26.73</v>
      </c>
      <c r="M183" s="80">
        <f>(PA_prices!M171+$D$2)*IF($M$2="Prices in $/MWh",1,1/1000)</f>
        <v>28.35</v>
      </c>
      <c r="N183" s="79">
        <f>(PA_prices!N171+$D$2)*IF($M$2="Prices in $/MWh",1,1/1000)</f>
        <v>28.62</v>
      </c>
      <c r="O183" s="61"/>
    </row>
    <row r="184" spans="2:15" x14ac:dyDescent="0.25">
      <c r="B184" s="99" t="s">
        <v>640</v>
      </c>
      <c r="C184" s="82" t="str">
        <f>PA_prices!C172</f>
        <v>October-2016</v>
      </c>
      <c r="D184" s="83" t="str">
        <f>PA_prices!D172</f>
        <v>PA</v>
      </c>
      <c r="E184" s="84" t="str">
        <f>PA_prices!E172</f>
        <v>PECO</v>
      </c>
      <c r="F184" s="83" t="str">
        <f>PA_prices!F172</f>
        <v>GS</v>
      </c>
      <c r="G184" s="84" t="str">
        <f>PA_prices!G172</f>
        <v>General service</v>
      </c>
      <c r="H184" s="85" t="str">
        <f t="shared" ref="H184" si="167">IF($M$2="Prices in $/MWh","500-2500 MWh","500,000-2,500,000 kWh")</f>
        <v>500-2500 MWh</v>
      </c>
      <c r="I184" s="84">
        <f>(PA_prices!I172+$D$2)*IF($M$2="Prices in $/MWh",1,1/1000)</f>
        <v>68.2</v>
      </c>
      <c r="J184" s="83">
        <f>(PA_prices!J172+$D$2)*IF($M$2="Prices in $/MWh",1,1/1000)</f>
        <v>69.459999999999994</v>
      </c>
      <c r="K184" s="84">
        <f>(PA_prices!K172+$D$2)*IF($M$2="Prices in $/MWh",1,1/1000)</f>
        <v>69.180000000000007</v>
      </c>
      <c r="L184" s="83">
        <f>(PA_prices!L172+$D$2)*IF($M$2="Prices in $/MWh",1,1/1000)</f>
        <v>25.68</v>
      </c>
      <c r="M184" s="84">
        <f>(PA_prices!M172+$D$2)*IF($M$2="Prices in $/MWh",1,1/1000)</f>
        <v>27.3</v>
      </c>
      <c r="N184" s="83">
        <f>(PA_prices!N172+$D$2)*IF($M$2="Prices in $/MWh",1,1/1000)</f>
        <v>27.57</v>
      </c>
      <c r="O184" s="61"/>
    </row>
    <row r="185" spans="2:15" x14ac:dyDescent="0.25">
      <c r="B185" s="99" t="s">
        <v>640</v>
      </c>
      <c r="C185" s="74" t="str">
        <f>PA_prices!C173</f>
        <v>November-2016</v>
      </c>
      <c r="D185" s="75" t="str">
        <f>PA_prices!D173</f>
        <v>PA</v>
      </c>
      <c r="E185" s="76" t="str">
        <f>PA_prices!E173</f>
        <v>PECO</v>
      </c>
      <c r="F185" s="75" t="str">
        <f>PA_prices!F173</f>
        <v>GS</v>
      </c>
      <c r="G185" s="76" t="str">
        <f>PA_prices!G173</f>
        <v>General service</v>
      </c>
      <c r="H185" s="77" t="str">
        <f t="shared" ref="H185" si="168">IF($M$2="Prices in $/MWh","0-100 MWh","0-100,000 kWh")</f>
        <v>0-100 MWh</v>
      </c>
      <c r="I185" s="76">
        <f>(PA_prices!I173+$D$2)*IF($M$2="Prices in $/MWh",1,1/1000)</f>
        <v>70.78</v>
      </c>
      <c r="J185" s="75">
        <f>(PA_prices!J173+$D$2)*IF($M$2="Prices in $/MWh",1,1/1000)</f>
        <v>72.349999999999994</v>
      </c>
      <c r="K185" s="76">
        <f>(PA_prices!K173+$D$2)*IF($M$2="Prices in $/MWh",1,1/1000)</f>
        <v>72.13</v>
      </c>
      <c r="L185" s="75">
        <f>(PA_prices!L173+$D$2)*IF($M$2="Prices in $/MWh",1,1/1000)</f>
        <v>28.41</v>
      </c>
      <c r="M185" s="76">
        <f>(PA_prices!M173+$D$2)*IF($M$2="Prices in $/MWh",1,1/1000)</f>
        <v>30.2</v>
      </c>
      <c r="N185" s="75">
        <f>(PA_prices!N173+$D$2)*IF($M$2="Prices in $/MWh",1,1/1000)</f>
        <v>30.68</v>
      </c>
      <c r="O185" s="61"/>
    </row>
    <row r="186" spans="2:15" x14ac:dyDescent="0.25">
      <c r="B186" s="99" t="s">
        <v>640</v>
      </c>
      <c r="C186" s="78" t="str">
        <f>PA_prices!C174</f>
        <v>November-2016</v>
      </c>
      <c r="D186" s="79" t="str">
        <f>PA_prices!D174</f>
        <v>PA</v>
      </c>
      <c r="E186" s="80" t="str">
        <f>PA_prices!E174</f>
        <v>PECO</v>
      </c>
      <c r="F186" s="79" t="str">
        <f>PA_prices!F174</f>
        <v>GS</v>
      </c>
      <c r="G186" s="80" t="str">
        <f>PA_prices!G174</f>
        <v>General service</v>
      </c>
      <c r="H186" s="81" t="str">
        <f t="shared" ref="H186" si="169">IF($M$2="Prices in $/MWh","100-500 MWh","100,000-500,000 kWh")</f>
        <v>100-500 MWh</v>
      </c>
      <c r="I186" s="80">
        <f>(PA_prices!I174+$D$2)*IF($M$2="Prices in $/MWh",1,1/1000)</f>
        <v>69.180000000000007</v>
      </c>
      <c r="J186" s="79">
        <f>(PA_prices!J174+$D$2)*IF($M$2="Prices in $/MWh",1,1/1000)</f>
        <v>70.75</v>
      </c>
      <c r="K186" s="80">
        <f>(PA_prices!K174+$D$2)*IF($M$2="Prices in $/MWh",1,1/1000)</f>
        <v>70.53</v>
      </c>
      <c r="L186" s="79">
        <f>(PA_prices!L174+$D$2)*IF($M$2="Prices in $/MWh",1,1/1000)</f>
        <v>26.81</v>
      </c>
      <c r="M186" s="80">
        <f>(PA_prices!M174+$D$2)*IF($M$2="Prices in $/MWh",1,1/1000)</f>
        <v>28.6</v>
      </c>
      <c r="N186" s="79">
        <f>(PA_prices!N174+$D$2)*IF($M$2="Prices in $/MWh",1,1/1000)</f>
        <v>29.08</v>
      </c>
      <c r="O186" s="61"/>
    </row>
    <row r="187" spans="2:15" x14ac:dyDescent="0.25">
      <c r="B187" s="99" t="s">
        <v>640</v>
      </c>
      <c r="C187" s="82" t="str">
        <f>PA_prices!C175</f>
        <v>November-2016</v>
      </c>
      <c r="D187" s="83" t="str">
        <f>PA_prices!D175</f>
        <v>PA</v>
      </c>
      <c r="E187" s="84" t="str">
        <f>PA_prices!E175</f>
        <v>PECO</v>
      </c>
      <c r="F187" s="83" t="str">
        <f>PA_prices!F175</f>
        <v>GS</v>
      </c>
      <c r="G187" s="84" t="str">
        <f>PA_prices!G175</f>
        <v>General service</v>
      </c>
      <c r="H187" s="85" t="str">
        <f t="shared" ref="H187" si="170">IF($M$2="Prices in $/MWh","500-2500 MWh","500,000-2,500,000 kWh")</f>
        <v>500-2500 MWh</v>
      </c>
      <c r="I187" s="84">
        <f>(PA_prices!I175+$D$2)*IF($M$2="Prices in $/MWh",1,1/1000)</f>
        <v>68.13</v>
      </c>
      <c r="J187" s="83">
        <f>(PA_prices!J175+$D$2)*IF($M$2="Prices in $/MWh",1,1/1000)</f>
        <v>69.7</v>
      </c>
      <c r="K187" s="84">
        <f>(PA_prices!K175+$D$2)*IF($M$2="Prices in $/MWh",1,1/1000)</f>
        <v>69.48</v>
      </c>
      <c r="L187" s="83">
        <f>(PA_prices!L175+$D$2)*IF($M$2="Prices in $/MWh",1,1/1000)</f>
        <v>25.76</v>
      </c>
      <c r="M187" s="84">
        <f>(PA_prices!M175+$D$2)*IF($M$2="Prices in $/MWh",1,1/1000)</f>
        <v>27.55</v>
      </c>
      <c r="N187" s="83">
        <f>(PA_prices!N175+$D$2)*IF($M$2="Prices in $/MWh",1,1/1000)</f>
        <v>28.03</v>
      </c>
      <c r="O187" s="61"/>
    </row>
    <row r="188" spans="2:15" x14ac:dyDescent="0.25">
      <c r="B188" s="99" t="s">
        <v>640</v>
      </c>
      <c r="C188" s="74" t="str">
        <f>PA_prices!C176</f>
        <v>December-2016</v>
      </c>
      <c r="D188" s="75" t="str">
        <f>PA_prices!D176</f>
        <v>PA</v>
      </c>
      <c r="E188" s="76" t="str">
        <f>PA_prices!E176</f>
        <v>PECO</v>
      </c>
      <c r="F188" s="75" t="str">
        <f>PA_prices!F176</f>
        <v>GS</v>
      </c>
      <c r="G188" s="76" t="str">
        <f>PA_prices!G176</f>
        <v>General service</v>
      </c>
      <c r="H188" s="77" t="str">
        <f t="shared" ref="H188" si="171">IF($M$2="Prices in $/MWh","0-100 MWh","0-100,000 kWh")</f>
        <v>0-100 MWh</v>
      </c>
      <c r="I188" s="76">
        <f>(PA_prices!I176+$D$2)*IF($M$2="Prices in $/MWh",1,1/1000)</f>
        <v>70.569999999999993</v>
      </c>
      <c r="J188" s="75">
        <f>(PA_prices!J176+$D$2)*IF($M$2="Prices in $/MWh",1,1/1000)</f>
        <v>72.31</v>
      </c>
      <c r="K188" s="76">
        <f>(PA_prices!K176+$D$2)*IF($M$2="Prices in $/MWh",1,1/1000)</f>
        <v>72.39</v>
      </c>
      <c r="L188" s="75">
        <f>(PA_prices!L176+$D$2)*IF($M$2="Prices in $/MWh",1,1/1000)</f>
        <v>28.32</v>
      </c>
      <c r="M188" s="76">
        <f>(PA_prices!M176+$D$2)*IF($M$2="Prices in $/MWh",1,1/1000)</f>
        <v>30.13</v>
      </c>
      <c r="N188" s="75">
        <f>(PA_prices!N176+$D$2)*IF($M$2="Prices in $/MWh",1,1/1000)</f>
        <v>31.11</v>
      </c>
      <c r="O188" s="61"/>
    </row>
    <row r="189" spans="2:15" x14ac:dyDescent="0.25">
      <c r="B189" s="99" t="s">
        <v>640</v>
      </c>
      <c r="C189" s="78" t="str">
        <f>PA_prices!C177</f>
        <v>December-2016</v>
      </c>
      <c r="D189" s="79" t="str">
        <f>PA_prices!D177</f>
        <v>PA</v>
      </c>
      <c r="E189" s="80" t="str">
        <f>PA_prices!E177</f>
        <v>PECO</v>
      </c>
      <c r="F189" s="79" t="str">
        <f>PA_prices!F177</f>
        <v>GS</v>
      </c>
      <c r="G189" s="80" t="str">
        <f>PA_prices!G177</f>
        <v>General service</v>
      </c>
      <c r="H189" s="81" t="str">
        <f t="shared" ref="H189" si="172">IF($M$2="Prices in $/MWh","100-500 MWh","100,000-500,000 kWh")</f>
        <v>100-500 MWh</v>
      </c>
      <c r="I189" s="80">
        <f>(PA_prices!I177+$D$2)*IF($M$2="Prices in $/MWh",1,1/1000)</f>
        <v>68.97</v>
      </c>
      <c r="J189" s="79">
        <f>(PA_prices!J177+$D$2)*IF($M$2="Prices in $/MWh",1,1/1000)</f>
        <v>70.709999999999994</v>
      </c>
      <c r="K189" s="80">
        <f>(PA_prices!K177+$D$2)*IF($M$2="Prices in $/MWh",1,1/1000)</f>
        <v>70.790000000000006</v>
      </c>
      <c r="L189" s="79">
        <f>(PA_prices!L177+$D$2)*IF($M$2="Prices in $/MWh",1,1/1000)</f>
        <v>26.72</v>
      </c>
      <c r="M189" s="80">
        <f>(PA_prices!M177+$D$2)*IF($M$2="Prices in $/MWh",1,1/1000)</f>
        <v>28.53</v>
      </c>
      <c r="N189" s="79">
        <f>(PA_prices!N177+$D$2)*IF($M$2="Prices in $/MWh",1,1/1000)</f>
        <v>29.51</v>
      </c>
      <c r="O189" s="61"/>
    </row>
    <row r="190" spans="2:15" x14ac:dyDescent="0.25">
      <c r="B190" s="99" t="s">
        <v>640</v>
      </c>
      <c r="C190" s="82" t="str">
        <f>PA_prices!C178</f>
        <v>December-2016</v>
      </c>
      <c r="D190" s="83" t="str">
        <f>PA_prices!D178</f>
        <v>PA</v>
      </c>
      <c r="E190" s="84" t="str">
        <f>PA_prices!E178</f>
        <v>PECO</v>
      </c>
      <c r="F190" s="83" t="str">
        <f>PA_prices!F178</f>
        <v>GS</v>
      </c>
      <c r="G190" s="84" t="str">
        <f>PA_prices!G178</f>
        <v>General service</v>
      </c>
      <c r="H190" s="85" t="str">
        <f t="shared" ref="H190" si="173">IF($M$2="Prices in $/MWh","500-2500 MWh","500,000-2,500,000 kWh")</f>
        <v>500-2500 MWh</v>
      </c>
      <c r="I190" s="84">
        <f>(PA_prices!I178+$D$2)*IF($M$2="Prices in $/MWh",1,1/1000)</f>
        <v>67.92</v>
      </c>
      <c r="J190" s="83">
        <f>(PA_prices!J178+$D$2)*IF($M$2="Prices in $/MWh",1,1/1000)</f>
        <v>69.66</v>
      </c>
      <c r="K190" s="84">
        <f>(PA_prices!K178+$D$2)*IF($M$2="Prices in $/MWh",1,1/1000)</f>
        <v>69.739999999999995</v>
      </c>
      <c r="L190" s="83">
        <f>(PA_prices!L178+$D$2)*IF($M$2="Prices in $/MWh",1,1/1000)</f>
        <v>25.67</v>
      </c>
      <c r="M190" s="84">
        <f>(PA_prices!M178+$D$2)*IF($M$2="Prices in $/MWh",1,1/1000)</f>
        <v>27.48</v>
      </c>
      <c r="N190" s="83">
        <f>(PA_prices!N178+$D$2)*IF($M$2="Prices in $/MWh",1,1/1000)</f>
        <v>28.46</v>
      </c>
      <c r="O190" s="61"/>
    </row>
    <row r="191" spans="2:15" x14ac:dyDescent="0.25">
      <c r="B191" s="99" t="s">
        <v>640</v>
      </c>
      <c r="C191" s="74" t="str">
        <f>PA_prices!C179</f>
        <v>January-2017</v>
      </c>
      <c r="D191" s="75" t="str">
        <f>PA_prices!D179</f>
        <v>PA</v>
      </c>
      <c r="E191" s="76" t="str">
        <f>PA_prices!E179</f>
        <v>PECO</v>
      </c>
      <c r="F191" s="75" t="str">
        <f>PA_prices!F179</f>
        <v>GS</v>
      </c>
      <c r="G191" s="76" t="str">
        <f>PA_prices!G179</f>
        <v>General service</v>
      </c>
      <c r="H191" s="77" t="str">
        <f t="shared" ref="H191" si="174">IF($M$2="Prices in $/MWh","0-100 MWh","0-100,000 kWh")</f>
        <v>0-100 MWh</v>
      </c>
      <c r="I191" s="76">
        <f>(PA_prices!I179+$D$2)*IF($M$2="Prices in $/MWh",1,1/1000)</f>
        <v>70.48</v>
      </c>
      <c r="J191" s="75">
        <f>(PA_prices!J179+$D$2)*IF($M$2="Prices in $/MWh",1,1/1000)</f>
        <v>72.239999999999995</v>
      </c>
      <c r="K191" s="76">
        <f>(PA_prices!K179+$D$2)*IF($M$2="Prices in $/MWh",1,1/1000)</f>
        <v>72.69</v>
      </c>
      <c r="L191" s="75">
        <f>(PA_prices!L179+$D$2)*IF($M$2="Prices in $/MWh",1,1/1000)</f>
        <v>28.45</v>
      </c>
      <c r="M191" s="76">
        <f>(PA_prices!M179+$D$2)*IF($M$2="Prices in $/MWh",1,1/1000)</f>
        <v>30.05</v>
      </c>
      <c r="N191" s="75">
        <f>(PA_prices!N179+$D$2)*IF($M$2="Prices in $/MWh",1,1/1000)</f>
        <v>31.5</v>
      </c>
      <c r="O191" s="61"/>
    </row>
    <row r="192" spans="2:15" x14ac:dyDescent="0.25">
      <c r="B192" s="99" t="s">
        <v>640</v>
      </c>
      <c r="C192" s="78" t="str">
        <f>PA_prices!C180</f>
        <v>January-2017</v>
      </c>
      <c r="D192" s="79" t="str">
        <f>PA_prices!D180</f>
        <v>PA</v>
      </c>
      <c r="E192" s="80" t="str">
        <f>PA_prices!E180</f>
        <v>PECO</v>
      </c>
      <c r="F192" s="79" t="str">
        <f>PA_prices!F180</f>
        <v>GS</v>
      </c>
      <c r="G192" s="80" t="str">
        <f>PA_prices!G180</f>
        <v>General service</v>
      </c>
      <c r="H192" s="81" t="str">
        <f t="shared" ref="H192" si="175">IF($M$2="Prices in $/MWh","100-500 MWh","100,000-500,000 kWh")</f>
        <v>100-500 MWh</v>
      </c>
      <c r="I192" s="80">
        <f>(PA_prices!I180+$D$2)*IF($M$2="Prices in $/MWh",1,1/1000)</f>
        <v>68.88</v>
      </c>
      <c r="J192" s="79">
        <f>(PA_prices!J180+$D$2)*IF($M$2="Prices in $/MWh",1,1/1000)</f>
        <v>70.64</v>
      </c>
      <c r="K192" s="80">
        <f>(PA_prices!K180+$D$2)*IF($M$2="Prices in $/MWh",1,1/1000)</f>
        <v>71.09</v>
      </c>
      <c r="L192" s="79">
        <f>(PA_prices!L180+$D$2)*IF($M$2="Prices in $/MWh",1,1/1000)</f>
        <v>26.85</v>
      </c>
      <c r="M192" s="80">
        <f>(PA_prices!M180+$D$2)*IF($M$2="Prices in $/MWh",1,1/1000)</f>
        <v>28.45</v>
      </c>
      <c r="N192" s="79">
        <f>(PA_prices!N180+$D$2)*IF($M$2="Prices in $/MWh",1,1/1000)</f>
        <v>29.9</v>
      </c>
      <c r="O192" s="61"/>
    </row>
    <row r="193" spans="2:15" x14ac:dyDescent="0.25">
      <c r="B193" s="99" t="s">
        <v>640</v>
      </c>
      <c r="C193" s="82" t="str">
        <f>PA_prices!C181</f>
        <v>January-2017</v>
      </c>
      <c r="D193" s="83" t="str">
        <f>PA_prices!D181</f>
        <v>PA</v>
      </c>
      <c r="E193" s="84" t="str">
        <f>PA_prices!E181</f>
        <v>PECO</v>
      </c>
      <c r="F193" s="83" t="str">
        <f>PA_prices!F181</f>
        <v>GS</v>
      </c>
      <c r="G193" s="84" t="str">
        <f>PA_prices!G181</f>
        <v>General service</v>
      </c>
      <c r="H193" s="85" t="str">
        <f t="shared" ref="H193" si="176">IF($M$2="Prices in $/MWh","500-2500 MWh","500,000-2,500,000 kWh")</f>
        <v>500-2500 MWh</v>
      </c>
      <c r="I193" s="84">
        <f>(PA_prices!I181+$D$2)*IF($M$2="Prices in $/MWh",1,1/1000)</f>
        <v>67.83</v>
      </c>
      <c r="J193" s="83">
        <f>(PA_prices!J181+$D$2)*IF($M$2="Prices in $/MWh",1,1/1000)</f>
        <v>69.59</v>
      </c>
      <c r="K193" s="84">
        <f>(PA_prices!K181+$D$2)*IF($M$2="Prices in $/MWh",1,1/1000)</f>
        <v>70.040000000000006</v>
      </c>
      <c r="L193" s="83">
        <f>(PA_prices!L181+$D$2)*IF($M$2="Prices in $/MWh",1,1/1000)</f>
        <v>25.8</v>
      </c>
      <c r="M193" s="84">
        <f>(PA_prices!M181+$D$2)*IF($M$2="Prices in $/MWh",1,1/1000)</f>
        <v>27.4</v>
      </c>
      <c r="N193" s="83">
        <f>(PA_prices!N181+$D$2)*IF($M$2="Prices in $/MWh",1,1/1000)</f>
        <v>28.85</v>
      </c>
      <c r="O193" s="61"/>
    </row>
    <row r="194" spans="2:15" x14ac:dyDescent="0.25">
      <c r="B194" s="99" t="s">
        <v>641</v>
      </c>
      <c r="C194" s="74" t="str">
        <f>PA_prices!C182</f>
        <v>February-2016</v>
      </c>
      <c r="D194" s="75" t="str">
        <f>PA_prices!D182</f>
        <v>PA</v>
      </c>
      <c r="E194" s="76" t="str">
        <f>PA_prices!E182</f>
        <v>Penelec</v>
      </c>
      <c r="F194" s="75" t="str">
        <f>PA_prices!F182</f>
        <v>GSCL</v>
      </c>
      <c r="G194" s="76" t="str">
        <f>PA_prices!G182</f>
        <v>General Service Large</v>
      </c>
      <c r="H194" s="77" t="str">
        <f t="shared" ref="H194" si="177">IF($M$2="Prices in $/MWh","0-100 MWh","0-100,000 kWh")</f>
        <v>0-100 MWh</v>
      </c>
      <c r="I194" s="76">
        <f>(PA_prices!I182+$D$2)*IF($M$2="Prices in $/MWh",1,1/1000)</f>
        <v>69.16</v>
      </c>
      <c r="J194" s="75">
        <f>(PA_prices!J182+$D$2)*IF($M$2="Prices in $/MWh",1,1/1000)</f>
        <v>69.61</v>
      </c>
      <c r="K194" s="76">
        <f>(PA_prices!K182+$D$2)*IF($M$2="Prices in $/MWh",1,1/1000)</f>
        <v>69.08</v>
      </c>
      <c r="L194" s="75">
        <f>(PA_prices!L182+$D$2)*IF($M$2="Prices in $/MWh",1,1/1000)</f>
        <v>29.35</v>
      </c>
      <c r="M194" s="76">
        <f>(PA_prices!M182+$D$2)*IF($M$2="Prices in $/MWh",1,1/1000)</f>
        <v>29.45</v>
      </c>
      <c r="N194" s="75">
        <f>(PA_prices!N182+$D$2)*IF($M$2="Prices in $/MWh",1,1/1000)</f>
        <v>29.42</v>
      </c>
      <c r="O194" s="61"/>
    </row>
    <row r="195" spans="2:15" x14ac:dyDescent="0.25">
      <c r="B195" s="99" t="s">
        <v>641</v>
      </c>
      <c r="C195" s="78" t="str">
        <f>PA_prices!C183</f>
        <v>February-2016</v>
      </c>
      <c r="D195" s="79" t="str">
        <f>PA_prices!D183</f>
        <v>PA</v>
      </c>
      <c r="E195" s="80" t="str">
        <f>PA_prices!E183</f>
        <v>Penelec</v>
      </c>
      <c r="F195" s="79" t="str">
        <f>PA_prices!F183</f>
        <v>GSCL</v>
      </c>
      <c r="G195" s="80" t="str">
        <f>PA_prices!G183</f>
        <v>General Service Large</v>
      </c>
      <c r="H195" s="81" t="str">
        <f t="shared" ref="H195" si="178">IF($M$2="Prices in $/MWh","100-500 MWh","100,000-500,000 kWh")</f>
        <v>100-500 MWh</v>
      </c>
      <c r="I195" s="80">
        <f>(PA_prices!I183+$D$2)*IF($M$2="Prices in $/MWh",1,1/1000)</f>
        <v>67.56</v>
      </c>
      <c r="J195" s="79">
        <f>(PA_prices!J183+$D$2)*IF($M$2="Prices in $/MWh",1,1/1000)</f>
        <v>68.010000000000005</v>
      </c>
      <c r="K195" s="80">
        <f>(PA_prices!K183+$D$2)*IF($M$2="Prices in $/MWh",1,1/1000)</f>
        <v>67.48</v>
      </c>
      <c r="L195" s="79">
        <f>(PA_prices!L183+$D$2)*IF($M$2="Prices in $/MWh",1,1/1000)</f>
        <v>27.75</v>
      </c>
      <c r="M195" s="80">
        <f>(PA_prices!M183+$D$2)*IF($M$2="Prices in $/MWh",1,1/1000)</f>
        <v>27.85</v>
      </c>
      <c r="N195" s="79">
        <f>(PA_prices!N183+$D$2)*IF($M$2="Prices in $/MWh",1,1/1000)</f>
        <v>27.82</v>
      </c>
      <c r="O195" s="61"/>
    </row>
    <row r="196" spans="2:15" x14ac:dyDescent="0.25">
      <c r="B196" s="99" t="s">
        <v>641</v>
      </c>
      <c r="C196" s="82" t="str">
        <f>PA_prices!C184</f>
        <v>February-2016</v>
      </c>
      <c r="D196" s="83" t="str">
        <f>PA_prices!D184</f>
        <v>PA</v>
      </c>
      <c r="E196" s="84" t="str">
        <f>PA_prices!E184</f>
        <v>Penelec</v>
      </c>
      <c r="F196" s="83" t="str">
        <f>PA_prices!F184</f>
        <v>GSCL</v>
      </c>
      <c r="G196" s="84" t="str">
        <f>PA_prices!G184</f>
        <v>General Service Large</v>
      </c>
      <c r="H196" s="85" t="str">
        <f t="shared" ref="H196" si="179">IF($M$2="Prices in $/MWh","500-2500 MWh","500,000-2,500,000 kWh")</f>
        <v>500-2500 MWh</v>
      </c>
      <c r="I196" s="84">
        <f>(PA_prices!I184+$D$2)*IF($M$2="Prices in $/MWh",1,1/1000)</f>
        <v>66.510000000000005</v>
      </c>
      <c r="J196" s="83">
        <f>(PA_prices!J184+$D$2)*IF($M$2="Prices in $/MWh",1,1/1000)</f>
        <v>66.959999999999994</v>
      </c>
      <c r="K196" s="84">
        <f>(PA_prices!K184+$D$2)*IF($M$2="Prices in $/MWh",1,1/1000)</f>
        <v>66.430000000000007</v>
      </c>
      <c r="L196" s="83">
        <f>(PA_prices!L184+$D$2)*IF($M$2="Prices in $/MWh",1,1/1000)</f>
        <v>26.7</v>
      </c>
      <c r="M196" s="84">
        <f>(PA_prices!M184+$D$2)*IF($M$2="Prices in $/MWh",1,1/1000)</f>
        <v>26.8</v>
      </c>
      <c r="N196" s="83">
        <f>(PA_prices!N184+$D$2)*IF($M$2="Prices in $/MWh",1,1/1000)</f>
        <v>26.77</v>
      </c>
      <c r="O196" s="61"/>
    </row>
    <row r="197" spans="2:15" x14ac:dyDescent="0.25">
      <c r="B197" s="99" t="s">
        <v>641</v>
      </c>
      <c r="C197" s="74" t="str">
        <f>PA_prices!C185</f>
        <v>March-2016</v>
      </c>
      <c r="D197" s="75" t="str">
        <f>PA_prices!D185</f>
        <v>PA</v>
      </c>
      <c r="E197" s="76" t="str">
        <f>PA_prices!E185</f>
        <v>Penelec</v>
      </c>
      <c r="F197" s="75" t="str">
        <f>PA_prices!F185</f>
        <v>GSCL</v>
      </c>
      <c r="G197" s="76" t="str">
        <f>PA_prices!G185</f>
        <v>General Service Large</v>
      </c>
      <c r="H197" s="77" t="str">
        <f t="shared" ref="H197" si="180">IF($M$2="Prices in $/MWh","0-100 MWh","0-100,000 kWh")</f>
        <v>0-100 MWh</v>
      </c>
      <c r="I197" s="76">
        <f>(PA_prices!I185+$D$2)*IF($M$2="Prices in $/MWh",1,1/1000)</f>
        <v>69.59</v>
      </c>
      <c r="J197" s="75">
        <f>(PA_prices!J185+$D$2)*IF($M$2="Prices in $/MWh",1,1/1000)</f>
        <v>69.349999999999994</v>
      </c>
      <c r="K197" s="76">
        <f>(PA_prices!K185+$D$2)*IF($M$2="Prices in $/MWh",1,1/1000)</f>
        <v>69.239999999999995</v>
      </c>
      <c r="L197" s="75">
        <f>(PA_prices!L185+$D$2)*IF($M$2="Prices in $/MWh",1,1/1000)</f>
        <v>29.37</v>
      </c>
      <c r="M197" s="76">
        <f>(PA_prices!M185+$D$2)*IF($M$2="Prices in $/MWh",1,1/1000)</f>
        <v>29.35</v>
      </c>
      <c r="N197" s="75">
        <f>(PA_prices!N185+$D$2)*IF($M$2="Prices in $/MWh",1,1/1000)</f>
        <v>29.44</v>
      </c>
      <c r="O197" s="61"/>
    </row>
    <row r="198" spans="2:15" x14ac:dyDescent="0.25">
      <c r="B198" s="99" t="s">
        <v>641</v>
      </c>
      <c r="C198" s="78" t="str">
        <f>PA_prices!C186</f>
        <v>March-2016</v>
      </c>
      <c r="D198" s="79" t="str">
        <f>PA_prices!D186</f>
        <v>PA</v>
      </c>
      <c r="E198" s="80" t="str">
        <f>PA_prices!E186</f>
        <v>Penelec</v>
      </c>
      <c r="F198" s="79" t="str">
        <f>PA_prices!F186</f>
        <v>GSCL</v>
      </c>
      <c r="G198" s="80" t="str">
        <f>PA_prices!G186</f>
        <v>General Service Large</v>
      </c>
      <c r="H198" s="81" t="str">
        <f t="shared" ref="H198" si="181">IF($M$2="Prices in $/MWh","100-500 MWh","100,000-500,000 kWh")</f>
        <v>100-500 MWh</v>
      </c>
      <c r="I198" s="80">
        <f>(PA_prices!I186+$D$2)*IF($M$2="Prices in $/MWh",1,1/1000)</f>
        <v>67.989999999999995</v>
      </c>
      <c r="J198" s="79">
        <f>(PA_prices!J186+$D$2)*IF($M$2="Prices in $/MWh",1,1/1000)</f>
        <v>67.75</v>
      </c>
      <c r="K198" s="80">
        <f>(PA_prices!K186+$D$2)*IF($M$2="Prices in $/MWh",1,1/1000)</f>
        <v>67.64</v>
      </c>
      <c r="L198" s="79">
        <f>(PA_prices!L186+$D$2)*IF($M$2="Prices in $/MWh",1,1/1000)</f>
        <v>27.77</v>
      </c>
      <c r="M198" s="80">
        <f>(PA_prices!M186+$D$2)*IF($M$2="Prices in $/MWh",1,1/1000)</f>
        <v>27.75</v>
      </c>
      <c r="N198" s="79">
        <f>(PA_prices!N186+$D$2)*IF($M$2="Prices in $/MWh",1,1/1000)</f>
        <v>27.84</v>
      </c>
      <c r="O198" s="61"/>
    </row>
    <row r="199" spans="2:15" x14ac:dyDescent="0.25">
      <c r="B199" s="99" t="s">
        <v>641</v>
      </c>
      <c r="C199" s="82" t="str">
        <f>PA_prices!C187</f>
        <v>March-2016</v>
      </c>
      <c r="D199" s="83" t="str">
        <f>PA_prices!D187</f>
        <v>PA</v>
      </c>
      <c r="E199" s="84" t="str">
        <f>PA_prices!E187</f>
        <v>Penelec</v>
      </c>
      <c r="F199" s="83" t="str">
        <f>PA_prices!F187</f>
        <v>GSCL</v>
      </c>
      <c r="G199" s="84" t="str">
        <f>PA_prices!G187</f>
        <v>General Service Large</v>
      </c>
      <c r="H199" s="85" t="str">
        <f t="shared" ref="H199" si="182">IF($M$2="Prices in $/MWh","500-2500 MWh","500,000-2,500,000 kWh")</f>
        <v>500-2500 MWh</v>
      </c>
      <c r="I199" s="84">
        <f>(PA_prices!I187+$D$2)*IF($M$2="Prices in $/MWh",1,1/1000)</f>
        <v>66.94</v>
      </c>
      <c r="J199" s="83">
        <f>(PA_prices!J187+$D$2)*IF($M$2="Prices in $/MWh",1,1/1000)</f>
        <v>66.7</v>
      </c>
      <c r="K199" s="84">
        <f>(PA_prices!K187+$D$2)*IF($M$2="Prices in $/MWh",1,1/1000)</f>
        <v>66.59</v>
      </c>
      <c r="L199" s="83">
        <f>(PA_prices!L187+$D$2)*IF($M$2="Prices in $/MWh",1,1/1000)</f>
        <v>26.72</v>
      </c>
      <c r="M199" s="84">
        <f>(PA_prices!M187+$D$2)*IF($M$2="Prices in $/MWh",1,1/1000)</f>
        <v>26.7</v>
      </c>
      <c r="N199" s="83">
        <f>(PA_prices!N187+$D$2)*IF($M$2="Prices in $/MWh",1,1/1000)</f>
        <v>26.79</v>
      </c>
      <c r="O199" s="61"/>
    </row>
    <row r="200" spans="2:15" x14ac:dyDescent="0.25">
      <c r="B200" s="99" t="s">
        <v>641</v>
      </c>
      <c r="C200" s="74" t="str">
        <f>PA_prices!C188</f>
        <v>April-2016</v>
      </c>
      <c r="D200" s="75" t="str">
        <f>PA_prices!D188</f>
        <v>PA</v>
      </c>
      <c r="E200" s="76" t="str">
        <f>PA_prices!E188</f>
        <v>Penelec</v>
      </c>
      <c r="F200" s="75" t="str">
        <f>PA_prices!F188</f>
        <v>GSCL</v>
      </c>
      <c r="G200" s="76" t="str">
        <f>PA_prices!G188</f>
        <v>General Service Large</v>
      </c>
      <c r="H200" s="77" t="str">
        <f t="shared" ref="H200" si="183">IF($M$2="Prices in $/MWh","0-100 MWh","0-100,000 kWh")</f>
        <v>0-100 MWh</v>
      </c>
      <c r="I200" s="76">
        <f>(PA_prices!I188+$D$2)*IF($M$2="Prices in $/MWh",1,1/1000)</f>
        <v>69.78</v>
      </c>
      <c r="J200" s="75">
        <f>(PA_prices!J188+$D$2)*IF($M$2="Prices in $/MWh",1,1/1000)</f>
        <v>69.040000000000006</v>
      </c>
      <c r="K200" s="76">
        <f>(PA_prices!K188+$D$2)*IF($M$2="Prices in $/MWh",1,1/1000)</f>
        <v>69.290000000000006</v>
      </c>
      <c r="L200" s="75">
        <f>(PA_prices!L188+$D$2)*IF($M$2="Prices in $/MWh",1,1/1000)</f>
        <v>29.38</v>
      </c>
      <c r="M200" s="76">
        <f>(PA_prices!M188+$D$2)*IF($M$2="Prices in $/MWh",1,1/1000)</f>
        <v>29.31</v>
      </c>
      <c r="N200" s="75">
        <f>(PA_prices!N188+$D$2)*IF($M$2="Prices in $/MWh",1,1/1000)</f>
        <v>29.46</v>
      </c>
      <c r="O200" s="61"/>
    </row>
    <row r="201" spans="2:15" x14ac:dyDescent="0.25">
      <c r="B201" s="99" t="s">
        <v>641</v>
      </c>
      <c r="C201" s="78" t="str">
        <f>PA_prices!C189</f>
        <v>April-2016</v>
      </c>
      <c r="D201" s="79" t="str">
        <f>PA_prices!D189</f>
        <v>PA</v>
      </c>
      <c r="E201" s="80" t="str">
        <f>PA_prices!E189</f>
        <v>Penelec</v>
      </c>
      <c r="F201" s="79" t="str">
        <f>PA_prices!F189</f>
        <v>GSCL</v>
      </c>
      <c r="G201" s="80" t="str">
        <f>PA_prices!G189</f>
        <v>General Service Large</v>
      </c>
      <c r="H201" s="81" t="str">
        <f t="shared" ref="H201" si="184">IF($M$2="Prices in $/MWh","100-500 MWh","100,000-500,000 kWh")</f>
        <v>100-500 MWh</v>
      </c>
      <c r="I201" s="80">
        <f>(PA_prices!I189+$D$2)*IF($M$2="Prices in $/MWh",1,1/1000)</f>
        <v>68.180000000000007</v>
      </c>
      <c r="J201" s="79">
        <f>(PA_prices!J189+$D$2)*IF($M$2="Prices in $/MWh",1,1/1000)</f>
        <v>67.44</v>
      </c>
      <c r="K201" s="80">
        <f>(PA_prices!K189+$D$2)*IF($M$2="Prices in $/MWh",1,1/1000)</f>
        <v>67.69</v>
      </c>
      <c r="L201" s="79">
        <f>(PA_prices!L189+$D$2)*IF($M$2="Prices in $/MWh",1,1/1000)</f>
        <v>27.78</v>
      </c>
      <c r="M201" s="80">
        <f>(PA_prices!M189+$D$2)*IF($M$2="Prices in $/MWh",1,1/1000)</f>
        <v>27.71</v>
      </c>
      <c r="N201" s="79">
        <f>(PA_prices!N189+$D$2)*IF($M$2="Prices in $/MWh",1,1/1000)</f>
        <v>27.86</v>
      </c>
      <c r="O201" s="61"/>
    </row>
    <row r="202" spans="2:15" x14ac:dyDescent="0.25">
      <c r="B202" s="99" t="s">
        <v>641</v>
      </c>
      <c r="C202" s="82" t="str">
        <f>PA_prices!C190</f>
        <v>April-2016</v>
      </c>
      <c r="D202" s="83" t="str">
        <f>PA_prices!D190</f>
        <v>PA</v>
      </c>
      <c r="E202" s="84" t="str">
        <f>PA_prices!E190</f>
        <v>Penelec</v>
      </c>
      <c r="F202" s="83" t="str">
        <f>PA_prices!F190</f>
        <v>GSCL</v>
      </c>
      <c r="G202" s="84" t="str">
        <f>PA_prices!G190</f>
        <v>General Service Large</v>
      </c>
      <c r="H202" s="85" t="str">
        <f t="shared" ref="H202" si="185">IF($M$2="Prices in $/MWh","500-2500 MWh","500,000-2,500,000 kWh")</f>
        <v>500-2500 MWh</v>
      </c>
      <c r="I202" s="84">
        <f>(PA_prices!I190+$D$2)*IF($M$2="Prices in $/MWh",1,1/1000)</f>
        <v>67.13</v>
      </c>
      <c r="J202" s="83">
        <f>(PA_prices!J190+$D$2)*IF($M$2="Prices in $/MWh",1,1/1000)</f>
        <v>66.39</v>
      </c>
      <c r="K202" s="84">
        <f>(PA_prices!K190+$D$2)*IF($M$2="Prices in $/MWh",1,1/1000)</f>
        <v>66.64</v>
      </c>
      <c r="L202" s="83">
        <f>(PA_prices!L190+$D$2)*IF($M$2="Prices in $/MWh",1,1/1000)</f>
        <v>26.73</v>
      </c>
      <c r="M202" s="84">
        <f>(PA_prices!M190+$D$2)*IF($M$2="Prices in $/MWh",1,1/1000)</f>
        <v>26.66</v>
      </c>
      <c r="N202" s="83">
        <f>(PA_prices!N190+$D$2)*IF($M$2="Prices in $/MWh",1,1/1000)</f>
        <v>26.81</v>
      </c>
      <c r="O202" s="61"/>
    </row>
    <row r="203" spans="2:15" x14ac:dyDescent="0.25">
      <c r="B203" s="99" t="s">
        <v>641</v>
      </c>
      <c r="C203" s="74" t="str">
        <f>PA_prices!C191</f>
        <v>May-2016</v>
      </c>
      <c r="D203" s="75" t="str">
        <f>PA_prices!D191</f>
        <v>PA</v>
      </c>
      <c r="E203" s="76" t="str">
        <f>PA_prices!E191</f>
        <v>Penelec</v>
      </c>
      <c r="F203" s="75" t="str">
        <f>PA_prices!F191</f>
        <v>GSCL</v>
      </c>
      <c r="G203" s="76" t="str">
        <f>PA_prices!G191</f>
        <v>General Service Large</v>
      </c>
      <c r="H203" s="77" t="str">
        <f t="shared" ref="H203" si="186">IF($M$2="Prices in $/MWh","0-100 MWh","0-100,000 kWh")</f>
        <v>0-100 MWh</v>
      </c>
      <c r="I203" s="76">
        <f>(PA_prices!I191+$D$2)*IF($M$2="Prices in $/MWh",1,1/1000)</f>
        <v>69.87</v>
      </c>
      <c r="J203" s="75">
        <f>(PA_prices!J191+$D$2)*IF($M$2="Prices in $/MWh",1,1/1000)</f>
        <v>68.83</v>
      </c>
      <c r="K203" s="76">
        <f>(PA_prices!K191+$D$2)*IF($M$2="Prices in $/MWh",1,1/1000)</f>
        <v>69.28</v>
      </c>
      <c r="L203" s="75">
        <f>(PA_prices!L191+$D$2)*IF($M$2="Prices in $/MWh",1,1/1000)</f>
        <v>29.4</v>
      </c>
      <c r="M203" s="76">
        <f>(PA_prices!M191+$D$2)*IF($M$2="Prices in $/MWh",1,1/1000)</f>
        <v>29.27</v>
      </c>
      <c r="N203" s="75">
        <f>(PA_prices!N191+$D$2)*IF($M$2="Prices in $/MWh",1,1/1000)</f>
        <v>29.46</v>
      </c>
      <c r="O203" s="61"/>
    </row>
    <row r="204" spans="2:15" x14ac:dyDescent="0.25">
      <c r="B204" s="99" t="s">
        <v>641</v>
      </c>
      <c r="C204" s="78" t="str">
        <f>PA_prices!C192</f>
        <v>May-2016</v>
      </c>
      <c r="D204" s="79" t="str">
        <f>PA_prices!D192</f>
        <v>PA</v>
      </c>
      <c r="E204" s="80" t="str">
        <f>PA_prices!E192</f>
        <v>Penelec</v>
      </c>
      <c r="F204" s="79" t="str">
        <f>PA_prices!F192</f>
        <v>GSCL</v>
      </c>
      <c r="G204" s="80" t="str">
        <f>PA_prices!G192</f>
        <v>General Service Large</v>
      </c>
      <c r="H204" s="81" t="str">
        <f t="shared" ref="H204" si="187">IF($M$2="Prices in $/MWh","100-500 MWh","100,000-500,000 kWh")</f>
        <v>100-500 MWh</v>
      </c>
      <c r="I204" s="80">
        <f>(PA_prices!I192+$D$2)*IF($M$2="Prices in $/MWh",1,1/1000)</f>
        <v>68.27</v>
      </c>
      <c r="J204" s="79">
        <f>(PA_prices!J192+$D$2)*IF($M$2="Prices in $/MWh",1,1/1000)</f>
        <v>67.23</v>
      </c>
      <c r="K204" s="80">
        <f>(PA_prices!K192+$D$2)*IF($M$2="Prices in $/MWh",1,1/1000)</f>
        <v>67.680000000000007</v>
      </c>
      <c r="L204" s="79">
        <f>(PA_prices!L192+$D$2)*IF($M$2="Prices in $/MWh",1,1/1000)</f>
        <v>27.8</v>
      </c>
      <c r="M204" s="80">
        <f>(PA_prices!M192+$D$2)*IF($M$2="Prices in $/MWh",1,1/1000)</f>
        <v>27.67</v>
      </c>
      <c r="N204" s="79">
        <f>(PA_prices!N192+$D$2)*IF($M$2="Prices in $/MWh",1,1/1000)</f>
        <v>27.86</v>
      </c>
      <c r="O204" s="61"/>
    </row>
    <row r="205" spans="2:15" x14ac:dyDescent="0.25">
      <c r="B205" s="99" t="s">
        <v>641</v>
      </c>
      <c r="C205" s="82" t="str">
        <f>PA_prices!C193</f>
        <v>May-2016</v>
      </c>
      <c r="D205" s="83" t="str">
        <f>PA_prices!D193</f>
        <v>PA</v>
      </c>
      <c r="E205" s="84" t="str">
        <f>PA_prices!E193</f>
        <v>Penelec</v>
      </c>
      <c r="F205" s="83" t="str">
        <f>PA_prices!F193</f>
        <v>GSCL</v>
      </c>
      <c r="G205" s="84" t="str">
        <f>PA_prices!G193</f>
        <v>General Service Large</v>
      </c>
      <c r="H205" s="85" t="str">
        <f t="shared" ref="H205" si="188">IF($M$2="Prices in $/MWh","500-2500 MWh","500,000-2,500,000 kWh")</f>
        <v>500-2500 MWh</v>
      </c>
      <c r="I205" s="84">
        <f>(PA_prices!I193+$D$2)*IF($M$2="Prices in $/MWh",1,1/1000)</f>
        <v>67.22</v>
      </c>
      <c r="J205" s="83">
        <f>(PA_prices!J193+$D$2)*IF($M$2="Prices in $/MWh",1,1/1000)</f>
        <v>66.180000000000007</v>
      </c>
      <c r="K205" s="84">
        <f>(PA_prices!K193+$D$2)*IF($M$2="Prices in $/MWh",1,1/1000)</f>
        <v>66.63</v>
      </c>
      <c r="L205" s="83">
        <f>(PA_prices!L193+$D$2)*IF($M$2="Prices in $/MWh",1,1/1000)</f>
        <v>26.75</v>
      </c>
      <c r="M205" s="84">
        <f>(PA_prices!M193+$D$2)*IF($M$2="Prices in $/MWh",1,1/1000)</f>
        <v>26.62</v>
      </c>
      <c r="N205" s="83">
        <f>(PA_prices!N193+$D$2)*IF($M$2="Prices in $/MWh",1,1/1000)</f>
        <v>26.81</v>
      </c>
      <c r="O205" s="61"/>
    </row>
    <row r="206" spans="2:15" x14ac:dyDescent="0.25">
      <c r="B206" s="99" t="s">
        <v>641</v>
      </c>
      <c r="C206" s="74" t="str">
        <f>PA_prices!C194</f>
        <v>June-2016</v>
      </c>
      <c r="D206" s="75" t="str">
        <f>PA_prices!D194</f>
        <v>PA</v>
      </c>
      <c r="E206" s="76" t="str">
        <f>PA_prices!E194</f>
        <v>Penelec</v>
      </c>
      <c r="F206" s="75" t="str">
        <f>PA_prices!F194</f>
        <v>GSCL</v>
      </c>
      <c r="G206" s="76" t="str">
        <f>PA_prices!G194</f>
        <v>General Service Large</v>
      </c>
      <c r="H206" s="77" t="str">
        <f t="shared" ref="H206" si="189">IF($M$2="Prices in $/MWh","0-100 MWh","0-100,000 kWh")</f>
        <v>0-100 MWh</v>
      </c>
      <c r="I206" s="76">
        <f>(PA_prices!I194+$D$2)*IF($M$2="Prices in $/MWh",1,1/1000)</f>
        <v>69.86</v>
      </c>
      <c r="J206" s="75">
        <f>(PA_prices!J194+$D$2)*IF($M$2="Prices in $/MWh",1,1/1000)</f>
        <v>68.650000000000006</v>
      </c>
      <c r="K206" s="76">
        <f>(PA_prices!K194+$D$2)*IF($M$2="Prices in $/MWh",1,1/1000)</f>
        <v>69.260000000000005</v>
      </c>
      <c r="L206" s="75">
        <f>(PA_prices!L194+$D$2)*IF($M$2="Prices in $/MWh",1,1/1000)</f>
        <v>29.38</v>
      </c>
      <c r="M206" s="76">
        <f>(PA_prices!M194+$D$2)*IF($M$2="Prices in $/MWh",1,1/1000)</f>
        <v>29.23</v>
      </c>
      <c r="N206" s="75">
        <f>(PA_prices!N194+$D$2)*IF($M$2="Prices in $/MWh",1,1/1000)</f>
        <v>29.45</v>
      </c>
      <c r="O206" s="61"/>
    </row>
    <row r="207" spans="2:15" x14ac:dyDescent="0.25">
      <c r="B207" s="99" t="s">
        <v>641</v>
      </c>
      <c r="C207" s="78" t="str">
        <f>PA_prices!C195</f>
        <v>June-2016</v>
      </c>
      <c r="D207" s="79" t="str">
        <f>PA_prices!D195</f>
        <v>PA</v>
      </c>
      <c r="E207" s="80" t="str">
        <f>PA_prices!E195</f>
        <v>Penelec</v>
      </c>
      <c r="F207" s="79" t="str">
        <f>PA_prices!F195</f>
        <v>GSCL</v>
      </c>
      <c r="G207" s="80" t="str">
        <f>PA_prices!G195</f>
        <v>General Service Large</v>
      </c>
      <c r="H207" s="81" t="str">
        <f t="shared" ref="H207" si="190">IF($M$2="Prices in $/MWh","100-500 MWh","100,000-500,000 kWh")</f>
        <v>100-500 MWh</v>
      </c>
      <c r="I207" s="80">
        <f>(PA_prices!I195+$D$2)*IF($M$2="Prices in $/MWh",1,1/1000)</f>
        <v>68.260000000000005</v>
      </c>
      <c r="J207" s="79">
        <f>(PA_prices!J195+$D$2)*IF($M$2="Prices in $/MWh",1,1/1000)</f>
        <v>67.05</v>
      </c>
      <c r="K207" s="80">
        <f>(PA_prices!K195+$D$2)*IF($M$2="Prices in $/MWh",1,1/1000)</f>
        <v>67.66</v>
      </c>
      <c r="L207" s="79">
        <f>(PA_prices!L195+$D$2)*IF($M$2="Prices in $/MWh",1,1/1000)</f>
        <v>27.78</v>
      </c>
      <c r="M207" s="80">
        <f>(PA_prices!M195+$D$2)*IF($M$2="Prices in $/MWh",1,1/1000)</f>
        <v>27.63</v>
      </c>
      <c r="N207" s="79">
        <f>(PA_prices!N195+$D$2)*IF($M$2="Prices in $/MWh",1,1/1000)</f>
        <v>27.85</v>
      </c>
      <c r="O207" s="61"/>
    </row>
    <row r="208" spans="2:15" x14ac:dyDescent="0.25">
      <c r="B208" s="99" t="s">
        <v>641</v>
      </c>
      <c r="C208" s="82" t="str">
        <f>PA_prices!C196</f>
        <v>June-2016</v>
      </c>
      <c r="D208" s="83" t="str">
        <f>PA_prices!D196</f>
        <v>PA</v>
      </c>
      <c r="E208" s="84" t="str">
        <f>PA_prices!E196</f>
        <v>Penelec</v>
      </c>
      <c r="F208" s="83" t="str">
        <f>PA_prices!F196</f>
        <v>GSCL</v>
      </c>
      <c r="G208" s="84" t="str">
        <f>PA_prices!G196</f>
        <v>General Service Large</v>
      </c>
      <c r="H208" s="85" t="str">
        <f t="shared" ref="H208" si="191">IF($M$2="Prices in $/MWh","500-2500 MWh","500,000-2,500,000 kWh")</f>
        <v>500-2500 MWh</v>
      </c>
      <c r="I208" s="84">
        <f>(PA_prices!I196+$D$2)*IF($M$2="Prices in $/MWh",1,1/1000)</f>
        <v>67.209999999999994</v>
      </c>
      <c r="J208" s="83">
        <f>(PA_prices!J196+$D$2)*IF($M$2="Prices in $/MWh",1,1/1000)</f>
        <v>66</v>
      </c>
      <c r="K208" s="84">
        <f>(PA_prices!K196+$D$2)*IF($M$2="Prices in $/MWh",1,1/1000)</f>
        <v>66.61</v>
      </c>
      <c r="L208" s="83">
        <f>(PA_prices!L196+$D$2)*IF($M$2="Prices in $/MWh",1,1/1000)</f>
        <v>26.73</v>
      </c>
      <c r="M208" s="84">
        <f>(PA_prices!M196+$D$2)*IF($M$2="Prices in $/MWh",1,1/1000)</f>
        <v>26.58</v>
      </c>
      <c r="N208" s="83">
        <f>(PA_prices!N196+$D$2)*IF($M$2="Prices in $/MWh",1,1/1000)</f>
        <v>26.8</v>
      </c>
      <c r="O208" s="61"/>
    </row>
    <row r="209" spans="2:15" x14ac:dyDescent="0.25">
      <c r="B209" s="99" t="s">
        <v>641</v>
      </c>
      <c r="C209" s="74" t="str">
        <f>PA_prices!C197</f>
        <v>July-2016</v>
      </c>
      <c r="D209" s="75" t="str">
        <f>PA_prices!D197</f>
        <v>PA</v>
      </c>
      <c r="E209" s="76" t="str">
        <f>PA_prices!E197</f>
        <v>Penelec</v>
      </c>
      <c r="F209" s="75" t="str">
        <f>PA_prices!F197</f>
        <v>GSCL</v>
      </c>
      <c r="G209" s="76" t="str">
        <f>PA_prices!G197</f>
        <v>General Service Large</v>
      </c>
      <c r="H209" s="77" t="str">
        <f t="shared" ref="H209" si="192">IF($M$2="Prices in $/MWh","0-100 MWh","0-100,000 kWh")</f>
        <v>0-100 MWh</v>
      </c>
      <c r="I209" s="76">
        <f>(PA_prices!I197+$D$2)*IF($M$2="Prices in $/MWh",1,1/1000)</f>
        <v>69.86</v>
      </c>
      <c r="J209" s="75">
        <f>(PA_prices!J197+$D$2)*IF($M$2="Prices in $/MWh",1,1/1000)</f>
        <v>68.61</v>
      </c>
      <c r="K209" s="76">
        <f>(PA_prices!K197+$D$2)*IF($M$2="Prices in $/MWh",1,1/1000)</f>
        <v>69.28</v>
      </c>
      <c r="L209" s="75">
        <f>(PA_prices!L197+$D$2)*IF($M$2="Prices in $/MWh",1,1/1000)</f>
        <v>29.41</v>
      </c>
      <c r="M209" s="76">
        <f>(PA_prices!M197+$D$2)*IF($M$2="Prices in $/MWh",1,1/1000)</f>
        <v>29.3</v>
      </c>
      <c r="N209" s="75">
        <f>(PA_prices!N197+$D$2)*IF($M$2="Prices in $/MWh",1,1/1000)</f>
        <v>29.55</v>
      </c>
      <c r="O209" s="61"/>
    </row>
    <row r="210" spans="2:15" x14ac:dyDescent="0.25">
      <c r="B210" s="99" t="s">
        <v>641</v>
      </c>
      <c r="C210" s="78" t="str">
        <f>PA_prices!C198</f>
        <v>July-2016</v>
      </c>
      <c r="D210" s="79" t="str">
        <f>PA_prices!D198</f>
        <v>PA</v>
      </c>
      <c r="E210" s="80" t="str">
        <f>PA_prices!E198</f>
        <v>Penelec</v>
      </c>
      <c r="F210" s="79" t="str">
        <f>PA_prices!F198</f>
        <v>GSCL</v>
      </c>
      <c r="G210" s="80" t="str">
        <f>PA_prices!G198</f>
        <v>General Service Large</v>
      </c>
      <c r="H210" s="81" t="str">
        <f t="shared" ref="H210" si="193">IF($M$2="Prices in $/MWh","100-500 MWh","100,000-500,000 kWh")</f>
        <v>100-500 MWh</v>
      </c>
      <c r="I210" s="80">
        <f>(PA_prices!I198+$D$2)*IF($M$2="Prices in $/MWh",1,1/1000)</f>
        <v>68.260000000000005</v>
      </c>
      <c r="J210" s="79">
        <f>(PA_prices!J198+$D$2)*IF($M$2="Prices in $/MWh",1,1/1000)</f>
        <v>67.010000000000005</v>
      </c>
      <c r="K210" s="80">
        <f>(PA_prices!K198+$D$2)*IF($M$2="Prices in $/MWh",1,1/1000)</f>
        <v>67.680000000000007</v>
      </c>
      <c r="L210" s="79">
        <f>(PA_prices!L198+$D$2)*IF($M$2="Prices in $/MWh",1,1/1000)</f>
        <v>27.81</v>
      </c>
      <c r="M210" s="80">
        <f>(PA_prices!M198+$D$2)*IF($M$2="Prices in $/MWh",1,1/1000)</f>
        <v>27.7</v>
      </c>
      <c r="N210" s="79">
        <f>(PA_prices!N198+$D$2)*IF($M$2="Prices in $/MWh",1,1/1000)</f>
        <v>27.95</v>
      </c>
      <c r="O210" s="61"/>
    </row>
    <row r="211" spans="2:15" x14ac:dyDescent="0.25">
      <c r="B211" s="99" t="s">
        <v>641</v>
      </c>
      <c r="C211" s="82" t="str">
        <f>PA_prices!C199</f>
        <v>July-2016</v>
      </c>
      <c r="D211" s="83" t="str">
        <f>PA_prices!D199</f>
        <v>PA</v>
      </c>
      <c r="E211" s="84" t="str">
        <f>PA_prices!E199</f>
        <v>Penelec</v>
      </c>
      <c r="F211" s="83" t="str">
        <f>PA_prices!F199</f>
        <v>GSCL</v>
      </c>
      <c r="G211" s="84" t="str">
        <f>PA_prices!G199</f>
        <v>General Service Large</v>
      </c>
      <c r="H211" s="85" t="str">
        <f t="shared" ref="H211" si="194">IF($M$2="Prices in $/MWh","500-2500 MWh","500,000-2,500,000 kWh")</f>
        <v>500-2500 MWh</v>
      </c>
      <c r="I211" s="84">
        <f>(PA_prices!I199+$D$2)*IF($M$2="Prices in $/MWh",1,1/1000)</f>
        <v>67.209999999999994</v>
      </c>
      <c r="J211" s="83">
        <f>(PA_prices!J199+$D$2)*IF($M$2="Prices in $/MWh",1,1/1000)</f>
        <v>65.959999999999994</v>
      </c>
      <c r="K211" s="84">
        <f>(PA_prices!K199+$D$2)*IF($M$2="Prices in $/MWh",1,1/1000)</f>
        <v>66.63</v>
      </c>
      <c r="L211" s="83">
        <f>(PA_prices!L199+$D$2)*IF($M$2="Prices in $/MWh",1,1/1000)</f>
        <v>26.76</v>
      </c>
      <c r="M211" s="84">
        <f>(PA_prices!M199+$D$2)*IF($M$2="Prices in $/MWh",1,1/1000)</f>
        <v>26.65</v>
      </c>
      <c r="N211" s="83">
        <f>(PA_prices!N199+$D$2)*IF($M$2="Prices in $/MWh",1,1/1000)</f>
        <v>26.9</v>
      </c>
      <c r="O211" s="61"/>
    </row>
    <row r="212" spans="2:15" x14ac:dyDescent="0.25">
      <c r="B212" s="99" t="s">
        <v>641</v>
      </c>
      <c r="C212" s="74" t="str">
        <f>PA_prices!C200</f>
        <v>August-2016</v>
      </c>
      <c r="D212" s="75" t="str">
        <f>PA_prices!D200</f>
        <v>PA</v>
      </c>
      <c r="E212" s="76" t="str">
        <f>PA_prices!E200</f>
        <v>Penelec</v>
      </c>
      <c r="F212" s="75" t="str">
        <f>PA_prices!F200</f>
        <v>GSCL</v>
      </c>
      <c r="G212" s="76" t="str">
        <f>PA_prices!G200</f>
        <v>General Service Large</v>
      </c>
      <c r="H212" s="77" t="str">
        <f t="shared" ref="H212" si="195">IF($M$2="Prices in $/MWh","0-100 MWh","0-100,000 kWh")</f>
        <v>0-100 MWh</v>
      </c>
      <c r="I212" s="76">
        <f>(PA_prices!I200+$D$2)*IF($M$2="Prices in $/MWh",1,1/1000)</f>
        <v>69.760000000000005</v>
      </c>
      <c r="J212" s="75">
        <f>(PA_prices!J200+$D$2)*IF($M$2="Prices in $/MWh",1,1/1000)</f>
        <v>68.989999999999995</v>
      </c>
      <c r="K212" s="76">
        <f>(PA_prices!K200+$D$2)*IF($M$2="Prices in $/MWh",1,1/1000)</f>
        <v>69.33</v>
      </c>
      <c r="L212" s="75">
        <f>(PA_prices!L200+$D$2)*IF($M$2="Prices in $/MWh",1,1/1000)</f>
        <v>29.44</v>
      </c>
      <c r="M212" s="76">
        <f>(PA_prices!M200+$D$2)*IF($M$2="Prices in $/MWh",1,1/1000)</f>
        <v>29.4</v>
      </c>
      <c r="N212" s="75">
        <f>(PA_prices!N200+$D$2)*IF($M$2="Prices in $/MWh",1,1/1000)</f>
        <v>29.64</v>
      </c>
      <c r="O212" s="61"/>
    </row>
    <row r="213" spans="2:15" x14ac:dyDescent="0.25">
      <c r="B213" s="99" t="s">
        <v>641</v>
      </c>
      <c r="C213" s="78" t="str">
        <f>PA_prices!C201</f>
        <v>August-2016</v>
      </c>
      <c r="D213" s="79" t="str">
        <f>PA_prices!D201</f>
        <v>PA</v>
      </c>
      <c r="E213" s="80" t="str">
        <f>PA_prices!E201</f>
        <v>Penelec</v>
      </c>
      <c r="F213" s="79" t="str">
        <f>PA_prices!F201</f>
        <v>GSCL</v>
      </c>
      <c r="G213" s="80" t="str">
        <f>PA_prices!G201</f>
        <v>General Service Large</v>
      </c>
      <c r="H213" s="81" t="str">
        <f t="shared" ref="H213" si="196">IF($M$2="Prices in $/MWh","100-500 MWh","100,000-500,000 kWh")</f>
        <v>100-500 MWh</v>
      </c>
      <c r="I213" s="80">
        <f>(PA_prices!I201+$D$2)*IF($M$2="Prices in $/MWh",1,1/1000)</f>
        <v>68.16</v>
      </c>
      <c r="J213" s="79">
        <f>(PA_prices!J201+$D$2)*IF($M$2="Prices in $/MWh",1,1/1000)</f>
        <v>67.39</v>
      </c>
      <c r="K213" s="80">
        <f>(PA_prices!K201+$D$2)*IF($M$2="Prices in $/MWh",1,1/1000)</f>
        <v>67.73</v>
      </c>
      <c r="L213" s="79">
        <f>(PA_prices!L201+$D$2)*IF($M$2="Prices in $/MWh",1,1/1000)</f>
        <v>27.84</v>
      </c>
      <c r="M213" s="80">
        <f>(PA_prices!M201+$D$2)*IF($M$2="Prices in $/MWh",1,1/1000)</f>
        <v>27.8</v>
      </c>
      <c r="N213" s="79">
        <f>(PA_prices!N201+$D$2)*IF($M$2="Prices in $/MWh",1,1/1000)</f>
        <v>28.04</v>
      </c>
      <c r="O213" s="61"/>
    </row>
    <row r="214" spans="2:15" x14ac:dyDescent="0.25">
      <c r="B214" s="99" t="s">
        <v>641</v>
      </c>
      <c r="C214" s="82" t="str">
        <f>PA_prices!C202</f>
        <v>August-2016</v>
      </c>
      <c r="D214" s="83" t="str">
        <f>PA_prices!D202</f>
        <v>PA</v>
      </c>
      <c r="E214" s="84" t="str">
        <f>PA_prices!E202</f>
        <v>Penelec</v>
      </c>
      <c r="F214" s="83" t="str">
        <f>PA_prices!F202</f>
        <v>GSCL</v>
      </c>
      <c r="G214" s="84" t="str">
        <f>PA_prices!G202</f>
        <v>General Service Large</v>
      </c>
      <c r="H214" s="85" t="str">
        <f t="shared" ref="H214" si="197">IF($M$2="Prices in $/MWh","500-2500 MWh","500,000-2,500,000 kWh")</f>
        <v>500-2500 MWh</v>
      </c>
      <c r="I214" s="84">
        <f>(PA_prices!I202+$D$2)*IF($M$2="Prices in $/MWh",1,1/1000)</f>
        <v>67.11</v>
      </c>
      <c r="J214" s="83">
        <f>(PA_prices!J202+$D$2)*IF($M$2="Prices in $/MWh",1,1/1000)</f>
        <v>66.34</v>
      </c>
      <c r="K214" s="84">
        <f>(PA_prices!K202+$D$2)*IF($M$2="Prices in $/MWh",1,1/1000)</f>
        <v>66.680000000000007</v>
      </c>
      <c r="L214" s="83">
        <f>(PA_prices!L202+$D$2)*IF($M$2="Prices in $/MWh",1,1/1000)</f>
        <v>26.79</v>
      </c>
      <c r="M214" s="84">
        <f>(PA_prices!M202+$D$2)*IF($M$2="Prices in $/MWh",1,1/1000)</f>
        <v>26.75</v>
      </c>
      <c r="N214" s="83">
        <f>(PA_prices!N202+$D$2)*IF($M$2="Prices in $/MWh",1,1/1000)</f>
        <v>26.99</v>
      </c>
      <c r="O214" s="61"/>
    </row>
    <row r="215" spans="2:15" x14ac:dyDescent="0.25">
      <c r="B215" s="99" t="s">
        <v>641</v>
      </c>
      <c r="C215" s="74" t="str">
        <f>PA_prices!C203</f>
        <v>September-2016</v>
      </c>
      <c r="D215" s="75" t="str">
        <f>PA_prices!D203</f>
        <v>PA</v>
      </c>
      <c r="E215" s="76" t="str">
        <f>PA_prices!E203</f>
        <v>Penelec</v>
      </c>
      <c r="F215" s="75" t="str">
        <f>PA_prices!F203</f>
        <v>GSCL</v>
      </c>
      <c r="G215" s="76" t="str">
        <f>PA_prices!G203</f>
        <v>General Service Large</v>
      </c>
      <c r="H215" s="77" t="str">
        <f t="shared" ref="H215" si="198">IF($M$2="Prices in $/MWh","0-100 MWh","0-100,000 kWh")</f>
        <v>0-100 MWh</v>
      </c>
      <c r="I215" s="76">
        <f>(PA_prices!I203+$D$2)*IF($M$2="Prices in $/MWh",1,1/1000)</f>
        <v>69.62</v>
      </c>
      <c r="J215" s="75">
        <f>(PA_prices!J203+$D$2)*IF($M$2="Prices in $/MWh",1,1/1000)</f>
        <v>69.37</v>
      </c>
      <c r="K215" s="76">
        <f>(PA_prices!K203+$D$2)*IF($M$2="Prices in $/MWh",1,1/1000)</f>
        <v>69.319999999999993</v>
      </c>
      <c r="L215" s="75">
        <f>(PA_prices!L203+$D$2)*IF($M$2="Prices in $/MWh",1,1/1000)</f>
        <v>29.45</v>
      </c>
      <c r="M215" s="76">
        <f>(PA_prices!M203+$D$2)*IF($M$2="Prices in $/MWh",1,1/1000)</f>
        <v>29.53</v>
      </c>
      <c r="N215" s="75">
        <f>(PA_prices!N203+$D$2)*IF($M$2="Prices in $/MWh",1,1/1000)</f>
        <v>29.73</v>
      </c>
      <c r="O215" s="61"/>
    </row>
    <row r="216" spans="2:15" x14ac:dyDescent="0.25">
      <c r="B216" s="99" t="s">
        <v>641</v>
      </c>
      <c r="C216" s="78" t="str">
        <f>PA_prices!C204</f>
        <v>September-2016</v>
      </c>
      <c r="D216" s="79" t="str">
        <f>PA_prices!D204</f>
        <v>PA</v>
      </c>
      <c r="E216" s="80" t="str">
        <f>PA_prices!E204</f>
        <v>Penelec</v>
      </c>
      <c r="F216" s="79" t="str">
        <f>PA_prices!F204</f>
        <v>GSCL</v>
      </c>
      <c r="G216" s="80" t="str">
        <f>PA_prices!G204</f>
        <v>General Service Large</v>
      </c>
      <c r="H216" s="81" t="str">
        <f t="shared" ref="H216" si="199">IF($M$2="Prices in $/MWh","100-500 MWh","100,000-500,000 kWh")</f>
        <v>100-500 MWh</v>
      </c>
      <c r="I216" s="80">
        <f>(PA_prices!I204+$D$2)*IF($M$2="Prices in $/MWh",1,1/1000)</f>
        <v>68.02</v>
      </c>
      <c r="J216" s="79">
        <f>(PA_prices!J204+$D$2)*IF($M$2="Prices in $/MWh",1,1/1000)</f>
        <v>67.77</v>
      </c>
      <c r="K216" s="80">
        <f>(PA_prices!K204+$D$2)*IF($M$2="Prices in $/MWh",1,1/1000)</f>
        <v>67.72</v>
      </c>
      <c r="L216" s="79">
        <f>(PA_prices!L204+$D$2)*IF($M$2="Prices in $/MWh",1,1/1000)</f>
        <v>27.85</v>
      </c>
      <c r="M216" s="80">
        <f>(PA_prices!M204+$D$2)*IF($M$2="Prices in $/MWh",1,1/1000)</f>
        <v>27.93</v>
      </c>
      <c r="N216" s="79">
        <f>(PA_prices!N204+$D$2)*IF($M$2="Prices in $/MWh",1,1/1000)</f>
        <v>28.13</v>
      </c>
      <c r="O216" s="61"/>
    </row>
    <row r="217" spans="2:15" x14ac:dyDescent="0.25">
      <c r="B217" s="99" t="s">
        <v>641</v>
      </c>
      <c r="C217" s="82" t="str">
        <f>PA_prices!C205</f>
        <v>September-2016</v>
      </c>
      <c r="D217" s="83" t="str">
        <f>PA_prices!D205</f>
        <v>PA</v>
      </c>
      <c r="E217" s="84" t="str">
        <f>PA_prices!E205</f>
        <v>Penelec</v>
      </c>
      <c r="F217" s="83" t="str">
        <f>PA_prices!F205</f>
        <v>GSCL</v>
      </c>
      <c r="G217" s="84" t="str">
        <f>PA_prices!G205</f>
        <v>General Service Large</v>
      </c>
      <c r="H217" s="85" t="str">
        <f t="shared" ref="H217" si="200">IF($M$2="Prices in $/MWh","500-2500 MWh","500,000-2,500,000 kWh")</f>
        <v>500-2500 MWh</v>
      </c>
      <c r="I217" s="84">
        <f>(PA_prices!I205+$D$2)*IF($M$2="Prices in $/MWh",1,1/1000)</f>
        <v>66.97</v>
      </c>
      <c r="J217" s="83">
        <f>(PA_prices!J205+$D$2)*IF($M$2="Prices in $/MWh",1,1/1000)</f>
        <v>66.72</v>
      </c>
      <c r="K217" s="84">
        <f>(PA_prices!K205+$D$2)*IF($M$2="Prices in $/MWh",1,1/1000)</f>
        <v>66.67</v>
      </c>
      <c r="L217" s="83">
        <f>(PA_prices!L205+$D$2)*IF($M$2="Prices in $/MWh",1,1/1000)</f>
        <v>26.8</v>
      </c>
      <c r="M217" s="84">
        <f>(PA_prices!M205+$D$2)*IF($M$2="Prices in $/MWh",1,1/1000)</f>
        <v>26.88</v>
      </c>
      <c r="N217" s="83">
        <f>(PA_prices!N205+$D$2)*IF($M$2="Prices in $/MWh",1,1/1000)</f>
        <v>27.08</v>
      </c>
      <c r="O217" s="61"/>
    </row>
    <row r="218" spans="2:15" x14ac:dyDescent="0.25">
      <c r="B218" s="99" t="s">
        <v>641</v>
      </c>
      <c r="C218" s="74" t="str">
        <f>PA_prices!C206</f>
        <v>October-2016</v>
      </c>
      <c r="D218" s="75" t="str">
        <f>PA_prices!D206</f>
        <v>PA</v>
      </c>
      <c r="E218" s="76" t="str">
        <f>PA_prices!E206</f>
        <v>Penelec</v>
      </c>
      <c r="F218" s="75" t="str">
        <f>PA_prices!F206</f>
        <v>GSCL</v>
      </c>
      <c r="G218" s="76" t="str">
        <f>PA_prices!G206</f>
        <v>General Service Large</v>
      </c>
      <c r="H218" s="77" t="str">
        <f t="shared" ref="H218" si="201">IF($M$2="Prices in $/MWh","0-100 MWh","0-100,000 kWh")</f>
        <v>0-100 MWh</v>
      </c>
      <c r="I218" s="76">
        <f>(PA_prices!I206+$D$2)*IF($M$2="Prices in $/MWh",1,1/1000)</f>
        <v>69.55</v>
      </c>
      <c r="J218" s="75">
        <f>(PA_prices!J206+$D$2)*IF($M$2="Prices in $/MWh",1,1/1000)</f>
        <v>69.709999999999994</v>
      </c>
      <c r="K218" s="76">
        <f>(PA_prices!K206+$D$2)*IF($M$2="Prices in $/MWh",1,1/1000)</f>
        <v>69.31</v>
      </c>
      <c r="L218" s="75">
        <f>(PA_prices!L206+$D$2)*IF($M$2="Prices in $/MWh",1,1/1000)</f>
        <v>29.47</v>
      </c>
      <c r="M218" s="76">
        <f>(PA_prices!M206+$D$2)*IF($M$2="Prices in $/MWh",1,1/1000)</f>
        <v>29.62</v>
      </c>
      <c r="N218" s="75">
        <f>(PA_prices!N206+$D$2)*IF($M$2="Prices in $/MWh",1,1/1000)</f>
        <v>29.83</v>
      </c>
      <c r="O218" s="61"/>
    </row>
    <row r="219" spans="2:15" x14ac:dyDescent="0.25">
      <c r="B219" s="99" t="s">
        <v>641</v>
      </c>
      <c r="C219" s="78" t="str">
        <f>PA_prices!C207</f>
        <v>October-2016</v>
      </c>
      <c r="D219" s="79" t="str">
        <f>PA_prices!D207</f>
        <v>PA</v>
      </c>
      <c r="E219" s="80" t="str">
        <f>PA_prices!E207</f>
        <v>Penelec</v>
      </c>
      <c r="F219" s="79" t="str">
        <f>PA_prices!F207</f>
        <v>GSCL</v>
      </c>
      <c r="G219" s="80" t="str">
        <f>PA_prices!G207</f>
        <v>General Service Large</v>
      </c>
      <c r="H219" s="81" t="str">
        <f t="shared" ref="H219" si="202">IF($M$2="Prices in $/MWh","100-500 MWh","100,000-500,000 kWh")</f>
        <v>100-500 MWh</v>
      </c>
      <c r="I219" s="80">
        <f>(PA_prices!I207+$D$2)*IF($M$2="Prices in $/MWh",1,1/1000)</f>
        <v>67.95</v>
      </c>
      <c r="J219" s="79">
        <f>(PA_prices!J207+$D$2)*IF($M$2="Prices in $/MWh",1,1/1000)</f>
        <v>68.11</v>
      </c>
      <c r="K219" s="80">
        <f>(PA_prices!K207+$D$2)*IF($M$2="Prices in $/MWh",1,1/1000)</f>
        <v>67.709999999999994</v>
      </c>
      <c r="L219" s="79">
        <f>(PA_prices!L207+$D$2)*IF($M$2="Prices in $/MWh",1,1/1000)</f>
        <v>27.87</v>
      </c>
      <c r="M219" s="80">
        <f>(PA_prices!M207+$D$2)*IF($M$2="Prices in $/MWh",1,1/1000)</f>
        <v>28.02</v>
      </c>
      <c r="N219" s="79">
        <f>(PA_prices!N207+$D$2)*IF($M$2="Prices in $/MWh",1,1/1000)</f>
        <v>28.23</v>
      </c>
      <c r="O219" s="61"/>
    </row>
    <row r="220" spans="2:15" x14ac:dyDescent="0.25">
      <c r="B220" s="99" t="s">
        <v>641</v>
      </c>
      <c r="C220" s="82" t="str">
        <f>PA_prices!C208</f>
        <v>October-2016</v>
      </c>
      <c r="D220" s="83" t="str">
        <f>PA_prices!D208</f>
        <v>PA</v>
      </c>
      <c r="E220" s="84" t="str">
        <f>PA_prices!E208</f>
        <v>Penelec</v>
      </c>
      <c r="F220" s="83" t="str">
        <f>PA_prices!F208</f>
        <v>GSCL</v>
      </c>
      <c r="G220" s="84" t="str">
        <f>PA_prices!G208</f>
        <v>General Service Large</v>
      </c>
      <c r="H220" s="85" t="str">
        <f t="shared" ref="H220" si="203">IF($M$2="Prices in $/MWh","500-2500 MWh","500,000-2,500,000 kWh")</f>
        <v>500-2500 MWh</v>
      </c>
      <c r="I220" s="84">
        <f>(PA_prices!I208+$D$2)*IF($M$2="Prices in $/MWh",1,1/1000)</f>
        <v>66.900000000000006</v>
      </c>
      <c r="J220" s="83">
        <f>(PA_prices!J208+$D$2)*IF($M$2="Prices in $/MWh",1,1/1000)</f>
        <v>67.06</v>
      </c>
      <c r="K220" s="84">
        <f>(PA_prices!K208+$D$2)*IF($M$2="Prices in $/MWh",1,1/1000)</f>
        <v>66.66</v>
      </c>
      <c r="L220" s="83">
        <f>(PA_prices!L208+$D$2)*IF($M$2="Prices in $/MWh",1,1/1000)</f>
        <v>26.82</v>
      </c>
      <c r="M220" s="84">
        <f>(PA_prices!M208+$D$2)*IF($M$2="Prices in $/MWh",1,1/1000)</f>
        <v>26.97</v>
      </c>
      <c r="N220" s="83">
        <f>(PA_prices!N208+$D$2)*IF($M$2="Prices in $/MWh",1,1/1000)</f>
        <v>27.18</v>
      </c>
      <c r="O220" s="61"/>
    </row>
    <row r="221" spans="2:15" x14ac:dyDescent="0.25">
      <c r="B221" s="99" t="s">
        <v>641</v>
      </c>
      <c r="C221" s="74" t="str">
        <f>PA_prices!C209</f>
        <v>November-2016</v>
      </c>
      <c r="D221" s="75" t="str">
        <f>PA_prices!D209</f>
        <v>PA</v>
      </c>
      <c r="E221" s="76" t="str">
        <f>PA_prices!E209</f>
        <v>Penelec</v>
      </c>
      <c r="F221" s="75" t="str">
        <f>PA_prices!F209</f>
        <v>GSCL</v>
      </c>
      <c r="G221" s="76" t="str">
        <f>PA_prices!G209</f>
        <v>General Service Large</v>
      </c>
      <c r="H221" s="77" t="str">
        <f t="shared" ref="H221" si="204">IF($M$2="Prices in $/MWh","0-100 MWh","0-100,000 kWh")</f>
        <v>0-100 MWh</v>
      </c>
      <c r="I221" s="76">
        <f>(PA_prices!I209+$D$2)*IF($M$2="Prices in $/MWh",1,1/1000)</f>
        <v>69.430000000000007</v>
      </c>
      <c r="J221" s="75">
        <f>(PA_prices!J209+$D$2)*IF($M$2="Prices in $/MWh",1,1/1000)</f>
        <v>69.84</v>
      </c>
      <c r="K221" s="76">
        <f>(PA_prices!K209+$D$2)*IF($M$2="Prices in $/MWh",1,1/1000)</f>
        <v>69.28</v>
      </c>
      <c r="L221" s="75">
        <f>(PA_prices!L209+$D$2)*IF($M$2="Prices in $/MWh",1,1/1000)</f>
        <v>29.46</v>
      </c>
      <c r="M221" s="76">
        <f>(PA_prices!M209+$D$2)*IF($M$2="Prices in $/MWh",1,1/1000)</f>
        <v>29.66</v>
      </c>
      <c r="N221" s="75">
        <f>(PA_prices!N209+$D$2)*IF($M$2="Prices in $/MWh",1,1/1000)</f>
        <v>29.9</v>
      </c>
      <c r="O221" s="61"/>
    </row>
    <row r="222" spans="2:15" x14ac:dyDescent="0.25">
      <c r="B222" s="99" t="s">
        <v>641</v>
      </c>
      <c r="C222" s="78" t="str">
        <f>PA_prices!C210</f>
        <v>November-2016</v>
      </c>
      <c r="D222" s="79" t="str">
        <f>PA_prices!D210</f>
        <v>PA</v>
      </c>
      <c r="E222" s="80" t="str">
        <f>PA_prices!E210</f>
        <v>Penelec</v>
      </c>
      <c r="F222" s="79" t="str">
        <f>PA_prices!F210</f>
        <v>GSCL</v>
      </c>
      <c r="G222" s="80" t="str">
        <f>PA_prices!G210</f>
        <v>General Service Large</v>
      </c>
      <c r="H222" s="81" t="str">
        <f t="shared" ref="H222" si="205">IF($M$2="Prices in $/MWh","100-500 MWh","100,000-500,000 kWh")</f>
        <v>100-500 MWh</v>
      </c>
      <c r="I222" s="80">
        <f>(PA_prices!I210+$D$2)*IF($M$2="Prices in $/MWh",1,1/1000)</f>
        <v>67.83</v>
      </c>
      <c r="J222" s="79">
        <f>(PA_prices!J210+$D$2)*IF($M$2="Prices in $/MWh",1,1/1000)</f>
        <v>68.239999999999995</v>
      </c>
      <c r="K222" s="80">
        <f>(PA_prices!K210+$D$2)*IF($M$2="Prices in $/MWh",1,1/1000)</f>
        <v>67.680000000000007</v>
      </c>
      <c r="L222" s="79">
        <f>(PA_prices!L210+$D$2)*IF($M$2="Prices in $/MWh",1,1/1000)</f>
        <v>27.86</v>
      </c>
      <c r="M222" s="80">
        <f>(PA_prices!M210+$D$2)*IF($M$2="Prices in $/MWh",1,1/1000)</f>
        <v>28.06</v>
      </c>
      <c r="N222" s="79">
        <f>(PA_prices!N210+$D$2)*IF($M$2="Prices in $/MWh",1,1/1000)</f>
        <v>28.3</v>
      </c>
      <c r="O222" s="61"/>
    </row>
    <row r="223" spans="2:15" x14ac:dyDescent="0.25">
      <c r="B223" s="99" t="s">
        <v>641</v>
      </c>
      <c r="C223" s="82" t="str">
        <f>PA_prices!C211</f>
        <v>November-2016</v>
      </c>
      <c r="D223" s="83" t="str">
        <f>PA_prices!D211</f>
        <v>PA</v>
      </c>
      <c r="E223" s="84" t="str">
        <f>PA_prices!E211</f>
        <v>Penelec</v>
      </c>
      <c r="F223" s="83" t="str">
        <f>PA_prices!F211</f>
        <v>GSCL</v>
      </c>
      <c r="G223" s="84" t="str">
        <f>PA_prices!G211</f>
        <v>General Service Large</v>
      </c>
      <c r="H223" s="85" t="str">
        <f t="shared" ref="H223" si="206">IF($M$2="Prices in $/MWh","500-2500 MWh","500,000-2,500,000 kWh")</f>
        <v>500-2500 MWh</v>
      </c>
      <c r="I223" s="84">
        <f>(PA_prices!I211+$D$2)*IF($M$2="Prices in $/MWh",1,1/1000)</f>
        <v>66.78</v>
      </c>
      <c r="J223" s="83">
        <f>(PA_prices!J211+$D$2)*IF($M$2="Prices in $/MWh",1,1/1000)</f>
        <v>67.19</v>
      </c>
      <c r="K223" s="84">
        <f>(PA_prices!K211+$D$2)*IF($M$2="Prices in $/MWh",1,1/1000)</f>
        <v>66.63</v>
      </c>
      <c r="L223" s="83">
        <f>(PA_prices!L211+$D$2)*IF($M$2="Prices in $/MWh",1,1/1000)</f>
        <v>26.81</v>
      </c>
      <c r="M223" s="84">
        <f>(PA_prices!M211+$D$2)*IF($M$2="Prices in $/MWh",1,1/1000)</f>
        <v>27.01</v>
      </c>
      <c r="N223" s="83">
        <f>(PA_prices!N211+$D$2)*IF($M$2="Prices in $/MWh",1,1/1000)</f>
        <v>27.25</v>
      </c>
      <c r="O223" s="61"/>
    </row>
    <row r="224" spans="2:15" x14ac:dyDescent="0.25">
      <c r="B224" s="99" t="s">
        <v>641</v>
      </c>
      <c r="C224" s="74" t="str">
        <f>PA_prices!C212</f>
        <v>December-2016</v>
      </c>
      <c r="D224" s="75" t="str">
        <f>PA_prices!D212</f>
        <v>PA</v>
      </c>
      <c r="E224" s="76" t="str">
        <f>PA_prices!E212</f>
        <v>Penelec</v>
      </c>
      <c r="F224" s="75" t="str">
        <f>PA_prices!F212</f>
        <v>GSCL</v>
      </c>
      <c r="G224" s="76" t="str">
        <f>PA_prices!G212</f>
        <v>General Service Large</v>
      </c>
      <c r="H224" s="77" t="str">
        <f t="shared" ref="H224" si="207">IF($M$2="Prices in $/MWh","0-100 MWh","0-100,000 kWh")</f>
        <v>0-100 MWh</v>
      </c>
      <c r="I224" s="76">
        <f>(PA_prices!I212+$D$2)*IF($M$2="Prices in $/MWh",1,1/1000)</f>
        <v>69.28</v>
      </c>
      <c r="J224" s="75">
        <f>(PA_prices!J212+$D$2)*IF($M$2="Prices in $/MWh",1,1/1000)</f>
        <v>69.89</v>
      </c>
      <c r="K224" s="76">
        <f>(PA_prices!K212+$D$2)*IF($M$2="Prices in $/MWh",1,1/1000)</f>
        <v>69.260000000000005</v>
      </c>
      <c r="L224" s="75">
        <f>(PA_prices!L212+$D$2)*IF($M$2="Prices in $/MWh",1,1/1000)</f>
        <v>29.46</v>
      </c>
      <c r="M224" s="76">
        <f>(PA_prices!M212+$D$2)*IF($M$2="Prices in $/MWh",1,1/1000)</f>
        <v>29.68</v>
      </c>
      <c r="N224" s="75">
        <f>(PA_prices!N212+$D$2)*IF($M$2="Prices in $/MWh",1,1/1000)</f>
        <v>29.97</v>
      </c>
      <c r="O224" s="61"/>
    </row>
    <row r="225" spans="2:15" x14ac:dyDescent="0.25">
      <c r="B225" s="99" t="s">
        <v>641</v>
      </c>
      <c r="C225" s="78" t="str">
        <f>PA_prices!C213</f>
        <v>December-2016</v>
      </c>
      <c r="D225" s="79" t="str">
        <f>PA_prices!D213</f>
        <v>PA</v>
      </c>
      <c r="E225" s="80" t="str">
        <f>PA_prices!E213</f>
        <v>Penelec</v>
      </c>
      <c r="F225" s="79" t="str">
        <f>PA_prices!F213</f>
        <v>GSCL</v>
      </c>
      <c r="G225" s="80" t="str">
        <f>PA_prices!G213</f>
        <v>General Service Large</v>
      </c>
      <c r="H225" s="81" t="str">
        <f t="shared" ref="H225" si="208">IF($M$2="Prices in $/MWh","100-500 MWh","100,000-500,000 kWh")</f>
        <v>100-500 MWh</v>
      </c>
      <c r="I225" s="80">
        <f>(PA_prices!I213+$D$2)*IF($M$2="Prices in $/MWh",1,1/1000)</f>
        <v>67.680000000000007</v>
      </c>
      <c r="J225" s="79">
        <f>(PA_prices!J213+$D$2)*IF($M$2="Prices in $/MWh",1,1/1000)</f>
        <v>68.290000000000006</v>
      </c>
      <c r="K225" s="80">
        <f>(PA_prices!K213+$D$2)*IF($M$2="Prices in $/MWh",1,1/1000)</f>
        <v>67.66</v>
      </c>
      <c r="L225" s="79">
        <f>(PA_prices!L213+$D$2)*IF($M$2="Prices in $/MWh",1,1/1000)</f>
        <v>27.86</v>
      </c>
      <c r="M225" s="80">
        <f>(PA_prices!M213+$D$2)*IF($M$2="Prices in $/MWh",1,1/1000)</f>
        <v>28.08</v>
      </c>
      <c r="N225" s="79">
        <f>(PA_prices!N213+$D$2)*IF($M$2="Prices in $/MWh",1,1/1000)</f>
        <v>28.37</v>
      </c>
      <c r="O225" s="61"/>
    </row>
    <row r="226" spans="2:15" x14ac:dyDescent="0.25">
      <c r="B226" s="99" t="s">
        <v>641</v>
      </c>
      <c r="C226" s="82" t="str">
        <f>PA_prices!C214</f>
        <v>December-2016</v>
      </c>
      <c r="D226" s="83" t="str">
        <f>PA_prices!D214</f>
        <v>PA</v>
      </c>
      <c r="E226" s="84" t="str">
        <f>PA_prices!E214</f>
        <v>Penelec</v>
      </c>
      <c r="F226" s="83" t="str">
        <f>PA_prices!F214</f>
        <v>GSCL</v>
      </c>
      <c r="G226" s="84" t="str">
        <f>PA_prices!G214</f>
        <v>General Service Large</v>
      </c>
      <c r="H226" s="85" t="str">
        <f t="shared" ref="H226" si="209">IF($M$2="Prices in $/MWh","500-2500 MWh","500,000-2,500,000 kWh")</f>
        <v>500-2500 MWh</v>
      </c>
      <c r="I226" s="84">
        <f>(PA_prices!I214+$D$2)*IF($M$2="Prices in $/MWh",1,1/1000)</f>
        <v>66.63</v>
      </c>
      <c r="J226" s="83">
        <f>(PA_prices!J214+$D$2)*IF($M$2="Prices in $/MWh",1,1/1000)</f>
        <v>67.239999999999995</v>
      </c>
      <c r="K226" s="84">
        <f>(PA_prices!K214+$D$2)*IF($M$2="Prices in $/MWh",1,1/1000)</f>
        <v>66.61</v>
      </c>
      <c r="L226" s="83">
        <f>(PA_prices!L214+$D$2)*IF($M$2="Prices in $/MWh",1,1/1000)</f>
        <v>26.81</v>
      </c>
      <c r="M226" s="84">
        <f>(PA_prices!M214+$D$2)*IF($M$2="Prices in $/MWh",1,1/1000)</f>
        <v>27.03</v>
      </c>
      <c r="N226" s="83">
        <f>(PA_prices!N214+$D$2)*IF($M$2="Prices in $/MWh",1,1/1000)</f>
        <v>27.32</v>
      </c>
      <c r="O226" s="61"/>
    </row>
    <row r="227" spans="2:15" x14ac:dyDescent="0.25">
      <c r="B227" s="99" t="s">
        <v>641</v>
      </c>
      <c r="C227" s="74" t="str">
        <f>PA_prices!C215</f>
        <v>January-2017</v>
      </c>
      <c r="D227" s="75" t="str">
        <f>PA_prices!D215</f>
        <v>PA</v>
      </c>
      <c r="E227" s="76" t="str">
        <f>PA_prices!E215</f>
        <v>Penelec</v>
      </c>
      <c r="F227" s="75" t="str">
        <f>PA_prices!F215</f>
        <v>GSCL</v>
      </c>
      <c r="G227" s="76" t="str">
        <f>PA_prices!G215</f>
        <v>General Service Large</v>
      </c>
      <c r="H227" s="77" t="str">
        <f t="shared" ref="H227" si="210">IF($M$2="Prices in $/MWh","0-100 MWh","0-100,000 kWh")</f>
        <v>0-100 MWh</v>
      </c>
      <c r="I227" s="76">
        <f>(PA_prices!I215+$D$2)*IF($M$2="Prices in $/MWh",1,1/1000)</f>
        <v>69.14</v>
      </c>
      <c r="J227" s="75">
        <f>(PA_prices!J215+$D$2)*IF($M$2="Prices in $/MWh",1,1/1000)</f>
        <v>69.86</v>
      </c>
      <c r="K227" s="76">
        <f>(PA_prices!K215+$D$2)*IF($M$2="Prices in $/MWh",1,1/1000)</f>
        <v>69.290000000000006</v>
      </c>
      <c r="L227" s="75">
        <f>(PA_prices!L215+$D$2)*IF($M$2="Prices in $/MWh",1,1/1000)</f>
        <v>29.49</v>
      </c>
      <c r="M227" s="76">
        <f>(PA_prices!M215+$D$2)*IF($M$2="Prices in $/MWh",1,1/1000)</f>
        <v>29.76</v>
      </c>
      <c r="N227" s="75">
        <f>(PA_prices!N215+$D$2)*IF($M$2="Prices in $/MWh",1,1/1000)</f>
        <v>30.07</v>
      </c>
      <c r="O227" s="61"/>
    </row>
    <row r="228" spans="2:15" x14ac:dyDescent="0.25">
      <c r="B228" s="99" t="s">
        <v>641</v>
      </c>
      <c r="C228" s="78" t="str">
        <f>PA_prices!C216</f>
        <v>January-2017</v>
      </c>
      <c r="D228" s="79" t="str">
        <f>PA_prices!D216</f>
        <v>PA</v>
      </c>
      <c r="E228" s="80" t="str">
        <f>PA_prices!E216</f>
        <v>Penelec</v>
      </c>
      <c r="F228" s="79" t="str">
        <f>PA_prices!F216</f>
        <v>GSCL</v>
      </c>
      <c r="G228" s="80" t="str">
        <f>PA_prices!G216</f>
        <v>General Service Large</v>
      </c>
      <c r="H228" s="81" t="str">
        <f t="shared" ref="H228" si="211">IF($M$2="Prices in $/MWh","100-500 MWh","100,000-500,000 kWh")</f>
        <v>100-500 MWh</v>
      </c>
      <c r="I228" s="80">
        <f>(PA_prices!I216+$D$2)*IF($M$2="Prices in $/MWh",1,1/1000)</f>
        <v>67.540000000000006</v>
      </c>
      <c r="J228" s="79">
        <f>(PA_prices!J216+$D$2)*IF($M$2="Prices in $/MWh",1,1/1000)</f>
        <v>68.260000000000005</v>
      </c>
      <c r="K228" s="80">
        <f>(PA_prices!K216+$D$2)*IF($M$2="Prices in $/MWh",1,1/1000)</f>
        <v>67.69</v>
      </c>
      <c r="L228" s="79">
        <f>(PA_prices!L216+$D$2)*IF($M$2="Prices in $/MWh",1,1/1000)</f>
        <v>27.89</v>
      </c>
      <c r="M228" s="80">
        <f>(PA_prices!M216+$D$2)*IF($M$2="Prices in $/MWh",1,1/1000)</f>
        <v>28.16</v>
      </c>
      <c r="N228" s="79">
        <f>(PA_prices!N216+$D$2)*IF($M$2="Prices in $/MWh",1,1/1000)</f>
        <v>28.47</v>
      </c>
      <c r="O228" s="61"/>
    </row>
    <row r="229" spans="2:15" x14ac:dyDescent="0.25">
      <c r="B229" s="99" t="s">
        <v>641</v>
      </c>
      <c r="C229" s="82" t="str">
        <f>PA_prices!C217</f>
        <v>January-2017</v>
      </c>
      <c r="D229" s="83" t="str">
        <f>PA_prices!D217</f>
        <v>PA</v>
      </c>
      <c r="E229" s="84" t="str">
        <f>PA_prices!E217</f>
        <v>Penelec</v>
      </c>
      <c r="F229" s="83" t="str">
        <f>PA_prices!F217</f>
        <v>GSCL</v>
      </c>
      <c r="G229" s="84" t="str">
        <f>PA_prices!G217</f>
        <v>General Service Large</v>
      </c>
      <c r="H229" s="85" t="str">
        <f t="shared" ref="H229" si="212">IF($M$2="Prices in $/MWh","500-2500 MWh","500,000-2,500,000 kWh")</f>
        <v>500-2500 MWh</v>
      </c>
      <c r="I229" s="84">
        <f>(PA_prices!I217+$D$2)*IF($M$2="Prices in $/MWh",1,1/1000)</f>
        <v>66.489999999999995</v>
      </c>
      <c r="J229" s="83">
        <f>(PA_prices!J217+$D$2)*IF($M$2="Prices in $/MWh",1,1/1000)</f>
        <v>67.209999999999994</v>
      </c>
      <c r="K229" s="84">
        <f>(PA_prices!K217+$D$2)*IF($M$2="Prices in $/MWh",1,1/1000)</f>
        <v>66.64</v>
      </c>
      <c r="L229" s="83">
        <f>(PA_prices!L217+$D$2)*IF($M$2="Prices in $/MWh",1,1/1000)</f>
        <v>26.84</v>
      </c>
      <c r="M229" s="84">
        <f>(PA_prices!M217+$D$2)*IF($M$2="Prices in $/MWh",1,1/1000)</f>
        <v>27.11</v>
      </c>
      <c r="N229" s="83">
        <f>(PA_prices!N217+$D$2)*IF($M$2="Prices in $/MWh",1,1/1000)</f>
        <v>27.42</v>
      </c>
      <c r="O229" s="61"/>
    </row>
    <row r="230" spans="2:15" x14ac:dyDescent="0.25">
      <c r="B230" s="99" t="s">
        <v>642</v>
      </c>
      <c r="C230" s="74" t="str">
        <f>PA_prices!C218</f>
        <v>February-2016</v>
      </c>
      <c r="D230" s="75" t="str">
        <f>PA_prices!D218</f>
        <v>PA</v>
      </c>
      <c r="E230" s="76" t="str">
        <f>PA_prices!E218</f>
        <v>Penelec</v>
      </c>
      <c r="F230" s="75" t="str">
        <f>PA_prices!F218</f>
        <v>GSCM</v>
      </c>
      <c r="G230" s="76" t="str">
        <f>PA_prices!G218</f>
        <v>General Service Medium</v>
      </c>
      <c r="H230" s="77" t="str">
        <f t="shared" ref="H230" si="213">IF($M$2="Prices in $/MWh","0-100 MWh","0-100,000 kWh")</f>
        <v>0-100 MWh</v>
      </c>
      <c r="I230" s="76">
        <f>(PA_prices!I218+$D$2)*IF($M$2="Prices in $/MWh",1,1/1000)</f>
        <v>70.34</v>
      </c>
      <c r="J230" s="75">
        <f>(PA_prices!J218+$D$2)*IF($M$2="Prices in $/MWh",1,1/1000)</f>
        <v>70.849999999999994</v>
      </c>
      <c r="K230" s="76">
        <f>(PA_prices!K218+$D$2)*IF($M$2="Prices in $/MWh",1,1/1000)</f>
        <v>70.25</v>
      </c>
      <c r="L230" s="75">
        <f>(PA_prices!L218+$D$2)*IF($M$2="Prices in $/MWh",1,1/1000)</f>
        <v>30.47</v>
      </c>
      <c r="M230" s="76">
        <f>(PA_prices!M218+$D$2)*IF($M$2="Prices in $/MWh",1,1/1000)</f>
        <v>30.59</v>
      </c>
      <c r="N230" s="75">
        <f>(PA_prices!N218+$D$2)*IF($M$2="Prices in $/MWh",1,1/1000)</f>
        <v>30.53</v>
      </c>
      <c r="O230" s="61"/>
    </row>
    <row r="231" spans="2:15" x14ac:dyDescent="0.25">
      <c r="B231" s="99" t="s">
        <v>642</v>
      </c>
      <c r="C231" s="78" t="str">
        <f>PA_prices!C219</f>
        <v>February-2016</v>
      </c>
      <c r="D231" s="79" t="str">
        <f>PA_prices!D219</f>
        <v>PA</v>
      </c>
      <c r="E231" s="80" t="str">
        <f>PA_prices!E219</f>
        <v>Penelec</v>
      </c>
      <c r="F231" s="79" t="str">
        <f>PA_prices!F219</f>
        <v>GSCM</v>
      </c>
      <c r="G231" s="80" t="str">
        <f>PA_prices!G219</f>
        <v>General Service Medium</v>
      </c>
      <c r="H231" s="81" t="str">
        <f t="shared" ref="H231" si="214">IF($M$2="Prices in $/MWh","100-500 MWh","100,000-500,000 kWh")</f>
        <v>100-500 MWh</v>
      </c>
      <c r="I231" s="80">
        <f>(PA_prices!I219+$D$2)*IF($M$2="Prices in $/MWh",1,1/1000)</f>
        <v>68.739999999999995</v>
      </c>
      <c r="J231" s="79">
        <f>(PA_prices!J219+$D$2)*IF($M$2="Prices in $/MWh",1,1/1000)</f>
        <v>69.25</v>
      </c>
      <c r="K231" s="80">
        <f>(PA_prices!K219+$D$2)*IF($M$2="Prices in $/MWh",1,1/1000)</f>
        <v>68.650000000000006</v>
      </c>
      <c r="L231" s="79">
        <f>(PA_prices!L219+$D$2)*IF($M$2="Prices in $/MWh",1,1/1000)</f>
        <v>28.87</v>
      </c>
      <c r="M231" s="80">
        <f>(PA_prices!M219+$D$2)*IF($M$2="Prices in $/MWh",1,1/1000)</f>
        <v>28.99</v>
      </c>
      <c r="N231" s="79">
        <f>(PA_prices!N219+$D$2)*IF($M$2="Prices in $/MWh",1,1/1000)</f>
        <v>28.93</v>
      </c>
      <c r="O231" s="61"/>
    </row>
    <row r="232" spans="2:15" x14ac:dyDescent="0.25">
      <c r="B232" s="99" t="s">
        <v>642</v>
      </c>
      <c r="C232" s="82" t="str">
        <f>PA_prices!C220</f>
        <v>February-2016</v>
      </c>
      <c r="D232" s="83" t="str">
        <f>PA_prices!D220</f>
        <v>PA</v>
      </c>
      <c r="E232" s="84" t="str">
        <f>PA_prices!E220</f>
        <v>Penelec</v>
      </c>
      <c r="F232" s="83" t="str">
        <f>PA_prices!F220</f>
        <v>GSCM</v>
      </c>
      <c r="G232" s="84" t="str">
        <f>PA_prices!G220</f>
        <v>General Service Medium</v>
      </c>
      <c r="H232" s="85" t="str">
        <f t="shared" ref="H232" si="215">IF($M$2="Prices in $/MWh","500-2500 MWh","500,000-2,500,000 kWh")</f>
        <v>500-2500 MWh</v>
      </c>
      <c r="I232" s="84">
        <f>(PA_prices!I220+$D$2)*IF($M$2="Prices in $/MWh",1,1/1000)</f>
        <v>67.69</v>
      </c>
      <c r="J232" s="83">
        <f>(PA_prices!J220+$D$2)*IF($M$2="Prices in $/MWh",1,1/1000)</f>
        <v>68.2</v>
      </c>
      <c r="K232" s="84">
        <f>(PA_prices!K220+$D$2)*IF($M$2="Prices in $/MWh",1,1/1000)</f>
        <v>67.599999999999994</v>
      </c>
      <c r="L232" s="83">
        <f>(PA_prices!L220+$D$2)*IF($M$2="Prices in $/MWh",1,1/1000)</f>
        <v>27.82</v>
      </c>
      <c r="M232" s="84">
        <f>(PA_prices!M220+$D$2)*IF($M$2="Prices in $/MWh",1,1/1000)</f>
        <v>27.94</v>
      </c>
      <c r="N232" s="83">
        <f>(PA_prices!N220+$D$2)*IF($M$2="Prices in $/MWh",1,1/1000)</f>
        <v>27.88</v>
      </c>
      <c r="O232" s="61"/>
    </row>
    <row r="233" spans="2:15" x14ac:dyDescent="0.25">
      <c r="B233" s="99" t="s">
        <v>642</v>
      </c>
      <c r="C233" s="74" t="str">
        <f>PA_prices!C221</f>
        <v>March-2016</v>
      </c>
      <c r="D233" s="75" t="str">
        <f>PA_prices!D221</f>
        <v>PA</v>
      </c>
      <c r="E233" s="76" t="str">
        <f>PA_prices!E221</f>
        <v>Penelec</v>
      </c>
      <c r="F233" s="75" t="str">
        <f>PA_prices!F221</f>
        <v>GSCM</v>
      </c>
      <c r="G233" s="76" t="str">
        <f>PA_prices!G221</f>
        <v>General Service Medium</v>
      </c>
      <c r="H233" s="77" t="str">
        <f t="shared" ref="H233" si="216">IF($M$2="Prices in $/MWh","0-100 MWh","0-100,000 kWh")</f>
        <v>0-100 MWh</v>
      </c>
      <c r="I233" s="76">
        <f>(PA_prices!I221+$D$2)*IF($M$2="Prices in $/MWh",1,1/1000)</f>
        <v>70.77</v>
      </c>
      <c r="J233" s="75">
        <f>(PA_prices!J221+$D$2)*IF($M$2="Prices in $/MWh",1,1/1000)</f>
        <v>70.67</v>
      </c>
      <c r="K233" s="76">
        <f>(PA_prices!K221+$D$2)*IF($M$2="Prices in $/MWh",1,1/1000)</f>
        <v>70.41</v>
      </c>
      <c r="L233" s="75">
        <f>(PA_prices!L221+$D$2)*IF($M$2="Prices in $/MWh",1,1/1000)</f>
        <v>30.49</v>
      </c>
      <c r="M233" s="76">
        <f>(PA_prices!M221+$D$2)*IF($M$2="Prices in $/MWh",1,1/1000)</f>
        <v>30.52</v>
      </c>
      <c r="N233" s="75">
        <f>(PA_prices!N221+$D$2)*IF($M$2="Prices in $/MWh",1,1/1000)</f>
        <v>30.55</v>
      </c>
      <c r="O233" s="61"/>
    </row>
    <row r="234" spans="2:15" x14ac:dyDescent="0.25">
      <c r="B234" s="99" t="s">
        <v>642</v>
      </c>
      <c r="C234" s="78" t="str">
        <f>PA_prices!C222</f>
        <v>March-2016</v>
      </c>
      <c r="D234" s="79" t="str">
        <f>PA_prices!D222</f>
        <v>PA</v>
      </c>
      <c r="E234" s="80" t="str">
        <f>PA_prices!E222</f>
        <v>Penelec</v>
      </c>
      <c r="F234" s="79" t="str">
        <f>PA_prices!F222</f>
        <v>GSCM</v>
      </c>
      <c r="G234" s="80" t="str">
        <f>PA_prices!G222</f>
        <v>General Service Medium</v>
      </c>
      <c r="H234" s="81" t="str">
        <f t="shared" ref="H234" si="217">IF($M$2="Prices in $/MWh","100-500 MWh","100,000-500,000 kWh")</f>
        <v>100-500 MWh</v>
      </c>
      <c r="I234" s="80">
        <f>(PA_prices!I222+$D$2)*IF($M$2="Prices in $/MWh",1,1/1000)</f>
        <v>69.17</v>
      </c>
      <c r="J234" s="79">
        <f>(PA_prices!J222+$D$2)*IF($M$2="Prices in $/MWh",1,1/1000)</f>
        <v>69.069999999999993</v>
      </c>
      <c r="K234" s="80">
        <f>(PA_prices!K222+$D$2)*IF($M$2="Prices in $/MWh",1,1/1000)</f>
        <v>68.81</v>
      </c>
      <c r="L234" s="79">
        <f>(PA_prices!L222+$D$2)*IF($M$2="Prices in $/MWh",1,1/1000)</f>
        <v>28.89</v>
      </c>
      <c r="M234" s="80">
        <f>(PA_prices!M222+$D$2)*IF($M$2="Prices in $/MWh",1,1/1000)</f>
        <v>28.92</v>
      </c>
      <c r="N234" s="79">
        <f>(PA_prices!N222+$D$2)*IF($M$2="Prices in $/MWh",1,1/1000)</f>
        <v>28.95</v>
      </c>
      <c r="O234" s="61"/>
    </row>
    <row r="235" spans="2:15" x14ac:dyDescent="0.25">
      <c r="B235" s="99" t="s">
        <v>642</v>
      </c>
      <c r="C235" s="82" t="str">
        <f>PA_prices!C223</f>
        <v>March-2016</v>
      </c>
      <c r="D235" s="83" t="str">
        <f>PA_prices!D223</f>
        <v>PA</v>
      </c>
      <c r="E235" s="84" t="str">
        <f>PA_prices!E223</f>
        <v>Penelec</v>
      </c>
      <c r="F235" s="83" t="str">
        <f>PA_prices!F223</f>
        <v>GSCM</v>
      </c>
      <c r="G235" s="84" t="str">
        <f>PA_prices!G223</f>
        <v>General Service Medium</v>
      </c>
      <c r="H235" s="85" t="str">
        <f t="shared" ref="H235" si="218">IF($M$2="Prices in $/MWh","500-2500 MWh","500,000-2,500,000 kWh")</f>
        <v>500-2500 MWh</v>
      </c>
      <c r="I235" s="84">
        <f>(PA_prices!I223+$D$2)*IF($M$2="Prices in $/MWh",1,1/1000)</f>
        <v>68.12</v>
      </c>
      <c r="J235" s="83">
        <f>(PA_prices!J223+$D$2)*IF($M$2="Prices in $/MWh",1,1/1000)</f>
        <v>68.02</v>
      </c>
      <c r="K235" s="84">
        <f>(PA_prices!K223+$D$2)*IF($M$2="Prices in $/MWh",1,1/1000)</f>
        <v>67.760000000000005</v>
      </c>
      <c r="L235" s="83">
        <f>(PA_prices!L223+$D$2)*IF($M$2="Prices in $/MWh",1,1/1000)</f>
        <v>27.84</v>
      </c>
      <c r="M235" s="84">
        <f>(PA_prices!M223+$D$2)*IF($M$2="Prices in $/MWh",1,1/1000)</f>
        <v>27.87</v>
      </c>
      <c r="N235" s="83">
        <f>(PA_prices!N223+$D$2)*IF($M$2="Prices in $/MWh",1,1/1000)</f>
        <v>27.9</v>
      </c>
      <c r="O235" s="61"/>
    </row>
    <row r="236" spans="2:15" x14ac:dyDescent="0.25">
      <c r="B236" s="99" t="s">
        <v>642</v>
      </c>
      <c r="C236" s="74" t="str">
        <f>PA_prices!C224</f>
        <v>April-2016</v>
      </c>
      <c r="D236" s="75" t="str">
        <f>PA_prices!D224</f>
        <v>PA</v>
      </c>
      <c r="E236" s="76" t="str">
        <f>PA_prices!E224</f>
        <v>Penelec</v>
      </c>
      <c r="F236" s="75" t="str">
        <f>PA_prices!F224</f>
        <v>GSCM</v>
      </c>
      <c r="G236" s="76" t="str">
        <f>PA_prices!G224</f>
        <v>General Service Medium</v>
      </c>
      <c r="H236" s="77" t="str">
        <f t="shared" ref="H236" si="219">IF($M$2="Prices in $/MWh","0-100 MWh","0-100,000 kWh")</f>
        <v>0-100 MWh</v>
      </c>
      <c r="I236" s="76">
        <f>(PA_prices!I224+$D$2)*IF($M$2="Prices in $/MWh",1,1/1000)</f>
        <v>70.959999999999994</v>
      </c>
      <c r="J236" s="75">
        <f>(PA_prices!J224+$D$2)*IF($M$2="Prices in $/MWh",1,1/1000)</f>
        <v>70.41</v>
      </c>
      <c r="K236" s="76">
        <f>(PA_prices!K224+$D$2)*IF($M$2="Prices in $/MWh",1,1/1000)</f>
        <v>70.459999999999994</v>
      </c>
      <c r="L236" s="75">
        <f>(PA_prices!L224+$D$2)*IF($M$2="Prices in $/MWh",1,1/1000)</f>
        <v>30.5</v>
      </c>
      <c r="M236" s="76">
        <f>(PA_prices!M224+$D$2)*IF($M$2="Prices in $/MWh",1,1/1000)</f>
        <v>30.5</v>
      </c>
      <c r="N236" s="75">
        <f>(PA_prices!N224+$D$2)*IF($M$2="Prices in $/MWh",1,1/1000)</f>
        <v>30.56</v>
      </c>
      <c r="O236" s="61"/>
    </row>
    <row r="237" spans="2:15" x14ac:dyDescent="0.25">
      <c r="B237" s="99" t="s">
        <v>642</v>
      </c>
      <c r="C237" s="78" t="str">
        <f>PA_prices!C225</f>
        <v>April-2016</v>
      </c>
      <c r="D237" s="79" t="str">
        <f>PA_prices!D225</f>
        <v>PA</v>
      </c>
      <c r="E237" s="80" t="str">
        <f>PA_prices!E225</f>
        <v>Penelec</v>
      </c>
      <c r="F237" s="79" t="str">
        <f>PA_prices!F225</f>
        <v>GSCM</v>
      </c>
      <c r="G237" s="80" t="str">
        <f>PA_prices!G225</f>
        <v>General Service Medium</v>
      </c>
      <c r="H237" s="81" t="str">
        <f t="shared" ref="H237" si="220">IF($M$2="Prices in $/MWh","100-500 MWh","100,000-500,000 kWh")</f>
        <v>100-500 MWh</v>
      </c>
      <c r="I237" s="80">
        <f>(PA_prices!I225+$D$2)*IF($M$2="Prices in $/MWh",1,1/1000)</f>
        <v>69.36</v>
      </c>
      <c r="J237" s="79">
        <f>(PA_prices!J225+$D$2)*IF($M$2="Prices in $/MWh",1,1/1000)</f>
        <v>68.81</v>
      </c>
      <c r="K237" s="80">
        <f>(PA_prices!K225+$D$2)*IF($M$2="Prices in $/MWh",1,1/1000)</f>
        <v>68.86</v>
      </c>
      <c r="L237" s="79">
        <f>(PA_prices!L225+$D$2)*IF($M$2="Prices in $/MWh",1,1/1000)</f>
        <v>28.9</v>
      </c>
      <c r="M237" s="80">
        <f>(PA_prices!M225+$D$2)*IF($M$2="Prices in $/MWh",1,1/1000)</f>
        <v>28.9</v>
      </c>
      <c r="N237" s="79">
        <f>(PA_prices!N225+$D$2)*IF($M$2="Prices in $/MWh",1,1/1000)</f>
        <v>28.96</v>
      </c>
      <c r="O237" s="61"/>
    </row>
    <row r="238" spans="2:15" x14ac:dyDescent="0.25">
      <c r="B238" s="99" t="s">
        <v>642</v>
      </c>
      <c r="C238" s="82" t="str">
        <f>PA_prices!C226</f>
        <v>April-2016</v>
      </c>
      <c r="D238" s="83" t="str">
        <f>PA_prices!D226</f>
        <v>PA</v>
      </c>
      <c r="E238" s="84" t="str">
        <f>PA_prices!E226</f>
        <v>Penelec</v>
      </c>
      <c r="F238" s="83" t="str">
        <f>PA_prices!F226</f>
        <v>GSCM</v>
      </c>
      <c r="G238" s="84" t="str">
        <f>PA_prices!G226</f>
        <v>General Service Medium</v>
      </c>
      <c r="H238" s="85" t="str">
        <f t="shared" ref="H238" si="221">IF($M$2="Prices in $/MWh","500-2500 MWh","500,000-2,500,000 kWh")</f>
        <v>500-2500 MWh</v>
      </c>
      <c r="I238" s="84">
        <f>(PA_prices!I226+$D$2)*IF($M$2="Prices in $/MWh",1,1/1000)</f>
        <v>68.31</v>
      </c>
      <c r="J238" s="83">
        <f>(PA_prices!J226+$D$2)*IF($M$2="Prices in $/MWh",1,1/1000)</f>
        <v>67.760000000000005</v>
      </c>
      <c r="K238" s="84">
        <f>(PA_prices!K226+$D$2)*IF($M$2="Prices in $/MWh",1,1/1000)</f>
        <v>67.81</v>
      </c>
      <c r="L238" s="83">
        <f>(PA_prices!L226+$D$2)*IF($M$2="Prices in $/MWh",1,1/1000)</f>
        <v>27.85</v>
      </c>
      <c r="M238" s="84">
        <f>(PA_prices!M226+$D$2)*IF($M$2="Prices in $/MWh",1,1/1000)</f>
        <v>27.85</v>
      </c>
      <c r="N238" s="83">
        <f>(PA_prices!N226+$D$2)*IF($M$2="Prices in $/MWh",1,1/1000)</f>
        <v>27.91</v>
      </c>
      <c r="O238" s="61"/>
    </row>
    <row r="239" spans="2:15" x14ac:dyDescent="0.25">
      <c r="B239" s="99" t="s">
        <v>642</v>
      </c>
      <c r="C239" s="74" t="str">
        <f>PA_prices!C227</f>
        <v>May-2016</v>
      </c>
      <c r="D239" s="75" t="str">
        <f>PA_prices!D227</f>
        <v>PA</v>
      </c>
      <c r="E239" s="76" t="str">
        <f>PA_prices!E227</f>
        <v>Penelec</v>
      </c>
      <c r="F239" s="75" t="str">
        <f>PA_prices!F227</f>
        <v>GSCM</v>
      </c>
      <c r="G239" s="76" t="str">
        <f>PA_prices!G227</f>
        <v>General Service Medium</v>
      </c>
      <c r="H239" s="77" t="str">
        <f t="shared" ref="H239" si="222">IF($M$2="Prices in $/MWh","0-100 MWh","0-100,000 kWh")</f>
        <v>0-100 MWh</v>
      </c>
      <c r="I239" s="76">
        <f>(PA_prices!I227+$D$2)*IF($M$2="Prices in $/MWh",1,1/1000)</f>
        <v>71.06</v>
      </c>
      <c r="J239" s="75">
        <f>(PA_prices!J227+$D$2)*IF($M$2="Prices in $/MWh",1,1/1000)</f>
        <v>70.23</v>
      </c>
      <c r="K239" s="76">
        <f>(PA_prices!K227+$D$2)*IF($M$2="Prices in $/MWh",1,1/1000)</f>
        <v>70.459999999999994</v>
      </c>
      <c r="L239" s="75">
        <f>(PA_prices!L227+$D$2)*IF($M$2="Prices in $/MWh",1,1/1000)</f>
        <v>30.52</v>
      </c>
      <c r="M239" s="76">
        <f>(PA_prices!M227+$D$2)*IF($M$2="Prices in $/MWh",1,1/1000)</f>
        <v>30.5</v>
      </c>
      <c r="N239" s="75">
        <f>(PA_prices!N227+$D$2)*IF($M$2="Prices in $/MWh",1,1/1000)</f>
        <v>30.57</v>
      </c>
      <c r="O239" s="61"/>
    </row>
    <row r="240" spans="2:15" x14ac:dyDescent="0.25">
      <c r="B240" s="99" t="s">
        <v>642</v>
      </c>
      <c r="C240" s="78" t="str">
        <f>PA_prices!C228</f>
        <v>May-2016</v>
      </c>
      <c r="D240" s="79" t="str">
        <f>PA_prices!D228</f>
        <v>PA</v>
      </c>
      <c r="E240" s="80" t="str">
        <f>PA_prices!E228</f>
        <v>Penelec</v>
      </c>
      <c r="F240" s="79" t="str">
        <f>PA_prices!F228</f>
        <v>GSCM</v>
      </c>
      <c r="G240" s="80" t="str">
        <f>PA_prices!G228</f>
        <v>General Service Medium</v>
      </c>
      <c r="H240" s="81" t="str">
        <f t="shared" ref="H240" si="223">IF($M$2="Prices in $/MWh","100-500 MWh","100,000-500,000 kWh")</f>
        <v>100-500 MWh</v>
      </c>
      <c r="I240" s="80">
        <f>(PA_prices!I228+$D$2)*IF($M$2="Prices in $/MWh",1,1/1000)</f>
        <v>69.459999999999994</v>
      </c>
      <c r="J240" s="79">
        <f>(PA_prices!J228+$D$2)*IF($M$2="Prices in $/MWh",1,1/1000)</f>
        <v>68.63</v>
      </c>
      <c r="K240" s="80">
        <f>(PA_prices!K228+$D$2)*IF($M$2="Prices in $/MWh",1,1/1000)</f>
        <v>68.86</v>
      </c>
      <c r="L240" s="79">
        <f>(PA_prices!L228+$D$2)*IF($M$2="Prices in $/MWh",1,1/1000)</f>
        <v>28.92</v>
      </c>
      <c r="M240" s="80">
        <f>(PA_prices!M228+$D$2)*IF($M$2="Prices in $/MWh",1,1/1000)</f>
        <v>28.9</v>
      </c>
      <c r="N240" s="79">
        <f>(PA_prices!N228+$D$2)*IF($M$2="Prices in $/MWh",1,1/1000)</f>
        <v>28.97</v>
      </c>
      <c r="O240" s="61"/>
    </row>
    <row r="241" spans="2:15" x14ac:dyDescent="0.25">
      <c r="B241" s="99" t="s">
        <v>642</v>
      </c>
      <c r="C241" s="82" t="str">
        <f>PA_prices!C229</f>
        <v>May-2016</v>
      </c>
      <c r="D241" s="83" t="str">
        <f>PA_prices!D229</f>
        <v>PA</v>
      </c>
      <c r="E241" s="84" t="str">
        <f>PA_prices!E229</f>
        <v>Penelec</v>
      </c>
      <c r="F241" s="83" t="str">
        <f>PA_prices!F229</f>
        <v>GSCM</v>
      </c>
      <c r="G241" s="84" t="str">
        <f>PA_prices!G229</f>
        <v>General Service Medium</v>
      </c>
      <c r="H241" s="85" t="str">
        <f t="shared" ref="H241" si="224">IF($M$2="Prices in $/MWh","500-2500 MWh","500,000-2,500,000 kWh")</f>
        <v>500-2500 MWh</v>
      </c>
      <c r="I241" s="84">
        <f>(PA_prices!I229+$D$2)*IF($M$2="Prices in $/MWh",1,1/1000)</f>
        <v>68.41</v>
      </c>
      <c r="J241" s="83">
        <f>(PA_prices!J229+$D$2)*IF($M$2="Prices in $/MWh",1,1/1000)</f>
        <v>67.58</v>
      </c>
      <c r="K241" s="84">
        <f>(PA_prices!K229+$D$2)*IF($M$2="Prices in $/MWh",1,1/1000)</f>
        <v>67.81</v>
      </c>
      <c r="L241" s="83">
        <f>(PA_prices!L229+$D$2)*IF($M$2="Prices in $/MWh",1,1/1000)</f>
        <v>27.87</v>
      </c>
      <c r="M241" s="84">
        <f>(PA_prices!M229+$D$2)*IF($M$2="Prices in $/MWh",1,1/1000)</f>
        <v>27.85</v>
      </c>
      <c r="N241" s="83">
        <f>(PA_prices!N229+$D$2)*IF($M$2="Prices in $/MWh",1,1/1000)</f>
        <v>27.92</v>
      </c>
      <c r="O241" s="61"/>
    </row>
    <row r="242" spans="2:15" x14ac:dyDescent="0.25">
      <c r="B242" s="99" t="s">
        <v>642</v>
      </c>
      <c r="C242" s="74" t="str">
        <f>PA_prices!C230</f>
        <v>June-2016</v>
      </c>
      <c r="D242" s="75" t="str">
        <f>PA_prices!D230</f>
        <v>PA</v>
      </c>
      <c r="E242" s="76" t="str">
        <f>PA_prices!E230</f>
        <v>Penelec</v>
      </c>
      <c r="F242" s="75" t="str">
        <f>PA_prices!F230</f>
        <v>GSCM</v>
      </c>
      <c r="G242" s="76" t="str">
        <f>PA_prices!G230</f>
        <v>General Service Medium</v>
      </c>
      <c r="H242" s="77" t="str">
        <f t="shared" ref="H242" si="225">IF($M$2="Prices in $/MWh","0-100 MWh","0-100,000 kWh")</f>
        <v>0-100 MWh</v>
      </c>
      <c r="I242" s="76">
        <f>(PA_prices!I230+$D$2)*IF($M$2="Prices in $/MWh",1,1/1000)</f>
        <v>71.06</v>
      </c>
      <c r="J242" s="75">
        <f>(PA_prices!J230+$D$2)*IF($M$2="Prices in $/MWh",1,1/1000)</f>
        <v>69.930000000000007</v>
      </c>
      <c r="K242" s="76">
        <f>(PA_prices!K230+$D$2)*IF($M$2="Prices in $/MWh",1,1/1000)</f>
        <v>70.45</v>
      </c>
      <c r="L242" s="75">
        <f>(PA_prices!L230+$D$2)*IF($M$2="Prices in $/MWh",1,1/1000)</f>
        <v>30.5</v>
      </c>
      <c r="M242" s="76">
        <f>(PA_prices!M230+$D$2)*IF($M$2="Prices in $/MWh",1,1/1000)</f>
        <v>30.37</v>
      </c>
      <c r="N242" s="75">
        <f>(PA_prices!N230+$D$2)*IF($M$2="Prices in $/MWh",1,1/1000)</f>
        <v>30.56</v>
      </c>
      <c r="O242" s="61"/>
    </row>
    <row r="243" spans="2:15" x14ac:dyDescent="0.25">
      <c r="B243" s="99" t="s">
        <v>642</v>
      </c>
      <c r="C243" s="78" t="str">
        <f>PA_prices!C231</f>
        <v>June-2016</v>
      </c>
      <c r="D243" s="79" t="str">
        <f>PA_prices!D231</f>
        <v>PA</v>
      </c>
      <c r="E243" s="80" t="str">
        <f>PA_prices!E231</f>
        <v>Penelec</v>
      </c>
      <c r="F243" s="79" t="str">
        <f>PA_prices!F231</f>
        <v>GSCM</v>
      </c>
      <c r="G243" s="80" t="str">
        <f>PA_prices!G231</f>
        <v>General Service Medium</v>
      </c>
      <c r="H243" s="81" t="str">
        <f t="shared" ref="H243" si="226">IF($M$2="Prices in $/MWh","100-500 MWh","100,000-500,000 kWh")</f>
        <v>100-500 MWh</v>
      </c>
      <c r="I243" s="80">
        <f>(PA_prices!I231+$D$2)*IF($M$2="Prices in $/MWh",1,1/1000)</f>
        <v>69.459999999999994</v>
      </c>
      <c r="J243" s="79">
        <f>(PA_prices!J231+$D$2)*IF($M$2="Prices in $/MWh",1,1/1000)</f>
        <v>68.33</v>
      </c>
      <c r="K243" s="80">
        <f>(PA_prices!K231+$D$2)*IF($M$2="Prices in $/MWh",1,1/1000)</f>
        <v>68.849999999999994</v>
      </c>
      <c r="L243" s="79">
        <f>(PA_prices!L231+$D$2)*IF($M$2="Prices in $/MWh",1,1/1000)</f>
        <v>28.9</v>
      </c>
      <c r="M243" s="80">
        <f>(PA_prices!M231+$D$2)*IF($M$2="Prices in $/MWh",1,1/1000)</f>
        <v>28.77</v>
      </c>
      <c r="N243" s="79">
        <f>(PA_prices!N231+$D$2)*IF($M$2="Prices in $/MWh",1,1/1000)</f>
        <v>28.96</v>
      </c>
      <c r="O243" s="61"/>
    </row>
    <row r="244" spans="2:15" x14ac:dyDescent="0.25">
      <c r="B244" s="99" t="s">
        <v>642</v>
      </c>
      <c r="C244" s="82" t="str">
        <f>PA_prices!C232</f>
        <v>June-2016</v>
      </c>
      <c r="D244" s="83" t="str">
        <f>PA_prices!D232</f>
        <v>PA</v>
      </c>
      <c r="E244" s="84" t="str">
        <f>PA_prices!E232</f>
        <v>Penelec</v>
      </c>
      <c r="F244" s="83" t="str">
        <f>PA_prices!F232</f>
        <v>GSCM</v>
      </c>
      <c r="G244" s="84" t="str">
        <f>PA_prices!G232</f>
        <v>General Service Medium</v>
      </c>
      <c r="H244" s="85" t="str">
        <f t="shared" ref="H244" si="227">IF($M$2="Prices in $/MWh","500-2500 MWh","500,000-2,500,000 kWh")</f>
        <v>500-2500 MWh</v>
      </c>
      <c r="I244" s="84">
        <f>(PA_prices!I232+$D$2)*IF($M$2="Prices in $/MWh",1,1/1000)</f>
        <v>68.41</v>
      </c>
      <c r="J244" s="83">
        <f>(PA_prices!J232+$D$2)*IF($M$2="Prices in $/MWh",1,1/1000)</f>
        <v>67.28</v>
      </c>
      <c r="K244" s="84">
        <f>(PA_prices!K232+$D$2)*IF($M$2="Prices in $/MWh",1,1/1000)</f>
        <v>67.8</v>
      </c>
      <c r="L244" s="83">
        <f>(PA_prices!L232+$D$2)*IF($M$2="Prices in $/MWh",1,1/1000)</f>
        <v>27.85</v>
      </c>
      <c r="M244" s="84">
        <f>(PA_prices!M232+$D$2)*IF($M$2="Prices in $/MWh",1,1/1000)</f>
        <v>27.72</v>
      </c>
      <c r="N244" s="83">
        <f>(PA_prices!N232+$D$2)*IF($M$2="Prices in $/MWh",1,1/1000)</f>
        <v>27.91</v>
      </c>
      <c r="O244" s="61"/>
    </row>
    <row r="245" spans="2:15" x14ac:dyDescent="0.25">
      <c r="B245" s="99" t="s">
        <v>642</v>
      </c>
      <c r="C245" s="74" t="str">
        <f>PA_prices!C233</f>
        <v>July-2016</v>
      </c>
      <c r="D245" s="75" t="str">
        <f>PA_prices!D233</f>
        <v>PA</v>
      </c>
      <c r="E245" s="76" t="str">
        <f>PA_prices!E233</f>
        <v>Penelec</v>
      </c>
      <c r="F245" s="75" t="str">
        <f>PA_prices!F233</f>
        <v>GSCM</v>
      </c>
      <c r="G245" s="76" t="str">
        <f>PA_prices!G233</f>
        <v>General Service Medium</v>
      </c>
      <c r="H245" s="77" t="str">
        <f t="shared" ref="H245" si="228">IF($M$2="Prices in $/MWh","0-100 MWh","0-100,000 kWh")</f>
        <v>0-100 MWh</v>
      </c>
      <c r="I245" s="76">
        <f>(PA_prices!I233+$D$2)*IF($M$2="Prices in $/MWh",1,1/1000)</f>
        <v>71.040000000000006</v>
      </c>
      <c r="J245" s="75">
        <f>(PA_prices!J233+$D$2)*IF($M$2="Prices in $/MWh",1,1/1000)</f>
        <v>69.81</v>
      </c>
      <c r="K245" s="76">
        <f>(PA_prices!K233+$D$2)*IF($M$2="Prices in $/MWh",1,1/1000)</f>
        <v>70.459999999999994</v>
      </c>
      <c r="L245" s="75">
        <f>(PA_prices!L233+$D$2)*IF($M$2="Prices in $/MWh",1,1/1000)</f>
        <v>30.52</v>
      </c>
      <c r="M245" s="76">
        <f>(PA_prices!M233+$D$2)*IF($M$2="Prices in $/MWh",1,1/1000)</f>
        <v>30.41</v>
      </c>
      <c r="N245" s="75">
        <f>(PA_prices!N233+$D$2)*IF($M$2="Prices in $/MWh",1,1/1000)</f>
        <v>30.65</v>
      </c>
      <c r="O245" s="61"/>
    </row>
    <row r="246" spans="2:15" x14ac:dyDescent="0.25">
      <c r="B246" s="99" t="s">
        <v>642</v>
      </c>
      <c r="C246" s="78" t="str">
        <f>PA_prices!C234</f>
        <v>July-2016</v>
      </c>
      <c r="D246" s="79" t="str">
        <f>PA_prices!D234</f>
        <v>PA</v>
      </c>
      <c r="E246" s="80" t="str">
        <f>PA_prices!E234</f>
        <v>Penelec</v>
      </c>
      <c r="F246" s="79" t="str">
        <f>PA_prices!F234</f>
        <v>GSCM</v>
      </c>
      <c r="G246" s="80" t="str">
        <f>PA_prices!G234</f>
        <v>General Service Medium</v>
      </c>
      <c r="H246" s="81" t="str">
        <f t="shared" ref="H246" si="229">IF($M$2="Prices in $/MWh","100-500 MWh","100,000-500,000 kWh")</f>
        <v>100-500 MWh</v>
      </c>
      <c r="I246" s="80">
        <f>(PA_prices!I234+$D$2)*IF($M$2="Prices in $/MWh",1,1/1000)</f>
        <v>69.44</v>
      </c>
      <c r="J246" s="79">
        <f>(PA_prices!J234+$D$2)*IF($M$2="Prices in $/MWh",1,1/1000)</f>
        <v>68.209999999999994</v>
      </c>
      <c r="K246" s="80">
        <f>(PA_prices!K234+$D$2)*IF($M$2="Prices in $/MWh",1,1/1000)</f>
        <v>68.86</v>
      </c>
      <c r="L246" s="79">
        <f>(PA_prices!L234+$D$2)*IF($M$2="Prices in $/MWh",1,1/1000)</f>
        <v>28.92</v>
      </c>
      <c r="M246" s="80">
        <f>(PA_prices!M234+$D$2)*IF($M$2="Prices in $/MWh",1,1/1000)</f>
        <v>28.81</v>
      </c>
      <c r="N246" s="79">
        <f>(PA_prices!N234+$D$2)*IF($M$2="Prices in $/MWh",1,1/1000)</f>
        <v>29.05</v>
      </c>
      <c r="O246" s="61"/>
    </row>
    <row r="247" spans="2:15" x14ac:dyDescent="0.25">
      <c r="B247" s="99" t="s">
        <v>642</v>
      </c>
      <c r="C247" s="82" t="str">
        <f>PA_prices!C235</f>
        <v>July-2016</v>
      </c>
      <c r="D247" s="83" t="str">
        <f>PA_prices!D235</f>
        <v>PA</v>
      </c>
      <c r="E247" s="84" t="str">
        <f>PA_prices!E235</f>
        <v>Penelec</v>
      </c>
      <c r="F247" s="83" t="str">
        <f>PA_prices!F235</f>
        <v>GSCM</v>
      </c>
      <c r="G247" s="84" t="str">
        <f>PA_prices!G235</f>
        <v>General Service Medium</v>
      </c>
      <c r="H247" s="85" t="str">
        <f t="shared" ref="H247" si="230">IF($M$2="Prices in $/MWh","500-2500 MWh","500,000-2,500,000 kWh")</f>
        <v>500-2500 MWh</v>
      </c>
      <c r="I247" s="84">
        <f>(PA_prices!I235+$D$2)*IF($M$2="Prices in $/MWh",1,1/1000)</f>
        <v>68.39</v>
      </c>
      <c r="J247" s="83">
        <f>(PA_prices!J235+$D$2)*IF($M$2="Prices in $/MWh",1,1/1000)</f>
        <v>67.16</v>
      </c>
      <c r="K247" s="84">
        <f>(PA_prices!K235+$D$2)*IF($M$2="Prices in $/MWh",1,1/1000)</f>
        <v>67.81</v>
      </c>
      <c r="L247" s="83">
        <f>(PA_prices!L235+$D$2)*IF($M$2="Prices in $/MWh",1,1/1000)</f>
        <v>27.87</v>
      </c>
      <c r="M247" s="84">
        <f>(PA_prices!M235+$D$2)*IF($M$2="Prices in $/MWh",1,1/1000)</f>
        <v>27.76</v>
      </c>
      <c r="N247" s="83">
        <f>(PA_prices!N235+$D$2)*IF($M$2="Prices in $/MWh",1,1/1000)</f>
        <v>28</v>
      </c>
      <c r="O247" s="61"/>
    </row>
    <row r="248" spans="2:15" x14ac:dyDescent="0.25">
      <c r="B248" s="99" t="s">
        <v>642</v>
      </c>
      <c r="C248" s="74" t="str">
        <f>PA_prices!C236</f>
        <v>August-2016</v>
      </c>
      <c r="D248" s="75" t="str">
        <f>PA_prices!D236</f>
        <v>PA</v>
      </c>
      <c r="E248" s="76" t="str">
        <f>PA_prices!E236</f>
        <v>Penelec</v>
      </c>
      <c r="F248" s="75" t="str">
        <f>PA_prices!F236</f>
        <v>GSCM</v>
      </c>
      <c r="G248" s="76" t="str">
        <f>PA_prices!G236</f>
        <v>General Service Medium</v>
      </c>
      <c r="H248" s="77" t="str">
        <f t="shared" ref="H248" si="231">IF($M$2="Prices in $/MWh","0-100 MWh","0-100,000 kWh")</f>
        <v>0-100 MWh</v>
      </c>
      <c r="I248" s="76">
        <f>(PA_prices!I236+$D$2)*IF($M$2="Prices in $/MWh",1,1/1000)</f>
        <v>70.959999999999994</v>
      </c>
      <c r="J248" s="75">
        <f>(PA_prices!J236+$D$2)*IF($M$2="Prices in $/MWh",1,1/1000)</f>
        <v>70.12</v>
      </c>
      <c r="K248" s="76">
        <f>(PA_prices!K236+$D$2)*IF($M$2="Prices in $/MWh",1,1/1000)</f>
        <v>70.52</v>
      </c>
      <c r="L248" s="75">
        <f>(PA_prices!L236+$D$2)*IF($M$2="Prices in $/MWh",1,1/1000)</f>
        <v>30.56</v>
      </c>
      <c r="M248" s="76">
        <f>(PA_prices!M236+$D$2)*IF($M$2="Prices in $/MWh",1,1/1000)</f>
        <v>30.49</v>
      </c>
      <c r="N248" s="75">
        <f>(PA_prices!N236+$D$2)*IF($M$2="Prices in $/MWh",1,1/1000)</f>
        <v>30.75</v>
      </c>
      <c r="O248" s="61"/>
    </row>
    <row r="249" spans="2:15" x14ac:dyDescent="0.25">
      <c r="B249" s="99" t="s">
        <v>642</v>
      </c>
      <c r="C249" s="78" t="str">
        <f>PA_prices!C237</f>
        <v>August-2016</v>
      </c>
      <c r="D249" s="79" t="str">
        <f>PA_prices!D237</f>
        <v>PA</v>
      </c>
      <c r="E249" s="80" t="str">
        <f>PA_prices!E237</f>
        <v>Penelec</v>
      </c>
      <c r="F249" s="79" t="str">
        <f>PA_prices!F237</f>
        <v>GSCM</v>
      </c>
      <c r="G249" s="80" t="str">
        <f>PA_prices!G237</f>
        <v>General Service Medium</v>
      </c>
      <c r="H249" s="81" t="str">
        <f t="shared" ref="H249" si="232">IF($M$2="Prices in $/MWh","100-500 MWh","100,000-500,000 kWh")</f>
        <v>100-500 MWh</v>
      </c>
      <c r="I249" s="80">
        <f>(PA_prices!I237+$D$2)*IF($M$2="Prices in $/MWh",1,1/1000)</f>
        <v>69.36</v>
      </c>
      <c r="J249" s="79">
        <f>(PA_prices!J237+$D$2)*IF($M$2="Prices in $/MWh",1,1/1000)</f>
        <v>68.52</v>
      </c>
      <c r="K249" s="80">
        <f>(PA_prices!K237+$D$2)*IF($M$2="Prices in $/MWh",1,1/1000)</f>
        <v>68.92</v>
      </c>
      <c r="L249" s="79">
        <f>(PA_prices!L237+$D$2)*IF($M$2="Prices in $/MWh",1,1/1000)</f>
        <v>28.96</v>
      </c>
      <c r="M249" s="80">
        <f>(PA_prices!M237+$D$2)*IF($M$2="Prices in $/MWh",1,1/1000)</f>
        <v>28.89</v>
      </c>
      <c r="N249" s="79">
        <f>(PA_prices!N237+$D$2)*IF($M$2="Prices in $/MWh",1,1/1000)</f>
        <v>29.15</v>
      </c>
      <c r="O249" s="61"/>
    </row>
    <row r="250" spans="2:15" x14ac:dyDescent="0.25">
      <c r="B250" s="99" t="s">
        <v>642</v>
      </c>
      <c r="C250" s="82" t="str">
        <f>PA_prices!C238</f>
        <v>August-2016</v>
      </c>
      <c r="D250" s="83" t="str">
        <f>PA_prices!D238</f>
        <v>PA</v>
      </c>
      <c r="E250" s="84" t="str">
        <f>PA_prices!E238</f>
        <v>Penelec</v>
      </c>
      <c r="F250" s="83" t="str">
        <f>PA_prices!F238</f>
        <v>GSCM</v>
      </c>
      <c r="G250" s="84" t="str">
        <f>PA_prices!G238</f>
        <v>General Service Medium</v>
      </c>
      <c r="H250" s="85" t="str">
        <f t="shared" ref="H250" si="233">IF($M$2="Prices in $/MWh","500-2500 MWh","500,000-2,500,000 kWh")</f>
        <v>500-2500 MWh</v>
      </c>
      <c r="I250" s="84">
        <f>(PA_prices!I238+$D$2)*IF($M$2="Prices in $/MWh",1,1/1000)</f>
        <v>68.31</v>
      </c>
      <c r="J250" s="83">
        <f>(PA_prices!J238+$D$2)*IF($M$2="Prices in $/MWh",1,1/1000)</f>
        <v>67.47</v>
      </c>
      <c r="K250" s="84">
        <f>(PA_prices!K238+$D$2)*IF($M$2="Prices in $/MWh",1,1/1000)</f>
        <v>67.87</v>
      </c>
      <c r="L250" s="83">
        <f>(PA_prices!L238+$D$2)*IF($M$2="Prices in $/MWh",1,1/1000)</f>
        <v>27.91</v>
      </c>
      <c r="M250" s="84">
        <f>(PA_prices!M238+$D$2)*IF($M$2="Prices in $/MWh",1,1/1000)</f>
        <v>27.84</v>
      </c>
      <c r="N250" s="83">
        <f>(PA_prices!N238+$D$2)*IF($M$2="Prices in $/MWh",1,1/1000)</f>
        <v>28.1</v>
      </c>
      <c r="O250" s="61"/>
    </row>
    <row r="251" spans="2:15" x14ac:dyDescent="0.25">
      <c r="B251" s="99" t="s">
        <v>642</v>
      </c>
      <c r="C251" s="74" t="str">
        <f>PA_prices!C239</f>
        <v>September-2016</v>
      </c>
      <c r="D251" s="75" t="str">
        <f>PA_prices!D239</f>
        <v>PA</v>
      </c>
      <c r="E251" s="76" t="str">
        <f>PA_prices!E239</f>
        <v>Penelec</v>
      </c>
      <c r="F251" s="75" t="str">
        <f>PA_prices!F239</f>
        <v>GSCM</v>
      </c>
      <c r="G251" s="76" t="str">
        <f>PA_prices!G239</f>
        <v>General Service Medium</v>
      </c>
      <c r="H251" s="77" t="str">
        <f t="shared" ref="H251" si="234">IF($M$2="Prices in $/MWh","0-100 MWh","0-100,000 kWh")</f>
        <v>0-100 MWh</v>
      </c>
      <c r="I251" s="76">
        <f>(PA_prices!I239+$D$2)*IF($M$2="Prices in $/MWh",1,1/1000)</f>
        <v>70.819999999999993</v>
      </c>
      <c r="J251" s="75">
        <f>(PA_prices!J239+$D$2)*IF($M$2="Prices in $/MWh",1,1/1000)</f>
        <v>70.41</v>
      </c>
      <c r="K251" s="76">
        <f>(PA_prices!K239+$D$2)*IF($M$2="Prices in $/MWh",1,1/1000)</f>
        <v>70.510000000000005</v>
      </c>
      <c r="L251" s="75">
        <f>(PA_prices!L239+$D$2)*IF($M$2="Prices in $/MWh",1,1/1000)</f>
        <v>30.57</v>
      </c>
      <c r="M251" s="76">
        <f>(PA_prices!M239+$D$2)*IF($M$2="Prices in $/MWh",1,1/1000)</f>
        <v>30.59</v>
      </c>
      <c r="N251" s="75">
        <f>(PA_prices!N239+$D$2)*IF($M$2="Prices in $/MWh",1,1/1000)</f>
        <v>30.84</v>
      </c>
      <c r="O251" s="61"/>
    </row>
    <row r="252" spans="2:15" x14ac:dyDescent="0.25">
      <c r="B252" s="99" t="s">
        <v>642</v>
      </c>
      <c r="C252" s="78" t="str">
        <f>PA_prices!C240</f>
        <v>September-2016</v>
      </c>
      <c r="D252" s="79" t="str">
        <f>PA_prices!D240</f>
        <v>PA</v>
      </c>
      <c r="E252" s="80" t="str">
        <f>PA_prices!E240</f>
        <v>Penelec</v>
      </c>
      <c r="F252" s="79" t="str">
        <f>PA_prices!F240</f>
        <v>GSCM</v>
      </c>
      <c r="G252" s="80" t="str">
        <f>PA_prices!G240</f>
        <v>General Service Medium</v>
      </c>
      <c r="H252" s="81" t="str">
        <f t="shared" ref="H252" si="235">IF($M$2="Prices in $/MWh","100-500 MWh","100,000-500,000 kWh")</f>
        <v>100-500 MWh</v>
      </c>
      <c r="I252" s="80">
        <f>(PA_prices!I240+$D$2)*IF($M$2="Prices in $/MWh",1,1/1000)</f>
        <v>69.22</v>
      </c>
      <c r="J252" s="79">
        <f>(PA_prices!J240+$D$2)*IF($M$2="Prices in $/MWh",1,1/1000)</f>
        <v>68.81</v>
      </c>
      <c r="K252" s="80">
        <f>(PA_prices!K240+$D$2)*IF($M$2="Prices in $/MWh",1,1/1000)</f>
        <v>68.91</v>
      </c>
      <c r="L252" s="79">
        <f>(PA_prices!L240+$D$2)*IF($M$2="Prices in $/MWh",1,1/1000)</f>
        <v>28.97</v>
      </c>
      <c r="M252" s="80">
        <f>(PA_prices!M240+$D$2)*IF($M$2="Prices in $/MWh",1,1/1000)</f>
        <v>28.99</v>
      </c>
      <c r="N252" s="79">
        <f>(PA_prices!N240+$D$2)*IF($M$2="Prices in $/MWh",1,1/1000)</f>
        <v>29.24</v>
      </c>
      <c r="O252" s="61"/>
    </row>
    <row r="253" spans="2:15" x14ac:dyDescent="0.25">
      <c r="B253" s="99" t="s">
        <v>642</v>
      </c>
      <c r="C253" s="82" t="str">
        <f>PA_prices!C241</f>
        <v>September-2016</v>
      </c>
      <c r="D253" s="83" t="str">
        <f>PA_prices!D241</f>
        <v>PA</v>
      </c>
      <c r="E253" s="84" t="str">
        <f>PA_prices!E241</f>
        <v>Penelec</v>
      </c>
      <c r="F253" s="83" t="str">
        <f>PA_prices!F241</f>
        <v>GSCM</v>
      </c>
      <c r="G253" s="84" t="str">
        <f>PA_prices!G241</f>
        <v>General Service Medium</v>
      </c>
      <c r="H253" s="85" t="str">
        <f t="shared" ref="H253" si="236">IF($M$2="Prices in $/MWh","500-2500 MWh","500,000-2,500,000 kWh")</f>
        <v>500-2500 MWh</v>
      </c>
      <c r="I253" s="84">
        <f>(PA_prices!I241+$D$2)*IF($M$2="Prices in $/MWh",1,1/1000)</f>
        <v>68.17</v>
      </c>
      <c r="J253" s="83">
        <f>(PA_prices!J241+$D$2)*IF($M$2="Prices in $/MWh",1,1/1000)</f>
        <v>67.760000000000005</v>
      </c>
      <c r="K253" s="84">
        <f>(PA_prices!K241+$D$2)*IF($M$2="Prices in $/MWh",1,1/1000)</f>
        <v>67.86</v>
      </c>
      <c r="L253" s="83">
        <f>(PA_prices!L241+$D$2)*IF($M$2="Prices in $/MWh",1,1/1000)</f>
        <v>27.92</v>
      </c>
      <c r="M253" s="84">
        <f>(PA_prices!M241+$D$2)*IF($M$2="Prices in $/MWh",1,1/1000)</f>
        <v>27.94</v>
      </c>
      <c r="N253" s="83">
        <f>(PA_prices!N241+$D$2)*IF($M$2="Prices in $/MWh",1,1/1000)</f>
        <v>28.19</v>
      </c>
      <c r="O253" s="61"/>
    </row>
    <row r="254" spans="2:15" x14ac:dyDescent="0.25">
      <c r="B254" s="99" t="s">
        <v>642</v>
      </c>
      <c r="C254" s="74" t="str">
        <f>PA_prices!C242</f>
        <v>October-2016</v>
      </c>
      <c r="D254" s="75" t="str">
        <f>PA_prices!D242</f>
        <v>PA</v>
      </c>
      <c r="E254" s="76" t="str">
        <f>PA_prices!E242</f>
        <v>Penelec</v>
      </c>
      <c r="F254" s="75" t="str">
        <f>PA_prices!F242</f>
        <v>GSCM</v>
      </c>
      <c r="G254" s="76" t="str">
        <f>PA_prices!G242</f>
        <v>General Service Medium</v>
      </c>
      <c r="H254" s="77" t="str">
        <f t="shared" ref="H254" si="237">IF($M$2="Prices in $/MWh","0-100 MWh","0-100,000 kWh")</f>
        <v>0-100 MWh</v>
      </c>
      <c r="I254" s="76">
        <f>(PA_prices!I242+$D$2)*IF($M$2="Prices in $/MWh",1,1/1000)</f>
        <v>70.75</v>
      </c>
      <c r="J254" s="75">
        <f>(PA_prices!J242+$D$2)*IF($M$2="Prices in $/MWh",1,1/1000)</f>
        <v>70.7</v>
      </c>
      <c r="K254" s="76">
        <f>(PA_prices!K242+$D$2)*IF($M$2="Prices in $/MWh",1,1/1000)</f>
        <v>70.5</v>
      </c>
      <c r="L254" s="75">
        <f>(PA_prices!L242+$D$2)*IF($M$2="Prices in $/MWh",1,1/1000)</f>
        <v>30.59</v>
      </c>
      <c r="M254" s="76">
        <f>(PA_prices!M242+$D$2)*IF($M$2="Prices in $/MWh",1,1/1000)</f>
        <v>30.64</v>
      </c>
      <c r="N254" s="75">
        <f>(PA_prices!N242+$D$2)*IF($M$2="Prices in $/MWh",1,1/1000)</f>
        <v>30.94</v>
      </c>
      <c r="O254" s="61"/>
    </row>
    <row r="255" spans="2:15" x14ac:dyDescent="0.25">
      <c r="B255" s="99" t="s">
        <v>642</v>
      </c>
      <c r="C255" s="78" t="str">
        <f>PA_prices!C243</f>
        <v>October-2016</v>
      </c>
      <c r="D255" s="79" t="str">
        <f>PA_prices!D243</f>
        <v>PA</v>
      </c>
      <c r="E255" s="80" t="str">
        <f>PA_prices!E243</f>
        <v>Penelec</v>
      </c>
      <c r="F255" s="79" t="str">
        <f>PA_prices!F243</f>
        <v>GSCM</v>
      </c>
      <c r="G255" s="80" t="str">
        <f>PA_prices!G243</f>
        <v>General Service Medium</v>
      </c>
      <c r="H255" s="81" t="str">
        <f t="shared" ref="H255" si="238">IF($M$2="Prices in $/MWh","100-500 MWh","100,000-500,000 kWh")</f>
        <v>100-500 MWh</v>
      </c>
      <c r="I255" s="80">
        <f>(PA_prices!I243+$D$2)*IF($M$2="Prices in $/MWh",1,1/1000)</f>
        <v>69.150000000000006</v>
      </c>
      <c r="J255" s="79">
        <f>(PA_prices!J243+$D$2)*IF($M$2="Prices in $/MWh",1,1/1000)</f>
        <v>69.099999999999994</v>
      </c>
      <c r="K255" s="80">
        <f>(PA_prices!K243+$D$2)*IF($M$2="Prices in $/MWh",1,1/1000)</f>
        <v>68.900000000000006</v>
      </c>
      <c r="L255" s="79">
        <f>(PA_prices!L243+$D$2)*IF($M$2="Prices in $/MWh",1,1/1000)</f>
        <v>28.99</v>
      </c>
      <c r="M255" s="80">
        <f>(PA_prices!M243+$D$2)*IF($M$2="Prices in $/MWh",1,1/1000)</f>
        <v>29.04</v>
      </c>
      <c r="N255" s="79">
        <f>(PA_prices!N243+$D$2)*IF($M$2="Prices in $/MWh",1,1/1000)</f>
        <v>29.34</v>
      </c>
      <c r="O255" s="61"/>
    </row>
    <row r="256" spans="2:15" x14ac:dyDescent="0.25">
      <c r="B256" s="99" t="s">
        <v>642</v>
      </c>
      <c r="C256" s="82" t="str">
        <f>PA_prices!C244</f>
        <v>October-2016</v>
      </c>
      <c r="D256" s="83" t="str">
        <f>PA_prices!D244</f>
        <v>PA</v>
      </c>
      <c r="E256" s="84" t="str">
        <f>PA_prices!E244</f>
        <v>Penelec</v>
      </c>
      <c r="F256" s="83" t="str">
        <f>PA_prices!F244</f>
        <v>GSCM</v>
      </c>
      <c r="G256" s="84" t="str">
        <f>PA_prices!G244</f>
        <v>General Service Medium</v>
      </c>
      <c r="H256" s="85" t="str">
        <f t="shared" ref="H256" si="239">IF($M$2="Prices in $/MWh","500-2500 MWh","500,000-2,500,000 kWh")</f>
        <v>500-2500 MWh</v>
      </c>
      <c r="I256" s="84">
        <f>(PA_prices!I244+$D$2)*IF($M$2="Prices in $/MWh",1,1/1000)</f>
        <v>68.099999999999994</v>
      </c>
      <c r="J256" s="83">
        <f>(PA_prices!J244+$D$2)*IF($M$2="Prices in $/MWh",1,1/1000)</f>
        <v>68.05</v>
      </c>
      <c r="K256" s="84">
        <f>(PA_prices!K244+$D$2)*IF($M$2="Prices in $/MWh",1,1/1000)</f>
        <v>67.849999999999994</v>
      </c>
      <c r="L256" s="83">
        <f>(PA_prices!L244+$D$2)*IF($M$2="Prices in $/MWh",1,1/1000)</f>
        <v>27.94</v>
      </c>
      <c r="M256" s="84">
        <f>(PA_prices!M244+$D$2)*IF($M$2="Prices in $/MWh",1,1/1000)</f>
        <v>27.99</v>
      </c>
      <c r="N256" s="83">
        <f>(PA_prices!N244+$D$2)*IF($M$2="Prices in $/MWh",1,1/1000)</f>
        <v>28.29</v>
      </c>
      <c r="O256" s="61"/>
    </row>
    <row r="257" spans="2:15" x14ac:dyDescent="0.25">
      <c r="B257" s="99" t="s">
        <v>642</v>
      </c>
      <c r="C257" s="74" t="str">
        <f>PA_prices!C245</f>
        <v>November-2016</v>
      </c>
      <c r="D257" s="75" t="str">
        <f>PA_prices!D245</f>
        <v>PA</v>
      </c>
      <c r="E257" s="76" t="str">
        <f>PA_prices!E245</f>
        <v>Penelec</v>
      </c>
      <c r="F257" s="75" t="str">
        <f>PA_prices!F245</f>
        <v>GSCM</v>
      </c>
      <c r="G257" s="76" t="str">
        <f>PA_prices!G245</f>
        <v>General Service Medium</v>
      </c>
      <c r="H257" s="77" t="str">
        <f t="shared" ref="H257" si="240">IF($M$2="Prices in $/MWh","0-100 MWh","0-100,000 kWh")</f>
        <v>0-100 MWh</v>
      </c>
      <c r="I257" s="76">
        <f>(PA_prices!I245+$D$2)*IF($M$2="Prices in $/MWh",1,1/1000)</f>
        <v>70.63</v>
      </c>
      <c r="J257" s="75">
        <f>(PA_prices!J245+$D$2)*IF($M$2="Prices in $/MWh",1,1/1000)</f>
        <v>70.8</v>
      </c>
      <c r="K257" s="76">
        <f>(PA_prices!K245+$D$2)*IF($M$2="Prices in $/MWh",1,1/1000)</f>
        <v>70.48</v>
      </c>
      <c r="L257" s="75">
        <f>(PA_prices!L245+$D$2)*IF($M$2="Prices in $/MWh",1,1/1000)</f>
        <v>30.59</v>
      </c>
      <c r="M257" s="76">
        <f>(PA_prices!M245+$D$2)*IF($M$2="Prices in $/MWh",1,1/1000)</f>
        <v>30.65</v>
      </c>
      <c r="N257" s="75">
        <f>(PA_prices!N245+$D$2)*IF($M$2="Prices in $/MWh",1,1/1000)</f>
        <v>31</v>
      </c>
      <c r="O257" s="61"/>
    </row>
    <row r="258" spans="2:15" x14ac:dyDescent="0.25">
      <c r="B258" s="99" t="s">
        <v>642</v>
      </c>
      <c r="C258" s="78" t="str">
        <f>PA_prices!C246</f>
        <v>November-2016</v>
      </c>
      <c r="D258" s="79" t="str">
        <f>PA_prices!D246</f>
        <v>PA</v>
      </c>
      <c r="E258" s="80" t="str">
        <f>PA_prices!E246</f>
        <v>Penelec</v>
      </c>
      <c r="F258" s="79" t="str">
        <f>PA_prices!F246</f>
        <v>GSCM</v>
      </c>
      <c r="G258" s="80" t="str">
        <f>PA_prices!G246</f>
        <v>General Service Medium</v>
      </c>
      <c r="H258" s="81" t="str">
        <f t="shared" ref="H258" si="241">IF($M$2="Prices in $/MWh","100-500 MWh","100,000-500,000 kWh")</f>
        <v>100-500 MWh</v>
      </c>
      <c r="I258" s="80">
        <f>(PA_prices!I246+$D$2)*IF($M$2="Prices in $/MWh",1,1/1000)</f>
        <v>69.03</v>
      </c>
      <c r="J258" s="79">
        <f>(PA_prices!J246+$D$2)*IF($M$2="Prices in $/MWh",1,1/1000)</f>
        <v>69.2</v>
      </c>
      <c r="K258" s="80">
        <f>(PA_prices!K246+$D$2)*IF($M$2="Prices in $/MWh",1,1/1000)</f>
        <v>68.88</v>
      </c>
      <c r="L258" s="79">
        <f>(PA_prices!L246+$D$2)*IF($M$2="Prices in $/MWh",1,1/1000)</f>
        <v>28.99</v>
      </c>
      <c r="M258" s="80">
        <f>(PA_prices!M246+$D$2)*IF($M$2="Prices in $/MWh",1,1/1000)</f>
        <v>29.05</v>
      </c>
      <c r="N258" s="79">
        <f>(PA_prices!N246+$D$2)*IF($M$2="Prices in $/MWh",1,1/1000)</f>
        <v>29.4</v>
      </c>
      <c r="O258" s="61"/>
    </row>
    <row r="259" spans="2:15" x14ac:dyDescent="0.25">
      <c r="B259" s="99" t="s">
        <v>642</v>
      </c>
      <c r="C259" s="82" t="str">
        <f>PA_prices!C247</f>
        <v>November-2016</v>
      </c>
      <c r="D259" s="83" t="str">
        <f>PA_prices!D247</f>
        <v>PA</v>
      </c>
      <c r="E259" s="84" t="str">
        <f>PA_prices!E247</f>
        <v>Penelec</v>
      </c>
      <c r="F259" s="83" t="str">
        <f>PA_prices!F247</f>
        <v>GSCM</v>
      </c>
      <c r="G259" s="84" t="str">
        <f>PA_prices!G247</f>
        <v>General Service Medium</v>
      </c>
      <c r="H259" s="85" t="str">
        <f t="shared" ref="H259" si="242">IF($M$2="Prices in $/MWh","500-2500 MWh","500,000-2,500,000 kWh")</f>
        <v>500-2500 MWh</v>
      </c>
      <c r="I259" s="84">
        <f>(PA_prices!I247+$D$2)*IF($M$2="Prices in $/MWh",1,1/1000)</f>
        <v>67.98</v>
      </c>
      <c r="J259" s="83">
        <f>(PA_prices!J247+$D$2)*IF($M$2="Prices in $/MWh",1,1/1000)</f>
        <v>68.150000000000006</v>
      </c>
      <c r="K259" s="84">
        <f>(PA_prices!K247+$D$2)*IF($M$2="Prices in $/MWh",1,1/1000)</f>
        <v>67.83</v>
      </c>
      <c r="L259" s="83">
        <f>(PA_prices!L247+$D$2)*IF($M$2="Prices in $/MWh",1,1/1000)</f>
        <v>27.94</v>
      </c>
      <c r="M259" s="84">
        <f>(PA_prices!M247+$D$2)*IF($M$2="Prices in $/MWh",1,1/1000)</f>
        <v>28</v>
      </c>
      <c r="N259" s="83">
        <f>(PA_prices!N247+$D$2)*IF($M$2="Prices in $/MWh",1,1/1000)</f>
        <v>28.35</v>
      </c>
      <c r="O259" s="61"/>
    </row>
    <row r="260" spans="2:15" x14ac:dyDescent="0.25">
      <c r="B260" s="99" t="s">
        <v>642</v>
      </c>
      <c r="C260" s="74" t="str">
        <f>PA_prices!C248</f>
        <v>December-2016</v>
      </c>
      <c r="D260" s="75" t="str">
        <f>PA_prices!D248</f>
        <v>PA</v>
      </c>
      <c r="E260" s="76" t="str">
        <f>PA_prices!E248</f>
        <v>Penelec</v>
      </c>
      <c r="F260" s="75" t="str">
        <f>PA_prices!F248</f>
        <v>GSCM</v>
      </c>
      <c r="G260" s="76" t="str">
        <f>PA_prices!G248</f>
        <v>General Service Medium</v>
      </c>
      <c r="H260" s="77" t="str">
        <f t="shared" ref="H260" si="243">IF($M$2="Prices in $/MWh","0-100 MWh","0-100,000 kWh")</f>
        <v>0-100 MWh</v>
      </c>
      <c r="I260" s="76">
        <f>(PA_prices!I248+$D$2)*IF($M$2="Prices in $/MWh",1,1/1000)</f>
        <v>70.44</v>
      </c>
      <c r="J260" s="75">
        <f>(PA_prices!J248+$D$2)*IF($M$2="Prices in $/MWh",1,1/1000)</f>
        <v>70.97</v>
      </c>
      <c r="K260" s="76">
        <f>(PA_prices!K248+$D$2)*IF($M$2="Prices in $/MWh",1,1/1000)</f>
        <v>70.430000000000007</v>
      </c>
      <c r="L260" s="75">
        <f>(PA_prices!L248+$D$2)*IF($M$2="Prices in $/MWh",1,1/1000)</f>
        <v>30.56</v>
      </c>
      <c r="M260" s="76">
        <f>(PA_prices!M248+$D$2)*IF($M$2="Prices in $/MWh",1,1/1000)</f>
        <v>30.75</v>
      </c>
      <c r="N260" s="75">
        <f>(PA_prices!N248+$D$2)*IF($M$2="Prices in $/MWh",1,1/1000)</f>
        <v>31.07</v>
      </c>
      <c r="O260" s="61"/>
    </row>
    <row r="261" spans="2:15" x14ac:dyDescent="0.25">
      <c r="B261" s="99" t="s">
        <v>642</v>
      </c>
      <c r="C261" s="78" t="str">
        <f>PA_prices!C249</f>
        <v>December-2016</v>
      </c>
      <c r="D261" s="79" t="str">
        <f>PA_prices!D249</f>
        <v>PA</v>
      </c>
      <c r="E261" s="80" t="str">
        <f>PA_prices!E249</f>
        <v>Penelec</v>
      </c>
      <c r="F261" s="79" t="str">
        <f>PA_prices!F249</f>
        <v>GSCM</v>
      </c>
      <c r="G261" s="80" t="str">
        <f>PA_prices!G249</f>
        <v>General Service Medium</v>
      </c>
      <c r="H261" s="81" t="str">
        <f t="shared" ref="H261" si="244">IF($M$2="Prices in $/MWh","100-500 MWh","100,000-500,000 kWh")</f>
        <v>100-500 MWh</v>
      </c>
      <c r="I261" s="80">
        <f>(PA_prices!I249+$D$2)*IF($M$2="Prices in $/MWh",1,1/1000)</f>
        <v>68.84</v>
      </c>
      <c r="J261" s="79">
        <f>(PA_prices!J249+$D$2)*IF($M$2="Prices in $/MWh",1,1/1000)</f>
        <v>69.37</v>
      </c>
      <c r="K261" s="80">
        <f>(PA_prices!K249+$D$2)*IF($M$2="Prices in $/MWh",1,1/1000)</f>
        <v>68.83</v>
      </c>
      <c r="L261" s="79">
        <f>(PA_prices!L249+$D$2)*IF($M$2="Prices in $/MWh",1,1/1000)</f>
        <v>28.96</v>
      </c>
      <c r="M261" s="80">
        <f>(PA_prices!M249+$D$2)*IF($M$2="Prices in $/MWh",1,1/1000)</f>
        <v>29.15</v>
      </c>
      <c r="N261" s="79">
        <f>(PA_prices!N249+$D$2)*IF($M$2="Prices in $/MWh",1,1/1000)</f>
        <v>29.47</v>
      </c>
      <c r="O261" s="61"/>
    </row>
    <row r="262" spans="2:15" x14ac:dyDescent="0.25">
      <c r="B262" s="99" t="s">
        <v>642</v>
      </c>
      <c r="C262" s="82" t="str">
        <f>PA_prices!C250</f>
        <v>December-2016</v>
      </c>
      <c r="D262" s="83" t="str">
        <f>PA_prices!D250</f>
        <v>PA</v>
      </c>
      <c r="E262" s="84" t="str">
        <f>PA_prices!E250</f>
        <v>Penelec</v>
      </c>
      <c r="F262" s="83" t="str">
        <f>PA_prices!F250</f>
        <v>GSCM</v>
      </c>
      <c r="G262" s="84" t="str">
        <f>PA_prices!G250</f>
        <v>General Service Medium</v>
      </c>
      <c r="H262" s="85" t="str">
        <f t="shared" ref="H262" si="245">IF($M$2="Prices in $/MWh","500-2500 MWh","500,000-2,500,000 kWh")</f>
        <v>500-2500 MWh</v>
      </c>
      <c r="I262" s="84">
        <f>(PA_prices!I250+$D$2)*IF($M$2="Prices in $/MWh",1,1/1000)</f>
        <v>67.790000000000006</v>
      </c>
      <c r="J262" s="83">
        <f>(PA_prices!J250+$D$2)*IF($M$2="Prices in $/MWh",1,1/1000)</f>
        <v>68.319999999999993</v>
      </c>
      <c r="K262" s="84">
        <f>(PA_prices!K250+$D$2)*IF($M$2="Prices in $/MWh",1,1/1000)</f>
        <v>67.78</v>
      </c>
      <c r="L262" s="83">
        <f>(PA_prices!L250+$D$2)*IF($M$2="Prices in $/MWh",1,1/1000)</f>
        <v>27.91</v>
      </c>
      <c r="M262" s="84">
        <f>(PA_prices!M250+$D$2)*IF($M$2="Prices in $/MWh",1,1/1000)</f>
        <v>28.1</v>
      </c>
      <c r="N262" s="83">
        <f>(PA_prices!N250+$D$2)*IF($M$2="Prices in $/MWh",1,1/1000)</f>
        <v>28.42</v>
      </c>
      <c r="O262" s="61"/>
    </row>
    <row r="263" spans="2:15" x14ac:dyDescent="0.25">
      <c r="B263" s="99" t="s">
        <v>642</v>
      </c>
      <c r="C263" s="74" t="str">
        <f>PA_prices!C251</f>
        <v>January-2017</v>
      </c>
      <c r="D263" s="75" t="str">
        <f>PA_prices!D251</f>
        <v>PA</v>
      </c>
      <c r="E263" s="76" t="str">
        <f>PA_prices!E251</f>
        <v>Penelec</v>
      </c>
      <c r="F263" s="75" t="str">
        <f>PA_prices!F251</f>
        <v>GSCM</v>
      </c>
      <c r="G263" s="76" t="str">
        <f>PA_prices!G251</f>
        <v>General Service Medium</v>
      </c>
      <c r="H263" s="77" t="str">
        <f t="shared" ref="H263" si="246">IF($M$2="Prices in $/MWh","0-100 MWh","0-100,000 kWh")</f>
        <v>0-100 MWh</v>
      </c>
      <c r="I263" s="76">
        <f>(PA_prices!I251+$D$2)*IF($M$2="Prices in $/MWh",1,1/1000)</f>
        <v>70.31</v>
      </c>
      <c r="J263" s="75">
        <f>(PA_prices!J251+$D$2)*IF($M$2="Prices in $/MWh",1,1/1000)</f>
        <v>71.010000000000005</v>
      </c>
      <c r="K263" s="76">
        <f>(PA_prices!K251+$D$2)*IF($M$2="Prices in $/MWh",1,1/1000)</f>
        <v>70.47</v>
      </c>
      <c r="L263" s="75">
        <f>(PA_prices!L251+$D$2)*IF($M$2="Prices in $/MWh",1,1/1000)</f>
        <v>30.59</v>
      </c>
      <c r="M263" s="76">
        <f>(PA_prices!M251+$D$2)*IF($M$2="Prices in $/MWh",1,1/1000)</f>
        <v>30.86</v>
      </c>
      <c r="N263" s="75">
        <f>(PA_prices!N251+$D$2)*IF($M$2="Prices in $/MWh",1,1/1000)</f>
        <v>31.17</v>
      </c>
      <c r="O263" s="61"/>
    </row>
    <row r="264" spans="2:15" x14ac:dyDescent="0.25">
      <c r="B264" s="99" t="s">
        <v>642</v>
      </c>
      <c r="C264" s="78" t="str">
        <f>PA_prices!C252</f>
        <v>January-2017</v>
      </c>
      <c r="D264" s="79" t="str">
        <f>PA_prices!D252</f>
        <v>PA</v>
      </c>
      <c r="E264" s="80" t="str">
        <f>PA_prices!E252</f>
        <v>Penelec</v>
      </c>
      <c r="F264" s="79" t="str">
        <f>PA_prices!F252</f>
        <v>GSCM</v>
      </c>
      <c r="G264" s="80" t="str">
        <f>PA_prices!G252</f>
        <v>General Service Medium</v>
      </c>
      <c r="H264" s="81" t="str">
        <f t="shared" ref="H264" si="247">IF($M$2="Prices in $/MWh","100-500 MWh","100,000-500,000 kWh")</f>
        <v>100-500 MWh</v>
      </c>
      <c r="I264" s="80">
        <f>(PA_prices!I252+$D$2)*IF($M$2="Prices in $/MWh",1,1/1000)</f>
        <v>68.709999999999994</v>
      </c>
      <c r="J264" s="79">
        <f>(PA_prices!J252+$D$2)*IF($M$2="Prices in $/MWh",1,1/1000)</f>
        <v>69.41</v>
      </c>
      <c r="K264" s="80">
        <f>(PA_prices!K252+$D$2)*IF($M$2="Prices in $/MWh",1,1/1000)</f>
        <v>68.87</v>
      </c>
      <c r="L264" s="79">
        <f>(PA_prices!L252+$D$2)*IF($M$2="Prices in $/MWh",1,1/1000)</f>
        <v>28.99</v>
      </c>
      <c r="M264" s="80">
        <f>(PA_prices!M252+$D$2)*IF($M$2="Prices in $/MWh",1,1/1000)</f>
        <v>29.26</v>
      </c>
      <c r="N264" s="79">
        <f>(PA_prices!N252+$D$2)*IF($M$2="Prices in $/MWh",1,1/1000)</f>
        <v>29.57</v>
      </c>
      <c r="O264" s="61"/>
    </row>
    <row r="265" spans="2:15" x14ac:dyDescent="0.25">
      <c r="B265" s="99" t="s">
        <v>642</v>
      </c>
      <c r="C265" s="82" t="str">
        <f>PA_prices!C253</f>
        <v>January-2017</v>
      </c>
      <c r="D265" s="83" t="str">
        <f>PA_prices!D253</f>
        <v>PA</v>
      </c>
      <c r="E265" s="84" t="str">
        <f>PA_prices!E253</f>
        <v>Penelec</v>
      </c>
      <c r="F265" s="83" t="str">
        <f>PA_prices!F253</f>
        <v>GSCM</v>
      </c>
      <c r="G265" s="84" t="str">
        <f>PA_prices!G253</f>
        <v>General Service Medium</v>
      </c>
      <c r="H265" s="85" t="str">
        <f t="shared" ref="H265" si="248">IF($M$2="Prices in $/MWh","500-2500 MWh","500,000-2,500,000 kWh")</f>
        <v>500-2500 MWh</v>
      </c>
      <c r="I265" s="84">
        <f>(PA_prices!I253+$D$2)*IF($M$2="Prices in $/MWh",1,1/1000)</f>
        <v>67.66</v>
      </c>
      <c r="J265" s="83">
        <f>(PA_prices!J253+$D$2)*IF($M$2="Prices in $/MWh",1,1/1000)</f>
        <v>68.36</v>
      </c>
      <c r="K265" s="84">
        <f>(PA_prices!K253+$D$2)*IF($M$2="Prices in $/MWh",1,1/1000)</f>
        <v>67.819999999999993</v>
      </c>
      <c r="L265" s="83">
        <f>(PA_prices!L253+$D$2)*IF($M$2="Prices in $/MWh",1,1/1000)</f>
        <v>27.94</v>
      </c>
      <c r="M265" s="84">
        <f>(PA_prices!M253+$D$2)*IF($M$2="Prices in $/MWh",1,1/1000)</f>
        <v>28.21</v>
      </c>
      <c r="N265" s="83">
        <f>(PA_prices!N253+$D$2)*IF($M$2="Prices in $/MWh",1,1/1000)</f>
        <v>28.52</v>
      </c>
      <c r="O265" s="61"/>
    </row>
    <row r="266" spans="2:15" x14ac:dyDescent="0.25">
      <c r="B266" s="99" t="s">
        <v>643</v>
      </c>
      <c r="C266" s="74" t="str">
        <f>PA_prices!C254</f>
        <v>February-2016</v>
      </c>
      <c r="D266" s="75" t="str">
        <f>PA_prices!D254</f>
        <v>PA</v>
      </c>
      <c r="E266" s="76" t="str">
        <f>PA_prices!E254</f>
        <v>Penelec</v>
      </c>
      <c r="F266" s="75" t="str">
        <f>PA_prices!F254</f>
        <v>GSCS</v>
      </c>
      <c r="G266" s="76" t="str">
        <f>PA_prices!G254</f>
        <v>General Service Small</v>
      </c>
      <c r="H266" s="77" t="str">
        <f t="shared" ref="H266" si="249">IF($M$2="Prices in $/MWh","0-100 MWh","0-100,000 kWh")</f>
        <v>0-100 MWh</v>
      </c>
      <c r="I266" s="76">
        <f>(PA_prices!I254+$D$2)*IF($M$2="Prices in $/MWh",1,1/1000)</f>
        <v>69.64</v>
      </c>
      <c r="J266" s="75">
        <f>(PA_prices!J254+$D$2)*IF($M$2="Prices in $/MWh",1,1/1000)</f>
        <v>70.650000000000006</v>
      </c>
      <c r="K266" s="76">
        <f>(PA_prices!K254+$D$2)*IF($M$2="Prices in $/MWh",1,1/1000)</f>
        <v>69.63</v>
      </c>
      <c r="L266" s="75">
        <f>(PA_prices!L254+$D$2)*IF($M$2="Prices in $/MWh",1,1/1000)</f>
        <v>30.55</v>
      </c>
      <c r="M266" s="76">
        <f>(PA_prices!M254+$D$2)*IF($M$2="Prices in $/MWh",1,1/1000)</f>
        <v>31.14</v>
      </c>
      <c r="N266" s="75">
        <f>(PA_prices!N254+$D$2)*IF($M$2="Prices in $/MWh",1,1/1000)</f>
        <v>30.61</v>
      </c>
      <c r="O266" s="61"/>
    </row>
    <row r="267" spans="2:15" x14ac:dyDescent="0.25">
      <c r="B267" s="99" t="s">
        <v>643</v>
      </c>
      <c r="C267" s="78" t="str">
        <f>PA_prices!C255</f>
        <v>February-2016</v>
      </c>
      <c r="D267" s="79" t="str">
        <f>PA_prices!D255</f>
        <v>PA</v>
      </c>
      <c r="E267" s="80" t="str">
        <f>PA_prices!E255</f>
        <v>Penelec</v>
      </c>
      <c r="F267" s="79" t="str">
        <f>PA_prices!F255</f>
        <v>GSCS</v>
      </c>
      <c r="G267" s="80" t="str">
        <f>PA_prices!G255</f>
        <v>General Service Small</v>
      </c>
      <c r="H267" s="81" t="str">
        <f t="shared" ref="H267" si="250">IF($M$2="Prices in $/MWh","100-500 MWh","100,000-500,000 kWh")</f>
        <v>100-500 MWh</v>
      </c>
      <c r="I267" s="80">
        <f>(PA_prices!I255+$D$2)*IF($M$2="Prices in $/MWh",1,1/1000)</f>
        <v>68.040000000000006</v>
      </c>
      <c r="J267" s="79">
        <f>(PA_prices!J255+$D$2)*IF($M$2="Prices in $/MWh",1,1/1000)</f>
        <v>69.05</v>
      </c>
      <c r="K267" s="80">
        <f>(PA_prices!K255+$D$2)*IF($M$2="Prices in $/MWh",1,1/1000)</f>
        <v>68.03</v>
      </c>
      <c r="L267" s="79">
        <f>(PA_prices!L255+$D$2)*IF($M$2="Prices in $/MWh",1,1/1000)</f>
        <v>28.95</v>
      </c>
      <c r="M267" s="80">
        <f>(PA_prices!M255+$D$2)*IF($M$2="Prices in $/MWh",1,1/1000)</f>
        <v>29.54</v>
      </c>
      <c r="N267" s="79">
        <f>(PA_prices!N255+$D$2)*IF($M$2="Prices in $/MWh",1,1/1000)</f>
        <v>29.01</v>
      </c>
      <c r="O267" s="61"/>
    </row>
    <row r="268" spans="2:15" x14ac:dyDescent="0.25">
      <c r="B268" s="99" t="s">
        <v>643</v>
      </c>
      <c r="C268" s="82" t="str">
        <f>PA_prices!C256</f>
        <v>February-2016</v>
      </c>
      <c r="D268" s="83" t="str">
        <f>PA_prices!D256</f>
        <v>PA</v>
      </c>
      <c r="E268" s="84" t="str">
        <f>PA_prices!E256</f>
        <v>Penelec</v>
      </c>
      <c r="F268" s="83" t="str">
        <f>PA_prices!F256</f>
        <v>GSCS</v>
      </c>
      <c r="G268" s="84" t="str">
        <f>PA_prices!G256</f>
        <v>General Service Small</v>
      </c>
      <c r="H268" s="85" t="str">
        <f t="shared" ref="H268" si="251">IF($M$2="Prices in $/MWh","500-2500 MWh","500,000-2,500,000 kWh")</f>
        <v>500-2500 MWh</v>
      </c>
      <c r="I268" s="84">
        <f>(PA_prices!I256+$D$2)*IF($M$2="Prices in $/MWh",1,1/1000)</f>
        <v>66.989999999999995</v>
      </c>
      <c r="J268" s="83">
        <f>(PA_prices!J256+$D$2)*IF($M$2="Prices in $/MWh",1,1/1000)</f>
        <v>68</v>
      </c>
      <c r="K268" s="84">
        <f>(PA_prices!K256+$D$2)*IF($M$2="Prices in $/MWh",1,1/1000)</f>
        <v>66.98</v>
      </c>
      <c r="L268" s="83">
        <f>(PA_prices!L256+$D$2)*IF($M$2="Prices in $/MWh",1,1/1000)</f>
        <v>27.9</v>
      </c>
      <c r="M268" s="84">
        <f>(PA_prices!M256+$D$2)*IF($M$2="Prices in $/MWh",1,1/1000)</f>
        <v>28.49</v>
      </c>
      <c r="N268" s="83">
        <f>(PA_prices!N256+$D$2)*IF($M$2="Prices in $/MWh",1,1/1000)</f>
        <v>27.96</v>
      </c>
      <c r="O268" s="61"/>
    </row>
    <row r="269" spans="2:15" x14ac:dyDescent="0.25">
      <c r="B269" s="99" t="s">
        <v>643</v>
      </c>
      <c r="C269" s="74" t="str">
        <f>PA_prices!C257</f>
        <v>March-2016</v>
      </c>
      <c r="D269" s="75" t="str">
        <f>PA_prices!D257</f>
        <v>PA</v>
      </c>
      <c r="E269" s="76" t="str">
        <f>PA_prices!E257</f>
        <v>Penelec</v>
      </c>
      <c r="F269" s="75" t="str">
        <f>PA_prices!F257</f>
        <v>GSCS</v>
      </c>
      <c r="G269" s="76" t="str">
        <f>PA_prices!G257</f>
        <v>General Service Small</v>
      </c>
      <c r="H269" s="77" t="str">
        <f t="shared" ref="H269" si="252">IF($M$2="Prices in $/MWh","0-100 MWh","0-100,000 kWh")</f>
        <v>0-100 MWh</v>
      </c>
      <c r="I269" s="76">
        <f>(PA_prices!I257+$D$2)*IF($M$2="Prices in $/MWh",1,1/1000)</f>
        <v>70.25</v>
      </c>
      <c r="J269" s="75">
        <f>(PA_prices!J257+$D$2)*IF($M$2="Prices in $/MWh",1,1/1000)</f>
        <v>71.14</v>
      </c>
      <c r="K269" s="76">
        <f>(PA_prices!K257+$D$2)*IF($M$2="Prices in $/MWh",1,1/1000)</f>
        <v>69.87</v>
      </c>
      <c r="L269" s="75">
        <f>(PA_prices!L257+$D$2)*IF($M$2="Prices in $/MWh",1,1/1000)</f>
        <v>30.61</v>
      </c>
      <c r="M269" s="76">
        <f>(PA_prices!M257+$D$2)*IF($M$2="Prices in $/MWh",1,1/1000)</f>
        <v>31.82</v>
      </c>
      <c r="N269" s="75">
        <f>(PA_prices!N257+$D$2)*IF($M$2="Prices in $/MWh",1,1/1000)</f>
        <v>30.65</v>
      </c>
      <c r="O269" s="61"/>
    </row>
    <row r="270" spans="2:15" x14ac:dyDescent="0.25">
      <c r="B270" s="99" t="s">
        <v>643</v>
      </c>
      <c r="C270" s="78" t="str">
        <f>PA_prices!C258</f>
        <v>March-2016</v>
      </c>
      <c r="D270" s="79" t="str">
        <f>PA_prices!D258</f>
        <v>PA</v>
      </c>
      <c r="E270" s="80" t="str">
        <f>PA_prices!E258</f>
        <v>Penelec</v>
      </c>
      <c r="F270" s="79" t="str">
        <f>PA_prices!F258</f>
        <v>GSCS</v>
      </c>
      <c r="G270" s="80" t="str">
        <f>PA_prices!G258</f>
        <v>General Service Small</v>
      </c>
      <c r="H270" s="81" t="str">
        <f t="shared" ref="H270" si="253">IF($M$2="Prices in $/MWh","100-500 MWh","100,000-500,000 kWh")</f>
        <v>100-500 MWh</v>
      </c>
      <c r="I270" s="80">
        <f>(PA_prices!I258+$D$2)*IF($M$2="Prices in $/MWh",1,1/1000)</f>
        <v>68.650000000000006</v>
      </c>
      <c r="J270" s="79">
        <f>(PA_prices!J258+$D$2)*IF($M$2="Prices in $/MWh",1,1/1000)</f>
        <v>69.540000000000006</v>
      </c>
      <c r="K270" s="80">
        <f>(PA_prices!K258+$D$2)*IF($M$2="Prices in $/MWh",1,1/1000)</f>
        <v>68.27</v>
      </c>
      <c r="L270" s="79">
        <f>(PA_prices!L258+$D$2)*IF($M$2="Prices in $/MWh",1,1/1000)</f>
        <v>29.01</v>
      </c>
      <c r="M270" s="80">
        <f>(PA_prices!M258+$D$2)*IF($M$2="Prices in $/MWh",1,1/1000)</f>
        <v>30.22</v>
      </c>
      <c r="N270" s="79">
        <f>(PA_prices!N258+$D$2)*IF($M$2="Prices in $/MWh",1,1/1000)</f>
        <v>29.05</v>
      </c>
      <c r="O270" s="61"/>
    </row>
    <row r="271" spans="2:15" x14ac:dyDescent="0.25">
      <c r="B271" s="99" t="s">
        <v>643</v>
      </c>
      <c r="C271" s="82" t="str">
        <f>PA_prices!C259</f>
        <v>March-2016</v>
      </c>
      <c r="D271" s="83" t="str">
        <f>PA_prices!D259</f>
        <v>PA</v>
      </c>
      <c r="E271" s="84" t="str">
        <f>PA_prices!E259</f>
        <v>Penelec</v>
      </c>
      <c r="F271" s="83" t="str">
        <f>PA_prices!F259</f>
        <v>GSCS</v>
      </c>
      <c r="G271" s="84" t="str">
        <f>PA_prices!G259</f>
        <v>General Service Small</v>
      </c>
      <c r="H271" s="85" t="str">
        <f t="shared" ref="H271" si="254">IF($M$2="Prices in $/MWh","500-2500 MWh","500,000-2,500,000 kWh")</f>
        <v>500-2500 MWh</v>
      </c>
      <c r="I271" s="84">
        <f>(PA_prices!I259+$D$2)*IF($M$2="Prices in $/MWh",1,1/1000)</f>
        <v>67.599999999999994</v>
      </c>
      <c r="J271" s="83">
        <f>(PA_prices!J259+$D$2)*IF($M$2="Prices in $/MWh",1,1/1000)</f>
        <v>68.489999999999995</v>
      </c>
      <c r="K271" s="84">
        <f>(PA_prices!K259+$D$2)*IF($M$2="Prices in $/MWh",1,1/1000)</f>
        <v>67.22</v>
      </c>
      <c r="L271" s="83">
        <f>(PA_prices!L259+$D$2)*IF($M$2="Prices in $/MWh",1,1/1000)</f>
        <v>27.96</v>
      </c>
      <c r="M271" s="84">
        <f>(PA_prices!M259+$D$2)*IF($M$2="Prices in $/MWh",1,1/1000)</f>
        <v>29.17</v>
      </c>
      <c r="N271" s="83">
        <f>(PA_prices!N259+$D$2)*IF($M$2="Prices in $/MWh",1,1/1000)</f>
        <v>28</v>
      </c>
      <c r="O271" s="61"/>
    </row>
    <row r="272" spans="2:15" x14ac:dyDescent="0.25">
      <c r="B272" s="99" t="s">
        <v>643</v>
      </c>
      <c r="C272" s="74" t="str">
        <f>PA_prices!C260</f>
        <v>April-2016</v>
      </c>
      <c r="D272" s="75" t="str">
        <f>PA_prices!D260</f>
        <v>PA</v>
      </c>
      <c r="E272" s="76" t="str">
        <f>PA_prices!E260</f>
        <v>Penelec</v>
      </c>
      <c r="F272" s="75" t="str">
        <f>PA_prices!F260</f>
        <v>GSCS</v>
      </c>
      <c r="G272" s="76" t="str">
        <f>PA_prices!G260</f>
        <v>General Service Small</v>
      </c>
      <c r="H272" s="77" t="str">
        <f t="shared" ref="H272" si="255">IF($M$2="Prices in $/MWh","0-100 MWh","0-100,000 kWh")</f>
        <v>0-100 MWh</v>
      </c>
      <c r="I272" s="76">
        <f>(PA_prices!I260+$D$2)*IF($M$2="Prices in $/MWh",1,1/1000)</f>
        <v>70.459999999999994</v>
      </c>
      <c r="J272" s="75">
        <f>(PA_prices!J260+$D$2)*IF($M$2="Prices in $/MWh",1,1/1000)</f>
        <v>71.12</v>
      </c>
      <c r="K272" s="76">
        <f>(PA_prices!K260+$D$2)*IF($M$2="Prices in $/MWh",1,1/1000)</f>
        <v>69.94</v>
      </c>
      <c r="L272" s="75">
        <f>(PA_prices!L260+$D$2)*IF($M$2="Prices in $/MWh",1,1/1000)</f>
        <v>30.64</v>
      </c>
      <c r="M272" s="76">
        <f>(PA_prices!M260+$D$2)*IF($M$2="Prices in $/MWh",1,1/1000)</f>
        <v>32.020000000000003</v>
      </c>
      <c r="N272" s="75">
        <f>(PA_prices!N260+$D$2)*IF($M$2="Prices in $/MWh",1,1/1000)</f>
        <v>30.68</v>
      </c>
      <c r="O272" s="61"/>
    </row>
    <row r="273" spans="2:15" x14ac:dyDescent="0.25">
      <c r="B273" s="99" t="s">
        <v>643</v>
      </c>
      <c r="C273" s="78" t="str">
        <f>PA_prices!C261</f>
        <v>April-2016</v>
      </c>
      <c r="D273" s="79" t="str">
        <f>PA_prices!D261</f>
        <v>PA</v>
      </c>
      <c r="E273" s="80" t="str">
        <f>PA_prices!E261</f>
        <v>Penelec</v>
      </c>
      <c r="F273" s="79" t="str">
        <f>PA_prices!F261</f>
        <v>GSCS</v>
      </c>
      <c r="G273" s="80" t="str">
        <f>PA_prices!G261</f>
        <v>General Service Small</v>
      </c>
      <c r="H273" s="81" t="str">
        <f t="shared" ref="H273" si="256">IF($M$2="Prices in $/MWh","100-500 MWh","100,000-500,000 kWh")</f>
        <v>100-500 MWh</v>
      </c>
      <c r="I273" s="80">
        <f>(PA_prices!I261+$D$2)*IF($M$2="Prices in $/MWh",1,1/1000)</f>
        <v>68.86</v>
      </c>
      <c r="J273" s="79">
        <f>(PA_prices!J261+$D$2)*IF($M$2="Prices in $/MWh",1,1/1000)</f>
        <v>69.52</v>
      </c>
      <c r="K273" s="80">
        <f>(PA_prices!K261+$D$2)*IF($M$2="Prices in $/MWh",1,1/1000)</f>
        <v>68.34</v>
      </c>
      <c r="L273" s="79">
        <f>(PA_prices!L261+$D$2)*IF($M$2="Prices in $/MWh",1,1/1000)</f>
        <v>29.04</v>
      </c>
      <c r="M273" s="80">
        <f>(PA_prices!M261+$D$2)*IF($M$2="Prices in $/MWh",1,1/1000)</f>
        <v>30.42</v>
      </c>
      <c r="N273" s="79">
        <f>(PA_prices!N261+$D$2)*IF($M$2="Prices in $/MWh",1,1/1000)</f>
        <v>29.08</v>
      </c>
      <c r="O273" s="61"/>
    </row>
    <row r="274" spans="2:15" x14ac:dyDescent="0.25">
      <c r="B274" s="99" t="s">
        <v>643</v>
      </c>
      <c r="C274" s="82" t="str">
        <f>PA_prices!C262</f>
        <v>April-2016</v>
      </c>
      <c r="D274" s="83" t="str">
        <f>PA_prices!D262</f>
        <v>PA</v>
      </c>
      <c r="E274" s="84" t="str">
        <f>PA_prices!E262</f>
        <v>Penelec</v>
      </c>
      <c r="F274" s="83" t="str">
        <f>PA_prices!F262</f>
        <v>GSCS</v>
      </c>
      <c r="G274" s="84" t="str">
        <f>PA_prices!G262</f>
        <v>General Service Small</v>
      </c>
      <c r="H274" s="85" t="str">
        <f t="shared" ref="H274" si="257">IF($M$2="Prices in $/MWh","500-2500 MWh","500,000-2,500,000 kWh")</f>
        <v>500-2500 MWh</v>
      </c>
      <c r="I274" s="84">
        <f>(PA_prices!I262+$D$2)*IF($M$2="Prices in $/MWh",1,1/1000)</f>
        <v>67.81</v>
      </c>
      <c r="J274" s="83">
        <f>(PA_prices!J262+$D$2)*IF($M$2="Prices in $/MWh",1,1/1000)</f>
        <v>68.47</v>
      </c>
      <c r="K274" s="84">
        <f>(PA_prices!K262+$D$2)*IF($M$2="Prices in $/MWh",1,1/1000)</f>
        <v>67.290000000000006</v>
      </c>
      <c r="L274" s="83">
        <f>(PA_prices!L262+$D$2)*IF($M$2="Prices in $/MWh",1,1/1000)</f>
        <v>27.99</v>
      </c>
      <c r="M274" s="84">
        <f>(PA_prices!M262+$D$2)*IF($M$2="Prices in $/MWh",1,1/1000)</f>
        <v>29.37</v>
      </c>
      <c r="N274" s="83">
        <f>(PA_prices!N262+$D$2)*IF($M$2="Prices in $/MWh",1,1/1000)</f>
        <v>28.03</v>
      </c>
      <c r="O274" s="61"/>
    </row>
    <row r="275" spans="2:15" x14ac:dyDescent="0.25">
      <c r="B275" s="99" t="s">
        <v>643</v>
      </c>
      <c r="C275" s="74" t="str">
        <f>PA_prices!C263</f>
        <v>May-2016</v>
      </c>
      <c r="D275" s="75" t="str">
        <f>PA_prices!D263</f>
        <v>PA</v>
      </c>
      <c r="E275" s="76" t="str">
        <f>PA_prices!E263</f>
        <v>Penelec</v>
      </c>
      <c r="F275" s="75" t="str">
        <f>PA_prices!F263</f>
        <v>GSCS</v>
      </c>
      <c r="G275" s="76" t="str">
        <f>PA_prices!G263</f>
        <v>General Service Small</v>
      </c>
      <c r="H275" s="77" t="str">
        <f t="shared" ref="H275" si="258">IF($M$2="Prices in $/MWh","0-100 MWh","0-100,000 kWh")</f>
        <v>0-100 MWh</v>
      </c>
      <c r="I275" s="76">
        <f>(PA_prices!I263+$D$2)*IF($M$2="Prices in $/MWh",1,1/1000)</f>
        <v>70.56</v>
      </c>
      <c r="J275" s="75">
        <f>(PA_prices!J263+$D$2)*IF($M$2="Prices in $/MWh",1,1/1000)</f>
        <v>71.02</v>
      </c>
      <c r="K275" s="76">
        <f>(PA_prices!K263+$D$2)*IF($M$2="Prices in $/MWh",1,1/1000)</f>
        <v>69.95</v>
      </c>
      <c r="L275" s="75">
        <f>(PA_prices!L263+$D$2)*IF($M$2="Prices in $/MWh",1,1/1000)</f>
        <v>30.65</v>
      </c>
      <c r="M275" s="76">
        <f>(PA_prices!M263+$D$2)*IF($M$2="Prices in $/MWh",1,1/1000)</f>
        <v>32.08</v>
      </c>
      <c r="N275" s="75">
        <f>(PA_prices!N263+$D$2)*IF($M$2="Prices in $/MWh",1,1/1000)</f>
        <v>30.69</v>
      </c>
      <c r="O275" s="61"/>
    </row>
    <row r="276" spans="2:15" x14ac:dyDescent="0.25">
      <c r="B276" s="99" t="s">
        <v>643</v>
      </c>
      <c r="C276" s="78" t="str">
        <f>PA_prices!C264</f>
        <v>May-2016</v>
      </c>
      <c r="D276" s="79" t="str">
        <f>PA_prices!D264</f>
        <v>PA</v>
      </c>
      <c r="E276" s="80" t="str">
        <f>PA_prices!E264</f>
        <v>Penelec</v>
      </c>
      <c r="F276" s="79" t="str">
        <f>PA_prices!F264</f>
        <v>GSCS</v>
      </c>
      <c r="G276" s="80" t="str">
        <f>PA_prices!G264</f>
        <v>General Service Small</v>
      </c>
      <c r="H276" s="81" t="str">
        <f t="shared" ref="H276" si="259">IF($M$2="Prices in $/MWh","100-500 MWh","100,000-500,000 kWh")</f>
        <v>100-500 MWh</v>
      </c>
      <c r="I276" s="80">
        <f>(PA_prices!I264+$D$2)*IF($M$2="Prices in $/MWh",1,1/1000)</f>
        <v>68.959999999999994</v>
      </c>
      <c r="J276" s="79">
        <f>(PA_prices!J264+$D$2)*IF($M$2="Prices in $/MWh",1,1/1000)</f>
        <v>69.42</v>
      </c>
      <c r="K276" s="80">
        <f>(PA_prices!K264+$D$2)*IF($M$2="Prices in $/MWh",1,1/1000)</f>
        <v>68.349999999999994</v>
      </c>
      <c r="L276" s="79">
        <f>(PA_prices!L264+$D$2)*IF($M$2="Prices in $/MWh",1,1/1000)</f>
        <v>29.05</v>
      </c>
      <c r="M276" s="80">
        <f>(PA_prices!M264+$D$2)*IF($M$2="Prices in $/MWh",1,1/1000)</f>
        <v>30.48</v>
      </c>
      <c r="N276" s="79">
        <f>(PA_prices!N264+$D$2)*IF($M$2="Prices in $/MWh",1,1/1000)</f>
        <v>29.09</v>
      </c>
      <c r="O276" s="61"/>
    </row>
    <row r="277" spans="2:15" x14ac:dyDescent="0.25">
      <c r="B277" s="99" t="s">
        <v>643</v>
      </c>
      <c r="C277" s="82" t="str">
        <f>PA_prices!C265</f>
        <v>May-2016</v>
      </c>
      <c r="D277" s="83" t="str">
        <f>PA_prices!D265</f>
        <v>PA</v>
      </c>
      <c r="E277" s="84" t="str">
        <f>PA_prices!E265</f>
        <v>Penelec</v>
      </c>
      <c r="F277" s="83" t="str">
        <f>PA_prices!F265</f>
        <v>GSCS</v>
      </c>
      <c r="G277" s="84" t="str">
        <f>PA_prices!G265</f>
        <v>General Service Small</v>
      </c>
      <c r="H277" s="85" t="str">
        <f t="shared" ref="H277" si="260">IF($M$2="Prices in $/MWh","500-2500 MWh","500,000-2,500,000 kWh")</f>
        <v>500-2500 MWh</v>
      </c>
      <c r="I277" s="84">
        <f>(PA_prices!I265+$D$2)*IF($M$2="Prices in $/MWh",1,1/1000)</f>
        <v>67.91</v>
      </c>
      <c r="J277" s="83">
        <f>(PA_prices!J265+$D$2)*IF($M$2="Prices in $/MWh",1,1/1000)</f>
        <v>68.37</v>
      </c>
      <c r="K277" s="84">
        <f>(PA_prices!K265+$D$2)*IF($M$2="Prices in $/MWh",1,1/1000)</f>
        <v>67.3</v>
      </c>
      <c r="L277" s="83">
        <f>(PA_prices!L265+$D$2)*IF($M$2="Prices in $/MWh",1,1/1000)</f>
        <v>28</v>
      </c>
      <c r="M277" s="84">
        <f>(PA_prices!M265+$D$2)*IF($M$2="Prices in $/MWh",1,1/1000)</f>
        <v>29.43</v>
      </c>
      <c r="N277" s="83">
        <f>(PA_prices!N265+$D$2)*IF($M$2="Prices in $/MWh",1,1/1000)</f>
        <v>28.04</v>
      </c>
      <c r="O277" s="61"/>
    </row>
    <row r="278" spans="2:15" x14ac:dyDescent="0.25">
      <c r="B278" s="99" t="s">
        <v>643</v>
      </c>
      <c r="C278" s="74" t="str">
        <f>PA_prices!C266</f>
        <v>June-2016</v>
      </c>
      <c r="D278" s="75" t="str">
        <f>PA_prices!D266</f>
        <v>PA</v>
      </c>
      <c r="E278" s="76" t="str">
        <f>PA_prices!E266</f>
        <v>Penelec</v>
      </c>
      <c r="F278" s="75" t="str">
        <f>PA_prices!F266</f>
        <v>GSCS</v>
      </c>
      <c r="G278" s="76" t="str">
        <f>PA_prices!G266</f>
        <v>General Service Small</v>
      </c>
      <c r="H278" s="77" t="str">
        <f t="shared" ref="H278" si="261">IF($M$2="Prices in $/MWh","0-100 MWh","0-100,000 kWh")</f>
        <v>0-100 MWh</v>
      </c>
      <c r="I278" s="76">
        <f>(PA_prices!I266+$D$2)*IF($M$2="Prices in $/MWh",1,1/1000)</f>
        <v>70.58</v>
      </c>
      <c r="J278" s="75">
        <f>(PA_prices!J266+$D$2)*IF($M$2="Prices in $/MWh",1,1/1000)</f>
        <v>70.2</v>
      </c>
      <c r="K278" s="76">
        <f>(PA_prices!K266+$D$2)*IF($M$2="Prices in $/MWh",1,1/1000)</f>
        <v>69.97</v>
      </c>
      <c r="L278" s="75">
        <f>(PA_prices!L266+$D$2)*IF($M$2="Prices in $/MWh",1,1/1000)</f>
        <v>30.64</v>
      </c>
      <c r="M278" s="76">
        <f>(PA_prices!M266+$D$2)*IF($M$2="Prices in $/MWh",1,1/1000)</f>
        <v>31.48</v>
      </c>
      <c r="N278" s="75">
        <f>(PA_prices!N266+$D$2)*IF($M$2="Prices in $/MWh",1,1/1000)</f>
        <v>30.69</v>
      </c>
      <c r="O278" s="61"/>
    </row>
    <row r="279" spans="2:15" x14ac:dyDescent="0.25">
      <c r="B279" s="99" t="s">
        <v>643</v>
      </c>
      <c r="C279" s="78" t="str">
        <f>PA_prices!C267</f>
        <v>June-2016</v>
      </c>
      <c r="D279" s="79" t="str">
        <f>PA_prices!D267</f>
        <v>PA</v>
      </c>
      <c r="E279" s="80" t="str">
        <f>PA_prices!E267</f>
        <v>Penelec</v>
      </c>
      <c r="F279" s="79" t="str">
        <f>PA_prices!F267</f>
        <v>GSCS</v>
      </c>
      <c r="G279" s="80" t="str">
        <f>PA_prices!G267</f>
        <v>General Service Small</v>
      </c>
      <c r="H279" s="81" t="str">
        <f t="shared" ref="H279" si="262">IF($M$2="Prices in $/MWh","100-500 MWh","100,000-500,000 kWh")</f>
        <v>100-500 MWh</v>
      </c>
      <c r="I279" s="80">
        <f>(PA_prices!I267+$D$2)*IF($M$2="Prices in $/MWh",1,1/1000)</f>
        <v>68.98</v>
      </c>
      <c r="J279" s="79">
        <f>(PA_prices!J267+$D$2)*IF($M$2="Prices in $/MWh",1,1/1000)</f>
        <v>68.599999999999994</v>
      </c>
      <c r="K279" s="80">
        <f>(PA_prices!K267+$D$2)*IF($M$2="Prices in $/MWh",1,1/1000)</f>
        <v>68.37</v>
      </c>
      <c r="L279" s="79">
        <f>(PA_prices!L267+$D$2)*IF($M$2="Prices in $/MWh",1,1/1000)</f>
        <v>29.04</v>
      </c>
      <c r="M279" s="80">
        <f>(PA_prices!M267+$D$2)*IF($M$2="Prices in $/MWh",1,1/1000)</f>
        <v>29.88</v>
      </c>
      <c r="N279" s="79">
        <f>(PA_prices!N267+$D$2)*IF($M$2="Prices in $/MWh",1,1/1000)</f>
        <v>29.09</v>
      </c>
      <c r="O279" s="61"/>
    </row>
    <row r="280" spans="2:15" x14ac:dyDescent="0.25">
      <c r="B280" s="99" t="s">
        <v>643</v>
      </c>
      <c r="C280" s="82" t="str">
        <f>PA_prices!C268</f>
        <v>June-2016</v>
      </c>
      <c r="D280" s="83" t="str">
        <f>PA_prices!D268</f>
        <v>PA</v>
      </c>
      <c r="E280" s="84" t="str">
        <f>PA_prices!E268</f>
        <v>Penelec</v>
      </c>
      <c r="F280" s="83" t="str">
        <f>PA_prices!F268</f>
        <v>GSCS</v>
      </c>
      <c r="G280" s="84" t="str">
        <f>PA_prices!G268</f>
        <v>General Service Small</v>
      </c>
      <c r="H280" s="85" t="str">
        <f t="shared" ref="H280" si="263">IF($M$2="Prices in $/MWh","500-2500 MWh","500,000-2,500,000 kWh")</f>
        <v>500-2500 MWh</v>
      </c>
      <c r="I280" s="84">
        <f>(PA_prices!I268+$D$2)*IF($M$2="Prices in $/MWh",1,1/1000)</f>
        <v>67.930000000000007</v>
      </c>
      <c r="J280" s="83">
        <f>(PA_prices!J268+$D$2)*IF($M$2="Prices in $/MWh",1,1/1000)</f>
        <v>67.55</v>
      </c>
      <c r="K280" s="84">
        <f>(PA_prices!K268+$D$2)*IF($M$2="Prices in $/MWh",1,1/1000)</f>
        <v>67.319999999999993</v>
      </c>
      <c r="L280" s="83">
        <f>(PA_prices!L268+$D$2)*IF($M$2="Prices in $/MWh",1,1/1000)</f>
        <v>27.99</v>
      </c>
      <c r="M280" s="84">
        <f>(PA_prices!M268+$D$2)*IF($M$2="Prices in $/MWh",1,1/1000)</f>
        <v>28.83</v>
      </c>
      <c r="N280" s="83">
        <f>(PA_prices!N268+$D$2)*IF($M$2="Prices in $/MWh",1,1/1000)</f>
        <v>28.04</v>
      </c>
      <c r="O280" s="61"/>
    </row>
    <row r="281" spans="2:15" x14ac:dyDescent="0.25">
      <c r="B281" s="99" t="s">
        <v>643</v>
      </c>
      <c r="C281" s="74" t="str">
        <f>PA_prices!C269</f>
        <v>July-2016</v>
      </c>
      <c r="D281" s="75" t="str">
        <f>PA_prices!D269</f>
        <v>PA</v>
      </c>
      <c r="E281" s="76" t="str">
        <f>PA_prices!E269</f>
        <v>Penelec</v>
      </c>
      <c r="F281" s="75" t="str">
        <f>PA_prices!F269</f>
        <v>GSCS</v>
      </c>
      <c r="G281" s="76" t="str">
        <f>PA_prices!G269</f>
        <v>General Service Small</v>
      </c>
      <c r="H281" s="77" t="str">
        <f t="shared" ref="H281" si="264">IF($M$2="Prices in $/MWh","0-100 MWh","0-100,000 kWh")</f>
        <v>0-100 MWh</v>
      </c>
      <c r="I281" s="76">
        <f>(PA_prices!I269+$D$2)*IF($M$2="Prices in $/MWh",1,1/1000)</f>
        <v>70.58</v>
      </c>
      <c r="J281" s="75">
        <f>(PA_prices!J269+$D$2)*IF($M$2="Prices in $/MWh",1,1/1000)</f>
        <v>69.31</v>
      </c>
      <c r="K281" s="76">
        <f>(PA_prices!K269+$D$2)*IF($M$2="Prices in $/MWh",1,1/1000)</f>
        <v>69.989999999999995</v>
      </c>
      <c r="L281" s="75">
        <f>(PA_prices!L269+$D$2)*IF($M$2="Prices in $/MWh",1,1/1000)</f>
        <v>30.65</v>
      </c>
      <c r="M281" s="76">
        <f>(PA_prices!M269+$D$2)*IF($M$2="Prices in $/MWh",1,1/1000)</f>
        <v>30.8</v>
      </c>
      <c r="N281" s="75">
        <f>(PA_prices!N269+$D$2)*IF($M$2="Prices in $/MWh",1,1/1000)</f>
        <v>30.77</v>
      </c>
      <c r="O281" s="61"/>
    </row>
    <row r="282" spans="2:15" x14ac:dyDescent="0.25">
      <c r="B282" s="99" t="s">
        <v>643</v>
      </c>
      <c r="C282" s="78" t="str">
        <f>PA_prices!C270</f>
        <v>July-2016</v>
      </c>
      <c r="D282" s="79" t="str">
        <f>PA_prices!D270</f>
        <v>PA</v>
      </c>
      <c r="E282" s="80" t="str">
        <f>PA_prices!E270</f>
        <v>Penelec</v>
      </c>
      <c r="F282" s="79" t="str">
        <f>PA_prices!F270</f>
        <v>GSCS</v>
      </c>
      <c r="G282" s="80" t="str">
        <f>PA_prices!G270</f>
        <v>General Service Small</v>
      </c>
      <c r="H282" s="81" t="str">
        <f t="shared" ref="H282" si="265">IF($M$2="Prices in $/MWh","100-500 MWh","100,000-500,000 kWh")</f>
        <v>100-500 MWh</v>
      </c>
      <c r="I282" s="80">
        <f>(PA_prices!I270+$D$2)*IF($M$2="Prices in $/MWh",1,1/1000)</f>
        <v>68.98</v>
      </c>
      <c r="J282" s="79">
        <f>(PA_prices!J270+$D$2)*IF($M$2="Prices in $/MWh",1,1/1000)</f>
        <v>67.709999999999994</v>
      </c>
      <c r="K282" s="80">
        <f>(PA_prices!K270+$D$2)*IF($M$2="Prices in $/MWh",1,1/1000)</f>
        <v>68.39</v>
      </c>
      <c r="L282" s="79">
        <f>(PA_prices!L270+$D$2)*IF($M$2="Prices in $/MWh",1,1/1000)</f>
        <v>29.05</v>
      </c>
      <c r="M282" s="80">
        <f>(PA_prices!M270+$D$2)*IF($M$2="Prices in $/MWh",1,1/1000)</f>
        <v>29.2</v>
      </c>
      <c r="N282" s="79">
        <f>(PA_prices!N270+$D$2)*IF($M$2="Prices in $/MWh",1,1/1000)</f>
        <v>29.17</v>
      </c>
      <c r="O282" s="61"/>
    </row>
    <row r="283" spans="2:15" x14ac:dyDescent="0.25">
      <c r="B283" s="99" t="s">
        <v>643</v>
      </c>
      <c r="C283" s="82" t="str">
        <f>PA_prices!C271</f>
        <v>July-2016</v>
      </c>
      <c r="D283" s="83" t="str">
        <f>PA_prices!D271</f>
        <v>PA</v>
      </c>
      <c r="E283" s="84" t="str">
        <f>PA_prices!E271</f>
        <v>Penelec</v>
      </c>
      <c r="F283" s="83" t="str">
        <f>PA_prices!F271</f>
        <v>GSCS</v>
      </c>
      <c r="G283" s="84" t="str">
        <f>PA_prices!G271</f>
        <v>General Service Small</v>
      </c>
      <c r="H283" s="85" t="str">
        <f t="shared" ref="H283" si="266">IF($M$2="Prices in $/MWh","500-2500 MWh","500,000-2,500,000 kWh")</f>
        <v>500-2500 MWh</v>
      </c>
      <c r="I283" s="84">
        <f>(PA_prices!I271+$D$2)*IF($M$2="Prices in $/MWh",1,1/1000)</f>
        <v>67.930000000000007</v>
      </c>
      <c r="J283" s="83">
        <f>(PA_prices!J271+$D$2)*IF($M$2="Prices in $/MWh",1,1/1000)</f>
        <v>66.66</v>
      </c>
      <c r="K283" s="84">
        <f>(PA_prices!K271+$D$2)*IF($M$2="Prices in $/MWh",1,1/1000)</f>
        <v>67.34</v>
      </c>
      <c r="L283" s="83">
        <f>(PA_prices!L271+$D$2)*IF($M$2="Prices in $/MWh",1,1/1000)</f>
        <v>28</v>
      </c>
      <c r="M283" s="84">
        <f>(PA_prices!M271+$D$2)*IF($M$2="Prices in $/MWh",1,1/1000)</f>
        <v>28.15</v>
      </c>
      <c r="N283" s="83">
        <f>(PA_prices!N271+$D$2)*IF($M$2="Prices in $/MWh",1,1/1000)</f>
        <v>28.12</v>
      </c>
      <c r="O283" s="61"/>
    </row>
    <row r="284" spans="2:15" x14ac:dyDescent="0.25">
      <c r="B284" s="99" t="s">
        <v>643</v>
      </c>
      <c r="C284" s="74" t="str">
        <f>PA_prices!C272</f>
        <v>August-2016</v>
      </c>
      <c r="D284" s="75" t="str">
        <f>PA_prices!D272</f>
        <v>PA</v>
      </c>
      <c r="E284" s="76" t="str">
        <f>PA_prices!E272</f>
        <v>Penelec</v>
      </c>
      <c r="F284" s="75" t="str">
        <f>PA_prices!F272</f>
        <v>GSCS</v>
      </c>
      <c r="G284" s="76" t="str">
        <f>PA_prices!G272</f>
        <v>General Service Small</v>
      </c>
      <c r="H284" s="77" t="str">
        <f t="shared" ref="H284" si="267">IF($M$2="Prices in $/MWh","0-100 MWh","0-100,000 kWh")</f>
        <v>0-100 MWh</v>
      </c>
      <c r="I284" s="76">
        <f>(PA_prices!I272+$D$2)*IF($M$2="Prices in $/MWh",1,1/1000)</f>
        <v>70.5</v>
      </c>
      <c r="J284" s="75">
        <f>(PA_prices!J272+$D$2)*IF($M$2="Prices in $/MWh",1,1/1000)</f>
        <v>69.23</v>
      </c>
      <c r="K284" s="76">
        <f>(PA_prices!K272+$D$2)*IF($M$2="Prices in $/MWh",1,1/1000)</f>
        <v>70.05</v>
      </c>
      <c r="L284" s="75">
        <f>(PA_prices!L272+$D$2)*IF($M$2="Prices in $/MWh",1,1/1000)</f>
        <v>30.67</v>
      </c>
      <c r="M284" s="76">
        <f>(PA_prices!M272+$D$2)*IF($M$2="Prices in $/MWh",1,1/1000)</f>
        <v>30.15</v>
      </c>
      <c r="N284" s="75">
        <f>(PA_prices!N272+$D$2)*IF($M$2="Prices in $/MWh",1,1/1000)</f>
        <v>30.86</v>
      </c>
      <c r="O284" s="61"/>
    </row>
    <row r="285" spans="2:15" x14ac:dyDescent="0.25">
      <c r="B285" s="99" t="s">
        <v>643</v>
      </c>
      <c r="C285" s="78" t="str">
        <f>PA_prices!C273</f>
        <v>August-2016</v>
      </c>
      <c r="D285" s="79" t="str">
        <f>PA_prices!D273</f>
        <v>PA</v>
      </c>
      <c r="E285" s="80" t="str">
        <f>PA_prices!E273</f>
        <v>Penelec</v>
      </c>
      <c r="F285" s="79" t="str">
        <f>PA_prices!F273</f>
        <v>GSCS</v>
      </c>
      <c r="G285" s="80" t="str">
        <f>PA_prices!G273</f>
        <v>General Service Small</v>
      </c>
      <c r="H285" s="81" t="str">
        <f t="shared" ref="H285" si="268">IF($M$2="Prices in $/MWh","100-500 MWh","100,000-500,000 kWh")</f>
        <v>100-500 MWh</v>
      </c>
      <c r="I285" s="80">
        <f>(PA_prices!I273+$D$2)*IF($M$2="Prices in $/MWh",1,1/1000)</f>
        <v>68.900000000000006</v>
      </c>
      <c r="J285" s="79">
        <f>(PA_prices!J273+$D$2)*IF($M$2="Prices in $/MWh",1,1/1000)</f>
        <v>67.63</v>
      </c>
      <c r="K285" s="80">
        <f>(PA_prices!K273+$D$2)*IF($M$2="Prices in $/MWh",1,1/1000)</f>
        <v>68.45</v>
      </c>
      <c r="L285" s="79">
        <f>(PA_prices!L273+$D$2)*IF($M$2="Prices in $/MWh",1,1/1000)</f>
        <v>29.07</v>
      </c>
      <c r="M285" s="80">
        <f>(PA_prices!M273+$D$2)*IF($M$2="Prices in $/MWh",1,1/1000)</f>
        <v>28.55</v>
      </c>
      <c r="N285" s="79">
        <f>(PA_prices!N273+$D$2)*IF($M$2="Prices in $/MWh",1,1/1000)</f>
        <v>29.26</v>
      </c>
      <c r="O285" s="61"/>
    </row>
    <row r="286" spans="2:15" x14ac:dyDescent="0.25">
      <c r="B286" s="99" t="s">
        <v>643</v>
      </c>
      <c r="C286" s="82" t="str">
        <f>PA_prices!C274</f>
        <v>August-2016</v>
      </c>
      <c r="D286" s="83" t="str">
        <f>PA_prices!D274</f>
        <v>PA</v>
      </c>
      <c r="E286" s="84" t="str">
        <f>PA_prices!E274</f>
        <v>Penelec</v>
      </c>
      <c r="F286" s="83" t="str">
        <f>PA_prices!F274</f>
        <v>GSCS</v>
      </c>
      <c r="G286" s="84" t="str">
        <f>PA_prices!G274</f>
        <v>General Service Small</v>
      </c>
      <c r="H286" s="85" t="str">
        <f t="shared" ref="H286" si="269">IF($M$2="Prices in $/MWh","500-2500 MWh","500,000-2,500,000 kWh")</f>
        <v>500-2500 MWh</v>
      </c>
      <c r="I286" s="84">
        <f>(PA_prices!I274+$D$2)*IF($M$2="Prices in $/MWh",1,1/1000)</f>
        <v>67.849999999999994</v>
      </c>
      <c r="J286" s="83">
        <f>(PA_prices!J274+$D$2)*IF($M$2="Prices in $/MWh",1,1/1000)</f>
        <v>66.58</v>
      </c>
      <c r="K286" s="84">
        <f>(PA_prices!K274+$D$2)*IF($M$2="Prices in $/MWh",1,1/1000)</f>
        <v>67.400000000000006</v>
      </c>
      <c r="L286" s="83">
        <f>(PA_prices!L274+$D$2)*IF($M$2="Prices in $/MWh",1,1/1000)</f>
        <v>28.02</v>
      </c>
      <c r="M286" s="84">
        <f>(PA_prices!M274+$D$2)*IF($M$2="Prices in $/MWh",1,1/1000)</f>
        <v>27.5</v>
      </c>
      <c r="N286" s="83">
        <f>(PA_prices!N274+$D$2)*IF($M$2="Prices in $/MWh",1,1/1000)</f>
        <v>28.21</v>
      </c>
      <c r="O286" s="61"/>
    </row>
    <row r="287" spans="2:15" x14ac:dyDescent="0.25">
      <c r="B287" s="99" t="s">
        <v>643</v>
      </c>
      <c r="C287" s="74" t="str">
        <f>PA_prices!C275</f>
        <v>September-2016</v>
      </c>
      <c r="D287" s="75" t="str">
        <f>PA_prices!D275</f>
        <v>PA</v>
      </c>
      <c r="E287" s="76" t="str">
        <f>PA_prices!E275</f>
        <v>Penelec</v>
      </c>
      <c r="F287" s="75" t="str">
        <f>PA_prices!F275</f>
        <v>GSCS</v>
      </c>
      <c r="G287" s="76" t="str">
        <f>PA_prices!G275</f>
        <v>General Service Small</v>
      </c>
      <c r="H287" s="77" t="str">
        <f t="shared" ref="H287" si="270">IF($M$2="Prices in $/MWh","0-100 MWh","0-100,000 kWh")</f>
        <v>0-100 MWh</v>
      </c>
      <c r="I287" s="76">
        <f>(PA_prices!I275+$D$2)*IF($M$2="Prices in $/MWh",1,1/1000)</f>
        <v>70.41</v>
      </c>
      <c r="J287" s="75">
        <f>(PA_prices!J275+$D$2)*IF($M$2="Prices in $/MWh",1,1/1000)</f>
        <v>69.069999999999993</v>
      </c>
      <c r="K287" s="76">
        <f>(PA_prices!K275+$D$2)*IF($M$2="Prices in $/MWh",1,1/1000)</f>
        <v>70.069999999999993</v>
      </c>
      <c r="L287" s="75">
        <f>(PA_prices!L275+$D$2)*IF($M$2="Prices in $/MWh",1,1/1000)</f>
        <v>30.67</v>
      </c>
      <c r="M287" s="76">
        <f>(PA_prices!M275+$D$2)*IF($M$2="Prices in $/MWh",1,1/1000)</f>
        <v>29.62</v>
      </c>
      <c r="N287" s="75">
        <f>(PA_prices!N275+$D$2)*IF($M$2="Prices in $/MWh",1,1/1000)</f>
        <v>30.94</v>
      </c>
      <c r="O287" s="61"/>
    </row>
    <row r="288" spans="2:15" x14ac:dyDescent="0.25">
      <c r="B288" s="99" t="s">
        <v>643</v>
      </c>
      <c r="C288" s="78" t="str">
        <f>PA_prices!C276</f>
        <v>September-2016</v>
      </c>
      <c r="D288" s="79" t="str">
        <f>PA_prices!D276</f>
        <v>PA</v>
      </c>
      <c r="E288" s="80" t="str">
        <f>PA_prices!E276</f>
        <v>Penelec</v>
      </c>
      <c r="F288" s="79" t="str">
        <f>PA_prices!F276</f>
        <v>GSCS</v>
      </c>
      <c r="G288" s="80" t="str">
        <f>PA_prices!G276</f>
        <v>General Service Small</v>
      </c>
      <c r="H288" s="81" t="str">
        <f t="shared" ref="H288" si="271">IF($M$2="Prices in $/MWh","100-500 MWh","100,000-500,000 kWh")</f>
        <v>100-500 MWh</v>
      </c>
      <c r="I288" s="80">
        <f>(PA_prices!I276+$D$2)*IF($M$2="Prices in $/MWh",1,1/1000)</f>
        <v>68.81</v>
      </c>
      <c r="J288" s="79">
        <f>(PA_prices!J276+$D$2)*IF($M$2="Prices in $/MWh",1,1/1000)</f>
        <v>67.47</v>
      </c>
      <c r="K288" s="80">
        <f>(PA_prices!K276+$D$2)*IF($M$2="Prices in $/MWh",1,1/1000)</f>
        <v>68.47</v>
      </c>
      <c r="L288" s="79">
        <f>(PA_prices!L276+$D$2)*IF($M$2="Prices in $/MWh",1,1/1000)</f>
        <v>29.07</v>
      </c>
      <c r="M288" s="80">
        <f>(PA_prices!M276+$D$2)*IF($M$2="Prices in $/MWh",1,1/1000)</f>
        <v>28.02</v>
      </c>
      <c r="N288" s="79">
        <f>(PA_prices!N276+$D$2)*IF($M$2="Prices in $/MWh",1,1/1000)</f>
        <v>29.34</v>
      </c>
      <c r="O288" s="61"/>
    </row>
    <row r="289" spans="2:15" x14ac:dyDescent="0.25">
      <c r="B289" s="99" t="s">
        <v>643</v>
      </c>
      <c r="C289" s="82" t="str">
        <f>PA_prices!C277</f>
        <v>September-2016</v>
      </c>
      <c r="D289" s="83" t="str">
        <f>PA_prices!D277</f>
        <v>PA</v>
      </c>
      <c r="E289" s="84" t="str">
        <f>PA_prices!E277</f>
        <v>Penelec</v>
      </c>
      <c r="F289" s="83" t="str">
        <f>PA_prices!F277</f>
        <v>GSCS</v>
      </c>
      <c r="G289" s="84" t="str">
        <f>PA_prices!G277</f>
        <v>General Service Small</v>
      </c>
      <c r="H289" s="85" t="str">
        <f t="shared" ref="H289" si="272">IF($M$2="Prices in $/MWh","500-2500 MWh","500,000-2,500,000 kWh")</f>
        <v>500-2500 MWh</v>
      </c>
      <c r="I289" s="84">
        <f>(PA_prices!I277+$D$2)*IF($M$2="Prices in $/MWh",1,1/1000)</f>
        <v>67.760000000000005</v>
      </c>
      <c r="J289" s="83">
        <f>(PA_prices!J277+$D$2)*IF($M$2="Prices in $/MWh",1,1/1000)</f>
        <v>66.42</v>
      </c>
      <c r="K289" s="84">
        <f>(PA_prices!K277+$D$2)*IF($M$2="Prices in $/MWh",1,1/1000)</f>
        <v>67.42</v>
      </c>
      <c r="L289" s="83">
        <f>(PA_prices!L277+$D$2)*IF($M$2="Prices in $/MWh",1,1/1000)</f>
        <v>28.02</v>
      </c>
      <c r="M289" s="84">
        <f>(PA_prices!M277+$D$2)*IF($M$2="Prices in $/MWh",1,1/1000)</f>
        <v>26.97</v>
      </c>
      <c r="N289" s="83">
        <f>(PA_prices!N277+$D$2)*IF($M$2="Prices in $/MWh",1,1/1000)</f>
        <v>28.29</v>
      </c>
      <c r="O289" s="61"/>
    </row>
    <row r="290" spans="2:15" x14ac:dyDescent="0.25">
      <c r="B290" s="99" t="s">
        <v>643</v>
      </c>
      <c r="C290" s="74" t="str">
        <f>PA_prices!C278</f>
        <v>October-2016</v>
      </c>
      <c r="D290" s="75" t="str">
        <f>PA_prices!D278</f>
        <v>PA</v>
      </c>
      <c r="E290" s="76" t="str">
        <f>PA_prices!E278</f>
        <v>Penelec</v>
      </c>
      <c r="F290" s="75" t="str">
        <f>PA_prices!F278</f>
        <v>GSCS</v>
      </c>
      <c r="G290" s="76" t="str">
        <f>PA_prices!G278</f>
        <v>General Service Small</v>
      </c>
      <c r="H290" s="77" t="str">
        <f t="shared" ref="H290" si="273">IF($M$2="Prices in $/MWh","0-100 MWh","0-100,000 kWh")</f>
        <v>0-100 MWh</v>
      </c>
      <c r="I290" s="76">
        <f>(PA_prices!I278+$D$2)*IF($M$2="Prices in $/MWh",1,1/1000)</f>
        <v>70.34</v>
      </c>
      <c r="J290" s="75">
        <f>(PA_prices!J278+$D$2)*IF($M$2="Prices in $/MWh",1,1/1000)</f>
        <v>69.16</v>
      </c>
      <c r="K290" s="76">
        <f>(PA_prices!K278+$D$2)*IF($M$2="Prices in $/MWh",1,1/1000)</f>
        <v>70.05</v>
      </c>
      <c r="L290" s="75">
        <f>(PA_prices!L278+$D$2)*IF($M$2="Prices in $/MWh",1,1/1000)</f>
        <v>30.67</v>
      </c>
      <c r="M290" s="76">
        <f>(PA_prices!M278+$D$2)*IF($M$2="Prices in $/MWh",1,1/1000)</f>
        <v>29.5</v>
      </c>
      <c r="N290" s="75">
        <f>(PA_prices!N278+$D$2)*IF($M$2="Prices in $/MWh",1,1/1000)</f>
        <v>31.01</v>
      </c>
      <c r="O290" s="61"/>
    </row>
    <row r="291" spans="2:15" x14ac:dyDescent="0.25">
      <c r="B291" s="99" t="s">
        <v>643</v>
      </c>
      <c r="C291" s="78" t="str">
        <f>PA_prices!C279</f>
        <v>October-2016</v>
      </c>
      <c r="D291" s="79" t="str">
        <f>PA_prices!D279</f>
        <v>PA</v>
      </c>
      <c r="E291" s="80" t="str">
        <f>PA_prices!E279</f>
        <v>Penelec</v>
      </c>
      <c r="F291" s="79" t="str">
        <f>PA_prices!F279</f>
        <v>GSCS</v>
      </c>
      <c r="G291" s="80" t="str">
        <f>PA_prices!G279</f>
        <v>General Service Small</v>
      </c>
      <c r="H291" s="81" t="str">
        <f t="shared" ref="H291" si="274">IF($M$2="Prices in $/MWh","100-500 MWh","100,000-500,000 kWh")</f>
        <v>100-500 MWh</v>
      </c>
      <c r="I291" s="80">
        <f>(PA_prices!I279+$D$2)*IF($M$2="Prices in $/MWh",1,1/1000)</f>
        <v>68.739999999999995</v>
      </c>
      <c r="J291" s="79">
        <f>(PA_prices!J279+$D$2)*IF($M$2="Prices in $/MWh",1,1/1000)</f>
        <v>67.56</v>
      </c>
      <c r="K291" s="80">
        <f>(PA_prices!K279+$D$2)*IF($M$2="Prices in $/MWh",1,1/1000)</f>
        <v>68.45</v>
      </c>
      <c r="L291" s="79">
        <f>(PA_prices!L279+$D$2)*IF($M$2="Prices in $/MWh",1,1/1000)</f>
        <v>29.07</v>
      </c>
      <c r="M291" s="80">
        <f>(PA_prices!M279+$D$2)*IF($M$2="Prices in $/MWh",1,1/1000)</f>
        <v>27.9</v>
      </c>
      <c r="N291" s="79">
        <f>(PA_prices!N279+$D$2)*IF($M$2="Prices in $/MWh",1,1/1000)</f>
        <v>29.41</v>
      </c>
      <c r="O291" s="61"/>
    </row>
    <row r="292" spans="2:15" x14ac:dyDescent="0.25">
      <c r="B292" s="99" t="s">
        <v>643</v>
      </c>
      <c r="C292" s="82" t="str">
        <f>PA_prices!C280</f>
        <v>October-2016</v>
      </c>
      <c r="D292" s="83" t="str">
        <f>PA_prices!D280</f>
        <v>PA</v>
      </c>
      <c r="E292" s="84" t="str">
        <f>PA_prices!E280</f>
        <v>Penelec</v>
      </c>
      <c r="F292" s="83" t="str">
        <f>PA_prices!F280</f>
        <v>GSCS</v>
      </c>
      <c r="G292" s="84" t="str">
        <f>PA_prices!G280</f>
        <v>General Service Small</v>
      </c>
      <c r="H292" s="85" t="str">
        <f t="shared" ref="H292" si="275">IF($M$2="Prices in $/MWh","500-2500 MWh","500,000-2,500,000 kWh")</f>
        <v>500-2500 MWh</v>
      </c>
      <c r="I292" s="84">
        <f>(PA_prices!I280+$D$2)*IF($M$2="Prices in $/MWh",1,1/1000)</f>
        <v>67.69</v>
      </c>
      <c r="J292" s="83">
        <f>(PA_prices!J280+$D$2)*IF($M$2="Prices in $/MWh",1,1/1000)</f>
        <v>66.510000000000005</v>
      </c>
      <c r="K292" s="84">
        <f>(PA_prices!K280+$D$2)*IF($M$2="Prices in $/MWh",1,1/1000)</f>
        <v>67.400000000000006</v>
      </c>
      <c r="L292" s="83">
        <f>(PA_prices!L280+$D$2)*IF($M$2="Prices in $/MWh",1,1/1000)</f>
        <v>28.02</v>
      </c>
      <c r="M292" s="84">
        <f>(PA_prices!M280+$D$2)*IF($M$2="Prices in $/MWh",1,1/1000)</f>
        <v>26.85</v>
      </c>
      <c r="N292" s="83">
        <f>(PA_prices!N280+$D$2)*IF($M$2="Prices in $/MWh",1,1/1000)</f>
        <v>28.36</v>
      </c>
      <c r="O292" s="61"/>
    </row>
    <row r="293" spans="2:15" x14ac:dyDescent="0.25">
      <c r="B293" s="99" t="s">
        <v>643</v>
      </c>
      <c r="C293" s="74" t="str">
        <f>PA_prices!C281</f>
        <v>November-2016</v>
      </c>
      <c r="D293" s="75" t="str">
        <f>PA_prices!D281</f>
        <v>PA</v>
      </c>
      <c r="E293" s="76" t="str">
        <f>PA_prices!E281</f>
        <v>Penelec</v>
      </c>
      <c r="F293" s="75" t="str">
        <f>PA_prices!F281</f>
        <v>GSCS</v>
      </c>
      <c r="G293" s="76" t="str">
        <f>PA_prices!G281</f>
        <v>General Service Small</v>
      </c>
      <c r="H293" s="77" t="str">
        <f t="shared" ref="H293" si="276">IF($M$2="Prices in $/MWh","0-100 MWh","0-100,000 kWh")</f>
        <v>0-100 MWh</v>
      </c>
      <c r="I293" s="76">
        <f>(PA_prices!I281+$D$2)*IF($M$2="Prices in $/MWh",1,1/1000)</f>
        <v>70.23</v>
      </c>
      <c r="J293" s="75">
        <f>(PA_prices!J281+$D$2)*IF($M$2="Prices in $/MWh",1,1/1000)</f>
        <v>69.2</v>
      </c>
      <c r="K293" s="76">
        <f>(PA_prices!K281+$D$2)*IF($M$2="Prices in $/MWh",1,1/1000)</f>
        <v>70.05</v>
      </c>
      <c r="L293" s="75">
        <f>(PA_prices!L281+$D$2)*IF($M$2="Prices in $/MWh",1,1/1000)</f>
        <v>30.66</v>
      </c>
      <c r="M293" s="76">
        <f>(PA_prices!M281+$D$2)*IF($M$2="Prices in $/MWh",1,1/1000)</f>
        <v>29.46</v>
      </c>
      <c r="N293" s="75">
        <f>(PA_prices!N281+$D$2)*IF($M$2="Prices in $/MWh",1,1/1000)</f>
        <v>31.07</v>
      </c>
      <c r="O293" s="61"/>
    </row>
    <row r="294" spans="2:15" x14ac:dyDescent="0.25">
      <c r="B294" s="99" t="s">
        <v>643</v>
      </c>
      <c r="C294" s="78" t="str">
        <f>PA_prices!C282</f>
        <v>November-2016</v>
      </c>
      <c r="D294" s="79" t="str">
        <f>PA_prices!D282</f>
        <v>PA</v>
      </c>
      <c r="E294" s="80" t="str">
        <f>PA_prices!E282</f>
        <v>Penelec</v>
      </c>
      <c r="F294" s="79" t="str">
        <f>PA_prices!F282</f>
        <v>GSCS</v>
      </c>
      <c r="G294" s="80" t="str">
        <f>PA_prices!G282</f>
        <v>General Service Small</v>
      </c>
      <c r="H294" s="81" t="str">
        <f t="shared" ref="H294" si="277">IF($M$2="Prices in $/MWh","100-500 MWh","100,000-500,000 kWh")</f>
        <v>100-500 MWh</v>
      </c>
      <c r="I294" s="80">
        <f>(PA_prices!I282+$D$2)*IF($M$2="Prices in $/MWh",1,1/1000)</f>
        <v>68.63</v>
      </c>
      <c r="J294" s="79">
        <f>(PA_prices!J282+$D$2)*IF($M$2="Prices in $/MWh",1,1/1000)</f>
        <v>67.599999999999994</v>
      </c>
      <c r="K294" s="80">
        <f>(PA_prices!K282+$D$2)*IF($M$2="Prices in $/MWh",1,1/1000)</f>
        <v>68.45</v>
      </c>
      <c r="L294" s="79">
        <f>(PA_prices!L282+$D$2)*IF($M$2="Prices in $/MWh",1,1/1000)</f>
        <v>29.06</v>
      </c>
      <c r="M294" s="80">
        <f>(PA_prices!M282+$D$2)*IF($M$2="Prices in $/MWh",1,1/1000)</f>
        <v>27.86</v>
      </c>
      <c r="N294" s="79">
        <f>(PA_prices!N282+$D$2)*IF($M$2="Prices in $/MWh",1,1/1000)</f>
        <v>29.47</v>
      </c>
      <c r="O294" s="61"/>
    </row>
    <row r="295" spans="2:15" x14ac:dyDescent="0.25">
      <c r="B295" s="99" t="s">
        <v>643</v>
      </c>
      <c r="C295" s="82" t="str">
        <f>PA_prices!C283</f>
        <v>November-2016</v>
      </c>
      <c r="D295" s="83" t="str">
        <f>PA_prices!D283</f>
        <v>PA</v>
      </c>
      <c r="E295" s="84" t="str">
        <f>PA_prices!E283</f>
        <v>Penelec</v>
      </c>
      <c r="F295" s="83" t="str">
        <f>PA_prices!F283</f>
        <v>GSCS</v>
      </c>
      <c r="G295" s="84" t="str">
        <f>PA_prices!G283</f>
        <v>General Service Small</v>
      </c>
      <c r="H295" s="85" t="str">
        <f t="shared" ref="H295" si="278">IF($M$2="Prices in $/MWh","500-2500 MWh","500,000-2,500,000 kWh")</f>
        <v>500-2500 MWh</v>
      </c>
      <c r="I295" s="84">
        <f>(PA_prices!I283+$D$2)*IF($M$2="Prices in $/MWh",1,1/1000)</f>
        <v>67.58</v>
      </c>
      <c r="J295" s="83">
        <f>(PA_prices!J283+$D$2)*IF($M$2="Prices in $/MWh",1,1/1000)</f>
        <v>66.55</v>
      </c>
      <c r="K295" s="84">
        <f>(PA_prices!K283+$D$2)*IF($M$2="Prices in $/MWh",1,1/1000)</f>
        <v>67.400000000000006</v>
      </c>
      <c r="L295" s="83">
        <f>(PA_prices!L283+$D$2)*IF($M$2="Prices in $/MWh",1,1/1000)</f>
        <v>28.01</v>
      </c>
      <c r="M295" s="84">
        <f>(PA_prices!M283+$D$2)*IF($M$2="Prices in $/MWh",1,1/1000)</f>
        <v>26.81</v>
      </c>
      <c r="N295" s="83">
        <f>(PA_prices!N283+$D$2)*IF($M$2="Prices in $/MWh",1,1/1000)</f>
        <v>28.42</v>
      </c>
      <c r="O295" s="61"/>
    </row>
    <row r="296" spans="2:15" x14ac:dyDescent="0.25">
      <c r="B296" s="99" t="s">
        <v>643</v>
      </c>
      <c r="C296" s="74" t="str">
        <f>PA_prices!C284</f>
        <v>December-2016</v>
      </c>
      <c r="D296" s="75" t="str">
        <f>PA_prices!D284</f>
        <v>PA</v>
      </c>
      <c r="E296" s="76" t="str">
        <f>PA_prices!E284</f>
        <v>Penelec</v>
      </c>
      <c r="F296" s="75" t="str">
        <f>PA_prices!F284</f>
        <v>GSCS</v>
      </c>
      <c r="G296" s="76" t="str">
        <f>PA_prices!G284</f>
        <v>General Service Small</v>
      </c>
      <c r="H296" s="77" t="str">
        <f t="shared" ref="H296" si="279">IF($M$2="Prices in $/MWh","0-100 MWh","0-100,000 kWh")</f>
        <v>0-100 MWh</v>
      </c>
      <c r="I296" s="76">
        <f>(PA_prices!I284+$D$2)*IF($M$2="Prices in $/MWh",1,1/1000)</f>
        <v>69.92</v>
      </c>
      <c r="J296" s="75">
        <f>(PA_prices!J284+$D$2)*IF($M$2="Prices in $/MWh",1,1/1000)</f>
        <v>69.72</v>
      </c>
      <c r="K296" s="76">
        <f>(PA_prices!K284+$D$2)*IF($M$2="Prices in $/MWh",1,1/1000)</f>
        <v>69.930000000000007</v>
      </c>
      <c r="L296" s="75">
        <f>(PA_prices!L284+$D$2)*IF($M$2="Prices in $/MWh",1,1/1000)</f>
        <v>30.55</v>
      </c>
      <c r="M296" s="76">
        <f>(PA_prices!M284+$D$2)*IF($M$2="Prices in $/MWh",1,1/1000)</f>
        <v>29.89</v>
      </c>
      <c r="N296" s="75">
        <f>(PA_prices!N284+$D$2)*IF($M$2="Prices in $/MWh",1,1/1000)</f>
        <v>31.1</v>
      </c>
      <c r="O296" s="61"/>
    </row>
    <row r="297" spans="2:15" x14ac:dyDescent="0.25">
      <c r="B297" s="99" t="s">
        <v>643</v>
      </c>
      <c r="C297" s="78" t="str">
        <f>PA_prices!C285</f>
        <v>December-2016</v>
      </c>
      <c r="D297" s="79" t="str">
        <f>PA_prices!D285</f>
        <v>PA</v>
      </c>
      <c r="E297" s="80" t="str">
        <f>PA_prices!E285</f>
        <v>Penelec</v>
      </c>
      <c r="F297" s="79" t="str">
        <f>PA_prices!F285</f>
        <v>GSCS</v>
      </c>
      <c r="G297" s="80" t="str">
        <f>PA_prices!G285</f>
        <v>General Service Small</v>
      </c>
      <c r="H297" s="81" t="str">
        <f t="shared" ref="H297" si="280">IF($M$2="Prices in $/MWh","100-500 MWh","100,000-500,000 kWh")</f>
        <v>100-500 MWh</v>
      </c>
      <c r="I297" s="80">
        <f>(PA_prices!I285+$D$2)*IF($M$2="Prices in $/MWh",1,1/1000)</f>
        <v>68.319999999999993</v>
      </c>
      <c r="J297" s="79">
        <f>(PA_prices!J285+$D$2)*IF($M$2="Prices in $/MWh",1,1/1000)</f>
        <v>68.12</v>
      </c>
      <c r="K297" s="80">
        <f>(PA_prices!K285+$D$2)*IF($M$2="Prices in $/MWh",1,1/1000)</f>
        <v>68.33</v>
      </c>
      <c r="L297" s="79">
        <f>(PA_prices!L285+$D$2)*IF($M$2="Prices in $/MWh",1,1/1000)</f>
        <v>28.95</v>
      </c>
      <c r="M297" s="80">
        <f>(PA_prices!M285+$D$2)*IF($M$2="Prices in $/MWh",1,1/1000)</f>
        <v>28.29</v>
      </c>
      <c r="N297" s="79">
        <f>(PA_prices!N285+$D$2)*IF($M$2="Prices in $/MWh",1,1/1000)</f>
        <v>29.5</v>
      </c>
      <c r="O297" s="61"/>
    </row>
    <row r="298" spans="2:15" x14ac:dyDescent="0.25">
      <c r="B298" s="99" t="s">
        <v>643</v>
      </c>
      <c r="C298" s="82" t="str">
        <f>PA_prices!C286</f>
        <v>December-2016</v>
      </c>
      <c r="D298" s="83" t="str">
        <f>PA_prices!D286</f>
        <v>PA</v>
      </c>
      <c r="E298" s="84" t="str">
        <f>PA_prices!E286</f>
        <v>Penelec</v>
      </c>
      <c r="F298" s="83" t="str">
        <f>PA_prices!F286</f>
        <v>GSCS</v>
      </c>
      <c r="G298" s="84" t="str">
        <f>PA_prices!G286</f>
        <v>General Service Small</v>
      </c>
      <c r="H298" s="85" t="str">
        <f t="shared" ref="H298" si="281">IF($M$2="Prices in $/MWh","500-2500 MWh","500,000-2,500,000 kWh")</f>
        <v>500-2500 MWh</v>
      </c>
      <c r="I298" s="84">
        <f>(PA_prices!I286+$D$2)*IF($M$2="Prices in $/MWh",1,1/1000)</f>
        <v>67.27</v>
      </c>
      <c r="J298" s="83">
        <f>(PA_prices!J286+$D$2)*IF($M$2="Prices in $/MWh",1,1/1000)</f>
        <v>67.069999999999993</v>
      </c>
      <c r="K298" s="84">
        <f>(PA_prices!K286+$D$2)*IF($M$2="Prices in $/MWh",1,1/1000)</f>
        <v>67.28</v>
      </c>
      <c r="L298" s="83">
        <f>(PA_prices!L286+$D$2)*IF($M$2="Prices in $/MWh",1,1/1000)</f>
        <v>27.9</v>
      </c>
      <c r="M298" s="84">
        <f>(PA_prices!M286+$D$2)*IF($M$2="Prices in $/MWh",1,1/1000)</f>
        <v>27.24</v>
      </c>
      <c r="N298" s="83">
        <f>(PA_prices!N286+$D$2)*IF($M$2="Prices in $/MWh",1,1/1000)</f>
        <v>28.45</v>
      </c>
      <c r="O298" s="61"/>
    </row>
    <row r="299" spans="2:15" x14ac:dyDescent="0.25">
      <c r="B299" s="99" t="s">
        <v>643</v>
      </c>
      <c r="C299" s="74" t="str">
        <f>PA_prices!C287</f>
        <v>January-2017</v>
      </c>
      <c r="D299" s="75" t="str">
        <f>PA_prices!D287</f>
        <v>PA</v>
      </c>
      <c r="E299" s="76" t="str">
        <f>PA_prices!E287</f>
        <v>Penelec</v>
      </c>
      <c r="F299" s="75" t="str">
        <f>PA_prices!F287</f>
        <v>GSCS</v>
      </c>
      <c r="G299" s="76" t="str">
        <f>PA_prices!G287</f>
        <v>General Service Small</v>
      </c>
      <c r="H299" s="77" t="str">
        <f t="shared" ref="H299" si="282">IF($M$2="Prices in $/MWh","0-100 MWh","0-100,000 kWh")</f>
        <v>0-100 MWh</v>
      </c>
      <c r="I299" s="76">
        <f>(PA_prices!I287+$D$2)*IF($M$2="Prices in $/MWh",1,1/1000)</f>
        <v>69.81</v>
      </c>
      <c r="J299" s="75">
        <f>(PA_prices!J287+$D$2)*IF($M$2="Prices in $/MWh",1,1/1000)</f>
        <v>70.53</v>
      </c>
      <c r="K299" s="76">
        <f>(PA_prices!K287+$D$2)*IF($M$2="Prices in $/MWh",1,1/1000)</f>
        <v>69.98</v>
      </c>
      <c r="L299" s="75">
        <f>(PA_prices!L287+$D$2)*IF($M$2="Prices in $/MWh",1,1/1000)</f>
        <v>30.64</v>
      </c>
      <c r="M299" s="76">
        <f>(PA_prices!M287+$D$2)*IF($M$2="Prices in $/MWh",1,1/1000)</f>
        <v>30.66</v>
      </c>
      <c r="N299" s="75">
        <f>(PA_prices!N287+$D$2)*IF($M$2="Prices in $/MWh",1,1/1000)</f>
        <v>31.22</v>
      </c>
      <c r="O299" s="61"/>
    </row>
    <row r="300" spans="2:15" x14ac:dyDescent="0.25">
      <c r="B300" s="99" t="s">
        <v>643</v>
      </c>
      <c r="C300" s="78" t="str">
        <f>PA_prices!C288</f>
        <v>January-2017</v>
      </c>
      <c r="D300" s="79" t="str">
        <f>PA_prices!D288</f>
        <v>PA</v>
      </c>
      <c r="E300" s="80" t="str">
        <f>PA_prices!E288</f>
        <v>Penelec</v>
      </c>
      <c r="F300" s="79" t="str">
        <f>PA_prices!F288</f>
        <v>GSCS</v>
      </c>
      <c r="G300" s="80" t="str">
        <f>PA_prices!G288</f>
        <v>General Service Small</v>
      </c>
      <c r="H300" s="81" t="str">
        <f t="shared" ref="H300" si="283">IF($M$2="Prices in $/MWh","100-500 MWh","100,000-500,000 kWh")</f>
        <v>100-500 MWh</v>
      </c>
      <c r="I300" s="80">
        <f>(PA_prices!I288+$D$2)*IF($M$2="Prices in $/MWh",1,1/1000)</f>
        <v>68.209999999999994</v>
      </c>
      <c r="J300" s="79">
        <f>(PA_prices!J288+$D$2)*IF($M$2="Prices in $/MWh",1,1/1000)</f>
        <v>68.930000000000007</v>
      </c>
      <c r="K300" s="80">
        <f>(PA_prices!K288+$D$2)*IF($M$2="Prices in $/MWh",1,1/1000)</f>
        <v>68.38</v>
      </c>
      <c r="L300" s="79">
        <f>(PA_prices!L288+$D$2)*IF($M$2="Prices in $/MWh",1,1/1000)</f>
        <v>29.04</v>
      </c>
      <c r="M300" s="80">
        <f>(PA_prices!M288+$D$2)*IF($M$2="Prices in $/MWh",1,1/1000)</f>
        <v>29.06</v>
      </c>
      <c r="N300" s="79">
        <f>(PA_prices!N288+$D$2)*IF($M$2="Prices in $/MWh",1,1/1000)</f>
        <v>29.62</v>
      </c>
      <c r="O300" s="61"/>
    </row>
    <row r="301" spans="2:15" x14ac:dyDescent="0.25">
      <c r="B301" s="99" t="s">
        <v>643</v>
      </c>
      <c r="C301" s="82" t="str">
        <f>PA_prices!C289</f>
        <v>January-2017</v>
      </c>
      <c r="D301" s="83" t="str">
        <f>PA_prices!D289</f>
        <v>PA</v>
      </c>
      <c r="E301" s="84" t="str">
        <f>PA_prices!E289</f>
        <v>Penelec</v>
      </c>
      <c r="F301" s="83" t="str">
        <f>PA_prices!F289</f>
        <v>GSCS</v>
      </c>
      <c r="G301" s="84" t="str">
        <f>PA_prices!G289</f>
        <v>General Service Small</v>
      </c>
      <c r="H301" s="85" t="str">
        <f t="shared" ref="H301" si="284">IF($M$2="Prices in $/MWh","500-2500 MWh","500,000-2,500,000 kWh")</f>
        <v>500-2500 MWh</v>
      </c>
      <c r="I301" s="84">
        <f>(PA_prices!I289+$D$2)*IF($M$2="Prices in $/MWh",1,1/1000)</f>
        <v>67.16</v>
      </c>
      <c r="J301" s="83">
        <f>(PA_prices!J289+$D$2)*IF($M$2="Prices in $/MWh",1,1/1000)</f>
        <v>67.88</v>
      </c>
      <c r="K301" s="84">
        <f>(PA_prices!K289+$D$2)*IF($M$2="Prices in $/MWh",1,1/1000)</f>
        <v>67.33</v>
      </c>
      <c r="L301" s="83">
        <f>(PA_prices!L289+$D$2)*IF($M$2="Prices in $/MWh",1,1/1000)</f>
        <v>27.99</v>
      </c>
      <c r="M301" s="84">
        <f>(PA_prices!M289+$D$2)*IF($M$2="Prices in $/MWh",1,1/1000)</f>
        <v>28.01</v>
      </c>
      <c r="N301" s="83">
        <f>(PA_prices!N289+$D$2)*IF($M$2="Prices in $/MWh",1,1/1000)</f>
        <v>28.57</v>
      </c>
      <c r="O301" s="61"/>
    </row>
    <row r="302" spans="2:15" x14ac:dyDescent="0.25">
      <c r="B302" s="99" t="s">
        <v>644</v>
      </c>
      <c r="C302" s="74" t="str">
        <f>PA_prices!C290</f>
        <v>February-2016</v>
      </c>
      <c r="D302" s="75" t="str">
        <f>PA_prices!D290</f>
        <v>PA</v>
      </c>
      <c r="E302" s="76" t="str">
        <f>PA_prices!E290</f>
        <v>Penn Pwr</v>
      </c>
      <c r="F302" s="75" t="str">
        <f>PA_prices!F290</f>
        <v>GS</v>
      </c>
      <c r="G302" s="76" t="str">
        <f>PA_prices!G290</f>
        <v>General service</v>
      </c>
      <c r="H302" s="77" t="str">
        <f t="shared" ref="H302" si="285">IF($M$2="Prices in $/MWh","0-100 MWh","0-100,000 kWh")</f>
        <v>0-100 MWh</v>
      </c>
      <c r="I302" s="76">
        <f>(PA_prices!I290+$D$2)*IF($M$2="Prices in $/MWh",1,1/1000)</f>
        <v>79.989999999999995</v>
      </c>
      <c r="J302" s="75">
        <f>(PA_prices!J290+$D$2)*IF($M$2="Prices in $/MWh",1,1/1000)</f>
        <v>79.11</v>
      </c>
      <c r="K302" s="76">
        <f>(PA_prices!K290+$D$2)*IF($M$2="Prices in $/MWh",1,1/1000)</f>
        <v>78.150000000000006</v>
      </c>
      <c r="L302" s="75">
        <f>(PA_prices!L290+$D$2)*IF($M$2="Prices in $/MWh",1,1/1000)</f>
        <v>43.22</v>
      </c>
      <c r="M302" s="76">
        <f>(PA_prices!M290+$D$2)*IF($M$2="Prices in $/MWh",1,1/1000)</f>
        <v>41.85</v>
      </c>
      <c r="N302" s="75">
        <f>(PA_prices!N290+$D$2)*IF($M$2="Prices in $/MWh",1,1/1000)</f>
        <v>41.25</v>
      </c>
      <c r="O302" s="61"/>
    </row>
    <row r="303" spans="2:15" x14ac:dyDescent="0.25">
      <c r="B303" s="99" t="s">
        <v>644</v>
      </c>
      <c r="C303" s="78" t="str">
        <f>PA_prices!C291</f>
        <v>February-2016</v>
      </c>
      <c r="D303" s="79" t="str">
        <f>PA_prices!D291</f>
        <v>PA</v>
      </c>
      <c r="E303" s="80" t="str">
        <f>PA_prices!E291</f>
        <v>Penn Pwr</v>
      </c>
      <c r="F303" s="79" t="str">
        <f>PA_prices!F291</f>
        <v>GS</v>
      </c>
      <c r="G303" s="80" t="str">
        <f>PA_prices!G291</f>
        <v>General service</v>
      </c>
      <c r="H303" s="81" t="str">
        <f t="shared" ref="H303" si="286">IF($M$2="Prices in $/MWh","100-500 MWh","100,000-500,000 kWh")</f>
        <v>100-500 MWh</v>
      </c>
      <c r="I303" s="80">
        <f>(PA_prices!I291+$D$2)*IF($M$2="Prices in $/MWh",1,1/1000)</f>
        <v>78.39</v>
      </c>
      <c r="J303" s="79">
        <f>(PA_prices!J291+$D$2)*IF($M$2="Prices in $/MWh",1,1/1000)</f>
        <v>77.510000000000005</v>
      </c>
      <c r="K303" s="80">
        <f>(PA_prices!K291+$D$2)*IF($M$2="Prices in $/MWh",1,1/1000)</f>
        <v>76.55</v>
      </c>
      <c r="L303" s="79">
        <f>(PA_prices!L291+$D$2)*IF($M$2="Prices in $/MWh",1,1/1000)</f>
        <v>41.62</v>
      </c>
      <c r="M303" s="80">
        <f>(PA_prices!M291+$D$2)*IF($M$2="Prices in $/MWh",1,1/1000)</f>
        <v>40.25</v>
      </c>
      <c r="N303" s="79">
        <f>(PA_prices!N291+$D$2)*IF($M$2="Prices in $/MWh",1,1/1000)</f>
        <v>39.65</v>
      </c>
      <c r="O303" s="61"/>
    </row>
    <row r="304" spans="2:15" x14ac:dyDescent="0.25">
      <c r="B304" s="99" t="s">
        <v>644</v>
      </c>
      <c r="C304" s="82" t="str">
        <f>PA_prices!C292</f>
        <v>February-2016</v>
      </c>
      <c r="D304" s="83" t="str">
        <f>PA_prices!D292</f>
        <v>PA</v>
      </c>
      <c r="E304" s="84" t="str">
        <f>PA_prices!E292</f>
        <v>Penn Pwr</v>
      </c>
      <c r="F304" s="83" t="str">
        <f>PA_prices!F292</f>
        <v>GS</v>
      </c>
      <c r="G304" s="84" t="str">
        <f>PA_prices!G292</f>
        <v>General service</v>
      </c>
      <c r="H304" s="85" t="str">
        <f t="shared" ref="H304" si="287">IF($M$2="Prices in $/MWh","500-2500 MWh","500,000-2,500,000 kWh")</f>
        <v>500-2500 MWh</v>
      </c>
      <c r="I304" s="84">
        <f>(PA_prices!I292+$D$2)*IF($M$2="Prices in $/MWh",1,1/1000)</f>
        <v>77.34</v>
      </c>
      <c r="J304" s="83">
        <f>(PA_prices!J292+$D$2)*IF($M$2="Prices in $/MWh",1,1/1000)</f>
        <v>76.459999999999994</v>
      </c>
      <c r="K304" s="84">
        <f>(PA_prices!K292+$D$2)*IF($M$2="Prices in $/MWh",1,1/1000)</f>
        <v>75.5</v>
      </c>
      <c r="L304" s="83">
        <f>(PA_prices!L292+$D$2)*IF($M$2="Prices in $/MWh",1,1/1000)</f>
        <v>40.57</v>
      </c>
      <c r="M304" s="84">
        <f>(PA_prices!M292+$D$2)*IF($M$2="Prices in $/MWh",1,1/1000)</f>
        <v>39.200000000000003</v>
      </c>
      <c r="N304" s="83">
        <f>(PA_prices!N292+$D$2)*IF($M$2="Prices in $/MWh",1,1/1000)</f>
        <v>38.6</v>
      </c>
      <c r="O304" s="61"/>
    </row>
    <row r="305" spans="2:15" x14ac:dyDescent="0.25">
      <c r="B305" s="99" t="s">
        <v>644</v>
      </c>
      <c r="C305" s="74" t="str">
        <f>PA_prices!C293</f>
        <v>March-2016</v>
      </c>
      <c r="D305" s="75" t="str">
        <f>PA_prices!D293</f>
        <v>PA</v>
      </c>
      <c r="E305" s="76" t="str">
        <f>PA_prices!E293</f>
        <v>Penn Pwr</v>
      </c>
      <c r="F305" s="75" t="str">
        <f>PA_prices!F293</f>
        <v>GS</v>
      </c>
      <c r="G305" s="76" t="str">
        <f>PA_prices!G293</f>
        <v>General service</v>
      </c>
      <c r="H305" s="77" t="str">
        <f t="shared" ref="H305" si="288">IF($M$2="Prices in $/MWh","0-100 MWh","0-100,000 kWh")</f>
        <v>0-100 MWh</v>
      </c>
      <c r="I305" s="76">
        <f>(PA_prices!I293+$D$2)*IF($M$2="Prices in $/MWh",1,1/1000)</f>
        <v>78.91</v>
      </c>
      <c r="J305" s="75">
        <f>(PA_prices!J293+$D$2)*IF($M$2="Prices in $/MWh",1,1/1000)</f>
        <v>78.599999999999994</v>
      </c>
      <c r="K305" s="76">
        <f>(PA_prices!K293+$D$2)*IF($M$2="Prices in $/MWh",1,1/1000)</f>
        <v>77.67</v>
      </c>
      <c r="L305" s="75">
        <f>(PA_prices!L293+$D$2)*IF($M$2="Prices in $/MWh",1,1/1000)</f>
        <v>41.91</v>
      </c>
      <c r="M305" s="76">
        <f>(PA_prices!M293+$D$2)*IF($M$2="Prices in $/MWh",1,1/1000)</f>
        <v>41.23</v>
      </c>
      <c r="N305" s="75">
        <f>(PA_prices!N293+$D$2)*IF($M$2="Prices in $/MWh",1,1/1000)</f>
        <v>40.68</v>
      </c>
      <c r="O305" s="61"/>
    </row>
    <row r="306" spans="2:15" x14ac:dyDescent="0.25">
      <c r="B306" s="99" t="s">
        <v>644</v>
      </c>
      <c r="C306" s="78" t="str">
        <f>PA_prices!C294</f>
        <v>March-2016</v>
      </c>
      <c r="D306" s="79" t="str">
        <f>PA_prices!D294</f>
        <v>PA</v>
      </c>
      <c r="E306" s="80" t="str">
        <f>PA_prices!E294</f>
        <v>Penn Pwr</v>
      </c>
      <c r="F306" s="79" t="str">
        <f>PA_prices!F294</f>
        <v>GS</v>
      </c>
      <c r="G306" s="80" t="str">
        <f>PA_prices!G294</f>
        <v>General service</v>
      </c>
      <c r="H306" s="81" t="str">
        <f t="shared" ref="H306" si="289">IF($M$2="Prices in $/MWh","100-500 MWh","100,000-500,000 kWh")</f>
        <v>100-500 MWh</v>
      </c>
      <c r="I306" s="80">
        <f>(PA_prices!I294+$D$2)*IF($M$2="Prices in $/MWh",1,1/1000)</f>
        <v>77.31</v>
      </c>
      <c r="J306" s="79">
        <f>(PA_prices!J294+$D$2)*IF($M$2="Prices in $/MWh",1,1/1000)</f>
        <v>77</v>
      </c>
      <c r="K306" s="80">
        <f>(PA_prices!K294+$D$2)*IF($M$2="Prices in $/MWh",1,1/1000)</f>
        <v>76.069999999999993</v>
      </c>
      <c r="L306" s="79">
        <f>(PA_prices!L294+$D$2)*IF($M$2="Prices in $/MWh",1,1/1000)</f>
        <v>40.31</v>
      </c>
      <c r="M306" s="80">
        <f>(PA_prices!M294+$D$2)*IF($M$2="Prices in $/MWh",1,1/1000)</f>
        <v>39.630000000000003</v>
      </c>
      <c r="N306" s="79">
        <f>(PA_prices!N294+$D$2)*IF($M$2="Prices in $/MWh",1,1/1000)</f>
        <v>39.08</v>
      </c>
      <c r="O306" s="61"/>
    </row>
    <row r="307" spans="2:15" x14ac:dyDescent="0.25">
      <c r="B307" s="99" t="s">
        <v>644</v>
      </c>
      <c r="C307" s="82" t="str">
        <f>PA_prices!C295</f>
        <v>March-2016</v>
      </c>
      <c r="D307" s="83" t="str">
        <f>PA_prices!D295</f>
        <v>PA</v>
      </c>
      <c r="E307" s="84" t="str">
        <f>PA_prices!E295</f>
        <v>Penn Pwr</v>
      </c>
      <c r="F307" s="83" t="str">
        <f>PA_prices!F295</f>
        <v>GS</v>
      </c>
      <c r="G307" s="84" t="str">
        <f>PA_prices!G295</f>
        <v>General service</v>
      </c>
      <c r="H307" s="85" t="str">
        <f t="shared" ref="H307" si="290">IF($M$2="Prices in $/MWh","500-2500 MWh","500,000-2,500,000 kWh")</f>
        <v>500-2500 MWh</v>
      </c>
      <c r="I307" s="84">
        <f>(PA_prices!I295+$D$2)*IF($M$2="Prices in $/MWh",1,1/1000)</f>
        <v>76.260000000000005</v>
      </c>
      <c r="J307" s="83">
        <f>(PA_prices!J295+$D$2)*IF($M$2="Prices in $/MWh",1,1/1000)</f>
        <v>75.95</v>
      </c>
      <c r="K307" s="84">
        <f>(PA_prices!K295+$D$2)*IF($M$2="Prices in $/MWh",1,1/1000)</f>
        <v>75.02</v>
      </c>
      <c r="L307" s="83">
        <f>(PA_prices!L295+$D$2)*IF($M$2="Prices in $/MWh",1,1/1000)</f>
        <v>39.26</v>
      </c>
      <c r="M307" s="84">
        <f>(PA_prices!M295+$D$2)*IF($M$2="Prices in $/MWh",1,1/1000)</f>
        <v>38.58</v>
      </c>
      <c r="N307" s="83">
        <f>(PA_prices!N295+$D$2)*IF($M$2="Prices in $/MWh",1,1/1000)</f>
        <v>38.03</v>
      </c>
      <c r="O307" s="61"/>
    </row>
    <row r="308" spans="2:15" x14ac:dyDescent="0.25">
      <c r="B308" s="99" t="s">
        <v>644</v>
      </c>
      <c r="C308" s="74" t="str">
        <f>PA_prices!C296</f>
        <v>April-2016</v>
      </c>
      <c r="D308" s="75" t="str">
        <f>PA_prices!D296</f>
        <v>PA</v>
      </c>
      <c r="E308" s="76" t="str">
        <f>PA_prices!E296</f>
        <v>Penn Pwr</v>
      </c>
      <c r="F308" s="75" t="str">
        <f>PA_prices!F296</f>
        <v>GS</v>
      </c>
      <c r="G308" s="76" t="str">
        <f>PA_prices!G296</f>
        <v>General service</v>
      </c>
      <c r="H308" s="77" t="str">
        <f t="shared" ref="H308" si="291">IF($M$2="Prices in $/MWh","0-100 MWh","0-100,000 kWh")</f>
        <v>0-100 MWh</v>
      </c>
      <c r="I308" s="76">
        <f>(PA_prices!I296+$D$2)*IF($M$2="Prices in $/MWh",1,1/1000)</f>
        <v>77.709999999999994</v>
      </c>
      <c r="J308" s="75">
        <f>(PA_prices!J296+$D$2)*IF($M$2="Prices in $/MWh",1,1/1000)</f>
        <v>77.67</v>
      </c>
      <c r="K308" s="76">
        <f>(PA_prices!K296+$D$2)*IF($M$2="Prices in $/MWh",1,1/1000)</f>
        <v>77.14</v>
      </c>
      <c r="L308" s="75">
        <f>(PA_prices!L296+$D$2)*IF($M$2="Prices in $/MWh",1,1/1000)</f>
        <v>40.49</v>
      </c>
      <c r="M308" s="76">
        <f>(PA_prices!M296+$D$2)*IF($M$2="Prices in $/MWh",1,1/1000)</f>
        <v>40.409999999999997</v>
      </c>
      <c r="N308" s="75">
        <f>(PA_prices!N296+$D$2)*IF($M$2="Prices in $/MWh",1,1/1000)</f>
        <v>40.08</v>
      </c>
      <c r="O308" s="61"/>
    </row>
    <row r="309" spans="2:15" x14ac:dyDescent="0.25">
      <c r="B309" s="99" t="s">
        <v>644</v>
      </c>
      <c r="C309" s="78" t="str">
        <f>PA_prices!C297</f>
        <v>April-2016</v>
      </c>
      <c r="D309" s="79" t="str">
        <f>PA_prices!D297</f>
        <v>PA</v>
      </c>
      <c r="E309" s="80" t="str">
        <f>PA_prices!E297</f>
        <v>Penn Pwr</v>
      </c>
      <c r="F309" s="79" t="str">
        <f>PA_prices!F297</f>
        <v>GS</v>
      </c>
      <c r="G309" s="80" t="str">
        <f>PA_prices!G297</f>
        <v>General service</v>
      </c>
      <c r="H309" s="81" t="str">
        <f t="shared" ref="H309" si="292">IF($M$2="Prices in $/MWh","100-500 MWh","100,000-500,000 kWh")</f>
        <v>100-500 MWh</v>
      </c>
      <c r="I309" s="80">
        <f>(PA_prices!I297+$D$2)*IF($M$2="Prices in $/MWh",1,1/1000)</f>
        <v>76.11</v>
      </c>
      <c r="J309" s="79">
        <f>(PA_prices!J297+$D$2)*IF($M$2="Prices in $/MWh",1,1/1000)</f>
        <v>76.069999999999993</v>
      </c>
      <c r="K309" s="80">
        <f>(PA_prices!K297+$D$2)*IF($M$2="Prices in $/MWh",1,1/1000)</f>
        <v>75.540000000000006</v>
      </c>
      <c r="L309" s="79">
        <f>(PA_prices!L297+$D$2)*IF($M$2="Prices in $/MWh",1,1/1000)</f>
        <v>38.89</v>
      </c>
      <c r="M309" s="80">
        <f>(PA_prices!M297+$D$2)*IF($M$2="Prices in $/MWh",1,1/1000)</f>
        <v>38.81</v>
      </c>
      <c r="N309" s="79">
        <f>(PA_prices!N297+$D$2)*IF($M$2="Prices in $/MWh",1,1/1000)</f>
        <v>38.479999999999997</v>
      </c>
      <c r="O309" s="61"/>
    </row>
    <row r="310" spans="2:15" x14ac:dyDescent="0.25">
      <c r="B310" s="99" t="s">
        <v>644</v>
      </c>
      <c r="C310" s="82" t="str">
        <f>PA_prices!C298</f>
        <v>April-2016</v>
      </c>
      <c r="D310" s="83" t="str">
        <f>PA_prices!D298</f>
        <v>PA</v>
      </c>
      <c r="E310" s="84" t="str">
        <f>PA_prices!E298</f>
        <v>Penn Pwr</v>
      </c>
      <c r="F310" s="83" t="str">
        <f>PA_prices!F298</f>
        <v>GS</v>
      </c>
      <c r="G310" s="84" t="str">
        <f>PA_prices!G298</f>
        <v>General service</v>
      </c>
      <c r="H310" s="85" t="str">
        <f t="shared" ref="H310" si="293">IF($M$2="Prices in $/MWh","500-2500 MWh","500,000-2,500,000 kWh")</f>
        <v>500-2500 MWh</v>
      </c>
      <c r="I310" s="84">
        <f>(PA_prices!I298+$D$2)*IF($M$2="Prices in $/MWh",1,1/1000)</f>
        <v>75.06</v>
      </c>
      <c r="J310" s="83">
        <f>(PA_prices!J298+$D$2)*IF($M$2="Prices in $/MWh",1,1/1000)</f>
        <v>75.02</v>
      </c>
      <c r="K310" s="84">
        <f>(PA_prices!K298+$D$2)*IF($M$2="Prices in $/MWh",1,1/1000)</f>
        <v>74.489999999999995</v>
      </c>
      <c r="L310" s="83">
        <f>(PA_prices!L298+$D$2)*IF($M$2="Prices in $/MWh",1,1/1000)</f>
        <v>37.840000000000003</v>
      </c>
      <c r="M310" s="84">
        <f>(PA_prices!M298+$D$2)*IF($M$2="Prices in $/MWh",1,1/1000)</f>
        <v>37.76</v>
      </c>
      <c r="N310" s="83">
        <f>(PA_prices!N298+$D$2)*IF($M$2="Prices in $/MWh",1,1/1000)</f>
        <v>37.43</v>
      </c>
      <c r="O310" s="61"/>
    </row>
    <row r="311" spans="2:15" x14ac:dyDescent="0.25">
      <c r="B311" s="99" t="s">
        <v>644</v>
      </c>
      <c r="C311" s="74" t="str">
        <f>PA_prices!C299</f>
        <v>May-2016</v>
      </c>
      <c r="D311" s="75" t="str">
        <f>PA_prices!D299</f>
        <v>PA</v>
      </c>
      <c r="E311" s="76" t="str">
        <f>PA_prices!E299</f>
        <v>Penn Pwr</v>
      </c>
      <c r="F311" s="75" t="str">
        <f>PA_prices!F299</f>
        <v>GS</v>
      </c>
      <c r="G311" s="76" t="str">
        <f>PA_prices!G299</f>
        <v>General service</v>
      </c>
      <c r="H311" s="77" t="str">
        <f t="shared" ref="H311" si="294">IF($M$2="Prices in $/MWh","0-100 MWh","0-100,000 kWh")</f>
        <v>0-100 MWh</v>
      </c>
      <c r="I311" s="76">
        <f>(PA_prices!I299+$D$2)*IF($M$2="Prices in $/MWh",1,1/1000)</f>
        <v>76.41</v>
      </c>
      <c r="J311" s="75">
        <f>(PA_prices!J299+$D$2)*IF($M$2="Prices in $/MWh",1,1/1000)</f>
        <v>76.77</v>
      </c>
      <c r="K311" s="76">
        <f>(PA_prices!K299+$D$2)*IF($M$2="Prices in $/MWh",1,1/1000)</f>
        <v>76.55</v>
      </c>
      <c r="L311" s="75">
        <f>(PA_prices!L299+$D$2)*IF($M$2="Prices in $/MWh",1,1/1000)</f>
        <v>39.11</v>
      </c>
      <c r="M311" s="76">
        <f>(PA_prices!M299+$D$2)*IF($M$2="Prices in $/MWh",1,1/1000)</f>
        <v>39.58</v>
      </c>
      <c r="N311" s="75">
        <f>(PA_prices!N299+$D$2)*IF($M$2="Prices in $/MWh",1,1/1000)</f>
        <v>39.49</v>
      </c>
      <c r="O311" s="61"/>
    </row>
    <row r="312" spans="2:15" x14ac:dyDescent="0.25">
      <c r="B312" s="99" t="s">
        <v>644</v>
      </c>
      <c r="C312" s="78" t="str">
        <f>PA_prices!C300</f>
        <v>May-2016</v>
      </c>
      <c r="D312" s="79" t="str">
        <f>PA_prices!D300</f>
        <v>PA</v>
      </c>
      <c r="E312" s="80" t="str">
        <f>PA_prices!E300</f>
        <v>Penn Pwr</v>
      </c>
      <c r="F312" s="79" t="str">
        <f>PA_prices!F300</f>
        <v>GS</v>
      </c>
      <c r="G312" s="80" t="str">
        <f>PA_prices!G300</f>
        <v>General service</v>
      </c>
      <c r="H312" s="81" t="str">
        <f t="shared" ref="H312" si="295">IF($M$2="Prices in $/MWh","100-500 MWh","100,000-500,000 kWh")</f>
        <v>100-500 MWh</v>
      </c>
      <c r="I312" s="80">
        <f>(PA_prices!I300+$D$2)*IF($M$2="Prices in $/MWh",1,1/1000)</f>
        <v>74.81</v>
      </c>
      <c r="J312" s="79">
        <f>(PA_prices!J300+$D$2)*IF($M$2="Prices in $/MWh",1,1/1000)</f>
        <v>75.17</v>
      </c>
      <c r="K312" s="80">
        <f>(PA_prices!K300+$D$2)*IF($M$2="Prices in $/MWh",1,1/1000)</f>
        <v>74.95</v>
      </c>
      <c r="L312" s="79">
        <f>(PA_prices!L300+$D$2)*IF($M$2="Prices in $/MWh",1,1/1000)</f>
        <v>37.51</v>
      </c>
      <c r="M312" s="80">
        <f>(PA_prices!M300+$D$2)*IF($M$2="Prices in $/MWh",1,1/1000)</f>
        <v>37.979999999999997</v>
      </c>
      <c r="N312" s="79">
        <f>(PA_prices!N300+$D$2)*IF($M$2="Prices in $/MWh",1,1/1000)</f>
        <v>37.89</v>
      </c>
      <c r="O312" s="61"/>
    </row>
    <row r="313" spans="2:15" x14ac:dyDescent="0.25">
      <c r="B313" s="99" t="s">
        <v>644</v>
      </c>
      <c r="C313" s="82" t="str">
        <f>PA_prices!C301</f>
        <v>May-2016</v>
      </c>
      <c r="D313" s="83" t="str">
        <f>PA_prices!D301</f>
        <v>PA</v>
      </c>
      <c r="E313" s="84" t="str">
        <f>PA_prices!E301</f>
        <v>Penn Pwr</v>
      </c>
      <c r="F313" s="83" t="str">
        <f>PA_prices!F301</f>
        <v>GS</v>
      </c>
      <c r="G313" s="84" t="str">
        <f>PA_prices!G301</f>
        <v>General service</v>
      </c>
      <c r="H313" s="85" t="str">
        <f t="shared" ref="H313" si="296">IF($M$2="Prices in $/MWh","500-2500 MWh","500,000-2,500,000 kWh")</f>
        <v>500-2500 MWh</v>
      </c>
      <c r="I313" s="84">
        <f>(PA_prices!I301+$D$2)*IF($M$2="Prices in $/MWh",1,1/1000)</f>
        <v>73.760000000000005</v>
      </c>
      <c r="J313" s="83">
        <f>(PA_prices!J301+$D$2)*IF($M$2="Prices in $/MWh",1,1/1000)</f>
        <v>74.12</v>
      </c>
      <c r="K313" s="84">
        <f>(PA_prices!K301+$D$2)*IF($M$2="Prices in $/MWh",1,1/1000)</f>
        <v>73.900000000000006</v>
      </c>
      <c r="L313" s="83">
        <f>(PA_prices!L301+$D$2)*IF($M$2="Prices in $/MWh",1,1/1000)</f>
        <v>36.46</v>
      </c>
      <c r="M313" s="84">
        <f>(PA_prices!M301+$D$2)*IF($M$2="Prices in $/MWh",1,1/1000)</f>
        <v>36.93</v>
      </c>
      <c r="N313" s="83">
        <f>(PA_prices!N301+$D$2)*IF($M$2="Prices in $/MWh",1,1/1000)</f>
        <v>36.840000000000003</v>
      </c>
      <c r="O313" s="61"/>
    </row>
    <row r="314" spans="2:15" x14ac:dyDescent="0.25">
      <c r="B314" s="99" t="s">
        <v>644</v>
      </c>
      <c r="C314" s="74" t="str">
        <f>PA_prices!C302</f>
        <v>June-2016</v>
      </c>
      <c r="D314" s="75" t="str">
        <f>PA_prices!D302</f>
        <v>PA</v>
      </c>
      <c r="E314" s="76" t="str">
        <f>PA_prices!E302</f>
        <v>Penn Pwr</v>
      </c>
      <c r="F314" s="75" t="str">
        <f>PA_prices!F302</f>
        <v>GS</v>
      </c>
      <c r="G314" s="76" t="str">
        <f>PA_prices!G302</f>
        <v>General service</v>
      </c>
      <c r="H314" s="77" t="str">
        <f t="shared" ref="H314" si="297">IF($M$2="Prices in $/MWh","0-100 MWh","0-100,000 kWh")</f>
        <v>0-100 MWh</v>
      </c>
      <c r="I314" s="76">
        <f>(PA_prices!I302+$D$2)*IF($M$2="Prices in $/MWh",1,1/1000)</f>
        <v>75.03</v>
      </c>
      <c r="J314" s="75">
        <f>(PA_prices!J302+$D$2)*IF($M$2="Prices in $/MWh",1,1/1000)</f>
        <v>75.72</v>
      </c>
      <c r="K314" s="76">
        <f>(PA_prices!K302+$D$2)*IF($M$2="Prices in $/MWh",1,1/1000)</f>
        <v>75.959999999999994</v>
      </c>
      <c r="L314" s="75">
        <f>(PA_prices!L302+$D$2)*IF($M$2="Prices in $/MWh",1,1/1000)</f>
        <v>37.659999999999997</v>
      </c>
      <c r="M314" s="76">
        <f>(PA_prices!M302+$D$2)*IF($M$2="Prices in $/MWh",1,1/1000)</f>
        <v>38.6</v>
      </c>
      <c r="N314" s="75">
        <f>(PA_prices!N302+$D$2)*IF($M$2="Prices in $/MWh",1,1/1000)</f>
        <v>38.86</v>
      </c>
      <c r="O314" s="61"/>
    </row>
    <row r="315" spans="2:15" x14ac:dyDescent="0.25">
      <c r="B315" s="99" t="s">
        <v>644</v>
      </c>
      <c r="C315" s="78" t="str">
        <f>PA_prices!C303</f>
        <v>June-2016</v>
      </c>
      <c r="D315" s="79" t="str">
        <f>PA_prices!D303</f>
        <v>PA</v>
      </c>
      <c r="E315" s="80" t="str">
        <f>PA_prices!E303</f>
        <v>Penn Pwr</v>
      </c>
      <c r="F315" s="79" t="str">
        <f>PA_prices!F303</f>
        <v>GS</v>
      </c>
      <c r="G315" s="80" t="str">
        <f>PA_prices!G303</f>
        <v>General service</v>
      </c>
      <c r="H315" s="81" t="str">
        <f t="shared" ref="H315" si="298">IF($M$2="Prices in $/MWh","100-500 MWh","100,000-500,000 kWh")</f>
        <v>100-500 MWh</v>
      </c>
      <c r="I315" s="80">
        <f>(PA_prices!I303+$D$2)*IF($M$2="Prices in $/MWh",1,1/1000)</f>
        <v>73.430000000000007</v>
      </c>
      <c r="J315" s="79">
        <f>(PA_prices!J303+$D$2)*IF($M$2="Prices in $/MWh",1,1/1000)</f>
        <v>74.12</v>
      </c>
      <c r="K315" s="80">
        <f>(PA_prices!K303+$D$2)*IF($M$2="Prices in $/MWh",1,1/1000)</f>
        <v>74.36</v>
      </c>
      <c r="L315" s="79">
        <f>(PA_prices!L303+$D$2)*IF($M$2="Prices in $/MWh",1,1/1000)</f>
        <v>36.06</v>
      </c>
      <c r="M315" s="80">
        <f>(PA_prices!M303+$D$2)*IF($M$2="Prices in $/MWh",1,1/1000)</f>
        <v>37</v>
      </c>
      <c r="N315" s="79">
        <f>(PA_prices!N303+$D$2)*IF($M$2="Prices in $/MWh",1,1/1000)</f>
        <v>37.26</v>
      </c>
      <c r="O315" s="61"/>
    </row>
    <row r="316" spans="2:15" x14ac:dyDescent="0.25">
      <c r="B316" s="99" t="s">
        <v>644</v>
      </c>
      <c r="C316" s="82" t="str">
        <f>PA_prices!C304</f>
        <v>June-2016</v>
      </c>
      <c r="D316" s="83" t="str">
        <f>PA_prices!D304</f>
        <v>PA</v>
      </c>
      <c r="E316" s="84" t="str">
        <f>PA_prices!E304</f>
        <v>Penn Pwr</v>
      </c>
      <c r="F316" s="83" t="str">
        <f>PA_prices!F304</f>
        <v>GS</v>
      </c>
      <c r="G316" s="84" t="str">
        <f>PA_prices!G304</f>
        <v>General service</v>
      </c>
      <c r="H316" s="85" t="str">
        <f t="shared" ref="H316" si="299">IF($M$2="Prices in $/MWh","500-2500 MWh","500,000-2,500,000 kWh")</f>
        <v>500-2500 MWh</v>
      </c>
      <c r="I316" s="84">
        <f>(PA_prices!I304+$D$2)*IF($M$2="Prices in $/MWh",1,1/1000)</f>
        <v>72.38</v>
      </c>
      <c r="J316" s="83">
        <f>(PA_prices!J304+$D$2)*IF($M$2="Prices in $/MWh",1,1/1000)</f>
        <v>73.069999999999993</v>
      </c>
      <c r="K316" s="84">
        <f>(PA_prices!K304+$D$2)*IF($M$2="Prices in $/MWh",1,1/1000)</f>
        <v>73.31</v>
      </c>
      <c r="L316" s="83">
        <f>(PA_prices!L304+$D$2)*IF($M$2="Prices in $/MWh",1,1/1000)</f>
        <v>35.01</v>
      </c>
      <c r="M316" s="84">
        <f>(PA_prices!M304+$D$2)*IF($M$2="Prices in $/MWh",1,1/1000)</f>
        <v>35.950000000000003</v>
      </c>
      <c r="N316" s="83">
        <f>(PA_prices!N304+$D$2)*IF($M$2="Prices in $/MWh",1,1/1000)</f>
        <v>36.21</v>
      </c>
      <c r="O316" s="61"/>
    </row>
    <row r="317" spans="2:15" x14ac:dyDescent="0.25">
      <c r="B317" s="99" t="s">
        <v>644</v>
      </c>
      <c r="C317" s="74" t="str">
        <f>PA_prices!C305</f>
        <v>July-2016</v>
      </c>
      <c r="D317" s="75" t="str">
        <f>PA_prices!D305</f>
        <v>PA</v>
      </c>
      <c r="E317" s="76" t="str">
        <f>PA_prices!E305</f>
        <v>Penn Pwr</v>
      </c>
      <c r="F317" s="75" t="str">
        <f>PA_prices!F305</f>
        <v>GS</v>
      </c>
      <c r="G317" s="76" t="str">
        <f>PA_prices!G305</f>
        <v>General service</v>
      </c>
      <c r="H317" s="77" t="str">
        <f t="shared" ref="H317" si="300">IF($M$2="Prices in $/MWh","0-100 MWh","0-100,000 kWh")</f>
        <v>0-100 MWh</v>
      </c>
      <c r="I317" s="76">
        <f>(PA_prices!I305+$D$2)*IF($M$2="Prices in $/MWh",1,1/1000)</f>
        <v>75.27</v>
      </c>
      <c r="J317" s="75">
        <f>(PA_prices!J305+$D$2)*IF($M$2="Prices in $/MWh",1,1/1000)</f>
        <v>75.53</v>
      </c>
      <c r="K317" s="76">
        <f>(PA_prices!K305+$D$2)*IF($M$2="Prices in $/MWh",1,1/1000)</f>
        <v>76.099999999999994</v>
      </c>
      <c r="L317" s="75">
        <f>(PA_prices!L305+$D$2)*IF($M$2="Prices in $/MWh",1,1/1000)</f>
        <v>37.840000000000003</v>
      </c>
      <c r="M317" s="76">
        <f>(PA_prices!M305+$D$2)*IF($M$2="Prices in $/MWh",1,1/1000)</f>
        <v>38.57</v>
      </c>
      <c r="N317" s="75">
        <f>(PA_prices!N305+$D$2)*IF($M$2="Prices in $/MWh",1,1/1000)</f>
        <v>39.03</v>
      </c>
      <c r="O317" s="61"/>
    </row>
    <row r="318" spans="2:15" x14ac:dyDescent="0.25">
      <c r="B318" s="99" t="s">
        <v>644</v>
      </c>
      <c r="C318" s="78" t="str">
        <f>PA_prices!C306</f>
        <v>July-2016</v>
      </c>
      <c r="D318" s="79" t="str">
        <f>PA_prices!D306</f>
        <v>PA</v>
      </c>
      <c r="E318" s="80" t="str">
        <f>PA_prices!E306</f>
        <v>Penn Pwr</v>
      </c>
      <c r="F318" s="79" t="str">
        <f>PA_prices!F306</f>
        <v>GS</v>
      </c>
      <c r="G318" s="80" t="str">
        <f>PA_prices!G306</f>
        <v>General service</v>
      </c>
      <c r="H318" s="81" t="str">
        <f t="shared" ref="H318" si="301">IF($M$2="Prices in $/MWh","100-500 MWh","100,000-500,000 kWh")</f>
        <v>100-500 MWh</v>
      </c>
      <c r="I318" s="80">
        <f>(PA_prices!I306+$D$2)*IF($M$2="Prices in $/MWh",1,1/1000)</f>
        <v>73.67</v>
      </c>
      <c r="J318" s="79">
        <f>(PA_prices!J306+$D$2)*IF($M$2="Prices in $/MWh",1,1/1000)</f>
        <v>73.930000000000007</v>
      </c>
      <c r="K318" s="80">
        <f>(PA_prices!K306+$D$2)*IF($M$2="Prices in $/MWh",1,1/1000)</f>
        <v>74.5</v>
      </c>
      <c r="L318" s="79">
        <f>(PA_prices!L306+$D$2)*IF($M$2="Prices in $/MWh",1,1/1000)</f>
        <v>36.24</v>
      </c>
      <c r="M318" s="80">
        <f>(PA_prices!M306+$D$2)*IF($M$2="Prices in $/MWh",1,1/1000)</f>
        <v>36.97</v>
      </c>
      <c r="N318" s="79">
        <f>(PA_prices!N306+$D$2)*IF($M$2="Prices in $/MWh",1,1/1000)</f>
        <v>37.43</v>
      </c>
      <c r="O318" s="61"/>
    </row>
    <row r="319" spans="2:15" x14ac:dyDescent="0.25">
      <c r="B319" s="99" t="s">
        <v>644</v>
      </c>
      <c r="C319" s="82" t="str">
        <f>PA_prices!C307</f>
        <v>July-2016</v>
      </c>
      <c r="D319" s="83" t="str">
        <f>PA_prices!D307</f>
        <v>PA</v>
      </c>
      <c r="E319" s="84" t="str">
        <f>PA_prices!E307</f>
        <v>Penn Pwr</v>
      </c>
      <c r="F319" s="83" t="str">
        <f>PA_prices!F307</f>
        <v>GS</v>
      </c>
      <c r="G319" s="84" t="str">
        <f>PA_prices!G307</f>
        <v>General service</v>
      </c>
      <c r="H319" s="85" t="str">
        <f t="shared" ref="H319" si="302">IF($M$2="Prices in $/MWh","500-2500 MWh","500,000-2,500,000 kWh")</f>
        <v>500-2500 MWh</v>
      </c>
      <c r="I319" s="84">
        <f>(PA_prices!I307+$D$2)*IF($M$2="Prices in $/MWh",1,1/1000)</f>
        <v>72.62</v>
      </c>
      <c r="J319" s="83">
        <f>(PA_prices!J307+$D$2)*IF($M$2="Prices in $/MWh",1,1/1000)</f>
        <v>72.88</v>
      </c>
      <c r="K319" s="84">
        <f>(PA_prices!K307+$D$2)*IF($M$2="Prices in $/MWh",1,1/1000)</f>
        <v>73.45</v>
      </c>
      <c r="L319" s="83">
        <f>(PA_prices!L307+$D$2)*IF($M$2="Prices in $/MWh",1,1/1000)</f>
        <v>35.19</v>
      </c>
      <c r="M319" s="84">
        <f>(PA_prices!M307+$D$2)*IF($M$2="Prices in $/MWh",1,1/1000)</f>
        <v>35.92</v>
      </c>
      <c r="N319" s="83">
        <f>(PA_prices!N307+$D$2)*IF($M$2="Prices in $/MWh",1,1/1000)</f>
        <v>36.380000000000003</v>
      </c>
      <c r="O319" s="61"/>
    </row>
    <row r="320" spans="2:15" x14ac:dyDescent="0.25">
      <c r="B320" s="99" t="s">
        <v>644</v>
      </c>
      <c r="C320" s="74" t="str">
        <f>PA_prices!C308</f>
        <v>August-2016</v>
      </c>
      <c r="D320" s="75" t="str">
        <f>PA_prices!D308</f>
        <v>PA</v>
      </c>
      <c r="E320" s="76" t="str">
        <f>PA_prices!E308</f>
        <v>Penn Pwr</v>
      </c>
      <c r="F320" s="75" t="str">
        <f>PA_prices!F308</f>
        <v>GS</v>
      </c>
      <c r="G320" s="76" t="str">
        <f>PA_prices!G308</f>
        <v>General service</v>
      </c>
      <c r="H320" s="77" t="str">
        <f t="shared" ref="H320" si="303">IF($M$2="Prices in $/MWh","0-100 MWh","0-100,000 kWh")</f>
        <v>0-100 MWh</v>
      </c>
      <c r="I320" s="76">
        <f>(PA_prices!I308+$D$2)*IF($M$2="Prices in $/MWh",1,1/1000)</f>
        <v>75.45</v>
      </c>
      <c r="J320" s="75">
        <f>(PA_prices!J308+$D$2)*IF($M$2="Prices in $/MWh",1,1/1000)</f>
        <v>75.400000000000006</v>
      </c>
      <c r="K320" s="76">
        <f>(PA_prices!K308+$D$2)*IF($M$2="Prices in $/MWh",1,1/1000)</f>
        <v>76.31</v>
      </c>
      <c r="L320" s="75">
        <f>(PA_prices!L308+$D$2)*IF($M$2="Prices in $/MWh",1,1/1000)</f>
        <v>38.06</v>
      </c>
      <c r="M320" s="76">
        <f>(PA_prices!M308+$D$2)*IF($M$2="Prices in $/MWh",1,1/1000)</f>
        <v>38.54</v>
      </c>
      <c r="N320" s="75">
        <f>(PA_prices!N308+$D$2)*IF($M$2="Prices in $/MWh",1,1/1000)</f>
        <v>39.21</v>
      </c>
      <c r="O320" s="61"/>
    </row>
    <row r="321" spans="2:15" x14ac:dyDescent="0.25">
      <c r="B321" s="99" t="s">
        <v>644</v>
      </c>
      <c r="C321" s="78" t="str">
        <f>PA_prices!C309</f>
        <v>August-2016</v>
      </c>
      <c r="D321" s="79" t="str">
        <f>PA_prices!D309</f>
        <v>PA</v>
      </c>
      <c r="E321" s="80" t="str">
        <f>PA_prices!E309</f>
        <v>Penn Pwr</v>
      </c>
      <c r="F321" s="79" t="str">
        <f>PA_prices!F309</f>
        <v>GS</v>
      </c>
      <c r="G321" s="80" t="str">
        <f>PA_prices!G309</f>
        <v>General service</v>
      </c>
      <c r="H321" s="81" t="str">
        <f t="shared" ref="H321" si="304">IF($M$2="Prices in $/MWh","100-500 MWh","100,000-500,000 kWh")</f>
        <v>100-500 MWh</v>
      </c>
      <c r="I321" s="80">
        <f>(PA_prices!I309+$D$2)*IF($M$2="Prices in $/MWh",1,1/1000)</f>
        <v>73.849999999999994</v>
      </c>
      <c r="J321" s="79">
        <f>(PA_prices!J309+$D$2)*IF($M$2="Prices in $/MWh",1,1/1000)</f>
        <v>73.8</v>
      </c>
      <c r="K321" s="80">
        <f>(PA_prices!K309+$D$2)*IF($M$2="Prices in $/MWh",1,1/1000)</f>
        <v>74.709999999999994</v>
      </c>
      <c r="L321" s="79">
        <f>(PA_prices!L309+$D$2)*IF($M$2="Prices in $/MWh",1,1/1000)</f>
        <v>36.46</v>
      </c>
      <c r="M321" s="80">
        <f>(PA_prices!M309+$D$2)*IF($M$2="Prices in $/MWh",1,1/1000)</f>
        <v>36.94</v>
      </c>
      <c r="N321" s="79">
        <f>(PA_prices!N309+$D$2)*IF($M$2="Prices in $/MWh",1,1/1000)</f>
        <v>37.61</v>
      </c>
      <c r="O321" s="61"/>
    </row>
    <row r="322" spans="2:15" x14ac:dyDescent="0.25">
      <c r="B322" s="99" t="s">
        <v>644</v>
      </c>
      <c r="C322" s="82" t="str">
        <f>PA_prices!C310</f>
        <v>August-2016</v>
      </c>
      <c r="D322" s="83" t="str">
        <f>PA_prices!D310</f>
        <v>PA</v>
      </c>
      <c r="E322" s="84" t="str">
        <f>PA_prices!E310</f>
        <v>Penn Pwr</v>
      </c>
      <c r="F322" s="83" t="str">
        <f>PA_prices!F310</f>
        <v>GS</v>
      </c>
      <c r="G322" s="84" t="str">
        <f>PA_prices!G310</f>
        <v>General service</v>
      </c>
      <c r="H322" s="85" t="str">
        <f t="shared" ref="H322" si="305">IF($M$2="Prices in $/MWh","500-2500 MWh","500,000-2,500,000 kWh")</f>
        <v>500-2500 MWh</v>
      </c>
      <c r="I322" s="84">
        <f>(PA_prices!I310+$D$2)*IF($M$2="Prices in $/MWh",1,1/1000)</f>
        <v>72.8</v>
      </c>
      <c r="J322" s="83">
        <f>(PA_prices!J310+$D$2)*IF($M$2="Prices in $/MWh",1,1/1000)</f>
        <v>72.75</v>
      </c>
      <c r="K322" s="84">
        <f>(PA_prices!K310+$D$2)*IF($M$2="Prices in $/MWh",1,1/1000)</f>
        <v>73.66</v>
      </c>
      <c r="L322" s="83">
        <f>(PA_prices!L310+$D$2)*IF($M$2="Prices in $/MWh",1,1/1000)</f>
        <v>35.409999999999997</v>
      </c>
      <c r="M322" s="84">
        <f>(PA_prices!M310+$D$2)*IF($M$2="Prices in $/MWh",1,1/1000)</f>
        <v>35.89</v>
      </c>
      <c r="N322" s="83">
        <f>(PA_prices!N310+$D$2)*IF($M$2="Prices in $/MWh",1,1/1000)</f>
        <v>36.56</v>
      </c>
      <c r="O322" s="61"/>
    </row>
    <row r="323" spans="2:15" x14ac:dyDescent="0.25">
      <c r="B323" s="99" t="s">
        <v>644</v>
      </c>
      <c r="C323" s="74" t="str">
        <f>PA_prices!C311</f>
        <v>September-2016</v>
      </c>
      <c r="D323" s="75" t="str">
        <f>PA_prices!D311</f>
        <v>PA</v>
      </c>
      <c r="E323" s="76" t="str">
        <f>PA_prices!E311</f>
        <v>Penn Pwr</v>
      </c>
      <c r="F323" s="75" t="str">
        <f>PA_prices!F311</f>
        <v>GS</v>
      </c>
      <c r="G323" s="76" t="str">
        <f>PA_prices!G311</f>
        <v>General service</v>
      </c>
      <c r="H323" s="77" t="str">
        <f t="shared" ref="H323" si="306">IF($M$2="Prices in $/MWh","0-100 MWh","0-100,000 kWh")</f>
        <v>0-100 MWh</v>
      </c>
      <c r="I323" s="76">
        <f>(PA_prices!I311+$D$2)*IF($M$2="Prices in $/MWh",1,1/1000)</f>
        <v>75.569999999999993</v>
      </c>
      <c r="J323" s="75">
        <f>(PA_prices!J311+$D$2)*IF($M$2="Prices in $/MWh",1,1/1000)</f>
        <v>75.349999999999994</v>
      </c>
      <c r="K323" s="76">
        <f>(PA_prices!K311+$D$2)*IF($M$2="Prices in $/MWh",1,1/1000)</f>
        <v>76.44</v>
      </c>
      <c r="L323" s="75">
        <f>(PA_prices!L311+$D$2)*IF($M$2="Prices in $/MWh",1,1/1000)</f>
        <v>38.26</v>
      </c>
      <c r="M323" s="76">
        <f>(PA_prices!M311+$D$2)*IF($M$2="Prices in $/MWh",1,1/1000)</f>
        <v>38.54</v>
      </c>
      <c r="N323" s="75">
        <f>(PA_prices!N311+$D$2)*IF($M$2="Prices in $/MWh",1,1/1000)</f>
        <v>39.39</v>
      </c>
      <c r="O323" s="61"/>
    </row>
    <row r="324" spans="2:15" x14ac:dyDescent="0.25">
      <c r="B324" s="99" t="s">
        <v>644</v>
      </c>
      <c r="C324" s="78" t="str">
        <f>PA_prices!C312</f>
        <v>September-2016</v>
      </c>
      <c r="D324" s="79" t="str">
        <f>PA_prices!D312</f>
        <v>PA</v>
      </c>
      <c r="E324" s="80" t="str">
        <f>PA_prices!E312</f>
        <v>Penn Pwr</v>
      </c>
      <c r="F324" s="79" t="str">
        <f>PA_prices!F312</f>
        <v>GS</v>
      </c>
      <c r="G324" s="80" t="str">
        <f>PA_prices!G312</f>
        <v>General service</v>
      </c>
      <c r="H324" s="81" t="str">
        <f t="shared" ref="H324" si="307">IF($M$2="Prices in $/MWh","100-500 MWh","100,000-500,000 kWh")</f>
        <v>100-500 MWh</v>
      </c>
      <c r="I324" s="80">
        <f>(PA_prices!I312+$D$2)*IF($M$2="Prices in $/MWh",1,1/1000)</f>
        <v>73.97</v>
      </c>
      <c r="J324" s="79">
        <f>(PA_prices!J312+$D$2)*IF($M$2="Prices in $/MWh",1,1/1000)</f>
        <v>73.75</v>
      </c>
      <c r="K324" s="80">
        <f>(PA_prices!K312+$D$2)*IF($M$2="Prices in $/MWh",1,1/1000)</f>
        <v>74.84</v>
      </c>
      <c r="L324" s="79">
        <f>(PA_prices!L312+$D$2)*IF($M$2="Prices in $/MWh",1,1/1000)</f>
        <v>36.659999999999997</v>
      </c>
      <c r="M324" s="80">
        <f>(PA_prices!M312+$D$2)*IF($M$2="Prices in $/MWh",1,1/1000)</f>
        <v>36.94</v>
      </c>
      <c r="N324" s="79">
        <f>(PA_prices!N312+$D$2)*IF($M$2="Prices in $/MWh",1,1/1000)</f>
        <v>37.79</v>
      </c>
      <c r="O324" s="61"/>
    </row>
    <row r="325" spans="2:15" x14ac:dyDescent="0.25">
      <c r="B325" s="99" t="s">
        <v>644</v>
      </c>
      <c r="C325" s="82" t="str">
        <f>PA_prices!C313</f>
        <v>September-2016</v>
      </c>
      <c r="D325" s="83" t="str">
        <f>PA_prices!D313</f>
        <v>PA</v>
      </c>
      <c r="E325" s="84" t="str">
        <f>PA_prices!E313</f>
        <v>Penn Pwr</v>
      </c>
      <c r="F325" s="83" t="str">
        <f>PA_prices!F313</f>
        <v>GS</v>
      </c>
      <c r="G325" s="84" t="str">
        <f>PA_prices!G313</f>
        <v>General service</v>
      </c>
      <c r="H325" s="85" t="str">
        <f t="shared" ref="H325" si="308">IF($M$2="Prices in $/MWh","500-2500 MWh","500,000-2,500,000 kWh")</f>
        <v>500-2500 MWh</v>
      </c>
      <c r="I325" s="84">
        <f>(PA_prices!I313+$D$2)*IF($M$2="Prices in $/MWh",1,1/1000)</f>
        <v>72.92</v>
      </c>
      <c r="J325" s="83">
        <f>(PA_prices!J313+$D$2)*IF($M$2="Prices in $/MWh",1,1/1000)</f>
        <v>72.7</v>
      </c>
      <c r="K325" s="84">
        <f>(PA_prices!K313+$D$2)*IF($M$2="Prices in $/MWh",1,1/1000)</f>
        <v>73.790000000000006</v>
      </c>
      <c r="L325" s="83">
        <f>(PA_prices!L313+$D$2)*IF($M$2="Prices in $/MWh",1,1/1000)</f>
        <v>35.61</v>
      </c>
      <c r="M325" s="84">
        <f>(PA_prices!M313+$D$2)*IF($M$2="Prices in $/MWh",1,1/1000)</f>
        <v>35.89</v>
      </c>
      <c r="N325" s="83">
        <f>(PA_prices!N313+$D$2)*IF($M$2="Prices in $/MWh",1,1/1000)</f>
        <v>36.74</v>
      </c>
      <c r="O325" s="61"/>
    </row>
    <row r="326" spans="2:15" x14ac:dyDescent="0.25">
      <c r="B326" s="99" t="s">
        <v>644</v>
      </c>
      <c r="C326" s="74" t="str">
        <f>PA_prices!C314</f>
        <v>October-2016</v>
      </c>
      <c r="D326" s="75" t="str">
        <f>PA_prices!D314</f>
        <v>PA</v>
      </c>
      <c r="E326" s="76" t="str">
        <f>PA_prices!E314</f>
        <v>Penn Pwr</v>
      </c>
      <c r="F326" s="75" t="str">
        <f>PA_prices!F314</f>
        <v>GS</v>
      </c>
      <c r="G326" s="76" t="str">
        <f>PA_prices!G314</f>
        <v>General service</v>
      </c>
      <c r="H326" s="77" t="str">
        <f t="shared" ref="H326" si="309">IF($M$2="Prices in $/MWh","0-100 MWh","0-100,000 kWh")</f>
        <v>0-100 MWh</v>
      </c>
      <c r="I326" s="76">
        <f>(PA_prices!I314+$D$2)*IF($M$2="Prices in $/MWh",1,1/1000)</f>
        <v>75.739999999999995</v>
      </c>
      <c r="J326" s="75">
        <f>(PA_prices!J314+$D$2)*IF($M$2="Prices in $/MWh",1,1/1000)</f>
        <v>75.69</v>
      </c>
      <c r="K326" s="76">
        <f>(PA_prices!K314+$D$2)*IF($M$2="Prices in $/MWh",1,1/1000)</f>
        <v>76.56</v>
      </c>
      <c r="L326" s="75">
        <f>(PA_prices!L314+$D$2)*IF($M$2="Prices in $/MWh",1,1/1000)</f>
        <v>38.47</v>
      </c>
      <c r="M326" s="76">
        <f>(PA_prices!M314+$D$2)*IF($M$2="Prices in $/MWh",1,1/1000)</f>
        <v>38.700000000000003</v>
      </c>
      <c r="N326" s="75">
        <f>(PA_prices!N314+$D$2)*IF($M$2="Prices in $/MWh",1,1/1000)</f>
        <v>39.590000000000003</v>
      </c>
      <c r="O326" s="61"/>
    </row>
    <row r="327" spans="2:15" x14ac:dyDescent="0.25">
      <c r="B327" s="99" t="s">
        <v>644</v>
      </c>
      <c r="C327" s="78" t="str">
        <f>PA_prices!C315</f>
        <v>October-2016</v>
      </c>
      <c r="D327" s="79" t="str">
        <f>PA_prices!D315</f>
        <v>PA</v>
      </c>
      <c r="E327" s="80" t="str">
        <f>PA_prices!E315</f>
        <v>Penn Pwr</v>
      </c>
      <c r="F327" s="79" t="str">
        <f>PA_prices!F315</f>
        <v>GS</v>
      </c>
      <c r="G327" s="80" t="str">
        <f>PA_prices!G315</f>
        <v>General service</v>
      </c>
      <c r="H327" s="81" t="str">
        <f t="shared" ref="H327" si="310">IF($M$2="Prices in $/MWh","100-500 MWh","100,000-500,000 kWh")</f>
        <v>100-500 MWh</v>
      </c>
      <c r="I327" s="80">
        <f>(PA_prices!I315+$D$2)*IF($M$2="Prices in $/MWh",1,1/1000)</f>
        <v>74.14</v>
      </c>
      <c r="J327" s="79">
        <f>(PA_prices!J315+$D$2)*IF($M$2="Prices in $/MWh",1,1/1000)</f>
        <v>74.09</v>
      </c>
      <c r="K327" s="80">
        <f>(PA_prices!K315+$D$2)*IF($M$2="Prices in $/MWh",1,1/1000)</f>
        <v>74.959999999999994</v>
      </c>
      <c r="L327" s="79">
        <f>(PA_prices!L315+$D$2)*IF($M$2="Prices in $/MWh",1,1/1000)</f>
        <v>36.869999999999997</v>
      </c>
      <c r="M327" s="80">
        <f>(PA_prices!M315+$D$2)*IF($M$2="Prices in $/MWh",1,1/1000)</f>
        <v>37.1</v>
      </c>
      <c r="N327" s="79">
        <f>(PA_prices!N315+$D$2)*IF($M$2="Prices in $/MWh",1,1/1000)</f>
        <v>37.99</v>
      </c>
      <c r="O327" s="61"/>
    </row>
    <row r="328" spans="2:15" x14ac:dyDescent="0.25">
      <c r="B328" s="99" t="s">
        <v>644</v>
      </c>
      <c r="C328" s="82" t="str">
        <f>PA_prices!C316</f>
        <v>October-2016</v>
      </c>
      <c r="D328" s="83" t="str">
        <f>PA_prices!D316</f>
        <v>PA</v>
      </c>
      <c r="E328" s="84" t="str">
        <f>PA_prices!E316</f>
        <v>Penn Pwr</v>
      </c>
      <c r="F328" s="83" t="str">
        <f>PA_prices!F316</f>
        <v>GS</v>
      </c>
      <c r="G328" s="84" t="str">
        <f>PA_prices!G316</f>
        <v>General service</v>
      </c>
      <c r="H328" s="85" t="str">
        <f t="shared" ref="H328" si="311">IF($M$2="Prices in $/MWh","500-2500 MWh","500,000-2,500,000 kWh")</f>
        <v>500-2500 MWh</v>
      </c>
      <c r="I328" s="84">
        <f>(PA_prices!I316+$D$2)*IF($M$2="Prices in $/MWh",1,1/1000)</f>
        <v>73.09</v>
      </c>
      <c r="J328" s="83">
        <f>(PA_prices!J316+$D$2)*IF($M$2="Prices in $/MWh",1,1/1000)</f>
        <v>73.040000000000006</v>
      </c>
      <c r="K328" s="84">
        <f>(PA_prices!K316+$D$2)*IF($M$2="Prices in $/MWh",1,1/1000)</f>
        <v>73.91</v>
      </c>
      <c r="L328" s="83">
        <f>(PA_prices!L316+$D$2)*IF($M$2="Prices in $/MWh",1,1/1000)</f>
        <v>35.82</v>
      </c>
      <c r="M328" s="84">
        <f>(PA_prices!M316+$D$2)*IF($M$2="Prices in $/MWh",1,1/1000)</f>
        <v>36.049999999999997</v>
      </c>
      <c r="N328" s="83">
        <f>(PA_prices!N316+$D$2)*IF($M$2="Prices in $/MWh",1,1/1000)</f>
        <v>36.94</v>
      </c>
      <c r="O328" s="61"/>
    </row>
    <row r="329" spans="2:15" x14ac:dyDescent="0.25">
      <c r="B329" s="99" t="s">
        <v>644</v>
      </c>
      <c r="C329" s="74" t="str">
        <f>PA_prices!C317</f>
        <v>November-2016</v>
      </c>
      <c r="D329" s="75" t="str">
        <f>PA_prices!D317</f>
        <v>PA</v>
      </c>
      <c r="E329" s="76" t="str">
        <f>PA_prices!E317</f>
        <v>Penn Pwr</v>
      </c>
      <c r="F329" s="75" t="str">
        <f>PA_prices!F317</f>
        <v>GS</v>
      </c>
      <c r="G329" s="76" t="str">
        <f>PA_prices!G317</f>
        <v>General service</v>
      </c>
      <c r="H329" s="77" t="str">
        <f t="shared" ref="H329" si="312">IF($M$2="Prices in $/MWh","0-100 MWh","0-100,000 kWh")</f>
        <v>0-100 MWh</v>
      </c>
      <c r="I329" s="76">
        <f>(PA_prices!I317+$D$2)*IF($M$2="Prices in $/MWh",1,1/1000)</f>
        <v>75.91</v>
      </c>
      <c r="J329" s="75">
        <f>(PA_prices!J317+$D$2)*IF($M$2="Prices in $/MWh",1,1/1000)</f>
        <v>75.900000000000006</v>
      </c>
      <c r="K329" s="76">
        <f>(PA_prices!K317+$D$2)*IF($M$2="Prices in $/MWh",1,1/1000)</f>
        <v>76.7</v>
      </c>
      <c r="L329" s="75">
        <f>(PA_prices!L317+$D$2)*IF($M$2="Prices in $/MWh",1,1/1000)</f>
        <v>38.659999999999997</v>
      </c>
      <c r="M329" s="76">
        <f>(PA_prices!M317+$D$2)*IF($M$2="Prices in $/MWh",1,1/1000)</f>
        <v>38.840000000000003</v>
      </c>
      <c r="N329" s="75">
        <f>(PA_prices!N317+$D$2)*IF($M$2="Prices in $/MWh",1,1/1000)</f>
        <v>39.75</v>
      </c>
      <c r="O329" s="61"/>
    </row>
    <row r="330" spans="2:15" x14ac:dyDescent="0.25">
      <c r="B330" s="99" t="s">
        <v>644</v>
      </c>
      <c r="C330" s="78" t="str">
        <f>PA_prices!C318</f>
        <v>November-2016</v>
      </c>
      <c r="D330" s="79" t="str">
        <f>PA_prices!D318</f>
        <v>PA</v>
      </c>
      <c r="E330" s="80" t="str">
        <f>PA_prices!E318</f>
        <v>Penn Pwr</v>
      </c>
      <c r="F330" s="79" t="str">
        <f>PA_prices!F318</f>
        <v>GS</v>
      </c>
      <c r="G330" s="80" t="str">
        <f>PA_prices!G318</f>
        <v>General service</v>
      </c>
      <c r="H330" s="81" t="str">
        <f t="shared" ref="H330" si="313">IF($M$2="Prices in $/MWh","100-500 MWh","100,000-500,000 kWh")</f>
        <v>100-500 MWh</v>
      </c>
      <c r="I330" s="80">
        <f>(PA_prices!I318+$D$2)*IF($M$2="Prices in $/MWh",1,1/1000)</f>
        <v>74.31</v>
      </c>
      <c r="J330" s="79">
        <f>(PA_prices!J318+$D$2)*IF($M$2="Prices in $/MWh",1,1/1000)</f>
        <v>74.3</v>
      </c>
      <c r="K330" s="80">
        <f>(PA_prices!K318+$D$2)*IF($M$2="Prices in $/MWh",1,1/1000)</f>
        <v>75.099999999999994</v>
      </c>
      <c r="L330" s="79">
        <f>(PA_prices!L318+$D$2)*IF($M$2="Prices in $/MWh",1,1/1000)</f>
        <v>37.06</v>
      </c>
      <c r="M330" s="80">
        <f>(PA_prices!M318+$D$2)*IF($M$2="Prices in $/MWh",1,1/1000)</f>
        <v>37.24</v>
      </c>
      <c r="N330" s="79">
        <f>(PA_prices!N318+$D$2)*IF($M$2="Prices in $/MWh",1,1/1000)</f>
        <v>38.15</v>
      </c>
      <c r="O330" s="61"/>
    </row>
    <row r="331" spans="2:15" x14ac:dyDescent="0.25">
      <c r="B331" s="99" t="s">
        <v>644</v>
      </c>
      <c r="C331" s="82" t="str">
        <f>PA_prices!C319</f>
        <v>November-2016</v>
      </c>
      <c r="D331" s="83" t="str">
        <f>PA_prices!D319</f>
        <v>PA</v>
      </c>
      <c r="E331" s="84" t="str">
        <f>PA_prices!E319</f>
        <v>Penn Pwr</v>
      </c>
      <c r="F331" s="83" t="str">
        <f>PA_prices!F319</f>
        <v>GS</v>
      </c>
      <c r="G331" s="84" t="str">
        <f>PA_prices!G319</f>
        <v>General service</v>
      </c>
      <c r="H331" s="85" t="str">
        <f t="shared" ref="H331" si="314">IF($M$2="Prices in $/MWh","500-2500 MWh","500,000-2,500,000 kWh")</f>
        <v>500-2500 MWh</v>
      </c>
      <c r="I331" s="84">
        <f>(PA_prices!I319+$D$2)*IF($M$2="Prices in $/MWh",1,1/1000)</f>
        <v>73.260000000000005</v>
      </c>
      <c r="J331" s="83">
        <f>(PA_prices!J319+$D$2)*IF($M$2="Prices in $/MWh",1,1/1000)</f>
        <v>73.25</v>
      </c>
      <c r="K331" s="84">
        <f>(PA_prices!K319+$D$2)*IF($M$2="Prices in $/MWh",1,1/1000)</f>
        <v>74.05</v>
      </c>
      <c r="L331" s="83">
        <f>(PA_prices!L319+$D$2)*IF($M$2="Prices in $/MWh",1,1/1000)</f>
        <v>36.01</v>
      </c>
      <c r="M331" s="84">
        <f>(PA_prices!M319+$D$2)*IF($M$2="Prices in $/MWh",1,1/1000)</f>
        <v>36.19</v>
      </c>
      <c r="N331" s="83">
        <f>(PA_prices!N319+$D$2)*IF($M$2="Prices in $/MWh",1,1/1000)</f>
        <v>37.1</v>
      </c>
      <c r="O331" s="61"/>
    </row>
    <row r="332" spans="2:15" x14ac:dyDescent="0.25">
      <c r="B332" s="99" t="s">
        <v>644</v>
      </c>
      <c r="C332" s="74" t="str">
        <f>PA_prices!C320</f>
        <v>December-2016</v>
      </c>
      <c r="D332" s="75" t="str">
        <f>PA_prices!D320</f>
        <v>PA</v>
      </c>
      <c r="E332" s="76" t="str">
        <f>PA_prices!E320</f>
        <v>Penn Pwr</v>
      </c>
      <c r="F332" s="75" t="str">
        <f>PA_prices!F320</f>
        <v>GS</v>
      </c>
      <c r="G332" s="76" t="str">
        <f>PA_prices!G320</f>
        <v>General service</v>
      </c>
      <c r="H332" s="77" t="str">
        <f t="shared" ref="H332" si="315">IF($M$2="Prices in $/MWh","0-100 MWh","0-100,000 kWh")</f>
        <v>0-100 MWh</v>
      </c>
      <c r="I332" s="76">
        <f>(PA_prices!I320+$D$2)*IF($M$2="Prices in $/MWh",1,1/1000)</f>
        <v>76</v>
      </c>
      <c r="J332" s="75">
        <f>(PA_prices!J320+$D$2)*IF($M$2="Prices in $/MWh",1,1/1000)</f>
        <v>76.22</v>
      </c>
      <c r="K332" s="76">
        <f>(PA_prices!K320+$D$2)*IF($M$2="Prices in $/MWh",1,1/1000)</f>
        <v>76.8</v>
      </c>
      <c r="L332" s="75">
        <f>(PA_prices!L320+$D$2)*IF($M$2="Prices in $/MWh",1,1/1000)</f>
        <v>38.82</v>
      </c>
      <c r="M332" s="76">
        <f>(PA_prices!M320+$D$2)*IF($M$2="Prices in $/MWh",1,1/1000)</f>
        <v>39.090000000000003</v>
      </c>
      <c r="N332" s="75">
        <f>(PA_prices!N320+$D$2)*IF($M$2="Prices in $/MWh",1,1/1000)</f>
        <v>39.9</v>
      </c>
      <c r="O332" s="61"/>
    </row>
    <row r="333" spans="2:15" x14ac:dyDescent="0.25">
      <c r="B333" s="99" t="s">
        <v>644</v>
      </c>
      <c r="C333" s="78" t="str">
        <f>PA_prices!C321</f>
        <v>December-2016</v>
      </c>
      <c r="D333" s="79" t="str">
        <f>PA_prices!D321</f>
        <v>PA</v>
      </c>
      <c r="E333" s="80" t="str">
        <f>PA_prices!E321</f>
        <v>Penn Pwr</v>
      </c>
      <c r="F333" s="79" t="str">
        <f>PA_prices!F321</f>
        <v>GS</v>
      </c>
      <c r="G333" s="80" t="str">
        <f>PA_prices!G321</f>
        <v>General service</v>
      </c>
      <c r="H333" s="81" t="str">
        <f t="shared" ref="H333" si="316">IF($M$2="Prices in $/MWh","100-500 MWh","100,000-500,000 kWh")</f>
        <v>100-500 MWh</v>
      </c>
      <c r="I333" s="80">
        <f>(PA_prices!I321+$D$2)*IF($M$2="Prices in $/MWh",1,1/1000)</f>
        <v>74.400000000000006</v>
      </c>
      <c r="J333" s="79">
        <f>(PA_prices!J321+$D$2)*IF($M$2="Prices in $/MWh",1,1/1000)</f>
        <v>74.62</v>
      </c>
      <c r="K333" s="80">
        <f>(PA_prices!K321+$D$2)*IF($M$2="Prices in $/MWh",1,1/1000)</f>
        <v>75.2</v>
      </c>
      <c r="L333" s="79">
        <f>(PA_prices!L321+$D$2)*IF($M$2="Prices in $/MWh",1,1/1000)</f>
        <v>37.22</v>
      </c>
      <c r="M333" s="80">
        <f>(PA_prices!M321+$D$2)*IF($M$2="Prices in $/MWh",1,1/1000)</f>
        <v>37.49</v>
      </c>
      <c r="N333" s="79">
        <f>(PA_prices!N321+$D$2)*IF($M$2="Prices in $/MWh",1,1/1000)</f>
        <v>38.299999999999997</v>
      </c>
      <c r="O333" s="61"/>
    </row>
    <row r="334" spans="2:15" x14ac:dyDescent="0.25">
      <c r="B334" s="99" t="s">
        <v>644</v>
      </c>
      <c r="C334" s="82" t="str">
        <f>PA_prices!C322</f>
        <v>December-2016</v>
      </c>
      <c r="D334" s="83" t="str">
        <f>PA_prices!D322</f>
        <v>PA</v>
      </c>
      <c r="E334" s="84" t="str">
        <f>PA_prices!E322</f>
        <v>Penn Pwr</v>
      </c>
      <c r="F334" s="83" t="str">
        <f>PA_prices!F322</f>
        <v>GS</v>
      </c>
      <c r="G334" s="84" t="str">
        <f>PA_prices!G322</f>
        <v>General service</v>
      </c>
      <c r="H334" s="85" t="str">
        <f t="shared" ref="H334" si="317">IF($M$2="Prices in $/MWh","500-2500 MWh","500,000-2,500,000 kWh")</f>
        <v>500-2500 MWh</v>
      </c>
      <c r="I334" s="84">
        <f>(PA_prices!I322+$D$2)*IF($M$2="Prices in $/MWh",1,1/1000)</f>
        <v>73.349999999999994</v>
      </c>
      <c r="J334" s="83">
        <f>(PA_prices!J322+$D$2)*IF($M$2="Prices in $/MWh",1,1/1000)</f>
        <v>73.569999999999993</v>
      </c>
      <c r="K334" s="84">
        <f>(PA_prices!K322+$D$2)*IF($M$2="Prices in $/MWh",1,1/1000)</f>
        <v>74.150000000000006</v>
      </c>
      <c r="L334" s="83">
        <f>(PA_prices!L322+$D$2)*IF($M$2="Prices in $/MWh",1,1/1000)</f>
        <v>36.17</v>
      </c>
      <c r="M334" s="84">
        <f>(PA_prices!M322+$D$2)*IF($M$2="Prices in $/MWh",1,1/1000)</f>
        <v>36.44</v>
      </c>
      <c r="N334" s="83">
        <f>(PA_prices!N322+$D$2)*IF($M$2="Prices in $/MWh",1,1/1000)</f>
        <v>37.25</v>
      </c>
      <c r="O334" s="61"/>
    </row>
    <row r="335" spans="2:15" x14ac:dyDescent="0.25">
      <c r="B335" s="99" t="s">
        <v>644</v>
      </c>
      <c r="C335" s="74" t="str">
        <f>PA_prices!C323</f>
        <v>January-2017</v>
      </c>
      <c r="D335" s="75" t="str">
        <f>PA_prices!D323</f>
        <v>PA</v>
      </c>
      <c r="E335" s="76" t="str">
        <f>PA_prices!E323</f>
        <v>Penn Pwr</v>
      </c>
      <c r="F335" s="75" t="str">
        <f>PA_prices!F323</f>
        <v>GS</v>
      </c>
      <c r="G335" s="76" t="str">
        <f>PA_prices!G323</f>
        <v>General service</v>
      </c>
      <c r="H335" s="77" t="str">
        <f t="shared" ref="H335" si="318">IF($M$2="Prices in $/MWh","0-100 MWh","0-100,000 kWh")</f>
        <v>0-100 MWh</v>
      </c>
      <c r="I335" s="76">
        <f>(PA_prices!I323+$D$2)*IF($M$2="Prices in $/MWh",1,1/1000)</f>
        <v>76.180000000000007</v>
      </c>
      <c r="J335" s="75">
        <f>(PA_prices!J323+$D$2)*IF($M$2="Prices in $/MWh",1,1/1000)</f>
        <v>76.73</v>
      </c>
      <c r="K335" s="76">
        <f>(PA_prices!K323+$D$2)*IF($M$2="Prices in $/MWh",1,1/1000)</f>
        <v>77</v>
      </c>
      <c r="L335" s="75">
        <f>(PA_prices!L323+$D$2)*IF($M$2="Prices in $/MWh",1,1/1000)</f>
        <v>39.07</v>
      </c>
      <c r="M335" s="76">
        <f>(PA_prices!M323+$D$2)*IF($M$2="Prices in $/MWh",1,1/1000)</f>
        <v>39.520000000000003</v>
      </c>
      <c r="N335" s="75">
        <f>(PA_prices!N323+$D$2)*IF($M$2="Prices in $/MWh",1,1/1000)</f>
        <v>40.11</v>
      </c>
      <c r="O335" s="61"/>
    </row>
    <row r="336" spans="2:15" x14ac:dyDescent="0.25">
      <c r="B336" s="99" t="s">
        <v>644</v>
      </c>
      <c r="C336" s="78" t="str">
        <f>PA_prices!C324</f>
        <v>January-2017</v>
      </c>
      <c r="D336" s="79" t="str">
        <f>PA_prices!D324</f>
        <v>PA</v>
      </c>
      <c r="E336" s="80" t="str">
        <f>PA_prices!E324</f>
        <v>Penn Pwr</v>
      </c>
      <c r="F336" s="79" t="str">
        <f>PA_prices!F324</f>
        <v>GS</v>
      </c>
      <c r="G336" s="80" t="str">
        <f>PA_prices!G324</f>
        <v>General service</v>
      </c>
      <c r="H336" s="81" t="str">
        <f t="shared" ref="H336" si="319">IF($M$2="Prices in $/MWh","100-500 MWh","100,000-500,000 kWh")</f>
        <v>100-500 MWh</v>
      </c>
      <c r="I336" s="80">
        <f>(PA_prices!I324+$D$2)*IF($M$2="Prices in $/MWh",1,1/1000)</f>
        <v>74.58</v>
      </c>
      <c r="J336" s="79">
        <f>(PA_prices!J324+$D$2)*IF($M$2="Prices in $/MWh",1,1/1000)</f>
        <v>75.13</v>
      </c>
      <c r="K336" s="80">
        <f>(PA_prices!K324+$D$2)*IF($M$2="Prices in $/MWh",1,1/1000)</f>
        <v>75.400000000000006</v>
      </c>
      <c r="L336" s="79">
        <f>(PA_prices!L324+$D$2)*IF($M$2="Prices in $/MWh",1,1/1000)</f>
        <v>37.47</v>
      </c>
      <c r="M336" s="80">
        <f>(PA_prices!M324+$D$2)*IF($M$2="Prices in $/MWh",1,1/1000)</f>
        <v>37.92</v>
      </c>
      <c r="N336" s="79">
        <f>(PA_prices!N324+$D$2)*IF($M$2="Prices in $/MWh",1,1/1000)</f>
        <v>38.51</v>
      </c>
      <c r="O336" s="61"/>
    </row>
    <row r="337" spans="2:15" x14ac:dyDescent="0.25">
      <c r="B337" s="99" t="s">
        <v>644</v>
      </c>
      <c r="C337" s="82" t="str">
        <f>PA_prices!C325</f>
        <v>January-2017</v>
      </c>
      <c r="D337" s="83" t="str">
        <f>PA_prices!D325</f>
        <v>PA</v>
      </c>
      <c r="E337" s="84" t="str">
        <f>PA_prices!E325</f>
        <v>Penn Pwr</v>
      </c>
      <c r="F337" s="83" t="str">
        <f>PA_prices!F325</f>
        <v>GS</v>
      </c>
      <c r="G337" s="84" t="str">
        <f>PA_prices!G325</f>
        <v>General service</v>
      </c>
      <c r="H337" s="85" t="str">
        <f t="shared" ref="H337" si="320">IF($M$2="Prices in $/MWh","500-2500 MWh","500,000-2,500,000 kWh")</f>
        <v>500-2500 MWh</v>
      </c>
      <c r="I337" s="84">
        <f>(PA_prices!I325+$D$2)*IF($M$2="Prices in $/MWh",1,1/1000)</f>
        <v>73.53</v>
      </c>
      <c r="J337" s="83">
        <f>(PA_prices!J325+$D$2)*IF($M$2="Prices in $/MWh",1,1/1000)</f>
        <v>74.08</v>
      </c>
      <c r="K337" s="84">
        <f>(PA_prices!K325+$D$2)*IF($M$2="Prices in $/MWh",1,1/1000)</f>
        <v>74.349999999999994</v>
      </c>
      <c r="L337" s="83">
        <f>(PA_prices!L325+$D$2)*IF($M$2="Prices in $/MWh",1,1/1000)</f>
        <v>36.42</v>
      </c>
      <c r="M337" s="84">
        <f>(PA_prices!M325+$D$2)*IF($M$2="Prices in $/MWh",1,1/1000)</f>
        <v>36.869999999999997</v>
      </c>
      <c r="N337" s="83">
        <f>(PA_prices!N325+$D$2)*IF($M$2="Prices in $/MWh",1,1/1000)</f>
        <v>37.46</v>
      </c>
      <c r="O337" s="61"/>
    </row>
    <row r="338" spans="2:15" x14ac:dyDescent="0.25">
      <c r="B338" s="99" t="s">
        <v>645</v>
      </c>
      <c r="C338" s="74" t="str">
        <f>PA_prices!C326</f>
        <v>February-2016</v>
      </c>
      <c r="D338" s="75" t="str">
        <f>PA_prices!D326</f>
        <v>PA</v>
      </c>
      <c r="E338" s="76" t="str">
        <f>PA_prices!E326</f>
        <v>PPL</v>
      </c>
      <c r="F338" s="75" t="str">
        <f>PA_prices!F326</f>
        <v>GS1</v>
      </c>
      <c r="G338" s="76" t="str">
        <f>PA_prices!G326</f>
        <v>General Service Small</v>
      </c>
      <c r="H338" s="77" t="str">
        <f t="shared" ref="H338" si="321">IF($M$2="Prices in $/MWh","0-100 MWh","0-100,000 kWh")</f>
        <v>0-100 MWh</v>
      </c>
      <c r="I338" s="76">
        <f>(PA_prices!I326+$D$2)*IF($M$2="Prices in $/MWh",1,1/1000)</f>
        <v>72.56</v>
      </c>
      <c r="J338" s="75">
        <f>(PA_prices!J326+$D$2)*IF($M$2="Prices in $/MWh",1,1/1000)</f>
        <v>73.39</v>
      </c>
      <c r="K338" s="76">
        <f>(PA_prices!K326+$D$2)*IF($M$2="Prices in $/MWh",1,1/1000)</f>
        <v>72.89</v>
      </c>
      <c r="L338" s="75">
        <f>(PA_prices!L326+$D$2)*IF($M$2="Prices in $/MWh",1,1/1000)</f>
        <v>30.96</v>
      </c>
      <c r="M338" s="76">
        <f>(PA_prices!M326+$D$2)*IF($M$2="Prices in $/MWh",1,1/1000)</f>
        <v>31.45</v>
      </c>
      <c r="N338" s="75">
        <f>(PA_prices!N326+$D$2)*IF($M$2="Prices in $/MWh",1,1/1000)</f>
        <v>31.44</v>
      </c>
      <c r="O338" s="61"/>
    </row>
    <row r="339" spans="2:15" x14ac:dyDescent="0.25">
      <c r="B339" s="99" t="s">
        <v>645</v>
      </c>
      <c r="C339" s="78" t="str">
        <f>PA_prices!C327</f>
        <v>February-2016</v>
      </c>
      <c r="D339" s="79" t="str">
        <f>PA_prices!D327</f>
        <v>PA</v>
      </c>
      <c r="E339" s="80" t="str">
        <f>PA_prices!E327</f>
        <v>PPL</v>
      </c>
      <c r="F339" s="79" t="str">
        <f>PA_prices!F327</f>
        <v>GS1</v>
      </c>
      <c r="G339" s="80" t="str">
        <f>PA_prices!G327</f>
        <v>General Service Small</v>
      </c>
      <c r="H339" s="81" t="str">
        <f t="shared" ref="H339" si="322">IF($M$2="Prices in $/MWh","100-500 MWh","100,000-500,000 kWh")</f>
        <v>100-500 MWh</v>
      </c>
      <c r="I339" s="80">
        <f>(PA_prices!I327+$D$2)*IF($M$2="Prices in $/MWh",1,1/1000)</f>
        <v>70.959999999999994</v>
      </c>
      <c r="J339" s="79">
        <f>(PA_prices!J327+$D$2)*IF($M$2="Prices in $/MWh",1,1/1000)</f>
        <v>71.790000000000006</v>
      </c>
      <c r="K339" s="80">
        <f>(PA_prices!K327+$D$2)*IF($M$2="Prices in $/MWh",1,1/1000)</f>
        <v>71.290000000000006</v>
      </c>
      <c r="L339" s="79">
        <f>(PA_prices!L327+$D$2)*IF($M$2="Prices in $/MWh",1,1/1000)</f>
        <v>29.36</v>
      </c>
      <c r="M339" s="80">
        <f>(PA_prices!M327+$D$2)*IF($M$2="Prices in $/MWh",1,1/1000)</f>
        <v>29.85</v>
      </c>
      <c r="N339" s="79">
        <f>(PA_prices!N327+$D$2)*IF($M$2="Prices in $/MWh",1,1/1000)</f>
        <v>29.84</v>
      </c>
      <c r="O339" s="61"/>
    </row>
    <row r="340" spans="2:15" x14ac:dyDescent="0.25">
      <c r="B340" s="99" t="s">
        <v>645</v>
      </c>
      <c r="C340" s="82" t="str">
        <f>PA_prices!C328</f>
        <v>February-2016</v>
      </c>
      <c r="D340" s="83" t="str">
        <f>PA_prices!D328</f>
        <v>PA</v>
      </c>
      <c r="E340" s="84" t="str">
        <f>PA_prices!E328</f>
        <v>PPL</v>
      </c>
      <c r="F340" s="83" t="str">
        <f>PA_prices!F328</f>
        <v>GS1</v>
      </c>
      <c r="G340" s="84" t="str">
        <f>PA_prices!G328</f>
        <v>General Service Small</v>
      </c>
      <c r="H340" s="85" t="str">
        <f t="shared" ref="H340" si="323">IF($M$2="Prices in $/MWh","500-2500 MWh","500,000-2,500,000 kWh")</f>
        <v>500-2500 MWh</v>
      </c>
      <c r="I340" s="84">
        <f>(PA_prices!I328+$D$2)*IF($M$2="Prices in $/MWh",1,1/1000)</f>
        <v>69.91</v>
      </c>
      <c r="J340" s="83">
        <f>(PA_prices!J328+$D$2)*IF($M$2="Prices in $/MWh",1,1/1000)</f>
        <v>70.739999999999995</v>
      </c>
      <c r="K340" s="84">
        <f>(PA_prices!K328+$D$2)*IF($M$2="Prices in $/MWh",1,1/1000)</f>
        <v>70.239999999999995</v>
      </c>
      <c r="L340" s="83">
        <f>(PA_prices!L328+$D$2)*IF($M$2="Prices in $/MWh",1,1/1000)</f>
        <v>28.31</v>
      </c>
      <c r="M340" s="84">
        <f>(PA_prices!M328+$D$2)*IF($M$2="Prices in $/MWh",1,1/1000)</f>
        <v>28.8</v>
      </c>
      <c r="N340" s="83">
        <f>(PA_prices!N328+$D$2)*IF($M$2="Prices in $/MWh",1,1/1000)</f>
        <v>28.79</v>
      </c>
      <c r="O340" s="61"/>
    </row>
    <row r="341" spans="2:15" x14ac:dyDescent="0.25">
      <c r="B341" s="99" t="s">
        <v>645</v>
      </c>
      <c r="C341" s="74" t="str">
        <f>PA_prices!C329</f>
        <v>March-2016</v>
      </c>
      <c r="D341" s="75" t="str">
        <f>PA_prices!D329</f>
        <v>PA</v>
      </c>
      <c r="E341" s="76" t="str">
        <f>PA_prices!E329</f>
        <v>PPL</v>
      </c>
      <c r="F341" s="75" t="str">
        <f>PA_prices!F329</f>
        <v>GS1</v>
      </c>
      <c r="G341" s="76" t="str">
        <f>PA_prices!G329</f>
        <v>General Service Small</v>
      </c>
      <c r="H341" s="77" t="str">
        <f t="shared" ref="H341" si="324">IF($M$2="Prices in $/MWh","0-100 MWh","0-100,000 kWh")</f>
        <v>0-100 MWh</v>
      </c>
      <c r="I341" s="76">
        <f>(PA_prices!I329+$D$2)*IF($M$2="Prices in $/MWh",1,1/1000)</f>
        <v>73.459999999999994</v>
      </c>
      <c r="J341" s="75">
        <f>(PA_prices!J329+$D$2)*IF($M$2="Prices in $/MWh",1,1/1000)</f>
        <v>73</v>
      </c>
      <c r="K341" s="76">
        <f>(PA_prices!K329+$D$2)*IF($M$2="Prices in $/MWh",1,1/1000)</f>
        <v>73.290000000000006</v>
      </c>
      <c r="L341" s="75">
        <f>(PA_prices!L329+$D$2)*IF($M$2="Prices in $/MWh",1,1/1000)</f>
        <v>30.95</v>
      </c>
      <c r="M341" s="76">
        <f>(PA_prices!M329+$D$2)*IF($M$2="Prices in $/MWh",1,1/1000)</f>
        <v>30.83</v>
      </c>
      <c r="N341" s="75">
        <f>(PA_prices!N329+$D$2)*IF($M$2="Prices in $/MWh",1,1/1000)</f>
        <v>31.42</v>
      </c>
      <c r="O341" s="61"/>
    </row>
    <row r="342" spans="2:15" x14ac:dyDescent="0.25">
      <c r="B342" s="99" t="s">
        <v>645</v>
      </c>
      <c r="C342" s="78" t="str">
        <f>PA_prices!C330</f>
        <v>March-2016</v>
      </c>
      <c r="D342" s="79" t="str">
        <f>PA_prices!D330</f>
        <v>PA</v>
      </c>
      <c r="E342" s="80" t="str">
        <f>PA_prices!E330</f>
        <v>PPL</v>
      </c>
      <c r="F342" s="79" t="str">
        <f>PA_prices!F330</f>
        <v>GS1</v>
      </c>
      <c r="G342" s="80" t="str">
        <f>PA_prices!G330</f>
        <v>General Service Small</v>
      </c>
      <c r="H342" s="81" t="str">
        <f t="shared" ref="H342" si="325">IF($M$2="Prices in $/MWh","100-500 MWh","100,000-500,000 kWh")</f>
        <v>100-500 MWh</v>
      </c>
      <c r="I342" s="80">
        <f>(PA_prices!I330+$D$2)*IF($M$2="Prices in $/MWh",1,1/1000)</f>
        <v>71.86</v>
      </c>
      <c r="J342" s="79">
        <f>(PA_prices!J330+$D$2)*IF($M$2="Prices in $/MWh",1,1/1000)</f>
        <v>71.400000000000006</v>
      </c>
      <c r="K342" s="80">
        <f>(PA_prices!K330+$D$2)*IF($M$2="Prices in $/MWh",1,1/1000)</f>
        <v>71.69</v>
      </c>
      <c r="L342" s="79">
        <f>(PA_prices!L330+$D$2)*IF($M$2="Prices in $/MWh",1,1/1000)</f>
        <v>29.35</v>
      </c>
      <c r="M342" s="80">
        <f>(PA_prices!M330+$D$2)*IF($M$2="Prices in $/MWh",1,1/1000)</f>
        <v>29.23</v>
      </c>
      <c r="N342" s="79">
        <f>(PA_prices!N330+$D$2)*IF($M$2="Prices in $/MWh",1,1/1000)</f>
        <v>29.82</v>
      </c>
      <c r="O342" s="61"/>
    </row>
    <row r="343" spans="2:15" x14ac:dyDescent="0.25">
      <c r="B343" s="99" t="s">
        <v>645</v>
      </c>
      <c r="C343" s="82" t="str">
        <f>PA_prices!C331</f>
        <v>March-2016</v>
      </c>
      <c r="D343" s="83" t="str">
        <f>PA_prices!D331</f>
        <v>PA</v>
      </c>
      <c r="E343" s="84" t="str">
        <f>PA_prices!E331</f>
        <v>PPL</v>
      </c>
      <c r="F343" s="83" t="str">
        <f>PA_prices!F331</f>
        <v>GS1</v>
      </c>
      <c r="G343" s="84" t="str">
        <f>PA_prices!G331</f>
        <v>General Service Small</v>
      </c>
      <c r="H343" s="85" t="str">
        <f t="shared" ref="H343" si="326">IF($M$2="Prices in $/MWh","500-2500 MWh","500,000-2,500,000 kWh")</f>
        <v>500-2500 MWh</v>
      </c>
      <c r="I343" s="84">
        <f>(PA_prices!I331+$D$2)*IF($M$2="Prices in $/MWh",1,1/1000)</f>
        <v>70.81</v>
      </c>
      <c r="J343" s="83">
        <f>(PA_prices!J331+$D$2)*IF($M$2="Prices in $/MWh",1,1/1000)</f>
        <v>70.349999999999994</v>
      </c>
      <c r="K343" s="84">
        <f>(PA_prices!K331+$D$2)*IF($M$2="Prices in $/MWh",1,1/1000)</f>
        <v>70.64</v>
      </c>
      <c r="L343" s="83">
        <f>(PA_prices!L331+$D$2)*IF($M$2="Prices in $/MWh",1,1/1000)</f>
        <v>28.3</v>
      </c>
      <c r="M343" s="84">
        <f>(PA_prices!M331+$D$2)*IF($M$2="Prices in $/MWh",1,1/1000)</f>
        <v>28.18</v>
      </c>
      <c r="N343" s="83">
        <f>(PA_prices!N331+$D$2)*IF($M$2="Prices in $/MWh",1,1/1000)</f>
        <v>28.77</v>
      </c>
      <c r="O343" s="61"/>
    </row>
    <row r="344" spans="2:15" x14ac:dyDescent="0.25">
      <c r="B344" s="99" t="s">
        <v>645</v>
      </c>
      <c r="C344" s="74" t="str">
        <f>PA_prices!C332</f>
        <v>April-2016</v>
      </c>
      <c r="D344" s="75" t="str">
        <f>PA_prices!D332</f>
        <v>PA</v>
      </c>
      <c r="E344" s="76" t="str">
        <f>PA_prices!E332</f>
        <v>PPL</v>
      </c>
      <c r="F344" s="75" t="str">
        <f>PA_prices!F332</f>
        <v>GS1</v>
      </c>
      <c r="G344" s="76" t="str">
        <f>PA_prices!G332</f>
        <v>General Service Small</v>
      </c>
      <c r="H344" s="77" t="str">
        <f t="shared" ref="H344" si="327">IF($M$2="Prices in $/MWh","0-100 MWh","0-100,000 kWh")</f>
        <v>0-100 MWh</v>
      </c>
      <c r="I344" s="76">
        <f>(PA_prices!I332+$D$2)*IF($M$2="Prices in $/MWh",1,1/1000)</f>
        <v>73.94</v>
      </c>
      <c r="J344" s="75">
        <f>(PA_prices!J332+$D$2)*IF($M$2="Prices in $/MWh",1,1/1000)</f>
        <v>72.62</v>
      </c>
      <c r="K344" s="76">
        <f>(PA_prices!K332+$D$2)*IF($M$2="Prices in $/MWh",1,1/1000)</f>
        <v>73.510000000000005</v>
      </c>
      <c r="L344" s="75">
        <f>(PA_prices!L332+$D$2)*IF($M$2="Prices in $/MWh",1,1/1000)</f>
        <v>31.53</v>
      </c>
      <c r="M344" s="76">
        <f>(PA_prices!M332+$D$2)*IF($M$2="Prices in $/MWh",1,1/1000)</f>
        <v>30.66</v>
      </c>
      <c r="N344" s="75">
        <f>(PA_prices!N332+$D$2)*IF($M$2="Prices in $/MWh",1,1/1000)</f>
        <v>31.77</v>
      </c>
      <c r="O344" s="61"/>
    </row>
    <row r="345" spans="2:15" x14ac:dyDescent="0.25">
      <c r="B345" s="99" t="s">
        <v>645</v>
      </c>
      <c r="C345" s="78" t="str">
        <f>PA_prices!C333</f>
        <v>April-2016</v>
      </c>
      <c r="D345" s="79" t="str">
        <f>PA_prices!D333</f>
        <v>PA</v>
      </c>
      <c r="E345" s="80" t="str">
        <f>PA_prices!E333</f>
        <v>PPL</v>
      </c>
      <c r="F345" s="79" t="str">
        <f>PA_prices!F333</f>
        <v>GS1</v>
      </c>
      <c r="G345" s="80" t="str">
        <f>PA_prices!G333</f>
        <v>General Service Small</v>
      </c>
      <c r="H345" s="81" t="str">
        <f t="shared" ref="H345" si="328">IF($M$2="Prices in $/MWh","100-500 MWh","100,000-500,000 kWh")</f>
        <v>100-500 MWh</v>
      </c>
      <c r="I345" s="80">
        <f>(PA_prices!I333+$D$2)*IF($M$2="Prices in $/MWh",1,1/1000)</f>
        <v>72.34</v>
      </c>
      <c r="J345" s="79">
        <f>(PA_prices!J333+$D$2)*IF($M$2="Prices in $/MWh",1,1/1000)</f>
        <v>71.02</v>
      </c>
      <c r="K345" s="80">
        <f>(PA_prices!K333+$D$2)*IF($M$2="Prices in $/MWh",1,1/1000)</f>
        <v>71.91</v>
      </c>
      <c r="L345" s="79">
        <f>(PA_prices!L333+$D$2)*IF($M$2="Prices in $/MWh",1,1/1000)</f>
        <v>29.93</v>
      </c>
      <c r="M345" s="80">
        <f>(PA_prices!M333+$D$2)*IF($M$2="Prices in $/MWh",1,1/1000)</f>
        <v>29.06</v>
      </c>
      <c r="N345" s="79">
        <f>(PA_prices!N333+$D$2)*IF($M$2="Prices in $/MWh",1,1/1000)</f>
        <v>30.17</v>
      </c>
      <c r="O345" s="61"/>
    </row>
    <row r="346" spans="2:15" x14ac:dyDescent="0.25">
      <c r="B346" s="99" t="s">
        <v>645</v>
      </c>
      <c r="C346" s="82" t="str">
        <f>PA_prices!C334</f>
        <v>April-2016</v>
      </c>
      <c r="D346" s="83" t="str">
        <f>PA_prices!D334</f>
        <v>PA</v>
      </c>
      <c r="E346" s="84" t="str">
        <f>PA_prices!E334</f>
        <v>PPL</v>
      </c>
      <c r="F346" s="83" t="str">
        <f>PA_prices!F334</f>
        <v>GS1</v>
      </c>
      <c r="G346" s="84" t="str">
        <f>PA_prices!G334</f>
        <v>General Service Small</v>
      </c>
      <c r="H346" s="85" t="str">
        <f t="shared" ref="H346" si="329">IF($M$2="Prices in $/MWh","500-2500 MWh","500,000-2,500,000 kWh")</f>
        <v>500-2500 MWh</v>
      </c>
      <c r="I346" s="84">
        <f>(PA_prices!I334+$D$2)*IF($M$2="Prices in $/MWh",1,1/1000)</f>
        <v>71.290000000000006</v>
      </c>
      <c r="J346" s="83">
        <f>(PA_prices!J334+$D$2)*IF($M$2="Prices in $/MWh",1,1/1000)</f>
        <v>69.97</v>
      </c>
      <c r="K346" s="84">
        <f>(PA_prices!K334+$D$2)*IF($M$2="Prices in $/MWh",1,1/1000)</f>
        <v>70.86</v>
      </c>
      <c r="L346" s="83">
        <f>(PA_prices!L334+$D$2)*IF($M$2="Prices in $/MWh",1,1/1000)</f>
        <v>28.88</v>
      </c>
      <c r="M346" s="84">
        <f>(PA_prices!M334+$D$2)*IF($M$2="Prices in $/MWh",1,1/1000)</f>
        <v>28.01</v>
      </c>
      <c r="N346" s="83">
        <f>(PA_prices!N334+$D$2)*IF($M$2="Prices in $/MWh",1,1/1000)</f>
        <v>29.12</v>
      </c>
      <c r="O346" s="61"/>
    </row>
    <row r="347" spans="2:15" x14ac:dyDescent="0.25">
      <c r="B347" s="99" t="s">
        <v>645</v>
      </c>
      <c r="C347" s="74" t="str">
        <f>PA_prices!C335</f>
        <v>May-2016</v>
      </c>
      <c r="D347" s="75" t="str">
        <f>PA_prices!D335</f>
        <v>PA</v>
      </c>
      <c r="E347" s="76" t="str">
        <f>PA_prices!E335</f>
        <v>PPL</v>
      </c>
      <c r="F347" s="75" t="str">
        <f>PA_prices!F335</f>
        <v>GS1</v>
      </c>
      <c r="G347" s="76" t="str">
        <f>PA_prices!G335</f>
        <v>General Service Small</v>
      </c>
      <c r="H347" s="77" t="str">
        <f t="shared" ref="H347" si="330">IF($M$2="Prices in $/MWh","0-100 MWh","0-100,000 kWh")</f>
        <v>0-100 MWh</v>
      </c>
      <c r="I347" s="76">
        <f>(PA_prices!I335+$D$2)*IF($M$2="Prices in $/MWh",1,1/1000)</f>
        <v>73.959999999999994</v>
      </c>
      <c r="J347" s="75">
        <f>(PA_prices!J335+$D$2)*IF($M$2="Prices in $/MWh",1,1/1000)</f>
        <v>72.37</v>
      </c>
      <c r="K347" s="76">
        <f>(PA_prices!K335+$D$2)*IF($M$2="Prices in $/MWh",1,1/1000)</f>
        <v>73.5</v>
      </c>
      <c r="L347" s="75">
        <f>(PA_prices!L335+$D$2)*IF($M$2="Prices in $/MWh",1,1/1000)</f>
        <v>31.41</v>
      </c>
      <c r="M347" s="76">
        <f>(PA_prices!M335+$D$2)*IF($M$2="Prices in $/MWh",1,1/1000)</f>
        <v>30.57</v>
      </c>
      <c r="N347" s="75">
        <f>(PA_prices!N335+$D$2)*IF($M$2="Prices in $/MWh",1,1/1000)</f>
        <v>31.77</v>
      </c>
      <c r="O347" s="61"/>
    </row>
    <row r="348" spans="2:15" x14ac:dyDescent="0.25">
      <c r="B348" s="99" t="s">
        <v>645</v>
      </c>
      <c r="C348" s="78" t="str">
        <f>PA_prices!C336</f>
        <v>May-2016</v>
      </c>
      <c r="D348" s="79" t="str">
        <f>PA_prices!D336</f>
        <v>PA</v>
      </c>
      <c r="E348" s="80" t="str">
        <f>PA_prices!E336</f>
        <v>PPL</v>
      </c>
      <c r="F348" s="79" t="str">
        <f>PA_prices!F336</f>
        <v>GS1</v>
      </c>
      <c r="G348" s="80" t="str">
        <f>PA_prices!G336</f>
        <v>General Service Small</v>
      </c>
      <c r="H348" s="81" t="str">
        <f t="shared" ref="H348" si="331">IF($M$2="Prices in $/MWh","100-500 MWh","100,000-500,000 kWh")</f>
        <v>100-500 MWh</v>
      </c>
      <c r="I348" s="80">
        <f>(PA_prices!I336+$D$2)*IF($M$2="Prices in $/MWh",1,1/1000)</f>
        <v>72.36</v>
      </c>
      <c r="J348" s="79">
        <f>(PA_prices!J336+$D$2)*IF($M$2="Prices in $/MWh",1,1/1000)</f>
        <v>70.77</v>
      </c>
      <c r="K348" s="80">
        <f>(PA_prices!K336+$D$2)*IF($M$2="Prices in $/MWh",1,1/1000)</f>
        <v>71.900000000000006</v>
      </c>
      <c r="L348" s="79">
        <f>(PA_prices!L336+$D$2)*IF($M$2="Prices in $/MWh",1,1/1000)</f>
        <v>29.81</v>
      </c>
      <c r="M348" s="80">
        <f>(PA_prices!M336+$D$2)*IF($M$2="Prices in $/MWh",1,1/1000)</f>
        <v>28.97</v>
      </c>
      <c r="N348" s="79">
        <f>(PA_prices!N336+$D$2)*IF($M$2="Prices in $/MWh",1,1/1000)</f>
        <v>30.17</v>
      </c>
      <c r="O348" s="61"/>
    </row>
    <row r="349" spans="2:15" x14ac:dyDescent="0.25">
      <c r="B349" s="99" t="s">
        <v>645</v>
      </c>
      <c r="C349" s="82" t="str">
        <f>PA_prices!C337</f>
        <v>May-2016</v>
      </c>
      <c r="D349" s="83" t="str">
        <f>PA_prices!D337</f>
        <v>PA</v>
      </c>
      <c r="E349" s="84" t="str">
        <f>PA_prices!E337</f>
        <v>PPL</v>
      </c>
      <c r="F349" s="83" t="str">
        <f>PA_prices!F337</f>
        <v>GS1</v>
      </c>
      <c r="G349" s="84" t="str">
        <f>PA_prices!G337</f>
        <v>General Service Small</v>
      </c>
      <c r="H349" s="85" t="str">
        <f t="shared" ref="H349" si="332">IF($M$2="Prices in $/MWh","500-2500 MWh","500,000-2,500,000 kWh")</f>
        <v>500-2500 MWh</v>
      </c>
      <c r="I349" s="84">
        <f>(PA_prices!I337+$D$2)*IF($M$2="Prices in $/MWh",1,1/1000)</f>
        <v>71.31</v>
      </c>
      <c r="J349" s="83">
        <f>(PA_prices!J337+$D$2)*IF($M$2="Prices in $/MWh",1,1/1000)</f>
        <v>69.72</v>
      </c>
      <c r="K349" s="84">
        <f>(PA_prices!K337+$D$2)*IF($M$2="Prices in $/MWh",1,1/1000)</f>
        <v>70.849999999999994</v>
      </c>
      <c r="L349" s="83">
        <f>(PA_prices!L337+$D$2)*IF($M$2="Prices in $/MWh",1,1/1000)</f>
        <v>28.76</v>
      </c>
      <c r="M349" s="84">
        <f>(PA_prices!M337+$D$2)*IF($M$2="Prices in $/MWh",1,1/1000)</f>
        <v>27.92</v>
      </c>
      <c r="N349" s="83">
        <f>(PA_prices!N337+$D$2)*IF($M$2="Prices in $/MWh",1,1/1000)</f>
        <v>29.12</v>
      </c>
      <c r="O349" s="61"/>
    </row>
    <row r="350" spans="2:15" x14ac:dyDescent="0.25">
      <c r="B350" s="99" t="s">
        <v>645</v>
      </c>
      <c r="C350" s="74" t="str">
        <f>PA_prices!C338</f>
        <v>June-2016</v>
      </c>
      <c r="D350" s="75" t="str">
        <f>PA_prices!D338</f>
        <v>PA</v>
      </c>
      <c r="E350" s="76" t="str">
        <f>PA_prices!E338</f>
        <v>PPL</v>
      </c>
      <c r="F350" s="75" t="str">
        <f>PA_prices!F338</f>
        <v>GS1</v>
      </c>
      <c r="G350" s="76" t="str">
        <f>PA_prices!G338</f>
        <v>General Service Small</v>
      </c>
      <c r="H350" s="77" t="str">
        <f t="shared" ref="H350" si="333">IF($M$2="Prices in $/MWh","0-100 MWh","0-100,000 kWh")</f>
        <v>0-100 MWh</v>
      </c>
      <c r="I350" s="76">
        <f>(PA_prices!I338+$D$2)*IF($M$2="Prices in $/MWh",1,1/1000)</f>
        <v>73.92</v>
      </c>
      <c r="J350" s="75">
        <f>(PA_prices!J338+$D$2)*IF($M$2="Prices in $/MWh",1,1/1000)</f>
        <v>72.06</v>
      </c>
      <c r="K350" s="76">
        <f>(PA_prices!K338+$D$2)*IF($M$2="Prices in $/MWh",1,1/1000)</f>
        <v>73.48</v>
      </c>
      <c r="L350" s="75">
        <f>(PA_prices!L338+$D$2)*IF($M$2="Prices in $/MWh",1,1/1000)</f>
        <v>31.34</v>
      </c>
      <c r="M350" s="76">
        <f>(PA_prices!M338+$D$2)*IF($M$2="Prices in $/MWh",1,1/1000)</f>
        <v>30.48</v>
      </c>
      <c r="N350" s="75">
        <f>(PA_prices!N338+$D$2)*IF($M$2="Prices in $/MWh",1,1/1000)</f>
        <v>31.78</v>
      </c>
      <c r="O350" s="61"/>
    </row>
    <row r="351" spans="2:15" x14ac:dyDescent="0.25">
      <c r="B351" s="99" t="s">
        <v>645</v>
      </c>
      <c r="C351" s="78" t="str">
        <f>PA_prices!C339</f>
        <v>June-2016</v>
      </c>
      <c r="D351" s="79" t="str">
        <f>PA_prices!D339</f>
        <v>PA</v>
      </c>
      <c r="E351" s="80" t="str">
        <f>PA_prices!E339</f>
        <v>PPL</v>
      </c>
      <c r="F351" s="79" t="str">
        <f>PA_prices!F339</f>
        <v>GS1</v>
      </c>
      <c r="G351" s="80" t="str">
        <f>PA_prices!G339</f>
        <v>General Service Small</v>
      </c>
      <c r="H351" s="81" t="str">
        <f t="shared" ref="H351" si="334">IF($M$2="Prices in $/MWh","100-500 MWh","100,000-500,000 kWh")</f>
        <v>100-500 MWh</v>
      </c>
      <c r="I351" s="80">
        <f>(PA_prices!I339+$D$2)*IF($M$2="Prices in $/MWh",1,1/1000)</f>
        <v>72.319999999999993</v>
      </c>
      <c r="J351" s="79">
        <f>(PA_prices!J339+$D$2)*IF($M$2="Prices in $/MWh",1,1/1000)</f>
        <v>70.459999999999994</v>
      </c>
      <c r="K351" s="80">
        <f>(PA_prices!K339+$D$2)*IF($M$2="Prices in $/MWh",1,1/1000)</f>
        <v>71.88</v>
      </c>
      <c r="L351" s="79">
        <f>(PA_prices!L339+$D$2)*IF($M$2="Prices in $/MWh",1,1/1000)</f>
        <v>29.74</v>
      </c>
      <c r="M351" s="80">
        <f>(PA_prices!M339+$D$2)*IF($M$2="Prices in $/MWh",1,1/1000)</f>
        <v>28.88</v>
      </c>
      <c r="N351" s="79">
        <f>(PA_prices!N339+$D$2)*IF($M$2="Prices in $/MWh",1,1/1000)</f>
        <v>30.18</v>
      </c>
      <c r="O351" s="61"/>
    </row>
    <row r="352" spans="2:15" x14ac:dyDescent="0.25">
      <c r="B352" s="99" t="s">
        <v>645</v>
      </c>
      <c r="C352" s="82" t="str">
        <f>PA_prices!C340</f>
        <v>June-2016</v>
      </c>
      <c r="D352" s="83" t="str">
        <f>PA_prices!D340</f>
        <v>PA</v>
      </c>
      <c r="E352" s="84" t="str">
        <f>PA_prices!E340</f>
        <v>PPL</v>
      </c>
      <c r="F352" s="83" t="str">
        <f>PA_prices!F340</f>
        <v>GS1</v>
      </c>
      <c r="G352" s="84" t="str">
        <f>PA_prices!G340</f>
        <v>General Service Small</v>
      </c>
      <c r="H352" s="85" t="str">
        <f t="shared" ref="H352" si="335">IF($M$2="Prices in $/MWh","500-2500 MWh","500,000-2,500,000 kWh")</f>
        <v>500-2500 MWh</v>
      </c>
      <c r="I352" s="84">
        <f>(PA_prices!I340+$D$2)*IF($M$2="Prices in $/MWh",1,1/1000)</f>
        <v>71.27</v>
      </c>
      <c r="J352" s="83">
        <f>(PA_prices!J340+$D$2)*IF($M$2="Prices in $/MWh",1,1/1000)</f>
        <v>69.41</v>
      </c>
      <c r="K352" s="84">
        <f>(PA_prices!K340+$D$2)*IF($M$2="Prices in $/MWh",1,1/1000)</f>
        <v>70.83</v>
      </c>
      <c r="L352" s="83">
        <f>(PA_prices!L340+$D$2)*IF($M$2="Prices in $/MWh",1,1/1000)</f>
        <v>28.69</v>
      </c>
      <c r="M352" s="84">
        <f>(PA_prices!M340+$D$2)*IF($M$2="Prices in $/MWh",1,1/1000)</f>
        <v>27.83</v>
      </c>
      <c r="N352" s="83">
        <f>(PA_prices!N340+$D$2)*IF($M$2="Prices in $/MWh",1,1/1000)</f>
        <v>29.13</v>
      </c>
      <c r="O352" s="61"/>
    </row>
    <row r="353" spans="2:15" x14ac:dyDescent="0.25">
      <c r="B353" s="99" t="s">
        <v>645</v>
      </c>
      <c r="C353" s="74" t="str">
        <f>PA_prices!C341</f>
        <v>July-2016</v>
      </c>
      <c r="D353" s="75" t="str">
        <f>PA_prices!D341</f>
        <v>PA</v>
      </c>
      <c r="E353" s="76" t="str">
        <f>PA_prices!E341</f>
        <v>PPL</v>
      </c>
      <c r="F353" s="75" t="str">
        <f>PA_prices!F341</f>
        <v>GS1</v>
      </c>
      <c r="G353" s="76" t="str">
        <f>PA_prices!G341</f>
        <v>General Service Small</v>
      </c>
      <c r="H353" s="77" t="str">
        <f t="shared" ref="H353" si="336">IF($M$2="Prices in $/MWh","0-100 MWh","0-100,000 kWh")</f>
        <v>0-100 MWh</v>
      </c>
      <c r="I353" s="76">
        <f>(PA_prices!I341+$D$2)*IF($M$2="Prices in $/MWh",1,1/1000)</f>
        <v>73.94</v>
      </c>
      <c r="J353" s="75">
        <f>(PA_prices!J341+$D$2)*IF($M$2="Prices in $/MWh",1,1/1000)</f>
        <v>72.040000000000006</v>
      </c>
      <c r="K353" s="76">
        <f>(PA_prices!K341+$D$2)*IF($M$2="Prices in $/MWh",1,1/1000)</f>
        <v>73.55</v>
      </c>
      <c r="L353" s="75">
        <f>(PA_prices!L341+$D$2)*IF($M$2="Prices in $/MWh",1,1/1000)</f>
        <v>31.45</v>
      </c>
      <c r="M353" s="76">
        <f>(PA_prices!M341+$D$2)*IF($M$2="Prices in $/MWh",1,1/1000)</f>
        <v>30.87</v>
      </c>
      <c r="N353" s="75">
        <f>(PA_prices!N341+$D$2)*IF($M$2="Prices in $/MWh",1,1/1000)</f>
        <v>32.03</v>
      </c>
      <c r="O353" s="61"/>
    </row>
    <row r="354" spans="2:15" x14ac:dyDescent="0.25">
      <c r="B354" s="99" t="s">
        <v>645</v>
      </c>
      <c r="C354" s="78" t="str">
        <f>PA_prices!C342</f>
        <v>July-2016</v>
      </c>
      <c r="D354" s="79" t="str">
        <f>PA_prices!D342</f>
        <v>PA</v>
      </c>
      <c r="E354" s="80" t="str">
        <f>PA_prices!E342</f>
        <v>PPL</v>
      </c>
      <c r="F354" s="79" t="str">
        <f>PA_prices!F342</f>
        <v>GS1</v>
      </c>
      <c r="G354" s="80" t="str">
        <f>PA_prices!G342</f>
        <v>General Service Small</v>
      </c>
      <c r="H354" s="81" t="str">
        <f t="shared" ref="H354" si="337">IF($M$2="Prices in $/MWh","100-500 MWh","100,000-500,000 kWh")</f>
        <v>100-500 MWh</v>
      </c>
      <c r="I354" s="80">
        <f>(PA_prices!I342+$D$2)*IF($M$2="Prices in $/MWh",1,1/1000)</f>
        <v>72.34</v>
      </c>
      <c r="J354" s="79">
        <f>(PA_prices!J342+$D$2)*IF($M$2="Prices in $/MWh",1,1/1000)</f>
        <v>70.44</v>
      </c>
      <c r="K354" s="80">
        <f>(PA_prices!K342+$D$2)*IF($M$2="Prices in $/MWh",1,1/1000)</f>
        <v>71.95</v>
      </c>
      <c r="L354" s="79">
        <f>(PA_prices!L342+$D$2)*IF($M$2="Prices in $/MWh",1,1/1000)</f>
        <v>29.85</v>
      </c>
      <c r="M354" s="80">
        <f>(PA_prices!M342+$D$2)*IF($M$2="Prices in $/MWh",1,1/1000)</f>
        <v>29.27</v>
      </c>
      <c r="N354" s="79">
        <f>(PA_prices!N342+$D$2)*IF($M$2="Prices in $/MWh",1,1/1000)</f>
        <v>30.43</v>
      </c>
      <c r="O354" s="61"/>
    </row>
    <row r="355" spans="2:15" x14ac:dyDescent="0.25">
      <c r="B355" s="99" t="s">
        <v>645</v>
      </c>
      <c r="C355" s="82" t="str">
        <f>PA_prices!C343</f>
        <v>July-2016</v>
      </c>
      <c r="D355" s="83" t="str">
        <f>PA_prices!D343</f>
        <v>PA</v>
      </c>
      <c r="E355" s="84" t="str">
        <f>PA_prices!E343</f>
        <v>PPL</v>
      </c>
      <c r="F355" s="83" t="str">
        <f>PA_prices!F343</f>
        <v>GS1</v>
      </c>
      <c r="G355" s="84" t="str">
        <f>PA_prices!G343</f>
        <v>General Service Small</v>
      </c>
      <c r="H355" s="85" t="str">
        <f t="shared" ref="H355" si="338">IF($M$2="Prices in $/MWh","500-2500 MWh","500,000-2,500,000 kWh")</f>
        <v>500-2500 MWh</v>
      </c>
      <c r="I355" s="84">
        <f>(PA_prices!I343+$D$2)*IF($M$2="Prices in $/MWh",1,1/1000)</f>
        <v>71.290000000000006</v>
      </c>
      <c r="J355" s="83">
        <f>(PA_prices!J343+$D$2)*IF($M$2="Prices in $/MWh",1,1/1000)</f>
        <v>69.39</v>
      </c>
      <c r="K355" s="84">
        <f>(PA_prices!K343+$D$2)*IF($M$2="Prices in $/MWh",1,1/1000)</f>
        <v>70.900000000000006</v>
      </c>
      <c r="L355" s="83">
        <f>(PA_prices!L343+$D$2)*IF($M$2="Prices in $/MWh",1,1/1000)</f>
        <v>28.8</v>
      </c>
      <c r="M355" s="84">
        <f>(PA_prices!M343+$D$2)*IF($M$2="Prices in $/MWh",1,1/1000)</f>
        <v>28.22</v>
      </c>
      <c r="N355" s="83">
        <f>(PA_prices!N343+$D$2)*IF($M$2="Prices in $/MWh",1,1/1000)</f>
        <v>29.38</v>
      </c>
      <c r="O355" s="61"/>
    </row>
    <row r="356" spans="2:15" x14ac:dyDescent="0.25">
      <c r="B356" s="99" t="s">
        <v>645</v>
      </c>
      <c r="C356" s="74" t="str">
        <f>PA_prices!C344</f>
        <v>August-2016</v>
      </c>
      <c r="D356" s="75" t="str">
        <f>PA_prices!D344</f>
        <v>PA</v>
      </c>
      <c r="E356" s="76" t="str">
        <f>PA_prices!E344</f>
        <v>PPL</v>
      </c>
      <c r="F356" s="75" t="str">
        <f>PA_prices!F344</f>
        <v>GS1</v>
      </c>
      <c r="G356" s="76" t="str">
        <f>PA_prices!G344</f>
        <v>General Service Small</v>
      </c>
      <c r="H356" s="77" t="str">
        <f t="shared" ref="H356" si="339">IF($M$2="Prices in $/MWh","0-100 MWh","0-100,000 kWh")</f>
        <v>0-100 MWh</v>
      </c>
      <c r="I356" s="76">
        <f>(PA_prices!I344+$D$2)*IF($M$2="Prices in $/MWh",1,1/1000)</f>
        <v>73.87</v>
      </c>
      <c r="J356" s="75">
        <f>(PA_prices!J344+$D$2)*IF($M$2="Prices in $/MWh",1,1/1000)</f>
        <v>73.040000000000006</v>
      </c>
      <c r="K356" s="76">
        <f>(PA_prices!K344+$D$2)*IF($M$2="Prices in $/MWh",1,1/1000)</f>
        <v>73.599999999999994</v>
      </c>
      <c r="L356" s="75">
        <f>(PA_prices!L344+$D$2)*IF($M$2="Prices in $/MWh",1,1/1000)</f>
        <v>31.59</v>
      </c>
      <c r="M356" s="76">
        <f>(PA_prices!M344+$D$2)*IF($M$2="Prices in $/MWh",1,1/1000)</f>
        <v>31.53</v>
      </c>
      <c r="N356" s="75">
        <f>(PA_prices!N344+$D$2)*IF($M$2="Prices in $/MWh",1,1/1000)</f>
        <v>32.200000000000003</v>
      </c>
      <c r="O356" s="61"/>
    </row>
    <row r="357" spans="2:15" x14ac:dyDescent="0.25">
      <c r="B357" s="99" t="s">
        <v>645</v>
      </c>
      <c r="C357" s="78" t="str">
        <f>PA_prices!C345</f>
        <v>August-2016</v>
      </c>
      <c r="D357" s="79" t="str">
        <f>PA_prices!D345</f>
        <v>PA</v>
      </c>
      <c r="E357" s="80" t="str">
        <f>PA_prices!E345</f>
        <v>PPL</v>
      </c>
      <c r="F357" s="79" t="str">
        <f>PA_prices!F345</f>
        <v>GS1</v>
      </c>
      <c r="G357" s="80" t="str">
        <f>PA_prices!G345</f>
        <v>General Service Small</v>
      </c>
      <c r="H357" s="81" t="str">
        <f t="shared" ref="H357" si="340">IF($M$2="Prices in $/MWh","100-500 MWh","100,000-500,000 kWh")</f>
        <v>100-500 MWh</v>
      </c>
      <c r="I357" s="80">
        <f>(PA_prices!I345+$D$2)*IF($M$2="Prices in $/MWh",1,1/1000)</f>
        <v>72.27</v>
      </c>
      <c r="J357" s="79">
        <f>(PA_prices!J345+$D$2)*IF($M$2="Prices in $/MWh",1,1/1000)</f>
        <v>71.44</v>
      </c>
      <c r="K357" s="80">
        <f>(PA_prices!K345+$D$2)*IF($M$2="Prices in $/MWh",1,1/1000)</f>
        <v>72</v>
      </c>
      <c r="L357" s="79">
        <f>(PA_prices!L345+$D$2)*IF($M$2="Prices in $/MWh",1,1/1000)</f>
        <v>29.99</v>
      </c>
      <c r="M357" s="80">
        <f>(PA_prices!M345+$D$2)*IF($M$2="Prices in $/MWh",1,1/1000)</f>
        <v>29.93</v>
      </c>
      <c r="N357" s="79">
        <f>(PA_prices!N345+$D$2)*IF($M$2="Prices in $/MWh",1,1/1000)</f>
        <v>30.6</v>
      </c>
      <c r="O357" s="61"/>
    </row>
    <row r="358" spans="2:15" x14ac:dyDescent="0.25">
      <c r="B358" s="99" t="s">
        <v>645</v>
      </c>
      <c r="C358" s="82" t="str">
        <f>PA_prices!C346</f>
        <v>August-2016</v>
      </c>
      <c r="D358" s="83" t="str">
        <f>PA_prices!D346</f>
        <v>PA</v>
      </c>
      <c r="E358" s="84" t="str">
        <f>PA_prices!E346</f>
        <v>PPL</v>
      </c>
      <c r="F358" s="83" t="str">
        <f>PA_prices!F346</f>
        <v>GS1</v>
      </c>
      <c r="G358" s="84" t="str">
        <f>PA_prices!G346</f>
        <v>General Service Small</v>
      </c>
      <c r="H358" s="85" t="str">
        <f t="shared" ref="H358" si="341">IF($M$2="Prices in $/MWh","500-2500 MWh","500,000-2,500,000 kWh")</f>
        <v>500-2500 MWh</v>
      </c>
      <c r="I358" s="84">
        <f>(PA_prices!I346+$D$2)*IF($M$2="Prices in $/MWh",1,1/1000)</f>
        <v>71.22</v>
      </c>
      <c r="J358" s="83">
        <f>(PA_prices!J346+$D$2)*IF($M$2="Prices in $/MWh",1,1/1000)</f>
        <v>70.39</v>
      </c>
      <c r="K358" s="84">
        <f>(PA_prices!K346+$D$2)*IF($M$2="Prices in $/MWh",1,1/1000)</f>
        <v>70.95</v>
      </c>
      <c r="L358" s="83">
        <f>(PA_prices!L346+$D$2)*IF($M$2="Prices in $/MWh",1,1/1000)</f>
        <v>28.94</v>
      </c>
      <c r="M358" s="84">
        <f>(PA_prices!M346+$D$2)*IF($M$2="Prices in $/MWh",1,1/1000)</f>
        <v>28.88</v>
      </c>
      <c r="N358" s="83">
        <f>(PA_prices!N346+$D$2)*IF($M$2="Prices in $/MWh",1,1/1000)</f>
        <v>29.55</v>
      </c>
      <c r="O358" s="61"/>
    </row>
    <row r="359" spans="2:15" x14ac:dyDescent="0.25">
      <c r="B359" s="99" t="s">
        <v>645</v>
      </c>
      <c r="C359" s="74" t="str">
        <f>PA_prices!C347</f>
        <v>September-2016</v>
      </c>
      <c r="D359" s="75" t="str">
        <f>PA_prices!D347</f>
        <v>PA</v>
      </c>
      <c r="E359" s="76" t="str">
        <f>PA_prices!E347</f>
        <v>PPL</v>
      </c>
      <c r="F359" s="75" t="str">
        <f>PA_prices!F347</f>
        <v>GS1</v>
      </c>
      <c r="G359" s="76" t="str">
        <f>PA_prices!G347</f>
        <v>General Service Small</v>
      </c>
      <c r="H359" s="77" t="str">
        <f t="shared" ref="H359" si="342">IF($M$2="Prices in $/MWh","0-100 MWh","0-100,000 kWh")</f>
        <v>0-100 MWh</v>
      </c>
      <c r="I359" s="76">
        <f>(PA_prices!I347+$D$2)*IF($M$2="Prices in $/MWh",1,1/1000)</f>
        <v>73.790000000000006</v>
      </c>
      <c r="J359" s="75">
        <f>(PA_prices!J347+$D$2)*IF($M$2="Prices in $/MWh",1,1/1000)</f>
        <v>73.91</v>
      </c>
      <c r="K359" s="76">
        <f>(PA_prices!K347+$D$2)*IF($M$2="Prices in $/MWh",1,1/1000)</f>
        <v>73.64</v>
      </c>
      <c r="L359" s="75">
        <f>(PA_prices!L347+$D$2)*IF($M$2="Prices in $/MWh",1,1/1000)</f>
        <v>31.7</v>
      </c>
      <c r="M359" s="76">
        <f>(PA_prices!M347+$D$2)*IF($M$2="Prices in $/MWh",1,1/1000)</f>
        <v>32.19</v>
      </c>
      <c r="N359" s="75">
        <f>(PA_prices!N347+$D$2)*IF($M$2="Prices in $/MWh",1,1/1000)</f>
        <v>32.39</v>
      </c>
      <c r="O359" s="61"/>
    </row>
    <row r="360" spans="2:15" x14ac:dyDescent="0.25">
      <c r="B360" s="99" t="s">
        <v>645</v>
      </c>
      <c r="C360" s="78" t="str">
        <f>PA_prices!C348</f>
        <v>September-2016</v>
      </c>
      <c r="D360" s="79" t="str">
        <f>PA_prices!D348</f>
        <v>PA</v>
      </c>
      <c r="E360" s="80" t="str">
        <f>PA_prices!E348</f>
        <v>PPL</v>
      </c>
      <c r="F360" s="79" t="str">
        <f>PA_prices!F348</f>
        <v>GS1</v>
      </c>
      <c r="G360" s="80" t="str">
        <f>PA_prices!G348</f>
        <v>General Service Small</v>
      </c>
      <c r="H360" s="81" t="str">
        <f t="shared" ref="H360" si="343">IF($M$2="Prices in $/MWh","100-500 MWh","100,000-500,000 kWh")</f>
        <v>100-500 MWh</v>
      </c>
      <c r="I360" s="80">
        <f>(PA_prices!I348+$D$2)*IF($M$2="Prices in $/MWh",1,1/1000)</f>
        <v>72.19</v>
      </c>
      <c r="J360" s="79">
        <f>(PA_prices!J348+$D$2)*IF($M$2="Prices in $/MWh",1,1/1000)</f>
        <v>72.31</v>
      </c>
      <c r="K360" s="80">
        <f>(PA_prices!K348+$D$2)*IF($M$2="Prices in $/MWh",1,1/1000)</f>
        <v>72.040000000000006</v>
      </c>
      <c r="L360" s="79">
        <f>(PA_prices!L348+$D$2)*IF($M$2="Prices in $/MWh",1,1/1000)</f>
        <v>30.1</v>
      </c>
      <c r="M360" s="80">
        <f>(PA_prices!M348+$D$2)*IF($M$2="Prices in $/MWh",1,1/1000)</f>
        <v>30.59</v>
      </c>
      <c r="N360" s="79">
        <f>(PA_prices!N348+$D$2)*IF($M$2="Prices in $/MWh",1,1/1000)</f>
        <v>30.79</v>
      </c>
      <c r="O360" s="61"/>
    </row>
    <row r="361" spans="2:15" x14ac:dyDescent="0.25">
      <c r="B361" s="99" t="s">
        <v>645</v>
      </c>
      <c r="C361" s="82" t="str">
        <f>PA_prices!C349</f>
        <v>September-2016</v>
      </c>
      <c r="D361" s="83" t="str">
        <f>PA_prices!D349</f>
        <v>PA</v>
      </c>
      <c r="E361" s="84" t="str">
        <f>PA_prices!E349</f>
        <v>PPL</v>
      </c>
      <c r="F361" s="83" t="str">
        <f>PA_prices!F349</f>
        <v>GS1</v>
      </c>
      <c r="G361" s="84" t="str">
        <f>PA_prices!G349</f>
        <v>General Service Small</v>
      </c>
      <c r="H361" s="85" t="str">
        <f t="shared" ref="H361" si="344">IF($M$2="Prices in $/MWh","500-2500 MWh","500,000-2,500,000 kWh")</f>
        <v>500-2500 MWh</v>
      </c>
      <c r="I361" s="84">
        <f>(PA_prices!I349+$D$2)*IF($M$2="Prices in $/MWh",1,1/1000)</f>
        <v>71.14</v>
      </c>
      <c r="J361" s="83">
        <f>(PA_prices!J349+$D$2)*IF($M$2="Prices in $/MWh",1,1/1000)</f>
        <v>71.260000000000005</v>
      </c>
      <c r="K361" s="84">
        <f>(PA_prices!K349+$D$2)*IF($M$2="Prices in $/MWh",1,1/1000)</f>
        <v>70.989999999999995</v>
      </c>
      <c r="L361" s="83">
        <f>(PA_prices!L349+$D$2)*IF($M$2="Prices in $/MWh",1,1/1000)</f>
        <v>29.05</v>
      </c>
      <c r="M361" s="84">
        <f>(PA_prices!M349+$D$2)*IF($M$2="Prices in $/MWh",1,1/1000)</f>
        <v>29.54</v>
      </c>
      <c r="N361" s="83">
        <f>(PA_prices!N349+$D$2)*IF($M$2="Prices in $/MWh",1,1/1000)</f>
        <v>29.74</v>
      </c>
      <c r="O361" s="61"/>
    </row>
    <row r="362" spans="2:15" x14ac:dyDescent="0.25">
      <c r="B362" s="99" t="s">
        <v>645</v>
      </c>
      <c r="C362" s="74" t="str">
        <f>PA_prices!C350</f>
        <v>October-2016</v>
      </c>
      <c r="D362" s="75" t="str">
        <f>PA_prices!D350</f>
        <v>PA</v>
      </c>
      <c r="E362" s="76" t="str">
        <f>PA_prices!E350</f>
        <v>PPL</v>
      </c>
      <c r="F362" s="75" t="str">
        <f>PA_prices!F350</f>
        <v>GS1</v>
      </c>
      <c r="G362" s="76" t="str">
        <f>PA_prices!G350</f>
        <v>General Service Small</v>
      </c>
      <c r="H362" s="77" t="str">
        <f t="shared" ref="H362" si="345">IF($M$2="Prices in $/MWh","0-100 MWh","0-100,000 kWh")</f>
        <v>0-100 MWh</v>
      </c>
      <c r="I362" s="76">
        <f>(PA_prices!I350+$D$2)*IF($M$2="Prices in $/MWh",1,1/1000)</f>
        <v>73.69</v>
      </c>
      <c r="J362" s="75">
        <f>(PA_prices!J350+$D$2)*IF($M$2="Prices in $/MWh",1,1/1000)</f>
        <v>74.5</v>
      </c>
      <c r="K362" s="76">
        <f>(PA_prices!K350+$D$2)*IF($M$2="Prices in $/MWh",1,1/1000)</f>
        <v>73.599999999999994</v>
      </c>
      <c r="L362" s="75">
        <f>(PA_prices!L350+$D$2)*IF($M$2="Prices in $/MWh",1,1/1000)</f>
        <v>31.68</v>
      </c>
      <c r="M362" s="76">
        <f>(PA_prices!M350+$D$2)*IF($M$2="Prices in $/MWh",1,1/1000)</f>
        <v>32.79</v>
      </c>
      <c r="N362" s="75">
        <f>(PA_prices!N350+$D$2)*IF($M$2="Prices in $/MWh",1,1/1000)</f>
        <v>32.49</v>
      </c>
      <c r="O362" s="61"/>
    </row>
    <row r="363" spans="2:15" x14ac:dyDescent="0.25">
      <c r="B363" s="99" t="s">
        <v>645</v>
      </c>
      <c r="C363" s="78" t="str">
        <f>PA_prices!C351</f>
        <v>October-2016</v>
      </c>
      <c r="D363" s="79" t="str">
        <f>PA_prices!D351</f>
        <v>PA</v>
      </c>
      <c r="E363" s="80" t="str">
        <f>PA_prices!E351</f>
        <v>PPL</v>
      </c>
      <c r="F363" s="79" t="str">
        <f>PA_prices!F351</f>
        <v>GS1</v>
      </c>
      <c r="G363" s="80" t="str">
        <f>PA_prices!G351</f>
        <v>General Service Small</v>
      </c>
      <c r="H363" s="81" t="str">
        <f t="shared" ref="H363" si="346">IF($M$2="Prices in $/MWh","100-500 MWh","100,000-500,000 kWh")</f>
        <v>100-500 MWh</v>
      </c>
      <c r="I363" s="80">
        <f>(PA_prices!I351+$D$2)*IF($M$2="Prices in $/MWh",1,1/1000)</f>
        <v>72.09</v>
      </c>
      <c r="J363" s="79">
        <f>(PA_prices!J351+$D$2)*IF($M$2="Prices in $/MWh",1,1/1000)</f>
        <v>72.900000000000006</v>
      </c>
      <c r="K363" s="80">
        <f>(PA_prices!K351+$D$2)*IF($M$2="Prices in $/MWh",1,1/1000)</f>
        <v>72</v>
      </c>
      <c r="L363" s="79">
        <f>(PA_prices!L351+$D$2)*IF($M$2="Prices in $/MWh",1,1/1000)</f>
        <v>30.08</v>
      </c>
      <c r="M363" s="80">
        <f>(PA_prices!M351+$D$2)*IF($M$2="Prices in $/MWh",1,1/1000)</f>
        <v>31.19</v>
      </c>
      <c r="N363" s="79">
        <f>(PA_prices!N351+$D$2)*IF($M$2="Prices in $/MWh",1,1/1000)</f>
        <v>30.89</v>
      </c>
      <c r="O363" s="61"/>
    </row>
    <row r="364" spans="2:15" x14ac:dyDescent="0.25">
      <c r="B364" s="99" t="s">
        <v>645</v>
      </c>
      <c r="C364" s="82" t="str">
        <f>PA_prices!C352</f>
        <v>October-2016</v>
      </c>
      <c r="D364" s="83" t="str">
        <f>PA_prices!D352</f>
        <v>PA</v>
      </c>
      <c r="E364" s="84" t="str">
        <f>PA_prices!E352</f>
        <v>PPL</v>
      </c>
      <c r="F364" s="83" t="str">
        <f>PA_prices!F352</f>
        <v>GS1</v>
      </c>
      <c r="G364" s="84" t="str">
        <f>PA_prices!G352</f>
        <v>General Service Small</v>
      </c>
      <c r="H364" s="85" t="str">
        <f t="shared" ref="H364" si="347">IF($M$2="Prices in $/MWh","500-2500 MWh","500,000-2,500,000 kWh")</f>
        <v>500-2500 MWh</v>
      </c>
      <c r="I364" s="84">
        <f>(PA_prices!I352+$D$2)*IF($M$2="Prices in $/MWh",1,1/1000)</f>
        <v>71.040000000000006</v>
      </c>
      <c r="J364" s="83">
        <f>(PA_prices!J352+$D$2)*IF($M$2="Prices in $/MWh",1,1/1000)</f>
        <v>71.849999999999994</v>
      </c>
      <c r="K364" s="84">
        <f>(PA_prices!K352+$D$2)*IF($M$2="Prices in $/MWh",1,1/1000)</f>
        <v>70.95</v>
      </c>
      <c r="L364" s="83">
        <f>(PA_prices!L352+$D$2)*IF($M$2="Prices in $/MWh",1,1/1000)</f>
        <v>29.03</v>
      </c>
      <c r="M364" s="84">
        <f>(PA_prices!M352+$D$2)*IF($M$2="Prices in $/MWh",1,1/1000)</f>
        <v>30.14</v>
      </c>
      <c r="N364" s="83">
        <f>(PA_prices!N352+$D$2)*IF($M$2="Prices in $/MWh",1,1/1000)</f>
        <v>29.84</v>
      </c>
      <c r="O364" s="61"/>
    </row>
    <row r="365" spans="2:15" x14ac:dyDescent="0.25">
      <c r="B365" s="99" t="s">
        <v>645</v>
      </c>
      <c r="C365" s="74" t="str">
        <f>PA_prices!C353</f>
        <v>November-2016</v>
      </c>
      <c r="D365" s="75" t="str">
        <f>PA_prices!D353</f>
        <v>PA</v>
      </c>
      <c r="E365" s="76" t="str">
        <f>PA_prices!E353</f>
        <v>PPL</v>
      </c>
      <c r="F365" s="75" t="str">
        <f>PA_prices!F353</f>
        <v>GS1</v>
      </c>
      <c r="G365" s="76" t="str">
        <f>PA_prices!G353</f>
        <v>General Service Small</v>
      </c>
      <c r="H365" s="77" t="str">
        <f t="shared" ref="H365" si="348">IF($M$2="Prices in $/MWh","0-100 MWh","0-100,000 kWh")</f>
        <v>0-100 MWh</v>
      </c>
      <c r="I365" s="76">
        <f>(PA_prices!I353+$D$2)*IF($M$2="Prices in $/MWh",1,1/1000)</f>
        <v>73.569999999999993</v>
      </c>
      <c r="J365" s="75">
        <f>(PA_prices!J353+$D$2)*IF($M$2="Prices in $/MWh",1,1/1000)</f>
        <v>74.650000000000006</v>
      </c>
      <c r="K365" s="76">
        <f>(PA_prices!K353+$D$2)*IF($M$2="Prices in $/MWh",1,1/1000)</f>
        <v>73.569999999999993</v>
      </c>
      <c r="L365" s="75">
        <f>(PA_prices!L353+$D$2)*IF($M$2="Prices in $/MWh",1,1/1000)</f>
        <v>31.69</v>
      </c>
      <c r="M365" s="76">
        <f>(PA_prices!M353+$D$2)*IF($M$2="Prices in $/MWh",1,1/1000)</f>
        <v>32.880000000000003</v>
      </c>
      <c r="N365" s="75">
        <f>(PA_prices!N353+$D$2)*IF($M$2="Prices in $/MWh",1,1/1000)</f>
        <v>32.57</v>
      </c>
      <c r="O365" s="61"/>
    </row>
    <row r="366" spans="2:15" x14ac:dyDescent="0.25">
      <c r="B366" s="99" t="s">
        <v>645</v>
      </c>
      <c r="C366" s="78" t="str">
        <f>PA_prices!C354</f>
        <v>November-2016</v>
      </c>
      <c r="D366" s="79" t="str">
        <f>PA_prices!D354</f>
        <v>PA</v>
      </c>
      <c r="E366" s="80" t="str">
        <f>PA_prices!E354</f>
        <v>PPL</v>
      </c>
      <c r="F366" s="79" t="str">
        <f>PA_prices!F354</f>
        <v>GS1</v>
      </c>
      <c r="G366" s="80" t="str">
        <f>PA_prices!G354</f>
        <v>General Service Small</v>
      </c>
      <c r="H366" s="81" t="str">
        <f t="shared" ref="H366" si="349">IF($M$2="Prices in $/MWh","100-500 MWh","100,000-500,000 kWh")</f>
        <v>100-500 MWh</v>
      </c>
      <c r="I366" s="80">
        <f>(PA_prices!I354+$D$2)*IF($M$2="Prices in $/MWh",1,1/1000)</f>
        <v>71.97</v>
      </c>
      <c r="J366" s="79">
        <f>(PA_prices!J354+$D$2)*IF($M$2="Prices in $/MWh",1,1/1000)</f>
        <v>73.05</v>
      </c>
      <c r="K366" s="80">
        <f>(PA_prices!K354+$D$2)*IF($M$2="Prices in $/MWh",1,1/1000)</f>
        <v>71.97</v>
      </c>
      <c r="L366" s="79">
        <f>(PA_prices!L354+$D$2)*IF($M$2="Prices in $/MWh",1,1/1000)</f>
        <v>30.09</v>
      </c>
      <c r="M366" s="80">
        <f>(PA_prices!M354+$D$2)*IF($M$2="Prices in $/MWh",1,1/1000)</f>
        <v>31.28</v>
      </c>
      <c r="N366" s="79">
        <f>(PA_prices!N354+$D$2)*IF($M$2="Prices in $/MWh",1,1/1000)</f>
        <v>30.97</v>
      </c>
      <c r="O366" s="61"/>
    </row>
    <row r="367" spans="2:15" x14ac:dyDescent="0.25">
      <c r="B367" s="99" t="s">
        <v>645</v>
      </c>
      <c r="C367" s="82" t="str">
        <f>PA_prices!C355</f>
        <v>November-2016</v>
      </c>
      <c r="D367" s="83" t="str">
        <f>PA_prices!D355</f>
        <v>PA</v>
      </c>
      <c r="E367" s="84" t="str">
        <f>PA_prices!E355</f>
        <v>PPL</v>
      </c>
      <c r="F367" s="83" t="str">
        <f>PA_prices!F355</f>
        <v>GS1</v>
      </c>
      <c r="G367" s="84" t="str">
        <f>PA_prices!G355</f>
        <v>General Service Small</v>
      </c>
      <c r="H367" s="85" t="str">
        <f t="shared" ref="H367" si="350">IF($M$2="Prices in $/MWh","500-2500 MWh","500,000-2,500,000 kWh")</f>
        <v>500-2500 MWh</v>
      </c>
      <c r="I367" s="84">
        <f>(PA_prices!I355+$D$2)*IF($M$2="Prices in $/MWh",1,1/1000)</f>
        <v>70.92</v>
      </c>
      <c r="J367" s="83">
        <f>(PA_prices!J355+$D$2)*IF($M$2="Prices in $/MWh",1,1/1000)</f>
        <v>72</v>
      </c>
      <c r="K367" s="84">
        <f>(PA_prices!K355+$D$2)*IF($M$2="Prices in $/MWh",1,1/1000)</f>
        <v>70.92</v>
      </c>
      <c r="L367" s="83">
        <f>(PA_prices!L355+$D$2)*IF($M$2="Prices in $/MWh",1,1/1000)</f>
        <v>29.04</v>
      </c>
      <c r="M367" s="84">
        <f>(PA_prices!M355+$D$2)*IF($M$2="Prices in $/MWh",1,1/1000)</f>
        <v>30.23</v>
      </c>
      <c r="N367" s="83">
        <f>(PA_prices!N355+$D$2)*IF($M$2="Prices in $/MWh",1,1/1000)</f>
        <v>29.92</v>
      </c>
      <c r="O367" s="61"/>
    </row>
    <row r="368" spans="2:15" x14ac:dyDescent="0.25">
      <c r="B368" s="99" t="s">
        <v>645</v>
      </c>
      <c r="C368" s="74" t="str">
        <f>PA_prices!C356</f>
        <v>December-2016</v>
      </c>
      <c r="D368" s="75" t="str">
        <f>PA_prices!D356</f>
        <v>PA</v>
      </c>
      <c r="E368" s="76" t="str">
        <f>PA_prices!E356</f>
        <v>PPL</v>
      </c>
      <c r="F368" s="75" t="str">
        <f>PA_prices!F356</f>
        <v>GS1</v>
      </c>
      <c r="G368" s="76" t="str">
        <f>PA_prices!G356</f>
        <v>General Service Small</v>
      </c>
      <c r="H368" s="77" t="str">
        <f t="shared" ref="H368" si="351">IF($M$2="Prices in $/MWh","0-100 MWh","0-100,000 kWh")</f>
        <v>0-100 MWh</v>
      </c>
      <c r="I368" s="76">
        <f>(PA_prices!I356+$D$2)*IF($M$2="Prices in $/MWh",1,1/1000)</f>
        <v>73.3</v>
      </c>
      <c r="J368" s="75">
        <f>(PA_prices!J356+$D$2)*IF($M$2="Prices in $/MWh",1,1/1000)</f>
        <v>74.77</v>
      </c>
      <c r="K368" s="76">
        <f>(PA_prices!K356+$D$2)*IF($M$2="Prices in $/MWh",1,1/1000)</f>
        <v>73.48</v>
      </c>
      <c r="L368" s="75">
        <f>(PA_prices!L356+$D$2)*IF($M$2="Prices in $/MWh",1,1/1000)</f>
        <v>31.59</v>
      </c>
      <c r="M368" s="76">
        <f>(PA_prices!M356+$D$2)*IF($M$2="Prices in $/MWh",1,1/1000)</f>
        <v>32.93</v>
      </c>
      <c r="N368" s="75">
        <f>(PA_prices!N356+$D$2)*IF($M$2="Prices in $/MWh",1,1/1000)</f>
        <v>32.630000000000003</v>
      </c>
      <c r="O368" s="61"/>
    </row>
    <row r="369" spans="2:15" x14ac:dyDescent="0.25">
      <c r="B369" s="99" t="s">
        <v>645</v>
      </c>
      <c r="C369" s="78" t="str">
        <f>PA_prices!C357</f>
        <v>December-2016</v>
      </c>
      <c r="D369" s="79" t="str">
        <f>PA_prices!D357</f>
        <v>PA</v>
      </c>
      <c r="E369" s="80" t="str">
        <f>PA_prices!E357</f>
        <v>PPL</v>
      </c>
      <c r="F369" s="79" t="str">
        <f>PA_prices!F357</f>
        <v>GS1</v>
      </c>
      <c r="G369" s="80" t="str">
        <f>PA_prices!G357</f>
        <v>General Service Small</v>
      </c>
      <c r="H369" s="81" t="str">
        <f t="shared" ref="H369" si="352">IF($M$2="Prices in $/MWh","100-500 MWh","100,000-500,000 kWh")</f>
        <v>100-500 MWh</v>
      </c>
      <c r="I369" s="80">
        <f>(PA_prices!I357+$D$2)*IF($M$2="Prices in $/MWh",1,1/1000)</f>
        <v>71.7</v>
      </c>
      <c r="J369" s="79">
        <f>(PA_prices!J357+$D$2)*IF($M$2="Prices in $/MWh",1,1/1000)</f>
        <v>73.17</v>
      </c>
      <c r="K369" s="80">
        <f>(PA_prices!K357+$D$2)*IF($M$2="Prices in $/MWh",1,1/1000)</f>
        <v>71.88</v>
      </c>
      <c r="L369" s="79">
        <f>(PA_prices!L357+$D$2)*IF($M$2="Prices in $/MWh",1,1/1000)</f>
        <v>29.99</v>
      </c>
      <c r="M369" s="80">
        <f>(PA_prices!M357+$D$2)*IF($M$2="Prices in $/MWh",1,1/1000)</f>
        <v>31.33</v>
      </c>
      <c r="N369" s="79">
        <f>(PA_prices!N357+$D$2)*IF($M$2="Prices in $/MWh",1,1/1000)</f>
        <v>31.03</v>
      </c>
      <c r="O369" s="61"/>
    </row>
    <row r="370" spans="2:15" x14ac:dyDescent="0.25">
      <c r="B370" s="99" t="s">
        <v>645</v>
      </c>
      <c r="C370" s="82" t="str">
        <f>PA_prices!C358</f>
        <v>December-2016</v>
      </c>
      <c r="D370" s="83" t="str">
        <f>PA_prices!D358</f>
        <v>PA</v>
      </c>
      <c r="E370" s="84" t="str">
        <f>PA_prices!E358</f>
        <v>PPL</v>
      </c>
      <c r="F370" s="83" t="str">
        <f>PA_prices!F358</f>
        <v>GS1</v>
      </c>
      <c r="G370" s="84" t="str">
        <f>PA_prices!G358</f>
        <v>General Service Small</v>
      </c>
      <c r="H370" s="85" t="str">
        <f t="shared" ref="H370" si="353">IF($M$2="Prices in $/MWh","500-2500 MWh","500,000-2,500,000 kWh")</f>
        <v>500-2500 MWh</v>
      </c>
      <c r="I370" s="84">
        <f>(PA_prices!I358+$D$2)*IF($M$2="Prices in $/MWh",1,1/1000)</f>
        <v>70.650000000000006</v>
      </c>
      <c r="J370" s="83">
        <f>(PA_prices!J358+$D$2)*IF($M$2="Prices in $/MWh",1,1/1000)</f>
        <v>72.12</v>
      </c>
      <c r="K370" s="84">
        <f>(PA_prices!K358+$D$2)*IF($M$2="Prices in $/MWh",1,1/1000)</f>
        <v>70.83</v>
      </c>
      <c r="L370" s="83">
        <f>(PA_prices!L358+$D$2)*IF($M$2="Prices in $/MWh",1,1/1000)</f>
        <v>28.94</v>
      </c>
      <c r="M370" s="84">
        <f>(PA_prices!M358+$D$2)*IF($M$2="Prices in $/MWh",1,1/1000)</f>
        <v>30.28</v>
      </c>
      <c r="N370" s="83">
        <f>(PA_prices!N358+$D$2)*IF($M$2="Prices in $/MWh",1,1/1000)</f>
        <v>29.98</v>
      </c>
      <c r="O370" s="61"/>
    </row>
    <row r="371" spans="2:15" x14ac:dyDescent="0.25">
      <c r="B371" s="99" t="s">
        <v>645</v>
      </c>
      <c r="C371" s="74" t="str">
        <f>PA_prices!C359</f>
        <v>January-2017</v>
      </c>
      <c r="D371" s="75" t="str">
        <f>PA_prices!D359</f>
        <v>PA</v>
      </c>
      <c r="E371" s="76" t="str">
        <f>PA_prices!E359</f>
        <v>PPL</v>
      </c>
      <c r="F371" s="75" t="str">
        <f>PA_prices!F359</f>
        <v>GS1</v>
      </c>
      <c r="G371" s="76" t="str">
        <f>PA_prices!G359</f>
        <v>General Service Small</v>
      </c>
      <c r="H371" s="77" t="str">
        <f t="shared" ref="H371" si="354">IF($M$2="Prices in $/MWh","0-100 MWh","0-100,000 kWh")</f>
        <v>0-100 MWh</v>
      </c>
      <c r="I371" s="76">
        <f>(PA_prices!I359+$D$2)*IF($M$2="Prices in $/MWh",1,1/1000)</f>
        <v>73.31</v>
      </c>
      <c r="J371" s="75">
        <f>(PA_prices!J359+$D$2)*IF($M$2="Prices in $/MWh",1,1/1000)</f>
        <v>74.91</v>
      </c>
      <c r="K371" s="76">
        <f>(PA_prices!K359+$D$2)*IF($M$2="Prices in $/MWh",1,1/1000)</f>
        <v>73.62</v>
      </c>
      <c r="L371" s="75">
        <f>(PA_prices!L359+$D$2)*IF($M$2="Prices in $/MWh",1,1/1000)</f>
        <v>31.96</v>
      </c>
      <c r="M371" s="76">
        <f>(PA_prices!M359+$D$2)*IF($M$2="Prices in $/MWh",1,1/1000)</f>
        <v>33.15</v>
      </c>
      <c r="N371" s="75">
        <f>(PA_prices!N359+$D$2)*IF($M$2="Prices in $/MWh",1,1/1000)</f>
        <v>32.92</v>
      </c>
      <c r="O371" s="61"/>
    </row>
    <row r="372" spans="2:15" x14ac:dyDescent="0.25">
      <c r="B372" s="99" t="s">
        <v>645</v>
      </c>
      <c r="C372" s="78" t="str">
        <f>PA_prices!C360</f>
        <v>January-2017</v>
      </c>
      <c r="D372" s="79" t="str">
        <f>PA_prices!D360</f>
        <v>PA</v>
      </c>
      <c r="E372" s="80" t="str">
        <f>PA_prices!E360</f>
        <v>PPL</v>
      </c>
      <c r="F372" s="79" t="str">
        <f>PA_prices!F360</f>
        <v>GS1</v>
      </c>
      <c r="G372" s="80" t="str">
        <f>PA_prices!G360</f>
        <v>General Service Small</v>
      </c>
      <c r="H372" s="81" t="str">
        <f t="shared" ref="H372" si="355">IF($M$2="Prices in $/MWh","100-500 MWh","100,000-500,000 kWh")</f>
        <v>100-500 MWh</v>
      </c>
      <c r="I372" s="80">
        <f>(PA_prices!I360+$D$2)*IF($M$2="Prices in $/MWh",1,1/1000)</f>
        <v>71.709999999999994</v>
      </c>
      <c r="J372" s="79">
        <f>(PA_prices!J360+$D$2)*IF($M$2="Prices in $/MWh",1,1/1000)</f>
        <v>73.31</v>
      </c>
      <c r="K372" s="80">
        <f>(PA_prices!K360+$D$2)*IF($M$2="Prices in $/MWh",1,1/1000)</f>
        <v>72.02</v>
      </c>
      <c r="L372" s="79">
        <f>(PA_prices!L360+$D$2)*IF($M$2="Prices in $/MWh",1,1/1000)</f>
        <v>30.36</v>
      </c>
      <c r="M372" s="80">
        <f>(PA_prices!M360+$D$2)*IF($M$2="Prices in $/MWh",1,1/1000)</f>
        <v>31.55</v>
      </c>
      <c r="N372" s="79">
        <f>(PA_prices!N360+$D$2)*IF($M$2="Prices in $/MWh",1,1/1000)</f>
        <v>31.32</v>
      </c>
      <c r="O372" s="61"/>
    </row>
    <row r="373" spans="2:15" x14ac:dyDescent="0.25">
      <c r="B373" s="99" t="s">
        <v>645</v>
      </c>
      <c r="C373" s="82" t="str">
        <f>PA_prices!C361</f>
        <v>January-2017</v>
      </c>
      <c r="D373" s="83" t="str">
        <f>PA_prices!D361</f>
        <v>PA</v>
      </c>
      <c r="E373" s="84" t="str">
        <f>PA_prices!E361</f>
        <v>PPL</v>
      </c>
      <c r="F373" s="83" t="str">
        <f>PA_prices!F361</f>
        <v>GS1</v>
      </c>
      <c r="G373" s="84" t="str">
        <f>PA_prices!G361</f>
        <v>General Service Small</v>
      </c>
      <c r="H373" s="85" t="str">
        <f t="shared" ref="H373" si="356">IF($M$2="Prices in $/MWh","500-2500 MWh","500,000-2,500,000 kWh")</f>
        <v>500-2500 MWh</v>
      </c>
      <c r="I373" s="84">
        <f>(PA_prices!I361+$D$2)*IF($M$2="Prices in $/MWh",1,1/1000)</f>
        <v>70.66</v>
      </c>
      <c r="J373" s="83">
        <f>(PA_prices!J361+$D$2)*IF($M$2="Prices in $/MWh",1,1/1000)</f>
        <v>72.260000000000005</v>
      </c>
      <c r="K373" s="84">
        <f>(PA_prices!K361+$D$2)*IF($M$2="Prices in $/MWh",1,1/1000)</f>
        <v>70.97</v>
      </c>
      <c r="L373" s="83">
        <f>(PA_prices!L361+$D$2)*IF($M$2="Prices in $/MWh",1,1/1000)</f>
        <v>29.31</v>
      </c>
      <c r="M373" s="84">
        <f>(PA_prices!M361+$D$2)*IF($M$2="Prices in $/MWh",1,1/1000)</f>
        <v>30.5</v>
      </c>
      <c r="N373" s="83">
        <f>(PA_prices!N361+$D$2)*IF($M$2="Prices in $/MWh",1,1/1000)</f>
        <v>30.27</v>
      </c>
      <c r="O373" s="61"/>
    </row>
    <row r="374" spans="2:15" x14ac:dyDescent="0.25">
      <c r="B374" s="99" t="s">
        <v>646</v>
      </c>
      <c r="C374" s="74" t="str">
        <f>PA_prices!C362</f>
        <v>February-2016</v>
      </c>
      <c r="D374" s="75" t="str">
        <f>PA_prices!D362</f>
        <v>PA</v>
      </c>
      <c r="E374" s="76" t="str">
        <f>PA_prices!E362</f>
        <v>PPL</v>
      </c>
      <c r="F374" s="75" t="str">
        <f>PA_prices!F362</f>
        <v>GS3</v>
      </c>
      <c r="G374" s="76" t="str">
        <f>PA_prices!G362</f>
        <v>General Service Large</v>
      </c>
      <c r="H374" s="77" t="str">
        <f t="shared" ref="H374" si="357">IF($M$2="Prices in $/MWh","0-100 MWh","0-100,000 kWh")</f>
        <v>0-100 MWh</v>
      </c>
      <c r="I374" s="76">
        <f>(PA_prices!I362+$D$2)*IF($M$2="Prices in $/MWh",1,1/1000)</f>
        <v>73.48</v>
      </c>
      <c r="J374" s="75">
        <f>(PA_prices!J362+$D$2)*IF($M$2="Prices in $/MWh",1,1/1000)</f>
        <v>74.16</v>
      </c>
      <c r="K374" s="76">
        <f>(PA_prices!K362+$D$2)*IF($M$2="Prices in $/MWh",1,1/1000)</f>
        <v>73.819999999999993</v>
      </c>
      <c r="L374" s="75">
        <f>(PA_prices!L362+$D$2)*IF($M$2="Prices in $/MWh",1,1/1000)</f>
        <v>30.83</v>
      </c>
      <c r="M374" s="76">
        <f>(PA_prices!M362+$D$2)*IF($M$2="Prices in $/MWh",1,1/1000)</f>
        <v>31.17</v>
      </c>
      <c r="N374" s="75">
        <f>(PA_prices!N362+$D$2)*IF($M$2="Prices in $/MWh",1,1/1000)</f>
        <v>31.33</v>
      </c>
      <c r="O374" s="61"/>
    </row>
    <row r="375" spans="2:15" x14ac:dyDescent="0.25">
      <c r="B375" s="99" t="s">
        <v>646</v>
      </c>
      <c r="C375" s="78" t="str">
        <f>PA_prices!C363</f>
        <v>February-2016</v>
      </c>
      <c r="D375" s="79" t="str">
        <f>PA_prices!D363</f>
        <v>PA</v>
      </c>
      <c r="E375" s="80" t="str">
        <f>PA_prices!E363</f>
        <v>PPL</v>
      </c>
      <c r="F375" s="79" t="str">
        <f>PA_prices!F363</f>
        <v>GS3</v>
      </c>
      <c r="G375" s="80" t="str">
        <f>PA_prices!G363</f>
        <v>General Service Large</v>
      </c>
      <c r="H375" s="81" t="str">
        <f t="shared" ref="H375" si="358">IF($M$2="Prices in $/MWh","100-500 MWh","100,000-500,000 kWh")</f>
        <v>100-500 MWh</v>
      </c>
      <c r="I375" s="80">
        <f>(PA_prices!I363+$D$2)*IF($M$2="Prices in $/MWh",1,1/1000)</f>
        <v>71.88</v>
      </c>
      <c r="J375" s="79">
        <f>(PA_prices!J363+$D$2)*IF($M$2="Prices in $/MWh",1,1/1000)</f>
        <v>72.56</v>
      </c>
      <c r="K375" s="80">
        <f>(PA_prices!K363+$D$2)*IF($M$2="Prices in $/MWh",1,1/1000)</f>
        <v>72.22</v>
      </c>
      <c r="L375" s="79">
        <f>(PA_prices!L363+$D$2)*IF($M$2="Prices in $/MWh",1,1/1000)</f>
        <v>29.23</v>
      </c>
      <c r="M375" s="80">
        <f>(PA_prices!M363+$D$2)*IF($M$2="Prices in $/MWh",1,1/1000)</f>
        <v>29.57</v>
      </c>
      <c r="N375" s="79">
        <f>(PA_prices!N363+$D$2)*IF($M$2="Prices in $/MWh",1,1/1000)</f>
        <v>29.73</v>
      </c>
      <c r="O375" s="61"/>
    </row>
    <row r="376" spans="2:15" x14ac:dyDescent="0.25">
      <c r="B376" s="99" t="s">
        <v>646</v>
      </c>
      <c r="C376" s="82" t="str">
        <f>PA_prices!C364</f>
        <v>February-2016</v>
      </c>
      <c r="D376" s="83" t="str">
        <f>PA_prices!D364</f>
        <v>PA</v>
      </c>
      <c r="E376" s="84" t="str">
        <f>PA_prices!E364</f>
        <v>PPL</v>
      </c>
      <c r="F376" s="83" t="str">
        <f>PA_prices!F364</f>
        <v>GS3</v>
      </c>
      <c r="G376" s="84" t="str">
        <f>PA_prices!G364</f>
        <v>General Service Large</v>
      </c>
      <c r="H376" s="85" t="str">
        <f t="shared" ref="H376" si="359">IF($M$2="Prices in $/MWh","500-2500 MWh","500,000-2,500,000 kWh")</f>
        <v>500-2500 MWh</v>
      </c>
      <c r="I376" s="84">
        <f>(PA_prices!I364+$D$2)*IF($M$2="Prices in $/MWh",1,1/1000)</f>
        <v>70.83</v>
      </c>
      <c r="J376" s="83">
        <f>(PA_prices!J364+$D$2)*IF($M$2="Prices in $/MWh",1,1/1000)</f>
        <v>71.510000000000005</v>
      </c>
      <c r="K376" s="84">
        <f>(PA_prices!K364+$D$2)*IF($M$2="Prices in $/MWh",1,1/1000)</f>
        <v>71.17</v>
      </c>
      <c r="L376" s="83">
        <f>(PA_prices!L364+$D$2)*IF($M$2="Prices in $/MWh",1,1/1000)</f>
        <v>28.18</v>
      </c>
      <c r="M376" s="84">
        <f>(PA_prices!M364+$D$2)*IF($M$2="Prices in $/MWh",1,1/1000)</f>
        <v>28.52</v>
      </c>
      <c r="N376" s="83">
        <f>(PA_prices!N364+$D$2)*IF($M$2="Prices in $/MWh",1,1/1000)</f>
        <v>28.68</v>
      </c>
      <c r="O376" s="61"/>
    </row>
    <row r="377" spans="2:15" x14ac:dyDescent="0.25">
      <c r="B377" s="99" t="s">
        <v>646</v>
      </c>
      <c r="C377" s="74" t="str">
        <f>PA_prices!C365</f>
        <v>March-2016</v>
      </c>
      <c r="D377" s="75" t="str">
        <f>PA_prices!D365</f>
        <v>PA</v>
      </c>
      <c r="E377" s="76" t="str">
        <f>PA_prices!E365</f>
        <v>PPL</v>
      </c>
      <c r="F377" s="75" t="str">
        <f>PA_prices!F365</f>
        <v>GS3</v>
      </c>
      <c r="G377" s="76" t="str">
        <f>PA_prices!G365</f>
        <v>General Service Large</v>
      </c>
      <c r="H377" s="77" t="str">
        <f t="shared" ref="H377" si="360">IF($M$2="Prices in $/MWh","0-100 MWh","0-100,000 kWh")</f>
        <v>0-100 MWh</v>
      </c>
      <c r="I377" s="76">
        <f>(PA_prices!I365+$D$2)*IF($M$2="Prices in $/MWh",1,1/1000)</f>
        <v>74.37</v>
      </c>
      <c r="J377" s="75">
        <f>(PA_prices!J365+$D$2)*IF($M$2="Prices in $/MWh",1,1/1000)</f>
        <v>73.63</v>
      </c>
      <c r="K377" s="76">
        <f>(PA_prices!K365+$D$2)*IF($M$2="Prices in $/MWh",1,1/1000)</f>
        <v>74.22</v>
      </c>
      <c r="L377" s="75">
        <f>(PA_prices!L365+$D$2)*IF($M$2="Prices in $/MWh",1,1/1000)</f>
        <v>30.81</v>
      </c>
      <c r="M377" s="76">
        <f>(PA_prices!M365+$D$2)*IF($M$2="Prices in $/MWh",1,1/1000)</f>
        <v>30.37</v>
      </c>
      <c r="N377" s="75">
        <f>(PA_prices!N365+$D$2)*IF($M$2="Prices in $/MWh",1,1/1000)</f>
        <v>31.31</v>
      </c>
      <c r="O377" s="61"/>
    </row>
    <row r="378" spans="2:15" x14ac:dyDescent="0.25">
      <c r="B378" s="99" t="s">
        <v>646</v>
      </c>
      <c r="C378" s="78" t="str">
        <f>PA_prices!C366</f>
        <v>March-2016</v>
      </c>
      <c r="D378" s="79" t="str">
        <f>PA_prices!D366</f>
        <v>PA</v>
      </c>
      <c r="E378" s="80" t="str">
        <f>PA_prices!E366</f>
        <v>PPL</v>
      </c>
      <c r="F378" s="79" t="str">
        <f>PA_prices!F366</f>
        <v>GS3</v>
      </c>
      <c r="G378" s="80" t="str">
        <f>PA_prices!G366</f>
        <v>General Service Large</v>
      </c>
      <c r="H378" s="81" t="str">
        <f t="shared" ref="H378" si="361">IF($M$2="Prices in $/MWh","100-500 MWh","100,000-500,000 kWh")</f>
        <v>100-500 MWh</v>
      </c>
      <c r="I378" s="80">
        <f>(PA_prices!I366+$D$2)*IF($M$2="Prices in $/MWh",1,1/1000)</f>
        <v>72.77</v>
      </c>
      <c r="J378" s="79">
        <f>(PA_prices!J366+$D$2)*IF($M$2="Prices in $/MWh",1,1/1000)</f>
        <v>72.03</v>
      </c>
      <c r="K378" s="80">
        <f>(PA_prices!K366+$D$2)*IF($M$2="Prices in $/MWh",1,1/1000)</f>
        <v>72.62</v>
      </c>
      <c r="L378" s="79">
        <f>(PA_prices!L366+$D$2)*IF($M$2="Prices in $/MWh",1,1/1000)</f>
        <v>29.21</v>
      </c>
      <c r="M378" s="80">
        <f>(PA_prices!M366+$D$2)*IF($M$2="Prices in $/MWh",1,1/1000)</f>
        <v>28.77</v>
      </c>
      <c r="N378" s="79">
        <f>(PA_prices!N366+$D$2)*IF($M$2="Prices in $/MWh",1,1/1000)</f>
        <v>29.71</v>
      </c>
      <c r="O378" s="61"/>
    </row>
    <row r="379" spans="2:15" x14ac:dyDescent="0.25">
      <c r="B379" s="99" t="s">
        <v>646</v>
      </c>
      <c r="C379" s="82" t="str">
        <f>PA_prices!C367</f>
        <v>March-2016</v>
      </c>
      <c r="D379" s="83" t="str">
        <f>PA_prices!D367</f>
        <v>PA</v>
      </c>
      <c r="E379" s="84" t="str">
        <f>PA_prices!E367</f>
        <v>PPL</v>
      </c>
      <c r="F379" s="83" t="str">
        <f>PA_prices!F367</f>
        <v>GS3</v>
      </c>
      <c r="G379" s="84" t="str">
        <f>PA_prices!G367</f>
        <v>General Service Large</v>
      </c>
      <c r="H379" s="85" t="str">
        <f t="shared" ref="H379" si="362">IF($M$2="Prices in $/MWh","500-2500 MWh","500,000-2,500,000 kWh")</f>
        <v>500-2500 MWh</v>
      </c>
      <c r="I379" s="84">
        <f>(PA_prices!I367+$D$2)*IF($M$2="Prices in $/MWh",1,1/1000)</f>
        <v>71.72</v>
      </c>
      <c r="J379" s="83">
        <f>(PA_prices!J367+$D$2)*IF($M$2="Prices in $/MWh",1,1/1000)</f>
        <v>70.98</v>
      </c>
      <c r="K379" s="84">
        <f>(PA_prices!K367+$D$2)*IF($M$2="Prices in $/MWh",1,1/1000)</f>
        <v>71.569999999999993</v>
      </c>
      <c r="L379" s="83">
        <f>(PA_prices!L367+$D$2)*IF($M$2="Prices in $/MWh",1,1/1000)</f>
        <v>28.16</v>
      </c>
      <c r="M379" s="84">
        <f>(PA_prices!M367+$D$2)*IF($M$2="Prices in $/MWh",1,1/1000)</f>
        <v>27.72</v>
      </c>
      <c r="N379" s="83">
        <f>(PA_prices!N367+$D$2)*IF($M$2="Prices in $/MWh",1,1/1000)</f>
        <v>28.66</v>
      </c>
      <c r="O379" s="61"/>
    </row>
    <row r="380" spans="2:15" x14ac:dyDescent="0.25">
      <c r="B380" s="99" t="s">
        <v>646</v>
      </c>
      <c r="C380" s="74" t="str">
        <f>PA_prices!C368</f>
        <v>April-2016</v>
      </c>
      <c r="D380" s="75" t="str">
        <f>PA_prices!D368</f>
        <v>PA</v>
      </c>
      <c r="E380" s="76" t="str">
        <f>PA_prices!E368</f>
        <v>PPL</v>
      </c>
      <c r="F380" s="75" t="str">
        <f>PA_prices!F368</f>
        <v>GS3</v>
      </c>
      <c r="G380" s="76" t="str">
        <f>PA_prices!G368</f>
        <v>General Service Large</v>
      </c>
      <c r="H380" s="77" t="str">
        <f t="shared" ref="H380" si="363">IF($M$2="Prices in $/MWh","0-100 MWh","0-100,000 kWh")</f>
        <v>0-100 MWh</v>
      </c>
      <c r="I380" s="76">
        <f>(PA_prices!I368+$D$2)*IF($M$2="Prices in $/MWh",1,1/1000)</f>
        <v>74.84</v>
      </c>
      <c r="J380" s="75">
        <f>(PA_prices!J368+$D$2)*IF($M$2="Prices in $/MWh",1,1/1000)</f>
        <v>73.180000000000007</v>
      </c>
      <c r="K380" s="76">
        <f>(PA_prices!K368+$D$2)*IF($M$2="Prices in $/MWh",1,1/1000)</f>
        <v>74.44</v>
      </c>
      <c r="L380" s="75">
        <f>(PA_prices!L368+$D$2)*IF($M$2="Prices in $/MWh",1,1/1000)</f>
        <v>31.37</v>
      </c>
      <c r="M380" s="76">
        <f>(PA_prices!M368+$D$2)*IF($M$2="Prices in $/MWh",1,1/1000)</f>
        <v>30.13</v>
      </c>
      <c r="N380" s="75">
        <f>(PA_prices!N368+$D$2)*IF($M$2="Prices in $/MWh",1,1/1000)</f>
        <v>31.65</v>
      </c>
      <c r="O380" s="61"/>
    </row>
    <row r="381" spans="2:15" x14ac:dyDescent="0.25">
      <c r="B381" s="99" t="s">
        <v>646</v>
      </c>
      <c r="C381" s="78" t="str">
        <f>PA_prices!C369</f>
        <v>April-2016</v>
      </c>
      <c r="D381" s="79" t="str">
        <f>PA_prices!D369</f>
        <v>PA</v>
      </c>
      <c r="E381" s="80" t="str">
        <f>PA_prices!E369</f>
        <v>PPL</v>
      </c>
      <c r="F381" s="79" t="str">
        <f>PA_prices!F369</f>
        <v>GS3</v>
      </c>
      <c r="G381" s="80" t="str">
        <f>PA_prices!G369</f>
        <v>General Service Large</v>
      </c>
      <c r="H381" s="81" t="str">
        <f t="shared" ref="H381" si="364">IF($M$2="Prices in $/MWh","100-500 MWh","100,000-500,000 kWh")</f>
        <v>100-500 MWh</v>
      </c>
      <c r="I381" s="80">
        <f>(PA_prices!I369+$D$2)*IF($M$2="Prices in $/MWh",1,1/1000)</f>
        <v>73.239999999999995</v>
      </c>
      <c r="J381" s="79">
        <f>(PA_prices!J369+$D$2)*IF($M$2="Prices in $/MWh",1,1/1000)</f>
        <v>71.58</v>
      </c>
      <c r="K381" s="80">
        <f>(PA_prices!K369+$D$2)*IF($M$2="Prices in $/MWh",1,1/1000)</f>
        <v>72.84</v>
      </c>
      <c r="L381" s="79">
        <f>(PA_prices!L369+$D$2)*IF($M$2="Prices in $/MWh",1,1/1000)</f>
        <v>29.77</v>
      </c>
      <c r="M381" s="80">
        <f>(PA_prices!M369+$D$2)*IF($M$2="Prices in $/MWh",1,1/1000)</f>
        <v>28.53</v>
      </c>
      <c r="N381" s="79">
        <f>(PA_prices!N369+$D$2)*IF($M$2="Prices in $/MWh",1,1/1000)</f>
        <v>30.05</v>
      </c>
      <c r="O381" s="61"/>
    </row>
    <row r="382" spans="2:15" x14ac:dyDescent="0.25">
      <c r="B382" s="99" t="s">
        <v>646</v>
      </c>
      <c r="C382" s="82" t="str">
        <f>PA_prices!C370</f>
        <v>April-2016</v>
      </c>
      <c r="D382" s="83" t="str">
        <f>PA_prices!D370</f>
        <v>PA</v>
      </c>
      <c r="E382" s="84" t="str">
        <f>PA_prices!E370</f>
        <v>PPL</v>
      </c>
      <c r="F382" s="83" t="str">
        <f>PA_prices!F370</f>
        <v>GS3</v>
      </c>
      <c r="G382" s="84" t="str">
        <f>PA_prices!G370</f>
        <v>General Service Large</v>
      </c>
      <c r="H382" s="85" t="str">
        <f t="shared" ref="H382" si="365">IF($M$2="Prices in $/MWh","500-2500 MWh","500,000-2,500,000 kWh")</f>
        <v>500-2500 MWh</v>
      </c>
      <c r="I382" s="84">
        <f>(PA_prices!I370+$D$2)*IF($M$2="Prices in $/MWh",1,1/1000)</f>
        <v>72.19</v>
      </c>
      <c r="J382" s="83">
        <f>(PA_prices!J370+$D$2)*IF($M$2="Prices in $/MWh",1,1/1000)</f>
        <v>70.53</v>
      </c>
      <c r="K382" s="84">
        <f>(PA_prices!K370+$D$2)*IF($M$2="Prices in $/MWh",1,1/1000)</f>
        <v>71.790000000000006</v>
      </c>
      <c r="L382" s="83">
        <f>(PA_prices!L370+$D$2)*IF($M$2="Prices in $/MWh",1,1/1000)</f>
        <v>28.72</v>
      </c>
      <c r="M382" s="84">
        <f>(PA_prices!M370+$D$2)*IF($M$2="Prices in $/MWh",1,1/1000)</f>
        <v>27.48</v>
      </c>
      <c r="N382" s="83">
        <f>(PA_prices!N370+$D$2)*IF($M$2="Prices in $/MWh",1,1/1000)</f>
        <v>29</v>
      </c>
      <c r="O382" s="61"/>
    </row>
    <row r="383" spans="2:15" x14ac:dyDescent="0.25">
      <c r="B383" s="99" t="s">
        <v>646</v>
      </c>
      <c r="C383" s="74" t="str">
        <f>PA_prices!C371</f>
        <v>May-2016</v>
      </c>
      <c r="D383" s="75" t="str">
        <f>PA_prices!D371</f>
        <v>PA</v>
      </c>
      <c r="E383" s="76" t="str">
        <f>PA_prices!E371</f>
        <v>PPL</v>
      </c>
      <c r="F383" s="75" t="str">
        <f>PA_prices!F371</f>
        <v>GS3</v>
      </c>
      <c r="G383" s="76" t="str">
        <f>PA_prices!G371</f>
        <v>General Service Large</v>
      </c>
      <c r="H383" s="77" t="str">
        <f t="shared" ref="H383" si="366">IF($M$2="Prices in $/MWh","0-100 MWh","0-100,000 kWh")</f>
        <v>0-100 MWh</v>
      </c>
      <c r="I383" s="76">
        <f>(PA_prices!I371+$D$2)*IF($M$2="Prices in $/MWh",1,1/1000)</f>
        <v>74.86</v>
      </c>
      <c r="J383" s="75">
        <f>(PA_prices!J371+$D$2)*IF($M$2="Prices in $/MWh",1,1/1000)</f>
        <v>72.98</v>
      </c>
      <c r="K383" s="76">
        <f>(PA_prices!K371+$D$2)*IF($M$2="Prices in $/MWh",1,1/1000)</f>
        <v>74.42</v>
      </c>
      <c r="L383" s="75">
        <f>(PA_prices!L371+$D$2)*IF($M$2="Prices in $/MWh",1,1/1000)</f>
        <v>31.26</v>
      </c>
      <c r="M383" s="76">
        <f>(PA_prices!M371+$D$2)*IF($M$2="Prices in $/MWh",1,1/1000)</f>
        <v>30.07</v>
      </c>
      <c r="N383" s="75">
        <f>(PA_prices!N371+$D$2)*IF($M$2="Prices in $/MWh",1,1/1000)</f>
        <v>31.65</v>
      </c>
      <c r="O383" s="61"/>
    </row>
    <row r="384" spans="2:15" x14ac:dyDescent="0.25">
      <c r="B384" s="99" t="s">
        <v>646</v>
      </c>
      <c r="C384" s="78" t="str">
        <f>PA_prices!C372</f>
        <v>May-2016</v>
      </c>
      <c r="D384" s="79" t="str">
        <f>PA_prices!D372</f>
        <v>PA</v>
      </c>
      <c r="E384" s="80" t="str">
        <f>PA_prices!E372</f>
        <v>PPL</v>
      </c>
      <c r="F384" s="79" t="str">
        <f>PA_prices!F372</f>
        <v>GS3</v>
      </c>
      <c r="G384" s="80" t="str">
        <f>PA_prices!G372</f>
        <v>General Service Large</v>
      </c>
      <c r="H384" s="81" t="str">
        <f t="shared" ref="H384" si="367">IF($M$2="Prices in $/MWh","100-500 MWh","100,000-500,000 kWh")</f>
        <v>100-500 MWh</v>
      </c>
      <c r="I384" s="80">
        <f>(PA_prices!I372+$D$2)*IF($M$2="Prices in $/MWh",1,1/1000)</f>
        <v>73.260000000000005</v>
      </c>
      <c r="J384" s="79">
        <f>(PA_prices!J372+$D$2)*IF($M$2="Prices in $/MWh",1,1/1000)</f>
        <v>71.38</v>
      </c>
      <c r="K384" s="80">
        <f>(PA_prices!K372+$D$2)*IF($M$2="Prices in $/MWh",1,1/1000)</f>
        <v>72.819999999999993</v>
      </c>
      <c r="L384" s="79">
        <f>(PA_prices!L372+$D$2)*IF($M$2="Prices in $/MWh",1,1/1000)</f>
        <v>29.66</v>
      </c>
      <c r="M384" s="80">
        <f>(PA_prices!M372+$D$2)*IF($M$2="Prices in $/MWh",1,1/1000)</f>
        <v>28.47</v>
      </c>
      <c r="N384" s="79">
        <f>(PA_prices!N372+$D$2)*IF($M$2="Prices in $/MWh",1,1/1000)</f>
        <v>30.05</v>
      </c>
      <c r="O384" s="61"/>
    </row>
    <row r="385" spans="2:15" x14ac:dyDescent="0.25">
      <c r="B385" s="99" t="s">
        <v>646</v>
      </c>
      <c r="C385" s="82" t="str">
        <f>PA_prices!C373</f>
        <v>May-2016</v>
      </c>
      <c r="D385" s="83" t="str">
        <f>PA_prices!D373</f>
        <v>PA</v>
      </c>
      <c r="E385" s="84" t="str">
        <f>PA_prices!E373</f>
        <v>PPL</v>
      </c>
      <c r="F385" s="83" t="str">
        <f>PA_prices!F373</f>
        <v>GS3</v>
      </c>
      <c r="G385" s="84" t="str">
        <f>PA_prices!G373</f>
        <v>General Service Large</v>
      </c>
      <c r="H385" s="85" t="str">
        <f t="shared" ref="H385" si="368">IF($M$2="Prices in $/MWh","500-2500 MWh","500,000-2,500,000 kWh")</f>
        <v>500-2500 MWh</v>
      </c>
      <c r="I385" s="84">
        <f>(PA_prices!I373+$D$2)*IF($M$2="Prices in $/MWh",1,1/1000)</f>
        <v>72.209999999999994</v>
      </c>
      <c r="J385" s="83">
        <f>(PA_prices!J373+$D$2)*IF($M$2="Prices in $/MWh",1,1/1000)</f>
        <v>70.33</v>
      </c>
      <c r="K385" s="84">
        <f>(PA_prices!K373+$D$2)*IF($M$2="Prices in $/MWh",1,1/1000)</f>
        <v>71.77</v>
      </c>
      <c r="L385" s="83">
        <f>(PA_prices!L373+$D$2)*IF($M$2="Prices in $/MWh",1,1/1000)</f>
        <v>28.61</v>
      </c>
      <c r="M385" s="84">
        <f>(PA_prices!M373+$D$2)*IF($M$2="Prices in $/MWh",1,1/1000)</f>
        <v>27.42</v>
      </c>
      <c r="N385" s="83">
        <f>(PA_prices!N373+$D$2)*IF($M$2="Prices in $/MWh",1,1/1000)</f>
        <v>29</v>
      </c>
      <c r="O385" s="61"/>
    </row>
    <row r="386" spans="2:15" x14ac:dyDescent="0.25">
      <c r="B386" s="99" t="s">
        <v>646</v>
      </c>
      <c r="C386" s="74" t="str">
        <f>PA_prices!C374</f>
        <v>June-2016</v>
      </c>
      <c r="D386" s="75" t="str">
        <f>PA_prices!D374</f>
        <v>PA</v>
      </c>
      <c r="E386" s="76" t="str">
        <f>PA_prices!E374</f>
        <v>PPL</v>
      </c>
      <c r="F386" s="75" t="str">
        <f>PA_prices!F374</f>
        <v>GS3</v>
      </c>
      <c r="G386" s="76" t="str">
        <f>PA_prices!G374</f>
        <v>General Service Large</v>
      </c>
      <c r="H386" s="77" t="str">
        <f t="shared" ref="H386" si="369">IF($M$2="Prices in $/MWh","0-100 MWh","0-100,000 kWh")</f>
        <v>0-100 MWh</v>
      </c>
      <c r="I386" s="76">
        <f>(PA_prices!I374+$D$2)*IF($M$2="Prices in $/MWh",1,1/1000)</f>
        <v>74.8</v>
      </c>
      <c r="J386" s="75">
        <f>(PA_prices!J374+$D$2)*IF($M$2="Prices in $/MWh",1,1/1000)</f>
        <v>72.86</v>
      </c>
      <c r="K386" s="76">
        <f>(PA_prices!K374+$D$2)*IF($M$2="Prices in $/MWh",1,1/1000)</f>
        <v>74.400000000000006</v>
      </c>
      <c r="L386" s="75">
        <f>(PA_prices!L374+$D$2)*IF($M$2="Prices in $/MWh",1,1/1000)</f>
        <v>31.16</v>
      </c>
      <c r="M386" s="76">
        <f>(PA_prices!M374+$D$2)*IF($M$2="Prices in $/MWh",1,1/1000)</f>
        <v>30.16</v>
      </c>
      <c r="N386" s="75">
        <f>(PA_prices!N374+$D$2)*IF($M$2="Prices in $/MWh",1,1/1000)</f>
        <v>31.65</v>
      </c>
      <c r="O386" s="61"/>
    </row>
    <row r="387" spans="2:15" x14ac:dyDescent="0.25">
      <c r="B387" s="99" t="s">
        <v>646</v>
      </c>
      <c r="C387" s="78" t="str">
        <f>PA_prices!C375</f>
        <v>June-2016</v>
      </c>
      <c r="D387" s="79" t="str">
        <f>PA_prices!D375</f>
        <v>PA</v>
      </c>
      <c r="E387" s="80" t="str">
        <f>PA_prices!E375</f>
        <v>PPL</v>
      </c>
      <c r="F387" s="79" t="str">
        <f>PA_prices!F375</f>
        <v>GS3</v>
      </c>
      <c r="G387" s="80" t="str">
        <f>PA_prices!G375</f>
        <v>General Service Large</v>
      </c>
      <c r="H387" s="81" t="str">
        <f t="shared" ref="H387" si="370">IF($M$2="Prices in $/MWh","100-500 MWh","100,000-500,000 kWh")</f>
        <v>100-500 MWh</v>
      </c>
      <c r="I387" s="80">
        <f>(PA_prices!I375+$D$2)*IF($M$2="Prices in $/MWh",1,1/1000)</f>
        <v>73.2</v>
      </c>
      <c r="J387" s="79">
        <f>(PA_prices!J375+$D$2)*IF($M$2="Prices in $/MWh",1,1/1000)</f>
        <v>71.260000000000005</v>
      </c>
      <c r="K387" s="80">
        <f>(PA_prices!K375+$D$2)*IF($M$2="Prices in $/MWh",1,1/1000)</f>
        <v>72.8</v>
      </c>
      <c r="L387" s="79">
        <f>(PA_prices!L375+$D$2)*IF($M$2="Prices in $/MWh",1,1/1000)</f>
        <v>29.56</v>
      </c>
      <c r="M387" s="80">
        <f>(PA_prices!M375+$D$2)*IF($M$2="Prices in $/MWh",1,1/1000)</f>
        <v>28.56</v>
      </c>
      <c r="N387" s="79">
        <f>(PA_prices!N375+$D$2)*IF($M$2="Prices in $/MWh",1,1/1000)</f>
        <v>30.05</v>
      </c>
      <c r="O387" s="61"/>
    </row>
    <row r="388" spans="2:15" x14ac:dyDescent="0.25">
      <c r="B388" s="99" t="s">
        <v>646</v>
      </c>
      <c r="C388" s="82" t="str">
        <f>PA_prices!C376</f>
        <v>June-2016</v>
      </c>
      <c r="D388" s="83" t="str">
        <f>PA_prices!D376</f>
        <v>PA</v>
      </c>
      <c r="E388" s="84" t="str">
        <f>PA_prices!E376</f>
        <v>PPL</v>
      </c>
      <c r="F388" s="83" t="str">
        <f>PA_prices!F376</f>
        <v>GS3</v>
      </c>
      <c r="G388" s="84" t="str">
        <f>PA_prices!G376</f>
        <v>General Service Large</v>
      </c>
      <c r="H388" s="85" t="str">
        <f t="shared" ref="H388" si="371">IF($M$2="Prices in $/MWh","500-2500 MWh","500,000-2,500,000 kWh")</f>
        <v>500-2500 MWh</v>
      </c>
      <c r="I388" s="84">
        <f>(PA_prices!I376+$D$2)*IF($M$2="Prices in $/MWh",1,1/1000)</f>
        <v>72.150000000000006</v>
      </c>
      <c r="J388" s="83">
        <f>(PA_prices!J376+$D$2)*IF($M$2="Prices in $/MWh",1,1/1000)</f>
        <v>70.209999999999994</v>
      </c>
      <c r="K388" s="84">
        <f>(PA_prices!K376+$D$2)*IF($M$2="Prices in $/MWh",1,1/1000)</f>
        <v>71.75</v>
      </c>
      <c r="L388" s="83">
        <f>(PA_prices!L376+$D$2)*IF($M$2="Prices in $/MWh",1,1/1000)</f>
        <v>28.51</v>
      </c>
      <c r="M388" s="84">
        <f>(PA_prices!M376+$D$2)*IF($M$2="Prices in $/MWh",1,1/1000)</f>
        <v>27.51</v>
      </c>
      <c r="N388" s="83">
        <f>(PA_prices!N376+$D$2)*IF($M$2="Prices in $/MWh",1,1/1000)</f>
        <v>29</v>
      </c>
      <c r="O388" s="61"/>
    </row>
    <row r="389" spans="2:15" x14ac:dyDescent="0.25">
      <c r="B389" s="99" t="s">
        <v>646</v>
      </c>
      <c r="C389" s="74" t="str">
        <f>PA_prices!C377</f>
        <v>July-2016</v>
      </c>
      <c r="D389" s="75" t="str">
        <f>PA_prices!D377</f>
        <v>PA</v>
      </c>
      <c r="E389" s="76" t="str">
        <f>PA_prices!E377</f>
        <v>PPL</v>
      </c>
      <c r="F389" s="75" t="str">
        <f>PA_prices!F377</f>
        <v>GS3</v>
      </c>
      <c r="G389" s="76" t="str">
        <f>PA_prices!G377</f>
        <v>General Service Large</v>
      </c>
      <c r="H389" s="77" t="str">
        <f t="shared" ref="H389" si="372">IF($M$2="Prices in $/MWh","0-100 MWh","0-100,000 kWh")</f>
        <v>0-100 MWh</v>
      </c>
      <c r="I389" s="76">
        <f>(PA_prices!I377+$D$2)*IF($M$2="Prices in $/MWh",1,1/1000)</f>
        <v>74.83</v>
      </c>
      <c r="J389" s="75">
        <f>(PA_prices!J377+$D$2)*IF($M$2="Prices in $/MWh",1,1/1000)</f>
        <v>73</v>
      </c>
      <c r="K389" s="76">
        <f>(PA_prices!K377+$D$2)*IF($M$2="Prices in $/MWh",1,1/1000)</f>
        <v>74.489999999999995</v>
      </c>
      <c r="L389" s="75">
        <f>(PA_prices!L377+$D$2)*IF($M$2="Prices in $/MWh",1,1/1000)</f>
        <v>31.29</v>
      </c>
      <c r="M389" s="76">
        <f>(PA_prices!M377+$D$2)*IF($M$2="Prices in $/MWh",1,1/1000)</f>
        <v>30.71</v>
      </c>
      <c r="N389" s="75">
        <f>(PA_prices!N377+$D$2)*IF($M$2="Prices in $/MWh",1,1/1000)</f>
        <v>31.94</v>
      </c>
      <c r="O389" s="61"/>
    </row>
    <row r="390" spans="2:15" x14ac:dyDescent="0.25">
      <c r="B390" s="99" t="s">
        <v>646</v>
      </c>
      <c r="C390" s="78" t="str">
        <f>PA_prices!C378</f>
        <v>July-2016</v>
      </c>
      <c r="D390" s="79" t="str">
        <f>PA_prices!D378</f>
        <v>PA</v>
      </c>
      <c r="E390" s="80" t="str">
        <f>PA_prices!E378</f>
        <v>PPL</v>
      </c>
      <c r="F390" s="79" t="str">
        <f>PA_prices!F378</f>
        <v>GS3</v>
      </c>
      <c r="G390" s="80" t="str">
        <f>PA_prices!G378</f>
        <v>General Service Large</v>
      </c>
      <c r="H390" s="81" t="str">
        <f t="shared" ref="H390" si="373">IF($M$2="Prices in $/MWh","100-500 MWh","100,000-500,000 kWh")</f>
        <v>100-500 MWh</v>
      </c>
      <c r="I390" s="80">
        <f>(PA_prices!I378+$D$2)*IF($M$2="Prices in $/MWh",1,1/1000)</f>
        <v>73.23</v>
      </c>
      <c r="J390" s="79">
        <f>(PA_prices!J378+$D$2)*IF($M$2="Prices in $/MWh",1,1/1000)</f>
        <v>71.400000000000006</v>
      </c>
      <c r="K390" s="80">
        <f>(PA_prices!K378+$D$2)*IF($M$2="Prices in $/MWh",1,1/1000)</f>
        <v>72.89</v>
      </c>
      <c r="L390" s="79">
        <f>(PA_prices!L378+$D$2)*IF($M$2="Prices in $/MWh",1,1/1000)</f>
        <v>29.69</v>
      </c>
      <c r="M390" s="80">
        <f>(PA_prices!M378+$D$2)*IF($M$2="Prices in $/MWh",1,1/1000)</f>
        <v>29.11</v>
      </c>
      <c r="N390" s="79">
        <f>(PA_prices!N378+$D$2)*IF($M$2="Prices in $/MWh",1,1/1000)</f>
        <v>30.34</v>
      </c>
      <c r="O390" s="61"/>
    </row>
    <row r="391" spans="2:15" x14ac:dyDescent="0.25">
      <c r="B391" s="99" t="s">
        <v>646</v>
      </c>
      <c r="C391" s="82" t="str">
        <f>PA_prices!C379</f>
        <v>July-2016</v>
      </c>
      <c r="D391" s="83" t="str">
        <f>PA_prices!D379</f>
        <v>PA</v>
      </c>
      <c r="E391" s="84" t="str">
        <f>PA_prices!E379</f>
        <v>PPL</v>
      </c>
      <c r="F391" s="83" t="str">
        <f>PA_prices!F379</f>
        <v>GS3</v>
      </c>
      <c r="G391" s="84" t="str">
        <f>PA_prices!G379</f>
        <v>General Service Large</v>
      </c>
      <c r="H391" s="85" t="str">
        <f t="shared" ref="H391" si="374">IF($M$2="Prices in $/MWh","500-2500 MWh","500,000-2,500,000 kWh")</f>
        <v>500-2500 MWh</v>
      </c>
      <c r="I391" s="84">
        <f>(PA_prices!I379+$D$2)*IF($M$2="Prices in $/MWh",1,1/1000)</f>
        <v>72.180000000000007</v>
      </c>
      <c r="J391" s="83">
        <f>(PA_prices!J379+$D$2)*IF($M$2="Prices in $/MWh",1,1/1000)</f>
        <v>70.349999999999994</v>
      </c>
      <c r="K391" s="84">
        <f>(PA_prices!K379+$D$2)*IF($M$2="Prices in $/MWh",1,1/1000)</f>
        <v>71.84</v>
      </c>
      <c r="L391" s="83">
        <f>(PA_prices!L379+$D$2)*IF($M$2="Prices in $/MWh",1,1/1000)</f>
        <v>28.64</v>
      </c>
      <c r="M391" s="84">
        <f>(PA_prices!M379+$D$2)*IF($M$2="Prices in $/MWh",1,1/1000)</f>
        <v>28.06</v>
      </c>
      <c r="N391" s="83">
        <f>(PA_prices!N379+$D$2)*IF($M$2="Prices in $/MWh",1,1/1000)</f>
        <v>29.29</v>
      </c>
      <c r="O391" s="61"/>
    </row>
    <row r="392" spans="2:15" x14ac:dyDescent="0.25">
      <c r="B392" s="99" t="s">
        <v>646</v>
      </c>
      <c r="C392" s="74" t="str">
        <f>PA_prices!C380</f>
        <v>August-2016</v>
      </c>
      <c r="D392" s="75" t="str">
        <f>PA_prices!D380</f>
        <v>PA</v>
      </c>
      <c r="E392" s="76" t="str">
        <f>PA_prices!E380</f>
        <v>PPL</v>
      </c>
      <c r="F392" s="75" t="str">
        <f>PA_prices!F380</f>
        <v>GS3</v>
      </c>
      <c r="G392" s="76" t="str">
        <f>PA_prices!G380</f>
        <v>General Service Large</v>
      </c>
      <c r="H392" s="77" t="str">
        <f t="shared" ref="H392" si="375">IF($M$2="Prices in $/MWh","0-100 MWh","0-100,000 kWh")</f>
        <v>0-100 MWh</v>
      </c>
      <c r="I392" s="76">
        <f>(PA_prices!I380+$D$2)*IF($M$2="Prices in $/MWh",1,1/1000)</f>
        <v>74.77</v>
      </c>
      <c r="J392" s="75">
        <f>(PA_prices!J380+$D$2)*IF($M$2="Prices in $/MWh",1,1/1000)</f>
        <v>74.11</v>
      </c>
      <c r="K392" s="76">
        <f>(PA_prices!K380+$D$2)*IF($M$2="Prices in $/MWh",1,1/1000)</f>
        <v>74.56</v>
      </c>
      <c r="L392" s="75">
        <f>(PA_prices!L380+$D$2)*IF($M$2="Prices in $/MWh",1,1/1000)</f>
        <v>31.45</v>
      </c>
      <c r="M392" s="76">
        <f>(PA_prices!M380+$D$2)*IF($M$2="Prices in $/MWh",1,1/1000)</f>
        <v>31.57</v>
      </c>
      <c r="N392" s="75">
        <f>(PA_prices!N380+$D$2)*IF($M$2="Prices in $/MWh",1,1/1000)</f>
        <v>32.14</v>
      </c>
      <c r="O392" s="61"/>
    </row>
    <row r="393" spans="2:15" x14ac:dyDescent="0.25">
      <c r="B393" s="99" t="s">
        <v>646</v>
      </c>
      <c r="C393" s="78" t="str">
        <f>PA_prices!C381</f>
        <v>August-2016</v>
      </c>
      <c r="D393" s="79" t="str">
        <f>PA_prices!D381</f>
        <v>PA</v>
      </c>
      <c r="E393" s="80" t="str">
        <f>PA_prices!E381</f>
        <v>PPL</v>
      </c>
      <c r="F393" s="79" t="str">
        <f>PA_prices!F381</f>
        <v>GS3</v>
      </c>
      <c r="G393" s="80" t="str">
        <f>PA_prices!G381</f>
        <v>General Service Large</v>
      </c>
      <c r="H393" s="81" t="str">
        <f t="shared" ref="H393" si="376">IF($M$2="Prices in $/MWh","100-500 MWh","100,000-500,000 kWh")</f>
        <v>100-500 MWh</v>
      </c>
      <c r="I393" s="80">
        <f>(PA_prices!I381+$D$2)*IF($M$2="Prices in $/MWh",1,1/1000)</f>
        <v>73.17</v>
      </c>
      <c r="J393" s="79">
        <f>(PA_prices!J381+$D$2)*IF($M$2="Prices in $/MWh",1,1/1000)</f>
        <v>72.510000000000005</v>
      </c>
      <c r="K393" s="80">
        <f>(PA_prices!K381+$D$2)*IF($M$2="Prices in $/MWh",1,1/1000)</f>
        <v>72.959999999999994</v>
      </c>
      <c r="L393" s="79">
        <f>(PA_prices!L381+$D$2)*IF($M$2="Prices in $/MWh",1,1/1000)</f>
        <v>29.85</v>
      </c>
      <c r="M393" s="80">
        <f>(PA_prices!M381+$D$2)*IF($M$2="Prices in $/MWh",1,1/1000)</f>
        <v>29.97</v>
      </c>
      <c r="N393" s="79">
        <f>(PA_prices!N381+$D$2)*IF($M$2="Prices in $/MWh",1,1/1000)</f>
        <v>30.54</v>
      </c>
      <c r="O393" s="61"/>
    </row>
    <row r="394" spans="2:15" x14ac:dyDescent="0.25">
      <c r="B394" s="99" t="s">
        <v>646</v>
      </c>
      <c r="C394" s="82" t="str">
        <f>PA_prices!C382</f>
        <v>August-2016</v>
      </c>
      <c r="D394" s="83" t="str">
        <f>PA_prices!D382</f>
        <v>PA</v>
      </c>
      <c r="E394" s="84" t="str">
        <f>PA_prices!E382</f>
        <v>PPL</v>
      </c>
      <c r="F394" s="83" t="str">
        <f>PA_prices!F382</f>
        <v>GS3</v>
      </c>
      <c r="G394" s="84" t="str">
        <f>PA_prices!G382</f>
        <v>General Service Large</v>
      </c>
      <c r="H394" s="85" t="str">
        <f t="shared" ref="H394" si="377">IF($M$2="Prices in $/MWh","500-2500 MWh","500,000-2,500,000 kWh")</f>
        <v>500-2500 MWh</v>
      </c>
      <c r="I394" s="84">
        <f>(PA_prices!I382+$D$2)*IF($M$2="Prices in $/MWh",1,1/1000)</f>
        <v>72.12</v>
      </c>
      <c r="J394" s="83">
        <f>(PA_prices!J382+$D$2)*IF($M$2="Prices in $/MWh",1,1/1000)</f>
        <v>71.459999999999994</v>
      </c>
      <c r="K394" s="84">
        <f>(PA_prices!K382+$D$2)*IF($M$2="Prices in $/MWh",1,1/1000)</f>
        <v>71.91</v>
      </c>
      <c r="L394" s="83">
        <f>(PA_prices!L382+$D$2)*IF($M$2="Prices in $/MWh",1,1/1000)</f>
        <v>28.8</v>
      </c>
      <c r="M394" s="84">
        <f>(PA_prices!M382+$D$2)*IF($M$2="Prices in $/MWh",1,1/1000)</f>
        <v>28.92</v>
      </c>
      <c r="N394" s="83">
        <f>(PA_prices!N382+$D$2)*IF($M$2="Prices in $/MWh",1,1/1000)</f>
        <v>29.49</v>
      </c>
      <c r="O394" s="61"/>
    </row>
    <row r="395" spans="2:15" x14ac:dyDescent="0.25">
      <c r="B395" s="99" t="s">
        <v>646</v>
      </c>
      <c r="C395" s="74" t="str">
        <f>PA_prices!C383</f>
        <v>September-2016</v>
      </c>
      <c r="D395" s="75" t="str">
        <f>PA_prices!D383</f>
        <v>PA</v>
      </c>
      <c r="E395" s="76" t="str">
        <f>PA_prices!E383</f>
        <v>PPL</v>
      </c>
      <c r="F395" s="75" t="str">
        <f>PA_prices!F383</f>
        <v>GS3</v>
      </c>
      <c r="G395" s="76" t="str">
        <f>PA_prices!G383</f>
        <v>General Service Large</v>
      </c>
      <c r="H395" s="77" t="str">
        <f t="shared" ref="H395" si="378">IF($M$2="Prices in $/MWh","0-100 MWh","0-100,000 kWh")</f>
        <v>0-100 MWh</v>
      </c>
      <c r="I395" s="76">
        <f>(PA_prices!I383+$D$2)*IF($M$2="Prices in $/MWh",1,1/1000)</f>
        <v>74.69</v>
      </c>
      <c r="J395" s="75">
        <f>(PA_prices!J383+$D$2)*IF($M$2="Prices in $/MWh",1,1/1000)</f>
        <v>75.13</v>
      </c>
      <c r="K395" s="76">
        <f>(PA_prices!K383+$D$2)*IF($M$2="Prices in $/MWh",1,1/1000)</f>
        <v>74.599999999999994</v>
      </c>
      <c r="L395" s="75">
        <f>(PA_prices!L383+$D$2)*IF($M$2="Prices in $/MWh",1,1/1000)</f>
        <v>31.59</v>
      </c>
      <c r="M395" s="76">
        <f>(PA_prices!M383+$D$2)*IF($M$2="Prices in $/MWh",1,1/1000)</f>
        <v>32.44</v>
      </c>
      <c r="N395" s="75">
        <f>(PA_prices!N383+$D$2)*IF($M$2="Prices in $/MWh",1,1/1000)</f>
        <v>32.35</v>
      </c>
      <c r="O395" s="61"/>
    </row>
    <row r="396" spans="2:15" x14ac:dyDescent="0.25">
      <c r="B396" s="99" t="s">
        <v>646</v>
      </c>
      <c r="C396" s="78" t="str">
        <f>PA_prices!C384</f>
        <v>September-2016</v>
      </c>
      <c r="D396" s="79" t="str">
        <f>PA_prices!D384</f>
        <v>PA</v>
      </c>
      <c r="E396" s="80" t="str">
        <f>PA_prices!E384</f>
        <v>PPL</v>
      </c>
      <c r="F396" s="79" t="str">
        <f>PA_prices!F384</f>
        <v>GS3</v>
      </c>
      <c r="G396" s="80" t="str">
        <f>PA_prices!G384</f>
        <v>General Service Large</v>
      </c>
      <c r="H396" s="81" t="str">
        <f t="shared" ref="H396" si="379">IF($M$2="Prices in $/MWh","100-500 MWh","100,000-500,000 kWh")</f>
        <v>100-500 MWh</v>
      </c>
      <c r="I396" s="80">
        <f>(PA_prices!I384+$D$2)*IF($M$2="Prices in $/MWh",1,1/1000)</f>
        <v>73.09</v>
      </c>
      <c r="J396" s="79">
        <f>(PA_prices!J384+$D$2)*IF($M$2="Prices in $/MWh",1,1/1000)</f>
        <v>73.53</v>
      </c>
      <c r="K396" s="80">
        <f>(PA_prices!K384+$D$2)*IF($M$2="Prices in $/MWh",1,1/1000)</f>
        <v>73</v>
      </c>
      <c r="L396" s="79">
        <f>(PA_prices!L384+$D$2)*IF($M$2="Prices in $/MWh",1,1/1000)</f>
        <v>29.99</v>
      </c>
      <c r="M396" s="80">
        <f>(PA_prices!M384+$D$2)*IF($M$2="Prices in $/MWh",1,1/1000)</f>
        <v>30.84</v>
      </c>
      <c r="N396" s="79">
        <f>(PA_prices!N384+$D$2)*IF($M$2="Prices in $/MWh",1,1/1000)</f>
        <v>30.75</v>
      </c>
      <c r="O396" s="61"/>
    </row>
    <row r="397" spans="2:15" x14ac:dyDescent="0.25">
      <c r="B397" s="99" t="s">
        <v>646</v>
      </c>
      <c r="C397" s="82" t="str">
        <f>PA_prices!C385</f>
        <v>September-2016</v>
      </c>
      <c r="D397" s="83" t="str">
        <f>PA_prices!D385</f>
        <v>PA</v>
      </c>
      <c r="E397" s="84" t="str">
        <f>PA_prices!E385</f>
        <v>PPL</v>
      </c>
      <c r="F397" s="83" t="str">
        <f>PA_prices!F385</f>
        <v>GS3</v>
      </c>
      <c r="G397" s="84" t="str">
        <f>PA_prices!G385</f>
        <v>General Service Large</v>
      </c>
      <c r="H397" s="85" t="str">
        <f t="shared" ref="H397" si="380">IF($M$2="Prices in $/MWh","500-2500 MWh","500,000-2,500,000 kWh")</f>
        <v>500-2500 MWh</v>
      </c>
      <c r="I397" s="84">
        <f>(PA_prices!I385+$D$2)*IF($M$2="Prices in $/MWh",1,1/1000)</f>
        <v>72.040000000000006</v>
      </c>
      <c r="J397" s="83">
        <f>(PA_prices!J385+$D$2)*IF($M$2="Prices in $/MWh",1,1/1000)</f>
        <v>72.48</v>
      </c>
      <c r="K397" s="84">
        <f>(PA_prices!K385+$D$2)*IF($M$2="Prices in $/MWh",1,1/1000)</f>
        <v>71.95</v>
      </c>
      <c r="L397" s="83">
        <f>(PA_prices!L385+$D$2)*IF($M$2="Prices in $/MWh",1,1/1000)</f>
        <v>28.94</v>
      </c>
      <c r="M397" s="84">
        <f>(PA_prices!M385+$D$2)*IF($M$2="Prices in $/MWh",1,1/1000)</f>
        <v>29.79</v>
      </c>
      <c r="N397" s="83">
        <f>(PA_prices!N385+$D$2)*IF($M$2="Prices in $/MWh",1,1/1000)</f>
        <v>29.7</v>
      </c>
      <c r="O397" s="61"/>
    </row>
    <row r="398" spans="2:15" x14ac:dyDescent="0.25">
      <c r="B398" s="99" t="s">
        <v>646</v>
      </c>
      <c r="C398" s="74" t="str">
        <f>PA_prices!C386</f>
        <v>October-2016</v>
      </c>
      <c r="D398" s="75" t="str">
        <f>PA_prices!D386</f>
        <v>PA</v>
      </c>
      <c r="E398" s="76" t="str">
        <f>PA_prices!E386</f>
        <v>PPL</v>
      </c>
      <c r="F398" s="75" t="str">
        <f>PA_prices!F386</f>
        <v>GS3</v>
      </c>
      <c r="G398" s="76" t="str">
        <f>PA_prices!G386</f>
        <v>General Service Large</v>
      </c>
      <c r="H398" s="77" t="str">
        <f t="shared" ref="H398" si="381">IF($M$2="Prices in $/MWh","0-100 MWh","0-100,000 kWh")</f>
        <v>0-100 MWh</v>
      </c>
      <c r="I398" s="76">
        <f>(PA_prices!I386+$D$2)*IF($M$2="Prices in $/MWh",1,1/1000)</f>
        <v>74.599999999999994</v>
      </c>
      <c r="J398" s="75">
        <f>(PA_prices!J386+$D$2)*IF($M$2="Prices in $/MWh",1,1/1000)</f>
        <v>75.81</v>
      </c>
      <c r="K398" s="76">
        <f>(PA_prices!K386+$D$2)*IF($M$2="Prices in $/MWh",1,1/1000)</f>
        <v>74.58</v>
      </c>
      <c r="L398" s="75">
        <f>(PA_prices!L386+$D$2)*IF($M$2="Prices in $/MWh",1,1/1000)</f>
        <v>31.58</v>
      </c>
      <c r="M398" s="76">
        <f>(PA_prices!M386+$D$2)*IF($M$2="Prices in $/MWh",1,1/1000)</f>
        <v>33.14</v>
      </c>
      <c r="N398" s="75">
        <f>(PA_prices!N386+$D$2)*IF($M$2="Prices in $/MWh",1,1/1000)</f>
        <v>32.49</v>
      </c>
      <c r="O398" s="61"/>
    </row>
    <row r="399" spans="2:15" x14ac:dyDescent="0.25">
      <c r="B399" s="99" t="s">
        <v>646</v>
      </c>
      <c r="C399" s="78" t="str">
        <f>PA_prices!C387</f>
        <v>October-2016</v>
      </c>
      <c r="D399" s="79" t="str">
        <f>PA_prices!D387</f>
        <v>PA</v>
      </c>
      <c r="E399" s="80" t="str">
        <f>PA_prices!E387</f>
        <v>PPL</v>
      </c>
      <c r="F399" s="79" t="str">
        <f>PA_prices!F387</f>
        <v>GS3</v>
      </c>
      <c r="G399" s="80" t="str">
        <f>PA_prices!G387</f>
        <v>General Service Large</v>
      </c>
      <c r="H399" s="81" t="str">
        <f t="shared" ref="H399" si="382">IF($M$2="Prices in $/MWh","100-500 MWh","100,000-500,000 kWh")</f>
        <v>100-500 MWh</v>
      </c>
      <c r="I399" s="80">
        <f>(PA_prices!I387+$D$2)*IF($M$2="Prices in $/MWh",1,1/1000)</f>
        <v>73</v>
      </c>
      <c r="J399" s="79">
        <f>(PA_prices!J387+$D$2)*IF($M$2="Prices in $/MWh",1,1/1000)</f>
        <v>74.209999999999994</v>
      </c>
      <c r="K399" s="80">
        <f>(PA_prices!K387+$D$2)*IF($M$2="Prices in $/MWh",1,1/1000)</f>
        <v>72.98</v>
      </c>
      <c r="L399" s="79">
        <f>(PA_prices!L387+$D$2)*IF($M$2="Prices in $/MWh",1,1/1000)</f>
        <v>29.98</v>
      </c>
      <c r="M399" s="80">
        <f>(PA_prices!M387+$D$2)*IF($M$2="Prices in $/MWh",1,1/1000)</f>
        <v>31.54</v>
      </c>
      <c r="N399" s="79">
        <f>(PA_prices!N387+$D$2)*IF($M$2="Prices in $/MWh",1,1/1000)</f>
        <v>30.89</v>
      </c>
      <c r="O399" s="61"/>
    </row>
    <row r="400" spans="2:15" x14ac:dyDescent="0.25">
      <c r="B400" s="99" t="s">
        <v>646</v>
      </c>
      <c r="C400" s="82" t="str">
        <f>PA_prices!C388</f>
        <v>October-2016</v>
      </c>
      <c r="D400" s="83" t="str">
        <f>PA_prices!D388</f>
        <v>PA</v>
      </c>
      <c r="E400" s="84" t="str">
        <f>PA_prices!E388</f>
        <v>PPL</v>
      </c>
      <c r="F400" s="83" t="str">
        <f>PA_prices!F388</f>
        <v>GS3</v>
      </c>
      <c r="G400" s="84" t="str">
        <f>PA_prices!G388</f>
        <v>General Service Large</v>
      </c>
      <c r="H400" s="85" t="str">
        <f t="shared" ref="H400" si="383">IF($M$2="Prices in $/MWh","500-2500 MWh","500,000-2,500,000 kWh")</f>
        <v>500-2500 MWh</v>
      </c>
      <c r="I400" s="84">
        <f>(PA_prices!I388+$D$2)*IF($M$2="Prices in $/MWh",1,1/1000)</f>
        <v>71.95</v>
      </c>
      <c r="J400" s="83">
        <f>(PA_prices!J388+$D$2)*IF($M$2="Prices in $/MWh",1,1/1000)</f>
        <v>73.16</v>
      </c>
      <c r="K400" s="84">
        <f>(PA_prices!K388+$D$2)*IF($M$2="Prices in $/MWh",1,1/1000)</f>
        <v>71.930000000000007</v>
      </c>
      <c r="L400" s="83">
        <f>(PA_prices!L388+$D$2)*IF($M$2="Prices in $/MWh",1,1/1000)</f>
        <v>28.93</v>
      </c>
      <c r="M400" s="84">
        <f>(PA_prices!M388+$D$2)*IF($M$2="Prices in $/MWh",1,1/1000)</f>
        <v>30.49</v>
      </c>
      <c r="N400" s="83">
        <f>(PA_prices!N388+$D$2)*IF($M$2="Prices in $/MWh",1,1/1000)</f>
        <v>29.84</v>
      </c>
      <c r="O400" s="61"/>
    </row>
    <row r="401" spans="2:15" x14ac:dyDescent="0.25">
      <c r="B401" s="99" t="s">
        <v>646</v>
      </c>
      <c r="C401" s="74" t="str">
        <f>PA_prices!C389</f>
        <v>November-2016</v>
      </c>
      <c r="D401" s="75" t="str">
        <f>PA_prices!D389</f>
        <v>PA</v>
      </c>
      <c r="E401" s="76" t="str">
        <f>PA_prices!E389</f>
        <v>PPL</v>
      </c>
      <c r="F401" s="75" t="str">
        <f>PA_prices!F389</f>
        <v>GS3</v>
      </c>
      <c r="G401" s="76" t="str">
        <f>PA_prices!G389</f>
        <v>General Service Large</v>
      </c>
      <c r="H401" s="77" t="str">
        <f t="shared" ref="H401" si="384">IF($M$2="Prices in $/MWh","0-100 MWh","0-100,000 kWh")</f>
        <v>0-100 MWh</v>
      </c>
      <c r="I401" s="76">
        <f>(PA_prices!I389+$D$2)*IF($M$2="Prices in $/MWh",1,1/1000)</f>
        <v>74.47</v>
      </c>
      <c r="J401" s="75">
        <f>(PA_prices!J389+$D$2)*IF($M$2="Prices in $/MWh",1,1/1000)</f>
        <v>75.92</v>
      </c>
      <c r="K401" s="76">
        <f>(PA_prices!K389+$D$2)*IF($M$2="Prices in $/MWh",1,1/1000)</f>
        <v>74.56</v>
      </c>
      <c r="L401" s="75">
        <f>(PA_prices!L389+$D$2)*IF($M$2="Prices in $/MWh",1,1/1000)</f>
        <v>31.58</v>
      </c>
      <c r="M401" s="76">
        <f>(PA_prices!M389+$D$2)*IF($M$2="Prices in $/MWh",1,1/1000)</f>
        <v>33.200000000000003</v>
      </c>
      <c r="N401" s="75">
        <f>(PA_prices!N389+$D$2)*IF($M$2="Prices in $/MWh",1,1/1000)</f>
        <v>32.58</v>
      </c>
      <c r="O401" s="61"/>
    </row>
    <row r="402" spans="2:15" x14ac:dyDescent="0.25">
      <c r="B402" s="99" t="s">
        <v>646</v>
      </c>
      <c r="C402" s="78" t="str">
        <f>PA_prices!C390</f>
        <v>November-2016</v>
      </c>
      <c r="D402" s="79" t="str">
        <f>PA_prices!D390</f>
        <v>PA</v>
      </c>
      <c r="E402" s="80" t="str">
        <f>PA_prices!E390</f>
        <v>PPL</v>
      </c>
      <c r="F402" s="79" t="str">
        <f>PA_prices!F390</f>
        <v>GS3</v>
      </c>
      <c r="G402" s="80" t="str">
        <f>PA_prices!G390</f>
        <v>General Service Large</v>
      </c>
      <c r="H402" s="81" t="str">
        <f t="shared" ref="H402" si="385">IF($M$2="Prices in $/MWh","100-500 MWh","100,000-500,000 kWh")</f>
        <v>100-500 MWh</v>
      </c>
      <c r="I402" s="80">
        <f>(PA_prices!I390+$D$2)*IF($M$2="Prices in $/MWh",1,1/1000)</f>
        <v>72.87</v>
      </c>
      <c r="J402" s="79">
        <f>(PA_prices!J390+$D$2)*IF($M$2="Prices in $/MWh",1,1/1000)</f>
        <v>74.319999999999993</v>
      </c>
      <c r="K402" s="80">
        <f>(PA_prices!K390+$D$2)*IF($M$2="Prices in $/MWh",1,1/1000)</f>
        <v>72.959999999999994</v>
      </c>
      <c r="L402" s="79">
        <f>(PA_prices!L390+$D$2)*IF($M$2="Prices in $/MWh",1,1/1000)</f>
        <v>29.98</v>
      </c>
      <c r="M402" s="80">
        <f>(PA_prices!M390+$D$2)*IF($M$2="Prices in $/MWh",1,1/1000)</f>
        <v>31.6</v>
      </c>
      <c r="N402" s="79">
        <f>(PA_prices!N390+$D$2)*IF($M$2="Prices in $/MWh",1,1/1000)</f>
        <v>30.98</v>
      </c>
      <c r="O402" s="61"/>
    </row>
    <row r="403" spans="2:15" x14ac:dyDescent="0.25">
      <c r="B403" s="99" t="s">
        <v>646</v>
      </c>
      <c r="C403" s="82" t="str">
        <f>PA_prices!C391</f>
        <v>November-2016</v>
      </c>
      <c r="D403" s="83" t="str">
        <f>PA_prices!D391</f>
        <v>PA</v>
      </c>
      <c r="E403" s="84" t="str">
        <f>PA_prices!E391</f>
        <v>PPL</v>
      </c>
      <c r="F403" s="83" t="str">
        <f>PA_prices!F391</f>
        <v>GS3</v>
      </c>
      <c r="G403" s="84" t="str">
        <f>PA_prices!G391</f>
        <v>General Service Large</v>
      </c>
      <c r="H403" s="85" t="str">
        <f t="shared" ref="H403" si="386">IF($M$2="Prices in $/MWh","500-2500 MWh","500,000-2,500,000 kWh")</f>
        <v>500-2500 MWh</v>
      </c>
      <c r="I403" s="84">
        <f>(PA_prices!I391+$D$2)*IF($M$2="Prices in $/MWh",1,1/1000)</f>
        <v>71.819999999999993</v>
      </c>
      <c r="J403" s="83">
        <f>(PA_prices!J391+$D$2)*IF($M$2="Prices in $/MWh",1,1/1000)</f>
        <v>73.27</v>
      </c>
      <c r="K403" s="84">
        <f>(PA_prices!K391+$D$2)*IF($M$2="Prices in $/MWh",1,1/1000)</f>
        <v>71.91</v>
      </c>
      <c r="L403" s="83">
        <f>(PA_prices!L391+$D$2)*IF($M$2="Prices in $/MWh",1,1/1000)</f>
        <v>28.93</v>
      </c>
      <c r="M403" s="84">
        <f>(PA_prices!M391+$D$2)*IF($M$2="Prices in $/MWh",1,1/1000)</f>
        <v>30.55</v>
      </c>
      <c r="N403" s="83">
        <f>(PA_prices!N391+$D$2)*IF($M$2="Prices in $/MWh",1,1/1000)</f>
        <v>29.93</v>
      </c>
      <c r="O403" s="61"/>
    </row>
    <row r="404" spans="2:15" x14ac:dyDescent="0.25">
      <c r="B404" s="99" t="s">
        <v>646</v>
      </c>
      <c r="C404" s="74" t="str">
        <f>PA_prices!C392</f>
        <v>December-2016</v>
      </c>
      <c r="D404" s="75" t="str">
        <f>PA_prices!D392</f>
        <v>PA</v>
      </c>
      <c r="E404" s="76" t="str">
        <f>PA_prices!E392</f>
        <v>PPL</v>
      </c>
      <c r="F404" s="75" t="str">
        <f>PA_prices!F392</f>
        <v>GS3</v>
      </c>
      <c r="G404" s="76" t="str">
        <f>PA_prices!G392</f>
        <v>General Service Large</v>
      </c>
      <c r="H404" s="77" t="str">
        <f t="shared" ref="H404" si="387">IF($M$2="Prices in $/MWh","0-100 MWh","0-100,000 kWh")</f>
        <v>0-100 MWh</v>
      </c>
      <c r="I404" s="76">
        <f>(PA_prices!I392+$D$2)*IF($M$2="Prices in $/MWh",1,1/1000)</f>
        <v>74.239999999999995</v>
      </c>
      <c r="J404" s="75">
        <f>(PA_prices!J392+$D$2)*IF($M$2="Prices in $/MWh",1,1/1000)</f>
        <v>75.849999999999994</v>
      </c>
      <c r="K404" s="76">
        <f>(PA_prices!K392+$D$2)*IF($M$2="Prices in $/MWh",1,1/1000)</f>
        <v>74.48</v>
      </c>
      <c r="L404" s="75">
        <f>(PA_prices!L392+$D$2)*IF($M$2="Prices in $/MWh",1,1/1000)</f>
        <v>31.51</v>
      </c>
      <c r="M404" s="76">
        <f>(PA_prices!M392+$D$2)*IF($M$2="Prices in $/MWh",1,1/1000)</f>
        <v>33.06</v>
      </c>
      <c r="N404" s="75">
        <f>(PA_prices!N392+$D$2)*IF($M$2="Prices in $/MWh",1,1/1000)</f>
        <v>32.65</v>
      </c>
      <c r="O404" s="61"/>
    </row>
    <row r="405" spans="2:15" x14ac:dyDescent="0.25">
      <c r="B405" s="99" t="s">
        <v>646</v>
      </c>
      <c r="C405" s="78" t="str">
        <f>PA_prices!C393</f>
        <v>December-2016</v>
      </c>
      <c r="D405" s="79" t="str">
        <f>PA_prices!D393</f>
        <v>PA</v>
      </c>
      <c r="E405" s="80" t="str">
        <f>PA_prices!E393</f>
        <v>PPL</v>
      </c>
      <c r="F405" s="79" t="str">
        <f>PA_prices!F393</f>
        <v>GS3</v>
      </c>
      <c r="G405" s="80" t="str">
        <f>PA_prices!G393</f>
        <v>General Service Large</v>
      </c>
      <c r="H405" s="81" t="str">
        <f t="shared" ref="H405" si="388">IF($M$2="Prices in $/MWh","100-500 MWh","100,000-500,000 kWh")</f>
        <v>100-500 MWh</v>
      </c>
      <c r="I405" s="80">
        <f>(PA_prices!I393+$D$2)*IF($M$2="Prices in $/MWh",1,1/1000)</f>
        <v>72.64</v>
      </c>
      <c r="J405" s="79">
        <f>(PA_prices!J393+$D$2)*IF($M$2="Prices in $/MWh",1,1/1000)</f>
        <v>74.25</v>
      </c>
      <c r="K405" s="80">
        <f>(PA_prices!K393+$D$2)*IF($M$2="Prices in $/MWh",1,1/1000)</f>
        <v>72.88</v>
      </c>
      <c r="L405" s="79">
        <f>(PA_prices!L393+$D$2)*IF($M$2="Prices in $/MWh",1,1/1000)</f>
        <v>29.91</v>
      </c>
      <c r="M405" s="80">
        <f>(PA_prices!M393+$D$2)*IF($M$2="Prices in $/MWh",1,1/1000)</f>
        <v>31.46</v>
      </c>
      <c r="N405" s="79">
        <f>(PA_prices!N393+$D$2)*IF($M$2="Prices in $/MWh",1,1/1000)</f>
        <v>31.05</v>
      </c>
      <c r="O405" s="61"/>
    </row>
    <row r="406" spans="2:15" x14ac:dyDescent="0.25">
      <c r="B406" s="99" t="s">
        <v>646</v>
      </c>
      <c r="C406" s="82" t="str">
        <f>PA_prices!C394</f>
        <v>December-2016</v>
      </c>
      <c r="D406" s="83" t="str">
        <f>PA_prices!D394</f>
        <v>PA</v>
      </c>
      <c r="E406" s="84" t="str">
        <f>PA_prices!E394</f>
        <v>PPL</v>
      </c>
      <c r="F406" s="83" t="str">
        <f>PA_prices!F394</f>
        <v>GS3</v>
      </c>
      <c r="G406" s="84" t="str">
        <f>PA_prices!G394</f>
        <v>General Service Large</v>
      </c>
      <c r="H406" s="85" t="str">
        <f t="shared" ref="H406" si="389">IF($M$2="Prices in $/MWh","500-2500 MWh","500,000-2,500,000 kWh")</f>
        <v>500-2500 MWh</v>
      </c>
      <c r="I406" s="84">
        <f>(PA_prices!I394+$D$2)*IF($M$2="Prices in $/MWh",1,1/1000)</f>
        <v>71.59</v>
      </c>
      <c r="J406" s="83">
        <f>(PA_prices!J394+$D$2)*IF($M$2="Prices in $/MWh",1,1/1000)</f>
        <v>73.2</v>
      </c>
      <c r="K406" s="84">
        <f>(PA_prices!K394+$D$2)*IF($M$2="Prices in $/MWh",1,1/1000)</f>
        <v>71.83</v>
      </c>
      <c r="L406" s="83">
        <f>(PA_prices!L394+$D$2)*IF($M$2="Prices in $/MWh",1,1/1000)</f>
        <v>28.86</v>
      </c>
      <c r="M406" s="84">
        <f>(PA_prices!M394+$D$2)*IF($M$2="Prices in $/MWh",1,1/1000)</f>
        <v>30.41</v>
      </c>
      <c r="N406" s="83">
        <f>(PA_prices!N394+$D$2)*IF($M$2="Prices in $/MWh",1,1/1000)</f>
        <v>30</v>
      </c>
      <c r="O406" s="61"/>
    </row>
    <row r="407" spans="2:15" x14ac:dyDescent="0.25">
      <c r="B407" s="99" t="s">
        <v>646</v>
      </c>
      <c r="C407" s="74" t="str">
        <f>PA_prices!C395</f>
        <v>January-2017</v>
      </c>
      <c r="D407" s="75" t="str">
        <f>PA_prices!D395</f>
        <v>PA</v>
      </c>
      <c r="E407" s="76" t="str">
        <f>PA_prices!E395</f>
        <v>PPL</v>
      </c>
      <c r="F407" s="75" t="str">
        <f>PA_prices!F395</f>
        <v>GS3</v>
      </c>
      <c r="G407" s="76" t="str">
        <f>PA_prices!G395</f>
        <v>General Service Large</v>
      </c>
      <c r="H407" s="77" t="str">
        <f t="shared" ref="H407" si="390">IF($M$2="Prices in $/MWh","0-100 MWh","0-100,000 kWh")</f>
        <v>0-100 MWh</v>
      </c>
      <c r="I407" s="76">
        <f>(PA_prices!I395+$D$2)*IF($M$2="Prices in $/MWh",1,1/1000)</f>
        <v>74.260000000000005</v>
      </c>
      <c r="J407" s="75">
        <f>(PA_prices!J395+$D$2)*IF($M$2="Prices in $/MWh",1,1/1000)</f>
        <v>75.84</v>
      </c>
      <c r="K407" s="76">
        <f>(PA_prices!K395+$D$2)*IF($M$2="Prices in $/MWh",1,1/1000)</f>
        <v>74.63</v>
      </c>
      <c r="L407" s="75">
        <f>(PA_prices!L395+$D$2)*IF($M$2="Prices in $/MWh",1,1/1000)</f>
        <v>31.87</v>
      </c>
      <c r="M407" s="76">
        <f>(PA_prices!M395+$D$2)*IF($M$2="Prices in $/MWh",1,1/1000)</f>
        <v>33.14</v>
      </c>
      <c r="N407" s="75">
        <f>(PA_prices!N395+$D$2)*IF($M$2="Prices in $/MWh",1,1/1000)</f>
        <v>32.93</v>
      </c>
      <c r="O407" s="61"/>
    </row>
    <row r="408" spans="2:15" x14ac:dyDescent="0.25">
      <c r="B408" s="99" t="s">
        <v>646</v>
      </c>
      <c r="C408" s="78" t="str">
        <f>PA_prices!C396</f>
        <v>January-2017</v>
      </c>
      <c r="D408" s="79" t="str">
        <f>PA_prices!D396</f>
        <v>PA</v>
      </c>
      <c r="E408" s="80" t="str">
        <f>PA_prices!E396</f>
        <v>PPL</v>
      </c>
      <c r="F408" s="79" t="str">
        <f>PA_prices!F396</f>
        <v>GS3</v>
      </c>
      <c r="G408" s="80" t="str">
        <f>PA_prices!G396</f>
        <v>General Service Large</v>
      </c>
      <c r="H408" s="81" t="str">
        <f t="shared" ref="H408" si="391">IF($M$2="Prices in $/MWh","100-500 MWh","100,000-500,000 kWh")</f>
        <v>100-500 MWh</v>
      </c>
      <c r="I408" s="80">
        <f>(PA_prices!I396+$D$2)*IF($M$2="Prices in $/MWh",1,1/1000)</f>
        <v>72.66</v>
      </c>
      <c r="J408" s="79">
        <f>(PA_prices!J396+$D$2)*IF($M$2="Prices in $/MWh",1,1/1000)</f>
        <v>74.239999999999995</v>
      </c>
      <c r="K408" s="80">
        <f>(PA_prices!K396+$D$2)*IF($M$2="Prices in $/MWh",1,1/1000)</f>
        <v>73.03</v>
      </c>
      <c r="L408" s="79">
        <f>(PA_prices!L396+$D$2)*IF($M$2="Prices in $/MWh",1,1/1000)</f>
        <v>30.27</v>
      </c>
      <c r="M408" s="80">
        <f>(PA_prices!M396+$D$2)*IF($M$2="Prices in $/MWh",1,1/1000)</f>
        <v>31.54</v>
      </c>
      <c r="N408" s="79">
        <f>(PA_prices!N396+$D$2)*IF($M$2="Prices in $/MWh",1,1/1000)</f>
        <v>31.33</v>
      </c>
      <c r="O408" s="61"/>
    </row>
    <row r="409" spans="2:15" x14ac:dyDescent="0.25">
      <c r="B409" s="99" t="s">
        <v>646</v>
      </c>
      <c r="C409" s="82" t="str">
        <f>PA_prices!C397</f>
        <v>January-2017</v>
      </c>
      <c r="D409" s="83" t="str">
        <f>PA_prices!D397</f>
        <v>PA</v>
      </c>
      <c r="E409" s="84" t="str">
        <f>PA_prices!E397</f>
        <v>PPL</v>
      </c>
      <c r="F409" s="83" t="str">
        <f>PA_prices!F397</f>
        <v>GS3</v>
      </c>
      <c r="G409" s="84" t="str">
        <f>PA_prices!G397</f>
        <v>General Service Large</v>
      </c>
      <c r="H409" s="85" t="str">
        <f t="shared" ref="H409" si="392">IF($M$2="Prices in $/MWh","500-2500 MWh","500,000-2,500,000 kWh")</f>
        <v>500-2500 MWh</v>
      </c>
      <c r="I409" s="84">
        <f>(PA_prices!I397+$D$2)*IF($M$2="Prices in $/MWh",1,1/1000)</f>
        <v>71.61</v>
      </c>
      <c r="J409" s="83">
        <f>(PA_prices!J397+$D$2)*IF($M$2="Prices in $/MWh",1,1/1000)</f>
        <v>73.19</v>
      </c>
      <c r="K409" s="84">
        <f>(PA_prices!K397+$D$2)*IF($M$2="Prices in $/MWh",1,1/1000)</f>
        <v>71.98</v>
      </c>
      <c r="L409" s="83">
        <f>(PA_prices!L397+$D$2)*IF($M$2="Prices in $/MWh",1,1/1000)</f>
        <v>29.22</v>
      </c>
      <c r="M409" s="84">
        <f>(PA_prices!M397+$D$2)*IF($M$2="Prices in $/MWh",1,1/1000)</f>
        <v>30.49</v>
      </c>
      <c r="N409" s="83">
        <f>(PA_prices!N397+$D$2)*IF($M$2="Prices in $/MWh",1,1/1000)</f>
        <v>30.28</v>
      </c>
      <c r="O409" s="61"/>
    </row>
    <row r="410" spans="2:15" x14ac:dyDescent="0.25">
      <c r="B410" s="99" t="s">
        <v>647</v>
      </c>
      <c r="C410" s="74" t="str">
        <f>PA_prices!C398</f>
        <v>February-2016</v>
      </c>
      <c r="D410" s="75" t="str">
        <f>PA_prices!D398</f>
        <v>PA</v>
      </c>
      <c r="E410" s="76" t="str">
        <f>PA_prices!E398</f>
        <v>WPP</v>
      </c>
      <c r="F410" s="75" t="str">
        <f>PA_prices!F398</f>
        <v>GS20</v>
      </c>
      <c r="G410" s="76" t="str">
        <f>PA_prices!G398</f>
        <v>General Service</v>
      </c>
      <c r="H410" s="77" t="str">
        <f t="shared" ref="H410" si="393">IF($M$2="Prices in $/MWh","0-100 MWh","0-100,000 kWh")</f>
        <v>0-100 MWh</v>
      </c>
      <c r="I410" s="76">
        <f>(PA_prices!I398+$D$2)*IF($M$2="Prices in $/MWh",1,1/1000)</f>
        <v>69.87</v>
      </c>
      <c r="J410" s="75">
        <f>(PA_prices!J398+$D$2)*IF($M$2="Prices in $/MWh",1,1/1000)</f>
        <v>70.680000000000007</v>
      </c>
      <c r="K410" s="76">
        <f>(PA_prices!K398+$D$2)*IF($M$2="Prices in $/MWh",1,1/1000)</f>
        <v>71.430000000000007</v>
      </c>
      <c r="L410" s="75">
        <f>(PA_prices!L398+$D$2)*IF($M$2="Prices in $/MWh",1,1/1000)</f>
        <v>30.46</v>
      </c>
      <c r="M410" s="76">
        <f>(PA_prices!M398+$D$2)*IF($M$2="Prices in $/MWh",1,1/1000)</f>
        <v>30.86</v>
      </c>
      <c r="N410" s="75">
        <f>(PA_prices!N398+$D$2)*IF($M$2="Prices in $/MWh",1,1/1000)</f>
        <v>32.19</v>
      </c>
      <c r="O410" s="61"/>
    </row>
    <row r="411" spans="2:15" x14ac:dyDescent="0.25">
      <c r="B411" s="99" t="s">
        <v>647</v>
      </c>
      <c r="C411" s="78" t="str">
        <f>PA_prices!C399</f>
        <v>February-2016</v>
      </c>
      <c r="D411" s="79" t="str">
        <f>PA_prices!D399</f>
        <v>PA</v>
      </c>
      <c r="E411" s="80" t="str">
        <f>PA_prices!E399</f>
        <v>WPP</v>
      </c>
      <c r="F411" s="79" t="str">
        <f>PA_prices!F399</f>
        <v>GS20</v>
      </c>
      <c r="G411" s="80" t="str">
        <f>PA_prices!G399</f>
        <v>General Service</v>
      </c>
      <c r="H411" s="81" t="str">
        <f t="shared" ref="H411" si="394">IF($M$2="Prices in $/MWh","100-500 MWh","100,000-500,000 kWh")</f>
        <v>100-500 MWh</v>
      </c>
      <c r="I411" s="80">
        <f>(PA_prices!I399+$D$2)*IF($M$2="Prices in $/MWh",1,1/1000)</f>
        <v>68.27</v>
      </c>
      <c r="J411" s="79">
        <f>(PA_prices!J399+$D$2)*IF($M$2="Prices in $/MWh",1,1/1000)</f>
        <v>69.08</v>
      </c>
      <c r="K411" s="80">
        <f>(PA_prices!K399+$D$2)*IF($M$2="Prices in $/MWh",1,1/1000)</f>
        <v>69.83</v>
      </c>
      <c r="L411" s="79">
        <f>(PA_prices!L399+$D$2)*IF($M$2="Prices in $/MWh",1,1/1000)</f>
        <v>28.86</v>
      </c>
      <c r="M411" s="80">
        <f>(PA_prices!M399+$D$2)*IF($M$2="Prices in $/MWh",1,1/1000)</f>
        <v>29.26</v>
      </c>
      <c r="N411" s="79">
        <f>(PA_prices!N399+$D$2)*IF($M$2="Prices in $/MWh",1,1/1000)</f>
        <v>30.59</v>
      </c>
      <c r="O411" s="61"/>
    </row>
    <row r="412" spans="2:15" x14ac:dyDescent="0.25">
      <c r="B412" s="99" t="s">
        <v>647</v>
      </c>
      <c r="C412" s="82" t="str">
        <f>PA_prices!C400</f>
        <v>February-2016</v>
      </c>
      <c r="D412" s="83" t="str">
        <f>PA_prices!D400</f>
        <v>PA</v>
      </c>
      <c r="E412" s="84" t="str">
        <f>PA_prices!E400</f>
        <v>WPP</v>
      </c>
      <c r="F412" s="83" t="str">
        <f>PA_prices!F400</f>
        <v>GS20</v>
      </c>
      <c r="G412" s="84" t="str">
        <f>PA_prices!G400</f>
        <v>General Service</v>
      </c>
      <c r="H412" s="85" t="str">
        <f t="shared" ref="H412" si="395">IF($M$2="Prices in $/MWh","500-2500 MWh","500,000-2,500,000 kWh")</f>
        <v>500-2500 MWh</v>
      </c>
      <c r="I412" s="84">
        <f>(PA_prices!I400+$D$2)*IF($M$2="Prices in $/MWh",1,1/1000)</f>
        <v>67.22</v>
      </c>
      <c r="J412" s="83">
        <f>(PA_prices!J400+$D$2)*IF($M$2="Prices in $/MWh",1,1/1000)</f>
        <v>68.03</v>
      </c>
      <c r="K412" s="84">
        <f>(PA_prices!K400+$D$2)*IF($M$2="Prices in $/MWh",1,1/1000)</f>
        <v>68.78</v>
      </c>
      <c r="L412" s="83">
        <f>(PA_prices!L400+$D$2)*IF($M$2="Prices in $/MWh",1,1/1000)</f>
        <v>27.81</v>
      </c>
      <c r="M412" s="84">
        <f>(PA_prices!M400+$D$2)*IF($M$2="Prices in $/MWh",1,1/1000)</f>
        <v>28.21</v>
      </c>
      <c r="N412" s="83">
        <f>(PA_prices!N400+$D$2)*IF($M$2="Prices in $/MWh",1,1/1000)</f>
        <v>29.54</v>
      </c>
      <c r="O412" s="61"/>
    </row>
    <row r="413" spans="2:15" x14ac:dyDescent="0.25">
      <c r="B413" s="99" t="s">
        <v>647</v>
      </c>
      <c r="C413" s="74" t="str">
        <f>PA_prices!C401</f>
        <v>March-2016</v>
      </c>
      <c r="D413" s="75" t="str">
        <f>PA_prices!D401</f>
        <v>PA</v>
      </c>
      <c r="E413" s="76" t="str">
        <f>PA_prices!E401</f>
        <v>WPP</v>
      </c>
      <c r="F413" s="75" t="str">
        <f>PA_prices!F401</f>
        <v>GS20</v>
      </c>
      <c r="G413" s="76" t="str">
        <f>PA_prices!G401</f>
        <v>General Service</v>
      </c>
      <c r="H413" s="77" t="str">
        <f t="shared" ref="H413" si="396">IF($M$2="Prices in $/MWh","0-100 MWh","0-100,000 kWh")</f>
        <v>0-100 MWh</v>
      </c>
      <c r="I413" s="76">
        <f>(PA_prices!I401+$D$2)*IF($M$2="Prices in $/MWh",1,1/1000)</f>
        <v>70.069999999999993</v>
      </c>
      <c r="J413" s="75">
        <f>(PA_prices!J401+$D$2)*IF($M$2="Prices in $/MWh",1,1/1000)</f>
        <v>70.77</v>
      </c>
      <c r="K413" s="76">
        <f>(PA_prices!K401+$D$2)*IF($M$2="Prices in $/MWh",1,1/1000)</f>
        <v>71.72</v>
      </c>
      <c r="L413" s="75">
        <f>(PA_prices!L401+$D$2)*IF($M$2="Prices in $/MWh",1,1/1000)</f>
        <v>30.29</v>
      </c>
      <c r="M413" s="76">
        <f>(PA_prices!M401+$D$2)*IF($M$2="Prices in $/MWh",1,1/1000)</f>
        <v>31.13</v>
      </c>
      <c r="N413" s="75">
        <f>(PA_prices!N401+$D$2)*IF($M$2="Prices in $/MWh",1,1/1000)</f>
        <v>32.380000000000003</v>
      </c>
      <c r="O413" s="61"/>
    </row>
    <row r="414" spans="2:15" x14ac:dyDescent="0.25">
      <c r="B414" s="99" t="s">
        <v>647</v>
      </c>
      <c r="C414" s="78" t="str">
        <f>PA_prices!C402</f>
        <v>March-2016</v>
      </c>
      <c r="D414" s="79" t="str">
        <f>PA_prices!D402</f>
        <v>PA</v>
      </c>
      <c r="E414" s="80" t="str">
        <f>PA_prices!E402</f>
        <v>WPP</v>
      </c>
      <c r="F414" s="79" t="str">
        <f>PA_prices!F402</f>
        <v>GS20</v>
      </c>
      <c r="G414" s="80" t="str">
        <f>PA_prices!G402</f>
        <v>General Service</v>
      </c>
      <c r="H414" s="81" t="str">
        <f t="shared" ref="H414" si="397">IF($M$2="Prices in $/MWh","100-500 MWh","100,000-500,000 kWh")</f>
        <v>100-500 MWh</v>
      </c>
      <c r="I414" s="80">
        <f>(PA_prices!I402+$D$2)*IF($M$2="Prices in $/MWh",1,1/1000)</f>
        <v>68.47</v>
      </c>
      <c r="J414" s="79">
        <f>(PA_prices!J402+$D$2)*IF($M$2="Prices in $/MWh",1,1/1000)</f>
        <v>69.17</v>
      </c>
      <c r="K414" s="80">
        <f>(PA_prices!K402+$D$2)*IF($M$2="Prices in $/MWh",1,1/1000)</f>
        <v>70.12</v>
      </c>
      <c r="L414" s="79">
        <f>(PA_prices!L402+$D$2)*IF($M$2="Prices in $/MWh",1,1/1000)</f>
        <v>28.69</v>
      </c>
      <c r="M414" s="80">
        <f>(PA_prices!M402+$D$2)*IF($M$2="Prices in $/MWh",1,1/1000)</f>
        <v>29.53</v>
      </c>
      <c r="N414" s="79">
        <f>(PA_prices!N402+$D$2)*IF($M$2="Prices in $/MWh",1,1/1000)</f>
        <v>30.78</v>
      </c>
      <c r="O414" s="61"/>
    </row>
    <row r="415" spans="2:15" x14ac:dyDescent="0.25">
      <c r="B415" s="99" t="s">
        <v>647</v>
      </c>
      <c r="C415" s="82" t="str">
        <f>PA_prices!C403</f>
        <v>March-2016</v>
      </c>
      <c r="D415" s="83" t="str">
        <f>PA_prices!D403</f>
        <v>PA</v>
      </c>
      <c r="E415" s="84" t="str">
        <f>PA_prices!E403</f>
        <v>WPP</v>
      </c>
      <c r="F415" s="83" t="str">
        <f>PA_prices!F403</f>
        <v>GS20</v>
      </c>
      <c r="G415" s="84" t="str">
        <f>PA_prices!G403</f>
        <v>General Service</v>
      </c>
      <c r="H415" s="85" t="str">
        <f t="shared" ref="H415" si="398">IF($M$2="Prices in $/MWh","500-2500 MWh","500,000-2,500,000 kWh")</f>
        <v>500-2500 MWh</v>
      </c>
      <c r="I415" s="84">
        <f>(PA_prices!I403+$D$2)*IF($M$2="Prices in $/MWh",1,1/1000)</f>
        <v>67.42</v>
      </c>
      <c r="J415" s="83">
        <f>(PA_prices!J403+$D$2)*IF($M$2="Prices in $/MWh",1,1/1000)</f>
        <v>68.12</v>
      </c>
      <c r="K415" s="84">
        <f>(PA_prices!K403+$D$2)*IF($M$2="Prices in $/MWh",1,1/1000)</f>
        <v>69.069999999999993</v>
      </c>
      <c r="L415" s="83">
        <f>(PA_prices!L403+$D$2)*IF($M$2="Prices in $/MWh",1,1/1000)</f>
        <v>27.64</v>
      </c>
      <c r="M415" s="84">
        <f>(PA_prices!M403+$D$2)*IF($M$2="Prices in $/MWh",1,1/1000)</f>
        <v>28.48</v>
      </c>
      <c r="N415" s="83">
        <f>(PA_prices!N403+$D$2)*IF($M$2="Prices in $/MWh",1,1/1000)</f>
        <v>29.73</v>
      </c>
      <c r="O415" s="61"/>
    </row>
    <row r="416" spans="2:15" x14ac:dyDescent="0.25">
      <c r="B416" s="99" t="s">
        <v>647</v>
      </c>
      <c r="C416" s="74" t="str">
        <f>PA_prices!C404</f>
        <v>April-2016</v>
      </c>
      <c r="D416" s="75" t="str">
        <f>PA_prices!D404</f>
        <v>PA</v>
      </c>
      <c r="E416" s="76" t="str">
        <f>PA_prices!E404</f>
        <v>WPP</v>
      </c>
      <c r="F416" s="75" t="str">
        <f>PA_prices!F404</f>
        <v>GS20</v>
      </c>
      <c r="G416" s="76" t="str">
        <f>PA_prices!G404</f>
        <v>General Service</v>
      </c>
      <c r="H416" s="77" t="str">
        <f t="shared" ref="H416" si="399">IF($M$2="Prices in $/MWh","0-100 MWh","0-100,000 kWh")</f>
        <v>0-100 MWh</v>
      </c>
      <c r="I416" s="76">
        <f>(PA_prices!I404+$D$2)*IF($M$2="Prices in $/MWh",1,1/1000)</f>
        <v>70.02</v>
      </c>
      <c r="J416" s="75">
        <f>(PA_prices!J404+$D$2)*IF($M$2="Prices in $/MWh",1,1/1000)</f>
        <v>70.72</v>
      </c>
      <c r="K416" s="76">
        <f>(PA_prices!K404+$D$2)*IF($M$2="Prices in $/MWh",1,1/1000)</f>
        <v>71.92</v>
      </c>
      <c r="L416" s="75">
        <f>(PA_prices!L404+$D$2)*IF($M$2="Prices in $/MWh",1,1/1000)</f>
        <v>30.06</v>
      </c>
      <c r="M416" s="76">
        <f>(PA_prices!M404+$D$2)*IF($M$2="Prices in $/MWh",1,1/1000)</f>
        <v>31.35</v>
      </c>
      <c r="N416" s="75">
        <f>(PA_prices!N404+$D$2)*IF($M$2="Prices in $/MWh",1,1/1000)</f>
        <v>32.54</v>
      </c>
      <c r="O416" s="61"/>
    </row>
    <row r="417" spans="2:15" x14ac:dyDescent="0.25">
      <c r="B417" s="99" t="s">
        <v>647</v>
      </c>
      <c r="C417" s="78" t="str">
        <f>PA_prices!C405</f>
        <v>April-2016</v>
      </c>
      <c r="D417" s="79" t="str">
        <f>PA_prices!D405</f>
        <v>PA</v>
      </c>
      <c r="E417" s="80" t="str">
        <f>PA_prices!E405</f>
        <v>WPP</v>
      </c>
      <c r="F417" s="79" t="str">
        <f>PA_prices!F405</f>
        <v>GS20</v>
      </c>
      <c r="G417" s="80" t="str">
        <f>PA_prices!G405</f>
        <v>General Service</v>
      </c>
      <c r="H417" s="81" t="str">
        <f t="shared" ref="H417" si="400">IF($M$2="Prices in $/MWh","100-500 MWh","100,000-500,000 kWh")</f>
        <v>100-500 MWh</v>
      </c>
      <c r="I417" s="80">
        <f>(PA_prices!I405+$D$2)*IF($M$2="Prices in $/MWh",1,1/1000)</f>
        <v>68.42</v>
      </c>
      <c r="J417" s="79">
        <f>(PA_prices!J405+$D$2)*IF($M$2="Prices in $/MWh",1,1/1000)</f>
        <v>69.12</v>
      </c>
      <c r="K417" s="80">
        <f>(PA_prices!K405+$D$2)*IF($M$2="Prices in $/MWh",1,1/1000)</f>
        <v>70.319999999999993</v>
      </c>
      <c r="L417" s="79">
        <f>(PA_prices!L405+$D$2)*IF($M$2="Prices in $/MWh",1,1/1000)</f>
        <v>28.46</v>
      </c>
      <c r="M417" s="80">
        <f>(PA_prices!M405+$D$2)*IF($M$2="Prices in $/MWh",1,1/1000)</f>
        <v>29.75</v>
      </c>
      <c r="N417" s="79">
        <f>(PA_prices!N405+$D$2)*IF($M$2="Prices in $/MWh",1,1/1000)</f>
        <v>30.94</v>
      </c>
      <c r="O417" s="61"/>
    </row>
    <row r="418" spans="2:15" x14ac:dyDescent="0.25">
      <c r="B418" s="99" t="s">
        <v>647</v>
      </c>
      <c r="C418" s="82" t="str">
        <f>PA_prices!C406</f>
        <v>April-2016</v>
      </c>
      <c r="D418" s="83" t="str">
        <f>PA_prices!D406</f>
        <v>PA</v>
      </c>
      <c r="E418" s="84" t="str">
        <f>PA_prices!E406</f>
        <v>WPP</v>
      </c>
      <c r="F418" s="83" t="str">
        <f>PA_prices!F406</f>
        <v>GS20</v>
      </c>
      <c r="G418" s="84" t="str">
        <f>PA_prices!G406</f>
        <v>General Service</v>
      </c>
      <c r="H418" s="85" t="str">
        <f t="shared" ref="H418" si="401">IF($M$2="Prices in $/MWh","500-2500 MWh","500,000-2,500,000 kWh")</f>
        <v>500-2500 MWh</v>
      </c>
      <c r="I418" s="84">
        <f>(PA_prices!I406+$D$2)*IF($M$2="Prices in $/MWh",1,1/1000)</f>
        <v>67.37</v>
      </c>
      <c r="J418" s="83">
        <f>(PA_prices!J406+$D$2)*IF($M$2="Prices in $/MWh",1,1/1000)</f>
        <v>68.069999999999993</v>
      </c>
      <c r="K418" s="84">
        <f>(PA_prices!K406+$D$2)*IF($M$2="Prices in $/MWh",1,1/1000)</f>
        <v>69.27</v>
      </c>
      <c r="L418" s="83">
        <f>(PA_prices!L406+$D$2)*IF($M$2="Prices in $/MWh",1,1/1000)</f>
        <v>27.41</v>
      </c>
      <c r="M418" s="84">
        <f>(PA_prices!M406+$D$2)*IF($M$2="Prices in $/MWh",1,1/1000)</f>
        <v>28.7</v>
      </c>
      <c r="N418" s="83">
        <f>(PA_prices!N406+$D$2)*IF($M$2="Prices in $/MWh",1,1/1000)</f>
        <v>29.89</v>
      </c>
      <c r="O418" s="61"/>
    </row>
    <row r="419" spans="2:15" x14ac:dyDescent="0.25">
      <c r="B419" s="99" t="s">
        <v>647</v>
      </c>
      <c r="C419" s="74" t="str">
        <f>PA_prices!C407</f>
        <v>May-2016</v>
      </c>
      <c r="D419" s="75" t="str">
        <f>PA_prices!D407</f>
        <v>PA</v>
      </c>
      <c r="E419" s="76" t="str">
        <f>PA_prices!E407</f>
        <v>WPP</v>
      </c>
      <c r="F419" s="75" t="str">
        <f>PA_prices!F407</f>
        <v>GS20</v>
      </c>
      <c r="G419" s="76" t="str">
        <f>PA_prices!G407</f>
        <v>General Service</v>
      </c>
      <c r="H419" s="77" t="str">
        <f t="shared" ref="H419" si="402">IF($M$2="Prices in $/MWh","0-100 MWh","0-100,000 kWh")</f>
        <v>0-100 MWh</v>
      </c>
      <c r="I419" s="76">
        <f>(PA_prices!I407+$D$2)*IF($M$2="Prices in $/MWh",1,1/1000)</f>
        <v>69.87</v>
      </c>
      <c r="J419" s="75">
        <f>(PA_prices!J407+$D$2)*IF($M$2="Prices in $/MWh",1,1/1000)</f>
        <v>70.72</v>
      </c>
      <c r="K419" s="76">
        <f>(PA_prices!K407+$D$2)*IF($M$2="Prices in $/MWh",1,1/1000)</f>
        <v>72.06</v>
      </c>
      <c r="L419" s="75">
        <f>(PA_prices!L407+$D$2)*IF($M$2="Prices in $/MWh",1,1/1000)</f>
        <v>29.84</v>
      </c>
      <c r="M419" s="76">
        <f>(PA_prices!M407+$D$2)*IF($M$2="Prices in $/MWh",1,1/1000)</f>
        <v>31.57</v>
      </c>
      <c r="N419" s="75">
        <f>(PA_prices!N407+$D$2)*IF($M$2="Prices in $/MWh",1,1/1000)</f>
        <v>32.69</v>
      </c>
      <c r="O419" s="61"/>
    </row>
    <row r="420" spans="2:15" x14ac:dyDescent="0.25">
      <c r="B420" s="99" t="s">
        <v>647</v>
      </c>
      <c r="C420" s="78" t="str">
        <f>PA_prices!C408</f>
        <v>May-2016</v>
      </c>
      <c r="D420" s="79" t="str">
        <f>PA_prices!D408</f>
        <v>PA</v>
      </c>
      <c r="E420" s="80" t="str">
        <f>PA_prices!E408</f>
        <v>WPP</v>
      </c>
      <c r="F420" s="79" t="str">
        <f>PA_prices!F408</f>
        <v>GS20</v>
      </c>
      <c r="G420" s="80" t="str">
        <f>PA_prices!G408</f>
        <v>General Service</v>
      </c>
      <c r="H420" s="81" t="str">
        <f t="shared" ref="H420" si="403">IF($M$2="Prices in $/MWh","100-500 MWh","100,000-500,000 kWh")</f>
        <v>100-500 MWh</v>
      </c>
      <c r="I420" s="80">
        <f>(PA_prices!I408+$D$2)*IF($M$2="Prices in $/MWh",1,1/1000)</f>
        <v>68.27</v>
      </c>
      <c r="J420" s="79">
        <f>(PA_prices!J408+$D$2)*IF($M$2="Prices in $/MWh",1,1/1000)</f>
        <v>69.12</v>
      </c>
      <c r="K420" s="80">
        <f>(PA_prices!K408+$D$2)*IF($M$2="Prices in $/MWh",1,1/1000)</f>
        <v>70.459999999999994</v>
      </c>
      <c r="L420" s="79">
        <f>(PA_prices!L408+$D$2)*IF($M$2="Prices in $/MWh",1,1/1000)</f>
        <v>28.24</v>
      </c>
      <c r="M420" s="80">
        <f>(PA_prices!M408+$D$2)*IF($M$2="Prices in $/MWh",1,1/1000)</f>
        <v>29.97</v>
      </c>
      <c r="N420" s="79">
        <f>(PA_prices!N408+$D$2)*IF($M$2="Prices in $/MWh",1,1/1000)</f>
        <v>31.09</v>
      </c>
      <c r="O420" s="61"/>
    </row>
    <row r="421" spans="2:15" x14ac:dyDescent="0.25">
      <c r="B421" s="99" t="s">
        <v>647</v>
      </c>
      <c r="C421" s="82" t="str">
        <f>PA_prices!C409</f>
        <v>May-2016</v>
      </c>
      <c r="D421" s="83" t="str">
        <f>PA_prices!D409</f>
        <v>PA</v>
      </c>
      <c r="E421" s="84" t="str">
        <f>PA_prices!E409</f>
        <v>WPP</v>
      </c>
      <c r="F421" s="83" t="str">
        <f>PA_prices!F409</f>
        <v>GS20</v>
      </c>
      <c r="G421" s="84" t="str">
        <f>PA_prices!G409</f>
        <v>General Service</v>
      </c>
      <c r="H421" s="85" t="str">
        <f t="shared" ref="H421" si="404">IF($M$2="Prices in $/MWh","500-2500 MWh","500,000-2,500,000 kWh")</f>
        <v>500-2500 MWh</v>
      </c>
      <c r="I421" s="84">
        <f>(PA_prices!I409+$D$2)*IF($M$2="Prices in $/MWh",1,1/1000)</f>
        <v>67.22</v>
      </c>
      <c r="J421" s="83">
        <f>(PA_prices!J409+$D$2)*IF($M$2="Prices in $/MWh",1,1/1000)</f>
        <v>68.069999999999993</v>
      </c>
      <c r="K421" s="84">
        <f>(PA_prices!K409+$D$2)*IF($M$2="Prices in $/MWh",1,1/1000)</f>
        <v>69.41</v>
      </c>
      <c r="L421" s="83">
        <f>(PA_prices!L409+$D$2)*IF($M$2="Prices in $/MWh",1,1/1000)</f>
        <v>27.19</v>
      </c>
      <c r="M421" s="84">
        <f>(PA_prices!M409+$D$2)*IF($M$2="Prices in $/MWh",1,1/1000)</f>
        <v>28.92</v>
      </c>
      <c r="N421" s="83">
        <f>(PA_prices!N409+$D$2)*IF($M$2="Prices in $/MWh",1,1/1000)</f>
        <v>30.04</v>
      </c>
      <c r="O421" s="61"/>
    </row>
    <row r="422" spans="2:15" x14ac:dyDescent="0.25">
      <c r="B422" s="99" t="s">
        <v>647</v>
      </c>
      <c r="C422" s="74" t="str">
        <f>PA_prices!C410</f>
        <v>June-2016</v>
      </c>
      <c r="D422" s="75" t="str">
        <f>PA_prices!D410</f>
        <v>PA</v>
      </c>
      <c r="E422" s="76" t="str">
        <f>PA_prices!E410</f>
        <v>WPP</v>
      </c>
      <c r="F422" s="75" t="str">
        <f>PA_prices!F410</f>
        <v>GS20</v>
      </c>
      <c r="G422" s="76" t="str">
        <f>PA_prices!G410</f>
        <v>General Service</v>
      </c>
      <c r="H422" s="77" t="str">
        <f t="shared" ref="H422" si="405">IF($M$2="Prices in $/MWh","0-100 MWh","0-100,000 kWh")</f>
        <v>0-100 MWh</v>
      </c>
      <c r="I422" s="76">
        <f>(PA_prices!I410+$D$2)*IF($M$2="Prices in $/MWh",1,1/1000)</f>
        <v>69.62</v>
      </c>
      <c r="J422" s="75">
        <f>(PA_prices!J410+$D$2)*IF($M$2="Prices in $/MWh",1,1/1000)</f>
        <v>70.680000000000007</v>
      </c>
      <c r="K422" s="76">
        <f>(PA_prices!K410+$D$2)*IF($M$2="Prices in $/MWh",1,1/1000)</f>
        <v>72.2</v>
      </c>
      <c r="L422" s="75">
        <f>(PA_prices!L410+$D$2)*IF($M$2="Prices in $/MWh",1,1/1000)</f>
        <v>29.57</v>
      </c>
      <c r="M422" s="76">
        <f>(PA_prices!M410+$D$2)*IF($M$2="Prices in $/MWh",1,1/1000)</f>
        <v>31.69</v>
      </c>
      <c r="N422" s="75">
        <f>(PA_prices!N410+$D$2)*IF($M$2="Prices in $/MWh",1,1/1000)</f>
        <v>32.83</v>
      </c>
      <c r="O422" s="61"/>
    </row>
    <row r="423" spans="2:15" x14ac:dyDescent="0.25">
      <c r="B423" s="99" t="s">
        <v>647</v>
      </c>
      <c r="C423" s="78" t="str">
        <f>PA_prices!C411</f>
        <v>June-2016</v>
      </c>
      <c r="D423" s="79" t="str">
        <f>PA_prices!D411</f>
        <v>PA</v>
      </c>
      <c r="E423" s="80" t="str">
        <f>PA_prices!E411</f>
        <v>WPP</v>
      </c>
      <c r="F423" s="79" t="str">
        <f>PA_prices!F411</f>
        <v>GS20</v>
      </c>
      <c r="G423" s="80" t="str">
        <f>PA_prices!G411</f>
        <v>General Service</v>
      </c>
      <c r="H423" s="81" t="str">
        <f t="shared" ref="H423" si="406">IF($M$2="Prices in $/MWh","100-500 MWh","100,000-500,000 kWh")</f>
        <v>100-500 MWh</v>
      </c>
      <c r="I423" s="80">
        <f>(PA_prices!I411+$D$2)*IF($M$2="Prices in $/MWh",1,1/1000)</f>
        <v>68.02</v>
      </c>
      <c r="J423" s="79">
        <f>(PA_prices!J411+$D$2)*IF($M$2="Prices in $/MWh",1,1/1000)</f>
        <v>69.08</v>
      </c>
      <c r="K423" s="80">
        <f>(PA_prices!K411+$D$2)*IF($M$2="Prices in $/MWh",1,1/1000)</f>
        <v>70.599999999999994</v>
      </c>
      <c r="L423" s="79">
        <f>(PA_prices!L411+$D$2)*IF($M$2="Prices in $/MWh",1,1/1000)</f>
        <v>27.97</v>
      </c>
      <c r="M423" s="80">
        <f>(PA_prices!M411+$D$2)*IF($M$2="Prices in $/MWh",1,1/1000)</f>
        <v>30.09</v>
      </c>
      <c r="N423" s="79">
        <f>(PA_prices!N411+$D$2)*IF($M$2="Prices in $/MWh",1,1/1000)</f>
        <v>31.23</v>
      </c>
      <c r="O423" s="61"/>
    </row>
    <row r="424" spans="2:15" x14ac:dyDescent="0.25">
      <c r="B424" s="99" t="s">
        <v>647</v>
      </c>
      <c r="C424" s="82" t="str">
        <f>PA_prices!C412</f>
        <v>June-2016</v>
      </c>
      <c r="D424" s="83" t="str">
        <f>PA_prices!D412</f>
        <v>PA</v>
      </c>
      <c r="E424" s="84" t="str">
        <f>PA_prices!E412</f>
        <v>WPP</v>
      </c>
      <c r="F424" s="83" t="str">
        <f>PA_prices!F412</f>
        <v>GS20</v>
      </c>
      <c r="G424" s="84" t="str">
        <f>PA_prices!G412</f>
        <v>General Service</v>
      </c>
      <c r="H424" s="85" t="str">
        <f t="shared" ref="H424" si="407">IF($M$2="Prices in $/MWh","500-2500 MWh","500,000-2,500,000 kWh")</f>
        <v>500-2500 MWh</v>
      </c>
      <c r="I424" s="84">
        <f>(PA_prices!I412+$D$2)*IF($M$2="Prices in $/MWh",1,1/1000)</f>
        <v>66.97</v>
      </c>
      <c r="J424" s="83">
        <f>(PA_prices!J412+$D$2)*IF($M$2="Prices in $/MWh",1,1/1000)</f>
        <v>68.03</v>
      </c>
      <c r="K424" s="84">
        <f>(PA_prices!K412+$D$2)*IF($M$2="Prices in $/MWh",1,1/1000)</f>
        <v>69.55</v>
      </c>
      <c r="L424" s="83">
        <f>(PA_prices!L412+$D$2)*IF($M$2="Prices in $/MWh",1,1/1000)</f>
        <v>26.92</v>
      </c>
      <c r="M424" s="84">
        <f>(PA_prices!M412+$D$2)*IF($M$2="Prices in $/MWh",1,1/1000)</f>
        <v>29.04</v>
      </c>
      <c r="N424" s="83">
        <f>(PA_prices!N412+$D$2)*IF($M$2="Prices in $/MWh",1,1/1000)</f>
        <v>30.18</v>
      </c>
      <c r="O424" s="61"/>
    </row>
    <row r="425" spans="2:15" x14ac:dyDescent="0.25">
      <c r="B425" s="99" t="s">
        <v>647</v>
      </c>
      <c r="C425" s="74" t="str">
        <f>PA_prices!C413</f>
        <v>July-2016</v>
      </c>
      <c r="D425" s="75" t="str">
        <f>PA_prices!D413</f>
        <v>PA</v>
      </c>
      <c r="E425" s="76" t="str">
        <f>PA_prices!E413</f>
        <v>WPP</v>
      </c>
      <c r="F425" s="75" t="str">
        <f>PA_prices!F413</f>
        <v>GS20</v>
      </c>
      <c r="G425" s="76" t="str">
        <f>PA_prices!G413</f>
        <v>General Service</v>
      </c>
      <c r="H425" s="77" t="str">
        <f t="shared" ref="H425" si="408">IF($M$2="Prices in $/MWh","0-100 MWh","0-100,000 kWh")</f>
        <v>0-100 MWh</v>
      </c>
      <c r="I425" s="76">
        <f>(PA_prices!I413+$D$2)*IF($M$2="Prices in $/MWh",1,1/1000)</f>
        <v>70.11</v>
      </c>
      <c r="J425" s="75">
        <f>(PA_prices!J413+$D$2)*IF($M$2="Prices in $/MWh",1,1/1000)</f>
        <v>70.95</v>
      </c>
      <c r="K425" s="76">
        <f>(PA_prices!K413+$D$2)*IF($M$2="Prices in $/MWh",1,1/1000)</f>
        <v>72.459999999999994</v>
      </c>
      <c r="L425" s="75">
        <f>(PA_prices!L413+$D$2)*IF($M$2="Prices in $/MWh",1,1/1000)</f>
        <v>30.11</v>
      </c>
      <c r="M425" s="76">
        <f>(PA_prices!M413+$D$2)*IF($M$2="Prices in $/MWh",1,1/1000)</f>
        <v>32.14</v>
      </c>
      <c r="N425" s="75">
        <f>(PA_prices!N413+$D$2)*IF($M$2="Prices in $/MWh",1,1/1000)</f>
        <v>33.19</v>
      </c>
      <c r="O425" s="61"/>
    </row>
    <row r="426" spans="2:15" x14ac:dyDescent="0.25">
      <c r="B426" s="99" t="s">
        <v>647</v>
      </c>
      <c r="C426" s="78" t="str">
        <f>PA_prices!C414</f>
        <v>July-2016</v>
      </c>
      <c r="D426" s="79" t="str">
        <f>PA_prices!D414</f>
        <v>PA</v>
      </c>
      <c r="E426" s="80" t="str">
        <f>PA_prices!E414</f>
        <v>WPP</v>
      </c>
      <c r="F426" s="79" t="str">
        <f>PA_prices!F414</f>
        <v>GS20</v>
      </c>
      <c r="G426" s="80" t="str">
        <f>PA_prices!G414</f>
        <v>General Service</v>
      </c>
      <c r="H426" s="81" t="str">
        <f t="shared" ref="H426" si="409">IF($M$2="Prices in $/MWh","100-500 MWh","100,000-500,000 kWh")</f>
        <v>100-500 MWh</v>
      </c>
      <c r="I426" s="80">
        <f>(PA_prices!I414+$D$2)*IF($M$2="Prices in $/MWh",1,1/1000)</f>
        <v>68.510000000000005</v>
      </c>
      <c r="J426" s="79">
        <f>(PA_prices!J414+$D$2)*IF($M$2="Prices in $/MWh",1,1/1000)</f>
        <v>69.349999999999994</v>
      </c>
      <c r="K426" s="80">
        <f>(PA_prices!K414+$D$2)*IF($M$2="Prices in $/MWh",1,1/1000)</f>
        <v>70.86</v>
      </c>
      <c r="L426" s="79">
        <f>(PA_prices!L414+$D$2)*IF($M$2="Prices in $/MWh",1,1/1000)</f>
        <v>28.51</v>
      </c>
      <c r="M426" s="80">
        <f>(PA_prices!M414+$D$2)*IF($M$2="Prices in $/MWh",1,1/1000)</f>
        <v>30.54</v>
      </c>
      <c r="N426" s="79">
        <f>(PA_prices!N414+$D$2)*IF($M$2="Prices in $/MWh",1,1/1000)</f>
        <v>31.59</v>
      </c>
      <c r="O426" s="61"/>
    </row>
    <row r="427" spans="2:15" x14ac:dyDescent="0.25">
      <c r="B427" s="99" t="s">
        <v>647</v>
      </c>
      <c r="C427" s="82" t="str">
        <f>PA_prices!C415</f>
        <v>July-2016</v>
      </c>
      <c r="D427" s="83" t="str">
        <f>PA_prices!D415</f>
        <v>PA</v>
      </c>
      <c r="E427" s="84" t="str">
        <f>PA_prices!E415</f>
        <v>WPP</v>
      </c>
      <c r="F427" s="83" t="str">
        <f>PA_prices!F415</f>
        <v>GS20</v>
      </c>
      <c r="G427" s="84" t="str">
        <f>PA_prices!G415</f>
        <v>General Service</v>
      </c>
      <c r="H427" s="85" t="str">
        <f t="shared" ref="H427" si="410">IF($M$2="Prices in $/MWh","500-2500 MWh","500,000-2,500,000 kWh")</f>
        <v>500-2500 MWh</v>
      </c>
      <c r="I427" s="84">
        <f>(PA_prices!I415+$D$2)*IF($M$2="Prices in $/MWh",1,1/1000)</f>
        <v>67.459999999999994</v>
      </c>
      <c r="J427" s="83">
        <f>(PA_prices!J415+$D$2)*IF($M$2="Prices in $/MWh",1,1/1000)</f>
        <v>68.3</v>
      </c>
      <c r="K427" s="84">
        <f>(PA_prices!K415+$D$2)*IF($M$2="Prices in $/MWh",1,1/1000)</f>
        <v>69.81</v>
      </c>
      <c r="L427" s="83">
        <f>(PA_prices!L415+$D$2)*IF($M$2="Prices in $/MWh",1,1/1000)</f>
        <v>27.46</v>
      </c>
      <c r="M427" s="84">
        <f>(PA_prices!M415+$D$2)*IF($M$2="Prices in $/MWh",1,1/1000)</f>
        <v>29.49</v>
      </c>
      <c r="N427" s="83">
        <f>(PA_prices!N415+$D$2)*IF($M$2="Prices in $/MWh",1,1/1000)</f>
        <v>30.54</v>
      </c>
      <c r="O427" s="61"/>
    </row>
    <row r="428" spans="2:15" x14ac:dyDescent="0.25">
      <c r="B428" s="99" t="s">
        <v>647</v>
      </c>
      <c r="C428" s="74" t="str">
        <f>PA_prices!C416</f>
        <v>August-2016</v>
      </c>
      <c r="D428" s="75" t="str">
        <f>PA_prices!D416</f>
        <v>PA</v>
      </c>
      <c r="E428" s="76" t="str">
        <f>PA_prices!E416</f>
        <v>WPP</v>
      </c>
      <c r="F428" s="75" t="str">
        <f>PA_prices!F416</f>
        <v>GS20</v>
      </c>
      <c r="G428" s="76" t="str">
        <f>PA_prices!G416</f>
        <v>General Service</v>
      </c>
      <c r="H428" s="77" t="str">
        <f t="shared" ref="H428" si="411">IF($M$2="Prices in $/MWh","0-100 MWh","0-100,000 kWh")</f>
        <v>0-100 MWh</v>
      </c>
      <c r="I428" s="76">
        <f>(PA_prices!I416+$D$2)*IF($M$2="Prices in $/MWh",1,1/1000)</f>
        <v>70.59</v>
      </c>
      <c r="J428" s="75">
        <f>(PA_prices!J416+$D$2)*IF($M$2="Prices in $/MWh",1,1/1000)</f>
        <v>71.61</v>
      </c>
      <c r="K428" s="76">
        <f>(PA_prices!K416+$D$2)*IF($M$2="Prices in $/MWh",1,1/1000)</f>
        <v>72.819999999999993</v>
      </c>
      <c r="L428" s="75">
        <f>(PA_prices!L416+$D$2)*IF($M$2="Prices in $/MWh",1,1/1000)</f>
        <v>30.7</v>
      </c>
      <c r="M428" s="76">
        <f>(PA_prices!M416+$D$2)*IF($M$2="Prices in $/MWh",1,1/1000)</f>
        <v>32.53</v>
      </c>
      <c r="N428" s="75">
        <f>(PA_prices!N416+$D$2)*IF($M$2="Prices in $/MWh",1,1/1000)</f>
        <v>33.58</v>
      </c>
      <c r="O428" s="61"/>
    </row>
    <row r="429" spans="2:15" x14ac:dyDescent="0.25">
      <c r="B429" s="99" t="s">
        <v>647</v>
      </c>
      <c r="C429" s="78" t="str">
        <f>PA_prices!C417</f>
        <v>August-2016</v>
      </c>
      <c r="D429" s="79" t="str">
        <f>PA_prices!D417</f>
        <v>PA</v>
      </c>
      <c r="E429" s="80" t="str">
        <f>PA_prices!E417</f>
        <v>WPP</v>
      </c>
      <c r="F429" s="79" t="str">
        <f>PA_prices!F417</f>
        <v>GS20</v>
      </c>
      <c r="G429" s="80" t="str">
        <f>PA_prices!G417</f>
        <v>General Service</v>
      </c>
      <c r="H429" s="81" t="str">
        <f t="shared" ref="H429" si="412">IF($M$2="Prices in $/MWh","100-500 MWh","100,000-500,000 kWh")</f>
        <v>100-500 MWh</v>
      </c>
      <c r="I429" s="80">
        <f>(PA_prices!I417+$D$2)*IF($M$2="Prices in $/MWh",1,1/1000)</f>
        <v>68.989999999999995</v>
      </c>
      <c r="J429" s="79">
        <f>(PA_prices!J417+$D$2)*IF($M$2="Prices in $/MWh",1,1/1000)</f>
        <v>70.010000000000005</v>
      </c>
      <c r="K429" s="80">
        <f>(PA_prices!K417+$D$2)*IF($M$2="Prices in $/MWh",1,1/1000)</f>
        <v>71.22</v>
      </c>
      <c r="L429" s="79">
        <f>(PA_prices!L417+$D$2)*IF($M$2="Prices in $/MWh",1,1/1000)</f>
        <v>29.1</v>
      </c>
      <c r="M429" s="80">
        <f>(PA_prices!M417+$D$2)*IF($M$2="Prices in $/MWh",1,1/1000)</f>
        <v>30.93</v>
      </c>
      <c r="N429" s="79">
        <f>(PA_prices!N417+$D$2)*IF($M$2="Prices in $/MWh",1,1/1000)</f>
        <v>31.98</v>
      </c>
      <c r="O429" s="61"/>
    </row>
    <row r="430" spans="2:15" x14ac:dyDescent="0.25">
      <c r="B430" s="99" t="s">
        <v>647</v>
      </c>
      <c r="C430" s="82" t="str">
        <f>PA_prices!C418</f>
        <v>August-2016</v>
      </c>
      <c r="D430" s="83" t="str">
        <f>PA_prices!D418</f>
        <v>PA</v>
      </c>
      <c r="E430" s="84" t="str">
        <f>PA_prices!E418</f>
        <v>WPP</v>
      </c>
      <c r="F430" s="83" t="str">
        <f>PA_prices!F418</f>
        <v>GS20</v>
      </c>
      <c r="G430" s="84" t="str">
        <f>PA_prices!G418</f>
        <v>General Service</v>
      </c>
      <c r="H430" s="85" t="str">
        <f t="shared" ref="H430" si="413">IF($M$2="Prices in $/MWh","500-2500 MWh","500,000-2,500,000 kWh")</f>
        <v>500-2500 MWh</v>
      </c>
      <c r="I430" s="84">
        <f>(PA_prices!I418+$D$2)*IF($M$2="Prices in $/MWh",1,1/1000)</f>
        <v>67.94</v>
      </c>
      <c r="J430" s="83">
        <f>(PA_prices!J418+$D$2)*IF($M$2="Prices in $/MWh",1,1/1000)</f>
        <v>68.959999999999994</v>
      </c>
      <c r="K430" s="84">
        <f>(PA_prices!K418+$D$2)*IF($M$2="Prices in $/MWh",1,1/1000)</f>
        <v>70.17</v>
      </c>
      <c r="L430" s="83">
        <f>(PA_prices!L418+$D$2)*IF($M$2="Prices in $/MWh",1,1/1000)</f>
        <v>28.05</v>
      </c>
      <c r="M430" s="84">
        <f>(PA_prices!M418+$D$2)*IF($M$2="Prices in $/MWh",1,1/1000)</f>
        <v>29.88</v>
      </c>
      <c r="N430" s="83">
        <f>(PA_prices!N418+$D$2)*IF($M$2="Prices in $/MWh",1,1/1000)</f>
        <v>30.93</v>
      </c>
      <c r="O430" s="61"/>
    </row>
    <row r="431" spans="2:15" x14ac:dyDescent="0.25">
      <c r="B431" s="99" t="s">
        <v>647</v>
      </c>
      <c r="C431" s="74" t="str">
        <f>PA_prices!C419</f>
        <v>September-2016</v>
      </c>
      <c r="D431" s="75" t="str">
        <f>PA_prices!D419</f>
        <v>PA</v>
      </c>
      <c r="E431" s="76" t="str">
        <f>PA_prices!E419</f>
        <v>WPP</v>
      </c>
      <c r="F431" s="75" t="str">
        <f>PA_prices!F419</f>
        <v>GS20</v>
      </c>
      <c r="G431" s="76" t="str">
        <f>PA_prices!G419</f>
        <v>General Service</v>
      </c>
      <c r="H431" s="77" t="str">
        <f t="shared" ref="H431" si="414">IF($M$2="Prices in $/MWh","0-100 MWh","0-100,000 kWh")</f>
        <v>0-100 MWh</v>
      </c>
      <c r="I431" s="76">
        <f>(PA_prices!I419+$D$2)*IF($M$2="Prices in $/MWh",1,1/1000)</f>
        <v>70.989999999999995</v>
      </c>
      <c r="J431" s="75">
        <f>(PA_prices!J419+$D$2)*IF($M$2="Prices in $/MWh",1,1/1000)</f>
        <v>72.19</v>
      </c>
      <c r="K431" s="76">
        <f>(PA_prices!K419+$D$2)*IF($M$2="Prices in $/MWh",1,1/1000)</f>
        <v>73.099999999999994</v>
      </c>
      <c r="L431" s="75">
        <f>(PA_prices!L419+$D$2)*IF($M$2="Prices in $/MWh",1,1/1000)</f>
        <v>31.25</v>
      </c>
      <c r="M431" s="76">
        <f>(PA_prices!M419+$D$2)*IF($M$2="Prices in $/MWh",1,1/1000)</f>
        <v>32.89</v>
      </c>
      <c r="N431" s="75">
        <f>(PA_prices!N419+$D$2)*IF($M$2="Prices in $/MWh",1,1/1000)</f>
        <v>33.950000000000003</v>
      </c>
      <c r="O431" s="61"/>
    </row>
    <row r="432" spans="2:15" x14ac:dyDescent="0.25">
      <c r="B432" s="99" t="s">
        <v>647</v>
      </c>
      <c r="C432" s="78" t="str">
        <f>PA_prices!C420</f>
        <v>September-2016</v>
      </c>
      <c r="D432" s="79" t="str">
        <f>PA_prices!D420</f>
        <v>PA</v>
      </c>
      <c r="E432" s="80" t="str">
        <f>PA_prices!E420</f>
        <v>WPP</v>
      </c>
      <c r="F432" s="79" t="str">
        <f>PA_prices!F420</f>
        <v>GS20</v>
      </c>
      <c r="G432" s="80" t="str">
        <f>PA_prices!G420</f>
        <v>General Service</v>
      </c>
      <c r="H432" s="81" t="str">
        <f t="shared" ref="H432" si="415">IF($M$2="Prices in $/MWh","100-500 MWh","100,000-500,000 kWh")</f>
        <v>100-500 MWh</v>
      </c>
      <c r="I432" s="80">
        <f>(PA_prices!I420+$D$2)*IF($M$2="Prices in $/MWh",1,1/1000)</f>
        <v>69.39</v>
      </c>
      <c r="J432" s="79">
        <f>(PA_prices!J420+$D$2)*IF($M$2="Prices in $/MWh",1,1/1000)</f>
        <v>70.59</v>
      </c>
      <c r="K432" s="80">
        <f>(PA_prices!K420+$D$2)*IF($M$2="Prices in $/MWh",1,1/1000)</f>
        <v>71.5</v>
      </c>
      <c r="L432" s="79">
        <f>(PA_prices!L420+$D$2)*IF($M$2="Prices in $/MWh",1,1/1000)</f>
        <v>29.65</v>
      </c>
      <c r="M432" s="80">
        <f>(PA_prices!M420+$D$2)*IF($M$2="Prices in $/MWh",1,1/1000)</f>
        <v>31.29</v>
      </c>
      <c r="N432" s="79">
        <f>(PA_prices!N420+$D$2)*IF($M$2="Prices in $/MWh",1,1/1000)</f>
        <v>32.35</v>
      </c>
      <c r="O432" s="61"/>
    </row>
    <row r="433" spans="2:15" x14ac:dyDescent="0.25">
      <c r="B433" s="99" t="s">
        <v>647</v>
      </c>
      <c r="C433" s="82" t="str">
        <f>PA_prices!C421</f>
        <v>September-2016</v>
      </c>
      <c r="D433" s="83" t="str">
        <f>PA_prices!D421</f>
        <v>PA</v>
      </c>
      <c r="E433" s="84" t="str">
        <f>PA_prices!E421</f>
        <v>WPP</v>
      </c>
      <c r="F433" s="83" t="str">
        <f>PA_prices!F421</f>
        <v>GS20</v>
      </c>
      <c r="G433" s="84" t="str">
        <f>PA_prices!G421</f>
        <v>General Service</v>
      </c>
      <c r="H433" s="85" t="str">
        <f t="shared" ref="H433" si="416">IF($M$2="Prices in $/MWh","500-2500 MWh","500,000-2,500,000 kWh")</f>
        <v>500-2500 MWh</v>
      </c>
      <c r="I433" s="84">
        <f>(PA_prices!I421+$D$2)*IF($M$2="Prices in $/MWh",1,1/1000)</f>
        <v>68.34</v>
      </c>
      <c r="J433" s="83">
        <f>(PA_prices!J421+$D$2)*IF($M$2="Prices in $/MWh",1,1/1000)</f>
        <v>69.540000000000006</v>
      </c>
      <c r="K433" s="84">
        <f>(PA_prices!K421+$D$2)*IF($M$2="Prices in $/MWh",1,1/1000)</f>
        <v>70.45</v>
      </c>
      <c r="L433" s="83">
        <f>(PA_prices!L421+$D$2)*IF($M$2="Prices in $/MWh",1,1/1000)</f>
        <v>28.6</v>
      </c>
      <c r="M433" s="84">
        <f>(PA_prices!M421+$D$2)*IF($M$2="Prices in $/MWh",1,1/1000)</f>
        <v>30.24</v>
      </c>
      <c r="N433" s="83">
        <f>(PA_prices!N421+$D$2)*IF($M$2="Prices in $/MWh",1,1/1000)</f>
        <v>31.3</v>
      </c>
      <c r="O433" s="61"/>
    </row>
    <row r="434" spans="2:15" x14ac:dyDescent="0.25">
      <c r="B434" s="99" t="s">
        <v>647</v>
      </c>
      <c r="C434" s="74" t="str">
        <f>PA_prices!C422</f>
        <v>October-2016</v>
      </c>
      <c r="D434" s="75" t="str">
        <f>PA_prices!D422</f>
        <v>PA</v>
      </c>
      <c r="E434" s="76" t="str">
        <f>PA_prices!E422</f>
        <v>WPP</v>
      </c>
      <c r="F434" s="75" t="str">
        <f>PA_prices!F422</f>
        <v>GS20</v>
      </c>
      <c r="G434" s="76" t="str">
        <f>PA_prices!G422</f>
        <v>General Service</v>
      </c>
      <c r="H434" s="77" t="str">
        <f t="shared" ref="H434" si="417">IF($M$2="Prices in $/MWh","0-100 MWh","0-100,000 kWh")</f>
        <v>0-100 MWh</v>
      </c>
      <c r="I434" s="76">
        <f>(PA_prices!I422+$D$2)*IF($M$2="Prices in $/MWh",1,1/1000)</f>
        <v>71.430000000000007</v>
      </c>
      <c r="J434" s="75">
        <f>(PA_prices!J422+$D$2)*IF($M$2="Prices in $/MWh",1,1/1000)</f>
        <v>72.819999999999993</v>
      </c>
      <c r="K434" s="76">
        <f>(PA_prices!K422+$D$2)*IF($M$2="Prices in $/MWh",1,1/1000)</f>
        <v>73.36</v>
      </c>
      <c r="L434" s="75">
        <f>(PA_prices!L422+$D$2)*IF($M$2="Prices in $/MWh",1,1/1000)</f>
        <v>31.79</v>
      </c>
      <c r="M434" s="76">
        <f>(PA_prices!M422+$D$2)*IF($M$2="Prices in $/MWh",1,1/1000)</f>
        <v>33.24</v>
      </c>
      <c r="N434" s="75">
        <f>(PA_prices!N422+$D$2)*IF($M$2="Prices in $/MWh",1,1/1000)</f>
        <v>34.32</v>
      </c>
      <c r="O434" s="61"/>
    </row>
    <row r="435" spans="2:15" x14ac:dyDescent="0.25">
      <c r="B435" s="99" t="s">
        <v>647</v>
      </c>
      <c r="C435" s="78" t="str">
        <f>PA_prices!C423</f>
        <v>October-2016</v>
      </c>
      <c r="D435" s="79" t="str">
        <f>PA_prices!D423</f>
        <v>PA</v>
      </c>
      <c r="E435" s="80" t="str">
        <f>PA_prices!E423</f>
        <v>WPP</v>
      </c>
      <c r="F435" s="79" t="str">
        <f>PA_prices!F423</f>
        <v>GS20</v>
      </c>
      <c r="G435" s="80" t="str">
        <f>PA_prices!G423</f>
        <v>General Service</v>
      </c>
      <c r="H435" s="81" t="str">
        <f t="shared" ref="H435" si="418">IF($M$2="Prices in $/MWh","100-500 MWh","100,000-500,000 kWh")</f>
        <v>100-500 MWh</v>
      </c>
      <c r="I435" s="80">
        <f>(PA_prices!I423+$D$2)*IF($M$2="Prices in $/MWh",1,1/1000)</f>
        <v>69.83</v>
      </c>
      <c r="J435" s="79">
        <f>(PA_prices!J423+$D$2)*IF($M$2="Prices in $/MWh",1,1/1000)</f>
        <v>71.22</v>
      </c>
      <c r="K435" s="80">
        <f>(PA_prices!K423+$D$2)*IF($M$2="Prices in $/MWh",1,1/1000)</f>
        <v>71.760000000000005</v>
      </c>
      <c r="L435" s="79">
        <f>(PA_prices!L423+$D$2)*IF($M$2="Prices in $/MWh",1,1/1000)</f>
        <v>30.19</v>
      </c>
      <c r="M435" s="80">
        <f>(PA_prices!M423+$D$2)*IF($M$2="Prices in $/MWh",1,1/1000)</f>
        <v>31.64</v>
      </c>
      <c r="N435" s="79">
        <f>(PA_prices!N423+$D$2)*IF($M$2="Prices in $/MWh",1,1/1000)</f>
        <v>32.72</v>
      </c>
      <c r="O435" s="61"/>
    </row>
    <row r="436" spans="2:15" x14ac:dyDescent="0.25">
      <c r="B436" s="99" t="s">
        <v>647</v>
      </c>
      <c r="C436" s="82" t="str">
        <f>PA_prices!C424</f>
        <v>October-2016</v>
      </c>
      <c r="D436" s="83" t="str">
        <f>PA_prices!D424</f>
        <v>PA</v>
      </c>
      <c r="E436" s="84" t="str">
        <f>PA_prices!E424</f>
        <v>WPP</v>
      </c>
      <c r="F436" s="83" t="str">
        <f>PA_prices!F424</f>
        <v>GS20</v>
      </c>
      <c r="G436" s="84" t="str">
        <f>PA_prices!G424</f>
        <v>General Service</v>
      </c>
      <c r="H436" s="85" t="str">
        <f t="shared" ref="H436" si="419">IF($M$2="Prices in $/MWh","500-2500 MWh","500,000-2,500,000 kWh")</f>
        <v>500-2500 MWh</v>
      </c>
      <c r="I436" s="84">
        <f>(PA_prices!I424+$D$2)*IF($M$2="Prices in $/MWh",1,1/1000)</f>
        <v>68.78</v>
      </c>
      <c r="J436" s="83">
        <f>(PA_prices!J424+$D$2)*IF($M$2="Prices in $/MWh",1,1/1000)</f>
        <v>70.17</v>
      </c>
      <c r="K436" s="84">
        <f>(PA_prices!K424+$D$2)*IF($M$2="Prices in $/MWh",1,1/1000)</f>
        <v>70.709999999999994</v>
      </c>
      <c r="L436" s="83">
        <f>(PA_prices!L424+$D$2)*IF($M$2="Prices in $/MWh",1,1/1000)</f>
        <v>29.14</v>
      </c>
      <c r="M436" s="84">
        <f>(PA_prices!M424+$D$2)*IF($M$2="Prices in $/MWh",1,1/1000)</f>
        <v>30.59</v>
      </c>
      <c r="N436" s="83">
        <f>(PA_prices!N424+$D$2)*IF($M$2="Prices in $/MWh",1,1/1000)</f>
        <v>31.67</v>
      </c>
      <c r="O436" s="61"/>
    </row>
    <row r="437" spans="2:15" x14ac:dyDescent="0.25">
      <c r="B437" s="99" t="s">
        <v>647</v>
      </c>
      <c r="C437" s="74" t="str">
        <f>PA_prices!C425</f>
        <v>November-2016</v>
      </c>
      <c r="D437" s="75" t="str">
        <f>PA_prices!D425</f>
        <v>PA</v>
      </c>
      <c r="E437" s="76" t="str">
        <f>PA_prices!E425</f>
        <v>WPP</v>
      </c>
      <c r="F437" s="75" t="str">
        <f>PA_prices!F425</f>
        <v>GS20</v>
      </c>
      <c r="G437" s="76" t="str">
        <f>PA_prices!G425</f>
        <v>General Service</v>
      </c>
      <c r="H437" s="77" t="str">
        <f t="shared" ref="H437" si="420">IF($M$2="Prices in $/MWh","0-100 MWh","0-100,000 kWh")</f>
        <v>0-100 MWh</v>
      </c>
      <c r="I437" s="76">
        <f>(PA_prices!I425+$D$2)*IF($M$2="Prices in $/MWh",1,1/1000)</f>
        <v>71.849999999999994</v>
      </c>
      <c r="J437" s="75">
        <f>(PA_prices!J425+$D$2)*IF($M$2="Prices in $/MWh",1,1/1000)</f>
        <v>73.27</v>
      </c>
      <c r="K437" s="76">
        <f>(PA_prices!K425+$D$2)*IF($M$2="Prices in $/MWh",1,1/1000)</f>
        <v>73.61</v>
      </c>
      <c r="L437" s="75">
        <f>(PA_prices!L425+$D$2)*IF($M$2="Prices in $/MWh",1,1/1000)</f>
        <v>32.31</v>
      </c>
      <c r="M437" s="76">
        <f>(PA_prices!M425+$D$2)*IF($M$2="Prices in $/MWh",1,1/1000)</f>
        <v>33.58</v>
      </c>
      <c r="N437" s="75">
        <f>(PA_prices!N425+$D$2)*IF($M$2="Prices in $/MWh",1,1/1000)</f>
        <v>34.65</v>
      </c>
      <c r="O437" s="61"/>
    </row>
    <row r="438" spans="2:15" x14ac:dyDescent="0.25">
      <c r="B438" s="99" t="s">
        <v>647</v>
      </c>
      <c r="C438" s="78" t="str">
        <f>PA_prices!C426</f>
        <v>November-2016</v>
      </c>
      <c r="D438" s="79" t="str">
        <f>PA_prices!D426</f>
        <v>PA</v>
      </c>
      <c r="E438" s="80" t="str">
        <f>PA_prices!E426</f>
        <v>WPP</v>
      </c>
      <c r="F438" s="79" t="str">
        <f>PA_prices!F426</f>
        <v>GS20</v>
      </c>
      <c r="G438" s="80" t="str">
        <f>PA_prices!G426</f>
        <v>General Service</v>
      </c>
      <c r="H438" s="81" t="str">
        <f t="shared" ref="H438" si="421">IF($M$2="Prices in $/MWh","100-500 MWh","100,000-500,000 kWh")</f>
        <v>100-500 MWh</v>
      </c>
      <c r="I438" s="80">
        <f>(PA_prices!I426+$D$2)*IF($M$2="Prices in $/MWh",1,1/1000)</f>
        <v>70.25</v>
      </c>
      <c r="J438" s="79">
        <f>(PA_prices!J426+$D$2)*IF($M$2="Prices in $/MWh",1,1/1000)</f>
        <v>71.67</v>
      </c>
      <c r="K438" s="80">
        <f>(PA_prices!K426+$D$2)*IF($M$2="Prices in $/MWh",1,1/1000)</f>
        <v>72.010000000000005</v>
      </c>
      <c r="L438" s="79">
        <f>(PA_prices!L426+$D$2)*IF($M$2="Prices in $/MWh",1,1/1000)</f>
        <v>30.71</v>
      </c>
      <c r="M438" s="80">
        <f>(PA_prices!M426+$D$2)*IF($M$2="Prices in $/MWh",1,1/1000)</f>
        <v>31.98</v>
      </c>
      <c r="N438" s="79">
        <f>(PA_prices!N426+$D$2)*IF($M$2="Prices in $/MWh",1,1/1000)</f>
        <v>33.049999999999997</v>
      </c>
      <c r="O438" s="61"/>
    </row>
    <row r="439" spans="2:15" x14ac:dyDescent="0.25">
      <c r="B439" s="99" t="s">
        <v>647</v>
      </c>
      <c r="C439" s="82" t="str">
        <f>PA_prices!C427</f>
        <v>November-2016</v>
      </c>
      <c r="D439" s="83" t="str">
        <f>PA_prices!D427</f>
        <v>PA</v>
      </c>
      <c r="E439" s="84" t="str">
        <f>PA_prices!E427</f>
        <v>WPP</v>
      </c>
      <c r="F439" s="83" t="str">
        <f>PA_prices!F427</f>
        <v>GS20</v>
      </c>
      <c r="G439" s="84" t="str">
        <f>PA_prices!G427</f>
        <v>General Service</v>
      </c>
      <c r="H439" s="85" t="str">
        <f t="shared" ref="H439" si="422">IF($M$2="Prices in $/MWh","500-2500 MWh","500,000-2,500,000 kWh")</f>
        <v>500-2500 MWh</v>
      </c>
      <c r="I439" s="84">
        <f>(PA_prices!I427+$D$2)*IF($M$2="Prices in $/MWh",1,1/1000)</f>
        <v>69.2</v>
      </c>
      <c r="J439" s="83">
        <f>(PA_prices!J427+$D$2)*IF($M$2="Prices in $/MWh",1,1/1000)</f>
        <v>70.62</v>
      </c>
      <c r="K439" s="84">
        <f>(PA_prices!K427+$D$2)*IF($M$2="Prices in $/MWh",1,1/1000)</f>
        <v>70.959999999999994</v>
      </c>
      <c r="L439" s="83">
        <f>(PA_prices!L427+$D$2)*IF($M$2="Prices in $/MWh",1,1/1000)</f>
        <v>29.66</v>
      </c>
      <c r="M439" s="84">
        <f>(PA_prices!M427+$D$2)*IF($M$2="Prices in $/MWh",1,1/1000)</f>
        <v>30.93</v>
      </c>
      <c r="N439" s="83">
        <f>(PA_prices!N427+$D$2)*IF($M$2="Prices in $/MWh",1,1/1000)</f>
        <v>32</v>
      </c>
      <c r="O439" s="61"/>
    </row>
    <row r="440" spans="2:15" x14ac:dyDescent="0.25">
      <c r="B440" s="99" t="s">
        <v>647</v>
      </c>
      <c r="C440" s="74" t="str">
        <f>PA_prices!C428</f>
        <v>December-2016</v>
      </c>
      <c r="D440" s="75" t="str">
        <f>PA_prices!D428</f>
        <v>PA</v>
      </c>
      <c r="E440" s="76" t="str">
        <f>PA_prices!E428</f>
        <v>WPP</v>
      </c>
      <c r="F440" s="75" t="str">
        <f>PA_prices!F428</f>
        <v>GS20</v>
      </c>
      <c r="G440" s="76" t="str">
        <f>PA_prices!G428</f>
        <v>General Service</v>
      </c>
      <c r="H440" s="77" t="str">
        <f t="shared" ref="H440" si="423">IF($M$2="Prices in $/MWh","0-100 MWh","0-100,000 kWh")</f>
        <v>0-100 MWh</v>
      </c>
      <c r="I440" s="76">
        <f>(PA_prices!I428+$D$2)*IF($M$2="Prices in $/MWh",1,1/1000)</f>
        <v>72.19</v>
      </c>
      <c r="J440" s="75">
        <f>(PA_prices!J428+$D$2)*IF($M$2="Prices in $/MWh",1,1/1000)</f>
        <v>73.72</v>
      </c>
      <c r="K440" s="76">
        <f>(PA_prices!K428+$D$2)*IF($M$2="Prices in $/MWh",1,1/1000)</f>
        <v>73.83</v>
      </c>
      <c r="L440" s="75">
        <f>(PA_prices!L428+$D$2)*IF($M$2="Prices in $/MWh",1,1/1000)</f>
        <v>32.799999999999997</v>
      </c>
      <c r="M440" s="76">
        <f>(PA_prices!M428+$D$2)*IF($M$2="Prices in $/MWh",1,1/1000)</f>
        <v>33.96</v>
      </c>
      <c r="N440" s="75">
        <f>(PA_prices!N428+$D$2)*IF($M$2="Prices in $/MWh",1,1/1000)</f>
        <v>34.97</v>
      </c>
      <c r="O440" s="61"/>
    </row>
    <row r="441" spans="2:15" x14ac:dyDescent="0.25">
      <c r="B441" s="99" t="s">
        <v>647</v>
      </c>
      <c r="C441" s="78" t="str">
        <f>PA_prices!C429</f>
        <v>December-2016</v>
      </c>
      <c r="D441" s="79" t="str">
        <f>PA_prices!D429</f>
        <v>PA</v>
      </c>
      <c r="E441" s="80" t="str">
        <f>PA_prices!E429</f>
        <v>WPP</v>
      </c>
      <c r="F441" s="79" t="str">
        <f>PA_prices!F429</f>
        <v>GS20</v>
      </c>
      <c r="G441" s="80" t="str">
        <f>PA_prices!G429</f>
        <v>General Service</v>
      </c>
      <c r="H441" s="81" t="str">
        <f t="shared" ref="H441" si="424">IF($M$2="Prices in $/MWh","100-500 MWh","100,000-500,000 kWh")</f>
        <v>100-500 MWh</v>
      </c>
      <c r="I441" s="80">
        <f>(PA_prices!I429+$D$2)*IF($M$2="Prices in $/MWh",1,1/1000)</f>
        <v>70.59</v>
      </c>
      <c r="J441" s="79">
        <f>(PA_prices!J429+$D$2)*IF($M$2="Prices in $/MWh",1,1/1000)</f>
        <v>72.12</v>
      </c>
      <c r="K441" s="80">
        <f>(PA_prices!K429+$D$2)*IF($M$2="Prices in $/MWh",1,1/1000)</f>
        <v>72.23</v>
      </c>
      <c r="L441" s="79">
        <f>(PA_prices!L429+$D$2)*IF($M$2="Prices in $/MWh",1,1/1000)</f>
        <v>31.2</v>
      </c>
      <c r="M441" s="80">
        <f>(PA_prices!M429+$D$2)*IF($M$2="Prices in $/MWh",1,1/1000)</f>
        <v>32.36</v>
      </c>
      <c r="N441" s="79">
        <f>(PA_prices!N429+$D$2)*IF($M$2="Prices in $/MWh",1,1/1000)</f>
        <v>33.369999999999997</v>
      </c>
      <c r="O441" s="61"/>
    </row>
    <row r="442" spans="2:15" x14ac:dyDescent="0.25">
      <c r="B442" s="99" t="s">
        <v>647</v>
      </c>
      <c r="C442" s="82" t="str">
        <f>PA_prices!C430</f>
        <v>December-2016</v>
      </c>
      <c r="D442" s="83" t="str">
        <f>PA_prices!D430</f>
        <v>PA</v>
      </c>
      <c r="E442" s="84" t="str">
        <f>PA_prices!E430</f>
        <v>WPP</v>
      </c>
      <c r="F442" s="83" t="str">
        <f>PA_prices!F430</f>
        <v>GS20</v>
      </c>
      <c r="G442" s="84" t="str">
        <f>PA_prices!G430</f>
        <v>General Service</v>
      </c>
      <c r="H442" s="85" t="str">
        <f t="shared" ref="H442" si="425">IF($M$2="Prices in $/MWh","500-2500 MWh","500,000-2,500,000 kWh")</f>
        <v>500-2500 MWh</v>
      </c>
      <c r="I442" s="84">
        <f>(PA_prices!I430+$D$2)*IF($M$2="Prices in $/MWh",1,1/1000)</f>
        <v>69.540000000000006</v>
      </c>
      <c r="J442" s="83">
        <f>(PA_prices!J430+$D$2)*IF($M$2="Prices in $/MWh",1,1/1000)</f>
        <v>71.069999999999993</v>
      </c>
      <c r="K442" s="84">
        <f>(PA_prices!K430+$D$2)*IF($M$2="Prices in $/MWh",1,1/1000)</f>
        <v>71.180000000000007</v>
      </c>
      <c r="L442" s="83">
        <f>(PA_prices!L430+$D$2)*IF($M$2="Prices in $/MWh",1,1/1000)</f>
        <v>30.15</v>
      </c>
      <c r="M442" s="84">
        <f>(PA_prices!M430+$D$2)*IF($M$2="Prices in $/MWh",1,1/1000)</f>
        <v>31.31</v>
      </c>
      <c r="N442" s="83">
        <f>(PA_prices!N430+$D$2)*IF($M$2="Prices in $/MWh",1,1/1000)</f>
        <v>32.32</v>
      </c>
      <c r="O442" s="61"/>
    </row>
    <row r="443" spans="2:15" x14ac:dyDescent="0.25">
      <c r="B443" s="99" t="s">
        <v>647</v>
      </c>
      <c r="C443" s="74" t="str">
        <f>PA_prices!C431</f>
        <v>January-2017</v>
      </c>
      <c r="D443" s="75" t="str">
        <f>PA_prices!D431</f>
        <v>PA</v>
      </c>
      <c r="E443" s="76" t="str">
        <f>PA_prices!E431</f>
        <v>WPP</v>
      </c>
      <c r="F443" s="75" t="str">
        <f>PA_prices!F431</f>
        <v>GS20</v>
      </c>
      <c r="G443" s="76" t="str">
        <f>PA_prices!G431</f>
        <v>General Service</v>
      </c>
      <c r="H443" s="77" t="str">
        <f t="shared" ref="H443" si="426">IF($M$2="Prices in $/MWh","0-100 MWh","0-100,000 kWh")</f>
        <v>0-100 MWh</v>
      </c>
      <c r="I443" s="76">
        <f>(PA_prices!I431+$D$2)*IF($M$2="Prices in $/MWh",1,1/1000)</f>
        <v>72.58</v>
      </c>
      <c r="J443" s="75">
        <f>(PA_prices!J431+$D$2)*IF($M$2="Prices in $/MWh",1,1/1000)</f>
        <v>74.06</v>
      </c>
      <c r="K443" s="76">
        <f>(PA_prices!K431+$D$2)*IF($M$2="Prices in $/MWh",1,1/1000)</f>
        <v>74.13</v>
      </c>
      <c r="L443" s="75">
        <f>(PA_prices!L431+$D$2)*IF($M$2="Prices in $/MWh",1,1/1000)</f>
        <v>33.36</v>
      </c>
      <c r="M443" s="76">
        <f>(PA_prices!M431+$D$2)*IF($M$2="Prices in $/MWh",1,1/1000)</f>
        <v>34.35</v>
      </c>
      <c r="N443" s="75">
        <f>(PA_prices!N431+$D$2)*IF($M$2="Prices in $/MWh",1,1/1000)</f>
        <v>35.33</v>
      </c>
      <c r="O443" s="61"/>
    </row>
    <row r="444" spans="2:15" x14ac:dyDescent="0.25">
      <c r="B444" s="99" t="s">
        <v>647</v>
      </c>
      <c r="C444" s="78" t="str">
        <f>PA_prices!C432</f>
        <v>January-2017</v>
      </c>
      <c r="D444" s="79" t="str">
        <f>PA_prices!D432</f>
        <v>PA</v>
      </c>
      <c r="E444" s="80" t="str">
        <f>PA_prices!E432</f>
        <v>WPP</v>
      </c>
      <c r="F444" s="79" t="str">
        <f>PA_prices!F432</f>
        <v>GS20</v>
      </c>
      <c r="G444" s="80" t="str">
        <f>PA_prices!G432</f>
        <v>General Service</v>
      </c>
      <c r="H444" s="81" t="str">
        <f t="shared" ref="H444" si="427">IF($M$2="Prices in $/MWh","100-500 MWh","100,000-500,000 kWh")</f>
        <v>100-500 MWh</v>
      </c>
      <c r="I444" s="80">
        <f>(PA_prices!I432+$D$2)*IF($M$2="Prices in $/MWh",1,1/1000)</f>
        <v>70.98</v>
      </c>
      <c r="J444" s="79">
        <f>(PA_prices!J432+$D$2)*IF($M$2="Prices in $/MWh",1,1/1000)</f>
        <v>72.459999999999994</v>
      </c>
      <c r="K444" s="80">
        <f>(PA_prices!K432+$D$2)*IF($M$2="Prices in $/MWh",1,1/1000)</f>
        <v>72.53</v>
      </c>
      <c r="L444" s="79">
        <f>(PA_prices!L432+$D$2)*IF($M$2="Prices in $/MWh",1,1/1000)</f>
        <v>31.76</v>
      </c>
      <c r="M444" s="80">
        <f>(PA_prices!M432+$D$2)*IF($M$2="Prices in $/MWh",1,1/1000)</f>
        <v>32.75</v>
      </c>
      <c r="N444" s="79">
        <f>(PA_prices!N432+$D$2)*IF($M$2="Prices in $/MWh",1,1/1000)</f>
        <v>33.729999999999997</v>
      </c>
      <c r="O444" s="61"/>
    </row>
    <row r="445" spans="2:15" ht="15.75" thickBot="1" x14ac:dyDescent="0.3">
      <c r="B445" s="99" t="s">
        <v>647</v>
      </c>
      <c r="C445" s="82" t="str">
        <f>PA_prices!C433</f>
        <v>January-2017</v>
      </c>
      <c r="D445" s="83" t="str">
        <f>PA_prices!D433</f>
        <v>PA</v>
      </c>
      <c r="E445" s="84" t="str">
        <f>PA_prices!E433</f>
        <v>WPP</v>
      </c>
      <c r="F445" s="83" t="str">
        <f>PA_prices!F433</f>
        <v>GS20</v>
      </c>
      <c r="G445" s="84" t="str">
        <f>PA_prices!G433</f>
        <v>General Service</v>
      </c>
      <c r="H445" s="85" t="str">
        <f t="shared" ref="H445" si="428">IF($M$2="Prices in $/MWh","500-2500 MWh","500,000-2,500,000 kWh")</f>
        <v>500-2500 MWh</v>
      </c>
      <c r="I445" s="84">
        <f>(PA_prices!I433+$D$2)*IF($M$2="Prices in $/MWh",1,1/1000)</f>
        <v>69.930000000000007</v>
      </c>
      <c r="J445" s="83">
        <f>(PA_prices!J433+$D$2)*IF($M$2="Prices in $/MWh",1,1/1000)</f>
        <v>71.41</v>
      </c>
      <c r="K445" s="84">
        <f>(PA_prices!K433+$D$2)*IF($M$2="Prices in $/MWh",1,1/1000)</f>
        <v>71.48</v>
      </c>
      <c r="L445" s="83">
        <f>(PA_prices!L433+$D$2)*IF($M$2="Prices in $/MWh",1,1/1000)</f>
        <v>30.71</v>
      </c>
      <c r="M445" s="84">
        <f>(PA_prices!M433+$D$2)*IF($M$2="Prices in $/MWh",1,1/1000)</f>
        <v>31.7</v>
      </c>
      <c r="N445" s="83">
        <f>(PA_prices!N433+$D$2)*IF($M$2="Prices in $/MWh",1,1/1000)</f>
        <v>32.68</v>
      </c>
      <c r="O445" s="61"/>
    </row>
    <row r="446" spans="2:15" s="2" customFormat="1" ht="7.5" customHeight="1" thickBot="1" x14ac:dyDescent="0.2">
      <c r="B446" s="100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7"/>
    </row>
    <row r="447" spans="2:15" s="2" customFormat="1" x14ac:dyDescent="0.25">
      <c r="B447" s="100"/>
      <c r="C447" s="122" t="s">
        <v>650</v>
      </c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4"/>
      <c r="O447" s="7"/>
    </row>
    <row r="448" spans="2:15" s="2" customFormat="1" ht="10.5" x14ac:dyDescent="0.15">
      <c r="B448" s="100"/>
      <c r="C448" s="5" t="s">
        <v>651</v>
      </c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7"/>
      <c r="O448" s="7"/>
    </row>
    <row r="449" spans="1:16" s="2" customFormat="1" ht="10.5" x14ac:dyDescent="0.15">
      <c r="B449" s="100"/>
      <c r="C449" s="5" t="s">
        <v>652</v>
      </c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7"/>
      <c r="O449" s="7"/>
    </row>
    <row r="450" spans="1:16" s="2" customFormat="1" ht="10.5" x14ac:dyDescent="0.15">
      <c r="B450" s="100"/>
      <c r="C450" s="5" t="s">
        <v>653</v>
      </c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7"/>
      <c r="O450" s="7"/>
    </row>
    <row r="451" spans="1:16" s="2" customFormat="1" ht="10.5" x14ac:dyDescent="0.15">
      <c r="B451" s="100"/>
      <c r="C451" s="5" t="s">
        <v>654</v>
      </c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7"/>
      <c r="O451" s="7"/>
    </row>
    <row r="452" spans="1:16" s="2" customFormat="1" ht="10.5" x14ac:dyDescent="0.15">
      <c r="B452" s="100"/>
      <c r="C452" s="5" t="s">
        <v>655</v>
      </c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7"/>
      <c r="O452" s="7"/>
    </row>
    <row r="453" spans="1:16" s="2" customFormat="1" ht="10.5" x14ac:dyDescent="0.15">
      <c r="B453" s="100"/>
      <c r="C453" s="5" t="s">
        <v>656</v>
      </c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7"/>
      <c r="O453" s="7"/>
    </row>
    <row r="454" spans="1:16" s="2" customFormat="1" ht="11.25" thickBot="1" x14ac:dyDescent="0.2">
      <c r="B454" s="100"/>
      <c r="C454" s="5" t="s">
        <v>657</v>
      </c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7"/>
      <c r="O454" s="7"/>
    </row>
    <row r="455" spans="1:16" s="2" customFormat="1" ht="15.75" thickBot="1" x14ac:dyDescent="0.3">
      <c r="B455" s="100"/>
      <c r="C455" s="8" t="s">
        <v>17</v>
      </c>
      <c r="D455" s="9"/>
      <c r="E455" s="9"/>
      <c r="F455" s="9"/>
      <c r="G455" s="9"/>
      <c r="H455" s="9"/>
      <c r="I455" s="9"/>
      <c r="J455" s="9"/>
      <c r="K455" s="9"/>
      <c r="L455" s="9"/>
      <c r="M455" s="9"/>
      <c r="N455" s="10"/>
      <c r="O455" s="7"/>
    </row>
    <row r="456" spans="1:16" s="2" customFormat="1" ht="15.75" thickBot="1" x14ac:dyDescent="0.3">
      <c r="A456" s="49"/>
      <c r="B456" s="101"/>
      <c r="C456" s="87"/>
      <c r="D456" s="87"/>
      <c r="E456" s="87"/>
      <c r="F456" s="87"/>
      <c r="G456" s="87"/>
      <c r="H456" s="87"/>
      <c r="I456" s="87"/>
      <c r="J456" s="87"/>
      <c r="K456" s="87"/>
      <c r="L456" s="87"/>
      <c r="M456" s="87"/>
      <c r="N456" s="87"/>
      <c r="O456" s="88"/>
      <c r="P456" s="49"/>
    </row>
    <row r="457" spans="1:16" s="2" customFormat="1" x14ac:dyDescent="0.25">
      <c r="A457" s="49"/>
      <c r="B457" s="70"/>
      <c r="C457" s="49"/>
      <c r="D457" s="49"/>
      <c r="E457" s="49"/>
      <c r="F457" s="49"/>
      <c r="G457" s="49"/>
      <c r="H457" s="49"/>
      <c r="I457" s="49"/>
      <c r="J457" s="49"/>
      <c r="K457" s="49"/>
      <c r="L457" s="49"/>
      <c r="M457" s="49"/>
      <c r="N457" s="49"/>
      <c r="O457" s="49"/>
      <c r="P457" s="49"/>
    </row>
    <row r="458" spans="1:16" s="2" customFormat="1" x14ac:dyDescent="0.25">
      <c r="A458" s="49"/>
      <c r="B458" s="70"/>
      <c r="C458" s="49"/>
      <c r="D458" s="49"/>
      <c r="E458" s="49"/>
      <c r="F458" s="49"/>
      <c r="G458" s="49"/>
      <c r="H458" s="49"/>
      <c r="I458" s="49"/>
      <c r="J458" s="49"/>
      <c r="K458" s="49"/>
      <c r="L458" s="49"/>
      <c r="M458" s="49"/>
      <c r="N458" s="49"/>
      <c r="O458" s="49"/>
      <c r="P458" s="49"/>
    </row>
  </sheetData>
  <sheetProtection autoFilter="0"/>
  <autoFilter ref="C13:H445"/>
  <dataConsolidate/>
  <mergeCells count="3">
    <mergeCell ref="C8:C9"/>
    <mergeCell ref="C6:F7"/>
    <mergeCell ref="M2:N2"/>
  </mergeCells>
  <dataValidations count="2">
    <dataValidation type="list" allowBlank="1" showInputMessage="1" showErrorMessage="1" sqref="L2:N2">
      <formula1>"Prices in $/MWh,Prices in $/kWh"</formula1>
    </dataValidation>
    <dataValidation type="decimal" allowBlank="1" showErrorMessage="1" errorTitle="Invalid Input" error="Please enter numerical value." promptTitle="Broker Fee" sqref="D2">
      <formula1>-99</formula1>
      <formula2>99</formula2>
    </dataValidation>
  </dataValidations>
  <printOptions horizontalCentered="1"/>
  <pageMargins left="0.45" right="0.45" top="0.5" bottom="0.5" header="0.3" footer="0.3"/>
  <pageSetup scale="67" fitToHeight="10" orientation="portrait" r:id="rId1"/>
  <headerFooter>
    <oddFooter>&amp;CPage &amp;P of &amp;N&amp;R&amp;D  &amp;T</oddFooter>
  </headerFooter>
  <rowBreaks count="2" manualBreakCount="2">
    <brk id="139" min="2" max="11" man="1"/>
    <brk id="230" min="2" max="11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 tint="0.59999389629810485"/>
    <pageSetUpPr fitToPage="1"/>
  </sheetPr>
  <dimension ref="B1:Q240"/>
  <sheetViews>
    <sheetView showGridLines="0" zoomScale="85" zoomScaleNormal="85" workbookViewId="0">
      <pane ySplit="13" topLeftCell="A212" activePane="bottomLeft" state="frozen"/>
      <selection activeCell="A2" sqref="A2:F2"/>
      <selection pane="bottomLeft" activeCell="M2" sqref="M2:N2"/>
    </sheetView>
  </sheetViews>
  <sheetFormatPr defaultRowHeight="15" x14ac:dyDescent="0.25"/>
  <cols>
    <col min="1" max="1" width="3.83203125" style="49" customWidth="1"/>
    <col min="2" max="2" width="2.5" style="49" customWidth="1"/>
    <col min="3" max="3" width="25.33203125" style="49" customWidth="1"/>
    <col min="4" max="5" width="14.5" style="49" customWidth="1"/>
    <col min="6" max="6" width="37.33203125" style="49" customWidth="1"/>
    <col min="7" max="7" width="26.5" style="49" customWidth="1"/>
    <col min="8" max="8" width="20.33203125" style="49" customWidth="1"/>
    <col min="9" max="9" width="13.33203125" style="49" customWidth="1"/>
    <col min="10" max="10" width="12.5" style="49" customWidth="1"/>
    <col min="11" max="11" width="14.1640625" style="49" customWidth="1"/>
    <col min="12" max="13" width="11.5" style="49" customWidth="1"/>
    <col min="14" max="14" width="11.6640625" style="49" customWidth="1"/>
    <col min="15" max="15" width="2.5" style="49" customWidth="1"/>
    <col min="16" max="16" width="3.83203125" style="49" customWidth="1"/>
    <col min="17" max="16384" width="9.33203125" style="49"/>
  </cols>
  <sheetData>
    <row r="1" spans="2:17" ht="5.25" customHeight="1" x14ac:dyDescent="0.25"/>
    <row r="2" spans="2:17" s="50" customFormat="1" ht="18.75" x14ac:dyDescent="0.3">
      <c r="C2" s="51" t="s">
        <v>54</v>
      </c>
      <c r="D2" s="11">
        <v>0</v>
      </c>
      <c r="E2" s="52" t="s">
        <v>90</v>
      </c>
      <c r="M2" s="173" t="s">
        <v>1116</v>
      </c>
      <c r="N2" s="174"/>
      <c r="O2" s="52" t="s">
        <v>90</v>
      </c>
    </row>
    <row r="3" spans="2:17" ht="5.25" customHeight="1" thickBot="1" x14ac:dyDescent="0.3">
      <c r="B3" s="53"/>
    </row>
    <row r="4" spans="2:17" ht="5.25" customHeight="1" x14ac:dyDescent="0.25">
      <c r="B4" s="54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6"/>
    </row>
    <row r="5" spans="2:17" ht="26.25" x14ac:dyDescent="0.4">
      <c r="B5" s="57"/>
      <c r="C5" s="103"/>
      <c r="D5" s="103"/>
      <c r="E5" s="103"/>
      <c r="F5" s="103"/>
      <c r="G5" s="59"/>
      <c r="H5" s="59"/>
      <c r="I5" s="59"/>
      <c r="J5" s="59"/>
      <c r="K5" s="59"/>
      <c r="L5" s="59"/>
      <c r="M5" s="60"/>
      <c r="N5" s="60"/>
      <c r="O5" s="61"/>
    </row>
    <row r="6" spans="2:17" ht="11.25" customHeight="1" x14ac:dyDescent="0.25">
      <c r="B6" s="57"/>
      <c r="C6" s="169" t="s">
        <v>658</v>
      </c>
      <c r="D6" s="169"/>
      <c r="E6" s="169"/>
      <c r="F6" s="169"/>
      <c r="G6" s="59"/>
      <c r="H6" s="59"/>
      <c r="I6" s="59"/>
      <c r="J6" s="59"/>
      <c r="K6" s="59"/>
      <c r="L6" s="59"/>
      <c r="M6" s="60"/>
      <c r="N6" s="60"/>
      <c r="O6" s="61"/>
    </row>
    <row r="7" spans="2:17" ht="11.25" customHeight="1" x14ac:dyDescent="0.25">
      <c r="B7" s="57"/>
      <c r="C7" s="169"/>
      <c r="D7" s="169"/>
      <c r="E7" s="169"/>
      <c r="F7" s="169"/>
      <c r="G7" s="62"/>
      <c r="H7" s="62"/>
      <c r="I7" s="62"/>
      <c r="J7" s="62"/>
      <c r="K7" s="62"/>
      <c r="L7" s="62"/>
      <c r="M7" s="60"/>
      <c r="N7" s="60"/>
      <c r="O7" s="61"/>
    </row>
    <row r="8" spans="2:17" x14ac:dyDescent="0.25">
      <c r="B8" s="57"/>
      <c r="C8" s="172">
        <f>OH_prices!A2</f>
        <v>42374</v>
      </c>
      <c r="D8" s="60"/>
      <c r="E8" s="59"/>
      <c r="F8" s="62"/>
      <c r="G8" s="62"/>
      <c r="H8" s="62"/>
      <c r="I8" s="62"/>
      <c r="J8" s="62"/>
      <c r="K8" s="62"/>
      <c r="L8" s="62"/>
      <c r="M8" s="60"/>
      <c r="N8" s="60"/>
      <c r="O8" s="61"/>
    </row>
    <row r="9" spans="2:17" ht="10.5" customHeight="1" x14ac:dyDescent="0.25">
      <c r="B9" s="57"/>
      <c r="C9" s="172"/>
      <c r="D9" s="65"/>
      <c r="E9" s="65"/>
      <c r="F9" s="62"/>
      <c r="G9" s="62"/>
      <c r="H9" s="62"/>
      <c r="I9" s="62"/>
      <c r="J9" s="62"/>
      <c r="K9" s="62"/>
      <c r="L9" s="66" t="s">
        <v>92</v>
      </c>
      <c r="M9" s="67" t="s">
        <v>93</v>
      </c>
      <c r="N9" s="60"/>
      <c r="O9" s="61"/>
    </row>
    <row r="10" spans="2:17" ht="18" x14ac:dyDescent="0.25">
      <c r="B10" s="57"/>
      <c r="C10" s="63" t="s">
        <v>0</v>
      </c>
      <c r="D10" s="65"/>
      <c r="E10" s="65"/>
      <c r="F10" s="62"/>
      <c r="G10" s="62"/>
      <c r="H10" s="68"/>
      <c r="I10" s="68"/>
      <c r="J10" s="68"/>
      <c r="K10" s="68"/>
      <c r="L10" s="68">
        <f>IF(OH!L2="Prices in $/kWh",1000,1)</f>
        <v>1</v>
      </c>
      <c r="M10" s="69">
        <f>IF(OH!L2="Prices in $/kWh",2,1)</f>
        <v>1</v>
      </c>
      <c r="N10" s="69"/>
      <c r="O10" s="61"/>
    </row>
    <row r="11" spans="2:17" ht="10.5" customHeight="1" thickBot="1" x14ac:dyDescent="0.3">
      <c r="B11" s="57"/>
      <c r="C11" s="60"/>
      <c r="D11" s="60"/>
      <c r="E11" s="60"/>
      <c r="F11" s="62"/>
      <c r="G11" s="62"/>
      <c r="H11" s="69"/>
      <c r="I11" s="69"/>
      <c r="J11" s="69"/>
      <c r="K11" s="69"/>
      <c r="L11" s="69">
        <v>3</v>
      </c>
      <c r="M11" s="69">
        <v>4</v>
      </c>
      <c r="N11" s="69">
        <v>5</v>
      </c>
      <c r="O11" s="61"/>
    </row>
    <row r="12" spans="2:17" ht="18.75" thickBot="1" x14ac:dyDescent="0.3">
      <c r="B12" s="57"/>
      <c r="C12" s="63" t="s">
        <v>49</v>
      </c>
      <c r="D12" s="60"/>
      <c r="E12" s="60"/>
      <c r="F12" s="60"/>
      <c r="G12" s="60"/>
      <c r="H12" s="60"/>
      <c r="I12" s="111" t="str">
        <f>IF(OH!L2="Prices in $/kWh","Contract Term (months) - $/kWh","Contract Term (months) - $/MWh")</f>
        <v>Contract Term (months) - $/MWh</v>
      </c>
      <c r="J12" s="112"/>
      <c r="K12" s="112"/>
      <c r="L12" s="113" t="str">
        <f>IF(OH!L2="Prices in $/kWh","Contract Term (months) - $/kWh","Contract Term (months) - $/MWh")</f>
        <v>Contract Term (months) - $/MWh</v>
      </c>
      <c r="M12" s="114"/>
      <c r="N12" s="115"/>
      <c r="O12" s="61"/>
    </row>
    <row r="13" spans="2:17" ht="25.5" customHeight="1" x14ac:dyDescent="0.25">
      <c r="B13" s="57"/>
      <c r="C13" s="71" t="s">
        <v>1</v>
      </c>
      <c r="D13" s="71" t="s">
        <v>2</v>
      </c>
      <c r="E13" s="71" t="s">
        <v>3</v>
      </c>
      <c r="F13" s="71" t="s">
        <v>4</v>
      </c>
      <c r="G13" s="71" t="s">
        <v>89</v>
      </c>
      <c r="H13" s="71" t="s">
        <v>55</v>
      </c>
      <c r="I13" s="72" t="s">
        <v>56</v>
      </c>
      <c r="J13" s="72" t="s">
        <v>57</v>
      </c>
      <c r="K13" s="73" t="s">
        <v>58</v>
      </c>
      <c r="L13" s="116" t="s">
        <v>56</v>
      </c>
      <c r="M13" s="72" t="s">
        <v>57</v>
      </c>
      <c r="N13" s="73" t="s">
        <v>58</v>
      </c>
      <c r="O13" s="61"/>
    </row>
    <row r="14" spans="2:17" x14ac:dyDescent="0.25">
      <c r="B14" s="57"/>
      <c r="C14" s="74" t="str">
        <f>OH_prices!C2</f>
        <v>February-2016</v>
      </c>
      <c r="D14" s="75" t="str">
        <f>OH_prices!D2</f>
        <v>OH</v>
      </c>
      <c r="E14" s="76" t="str">
        <f>OH_prices!E2</f>
        <v>AEP OH</v>
      </c>
      <c r="F14" s="75" t="str">
        <f>OH_prices!F2</f>
        <v>GS1</v>
      </c>
      <c r="G14" s="76" t="str">
        <f>OH_prices!G2</f>
        <v>General Service Small</v>
      </c>
      <c r="H14" s="77" t="str">
        <f>IF($M$2="Prices in $/MWh","0-100 MWh","0-100,000 kWh")</f>
        <v>0-100 MWh</v>
      </c>
      <c r="I14" s="76">
        <f>(OH_prices!I2+$D$2)*IF($M$2="Prices in $/MWh",1,1/1000)</f>
        <v>57.91</v>
      </c>
      <c r="J14" s="75">
        <f>(OH_prices!J2+$D$2)*IF($M$2="Prices in $/MWh",1,1/1000)</f>
        <v>58.75</v>
      </c>
      <c r="K14" s="76">
        <f>(OH_prices!K2+$D$2)*IF($M$2="Prices in $/MWh",1,1/1000)</f>
        <v>59.25</v>
      </c>
      <c r="L14" s="75">
        <f>(OH_prices!L2+$D$2)*IF($M$2="Prices in $/MWh",1,1/1000)</f>
        <v>23.1</v>
      </c>
      <c r="M14" s="76">
        <f>(OH_prices!M2+$D$2)*IF($M$2="Prices in $/MWh",1,1/1000)</f>
        <v>23.52</v>
      </c>
      <c r="N14" s="75">
        <f>(OH_prices!N2+$D$2)*IF($M$2="Prices in $/MWh",1,1/1000)</f>
        <v>24.39</v>
      </c>
      <c r="O14" s="61"/>
      <c r="Q14" s="89"/>
    </row>
    <row r="15" spans="2:17" x14ac:dyDescent="0.25">
      <c r="B15" s="57"/>
      <c r="C15" s="78" t="str">
        <f>OH_prices!C3</f>
        <v>February-2016</v>
      </c>
      <c r="D15" s="79" t="str">
        <f>OH_prices!D3</f>
        <v>OH</v>
      </c>
      <c r="E15" s="80" t="str">
        <f>OH_prices!E3</f>
        <v>AEP OH</v>
      </c>
      <c r="F15" s="79" t="str">
        <f>OH_prices!F3</f>
        <v>GS1</v>
      </c>
      <c r="G15" s="80" t="str">
        <f>OH_prices!G3</f>
        <v>General Service Small</v>
      </c>
      <c r="H15" s="81" t="str">
        <f>IF($M$2="Prices in $/MWh","100-500 MWh","100,000-500,000 kWh")</f>
        <v>100-500 MWh</v>
      </c>
      <c r="I15" s="80">
        <f>(OH_prices!I3+$D$2)*IF($M$2="Prices in $/MWh",1,1/1000)</f>
        <v>56.31</v>
      </c>
      <c r="J15" s="79">
        <f>(OH_prices!J3+$D$2)*IF($M$2="Prices in $/MWh",1,1/1000)</f>
        <v>57.15</v>
      </c>
      <c r="K15" s="80">
        <f>(OH_prices!K3+$D$2)*IF($M$2="Prices in $/MWh",1,1/1000)</f>
        <v>57.65</v>
      </c>
      <c r="L15" s="79">
        <f>(OH_prices!L3+$D$2)*IF($M$2="Prices in $/MWh",1,1/1000)</f>
        <v>21.5</v>
      </c>
      <c r="M15" s="80">
        <f>(OH_prices!M3+$D$2)*IF($M$2="Prices in $/MWh",1,1/1000)</f>
        <v>21.92</v>
      </c>
      <c r="N15" s="79">
        <f>(OH_prices!N3+$D$2)*IF($M$2="Prices in $/MWh",1,1/1000)</f>
        <v>22.79</v>
      </c>
      <c r="O15" s="61"/>
      <c r="Q15" s="89"/>
    </row>
    <row r="16" spans="2:17" x14ac:dyDescent="0.25">
      <c r="B16" s="57"/>
      <c r="C16" s="82" t="str">
        <f>OH_prices!C4</f>
        <v>February-2016</v>
      </c>
      <c r="D16" s="83" t="str">
        <f>OH_prices!D4</f>
        <v>OH</v>
      </c>
      <c r="E16" s="84" t="str">
        <f>OH_prices!E4</f>
        <v>AEP OH</v>
      </c>
      <c r="F16" s="83" t="str">
        <f>OH_prices!F4</f>
        <v>GS1</v>
      </c>
      <c r="G16" s="84" t="str">
        <f>OH_prices!G4</f>
        <v>General Service Small</v>
      </c>
      <c r="H16" s="85" t="str">
        <f>IF($M$2="Prices in $/MWh","500-2500 MWh","500,000-2,500,000 kWh")</f>
        <v>500-2500 MWh</v>
      </c>
      <c r="I16" s="84">
        <f>(OH_prices!I4+$D$2)*IF($M$2="Prices in $/MWh",1,1/1000)</f>
        <v>55.26</v>
      </c>
      <c r="J16" s="83">
        <f>(OH_prices!J4+$D$2)*IF($M$2="Prices in $/MWh",1,1/1000)</f>
        <v>56.1</v>
      </c>
      <c r="K16" s="84">
        <f>(OH_prices!K4+$D$2)*IF($M$2="Prices in $/MWh",1,1/1000)</f>
        <v>56.6</v>
      </c>
      <c r="L16" s="83">
        <f>(OH_prices!L4+$D$2)*IF($M$2="Prices in $/MWh",1,1/1000)</f>
        <v>20.45</v>
      </c>
      <c r="M16" s="84">
        <f>(OH_prices!M4+$D$2)*IF($M$2="Prices in $/MWh",1,1/1000)</f>
        <v>20.87</v>
      </c>
      <c r="N16" s="83">
        <f>(OH_prices!N4+$D$2)*IF($M$2="Prices in $/MWh",1,1/1000)</f>
        <v>21.74</v>
      </c>
      <c r="O16" s="61"/>
    </row>
    <row r="17" spans="2:15" x14ac:dyDescent="0.25">
      <c r="B17" s="57"/>
      <c r="C17" s="74" t="str">
        <f>OH_prices!C5</f>
        <v>March-2016</v>
      </c>
      <c r="D17" s="75" t="str">
        <f>OH_prices!D5</f>
        <v>OH</v>
      </c>
      <c r="E17" s="76" t="str">
        <f>OH_prices!E5</f>
        <v>AEP OH</v>
      </c>
      <c r="F17" s="75" t="str">
        <f>OH_prices!F5</f>
        <v>GS1</v>
      </c>
      <c r="G17" s="76" t="str">
        <f>OH_prices!G5</f>
        <v>General Service Small</v>
      </c>
      <c r="H17" s="77" t="str">
        <f t="shared" ref="H17" si="0">IF($M$2="Prices in $/MWh","0-100 MWh","0-100,000 kWh")</f>
        <v>0-100 MWh</v>
      </c>
      <c r="I17" s="76">
        <f>(OH_prices!I5+$D$2)*IF($M$2="Prices in $/MWh",1,1/1000)</f>
        <v>57.79</v>
      </c>
      <c r="J17" s="75">
        <f>(OH_prices!J5+$D$2)*IF($M$2="Prices in $/MWh",1,1/1000)</f>
        <v>58.67</v>
      </c>
      <c r="K17" s="76">
        <f>(OH_prices!K5+$D$2)*IF($M$2="Prices in $/MWh",1,1/1000)</f>
        <v>59.39</v>
      </c>
      <c r="L17" s="75">
        <f>(OH_prices!L5+$D$2)*IF($M$2="Prices in $/MWh",1,1/1000)</f>
        <v>22.8</v>
      </c>
      <c r="M17" s="76">
        <f>(OH_prices!M5+$D$2)*IF($M$2="Prices in $/MWh",1,1/1000)</f>
        <v>23.5</v>
      </c>
      <c r="N17" s="75">
        <f>(OH_prices!N5+$D$2)*IF($M$2="Prices in $/MWh",1,1/1000)</f>
        <v>24.47</v>
      </c>
      <c r="O17" s="61"/>
    </row>
    <row r="18" spans="2:15" x14ac:dyDescent="0.25">
      <c r="B18" s="57"/>
      <c r="C18" s="78" t="str">
        <f>OH_prices!C6</f>
        <v>March-2016</v>
      </c>
      <c r="D18" s="79" t="str">
        <f>OH_prices!D6</f>
        <v>OH</v>
      </c>
      <c r="E18" s="80" t="str">
        <f>OH_prices!E6</f>
        <v>AEP OH</v>
      </c>
      <c r="F18" s="79" t="str">
        <f>OH_prices!F6</f>
        <v>GS1</v>
      </c>
      <c r="G18" s="80" t="str">
        <f>OH_prices!G6</f>
        <v>General Service Small</v>
      </c>
      <c r="H18" s="81" t="str">
        <f t="shared" ref="H18" si="1">IF($M$2="Prices in $/MWh","100-500 MWh","100,000-500,000 kWh")</f>
        <v>100-500 MWh</v>
      </c>
      <c r="I18" s="80">
        <f>(OH_prices!I6+$D$2)*IF($M$2="Prices in $/MWh",1,1/1000)</f>
        <v>56.19</v>
      </c>
      <c r="J18" s="79">
        <f>(OH_prices!J6+$D$2)*IF($M$2="Prices in $/MWh",1,1/1000)</f>
        <v>57.07</v>
      </c>
      <c r="K18" s="80">
        <f>(OH_prices!K6+$D$2)*IF($M$2="Prices in $/MWh",1,1/1000)</f>
        <v>57.79</v>
      </c>
      <c r="L18" s="79">
        <f>(OH_prices!L6+$D$2)*IF($M$2="Prices in $/MWh",1,1/1000)</f>
        <v>21.2</v>
      </c>
      <c r="M18" s="80">
        <f>(OH_prices!M6+$D$2)*IF($M$2="Prices in $/MWh",1,1/1000)</f>
        <v>21.9</v>
      </c>
      <c r="N18" s="79">
        <f>(OH_prices!N6+$D$2)*IF($M$2="Prices in $/MWh",1,1/1000)</f>
        <v>22.87</v>
      </c>
      <c r="O18" s="61"/>
    </row>
    <row r="19" spans="2:15" x14ac:dyDescent="0.25">
      <c r="B19" s="57"/>
      <c r="C19" s="82" t="str">
        <f>OH_prices!C7</f>
        <v>March-2016</v>
      </c>
      <c r="D19" s="83" t="str">
        <f>OH_prices!D7</f>
        <v>OH</v>
      </c>
      <c r="E19" s="84" t="str">
        <f>OH_prices!E7</f>
        <v>AEP OH</v>
      </c>
      <c r="F19" s="83" t="str">
        <f>OH_prices!F7</f>
        <v>GS1</v>
      </c>
      <c r="G19" s="84" t="str">
        <f>OH_prices!G7</f>
        <v>General Service Small</v>
      </c>
      <c r="H19" s="85" t="str">
        <f t="shared" ref="H19" si="2">IF($M$2="Prices in $/MWh","500-2500 MWh","500,000-2,500,000 kWh")</f>
        <v>500-2500 MWh</v>
      </c>
      <c r="I19" s="84">
        <f>(OH_prices!I7+$D$2)*IF($M$2="Prices in $/MWh",1,1/1000)</f>
        <v>55.14</v>
      </c>
      <c r="J19" s="83">
        <f>(OH_prices!J7+$D$2)*IF($M$2="Prices in $/MWh",1,1/1000)</f>
        <v>56.02</v>
      </c>
      <c r="K19" s="84">
        <f>(OH_prices!K7+$D$2)*IF($M$2="Prices in $/MWh",1,1/1000)</f>
        <v>56.74</v>
      </c>
      <c r="L19" s="83">
        <f>(OH_prices!L7+$D$2)*IF($M$2="Prices in $/MWh",1,1/1000)</f>
        <v>20.149999999999999</v>
      </c>
      <c r="M19" s="84">
        <f>(OH_prices!M7+$D$2)*IF($M$2="Prices in $/MWh",1,1/1000)</f>
        <v>20.85</v>
      </c>
      <c r="N19" s="83">
        <f>(OH_prices!N7+$D$2)*IF($M$2="Prices in $/MWh",1,1/1000)</f>
        <v>21.82</v>
      </c>
      <c r="O19" s="61"/>
    </row>
    <row r="20" spans="2:15" x14ac:dyDescent="0.25">
      <c r="B20" s="57"/>
      <c r="C20" s="74" t="str">
        <f>OH_prices!C8</f>
        <v>April-2016</v>
      </c>
      <c r="D20" s="75" t="str">
        <f>OH_prices!D8</f>
        <v>OH</v>
      </c>
      <c r="E20" s="76" t="str">
        <f>OH_prices!E8</f>
        <v>AEP OH</v>
      </c>
      <c r="F20" s="75" t="str">
        <f>OH_prices!F8</f>
        <v>GS1</v>
      </c>
      <c r="G20" s="76" t="str">
        <f>OH_prices!G8</f>
        <v>General Service Small</v>
      </c>
      <c r="H20" s="77" t="str">
        <f t="shared" ref="H20" si="3">IF($M$2="Prices in $/MWh","0-100 MWh","0-100,000 kWh")</f>
        <v>0-100 MWh</v>
      </c>
      <c r="I20" s="76">
        <f>(OH_prices!I8+$D$2)*IF($M$2="Prices in $/MWh",1,1/1000)</f>
        <v>57.66</v>
      </c>
      <c r="J20" s="75">
        <f>(OH_prices!J8+$D$2)*IF($M$2="Prices in $/MWh",1,1/1000)</f>
        <v>58.45</v>
      </c>
      <c r="K20" s="76">
        <f>(OH_prices!K8+$D$2)*IF($M$2="Prices in $/MWh",1,1/1000)</f>
        <v>59.54</v>
      </c>
      <c r="L20" s="75">
        <f>(OH_prices!L8+$D$2)*IF($M$2="Prices in $/MWh",1,1/1000)</f>
        <v>22.48</v>
      </c>
      <c r="M20" s="76">
        <f>(OH_prices!M8+$D$2)*IF($M$2="Prices in $/MWh",1,1/1000)</f>
        <v>23.44</v>
      </c>
      <c r="N20" s="75">
        <f>(OH_prices!N8+$D$2)*IF($M$2="Prices in $/MWh",1,1/1000)</f>
        <v>24.56</v>
      </c>
      <c r="O20" s="61"/>
    </row>
    <row r="21" spans="2:15" x14ac:dyDescent="0.25">
      <c r="B21" s="57"/>
      <c r="C21" s="78" t="str">
        <f>OH_prices!C9</f>
        <v>April-2016</v>
      </c>
      <c r="D21" s="79" t="str">
        <f>OH_prices!D9</f>
        <v>OH</v>
      </c>
      <c r="E21" s="80" t="str">
        <f>OH_prices!E9</f>
        <v>AEP OH</v>
      </c>
      <c r="F21" s="79" t="str">
        <f>OH_prices!F9</f>
        <v>GS1</v>
      </c>
      <c r="G21" s="80" t="str">
        <f>OH_prices!G9</f>
        <v>General Service Small</v>
      </c>
      <c r="H21" s="81" t="str">
        <f t="shared" ref="H21" si="4">IF($M$2="Prices in $/MWh","100-500 MWh","100,000-500,000 kWh")</f>
        <v>100-500 MWh</v>
      </c>
      <c r="I21" s="80">
        <f>(OH_prices!I9+$D$2)*IF($M$2="Prices in $/MWh",1,1/1000)</f>
        <v>56.06</v>
      </c>
      <c r="J21" s="79">
        <f>(OH_prices!J9+$D$2)*IF($M$2="Prices in $/MWh",1,1/1000)</f>
        <v>56.85</v>
      </c>
      <c r="K21" s="80">
        <f>(OH_prices!K9+$D$2)*IF($M$2="Prices in $/MWh",1,1/1000)</f>
        <v>57.94</v>
      </c>
      <c r="L21" s="79">
        <f>(OH_prices!L9+$D$2)*IF($M$2="Prices in $/MWh",1,1/1000)</f>
        <v>20.88</v>
      </c>
      <c r="M21" s="80">
        <f>(OH_prices!M9+$D$2)*IF($M$2="Prices in $/MWh",1,1/1000)</f>
        <v>21.84</v>
      </c>
      <c r="N21" s="79">
        <f>(OH_prices!N9+$D$2)*IF($M$2="Prices in $/MWh",1,1/1000)</f>
        <v>22.96</v>
      </c>
      <c r="O21" s="61"/>
    </row>
    <row r="22" spans="2:15" x14ac:dyDescent="0.25">
      <c r="B22" s="57"/>
      <c r="C22" s="82" t="str">
        <f>OH_prices!C10</f>
        <v>April-2016</v>
      </c>
      <c r="D22" s="83" t="str">
        <f>OH_prices!D10</f>
        <v>OH</v>
      </c>
      <c r="E22" s="84" t="str">
        <f>OH_prices!E10</f>
        <v>AEP OH</v>
      </c>
      <c r="F22" s="83" t="str">
        <f>OH_prices!F10</f>
        <v>GS1</v>
      </c>
      <c r="G22" s="84" t="str">
        <f>OH_prices!G10</f>
        <v>General Service Small</v>
      </c>
      <c r="H22" s="85" t="str">
        <f t="shared" ref="H22" si="5">IF($M$2="Prices in $/MWh","500-2500 MWh","500,000-2,500,000 kWh")</f>
        <v>500-2500 MWh</v>
      </c>
      <c r="I22" s="84">
        <f>(OH_prices!I10+$D$2)*IF($M$2="Prices in $/MWh",1,1/1000)</f>
        <v>55.01</v>
      </c>
      <c r="J22" s="83">
        <f>(OH_prices!J10+$D$2)*IF($M$2="Prices in $/MWh",1,1/1000)</f>
        <v>55.8</v>
      </c>
      <c r="K22" s="84">
        <f>(OH_prices!K10+$D$2)*IF($M$2="Prices in $/MWh",1,1/1000)</f>
        <v>56.89</v>
      </c>
      <c r="L22" s="83">
        <f>(OH_prices!L10+$D$2)*IF($M$2="Prices in $/MWh",1,1/1000)</f>
        <v>19.829999999999998</v>
      </c>
      <c r="M22" s="84">
        <f>(OH_prices!M10+$D$2)*IF($M$2="Prices in $/MWh",1,1/1000)</f>
        <v>20.79</v>
      </c>
      <c r="N22" s="83">
        <f>(OH_prices!N10+$D$2)*IF($M$2="Prices in $/MWh",1,1/1000)</f>
        <v>21.91</v>
      </c>
      <c r="O22" s="61"/>
    </row>
    <row r="23" spans="2:15" x14ac:dyDescent="0.25">
      <c r="B23" s="57"/>
      <c r="C23" s="74" t="str">
        <f>OH_prices!C11</f>
        <v>May-2016</v>
      </c>
      <c r="D23" s="75" t="str">
        <f>OH_prices!D11</f>
        <v>OH</v>
      </c>
      <c r="E23" s="76" t="str">
        <f>OH_prices!E11</f>
        <v>AEP OH</v>
      </c>
      <c r="F23" s="75" t="str">
        <f>OH_prices!F11</f>
        <v>GS1</v>
      </c>
      <c r="G23" s="76" t="str">
        <f>OH_prices!G11</f>
        <v>General Service Small</v>
      </c>
      <c r="H23" s="77" t="str">
        <f t="shared" ref="H23" si="6">IF($M$2="Prices in $/MWh","0-100 MWh","0-100,000 kWh")</f>
        <v>0-100 MWh</v>
      </c>
      <c r="I23" s="76">
        <f>(OH_prices!I11+$D$2)*IF($M$2="Prices in $/MWh",1,1/1000)</f>
        <v>57.39</v>
      </c>
      <c r="J23" s="75">
        <f>(OH_prices!J11+$D$2)*IF($M$2="Prices in $/MWh",1,1/1000)</f>
        <v>58.34</v>
      </c>
      <c r="K23" s="76">
        <f>(OH_prices!K11+$D$2)*IF($M$2="Prices in $/MWh",1,1/1000)</f>
        <v>59.62</v>
      </c>
      <c r="L23" s="75">
        <f>(OH_prices!L11+$D$2)*IF($M$2="Prices in $/MWh",1,1/1000)</f>
        <v>22.14</v>
      </c>
      <c r="M23" s="76">
        <f>(OH_prices!M11+$D$2)*IF($M$2="Prices in $/MWh",1,1/1000)</f>
        <v>23.45</v>
      </c>
      <c r="N23" s="75">
        <f>(OH_prices!N11+$D$2)*IF($M$2="Prices in $/MWh",1,1/1000)</f>
        <v>24.62</v>
      </c>
      <c r="O23" s="61"/>
    </row>
    <row r="24" spans="2:15" x14ac:dyDescent="0.25">
      <c r="B24" s="57"/>
      <c r="C24" s="78" t="str">
        <f>OH_prices!C12</f>
        <v>May-2016</v>
      </c>
      <c r="D24" s="79" t="str">
        <f>OH_prices!D12</f>
        <v>OH</v>
      </c>
      <c r="E24" s="80" t="str">
        <f>OH_prices!E12</f>
        <v>AEP OH</v>
      </c>
      <c r="F24" s="79" t="str">
        <f>OH_prices!F12</f>
        <v>GS1</v>
      </c>
      <c r="G24" s="80" t="str">
        <f>OH_prices!G12</f>
        <v>General Service Small</v>
      </c>
      <c r="H24" s="81" t="str">
        <f t="shared" ref="H24" si="7">IF($M$2="Prices in $/MWh","100-500 MWh","100,000-500,000 kWh")</f>
        <v>100-500 MWh</v>
      </c>
      <c r="I24" s="80">
        <f>(OH_prices!I12+$D$2)*IF($M$2="Prices in $/MWh",1,1/1000)</f>
        <v>55.79</v>
      </c>
      <c r="J24" s="79">
        <f>(OH_prices!J12+$D$2)*IF($M$2="Prices in $/MWh",1,1/1000)</f>
        <v>56.74</v>
      </c>
      <c r="K24" s="80">
        <f>(OH_prices!K12+$D$2)*IF($M$2="Prices in $/MWh",1,1/1000)</f>
        <v>58.02</v>
      </c>
      <c r="L24" s="79">
        <f>(OH_prices!L12+$D$2)*IF($M$2="Prices in $/MWh",1,1/1000)</f>
        <v>20.54</v>
      </c>
      <c r="M24" s="80">
        <f>(OH_prices!M12+$D$2)*IF($M$2="Prices in $/MWh",1,1/1000)</f>
        <v>21.85</v>
      </c>
      <c r="N24" s="79">
        <f>(OH_prices!N12+$D$2)*IF($M$2="Prices in $/MWh",1,1/1000)</f>
        <v>23.02</v>
      </c>
      <c r="O24" s="61"/>
    </row>
    <row r="25" spans="2:15" x14ac:dyDescent="0.25">
      <c r="B25" s="57"/>
      <c r="C25" s="82" t="str">
        <f>OH_prices!C13</f>
        <v>May-2016</v>
      </c>
      <c r="D25" s="83" t="str">
        <f>OH_prices!D13</f>
        <v>OH</v>
      </c>
      <c r="E25" s="84" t="str">
        <f>OH_prices!E13</f>
        <v>AEP OH</v>
      </c>
      <c r="F25" s="83" t="str">
        <f>OH_prices!F13</f>
        <v>GS1</v>
      </c>
      <c r="G25" s="84" t="str">
        <f>OH_prices!G13</f>
        <v>General Service Small</v>
      </c>
      <c r="H25" s="85" t="str">
        <f t="shared" ref="H25" si="8">IF($M$2="Prices in $/MWh","500-2500 MWh","500,000-2,500,000 kWh")</f>
        <v>500-2500 MWh</v>
      </c>
      <c r="I25" s="84">
        <f>(OH_prices!I13+$D$2)*IF($M$2="Prices in $/MWh",1,1/1000)</f>
        <v>54.74</v>
      </c>
      <c r="J25" s="83">
        <f>(OH_prices!J13+$D$2)*IF($M$2="Prices in $/MWh",1,1/1000)</f>
        <v>55.69</v>
      </c>
      <c r="K25" s="84">
        <f>(OH_prices!K13+$D$2)*IF($M$2="Prices in $/MWh",1,1/1000)</f>
        <v>56.97</v>
      </c>
      <c r="L25" s="83">
        <f>(OH_prices!L13+$D$2)*IF($M$2="Prices in $/MWh",1,1/1000)</f>
        <v>19.489999999999998</v>
      </c>
      <c r="M25" s="84">
        <f>(OH_prices!M13+$D$2)*IF($M$2="Prices in $/MWh",1,1/1000)</f>
        <v>20.8</v>
      </c>
      <c r="N25" s="83">
        <f>(OH_prices!N13+$D$2)*IF($M$2="Prices in $/MWh",1,1/1000)</f>
        <v>21.97</v>
      </c>
      <c r="O25" s="61"/>
    </row>
    <row r="26" spans="2:15" x14ac:dyDescent="0.25">
      <c r="B26" s="57"/>
      <c r="C26" s="74" t="str">
        <f>OH_prices!C14</f>
        <v>June-2016</v>
      </c>
      <c r="D26" s="75" t="str">
        <f>OH_prices!D14</f>
        <v>OH</v>
      </c>
      <c r="E26" s="76" t="str">
        <f>OH_prices!E14</f>
        <v>AEP OH</v>
      </c>
      <c r="F26" s="75" t="str">
        <f>OH_prices!F14</f>
        <v>GS1</v>
      </c>
      <c r="G26" s="76" t="str">
        <f>OH_prices!G14</f>
        <v>General Service Small</v>
      </c>
      <c r="H26" s="77" t="str">
        <f t="shared" ref="H26" si="9">IF($M$2="Prices in $/MWh","0-100 MWh","0-100,000 kWh")</f>
        <v>0-100 MWh</v>
      </c>
      <c r="I26" s="76">
        <f>(OH_prices!I14+$D$2)*IF($M$2="Prices in $/MWh",1,1/1000)</f>
        <v>57.07</v>
      </c>
      <c r="J26" s="75">
        <f>(OH_prices!J14+$D$2)*IF($M$2="Prices in $/MWh",1,1/1000)</f>
        <v>58.19</v>
      </c>
      <c r="K26" s="76">
        <f>(OH_prices!K14+$D$2)*IF($M$2="Prices in $/MWh",1,1/1000)</f>
        <v>59.7</v>
      </c>
      <c r="L26" s="75">
        <f>(OH_prices!L14+$D$2)*IF($M$2="Prices in $/MWh",1,1/1000)</f>
        <v>21.76</v>
      </c>
      <c r="M26" s="76">
        <f>(OH_prices!M14+$D$2)*IF($M$2="Prices in $/MWh",1,1/1000)</f>
        <v>23.4</v>
      </c>
      <c r="N26" s="75">
        <f>(OH_prices!N14+$D$2)*IF($M$2="Prices in $/MWh",1,1/1000)</f>
        <v>24.68</v>
      </c>
      <c r="O26" s="61"/>
    </row>
    <row r="27" spans="2:15" x14ac:dyDescent="0.25">
      <c r="B27" s="57"/>
      <c r="C27" s="78" t="str">
        <f>OH_prices!C15</f>
        <v>June-2016</v>
      </c>
      <c r="D27" s="79" t="str">
        <f>OH_prices!D15</f>
        <v>OH</v>
      </c>
      <c r="E27" s="80" t="str">
        <f>OH_prices!E15</f>
        <v>AEP OH</v>
      </c>
      <c r="F27" s="79" t="str">
        <f>OH_prices!F15</f>
        <v>GS1</v>
      </c>
      <c r="G27" s="80" t="str">
        <f>OH_prices!G15</f>
        <v>General Service Small</v>
      </c>
      <c r="H27" s="81" t="str">
        <f t="shared" ref="H27" si="10">IF($M$2="Prices in $/MWh","100-500 MWh","100,000-500,000 kWh")</f>
        <v>100-500 MWh</v>
      </c>
      <c r="I27" s="80">
        <f>(OH_prices!I15+$D$2)*IF($M$2="Prices in $/MWh",1,1/1000)</f>
        <v>55.47</v>
      </c>
      <c r="J27" s="79">
        <f>(OH_prices!J15+$D$2)*IF($M$2="Prices in $/MWh",1,1/1000)</f>
        <v>56.59</v>
      </c>
      <c r="K27" s="80">
        <f>(OH_prices!K15+$D$2)*IF($M$2="Prices in $/MWh",1,1/1000)</f>
        <v>58.1</v>
      </c>
      <c r="L27" s="79">
        <f>(OH_prices!L15+$D$2)*IF($M$2="Prices in $/MWh",1,1/1000)</f>
        <v>20.16</v>
      </c>
      <c r="M27" s="80">
        <f>(OH_prices!M15+$D$2)*IF($M$2="Prices in $/MWh",1,1/1000)</f>
        <v>21.8</v>
      </c>
      <c r="N27" s="79">
        <f>(OH_prices!N15+$D$2)*IF($M$2="Prices in $/MWh",1,1/1000)</f>
        <v>23.08</v>
      </c>
      <c r="O27" s="61"/>
    </row>
    <row r="28" spans="2:15" x14ac:dyDescent="0.25">
      <c r="B28" s="57"/>
      <c r="C28" s="82" t="str">
        <f>OH_prices!C16</f>
        <v>June-2016</v>
      </c>
      <c r="D28" s="83" t="str">
        <f>OH_prices!D16</f>
        <v>OH</v>
      </c>
      <c r="E28" s="84" t="str">
        <f>OH_prices!E16</f>
        <v>AEP OH</v>
      </c>
      <c r="F28" s="83" t="str">
        <f>OH_prices!F16</f>
        <v>GS1</v>
      </c>
      <c r="G28" s="84" t="str">
        <f>OH_prices!G16</f>
        <v>General Service Small</v>
      </c>
      <c r="H28" s="85" t="str">
        <f t="shared" ref="H28" si="11">IF($M$2="Prices in $/MWh","500-2500 MWh","500,000-2,500,000 kWh")</f>
        <v>500-2500 MWh</v>
      </c>
      <c r="I28" s="84">
        <f>(OH_prices!I16+$D$2)*IF($M$2="Prices in $/MWh",1,1/1000)</f>
        <v>54.42</v>
      </c>
      <c r="J28" s="83">
        <f>(OH_prices!J16+$D$2)*IF($M$2="Prices in $/MWh",1,1/1000)</f>
        <v>55.54</v>
      </c>
      <c r="K28" s="84">
        <f>(OH_prices!K16+$D$2)*IF($M$2="Prices in $/MWh",1,1/1000)</f>
        <v>57.05</v>
      </c>
      <c r="L28" s="83">
        <f>(OH_prices!L16+$D$2)*IF($M$2="Prices in $/MWh",1,1/1000)</f>
        <v>19.11</v>
      </c>
      <c r="M28" s="84">
        <f>(OH_prices!M16+$D$2)*IF($M$2="Prices in $/MWh",1,1/1000)</f>
        <v>20.75</v>
      </c>
      <c r="N28" s="83">
        <f>(OH_prices!N16+$D$2)*IF($M$2="Prices in $/MWh",1,1/1000)</f>
        <v>22.03</v>
      </c>
      <c r="O28" s="61"/>
    </row>
    <row r="29" spans="2:15" x14ac:dyDescent="0.25">
      <c r="B29" s="57"/>
      <c r="C29" s="74" t="str">
        <f>OH_prices!C17</f>
        <v>July-2016</v>
      </c>
      <c r="D29" s="75" t="str">
        <f>OH_prices!D17</f>
        <v>OH</v>
      </c>
      <c r="E29" s="76" t="str">
        <f>OH_prices!E17</f>
        <v>AEP OH</v>
      </c>
      <c r="F29" s="75" t="str">
        <f>OH_prices!F17</f>
        <v>GS1</v>
      </c>
      <c r="G29" s="76" t="str">
        <f>OH_prices!G17</f>
        <v>General Service Small</v>
      </c>
      <c r="H29" s="77" t="str">
        <f t="shared" ref="H29" si="12">IF($M$2="Prices in $/MWh","0-100 MWh","0-100,000 kWh")</f>
        <v>0-100 MWh</v>
      </c>
      <c r="I29" s="76">
        <f>(OH_prices!I17+$D$2)*IF($M$2="Prices in $/MWh",1,1/1000)</f>
        <v>57.59</v>
      </c>
      <c r="J29" s="75">
        <f>(OH_prices!J17+$D$2)*IF($M$2="Prices in $/MWh",1,1/1000)</f>
        <v>58.4</v>
      </c>
      <c r="K29" s="76">
        <f>(OH_prices!K17+$D$2)*IF($M$2="Prices in $/MWh",1,1/1000)</f>
        <v>59.99</v>
      </c>
      <c r="L29" s="75">
        <f>(OH_prices!L17+$D$2)*IF($M$2="Prices in $/MWh",1,1/1000)</f>
        <v>22.24</v>
      </c>
      <c r="M29" s="76">
        <f>(OH_prices!M17+$D$2)*IF($M$2="Prices in $/MWh",1,1/1000)</f>
        <v>23.68</v>
      </c>
      <c r="N29" s="75">
        <f>(OH_prices!N17+$D$2)*IF($M$2="Prices in $/MWh",1,1/1000)</f>
        <v>25</v>
      </c>
      <c r="O29" s="61"/>
    </row>
    <row r="30" spans="2:15" x14ac:dyDescent="0.25">
      <c r="B30" s="57"/>
      <c r="C30" s="78" t="str">
        <f>OH_prices!C18</f>
        <v>July-2016</v>
      </c>
      <c r="D30" s="79" t="str">
        <f>OH_prices!D18</f>
        <v>OH</v>
      </c>
      <c r="E30" s="80" t="str">
        <f>OH_prices!E18</f>
        <v>AEP OH</v>
      </c>
      <c r="F30" s="79" t="str">
        <f>OH_prices!F18</f>
        <v>GS1</v>
      </c>
      <c r="G30" s="80" t="str">
        <f>OH_prices!G18</f>
        <v>General Service Small</v>
      </c>
      <c r="H30" s="81" t="str">
        <f t="shared" ref="H30" si="13">IF($M$2="Prices in $/MWh","100-500 MWh","100,000-500,000 kWh")</f>
        <v>100-500 MWh</v>
      </c>
      <c r="I30" s="80">
        <f>(OH_prices!I18+$D$2)*IF($M$2="Prices in $/MWh",1,1/1000)</f>
        <v>55.99</v>
      </c>
      <c r="J30" s="79">
        <f>(OH_prices!J18+$D$2)*IF($M$2="Prices in $/MWh",1,1/1000)</f>
        <v>56.8</v>
      </c>
      <c r="K30" s="80">
        <f>(OH_prices!K18+$D$2)*IF($M$2="Prices in $/MWh",1,1/1000)</f>
        <v>58.39</v>
      </c>
      <c r="L30" s="79">
        <f>(OH_prices!L18+$D$2)*IF($M$2="Prices in $/MWh",1,1/1000)</f>
        <v>20.64</v>
      </c>
      <c r="M30" s="80">
        <f>(OH_prices!M18+$D$2)*IF($M$2="Prices in $/MWh",1,1/1000)</f>
        <v>22.08</v>
      </c>
      <c r="N30" s="79">
        <f>(OH_prices!N18+$D$2)*IF($M$2="Prices in $/MWh",1,1/1000)</f>
        <v>23.4</v>
      </c>
      <c r="O30" s="61"/>
    </row>
    <row r="31" spans="2:15" x14ac:dyDescent="0.25">
      <c r="B31" s="57"/>
      <c r="C31" s="82" t="str">
        <f>OH_prices!C19</f>
        <v>July-2016</v>
      </c>
      <c r="D31" s="83" t="str">
        <f>OH_prices!D19</f>
        <v>OH</v>
      </c>
      <c r="E31" s="84" t="str">
        <f>OH_prices!E19</f>
        <v>AEP OH</v>
      </c>
      <c r="F31" s="83" t="str">
        <f>OH_prices!F19</f>
        <v>GS1</v>
      </c>
      <c r="G31" s="84" t="str">
        <f>OH_prices!G19</f>
        <v>General Service Small</v>
      </c>
      <c r="H31" s="85" t="str">
        <f t="shared" ref="H31" si="14">IF($M$2="Prices in $/MWh","500-2500 MWh","500,000-2,500,000 kWh")</f>
        <v>500-2500 MWh</v>
      </c>
      <c r="I31" s="84">
        <f>(OH_prices!I19+$D$2)*IF($M$2="Prices in $/MWh",1,1/1000)</f>
        <v>54.94</v>
      </c>
      <c r="J31" s="83">
        <f>(OH_prices!J19+$D$2)*IF($M$2="Prices in $/MWh",1,1/1000)</f>
        <v>55.75</v>
      </c>
      <c r="K31" s="84">
        <f>(OH_prices!K19+$D$2)*IF($M$2="Prices in $/MWh",1,1/1000)</f>
        <v>57.34</v>
      </c>
      <c r="L31" s="83">
        <f>(OH_prices!L19+$D$2)*IF($M$2="Prices in $/MWh",1,1/1000)</f>
        <v>19.59</v>
      </c>
      <c r="M31" s="84">
        <f>(OH_prices!M19+$D$2)*IF($M$2="Prices in $/MWh",1,1/1000)</f>
        <v>21.03</v>
      </c>
      <c r="N31" s="83">
        <f>(OH_prices!N19+$D$2)*IF($M$2="Prices in $/MWh",1,1/1000)</f>
        <v>22.35</v>
      </c>
      <c r="O31" s="61"/>
    </row>
    <row r="32" spans="2:15" x14ac:dyDescent="0.25">
      <c r="B32" s="57"/>
      <c r="C32" s="74" t="str">
        <f>OH_prices!C20</f>
        <v>August-2016</v>
      </c>
      <c r="D32" s="75" t="str">
        <f>OH_prices!D20</f>
        <v>OH</v>
      </c>
      <c r="E32" s="76" t="str">
        <f>OH_prices!E20</f>
        <v>AEP OH</v>
      </c>
      <c r="F32" s="75" t="str">
        <f>OH_prices!F20</f>
        <v>GS1</v>
      </c>
      <c r="G32" s="76" t="str">
        <f>OH_prices!G20</f>
        <v>General Service Small</v>
      </c>
      <c r="H32" s="77" t="str">
        <f t="shared" ref="H32" si="15">IF($M$2="Prices in $/MWh","0-100 MWh","0-100,000 kWh")</f>
        <v>0-100 MWh</v>
      </c>
      <c r="I32" s="76">
        <f>(OH_prices!I20+$D$2)*IF($M$2="Prices in $/MWh",1,1/1000)</f>
        <v>58.04</v>
      </c>
      <c r="J32" s="75">
        <f>(OH_prices!J20+$D$2)*IF($M$2="Prices in $/MWh",1,1/1000)</f>
        <v>58.94</v>
      </c>
      <c r="K32" s="76">
        <f>(OH_prices!K20+$D$2)*IF($M$2="Prices in $/MWh",1,1/1000)</f>
        <v>60.32</v>
      </c>
      <c r="L32" s="75">
        <f>(OH_prices!L20+$D$2)*IF($M$2="Prices in $/MWh",1,1/1000)</f>
        <v>22.76</v>
      </c>
      <c r="M32" s="76">
        <f>(OH_prices!M20+$D$2)*IF($M$2="Prices in $/MWh",1,1/1000)</f>
        <v>24.16</v>
      </c>
      <c r="N32" s="75">
        <f>(OH_prices!N20+$D$2)*IF($M$2="Prices in $/MWh",1,1/1000)</f>
        <v>25.34</v>
      </c>
      <c r="O32" s="61"/>
    </row>
    <row r="33" spans="2:15" x14ac:dyDescent="0.25">
      <c r="B33" s="57"/>
      <c r="C33" s="78" t="str">
        <f>OH_prices!C21</f>
        <v>August-2016</v>
      </c>
      <c r="D33" s="79" t="str">
        <f>OH_prices!D21</f>
        <v>OH</v>
      </c>
      <c r="E33" s="80" t="str">
        <f>OH_prices!E21</f>
        <v>AEP OH</v>
      </c>
      <c r="F33" s="79" t="str">
        <f>OH_prices!F21</f>
        <v>GS1</v>
      </c>
      <c r="G33" s="80" t="str">
        <f>OH_prices!G21</f>
        <v>General Service Small</v>
      </c>
      <c r="H33" s="81" t="str">
        <f t="shared" ref="H33" si="16">IF($M$2="Prices in $/MWh","100-500 MWh","100,000-500,000 kWh")</f>
        <v>100-500 MWh</v>
      </c>
      <c r="I33" s="80">
        <f>(OH_prices!I21+$D$2)*IF($M$2="Prices in $/MWh",1,1/1000)</f>
        <v>56.44</v>
      </c>
      <c r="J33" s="79">
        <f>(OH_prices!J21+$D$2)*IF($M$2="Prices in $/MWh",1,1/1000)</f>
        <v>57.34</v>
      </c>
      <c r="K33" s="80">
        <f>(OH_prices!K21+$D$2)*IF($M$2="Prices in $/MWh",1,1/1000)</f>
        <v>58.72</v>
      </c>
      <c r="L33" s="79">
        <f>(OH_prices!L21+$D$2)*IF($M$2="Prices in $/MWh",1,1/1000)</f>
        <v>21.16</v>
      </c>
      <c r="M33" s="80">
        <f>(OH_prices!M21+$D$2)*IF($M$2="Prices in $/MWh",1,1/1000)</f>
        <v>22.56</v>
      </c>
      <c r="N33" s="79">
        <f>(OH_prices!N21+$D$2)*IF($M$2="Prices in $/MWh",1,1/1000)</f>
        <v>23.74</v>
      </c>
      <c r="O33" s="61"/>
    </row>
    <row r="34" spans="2:15" x14ac:dyDescent="0.25">
      <c r="B34" s="57"/>
      <c r="C34" s="82" t="str">
        <f>OH_prices!C22</f>
        <v>August-2016</v>
      </c>
      <c r="D34" s="83" t="str">
        <f>OH_prices!D22</f>
        <v>OH</v>
      </c>
      <c r="E34" s="84" t="str">
        <f>OH_prices!E22</f>
        <v>AEP OH</v>
      </c>
      <c r="F34" s="83" t="str">
        <f>OH_prices!F22</f>
        <v>GS1</v>
      </c>
      <c r="G34" s="84" t="str">
        <f>OH_prices!G22</f>
        <v>General Service Small</v>
      </c>
      <c r="H34" s="85" t="str">
        <f t="shared" ref="H34" si="17">IF($M$2="Prices in $/MWh","500-2500 MWh","500,000-2,500,000 kWh")</f>
        <v>500-2500 MWh</v>
      </c>
      <c r="I34" s="84">
        <f>(OH_prices!I22+$D$2)*IF($M$2="Prices in $/MWh",1,1/1000)</f>
        <v>55.39</v>
      </c>
      <c r="J34" s="83">
        <f>(OH_prices!J22+$D$2)*IF($M$2="Prices in $/MWh",1,1/1000)</f>
        <v>56.29</v>
      </c>
      <c r="K34" s="84">
        <f>(OH_prices!K22+$D$2)*IF($M$2="Prices in $/MWh",1,1/1000)</f>
        <v>57.67</v>
      </c>
      <c r="L34" s="83">
        <f>(OH_prices!L22+$D$2)*IF($M$2="Prices in $/MWh",1,1/1000)</f>
        <v>20.11</v>
      </c>
      <c r="M34" s="84">
        <f>(OH_prices!M22+$D$2)*IF($M$2="Prices in $/MWh",1,1/1000)</f>
        <v>21.51</v>
      </c>
      <c r="N34" s="83">
        <f>(OH_prices!N22+$D$2)*IF($M$2="Prices in $/MWh",1,1/1000)</f>
        <v>22.69</v>
      </c>
      <c r="O34" s="61"/>
    </row>
    <row r="35" spans="2:15" x14ac:dyDescent="0.25">
      <c r="B35" s="57"/>
      <c r="C35" s="74" t="str">
        <f>OH_prices!C23</f>
        <v>September-2016</v>
      </c>
      <c r="D35" s="75" t="str">
        <f>OH_prices!D23</f>
        <v>OH</v>
      </c>
      <c r="E35" s="76" t="str">
        <f>OH_prices!E23</f>
        <v>AEP OH</v>
      </c>
      <c r="F35" s="75" t="str">
        <f>OH_prices!F23</f>
        <v>GS1</v>
      </c>
      <c r="G35" s="76" t="str">
        <f>OH_prices!G23</f>
        <v>General Service Small</v>
      </c>
      <c r="H35" s="77" t="str">
        <f t="shared" ref="H35" si="18">IF($M$2="Prices in $/MWh","0-100 MWh","0-100,000 kWh")</f>
        <v>0-100 MWh</v>
      </c>
      <c r="I35" s="76">
        <f>(OH_prices!I23+$D$2)*IF($M$2="Prices in $/MWh",1,1/1000)</f>
        <v>58.47</v>
      </c>
      <c r="J35" s="75">
        <f>(OH_prices!J23+$D$2)*IF($M$2="Prices in $/MWh",1,1/1000)</f>
        <v>59.5</v>
      </c>
      <c r="K35" s="76">
        <f>(OH_prices!K23+$D$2)*IF($M$2="Prices in $/MWh",1,1/1000)</f>
        <v>60.62</v>
      </c>
      <c r="L35" s="75">
        <f>(OH_prices!L23+$D$2)*IF($M$2="Prices in $/MWh",1,1/1000)</f>
        <v>23.26</v>
      </c>
      <c r="M35" s="76">
        <f>(OH_prices!M23+$D$2)*IF($M$2="Prices in $/MWh",1,1/1000)</f>
        <v>24.63</v>
      </c>
      <c r="N35" s="75">
        <f>(OH_prices!N23+$D$2)*IF($M$2="Prices in $/MWh",1,1/1000)</f>
        <v>25.68</v>
      </c>
      <c r="O35" s="61"/>
    </row>
    <row r="36" spans="2:15" x14ac:dyDescent="0.25">
      <c r="B36" s="57"/>
      <c r="C36" s="78" t="str">
        <f>OH_prices!C24</f>
        <v>September-2016</v>
      </c>
      <c r="D36" s="79" t="str">
        <f>OH_prices!D24</f>
        <v>OH</v>
      </c>
      <c r="E36" s="80" t="str">
        <f>OH_prices!E24</f>
        <v>AEP OH</v>
      </c>
      <c r="F36" s="79" t="str">
        <f>OH_prices!F24</f>
        <v>GS1</v>
      </c>
      <c r="G36" s="80" t="str">
        <f>OH_prices!G24</f>
        <v>General Service Small</v>
      </c>
      <c r="H36" s="81" t="str">
        <f t="shared" ref="H36" si="19">IF($M$2="Prices in $/MWh","100-500 MWh","100,000-500,000 kWh")</f>
        <v>100-500 MWh</v>
      </c>
      <c r="I36" s="80">
        <f>(OH_prices!I24+$D$2)*IF($M$2="Prices in $/MWh",1,1/1000)</f>
        <v>56.87</v>
      </c>
      <c r="J36" s="79">
        <f>(OH_prices!J24+$D$2)*IF($M$2="Prices in $/MWh",1,1/1000)</f>
        <v>57.9</v>
      </c>
      <c r="K36" s="80">
        <f>(OH_prices!K24+$D$2)*IF($M$2="Prices in $/MWh",1,1/1000)</f>
        <v>59.02</v>
      </c>
      <c r="L36" s="79">
        <f>(OH_prices!L24+$D$2)*IF($M$2="Prices in $/MWh",1,1/1000)</f>
        <v>21.66</v>
      </c>
      <c r="M36" s="80">
        <f>(OH_prices!M24+$D$2)*IF($M$2="Prices in $/MWh",1,1/1000)</f>
        <v>23.03</v>
      </c>
      <c r="N36" s="79">
        <f>(OH_prices!N24+$D$2)*IF($M$2="Prices in $/MWh",1,1/1000)</f>
        <v>24.08</v>
      </c>
      <c r="O36" s="61"/>
    </row>
    <row r="37" spans="2:15" x14ac:dyDescent="0.25">
      <c r="B37" s="57"/>
      <c r="C37" s="82" t="str">
        <f>OH_prices!C25</f>
        <v>September-2016</v>
      </c>
      <c r="D37" s="83" t="str">
        <f>OH_prices!D25</f>
        <v>OH</v>
      </c>
      <c r="E37" s="84" t="str">
        <f>OH_prices!E25</f>
        <v>AEP OH</v>
      </c>
      <c r="F37" s="83" t="str">
        <f>OH_prices!F25</f>
        <v>GS1</v>
      </c>
      <c r="G37" s="84" t="str">
        <f>OH_prices!G25</f>
        <v>General Service Small</v>
      </c>
      <c r="H37" s="85" t="str">
        <f t="shared" ref="H37" si="20">IF($M$2="Prices in $/MWh","500-2500 MWh","500,000-2,500,000 kWh")</f>
        <v>500-2500 MWh</v>
      </c>
      <c r="I37" s="84">
        <f>(OH_prices!I25+$D$2)*IF($M$2="Prices in $/MWh",1,1/1000)</f>
        <v>55.82</v>
      </c>
      <c r="J37" s="83">
        <f>(OH_prices!J25+$D$2)*IF($M$2="Prices in $/MWh",1,1/1000)</f>
        <v>56.85</v>
      </c>
      <c r="K37" s="84">
        <f>(OH_prices!K25+$D$2)*IF($M$2="Prices in $/MWh",1,1/1000)</f>
        <v>57.97</v>
      </c>
      <c r="L37" s="83">
        <f>(OH_prices!L25+$D$2)*IF($M$2="Prices in $/MWh",1,1/1000)</f>
        <v>20.61</v>
      </c>
      <c r="M37" s="84">
        <f>(OH_prices!M25+$D$2)*IF($M$2="Prices in $/MWh",1,1/1000)</f>
        <v>21.98</v>
      </c>
      <c r="N37" s="83">
        <f>(OH_prices!N25+$D$2)*IF($M$2="Prices in $/MWh",1,1/1000)</f>
        <v>23.03</v>
      </c>
      <c r="O37" s="61"/>
    </row>
    <row r="38" spans="2:15" x14ac:dyDescent="0.25">
      <c r="B38" s="57"/>
      <c r="C38" s="74" t="str">
        <f>OH_prices!C26</f>
        <v>October-2016</v>
      </c>
      <c r="D38" s="75" t="str">
        <f>OH_prices!D26</f>
        <v>OH</v>
      </c>
      <c r="E38" s="76" t="str">
        <f>OH_prices!E26</f>
        <v>AEP OH</v>
      </c>
      <c r="F38" s="75" t="str">
        <f>OH_prices!F26</f>
        <v>GS1</v>
      </c>
      <c r="G38" s="76" t="str">
        <f>OH_prices!G26</f>
        <v>General Service Small</v>
      </c>
      <c r="H38" s="77" t="str">
        <f t="shared" ref="H38" si="21">IF($M$2="Prices in $/MWh","0-100 MWh","0-100,000 kWh")</f>
        <v>0-100 MWh</v>
      </c>
      <c r="I38" s="76">
        <f>(OH_prices!I26+$D$2)*IF($M$2="Prices in $/MWh",1,1/1000)</f>
        <v>58.91</v>
      </c>
      <c r="J38" s="75">
        <f>(OH_prices!J26+$D$2)*IF($M$2="Prices in $/MWh",1,1/1000)</f>
        <v>60.22</v>
      </c>
      <c r="K38" s="76">
        <f>(OH_prices!K26+$D$2)*IF($M$2="Prices in $/MWh",1,1/1000)</f>
        <v>60.86</v>
      </c>
      <c r="L38" s="75">
        <f>(OH_prices!L26+$D$2)*IF($M$2="Prices in $/MWh",1,1/1000)</f>
        <v>23.74</v>
      </c>
      <c r="M38" s="76">
        <f>(OH_prices!M26+$D$2)*IF($M$2="Prices in $/MWh",1,1/1000)</f>
        <v>25.13</v>
      </c>
      <c r="N38" s="75">
        <f>(OH_prices!N26+$D$2)*IF($M$2="Prices in $/MWh",1,1/1000)</f>
        <v>26.01</v>
      </c>
      <c r="O38" s="61"/>
    </row>
    <row r="39" spans="2:15" x14ac:dyDescent="0.25">
      <c r="B39" s="57"/>
      <c r="C39" s="78" t="str">
        <f>OH_prices!C27</f>
        <v>October-2016</v>
      </c>
      <c r="D39" s="79" t="str">
        <f>OH_prices!D27</f>
        <v>OH</v>
      </c>
      <c r="E39" s="80" t="str">
        <f>OH_prices!E27</f>
        <v>AEP OH</v>
      </c>
      <c r="F39" s="79" t="str">
        <f>OH_prices!F27</f>
        <v>GS1</v>
      </c>
      <c r="G39" s="80" t="str">
        <f>OH_prices!G27</f>
        <v>General Service Small</v>
      </c>
      <c r="H39" s="81" t="str">
        <f t="shared" ref="H39" si="22">IF($M$2="Prices in $/MWh","100-500 MWh","100,000-500,000 kWh")</f>
        <v>100-500 MWh</v>
      </c>
      <c r="I39" s="80">
        <f>(OH_prices!I27+$D$2)*IF($M$2="Prices in $/MWh",1,1/1000)</f>
        <v>57.31</v>
      </c>
      <c r="J39" s="79">
        <f>(OH_prices!J27+$D$2)*IF($M$2="Prices in $/MWh",1,1/1000)</f>
        <v>58.62</v>
      </c>
      <c r="K39" s="80">
        <f>(OH_prices!K27+$D$2)*IF($M$2="Prices in $/MWh",1,1/1000)</f>
        <v>59.26</v>
      </c>
      <c r="L39" s="79">
        <f>(OH_prices!L27+$D$2)*IF($M$2="Prices in $/MWh",1,1/1000)</f>
        <v>22.14</v>
      </c>
      <c r="M39" s="80">
        <f>(OH_prices!M27+$D$2)*IF($M$2="Prices in $/MWh",1,1/1000)</f>
        <v>23.53</v>
      </c>
      <c r="N39" s="79">
        <f>(OH_prices!N27+$D$2)*IF($M$2="Prices in $/MWh",1,1/1000)</f>
        <v>24.41</v>
      </c>
      <c r="O39" s="61"/>
    </row>
    <row r="40" spans="2:15" x14ac:dyDescent="0.25">
      <c r="B40" s="57"/>
      <c r="C40" s="82" t="str">
        <f>OH_prices!C28</f>
        <v>October-2016</v>
      </c>
      <c r="D40" s="83" t="str">
        <f>OH_prices!D28</f>
        <v>OH</v>
      </c>
      <c r="E40" s="84" t="str">
        <f>OH_prices!E28</f>
        <v>AEP OH</v>
      </c>
      <c r="F40" s="83" t="str">
        <f>OH_prices!F28</f>
        <v>GS1</v>
      </c>
      <c r="G40" s="84" t="str">
        <f>OH_prices!G28</f>
        <v>General Service Small</v>
      </c>
      <c r="H40" s="85" t="str">
        <f t="shared" ref="H40" si="23">IF($M$2="Prices in $/MWh","500-2500 MWh","500,000-2,500,000 kWh")</f>
        <v>500-2500 MWh</v>
      </c>
      <c r="I40" s="84">
        <f>(OH_prices!I28+$D$2)*IF($M$2="Prices in $/MWh",1,1/1000)</f>
        <v>56.26</v>
      </c>
      <c r="J40" s="83">
        <f>(OH_prices!J28+$D$2)*IF($M$2="Prices in $/MWh",1,1/1000)</f>
        <v>57.57</v>
      </c>
      <c r="K40" s="84">
        <f>(OH_prices!K28+$D$2)*IF($M$2="Prices in $/MWh",1,1/1000)</f>
        <v>58.21</v>
      </c>
      <c r="L40" s="83">
        <f>(OH_prices!L28+$D$2)*IF($M$2="Prices in $/MWh",1,1/1000)</f>
        <v>21.09</v>
      </c>
      <c r="M40" s="84">
        <f>(OH_prices!M28+$D$2)*IF($M$2="Prices in $/MWh",1,1/1000)</f>
        <v>22.48</v>
      </c>
      <c r="N40" s="83">
        <f>(OH_prices!N28+$D$2)*IF($M$2="Prices in $/MWh",1,1/1000)</f>
        <v>23.36</v>
      </c>
      <c r="O40" s="61"/>
    </row>
    <row r="41" spans="2:15" x14ac:dyDescent="0.25">
      <c r="B41" s="57"/>
      <c r="C41" s="74" t="str">
        <f>OH_prices!C29</f>
        <v>November-2016</v>
      </c>
      <c r="D41" s="75" t="str">
        <f>OH_prices!D29</f>
        <v>OH</v>
      </c>
      <c r="E41" s="76" t="str">
        <f>OH_prices!E29</f>
        <v>AEP OH</v>
      </c>
      <c r="F41" s="75" t="str">
        <f>OH_prices!F29</f>
        <v>GS1</v>
      </c>
      <c r="G41" s="76" t="str">
        <f>OH_prices!G29</f>
        <v>General Service Small</v>
      </c>
      <c r="H41" s="77" t="str">
        <f t="shared" ref="H41" si="24">IF($M$2="Prices in $/MWh","0-100 MWh","0-100,000 kWh")</f>
        <v>0-100 MWh</v>
      </c>
      <c r="I41" s="76">
        <f>(OH_prices!I29+$D$2)*IF($M$2="Prices in $/MWh",1,1/1000)</f>
        <v>59.37</v>
      </c>
      <c r="J41" s="75">
        <f>(OH_prices!J29+$D$2)*IF($M$2="Prices in $/MWh",1,1/1000)</f>
        <v>60.76</v>
      </c>
      <c r="K41" s="76">
        <f>(OH_prices!K29+$D$2)*IF($M$2="Prices in $/MWh",1,1/1000)</f>
        <v>61.16</v>
      </c>
      <c r="L41" s="75">
        <f>(OH_prices!L29+$D$2)*IF($M$2="Prices in $/MWh",1,1/1000)</f>
        <v>24.21</v>
      </c>
      <c r="M41" s="76">
        <f>(OH_prices!M29+$D$2)*IF($M$2="Prices in $/MWh",1,1/1000)</f>
        <v>25.55</v>
      </c>
      <c r="N41" s="75">
        <f>(OH_prices!N29+$D$2)*IF($M$2="Prices in $/MWh",1,1/1000)</f>
        <v>26.33</v>
      </c>
      <c r="O41" s="61"/>
    </row>
    <row r="42" spans="2:15" x14ac:dyDescent="0.25">
      <c r="B42" s="57"/>
      <c r="C42" s="78" t="str">
        <f>OH_prices!C30</f>
        <v>November-2016</v>
      </c>
      <c r="D42" s="79" t="str">
        <f>OH_prices!D30</f>
        <v>OH</v>
      </c>
      <c r="E42" s="80" t="str">
        <f>OH_prices!E30</f>
        <v>AEP OH</v>
      </c>
      <c r="F42" s="79" t="str">
        <f>OH_prices!F30</f>
        <v>GS1</v>
      </c>
      <c r="G42" s="80" t="str">
        <f>OH_prices!G30</f>
        <v>General Service Small</v>
      </c>
      <c r="H42" s="81" t="str">
        <f t="shared" ref="H42" si="25">IF($M$2="Prices in $/MWh","100-500 MWh","100,000-500,000 kWh")</f>
        <v>100-500 MWh</v>
      </c>
      <c r="I42" s="80">
        <f>(OH_prices!I30+$D$2)*IF($M$2="Prices in $/MWh",1,1/1000)</f>
        <v>57.77</v>
      </c>
      <c r="J42" s="79">
        <f>(OH_prices!J30+$D$2)*IF($M$2="Prices in $/MWh",1,1/1000)</f>
        <v>59.16</v>
      </c>
      <c r="K42" s="80">
        <f>(OH_prices!K30+$D$2)*IF($M$2="Prices in $/MWh",1,1/1000)</f>
        <v>59.56</v>
      </c>
      <c r="L42" s="79">
        <f>(OH_prices!L30+$D$2)*IF($M$2="Prices in $/MWh",1,1/1000)</f>
        <v>22.61</v>
      </c>
      <c r="M42" s="80">
        <f>(OH_prices!M30+$D$2)*IF($M$2="Prices in $/MWh",1,1/1000)</f>
        <v>23.95</v>
      </c>
      <c r="N42" s="79">
        <f>(OH_prices!N30+$D$2)*IF($M$2="Prices in $/MWh",1,1/1000)</f>
        <v>24.73</v>
      </c>
      <c r="O42" s="61"/>
    </row>
    <row r="43" spans="2:15" x14ac:dyDescent="0.25">
      <c r="B43" s="57"/>
      <c r="C43" s="82" t="str">
        <f>OH_prices!C31</f>
        <v>November-2016</v>
      </c>
      <c r="D43" s="83" t="str">
        <f>OH_prices!D31</f>
        <v>OH</v>
      </c>
      <c r="E43" s="84" t="str">
        <f>OH_prices!E31</f>
        <v>AEP OH</v>
      </c>
      <c r="F43" s="83" t="str">
        <f>OH_prices!F31</f>
        <v>GS1</v>
      </c>
      <c r="G43" s="84" t="str">
        <f>OH_prices!G31</f>
        <v>General Service Small</v>
      </c>
      <c r="H43" s="85" t="str">
        <f t="shared" ref="H43" si="26">IF($M$2="Prices in $/MWh","500-2500 MWh","500,000-2,500,000 kWh")</f>
        <v>500-2500 MWh</v>
      </c>
      <c r="I43" s="84">
        <f>(OH_prices!I31+$D$2)*IF($M$2="Prices in $/MWh",1,1/1000)</f>
        <v>56.72</v>
      </c>
      <c r="J43" s="83">
        <f>(OH_prices!J31+$D$2)*IF($M$2="Prices in $/MWh",1,1/1000)</f>
        <v>58.11</v>
      </c>
      <c r="K43" s="84">
        <f>(OH_prices!K31+$D$2)*IF($M$2="Prices in $/MWh",1,1/1000)</f>
        <v>58.51</v>
      </c>
      <c r="L43" s="83">
        <f>(OH_prices!L31+$D$2)*IF($M$2="Prices in $/MWh",1,1/1000)</f>
        <v>21.56</v>
      </c>
      <c r="M43" s="84">
        <f>(OH_prices!M31+$D$2)*IF($M$2="Prices in $/MWh",1,1/1000)</f>
        <v>22.9</v>
      </c>
      <c r="N43" s="83">
        <f>(OH_prices!N31+$D$2)*IF($M$2="Prices in $/MWh",1,1/1000)</f>
        <v>23.68</v>
      </c>
      <c r="O43" s="61"/>
    </row>
    <row r="44" spans="2:15" x14ac:dyDescent="0.25">
      <c r="B44" s="57"/>
      <c r="C44" s="74" t="str">
        <f>OH_prices!C32</f>
        <v>December-2016</v>
      </c>
      <c r="D44" s="75" t="str">
        <f>OH_prices!D32</f>
        <v>OH</v>
      </c>
      <c r="E44" s="76" t="str">
        <f>OH_prices!E32</f>
        <v>AEP OH</v>
      </c>
      <c r="F44" s="75" t="str">
        <f>OH_prices!F32</f>
        <v>GS1</v>
      </c>
      <c r="G44" s="76" t="str">
        <f>OH_prices!G32</f>
        <v>General Service Small</v>
      </c>
      <c r="H44" s="77" t="str">
        <f t="shared" ref="H44" si="27">IF($M$2="Prices in $/MWh","0-100 MWh","0-100,000 kWh")</f>
        <v>0-100 MWh</v>
      </c>
      <c r="I44" s="76">
        <f>(OH_prices!I32+$D$2)*IF($M$2="Prices in $/MWh",1,1/1000)</f>
        <v>59.75</v>
      </c>
      <c r="J44" s="75">
        <f>(OH_prices!J32+$D$2)*IF($M$2="Prices in $/MWh",1,1/1000)</f>
        <v>61.3</v>
      </c>
      <c r="K44" s="76">
        <f>(OH_prices!K32+$D$2)*IF($M$2="Prices in $/MWh",1,1/1000)</f>
        <v>61.42</v>
      </c>
      <c r="L44" s="75">
        <f>(OH_prices!L32+$D$2)*IF($M$2="Prices in $/MWh",1,1/1000)</f>
        <v>24.67</v>
      </c>
      <c r="M44" s="76">
        <f>(OH_prices!M32+$D$2)*IF($M$2="Prices in $/MWh",1,1/1000)</f>
        <v>26</v>
      </c>
      <c r="N44" s="75">
        <f>(OH_prices!N32+$D$2)*IF($M$2="Prices in $/MWh",1,1/1000)</f>
        <v>26.64</v>
      </c>
      <c r="O44" s="61"/>
    </row>
    <row r="45" spans="2:15" x14ac:dyDescent="0.25">
      <c r="B45" s="57"/>
      <c r="C45" s="78" t="str">
        <f>OH_prices!C33</f>
        <v>December-2016</v>
      </c>
      <c r="D45" s="79" t="str">
        <f>OH_prices!D33</f>
        <v>OH</v>
      </c>
      <c r="E45" s="80" t="str">
        <f>OH_prices!E33</f>
        <v>AEP OH</v>
      </c>
      <c r="F45" s="79" t="str">
        <f>OH_prices!F33</f>
        <v>GS1</v>
      </c>
      <c r="G45" s="80" t="str">
        <f>OH_prices!G33</f>
        <v>General Service Small</v>
      </c>
      <c r="H45" s="81" t="str">
        <f t="shared" ref="H45" si="28">IF($M$2="Prices in $/MWh","100-500 MWh","100,000-500,000 kWh")</f>
        <v>100-500 MWh</v>
      </c>
      <c r="I45" s="80">
        <f>(OH_prices!I33+$D$2)*IF($M$2="Prices in $/MWh",1,1/1000)</f>
        <v>58.15</v>
      </c>
      <c r="J45" s="79">
        <f>(OH_prices!J33+$D$2)*IF($M$2="Prices in $/MWh",1,1/1000)</f>
        <v>59.7</v>
      </c>
      <c r="K45" s="80">
        <f>(OH_prices!K33+$D$2)*IF($M$2="Prices in $/MWh",1,1/1000)</f>
        <v>59.82</v>
      </c>
      <c r="L45" s="79">
        <f>(OH_prices!L33+$D$2)*IF($M$2="Prices in $/MWh",1,1/1000)</f>
        <v>23.07</v>
      </c>
      <c r="M45" s="80">
        <f>(OH_prices!M33+$D$2)*IF($M$2="Prices in $/MWh",1,1/1000)</f>
        <v>24.4</v>
      </c>
      <c r="N45" s="79">
        <f>(OH_prices!N33+$D$2)*IF($M$2="Prices in $/MWh",1,1/1000)</f>
        <v>25.04</v>
      </c>
      <c r="O45" s="61"/>
    </row>
    <row r="46" spans="2:15" x14ac:dyDescent="0.25">
      <c r="B46" s="57"/>
      <c r="C46" s="82" t="str">
        <f>OH_prices!C34</f>
        <v>December-2016</v>
      </c>
      <c r="D46" s="83" t="str">
        <f>OH_prices!D34</f>
        <v>OH</v>
      </c>
      <c r="E46" s="84" t="str">
        <f>OH_prices!E34</f>
        <v>AEP OH</v>
      </c>
      <c r="F46" s="83" t="str">
        <f>OH_prices!F34</f>
        <v>GS1</v>
      </c>
      <c r="G46" s="84" t="str">
        <f>OH_prices!G34</f>
        <v>General Service Small</v>
      </c>
      <c r="H46" s="85" t="str">
        <f t="shared" ref="H46" si="29">IF($M$2="Prices in $/MWh","500-2500 MWh","500,000-2,500,000 kWh")</f>
        <v>500-2500 MWh</v>
      </c>
      <c r="I46" s="84">
        <f>(OH_prices!I34+$D$2)*IF($M$2="Prices in $/MWh",1,1/1000)</f>
        <v>57.1</v>
      </c>
      <c r="J46" s="83">
        <f>(OH_prices!J34+$D$2)*IF($M$2="Prices in $/MWh",1,1/1000)</f>
        <v>58.65</v>
      </c>
      <c r="K46" s="84">
        <f>(OH_prices!K34+$D$2)*IF($M$2="Prices in $/MWh",1,1/1000)</f>
        <v>58.77</v>
      </c>
      <c r="L46" s="83">
        <f>(OH_prices!L34+$D$2)*IF($M$2="Prices in $/MWh",1,1/1000)</f>
        <v>22.02</v>
      </c>
      <c r="M46" s="84">
        <f>(OH_prices!M34+$D$2)*IF($M$2="Prices in $/MWh",1,1/1000)</f>
        <v>23.35</v>
      </c>
      <c r="N46" s="83">
        <f>(OH_prices!N34+$D$2)*IF($M$2="Prices in $/MWh",1,1/1000)</f>
        <v>23.99</v>
      </c>
      <c r="O46" s="61"/>
    </row>
    <row r="47" spans="2:15" x14ac:dyDescent="0.25">
      <c r="B47" s="57"/>
      <c r="C47" s="74" t="str">
        <f>OH_prices!C35</f>
        <v>January-2017</v>
      </c>
      <c r="D47" s="75" t="str">
        <f>OH_prices!D35</f>
        <v>OH</v>
      </c>
      <c r="E47" s="76" t="str">
        <f>OH_prices!E35</f>
        <v>AEP OH</v>
      </c>
      <c r="F47" s="75" t="str">
        <f>OH_prices!F35</f>
        <v>GS1</v>
      </c>
      <c r="G47" s="76" t="str">
        <f>OH_prices!G35</f>
        <v>General Service Small</v>
      </c>
      <c r="H47" s="77" t="str">
        <f t="shared" ref="H47" si="30">IF($M$2="Prices in $/MWh","0-100 MWh","0-100,000 kWh")</f>
        <v>0-100 MWh</v>
      </c>
      <c r="I47" s="76">
        <f>(OH_prices!I35+$D$2)*IF($M$2="Prices in $/MWh",1,1/1000)</f>
        <v>60.19</v>
      </c>
      <c r="J47" s="75">
        <f>(OH_prices!J35+$D$2)*IF($M$2="Prices in $/MWh",1,1/1000)</f>
        <v>61.8</v>
      </c>
      <c r="K47" s="76">
        <f>(OH_prices!K35+$D$2)*IF($M$2="Prices in $/MWh",1,1/1000)</f>
        <v>61.76</v>
      </c>
      <c r="L47" s="75">
        <f>(OH_prices!L35+$D$2)*IF($M$2="Prices in $/MWh",1,1/1000)</f>
        <v>25.19</v>
      </c>
      <c r="M47" s="76">
        <f>(OH_prices!M35+$D$2)*IF($M$2="Prices in $/MWh",1,1/1000)</f>
        <v>26.5</v>
      </c>
      <c r="N47" s="75">
        <f>(OH_prices!N35+$D$2)*IF($M$2="Prices in $/MWh",1,1/1000)</f>
        <v>26.99</v>
      </c>
      <c r="O47" s="61"/>
    </row>
    <row r="48" spans="2:15" x14ac:dyDescent="0.25">
      <c r="B48" s="57"/>
      <c r="C48" s="78" t="str">
        <f>OH_prices!C36</f>
        <v>January-2017</v>
      </c>
      <c r="D48" s="79" t="str">
        <f>OH_prices!D36</f>
        <v>OH</v>
      </c>
      <c r="E48" s="80" t="str">
        <f>OH_prices!E36</f>
        <v>AEP OH</v>
      </c>
      <c r="F48" s="79" t="str">
        <f>OH_prices!F36</f>
        <v>GS1</v>
      </c>
      <c r="G48" s="80" t="str">
        <f>OH_prices!G36</f>
        <v>General Service Small</v>
      </c>
      <c r="H48" s="81" t="str">
        <f t="shared" ref="H48" si="31">IF($M$2="Prices in $/MWh","100-500 MWh","100,000-500,000 kWh")</f>
        <v>100-500 MWh</v>
      </c>
      <c r="I48" s="80">
        <f>(OH_prices!I36+$D$2)*IF($M$2="Prices in $/MWh",1,1/1000)</f>
        <v>58.59</v>
      </c>
      <c r="J48" s="79">
        <f>(OH_prices!J36+$D$2)*IF($M$2="Prices in $/MWh",1,1/1000)</f>
        <v>60.2</v>
      </c>
      <c r="K48" s="80">
        <f>(OH_prices!K36+$D$2)*IF($M$2="Prices in $/MWh",1,1/1000)</f>
        <v>60.16</v>
      </c>
      <c r="L48" s="79">
        <f>(OH_prices!L36+$D$2)*IF($M$2="Prices in $/MWh",1,1/1000)</f>
        <v>23.59</v>
      </c>
      <c r="M48" s="80">
        <f>(OH_prices!M36+$D$2)*IF($M$2="Prices in $/MWh",1,1/1000)</f>
        <v>24.9</v>
      </c>
      <c r="N48" s="79">
        <f>(OH_prices!N36+$D$2)*IF($M$2="Prices in $/MWh",1,1/1000)</f>
        <v>25.39</v>
      </c>
      <c r="O48" s="61"/>
    </row>
    <row r="49" spans="2:15" x14ac:dyDescent="0.25">
      <c r="B49" s="57"/>
      <c r="C49" s="82" t="str">
        <f>OH_prices!C37</f>
        <v>January-2017</v>
      </c>
      <c r="D49" s="83" t="str">
        <f>OH_prices!D37</f>
        <v>OH</v>
      </c>
      <c r="E49" s="84" t="str">
        <f>OH_prices!E37</f>
        <v>AEP OH</v>
      </c>
      <c r="F49" s="83" t="str">
        <f>OH_prices!F37</f>
        <v>GS1</v>
      </c>
      <c r="G49" s="84" t="str">
        <f>OH_prices!G37</f>
        <v>General Service Small</v>
      </c>
      <c r="H49" s="85" t="str">
        <f t="shared" ref="H49" si="32">IF($M$2="Prices in $/MWh","500-2500 MWh","500,000-2,500,000 kWh")</f>
        <v>500-2500 MWh</v>
      </c>
      <c r="I49" s="84">
        <f>(OH_prices!I37+$D$2)*IF($M$2="Prices in $/MWh",1,1/1000)</f>
        <v>57.54</v>
      </c>
      <c r="J49" s="83">
        <f>(OH_prices!J37+$D$2)*IF($M$2="Prices in $/MWh",1,1/1000)</f>
        <v>59.15</v>
      </c>
      <c r="K49" s="84">
        <f>(OH_prices!K37+$D$2)*IF($M$2="Prices in $/MWh",1,1/1000)</f>
        <v>59.11</v>
      </c>
      <c r="L49" s="83">
        <f>(OH_prices!L37+$D$2)*IF($M$2="Prices in $/MWh",1,1/1000)</f>
        <v>22.54</v>
      </c>
      <c r="M49" s="84">
        <f>(OH_prices!M37+$D$2)*IF($M$2="Prices in $/MWh",1,1/1000)</f>
        <v>23.85</v>
      </c>
      <c r="N49" s="83">
        <f>(OH_prices!N37+$D$2)*IF($M$2="Prices in $/MWh",1,1/1000)</f>
        <v>24.34</v>
      </c>
      <c r="O49" s="61"/>
    </row>
    <row r="50" spans="2:15" x14ac:dyDescent="0.25">
      <c r="B50" s="57"/>
      <c r="C50" s="74" t="str">
        <f>OH_prices!C38</f>
        <v>February-2016</v>
      </c>
      <c r="D50" s="75" t="str">
        <f>OH_prices!D38</f>
        <v>OH</v>
      </c>
      <c r="E50" s="76" t="str">
        <f>OH_prices!E38</f>
        <v>AEP OH</v>
      </c>
      <c r="F50" s="75" t="str">
        <f>OH_prices!F38</f>
        <v>GS2</v>
      </c>
      <c r="G50" s="76" t="str">
        <f>OH_prices!G38</f>
        <v>General Service Medium</v>
      </c>
      <c r="H50" s="77" t="str">
        <f t="shared" ref="H50" si="33">IF($M$2="Prices in $/MWh","0-100 MWh","0-100,000 kWh")</f>
        <v>0-100 MWh</v>
      </c>
      <c r="I50" s="76">
        <f>(OH_prices!I38+$D$2)*IF($M$2="Prices in $/MWh",1,1/1000)</f>
        <v>59.49</v>
      </c>
      <c r="J50" s="75">
        <f>(OH_prices!J38+$D$2)*IF($M$2="Prices in $/MWh",1,1/1000)</f>
        <v>60.14</v>
      </c>
      <c r="K50" s="76">
        <f>(OH_prices!K38+$D$2)*IF($M$2="Prices in $/MWh",1,1/1000)</f>
        <v>60.85</v>
      </c>
      <c r="L50" s="75">
        <f>(OH_prices!L38+$D$2)*IF($M$2="Prices in $/MWh",1,1/1000)</f>
        <v>23.18</v>
      </c>
      <c r="M50" s="76">
        <f>(OH_prices!M38+$D$2)*IF($M$2="Prices in $/MWh",1,1/1000)</f>
        <v>23.34</v>
      </c>
      <c r="N50" s="75">
        <f>(OH_prices!N38+$D$2)*IF($M$2="Prices in $/MWh",1,1/1000)</f>
        <v>24.46</v>
      </c>
      <c r="O50" s="61"/>
    </row>
    <row r="51" spans="2:15" x14ac:dyDescent="0.25">
      <c r="B51" s="57"/>
      <c r="C51" s="78" t="str">
        <f>OH_prices!C39</f>
        <v>February-2016</v>
      </c>
      <c r="D51" s="79" t="str">
        <f>OH_prices!D39</f>
        <v>OH</v>
      </c>
      <c r="E51" s="80" t="str">
        <f>OH_prices!E39</f>
        <v>AEP OH</v>
      </c>
      <c r="F51" s="79" t="str">
        <f>OH_prices!F39</f>
        <v>GS2</v>
      </c>
      <c r="G51" s="80" t="str">
        <f>OH_prices!G39</f>
        <v>General Service Medium</v>
      </c>
      <c r="H51" s="81" t="str">
        <f t="shared" ref="H51" si="34">IF($M$2="Prices in $/MWh","100-500 MWh","100,000-500,000 kWh")</f>
        <v>100-500 MWh</v>
      </c>
      <c r="I51" s="80">
        <f>(OH_prices!I39+$D$2)*IF($M$2="Prices in $/MWh",1,1/1000)</f>
        <v>57.89</v>
      </c>
      <c r="J51" s="79">
        <f>(OH_prices!J39+$D$2)*IF($M$2="Prices in $/MWh",1,1/1000)</f>
        <v>58.54</v>
      </c>
      <c r="K51" s="80">
        <f>(OH_prices!K39+$D$2)*IF($M$2="Prices in $/MWh",1,1/1000)</f>
        <v>59.25</v>
      </c>
      <c r="L51" s="79">
        <f>(OH_prices!L39+$D$2)*IF($M$2="Prices in $/MWh",1,1/1000)</f>
        <v>21.58</v>
      </c>
      <c r="M51" s="80">
        <f>(OH_prices!M39+$D$2)*IF($M$2="Prices in $/MWh",1,1/1000)</f>
        <v>21.74</v>
      </c>
      <c r="N51" s="79">
        <f>(OH_prices!N39+$D$2)*IF($M$2="Prices in $/MWh",1,1/1000)</f>
        <v>22.86</v>
      </c>
      <c r="O51" s="61"/>
    </row>
    <row r="52" spans="2:15" x14ac:dyDescent="0.25">
      <c r="B52" s="57"/>
      <c r="C52" s="82" t="str">
        <f>OH_prices!C40</f>
        <v>February-2016</v>
      </c>
      <c r="D52" s="83" t="str">
        <f>OH_prices!D40</f>
        <v>OH</v>
      </c>
      <c r="E52" s="84" t="str">
        <f>OH_prices!E40</f>
        <v>AEP OH</v>
      </c>
      <c r="F52" s="83" t="str">
        <f>OH_prices!F40</f>
        <v>GS2</v>
      </c>
      <c r="G52" s="84" t="str">
        <f>OH_prices!G40</f>
        <v>General Service Medium</v>
      </c>
      <c r="H52" s="85" t="str">
        <f t="shared" ref="H52" si="35">IF($M$2="Prices in $/MWh","500-2500 MWh","500,000-2,500,000 kWh")</f>
        <v>500-2500 MWh</v>
      </c>
      <c r="I52" s="84">
        <f>(OH_prices!I40+$D$2)*IF($M$2="Prices in $/MWh",1,1/1000)</f>
        <v>56.84</v>
      </c>
      <c r="J52" s="83">
        <f>(OH_prices!J40+$D$2)*IF($M$2="Prices in $/MWh",1,1/1000)</f>
        <v>57.49</v>
      </c>
      <c r="K52" s="84">
        <f>(OH_prices!K40+$D$2)*IF($M$2="Prices in $/MWh",1,1/1000)</f>
        <v>58.2</v>
      </c>
      <c r="L52" s="83">
        <f>(OH_prices!L40+$D$2)*IF($M$2="Prices in $/MWh",1,1/1000)</f>
        <v>20.53</v>
      </c>
      <c r="M52" s="84">
        <f>(OH_prices!M40+$D$2)*IF($M$2="Prices in $/MWh",1,1/1000)</f>
        <v>20.69</v>
      </c>
      <c r="N52" s="83">
        <f>(OH_prices!N40+$D$2)*IF($M$2="Prices in $/MWh",1,1/1000)</f>
        <v>21.81</v>
      </c>
      <c r="O52" s="61"/>
    </row>
    <row r="53" spans="2:15" x14ac:dyDescent="0.25">
      <c r="B53" s="57"/>
      <c r="C53" s="74" t="str">
        <f>OH_prices!C41</f>
        <v>March-2016</v>
      </c>
      <c r="D53" s="75" t="str">
        <f>OH_prices!D41</f>
        <v>OH</v>
      </c>
      <c r="E53" s="76" t="str">
        <f>OH_prices!E41</f>
        <v>AEP OH</v>
      </c>
      <c r="F53" s="75" t="str">
        <f>OH_prices!F41</f>
        <v>GS2</v>
      </c>
      <c r="G53" s="76" t="str">
        <f>OH_prices!G41</f>
        <v>General Service Medium</v>
      </c>
      <c r="H53" s="77" t="str">
        <f t="shared" ref="H53" si="36">IF($M$2="Prices in $/MWh","0-100 MWh","0-100,000 kWh")</f>
        <v>0-100 MWh</v>
      </c>
      <c r="I53" s="76">
        <f>(OH_prices!I41+$D$2)*IF($M$2="Prices in $/MWh",1,1/1000)</f>
        <v>59.37</v>
      </c>
      <c r="J53" s="75">
        <f>(OH_prices!J41+$D$2)*IF($M$2="Prices in $/MWh",1,1/1000)</f>
        <v>60.14</v>
      </c>
      <c r="K53" s="76">
        <f>(OH_prices!K41+$D$2)*IF($M$2="Prices in $/MWh",1,1/1000)</f>
        <v>60.99</v>
      </c>
      <c r="L53" s="75">
        <f>(OH_prices!L41+$D$2)*IF($M$2="Prices in $/MWh",1,1/1000)</f>
        <v>22.86</v>
      </c>
      <c r="M53" s="76">
        <f>(OH_prices!M41+$D$2)*IF($M$2="Prices in $/MWh",1,1/1000)</f>
        <v>23.3</v>
      </c>
      <c r="N53" s="75">
        <f>(OH_prices!N41+$D$2)*IF($M$2="Prices in $/MWh",1,1/1000)</f>
        <v>24.53</v>
      </c>
      <c r="O53" s="61"/>
    </row>
    <row r="54" spans="2:15" x14ac:dyDescent="0.25">
      <c r="B54" s="57"/>
      <c r="C54" s="78" t="str">
        <f>OH_prices!C42</f>
        <v>March-2016</v>
      </c>
      <c r="D54" s="79" t="str">
        <f>OH_prices!D42</f>
        <v>OH</v>
      </c>
      <c r="E54" s="80" t="str">
        <f>OH_prices!E42</f>
        <v>AEP OH</v>
      </c>
      <c r="F54" s="79" t="str">
        <f>OH_prices!F42</f>
        <v>GS2</v>
      </c>
      <c r="G54" s="80" t="str">
        <f>OH_prices!G42</f>
        <v>General Service Medium</v>
      </c>
      <c r="H54" s="81" t="str">
        <f t="shared" ref="H54" si="37">IF($M$2="Prices in $/MWh","100-500 MWh","100,000-500,000 kWh")</f>
        <v>100-500 MWh</v>
      </c>
      <c r="I54" s="80">
        <f>(OH_prices!I42+$D$2)*IF($M$2="Prices in $/MWh",1,1/1000)</f>
        <v>57.77</v>
      </c>
      <c r="J54" s="79">
        <f>(OH_prices!J42+$D$2)*IF($M$2="Prices in $/MWh",1,1/1000)</f>
        <v>58.54</v>
      </c>
      <c r="K54" s="80">
        <f>(OH_prices!K42+$D$2)*IF($M$2="Prices in $/MWh",1,1/1000)</f>
        <v>59.39</v>
      </c>
      <c r="L54" s="79">
        <f>(OH_prices!L42+$D$2)*IF($M$2="Prices in $/MWh",1,1/1000)</f>
        <v>21.26</v>
      </c>
      <c r="M54" s="80">
        <f>(OH_prices!M42+$D$2)*IF($M$2="Prices in $/MWh",1,1/1000)</f>
        <v>21.7</v>
      </c>
      <c r="N54" s="79">
        <f>(OH_prices!N42+$D$2)*IF($M$2="Prices in $/MWh",1,1/1000)</f>
        <v>22.93</v>
      </c>
      <c r="O54" s="61"/>
    </row>
    <row r="55" spans="2:15" x14ac:dyDescent="0.25">
      <c r="B55" s="57"/>
      <c r="C55" s="82" t="str">
        <f>OH_prices!C43</f>
        <v>March-2016</v>
      </c>
      <c r="D55" s="83" t="str">
        <f>OH_prices!D43</f>
        <v>OH</v>
      </c>
      <c r="E55" s="84" t="str">
        <f>OH_prices!E43</f>
        <v>AEP OH</v>
      </c>
      <c r="F55" s="83" t="str">
        <f>OH_prices!F43</f>
        <v>GS2</v>
      </c>
      <c r="G55" s="84" t="str">
        <f>OH_prices!G43</f>
        <v>General Service Medium</v>
      </c>
      <c r="H55" s="85" t="str">
        <f t="shared" ref="H55" si="38">IF($M$2="Prices in $/MWh","500-2500 MWh","500,000-2,500,000 kWh")</f>
        <v>500-2500 MWh</v>
      </c>
      <c r="I55" s="84">
        <f>(OH_prices!I43+$D$2)*IF($M$2="Prices in $/MWh",1,1/1000)</f>
        <v>56.72</v>
      </c>
      <c r="J55" s="83">
        <f>(OH_prices!J43+$D$2)*IF($M$2="Prices in $/MWh",1,1/1000)</f>
        <v>57.49</v>
      </c>
      <c r="K55" s="84">
        <f>(OH_prices!K43+$D$2)*IF($M$2="Prices in $/MWh",1,1/1000)</f>
        <v>58.34</v>
      </c>
      <c r="L55" s="83">
        <f>(OH_prices!L43+$D$2)*IF($M$2="Prices in $/MWh",1,1/1000)</f>
        <v>20.21</v>
      </c>
      <c r="M55" s="84">
        <f>(OH_prices!M43+$D$2)*IF($M$2="Prices in $/MWh",1,1/1000)</f>
        <v>20.65</v>
      </c>
      <c r="N55" s="83">
        <f>(OH_prices!N43+$D$2)*IF($M$2="Prices in $/MWh",1,1/1000)</f>
        <v>21.88</v>
      </c>
      <c r="O55" s="61"/>
    </row>
    <row r="56" spans="2:15" x14ac:dyDescent="0.25">
      <c r="B56" s="57"/>
      <c r="C56" s="74" t="str">
        <f>OH_prices!C44</f>
        <v>April-2016</v>
      </c>
      <c r="D56" s="75" t="str">
        <f>OH_prices!D44</f>
        <v>OH</v>
      </c>
      <c r="E56" s="76" t="str">
        <f>OH_prices!E44</f>
        <v>AEP OH</v>
      </c>
      <c r="F56" s="75" t="str">
        <f>OH_prices!F44</f>
        <v>GS2</v>
      </c>
      <c r="G56" s="76" t="str">
        <f>OH_prices!G44</f>
        <v>General Service Medium</v>
      </c>
      <c r="H56" s="77" t="str">
        <f t="shared" ref="H56" si="39">IF($M$2="Prices in $/MWh","0-100 MWh","0-100,000 kWh")</f>
        <v>0-100 MWh</v>
      </c>
      <c r="I56" s="76">
        <f>(OH_prices!I44+$D$2)*IF($M$2="Prices in $/MWh",1,1/1000)</f>
        <v>59.25</v>
      </c>
      <c r="J56" s="75">
        <f>(OH_prices!J44+$D$2)*IF($M$2="Prices in $/MWh",1,1/1000)</f>
        <v>60.04</v>
      </c>
      <c r="K56" s="76">
        <f>(OH_prices!K44+$D$2)*IF($M$2="Prices in $/MWh",1,1/1000)</f>
        <v>61.15</v>
      </c>
      <c r="L56" s="75">
        <f>(OH_prices!L44+$D$2)*IF($M$2="Prices in $/MWh",1,1/1000)</f>
        <v>22.54</v>
      </c>
      <c r="M56" s="76">
        <f>(OH_prices!M44+$D$2)*IF($M$2="Prices in $/MWh",1,1/1000)</f>
        <v>23.31</v>
      </c>
      <c r="N56" s="75">
        <f>(OH_prices!N44+$D$2)*IF($M$2="Prices in $/MWh",1,1/1000)</f>
        <v>24.62</v>
      </c>
      <c r="O56" s="61"/>
    </row>
    <row r="57" spans="2:15" x14ac:dyDescent="0.25">
      <c r="B57" s="57"/>
      <c r="C57" s="78" t="str">
        <f>OH_prices!C45</f>
        <v>April-2016</v>
      </c>
      <c r="D57" s="79" t="str">
        <f>OH_prices!D45</f>
        <v>OH</v>
      </c>
      <c r="E57" s="80" t="str">
        <f>OH_prices!E45</f>
        <v>AEP OH</v>
      </c>
      <c r="F57" s="79" t="str">
        <f>OH_prices!F45</f>
        <v>GS2</v>
      </c>
      <c r="G57" s="80" t="str">
        <f>OH_prices!G45</f>
        <v>General Service Medium</v>
      </c>
      <c r="H57" s="81" t="str">
        <f t="shared" ref="H57" si="40">IF($M$2="Prices in $/MWh","100-500 MWh","100,000-500,000 kWh")</f>
        <v>100-500 MWh</v>
      </c>
      <c r="I57" s="80">
        <f>(OH_prices!I45+$D$2)*IF($M$2="Prices in $/MWh",1,1/1000)</f>
        <v>57.65</v>
      </c>
      <c r="J57" s="79">
        <f>(OH_prices!J45+$D$2)*IF($M$2="Prices in $/MWh",1,1/1000)</f>
        <v>58.44</v>
      </c>
      <c r="K57" s="80">
        <f>(OH_prices!K45+$D$2)*IF($M$2="Prices in $/MWh",1,1/1000)</f>
        <v>59.55</v>
      </c>
      <c r="L57" s="79">
        <f>(OH_prices!L45+$D$2)*IF($M$2="Prices in $/MWh",1,1/1000)</f>
        <v>20.94</v>
      </c>
      <c r="M57" s="80">
        <f>(OH_prices!M45+$D$2)*IF($M$2="Prices in $/MWh",1,1/1000)</f>
        <v>21.71</v>
      </c>
      <c r="N57" s="79">
        <f>(OH_prices!N45+$D$2)*IF($M$2="Prices in $/MWh",1,1/1000)</f>
        <v>23.02</v>
      </c>
      <c r="O57" s="61"/>
    </row>
    <row r="58" spans="2:15" x14ac:dyDescent="0.25">
      <c r="B58" s="57"/>
      <c r="C58" s="82" t="str">
        <f>OH_prices!C46</f>
        <v>April-2016</v>
      </c>
      <c r="D58" s="83" t="str">
        <f>OH_prices!D46</f>
        <v>OH</v>
      </c>
      <c r="E58" s="84" t="str">
        <f>OH_prices!E46</f>
        <v>AEP OH</v>
      </c>
      <c r="F58" s="83" t="str">
        <f>OH_prices!F46</f>
        <v>GS2</v>
      </c>
      <c r="G58" s="84" t="str">
        <f>OH_prices!G46</f>
        <v>General Service Medium</v>
      </c>
      <c r="H58" s="85" t="str">
        <f t="shared" ref="H58" si="41">IF($M$2="Prices in $/MWh","500-2500 MWh","500,000-2,500,000 kWh")</f>
        <v>500-2500 MWh</v>
      </c>
      <c r="I58" s="84">
        <f>(OH_prices!I46+$D$2)*IF($M$2="Prices in $/MWh",1,1/1000)</f>
        <v>56.6</v>
      </c>
      <c r="J58" s="83">
        <f>(OH_prices!J46+$D$2)*IF($M$2="Prices in $/MWh",1,1/1000)</f>
        <v>57.39</v>
      </c>
      <c r="K58" s="84">
        <f>(OH_prices!K46+$D$2)*IF($M$2="Prices in $/MWh",1,1/1000)</f>
        <v>58.5</v>
      </c>
      <c r="L58" s="83">
        <f>(OH_prices!L46+$D$2)*IF($M$2="Prices in $/MWh",1,1/1000)</f>
        <v>19.89</v>
      </c>
      <c r="M58" s="84">
        <f>(OH_prices!M46+$D$2)*IF($M$2="Prices in $/MWh",1,1/1000)</f>
        <v>20.66</v>
      </c>
      <c r="N58" s="83">
        <f>(OH_prices!N46+$D$2)*IF($M$2="Prices in $/MWh",1,1/1000)</f>
        <v>21.97</v>
      </c>
      <c r="O58" s="61"/>
    </row>
    <row r="59" spans="2:15" x14ac:dyDescent="0.25">
      <c r="B59" s="57"/>
      <c r="C59" s="74" t="str">
        <f>OH_prices!C47</f>
        <v>May-2016</v>
      </c>
      <c r="D59" s="75" t="str">
        <f>OH_prices!D47</f>
        <v>OH</v>
      </c>
      <c r="E59" s="76" t="str">
        <f>OH_prices!E47</f>
        <v>AEP OH</v>
      </c>
      <c r="F59" s="75" t="str">
        <f>OH_prices!F47</f>
        <v>GS2</v>
      </c>
      <c r="G59" s="76" t="str">
        <f>OH_prices!G47</f>
        <v>General Service Medium</v>
      </c>
      <c r="H59" s="77" t="str">
        <f t="shared" ref="H59" si="42">IF($M$2="Prices in $/MWh","0-100 MWh","0-100,000 kWh")</f>
        <v>0-100 MWh</v>
      </c>
      <c r="I59" s="76">
        <f>(OH_prices!I47+$D$2)*IF($M$2="Prices in $/MWh",1,1/1000)</f>
        <v>59</v>
      </c>
      <c r="J59" s="75">
        <f>(OH_prices!J47+$D$2)*IF($M$2="Prices in $/MWh",1,1/1000)</f>
        <v>60.06</v>
      </c>
      <c r="K59" s="76">
        <f>(OH_prices!K47+$D$2)*IF($M$2="Prices in $/MWh",1,1/1000)</f>
        <v>61.22</v>
      </c>
      <c r="L59" s="75">
        <f>(OH_prices!L47+$D$2)*IF($M$2="Prices in $/MWh",1,1/1000)</f>
        <v>22.2</v>
      </c>
      <c r="M59" s="76">
        <f>(OH_prices!M47+$D$2)*IF($M$2="Prices in $/MWh",1,1/1000)</f>
        <v>23.42</v>
      </c>
      <c r="N59" s="75">
        <f>(OH_prices!N47+$D$2)*IF($M$2="Prices in $/MWh",1,1/1000)</f>
        <v>24.69</v>
      </c>
      <c r="O59" s="61"/>
    </row>
    <row r="60" spans="2:15" x14ac:dyDescent="0.25">
      <c r="B60" s="57"/>
      <c r="C60" s="78" t="str">
        <f>OH_prices!C48</f>
        <v>May-2016</v>
      </c>
      <c r="D60" s="79" t="str">
        <f>OH_prices!D48</f>
        <v>OH</v>
      </c>
      <c r="E60" s="80" t="str">
        <f>OH_prices!E48</f>
        <v>AEP OH</v>
      </c>
      <c r="F60" s="79" t="str">
        <f>OH_prices!F48</f>
        <v>GS2</v>
      </c>
      <c r="G60" s="80" t="str">
        <f>OH_prices!G48</f>
        <v>General Service Medium</v>
      </c>
      <c r="H60" s="81" t="str">
        <f t="shared" ref="H60" si="43">IF($M$2="Prices in $/MWh","100-500 MWh","100,000-500,000 kWh")</f>
        <v>100-500 MWh</v>
      </c>
      <c r="I60" s="80">
        <f>(OH_prices!I48+$D$2)*IF($M$2="Prices in $/MWh",1,1/1000)</f>
        <v>57.4</v>
      </c>
      <c r="J60" s="79">
        <f>(OH_prices!J48+$D$2)*IF($M$2="Prices in $/MWh",1,1/1000)</f>
        <v>58.46</v>
      </c>
      <c r="K60" s="80">
        <f>(OH_prices!K48+$D$2)*IF($M$2="Prices in $/MWh",1,1/1000)</f>
        <v>59.62</v>
      </c>
      <c r="L60" s="79">
        <f>(OH_prices!L48+$D$2)*IF($M$2="Prices in $/MWh",1,1/1000)</f>
        <v>20.6</v>
      </c>
      <c r="M60" s="80">
        <f>(OH_prices!M48+$D$2)*IF($M$2="Prices in $/MWh",1,1/1000)</f>
        <v>21.82</v>
      </c>
      <c r="N60" s="79">
        <f>(OH_prices!N48+$D$2)*IF($M$2="Prices in $/MWh",1,1/1000)</f>
        <v>23.09</v>
      </c>
      <c r="O60" s="61"/>
    </row>
    <row r="61" spans="2:15" x14ac:dyDescent="0.25">
      <c r="B61" s="57"/>
      <c r="C61" s="82" t="str">
        <f>OH_prices!C49</f>
        <v>May-2016</v>
      </c>
      <c r="D61" s="83" t="str">
        <f>OH_prices!D49</f>
        <v>OH</v>
      </c>
      <c r="E61" s="84" t="str">
        <f>OH_prices!E49</f>
        <v>AEP OH</v>
      </c>
      <c r="F61" s="83" t="str">
        <f>OH_prices!F49</f>
        <v>GS2</v>
      </c>
      <c r="G61" s="84" t="str">
        <f>OH_prices!G49</f>
        <v>General Service Medium</v>
      </c>
      <c r="H61" s="85" t="str">
        <f t="shared" ref="H61" si="44">IF($M$2="Prices in $/MWh","500-2500 MWh","500,000-2,500,000 kWh")</f>
        <v>500-2500 MWh</v>
      </c>
      <c r="I61" s="84">
        <f>(OH_prices!I49+$D$2)*IF($M$2="Prices in $/MWh",1,1/1000)</f>
        <v>56.35</v>
      </c>
      <c r="J61" s="83">
        <f>(OH_prices!J49+$D$2)*IF($M$2="Prices in $/MWh",1,1/1000)</f>
        <v>57.41</v>
      </c>
      <c r="K61" s="84">
        <f>(OH_prices!K49+$D$2)*IF($M$2="Prices in $/MWh",1,1/1000)</f>
        <v>58.57</v>
      </c>
      <c r="L61" s="83">
        <f>(OH_prices!L49+$D$2)*IF($M$2="Prices in $/MWh",1,1/1000)</f>
        <v>19.55</v>
      </c>
      <c r="M61" s="84">
        <f>(OH_prices!M49+$D$2)*IF($M$2="Prices in $/MWh",1,1/1000)</f>
        <v>20.77</v>
      </c>
      <c r="N61" s="83">
        <f>(OH_prices!N49+$D$2)*IF($M$2="Prices in $/MWh",1,1/1000)</f>
        <v>22.04</v>
      </c>
      <c r="O61" s="61"/>
    </row>
    <row r="62" spans="2:15" x14ac:dyDescent="0.25">
      <c r="B62" s="57"/>
      <c r="C62" s="74" t="str">
        <f>OH_prices!C50</f>
        <v>June-2016</v>
      </c>
      <c r="D62" s="75" t="str">
        <f>OH_prices!D50</f>
        <v>OH</v>
      </c>
      <c r="E62" s="76" t="str">
        <f>OH_prices!E50</f>
        <v>AEP OH</v>
      </c>
      <c r="F62" s="75" t="str">
        <f>OH_prices!F50</f>
        <v>GS2</v>
      </c>
      <c r="G62" s="76" t="str">
        <f>OH_prices!G50</f>
        <v>General Service Medium</v>
      </c>
      <c r="H62" s="77" t="str">
        <f t="shared" ref="H62" si="45">IF($M$2="Prices in $/MWh","0-100 MWh","0-100,000 kWh")</f>
        <v>0-100 MWh</v>
      </c>
      <c r="I62" s="76">
        <f>(OH_prices!I50+$D$2)*IF($M$2="Prices in $/MWh",1,1/1000)</f>
        <v>58.69</v>
      </c>
      <c r="J62" s="75">
        <f>(OH_prices!J50+$D$2)*IF($M$2="Prices in $/MWh",1,1/1000)</f>
        <v>60.01</v>
      </c>
      <c r="K62" s="76">
        <f>(OH_prices!K50+$D$2)*IF($M$2="Prices in $/MWh",1,1/1000)</f>
        <v>61.31</v>
      </c>
      <c r="L62" s="75">
        <f>(OH_prices!L50+$D$2)*IF($M$2="Prices in $/MWh",1,1/1000)</f>
        <v>21.82</v>
      </c>
      <c r="M62" s="76">
        <f>(OH_prices!M50+$D$2)*IF($M$2="Prices in $/MWh",1,1/1000)</f>
        <v>23.53</v>
      </c>
      <c r="N62" s="75">
        <f>(OH_prices!N50+$D$2)*IF($M$2="Prices in $/MWh",1,1/1000)</f>
        <v>24.74</v>
      </c>
      <c r="O62" s="61"/>
    </row>
    <row r="63" spans="2:15" x14ac:dyDescent="0.25">
      <c r="B63" s="57"/>
      <c r="C63" s="78" t="str">
        <f>OH_prices!C51</f>
        <v>June-2016</v>
      </c>
      <c r="D63" s="79" t="str">
        <f>OH_prices!D51</f>
        <v>OH</v>
      </c>
      <c r="E63" s="80" t="str">
        <f>OH_prices!E51</f>
        <v>AEP OH</v>
      </c>
      <c r="F63" s="79" t="str">
        <f>OH_prices!F51</f>
        <v>GS2</v>
      </c>
      <c r="G63" s="80" t="str">
        <f>OH_prices!G51</f>
        <v>General Service Medium</v>
      </c>
      <c r="H63" s="81" t="str">
        <f t="shared" ref="H63" si="46">IF($M$2="Prices in $/MWh","100-500 MWh","100,000-500,000 kWh")</f>
        <v>100-500 MWh</v>
      </c>
      <c r="I63" s="80">
        <f>(OH_prices!I51+$D$2)*IF($M$2="Prices in $/MWh",1,1/1000)</f>
        <v>57.09</v>
      </c>
      <c r="J63" s="79">
        <f>(OH_prices!J51+$D$2)*IF($M$2="Prices in $/MWh",1,1/1000)</f>
        <v>58.41</v>
      </c>
      <c r="K63" s="80">
        <f>(OH_prices!K51+$D$2)*IF($M$2="Prices in $/MWh",1,1/1000)</f>
        <v>59.71</v>
      </c>
      <c r="L63" s="79">
        <f>(OH_prices!L51+$D$2)*IF($M$2="Prices in $/MWh",1,1/1000)</f>
        <v>20.22</v>
      </c>
      <c r="M63" s="80">
        <f>(OH_prices!M51+$D$2)*IF($M$2="Prices in $/MWh",1,1/1000)</f>
        <v>21.93</v>
      </c>
      <c r="N63" s="79">
        <f>(OH_prices!N51+$D$2)*IF($M$2="Prices in $/MWh",1,1/1000)</f>
        <v>23.14</v>
      </c>
      <c r="O63" s="61"/>
    </row>
    <row r="64" spans="2:15" x14ac:dyDescent="0.25">
      <c r="B64" s="57"/>
      <c r="C64" s="82" t="str">
        <f>OH_prices!C52</f>
        <v>June-2016</v>
      </c>
      <c r="D64" s="83" t="str">
        <f>OH_prices!D52</f>
        <v>OH</v>
      </c>
      <c r="E64" s="84" t="str">
        <f>OH_prices!E52</f>
        <v>AEP OH</v>
      </c>
      <c r="F64" s="83" t="str">
        <f>OH_prices!F52</f>
        <v>GS2</v>
      </c>
      <c r="G64" s="84" t="str">
        <f>OH_prices!G52</f>
        <v>General Service Medium</v>
      </c>
      <c r="H64" s="85" t="str">
        <f t="shared" ref="H64" si="47">IF($M$2="Prices in $/MWh","500-2500 MWh","500,000-2,500,000 kWh")</f>
        <v>500-2500 MWh</v>
      </c>
      <c r="I64" s="84">
        <f>(OH_prices!I52+$D$2)*IF($M$2="Prices in $/MWh",1,1/1000)</f>
        <v>56.04</v>
      </c>
      <c r="J64" s="83">
        <f>(OH_prices!J52+$D$2)*IF($M$2="Prices in $/MWh",1,1/1000)</f>
        <v>57.36</v>
      </c>
      <c r="K64" s="84">
        <f>(OH_prices!K52+$D$2)*IF($M$2="Prices in $/MWh",1,1/1000)</f>
        <v>58.66</v>
      </c>
      <c r="L64" s="83">
        <f>(OH_prices!L52+$D$2)*IF($M$2="Prices in $/MWh",1,1/1000)</f>
        <v>19.170000000000002</v>
      </c>
      <c r="M64" s="84">
        <f>(OH_prices!M52+$D$2)*IF($M$2="Prices in $/MWh",1,1/1000)</f>
        <v>20.88</v>
      </c>
      <c r="N64" s="83">
        <f>(OH_prices!N52+$D$2)*IF($M$2="Prices in $/MWh",1,1/1000)</f>
        <v>22.09</v>
      </c>
      <c r="O64" s="61"/>
    </row>
    <row r="65" spans="2:15" x14ac:dyDescent="0.25">
      <c r="B65" s="57"/>
      <c r="C65" s="74" t="str">
        <f>OH_prices!C53</f>
        <v>July-2016</v>
      </c>
      <c r="D65" s="75" t="str">
        <f>OH_prices!D53</f>
        <v>OH</v>
      </c>
      <c r="E65" s="76" t="str">
        <f>OH_prices!E53</f>
        <v>AEP OH</v>
      </c>
      <c r="F65" s="75" t="str">
        <f>OH_prices!F53</f>
        <v>GS2</v>
      </c>
      <c r="G65" s="76" t="str">
        <f>OH_prices!G53</f>
        <v>General Service Medium</v>
      </c>
      <c r="H65" s="77" t="str">
        <f t="shared" ref="H65" si="48">IF($M$2="Prices in $/MWh","0-100 MWh","0-100,000 kWh")</f>
        <v>0-100 MWh</v>
      </c>
      <c r="I65" s="76">
        <f>(OH_prices!I53+$D$2)*IF($M$2="Prices in $/MWh",1,1/1000)</f>
        <v>59.22</v>
      </c>
      <c r="J65" s="75">
        <f>(OH_prices!J53+$D$2)*IF($M$2="Prices in $/MWh",1,1/1000)</f>
        <v>60.29</v>
      </c>
      <c r="K65" s="76">
        <f>(OH_prices!K53+$D$2)*IF($M$2="Prices in $/MWh",1,1/1000)</f>
        <v>61.6</v>
      </c>
      <c r="L65" s="75">
        <f>(OH_prices!L53+$D$2)*IF($M$2="Prices in $/MWh",1,1/1000)</f>
        <v>22.3</v>
      </c>
      <c r="M65" s="76">
        <f>(OH_prices!M53+$D$2)*IF($M$2="Prices in $/MWh",1,1/1000)</f>
        <v>23.95</v>
      </c>
      <c r="N65" s="75">
        <f>(OH_prices!N53+$D$2)*IF($M$2="Prices in $/MWh",1,1/1000)</f>
        <v>25.07</v>
      </c>
      <c r="O65" s="61"/>
    </row>
    <row r="66" spans="2:15" x14ac:dyDescent="0.25">
      <c r="B66" s="57"/>
      <c r="C66" s="78" t="str">
        <f>OH_prices!C54</f>
        <v>July-2016</v>
      </c>
      <c r="D66" s="79" t="str">
        <f>OH_prices!D54</f>
        <v>OH</v>
      </c>
      <c r="E66" s="80" t="str">
        <f>OH_prices!E54</f>
        <v>AEP OH</v>
      </c>
      <c r="F66" s="79" t="str">
        <f>OH_prices!F54</f>
        <v>GS2</v>
      </c>
      <c r="G66" s="80" t="str">
        <f>OH_prices!G54</f>
        <v>General Service Medium</v>
      </c>
      <c r="H66" s="81" t="str">
        <f t="shared" ref="H66" si="49">IF($M$2="Prices in $/MWh","100-500 MWh","100,000-500,000 kWh")</f>
        <v>100-500 MWh</v>
      </c>
      <c r="I66" s="80">
        <f>(OH_prices!I54+$D$2)*IF($M$2="Prices in $/MWh",1,1/1000)</f>
        <v>57.62</v>
      </c>
      <c r="J66" s="79">
        <f>(OH_prices!J54+$D$2)*IF($M$2="Prices in $/MWh",1,1/1000)</f>
        <v>58.69</v>
      </c>
      <c r="K66" s="80">
        <f>(OH_prices!K54+$D$2)*IF($M$2="Prices in $/MWh",1,1/1000)</f>
        <v>60</v>
      </c>
      <c r="L66" s="79">
        <f>(OH_prices!L54+$D$2)*IF($M$2="Prices in $/MWh",1,1/1000)</f>
        <v>20.7</v>
      </c>
      <c r="M66" s="80">
        <f>(OH_prices!M54+$D$2)*IF($M$2="Prices in $/MWh",1,1/1000)</f>
        <v>22.35</v>
      </c>
      <c r="N66" s="79">
        <f>(OH_prices!N54+$D$2)*IF($M$2="Prices in $/MWh",1,1/1000)</f>
        <v>23.47</v>
      </c>
      <c r="O66" s="61"/>
    </row>
    <row r="67" spans="2:15" x14ac:dyDescent="0.25">
      <c r="B67" s="57"/>
      <c r="C67" s="82" t="str">
        <f>OH_prices!C55</f>
        <v>July-2016</v>
      </c>
      <c r="D67" s="83" t="str">
        <f>OH_prices!D55</f>
        <v>OH</v>
      </c>
      <c r="E67" s="84" t="str">
        <f>OH_prices!E55</f>
        <v>AEP OH</v>
      </c>
      <c r="F67" s="83" t="str">
        <f>OH_prices!F55</f>
        <v>GS2</v>
      </c>
      <c r="G67" s="84" t="str">
        <f>OH_prices!G55</f>
        <v>General Service Medium</v>
      </c>
      <c r="H67" s="85" t="str">
        <f t="shared" ref="H67" si="50">IF($M$2="Prices in $/MWh","500-2500 MWh","500,000-2,500,000 kWh")</f>
        <v>500-2500 MWh</v>
      </c>
      <c r="I67" s="84">
        <f>(OH_prices!I55+$D$2)*IF($M$2="Prices in $/MWh",1,1/1000)</f>
        <v>56.57</v>
      </c>
      <c r="J67" s="83">
        <f>(OH_prices!J55+$D$2)*IF($M$2="Prices in $/MWh",1,1/1000)</f>
        <v>57.64</v>
      </c>
      <c r="K67" s="84">
        <f>(OH_prices!K55+$D$2)*IF($M$2="Prices in $/MWh",1,1/1000)</f>
        <v>58.95</v>
      </c>
      <c r="L67" s="83">
        <f>(OH_prices!L55+$D$2)*IF($M$2="Prices in $/MWh",1,1/1000)</f>
        <v>19.649999999999999</v>
      </c>
      <c r="M67" s="84">
        <f>(OH_prices!M55+$D$2)*IF($M$2="Prices in $/MWh",1,1/1000)</f>
        <v>21.3</v>
      </c>
      <c r="N67" s="83">
        <f>(OH_prices!N55+$D$2)*IF($M$2="Prices in $/MWh",1,1/1000)</f>
        <v>22.42</v>
      </c>
      <c r="O67" s="61"/>
    </row>
    <row r="68" spans="2:15" x14ac:dyDescent="0.25">
      <c r="B68" s="57"/>
      <c r="C68" s="74" t="str">
        <f>OH_prices!C56</f>
        <v>August-2016</v>
      </c>
      <c r="D68" s="75" t="str">
        <f>OH_prices!D56</f>
        <v>OH</v>
      </c>
      <c r="E68" s="76" t="str">
        <f>OH_prices!E56</f>
        <v>AEP OH</v>
      </c>
      <c r="F68" s="75" t="str">
        <f>OH_prices!F56</f>
        <v>GS2</v>
      </c>
      <c r="G68" s="76" t="str">
        <f>OH_prices!G56</f>
        <v>General Service Medium</v>
      </c>
      <c r="H68" s="77" t="str">
        <f t="shared" ref="H68" si="51">IF($M$2="Prices in $/MWh","0-100 MWh","0-100,000 kWh")</f>
        <v>0-100 MWh</v>
      </c>
      <c r="I68" s="76">
        <f>(OH_prices!I56+$D$2)*IF($M$2="Prices in $/MWh",1,1/1000)</f>
        <v>59.68</v>
      </c>
      <c r="J68" s="75">
        <f>(OH_prices!J56+$D$2)*IF($M$2="Prices in $/MWh",1,1/1000)</f>
        <v>60.79</v>
      </c>
      <c r="K68" s="76">
        <f>(OH_prices!K56+$D$2)*IF($M$2="Prices in $/MWh",1,1/1000)</f>
        <v>61.94</v>
      </c>
      <c r="L68" s="75">
        <f>(OH_prices!L56+$D$2)*IF($M$2="Prices in $/MWh",1,1/1000)</f>
        <v>22.83</v>
      </c>
      <c r="M68" s="76">
        <f>(OH_prices!M56+$D$2)*IF($M$2="Prices in $/MWh",1,1/1000)</f>
        <v>24.51</v>
      </c>
      <c r="N68" s="75">
        <f>(OH_prices!N56+$D$2)*IF($M$2="Prices in $/MWh",1,1/1000)</f>
        <v>25.41</v>
      </c>
      <c r="O68" s="61"/>
    </row>
    <row r="69" spans="2:15" x14ac:dyDescent="0.25">
      <c r="B69" s="57"/>
      <c r="C69" s="78" t="str">
        <f>OH_prices!C57</f>
        <v>August-2016</v>
      </c>
      <c r="D69" s="79" t="str">
        <f>OH_prices!D57</f>
        <v>OH</v>
      </c>
      <c r="E69" s="80" t="str">
        <f>OH_prices!E57</f>
        <v>AEP OH</v>
      </c>
      <c r="F69" s="79" t="str">
        <f>OH_prices!F57</f>
        <v>GS2</v>
      </c>
      <c r="G69" s="80" t="str">
        <f>OH_prices!G57</f>
        <v>General Service Medium</v>
      </c>
      <c r="H69" s="81" t="str">
        <f t="shared" ref="H69" si="52">IF($M$2="Prices in $/MWh","100-500 MWh","100,000-500,000 kWh")</f>
        <v>100-500 MWh</v>
      </c>
      <c r="I69" s="80">
        <f>(OH_prices!I57+$D$2)*IF($M$2="Prices in $/MWh",1,1/1000)</f>
        <v>58.08</v>
      </c>
      <c r="J69" s="79">
        <f>(OH_prices!J57+$D$2)*IF($M$2="Prices in $/MWh",1,1/1000)</f>
        <v>59.19</v>
      </c>
      <c r="K69" s="80">
        <f>(OH_prices!K57+$D$2)*IF($M$2="Prices in $/MWh",1,1/1000)</f>
        <v>60.34</v>
      </c>
      <c r="L69" s="79">
        <f>(OH_prices!L57+$D$2)*IF($M$2="Prices in $/MWh",1,1/1000)</f>
        <v>21.23</v>
      </c>
      <c r="M69" s="80">
        <f>(OH_prices!M57+$D$2)*IF($M$2="Prices in $/MWh",1,1/1000)</f>
        <v>22.91</v>
      </c>
      <c r="N69" s="79">
        <f>(OH_prices!N57+$D$2)*IF($M$2="Prices in $/MWh",1,1/1000)</f>
        <v>23.81</v>
      </c>
      <c r="O69" s="61"/>
    </row>
    <row r="70" spans="2:15" x14ac:dyDescent="0.25">
      <c r="B70" s="57"/>
      <c r="C70" s="82" t="str">
        <f>OH_prices!C58</f>
        <v>August-2016</v>
      </c>
      <c r="D70" s="83" t="str">
        <f>OH_prices!D58</f>
        <v>OH</v>
      </c>
      <c r="E70" s="84" t="str">
        <f>OH_prices!E58</f>
        <v>AEP OH</v>
      </c>
      <c r="F70" s="83" t="str">
        <f>OH_prices!F58</f>
        <v>GS2</v>
      </c>
      <c r="G70" s="84" t="str">
        <f>OH_prices!G58</f>
        <v>General Service Medium</v>
      </c>
      <c r="H70" s="85" t="str">
        <f t="shared" ref="H70" si="53">IF($M$2="Prices in $/MWh","500-2500 MWh","500,000-2,500,000 kWh")</f>
        <v>500-2500 MWh</v>
      </c>
      <c r="I70" s="84">
        <f>(OH_prices!I58+$D$2)*IF($M$2="Prices in $/MWh",1,1/1000)</f>
        <v>57.03</v>
      </c>
      <c r="J70" s="83">
        <f>(OH_prices!J58+$D$2)*IF($M$2="Prices in $/MWh",1,1/1000)</f>
        <v>58.14</v>
      </c>
      <c r="K70" s="84">
        <f>(OH_prices!K58+$D$2)*IF($M$2="Prices in $/MWh",1,1/1000)</f>
        <v>59.29</v>
      </c>
      <c r="L70" s="83">
        <f>(OH_prices!L58+$D$2)*IF($M$2="Prices in $/MWh",1,1/1000)</f>
        <v>20.18</v>
      </c>
      <c r="M70" s="84">
        <f>(OH_prices!M58+$D$2)*IF($M$2="Prices in $/MWh",1,1/1000)</f>
        <v>21.86</v>
      </c>
      <c r="N70" s="83">
        <f>(OH_prices!N58+$D$2)*IF($M$2="Prices in $/MWh",1,1/1000)</f>
        <v>22.76</v>
      </c>
      <c r="O70" s="61"/>
    </row>
    <row r="71" spans="2:15" x14ac:dyDescent="0.25">
      <c r="B71" s="57"/>
      <c r="C71" s="74" t="str">
        <f>OH_prices!C59</f>
        <v>September-2016</v>
      </c>
      <c r="D71" s="75" t="str">
        <f>OH_prices!D59</f>
        <v>OH</v>
      </c>
      <c r="E71" s="76" t="str">
        <f>OH_prices!E59</f>
        <v>AEP OH</v>
      </c>
      <c r="F71" s="75" t="str">
        <f>OH_prices!F59</f>
        <v>GS2</v>
      </c>
      <c r="G71" s="76" t="str">
        <f>OH_prices!G59</f>
        <v>General Service Medium</v>
      </c>
      <c r="H71" s="77" t="str">
        <f t="shared" ref="H71" si="54">IF($M$2="Prices in $/MWh","0-100 MWh","0-100,000 kWh")</f>
        <v>0-100 MWh</v>
      </c>
      <c r="I71" s="76">
        <f>(OH_prices!I59+$D$2)*IF($M$2="Prices in $/MWh",1,1/1000)</f>
        <v>60.08</v>
      </c>
      <c r="J71" s="75">
        <f>(OH_prices!J59+$D$2)*IF($M$2="Prices in $/MWh",1,1/1000)</f>
        <v>61.26</v>
      </c>
      <c r="K71" s="76">
        <f>(OH_prices!K59+$D$2)*IF($M$2="Prices in $/MWh",1,1/1000)</f>
        <v>62.22</v>
      </c>
      <c r="L71" s="75">
        <f>(OH_prices!L59+$D$2)*IF($M$2="Prices in $/MWh",1,1/1000)</f>
        <v>23.33</v>
      </c>
      <c r="M71" s="76">
        <f>(OH_prices!M59+$D$2)*IF($M$2="Prices in $/MWh",1,1/1000)</f>
        <v>25</v>
      </c>
      <c r="N71" s="75">
        <f>(OH_prices!N59+$D$2)*IF($M$2="Prices in $/MWh",1,1/1000)</f>
        <v>25.75</v>
      </c>
      <c r="O71" s="61"/>
    </row>
    <row r="72" spans="2:15" x14ac:dyDescent="0.25">
      <c r="B72" s="57"/>
      <c r="C72" s="78" t="str">
        <f>OH_prices!C60</f>
        <v>September-2016</v>
      </c>
      <c r="D72" s="79" t="str">
        <f>OH_prices!D60</f>
        <v>OH</v>
      </c>
      <c r="E72" s="80" t="str">
        <f>OH_prices!E60</f>
        <v>AEP OH</v>
      </c>
      <c r="F72" s="79" t="str">
        <f>OH_prices!F60</f>
        <v>GS2</v>
      </c>
      <c r="G72" s="80" t="str">
        <f>OH_prices!G60</f>
        <v>General Service Medium</v>
      </c>
      <c r="H72" s="81" t="str">
        <f t="shared" ref="H72" si="55">IF($M$2="Prices in $/MWh","100-500 MWh","100,000-500,000 kWh")</f>
        <v>100-500 MWh</v>
      </c>
      <c r="I72" s="80">
        <f>(OH_prices!I60+$D$2)*IF($M$2="Prices in $/MWh",1,1/1000)</f>
        <v>58.48</v>
      </c>
      <c r="J72" s="79">
        <f>(OH_prices!J60+$D$2)*IF($M$2="Prices in $/MWh",1,1/1000)</f>
        <v>59.66</v>
      </c>
      <c r="K72" s="80">
        <f>(OH_prices!K60+$D$2)*IF($M$2="Prices in $/MWh",1,1/1000)</f>
        <v>60.62</v>
      </c>
      <c r="L72" s="79">
        <f>(OH_prices!L60+$D$2)*IF($M$2="Prices in $/MWh",1,1/1000)</f>
        <v>21.73</v>
      </c>
      <c r="M72" s="80">
        <f>(OH_prices!M60+$D$2)*IF($M$2="Prices in $/MWh",1,1/1000)</f>
        <v>23.4</v>
      </c>
      <c r="N72" s="79">
        <f>(OH_prices!N60+$D$2)*IF($M$2="Prices in $/MWh",1,1/1000)</f>
        <v>24.15</v>
      </c>
      <c r="O72" s="61"/>
    </row>
    <row r="73" spans="2:15" x14ac:dyDescent="0.25">
      <c r="B73" s="57"/>
      <c r="C73" s="82" t="str">
        <f>OH_prices!C61</f>
        <v>September-2016</v>
      </c>
      <c r="D73" s="83" t="str">
        <f>OH_prices!D61</f>
        <v>OH</v>
      </c>
      <c r="E73" s="84" t="str">
        <f>OH_prices!E61</f>
        <v>AEP OH</v>
      </c>
      <c r="F73" s="83" t="str">
        <f>OH_prices!F61</f>
        <v>GS2</v>
      </c>
      <c r="G73" s="84" t="str">
        <f>OH_prices!G61</f>
        <v>General Service Medium</v>
      </c>
      <c r="H73" s="85" t="str">
        <f t="shared" ref="H73" si="56">IF($M$2="Prices in $/MWh","500-2500 MWh","500,000-2,500,000 kWh")</f>
        <v>500-2500 MWh</v>
      </c>
      <c r="I73" s="84">
        <f>(OH_prices!I61+$D$2)*IF($M$2="Prices in $/MWh",1,1/1000)</f>
        <v>57.43</v>
      </c>
      <c r="J73" s="83">
        <f>(OH_prices!J61+$D$2)*IF($M$2="Prices in $/MWh",1,1/1000)</f>
        <v>58.61</v>
      </c>
      <c r="K73" s="84">
        <f>(OH_prices!K61+$D$2)*IF($M$2="Prices in $/MWh",1,1/1000)</f>
        <v>59.57</v>
      </c>
      <c r="L73" s="83">
        <f>(OH_prices!L61+$D$2)*IF($M$2="Prices in $/MWh",1,1/1000)</f>
        <v>20.68</v>
      </c>
      <c r="M73" s="84">
        <f>(OH_prices!M61+$D$2)*IF($M$2="Prices in $/MWh",1,1/1000)</f>
        <v>22.35</v>
      </c>
      <c r="N73" s="83">
        <f>(OH_prices!N61+$D$2)*IF($M$2="Prices in $/MWh",1,1/1000)</f>
        <v>23.1</v>
      </c>
      <c r="O73" s="61"/>
    </row>
    <row r="74" spans="2:15" x14ac:dyDescent="0.25">
      <c r="B74" s="57"/>
      <c r="C74" s="74" t="str">
        <f>OH_prices!C62</f>
        <v>October-2016</v>
      </c>
      <c r="D74" s="75" t="str">
        <f>OH_prices!D62</f>
        <v>OH</v>
      </c>
      <c r="E74" s="76" t="str">
        <f>OH_prices!E62</f>
        <v>AEP OH</v>
      </c>
      <c r="F74" s="75" t="str">
        <f>OH_prices!F62</f>
        <v>GS2</v>
      </c>
      <c r="G74" s="76" t="str">
        <f>OH_prices!G62</f>
        <v>General Service Medium</v>
      </c>
      <c r="H74" s="77" t="str">
        <f t="shared" ref="H74" si="57">IF($M$2="Prices in $/MWh","0-100 MWh","0-100,000 kWh")</f>
        <v>0-100 MWh</v>
      </c>
      <c r="I74" s="76">
        <f>(OH_prices!I62+$D$2)*IF($M$2="Prices in $/MWh",1,1/1000)</f>
        <v>60.51</v>
      </c>
      <c r="J74" s="75">
        <f>(OH_prices!J62+$D$2)*IF($M$2="Prices in $/MWh",1,1/1000)</f>
        <v>61.89</v>
      </c>
      <c r="K74" s="76">
        <f>(OH_prices!K62+$D$2)*IF($M$2="Prices in $/MWh",1,1/1000)</f>
        <v>62.47</v>
      </c>
      <c r="L74" s="75">
        <f>(OH_prices!L62+$D$2)*IF($M$2="Prices in $/MWh",1,1/1000)</f>
        <v>23.81</v>
      </c>
      <c r="M74" s="76">
        <f>(OH_prices!M62+$D$2)*IF($M$2="Prices in $/MWh",1,1/1000)</f>
        <v>25.44</v>
      </c>
      <c r="N74" s="75">
        <f>(OH_prices!N62+$D$2)*IF($M$2="Prices in $/MWh",1,1/1000)</f>
        <v>26.08</v>
      </c>
      <c r="O74" s="61"/>
    </row>
    <row r="75" spans="2:15" x14ac:dyDescent="0.25">
      <c r="B75" s="57"/>
      <c r="C75" s="78" t="str">
        <f>OH_prices!C63</f>
        <v>October-2016</v>
      </c>
      <c r="D75" s="79" t="str">
        <f>OH_prices!D63</f>
        <v>OH</v>
      </c>
      <c r="E75" s="80" t="str">
        <f>OH_prices!E63</f>
        <v>AEP OH</v>
      </c>
      <c r="F75" s="79" t="str">
        <f>OH_prices!F63</f>
        <v>GS2</v>
      </c>
      <c r="G75" s="80" t="str">
        <f>OH_prices!G63</f>
        <v>General Service Medium</v>
      </c>
      <c r="H75" s="81" t="str">
        <f t="shared" ref="H75" si="58">IF($M$2="Prices in $/MWh","100-500 MWh","100,000-500,000 kWh")</f>
        <v>100-500 MWh</v>
      </c>
      <c r="I75" s="80">
        <f>(OH_prices!I63+$D$2)*IF($M$2="Prices in $/MWh",1,1/1000)</f>
        <v>58.91</v>
      </c>
      <c r="J75" s="79">
        <f>(OH_prices!J63+$D$2)*IF($M$2="Prices in $/MWh",1,1/1000)</f>
        <v>60.29</v>
      </c>
      <c r="K75" s="80">
        <f>(OH_prices!K63+$D$2)*IF($M$2="Prices in $/MWh",1,1/1000)</f>
        <v>60.87</v>
      </c>
      <c r="L75" s="79">
        <f>(OH_prices!L63+$D$2)*IF($M$2="Prices in $/MWh",1,1/1000)</f>
        <v>22.21</v>
      </c>
      <c r="M75" s="80">
        <f>(OH_prices!M63+$D$2)*IF($M$2="Prices in $/MWh",1,1/1000)</f>
        <v>23.84</v>
      </c>
      <c r="N75" s="79">
        <f>(OH_prices!N63+$D$2)*IF($M$2="Prices in $/MWh",1,1/1000)</f>
        <v>24.48</v>
      </c>
      <c r="O75" s="61"/>
    </row>
    <row r="76" spans="2:15" x14ac:dyDescent="0.25">
      <c r="B76" s="57"/>
      <c r="C76" s="82" t="str">
        <f>OH_prices!C64</f>
        <v>October-2016</v>
      </c>
      <c r="D76" s="83" t="str">
        <f>OH_prices!D64</f>
        <v>OH</v>
      </c>
      <c r="E76" s="84" t="str">
        <f>OH_prices!E64</f>
        <v>AEP OH</v>
      </c>
      <c r="F76" s="83" t="str">
        <f>OH_prices!F64</f>
        <v>GS2</v>
      </c>
      <c r="G76" s="84" t="str">
        <f>OH_prices!G64</f>
        <v>General Service Medium</v>
      </c>
      <c r="H76" s="85" t="str">
        <f t="shared" ref="H76" si="59">IF($M$2="Prices in $/MWh","500-2500 MWh","500,000-2,500,000 kWh")</f>
        <v>500-2500 MWh</v>
      </c>
      <c r="I76" s="84">
        <f>(OH_prices!I64+$D$2)*IF($M$2="Prices in $/MWh",1,1/1000)</f>
        <v>57.86</v>
      </c>
      <c r="J76" s="83">
        <f>(OH_prices!J64+$D$2)*IF($M$2="Prices in $/MWh",1,1/1000)</f>
        <v>59.24</v>
      </c>
      <c r="K76" s="84">
        <f>(OH_prices!K64+$D$2)*IF($M$2="Prices in $/MWh",1,1/1000)</f>
        <v>59.82</v>
      </c>
      <c r="L76" s="83">
        <f>(OH_prices!L64+$D$2)*IF($M$2="Prices in $/MWh",1,1/1000)</f>
        <v>21.16</v>
      </c>
      <c r="M76" s="84">
        <f>(OH_prices!M64+$D$2)*IF($M$2="Prices in $/MWh",1,1/1000)</f>
        <v>22.79</v>
      </c>
      <c r="N76" s="83">
        <f>(OH_prices!N64+$D$2)*IF($M$2="Prices in $/MWh",1,1/1000)</f>
        <v>23.43</v>
      </c>
      <c r="O76" s="61"/>
    </row>
    <row r="77" spans="2:15" x14ac:dyDescent="0.25">
      <c r="B77" s="57"/>
      <c r="C77" s="74" t="str">
        <f>OH_prices!C65</f>
        <v>November-2016</v>
      </c>
      <c r="D77" s="75" t="str">
        <f>OH_prices!D65</f>
        <v>OH</v>
      </c>
      <c r="E77" s="76" t="str">
        <f>OH_prices!E65</f>
        <v>AEP OH</v>
      </c>
      <c r="F77" s="75" t="str">
        <f>OH_prices!F65</f>
        <v>GS2</v>
      </c>
      <c r="G77" s="76" t="str">
        <f>OH_prices!G65</f>
        <v>General Service Medium</v>
      </c>
      <c r="H77" s="77" t="str">
        <f t="shared" ref="H77" si="60">IF($M$2="Prices in $/MWh","0-100 MWh","0-100,000 kWh")</f>
        <v>0-100 MWh</v>
      </c>
      <c r="I77" s="76">
        <f>(OH_prices!I65+$D$2)*IF($M$2="Prices in $/MWh",1,1/1000)</f>
        <v>60.98</v>
      </c>
      <c r="J77" s="75">
        <f>(OH_prices!J65+$D$2)*IF($M$2="Prices in $/MWh",1,1/1000)</f>
        <v>62.28</v>
      </c>
      <c r="K77" s="76">
        <f>(OH_prices!K65+$D$2)*IF($M$2="Prices in $/MWh",1,1/1000)</f>
        <v>62.79</v>
      </c>
      <c r="L77" s="75">
        <f>(OH_prices!L65+$D$2)*IF($M$2="Prices in $/MWh",1,1/1000)</f>
        <v>24.3</v>
      </c>
      <c r="M77" s="76">
        <f>(OH_prices!M65+$D$2)*IF($M$2="Prices in $/MWh",1,1/1000)</f>
        <v>25.76</v>
      </c>
      <c r="N77" s="75">
        <f>(OH_prices!N65+$D$2)*IF($M$2="Prices in $/MWh",1,1/1000)</f>
        <v>26.41</v>
      </c>
      <c r="O77" s="61"/>
    </row>
    <row r="78" spans="2:15" x14ac:dyDescent="0.25">
      <c r="B78" s="57"/>
      <c r="C78" s="78" t="str">
        <f>OH_prices!C66</f>
        <v>November-2016</v>
      </c>
      <c r="D78" s="79" t="str">
        <f>OH_prices!D66</f>
        <v>OH</v>
      </c>
      <c r="E78" s="80" t="str">
        <f>OH_prices!E66</f>
        <v>AEP OH</v>
      </c>
      <c r="F78" s="79" t="str">
        <f>OH_prices!F66</f>
        <v>GS2</v>
      </c>
      <c r="G78" s="80" t="str">
        <f>OH_prices!G66</f>
        <v>General Service Medium</v>
      </c>
      <c r="H78" s="81" t="str">
        <f t="shared" ref="H78" si="61">IF($M$2="Prices in $/MWh","100-500 MWh","100,000-500,000 kWh")</f>
        <v>100-500 MWh</v>
      </c>
      <c r="I78" s="80">
        <f>(OH_prices!I66+$D$2)*IF($M$2="Prices in $/MWh",1,1/1000)</f>
        <v>59.38</v>
      </c>
      <c r="J78" s="79">
        <f>(OH_prices!J66+$D$2)*IF($M$2="Prices in $/MWh",1,1/1000)</f>
        <v>60.68</v>
      </c>
      <c r="K78" s="80">
        <f>(OH_prices!K66+$D$2)*IF($M$2="Prices in $/MWh",1,1/1000)</f>
        <v>61.19</v>
      </c>
      <c r="L78" s="79">
        <f>(OH_prices!L66+$D$2)*IF($M$2="Prices in $/MWh",1,1/1000)</f>
        <v>22.7</v>
      </c>
      <c r="M78" s="80">
        <f>(OH_prices!M66+$D$2)*IF($M$2="Prices in $/MWh",1,1/1000)</f>
        <v>24.16</v>
      </c>
      <c r="N78" s="79">
        <f>(OH_prices!N66+$D$2)*IF($M$2="Prices in $/MWh",1,1/1000)</f>
        <v>24.81</v>
      </c>
      <c r="O78" s="61"/>
    </row>
    <row r="79" spans="2:15" x14ac:dyDescent="0.25">
      <c r="B79" s="57"/>
      <c r="C79" s="82" t="str">
        <f>OH_prices!C67</f>
        <v>November-2016</v>
      </c>
      <c r="D79" s="83" t="str">
        <f>OH_prices!D67</f>
        <v>OH</v>
      </c>
      <c r="E79" s="84" t="str">
        <f>OH_prices!E67</f>
        <v>AEP OH</v>
      </c>
      <c r="F79" s="83" t="str">
        <f>OH_prices!F67</f>
        <v>GS2</v>
      </c>
      <c r="G79" s="84" t="str">
        <f>OH_prices!G67</f>
        <v>General Service Medium</v>
      </c>
      <c r="H79" s="85" t="str">
        <f t="shared" ref="H79" si="62">IF($M$2="Prices in $/MWh","500-2500 MWh","500,000-2,500,000 kWh")</f>
        <v>500-2500 MWh</v>
      </c>
      <c r="I79" s="84">
        <f>(OH_prices!I67+$D$2)*IF($M$2="Prices in $/MWh",1,1/1000)</f>
        <v>58.33</v>
      </c>
      <c r="J79" s="83">
        <f>(OH_prices!J67+$D$2)*IF($M$2="Prices in $/MWh",1,1/1000)</f>
        <v>59.63</v>
      </c>
      <c r="K79" s="84">
        <f>(OH_prices!K67+$D$2)*IF($M$2="Prices in $/MWh",1,1/1000)</f>
        <v>60.14</v>
      </c>
      <c r="L79" s="83">
        <f>(OH_prices!L67+$D$2)*IF($M$2="Prices in $/MWh",1,1/1000)</f>
        <v>21.65</v>
      </c>
      <c r="M79" s="84">
        <f>(OH_prices!M67+$D$2)*IF($M$2="Prices in $/MWh",1,1/1000)</f>
        <v>23.11</v>
      </c>
      <c r="N79" s="83">
        <f>(OH_prices!N67+$D$2)*IF($M$2="Prices in $/MWh",1,1/1000)</f>
        <v>23.76</v>
      </c>
      <c r="O79" s="61"/>
    </row>
    <row r="80" spans="2:15" x14ac:dyDescent="0.25">
      <c r="B80" s="57"/>
      <c r="C80" s="74" t="str">
        <f>OH_prices!C68</f>
        <v>December-2016</v>
      </c>
      <c r="D80" s="75" t="str">
        <f>OH_prices!D68</f>
        <v>OH</v>
      </c>
      <c r="E80" s="76" t="str">
        <f>OH_prices!E68</f>
        <v>AEP OH</v>
      </c>
      <c r="F80" s="75" t="str">
        <f>OH_prices!F68</f>
        <v>GS2</v>
      </c>
      <c r="G80" s="76" t="str">
        <f>OH_prices!G68</f>
        <v>General Service Medium</v>
      </c>
      <c r="H80" s="77" t="str">
        <f t="shared" ref="H80" si="63">IF($M$2="Prices in $/MWh","0-100 MWh","0-100,000 kWh")</f>
        <v>0-100 MWh</v>
      </c>
      <c r="I80" s="76">
        <f>(OH_prices!I68+$D$2)*IF($M$2="Prices in $/MWh",1,1/1000)</f>
        <v>61.37</v>
      </c>
      <c r="J80" s="75">
        <f>(OH_prices!J68+$D$2)*IF($M$2="Prices in $/MWh",1,1/1000)</f>
        <v>62.68</v>
      </c>
      <c r="K80" s="76">
        <f>(OH_prices!K68+$D$2)*IF($M$2="Prices in $/MWh",1,1/1000)</f>
        <v>63.04</v>
      </c>
      <c r="L80" s="75">
        <f>(OH_prices!L68+$D$2)*IF($M$2="Prices in $/MWh",1,1/1000)</f>
        <v>24.75</v>
      </c>
      <c r="M80" s="76">
        <f>(OH_prices!M68+$D$2)*IF($M$2="Prices in $/MWh",1,1/1000)</f>
        <v>25.99</v>
      </c>
      <c r="N80" s="75">
        <f>(OH_prices!N68+$D$2)*IF($M$2="Prices in $/MWh",1,1/1000)</f>
        <v>26.72</v>
      </c>
      <c r="O80" s="61"/>
    </row>
    <row r="81" spans="2:15" x14ac:dyDescent="0.25">
      <c r="B81" s="57"/>
      <c r="C81" s="78" t="str">
        <f>OH_prices!C69</f>
        <v>December-2016</v>
      </c>
      <c r="D81" s="79" t="str">
        <f>OH_prices!D69</f>
        <v>OH</v>
      </c>
      <c r="E81" s="80" t="str">
        <f>OH_prices!E69</f>
        <v>AEP OH</v>
      </c>
      <c r="F81" s="79" t="str">
        <f>OH_prices!F69</f>
        <v>GS2</v>
      </c>
      <c r="G81" s="80" t="str">
        <f>OH_prices!G69</f>
        <v>General Service Medium</v>
      </c>
      <c r="H81" s="81" t="str">
        <f t="shared" ref="H81" si="64">IF($M$2="Prices in $/MWh","100-500 MWh","100,000-500,000 kWh")</f>
        <v>100-500 MWh</v>
      </c>
      <c r="I81" s="80">
        <f>(OH_prices!I69+$D$2)*IF($M$2="Prices in $/MWh",1,1/1000)</f>
        <v>59.77</v>
      </c>
      <c r="J81" s="79">
        <f>(OH_prices!J69+$D$2)*IF($M$2="Prices in $/MWh",1,1/1000)</f>
        <v>61.08</v>
      </c>
      <c r="K81" s="80">
        <f>(OH_prices!K69+$D$2)*IF($M$2="Prices in $/MWh",1,1/1000)</f>
        <v>61.44</v>
      </c>
      <c r="L81" s="79">
        <f>(OH_prices!L69+$D$2)*IF($M$2="Prices in $/MWh",1,1/1000)</f>
        <v>23.15</v>
      </c>
      <c r="M81" s="80">
        <f>(OH_prices!M69+$D$2)*IF($M$2="Prices in $/MWh",1,1/1000)</f>
        <v>24.39</v>
      </c>
      <c r="N81" s="79">
        <f>(OH_prices!N69+$D$2)*IF($M$2="Prices in $/MWh",1,1/1000)</f>
        <v>25.12</v>
      </c>
      <c r="O81" s="61"/>
    </row>
    <row r="82" spans="2:15" x14ac:dyDescent="0.25">
      <c r="B82" s="57"/>
      <c r="C82" s="82" t="str">
        <f>OH_prices!C70</f>
        <v>December-2016</v>
      </c>
      <c r="D82" s="83" t="str">
        <f>OH_prices!D70</f>
        <v>OH</v>
      </c>
      <c r="E82" s="84" t="str">
        <f>OH_prices!E70</f>
        <v>AEP OH</v>
      </c>
      <c r="F82" s="83" t="str">
        <f>OH_prices!F70</f>
        <v>GS2</v>
      </c>
      <c r="G82" s="84" t="str">
        <f>OH_prices!G70</f>
        <v>General Service Medium</v>
      </c>
      <c r="H82" s="85" t="str">
        <f t="shared" ref="H82" si="65">IF($M$2="Prices in $/MWh","500-2500 MWh","500,000-2,500,000 kWh")</f>
        <v>500-2500 MWh</v>
      </c>
      <c r="I82" s="84">
        <f>(OH_prices!I70+$D$2)*IF($M$2="Prices in $/MWh",1,1/1000)</f>
        <v>58.72</v>
      </c>
      <c r="J82" s="83">
        <f>(OH_prices!J70+$D$2)*IF($M$2="Prices in $/MWh",1,1/1000)</f>
        <v>60.03</v>
      </c>
      <c r="K82" s="84">
        <f>(OH_prices!K70+$D$2)*IF($M$2="Prices in $/MWh",1,1/1000)</f>
        <v>60.39</v>
      </c>
      <c r="L82" s="83">
        <f>(OH_prices!L70+$D$2)*IF($M$2="Prices in $/MWh",1,1/1000)</f>
        <v>22.1</v>
      </c>
      <c r="M82" s="84">
        <f>(OH_prices!M70+$D$2)*IF($M$2="Prices in $/MWh",1,1/1000)</f>
        <v>23.34</v>
      </c>
      <c r="N82" s="83">
        <f>(OH_prices!N70+$D$2)*IF($M$2="Prices in $/MWh",1,1/1000)</f>
        <v>24.07</v>
      </c>
      <c r="O82" s="61"/>
    </row>
    <row r="83" spans="2:15" x14ac:dyDescent="0.25">
      <c r="B83" s="57"/>
      <c r="C83" s="74" t="str">
        <f>OH_prices!C71</f>
        <v>January-2017</v>
      </c>
      <c r="D83" s="75" t="str">
        <f>OH_prices!D71</f>
        <v>OH</v>
      </c>
      <c r="E83" s="76" t="str">
        <f>OH_prices!E71</f>
        <v>AEP OH</v>
      </c>
      <c r="F83" s="75" t="str">
        <f>OH_prices!F71</f>
        <v>GS2</v>
      </c>
      <c r="G83" s="76" t="str">
        <f>OH_prices!G71</f>
        <v>General Service Medium</v>
      </c>
      <c r="H83" s="77" t="str">
        <f t="shared" ref="H83" si="66">IF($M$2="Prices in $/MWh","0-100 MWh","0-100,000 kWh")</f>
        <v>0-100 MWh</v>
      </c>
      <c r="I83" s="76">
        <f>(OH_prices!I71+$D$2)*IF($M$2="Prices in $/MWh",1,1/1000)</f>
        <v>61.8</v>
      </c>
      <c r="J83" s="75">
        <f>(OH_prices!J71+$D$2)*IF($M$2="Prices in $/MWh",1,1/1000)</f>
        <v>63.07</v>
      </c>
      <c r="K83" s="76">
        <f>(OH_prices!K71+$D$2)*IF($M$2="Prices in $/MWh",1,1/1000)</f>
        <v>63.38</v>
      </c>
      <c r="L83" s="75">
        <f>(OH_prices!L71+$D$2)*IF($M$2="Prices in $/MWh",1,1/1000)</f>
        <v>25.26</v>
      </c>
      <c r="M83" s="76">
        <f>(OH_prices!M71+$D$2)*IF($M$2="Prices in $/MWh",1,1/1000)</f>
        <v>26.33</v>
      </c>
      <c r="N83" s="75">
        <f>(OH_prices!N71+$D$2)*IF($M$2="Prices in $/MWh",1,1/1000)</f>
        <v>27.07</v>
      </c>
      <c r="O83" s="61"/>
    </row>
    <row r="84" spans="2:15" x14ac:dyDescent="0.25">
      <c r="B84" s="57"/>
      <c r="C84" s="78" t="str">
        <f>OH_prices!C72</f>
        <v>January-2017</v>
      </c>
      <c r="D84" s="79" t="str">
        <f>OH_prices!D72</f>
        <v>OH</v>
      </c>
      <c r="E84" s="80" t="str">
        <f>OH_prices!E72</f>
        <v>AEP OH</v>
      </c>
      <c r="F84" s="79" t="str">
        <f>OH_prices!F72</f>
        <v>GS2</v>
      </c>
      <c r="G84" s="80" t="str">
        <f>OH_prices!G72</f>
        <v>General Service Medium</v>
      </c>
      <c r="H84" s="81" t="str">
        <f t="shared" ref="H84" si="67">IF($M$2="Prices in $/MWh","100-500 MWh","100,000-500,000 kWh")</f>
        <v>100-500 MWh</v>
      </c>
      <c r="I84" s="80">
        <f>(OH_prices!I72+$D$2)*IF($M$2="Prices in $/MWh",1,1/1000)</f>
        <v>60.2</v>
      </c>
      <c r="J84" s="79">
        <f>(OH_prices!J72+$D$2)*IF($M$2="Prices in $/MWh",1,1/1000)</f>
        <v>61.47</v>
      </c>
      <c r="K84" s="80">
        <f>(OH_prices!K72+$D$2)*IF($M$2="Prices in $/MWh",1,1/1000)</f>
        <v>61.78</v>
      </c>
      <c r="L84" s="79">
        <f>(OH_prices!L72+$D$2)*IF($M$2="Prices in $/MWh",1,1/1000)</f>
        <v>23.66</v>
      </c>
      <c r="M84" s="80">
        <f>(OH_prices!M72+$D$2)*IF($M$2="Prices in $/MWh",1,1/1000)</f>
        <v>24.73</v>
      </c>
      <c r="N84" s="79">
        <f>(OH_prices!N72+$D$2)*IF($M$2="Prices in $/MWh",1,1/1000)</f>
        <v>25.47</v>
      </c>
      <c r="O84" s="61"/>
    </row>
    <row r="85" spans="2:15" x14ac:dyDescent="0.25">
      <c r="B85" s="57"/>
      <c r="C85" s="82" t="str">
        <f>OH_prices!C73</f>
        <v>January-2017</v>
      </c>
      <c r="D85" s="83" t="str">
        <f>OH_prices!D73</f>
        <v>OH</v>
      </c>
      <c r="E85" s="84" t="str">
        <f>OH_prices!E73</f>
        <v>AEP OH</v>
      </c>
      <c r="F85" s="83" t="str">
        <f>OH_prices!F73</f>
        <v>GS2</v>
      </c>
      <c r="G85" s="84" t="str">
        <f>OH_prices!G73</f>
        <v>General Service Medium</v>
      </c>
      <c r="H85" s="85" t="str">
        <f t="shared" ref="H85" si="68">IF($M$2="Prices in $/MWh","500-2500 MWh","500,000-2,500,000 kWh")</f>
        <v>500-2500 MWh</v>
      </c>
      <c r="I85" s="84">
        <f>(OH_prices!I73+$D$2)*IF($M$2="Prices in $/MWh",1,1/1000)</f>
        <v>59.15</v>
      </c>
      <c r="J85" s="83">
        <f>(OH_prices!J73+$D$2)*IF($M$2="Prices in $/MWh",1,1/1000)</f>
        <v>60.42</v>
      </c>
      <c r="K85" s="84">
        <f>(OH_prices!K73+$D$2)*IF($M$2="Prices in $/MWh",1,1/1000)</f>
        <v>60.73</v>
      </c>
      <c r="L85" s="83">
        <f>(OH_prices!L73+$D$2)*IF($M$2="Prices in $/MWh",1,1/1000)</f>
        <v>22.61</v>
      </c>
      <c r="M85" s="84">
        <f>(OH_prices!M73+$D$2)*IF($M$2="Prices in $/MWh",1,1/1000)</f>
        <v>23.68</v>
      </c>
      <c r="N85" s="83">
        <f>(OH_prices!N73+$D$2)*IF($M$2="Prices in $/MWh",1,1/1000)</f>
        <v>24.42</v>
      </c>
      <c r="O85" s="61"/>
    </row>
    <row r="86" spans="2:15" x14ac:dyDescent="0.25">
      <c r="B86" s="57"/>
      <c r="C86" s="74" t="str">
        <f>OH_prices!C74</f>
        <v>February-2016</v>
      </c>
      <c r="D86" s="75" t="str">
        <f>OH_prices!D74</f>
        <v>OH</v>
      </c>
      <c r="E86" s="76" t="str">
        <f>OH_prices!E74</f>
        <v>AEP OH</v>
      </c>
      <c r="F86" s="75" t="str">
        <f>OH_prices!F74</f>
        <v>GS3</v>
      </c>
      <c r="G86" s="76" t="str">
        <f>OH_prices!G74</f>
        <v>General Service Large</v>
      </c>
      <c r="H86" s="77" t="str">
        <f t="shared" ref="H86" si="69">IF($M$2="Prices in $/MWh","0-100 MWh","0-100,000 kWh")</f>
        <v>0-100 MWh</v>
      </c>
      <c r="I86" s="76">
        <f>(OH_prices!I74+$D$2)*IF($M$2="Prices in $/MWh",1,1/1000)</f>
        <v>58.75</v>
      </c>
      <c r="J86" s="75">
        <f>(OH_prices!J74+$D$2)*IF($M$2="Prices in $/MWh",1,1/1000)</f>
        <v>59.38</v>
      </c>
      <c r="K86" s="76">
        <f>(OH_prices!K74+$D$2)*IF($M$2="Prices in $/MWh",1,1/1000)</f>
        <v>60.07</v>
      </c>
      <c r="L86" s="75">
        <f>(OH_prices!L74+$D$2)*IF($M$2="Prices in $/MWh",1,1/1000)</f>
        <v>23.14</v>
      </c>
      <c r="M86" s="76">
        <f>(OH_prices!M74+$D$2)*IF($M$2="Prices in $/MWh",1,1/1000)</f>
        <v>23.34</v>
      </c>
      <c r="N86" s="75">
        <f>(OH_prices!N74+$D$2)*IF($M$2="Prices in $/MWh",1,1/1000)</f>
        <v>24.42</v>
      </c>
      <c r="O86" s="61"/>
    </row>
    <row r="87" spans="2:15" x14ac:dyDescent="0.25">
      <c r="B87" s="57"/>
      <c r="C87" s="78" t="str">
        <f>OH_prices!C75</f>
        <v>February-2016</v>
      </c>
      <c r="D87" s="79" t="str">
        <f>OH_prices!D75</f>
        <v>OH</v>
      </c>
      <c r="E87" s="80" t="str">
        <f>OH_prices!E75</f>
        <v>AEP OH</v>
      </c>
      <c r="F87" s="79" t="str">
        <f>OH_prices!F75</f>
        <v>GS3</v>
      </c>
      <c r="G87" s="80" t="str">
        <f>OH_prices!G75</f>
        <v>General Service Large</v>
      </c>
      <c r="H87" s="81" t="str">
        <f t="shared" ref="H87" si="70">IF($M$2="Prices in $/MWh","100-500 MWh","100,000-500,000 kWh")</f>
        <v>100-500 MWh</v>
      </c>
      <c r="I87" s="80">
        <f>(OH_prices!I75+$D$2)*IF($M$2="Prices in $/MWh",1,1/1000)</f>
        <v>57.15</v>
      </c>
      <c r="J87" s="79">
        <f>(OH_prices!J75+$D$2)*IF($M$2="Prices in $/MWh",1,1/1000)</f>
        <v>57.78</v>
      </c>
      <c r="K87" s="80">
        <f>(OH_prices!K75+$D$2)*IF($M$2="Prices in $/MWh",1,1/1000)</f>
        <v>58.47</v>
      </c>
      <c r="L87" s="79">
        <f>(OH_prices!L75+$D$2)*IF($M$2="Prices in $/MWh",1,1/1000)</f>
        <v>21.54</v>
      </c>
      <c r="M87" s="80">
        <f>(OH_prices!M75+$D$2)*IF($M$2="Prices in $/MWh",1,1/1000)</f>
        <v>21.74</v>
      </c>
      <c r="N87" s="79">
        <f>(OH_prices!N75+$D$2)*IF($M$2="Prices in $/MWh",1,1/1000)</f>
        <v>22.82</v>
      </c>
      <c r="O87" s="61"/>
    </row>
    <row r="88" spans="2:15" x14ac:dyDescent="0.25">
      <c r="B88" s="57"/>
      <c r="C88" s="82" t="str">
        <f>OH_prices!C76</f>
        <v>February-2016</v>
      </c>
      <c r="D88" s="83" t="str">
        <f>OH_prices!D76</f>
        <v>OH</v>
      </c>
      <c r="E88" s="84" t="str">
        <f>OH_prices!E76</f>
        <v>AEP OH</v>
      </c>
      <c r="F88" s="83" t="str">
        <f>OH_prices!F76</f>
        <v>GS3</v>
      </c>
      <c r="G88" s="84" t="str">
        <f>OH_prices!G76</f>
        <v>General Service Large</v>
      </c>
      <c r="H88" s="85" t="str">
        <f t="shared" ref="H88" si="71">IF($M$2="Prices in $/MWh","500-2500 MWh","500,000-2,500,000 kWh")</f>
        <v>500-2500 MWh</v>
      </c>
      <c r="I88" s="84">
        <f>(OH_prices!I76+$D$2)*IF($M$2="Prices in $/MWh",1,1/1000)</f>
        <v>56.1</v>
      </c>
      <c r="J88" s="83">
        <f>(OH_prices!J76+$D$2)*IF($M$2="Prices in $/MWh",1,1/1000)</f>
        <v>56.73</v>
      </c>
      <c r="K88" s="84">
        <f>(OH_prices!K76+$D$2)*IF($M$2="Prices in $/MWh",1,1/1000)</f>
        <v>57.42</v>
      </c>
      <c r="L88" s="83">
        <f>(OH_prices!L76+$D$2)*IF($M$2="Prices in $/MWh",1,1/1000)</f>
        <v>20.49</v>
      </c>
      <c r="M88" s="84">
        <f>(OH_prices!M76+$D$2)*IF($M$2="Prices in $/MWh",1,1/1000)</f>
        <v>20.69</v>
      </c>
      <c r="N88" s="83">
        <f>(OH_prices!N76+$D$2)*IF($M$2="Prices in $/MWh",1,1/1000)</f>
        <v>21.77</v>
      </c>
      <c r="O88" s="61"/>
    </row>
    <row r="89" spans="2:15" x14ac:dyDescent="0.25">
      <c r="B89" s="57"/>
      <c r="C89" s="74" t="str">
        <f>OH_prices!C77</f>
        <v>March-2016</v>
      </c>
      <c r="D89" s="75" t="str">
        <f>OH_prices!D77</f>
        <v>OH</v>
      </c>
      <c r="E89" s="76" t="str">
        <f>OH_prices!E77</f>
        <v>AEP OH</v>
      </c>
      <c r="F89" s="75" t="str">
        <f>OH_prices!F77</f>
        <v>GS3</v>
      </c>
      <c r="G89" s="76" t="str">
        <f>OH_prices!G77</f>
        <v>General Service Large</v>
      </c>
      <c r="H89" s="77" t="str">
        <f t="shared" ref="H89" si="72">IF($M$2="Prices in $/MWh","0-100 MWh","0-100,000 kWh")</f>
        <v>0-100 MWh</v>
      </c>
      <c r="I89" s="76">
        <f>(OH_prices!I77+$D$2)*IF($M$2="Prices in $/MWh",1,1/1000)</f>
        <v>58.6</v>
      </c>
      <c r="J89" s="75">
        <f>(OH_prices!J77+$D$2)*IF($M$2="Prices in $/MWh",1,1/1000)</f>
        <v>59.24</v>
      </c>
      <c r="K89" s="76">
        <f>(OH_prices!K77+$D$2)*IF($M$2="Prices in $/MWh",1,1/1000)</f>
        <v>60.2</v>
      </c>
      <c r="L89" s="75">
        <f>(OH_prices!L77+$D$2)*IF($M$2="Prices in $/MWh",1,1/1000)</f>
        <v>22.83</v>
      </c>
      <c r="M89" s="76">
        <f>(OH_prices!M77+$D$2)*IF($M$2="Prices in $/MWh",1,1/1000)</f>
        <v>23.22</v>
      </c>
      <c r="N89" s="75">
        <f>(OH_prices!N77+$D$2)*IF($M$2="Prices in $/MWh",1,1/1000)</f>
        <v>24.49</v>
      </c>
      <c r="O89" s="61"/>
    </row>
    <row r="90" spans="2:15" x14ac:dyDescent="0.25">
      <c r="B90" s="57"/>
      <c r="C90" s="78" t="str">
        <f>OH_prices!C78</f>
        <v>March-2016</v>
      </c>
      <c r="D90" s="79" t="str">
        <f>OH_prices!D78</f>
        <v>OH</v>
      </c>
      <c r="E90" s="80" t="str">
        <f>OH_prices!E78</f>
        <v>AEP OH</v>
      </c>
      <c r="F90" s="79" t="str">
        <f>OH_prices!F78</f>
        <v>GS3</v>
      </c>
      <c r="G90" s="80" t="str">
        <f>OH_prices!G78</f>
        <v>General Service Large</v>
      </c>
      <c r="H90" s="81" t="str">
        <f t="shared" ref="H90" si="73">IF($M$2="Prices in $/MWh","100-500 MWh","100,000-500,000 kWh")</f>
        <v>100-500 MWh</v>
      </c>
      <c r="I90" s="80">
        <f>(OH_prices!I78+$D$2)*IF($M$2="Prices in $/MWh",1,1/1000)</f>
        <v>57</v>
      </c>
      <c r="J90" s="79">
        <f>(OH_prices!J78+$D$2)*IF($M$2="Prices in $/MWh",1,1/1000)</f>
        <v>57.64</v>
      </c>
      <c r="K90" s="80">
        <f>(OH_prices!K78+$D$2)*IF($M$2="Prices in $/MWh",1,1/1000)</f>
        <v>58.6</v>
      </c>
      <c r="L90" s="79">
        <f>(OH_prices!L78+$D$2)*IF($M$2="Prices in $/MWh",1,1/1000)</f>
        <v>21.23</v>
      </c>
      <c r="M90" s="80">
        <f>(OH_prices!M78+$D$2)*IF($M$2="Prices in $/MWh",1,1/1000)</f>
        <v>21.62</v>
      </c>
      <c r="N90" s="79">
        <f>(OH_prices!N78+$D$2)*IF($M$2="Prices in $/MWh",1,1/1000)</f>
        <v>22.89</v>
      </c>
      <c r="O90" s="61"/>
    </row>
    <row r="91" spans="2:15" x14ac:dyDescent="0.25">
      <c r="B91" s="57"/>
      <c r="C91" s="82" t="str">
        <f>OH_prices!C79</f>
        <v>March-2016</v>
      </c>
      <c r="D91" s="83" t="str">
        <f>OH_prices!D79</f>
        <v>OH</v>
      </c>
      <c r="E91" s="84" t="str">
        <f>OH_prices!E79</f>
        <v>AEP OH</v>
      </c>
      <c r="F91" s="83" t="str">
        <f>OH_prices!F79</f>
        <v>GS3</v>
      </c>
      <c r="G91" s="84" t="str">
        <f>OH_prices!G79</f>
        <v>General Service Large</v>
      </c>
      <c r="H91" s="85" t="str">
        <f t="shared" ref="H91" si="74">IF($M$2="Prices in $/MWh","500-2500 MWh","500,000-2,500,000 kWh")</f>
        <v>500-2500 MWh</v>
      </c>
      <c r="I91" s="84">
        <f>(OH_prices!I79+$D$2)*IF($M$2="Prices in $/MWh",1,1/1000)</f>
        <v>55.95</v>
      </c>
      <c r="J91" s="83">
        <f>(OH_prices!J79+$D$2)*IF($M$2="Prices in $/MWh",1,1/1000)</f>
        <v>56.59</v>
      </c>
      <c r="K91" s="84">
        <f>(OH_prices!K79+$D$2)*IF($M$2="Prices in $/MWh",1,1/1000)</f>
        <v>57.55</v>
      </c>
      <c r="L91" s="83">
        <f>(OH_prices!L79+$D$2)*IF($M$2="Prices in $/MWh",1,1/1000)</f>
        <v>20.18</v>
      </c>
      <c r="M91" s="84">
        <f>(OH_prices!M79+$D$2)*IF($M$2="Prices in $/MWh",1,1/1000)</f>
        <v>20.57</v>
      </c>
      <c r="N91" s="83">
        <f>(OH_prices!N79+$D$2)*IF($M$2="Prices in $/MWh",1,1/1000)</f>
        <v>21.84</v>
      </c>
      <c r="O91" s="61"/>
    </row>
    <row r="92" spans="2:15" x14ac:dyDescent="0.25">
      <c r="B92" s="57"/>
      <c r="C92" s="74" t="str">
        <f>OH_prices!C80</f>
        <v>April-2016</v>
      </c>
      <c r="D92" s="75" t="str">
        <f>OH_prices!D80</f>
        <v>OH</v>
      </c>
      <c r="E92" s="76" t="str">
        <f>OH_prices!E80</f>
        <v>AEP OH</v>
      </c>
      <c r="F92" s="75" t="str">
        <f>OH_prices!F80</f>
        <v>GS3</v>
      </c>
      <c r="G92" s="76" t="str">
        <f>OH_prices!G80</f>
        <v>General Service Large</v>
      </c>
      <c r="H92" s="77" t="str">
        <f t="shared" ref="H92" si="75">IF($M$2="Prices in $/MWh","0-100 MWh","0-100,000 kWh")</f>
        <v>0-100 MWh</v>
      </c>
      <c r="I92" s="76">
        <f>(OH_prices!I80+$D$2)*IF($M$2="Prices in $/MWh",1,1/1000)</f>
        <v>58.46</v>
      </c>
      <c r="J92" s="75">
        <f>(OH_prices!J80+$D$2)*IF($M$2="Prices in $/MWh",1,1/1000)</f>
        <v>59.03</v>
      </c>
      <c r="K92" s="76">
        <f>(OH_prices!K80+$D$2)*IF($M$2="Prices in $/MWh",1,1/1000)</f>
        <v>60.35</v>
      </c>
      <c r="L92" s="75">
        <f>(OH_prices!L80+$D$2)*IF($M$2="Prices in $/MWh",1,1/1000)</f>
        <v>22.51</v>
      </c>
      <c r="M92" s="76">
        <f>(OH_prices!M80+$D$2)*IF($M$2="Prices in $/MWh",1,1/1000)</f>
        <v>23.15</v>
      </c>
      <c r="N92" s="75">
        <f>(OH_prices!N80+$D$2)*IF($M$2="Prices in $/MWh",1,1/1000)</f>
        <v>24.58</v>
      </c>
      <c r="O92" s="61"/>
    </row>
    <row r="93" spans="2:15" x14ac:dyDescent="0.25">
      <c r="B93" s="57"/>
      <c r="C93" s="78" t="str">
        <f>OH_prices!C81</f>
        <v>April-2016</v>
      </c>
      <c r="D93" s="79" t="str">
        <f>OH_prices!D81</f>
        <v>OH</v>
      </c>
      <c r="E93" s="80" t="str">
        <f>OH_prices!E81</f>
        <v>AEP OH</v>
      </c>
      <c r="F93" s="79" t="str">
        <f>OH_prices!F81</f>
        <v>GS3</v>
      </c>
      <c r="G93" s="80" t="str">
        <f>OH_prices!G81</f>
        <v>General Service Large</v>
      </c>
      <c r="H93" s="81" t="str">
        <f t="shared" ref="H93" si="76">IF($M$2="Prices in $/MWh","100-500 MWh","100,000-500,000 kWh")</f>
        <v>100-500 MWh</v>
      </c>
      <c r="I93" s="80">
        <f>(OH_prices!I81+$D$2)*IF($M$2="Prices in $/MWh",1,1/1000)</f>
        <v>56.86</v>
      </c>
      <c r="J93" s="79">
        <f>(OH_prices!J81+$D$2)*IF($M$2="Prices in $/MWh",1,1/1000)</f>
        <v>57.43</v>
      </c>
      <c r="K93" s="80">
        <f>(OH_prices!K81+$D$2)*IF($M$2="Prices in $/MWh",1,1/1000)</f>
        <v>58.75</v>
      </c>
      <c r="L93" s="79">
        <f>(OH_prices!L81+$D$2)*IF($M$2="Prices in $/MWh",1,1/1000)</f>
        <v>20.91</v>
      </c>
      <c r="M93" s="80">
        <f>(OH_prices!M81+$D$2)*IF($M$2="Prices in $/MWh",1,1/1000)</f>
        <v>21.55</v>
      </c>
      <c r="N93" s="79">
        <f>(OH_prices!N81+$D$2)*IF($M$2="Prices in $/MWh",1,1/1000)</f>
        <v>22.98</v>
      </c>
      <c r="O93" s="61"/>
    </row>
    <row r="94" spans="2:15" x14ac:dyDescent="0.25">
      <c r="B94" s="57"/>
      <c r="C94" s="82" t="str">
        <f>OH_prices!C82</f>
        <v>April-2016</v>
      </c>
      <c r="D94" s="83" t="str">
        <f>OH_prices!D82</f>
        <v>OH</v>
      </c>
      <c r="E94" s="84" t="str">
        <f>OH_prices!E82</f>
        <v>AEP OH</v>
      </c>
      <c r="F94" s="83" t="str">
        <f>OH_prices!F82</f>
        <v>GS3</v>
      </c>
      <c r="G94" s="84" t="str">
        <f>OH_prices!G82</f>
        <v>General Service Large</v>
      </c>
      <c r="H94" s="85" t="str">
        <f t="shared" ref="H94" si="77">IF($M$2="Prices in $/MWh","500-2500 MWh","500,000-2,500,000 kWh")</f>
        <v>500-2500 MWh</v>
      </c>
      <c r="I94" s="84">
        <f>(OH_prices!I82+$D$2)*IF($M$2="Prices in $/MWh",1,1/1000)</f>
        <v>55.81</v>
      </c>
      <c r="J94" s="83">
        <f>(OH_prices!J82+$D$2)*IF($M$2="Prices in $/MWh",1,1/1000)</f>
        <v>56.38</v>
      </c>
      <c r="K94" s="84">
        <f>(OH_prices!K82+$D$2)*IF($M$2="Prices in $/MWh",1,1/1000)</f>
        <v>57.7</v>
      </c>
      <c r="L94" s="83">
        <f>(OH_prices!L82+$D$2)*IF($M$2="Prices in $/MWh",1,1/1000)</f>
        <v>19.86</v>
      </c>
      <c r="M94" s="84">
        <f>(OH_prices!M82+$D$2)*IF($M$2="Prices in $/MWh",1,1/1000)</f>
        <v>20.5</v>
      </c>
      <c r="N94" s="83">
        <f>(OH_prices!N82+$D$2)*IF($M$2="Prices in $/MWh",1,1/1000)</f>
        <v>21.93</v>
      </c>
      <c r="O94" s="61"/>
    </row>
    <row r="95" spans="2:15" x14ac:dyDescent="0.25">
      <c r="B95" s="57"/>
      <c r="C95" s="74" t="str">
        <f>OH_prices!C83</f>
        <v>May-2016</v>
      </c>
      <c r="D95" s="75" t="str">
        <f>OH_prices!D83</f>
        <v>OH</v>
      </c>
      <c r="E95" s="76" t="str">
        <f>OH_prices!E83</f>
        <v>AEP OH</v>
      </c>
      <c r="F95" s="75" t="str">
        <f>OH_prices!F83</f>
        <v>GS3</v>
      </c>
      <c r="G95" s="76" t="str">
        <f>OH_prices!G83</f>
        <v>General Service Large</v>
      </c>
      <c r="H95" s="77" t="str">
        <f t="shared" ref="H95" si="78">IF($M$2="Prices in $/MWh","0-100 MWh","0-100,000 kWh")</f>
        <v>0-100 MWh</v>
      </c>
      <c r="I95" s="76">
        <f>(OH_prices!I83+$D$2)*IF($M$2="Prices in $/MWh",1,1/1000)</f>
        <v>58.2</v>
      </c>
      <c r="J95" s="75">
        <f>(OH_prices!J83+$D$2)*IF($M$2="Prices in $/MWh",1,1/1000)</f>
        <v>58.98</v>
      </c>
      <c r="K95" s="76">
        <f>(OH_prices!K83+$D$2)*IF($M$2="Prices in $/MWh",1,1/1000)</f>
        <v>60.41</v>
      </c>
      <c r="L95" s="75">
        <f>(OH_prices!L83+$D$2)*IF($M$2="Prices in $/MWh",1,1/1000)</f>
        <v>22.17</v>
      </c>
      <c r="M95" s="76">
        <f>(OH_prices!M83+$D$2)*IF($M$2="Prices in $/MWh",1,1/1000)</f>
        <v>23.2</v>
      </c>
      <c r="N95" s="75">
        <f>(OH_prices!N83+$D$2)*IF($M$2="Prices in $/MWh",1,1/1000)</f>
        <v>24.64</v>
      </c>
      <c r="O95" s="61"/>
    </row>
    <row r="96" spans="2:15" x14ac:dyDescent="0.25">
      <c r="B96" s="57"/>
      <c r="C96" s="78" t="str">
        <f>OH_prices!C84</f>
        <v>May-2016</v>
      </c>
      <c r="D96" s="79" t="str">
        <f>OH_prices!D84</f>
        <v>OH</v>
      </c>
      <c r="E96" s="80" t="str">
        <f>OH_prices!E84</f>
        <v>AEP OH</v>
      </c>
      <c r="F96" s="79" t="str">
        <f>OH_prices!F84</f>
        <v>GS3</v>
      </c>
      <c r="G96" s="80" t="str">
        <f>OH_prices!G84</f>
        <v>General Service Large</v>
      </c>
      <c r="H96" s="81" t="str">
        <f t="shared" ref="H96" si="79">IF($M$2="Prices in $/MWh","100-500 MWh","100,000-500,000 kWh")</f>
        <v>100-500 MWh</v>
      </c>
      <c r="I96" s="80">
        <f>(OH_prices!I84+$D$2)*IF($M$2="Prices in $/MWh",1,1/1000)</f>
        <v>56.6</v>
      </c>
      <c r="J96" s="79">
        <f>(OH_prices!J84+$D$2)*IF($M$2="Prices in $/MWh",1,1/1000)</f>
        <v>57.38</v>
      </c>
      <c r="K96" s="80">
        <f>(OH_prices!K84+$D$2)*IF($M$2="Prices in $/MWh",1,1/1000)</f>
        <v>58.81</v>
      </c>
      <c r="L96" s="79">
        <f>(OH_prices!L84+$D$2)*IF($M$2="Prices in $/MWh",1,1/1000)</f>
        <v>20.57</v>
      </c>
      <c r="M96" s="80">
        <f>(OH_prices!M84+$D$2)*IF($M$2="Prices in $/MWh",1,1/1000)</f>
        <v>21.6</v>
      </c>
      <c r="N96" s="79">
        <f>(OH_prices!N84+$D$2)*IF($M$2="Prices in $/MWh",1,1/1000)</f>
        <v>23.04</v>
      </c>
      <c r="O96" s="61"/>
    </row>
    <row r="97" spans="2:15" x14ac:dyDescent="0.25">
      <c r="B97" s="57"/>
      <c r="C97" s="82" t="str">
        <f>OH_prices!C85</f>
        <v>May-2016</v>
      </c>
      <c r="D97" s="83" t="str">
        <f>OH_prices!D85</f>
        <v>OH</v>
      </c>
      <c r="E97" s="84" t="str">
        <f>OH_prices!E85</f>
        <v>AEP OH</v>
      </c>
      <c r="F97" s="83" t="str">
        <f>OH_prices!F85</f>
        <v>GS3</v>
      </c>
      <c r="G97" s="84" t="str">
        <f>OH_prices!G85</f>
        <v>General Service Large</v>
      </c>
      <c r="H97" s="85" t="str">
        <f t="shared" ref="H97" si="80">IF($M$2="Prices in $/MWh","500-2500 MWh","500,000-2,500,000 kWh")</f>
        <v>500-2500 MWh</v>
      </c>
      <c r="I97" s="84">
        <f>(OH_prices!I85+$D$2)*IF($M$2="Prices in $/MWh",1,1/1000)</f>
        <v>55.55</v>
      </c>
      <c r="J97" s="83">
        <f>(OH_prices!J85+$D$2)*IF($M$2="Prices in $/MWh",1,1/1000)</f>
        <v>56.33</v>
      </c>
      <c r="K97" s="84">
        <f>(OH_prices!K85+$D$2)*IF($M$2="Prices in $/MWh",1,1/1000)</f>
        <v>57.76</v>
      </c>
      <c r="L97" s="83">
        <f>(OH_prices!L85+$D$2)*IF($M$2="Prices in $/MWh",1,1/1000)</f>
        <v>19.52</v>
      </c>
      <c r="M97" s="84">
        <f>(OH_prices!M85+$D$2)*IF($M$2="Prices in $/MWh",1,1/1000)</f>
        <v>20.55</v>
      </c>
      <c r="N97" s="83">
        <f>(OH_prices!N85+$D$2)*IF($M$2="Prices in $/MWh",1,1/1000)</f>
        <v>21.99</v>
      </c>
      <c r="O97" s="61"/>
    </row>
    <row r="98" spans="2:15" x14ac:dyDescent="0.25">
      <c r="B98" s="57"/>
      <c r="C98" s="74" t="str">
        <f>OH_prices!C86</f>
        <v>June-2016</v>
      </c>
      <c r="D98" s="75" t="str">
        <f>OH_prices!D86</f>
        <v>OH</v>
      </c>
      <c r="E98" s="76" t="str">
        <f>OH_prices!E86</f>
        <v>AEP OH</v>
      </c>
      <c r="F98" s="75" t="str">
        <f>OH_prices!F86</f>
        <v>GS3</v>
      </c>
      <c r="G98" s="76" t="str">
        <f>OH_prices!G86</f>
        <v>General Service Large</v>
      </c>
      <c r="H98" s="77" t="str">
        <f t="shared" ref="H98" si="81">IF($M$2="Prices in $/MWh","0-100 MWh","0-100,000 kWh")</f>
        <v>0-100 MWh</v>
      </c>
      <c r="I98" s="76">
        <f>(OH_prices!I86+$D$2)*IF($M$2="Prices in $/MWh",1,1/1000)</f>
        <v>57.88</v>
      </c>
      <c r="J98" s="75">
        <f>(OH_prices!J86+$D$2)*IF($M$2="Prices in $/MWh",1,1/1000)</f>
        <v>58.98</v>
      </c>
      <c r="K98" s="76">
        <f>(OH_prices!K86+$D$2)*IF($M$2="Prices in $/MWh",1,1/1000)</f>
        <v>60.49</v>
      </c>
      <c r="L98" s="75">
        <f>(OH_prices!L86+$D$2)*IF($M$2="Prices in $/MWh",1,1/1000)</f>
        <v>21.78</v>
      </c>
      <c r="M98" s="76">
        <f>(OH_prices!M86+$D$2)*IF($M$2="Prices in $/MWh",1,1/1000)</f>
        <v>23.31</v>
      </c>
      <c r="N98" s="75">
        <f>(OH_prices!N86+$D$2)*IF($M$2="Prices in $/MWh",1,1/1000)</f>
        <v>24.69</v>
      </c>
      <c r="O98" s="61"/>
    </row>
    <row r="99" spans="2:15" x14ac:dyDescent="0.25">
      <c r="B99" s="57"/>
      <c r="C99" s="78" t="str">
        <f>OH_prices!C87</f>
        <v>June-2016</v>
      </c>
      <c r="D99" s="79" t="str">
        <f>OH_prices!D87</f>
        <v>OH</v>
      </c>
      <c r="E99" s="80" t="str">
        <f>OH_prices!E87</f>
        <v>AEP OH</v>
      </c>
      <c r="F99" s="79" t="str">
        <f>OH_prices!F87</f>
        <v>GS3</v>
      </c>
      <c r="G99" s="80" t="str">
        <f>OH_prices!G87</f>
        <v>General Service Large</v>
      </c>
      <c r="H99" s="81" t="str">
        <f t="shared" ref="H99" si="82">IF($M$2="Prices in $/MWh","100-500 MWh","100,000-500,000 kWh")</f>
        <v>100-500 MWh</v>
      </c>
      <c r="I99" s="80">
        <f>(OH_prices!I87+$D$2)*IF($M$2="Prices in $/MWh",1,1/1000)</f>
        <v>56.28</v>
      </c>
      <c r="J99" s="79">
        <f>(OH_prices!J87+$D$2)*IF($M$2="Prices in $/MWh",1,1/1000)</f>
        <v>57.38</v>
      </c>
      <c r="K99" s="80">
        <f>(OH_prices!K87+$D$2)*IF($M$2="Prices in $/MWh",1,1/1000)</f>
        <v>58.89</v>
      </c>
      <c r="L99" s="79">
        <f>(OH_prices!L87+$D$2)*IF($M$2="Prices in $/MWh",1,1/1000)</f>
        <v>20.18</v>
      </c>
      <c r="M99" s="80">
        <f>(OH_prices!M87+$D$2)*IF($M$2="Prices in $/MWh",1,1/1000)</f>
        <v>21.71</v>
      </c>
      <c r="N99" s="79">
        <f>(OH_prices!N87+$D$2)*IF($M$2="Prices in $/MWh",1,1/1000)</f>
        <v>23.09</v>
      </c>
      <c r="O99" s="61"/>
    </row>
    <row r="100" spans="2:15" x14ac:dyDescent="0.25">
      <c r="B100" s="57"/>
      <c r="C100" s="82" t="str">
        <f>OH_prices!C88</f>
        <v>June-2016</v>
      </c>
      <c r="D100" s="83" t="str">
        <f>OH_prices!D88</f>
        <v>OH</v>
      </c>
      <c r="E100" s="84" t="str">
        <f>OH_prices!E88</f>
        <v>AEP OH</v>
      </c>
      <c r="F100" s="83" t="str">
        <f>OH_prices!F88</f>
        <v>GS3</v>
      </c>
      <c r="G100" s="84" t="str">
        <f>OH_prices!G88</f>
        <v>General Service Large</v>
      </c>
      <c r="H100" s="85" t="str">
        <f t="shared" ref="H100" si="83">IF($M$2="Prices in $/MWh","500-2500 MWh","500,000-2,500,000 kWh")</f>
        <v>500-2500 MWh</v>
      </c>
      <c r="I100" s="84">
        <f>(OH_prices!I88+$D$2)*IF($M$2="Prices in $/MWh",1,1/1000)</f>
        <v>55.23</v>
      </c>
      <c r="J100" s="83">
        <f>(OH_prices!J88+$D$2)*IF($M$2="Prices in $/MWh",1,1/1000)</f>
        <v>56.33</v>
      </c>
      <c r="K100" s="84">
        <f>(OH_prices!K88+$D$2)*IF($M$2="Prices in $/MWh",1,1/1000)</f>
        <v>57.84</v>
      </c>
      <c r="L100" s="83">
        <f>(OH_prices!L88+$D$2)*IF($M$2="Prices in $/MWh",1,1/1000)</f>
        <v>19.13</v>
      </c>
      <c r="M100" s="84">
        <f>(OH_prices!M88+$D$2)*IF($M$2="Prices in $/MWh",1,1/1000)</f>
        <v>20.66</v>
      </c>
      <c r="N100" s="83">
        <f>(OH_prices!N88+$D$2)*IF($M$2="Prices in $/MWh",1,1/1000)</f>
        <v>22.04</v>
      </c>
      <c r="O100" s="61"/>
    </row>
    <row r="101" spans="2:15" x14ac:dyDescent="0.25">
      <c r="B101" s="57"/>
      <c r="C101" s="74" t="str">
        <f>OH_prices!C89</f>
        <v>July-2016</v>
      </c>
      <c r="D101" s="75" t="str">
        <f>OH_prices!D89</f>
        <v>OH</v>
      </c>
      <c r="E101" s="76" t="str">
        <f>OH_prices!E89</f>
        <v>AEP OH</v>
      </c>
      <c r="F101" s="75" t="str">
        <f>OH_prices!F89</f>
        <v>GS3</v>
      </c>
      <c r="G101" s="76" t="str">
        <f>OH_prices!G89</f>
        <v>General Service Large</v>
      </c>
      <c r="H101" s="77" t="str">
        <f t="shared" ref="H101" si="84">IF($M$2="Prices in $/MWh","0-100 MWh","0-100,000 kWh")</f>
        <v>0-100 MWh</v>
      </c>
      <c r="I101" s="76">
        <f>(OH_prices!I89+$D$2)*IF($M$2="Prices in $/MWh",1,1/1000)</f>
        <v>58.4</v>
      </c>
      <c r="J101" s="75">
        <f>(OH_prices!J89+$D$2)*IF($M$2="Prices in $/MWh",1,1/1000)</f>
        <v>59.35</v>
      </c>
      <c r="K101" s="76">
        <f>(OH_prices!K89+$D$2)*IF($M$2="Prices in $/MWh",1,1/1000)</f>
        <v>60.78</v>
      </c>
      <c r="L101" s="75">
        <f>(OH_prices!L89+$D$2)*IF($M$2="Prices in $/MWh",1,1/1000)</f>
        <v>22.26</v>
      </c>
      <c r="M101" s="76">
        <f>(OH_prices!M89+$D$2)*IF($M$2="Prices in $/MWh",1,1/1000)</f>
        <v>23.77</v>
      </c>
      <c r="N101" s="75">
        <f>(OH_prices!N89+$D$2)*IF($M$2="Prices in $/MWh",1,1/1000)</f>
        <v>25.02</v>
      </c>
      <c r="O101" s="61"/>
    </row>
    <row r="102" spans="2:15" x14ac:dyDescent="0.25">
      <c r="B102" s="57"/>
      <c r="C102" s="78" t="str">
        <f>OH_prices!C90</f>
        <v>July-2016</v>
      </c>
      <c r="D102" s="79" t="str">
        <f>OH_prices!D90</f>
        <v>OH</v>
      </c>
      <c r="E102" s="80" t="str">
        <f>OH_prices!E90</f>
        <v>AEP OH</v>
      </c>
      <c r="F102" s="79" t="str">
        <f>OH_prices!F90</f>
        <v>GS3</v>
      </c>
      <c r="G102" s="80" t="str">
        <f>OH_prices!G90</f>
        <v>General Service Large</v>
      </c>
      <c r="H102" s="81" t="str">
        <f t="shared" ref="H102" si="85">IF($M$2="Prices in $/MWh","100-500 MWh","100,000-500,000 kWh")</f>
        <v>100-500 MWh</v>
      </c>
      <c r="I102" s="80">
        <f>(OH_prices!I90+$D$2)*IF($M$2="Prices in $/MWh",1,1/1000)</f>
        <v>56.8</v>
      </c>
      <c r="J102" s="79">
        <f>(OH_prices!J90+$D$2)*IF($M$2="Prices in $/MWh",1,1/1000)</f>
        <v>57.75</v>
      </c>
      <c r="K102" s="80">
        <f>(OH_prices!K90+$D$2)*IF($M$2="Prices in $/MWh",1,1/1000)</f>
        <v>59.18</v>
      </c>
      <c r="L102" s="79">
        <f>(OH_prices!L90+$D$2)*IF($M$2="Prices in $/MWh",1,1/1000)</f>
        <v>20.66</v>
      </c>
      <c r="M102" s="80">
        <f>(OH_prices!M90+$D$2)*IF($M$2="Prices in $/MWh",1,1/1000)</f>
        <v>22.17</v>
      </c>
      <c r="N102" s="79">
        <f>(OH_prices!N90+$D$2)*IF($M$2="Prices in $/MWh",1,1/1000)</f>
        <v>23.42</v>
      </c>
      <c r="O102" s="61"/>
    </row>
    <row r="103" spans="2:15" x14ac:dyDescent="0.25">
      <c r="B103" s="57"/>
      <c r="C103" s="82" t="str">
        <f>OH_prices!C91</f>
        <v>July-2016</v>
      </c>
      <c r="D103" s="83" t="str">
        <f>OH_prices!D91</f>
        <v>OH</v>
      </c>
      <c r="E103" s="84" t="str">
        <f>OH_prices!E91</f>
        <v>AEP OH</v>
      </c>
      <c r="F103" s="83" t="str">
        <f>OH_prices!F91</f>
        <v>GS3</v>
      </c>
      <c r="G103" s="84" t="str">
        <f>OH_prices!G91</f>
        <v>General Service Large</v>
      </c>
      <c r="H103" s="85" t="str">
        <f t="shared" ref="H103" si="86">IF($M$2="Prices in $/MWh","500-2500 MWh","500,000-2,500,000 kWh")</f>
        <v>500-2500 MWh</v>
      </c>
      <c r="I103" s="84">
        <f>(OH_prices!I91+$D$2)*IF($M$2="Prices in $/MWh",1,1/1000)</f>
        <v>55.75</v>
      </c>
      <c r="J103" s="83">
        <f>(OH_prices!J91+$D$2)*IF($M$2="Prices in $/MWh",1,1/1000)</f>
        <v>56.7</v>
      </c>
      <c r="K103" s="84">
        <f>(OH_prices!K91+$D$2)*IF($M$2="Prices in $/MWh",1,1/1000)</f>
        <v>58.13</v>
      </c>
      <c r="L103" s="83">
        <f>(OH_prices!L91+$D$2)*IF($M$2="Prices in $/MWh",1,1/1000)</f>
        <v>19.61</v>
      </c>
      <c r="M103" s="84">
        <f>(OH_prices!M91+$D$2)*IF($M$2="Prices in $/MWh",1,1/1000)</f>
        <v>21.12</v>
      </c>
      <c r="N103" s="83">
        <f>(OH_prices!N91+$D$2)*IF($M$2="Prices in $/MWh",1,1/1000)</f>
        <v>22.37</v>
      </c>
      <c r="O103" s="61"/>
    </row>
    <row r="104" spans="2:15" x14ac:dyDescent="0.25">
      <c r="B104" s="57"/>
      <c r="C104" s="74" t="str">
        <f>OH_prices!C92</f>
        <v>August-2016</v>
      </c>
      <c r="D104" s="75" t="str">
        <f>OH_prices!D92</f>
        <v>OH</v>
      </c>
      <c r="E104" s="76" t="str">
        <f>OH_prices!E92</f>
        <v>AEP OH</v>
      </c>
      <c r="F104" s="75" t="str">
        <f>OH_prices!F92</f>
        <v>GS3</v>
      </c>
      <c r="G104" s="76" t="str">
        <f>OH_prices!G92</f>
        <v>General Service Large</v>
      </c>
      <c r="H104" s="77" t="str">
        <f t="shared" ref="H104" si="87">IF($M$2="Prices in $/MWh","0-100 MWh","0-100,000 kWh")</f>
        <v>0-100 MWh</v>
      </c>
      <c r="I104" s="76">
        <f>(OH_prices!I92+$D$2)*IF($M$2="Prices in $/MWh",1,1/1000)</f>
        <v>58.86</v>
      </c>
      <c r="J104" s="75">
        <f>(OH_prices!J92+$D$2)*IF($M$2="Prices in $/MWh",1,1/1000)</f>
        <v>59.96</v>
      </c>
      <c r="K104" s="76">
        <f>(OH_prices!K92+$D$2)*IF($M$2="Prices in $/MWh",1,1/1000)</f>
        <v>61.12</v>
      </c>
      <c r="L104" s="75">
        <f>(OH_prices!L92+$D$2)*IF($M$2="Prices in $/MWh",1,1/1000)</f>
        <v>22.79</v>
      </c>
      <c r="M104" s="76">
        <f>(OH_prices!M92+$D$2)*IF($M$2="Prices in $/MWh",1,1/1000)</f>
        <v>24.42</v>
      </c>
      <c r="N104" s="75">
        <f>(OH_prices!N92+$D$2)*IF($M$2="Prices in $/MWh",1,1/1000)</f>
        <v>25.36</v>
      </c>
      <c r="O104" s="61"/>
    </row>
    <row r="105" spans="2:15" x14ac:dyDescent="0.25">
      <c r="B105" s="57"/>
      <c r="C105" s="78" t="str">
        <f>OH_prices!C93</f>
        <v>August-2016</v>
      </c>
      <c r="D105" s="79" t="str">
        <f>OH_prices!D93</f>
        <v>OH</v>
      </c>
      <c r="E105" s="80" t="str">
        <f>OH_prices!E93</f>
        <v>AEP OH</v>
      </c>
      <c r="F105" s="79" t="str">
        <f>OH_prices!F93</f>
        <v>GS3</v>
      </c>
      <c r="G105" s="80" t="str">
        <f>OH_prices!G93</f>
        <v>General Service Large</v>
      </c>
      <c r="H105" s="81" t="str">
        <f t="shared" ref="H105" si="88">IF($M$2="Prices in $/MWh","100-500 MWh","100,000-500,000 kWh")</f>
        <v>100-500 MWh</v>
      </c>
      <c r="I105" s="80">
        <f>(OH_prices!I93+$D$2)*IF($M$2="Prices in $/MWh",1,1/1000)</f>
        <v>57.26</v>
      </c>
      <c r="J105" s="79">
        <f>(OH_prices!J93+$D$2)*IF($M$2="Prices in $/MWh",1,1/1000)</f>
        <v>58.36</v>
      </c>
      <c r="K105" s="80">
        <f>(OH_prices!K93+$D$2)*IF($M$2="Prices in $/MWh",1,1/1000)</f>
        <v>59.52</v>
      </c>
      <c r="L105" s="79">
        <f>(OH_prices!L93+$D$2)*IF($M$2="Prices in $/MWh",1,1/1000)</f>
        <v>21.19</v>
      </c>
      <c r="M105" s="80">
        <f>(OH_prices!M93+$D$2)*IF($M$2="Prices in $/MWh",1,1/1000)</f>
        <v>22.82</v>
      </c>
      <c r="N105" s="79">
        <f>(OH_prices!N93+$D$2)*IF($M$2="Prices in $/MWh",1,1/1000)</f>
        <v>23.76</v>
      </c>
      <c r="O105" s="61"/>
    </row>
    <row r="106" spans="2:15" x14ac:dyDescent="0.25">
      <c r="B106" s="57"/>
      <c r="C106" s="82" t="str">
        <f>OH_prices!C94</f>
        <v>August-2016</v>
      </c>
      <c r="D106" s="83" t="str">
        <f>OH_prices!D94</f>
        <v>OH</v>
      </c>
      <c r="E106" s="84" t="str">
        <f>OH_prices!E94</f>
        <v>AEP OH</v>
      </c>
      <c r="F106" s="83" t="str">
        <f>OH_prices!F94</f>
        <v>GS3</v>
      </c>
      <c r="G106" s="84" t="str">
        <f>OH_prices!G94</f>
        <v>General Service Large</v>
      </c>
      <c r="H106" s="85" t="str">
        <f t="shared" ref="H106" si="89">IF($M$2="Prices in $/MWh","500-2500 MWh","500,000-2,500,000 kWh")</f>
        <v>500-2500 MWh</v>
      </c>
      <c r="I106" s="84">
        <f>(OH_prices!I94+$D$2)*IF($M$2="Prices in $/MWh",1,1/1000)</f>
        <v>56.21</v>
      </c>
      <c r="J106" s="83">
        <f>(OH_prices!J94+$D$2)*IF($M$2="Prices in $/MWh",1,1/1000)</f>
        <v>57.31</v>
      </c>
      <c r="K106" s="84">
        <f>(OH_prices!K94+$D$2)*IF($M$2="Prices in $/MWh",1,1/1000)</f>
        <v>58.47</v>
      </c>
      <c r="L106" s="83">
        <f>(OH_prices!L94+$D$2)*IF($M$2="Prices in $/MWh",1,1/1000)</f>
        <v>20.14</v>
      </c>
      <c r="M106" s="84">
        <f>(OH_prices!M94+$D$2)*IF($M$2="Prices in $/MWh",1,1/1000)</f>
        <v>21.77</v>
      </c>
      <c r="N106" s="83">
        <f>(OH_prices!N94+$D$2)*IF($M$2="Prices in $/MWh",1,1/1000)</f>
        <v>22.71</v>
      </c>
      <c r="O106" s="61"/>
    </row>
    <row r="107" spans="2:15" x14ac:dyDescent="0.25">
      <c r="B107" s="57"/>
      <c r="C107" s="74" t="str">
        <f>OH_prices!C95</f>
        <v>September-2016</v>
      </c>
      <c r="D107" s="75" t="str">
        <f>OH_prices!D95</f>
        <v>OH</v>
      </c>
      <c r="E107" s="76" t="str">
        <f>OH_prices!E95</f>
        <v>AEP OH</v>
      </c>
      <c r="F107" s="75" t="str">
        <f>OH_prices!F95</f>
        <v>GS3</v>
      </c>
      <c r="G107" s="76" t="str">
        <f>OH_prices!G95</f>
        <v>General Service Large</v>
      </c>
      <c r="H107" s="77" t="str">
        <f t="shared" ref="H107" si="90">IF($M$2="Prices in $/MWh","0-100 MWh","0-100,000 kWh")</f>
        <v>0-100 MWh</v>
      </c>
      <c r="I107" s="76">
        <f>(OH_prices!I95+$D$2)*IF($M$2="Prices in $/MWh",1,1/1000)</f>
        <v>59.26</v>
      </c>
      <c r="J107" s="75">
        <f>(OH_prices!J95+$D$2)*IF($M$2="Prices in $/MWh",1,1/1000)</f>
        <v>60.56</v>
      </c>
      <c r="K107" s="76">
        <f>(OH_prices!K95+$D$2)*IF($M$2="Prices in $/MWh",1,1/1000)</f>
        <v>61.39</v>
      </c>
      <c r="L107" s="75">
        <f>(OH_prices!L95+$D$2)*IF($M$2="Prices in $/MWh",1,1/1000)</f>
        <v>23.29</v>
      </c>
      <c r="M107" s="76">
        <f>(OH_prices!M95+$D$2)*IF($M$2="Prices in $/MWh",1,1/1000)</f>
        <v>25.01</v>
      </c>
      <c r="N107" s="75">
        <f>(OH_prices!N95+$D$2)*IF($M$2="Prices in $/MWh",1,1/1000)</f>
        <v>25.7</v>
      </c>
      <c r="O107" s="61"/>
    </row>
    <row r="108" spans="2:15" x14ac:dyDescent="0.25">
      <c r="B108" s="57"/>
      <c r="C108" s="78" t="str">
        <f>OH_prices!C96</f>
        <v>September-2016</v>
      </c>
      <c r="D108" s="79" t="str">
        <f>OH_prices!D96</f>
        <v>OH</v>
      </c>
      <c r="E108" s="80" t="str">
        <f>OH_prices!E96</f>
        <v>AEP OH</v>
      </c>
      <c r="F108" s="79" t="str">
        <f>OH_prices!F96</f>
        <v>GS3</v>
      </c>
      <c r="G108" s="80" t="str">
        <f>OH_prices!G96</f>
        <v>General Service Large</v>
      </c>
      <c r="H108" s="81" t="str">
        <f t="shared" ref="H108" si="91">IF($M$2="Prices in $/MWh","100-500 MWh","100,000-500,000 kWh")</f>
        <v>100-500 MWh</v>
      </c>
      <c r="I108" s="80">
        <f>(OH_prices!I96+$D$2)*IF($M$2="Prices in $/MWh",1,1/1000)</f>
        <v>57.66</v>
      </c>
      <c r="J108" s="79">
        <f>(OH_prices!J96+$D$2)*IF($M$2="Prices in $/MWh",1,1/1000)</f>
        <v>58.96</v>
      </c>
      <c r="K108" s="80">
        <f>(OH_prices!K96+$D$2)*IF($M$2="Prices in $/MWh",1,1/1000)</f>
        <v>59.79</v>
      </c>
      <c r="L108" s="79">
        <f>(OH_prices!L96+$D$2)*IF($M$2="Prices in $/MWh",1,1/1000)</f>
        <v>21.69</v>
      </c>
      <c r="M108" s="80">
        <f>(OH_prices!M96+$D$2)*IF($M$2="Prices in $/MWh",1,1/1000)</f>
        <v>23.41</v>
      </c>
      <c r="N108" s="79">
        <f>(OH_prices!N96+$D$2)*IF($M$2="Prices in $/MWh",1,1/1000)</f>
        <v>24.1</v>
      </c>
      <c r="O108" s="61"/>
    </row>
    <row r="109" spans="2:15" x14ac:dyDescent="0.25">
      <c r="B109" s="57"/>
      <c r="C109" s="82" t="str">
        <f>OH_prices!C97</f>
        <v>September-2016</v>
      </c>
      <c r="D109" s="83" t="str">
        <f>OH_prices!D97</f>
        <v>OH</v>
      </c>
      <c r="E109" s="84" t="str">
        <f>OH_prices!E97</f>
        <v>AEP OH</v>
      </c>
      <c r="F109" s="83" t="str">
        <f>OH_prices!F97</f>
        <v>GS3</v>
      </c>
      <c r="G109" s="84" t="str">
        <f>OH_prices!G97</f>
        <v>General Service Large</v>
      </c>
      <c r="H109" s="85" t="str">
        <f t="shared" ref="H109" si="92">IF($M$2="Prices in $/MWh","500-2500 MWh","500,000-2,500,000 kWh")</f>
        <v>500-2500 MWh</v>
      </c>
      <c r="I109" s="84">
        <f>(OH_prices!I97+$D$2)*IF($M$2="Prices in $/MWh",1,1/1000)</f>
        <v>56.61</v>
      </c>
      <c r="J109" s="83">
        <f>(OH_prices!J97+$D$2)*IF($M$2="Prices in $/MWh",1,1/1000)</f>
        <v>57.91</v>
      </c>
      <c r="K109" s="84">
        <f>(OH_prices!K97+$D$2)*IF($M$2="Prices in $/MWh",1,1/1000)</f>
        <v>58.74</v>
      </c>
      <c r="L109" s="83">
        <f>(OH_prices!L97+$D$2)*IF($M$2="Prices in $/MWh",1,1/1000)</f>
        <v>20.64</v>
      </c>
      <c r="M109" s="84">
        <f>(OH_prices!M97+$D$2)*IF($M$2="Prices in $/MWh",1,1/1000)</f>
        <v>22.36</v>
      </c>
      <c r="N109" s="83">
        <f>(OH_prices!N97+$D$2)*IF($M$2="Prices in $/MWh",1,1/1000)</f>
        <v>23.05</v>
      </c>
      <c r="O109" s="61"/>
    </row>
    <row r="110" spans="2:15" x14ac:dyDescent="0.25">
      <c r="B110" s="57"/>
      <c r="C110" s="74" t="str">
        <f>OH_prices!C98</f>
        <v>October-2016</v>
      </c>
      <c r="D110" s="75" t="str">
        <f>OH_prices!D98</f>
        <v>OH</v>
      </c>
      <c r="E110" s="76" t="str">
        <f>OH_prices!E98</f>
        <v>AEP OH</v>
      </c>
      <c r="F110" s="75" t="str">
        <f>OH_prices!F98</f>
        <v>GS3</v>
      </c>
      <c r="G110" s="76" t="str">
        <f>OH_prices!G98</f>
        <v>General Service Large</v>
      </c>
      <c r="H110" s="77" t="str">
        <f t="shared" ref="H110" si="93">IF($M$2="Prices in $/MWh","0-100 MWh","0-100,000 kWh")</f>
        <v>0-100 MWh</v>
      </c>
      <c r="I110" s="76">
        <f>(OH_prices!I98+$D$2)*IF($M$2="Prices in $/MWh",1,1/1000)</f>
        <v>59.69</v>
      </c>
      <c r="J110" s="75">
        <f>(OH_prices!J98+$D$2)*IF($M$2="Prices in $/MWh",1,1/1000)</f>
        <v>61.3</v>
      </c>
      <c r="K110" s="76">
        <f>(OH_prices!K98+$D$2)*IF($M$2="Prices in $/MWh",1,1/1000)</f>
        <v>61.64</v>
      </c>
      <c r="L110" s="75">
        <f>(OH_prices!L98+$D$2)*IF($M$2="Prices in $/MWh",1,1/1000)</f>
        <v>23.76</v>
      </c>
      <c r="M110" s="76">
        <f>(OH_prices!M98+$D$2)*IF($M$2="Prices in $/MWh",1,1/1000)</f>
        <v>25.54</v>
      </c>
      <c r="N110" s="75">
        <f>(OH_prices!N98+$D$2)*IF($M$2="Prices in $/MWh",1,1/1000)</f>
        <v>26.03</v>
      </c>
      <c r="O110" s="61"/>
    </row>
    <row r="111" spans="2:15" x14ac:dyDescent="0.25">
      <c r="B111" s="57"/>
      <c r="C111" s="78" t="str">
        <f>OH_prices!C99</f>
        <v>October-2016</v>
      </c>
      <c r="D111" s="79" t="str">
        <f>OH_prices!D99</f>
        <v>OH</v>
      </c>
      <c r="E111" s="80" t="str">
        <f>OH_prices!E99</f>
        <v>AEP OH</v>
      </c>
      <c r="F111" s="79" t="str">
        <f>OH_prices!F99</f>
        <v>GS3</v>
      </c>
      <c r="G111" s="80" t="str">
        <f>OH_prices!G99</f>
        <v>General Service Large</v>
      </c>
      <c r="H111" s="81" t="str">
        <f t="shared" ref="H111" si="94">IF($M$2="Prices in $/MWh","100-500 MWh","100,000-500,000 kWh")</f>
        <v>100-500 MWh</v>
      </c>
      <c r="I111" s="80">
        <f>(OH_prices!I99+$D$2)*IF($M$2="Prices in $/MWh",1,1/1000)</f>
        <v>58.09</v>
      </c>
      <c r="J111" s="79">
        <f>(OH_prices!J99+$D$2)*IF($M$2="Prices in $/MWh",1,1/1000)</f>
        <v>59.7</v>
      </c>
      <c r="K111" s="80">
        <f>(OH_prices!K99+$D$2)*IF($M$2="Prices in $/MWh",1,1/1000)</f>
        <v>60.04</v>
      </c>
      <c r="L111" s="79">
        <f>(OH_prices!L99+$D$2)*IF($M$2="Prices in $/MWh",1,1/1000)</f>
        <v>22.16</v>
      </c>
      <c r="M111" s="80">
        <f>(OH_prices!M99+$D$2)*IF($M$2="Prices in $/MWh",1,1/1000)</f>
        <v>23.94</v>
      </c>
      <c r="N111" s="79">
        <f>(OH_prices!N99+$D$2)*IF($M$2="Prices in $/MWh",1,1/1000)</f>
        <v>24.43</v>
      </c>
      <c r="O111" s="61"/>
    </row>
    <row r="112" spans="2:15" x14ac:dyDescent="0.25">
      <c r="B112" s="57"/>
      <c r="C112" s="82" t="str">
        <f>OH_prices!C100</f>
        <v>October-2016</v>
      </c>
      <c r="D112" s="83" t="str">
        <f>OH_prices!D100</f>
        <v>OH</v>
      </c>
      <c r="E112" s="84" t="str">
        <f>OH_prices!E100</f>
        <v>AEP OH</v>
      </c>
      <c r="F112" s="83" t="str">
        <f>OH_prices!F100</f>
        <v>GS3</v>
      </c>
      <c r="G112" s="84" t="str">
        <f>OH_prices!G100</f>
        <v>General Service Large</v>
      </c>
      <c r="H112" s="85" t="str">
        <f t="shared" ref="H112" si="95">IF($M$2="Prices in $/MWh","500-2500 MWh","500,000-2,500,000 kWh")</f>
        <v>500-2500 MWh</v>
      </c>
      <c r="I112" s="84">
        <f>(OH_prices!I100+$D$2)*IF($M$2="Prices in $/MWh",1,1/1000)</f>
        <v>57.04</v>
      </c>
      <c r="J112" s="83">
        <f>(OH_prices!J100+$D$2)*IF($M$2="Prices in $/MWh",1,1/1000)</f>
        <v>58.65</v>
      </c>
      <c r="K112" s="84">
        <f>(OH_prices!K100+$D$2)*IF($M$2="Prices in $/MWh",1,1/1000)</f>
        <v>58.99</v>
      </c>
      <c r="L112" s="83">
        <f>(OH_prices!L100+$D$2)*IF($M$2="Prices in $/MWh",1,1/1000)</f>
        <v>21.11</v>
      </c>
      <c r="M112" s="84">
        <f>(OH_prices!M100+$D$2)*IF($M$2="Prices in $/MWh",1,1/1000)</f>
        <v>22.89</v>
      </c>
      <c r="N112" s="83">
        <f>(OH_prices!N100+$D$2)*IF($M$2="Prices in $/MWh",1,1/1000)</f>
        <v>23.38</v>
      </c>
      <c r="O112" s="61"/>
    </row>
    <row r="113" spans="2:15" x14ac:dyDescent="0.25">
      <c r="B113" s="57"/>
      <c r="C113" s="74" t="str">
        <f>OH_prices!C101</f>
        <v>November-2016</v>
      </c>
      <c r="D113" s="75" t="str">
        <f>OH_prices!D101</f>
        <v>OH</v>
      </c>
      <c r="E113" s="76" t="str">
        <f>OH_prices!E101</f>
        <v>AEP OH</v>
      </c>
      <c r="F113" s="75" t="str">
        <f>OH_prices!F101</f>
        <v>GS3</v>
      </c>
      <c r="G113" s="76" t="str">
        <f>OH_prices!G101</f>
        <v>General Service Large</v>
      </c>
      <c r="H113" s="77" t="str">
        <f t="shared" ref="H113" si="96">IF($M$2="Prices in $/MWh","0-100 MWh","0-100,000 kWh")</f>
        <v>0-100 MWh</v>
      </c>
      <c r="I113" s="76">
        <f>(OH_prices!I101+$D$2)*IF($M$2="Prices in $/MWh",1,1/1000)</f>
        <v>60.15</v>
      </c>
      <c r="J113" s="75">
        <f>(OH_prices!J101+$D$2)*IF($M$2="Prices in $/MWh",1,1/1000)</f>
        <v>61.78</v>
      </c>
      <c r="K113" s="76">
        <f>(OH_prices!K101+$D$2)*IF($M$2="Prices in $/MWh",1,1/1000)</f>
        <v>61.94</v>
      </c>
      <c r="L113" s="75">
        <f>(OH_prices!L101+$D$2)*IF($M$2="Prices in $/MWh",1,1/1000)</f>
        <v>24.25</v>
      </c>
      <c r="M113" s="76">
        <f>(OH_prices!M101+$D$2)*IF($M$2="Prices in $/MWh",1,1/1000)</f>
        <v>25.93</v>
      </c>
      <c r="N113" s="75">
        <f>(OH_prices!N101+$D$2)*IF($M$2="Prices in $/MWh",1,1/1000)</f>
        <v>26.36</v>
      </c>
      <c r="O113" s="61"/>
    </row>
    <row r="114" spans="2:15" x14ac:dyDescent="0.25">
      <c r="B114" s="57"/>
      <c r="C114" s="78" t="str">
        <f>OH_prices!C102</f>
        <v>November-2016</v>
      </c>
      <c r="D114" s="79" t="str">
        <f>OH_prices!D102</f>
        <v>OH</v>
      </c>
      <c r="E114" s="80" t="str">
        <f>OH_prices!E102</f>
        <v>AEP OH</v>
      </c>
      <c r="F114" s="79" t="str">
        <f>OH_prices!F102</f>
        <v>GS3</v>
      </c>
      <c r="G114" s="80" t="str">
        <f>OH_prices!G102</f>
        <v>General Service Large</v>
      </c>
      <c r="H114" s="81" t="str">
        <f t="shared" ref="H114" si="97">IF($M$2="Prices in $/MWh","100-500 MWh","100,000-500,000 kWh")</f>
        <v>100-500 MWh</v>
      </c>
      <c r="I114" s="80">
        <f>(OH_prices!I102+$D$2)*IF($M$2="Prices in $/MWh",1,1/1000)</f>
        <v>58.55</v>
      </c>
      <c r="J114" s="79">
        <f>(OH_prices!J102+$D$2)*IF($M$2="Prices in $/MWh",1,1/1000)</f>
        <v>60.18</v>
      </c>
      <c r="K114" s="80">
        <f>(OH_prices!K102+$D$2)*IF($M$2="Prices in $/MWh",1,1/1000)</f>
        <v>60.34</v>
      </c>
      <c r="L114" s="79">
        <f>(OH_prices!L102+$D$2)*IF($M$2="Prices in $/MWh",1,1/1000)</f>
        <v>22.65</v>
      </c>
      <c r="M114" s="80">
        <f>(OH_prices!M102+$D$2)*IF($M$2="Prices in $/MWh",1,1/1000)</f>
        <v>24.33</v>
      </c>
      <c r="N114" s="79">
        <f>(OH_prices!N102+$D$2)*IF($M$2="Prices in $/MWh",1,1/1000)</f>
        <v>24.76</v>
      </c>
      <c r="O114" s="61"/>
    </row>
    <row r="115" spans="2:15" x14ac:dyDescent="0.25">
      <c r="B115" s="57"/>
      <c r="C115" s="82" t="str">
        <f>OH_prices!C103</f>
        <v>November-2016</v>
      </c>
      <c r="D115" s="83" t="str">
        <f>OH_prices!D103</f>
        <v>OH</v>
      </c>
      <c r="E115" s="84" t="str">
        <f>OH_prices!E103</f>
        <v>AEP OH</v>
      </c>
      <c r="F115" s="83" t="str">
        <f>OH_prices!F103</f>
        <v>GS3</v>
      </c>
      <c r="G115" s="84" t="str">
        <f>OH_prices!G103</f>
        <v>General Service Large</v>
      </c>
      <c r="H115" s="85" t="str">
        <f t="shared" ref="H115" si="98">IF($M$2="Prices in $/MWh","500-2500 MWh","500,000-2,500,000 kWh")</f>
        <v>500-2500 MWh</v>
      </c>
      <c r="I115" s="84">
        <f>(OH_prices!I103+$D$2)*IF($M$2="Prices in $/MWh",1,1/1000)</f>
        <v>57.5</v>
      </c>
      <c r="J115" s="83">
        <f>(OH_prices!J103+$D$2)*IF($M$2="Prices in $/MWh",1,1/1000)</f>
        <v>59.13</v>
      </c>
      <c r="K115" s="84">
        <f>(OH_prices!K103+$D$2)*IF($M$2="Prices in $/MWh",1,1/1000)</f>
        <v>59.29</v>
      </c>
      <c r="L115" s="83">
        <f>(OH_prices!L103+$D$2)*IF($M$2="Prices in $/MWh",1,1/1000)</f>
        <v>21.6</v>
      </c>
      <c r="M115" s="84">
        <f>(OH_prices!M103+$D$2)*IF($M$2="Prices in $/MWh",1,1/1000)</f>
        <v>23.28</v>
      </c>
      <c r="N115" s="83">
        <f>(OH_prices!N103+$D$2)*IF($M$2="Prices in $/MWh",1,1/1000)</f>
        <v>23.71</v>
      </c>
      <c r="O115" s="61"/>
    </row>
    <row r="116" spans="2:15" x14ac:dyDescent="0.25">
      <c r="B116" s="57"/>
      <c r="C116" s="74" t="str">
        <f>OH_prices!C104</f>
        <v>December-2016</v>
      </c>
      <c r="D116" s="75" t="str">
        <f>OH_prices!D104</f>
        <v>OH</v>
      </c>
      <c r="E116" s="76" t="str">
        <f>OH_prices!E104</f>
        <v>AEP OH</v>
      </c>
      <c r="F116" s="75" t="str">
        <f>OH_prices!F104</f>
        <v>GS3</v>
      </c>
      <c r="G116" s="76" t="str">
        <f>OH_prices!G104</f>
        <v>General Service Large</v>
      </c>
      <c r="H116" s="77" t="str">
        <f t="shared" ref="H116" si="99">IF($M$2="Prices in $/MWh","0-100 MWh","0-100,000 kWh")</f>
        <v>0-100 MWh</v>
      </c>
      <c r="I116" s="76">
        <f>(OH_prices!I104+$D$2)*IF($M$2="Prices in $/MWh",1,1/1000)</f>
        <v>60.53</v>
      </c>
      <c r="J116" s="75">
        <f>(OH_prices!J104+$D$2)*IF($M$2="Prices in $/MWh",1,1/1000)</f>
        <v>62.13</v>
      </c>
      <c r="K116" s="76">
        <f>(OH_prices!K104+$D$2)*IF($M$2="Prices in $/MWh",1,1/1000)</f>
        <v>62.2</v>
      </c>
      <c r="L116" s="75">
        <f>(OH_prices!L104+$D$2)*IF($M$2="Prices in $/MWh",1,1/1000)</f>
        <v>24.7</v>
      </c>
      <c r="M116" s="76">
        <f>(OH_prices!M104+$D$2)*IF($M$2="Prices in $/MWh",1,1/1000)</f>
        <v>26.17</v>
      </c>
      <c r="N116" s="75">
        <f>(OH_prices!N104+$D$2)*IF($M$2="Prices in $/MWh",1,1/1000)</f>
        <v>26.67</v>
      </c>
      <c r="O116" s="61"/>
    </row>
    <row r="117" spans="2:15" x14ac:dyDescent="0.25">
      <c r="B117" s="57"/>
      <c r="C117" s="78" t="str">
        <f>OH_prices!C105</f>
        <v>December-2016</v>
      </c>
      <c r="D117" s="79" t="str">
        <f>OH_prices!D105</f>
        <v>OH</v>
      </c>
      <c r="E117" s="80" t="str">
        <f>OH_prices!E105</f>
        <v>AEP OH</v>
      </c>
      <c r="F117" s="79" t="str">
        <f>OH_prices!F105</f>
        <v>GS3</v>
      </c>
      <c r="G117" s="80" t="str">
        <f>OH_prices!G105</f>
        <v>General Service Large</v>
      </c>
      <c r="H117" s="81" t="str">
        <f t="shared" ref="H117" si="100">IF($M$2="Prices in $/MWh","100-500 MWh","100,000-500,000 kWh")</f>
        <v>100-500 MWh</v>
      </c>
      <c r="I117" s="80">
        <f>(OH_prices!I105+$D$2)*IF($M$2="Prices in $/MWh",1,1/1000)</f>
        <v>58.93</v>
      </c>
      <c r="J117" s="79">
        <f>(OH_prices!J105+$D$2)*IF($M$2="Prices in $/MWh",1,1/1000)</f>
        <v>60.53</v>
      </c>
      <c r="K117" s="80">
        <f>(OH_prices!K105+$D$2)*IF($M$2="Prices in $/MWh",1,1/1000)</f>
        <v>60.6</v>
      </c>
      <c r="L117" s="79">
        <f>(OH_prices!L105+$D$2)*IF($M$2="Prices in $/MWh",1,1/1000)</f>
        <v>23.1</v>
      </c>
      <c r="M117" s="80">
        <f>(OH_prices!M105+$D$2)*IF($M$2="Prices in $/MWh",1,1/1000)</f>
        <v>24.57</v>
      </c>
      <c r="N117" s="79">
        <f>(OH_prices!N105+$D$2)*IF($M$2="Prices in $/MWh",1,1/1000)</f>
        <v>25.07</v>
      </c>
      <c r="O117" s="61"/>
    </row>
    <row r="118" spans="2:15" x14ac:dyDescent="0.25">
      <c r="B118" s="57"/>
      <c r="C118" s="82" t="str">
        <f>OH_prices!C106</f>
        <v>December-2016</v>
      </c>
      <c r="D118" s="83" t="str">
        <f>OH_prices!D106</f>
        <v>OH</v>
      </c>
      <c r="E118" s="84" t="str">
        <f>OH_prices!E106</f>
        <v>AEP OH</v>
      </c>
      <c r="F118" s="83" t="str">
        <f>OH_prices!F106</f>
        <v>GS3</v>
      </c>
      <c r="G118" s="84" t="str">
        <f>OH_prices!G106</f>
        <v>General Service Large</v>
      </c>
      <c r="H118" s="85" t="str">
        <f t="shared" ref="H118" si="101">IF($M$2="Prices in $/MWh","500-2500 MWh","500,000-2,500,000 kWh")</f>
        <v>500-2500 MWh</v>
      </c>
      <c r="I118" s="84">
        <f>(OH_prices!I106+$D$2)*IF($M$2="Prices in $/MWh",1,1/1000)</f>
        <v>57.88</v>
      </c>
      <c r="J118" s="83">
        <f>(OH_prices!J106+$D$2)*IF($M$2="Prices in $/MWh",1,1/1000)</f>
        <v>59.48</v>
      </c>
      <c r="K118" s="84">
        <f>(OH_prices!K106+$D$2)*IF($M$2="Prices in $/MWh",1,1/1000)</f>
        <v>59.55</v>
      </c>
      <c r="L118" s="83">
        <f>(OH_prices!L106+$D$2)*IF($M$2="Prices in $/MWh",1,1/1000)</f>
        <v>22.05</v>
      </c>
      <c r="M118" s="84">
        <f>(OH_prices!M106+$D$2)*IF($M$2="Prices in $/MWh",1,1/1000)</f>
        <v>23.52</v>
      </c>
      <c r="N118" s="83">
        <f>(OH_prices!N106+$D$2)*IF($M$2="Prices in $/MWh",1,1/1000)</f>
        <v>24.02</v>
      </c>
      <c r="O118" s="61"/>
    </row>
    <row r="119" spans="2:15" x14ac:dyDescent="0.25">
      <c r="B119" s="57"/>
      <c r="C119" s="74" t="str">
        <f>OH_prices!C107</f>
        <v>January-2017</v>
      </c>
      <c r="D119" s="75" t="str">
        <f>OH_prices!D107</f>
        <v>OH</v>
      </c>
      <c r="E119" s="76" t="str">
        <f>OH_prices!E107</f>
        <v>AEP OH</v>
      </c>
      <c r="F119" s="75" t="str">
        <f>OH_prices!F107</f>
        <v>GS3</v>
      </c>
      <c r="G119" s="76" t="str">
        <f>OH_prices!G107</f>
        <v>General Service Large</v>
      </c>
      <c r="H119" s="77" t="str">
        <f t="shared" ref="H119" si="102">IF($M$2="Prices in $/MWh","0-100 MWh","0-100,000 kWh")</f>
        <v>0-100 MWh</v>
      </c>
      <c r="I119" s="76">
        <f>(OH_prices!I107+$D$2)*IF($M$2="Prices in $/MWh",1,1/1000)</f>
        <v>60.97</v>
      </c>
      <c r="J119" s="75">
        <f>(OH_prices!J107+$D$2)*IF($M$2="Prices in $/MWh",1,1/1000)</f>
        <v>62.4</v>
      </c>
      <c r="K119" s="76">
        <f>(OH_prices!K107+$D$2)*IF($M$2="Prices in $/MWh",1,1/1000)</f>
        <v>62.53</v>
      </c>
      <c r="L119" s="75">
        <f>(OH_prices!L107+$D$2)*IF($M$2="Prices in $/MWh",1,1/1000)</f>
        <v>25.21</v>
      </c>
      <c r="M119" s="76">
        <f>(OH_prices!M107+$D$2)*IF($M$2="Prices in $/MWh",1,1/1000)</f>
        <v>26.45</v>
      </c>
      <c r="N119" s="75">
        <f>(OH_prices!N107+$D$2)*IF($M$2="Prices in $/MWh",1,1/1000)</f>
        <v>27.02</v>
      </c>
      <c r="O119" s="61"/>
    </row>
    <row r="120" spans="2:15" x14ac:dyDescent="0.25">
      <c r="B120" s="57"/>
      <c r="C120" s="78" t="str">
        <f>OH_prices!C108</f>
        <v>January-2017</v>
      </c>
      <c r="D120" s="79" t="str">
        <f>OH_prices!D108</f>
        <v>OH</v>
      </c>
      <c r="E120" s="80" t="str">
        <f>OH_prices!E108</f>
        <v>AEP OH</v>
      </c>
      <c r="F120" s="79" t="str">
        <f>OH_prices!F108</f>
        <v>GS3</v>
      </c>
      <c r="G120" s="80" t="str">
        <f>OH_prices!G108</f>
        <v>General Service Large</v>
      </c>
      <c r="H120" s="81" t="str">
        <f t="shared" ref="H120" si="103">IF($M$2="Prices in $/MWh","100-500 MWh","100,000-500,000 kWh")</f>
        <v>100-500 MWh</v>
      </c>
      <c r="I120" s="80">
        <f>(OH_prices!I108+$D$2)*IF($M$2="Prices in $/MWh",1,1/1000)</f>
        <v>59.37</v>
      </c>
      <c r="J120" s="79">
        <f>(OH_prices!J108+$D$2)*IF($M$2="Prices in $/MWh",1,1/1000)</f>
        <v>60.8</v>
      </c>
      <c r="K120" s="80">
        <f>(OH_prices!K108+$D$2)*IF($M$2="Prices in $/MWh",1,1/1000)</f>
        <v>60.93</v>
      </c>
      <c r="L120" s="79">
        <f>(OH_prices!L108+$D$2)*IF($M$2="Prices in $/MWh",1,1/1000)</f>
        <v>23.61</v>
      </c>
      <c r="M120" s="80">
        <f>(OH_prices!M108+$D$2)*IF($M$2="Prices in $/MWh",1,1/1000)</f>
        <v>24.85</v>
      </c>
      <c r="N120" s="79">
        <f>(OH_prices!N108+$D$2)*IF($M$2="Prices in $/MWh",1,1/1000)</f>
        <v>25.42</v>
      </c>
      <c r="O120" s="61"/>
    </row>
    <row r="121" spans="2:15" x14ac:dyDescent="0.25">
      <c r="B121" s="57"/>
      <c r="C121" s="82" t="str">
        <f>OH_prices!C109</f>
        <v>January-2017</v>
      </c>
      <c r="D121" s="83" t="str">
        <f>OH_prices!D109</f>
        <v>OH</v>
      </c>
      <c r="E121" s="84" t="str">
        <f>OH_prices!E109</f>
        <v>AEP OH</v>
      </c>
      <c r="F121" s="83" t="str">
        <f>OH_prices!F109</f>
        <v>GS3</v>
      </c>
      <c r="G121" s="84" t="str">
        <f>OH_prices!G109</f>
        <v>General Service Large</v>
      </c>
      <c r="H121" s="85" t="str">
        <f t="shared" ref="H121" si="104">IF($M$2="Prices in $/MWh","500-2500 MWh","500,000-2,500,000 kWh")</f>
        <v>500-2500 MWh</v>
      </c>
      <c r="I121" s="84">
        <f>(OH_prices!I109+$D$2)*IF($M$2="Prices in $/MWh",1,1/1000)</f>
        <v>58.32</v>
      </c>
      <c r="J121" s="83">
        <f>(OH_prices!J109+$D$2)*IF($M$2="Prices in $/MWh",1,1/1000)</f>
        <v>59.75</v>
      </c>
      <c r="K121" s="84">
        <f>(OH_prices!K109+$D$2)*IF($M$2="Prices in $/MWh",1,1/1000)</f>
        <v>59.88</v>
      </c>
      <c r="L121" s="83">
        <f>(OH_prices!L109+$D$2)*IF($M$2="Prices in $/MWh",1,1/1000)</f>
        <v>22.56</v>
      </c>
      <c r="M121" s="84">
        <f>(OH_prices!M109+$D$2)*IF($M$2="Prices in $/MWh",1,1/1000)</f>
        <v>23.8</v>
      </c>
      <c r="N121" s="83">
        <f>(OH_prices!N109+$D$2)*IF($M$2="Prices in $/MWh",1,1/1000)</f>
        <v>24.37</v>
      </c>
      <c r="O121" s="61"/>
    </row>
    <row r="122" spans="2:15" x14ac:dyDescent="0.25">
      <c r="B122" s="57"/>
      <c r="C122" s="74" t="str">
        <f>OH_prices!C110</f>
        <v>February-2016</v>
      </c>
      <c r="D122" s="75" t="str">
        <f>OH_prices!D110</f>
        <v>OH</v>
      </c>
      <c r="E122" s="76" t="str">
        <f>OH_prices!E110</f>
        <v>Dayton</v>
      </c>
      <c r="F122" s="75" t="str">
        <f>OH_prices!F110</f>
        <v>SS</v>
      </c>
      <c r="G122" s="76" t="str">
        <f>OH_prices!G110</f>
        <v>Sec. Service</v>
      </c>
      <c r="H122" s="77" t="str">
        <f t="shared" ref="H122" si="105">IF($M$2="Prices in $/MWh","0-100 MWh","0-100,000 kWh")</f>
        <v>0-100 MWh</v>
      </c>
      <c r="I122" s="76">
        <f>(OH_prices!I110+$D$2)*IF($M$2="Prices in $/MWh",1,1/1000)</f>
        <v>59.48</v>
      </c>
      <c r="J122" s="75">
        <f>(OH_prices!J110+$D$2)*IF($M$2="Prices in $/MWh",1,1/1000)</f>
        <v>60.53</v>
      </c>
      <c r="K122" s="76">
        <f>(OH_prices!K110+$D$2)*IF($M$2="Prices in $/MWh",1,1/1000)</f>
        <v>60.91</v>
      </c>
      <c r="L122" s="75">
        <f>(OH_prices!L110+$D$2)*IF($M$2="Prices in $/MWh",1,1/1000)</f>
        <v>22.37</v>
      </c>
      <c r="M122" s="76">
        <f>(OH_prices!M110+$D$2)*IF($M$2="Prices in $/MWh",1,1/1000)</f>
        <v>22.8</v>
      </c>
      <c r="N122" s="75">
        <f>(OH_prices!N110+$D$2)*IF($M$2="Prices in $/MWh",1,1/1000)</f>
        <v>23.63</v>
      </c>
      <c r="O122" s="61"/>
    </row>
    <row r="123" spans="2:15" x14ac:dyDescent="0.25">
      <c r="B123" s="57"/>
      <c r="C123" s="78" t="str">
        <f>OH_prices!C111</f>
        <v>February-2016</v>
      </c>
      <c r="D123" s="79" t="str">
        <f>OH_prices!D111</f>
        <v>OH</v>
      </c>
      <c r="E123" s="80" t="str">
        <f>OH_prices!E111</f>
        <v>Dayton</v>
      </c>
      <c r="F123" s="79" t="str">
        <f>OH_prices!F111</f>
        <v>SS</v>
      </c>
      <c r="G123" s="80" t="str">
        <f>OH_prices!G111</f>
        <v>Sec. Service</v>
      </c>
      <c r="H123" s="81" t="str">
        <f t="shared" ref="H123" si="106">IF($M$2="Prices in $/MWh","100-500 MWh","100,000-500,000 kWh")</f>
        <v>100-500 MWh</v>
      </c>
      <c r="I123" s="80">
        <f>(OH_prices!I111+$D$2)*IF($M$2="Prices in $/MWh",1,1/1000)</f>
        <v>57.88</v>
      </c>
      <c r="J123" s="79">
        <f>(OH_prices!J111+$D$2)*IF($M$2="Prices in $/MWh",1,1/1000)</f>
        <v>58.93</v>
      </c>
      <c r="K123" s="80">
        <f>(OH_prices!K111+$D$2)*IF($M$2="Prices in $/MWh",1,1/1000)</f>
        <v>59.31</v>
      </c>
      <c r="L123" s="79">
        <f>(OH_prices!L111+$D$2)*IF($M$2="Prices in $/MWh",1,1/1000)</f>
        <v>20.77</v>
      </c>
      <c r="M123" s="80">
        <f>(OH_prices!M111+$D$2)*IF($M$2="Prices in $/MWh",1,1/1000)</f>
        <v>21.2</v>
      </c>
      <c r="N123" s="79">
        <f>(OH_prices!N111+$D$2)*IF($M$2="Prices in $/MWh",1,1/1000)</f>
        <v>22.03</v>
      </c>
      <c r="O123" s="61"/>
    </row>
    <row r="124" spans="2:15" x14ac:dyDescent="0.25">
      <c r="B124" s="57"/>
      <c r="C124" s="82" t="str">
        <f>OH_prices!C112</f>
        <v>February-2016</v>
      </c>
      <c r="D124" s="83" t="str">
        <f>OH_prices!D112</f>
        <v>OH</v>
      </c>
      <c r="E124" s="84" t="str">
        <f>OH_prices!E112</f>
        <v>Dayton</v>
      </c>
      <c r="F124" s="83" t="str">
        <f>OH_prices!F112</f>
        <v>SS</v>
      </c>
      <c r="G124" s="84" t="str">
        <f>OH_prices!G112</f>
        <v>Sec. Service</v>
      </c>
      <c r="H124" s="85" t="str">
        <f t="shared" ref="H124" si="107">IF($M$2="Prices in $/MWh","500-2500 MWh","500,000-2,500,000 kWh")</f>
        <v>500-2500 MWh</v>
      </c>
      <c r="I124" s="84">
        <f>(OH_prices!I112+$D$2)*IF($M$2="Prices in $/MWh",1,1/1000)</f>
        <v>56.83</v>
      </c>
      <c r="J124" s="83">
        <f>(OH_prices!J112+$D$2)*IF($M$2="Prices in $/MWh",1,1/1000)</f>
        <v>57.88</v>
      </c>
      <c r="K124" s="84">
        <f>(OH_prices!K112+$D$2)*IF($M$2="Prices in $/MWh",1,1/1000)</f>
        <v>58.26</v>
      </c>
      <c r="L124" s="83">
        <f>(OH_prices!L112+$D$2)*IF($M$2="Prices in $/MWh",1,1/1000)</f>
        <v>19.72</v>
      </c>
      <c r="M124" s="84">
        <f>(OH_prices!M112+$D$2)*IF($M$2="Prices in $/MWh",1,1/1000)</f>
        <v>20.149999999999999</v>
      </c>
      <c r="N124" s="83">
        <f>(OH_prices!N112+$D$2)*IF($M$2="Prices in $/MWh",1,1/1000)</f>
        <v>20.98</v>
      </c>
      <c r="O124" s="61"/>
    </row>
    <row r="125" spans="2:15" x14ac:dyDescent="0.25">
      <c r="B125" s="57"/>
      <c r="C125" s="74" t="str">
        <f>OH_prices!C113</f>
        <v>March-2016</v>
      </c>
      <c r="D125" s="75" t="str">
        <f>OH_prices!D113</f>
        <v>OH</v>
      </c>
      <c r="E125" s="76" t="str">
        <f>OH_prices!E113</f>
        <v>Dayton</v>
      </c>
      <c r="F125" s="75" t="str">
        <f>OH_prices!F113</f>
        <v>SS</v>
      </c>
      <c r="G125" s="76" t="str">
        <f>OH_prices!G113</f>
        <v>Sec. Service</v>
      </c>
      <c r="H125" s="77" t="str">
        <f t="shared" ref="H125" si="108">IF($M$2="Prices in $/MWh","0-100 MWh","0-100,000 kWh")</f>
        <v>0-100 MWh</v>
      </c>
      <c r="I125" s="76">
        <f>(OH_prices!I113+$D$2)*IF($M$2="Prices in $/MWh",1,1/1000)</f>
        <v>59.41</v>
      </c>
      <c r="J125" s="75">
        <f>(OH_prices!J113+$D$2)*IF($M$2="Prices in $/MWh",1,1/1000)</f>
        <v>60.82</v>
      </c>
      <c r="K125" s="76">
        <f>(OH_prices!K113+$D$2)*IF($M$2="Prices in $/MWh",1,1/1000)</f>
        <v>61.08</v>
      </c>
      <c r="L125" s="75">
        <f>(OH_prices!L113+$D$2)*IF($M$2="Prices in $/MWh",1,1/1000)</f>
        <v>22.06</v>
      </c>
      <c r="M125" s="76">
        <f>(OH_prices!M113+$D$2)*IF($M$2="Prices in $/MWh",1,1/1000)</f>
        <v>22.99</v>
      </c>
      <c r="N125" s="75">
        <f>(OH_prices!N113+$D$2)*IF($M$2="Prices in $/MWh",1,1/1000)</f>
        <v>23.7</v>
      </c>
      <c r="O125" s="61"/>
    </row>
    <row r="126" spans="2:15" x14ac:dyDescent="0.25">
      <c r="B126" s="57"/>
      <c r="C126" s="78" t="str">
        <f>OH_prices!C114</f>
        <v>March-2016</v>
      </c>
      <c r="D126" s="79" t="str">
        <f>OH_prices!D114</f>
        <v>OH</v>
      </c>
      <c r="E126" s="80" t="str">
        <f>OH_prices!E114</f>
        <v>Dayton</v>
      </c>
      <c r="F126" s="79" t="str">
        <f>OH_prices!F114</f>
        <v>SS</v>
      </c>
      <c r="G126" s="80" t="str">
        <f>OH_prices!G114</f>
        <v>Sec. Service</v>
      </c>
      <c r="H126" s="81" t="str">
        <f t="shared" ref="H126" si="109">IF($M$2="Prices in $/MWh","100-500 MWh","100,000-500,000 kWh")</f>
        <v>100-500 MWh</v>
      </c>
      <c r="I126" s="80">
        <f>(OH_prices!I114+$D$2)*IF($M$2="Prices in $/MWh",1,1/1000)</f>
        <v>57.81</v>
      </c>
      <c r="J126" s="79">
        <f>(OH_prices!J114+$D$2)*IF($M$2="Prices in $/MWh",1,1/1000)</f>
        <v>59.22</v>
      </c>
      <c r="K126" s="80">
        <f>(OH_prices!K114+$D$2)*IF($M$2="Prices in $/MWh",1,1/1000)</f>
        <v>59.48</v>
      </c>
      <c r="L126" s="79">
        <f>(OH_prices!L114+$D$2)*IF($M$2="Prices in $/MWh",1,1/1000)</f>
        <v>20.46</v>
      </c>
      <c r="M126" s="80">
        <f>(OH_prices!M114+$D$2)*IF($M$2="Prices in $/MWh",1,1/1000)</f>
        <v>21.39</v>
      </c>
      <c r="N126" s="79">
        <f>(OH_prices!N114+$D$2)*IF($M$2="Prices in $/MWh",1,1/1000)</f>
        <v>22.1</v>
      </c>
      <c r="O126" s="61"/>
    </row>
    <row r="127" spans="2:15" x14ac:dyDescent="0.25">
      <c r="B127" s="57"/>
      <c r="C127" s="82" t="str">
        <f>OH_prices!C115</f>
        <v>March-2016</v>
      </c>
      <c r="D127" s="83" t="str">
        <f>OH_prices!D115</f>
        <v>OH</v>
      </c>
      <c r="E127" s="84" t="str">
        <f>OH_prices!E115</f>
        <v>Dayton</v>
      </c>
      <c r="F127" s="83" t="str">
        <f>OH_prices!F115</f>
        <v>SS</v>
      </c>
      <c r="G127" s="84" t="str">
        <f>OH_prices!G115</f>
        <v>Sec. Service</v>
      </c>
      <c r="H127" s="85" t="str">
        <f t="shared" ref="H127" si="110">IF($M$2="Prices in $/MWh","500-2500 MWh","500,000-2,500,000 kWh")</f>
        <v>500-2500 MWh</v>
      </c>
      <c r="I127" s="84">
        <f>(OH_prices!I115+$D$2)*IF($M$2="Prices in $/MWh",1,1/1000)</f>
        <v>56.76</v>
      </c>
      <c r="J127" s="83">
        <f>(OH_prices!J115+$D$2)*IF($M$2="Prices in $/MWh",1,1/1000)</f>
        <v>58.17</v>
      </c>
      <c r="K127" s="84">
        <f>(OH_prices!K115+$D$2)*IF($M$2="Prices in $/MWh",1,1/1000)</f>
        <v>58.43</v>
      </c>
      <c r="L127" s="83">
        <f>(OH_prices!L115+$D$2)*IF($M$2="Prices in $/MWh",1,1/1000)</f>
        <v>19.41</v>
      </c>
      <c r="M127" s="84">
        <f>(OH_prices!M115+$D$2)*IF($M$2="Prices in $/MWh",1,1/1000)</f>
        <v>20.34</v>
      </c>
      <c r="N127" s="83">
        <f>(OH_prices!N115+$D$2)*IF($M$2="Prices in $/MWh",1,1/1000)</f>
        <v>21.05</v>
      </c>
      <c r="O127" s="61"/>
    </row>
    <row r="128" spans="2:15" x14ac:dyDescent="0.25">
      <c r="B128" s="57"/>
      <c r="C128" s="74" t="str">
        <f>OH_prices!C116</f>
        <v>April-2016</v>
      </c>
      <c r="D128" s="75" t="str">
        <f>OH_prices!D116</f>
        <v>OH</v>
      </c>
      <c r="E128" s="76" t="str">
        <f>OH_prices!E116</f>
        <v>Dayton</v>
      </c>
      <c r="F128" s="75" t="str">
        <f>OH_prices!F116</f>
        <v>SS</v>
      </c>
      <c r="G128" s="76" t="str">
        <f>OH_prices!G116</f>
        <v>Sec. Service</v>
      </c>
      <c r="H128" s="77" t="str">
        <f t="shared" ref="H128" si="111">IF($M$2="Prices in $/MWh","0-100 MWh","0-100,000 kWh")</f>
        <v>0-100 MWh</v>
      </c>
      <c r="I128" s="76">
        <f>(OH_prices!I116+$D$2)*IF($M$2="Prices in $/MWh",1,1/1000)</f>
        <v>59.4</v>
      </c>
      <c r="J128" s="75">
        <f>(OH_prices!J116+$D$2)*IF($M$2="Prices in $/MWh",1,1/1000)</f>
        <v>61.3</v>
      </c>
      <c r="K128" s="76">
        <f>(OH_prices!K116+$D$2)*IF($M$2="Prices in $/MWh",1,1/1000)</f>
        <v>61.27</v>
      </c>
      <c r="L128" s="75">
        <f>(OH_prices!L116+$D$2)*IF($M$2="Prices in $/MWh",1,1/1000)</f>
        <v>21.72</v>
      </c>
      <c r="M128" s="76">
        <f>(OH_prices!M116+$D$2)*IF($M$2="Prices in $/MWh",1,1/1000)</f>
        <v>23.48</v>
      </c>
      <c r="N128" s="75">
        <f>(OH_prices!N116+$D$2)*IF($M$2="Prices in $/MWh",1,1/1000)</f>
        <v>23.78</v>
      </c>
      <c r="O128" s="61"/>
    </row>
    <row r="129" spans="2:15" x14ac:dyDescent="0.25">
      <c r="B129" s="57"/>
      <c r="C129" s="78" t="str">
        <f>OH_prices!C117</f>
        <v>April-2016</v>
      </c>
      <c r="D129" s="79" t="str">
        <f>OH_prices!D117</f>
        <v>OH</v>
      </c>
      <c r="E129" s="80" t="str">
        <f>OH_prices!E117</f>
        <v>Dayton</v>
      </c>
      <c r="F129" s="79" t="str">
        <f>OH_prices!F117</f>
        <v>SS</v>
      </c>
      <c r="G129" s="80" t="str">
        <f>OH_prices!G117</f>
        <v>Sec. Service</v>
      </c>
      <c r="H129" s="81" t="str">
        <f t="shared" ref="H129" si="112">IF($M$2="Prices in $/MWh","100-500 MWh","100,000-500,000 kWh")</f>
        <v>100-500 MWh</v>
      </c>
      <c r="I129" s="80">
        <f>(OH_prices!I117+$D$2)*IF($M$2="Prices in $/MWh",1,1/1000)</f>
        <v>57.8</v>
      </c>
      <c r="J129" s="79">
        <f>(OH_prices!J117+$D$2)*IF($M$2="Prices in $/MWh",1,1/1000)</f>
        <v>59.7</v>
      </c>
      <c r="K129" s="80">
        <f>(OH_prices!K117+$D$2)*IF($M$2="Prices in $/MWh",1,1/1000)</f>
        <v>59.67</v>
      </c>
      <c r="L129" s="79">
        <f>(OH_prices!L117+$D$2)*IF($M$2="Prices in $/MWh",1,1/1000)</f>
        <v>20.12</v>
      </c>
      <c r="M129" s="80">
        <f>(OH_prices!M117+$D$2)*IF($M$2="Prices in $/MWh",1,1/1000)</f>
        <v>21.88</v>
      </c>
      <c r="N129" s="79">
        <f>(OH_prices!N117+$D$2)*IF($M$2="Prices in $/MWh",1,1/1000)</f>
        <v>22.18</v>
      </c>
      <c r="O129" s="61"/>
    </row>
    <row r="130" spans="2:15" x14ac:dyDescent="0.25">
      <c r="B130" s="57"/>
      <c r="C130" s="82" t="str">
        <f>OH_prices!C118</f>
        <v>April-2016</v>
      </c>
      <c r="D130" s="83" t="str">
        <f>OH_prices!D118</f>
        <v>OH</v>
      </c>
      <c r="E130" s="84" t="str">
        <f>OH_prices!E118</f>
        <v>Dayton</v>
      </c>
      <c r="F130" s="83" t="str">
        <f>OH_prices!F118</f>
        <v>SS</v>
      </c>
      <c r="G130" s="84" t="str">
        <f>OH_prices!G118</f>
        <v>Sec. Service</v>
      </c>
      <c r="H130" s="85" t="str">
        <f t="shared" ref="H130" si="113">IF($M$2="Prices in $/MWh","500-2500 MWh","500,000-2,500,000 kWh")</f>
        <v>500-2500 MWh</v>
      </c>
      <c r="I130" s="84">
        <f>(OH_prices!I118+$D$2)*IF($M$2="Prices in $/MWh",1,1/1000)</f>
        <v>56.75</v>
      </c>
      <c r="J130" s="83">
        <f>(OH_prices!J118+$D$2)*IF($M$2="Prices in $/MWh",1,1/1000)</f>
        <v>58.65</v>
      </c>
      <c r="K130" s="84">
        <f>(OH_prices!K118+$D$2)*IF($M$2="Prices in $/MWh",1,1/1000)</f>
        <v>58.62</v>
      </c>
      <c r="L130" s="83">
        <f>(OH_prices!L118+$D$2)*IF($M$2="Prices in $/MWh",1,1/1000)</f>
        <v>19.07</v>
      </c>
      <c r="M130" s="84">
        <f>(OH_prices!M118+$D$2)*IF($M$2="Prices in $/MWh",1,1/1000)</f>
        <v>20.83</v>
      </c>
      <c r="N130" s="83">
        <f>(OH_prices!N118+$D$2)*IF($M$2="Prices in $/MWh",1,1/1000)</f>
        <v>21.13</v>
      </c>
      <c r="O130" s="61"/>
    </row>
    <row r="131" spans="2:15" x14ac:dyDescent="0.25">
      <c r="B131" s="57"/>
      <c r="C131" s="74" t="str">
        <f>OH_prices!C119</f>
        <v>May-2016</v>
      </c>
      <c r="D131" s="75" t="str">
        <f>OH_prices!D119</f>
        <v>OH</v>
      </c>
      <c r="E131" s="76" t="str">
        <f>OH_prices!E119</f>
        <v>Dayton</v>
      </c>
      <c r="F131" s="75" t="str">
        <f>OH_prices!F119</f>
        <v>SS</v>
      </c>
      <c r="G131" s="76" t="str">
        <f>OH_prices!G119</f>
        <v>Sec. Service</v>
      </c>
      <c r="H131" s="77" t="str">
        <f t="shared" ref="H131" si="114">IF($M$2="Prices in $/MWh","0-100 MWh","0-100,000 kWh")</f>
        <v>0-100 MWh</v>
      </c>
      <c r="I131" s="76">
        <f>(OH_prices!I119+$D$2)*IF($M$2="Prices in $/MWh",1,1/1000)</f>
        <v>59.19</v>
      </c>
      <c r="J131" s="75">
        <f>(OH_prices!J119+$D$2)*IF($M$2="Prices in $/MWh",1,1/1000)</f>
        <v>60.84</v>
      </c>
      <c r="K131" s="76">
        <f>(OH_prices!K119+$D$2)*IF($M$2="Prices in $/MWh",1,1/1000)</f>
        <v>61.38</v>
      </c>
      <c r="L131" s="75">
        <f>(OH_prices!L119+$D$2)*IF($M$2="Prices in $/MWh",1,1/1000)</f>
        <v>21.44</v>
      </c>
      <c r="M131" s="76">
        <f>(OH_prices!M119+$D$2)*IF($M$2="Prices in $/MWh",1,1/1000)</f>
        <v>23.27</v>
      </c>
      <c r="N131" s="75">
        <f>(OH_prices!N119+$D$2)*IF($M$2="Prices in $/MWh",1,1/1000)</f>
        <v>23.89</v>
      </c>
      <c r="O131" s="61"/>
    </row>
    <row r="132" spans="2:15" x14ac:dyDescent="0.25">
      <c r="B132" s="57"/>
      <c r="C132" s="78" t="str">
        <f>OH_prices!C120</f>
        <v>May-2016</v>
      </c>
      <c r="D132" s="79" t="str">
        <f>OH_prices!D120</f>
        <v>OH</v>
      </c>
      <c r="E132" s="80" t="str">
        <f>OH_prices!E120</f>
        <v>Dayton</v>
      </c>
      <c r="F132" s="79" t="str">
        <f>OH_prices!F120</f>
        <v>SS</v>
      </c>
      <c r="G132" s="80" t="str">
        <f>OH_prices!G120</f>
        <v>Sec. Service</v>
      </c>
      <c r="H132" s="81" t="str">
        <f t="shared" ref="H132" si="115">IF($M$2="Prices in $/MWh","100-500 MWh","100,000-500,000 kWh")</f>
        <v>100-500 MWh</v>
      </c>
      <c r="I132" s="80">
        <f>(OH_prices!I120+$D$2)*IF($M$2="Prices in $/MWh",1,1/1000)</f>
        <v>57.59</v>
      </c>
      <c r="J132" s="79">
        <f>(OH_prices!J120+$D$2)*IF($M$2="Prices in $/MWh",1,1/1000)</f>
        <v>59.24</v>
      </c>
      <c r="K132" s="80">
        <f>(OH_prices!K120+$D$2)*IF($M$2="Prices in $/MWh",1,1/1000)</f>
        <v>59.78</v>
      </c>
      <c r="L132" s="79">
        <f>(OH_prices!L120+$D$2)*IF($M$2="Prices in $/MWh",1,1/1000)</f>
        <v>19.84</v>
      </c>
      <c r="M132" s="80">
        <f>(OH_prices!M120+$D$2)*IF($M$2="Prices in $/MWh",1,1/1000)</f>
        <v>21.67</v>
      </c>
      <c r="N132" s="79">
        <f>(OH_prices!N120+$D$2)*IF($M$2="Prices in $/MWh",1,1/1000)</f>
        <v>22.29</v>
      </c>
      <c r="O132" s="61"/>
    </row>
    <row r="133" spans="2:15" x14ac:dyDescent="0.25">
      <c r="B133" s="57"/>
      <c r="C133" s="82" t="str">
        <f>OH_prices!C121</f>
        <v>May-2016</v>
      </c>
      <c r="D133" s="83" t="str">
        <f>OH_prices!D121</f>
        <v>OH</v>
      </c>
      <c r="E133" s="84" t="str">
        <f>OH_prices!E121</f>
        <v>Dayton</v>
      </c>
      <c r="F133" s="83" t="str">
        <f>OH_prices!F121</f>
        <v>SS</v>
      </c>
      <c r="G133" s="84" t="str">
        <f>OH_prices!G121</f>
        <v>Sec. Service</v>
      </c>
      <c r="H133" s="85" t="str">
        <f t="shared" ref="H133" si="116">IF($M$2="Prices in $/MWh","500-2500 MWh","500,000-2,500,000 kWh")</f>
        <v>500-2500 MWh</v>
      </c>
      <c r="I133" s="84">
        <f>(OH_prices!I121+$D$2)*IF($M$2="Prices in $/MWh",1,1/1000)</f>
        <v>56.54</v>
      </c>
      <c r="J133" s="83">
        <f>(OH_prices!J121+$D$2)*IF($M$2="Prices in $/MWh",1,1/1000)</f>
        <v>58.19</v>
      </c>
      <c r="K133" s="84">
        <f>(OH_prices!K121+$D$2)*IF($M$2="Prices in $/MWh",1,1/1000)</f>
        <v>58.73</v>
      </c>
      <c r="L133" s="83">
        <f>(OH_prices!L121+$D$2)*IF($M$2="Prices in $/MWh",1,1/1000)</f>
        <v>18.79</v>
      </c>
      <c r="M133" s="84">
        <f>(OH_prices!M121+$D$2)*IF($M$2="Prices in $/MWh",1,1/1000)</f>
        <v>20.62</v>
      </c>
      <c r="N133" s="83">
        <f>(OH_prices!N121+$D$2)*IF($M$2="Prices in $/MWh",1,1/1000)</f>
        <v>21.24</v>
      </c>
      <c r="O133" s="61"/>
    </row>
    <row r="134" spans="2:15" x14ac:dyDescent="0.25">
      <c r="B134" s="57"/>
      <c r="C134" s="74" t="str">
        <f>OH_prices!C122</f>
        <v>June-2016</v>
      </c>
      <c r="D134" s="75" t="str">
        <f>OH_prices!D122</f>
        <v>OH</v>
      </c>
      <c r="E134" s="76" t="str">
        <f>OH_prices!E122</f>
        <v>Dayton</v>
      </c>
      <c r="F134" s="75" t="str">
        <f>OH_prices!F122</f>
        <v>SS</v>
      </c>
      <c r="G134" s="76" t="str">
        <f>OH_prices!G122</f>
        <v>Sec. Service</v>
      </c>
      <c r="H134" s="77" t="str">
        <f t="shared" ref="H134" si="117">IF($M$2="Prices in $/MWh","0-100 MWh","0-100,000 kWh")</f>
        <v>0-100 MWh</v>
      </c>
      <c r="I134" s="76">
        <f>(OH_prices!I122+$D$2)*IF($M$2="Prices in $/MWh",1,1/1000)</f>
        <v>58.94</v>
      </c>
      <c r="J134" s="75">
        <f>(OH_prices!J122+$D$2)*IF($M$2="Prices in $/MWh",1,1/1000)</f>
        <v>60.43</v>
      </c>
      <c r="K134" s="76">
        <f>(OH_prices!K122+$D$2)*IF($M$2="Prices in $/MWh",1,1/1000)</f>
        <v>61.5</v>
      </c>
      <c r="L134" s="75">
        <f>(OH_prices!L122+$D$2)*IF($M$2="Prices in $/MWh",1,1/1000)</f>
        <v>21.11</v>
      </c>
      <c r="M134" s="76">
        <f>(OH_prices!M122+$D$2)*IF($M$2="Prices in $/MWh",1,1/1000)</f>
        <v>23.09</v>
      </c>
      <c r="N134" s="75">
        <f>(OH_prices!N122+$D$2)*IF($M$2="Prices in $/MWh",1,1/1000)</f>
        <v>23.96</v>
      </c>
      <c r="O134" s="61"/>
    </row>
    <row r="135" spans="2:15" x14ac:dyDescent="0.25">
      <c r="B135" s="57"/>
      <c r="C135" s="78" t="str">
        <f>OH_prices!C123</f>
        <v>June-2016</v>
      </c>
      <c r="D135" s="79" t="str">
        <f>OH_prices!D123</f>
        <v>OH</v>
      </c>
      <c r="E135" s="80" t="str">
        <f>OH_prices!E123</f>
        <v>Dayton</v>
      </c>
      <c r="F135" s="79" t="str">
        <f>OH_prices!F123</f>
        <v>SS</v>
      </c>
      <c r="G135" s="80" t="str">
        <f>OH_prices!G123</f>
        <v>Sec. Service</v>
      </c>
      <c r="H135" s="81" t="str">
        <f t="shared" ref="H135" si="118">IF($M$2="Prices in $/MWh","100-500 MWh","100,000-500,000 kWh")</f>
        <v>100-500 MWh</v>
      </c>
      <c r="I135" s="80">
        <f>(OH_prices!I123+$D$2)*IF($M$2="Prices in $/MWh",1,1/1000)</f>
        <v>57.34</v>
      </c>
      <c r="J135" s="79">
        <f>(OH_prices!J123+$D$2)*IF($M$2="Prices in $/MWh",1,1/1000)</f>
        <v>58.83</v>
      </c>
      <c r="K135" s="80">
        <f>(OH_prices!K123+$D$2)*IF($M$2="Prices in $/MWh",1,1/1000)</f>
        <v>59.9</v>
      </c>
      <c r="L135" s="79">
        <f>(OH_prices!L123+$D$2)*IF($M$2="Prices in $/MWh",1,1/1000)</f>
        <v>19.510000000000002</v>
      </c>
      <c r="M135" s="80">
        <f>(OH_prices!M123+$D$2)*IF($M$2="Prices in $/MWh",1,1/1000)</f>
        <v>21.49</v>
      </c>
      <c r="N135" s="79">
        <f>(OH_prices!N123+$D$2)*IF($M$2="Prices in $/MWh",1,1/1000)</f>
        <v>22.36</v>
      </c>
      <c r="O135" s="61"/>
    </row>
    <row r="136" spans="2:15" x14ac:dyDescent="0.25">
      <c r="B136" s="57"/>
      <c r="C136" s="82" t="str">
        <f>OH_prices!C124</f>
        <v>June-2016</v>
      </c>
      <c r="D136" s="83" t="str">
        <f>OH_prices!D124</f>
        <v>OH</v>
      </c>
      <c r="E136" s="84" t="str">
        <f>OH_prices!E124</f>
        <v>Dayton</v>
      </c>
      <c r="F136" s="83" t="str">
        <f>OH_prices!F124</f>
        <v>SS</v>
      </c>
      <c r="G136" s="84" t="str">
        <f>OH_prices!G124</f>
        <v>Sec. Service</v>
      </c>
      <c r="H136" s="85" t="str">
        <f t="shared" ref="H136" si="119">IF($M$2="Prices in $/MWh","500-2500 MWh","500,000-2,500,000 kWh")</f>
        <v>500-2500 MWh</v>
      </c>
      <c r="I136" s="84">
        <f>(OH_prices!I124+$D$2)*IF($M$2="Prices in $/MWh",1,1/1000)</f>
        <v>56.29</v>
      </c>
      <c r="J136" s="83">
        <f>(OH_prices!J124+$D$2)*IF($M$2="Prices in $/MWh",1,1/1000)</f>
        <v>57.78</v>
      </c>
      <c r="K136" s="84">
        <f>(OH_prices!K124+$D$2)*IF($M$2="Prices in $/MWh",1,1/1000)</f>
        <v>58.85</v>
      </c>
      <c r="L136" s="83">
        <f>(OH_prices!L124+$D$2)*IF($M$2="Prices in $/MWh",1,1/1000)</f>
        <v>18.46</v>
      </c>
      <c r="M136" s="84">
        <f>(OH_prices!M124+$D$2)*IF($M$2="Prices in $/MWh",1,1/1000)</f>
        <v>20.440000000000001</v>
      </c>
      <c r="N136" s="83">
        <f>(OH_prices!N124+$D$2)*IF($M$2="Prices in $/MWh",1,1/1000)</f>
        <v>21.31</v>
      </c>
      <c r="O136" s="61"/>
    </row>
    <row r="137" spans="2:15" x14ac:dyDescent="0.25">
      <c r="B137" s="57"/>
      <c r="C137" s="74" t="str">
        <f>OH_prices!C125</f>
        <v>July-2016</v>
      </c>
      <c r="D137" s="75" t="str">
        <f>OH_prices!D125</f>
        <v>OH</v>
      </c>
      <c r="E137" s="76" t="str">
        <f>OH_prices!E125</f>
        <v>Dayton</v>
      </c>
      <c r="F137" s="75" t="str">
        <f>OH_prices!F125</f>
        <v>SS</v>
      </c>
      <c r="G137" s="76" t="str">
        <f>OH_prices!G125</f>
        <v>Sec. Service</v>
      </c>
      <c r="H137" s="77" t="str">
        <f t="shared" ref="H137" si="120">IF($M$2="Prices in $/MWh","0-100 MWh","0-100,000 kWh")</f>
        <v>0-100 MWh</v>
      </c>
      <c r="I137" s="76">
        <f>(OH_prices!I125+$D$2)*IF($M$2="Prices in $/MWh",1,1/1000)</f>
        <v>59.46</v>
      </c>
      <c r="J137" s="75">
        <f>(OH_prices!J125+$D$2)*IF($M$2="Prices in $/MWh",1,1/1000)</f>
        <v>60.58</v>
      </c>
      <c r="K137" s="76">
        <f>(OH_prices!K125+$D$2)*IF($M$2="Prices in $/MWh",1,1/1000)</f>
        <v>61.8</v>
      </c>
      <c r="L137" s="75">
        <f>(OH_prices!L125+$D$2)*IF($M$2="Prices in $/MWh",1,1/1000)</f>
        <v>21.59</v>
      </c>
      <c r="M137" s="76">
        <f>(OH_prices!M125+$D$2)*IF($M$2="Prices in $/MWh",1,1/1000)</f>
        <v>23.41</v>
      </c>
      <c r="N137" s="75">
        <f>(OH_prices!N125+$D$2)*IF($M$2="Prices in $/MWh",1,1/1000)</f>
        <v>24.29</v>
      </c>
      <c r="O137" s="61"/>
    </row>
    <row r="138" spans="2:15" x14ac:dyDescent="0.25">
      <c r="B138" s="57"/>
      <c r="C138" s="78" t="str">
        <f>OH_prices!C126</f>
        <v>July-2016</v>
      </c>
      <c r="D138" s="79" t="str">
        <f>OH_prices!D126</f>
        <v>OH</v>
      </c>
      <c r="E138" s="80" t="str">
        <f>OH_prices!E126</f>
        <v>Dayton</v>
      </c>
      <c r="F138" s="79" t="str">
        <f>OH_prices!F126</f>
        <v>SS</v>
      </c>
      <c r="G138" s="80" t="str">
        <f>OH_prices!G126</f>
        <v>Sec. Service</v>
      </c>
      <c r="H138" s="81" t="str">
        <f t="shared" ref="H138" si="121">IF($M$2="Prices in $/MWh","100-500 MWh","100,000-500,000 kWh")</f>
        <v>100-500 MWh</v>
      </c>
      <c r="I138" s="80">
        <f>(OH_prices!I126+$D$2)*IF($M$2="Prices in $/MWh",1,1/1000)</f>
        <v>57.86</v>
      </c>
      <c r="J138" s="79">
        <f>(OH_prices!J126+$D$2)*IF($M$2="Prices in $/MWh",1,1/1000)</f>
        <v>58.98</v>
      </c>
      <c r="K138" s="80">
        <f>(OH_prices!K126+$D$2)*IF($M$2="Prices in $/MWh",1,1/1000)</f>
        <v>60.2</v>
      </c>
      <c r="L138" s="79">
        <f>(OH_prices!L126+$D$2)*IF($M$2="Prices in $/MWh",1,1/1000)</f>
        <v>19.989999999999998</v>
      </c>
      <c r="M138" s="80">
        <f>(OH_prices!M126+$D$2)*IF($M$2="Prices in $/MWh",1,1/1000)</f>
        <v>21.81</v>
      </c>
      <c r="N138" s="79">
        <f>(OH_prices!N126+$D$2)*IF($M$2="Prices in $/MWh",1,1/1000)</f>
        <v>22.69</v>
      </c>
      <c r="O138" s="61"/>
    </row>
    <row r="139" spans="2:15" x14ac:dyDescent="0.25">
      <c r="B139" s="57"/>
      <c r="C139" s="82" t="str">
        <f>OH_prices!C127</f>
        <v>July-2016</v>
      </c>
      <c r="D139" s="83" t="str">
        <f>OH_prices!D127</f>
        <v>OH</v>
      </c>
      <c r="E139" s="84" t="str">
        <f>OH_prices!E127</f>
        <v>Dayton</v>
      </c>
      <c r="F139" s="83" t="str">
        <f>OH_prices!F127</f>
        <v>SS</v>
      </c>
      <c r="G139" s="84" t="str">
        <f>OH_prices!G127</f>
        <v>Sec. Service</v>
      </c>
      <c r="H139" s="85" t="str">
        <f t="shared" ref="H139" si="122">IF($M$2="Prices in $/MWh","500-2500 MWh","500,000-2,500,000 kWh")</f>
        <v>500-2500 MWh</v>
      </c>
      <c r="I139" s="84">
        <f>(OH_prices!I127+$D$2)*IF($M$2="Prices in $/MWh",1,1/1000)</f>
        <v>56.81</v>
      </c>
      <c r="J139" s="83">
        <f>(OH_prices!J127+$D$2)*IF($M$2="Prices in $/MWh",1,1/1000)</f>
        <v>57.93</v>
      </c>
      <c r="K139" s="84">
        <f>(OH_prices!K127+$D$2)*IF($M$2="Prices in $/MWh",1,1/1000)</f>
        <v>59.15</v>
      </c>
      <c r="L139" s="83">
        <f>(OH_prices!L127+$D$2)*IF($M$2="Prices in $/MWh",1,1/1000)</f>
        <v>18.940000000000001</v>
      </c>
      <c r="M139" s="84">
        <f>(OH_prices!M127+$D$2)*IF($M$2="Prices in $/MWh",1,1/1000)</f>
        <v>20.76</v>
      </c>
      <c r="N139" s="83">
        <f>(OH_prices!N127+$D$2)*IF($M$2="Prices in $/MWh",1,1/1000)</f>
        <v>21.64</v>
      </c>
      <c r="O139" s="61"/>
    </row>
    <row r="140" spans="2:15" x14ac:dyDescent="0.25">
      <c r="B140" s="57"/>
      <c r="C140" s="74" t="str">
        <f>OH_prices!C128</f>
        <v>August-2016</v>
      </c>
      <c r="D140" s="75" t="str">
        <f>OH_prices!D128</f>
        <v>OH</v>
      </c>
      <c r="E140" s="76" t="str">
        <f>OH_prices!E128</f>
        <v>Dayton</v>
      </c>
      <c r="F140" s="75" t="str">
        <f>OH_prices!F128</f>
        <v>SS</v>
      </c>
      <c r="G140" s="76" t="str">
        <f>OH_prices!G128</f>
        <v>Sec. Service</v>
      </c>
      <c r="H140" s="77" t="str">
        <f t="shared" ref="H140" si="123">IF($M$2="Prices in $/MWh","0-100 MWh","0-100,000 kWh")</f>
        <v>0-100 MWh</v>
      </c>
      <c r="I140" s="76">
        <f>(OH_prices!I128+$D$2)*IF($M$2="Prices in $/MWh",1,1/1000)</f>
        <v>59.9</v>
      </c>
      <c r="J140" s="75">
        <f>(OH_prices!J128+$D$2)*IF($M$2="Prices in $/MWh",1,1/1000)</f>
        <v>60.61</v>
      </c>
      <c r="K140" s="76">
        <f>(OH_prices!K128+$D$2)*IF($M$2="Prices in $/MWh",1,1/1000)</f>
        <v>62.16</v>
      </c>
      <c r="L140" s="75">
        <f>(OH_prices!L128+$D$2)*IF($M$2="Prices in $/MWh",1,1/1000)</f>
        <v>22.07</v>
      </c>
      <c r="M140" s="76">
        <f>(OH_prices!M128+$D$2)*IF($M$2="Prices in $/MWh",1,1/1000)</f>
        <v>23.42</v>
      </c>
      <c r="N140" s="75">
        <f>(OH_prices!N128+$D$2)*IF($M$2="Prices in $/MWh",1,1/1000)</f>
        <v>24.62</v>
      </c>
      <c r="O140" s="61"/>
    </row>
    <row r="141" spans="2:15" x14ac:dyDescent="0.25">
      <c r="B141" s="57"/>
      <c r="C141" s="78" t="str">
        <f>OH_prices!C129</f>
        <v>August-2016</v>
      </c>
      <c r="D141" s="79" t="str">
        <f>OH_prices!D129</f>
        <v>OH</v>
      </c>
      <c r="E141" s="80" t="str">
        <f>OH_prices!E129</f>
        <v>Dayton</v>
      </c>
      <c r="F141" s="79" t="str">
        <f>OH_prices!F129</f>
        <v>SS</v>
      </c>
      <c r="G141" s="80" t="str">
        <f>OH_prices!G129</f>
        <v>Sec. Service</v>
      </c>
      <c r="H141" s="81" t="str">
        <f t="shared" ref="H141" si="124">IF($M$2="Prices in $/MWh","100-500 MWh","100,000-500,000 kWh")</f>
        <v>100-500 MWh</v>
      </c>
      <c r="I141" s="80">
        <f>(OH_prices!I129+$D$2)*IF($M$2="Prices in $/MWh",1,1/1000)</f>
        <v>58.3</v>
      </c>
      <c r="J141" s="79">
        <f>(OH_prices!J129+$D$2)*IF($M$2="Prices in $/MWh",1,1/1000)</f>
        <v>59.01</v>
      </c>
      <c r="K141" s="80">
        <f>(OH_prices!K129+$D$2)*IF($M$2="Prices in $/MWh",1,1/1000)</f>
        <v>60.56</v>
      </c>
      <c r="L141" s="79">
        <f>(OH_prices!L129+$D$2)*IF($M$2="Prices in $/MWh",1,1/1000)</f>
        <v>20.47</v>
      </c>
      <c r="M141" s="80">
        <f>(OH_prices!M129+$D$2)*IF($M$2="Prices in $/MWh",1,1/1000)</f>
        <v>21.82</v>
      </c>
      <c r="N141" s="79">
        <f>(OH_prices!N129+$D$2)*IF($M$2="Prices in $/MWh",1,1/1000)</f>
        <v>23.02</v>
      </c>
      <c r="O141" s="61"/>
    </row>
    <row r="142" spans="2:15" x14ac:dyDescent="0.25">
      <c r="B142" s="57"/>
      <c r="C142" s="82" t="str">
        <f>OH_prices!C130</f>
        <v>August-2016</v>
      </c>
      <c r="D142" s="83" t="str">
        <f>OH_prices!D130</f>
        <v>OH</v>
      </c>
      <c r="E142" s="84" t="str">
        <f>OH_prices!E130</f>
        <v>Dayton</v>
      </c>
      <c r="F142" s="83" t="str">
        <f>OH_prices!F130</f>
        <v>SS</v>
      </c>
      <c r="G142" s="84" t="str">
        <f>OH_prices!G130</f>
        <v>Sec. Service</v>
      </c>
      <c r="H142" s="85" t="str">
        <f t="shared" ref="H142" si="125">IF($M$2="Prices in $/MWh","500-2500 MWh","500,000-2,500,000 kWh")</f>
        <v>500-2500 MWh</v>
      </c>
      <c r="I142" s="84">
        <f>(OH_prices!I130+$D$2)*IF($M$2="Prices in $/MWh",1,1/1000)</f>
        <v>57.25</v>
      </c>
      <c r="J142" s="83">
        <f>(OH_prices!J130+$D$2)*IF($M$2="Prices in $/MWh",1,1/1000)</f>
        <v>57.96</v>
      </c>
      <c r="K142" s="84">
        <f>(OH_prices!K130+$D$2)*IF($M$2="Prices in $/MWh",1,1/1000)</f>
        <v>59.51</v>
      </c>
      <c r="L142" s="83">
        <f>(OH_prices!L130+$D$2)*IF($M$2="Prices in $/MWh",1,1/1000)</f>
        <v>19.420000000000002</v>
      </c>
      <c r="M142" s="84">
        <f>(OH_prices!M130+$D$2)*IF($M$2="Prices in $/MWh",1,1/1000)</f>
        <v>20.77</v>
      </c>
      <c r="N142" s="83">
        <f>(OH_prices!N130+$D$2)*IF($M$2="Prices in $/MWh",1,1/1000)</f>
        <v>21.97</v>
      </c>
      <c r="O142" s="61"/>
    </row>
    <row r="143" spans="2:15" x14ac:dyDescent="0.25">
      <c r="B143" s="57"/>
      <c r="C143" s="74" t="str">
        <f>OH_prices!C131</f>
        <v>September-2016</v>
      </c>
      <c r="D143" s="75" t="str">
        <f>OH_prices!D131</f>
        <v>OH</v>
      </c>
      <c r="E143" s="76" t="str">
        <f>OH_prices!E131</f>
        <v>Dayton</v>
      </c>
      <c r="F143" s="75" t="str">
        <f>OH_prices!F131</f>
        <v>SS</v>
      </c>
      <c r="G143" s="76" t="str">
        <f>OH_prices!G131</f>
        <v>Sec. Service</v>
      </c>
      <c r="H143" s="77" t="str">
        <f t="shared" ref="H143" si="126">IF($M$2="Prices in $/MWh","0-100 MWh","0-100,000 kWh")</f>
        <v>0-100 MWh</v>
      </c>
      <c r="I143" s="76">
        <f>(OH_prices!I131+$D$2)*IF($M$2="Prices in $/MWh",1,1/1000)</f>
        <v>60.29</v>
      </c>
      <c r="J143" s="75">
        <f>(OH_prices!J131+$D$2)*IF($M$2="Prices in $/MWh",1,1/1000)</f>
        <v>60.82</v>
      </c>
      <c r="K143" s="76">
        <f>(OH_prices!K131+$D$2)*IF($M$2="Prices in $/MWh",1,1/1000)</f>
        <v>62.42</v>
      </c>
      <c r="L143" s="75">
        <f>(OH_prices!L131+$D$2)*IF($M$2="Prices in $/MWh",1,1/1000)</f>
        <v>22.54</v>
      </c>
      <c r="M143" s="76">
        <f>(OH_prices!M131+$D$2)*IF($M$2="Prices in $/MWh",1,1/1000)</f>
        <v>23.63</v>
      </c>
      <c r="N143" s="75">
        <f>(OH_prices!N131+$D$2)*IF($M$2="Prices in $/MWh",1,1/1000)</f>
        <v>24.94</v>
      </c>
      <c r="O143" s="61"/>
    </row>
    <row r="144" spans="2:15" x14ac:dyDescent="0.25">
      <c r="B144" s="57"/>
      <c r="C144" s="78" t="str">
        <f>OH_prices!C132</f>
        <v>September-2016</v>
      </c>
      <c r="D144" s="79" t="str">
        <f>OH_prices!D132</f>
        <v>OH</v>
      </c>
      <c r="E144" s="80" t="str">
        <f>OH_prices!E132</f>
        <v>Dayton</v>
      </c>
      <c r="F144" s="79" t="str">
        <f>OH_prices!F132</f>
        <v>SS</v>
      </c>
      <c r="G144" s="80" t="str">
        <f>OH_prices!G132</f>
        <v>Sec. Service</v>
      </c>
      <c r="H144" s="81" t="str">
        <f t="shared" ref="H144" si="127">IF($M$2="Prices in $/MWh","100-500 MWh","100,000-500,000 kWh")</f>
        <v>100-500 MWh</v>
      </c>
      <c r="I144" s="80">
        <f>(OH_prices!I132+$D$2)*IF($M$2="Prices in $/MWh",1,1/1000)</f>
        <v>58.69</v>
      </c>
      <c r="J144" s="79">
        <f>(OH_prices!J132+$D$2)*IF($M$2="Prices in $/MWh",1,1/1000)</f>
        <v>59.22</v>
      </c>
      <c r="K144" s="80">
        <f>(OH_prices!K132+$D$2)*IF($M$2="Prices in $/MWh",1,1/1000)</f>
        <v>60.82</v>
      </c>
      <c r="L144" s="79">
        <f>(OH_prices!L132+$D$2)*IF($M$2="Prices in $/MWh",1,1/1000)</f>
        <v>20.94</v>
      </c>
      <c r="M144" s="80">
        <f>(OH_prices!M132+$D$2)*IF($M$2="Prices in $/MWh",1,1/1000)</f>
        <v>22.03</v>
      </c>
      <c r="N144" s="79">
        <f>(OH_prices!N132+$D$2)*IF($M$2="Prices in $/MWh",1,1/1000)</f>
        <v>23.34</v>
      </c>
      <c r="O144" s="61"/>
    </row>
    <row r="145" spans="2:15" x14ac:dyDescent="0.25">
      <c r="B145" s="57"/>
      <c r="C145" s="82" t="str">
        <f>OH_prices!C133</f>
        <v>September-2016</v>
      </c>
      <c r="D145" s="83" t="str">
        <f>OH_prices!D133</f>
        <v>OH</v>
      </c>
      <c r="E145" s="84" t="str">
        <f>OH_prices!E133</f>
        <v>Dayton</v>
      </c>
      <c r="F145" s="83" t="str">
        <f>OH_prices!F133</f>
        <v>SS</v>
      </c>
      <c r="G145" s="84" t="str">
        <f>OH_prices!G133</f>
        <v>Sec. Service</v>
      </c>
      <c r="H145" s="85" t="str">
        <f t="shared" ref="H145" si="128">IF($M$2="Prices in $/MWh","500-2500 MWh","500,000-2,500,000 kWh")</f>
        <v>500-2500 MWh</v>
      </c>
      <c r="I145" s="84">
        <f>(OH_prices!I133+$D$2)*IF($M$2="Prices in $/MWh",1,1/1000)</f>
        <v>57.64</v>
      </c>
      <c r="J145" s="83">
        <f>(OH_prices!J133+$D$2)*IF($M$2="Prices in $/MWh",1,1/1000)</f>
        <v>58.17</v>
      </c>
      <c r="K145" s="84">
        <f>(OH_prices!K133+$D$2)*IF($M$2="Prices in $/MWh",1,1/1000)</f>
        <v>59.77</v>
      </c>
      <c r="L145" s="83">
        <f>(OH_prices!L133+$D$2)*IF($M$2="Prices in $/MWh",1,1/1000)</f>
        <v>19.89</v>
      </c>
      <c r="M145" s="84">
        <f>(OH_prices!M133+$D$2)*IF($M$2="Prices in $/MWh",1,1/1000)</f>
        <v>20.98</v>
      </c>
      <c r="N145" s="83">
        <f>(OH_prices!N133+$D$2)*IF($M$2="Prices in $/MWh",1,1/1000)</f>
        <v>22.29</v>
      </c>
      <c r="O145" s="61"/>
    </row>
    <row r="146" spans="2:15" x14ac:dyDescent="0.25">
      <c r="B146" s="57"/>
      <c r="C146" s="74" t="str">
        <f>OH_prices!C134</f>
        <v>October-2016</v>
      </c>
      <c r="D146" s="75" t="str">
        <f>OH_prices!D134</f>
        <v>OH</v>
      </c>
      <c r="E146" s="76" t="str">
        <f>OH_prices!E134</f>
        <v>Dayton</v>
      </c>
      <c r="F146" s="75" t="str">
        <f>OH_prices!F134</f>
        <v>SS</v>
      </c>
      <c r="G146" s="76" t="str">
        <f>OH_prices!G134</f>
        <v>Sec. Service</v>
      </c>
      <c r="H146" s="77" t="str">
        <f t="shared" ref="H146" si="129">IF($M$2="Prices in $/MWh","0-100 MWh","0-100,000 kWh")</f>
        <v>0-100 MWh</v>
      </c>
      <c r="I146" s="76">
        <f>(OH_prices!I134+$D$2)*IF($M$2="Prices in $/MWh",1,1/1000)</f>
        <v>60.74</v>
      </c>
      <c r="J146" s="75">
        <f>(OH_prices!J134+$D$2)*IF($M$2="Prices in $/MWh",1,1/1000)</f>
        <v>60.9</v>
      </c>
      <c r="K146" s="76">
        <f>(OH_prices!K134+$D$2)*IF($M$2="Prices in $/MWh",1,1/1000)</f>
        <v>62.69</v>
      </c>
      <c r="L146" s="75">
        <f>(OH_prices!L134+$D$2)*IF($M$2="Prices in $/MWh",1,1/1000)</f>
        <v>23.02</v>
      </c>
      <c r="M146" s="76">
        <f>(OH_prices!M134+$D$2)*IF($M$2="Prices in $/MWh",1,1/1000)</f>
        <v>23.57</v>
      </c>
      <c r="N146" s="75">
        <f>(OH_prices!N134+$D$2)*IF($M$2="Prices in $/MWh",1,1/1000)</f>
        <v>25.27</v>
      </c>
      <c r="O146" s="61"/>
    </row>
    <row r="147" spans="2:15" x14ac:dyDescent="0.25">
      <c r="B147" s="57"/>
      <c r="C147" s="78" t="str">
        <f>OH_prices!C135</f>
        <v>October-2016</v>
      </c>
      <c r="D147" s="79" t="str">
        <f>OH_prices!D135</f>
        <v>OH</v>
      </c>
      <c r="E147" s="80" t="str">
        <f>OH_prices!E135</f>
        <v>Dayton</v>
      </c>
      <c r="F147" s="79" t="str">
        <f>OH_prices!F135</f>
        <v>SS</v>
      </c>
      <c r="G147" s="80" t="str">
        <f>OH_prices!G135</f>
        <v>Sec. Service</v>
      </c>
      <c r="H147" s="81" t="str">
        <f t="shared" ref="H147" si="130">IF($M$2="Prices in $/MWh","100-500 MWh","100,000-500,000 kWh")</f>
        <v>100-500 MWh</v>
      </c>
      <c r="I147" s="80">
        <f>(OH_prices!I135+$D$2)*IF($M$2="Prices in $/MWh",1,1/1000)</f>
        <v>59.14</v>
      </c>
      <c r="J147" s="79">
        <f>(OH_prices!J135+$D$2)*IF($M$2="Prices in $/MWh",1,1/1000)</f>
        <v>59.3</v>
      </c>
      <c r="K147" s="80">
        <f>(OH_prices!K135+$D$2)*IF($M$2="Prices in $/MWh",1,1/1000)</f>
        <v>61.09</v>
      </c>
      <c r="L147" s="79">
        <f>(OH_prices!L135+$D$2)*IF($M$2="Prices in $/MWh",1,1/1000)</f>
        <v>21.42</v>
      </c>
      <c r="M147" s="80">
        <f>(OH_prices!M135+$D$2)*IF($M$2="Prices in $/MWh",1,1/1000)</f>
        <v>21.97</v>
      </c>
      <c r="N147" s="79">
        <f>(OH_prices!N135+$D$2)*IF($M$2="Prices in $/MWh",1,1/1000)</f>
        <v>23.67</v>
      </c>
      <c r="O147" s="61"/>
    </row>
    <row r="148" spans="2:15" x14ac:dyDescent="0.25">
      <c r="B148" s="57"/>
      <c r="C148" s="82" t="str">
        <f>OH_prices!C136</f>
        <v>October-2016</v>
      </c>
      <c r="D148" s="83" t="str">
        <f>OH_prices!D136</f>
        <v>OH</v>
      </c>
      <c r="E148" s="84" t="str">
        <f>OH_prices!E136</f>
        <v>Dayton</v>
      </c>
      <c r="F148" s="83" t="str">
        <f>OH_prices!F136</f>
        <v>SS</v>
      </c>
      <c r="G148" s="84" t="str">
        <f>OH_prices!G136</f>
        <v>Sec. Service</v>
      </c>
      <c r="H148" s="85" t="str">
        <f t="shared" ref="H148" si="131">IF($M$2="Prices in $/MWh","500-2500 MWh","500,000-2,500,000 kWh")</f>
        <v>500-2500 MWh</v>
      </c>
      <c r="I148" s="84">
        <f>(OH_prices!I136+$D$2)*IF($M$2="Prices in $/MWh",1,1/1000)</f>
        <v>58.09</v>
      </c>
      <c r="J148" s="83">
        <f>(OH_prices!J136+$D$2)*IF($M$2="Prices in $/MWh",1,1/1000)</f>
        <v>58.25</v>
      </c>
      <c r="K148" s="84">
        <f>(OH_prices!K136+$D$2)*IF($M$2="Prices in $/MWh",1,1/1000)</f>
        <v>60.04</v>
      </c>
      <c r="L148" s="83">
        <f>(OH_prices!L136+$D$2)*IF($M$2="Prices in $/MWh",1,1/1000)</f>
        <v>20.37</v>
      </c>
      <c r="M148" s="84">
        <f>(OH_prices!M136+$D$2)*IF($M$2="Prices in $/MWh",1,1/1000)</f>
        <v>20.92</v>
      </c>
      <c r="N148" s="83">
        <f>(OH_prices!N136+$D$2)*IF($M$2="Prices in $/MWh",1,1/1000)</f>
        <v>22.62</v>
      </c>
      <c r="O148" s="61"/>
    </row>
    <row r="149" spans="2:15" x14ac:dyDescent="0.25">
      <c r="B149" s="57"/>
      <c r="C149" s="74" t="str">
        <f>OH_prices!C137</f>
        <v>November-2016</v>
      </c>
      <c r="D149" s="75" t="str">
        <f>OH_prices!D137</f>
        <v>OH</v>
      </c>
      <c r="E149" s="76" t="str">
        <f>OH_prices!E137</f>
        <v>Dayton</v>
      </c>
      <c r="F149" s="75" t="str">
        <f>OH_prices!F137</f>
        <v>SS</v>
      </c>
      <c r="G149" s="76" t="str">
        <f>OH_prices!G137</f>
        <v>Sec. Service</v>
      </c>
      <c r="H149" s="77" t="str">
        <f t="shared" ref="H149" si="132">IF($M$2="Prices in $/MWh","0-100 MWh","0-100,000 kWh")</f>
        <v>0-100 MWh</v>
      </c>
      <c r="I149" s="76">
        <f>(OH_prices!I137+$D$2)*IF($M$2="Prices in $/MWh",1,1/1000)</f>
        <v>61.14</v>
      </c>
      <c r="J149" s="75">
        <f>(OH_prices!J137+$D$2)*IF($M$2="Prices in $/MWh",1,1/1000)</f>
        <v>61.73</v>
      </c>
      <c r="K149" s="76">
        <f>(OH_prices!K137+$D$2)*IF($M$2="Prices in $/MWh",1,1/1000)</f>
        <v>62.92</v>
      </c>
      <c r="L149" s="75">
        <f>(OH_prices!L137+$D$2)*IF($M$2="Prices in $/MWh",1,1/1000)</f>
        <v>23.46</v>
      </c>
      <c r="M149" s="76">
        <f>(OH_prices!M137+$D$2)*IF($M$2="Prices in $/MWh",1,1/1000)</f>
        <v>24.19</v>
      </c>
      <c r="N149" s="75">
        <f>(OH_prices!N137+$D$2)*IF($M$2="Prices in $/MWh",1,1/1000)</f>
        <v>25.55</v>
      </c>
      <c r="O149" s="61"/>
    </row>
    <row r="150" spans="2:15" x14ac:dyDescent="0.25">
      <c r="B150" s="57"/>
      <c r="C150" s="78" t="str">
        <f>OH_prices!C138</f>
        <v>November-2016</v>
      </c>
      <c r="D150" s="79" t="str">
        <f>OH_prices!D138</f>
        <v>OH</v>
      </c>
      <c r="E150" s="80" t="str">
        <f>OH_prices!E138</f>
        <v>Dayton</v>
      </c>
      <c r="F150" s="79" t="str">
        <f>OH_prices!F138</f>
        <v>SS</v>
      </c>
      <c r="G150" s="80" t="str">
        <f>OH_prices!G138</f>
        <v>Sec. Service</v>
      </c>
      <c r="H150" s="81" t="str">
        <f t="shared" ref="H150" si="133">IF($M$2="Prices in $/MWh","100-500 MWh","100,000-500,000 kWh")</f>
        <v>100-500 MWh</v>
      </c>
      <c r="I150" s="80">
        <f>(OH_prices!I138+$D$2)*IF($M$2="Prices in $/MWh",1,1/1000)</f>
        <v>59.54</v>
      </c>
      <c r="J150" s="79">
        <f>(OH_prices!J138+$D$2)*IF($M$2="Prices in $/MWh",1,1/1000)</f>
        <v>60.13</v>
      </c>
      <c r="K150" s="80">
        <f>(OH_prices!K138+$D$2)*IF($M$2="Prices in $/MWh",1,1/1000)</f>
        <v>61.32</v>
      </c>
      <c r="L150" s="79">
        <f>(OH_prices!L138+$D$2)*IF($M$2="Prices in $/MWh",1,1/1000)</f>
        <v>21.86</v>
      </c>
      <c r="M150" s="80">
        <f>(OH_prices!M138+$D$2)*IF($M$2="Prices in $/MWh",1,1/1000)</f>
        <v>22.59</v>
      </c>
      <c r="N150" s="79">
        <f>(OH_prices!N138+$D$2)*IF($M$2="Prices in $/MWh",1,1/1000)</f>
        <v>23.95</v>
      </c>
      <c r="O150" s="61"/>
    </row>
    <row r="151" spans="2:15" x14ac:dyDescent="0.25">
      <c r="B151" s="57"/>
      <c r="C151" s="82" t="str">
        <f>OH_prices!C139</f>
        <v>November-2016</v>
      </c>
      <c r="D151" s="83" t="str">
        <f>OH_prices!D139</f>
        <v>OH</v>
      </c>
      <c r="E151" s="84" t="str">
        <f>OH_prices!E139</f>
        <v>Dayton</v>
      </c>
      <c r="F151" s="83" t="str">
        <f>OH_prices!F139</f>
        <v>SS</v>
      </c>
      <c r="G151" s="84" t="str">
        <f>OH_prices!G139</f>
        <v>Sec. Service</v>
      </c>
      <c r="H151" s="85" t="str">
        <f t="shared" ref="H151" si="134">IF($M$2="Prices in $/MWh","500-2500 MWh","500,000-2,500,000 kWh")</f>
        <v>500-2500 MWh</v>
      </c>
      <c r="I151" s="84">
        <f>(OH_prices!I139+$D$2)*IF($M$2="Prices in $/MWh",1,1/1000)</f>
        <v>58.49</v>
      </c>
      <c r="J151" s="83">
        <f>(OH_prices!J139+$D$2)*IF($M$2="Prices in $/MWh",1,1/1000)</f>
        <v>59.08</v>
      </c>
      <c r="K151" s="84">
        <f>(OH_prices!K139+$D$2)*IF($M$2="Prices in $/MWh",1,1/1000)</f>
        <v>60.27</v>
      </c>
      <c r="L151" s="83">
        <f>(OH_prices!L139+$D$2)*IF($M$2="Prices in $/MWh",1,1/1000)</f>
        <v>20.81</v>
      </c>
      <c r="M151" s="84">
        <f>(OH_prices!M139+$D$2)*IF($M$2="Prices in $/MWh",1,1/1000)</f>
        <v>21.54</v>
      </c>
      <c r="N151" s="83">
        <f>(OH_prices!N139+$D$2)*IF($M$2="Prices in $/MWh",1,1/1000)</f>
        <v>22.9</v>
      </c>
      <c r="O151" s="61"/>
    </row>
    <row r="152" spans="2:15" x14ac:dyDescent="0.25">
      <c r="B152" s="57"/>
      <c r="C152" s="74" t="str">
        <f>OH_prices!C140</f>
        <v>December-2016</v>
      </c>
      <c r="D152" s="75" t="str">
        <f>OH_prices!D140</f>
        <v>OH</v>
      </c>
      <c r="E152" s="76" t="str">
        <f>OH_prices!E140</f>
        <v>Dayton</v>
      </c>
      <c r="F152" s="75" t="str">
        <f>OH_prices!F140</f>
        <v>SS</v>
      </c>
      <c r="G152" s="76" t="str">
        <f>OH_prices!G140</f>
        <v>Sec. Service</v>
      </c>
      <c r="H152" s="77" t="str">
        <f t="shared" ref="H152" si="135">IF($M$2="Prices in $/MWh","0-100 MWh","0-100,000 kWh")</f>
        <v>0-100 MWh</v>
      </c>
      <c r="I152" s="76">
        <f>(OH_prices!I140+$D$2)*IF($M$2="Prices in $/MWh",1,1/1000)</f>
        <v>61.54</v>
      </c>
      <c r="J152" s="75">
        <f>(OH_prices!J140+$D$2)*IF($M$2="Prices in $/MWh",1,1/1000)</f>
        <v>62.57</v>
      </c>
      <c r="K152" s="76">
        <f>(OH_prices!K140+$D$2)*IF($M$2="Prices in $/MWh",1,1/1000)</f>
        <v>63.18</v>
      </c>
      <c r="L152" s="75">
        <f>(OH_prices!L140+$D$2)*IF($M$2="Prices in $/MWh",1,1/1000)</f>
        <v>23.93</v>
      </c>
      <c r="M152" s="76">
        <f>(OH_prices!M140+$D$2)*IF($M$2="Prices in $/MWh",1,1/1000)</f>
        <v>24.8</v>
      </c>
      <c r="N152" s="75">
        <f>(OH_prices!N140+$D$2)*IF($M$2="Prices in $/MWh",1,1/1000)</f>
        <v>25.87</v>
      </c>
      <c r="O152" s="61"/>
    </row>
    <row r="153" spans="2:15" x14ac:dyDescent="0.25">
      <c r="B153" s="57"/>
      <c r="C153" s="78" t="str">
        <f>OH_prices!C141</f>
        <v>December-2016</v>
      </c>
      <c r="D153" s="79" t="str">
        <f>OH_prices!D141</f>
        <v>OH</v>
      </c>
      <c r="E153" s="80" t="str">
        <f>OH_prices!E141</f>
        <v>Dayton</v>
      </c>
      <c r="F153" s="79" t="str">
        <f>OH_prices!F141</f>
        <v>SS</v>
      </c>
      <c r="G153" s="80" t="str">
        <f>OH_prices!G141</f>
        <v>Sec. Service</v>
      </c>
      <c r="H153" s="81" t="str">
        <f t="shared" ref="H153" si="136">IF($M$2="Prices in $/MWh","100-500 MWh","100,000-500,000 kWh")</f>
        <v>100-500 MWh</v>
      </c>
      <c r="I153" s="80">
        <f>(OH_prices!I141+$D$2)*IF($M$2="Prices in $/MWh",1,1/1000)</f>
        <v>59.94</v>
      </c>
      <c r="J153" s="79">
        <f>(OH_prices!J141+$D$2)*IF($M$2="Prices in $/MWh",1,1/1000)</f>
        <v>60.97</v>
      </c>
      <c r="K153" s="80">
        <f>(OH_prices!K141+$D$2)*IF($M$2="Prices in $/MWh",1,1/1000)</f>
        <v>61.58</v>
      </c>
      <c r="L153" s="79">
        <f>(OH_prices!L141+$D$2)*IF($M$2="Prices in $/MWh",1,1/1000)</f>
        <v>22.33</v>
      </c>
      <c r="M153" s="80">
        <f>(OH_prices!M141+$D$2)*IF($M$2="Prices in $/MWh",1,1/1000)</f>
        <v>23.2</v>
      </c>
      <c r="N153" s="79">
        <f>(OH_prices!N141+$D$2)*IF($M$2="Prices in $/MWh",1,1/1000)</f>
        <v>24.27</v>
      </c>
      <c r="O153" s="61"/>
    </row>
    <row r="154" spans="2:15" x14ac:dyDescent="0.25">
      <c r="B154" s="57"/>
      <c r="C154" s="82" t="str">
        <f>OH_prices!C142</f>
        <v>December-2016</v>
      </c>
      <c r="D154" s="83" t="str">
        <f>OH_prices!D142</f>
        <v>OH</v>
      </c>
      <c r="E154" s="84" t="str">
        <f>OH_prices!E142</f>
        <v>Dayton</v>
      </c>
      <c r="F154" s="83" t="str">
        <f>OH_prices!F142</f>
        <v>SS</v>
      </c>
      <c r="G154" s="84" t="str">
        <f>OH_prices!G142</f>
        <v>Sec. Service</v>
      </c>
      <c r="H154" s="85" t="str">
        <f t="shared" ref="H154" si="137">IF($M$2="Prices in $/MWh","500-2500 MWh","500,000-2,500,000 kWh")</f>
        <v>500-2500 MWh</v>
      </c>
      <c r="I154" s="84">
        <f>(OH_prices!I142+$D$2)*IF($M$2="Prices in $/MWh",1,1/1000)</f>
        <v>58.89</v>
      </c>
      <c r="J154" s="83">
        <f>(OH_prices!J142+$D$2)*IF($M$2="Prices in $/MWh",1,1/1000)</f>
        <v>59.92</v>
      </c>
      <c r="K154" s="84">
        <f>(OH_prices!K142+$D$2)*IF($M$2="Prices in $/MWh",1,1/1000)</f>
        <v>60.53</v>
      </c>
      <c r="L154" s="83">
        <f>(OH_prices!L142+$D$2)*IF($M$2="Prices in $/MWh",1,1/1000)</f>
        <v>21.28</v>
      </c>
      <c r="M154" s="84">
        <f>(OH_prices!M142+$D$2)*IF($M$2="Prices in $/MWh",1,1/1000)</f>
        <v>22.15</v>
      </c>
      <c r="N154" s="83">
        <f>(OH_prices!N142+$D$2)*IF($M$2="Prices in $/MWh",1,1/1000)</f>
        <v>23.22</v>
      </c>
      <c r="O154" s="61"/>
    </row>
    <row r="155" spans="2:15" x14ac:dyDescent="0.25">
      <c r="B155" s="57"/>
      <c r="C155" s="74" t="str">
        <f>OH_prices!C143</f>
        <v>January-2017</v>
      </c>
      <c r="D155" s="75" t="str">
        <f>OH_prices!D143</f>
        <v>OH</v>
      </c>
      <c r="E155" s="76" t="str">
        <f>OH_prices!E143</f>
        <v>Dayton</v>
      </c>
      <c r="F155" s="75" t="str">
        <f>OH_prices!F143</f>
        <v>SS</v>
      </c>
      <c r="G155" s="76" t="str">
        <f>OH_prices!G143</f>
        <v>Sec. Service</v>
      </c>
      <c r="H155" s="77" t="str">
        <f t="shared" ref="H155" si="138">IF($M$2="Prices in $/MWh","0-100 MWh","0-100,000 kWh")</f>
        <v>0-100 MWh</v>
      </c>
      <c r="I155" s="76">
        <f>(OH_prices!I143+$D$2)*IF($M$2="Prices in $/MWh",1,1/1000)</f>
        <v>61.97</v>
      </c>
      <c r="J155" s="75">
        <f>(OH_prices!J143+$D$2)*IF($M$2="Prices in $/MWh",1,1/1000)</f>
        <v>63.14</v>
      </c>
      <c r="K155" s="76">
        <f>(OH_prices!K143+$D$2)*IF($M$2="Prices in $/MWh",1,1/1000)</f>
        <v>63.52</v>
      </c>
      <c r="L155" s="75">
        <f>(OH_prices!L143+$D$2)*IF($M$2="Prices in $/MWh",1,1/1000)</f>
        <v>24.44</v>
      </c>
      <c r="M155" s="76">
        <f>(OH_prices!M143+$D$2)*IF($M$2="Prices in $/MWh",1,1/1000)</f>
        <v>25.27</v>
      </c>
      <c r="N155" s="75">
        <f>(OH_prices!N143+$D$2)*IF($M$2="Prices in $/MWh",1,1/1000)</f>
        <v>26.21</v>
      </c>
      <c r="O155" s="61"/>
    </row>
    <row r="156" spans="2:15" x14ac:dyDescent="0.25">
      <c r="B156" s="57"/>
      <c r="C156" s="78" t="str">
        <f>OH_prices!C144</f>
        <v>January-2017</v>
      </c>
      <c r="D156" s="79" t="str">
        <f>OH_prices!D144</f>
        <v>OH</v>
      </c>
      <c r="E156" s="80" t="str">
        <f>OH_prices!E144</f>
        <v>Dayton</v>
      </c>
      <c r="F156" s="79" t="str">
        <f>OH_prices!F144</f>
        <v>SS</v>
      </c>
      <c r="G156" s="80" t="str">
        <f>OH_prices!G144</f>
        <v>Sec. Service</v>
      </c>
      <c r="H156" s="81" t="str">
        <f t="shared" ref="H156" si="139">IF($M$2="Prices in $/MWh","100-500 MWh","100,000-500,000 kWh")</f>
        <v>100-500 MWh</v>
      </c>
      <c r="I156" s="80">
        <f>(OH_prices!I144+$D$2)*IF($M$2="Prices in $/MWh",1,1/1000)</f>
        <v>60.37</v>
      </c>
      <c r="J156" s="79">
        <f>(OH_prices!J144+$D$2)*IF($M$2="Prices in $/MWh",1,1/1000)</f>
        <v>61.54</v>
      </c>
      <c r="K156" s="80">
        <f>(OH_prices!K144+$D$2)*IF($M$2="Prices in $/MWh",1,1/1000)</f>
        <v>61.92</v>
      </c>
      <c r="L156" s="79">
        <f>(OH_prices!L144+$D$2)*IF($M$2="Prices in $/MWh",1,1/1000)</f>
        <v>22.84</v>
      </c>
      <c r="M156" s="80">
        <f>(OH_prices!M144+$D$2)*IF($M$2="Prices in $/MWh",1,1/1000)</f>
        <v>23.67</v>
      </c>
      <c r="N156" s="79">
        <f>(OH_prices!N144+$D$2)*IF($M$2="Prices in $/MWh",1,1/1000)</f>
        <v>24.61</v>
      </c>
      <c r="O156" s="61"/>
    </row>
    <row r="157" spans="2:15" x14ac:dyDescent="0.25">
      <c r="B157" s="57"/>
      <c r="C157" s="82" t="str">
        <f>OH_prices!C145</f>
        <v>January-2017</v>
      </c>
      <c r="D157" s="83" t="str">
        <f>OH_prices!D145</f>
        <v>OH</v>
      </c>
      <c r="E157" s="84" t="str">
        <f>OH_prices!E145</f>
        <v>Dayton</v>
      </c>
      <c r="F157" s="83" t="str">
        <f>OH_prices!F145</f>
        <v>SS</v>
      </c>
      <c r="G157" s="84" t="str">
        <f>OH_prices!G145</f>
        <v>Sec. Service</v>
      </c>
      <c r="H157" s="85" t="str">
        <f t="shared" ref="H157" si="140">IF($M$2="Prices in $/MWh","500-2500 MWh","500,000-2,500,000 kWh")</f>
        <v>500-2500 MWh</v>
      </c>
      <c r="I157" s="84">
        <f>(OH_prices!I145+$D$2)*IF($M$2="Prices in $/MWh",1,1/1000)</f>
        <v>59.32</v>
      </c>
      <c r="J157" s="83">
        <f>(OH_prices!J145+$D$2)*IF($M$2="Prices in $/MWh",1,1/1000)</f>
        <v>60.49</v>
      </c>
      <c r="K157" s="84">
        <f>(OH_prices!K145+$D$2)*IF($M$2="Prices in $/MWh",1,1/1000)</f>
        <v>60.87</v>
      </c>
      <c r="L157" s="83">
        <f>(OH_prices!L145+$D$2)*IF($M$2="Prices in $/MWh",1,1/1000)</f>
        <v>21.79</v>
      </c>
      <c r="M157" s="84">
        <f>(OH_prices!M145+$D$2)*IF($M$2="Prices in $/MWh",1,1/1000)</f>
        <v>22.62</v>
      </c>
      <c r="N157" s="83">
        <f>(OH_prices!N145+$D$2)*IF($M$2="Prices in $/MWh",1,1/1000)</f>
        <v>23.56</v>
      </c>
      <c r="O157" s="61"/>
    </row>
    <row r="158" spans="2:15" x14ac:dyDescent="0.25">
      <c r="B158" s="57"/>
      <c r="C158" s="74" t="str">
        <f>OH_prices!C146</f>
        <v>February-2016</v>
      </c>
      <c r="D158" s="75" t="str">
        <f>OH_prices!D146</f>
        <v>OH</v>
      </c>
      <c r="E158" s="76" t="str">
        <f>OH_prices!E146</f>
        <v>Duke</v>
      </c>
      <c r="F158" s="75" t="str">
        <f>OH_prices!F146</f>
        <v>DS</v>
      </c>
      <c r="G158" s="76" t="str">
        <f>OH_prices!G146</f>
        <v>General Service</v>
      </c>
      <c r="H158" s="77" t="str">
        <f t="shared" ref="H158" si="141">IF($M$2="Prices in $/MWh","0-100 MWh","0-100,000 kWh")</f>
        <v>0-100 MWh</v>
      </c>
      <c r="I158" s="76">
        <f>(OH_prices!I146+$D$2)*IF($M$2="Prices in $/MWh",1,1/1000)</f>
        <v>59.32</v>
      </c>
      <c r="J158" s="75">
        <f>(OH_prices!J146+$D$2)*IF($M$2="Prices in $/MWh",1,1/1000)</f>
        <v>59.98</v>
      </c>
      <c r="K158" s="76">
        <f>(OH_prices!K146+$D$2)*IF($M$2="Prices in $/MWh",1,1/1000)</f>
        <v>60.68</v>
      </c>
      <c r="L158" s="75">
        <f>(OH_prices!L146+$D$2)*IF($M$2="Prices in $/MWh",1,1/1000)</f>
        <v>22.91</v>
      </c>
      <c r="M158" s="76">
        <f>(OH_prices!M146+$D$2)*IF($M$2="Prices in $/MWh",1,1/1000)</f>
        <v>23.08</v>
      </c>
      <c r="N158" s="75">
        <f>(OH_prices!N146+$D$2)*IF($M$2="Prices in $/MWh",1,1/1000)</f>
        <v>24.16</v>
      </c>
      <c r="O158" s="61"/>
    </row>
    <row r="159" spans="2:15" x14ac:dyDescent="0.25">
      <c r="B159" s="57"/>
      <c r="C159" s="78" t="str">
        <f>OH_prices!C147</f>
        <v>February-2016</v>
      </c>
      <c r="D159" s="79" t="str">
        <f>OH_prices!D147</f>
        <v>OH</v>
      </c>
      <c r="E159" s="80" t="str">
        <f>OH_prices!E147</f>
        <v>Duke</v>
      </c>
      <c r="F159" s="79" t="str">
        <f>OH_prices!F147</f>
        <v>DS</v>
      </c>
      <c r="G159" s="80" t="str">
        <f>OH_prices!G147</f>
        <v>General Service</v>
      </c>
      <c r="H159" s="81" t="str">
        <f t="shared" ref="H159" si="142">IF($M$2="Prices in $/MWh","100-500 MWh","100,000-500,000 kWh")</f>
        <v>100-500 MWh</v>
      </c>
      <c r="I159" s="80">
        <f>(OH_prices!I147+$D$2)*IF($M$2="Prices in $/MWh",1,1/1000)</f>
        <v>57.72</v>
      </c>
      <c r="J159" s="79">
        <f>(OH_prices!J147+$D$2)*IF($M$2="Prices in $/MWh",1,1/1000)</f>
        <v>58.38</v>
      </c>
      <c r="K159" s="80">
        <f>(OH_prices!K147+$D$2)*IF($M$2="Prices in $/MWh",1,1/1000)</f>
        <v>59.08</v>
      </c>
      <c r="L159" s="79">
        <f>(OH_prices!L147+$D$2)*IF($M$2="Prices in $/MWh",1,1/1000)</f>
        <v>21.31</v>
      </c>
      <c r="M159" s="80">
        <f>(OH_prices!M147+$D$2)*IF($M$2="Prices in $/MWh",1,1/1000)</f>
        <v>21.48</v>
      </c>
      <c r="N159" s="79">
        <f>(OH_prices!N147+$D$2)*IF($M$2="Prices in $/MWh",1,1/1000)</f>
        <v>22.56</v>
      </c>
      <c r="O159" s="61"/>
    </row>
    <row r="160" spans="2:15" x14ac:dyDescent="0.25">
      <c r="B160" s="57"/>
      <c r="C160" s="82" t="str">
        <f>OH_prices!C148</f>
        <v>February-2016</v>
      </c>
      <c r="D160" s="83" t="str">
        <f>OH_prices!D148</f>
        <v>OH</v>
      </c>
      <c r="E160" s="84" t="str">
        <f>OH_prices!E148</f>
        <v>Duke</v>
      </c>
      <c r="F160" s="83" t="str">
        <f>OH_prices!F148</f>
        <v>DS</v>
      </c>
      <c r="G160" s="84" t="str">
        <f>OH_prices!G148</f>
        <v>General Service</v>
      </c>
      <c r="H160" s="85" t="str">
        <f t="shared" ref="H160" si="143">IF($M$2="Prices in $/MWh","500-2500 MWh","500,000-2,500,000 kWh")</f>
        <v>500-2500 MWh</v>
      </c>
      <c r="I160" s="84">
        <f>(OH_prices!I148+$D$2)*IF($M$2="Prices in $/MWh",1,1/1000)</f>
        <v>56.67</v>
      </c>
      <c r="J160" s="83">
        <f>(OH_prices!J148+$D$2)*IF($M$2="Prices in $/MWh",1,1/1000)</f>
        <v>57.33</v>
      </c>
      <c r="K160" s="84">
        <f>(OH_prices!K148+$D$2)*IF($M$2="Prices in $/MWh",1,1/1000)</f>
        <v>58.03</v>
      </c>
      <c r="L160" s="83">
        <f>(OH_prices!L148+$D$2)*IF($M$2="Prices in $/MWh",1,1/1000)</f>
        <v>20.260000000000002</v>
      </c>
      <c r="M160" s="84">
        <f>(OH_prices!M148+$D$2)*IF($M$2="Prices in $/MWh",1,1/1000)</f>
        <v>20.43</v>
      </c>
      <c r="N160" s="83">
        <f>(OH_prices!N148+$D$2)*IF($M$2="Prices in $/MWh",1,1/1000)</f>
        <v>21.51</v>
      </c>
      <c r="O160" s="61"/>
    </row>
    <row r="161" spans="2:15" x14ac:dyDescent="0.25">
      <c r="B161" s="57"/>
      <c r="C161" s="74" t="str">
        <f>OH_prices!C149</f>
        <v>March-2016</v>
      </c>
      <c r="D161" s="75" t="str">
        <f>OH_prices!D149</f>
        <v>OH</v>
      </c>
      <c r="E161" s="76" t="str">
        <f>OH_prices!E149</f>
        <v>Duke</v>
      </c>
      <c r="F161" s="75" t="str">
        <f>OH_prices!F149</f>
        <v>DS</v>
      </c>
      <c r="G161" s="76" t="str">
        <f>OH_prices!G149</f>
        <v>General Service</v>
      </c>
      <c r="H161" s="77" t="str">
        <f t="shared" ref="H161" si="144">IF($M$2="Prices in $/MWh","0-100 MWh","0-100,000 kWh")</f>
        <v>0-100 MWh</v>
      </c>
      <c r="I161" s="76">
        <f>(OH_prices!I149+$D$2)*IF($M$2="Prices in $/MWh",1,1/1000)</f>
        <v>59.21</v>
      </c>
      <c r="J161" s="75">
        <f>(OH_prices!J149+$D$2)*IF($M$2="Prices in $/MWh",1,1/1000)</f>
        <v>60.04</v>
      </c>
      <c r="K161" s="76">
        <f>(OH_prices!K149+$D$2)*IF($M$2="Prices in $/MWh",1,1/1000)</f>
        <v>60.82</v>
      </c>
      <c r="L161" s="75">
        <f>(OH_prices!L149+$D$2)*IF($M$2="Prices in $/MWh",1,1/1000)</f>
        <v>22.61</v>
      </c>
      <c r="M161" s="76">
        <f>(OH_prices!M149+$D$2)*IF($M$2="Prices in $/MWh",1,1/1000)</f>
        <v>23.01</v>
      </c>
      <c r="N161" s="75">
        <f>(OH_prices!N149+$D$2)*IF($M$2="Prices in $/MWh",1,1/1000)</f>
        <v>24.23</v>
      </c>
      <c r="O161" s="61"/>
    </row>
    <row r="162" spans="2:15" x14ac:dyDescent="0.25">
      <c r="B162" s="57"/>
      <c r="C162" s="78" t="str">
        <f>OH_prices!C150</f>
        <v>March-2016</v>
      </c>
      <c r="D162" s="79" t="str">
        <f>OH_prices!D150</f>
        <v>OH</v>
      </c>
      <c r="E162" s="80" t="str">
        <f>OH_prices!E150</f>
        <v>Duke</v>
      </c>
      <c r="F162" s="79" t="str">
        <f>OH_prices!F150</f>
        <v>DS</v>
      </c>
      <c r="G162" s="80" t="str">
        <f>OH_prices!G150</f>
        <v>General Service</v>
      </c>
      <c r="H162" s="81" t="str">
        <f t="shared" ref="H162" si="145">IF($M$2="Prices in $/MWh","100-500 MWh","100,000-500,000 kWh")</f>
        <v>100-500 MWh</v>
      </c>
      <c r="I162" s="80">
        <f>(OH_prices!I150+$D$2)*IF($M$2="Prices in $/MWh",1,1/1000)</f>
        <v>57.61</v>
      </c>
      <c r="J162" s="79">
        <f>(OH_prices!J150+$D$2)*IF($M$2="Prices in $/MWh",1,1/1000)</f>
        <v>58.44</v>
      </c>
      <c r="K162" s="80">
        <f>(OH_prices!K150+$D$2)*IF($M$2="Prices in $/MWh",1,1/1000)</f>
        <v>59.22</v>
      </c>
      <c r="L162" s="79">
        <f>(OH_prices!L150+$D$2)*IF($M$2="Prices in $/MWh",1,1/1000)</f>
        <v>21.01</v>
      </c>
      <c r="M162" s="80">
        <f>(OH_prices!M150+$D$2)*IF($M$2="Prices in $/MWh",1,1/1000)</f>
        <v>21.41</v>
      </c>
      <c r="N162" s="79">
        <f>(OH_prices!N150+$D$2)*IF($M$2="Prices in $/MWh",1,1/1000)</f>
        <v>22.63</v>
      </c>
      <c r="O162" s="61"/>
    </row>
    <row r="163" spans="2:15" x14ac:dyDescent="0.25">
      <c r="B163" s="57"/>
      <c r="C163" s="82" t="str">
        <f>OH_prices!C151</f>
        <v>March-2016</v>
      </c>
      <c r="D163" s="83" t="str">
        <f>OH_prices!D151</f>
        <v>OH</v>
      </c>
      <c r="E163" s="84" t="str">
        <f>OH_prices!E151</f>
        <v>Duke</v>
      </c>
      <c r="F163" s="83" t="str">
        <f>OH_prices!F151</f>
        <v>DS</v>
      </c>
      <c r="G163" s="84" t="str">
        <f>OH_prices!G151</f>
        <v>General Service</v>
      </c>
      <c r="H163" s="85" t="str">
        <f t="shared" ref="H163" si="146">IF($M$2="Prices in $/MWh","500-2500 MWh","500,000-2,500,000 kWh")</f>
        <v>500-2500 MWh</v>
      </c>
      <c r="I163" s="84">
        <f>(OH_prices!I151+$D$2)*IF($M$2="Prices in $/MWh",1,1/1000)</f>
        <v>56.56</v>
      </c>
      <c r="J163" s="83">
        <f>(OH_prices!J151+$D$2)*IF($M$2="Prices in $/MWh",1,1/1000)</f>
        <v>57.39</v>
      </c>
      <c r="K163" s="84">
        <f>(OH_prices!K151+$D$2)*IF($M$2="Prices in $/MWh",1,1/1000)</f>
        <v>58.17</v>
      </c>
      <c r="L163" s="83">
        <f>(OH_prices!L151+$D$2)*IF($M$2="Prices in $/MWh",1,1/1000)</f>
        <v>19.96</v>
      </c>
      <c r="M163" s="84">
        <f>(OH_prices!M151+$D$2)*IF($M$2="Prices in $/MWh",1,1/1000)</f>
        <v>20.36</v>
      </c>
      <c r="N163" s="83">
        <f>(OH_prices!N151+$D$2)*IF($M$2="Prices in $/MWh",1,1/1000)</f>
        <v>21.58</v>
      </c>
      <c r="O163" s="61"/>
    </row>
    <row r="164" spans="2:15" x14ac:dyDescent="0.25">
      <c r="B164" s="57"/>
      <c r="C164" s="74" t="str">
        <f>OH_prices!C152</f>
        <v>April-2016</v>
      </c>
      <c r="D164" s="75" t="str">
        <f>OH_prices!D152</f>
        <v>OH</v>
      </c>
      <c r="E164" s="76" t="str">
        <f>OH_prices!E152</f>
        <v>Duke</v>
      </c>
      <c r="F164" s="75" t="str">
        <f>OH_prices!F152</f>
        <v>DS</v>
      </c>
      <c r="G164" s="76" t="str">
        <f>OH_prices!G152</f>
        <v>General Service</v>
      </c>
      <c r="H164" s="77" t="str">
        <f t="shared" ref="H164" si="147">IF($M$2="Prices in $/MWh","0-100 MWh","0-100,000 kWh")</f>
        <v>0-100 MWh</v>
      </c>
      <c r="I164" s="76">
        <f>(OH_prices!I152+$D$2)*IF($M$2="Prices in $/MWh",1,1/1000)</f>
        <v>59.1</v>
      </c>
      <c r="J164" s="75">
        <f>(OH_prices!J152+$D$2)*IF($M$2="Prices in $/MWh",1,1/1000)</f>
        <v>59.94</v>
      </c>
      <c r="K164" s="76">
        <f>(OH_prices!K152+$D$2)*IF($M$2="Prices in $/MWh",1,1/1000)</f>
        <v>60.97</v>
      </c>
      <c r="L164" s="75">
        <f>(OH_prices!L152+$D$2)*IF($M$2="Prices in $/MWh",1,1/1000)</f>
        <v>22.28</v>
      </c>
      <c r="M164" s="76">
        <f>(OH_prices!M152+$D$2)*IF($M$2="Prices in $/MWh",1,1/1000)</f>
        <v>23.03</v>
      </c>
      <c r="N164" s="75">
        <f>(OH_prices!N152+$D$2)*IF($M$2="Prices in $/MWh",1,1/1000)</f>
        <v>24.31</v>
      </c>
      <c r="O164" s="61"/>
    </row>
    <row r="165" spans="2:15" x14ac:dyDescent="0.25">
      <c r="B165" s="57"/>
      <c r="C165" s="78" t="str">
        <f>OH_prices!C153</f>
        <v>April-2016</v>
      </c>
      <c r="D165" s="79" t="str">
        <f>OH_prices!D153</f>
        <v>OH</v>
      </c>
      <c r="E165" s="80" t="str">
        <f>OH_prices!E153</f>
        <v>Duke</v>
      </c>
      <c r="F165" s="79" t="str">
        <f>OH_prices!F153</f>
        <v>DS</v>
      </c>
      <c r="G165" s="80" t="str">
        <f>OH_prices!G153</f>
        <v>General Service</v>
      </c>
      <c r="H165" s="81" t="str">
        <f t="shared" ref="H165" si="148">IF($M$2="Prices in $/MWh","100-500 MWh","100,000-500,000 kWh")</f>
        <v>100-500 MWh</v>
      </c>
      <c r="I165" s="80">
        <f>(OH_prices!I153+$D$2)*IF($M$2="Prices in $/MWh",1,1/1000)</f>
        <v>57.5</v>
      </c>
      <c r="J165" s="79">
        <f>(OH_prices!J153+$D$2)*IF($M$2="Prices in $/MWh",1,1/1000)</f>
        <v>58.34</v>
      </c>
      <c r="K165" s="80">
        <f>(OH_prices!K153+$D$2)*IF($M$2="Prices in $/MWh",1,1/1000)</f>
        <v>59.37</v>
      </c>
      <c r="L165" s="79">
        <f>(OH_prices!L153+$D$2)*IF($M$2="Prices in $/MWh",1,1/1000)</f>
        <v>20.68</v>
      </c>
      <c r="M165" s="80">
        <f>(OH_prices!M153+$D$2)*IF($M$2="Prices in $/MWh",1,1/1000)</f>
        <v>21.43</v>
      </c>
      <c r="N165" s="79">
        <f>(OH_prices!N153+$D$2)*IF($M$2="Prices in $/MWh",1,1/1000)</f>
        <v>22.71</v>
      </c>
      <c r="O165" s="61"/>
    </row>
    <row r="166" spans="2:15" x14ac:dyDescent="0.25">
      <c r="B166" s="57"/>
      <c r="C166" s="82" t="str">
        <f>OH_prices!C154</f>
        <v>April-2016</v>
      </c>
      <c r="D166" s="83" t="str">
        <f>OH_prices!D154</f>
        <v>OH</v>
      </c>
      <c r="E166" s="84" t="str">
        <f>OH_prices!E154</f>
        <v>Duke</v>
      </c>
      <c r="F166" s="83" t="str">
        <f>OH_prices!F154</f>
        <v>DS</v>
      </c>
      <c r="G166" s="84" t="str">
        <f>OH_prices!G154</f>
        <v>General Service</v>
      </c>
      <c r="H166" s="85" t="str">
        <f t="shared" ref="H166" si="149">IF($M$2="Prices in $/MWh","500-2500 MWh","500,000-2,500,000 kWh")</f>
        <v>500-2500 MWh</v>
      </c>
      <c r="I166" s="84">
        <f>(OH_prices!I154+$D$2)*IF($M$2="Prices in $/MWh",1,1/1000)</f>
        <v>56.45</v>
      </c>
      <c r="J166" s="83">
        <f>(OH_prices!J154+$D$2)*IF($M$2="Prices in $/MWh",1,1/1000)</f>
        <v>57.29</v>
      </c>
      <c r="K166" s="84">
        <f>(OH_prices!K154+$D$2)*IF($M$2="Prices in $/MWh",1,1/1000)</f>
        <v>58.32</v>
      </c>
      <c r="L166" s="83">
        <f>(OH_prices!L154+$D$2)*IF($M$2="Prices in $/MWh",1,1/1000)</f>
        <v>19.63</v>
      </c>
      <c r="M166" s="84">
        <f>(OH_prices!M154+$D$2)*IF($M$2="Prices in $/MWh",1,1/1000)</f>
        <v>20.38</v>
      </c>
      <c r="N166" s="83">
        <f>(OH_prices!N154+$D$2)*IF($M$2="Prices in $/MWh",1,1/1000)</f>
        <v>21.66</v>
      </c>
      <c r="O166" s="61"/>
    </row>
    <row r="167" spans="2:15" x14ac:dyDescent="0.25">
      <c r="B167" s="57"/>
      <c r="C167" s="74" t="str">
        <f>OH_prices!C155</f>
        <v>May-2016</v>
      </c>
      <c r="D167" s="75" t="str">
        <f>OH_prices!D155</f>
        <v>OH</v>
      </c>
      <c r="E167" s="76" t="str">
        <f>OH_prices!E155</f>
        <v>Duke</v>
      </c>
      <c r="F167" s="75" t="str">
        <f>OH_prices!F155</f>
        <v>DS</v>
      </c>
      <c r="G167" s="76" t="str">
        <f>OH_prices!G155</f>
        <v>General Service</v>
      </c>
      <c r="H167" s="77" t="str">
        <f t="shared" ref="H167" si="150">IF($M$2="Prices in $/MWh","0-100 MWh","0-100,000 kWh")</f>
        <v>0-100 MWh</v>
      </c>
      <c r="I167" s="76">
        <f>(OH_prices!I155+$D$2)*IF($M$2="Prices in $/MWh",1,1/1000)</f>
        <v>58.86</v>
      </c>
      <c r="J167" s="75">
        <f>(OH_prices!J155+$D$2)*IF($M$2="Prices in $/MWh",1,1/1000)</f>
        <v>59.95</v>
      </c>
      <c r="K167" s="76">
        <f>(OH_prices!K155+$D$2)*IF($M$2="Prices in $/MWh",1,1/1000)</f>
        <v>61.04</v>
      </c>
      <c r="L167" s="75">
        <f>(OH_prices!L155+$D$2)*IF($M$2="Prices in $/MWh",1,1/1000)</f>
        <v>21.97</v>
      </c>
      <c r="M167" s="76">
        <f>(OH_prices!M155+$D$2)*IF($M$2="Prices in $/MWh",1,1/1000)</f>
        <v>23.11</v>
      </c>
      <c r="N167" s="75">
        <f>(OH_prices!N155+$D$2)*IF($M$2="Prices in $/MWh",1,1/1000)</f>
        <v>24.37</v>
      </c>
      <c r="O167" s="61"/>
    </row>
    <row r="168" spans="2:15" x14ac:dyDescent="0.25">
      <c r="B168" s="57"/>
      <c r="C168" s="78" t="str">
        <f>OH_prices!C156</f>
        <v>May-2016</v>
      </c>
      <c r="D168" s="79" t="str">
        <f>OH_prices!D156</f>
        <v>OH</v>
      </c>
      <c r="E168" s="80" t="str">
        <f>OH_prices!E156</f>
        <v>Duke</v>
      </c>
      <c r="F168" s="79" t="str">
        <f>OH_prices!F156</f>
        <v>DS</v>
      </c>
      <c r="G168" s="80" t="str">
        <f>OH_prices!G156</f>
        <v>General Service</v>
      </c>
      <c r="H168" s="81" t="str">
        <f t="shared" ref="H168" si="151">IF($M$2="Prices in $/MWh","100-500 MWh","100,000-500,000 kWh")</f>
        <v>100-500 MWh</v>
      </c>
      <c r="I168" s="80">
        <f>(OH_prices!I156+$D$2)*IF($M$2="Prices in $/MWh",1,1/1000)</f>
        <v>57.26</v>
      </c>
      <c r="J168" s="79">
        <f>(OH_prices!J156+$D$2)*IF($M$2="Prices in $/MWh",1,1/1000)</f>
        <v>58.35</v>
      </c>
      <c r="K168" s="80">
        <f>(OH_prices!K156+$D$2)*IF($M$2="Prices in $/MWh",1,1/1000)</f>
        <v>59.44</v>
      </c>
      <c r="L168" s="79">
        <f>(OH_prices!L156+$D$2)*IF($M$2="Prices in $/MWh",1,1/1000)</f>
        <v>20.37</v>
      </c>
      <c r="M168" s="80">
        <f>(OH_prices!M156+$D$2)*IF($M$2="Prices in $/MWh",1,1/1000)</f>
        <v>21.51</v>
      </c>
      <c r="N168" s="79">
        <f>(OH_prices!N156+$D$2)*IF($M$2="Prices in $/MWh",1,1/1000)</f>
        <v>22.77</v>
      </c>
      <c r="O168" s="61"/>
    </row>
    <row r="169" spans="2:15" x14ac:dyDescent="0.25">
      <c r="B169" s="57"/>
      <c r="C169" s="82" t="str">
        <f>OH_prices!C157</f>
        <v>May-2016</v>
      </c>
      <c r="D169" s="83" t="str">
        <f>OH_prices!D157</f>
        <v>OH</v>
      </c>
      <c r="E169" s="84" t="str">
        <f>OH_prices!E157</f>
        <v>Duke</v>
      </c>
      <c r="F169" s="83" t="str">
        <f>OH_prices!F157</f>
        <v>DS</v>
      </c>
      <c r="G169" s="84" t="str">
        <f>OH_prices!G157</f>
        <v>General Service</v>
      </c>
      <c r="H169" s="85" t="str">
        <f t="shared" ref="H169" si="152">IF($M$2="Prices in $/MWh","500-2500 MWh","500,000-2,500,000 kWh")</f>
        <v>500-2500 MWh</v>
      </c>
      <c r="I169" s="84">
        <f>(OH_prices!I157+$D$2)*IF($M$2="Prices in $/MWh",1,1/1000)</f>
        <v>56.21</v>
      </c>
      <c r="J169" s="83">
        <f>(OH_prices!J157+$D$2)*IF($M$2="Prices in $/MWh",1,1/1000)</f>
        <v>57.3</v>
      </c>
      <c r="K169" s="84">
        <f>(OH_prices!K157+$D$2)*IF($M$2="Prices in $/MWh",1,1/1000)</f>
        <v>58.39</v>
      </c>
      <c r="L169" s="83">
        <f>(OH_prices!L157+$D$2)*IF($M$2="Prices in $/MWh",1,1/1000)</f>
        <v>19.32</v>
      </c>
      <c r="M169" s="84">
        <f>(OH_prices!M157+$D$2)*IF($M$2="Prices in $/MWh",1,1/1000)</f>
        <v>20.46</v>
      </c>
      <c r="N169" s="83">
        <f>(OH_prices!N157+$D$2)*IF($M$2="Prices in $/MWh",1,1/1000)</f>
        <v>21.72</v>
      </c>
      <c r="O169" s="61"/>
    </row>
    <row r="170" spans="2:15" x14ac:dyDescent="0.25">
      <c r="B170" s="57"/>
      <c r="C170" s="74" t="str">
        <f>OH_prices!C158</f>
        <v>June-2016</v>
      </c>
      <c r="D170" s="75" t="str">
        <f>OH_prices!D158</f>
        <v>OH</v>
      </c>
      <c r="E170" s="76" t="str">
        <f>OH_prices!E158</f>
        <v>Duke</v>
      </c>
      <c r="F170" s="75" t="str">
        <f>OH_prices!F158</f>
        <v>DS</v>
      </c>
      <c r="G170" s="76" t="str">
        <f>OH_prices!G158</f>
        <v>General Service</v>
      </c>
      <c r="H170" s="77" t="str">
        <f t="shared" ref="H170" si="153">IF($M$2="Prices in $/MWh","0-100 MWh","0-100,000 kWh")</f>
        <v>0-100 MWh</v>
      </c>
      <c r="I170" s="76">
        <f>(OH_prices!I158+$D$2)*IF($M$2="Prices in $/MWh",1,1/1000)</f>
        <v>58.6</v>
      </c>
      <c r="J170" s="75">
        <f>(OH_prices!J158+$D$2)*IF($M$2="Prices in $/MWh",1,1/1000)</f>
        <v>59.96</v>
      </c>
      <c r="K170" s="76">
        <f>(OH_prices!K158+$D$2)*IF($M$2="Prices in $/MWh",1,1/1000)</f>
        <v>61.15</v>
      </c>
      <c r="L170" s="75">
        <f>(OH_prices!L158+$D$2)*IF($M$2="Prices in $/MWh",1,1/1000)</f>
        <v>21.62</v>
      </c>
      <c r="M170" s="76">
        <f>(OH_prices!M158+$D$2)*IF($M$2="Prices in $/MWh",1,1/1000)</f>
        <v>23.23</v>
      </c>
      <c r="N170" s="75">
        <f>(OH_prices!N158+$D$2)*IF($M$2="Prices in $/MWh",1,1/1000)</f>
        <v>24.44</v>
      </c>
      <c r="O170" s="61"/>
    </row>
    <row r="171" spans="2:15" x14ac:dyDescent="0.25">
      <c r="B171" s="57"/>
      <c r="C171" s="78" t="str">
        <f>OH_prices!C159</f>
        <v>June-2016</v>
      </c>
      <c r="D171" s="79" t="str">
        <f>OH_prices!D159</f>
        <v>OH</v>
      </c>
      <c r="E171" s="80" t="str">
        <f>OH_prices!E159</f>
        <v>Duke</v>
      </c>
      <c r="F171" s="79" t="str">
        <f>OH_prices!F159</f>
        <v>DS</v>
      </c>
      <c r="G171" s="80" t="str">
        <f>OH_prices!G159</f>
        <v>General Service</v>
      </c>
      <c r="H171" s="81" t="str">
        <f t="shared" ref="H171" si="154">IF($M$2="Prices in $/MWh","100-500 MWh","100,000-500,000 kWh")</f>
        <v>100-500 MWh</v>
      </c>
      <c r="I171" s="80">
        <f>(OH_prices!I159+$D$2)*IF($M$2="Prices in $/MWh",1,1/1000)</f>
        <v>57</v>
      </c>
      <c r="J171" s="79">
        <f>(OH_prices!J159+$D$2)*IF($M$2="Prices in $/MWh",1,1/1000)</f>
        <v>58.36</v>
      </c>
      <c r="K171" s="80">
        <f>(OH_prices!K159+$D$2)*IF($M$2="Prices in $/MWh",1,1/1000)</f>
        <v>59.55</v>
      </c>
      <c r="L171" s="79">
        <f>(OH_prices!L159+$D$2)*IF($M$2="Prices in $/MWh",1,1/1000)</f>
        <v>20.02</v>
      </c>
      <c r="M171" s="80">
        <f>(OH_prices!M159+$D$2)*IF($M$2="Prices in $/MWh",1,1/1000)</f>
        <v>21.63</v>
      </c>
      <c r="N171" s="79">
        <f>(OH_prices!N159+$D$2)*IF($M$2="Prices in $/MWh",1,1/1000)</f>
        <v>22.84</v>
      </c>
      <c r="O171" s="61"/>
    </row>
    <row r="172" spans="2:15" x14ac:dyDescent="0.25">
      <c r="B172" s="57"/>
      <c r="C172" s="82" t="str">
        <f>OH_prices!C160</f>
        <v>June-2016</v>
      </c>
      <c r="D172" s="83" t="str">
        <f>OH_prices!D160</f>
        <v>OH</v>
      </c>
      <c r="E172" s="84" t="str">
        <f>OH_prices!E160</f>
        <v>Duke</v>
      </c>
      <c r="F172" s="83" t="str">
        <f>OH_prices!F160</f>
        <v>DS</v>
      </c>
      <c r="G172" s="84" t="str">
        <f>OH_prices!G160</f>
        <v>General Service</v>
      </c>
      <c r="H172" s="85" t="str">
        <f t="shared" ref="H172" si="155">IF($M$2="Prices in $/MWh","500-2500 MWh","500,000-2,500,000 kWh")</f>
        <v>500-2500 MWh</v>
      </c>
      <c r="I172" s="84">
        <f>(OH_prices!I160+$D$2)*IF($M$2="Prices in $/MWh",1,1/1000)</f>
        <v>55.95</v>
      </c>
      <c r="J172" s="83">
        <f>(OH_prices!J160+$D$2)*IF($M$2="Prices in $/MWh",1,1/1000)</f>
        <v>57.31</v>
      </c>
      <c r="K172" s="84">
        <f>(OH_prices!K160+$D$2)*IF($M$2="Prices in $/MWh",1,1/1000)</f>
        <v>58.5</v>
      </c>
      <c r="L172" s="83">
        <f>(OH_prices!L160+$D$2)*IF($M$2="Prices in $/MWh",1,1/1000)</f>
        <v>18.97</v>
      </c>
      <c r="M172" s="84">
        <f>(OH_prices!M160+$D$2)*IF($M$2="Prices in $/MWh",1,1/1000)</f>
        <v>20.58</v>
      </c>
      <c r="N172" s="83">
        <f>(OH_prices!N160+$D$2)*IF($M$2="Prices in $/MWh",1,1/1000)</f>
        <v>21.79</v>
      </c>
      <c r="O172" s="61"/>
    </row>
    <row r="173" spans="2:15" x14ac:dyDescent="0.25">
      <c r="B173" s="57"/>
      <c r="C173" s="74" t="str">
        <f>OH_prices!C161</f>
        <v>July-2016</v>
      </c>
      <c r="D173" s="75" t="str">
        <f>OH_prices!D161</f>
        <v>OH</v>
      </c>
      <c r="E173" s="76" t="str">
        <f>OH_prices!E161</f>
        <v>Duke</v>
      </c>
      <c r="F173" s="75" t="str">
        <f>OH_prices!F161</f>
        <v>DS</v>
      </c>
      <c r="G173" s="76" t="str">
        <f>OH_prices!G161</f>
        <v>General Service</v>
      </c>
      <c r="H173" s="77" t="str">
        <f t="shared" ref="H173" si="156">IF($M$2="Prices in $/MWh","0-100 MWh","0-100,000 kWh")</f>
        <v>0-100 MWh</v>
      </c>
      <c r="I173" s="76">
        <f>(OH_prices!I161+$D$2)*IF($M$2="Prices in $/MWh",1,1/1000)</f>
        <v>59.11</v>
      </c>
      <c r="J173" s="75">
        <f>(OH_prices!J161+$D$2)*IF($M$2="Prices in $/MWh",1,1/1000)</f>
        <v>60.28</v>
      </c>
      <c r="K173" s="76">
        <f>(OH_prices!K161+$D$2)*IF($M$2="Prices in $/MWh",1,1/1000)</f>
        <v>61.4</v>
      </c>
      <c r="L173" s="75">
        <f>(OH_prices!L161+$D$2)*IF($M$2="Prices in $/MWh",1,1/1000)</f>
        <v>22.08</v>
      </c>
      <c r="M173" s="76">
        <f>(OH_prices!M161+$D$2)*IF($M$2="Prices in $/MWh",1,1/1000)</f>
        <v>23.66</v>
      </c>
      <c r="N173" s="75">
        <f>(OH_prices!N161+$D$2)*IF($M$2="Prices in $/MWh",1,1/1000)</f>
        <v>24.72</v>
      </c>
      <c r="O173" s="61"/>
    </row>
    <row r="174" spans="2:15" x14ac:dyDescent="0.25">
      <c r="B174" s="57"/>
      <c r="C174" s="78" t="str">
        <f>OH_prices!C162</f>
        <v>July-2016</v>
      </c>
      <c r="D174" s="79" t="str">
        <f>OH_prices!D162</f>
        <v>OH</v>
      </c>
      <c r="E174" s="80" t="str">
        <f>OH_prices!E162</f>
        <v>Duke</v>
      </c>
      <c r="F174" s="79" t="str">
        <f>OH_prices!F162</f>
        <v>DS</v>
      </c>
      <c r="G174" s="80" t="str">
        <f>OH_prices!G162</f>
        <v>General Service</v>
      </c>
      <c r="H174" s="81" t="str">
        <f t="shared" ref="H174" si="157">IF($M$2="Prices in $/MWh","100-500 MWh","100,000-500,000 kWh")</f>
        <v>100-500 MWh</v>
      </c>
      <c r="I174" s="80">
        <f>(OH_prices!I162+$D$2)*IF($M$2="Prices in $/MWh",1,1/1000)</f>
        <v>57.51</v>
      </c>
      <c r="J174" s="79">
        <f>(OH_prices!J162+$D$2)*IF($M$2="Prices in $/MWh",1,1/1000)</f>
        <v>58.68</v>
      </c>
      <c r="K174" s="80">
        <f>(OH_prices!K162+$D$2)*IF($M$2="Prices in $/MWh",1,1/1000)</f>
        <v>59.8</v>
      </c>
      <c r="L174" s="79">
        <f>(OH_prices!L162+$D$2)*IF($M$2="Prices in $/MWh",1,1/1000)</f>
        <v>20.48</v>
      </c>
      <c r="M174" s="80">
        <f>(OH_prices!M162+$D$2)*IF($M$2="Prices in $/MWh",1,1/1000)</f>
        <v>22.06</v>
      </c>
      <c r="N174" s="79">
        <f>(OH_prices!N162+$D$2)*IF($M$2="Prices in $/MWh",1,1/1000)</f>
        <v>23.12</v>
      </c>
      <c r="O174" s="61"/>
    </row>
    <row r="175" spans="2:15" x14ac:dyDescent="0.25">
      <c r="B175" s="57"/>
      <c r="C175" s="82" t="str">
        <f>OH_prices!C163</f>
        <v>July-2016</v>
      </c>
      <c r="D175" s="83" t="str">
        <f>OH_prices!D163</f>
        <v>OH</v>
      </c>
      <c r="E175" s="84" t="str">
        <f>OH_prices!E163</f>
        <v>Duke</v>
      </c>
      <c r="F175" s="83" t="str">
        <f>OH_prices!F163</f>
        <v>DS</v>
      </c>
      <c r="G175" s="84" t="str">
        <f>OH_prices!G163</f>
        <v>General Service</v>
      </c>
      <c r="H175" s="85" t="str">
        <f t="shared" ref="H175" si="158">IF($M$2="Prices in $/MWh","500-2500 MWh","500,000-2,500,000 kWh")</f>
        <v>500-2500 MWh</v>
      </c>
      <c r="I175" s="84">
        <f>(OH_prices!I163+$D$2)*IF($M$2="Prices in $/MWh",1,1/1000)</f>
        <v>56.46</v>
      </c>
      <c r="J175" s="83">
        <f>(OH_prices!J163+$D$2)*IF($M$2="Prices in $/MWh",1,1/1000)</f>
        <v>57.63</v>
      </c>
      <c r="K175" s="84">
        <f>(OH_prices!K163+$D$2)*IF($M$2="Prices in $/MWh",1,1/1000)</f>
        <v>58.75</v>
      </c>
      <c r="L175" s="83">
        <f>(OH_prices!L163+$D$2)*IF($M$2="Prices in $/MWh",1,1/1000)</f>
        <v>19.43</v>
      </c>
      <c r="M175" s="84">
        <f>(OH_prices!M163+$D$2)*IF($M$2="Prices in $/MWh",1,1/1000)</f>
        <v>21.01</v>
      </c>
      <c r="N175" s="83">
        <f>(OH_prices!N163+$D$2)*IF($M$2="Prices in $/MWh",1,1/1000)</f>
        <v>22.07</v>
      </c>
      <c r="O175" s="61"/>
    </row>
    <row r="176" spans="2:15" x14ac:dyDescent="0.25">
      <c r="B176" s="57"/>
      <c r="C176" s="74" t="str">
        <f>OH_prices!C164</f>
        <v>August-2016</v>
      </c>
      <c r="D176" s="75" t="str">
        <f>OH_prices!D164</f>
        <v>OH</v>
      </c>
      <c r="E176" s="76" t="str">
        <f>OH_prices!E164</f>
        <v>Duke</v>
      </c>
      <c r="F176" s="75" t="str">
        <f>OH_prices!F164</f>
        <v>DS</v>
      </c>
      <c r="G176" s="76" t="str">
        <f>OH_prices!G164</f>
        <v>General Service</v>
      </c>
      <c r="H176" s="77" t="str">
        <f t="shared" ref="H176" si="159">IF($M$2="Prices in $/MWh","0-100 MWh","0-100,000 kWh")</f>
        <v>0-100 MWh</v>
      </c>
      <c r="I176" s="76">
        <f>(OH_prices!I164+$D$2)*IF($M$2="Prices in $/MWh",1,1/1000)</f>
        <v>59.54</v>
      </c>
      <c r="J176" s="75">
        <f>(OH_prices!J164+$D$2)*IF($M$2="Prices in $/MWh",1,1/1000)</f>
        <v>60.62</v>
      </c>
      <c r="K176" s="76">
        <f>(OH_prices!K164+$D$2)*IF($M$2="Prices in $/MWh",1,1/1000)</f>
        <v>61.71</v>
      </c>
      <c r="L176" s="75">
        <f>(OH_prices!L164+$D$2)*IF($M$2="Prices in $/MWh",1,1/1000)</f>
        <v>22.57</v>
      </c>
      <c r="M176" s="76">
        <f>(OH_prices!M164+$D$2)*IF($M$2="Prices in $/MWh",1,1/1000)</f>
        <v>24.19</v>
      </c>
      <c r="N176" s="75">
        <f>(OH_prices!N164+$D$2)*IF($M$2="Prices in $/MWh",1,1/1000)</f>
        <v>25.03</v>
      </c>
      <c r="O176" s="61"/>
    </row>
    <row r="177" spans="2:15" x14ac:dyDescent="0.25">
      <c r="B177" s="57"/>
      <c r="C177" s="78" t="str">
        <f>OH_prices!C165</f>
        <v>August-2016</v>
      </c>
      <c r="D177" s="79" t="str">
        <f>OH_prices!D165</f>
        <v>OH</v>
      </c>
      <c r="E177" s="80" t="str">
        <f>OH_prices!E165</f>
        <v>Duke</v>
      </c>
      <c r="F177" s="79" t="str">
        <f>OH_prices!F165</f>
        <v>DS</v>
      </c>
      <c r="G177" s="80" t="str">
        <f>OH_prices!G165</f>
        <v>General Service</v>
      </c>
      <c r="H177" s="81" t="str">
        <f t="shared" ref="H177" si="160">IF($M$2="Prices in $/MWh","100-500 MWh","100,000-500,000 kWh")</f>
        <v>100-500 MWh</v>
      </c>
      <c r="I177" s="80">
        <f>(OH_prices!I165+$D$2)*IF($M$2="Prices in $/MWh",1,1/1000)</f>
        <v>57.94</v>
      </c>
      <c r="J177" s="79">
        <f>(OH_prices!J165+$D$2)*IF($M$2="Prices in $/MWh",1,1/1000)</f>
        <v>59.02</v>
      </c>
      <c r="K177" s="80">
        <f>(OH_prices!K165+$D$2)*IF($M$2="Prices in $/MWh",1,1/1000)</f>
        <v>60.11</v>
      </c>
      <c r="L177" s="79">
        <f>(OH_prices!L165+$D$2)*IF($M$2="Prices in $/MWh",1,1/1000)</f>
        <v>20.97</v>
      </c>
      <c r="M177" s="80">
        <f>(OH_prices!M165+$D$2)*IF($M$2="Prices in $/MWh",1,1/1000)</f>
        <v>22.59</v>
      </c>
      <c r="N177" s="79">
        <f>(OH_prices!N165+$D$2)*IF($M$2="Prices in $/MWh",1,1/1000)</f>
        <v>23.43</v>
      </c>
      <c r="O177" s="61"/>
    </row>
    <row r="178" spans="2:15" x14ac:dyDescent="0.25">
      <c r="B178" s="57"/>
      <c r="C178" s="82" t="str">
        <f>OH_prices!C166</f>
        <v>August-2016</v>
      </c>
      <c r="D178" s="83" t="str">
        <f>OH_prices!D166</f>
        <v>OH</v>
      </c>
      <c r="E178" s="84" t="str">
        <f>OH_prices!E166</f>
        <v>Duke</v>
      </c>
      <c r="F178" s="83" t="str">
        <f>OH_prices!F166</f>
        <v>DS</v>
      </c>
      <c r="G178" s="84" t="str">
        <f>OH_prices!G166</f>
        <v>General Service</v>
      </c>
      <c r="H178" s="85" t="str">
        <f t="shared" ref="H178" si="161">IF($M$2="Prices in $/MWh","500-2500 MWh","500,000-2,500,000 kWh")</f>
        <v>500-2500 MWh</v>
      </c>
      <c r="I178" s="84">
        <f>(OH_prices!I166+$D$2)*IF($M$2="Prices in $/MWh",1,1/1000)</f>
        <v>56.89</v>
      </c>
      <c r="J178" s="83">
        <f>(OH_prices!J166+$D$2)*IF($M$2="Prices in $/MWh",1,1/1000)</f>
        <v>57.97</v>
      </c>
      <c r="K178" s="84">
        <f>(OH_prices!K166+$D$2)*IF($M$2="Prices in $/MWh",1,1/1000)</f>
        <v>59.06</v>
      </c>
      <c r="L178" s="83">
        <f>(OH_prices!L166+$D$2)*IF($M$2="Prices in $/MWh",1,1/1000)</f>
        <v>19.920000000000002</v>
      </c>
      <c r="M178" s="84">
        <f>(OH_prices!M166+$D$2)*IF($M$2="Prices in $/MWh",1,1/1000)</f>
        <v>21.54</v>
      </c>
      <c r="N178" s="83">
        <f>(OH_prices!N166+$D$2)*IF($M$2="Prices in $/MWh",1,1/1000)</f>
        <v>22.38</v>
      </c>
      <c r="O178" s="61"/>
    </row>
    <row r="179" spans="2:15" x14ac:dyDescent="0.25">
      <c r="B179" s="57"/>
      <c r="C179" s="74" t="str">
        <f>OH_prices!C167</f>
        <v>September-2016</v>
      </c>
      <c r="D179" s="75" t="str">
        <f>OH_prices!D167</f>
        <v>OH</v>
      </c>
      <c r="E179" s="76" t="str">
        <f>OH_prices!E167</f>
        <v>Duke</v>
      </c>
      <c r="F179" s="75" t="str">
        <f>OH_prices!F167</f>
        <v>DS</v>
      </c>
      <c r="G179" s="76" t="str">
        <f>OH_prices!G167</f>
        <v>General Service</v>
      </c>
      <c r="H179" s="77" t="str">
        <f t="shared" ref="H179" si="162">IF($M$2="Prices in $/MWh","0-100 MWh","0-100,000 kWh")</f>
        <v>0-100 MWh</v>
      </c>
      <c r="I179" s="76">
        <f>(OH_prices!I167+$D$2)*IF($M$2="Prices in $/MWh",1,1/1000)</f>
        <v>59.92</v>
      </c>
      <c r="J179" s="75">
        <f>(OH_prices!J167+$D$2)*IF($M$2="Prices in $/MWh",1,1/1000)</f>
        <v>61.03</v>
      </c>
      <c r="K179" s="76">
        <f>(OH_prices!K167+$D$2)*IF($M$2="Prices in $/MWh",1,1/1000)</f>
        <v>61.96</v>
      </c>
      <c r="L179" s="75">
        <f>(OH_prices!L167+$D$2)*IF($M$2="Prices in $/MWh",1,1/1000)</f>
        <v>23.05</v>
      </c>
      <c r="M179" s="76">
        <f>(OH_prices!M167+$D$2)*IF($M$2="Prices in $/MWh",1,1/1000)</f>
        <v>24.7</v>
      </c>
      <c r="N179" s="75">
        <f>(OH_prices!N167+$D$2)*IF($M$2="Prices in $/MWh",1,1/1000)</f>
        <v>25.33</v>
      </c>
      <c r="O179" s="61"/>
    </row>
    <row r="180" spans="2:15" x14ac:dyDescent="0.25">
      <c r="B180" s="57"/>
      <c r="C180" s="78" t="str">
        <f>OH_prices!C168</f>
        <v>September-2016</v>
      </c>
      <c r="D180" s="79" t="str">
        <f>OH_prices!D168</f>
        <v>OH</v>
      </c>
      <c r="E180" s="80" t="str">
        <f>OH_prices!E168</f>
        <v>Duke</v>
      </c>
      <c r="F180" s="79" t="str">
        <f>OH_prices!F168</f>
        <v>DS</v>
      </c>
      <c r="G180" s="80" t="str">
        <f>OH_prices!G168</f>
        <v>General Service</v>
      </c>
      <c r="H180" s="81" t="str">
        <f t="shared" ref="H180" si="163">IF($M$2="Prices in $/MWh","100-500 MWh","100,000-500,000 kWh")</f>
        <v>100-500 MWh</v>
      </c>
      <c r="I180" s="80">
        <f>(OH_prices!I168+$D$2)*IF($M$2="Prices in $/MWh",1,1/1000)</f>
        <v>58.32</v>
      </c>
      <c r="J180" s="79">
        <f>(OH_prices!J168+$D$2)*IF($M$2="Prices in $/MWh",1,1/1000)</f>
        <v>59.43</v>
      </c>
      <c r="K180" s="80">
        <f>(OH_prices!K168+$D$2)*IF($M$2="Prices in $/MWh",1,1/1000)</f>
        <v>60.36</v>
      </c>
      <c r="L180" s="79">
        <f>(OH_prices!L168+$D$2)*IF($M$2="Prices in $/MWh",1,1/1000)</f>
        <v>21.45</v>
      </c>
      <c r="M180" s="80">
        <f>(OH_prices!M168+$D$2)*IF($M$2="Prices in $/MWh",1,1/1000)</f>
        <v>23.1</v>
      </c>
      <c r="N180" s="79">
        <f>(OH_prices!N168+$D$2)*IF($M$2="Prices in $/MWh",1,1/1000)</f>
        <v>23.73</v>
      </c>
      <c r="O180" s="61"/>
    </row>
    <row r="181" spans="2:15" x14ac:dyDescent="0.25">
      <c r="B181" s="57"/>
      <c r="C181" s="82" t="str">
        <f>OH_prices!C169</f>
        <v>September-2016</v>
      </c>
      <c r="D181" s="83" t="str">
        <f>OH_prices!D169</f>
        <v>OH</v>
      </c>
      <c r="E181" s="84" t="str">
        <f>OH_prices!E169</f>
        <v>Duke</v>
      </c>
      <c r="F181" s="83" t="str">
        <f>OH_prices!F169</f>
        <v>DS</v>
      </c>
      <c r="G181" s="84" t="str">
        <f>OH_prices!G169</f>
        <v>General Service</v>
      </c>
      <c r="H181" s="85" t="str">
        <f t="shared" ref="H181" si="164">IF($M$2="Prices in $/MWh","500-2500 MWh","500,000-2,500,000 kWh")</f>
        <v>500-2500 MWh</v>
      </c>
      <c r="I181" s="84">
        <f>(OH_prices!I169+$D$2)*IF($M$2="Prices in $/MWh",1,1/1000)</f>
        <v>57.27</v>
      </c>
      <c r="J181" s="83">
        <f>(OH_prices!J169+$D$2)*IF($M$2="Prices in $/MWh",1,1/1000)</f>
        <v>58.38</v>
      </c>
      <c r="K181" s="84">
        <f>(OH_prices!K169+$D$2)*IF($M$2="Prices in $/MWh",1,1/1000)</f>
        <v>59.31</v>
      </c>
      <c r="L181" s="83">
        <f>(OH_prices!L169+$D$2)*IF($M$2="Prices in $/MWh",1,1/1000)</f>
        <v>20.399999999999999</v>
      </c>
      <c r="M181" s="84">
        <f>(OH_prices!M169+$D$2)*IF($M$2="Prices in $/MWh",1,1/1000)</f>
        <v>22.05</v>
      </c>
      <c r="N181" s="83">
        <f>(OH_prices!N169+$D$2)*IF($M$2="Prices in $/MWh",1,1/1000)</f>
        <v>22.68</v>
      </c>
      <c r="O181" s="61"/>
    </row>
    <row r="182" spans="2:15" x14ac:dyDescent="0.25">
      <c r="B182" s="57"/>
      <c r="C182" s="74" t="str">
        <f>OH_prices!C170</f>
        <v>October-2016</v>
      </c>
      <c r="D182" s="75" t="str">
        <f>OH_prices!D170</f>
        <v>OH</v>
      </c>
      <c r="E182" s="76" t="str">
        <f>OH_prices!E170</f>
        <v>Duke</v>
      </c>
      <c r="F182" s="75" t="str">
        <f>OH_prices!F170</f>
        <v>DS</v>
      </c>
      <c r="G182" s="76" t="str">
        <f>OH_prices!G170</f>
        <v>General Service</v>
      </c>
      <c r="H182" s="77" t="str">
        <f t="shared" ref="H182" si="165">IF($M$2="Prices in $/MWh","0-100 MWh","0-100,000 kWh")</f>
        <v>0-100 MWh</v>
      </c>
      <c r="I182" s="76">
        <f>(OH_prices!I170+$D$2)*IF($M$2="Prices in $/MWh",1,1/1000)</f>
        <v>60.36</v>
      </c>
      <c r="J182" s="75">
        <f>(OH_prices!J170+$D$2)*IF($M$2="Prices in $/MWh",1,1/1000)</f>
        <v>61.65</v>
      </c>
      <c r="K182" s="76">
        <f>(OH_prices!K170+$D$2)*IF($M$2="Prices in $/MWh",1,1/1000)</f>
        <v>62.19</v>
      </c>
      <c r="L182" s="75">
        <f>(OH_prices!L170+$D$2)*IF($M$2="Prices in $/MWh",1,1/1000)</f>
        <v>23.52</v>
      </c>
      <c r="M182" s="76">
        <f>(OH_prices!M170+$D$2)*IF($M$2="Prices in $/MWh",1,1/1000)</f>
        <v>25.12</v>
      </c>
      <c r="N182" s="75">
        <f>(OH_prices!N170+$D$2)*IF($M$2="Prices in $/MWh",1,1/1000)</f>
        <v>25.64</v>
      </c>
      <c r="O182" s="61"/>
    </row>
    <row r="183" spans="2:15" x14ac:dyDescent="0.25">
      <c r="B183" s="57"/>
      <c r="C183" s="78" t="str">
        <f>OH_prices!C171</f>
        <v>October-2016</v>
      </c>
      <c r="D183" s="79" t="str">
        <f>OH_prices!D171</f>
        <v>OH</v>
      </c>
      <c r="E183" s="80" t="str">
        <f>OH_prices!E171</f>
        <v>Duke</v>
      </c>
      <c r="F183" s="79" t="str">
        <f>OH_prices!F171</f>
        <v>DS</v>
      </c>
      <c r="G183" s="80" t="str">
        <f>OH_prices!G171</f>
        <v>General Service</v>
      </c>
      <c r="H183" s="81" t="str">
        <f t="shared" ref="H183" si="166">IF($M$2="Prices in $/MWh","100-500 MWh","100,000-500,000 kWh")</f>
        <v>100-500 MWh</v>
      </c>
      <c r="I183" s="80">
        <f>(OH_prices!I171+$D$2)*IF($M$2="Prices in $/MWh",1,1/1000)</f>
        <v>58.76</v>
      </c>
      <c r="J183" s="79">
        <f>(OH_prices!J171+$D$2)*IF($M$2="Prices in $/MWh",1,1/1000)</f>
        <v>60.05</v>
      </c>
      <c r="K183" s="80">
        <f>(OH_prices!K171+$D$2)*IF($M$2="Prices in $/MWh",1,1/1000)</f>
        <v>60.59</v>
      </c>
      <c r="L183" s="79">
        <f>(OH_prices!L171+$D$2)*IF($M$2="Prices in $/MWh",1,1/1000)</f>
        <v>21.92</v>
      </c>
      <c r="M183" s="80">
        <f>(OH_prices!M171+$D$2)*IF($M$2="Prices in $/MWh",1,1/1000)</f>
        <v>23.52</v>
      </c>
      <c r="N183" s="79">
        <f>(OH_prices!N171+$D$2)*IF($M$2="Prices in $/MWh",1,1/1000)</f>
        <v>24.04</v>
      </c>
      <c r="O183" s="61"/>
    </row>
    <row r="184" spans="2:15" x14ac:dyDescent="0.25">
      <c r="B184" s="57"/>
      <c r="C184" s="82" t="str">
        <f>OH_prices!C172</f>
        <v>October-2016</v>
      </c>
      <c r="D184" s="83" t="str">
        <f>OH_prices!D172</f>
        <v>OH</v>
      </c>
      <c r="E184" s="84" t="str">
        <f>OH_prices!E172</f>
        <v>Duke</v>
      </c>
      <c r="F184" s="83" t="str">
        <f>OH_prices!F172</f>
        <v>DS</v>
      </c>
      <c r="G184" s="84" t="str">
        <f>OH_prices!G172</f>
        <v>General Service</v>
      </c>
      <c r="H184" s="85" t="str">
        <f t="shared" ref="H184" si="167">IF($M$2="Prices in $/MWh","500-2500 MWh","500,000-2,500,000 kWh")</f>
        <v>500-2500 MWh</v>
      </c>
      <c r="I184" s="84">
        <f>(OH_prices!I172+$D$2)*IF($M$2="Prices in $/MWh",1,1/1000)</f>
        <v>57.71</v>
      </c>
      <c r="J184" s="83">
        <f>(OH_prices!J172+$D$2)*IF($M$2="Prices in $/MWh",1,1/1000)</f>
        <v>59</v>
      </c>
      <c r="K184" s="84">
        <f>(OH_prices!K172+$D$2)*IF($M$2="Prices in $/MWh",1,1/1000)</f>
        <v>59.54</v>
      </c>
      <c r="L184" s="83">
        <f>(OH_prices!L172+$D$2)*IF($M$2="Prices in $/MWh",1,1/1000)</f>
        <v>20.87</v>
      </c>
      <c r="M184" s="84">
        <f>(OH_prices!M172+$D$2)*IF($M$2="Prices in $/MWh",1,1/1000)</f>
        <v>22.47</v>
      </c>
      <c r="N184" s="83">
        <f>(OH_prices!N172+$D$2)*IF($M$2="Prices in $/MWh",1,1/1000)</f>
        <v>22.99</v>
      </c>
      <c r="O184" s="61"/>
    </row>
    <row r="185" spans="2:15" x14ac:dyDescent="0.25">
      <c r="B185" s="57"/>
      <c r="C185" s="74" t="str">
        <f>OH_prices!C173</f>
        <v>November-2016</v>
      </c>
      <c r="D185" s="75" t="str">
        <f>OH_prices!D173</f>
        <v>OH</v>
      </c>
      <c r="E185" s="76" t="str">
        <f>OH_prices!E173</f>
        <v>Duke</v>
      </c>
      <c r="F185" s="75" t="str">
        <f>OH_prices!F173</f>
        <v>DS</v>
      </c>
      <c r="G185" s="76" t="str">
        <f>OH_prices!G173</f>
        <v>General Service</v>
      </c>
      <c r="H185" s="77" t="str">
        <f t="shared" ref="H185" si="168">IF($M$2="Prices in $/MWh","0-100 MWh","0-100,000 kWh")</f>
        <v>0-100 MWh</v>
      </c>
      <c r="I185" s="76">
        <f>(OH_prices!I173+$D$2)*IF($M$2="Prices in $/MWh",1,1/1000)</f>
        <v>60.82</v>
      </c>
      <c r="J185" s="75">
        <f>(OH_prices!J173+$D$2)*IF($M$2="Prices in $/MWh",1,1/1000)</f>
        <v>62.05</v>
      </c>
      <c r="K185" s="76">
        <f>(OH_prices!K173+$D$2)*IF($M$2="Prices in $/MWh",1,1/1000)</f>
        <v>62.47</v>
      </c>
      <c r="L185" s="75">
        <f>(OH_prices!L173+$D$2)*IF($M$2="Prices in $/MWh",1,1/1000)</f>
        <v>23.99</v>
      </c>
      <c r="M185" s="76">
        <f>(OH_prices!M173+$D$2)*IF($M$2="Prices in $/MWh",1,1/1000)</f>
        <v>25.45</v>
      </c>
      <c r="N185" s="75">
        <f>(OH_prices!N173+$D$2)*IF($M$2="Prices in $/MWh",1,1/1000)</f>
        <v>25.93</v>
      </c>
      <c r="O185" s="61"/>
    </row>
    <row r="186" spans="2:15" x14ac:dyDescent="0.25">
      <c r="B186" s="57"/>
      <c r="C186" s="78" t="str">
        <f>OH_prices!C174</f>
        <v>November-2016</v>
      </c>
      <c r="D186" s="79" t="str">
        <f>OH_prices!D174</f>
        <v>OH</v>
      </c>
      <c r="E186" s="80" t="str">
        <f>OH_prices!E174</f>
        <v>Duke</v>
      </c>
      <c r="F186" s="79" t="str">
        <f>OH_prices!F174</f>
        <v>DS</v>
      </c>
      <c r="G186" s="80" t="str">
        <f>OH_prices!G174</f>
        <v>General Service</v>
      </c>
      <c r="H186" s="81" t="str">
        <f t="shared" ref="H186" si="169">IF($M$2="Prices in $/MWh","100-500 MWh","100,000-500,000 kWh")</f>
        <v>100-500 MWh</v>
      </c>
      <c r="I186" s="80">
        <f>(OH_prices!I174+$D$2)*IF($M$2="Prices in $/MWh",1,1/1000)</f>
        <v>59.22</v>
      </c>
      <c r="J186" s="79">
        <f>(OH_prices!J174+$D$2)*IF($M$2="Prices in $/MWh",1,1/1000)</f>
        <v>60.45</v>
      </c>
      <c r="K186" s="80">
        <f>(OH_prices!K174+$D$2)*IF($M$2="Prices in $/MWh",1,1/1000)</f>
        <v>60.87</v>
      </c>
      <c r="L186" s="79">
        <f>(OH_prices!L174+$D$2)*IF($M$2="Prices in $/MWh",1,1/1000)</f>
        <v>22.39</v>
      </c>
      <c r="M186" s="80">
        <f>(OH_prices!M174+$D$2)*IF($M$2="Prices in $/MWh",1,1/1000)</f>
        <v>23.85</v>
      </c>
      <c r="N186" s="79">
        <f>(OH_prices!N174+$D$2)*IF($M$2="Prices in $/MWh",1,1/1000)</f>
        <v>24.33</v>
      </c>
      <c r="O186" s="61"/>
    </row>
    <row r="187" spans="2:15" x14ac:dyDescent="0.25">
      <c r="B187" s="57"/>
      <c r="C187" s="82" t="str">
        <f>OH_prices!C175</f>
        <v>November-2016</v>
      </c>
      <c r="D187" s="83" t="str">
        <f>OH_prices!D175</f>
        <v>OH</v>
      </c>
      <c r="E187" s="84" t="str">
        <f>OH_prices!E175</f>
        <v>Duke</v>
      </c>
      <c r="F187" s="83" t="str">
        <f>OH_prices!F175</f>
        <v>DS</v>
      </c>
      <c r="G187" s="84" t="str">
        <f>OH_prices!G175</f>
        <v>General Service</v>
      </c>
      <c r="H187" s="85" t="str">
        <f t="shared" ref="H187" si="170">IF($M$2="Prices in $/MWh","500-2500 MWh","500,000-2,500,000 kWh")</f>
        <v>500-2500 MWh</v>
      </c>
      <c r="I187" s="84">
        <f>(OH_prices!I175+$D$2)*IF($M$2="Prices in $/MWh",1,1/1000)</f>
        <v>58.17</v>
      </c>
      <c r="J187" s="83">
        <f>(OH_prices!J175+$D$2)*IF($M$2="Prices in $/MWh",1,1/1000)</f>
        <v>59.4</v>
      </c>
      <c r="K187" s="84">
        <f>(OH_prices!K175+$D$2)*IF($M$2="Prices in $/MWh",1,1/1000)</f>
        <v>59.82</v>
      </c>
      <c r="L187" s="83">
        <f>(OH_prices!L175+$D$2)*IF($M$2="Prices in $/MWh",1,1/1000)</f>
        <v>21.34</v>
      </c>
      <c r="M187" s="84">
        <f>(OH_prices!M175+$D$2)*IF($M$2="Prices in $/MWh",1,1/1000)</f>
        <v>22.8</v>
      </c>
      <c r="N187" s="83">
        <f>(OH_prices!N175+$D$2)*IF($M$2="Prices in $/MWh",1,1/1000)</f>
        <v>23.28</v>
      </c>
      <c r="O187" s="61"/>
    </row>
    <row r="188" spans="2:15" x14ac:dyDescent="0.25">
      <c r="B188" s="57"/>
      <c r="C188" s="74" t="str">
        <f>OH_prices!C176</f>
        <v>December-2016</v>
      </c>
      <c r="D188" s="75" t="str">
        <f>OH_prices!D176</f>
        <v>OH</v>
      </c>
      <c r="E188" s="76" t="str">
        <f>OH_prices!E176</f>
        <v>Duke</v>
      </c>
      <c r="F188" s="75" t="str">
        <f>OH_prices!F176</f>
        <v>DS</v>
      </c>
      <c r="G188" s="76" t="str">
        <f>OH_prices!G176</f>
        <v>General Service</v>
      </c>
      <c r="H188" s="77" t="str">
        <f t="shared" ref="H188" si="171">IF($M$2="Prices in $/MWh","0-100 MWh","0-100,000 kWh")</f>
        <v>0-100 MWh</v>
      </c>
      <c r="I188" s="76">
        <f>(OH_prices!I176+$D$2)*IF($M$2="Prices in $/MWh",1,1/1000)</f>
        <v>61.22</v>
      </c>
      <c r="J188" s="75">
        <f>(OH_prices!J176+$D$2)*IF($M$2="Prices in $/MWh",1,1/1000)</f>
        <v>62.43</v>
      </c>
      <c r="K188" s="76">
        <f>(OH_prices!K176+$D$2)*IF($M$2="Prices in $/MWh",1,1/1000)</f>
        <v>62.71</v>
      </c>
      <c r="L188" s="75">
        <f>(OH_prices!L176+$D$2)*IF($M$2="Prices in $/MWh",1,1/1000)</f>
        <v>24.45</v>
      </c>
      <c r="M188" s="76">
        <f>(OH_prices!M176+$D$2)*IF($M$2="Prices in $/MWh",1,1/1000)</f>
        <v>25.7</v>
      </c>
      <c r="N188" s="75">
        <f>(OH_prices!N176+$D$2)*IF($M$2="Prices in $/MWh",1,1/1000)</f>
        <v>26.21</v>
      </c>
      <c r="O188" s="61"/>
    </row>
    <row r="189" spans="2:15" x14ac:dyDescent="0.25">
      <c r="B189" s="57"/>
      <c r="C189" s="78" t="str">
        <f>OH_prices!C177</f>
        <v>December-2016</v>
      </c>
      <c r="D189" s="79" t="str">
        <f>OH_prices!D177</f>
        <v>OH</v>
      </c>
      <c r="E189" s="80" t="str">
        <f>OH_prices!E177</f>
        <v>Duke</v>
      </c>
      <c r="F189" s="79" t="str">
        <f>OH_prices!F177</f>
        <v>DS</v>
      </c>
      <c r="G189" s="80" t="str">
        <f>OH_prices!G177</f>
        <v>General Service</v>
      </c>
      <c r="H189" s="81" t="str">
        <f t="shared" ref="H189" si="172">IF($M$2="Prices in $/MWh","100-500 MWh","100,000-500,000 kWh")</f>
        <v>100-500 MWh</v>
      </c>
      <c r="I189" s="80">
        <f>(OH_prices!I177+$D$2)*IF($M$2="Prices in $/MWh",1,1/1000)</f>
        <v>59.62</v>
      </c>
      <c r="J189" s="79">
        <f>(OH_prices!J177+$D$2)*IF($M$2="Prices in $/MWh",1,1/1000)</f>
        <v>60.83</v>
      </c>
      <c r="K189" s="80">
        <f>(OH_prices!K177+$D$2)*IF($M$2="Prices in $/MWh",1,1/1000)</f>
        <v>61.11</v>
      </c>
      <c r="L189" s="79">
        <f>(OH_prices!L177+$D$2)*IF($M$2="Prices in $/MWh",1,1/1000)</f>
        <v>22.85</v>
      </c>
      <c r="M189" s="80">
        <f>(OH_prices!M177+$D$2)*IF($M$2="Prices in $/MWh",1,1/1000)</f>
        <v>24.1</v>
      </c>
      <c r="N189" s="79">
        <f>(OH_prices!N177+$D$2)*IF($M$2="Prices in $/MWh",1,1/1000)</f>
        <v>24.61</v>
      </c>
      <c r="O189" s="61"/>
    </row>
    <row r="190" spans="2:15" x14ac:dyDescent="0.25">
      <c r="B190" s="57"/>
      <c r="C190" s="82" t="str">
        <f>OH_prices!C178</f>
        <v>December-2016</v>
      </c>
      <c r="D190" s="83" t="str">
        <f>OH_prices!D178</f>
        <v>OH</v>
      </c>
      <c r="E190" s="84" t="str">
        <f>OH_prices!E178</f>
        <v>Duke</v>
      </c>
      <c r="F190" s="83" t="str">
        <f>OH_prices!F178</f>
        <v>DS</v>
      </c>
      <c r="G190" s="84" t="str">
        <f>OH_prices!G178</f>
        <v>General Service</v>
      </c>
      <c r="H190" s="85" t="str">
        <f t="shared" ref="H190" si="173">IF($M$2="Prices in $/MWh","500-2500 MWh","500,000-2,500,000 kWh")</f>
        <v>500-2500 MWh</v>
      </c>
      <c r="I190" s="84">
        <f>(OH_prices!I178+$D$2)*IF($M$2="Prices in $/MWh",1,1/1000)</f>
        <v>58.57</v>
      </c>
      <c r="J190" s="83">
        <f>(OH_prices!J178+$D$2)*IF($M$2="Prices in $/MWh",1,1/1000)</f>
        <v>59.78</v>
      </c>
      <c r="K190" s="84">
        <f>(OH_prices!K178+$D$2)*IF($M$2="Prices in $/MWh",1,1/1000)</f>
        <v>60.06</v>
      </c>
      <c r="L190" s="83">
        <f>(OH_prices!L178+$D$2)*IF($M$2="Prices in $/MWh",1,1/1000)</f>
        <v>21.8</v>
      </c>
      <c r="M190" s="84">
        <f>(OH_prices!M178+$D$2)*IF($M$2="Prices in $/MWh",1,1/1000)</f>
        <v>23.05</v>
      </c>
      <c r="N190" s="83">
        <f>(OH_prices!N178+$D$2)*IF($M$2="Prices in $/MWh",1,1/1000)</f>
        <v>23.56</v>
      </c>
      <c r="O190" s="61"/>
    </row>
    <row r="191" spans="2:15" x14ac:dyDescent="0.25">
      <c r="B191" s="57"/>
      <c r="C191" s="74" t="str">
        <f>OH_prices!C179</f>
        <v>January-2017</v>
      </c>
      <c r="D191" s="75" t="str">
        <f>OH_prices!D179</f>
        <v>OH</v>
      </c>
      <c r="E191" s="76" t="str">
        <f>OH_prices!E179</f>
        <v>Duke</v>
      </c>
      <c r="F191" s="75" t="str">
        <f>OH_prices!F179</f>
        <v>DS</v>
      </c>
      <c r="G191" s="76" t="str">
        <f>OH_prices!G179</f>
        <v>General Service</v>
      </c>
      <c r="H191" s="77" t="str">
        <f t="shared" ref="H191" si="174">IF($M$2="Prices in $/MWh","0-100 MWh","0-100,000 kWh")</f>
        <v>0-100 MWh</v>
      </c>
      <c r="I191" s="76">
        <f>(OH_prices!I179+$D$2)*IF($M$2="Prices in $/MWh",1,1/1000)</f>
        <v>61.64</v>
      </c>
      <c r="J191" s="75">
        <f>(OH_prices!J179+$D$2)*IF($M$2="Prices in $/MWh",1,1/1000)</f>
        <v>62.71</v>
      </c>
      <c r="K191" s="76">
        <f>(OH_prices!K179+$D$2)*IF($M$2="Prices in $/MWh",1,1/1000)</f>
        <v>63.01</v>
      </c>
      <c r="L191" s="75">
        <f>(OH_prices!L179+$D$2)*IF($M$2="Prices in $/MWh",1,1/1000)</f>
        <v>24.94</v>
      </c>
      <c r="M191" s="76">
        <f>(OH_prices!M179+$D$2)*IF($M$2="Prices in $/MWh",1,1/1000)</f>
        <v>25.95</v>
      </c>
      <c r="N191" s="75">
        <f>(OH_prices!N179+$D$2)*IF($M$2="Prices in $/MWh",1,1/1000)</f>
        <v>26.52</v>
      </c>
      <c r="O191" s="61"/>
    </row>
    <row r="192" spans="2:15" x14ac:dyDescent="0.25">
      <c r="B192" s="57"/>
      <c r="C192" s="78" t="str">
        <f>OH_prices!C180</f>
        <v>January-2017</v>
      </c>
      <c r="D192" s="79" t="str">
        <f>OH_prices!D180</f>
        <v>OH</v>
      </c>
      <c r="E192" s="80" t="str">
        <f>OH_prices!E180</f>
        <v>Duke</v>
      </c>
      <c r="F192" s="79" t="str">
        <f>OH_prices!F180</f>
        <v>DS</v>
      </c>
      <c r="G192" s="80" t="str">
        <f>OH_prices!G180</f>
        <v>General Service</v>
      </c>
      <c r="H192" s="81" t="str">
        <f t="shared" ref="H192" si="175">IF($M$2="Prices in $/MWh","100-500 MWh","100,000-500,000 kWh")</f>
        <v>100-500 MWh</v>
      </c>
      <c r="I192" s="80">
        <f>(OH_prices!I180+$D$2)*IF($M$2="Prices in $/MWh",1,1/1000)</f>
        <v>60.04</v>
      </c>
      <c r="J192" s="79">
        <f>(OH_prices!J180+$D$2)*IF($M$2="Prices in $/MWh",1,1/1000)</f>
        <v>61.11</v>
      </c>
      <c r="K192" s="80">
        <f>(OH_prices!K180+$D$2)*IF($M$2="Prices in $/MWh",1,1/1000)</f>
        <v>61.41</v>
      </c>
      <c r="L192" s="79">
        <f>(OH_prices!L180+$D$2)*IF($M$2="Prices in $/MWh",1,1/1000)</f>
        <v>23.34</v>
      </c>
      <c r="M192" s="80">
        <f>(OH_prices!M180+$D$2)*IF($M$2="Prices in $/MWh",1,1/1000)</f>
        <v>24.35</v>
      </c>
      <c r="N192" s="79">
        <f>(OH_prices!N180+$D$2)*IF($M$2="Prices in $/MWh",1,1/1000)</f>
        <v>24.92</v>
      </c>
      <c r="O192" s="61"/>
    </row>
    <row r="193" spans="2:15" x14ac:dyDescent="0.25">
      <c r="B193" s="57"/>
      <c r="C193" s="82" t="str">
        <f>OH_prices!C181</f>
        <v>January-2017</v>
      </c>
      <c r="D193" s="83" t="str">
        <f>OH_prices!D181</f>
        <v>OH</v>
      </c>
      <c r="E193" s="84" t="str">
        <f>OH_prices!E181</f>
        <v>Duke</v>
      </c>
      <c r="F193" s="83" t="str">
        <f>OH_prices!F181</f>
        <v>DS</v>
      </c>
      <c r="G193" s="84" t="str">
        <f>OH_prices!G181</f>
        <v>General Service</v>
      </c>
      <c r="H193" s="85" t="str">
        <f t="shared" ref="H193" si="176">IF($M$2="Prices in $/MWh","500-2500 MWh","500,000-2,500,000 kWh")</f>
        <v>500-2500 MWh</v>
      </c>
      <c r="I193" s="84">
        <f>(OH_prices!I181+$D$2)*IF($M$2="Prices in $/MWh",1,1/1000)</f>
        <v>58.99</v>
      </c>
      <c r="J193" s="83">
        <f>(OH_prices!J181+$D$2)*IF($M$2="Prices in $/MWh",1,1/1000)</f>
        <v>60.06</v>
      </c>
      <c r="K193" s="84">
        <f>(OH_prices!K181+$D$2)*IF($M$2="Prices in $/MWh",1,1/1000)</f>
        <v>60.36</v>
      </c>
      <c r="L193" s="83">
        <f>(OH_prices!L181+$D$2)*IF($M$2="Prices in $/MWh",1,1/1000)</f>
        <v>22.29</v>
      </c>
      <c r="M193" s="84">
        <f>(OH_prices!M181+$D$2)*IF($M$2="Prices in $/MWh",1,1/1000)</f>
        <v>23.3</v>
      </c>
      <c r="N193" s="83">
        <f>(OH_prices!N181+$D$2)*IF($M$2="Prices in $/MWh",1,1/1000)</f>
        <v>23.87</v>
      </c>
      <c r="O193" s="61"/>
    </row>
    <row r="194" spans="2:15" x14ac:dyDescent="0.25">
      <c r="B194" s="57"/>
      <c r="C194" s="74" t="str">
        <f>OH_prices!C182</f>
        <v>February-2016</v>
      </c>
      <c r="D194" s="75" t="str">
        <f>OH_prices!D182</f>
        <v>OH</v>
      </c>
      <c r="E194" s="76" t="str">
        <f>OH_prices!E182</f>
        <v>FE OH</v>
      </c>
      <c r="F194" s="75" t="str">
        <f>OH_prices!F182</f>
        <v>GS</v>
      </c>
      <c r="G194" s="76" t="str">
        <f>OH_prices!G182</f>
        <v>General Service</v>
      </c>
      <c r="H194" s="77" t="str">
        <f t="shared" ref="H194" si="177">IF($M$2="Prices in $/MWh","0-100 MWh","0-100,000 kWh")</f>
        <v>0-100 MWh</v>
      </c>
      <c r="I194" s="76">
        <f>(OH_prices!I182+$D$2)*IF($M$2="Prices in $/MWh",1,1/1000)</f>
        <v>67.58</v>
      </c>
      <c r="J194" s="75">
        <f>(OH_prices!J182+$D$2)*IF($M$2="Prices in $/MWh",1,1/1000)</f>
        <v>66.63</v>
      </c>
      <c r="K194" s="76">
        <f>(OH_prices!K182+$D$2)*IF($M$2="Prices in $/MWh",1,1/1000)</f>
        <v>65.64</v>
      </c>
      <c r="L194" s="75">
        <f>(OH_prices!L182+$D$2)*IF($M$2="Prices in $/MWh",1,1/1000)</f>
        <v>30.7</v>
      </c>
      <c r="M194" s="76">
        <f>(OH_prices!M182+$D$2)*IF($M$2="Prices in $/MWh",1,1/1000)</f>
        <v>29.25</v>
      </c>
      <c r="N194" s="75">
        <f>(OH_prices!N182+$D$2)*IF($M$2="Prices in $/MWh",1,1/1000)</f>
        <v>28.64</v>
      </c>
      <c r="O194" s="61"/>
    </row>
    <row r="195" spans="2:15" x14ac:dyDescent="0.25">
      <c r="B195" s="57"/>
      <c r="C195" s="78" t="str">
        <f>OH_prices!C183</f>
        <v>February-2016</v>
      </c>
      <c r="D195" s="79" t="str">
        <f>OH_prices!D183</f>
        <v>OH</v>
      </c>
      <c r="E195" s="80" t="str">
        <f>OH_prices!E183</f>
        <v>FE OH</v>
      </c>
      <c r="F195" s="79" t="str">
        <f>OH_prices!F183</f>
        <v>GS</v>
      </c>
      <c r="G195" s="80" t="str">
        <f>OH_prices!G183</f>
        <v>General Service</v>
      </c>
      <c r="H195" s="81" t="str">
        <f t="shared" ref="H195" si="178">IF($M$2="Prices in $/MWh","100-500 MWh","100,000-500,000 kWh")</f>
        <v>100-500 MWh</v>
      </c>
      <c r="I195" s="80">
        <f>(OH_prices!I183+$D$2)*IF($M$2="Prices in $/MWh",1,1/1000)</f>
        <v>65.98</v>
      </c>
      <c r="J195" s="79">
        <f>(OH_prices!J183+$D$2)*IF($M$2="Prices in $/MWh",1,1/1000)</f>
        <v>65.03</v>
      </c>
      <c r="K195" s="80">
        <f>(OH_prices!K183+$D$2)*IF($M$2="Prices in $/MWh",1,1/1000)</f>
        <v>64.040000000000006</v>
      </c>
      <c r="L195" s="79">
        <f>(OH_prices!L183+$D$2)*IF($M$2="Prices in $/MWh",1,1/1000)</f>
        <v>29.1</v>
      </c>
      <c r="M195" s="80">
        <f>(OH_prices!M183+$D$2)*IF($M$2="Prices in $/MWh",1,1/1000)</f>
        <v>27.65</v>
      </c>
      <c r="N195" s="79">
        <f>(OH_prices!N183+$D$2)*IF($M$2="Prices in $/MWh",1,1/1000)</f>
        <v>27.04</v>
      </c>
      <c r="O195" s="61"/>
    </row>
    <row r="196" spans="2:15" x14ac:dyDescent="0.25">
      <c r="B196" s="57"/>
      <c r="C196" s="82" t="str">
        <f>OH_prices!C184</f>
        <v>February-2016</v>
      </c>
      <c r="D196" s="83" t="str">
        <f>OH_prices!D184</f>
        <v>OH</v>
      </c>
      <c r="E196" s="84" t="str">
        <f>OH_prices!E184</f>
        <v>FE OH</v>
      </c>
      <c r="F196" s="83" t="str">
        <f>OH_prices!F184</f>
        <v>GS</v>
      </c>
      <c r="G196" s="84" t="str">
        <f>OH_prices!G184</f>
        <v>General Service</v>
      </c>
      <c r="H196" s="85" t="str">
        <f t="shared" ref="H196" si="179">IF($M$2="Prices in $/MWh","500-2500 MWh","500,000-2,500,000 kWh")</f>
        <v>500-2500 MWh</v>
      </c>
      <c r="I196" s="84">
        <f>(OH_prices!I184+$D$2)*IF($M$2="Prices in $/MWh",1,1/1000)</f>
        <v>64.930000000000007</v>
      </c>
      <c r="J196" s="83">
        <f>(OH_prices!J184+$D$2)*IF($M$2="Prices in $/MWh",1,1/1000)</f>
        <v>63.98</v>
      </c>
      <c r="K196" s="84">
        <f>(OH_prices!K184+$D$2)*IF($M$2="Prices in $/MWh",1,1/1000)</f>
        <v>62.99</v>
      </c>
      <c r="L196" s="83">
        <f>(OH_prices!L184+$D$2)*IF($M$2="Prices in $/MWh",1,1/1000)</f>
        <v>28.05</v>
      </c>
      <c r="M196" s="84">
        <f>(OH_prices!M184+$D$2)*IF($M$2="Prices in $/MWh",1,1/1000)</f>
        <v>26.6</v>
      </c>
      <c r="N196" s="83">
        <f>(OH_prices!N184+$D$2)*IF($M$2="Prices in $/MWh",1,1/1000)</f>
        <v>25.99</v>
      </c>
      <c r="O196" s="61"/>
    </row>
    <row r="197" spans="2:15" x14ac:dyDescent="0.25">
      <c r="B197" s="57"/>
      <c r="C197" s="74" t="str">
        <f>OH_prices!C185</f>
        <v>March-2016</v>
      </c>
      <c r="D197" s="75" t="str">
        <f>OH_prices!D185</f>
        <v>OH</v>
      </c>
      <c r="E197" s="76" t="str">
        <f>OH_prices!E185</f>
        <v>FE OH</v>
      </c>
      <c r="F197" s="75" t="str">
        <f>OH_prices!F185</f>
        <v>GS</v>
      </c>
      <c r="G197" s="76" t="str">
        <f>OH_prices!G185</f>
        <v>General Service</v>
      </c>
      <c r="H197" s="77" t="str">
        <f t="shared" ref="H197" si="180">IF($M$2="Prices in $/MWh","0-100 MWh","0-100,000 kWh")</f>
        <v>0-100 MWh</v>
      </c>
      <c r="I197" s="76">
        <f>(OH_prices!I185+$D$2)*IF($M$2="Prices in $/MWh",1,1/1000)</f>
        <v>66.459999999999994</v>
      </c>
      <c r="J197" s="75">
        <f>(OH_prices!J185+$D$2)*IF($M$2="Prices in $/MWh",1,1/1000)</f>
        <v>66</v>
      </c>
      <c r="K197" s="76">
        <f>(OH_prices!K185+$D$2)*IF($M$2="Prices in $/MWh",1,1/1000)</f>
        <v>65.150000000000006</v>
      </c>
      <c r="L197" s="75">
        <f>(OH_prices!L185+$D$2)*IF($M$2="Prices in $/MWh",1,1/1000)</f>
        <v>29.36</v>
      </c>
      <c r="M197" s="76">
        <f>(OH_prices!M185+$D$2)*IF($M$2="Prices in $/MWh",1,1/1000)</f>
        <v>28.52</v>
      </c>
      <c r="N197" s="75">
        <f>(OH_prices!N185+$D$2)*IF($M$2="Prices in $/MWh",1,1/1000)</f>
        <v>28.06</v>
      </c>
      <c r="O197" s="61"/>
    </row>
    <row r="198" spans="2:15" x14ac:dyDescent="0.25">
      <c r="B198" s="57"/>
      <c r="C198" s="78" t="str">
        <f>OH_prices!C186</f>
        <v>March-2016</v>
      </c>
      <c r="D198" s="79" t="str">
        <f>OH_prices!D186</f>
        <v>OH</v>
      </c>
      <c r="E198" s="80" t="str">
        <f>OH_prices!E186</f>
        <v>FE OH</v>
      </c>
      <c r="F198" s="79" t="str">
        <f>OH_prices!F186</f>
        <v>GS</v>
      </c>
      <c r="G198" s="80" t="str">
        <f>OH_prices!G186</f>
        <v>General Service</v>
      </c>
      <c r="H198" s="81" t="str">
        <f t="shared" ref="H198" si="181">IF($M$2="Prices in $/MWh","100-500 MWh","100,000-500,000 kWh")</f>
        <v>100-500 MWh</v>
      </c>
      <c r="I198" s="80">
        <f>(OH_prices!I186+$D$2)*IF($M$2="Prices in $/MWh",1,1/1000)</f>
        <v>64.86</v>
      </c>
      <c r="J198" s="79">
        <f>(OH_prices!J186+$D$2)*IF($M$2="Prices in $/MWh",1,1/1000)</f>
        <v>64.400000000000006</v>
      </c>
      <c r="K198" s="80">
        <f>(OH_prices!K186+$D$2)*IF($M$2="Prices in $/MWh",1,1/1000)</f>
        <v>63.55</v>
      </c>
      <c r="L198" s="79">
        <f>(OH_prices!L186+$D$2)*IF($M$2="Prices in $/MWh",1,1/1000)</f>
        <v>27.76</v>
      </c>
      <c r="M198" s="80">
        <f>(OH_prices!M186+$D$2)*IF($M$2="Prices in $/MWh",1,1/1000)</f>
        <v>26.92</v>
      </c>
      <c r="N198" s="79">
        <f>(OH_prices!N186+$D$2)*IF($M$2="Prices in $/MWh",1,1/1000)</f>
        <v>26.46</v>
      </c>
      <c r="O198" s="61"/>
    </row>
    <row r="199" spans="2:15" x14ac:dyDescent="0.25">
      <c r="B199" s="57"/>
      <c r="C199" s="82" t="str">
        <f>OH_prices!C187</f>
        <v>March-2016</v>
      </c>
      <c r="D199" s="83" t="str">
        <f>OH_prices!D187</f>
        <v>OH</v>
      </c>
      <c r="E199" s="84" t="str">
        <f>OH_prices!E187</f>
        <v>FE OH</v>
      </c>
      <c r="F199" s="83" t="str">
        <f>OH_prices!F187</f>
        <v>GS</v>
      </c>
      <c r="G199" s="84" t="str">
        <f>OH_prices!G187</f>
        <v>General Service</v>
      </c>
      <c r="H199" s="85" t="str">
        <f t="shared" ref="H199" si="182">IF($M$2="Prices in $/MWh","500-2500 MWh","500,000-2,500,000 kWh")</f>
        <v>500-2500 MWh</v>
      </c>
      <c r="I199" s="84">
        <f>(OH_prices!I187+$D$2)*IF($M$2="Prices in $/MWh",1,1/1000)</f>
        <v>63.81</v>
      </c>
      <c r="J199" s="83">
        <f>(OH_prices!J187+$D$2)*IF($M$2="Prices in $/MWh",1,1/1000)</f>
        <v>63.35</v>
      </c>
      <c r="K199" s="84">
        <f>(OH_prices!K187+$D$2)*IF($M$2="Prices in $/MWh",1,1/1000)</f>
        <v>62.5</v>
      </c>
      <c r="L199" s="83">
        <f>(OH_prices!L187+$D$2)*IF($M$2="Prices in $/MWh",1,1/1000)</f>
        <v>26.71</v>
      </c>
      <c r="M199" s="84">
        <f>(OH_prices!M187+$D$2)*IF($M$2="Prices in $/MWh",1,1/1000)</f>
        <v>25.87</v>
      </c>
      <c r="N199" s="83">
        <f>(OH_prices!N187+$D$2)*IF($M$2="Prices in $/MWh",1,1/1000)</f>
        <v>25.41</v>
      </c>
      <c r="O199" s="61"/>
    </row>
    <row r="200" spans="2:15" x14ac:dyDescent="0.25">
      <c r="B200" s="57"/>
      <c r="C200" s="74" t="str">
        <f>OH_prices!C188</f>
        <v>April-2016</v>
      </c>
      <c r="D200" s="75" t="str">
        <f>OH_prices!D188</f>
        <v>OH</v>
      </c>
      <c r="E200" s="76" t="str">
        <f>OH_prices!E188</f>
        <v>FE OH</v>
      </c>
      <c r="F200" s="75" t="str">
        <f>OH_prices!F188</f>
        <v>GS</v>
      </c>
      <c r="G200" s="76" t="str">
        <f>OH_prices!G188</f>
        <v>General Service</v>
      </c>
      <c r="H200" s="77" t="str">
        <f t="shared" ref="H200" si="183">IF($M$2="Prices in $/MWh","0-100 MWh","0-100,000 kWh")</f>
        <v>0-100 MWh</v>
      </c>
      <c r="I200" s="76">
        <f>(OH_prices!I188+$D$2)*IF($M$2="Prices in $/MWh",1,1/1000)</f>
        <v>65.22</v>
      </c>
      <c r="J200" s="75">
        <f>(OH_prices!J188+$D$2)*IF($M$2="Prices in $/MWh",1,1/1000)</f>
        <v>65.06</v>
      </c>
      <c r="K200" s="76">
        <f>(OH_prices!K188+$D$2)*IF($M$2="Prices in $/MWh",1,1/1000)</f>
        <v>64.59</v>
      </c>
      <c r="L200" s="75">
        <f>(OH_prices!L188+$D$2)*IF($M$2="Prices in $/MWh",1,1/1000)</f>
        <v>27.9</v>
      </c>
      <c r="M200" s="76">
        <f>(OH_prices!M188+$D$2)*IF($M$2="Prices in $/MWh",1,1/1000)</f>
        <v>27.69</v>
      </c>
      <c r="N200" s="75">
        <f>(OH_prices!N188+$D$2)*IF($M$2="Prices in $/MWh",1,1/1000)</f>
        <v>27.42</v>
      </c>
      <c r="O200" s="61"/>
    </row>
    <row r="201" spans="2:15" x14ac:dyDescent="0.25">
      <c r="B201" s="57"/>
      <c r="C201" s="78" t="str">
        <f>OH_prices!C189</f>
        <v>April-2016</v>
      </c>
      <c r="D201" s="79" t="str">
        <f>OH_prices!D189</f>
        <v>OH</v>
      </c>
      <c r="E201" s="80" t="str">
        <f>OH_prices!E189</f>
        <v>FE OH</v>
      </c>
      <c r="F201" s="79" t="str">
        <f>OH_prices!F189</f>
        <v>GS</v>
      </c>
      <c r="G201" s="80" t="str">
        <f>OH_prices!G189</f>
        <v>General Service</v>
      </c>
      <c r="H201" s="81" t="str">
        <f t="shared" ref="H201" si="184">IF($M$2="Prices in $/MWh","100-500 MWh","100,000-500,000 kWh")</f>
        <v>100-500 MWh</v>
      </c>
      <c r="I201" s="80">
        <f>(OH_prices!I189+$D$2)*IF($M$2="Prices in $/MWh",1,1/1000)</f>
        <v>63.62</v>
      </c>
      <c r="J201" s="79">
        <f>(OH_prices!J189+$D$2)*IF($M$2="Prices in $/MWh",1,1/1000)</f>
        <v>63.46</v>
      </c>
      <c r="K201" s="80">
        <f>(OH_prices!K189+$D$2)*IF($M$2="Prices in $/MWh",1,1/1000)</f>
        <v>62.99</v>
      </c>
      <c r="L201" s="79">
        <f>(OH_prices!L189+$D$2)*IF($M$2="Prices in $/MWh",1,1/1000)</f>
        <v>26.3</v>
      </c>
      <c r="M201" s="80">
        <f>(OH_prices!M189+$D$2)*IF($M$2="Prices in $/MWh",1,1/1000)</f>
        <v>26.09</v>
      </c>
      <c r="N201" s="79">
        <f>(OH_prices!N189+$D$2)*IF($M$2="Prices in $/MWh",1,1/1000)</f>
        <v>25.82</v>
      </c>
      <c r="O201" s="61"/>
    </row>
    <row r="202" spans="2:15" x14ac:dyDescent="0.25">
      <c r="B202" s="57"/>
      <c r="C202" s="82" t="str">
        <f>OH_prices!C190</f>
        <v>April-2016</v>
      </c>
      <c r="D202" s="83" t="str">
        <f>OH_prices!D190</f>
        <v>OH</v>
      </c>
      <c r="E202" s="84" t="str">
        <f>OH_prices!E190</f>
        <v>FE OH</v>
      </c>
      <c r="F202" s="83" t="str">
        <f>OH_prices!F190</f>
        <v>GS</v>
      </c>
      <c r="G202" s="84" t="str">
        <f>OH_prices!G190</f>
        <v>General Service</v>
      </c>
      <c r="H202" s="85" t="str">
        <f t="shared" ref="H202" si="185">IF($M$2="Prices in $/MWh","500-2500 MWh","500,000-2,500,000 kWh")</f>
        <v>500-2500 MWh</v>
      </c>
      <c r="I202" s="84">
        <f>(OH_prices!I190+$D$2)*IF($M$2="Prices in $/MWh",1,1/1000)</f>
        <v>62.57</v>
      </c>
      <c r="J202" s="83">
        <f>(OH_prices!J190+$D$2)*IF($M$2="Prices in $/MWh",1,1/1000)</f>
        <v>62.41</v>
      </c>
      <c r="K202" s="84">
        <f>(OH_prices!K190+$D$2)*IF($M$2="Prices in $/MWh",1,1/1000)</f>
        <v>61.94</v>
      </c>
      <c r="L202" s="83">
        <f>(OH_prices!L190+$D$2)*IF($M$2="Prices in $/MWh",1,1/1000)</f>
        <v>25.25</v>
      </c>
      <c r="M202" s="84">
        <f>(OH_prices!M190+$D$2)*IF($M$2="Prices in $/MWh",1,1/1000)</f>
        <v>25.04</v>
      </c>
      <c r="N202" s="83">
        <f>(OH_prices!N190+$D$2)*IF($M$2="Prices in $/MWh",1,1/1000)</f>
        <v>24.77</v>
      </c>
      <c r="O202" s="61"/>
    </row>
    <row r="203" spans="2:15" x14ac:dyDescent="0.25">
      <c r="B203" s="57"/>
      <c r="C203" s="74" t="str">
        <f>OH_prices!C191</f>
        <v>May-2016</v>
      </c>
      <c r="D203" s="75" t="str">
        <f>OH_prices!D191</f>
        <v>OH</v>
      </c>
      <c r="E203" s="76" t="str">
        <f>OH_prices!E191</f>
        <v>FE OH</v>
      </c>
      <c r="F203" s="75" t="str">
        <f>OH_prices!F191</f>
        <v>GS</v>
      </c>
      <c r="G203" s="76" t="str">
        <f>OH_prices!G191</f>
        <v>General Service</v>
      </c>
      <c r="H203" s="77" t="str">
        <f t="shared" ref="H203" si="186">IF($M$2="Prices in $/MWh","0-100 MWh","0-100,000 kWh")</f>
        <v>0-100 MWh</v>
      </c>
      <c r="I203" s="76">
        <f>(OH_prices!I191+$D$2)*IF($M$2="Prices in $/MWh",1,1/1000)</f>
        <v>63.89</v>
      </c>
      <c r="J203" s="75">
        <f>(OH_prices!J191+$D$2)*IF($M$2="Prices in $/MWh",1,1/1000)</f>
        <v>64.06</v>
      </c>
      <c r="K203" s="76">
        <f>(OH_prices!K191+$D$2)*IF($M$2="Prices in $/MWh",1,1/1000)</f>
        <v>63.98</v>
      </c>
      <c r="L203" s="75">
        <f>(OH_prices!L191+$D$2)*IF($M$2="Prices in $/MWh",1,1/1000)</f>
        <v>26.49</v>
      </c>
      <c r="M203" s="76">
        <f>(OH_prices!M191+$D$2)*IF($M$2="Prices in $/MWh",1,1/1000)</f>
        <v>26.76</v>
      </c>
      <c r="N203" s="75">
        <f>(OH_prices!N191+$D$2)*IF($M$2="Prices in $/MWh",1,1/1000)</f>
        <v>26.81</v>
      </c>
      <c r="O203" s="61"/>
    </row>
    <row r="204" spans="2:15" x14ac:dyDescent="0.25">
      <c r="B204" s="57"/>
      <c r="C204" s="78" t="str">
        <f>OH_prices!C192</f>
        <v>May-2016</v>
      </c>
      <c r="D204" s="79" t="str">
        <f>OH_prices!D192</f>
        <v>OH</v>
      </c>
      <c r="E204" s="80" t="str">
        <f>OH_prices!E192</f>
        <v>FE OH</v>
      </c>
      <c r="F204" s="79" t="str">
        <f>OH_prices!F192</f>
        <v>GS</v>
      </c>
      <c r="G204" s="80" t="str">
        <f>OH_prices!G192</f>
        <v>General Service</v>
      </c>
      <c r="H204" s="81" t="str">
        <f t="shared" ref="H204" si="187">IF($M$2="Prices in $/MWh","100-500 MWh","100,000-500,000 kWh")</f>
        <v>100-500 MWh</v>
      </c>
      <c r="I204" s="80">
        <f>(OH_prices!I192+$D$2)*IF($M$2="Prices in $/MWh",1,1/1000)</f>
        <v>62.29</v>
      </c>
      <c r="J204" s="79">
        <f>(OH_prices!J192+$D$2)*IF($M$2="Prices in $/MWh",1,1/1000)</f>
        <v>62.46</v>
      </c>
      <c r="K204" s="80">
        <f>(OH_prices!K192+$D$2)*IF($M$2="Prices in $/MWh",1,1/1000)</f>
        <v>62.38</v>
      </c>
      <c r="L204" s="79">
        <f>(OH_prices!L192+$D$2)*IF($M$2="Prices in $/MWh",1,1/1000)</f>
        <v>24.89</v>
      </c>
      <c r="M204" s="80">
        <f>(OH_prices!M192+$D$2)*IF($M$2="Prices in $/MWh",1,1/1000)</f>
        <v>25.16</v>
      </c>
      <c r="N204" s="79">
        <f>(OH_prices!N192+$D$2)*IF($M$2="Prices in $/MWh",1,1/1000)</f>
        <v>25.21</v>
      </c>
      <c r="O204" s="61"/>
    </row>
    <row r="205" spans="2:15" x14ac:dyDescent="0.25">
      <c r="B205" s="57"/>
      <c r="C205" s="82" t="str">
        <f>OH_prices!C193</f>
        <v>May-2016</v>
      </c>
      <c r="D205" s="83" t="str">
        <f>OH_prices!D193</f>
        <v>OH</v>
      </c>
      <c r="E205" s="84" t="str">
        <f>OH_prices!E193</f>
        <v>FE OH</v>
      </c>
      <c r="F205" s="83" t="str">
        <f>OH_prices!F193</f>
        <v>GS</v>
      </c>
      <c r="G205" s="84" t="str">
        <f>OH_prices!G193</f>
        <v>General Service</v>
      </c>
      <c r="H205" s="85" t="str">
        <f t="shared" ref="H205" si="188">IF($M$2="Prices in $/MWh","500-2500 MWh","500,000-2,500,000 kWh")</f>
        <v>500-2500 MWh</v>
      </c>
      <c r="I205" s="84">
        <f>(OH_prices!I193+$D$2)*IF($M$2="Prices in $/MWh",1,1/1000)</f>
        <v>61.24</v>
      </c>
      <c r="J205" s="83">
        <f>(OH_prices!J193+$D$2)*IF($M$2="Prices in $/MWh",1,1/1000)</f>
        <v>61.41</v>
      </c>
      <c r="K205" s="84">
        <f>(OH_prices!K193+$D$2)*IF($M$2="Prices in $/MWh",1,1/1000)</f>
        <v>61.33</v>
      </c>
      <c r="L205" s="83">
        <f>(OH_prices!L193+$D$2)*IF($M$2="Prices in $/MWh",1,1/1000)</f>
        <v>23.84</v>
      </c>
      <c r="M205" s="84">
        <f>(OH_prices!M193+$D$2)*IF($M$2="Prices in $/MWh",1,1/1000)</f>
        <v>24.11</v>
      </c>
      <c r="N205" s="83">
        <f>(OH_prices!N193+$D$2)*IF($M$2="Prices in $/MWh",1,1/1000)</f>
        <v>24.16</v>
      </c>
      <c r="O205" s="61"/>
    </row>
    <row r="206" spans="2:15" x14ac:dyDescent="0.25">
      <c r="B206" s="57"/>
      <c r="C206" s="74" t="str">
        <f>OH_prices!C194</f>
        <v>June-2016</v>
      </c>
      <c r="D206" s="75" t="str">
        <f>OH_prices!D194</f>
        <v>OH</v>
      </c>
      <c r="E206" s="76" t="str">
        <f>OH_prices!E194</f>
        <v>FE OH</v>
      </c>
      <c r="F206" s="75" t="str">
        <f>OH_prices!F194</f>
        <v>GS</v>
      </c>
      <c r="G206" s="76" t="str">
        <f>OH_prices!G194</f>
        <v>General Service</v>
      </c>
      <c r="H206" s="77" t="str">
        <f t="shared" ref="H206" si="189">IF($M$2="Prices in $/MWh","0-100 MWh","0-100,000 kWh")</f>
        <v>0-100 MWh</v>
      </c>
      <c r="I206" s="76">
        <f>(OH_prices!I194+$D$2)*IF($M$2="Prices in $/MWh",1,1/1000)</f>
        <v>62.48</v>
      </c>
      <c r="J206" s="75">
        <f>(OH_prices!J194+$D$2)*IF($M$2="Prices in $/MWh",1,1/1000)</f>
        <v>63.04</v>
      </c>
      <c r="K206" s="76">
        <f>(OH_prices!K194+$D$2)*IF($M$2="Prices in $/MWh",1,1/1000)</f>
        <v>63.36</v>
      </c>
      <c r="L206" s="75">
        <f>(OH_prices!L194+$D$2)*IF($M$2="Prices in $/MWh",1,1/1000)</f>
        <v>25</v>
      </c>
      <c r="M206" s="76">
        <f>(OH_prices!M194+$D$2)*IF($M$2="Prices in $/MWh",1,1/1000)</f>
        <v>25.81</v>
      </c>
      <c r="N206" s="75">
        <f>(OH_prices!N194+$D$2)*IF($M$2="Prices in $/MWh",1,1/1000)</f>
        <v>26.16</v>
      </c>
      <c r="O206" s="61"/>
    </row>
    <row r="207" spans="2:15" x14ac:dyDescent="0.25">
      <c r="B207" s="57"/>
      <c r="C207" s="78" t="str">
        <f>OH_prices!C195</f>
        <v>June-2016</v>
      </c>
      <c r="D207" s="79" t="str">
        <f>OH_prices!D195</f>
        <v>OH</v>
      </c>
      <c r="E207" s="80" t="str">
        <f>OH_prices!E195</f>
        <v>FE OH</v>
      </c>
      <c r="F207" s="79" t="str">
        <f>OH_prices!F195</f>
        <v>GS</v>
      </c>
      <c r="G207" s="80" t="str">
        <f>OH_prices!G195</f>
        <v>General Service</v>
      </c>
      <c r="H207" s="81" t="str">
        <f t="shared" ref="H207" si="190">IF($M$2="Prices in $/MWh","100-500 MWh","100,000-500,000 kWh")</f>
        <v>100-500 MWh</v>
      </c>
      <c r="I207" s="80">
        <f>(OH_prices!I195+$D$2)*IF($M$2="Prices in $/MWh",1,1/1000)</f>
        <v>60.88</v>
      </c>
      <c r="J207" s="79">
        <f>(OH_prices!J195+$D$2)*IF($M$2="Prices in $/MWh",1,1/1000)</f>
        <v>61.44</v>
      </c>
      <c r="K207" s="80">
        <f>(OH_prices!K195+$D$2)*IF($M$2="Prices in $/MWh",1,1/1000)</f>
        <v>61.76</v>
      </c>
      <c r="L207" s="79">
        <f>(OH_prices!L195+$D$2)*IF($M$2="Prices in $/MWh",1,1/1000)</f>
        <v>23.4</v>
      </c>
      <c r="M207" s="80">
        <f>(OH_prices!M195+$D$2)*IF($M$2="Prices in $/MWh",1,1/1000)</f>
        <v>24.21</v>
      </c>
      <c r="N207" s="79">
        <f>(OH_prices!N195+$D$2)*IF($M$2="Prices in $/MWh",1,1/1000)</f>
        <v>24.56</v>
      </c>
      <c r="O207" s="61"/>
    </row>
    <row r="208" spans="2:15" x14ac:dyDescent="0.25">
      <c r="B208" s="57"/>
      <c r="C208" s="82" t="str">
        <f>OH_prices!C196</f>
        <v>June-2016</v>
      </c>
      <c r="D208" s="83" t="str">
        <f>OH_prices!D196</f>
        <v>OH</v>
      </c>
      <c r="E208" s="84" t="str">
        <f>OH_prices!E196</f>
        <v>FE OH</v>
      </c>
      <c r="F208" s="83" t="str">
        <f>OH_prices!F196</f>
        <v>GS</v>
      </c>
      <c r="G208" s="84" t="str">
        <f>OH_prices!G196</f>
        <v>General Service</v>
      </c>
      <c r="H208" s="85" t="str">
        <f t="shared" ref="H208" si="191">IF($M$2="Prices in $/MWh","500-2500 MWh","500,000-2,500,000 kWh")</f>
        <v>500-2500 MWh</v>
      </c>
      <c r="I208" s="84">
        <f>(OH_prices!I196+$D$2)*IF($M$2="Prices in $/MWh",1,1/1000)</f>
        <v>59.83</v>
      </c>
      <c r="J208" s="83">
        <f>(OH_prices!J196+$D$2)*IF($M$2="Prices in $/MWh",1,1/1000)</f>
        <v>60.39</v>
      </c>
      <c r="K208" s="84">
        <f>(OH_prices!K196+$D$2)*IF($M$2="Prices in $/MWh",1,1/1000)</f>
        <v>60.71</v>
      </c>
      <c r="L208" s="83">
        <f>(OH_prices!L196+$D$2)*IF($M$2="Prices in $/MWh",1,1/1000)</f>
        <v>22.35</v>
      </c>
      <c r="M208" s="84">
        <f>(OH_prices!M196+$D$2)*IF($M$2="Prices in $/MWh",1,1/1000)</f>
        <v>23.16</v>
      </c>
      <c r="N208" s="83">
        <f>(OH_prices!N196+$D$2)*IF($M$2="Prices in $/MWh",1,1/1000)</f>
        <v>23.51</v>
      </c>
      <c r="O208" s="61"/>
    </row>
    <row r="209" spans="2:15" x14ac:dyDescent="0.25">
      <c r="B209" s="57"/>
      <c r="C209" s="74" t="str">
        <f>OH_prices!C197</f>
        <v>July-2016</v>
      </c>
      <c r="D209" s="75" t="str">
        <f>OH_prices!D197</f>
        <v>OH</v>
      </c>
      <c r="E209" s="76" t="str">
        <f>OH_prices!E197</f>
        <v>FE OH</v>
      </c>
      <c r="F209" s="75" t="str">
        <f>OH_prices!F197</f>
        <v>GS</v>
      </c>
      <c r="G209" s="76" t="str">
        <f>OH_prices!G197</f>
        <v>General Service</v>
      </c>
      <c r="H209" s="77" t="str">
        <f t="shared" ref="H209" si="192">IF($M$2="Prices in $/MWh","0-100 MWh","0-100,000 kWh")</f>
        <v>0-100 MWh</v>
      </c>
      <c r="I209" s="76">
        <f>(OH_prices!I197+$D$2)*IF($M$2="Prices in $/MWh",1,1/1000)</f>
        <v>62.73</v>
      </c>
      <c r="J209" s="75">
        <f>(OH_prices!J197+$D$2)*IF($M$2="Prices in $/MWh",1,1/1000)</f>
        <v>62.94</v>
      </c>
      <c r="K209" s="76">
        <f>(OH_prices!K197+$D$2)*IF($M$2="Prices in $/MWh",1,1/1000)</f>
        <v>63.52</v>
      </c>
      <c r="L209" s="75">
        <f>(OH_prices!L197+$D$2)*IF($M$2="Prices in $/MWh",1,1/1000)</f>
        <v>25.2</v>
      </c>
      <c r="M209" s="76">
        <f>(OH_prices!M197+$D$2)*IF($M$2="Prices in $/MWh",1,1/1000)</f>
        <v>25.87</v>
      </c>
      <c r="N209" s="75">
        <f>(OH_prices!N197+$D$2)*IF($M$2="Prices in $/MWh",1,1/1000)</f>
        <v>26.33</v>
      </c>
      <c r="O209" s="61"/>
    </row>
    <row r="210" spans="2:15" x14ac:dyDescent="0.25">
      <c r="B210" s="57"/>
      <c r="C210" s="78" t="str">
        <f>OH_prices!C198</f>
        <v>July-2016</v>
      </c>
      <c r="D210" s="79" t="str">
        <f>OH_prices!D198</f>
        <v>OH</v>
      </c>
      <c r="E210" s="80" t="str">
        <f>OH_prices!E198</f>
        <v>FE OH</v>
      </c>
      <c r="F210" s="79" t="str">
        <f>OH_prices!F198</f>
        <v>GS</v>
      </c>
      <c r="G210" s="80" t="str">
        <f>OH_prices!G198</f>
        <v>General Service</v>
      </c>
      <c r="H210" s="81" t="str">
        <f t="shared" ref="H210" si="193">IF($M$2="Prices in $/MWh","100-500 MWh","100,000-500,000 kWh")</f>
        <v>100-500 MWh</v>
      </c>
      <c r="I210" s="80">
        <f>(OH_prices!I198+$D$2)*IF($M$2="Prices in $/MWh",1,1/1000)</f>
        <v>61.13</v>
      </c>
      <c r="J210" s="79">
        <f>(OH_prices!J198+$D$2)*IF($M$2="Prices in $/MWh",1,1/1000)</f>
        <v>61.34</v>
      </c>
      <c r="K210" s="80">
        <f>(OH_prices!K198+$D$2)*IF($M$2="Prices in $/MWh",1,1/1000)</f>
        <v>61.92</v>
      </c>
      <c r="L210" s="79">
        <f>(OH_prices!L198+$D$2)*IF($M$2="Prices in $/MWh",1,1/1000)</f>
        <v>23.6</v>
      </c>
      <c r="M210" s="80">
        <f>(OH_prices!M198+$D$2)*IF($M$2="Prices in $/MWh",1,1/1000)</f>
        <v>24.27</v>
      </c>
      <c r="N210" s="79">
        <f>(OH_prices!N198+$D$2)*IF($M$2="Prices in $/MWh",1,1/1000)</f>
        <v>24.73</v>
      </c>
      <c r="O210" s="61"/>
    </row>
    <row r="211" spans="2:15" x14ac:dyDescent="0.25">
      <c r="B211" s="57"/>
      <c r="C211" s="82" t="str">
        <f>OH_prices!C199</f>
        <v>July-2016</v>
      </c>
      <c r="D211" s="83" t="str">
        <f>OH_prices!D199</f>
        <v>OH</v>
      </c>
      <c r="E211" s="84" t="str">
        <f>OH_prices!E199</f>
        <v>FE OH</v>
      </c>
      <c r="F211" s="83" t="str">
        <f>OH_prices!F199</f>
        <v>GS</v>
      </c>
      <c r="G211" s="84" t="str">
        <f>OH_prices!G199</f>
        <v>General Service</v>
      </c>
      <c r="H211" s="85" t="str">
        <f t="shared" ref="H211" si="194">IF($M$2="Prices in $/MWh","500-2500 MWh","500,000-2,500,000 kWh")</f>
        <v>500-2500 MWh</v>
      </c>
      <c r="I211" s="84">
        <f>(OH_prices!I199+$D$2)*IF($M$2="Prices in $/MWh",1,1/1000)</f>
        <v>60.08</v>
      </c>
      <c r="J211" s="83">
        <f>(OH_prices!J199+$D$2)*IF($M$2="Prices in $/MWh",1,1/1000)</f>
        <v>60.29</v>
      </c>
      <c r="K211" s="84">
        <f>(OH_prices!K199+$D$2)*IF($M$2="Prices in $/MWh",1,1/1000)</f>
        <v>60.87</v>
      </c>
      <c r="L211" s="83">
        <f>(OH_prices!L199+$D$2)*IF($M$2="Prices in $/MWh",1,1/1000)</f>
        <v>22.55</v>
      </c>
      <c r="M211" s="84">
        <f>(OH_prices!M199+$D$2)*IF($M$2="Prices in $/MWh",1,1/1000)</f>
        <v>23.22</v>
      </c>
      <c r="N211" s="83">
        <f>(OH_prices!N199+$D$2)*IF($M$2="Prices in $/MWh",1,1/1000)</f>
        <v>23.68</v>
      </c>
      <c r="O211" s="61"/>
    </row>
    <row r="212" spans="2:15" x14ac:dyDescent="0.25">
      <c r="B212" s="57"/>
      <c r="C212" s="74" t="str">
        <f>OH_prices!C200</f>
        <v>August-2016</v>
      </c>
      <c r="D212" s="75" t="str">
        <f>OH_prices!D200</f>
        <v>OH</v>
      </c>
      <c r="E212" s="76" t="str">
        <f>OH_prices!E200</f>
        <v>FE OH</v>
      </c>
      <c r="F212" s="75" t="str">
        <f>OH_prices!F200</f>
        <v>GS</v>
      </c>
      <c r="G212" s="76" t="str">
        <f>OH_prices!G200</f>
        <v>General Service</v>
      </c>
      <c r="H212" s="77" t="str">
        <f t="shared" ref="H212" si="195">IF($M$2="Prices in $/MWh","0-100 MWh","0-100,000 kWh")</f>
        <v>0-100 MWh</v>
      </c>
      <c r="I212" s="76">
        <f>(OH_prices!I200+$D$2)*IF($M$2="Prices in $/MWh",1,1/1000)</f>
        <v>62.87</v>
      </c>
      <c r="J212" s="75">
        <f>(OH_prices!J200+$D$2)*IF($M$2="Prices in $/MWh",1,1/1000)</f>
        <v>62.83</v>
      </c>
      <c r="K212" s="76">
        <f>(OH_prices!K200+$D$2)*IF($M$2="Prices in $/MWh",1,1/1000)</f>
        <v>63.7</v>
      </c>
      <c r="L212" s="75">
        <f>(OH_prices!L200+$D$2)*IF($M$2="Prices in $/MWh",1,1/1000)</f>
        <v>25.38</v>
      </c>
      <c r="M212" s="76">
        <f>(OH_prices!M200+$D$2)*IF($M$2="Prices in $/MWh",1,1/1000)</f>
        <v>25.87</v>
      </c>
      <c r="N212" s="75">
        <f>(OH_prices!N200+$D$2)*IF($M$2="Prices in $/MWh",1,1/1000)</f>
        <v>26.5</v>
      </c>
      <c r="O212" s="61"/>
    </row>
    <row r="213" spans="2:15" x14ac:dyDescent="0.25">
      <c r="B213" s="57"/>
      <c r="C213" s="78" t="str">
        <f>OH_prices!C201</f>
        <v>August-2016</v>
      </c>
      <c r="D213" s="79" t="str">
        <f>OH_prices!D201</f>
        <v>OH</v>
      </c>
      <c r="E213" s="80" t="str">
        <f>OH_prices!E201</f>
        <v>FE OH</v>
      </c>
      <c r="F213" s="79" t="str">
        <f>OH_prices!F201</f>
        <v>GS</v>
      </c>
      <c r="G213" s="80" t="str">
        <f>OH_prices!G201</f>
        <v>General Service</v>
      </c>
      <c r="H213" s="81" t="str">
        <f t="shared" ref="H213" si="196">IF($M$2="Prices in $/MWh","100-500 MWh","100,000-500,000 kWh")</f>
        <v>100-500 MWh</v>
      </c>
      <c r="I213" s="80">
        <f>(OH_prices!I201+$D$2)*IF($M$2="Prices in $/MWh",1,1/1000)</f>
        <v>61.27</v>
      </c>
      <c r="J213" s="79">
        <f>(OH_prices!J201+$D$2)*IF($M$2="Prices in $/MWh",1,1/1000)</f>
        <v>61.23</v>
      </c>
      <c r="K213" s="80">
        <f>(OH_prices!K201+$D$2)*IF($M$2="Prices in $/MWh",1,1/1000)</f>
        <v>62.1</v>
      </c>
      <c r="L213" s="79">
        <f>(OH_prices!L201+$D$2)*IF($M$2="Prices in $/MWh",1,1/1000)</f>
        <v>23.78</v>
      </c>
      <c r="M213" s="80">
        <f>(OH_prices!M201+$D$2)*IF($M$2="Prices in $/MWh",1,1/1000)</f>
        <v>24.27</v>
      </c>
      <c r="N213" s="79">
        <f>(OH_prices!N201+$D$2)*IF($M$2="Prices in $/MWh",1,1/1000)</f>
        <v>24.9</v>
      </c>
      <c r="O213" s="61"/>
    </row>
    <row r="214" spans="2:15" x14ac:dyDescent="0.25">
      <c r="B214" s="57"/>
      <c r="C214" s="82" t="str">
        <f>OH_prices!C202</f>
        <v>August-2016</v>
      </c>
      <c r="D214" s="83" t="str">
        <f>OH_prices!D202</f>
        <v>OH</v>
      </c>
      <c r="E214" s="84" t="str">
        <f>OH_prices!E202</f>
        <v>FE OH</v>
      </c>
      <c r="F214" s="83" t="str">
        <f>OH_prices!F202</f>
        <v>GS</v>
      </c>
      <c r="G214" s="84" t="str">
        <f>OH_prices!G202</f>
        <v>General Service</v>
      </c>
      <c r="H214" s="85" t="str">
        <f t="shared" ref="H214" si="197">IF($M$2="Prices in $/MWh","500-2500 MWh","500,000-2,500,000 kWh")</f>
        <v>500-2500 MWh</v>
      </c>
      <c r="I214" s="84">
        <f>(OH_prices!I202+$D$2)*IF($M$2="Prices in $/MWh",1,1/1000)</f>
        <v>60.22</v>
      </c>
      <c r="J214" s="83">
        <f>(OH_prices!J202+$D$2)*IF($M$2="Prices in $/MWh",1,1/1000)</f>
        <v>60.18</v>
      </c>
      <c r="K214" s="84">
        <f>(OH_prices!K202+$D$2)*IF($M$2="Prices in $/MWh",1,1/1000)</f>
        <v>61.05</v>
      </c>
      <c r="L214" s="83">
        <f>(OH_prices!L202+$D$2)*IF($M$2="Prices in $/MWh",1,1/1000)</f>
        <v>22.73</v>
      </c>
      <c r="M214" s="84">
        <f>(OH_prices!M202+$D$2)*IF($M$2="Prices in $/MWh",1,1/1000)</f>
        <v>23.22</v>
      </c>
      <c r="N214" s="83">
        <f>(OH_prices!N202+$D$2)*IF($M$2="Prices in $/MWh",1,1/1000)</f>
        <v>23.85</v>
      </c>
      <c r="O214" s="61"/>
    </row>
    <row r="215" spans="2:15" x14ac:dyDescent="0.25">
      <c r="B215" s="57"/>
      <c r="C215" s="74" t="str">
        <f>OH_prices!C203</f>
        <v>September-2016</v>
      </c>
      <c r="D215" s="75" t="str">
        <f>OH_prices!D203</f>
        <v>OH</v>
      </c>
      <c r="E215" s="76" t="str">
        <f>OH_prices!E203</f>
        <v>FE OH</v>
      </c>
      <c r="F215" s="75" t="str">
        <f>OH_prices!F203</f>
        <v>GS</v>
      </c>
      <c r="G215" s="76" t="str">
        <f>OH_prices!G203</f>
        <v>General Service</v>
      </c>
      <c r="H215" s="77" t="str">
        <f t="shared" ref="H215" si="198">IF($M$2="Prices in $/MWh","0-100 MWh","0-100,000 kWh")</f>
        <v>0-100 MWh</v>
      </c>
      <c r="I215" s="76">
        <f>(OH_prices!I203+$D$2)*IF($M$2="Prices in $/MWh",1,1/1000)</f>
        <v>62.98</v>
      </c>
      <c r="J215" s="75">
        <f>(OH_prices!J203+$D$2)*IF($M$2="Prices in $/MWh",1,1/1000)</f>
        <v>62.87</v>
      </c>
      <c r="K215" s="76">
        <f>(OH_prices!K203+$D$2)*IF($M$2="Prices in $/MWh",1,1/1000)</f>
        <v>63.82</v>
      </c>
      <c r="L215" s="75">
        <f>(OH_prices!L203+$D$2)*IF($M$2="Prices in $/MWh",1,1/1000)</f>
        <v>25.57</v>
      </c>
      <c r="M215" s="76">
        <f>(OH_prices!M203+$D$2)*IF($M$2="Prices in $/MWh",1,1/1000)</f>
        <v>25.96</v>
      </c>
      <c r="N215" s="75">
        <f>(OH_prices!N203+$D$2)*IF($M$2="Prices in $/MWh",1,1/1000)</f>
        <v>26.66</v>
      </c>
      <c r="O215" s="61"/>
    </row>
    <row r="216" spans="2:15" x14ac:dyDescent="0.25">
      <c r="B216" s="57"/>
      <c r="C216" s="78" t="str">
        <f>OH_prices!C204</f>
        <v>September-2016</v>
      </c>
      <c r="D216" s="79" t="str">
        <f>OH_prices!D204</f>
        <v>OH</v>
      </c>
      <c r="E216" s="80" t="str">
        <f>OH_prices!E204</f>
        <v>FE OH</v>
      </c>
      <c r="F216" s="79" t="str">
        <f>OH_prices!F204</f>
        <v>GS</v>
      </c>
      <c r="G216" s="80" t="str">
        <f>OH_prices!G204</f>
        <v>General Service</v>
      </c>
      <c r="H216" s="81" t="str">
        <f t="shared" ref="H216" si="199">IF($M$2="Prices in $/MWh","100-500 MWh","100,000-500,000 kWh")</f>
        <v>100-500 MWh</v>
      </c>
      <c r="I216" s="80">
        <f>(OH_prices!I204+$D$2)*IF($M$2="Prices in $/MWh",1,1/1000)</f>
        <v>61.38</v>
      </c>
      <c r="J216" s="79">
        <f>(OH_prices!J204+$D$2)*IF($M$2="Prices in $/MWh",1,1/1000)</f>
        <v>61.27</v>
      </c>
      <c r="K216" s="80">
        <f>(OH_prices!K204+$D$2)*IF($M$2="Prices in $/MWh",1,1/1000)</f>
        <v>62.22</v>
      </c>
      <c r="L216" s="79">
        <f>(OH_prices!L204+$D$2)*IF($M$2="Prices in $/MWh",1,1/1000)</f>
        <v>23.97</v>
      </c>
      <c r="M216" s="80">
        <f>(OH_prices!M204+$D$2)*IF($M$2="Prices in $/MWh",1,1/1000)</f>
        <v>24.36</v>
      </c>
      <c r="N216" s="79">
        <f>(OH_prices!N204+$D$2)*IF($M$2="Prices in $/MWh",1,1/1000)</f>
        <v>25.06</v>
      </c>
      <c r="O216" s="61"/>
    </row>
    <row r="217" spans="2:15" x14ac:dyDescent="0.25">
      <c r="B217" s="57"/>
      <c r="C217" s="82" t="str">
        <f>OH_prices!C205</f>
        <v>September-2016</v>
      </c>
      <c r="D217" s="83" t="str">
        <f>OH_prices!D205</f>
        <v>OH</v>
      </c>
      <c r="E217" s="84" t="str">
        <f>OH_prices!E205</f>
        <v>FE OH</v>
      </c>
      <c r="F217" s="83" t="str">
        <f>OH_prices!F205</f>
        <v>GS</v>
      </c>
      <c r="G217" s="84" t="str">
        <f>OH_prices!G205</f>
        <v>General Service</v>
      </c>
      <c r="H217" s="85" t="str">
        <f t="shared" ref="H217" si="200">IF($M$2="Prices in $/MWh","500-2500 MWh","500,000-2,500,000 kWh")</f>
        <v>500-2500 MWh</v>
      </c>
      <c r="I217" s="84">
        <f>(OH_prices!I205+$D$2)*IF($M$2="Prices in $/MWh",1,1/1000)</f>
        <v>60.33</v>
      </c>
      <c r="J217" s="83">
        <f>(OH_prices!J205+$D$2)*IF($M$2="Prices in $/MWh",1,1/1000)</f>
        <v>60.22</v>
      </c>
      <c r="K217" s="84">
        <f>(OH_prices!K205+$D$2)*IF($M$2="Prices in $/MWh",1,1/1000)</f>
        <v>61.17</v>
      </c>
      <c r="L217" s="83">
        <f>(OH_prices!L205+$D$2)*IF($M$2="Prices in $/MWh",1,1/1000)</f>
        <v>22.92</v>
      </c>
      <c r="M217" s="84">
        <f>(OH_prices!M205+$D$2)*IF($M$2="Prices in $/MWh",1,1/1000)</f>
        <v>23.31</v>
      </c>
      <c r="N217" s="83">
        <f>(OH_prices!N205+$D$2)*IF($M$2="Prices in $/MWh",1,1/1000)</f>
        <v>24.01</v>
      </c>
      <c r="O217" s="61"/>
    </row>
    <row r="218" spans="2:15" x14ac:dyDescent="0.25">
      <c r="B218" s="57"/>
      <c r="C218" s="74" t="str">
        <f>OH_prices!C206</f>
        <v>October-2016</v>
      </c>
      <c r="D218" s="75" t="str">
        <f>OH_prices!D206</f>
        <v>OH</v>
      </c>
      <c r="E218" s="76" t="str">
        <f>OH_prices!E206</f>
        <v>FE OH</v>
      </c>
      <c r="F218" s="75" t="str">
        <f>OH_prices!F206</f>
        <v>GS</v>
      </c>
      <c r="G218" s="76" t="str">
        <f>OH_prices!G206</f>
        <v>General Service</v>
      </c>
      <c r="H218" s="77" t="str">
        <f t="shared" ref="H218" si="201">IF($M$2="Prices in $/MWh","0-100 MWh","0-100,000 kWh")</f>
        <v>0-100 MWh</v>
      </c>
      <c r="I218" s="76">
        <f>(OH_prices!I206+$D$2)*IF($M$2="Prices in $/MWh",1,1/1000)</f>
        <v>63.13</v>
      </c>
      <c r="J218" s="75">
        <f>(OH_prices!J206+$D$2)*IF($M$2="Prices in $/MWh",1,1/1000)</f>
        <v>63.16</v>
      </c>
      <c r="K218" s="76">
        <f>(OH_prices!K206+$D$2)*IF($M$2="Prices in $/MWh",1,1/1000)</f>
        <v>63.92</v>
      </c>
      <c r="L218" s="75">
        <f>(OH_prices!L206+$D$2)*IF($M$2="Prices in $/MWh",1,1/1000)</f>
        <v>25.76</v>
      </c>
      <c r="M218" s="76">
        <f>(OH_prices!M206+$D$2)*IF($M$2="Prices in $/MWh",1,1/1000)</f>
        <v>26.06</v>
      </c>
      <c r="N218" s="75">
        <f>(OH_prices!N206+$D$2)*IF($M$2="Prices in $/MWh",1,1/1000)</f>
        <v>26.83</v>
      </c>
      <c r="O218" s="61"/>
    </row>
    <row r="219" spans="2:15" x14ac:dyDescent="0.25">
      <c r="B219" s="57"/>
      <c r="C219" s="78" t="str">
        <f>OH_prices!C207</f>
        <v>October-2016</v>
      </c>
      <c r="D219" s="79" t="str">
        <f>OH_prices!D207</f>
        <v>OH</v>
      </c>
      <c r="E219" s="80" t="str">
        <f>OH_prices!E207</f>
        <v>FE OH</v>
      </c>
      <c r="F219" s="79" t="str">
        <f>OH_prices!F207</f>
        <v>GS</v>
      </c>
      <c r="G219" s="80" t="str">
        <f>OH_prices!G207</f>
        <v>General Service</v>
      </c>
      <c r="H219" s="81" t="str">
        <f t="shared" ref="H219" si="202">IF($M$2="Prices in $/MWh","100-500 MWh","100,000-500,000 kWh")</f>
        <v>100-500 MWh</v>
      </c>
      <c r="I219" s="80">
        <f>(OH_prices!I207+$D$2)*IF($M$2="Prices in $/MWh",1,1/1000)</f>
        <v>61.53</v>
      </c>
      <c r="J219" s="79">
        <f>(OH_prices!J207+$D$2)*IF($M$2="Prices in $/MWh",1,1/1000)</f>
        <v>61.56</v>
      </c>
      <c r="K219" s="80">
        <f>(OH_prices!K207+$D$2)*IF($M$2="Prices in $/MWh",1,1/1000)</f>
        <v>62.32</v>
      </c>
      <c r="L219" s="79">
        <f>(OH_prices!L207+$D$2)*IF($M$2="Prices in $/MWh",1,1/1000)</f>
        <v>24.16</v>
      </c>
      <c r="M219" s="80">
        <f>(OH_prices!M207+$D$2)*IF($M$2="Prices in $/MWh",1,1/1000)</f>
        <v>24.46</v>
      </c>
      <c r="N219" s="79">
        <f>(OH_prices!N207+$D$2)*IF($M$2="Prices in $/MWh",1,1/1000)</f>
        <v>25.23</v>
      </c>
      <c r="O219" s="61"/>
    </row>
    <row r="220" spans="2:15" x14ac:dyDescent="0.25">
      <c r="B220" s="57"/>
      <c r="C220" s="82" t="str">
        <f>OH_prices!C208</f>
        <v>October-2016</v>
      </c>
      <c r="D220" s="83" t="str">
        <f>OH_prices!D208</f>
        <v>OH</v>
      </c>
      <c r="E220" s="84" t="str">
        <f>OH_prices!E208</f>
        <v>FE OH</v>
      </c>
      <c r="F220" s="83" t="str">
        <f>OH_prices!F208</f>
        <v>GS</v>
      </c>
      <c r="G220" s="84" t="str">
        <f>OH_prices!G208</f>
        <v>General Service</v>
      </c>
      <c r="H220" s="85" t="str">
        <f t="shared" ref="H220" si="203">IF($M$2="Prices in $/MWh","500-2500 MWh","500,000-2,500,000 kWh")</f>
        <v>500-2500 MWh</v>
      </c>
      <c r="I220" s="84">
        <f>(OH_prices!I208+$D$2)*IF($M$2="Prices in $/MWh",1,1/1000)</f>
        <v>60.48</v>
      </c>
      <c r="J220" s="83">
        <f>(OH_prices!J208+$D$2)*IF($M$2="Prices in $/MWh",1,1/1000)</f>
        <v>60.51</v>
      </c>
      <c r="K220" s="84">
        <f>(OH_prices!K208+$D$2)*IF($M$2="Prices in $/MWh",1,1/1000)</f>
        <v>61.27</v>
      </c>
      <c r="L220" s="83">
        <f>(OH_prices!L208+$D$2)*IF($M$2="Prices in $/MWh",1,1/1000)</f>
        <v>23.11</v>
      </c>
      <c r="M220" s="84">
        <f>(OH_prices!M208+$D$2)*IF($M$2="Prices in $/MWh",1,1/1000)</f>
        <v>23.41</v>
      </c>
      <c r="N220" s="83">
        <f>(OH_prices!N208+$D$2)*IF($M$2="Prices in $/MWh",1,1/1000)</f>
        <v>24.18</v>
      </c>
      <c r="O220" s="61"/>
    </row>
    <row r="221" spans="2:15" x14ac:dyDescent="0.25">
      <c r="B221" s="57"/>
      <c r="C221" s="74" t="str">
        <f>OH_prices!C209</f>
        <v>November-2016</v>
      </c>
      <c r="D221" s="75" t="str">
        <f>OH_prices!D209</f>
        <v>OH</v>
      </c>
      <c r="E221" s="76" t="str">
        <f>OH_prices!E209</f>
        <v>FE OH</v>
      </c>
      <c r="F221" s="75" t="str">
        <f>OH_prices!F209</f>
        <v>GS</v>
      </c>
      <c r="G221" s="76" t="str">
        <f>OH_prices!G209</f>
        <v>General Service</v>
      </c>
      <c r="H221" s="77" t="str">
        <f t="shared" ref="H221" si="204">IF($M$2="Prices in $/MWh","0-100 MWh","0-100,000 kWh")</f>
        <v>0-100 MWh</v>
      </c>
      <c r="I221" s="76">
        <f>(OH_prices!I209+$D$2)*IF($M$2="Prices in $/MWh",1,1/1000)</f>
        <v>63.3</v>
      </c>
      <c r="J221" s="75">
        <f>(OH_prices!J209+$D$2)*IF($M$2="Prices in $/MWh",1,1/1000)</f>
        <v>63.44</v>
      </c>
      <c r="K221" s="76">
        <f>(OH_prices!K209+$D$2)*IF($M$2="Prices in $/MWh",1,1/1000)</f>
        <v>64.05</v>
      </c>
      <c r="L221" s="75">
        <f>(OH_prices!L209+$D$2)*IF($M$2="Prices in $/MWh",1,1/1000)</f>
        <v>25.94</v>
      </c>
      <c r="M221" s="76">
        <f>(OH_prices!M209+$D$2)*IF($M$2="Prices in $/MWh",1,1/1000)</f>
        <v>26.28</v>
      </c>
      <c r="N221" s="75">
        <f>(OH_prices!N209+$D$2)*IF($M$2="Prices in $/MWh",1,1/1000)</f>
        <v>26.99</v>
      </c>
      <c r="O221" s="61"/>
    </row>
    <row r="222" spans="2:15" x14ac:dyDescent="0.25">
      <c r="B222" s="57"/>
      <c r="C222" s="78" t="str">
        <f>OH_prices!C210</f>
        <v>November-2016</v>
      </c>
      <c r="D222" s="79" t="str">
        <f>OH_prices!D210</f>
        <v>OH</v>
      </c>
      <c r="E222" s="80" t="str">
        <f>OH_prices!E210</f>
        <v>FE OH</v>
      </c>
      <c r="F222" s="79" t="str">
        <f>OH_prices!F210</f>
        <v>GS</v>
      </c>
      <c r="G222" s="80" t="str">
        <f>OH_prices!G210</f>
        <v>General Service</v>
      </c>
      <c r="H222" s="81" t="str">
        <f t="shared" ref="H222" si="205">IF($M$2="Prices in $/MWh","100-500 MWh","100,000-500,000 kWh")</f>
        <v>100-500 MWh</v>
      </c>
      <c r="I222" s="80">
        <f>(OH_prices!I210+$D$2)*IF($M$2="Prices in $/MWh",1,1/1000)</f>
        <v>61.7</v>
      </c>
      <c r="J222" s="79">
        <f>(OH_prices!J210+$D$2)*IF($M$2="Prices in $/MWh",1,1/1000)</f>
        <v>61.84</v>
      </c>
      <c r="K222" s="80">
        <f>(OH_prices!K210+$D$2)*IF($M$2="Prices in $/MWh",1,1/1000)</f>
        <v>62.45</v>
      </c>
      <c r="L222" s="79">
        <f>(OH_prices!L210+$D$2)*IF($M$2="Prices in $/MWh",1,1/1000)</f>
        <v>24.34</v>
      </c>
      <c r="M222" s="80">
        <f>(OH_prices!M210+$D$2)*IF($M$2="Prices in $/MWh",1,1/1000)</f>
        <v>24.68</v>
      </c>
      <c r="N222" s="79">
        <f>(OH_prices!N210+$D$2)*IF($M$2="Prices in $/MWh",1,1/1000)</f>
        <v>25.39</v>
      </c>
      <c r="O222" s="61"/>
    </row>
    <row r="223" spans="2:15" x14ac:dyDescent="0.25">
      <c r="B223" s="57"/>
      <c r="C223" s="82" t="str">
        <f>OH_prices!C211</f>
        <v>November-2016</v>
      </c>
      <c r="D223" s="83" t="str">
        <f>OH_prices!D211</f>
        <v>OH</v>
      </c>
      <c r="E223" s="84" t="str">
        <f>OH_prices!E211</f>
        <v>FE OH</v>
      </c>
      <c r="F223" s="83" t="str">
        <f>OH_prices!F211</f>
        <v>GS</v>
      </c>
      <c r="G223" s="84" t="str">
        <f>OH_prices!G211</f>
        <v>General Service</v>
      </c>
      <c r="H223" s="85" t="str">
        <f t="shared" ref="H223" si="206">IF($M$2="Prices in $/MWh","500-2500 MWh","500,000-2,500,000 kWh")</f>
        <v>500-2500 MWh</v>
      </c>
      <c r="I223" s="84">
        <f>(OH_prices!I211+$D$2)*IF($M$2="Prices in $/MWh",1,1/1000)</f>
        <v>60.65</v>
      </c>
      <c r="J223" s="83">
        <f>(OH_prices!J211+$D$2)*IF($M$2="Prices in $/MWh",1,1/1000)</f>
        <v>60.79</v>
      </c>
      <c r="K223" s="84">
        <f>(OH_prices!K211+$D$2)*IF($M$2="Prices in $/MWh",1,1/1000)</f>
        <v>61.4</v>
      </c>
      <c r="L223" s="83">
        <f>(OH_prices!L211+$D$2)*IF($M$2="Prices in $/MWh",1,1/1000)</f>
        <v>23.29</v>
      </c>
      <c r="M223" s="84">
        <f>(OH_prices!M211+$D$2)*IF($M$2="Prices in $/MWh",1,1/1000)</f>
        <v>23.63</v>
      </c>
      <c r="N223" s="83">
        <f>(OH_prices!N211+$D$2)*IF($M$2="Prices in $/MWh",1,1/1000)</f>
        <v>24.34</v>
      </c>
      <c r="O223" s="61"/>
    </row>
    <row r="224" spans="2:15" x14ac:dyDescent="0.25">
      <c r="B224" s="57"/>
      <c r="C224" s="74" t="str">
        <f>OH_prices!C212</f>
        <v>December-2016</v>
      </c>
      <c r="D224" s="75" t="str">
        <f>OH_prices!D212</f>
        <v>OH</v>
      </c>
      <c r="E224" s="76" t="str">
        <f>OH_prices!E212</f>
        <v>FE OH</v>
      </c>
      <c r="F224" s="75" t="str">
        <f>OH_prices!F212</f>
        <v>GS</v>
      </c>
      <c r="G224" s="76" t="str">
        <f>OH_prices!G212</f>
        <v>General Service</v>
      </c>
      <c r="H224" s="77" t="str">
        <f t="shared" ref="H224" si="207">IF($M$2="Prices in $/MWh","0-100 MWh","0-100,000 kWh")</f>
        <v>0-100 MWh</v>
      </c>
      <c r="I224" s="76">
        <f>(OH_prices!I212+$D$2)*IF($M$2="Prices in $/MWh",1,1/1000)</f>
        <v>63.47</v>
      </c>
      <c r="J224" s="75">
        <f>(OH_prices!J212+$D$2)*IF($M$2="Prices in $/MWh",1,1/1000)</f>
        <v>63.75</v>
      </c>
      <c r="K224" s="76">
        <f>(OH_prices!K212+$D$2)*IF($M$2="Prices in $/MWh",1,1/1000)</f>
        <v>64.19</v>
      </c>
      <c r="L224" s="75">
        <f>(OH_prices!L212+$D$2)*IF($M$2="Prices in $/MWh",1,1/1000)</f>
        <v>26.18</v>
      </c>
      <c r="M224" s="76">
        <f>(OH_prices!M212+$D$2)*IF($M$2="Prices in $/MWh",1,1/1000)</f>
        <v>26.51</v>
      </c>
      <c r="N224" s="75">
        <f>(OH_prices!N212+$D$2)*IF($M$2="Prices in $/MWh",1,1/1000)</f>
        <v>27.18</v>
      </c>
      <c r="O224" s="61"/>
    </row>
    <row r="225" spans="2:15" x14ac:dyDescent="0.25">
      <c r="B225" s="57"/>
      <c r="C225" s="78" t="str">
        <f>OH_prices!C213</f>
        <v>December-2016</v>
      </c>
      <c r="D225" s="79" t="str">
        <f>OH_prices!D213</f>
        <v>OH</v>
      </c>
      <c r="E225" s="80" t="str">
        <f>OH_prices!E213</f>
        <v>FE OH</v>
      </c>
      <c r="F225" s="79" t="str">
        <f>OH_prices!F213</f>
        <v>GS</v>
      </c>
      <c r="G225" s="80" t="str">
        <f>OH_prices!G213</f>
        <v>General Service</v>
      </c>
      <c r="H225" s="81" t="str">
        <f t="shared" ref="H225" si="208">IF($M$2="Prices in $/MWh","100-500 MWh","100,000-500,000 kWh")</f>
        <v>100-500 MWh</v>
      </c>
      <c r="I225" s="80">
        <f>(OH_prices!I213+$D$2)*IF($M$2="Prices in $/MWh",1,1/1000)</f>
        <v>61.87</v>
      </c>
      <c r="J225" s="79">
        <f>(OH_prices!J213+$D$2)*IF($M$2="Prices in $/MWh",1,1/1000)</f>
        <v>62.15</v>
      </c>
      <c r="K225" s="80">
        <f>(OH_prices!K213+$D$2)*IF($M$2="Prices in $/MWh",1,1/1000)</f>
        <v>62.59</v>
      </c>
      <c r="L225" s="79">
        <f>(OH_prices!L213+$D$2)*IF($M$2="Prices in $/MWh",1,1/1000)</f>
        <v>24.58</v>
      </c>
      <c r="M225" s="80">
        <f>(OH_prices!M213+$D$2)*IF($M$2="Prices in $/MWh",1,1/1000)</f>
        <v>24.91</v>
      </c>
      <c r="N225" s="79">
        <f>(OH_prices!N213+$D$2)*IF($M$2="Prices in $/MWh",1,1/1000)</f>
        <v>25.58</v>
      </c>
      <c r="O225" s="61"/>
    </row>
    <row r="226" spans="2:15" x14ac:dyDescent="0.25">
      <c r="B226" s="57"/>
      <c r="C226" s="82" t="str">
        <f>OH_prices!C214</f>
        <v>December-2016</v>
      </c>
      <c r="D226" s="83" t="str">
        <f>OH_prices!D214</f>
        <v>OH</v>
      </c>
      <c r="E226" s="84" t="str">
        <f>OH_prices!E214</f>
        <v>FE OH</v>
      </c>
      <c r="F226" s="83" t="str">
        <f>OH_prices!F214</f>
        <v>GS</v>
      </c>
      <c r="G226" s="84" t="str">
        <f>OH_prices!G214</f>
        <v>General Service</v>
      </c>
      <c r="H226" s="85" t="str">
        <f t="shared" ref="H226" si="209">IF($M$2="Prices in $/MWh","500-2500 MWh","500,000-2,500,000 kWh")</f>
        <v>500-2500 MWh</v>
      </c>
      <c r="I226" s="84">
        <f>(OH_prices!I214+$D$2)*IF($M$2="Prices in $/MWh",1,1/1000)</f>
        <v>60.82</v>
      </c>
      <c r="J226" s="83">
        <f>(OH_prices!J214+$D$2)*IF($M$2="Prices in $/MWh",1,1/1000)</f>
        <v>61.1</v>
      </c>
      <c r="K226" s="84">
        <f>(OH_prices!K214+$D$2)*IF($M$2="Prices in $/MWh",1,1/1000)</f>
        <v>61.54</v>
      </c>
      <c r="L226" s="83">
        <f>(OH_prices!L214+$D$2)*IF($M$2="Prices in $/MWh",1,1/1000)</f>
        <v>23.53</v>
      </c>
      <c r="M226" s="84">
        <f>(OH_prices!M214+$D$2)*IF($M$2="Prices in $/MWh",1,1/1000)</f>
        <v>23.86</v>
      </c>
      <c r="N226" s="83">
        <f>(OH_prices!N214+$D$2)*IF($M$2="Prices in $/MWh",1,1/1000)</f>
        <v>24.53</v>
      </c>
      <c r="O226" s="61"/>
    </row>
    <row r="227" spans="2:15" x14ac:dyDescent="0.25">
      <c r="B227" s="57"/>
      <c r="C227" s="74" t="str">
        <f>OH_prices!C215</f>
        <v>January-2017</v>
      </c>
      <c r="D227" s="75" t="str">
        <f>OH_prices!D215</f>
        <v>OH</v>
      </c>
      <c r="E227" s="76" t="str">
        <f>OH_prices!E215</f>
        <v>FE OH</v>
      </c>
      <c r="F227" s="75" t="str">
        <f>OH_prices!F215</f>
        <v>GS</v>
      </c>
      <c r="G227" s="76" t="str">
        <f>OH_prices!G215</f>
        <v>General Service</v>
      </c>
      <c r="H227" s="77" t="str">
        <f t="shared" ref="H227" si="210">IF($M$2="Prices in $/MWh","0-100 MWh","0-100,000 kWh")</f>
        <v>0-100 MWh</v>
      </c>
      <c r="I227" s="76">
        <f>(OH_prices!I215+$D$2)*IF($M$2="Prices in $/MWh",1,1/1000)</f>
        <v>63.6</v>
      </c>
      <c r="J227" s="75">
        <f>(OH_prices!J215+$D$2)*IF($M$2="Prices in $/MWh",1,1/1000)</f>
        <v>64.14</v>
      </c>
      <c r="K227" s="76">
        <f>(OH_prices!K215+$D$2)*IF($M$2="Prices in $/MWh",1,1/1000)</f>
        <v>64.36</v>
      </c>
      <c r="L227" s="75">
        <f>(OH_prices!L215+$D$2)*IF($M$2="Prices in $/MWh",1,1/1000)</f>
        <v>26.39</v>
      </c>
      <c r="M227" s="76">
        <f>(OH_prices!M215+$D$2)*IF($M$2="Prices in $/MWh",1,1/1000)</f>
        <v>26.83</v>
      </c>
      <c r="N227" s="75">
        <f>(OH_prices!N215+$D$2)*IF($M$2="Prices in $/MWh",1,1/1000)</f>
        <v>27.37</v>
      </c>
      <c r="O227" s="61"/>
    </row>
    <row r="228" spans="2:15" x14ac:dyDescent="0.25">
      <c r="B228" s="57"/>
      <c r="C228" s="78" t="str">
        <f>OH_prices!C216</f>
        <v>January-2017</v>
      </c>
      <c r="D228" s="79" t="str">
        <f>OH_prices!D216</f>
        <v>OH</v>
      </c>
      <c r="E228" s="80" t="str">
        <f>OH_prices!E216</f>
        <v>FE OH</v>
      </c>
      <c r="F228" s="79" t="str">
        <f>OH_prices!F216</f>
        <v>GS</v>
      </c>
      <c r="G228" s="80" t="str">
        <f>OH_prices!G216</f>
        <v>General Service</v>
      </c>
      <c r="H228" s="81" t="str">
        <f t="shared" ref="H228" si="211">IF($M$2="Prices in $/MWh","100-500 MWh","100,000-500,000 kWh")</f>
        <v>100-500 MWh</v>
      </c>
      <c r="I228" s="80">
        <f>(OH_prices!I216+$D$2)*IF($M$2="Prices in $/MWh",1,1/1000)</f>
        <v>62</v>
      </c>
      <c r="J228" s="79">
        <f>(OH_prices!J216+$D$2)*IF($M$2="Prices in $/MWh",1,1/1000)</f>
        <v>62.54</v>
      </c>
      <c r="K228" s="80">
        <f>(OH_prices!K216+$D$2)*IF($M$2="Prices in $/MWh",1,1/1000)</f>
        <v>62.76</v>
      </c>
      <c r="L228" s="79">
        <f>(OH_prices!L216+$D$2)*IF($M$2="Prices in $/MWh",1,1/1000)</f>
        <v>24.79</v>
      </c>
      <c r="M228" s="80">
        <f>(OH_prices!M216+$D$2)*IF($M$2="Prices in $/MWh",1,1/1000)</f>
        <v>25.23</v>
      </c>
      <c r="N228" s="79">
        <f>(OH_prices!N216+$D$2)*IF($M$2="Prices in $/MWh",1,1/1000)</f>
        <v>25.77</v>
      </c>
      <c r="O228" s="61"/>
    </row>
    <row r="229" spans="2:15" ht="15.75" thickBot="1" x14ac:dyDescent="0.3">
      <c r="B229" s="57"/>
      <c r="C229" s="82" t="str">
        <f>OH_prices!C217</f>
        <v>January-2017</v>
      </c>
      <c r="D229" s="83" t="str">
        <f>OH_prices!D217</f>
        <v>OH</v>
      </c>
      <c r="E229" s="84" t="str">
        <f>OH_prices!E217</f>
        <v>FE OH</v>
      </c>
      <c r="F229" s="83" t="str">
        <f>OH_prices!F217</f>
        <v>GS</v>
      </c>
      <c r="G229" s="84" t="str">
        <f>OH_prices!G217</f>
        <v>General Service</v>
      </c>
      <c r="H229" s="85" t="str">
        <f t="shared" ref="H229" si="212">IF($M$2="Prices in $/MWh","500-2500 MWh","500,000-2,500,000 kWh")</f>
        <v>500-2500 MWh</v>
      </c>
      <c r="I229" s="84">
        <f>(OH_prices!I217+$D$2)*IF($M$2="Prices in $/MWh",1,1/1000)</f>
        <v>60.95</v>
      </c>
      <c r="J229" s="83">
        <f>(OH_prices!J217+$D$2)*IF($M$2="Prices in $/MWh",1,1/1000)</f>
        <v>61.49</v>
      </c>
      <c r="K229" s="84">
        <f>(OH_prices!K217+$D$2)*IF($M$2="Prices in $/MWh",1,1/1000)</f>
        <v>61.71</v>
      </c>
      <c r="L229" s="83">
        <f>(OH_prices!L217+$D$2)*IF($M$2="Prices in $/MWh",1,1/1000)</f>
        <v>23.74</v>
      </c>
      <c r="M229" s="84">
        <f>(OH_prices!M217+$D$2)*IF($M$2="Prices in $/MWh",1,1/1000)</f>
        <v>24.18</v>
      </c>
      <c r="N229" s="83">
        <f>(OH_prices!N217+$D$2)*IF($M$2="Prices in $/MWh",1,1/1000)</f>
        <v>24.72</v>
      </c>
      <c r="O229" s="61"/>
    </row>
    <row r="230" spans="2:15" s="2" customFormat="1" ht="7.5" customHeight="1" thickBot="1" x14ac:dyDescent="0.2">
      <c r="B230" s="5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7"/>
    </row>
    <row r="231" spans="2:15" s="2" customFormat="1" x14ac:dyDescent="0.25">
      <c r="B231" s="5"/>
      <c r="C231" s="109" t="s">
        <v>650</v>
      </c>
      <c r="D231" s="3"/>
      <c r="E231" s="3"/>
      <c r="F231" s="3"/>
      <c r="G231" s="3"/>
      <c r="H231" s="45"/>
      <c r="I231" s="45"/>
      <c r="J231" s="45"/>
      <c r="K231" s="45"/>
      <c r="L231" s="3"/>
      <c r="M231" s="3"/>
      <c r="N231" s="4"/>
      <c r="O231" s="7"/>
    </row>
    <row r="232" spans="2:15" s="2" customFormat="1" ht="12.75" x14ac:dyDescent="0.2">
      <c r="B232" s="5"/>
      <c r="C232" s="110" t="s">
        <v>651</v>
      </c>
      <c r="D232" s="6"/>
      <c r="E232" s="6"/>
      <c r="F232" s="6"/>
      <c r="G232" s="6"/>
      <c r="H232" s="46"/>
      <c r="I232" s="46"/>
      <c r="J232" s="46"/>
      <c r="K232" s="46"/>
      <c r="L232" s="6"/>
      <c r="M232" s="6"/>
      <c r="N232" s="7"/>
      <c r="O232" s="7"/>
    </row>
    <row r="233" spans="2:15" s="2" customFormat="1" ht="12.75" x14ac:dyDescent="0.2">
      <c r="B233" s="5"/>
      <c r="C233" s="110" t="s">
        <v>652</v>
      </c>
      <c r="D233" s="6"/>
      <c r="E233" s="6"/>
      <c r="F233" s="6"/>
      <c r="G233" s="6"/>
      <c r="H233" s="46"/>
      <c r="I233" s="46"/>
      <c r="J233" s="46"/>
      <c r="K233" s="46"/>
      <c r="L233" s="6"/>
      <c r="M233" s="6"/>
      <c r="N233" s="7"/>
      <c r="O233" s="7"/>
    </row>
    <row r="234" spans="2:15" s="2" customFormat="1" ht="12.75" x14ac:dyDescent="0.2">
      <c r="B234" s="5"/>
      <c r="C234" s="110" t="s">
        <v>653</v>
      </c>
      <c r="D234" s="6"/>
      <c r="E234" s="6"/>
      <c r="F234" s="6"/>
      <c r="G234" s="6"/>
      <c r="H234" s="46"/>
      <c r="I234" s="46"/>
      <c r="J234" s="46"/>
      <c r="K234" s="46"/>
      <c r="L234" s="6"/>
      <c r="M234" s="6"/>
      <c r="N234" s="7"/>
      <c r="O234" s="7"/>
    </row>
    <row r="235" spans="2:15" s="2" customFormat="1" ht="12.75" x14ac:dyDescent="0.2">
      <c r="B235" s="5"/>
      <c r="C235" s="110" t="s">
        <v>654</v>
      </c>
      <c r="D235" s="6"/>
      <c r="E235" s="6"/>
      <c r="F235" s="6"/>
      <c r="G235" s="6"/>
      <c r="H235" s="46"/>
      <c r="I235" s="46"/>
      <c r="J235" s="46"/>
      <c r="K235" s="46"/>
      <c r="L235" s="6"/>
      <c r="M235" s="6"/>
      <c r="N235" s="7"/>
      <c r="O235" s="7"/>
    </row>
    <row r="236" spans="2:15" s="2" customFormat="1" ht="12.75" x14ac:dyDescent="0.2">
      <c r="B236" s="5"/>
      <c r="C236" s="110" t="s">
        <v>655</v>
      </c>
      <c r="D236" s="6"/>
      <c r="E236" s="6"/>
      <c r="F236" s="6"/>
      <c r="G236" s="6"/>
      <c r="H236" s="46"/>
      <c r="I236" s="46"/>
      <c r="J236" s="46"/>
      <c r="K236" s="46"/>
      <c r="L236" s="6"/>
      <c r="M236" s="6"/>
      <c r="N236" s="7"/>
      <c r="O236" s="7"/>
    </row>
    <row r="237" spans="2:15" s="2" customFormat="1" ht="10.5" x14ac:dyDescent="0.15">
      <c r="B237" s="5"/>
      <c r="C237" s="5" t="s">
        <v>656</v>
      </c>
      <c r="D237" s="6"/>
      <c r="E237" s="6"/>
      <c r="F237" s="6"/>
      <c r="G237" s="6"/>
      <c r="H237" s="46"/>
      <c r="I237" s="46"/>
      <c r="J237" s="46"/>
      <c r="K237" s="46"/>
      <c r="L237" s="6"/>
      <c r="M237" s="6"/>
      <c r="N237" s="7"/>
      <c r="O237" s="7"/>
    </row>
    <row r="238" spans="2:15" s="2" customFormat="1" ht="11.25" thickBot="1" x14ac:dyDescent="0.2">
      <c r="B238" s="5"/>
      <c r="C238" s="5" t="s">
        <v>657</v>
      </c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7"/>
      <c r="O238" s="7"/>
    </row>
    <row r="239" spans="2:15" s="2" customFormat="1" ht="15.75" thickBot="1" x14ac:dyDescent="0.3">
      <c r="B239" s="5"/>
      <c r="C239" s="8" t="s">
        <v>17</v>
      </c>
      <c r="D239" s="9"/>
      <c r="E239" s="9"/>
      <c r="F239" s="9"/>
      <c r="G239" s="9"/>
      <c r="H239" s="9"/>
      <c r="I239" s="9"/>
      <c r="J239" s="9"/>
      <c r="K239" s="9"/>
      <c r="L239" s="9"/>
      <c r="M239" s="9"/>
      <c r="N239" s="10"/>
      <c r="O239" s="7"/>
    </row>
    <row r="240" spans="2:15" ht="15.75" thickBot="1" x14ac:dyDescent="0.3">
      <c r="B240" s="86"/>
      <c r="C240" s="87"/>
      <c r="D240" s="87"/>
      <c r="E240" s="87"/>
      <c r="F240" s="87"/>
      <c r="G240" s="87"/>
      <c r="H240" s="87"/>
      <c r="I240" s="87"/>
      <c r="J240" s="87"/>
      <c r="K240" s="87"/>
      <c r="L240" s="87"/>
      <c r="M240" s="87"/>
      <c r="N240" s="87"/>
      <c r="O240" s="88"/>
    </row>
  </sheetData>
  <sheetProtection autoFilter="0"/>
  <autoFilter ref="C13:H229"/>
  <mergeCells count="3">
    <mergeCell ref="C6:F7"/>
    <mergeCell ref="C8:C9"/>
    <mergeCell ref="M2:N2"/>
  </mergeCells>
  <dataValidations count="2">
    <dataValidation type="list" allowBlank="1" showInputMessage="1" showErrorMessage="1" sqref="L2:N2">
      <formula1>"Prices in $/MWh,Prices in $/kWh"</formula1>
    </dataValidation>
    <dataValidation type="decimal" allowBlank="1" showErrorMessage="1" errorTitle="Invalid Input" error="Please enter numerical value." promptTitle="Broker Fee" sqref="D2">
      <formula1>-99</formula1>
      <formula2>99</formula2>
    </dataValidation>
  </dataValidations>
  <printOptions horizontalCentered="1"/>
  <pageMargins left="0.5" right="0.45" top="0.5" bottom="0.5" header="0.3" footer="0.3"/>
  <pageSetup scale="67" fitToHeight="6" orientation="portrait" r:id="rId1"/>
  <headerFooter>
    <oddFooter>Page &amp;P of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0.39997558519241921"/>
    <pageSetUpPr fitToPage="1"/>
  </sheetPr>
  <dimension ref="B1:O60"/>
  <sheetViews>
    <sheetView showGridLines="0" tabSelected="1" zoomScale="70" zoomScaleNormal="70" workbookViewId="0">
      <pane ySplit="13" topLeftCell="A14" activePane="bottomLeft" state="frozen"/>
      <selection activeCell="A2" sqref="A2:F2"/>
      <selection pane="bottomLeft" activeCell="C8" sqref="C8:C9"/>
    </sheetView>
  </sheetViews>
  <sheetFormatPr defaultRowHeight="15" x14ac:dyDescent="0.25"/>
  <cols>
    <col min="1" max="1" width="3.83203125" style="49" customWidth="1"/>
    <col min="2" max="2" width="2.5" style="49" customWidth="1"/>
    <col min="3" max="3" width="25.33203125" style="49" customWidth="1"/>
    <col min="4" max="5" width="14.5" style="49" customWidth="1"/>
    <col min="6" max="6" width="38" style="49" customWidth="1"/>
    <col min="7" max="7" width="26.5" style="49" customWidth="1"/>
    <col min="8" max="8" width="20.33203125" style="49" customWidth="1"/>
    <col min="9" max="9" width="11.33203125" style="49" customWidth="1"/>
    <col min="10" max="10" width="12.33203125" style="49" customWidth="1"/>
    <col min="11" max="11" width="11.83203125" style="49" customWidth="1"/>
    <col min="12" max="13" width="11.5" style="49" customWidth="1"/>
    <col min="14" max="14" width="12.6640625" style="49" customWidth="1"/>
    <col min="15" max="15" width="2.5" style="49" customWidth="1"/>
    <col min="16" max="16" width="3.83203125" style="49" customWidth="1"/>
    <col min="17" max="16384" width="9.33203125" style="49"/>
  </cols>
  <sheetData>
    <row r="1" spans="2:15" ht="5.25" customHeight="1" x14ac:dyDescent="0.25"/>
    <row r="2" spans="2:15" s="50" customFormat="1" ht="18.75" x14ac:dyDescent="0.3">
      <c r="C2" s="51" t="s">
        <v>54</v>
      </c>
      <c r="D2" s="11">
        <v>0</v>
      </c>
      <c r="E2" s="52" t="s">
        <v>90</v>
      </c>
      <c r="M2" s="173" t="s">
        <v>1116</v>
      </c>
      <c r="N2" s="174"/>
      <c r="O2" s="52" t="s">
        <v>90</v>
      </c>
    </row>
    <row r="3" spans="2:15" ht="5.25" customHeight="1" thickBot="1" x14ac:dyDescent="0.3">
      <c r="B3" s="53"/>
    </row>
    <row r="4" spans="2:15" ht="5.25" customHeight="1" x14ac:dyDescent="0.25">
      <c r="B4" s="54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6"/>
    </row>
    <row r="5" spans="2:15" ht="26.25" x14ac:dyDescent="0.4">
      <c r="B5" s="57"/>
      <c r="C5" s="103"/>
      <c r="D5" s="103"/>
      <c r="E5" s="103"/>
      <c r="F5" s="103"/>
      <c r="G5" s="59"/>
      <c r="H5" s="59"/>
      <c r="I5" s="59"/>
      <c r="J5" s="59"/>
      <c r="K5" s="59"/>
      <c r="L5" s="59"/>
      <c r="M5" s="60"/>
      <c r="N5" s="60"/>
      <c r="O5" s="61"/>
    </row>
    <row r="6" spans="2:15" ht="11.25" customHeight="1" x14ac:dyDescent="0.25">
      <c r="B6" s="57"/>
      <c r="C6" s="169" t="s">
        <v>658</v>
      </c>
      <c r="D6" s="169"/>
      <c r="E6" s="169"/>
      <c r="F6" s="169"/>
      <c r="G6" s="59"/>
      <c r="H6" s="59"/>
      <c r="I6" s="59"/>
      <c r="J6" s="59"/>
      <c r="K6" s="59"/>
      <c r="L6" s="59"/>
      <c r="M6" s="60"/>
      <c r="N6" s="60"/>
      <c r="O6" s="61"/>
    </row>
    <row r="7" spans="2:15" ht="11.25" customHeight="1" x14ac:dyDescent="0.25">
      <c r="B7" s="57"/>
      <c r="C7" s="169"/>
      <c r="D7" s="169"/>
      <c r="E7" s="169"/>
      <c r="F7" s="169"/>
      <c r="G7" s="62"/>
      <c r="H7" s="62"/>
      <c r="I7" s="62"/>
      <c r="J7" s="62"/>
      <c r="K7" s="62"/>
      <c r="L7" s="62"/>
      <c r="M7" s="60"/>
      <c r="N7" s="60"/>
      <c r="O7" s="61"/>
    </row>
    <row r="8" spans="2:15" x14ac:dyDescent="0.25">
      <c r="B8" s="57"/>
      <c r="C8" s="172">
        <f>IL_prices!A2</f>
        <v>42374</v>
      </c>
      <c r="D8" s="60"/>
      <c r="E8" s="59"/>
      <c r="F8" s="62"/>
      <c r="G8" s="62"/>
      <c r="H8" s="62"/>
      <c r="I8" s="62"/>
      <c r="J8" s="62"/>
      <c r="K8" s="62"/>
      <c r="L8" s="62"/>
      <c r="M8" s="60"/>
      <c r="N8" s="60"/>
      <c r="O8" s="61"/>
    </row>
    <row r="9" spans="2:15" ht="10.5" customHeight="1" x14ac:dyDescent="0.25">
      <c r="B9" s="57"/>
      <c r="C9" s="172"/>
      <c r="D9" s="65"/>
      <c r="E9" s="65"/>
      <c r="F9" s="62"/>
      <c r="G9" s="62"/>
      <c r="H9" s="62"/>
      <c r="I9" s="62"/>
      <c r="J9" s="62"/>
      <c r="K9" s="62"/>
      <c r="L9" s="66" t="s">
        <v>92</v>
      </c>
      <c r="M9" s="67" t="s">
        <v>93</v>
      </c>
      <c r="N9" s="60"/>
      <c r="O9" s="61"/>
    </row>
    <row r="10" spans="2:15" ht="18" x14ac:dyDescent="0.25">
      <c r="B10" s="57"/>
      <c r="C10" s="63" t="s">
        <v>0</v>
      </c>
      <c r="D10" s="65"/>
      <c r="E10" s="65"/>
      <c r="F10" s="62"/>
      <c r="G10" s="62"/>
      <c r="H10" s="68"/>
      <c r="I10" s="68"/>
      <c r="J10" s="68"/>
      <c r="K10" s="68"/>
      <c r="L10" s="68">
        <f>IF(IL!M2="Prices in $/kWh",1000,1)</f>
        <v>1</v>
      </c>
      <c r="M10" s="69">
        <f>IF(IL!M2="Prices in $/kWh",2,1)</f>
        <v>1</v>
      </c>
      <c r="N10" s="69"/>
      <c r="O10" s="61"/>
    </row>
    <row r="11" spans="2:15" ht="10.5" customHeight="1" thickBot="1" x14ac:dyDescent="0.3">
      <c r="B11" s="57"/>
      <c r="C11" s="60"/>
      <c r="D11" s="60"/>
      <c r="E11" s="60"/>
      <c r="F11" s="62"/>
      <c r="G11" s="62"/>
      <c r="H11" s="69"/>
      <c r="I11" s="69"/>
      <c r="J11" s="69"/>
      <c r="K11" s="69"/>
      <c r="L11" s="69">
        <v>3</v>
      </c>
      <c r="M11" s="69">
        <v>4</v>
      </c>
      <c r="N11" s="69">
        <v>5</v>
      </c>
      <c r="O11" s="61"/>
    </row>
    <row r="12" spans="2:15" ht="18.75" thickBot="1" x14ac:dyDescent="0.3">
      <c r="B12" s="57"/>
      <c r="C12" s="63" t="s">
        <v>50</v>
      </c>
      <c r="D12" s="60"/>
      <c r="E12" s="60"/>
      <c r="F12" s="60"/>
      <c r="G12" s="60"/>
      <c r="H12" s="60"/>
      <c r="I12" s="111" t="str">
        <f>IF(IL!M2="Prices in $/kWh","Contract Term (months) - $/kWh","Contract Term (months) - $/MWh")</f>
        <v>Contract Term (months) - $/MWh</v>
      </c>
      <c r="J12" s="112"/>
      <c r="K12" s="112"/>
      <c r="L12" s="113" t="str">
        <f>IF(IL!M2="Prices in $/kWh","Contract Term (months) - $/kWh","Contract Term (months) - $/MWh")</f>
        <v>Contract Term (months) - $/MWh</v>
      </c>
      <c r="M12" s="114"/>
      <c r="N12" s="115"/>
      <c r="O12" s="61"/>
    </row>
    <row r="13" spans="2:15" ht="25.5" customHeight="1" x14ac:dyDescent="0.25">
      <c r="B13" s="57"/>
      <c r="C13" s="71" t="s">
        <v>1</v>
      </c>
      <c r="D13" s="71" t="s">
        <v>2</v>
      </c>
      <c r="E13" s="71" t="s">
        <v>3</v>
      </c>
      <c r="F13" s="71" t="s">
        <v>4</v>
      </c>
      <c r="G13" s="71" t="s">
        <v>89</v>
      </c>
      <c r="H13" s="71" t="s">
        <v>55</v>
      </c>
      <c r="I13" s="72" t="s">
        <v>56</v>
      </c>
      <c r="J13" s="72" t="s">
        <v>57</v>
      </c>
      <c r="K13" s="73" t="s">
        <v>58</v>
      </c>
      <c r="L13" s="116" t="s">
        <v>56</v>
      </c>
      <c r="M13" s="72" t="s">
        <v>57</v>
      </c>
      <c r="N13" s="73" t="s">
        <v>58</v>
      </c>
      <c r="O13" s="61"/>
    </row>
    <row r="14" spans="2:15" x14ac:dyDescent="0.25">
      <c r="B14" s="57"/>
      <c r="C14" s="74" t="str">
        <f>IL_prices!C2</f>
        <v>February-2016</v>
      </c>
      <c r="D14" s="75" t="str">
        <f>IL_prices!D2</f>
        <v>IL</v>
      </c>
      <c r="E14" s="76" t="str">
        <f>IL_prices!E2</f>
        <v>ComED</v>
      </c>
      <c r="F14" s="75" t="str">
        <f>IL_prices!F2</f>
        <v>LP28</v>
      </c>
      <c r="G14" s="76" t="str">
        <f>IL_prices!G2</f>
        <v>0-100 Kw</v>
      </c>
      <c r="H14" s="77" t="str">
        <f t="shared" ref="H14" si="0">IF($M$2="Prices in $/MWh","0-100 MWh","0-100,000 kWh")</f>
        <v>0-100 MWh</v>
      </c>
      <c r="I14" s="76">
        <f>(IL_prices!I2+$D$2)*IF($M$2="Prices in $/MWh",1,1/1000)</f>
        <v>64.61</v>
      </c>
      <c r="J14" s="75">
        <f>(IL_prices!J2+$D$2)*IF($M$2="Prices in $/MWh",1,1/1000)</f>
        <v>65.63</v>
      </c>
      <c r="K14" s="76">
        <f>(IL_prices!K2+$D$2)*IF($M$2="Prices in $/MWh",1,1/1000)</f>
        <v>66.400000000000006</v>
      </c>
      <c r="L14" s="75">
        <f>(IL_prices!L2+$D$2)*IF($M$2="Prices in $/MWh",1,1/1000)</f>
        <v>32.630000000000003</v>
      </c>
      <c r="M14" s="76">
        <f>(IL_prices!M2+$D$2)*IF($M$2="Prices in $/MWh",1,1/1000)</f>
        <v>33.119999999999997</v>
      </c>
      <c r="N14" s="75">
        <f>(IL_prices!N2+$D$2)*IF($M$2="Prices in $/MWh",1,1/1000)</f>
        <v>34.24</v>
      </c>
      <c r="O14" s="61"/>
    </row>
    <row r="15" spans="2:15" x14ac:dyDescent="0.25">
      <c r="B15" s="57"/>
      <c r="C15" s="78" t="str">
        <f>IL_prices!C3</f>
        <v>February-2016</v>
      </c>
      <c r="D15" s="79" t="str">
        <f>IL_prices!D3</f>
        <v>IL</v>
      </c>
      <c r="E15" s="80" t="str">
        <f>IL_prices!E3</f>
        <v>ComED</v>
      </c>
      <c r="F15" s="79" t="str">
        <f>IL_prices!F3</f>
        <v>LP28</v>
      </c>
      <c r="G15" s="80" t="str">
        <f>IL_prices!G3</f>
        <v>0-100 Kw</v>
      </c>
      <c r="H15" s="81" t="str">
        <f t="shared" ref="H15" si="1">IF($M$2="Prices in $/MWh","100-500 MWh","100,000-500,000 kWh")</f>
        <v>100-500 MWh</v>
      </c>
      <c r="I15" s="80">
        <f>(IL_prices!I3+$D$2)*IF($M$2="Prices in $/MWh",1,1/1000)</f>
        <v>63.01</v>
      </c>
      <c r="J15" s="79">
        <f>(IL_prices!J3+$D$2)*IF($M$2="Prices in $/MWh",1,1/1000)</f>
        <v>64.03</v>
      </c>
      <c r="K15" s="80">
        <f>(IL_prices!K3+$D$2)*IF($M$2="Prices in $/MWh",1,1/1000)</f>
        <v>64.8</v>
      </c>
      <c r="L15" s="79">
        <f>(IL_prices!L3+$D$2)*IF($M$2="Prices in $/MWh",1,1/1000)</f>
        <v>31.03</v>
      </c>
      <c r="M15" s="80">
        <f>(IL_prices!M3+$D$2)*IF($M$2="Prices in $/MWh",1,1/1000)</f>
        <v>31.52</v>
      </c>
      <c r="N15" s="79">
        <f>(IL_prices!N3+$D$2)*IF($M$2="Prices in $/MWh",1,1/1000)</f>
        <v>32.64</v>
      </c>
      <c r="O15" s="61"/>
    </row>
    <row r="16" spans="2:15" x14ac:dyDescent="0.25">
      <c r="B16" s="57"/>
      <c r="C16" s="82" t="str">
        <f>IL_prices!C4</f>
        <v>February-2016</v>
      </c>
      <c r="D16" s="83" t="str">
        <f>IL_prices!D4</f>
        <v>IL</v>
      </c>
      <c r="E16" s="84" t="str">
        <f>IL_prices!E4</f>
        <v>ComED</v>
      </c>
      <c r="F16" s="83" t="str">
        <f>IL_prices!F4</f>
        <v>LP28</v>
      </c>
      <c r="G16" s="84" t="str">
        <f>IL_prices!G4</f>
        <v>0-100 Kw</v>
      </c>
      <c r="H16" s="85" t="str">
        <f t="shared" ref="H16" si="2">IF($M$2="Prices in $/MWh","500-2500 MWh","500,000-2,500,000 kWh")</f>
        <v>500-2500 MWh</v>
      </c>
      <c r="I16" s="84">
        <f>(IL_prices!I4+$D$2)*IF($M$2="Prices in $/MWh",1,1/1000)</f>
        <v>61.96</v>
      </c>
      <c r="J16" s="83">
        <f>(IL_prices!J4+$D$2)*IF($M$2="Prices in $/MWh",1,1/1000)</f>
        <v>62.98</v>
      </c>
      <c r="K16" s="84">
        <f>(IL_prices!K4+$D$2)*IF($M$2="Prices in $/MWh",1,1/1000)</f>
        <v>63.75</v>
      </c>
      <c r="L16" s="83">
        <f>(IL_prices!L4+$D$2)*IF($M$2="Prices in $/MWh",1,1/1000)</f>
        <v>29.98</v>
      </c>
      <c r="M16" s="84">
        <f>(IL_prices!M4+$D$2)*IF($M$2="Prices in $/MWh",1,1/1000)</f>
        <v>30.47</v>
      </c>
      <c r="N16" s="83">
        <f>(IL_prices!N4+$D$2)*IF($M$2="Prices in $/MWh",1,1/1000)</f>
        <v>31.59</v>
      </c>
      <c r="O16" s="61"/>
    </row>
    <row r="17" spans="2:15" x14ac:dyDescent="0.25">
      <c r="B17" s="57"/>
      <c r="C17" s="74" t="str">
        <f>IL_prices!C5</f>
        <v>March-2016</v>
      </c>
      <c r="D17" s="75" t="str">
        <f>IL_prices!D5</f>
        <v>IL</v>
      </c>
      <c r="E17" s="76" t="str">
        <f>IL_prices!E5</f>
        <v>ComED</v>
      </c>
      <c r="F17" s="75" t="str">
        <f>IL_prices!F5</f>
        <v>LP28</v>
      </c>
      <c r="G17" s="76" t="str">
        <f>IL_prices!G5</f>
        <v>0-100 Kw</v>
      </c>
      <c r="H17" s="77" t="str">
        <f t="shared" ref="H17" si="3">IF($M$2="Prices in $/MWh","0-100 MWh","0-100,000 kWh")</f>
        <v>0-100 MWh</v>
      </c>
      <c r="I17" s="76">
        <f>(IL_prices!I5+$D$2)*IF($M$2="Prices in $/MWh",1,1/1000)</f>
        <v>64.599999999999994</v>
      </c>
      <c r="J17" s="75">
        <f>(IL_prices!J5+$D$2)*IF($M$2="Prices in $/MWh",1,1/1000)</f>
        <v>65.8</v>
      </c>
      <c r="K17" s="76">
        <f>(IL_prices!K5+$D$2)*IF($M$2="Prices in $/MWh",1,1/1000)</f>
        <v>66.63</v>
      </c>
      <c r="L17" s="75">
        <f>(IL_prices!L5+$D$2)*IF($M$2="Prices in $/MWh",1,1/1000)</f>
        <v>32.4</v>
      </c>
      <c r="M17" s="76">
        <f>(IL_prices!M5+$D$2)*IF($M$2="Prices in $/MWh",1,1/1000)</f>
        <v>33.15</v>
      </c>
      <c r="N17" s="75">
        <f>(IL_prices!N5+$D$2)*IF($M$2="Prices in $/MWh",1,1/1000)</f>
        <v>34.369999999999997</v>
      </c>
      <c r="O17" s="61"/>
    </row>
    <row r="18" spans="2:15" x14ac:dyDescent="0.25">
      <c r="B18" s="57"/>
      <c r="C18" s="78" t="str">
        <f>IL_prices!C6</f>
        <v>March-2016</v>
      </c>
      <c r="D18" s="79" t="str">
        <f>IL_prices!D6</f>
        <v>IL</v>
      </c>
      <c r="E18" s="80" t="str">
        <f>IL_prices!E6</f>
        <v>ComED</v>
      </c>
      <c r="F18" s="79" t="str">
        <f>IL_prices!F6</f>
        <v>LP28</v>
      </c>
      <c r="G18" s="80" t="str">
        <f>IL_prices!G6</f>
        <v>0-100 Kw</v>
      </c>
      <c r="H18" s="81" t="str">
        <f t="shared" ref="H18" si="4">IF($M$2="Prices in $/MWh","100-500 MWh","100,000-500,000 kWh")</f>
        <v>100-500 MWh</v>
      </c>
      <c r="I18" s="80">
        <f>(IL_prices!I6+$D$2)*IF($M$2="Prices in $/MWh",1,1/1000)</f>
        <v>63</v>
      </c>
      <c r="J18" s="79">
        <f>(IL_prices!J6+$D$2)*IF($M$2="Prices in $/MWh",1,1/1000)</f>
        <v>64.2</v>
      </c>
      <c r="K18" s="80">
        <f>(IL_prices!K6+$D$2)*IF($M$2="Prices in $/MWh",1,1/1000)</f>
        <v>65.03</v>
      </c>
      <c r="L18" s="79">
        <f>(IL_prices!L6+$D$2)*IF($M$2="Prices in $/MWh",1,1/1000)</f>
        <v>30.8</v>
      </c>
      <c r="M18" s="80">
        <f>(IL_prices!M6+$D$2)*IF($M$2="Prices in $/MWh",1,1/1000)</f>
        <v>31.55</v>
      </c>
      <c r="N18" s="79">
        <f>(IL_prices!N6+$D$2)*IF($M$2="Prices in $/MWh",1,1/1000)</f>
        <v>32.770000000000003</v>
      </c>
      <c r="O18" s="61"/>
    </row>
    <row r="19" spans="2:15" x14ac:dyDescent="0.25">
      <c r="B19" s="57"/>
      <c r="C19" s="82" t="str">
        <f>IL_prices!C7</f>
        <v>March-2016</v>
      </c>
      <c r="D19" s="83" t="str">
        <f>IL_prices!D7</f>
        <v>IL</v>
      </c>
      <c r="E19" s="84" t="str">
        <f>IL_prices!E7</f>
        <v>ComED</v>
      </c>
      <c r="F19" s="83" t="str">
        <f>IL_prices!F7</f>
        <v>LP28</v>
      </c>
      <c r="G19" s="84" t="str">
        <f>IL_prices!G7</f>
        <v>0-100 Kw</v>
      </c>
      <c r="H19" s="85" t="str">
        <f t="shared" ref="H19" si="5">IF($M$2="Prices in $/MWh","500-2500 MWh","500,000-2,500,000 kWh")</f>
        <v>500-2500 MWh</v>
      </c>
      <c r="I19" s="84">
        <f>(IL_prices!I7+$D$2)*IF($M$2="Prices in $/MWh",1,1/1000)</f>
        <v>61.95</v>
      </c>
      <c r="J19" s="83">
        <f>(IL_prices!J7+$D$2)*IF($M$2="Prices in $/MWh",1,1/1000)</f>
        <v>63.15</v>
      </c>
      <c r="K19" s="84">
        <f>(IL_prices!K7+$D$2)*IF($M$2="Prices in $/MWh",1,1/1000)</f>
        <v>63.98</v>
      </c>
      <c r="L19" s="83">
        <f>(IL_prices!L7+$D$2)*IF($M$2="Prices in $/MWh",1,1/1000)</f>
        <v>29.75</v>
      </c>
      <c r="M19" s="84">
        <f>(IL_prices!M7+$D$2)*IF($M$2="Prices in $/MWh",1,1/1000)</f>
        <v>30.5</v>
      </c>
      <c r="N19" s="83">
        <f>(IL_prices!N7+$D$2)*IF($M$2="Prices in $/MWh",1,1/1000)</f>
        <v>31.72</v>
      </c>
      <c r="O19" s="61"/>
    </row>
    <row r="20" spans="2:15" x14ac:dyDescent="0.25">
      <c r="B20" s="57"/>
      <c r="C20" s="74" t="str">
        <f>IL_prices!C8</f>
        <v>April-2016</v>
      </c>
      <c r="D20" s="75" t="str">
        <f>IL_prices!D8</f>
        <v>IL</v>
      </c>
      <c r="E20" s="76" t="str">
        <f>IL_prices!E8</f>
        <v>ComED</v>
      </c>
      <c r="F20" s="75" t="str">
        <f>IL_prices!F8</f>
        <v>LP28</v>
      </c>
      <c r="G20" s="76" t="str">
        <f>IL_prices!G8</f>
        <v>0-100 Kw</v>
      </c>
      <c r="H20" s="77" t="str">
        <f t="shared" ref="H20" si="6">IF($M$2="Prices in $/MWh","0-100 MWh","0-100,000 kWh")</f>
        <v>0-100 MWh</v>
      </c>
      <c r="I20" s="76">
        <f>(IL_prices!I8+$D$2)*IF($M$2="Prices in $/MWh",1,1/1000)</f>
        <v>64.569999999999993</v>
      </c>
      <c r="J20" s="75">
        <f>(IL_prices!J8+$D$2)*IF($M$2="Prices in $/MWh",1,1/1000)</f>
        <v>65.760000000000005</v>
      </c>
      <c r="K20" s="76">
        <f>(IL_prices!K8+$D$2)*IF($M$2="Prices in $/MWh",1,1/1000)</f>
        <v>66.87</v>
      </c>
      <c r="L20" s="75">
        <f>(IL_prices!L8+$D$2)*IF($M$2="Prices in $/MWh",1,1/1000)</f>
        <v>32.15</v>
      </c>
      <c r="M20" s="76">
        <f>(IL_prices!M8+$D$2)*IF($M$2="Prices in $/MWh",1,1/1000)</f>
        <v>33.200000000000003</v>
      </c>
      <c r="N20" s="75">
        <f>(IL_prices!N8+$D$2)*IF($M$2="Prices in $/MWh",1,1/1000)</f>
        <v>34.51</v>
      </c>
      <c r="O20" s="61"/>
    </row>
    <row r="21" spans="2:15" x14ac:dyDescent="0.25">
      <c r="B21" s="57"/>
      <c r="C21" s="78" t="str">
        <f>IL_prices!C9</f>
        <v>April-2016</v>
      </c>
      <c r="D21" s="79" t="str">
        <f>IL_prices!D9</f>
        <v>IL</v>
      </c>
      <c r="E21" s="80" t="str">
        <f>IL_prices!E9</f>
        <v>ComED</v>
      </c>
      <c r="F21" s="79" t="str">
        <f>IL_prices!F9</f>
        <v>LP28</v>
      </c>
      <c r="G21" s="80" t="str">
        <f>IL_prices!G9</f>
        <v>0-100 Kw</v>
      </c>
      <c r="H21" s="81" t="str">
        <f t="shared" ref="H21" si="7">IF($M$2="Prices in $/MWh","100-500 MWh","100,000-500,000 kWh")</f>
        <v>100-500 MWh</v>
      </c>
      <c r="I21" s="80">
        <f>(IL_prices!I9+$D$2)*IF($M$2="Prices in $/MWh",1,1/1000)</f>
        <v>62.97</v>
      </c>
      <c r="J21" s="79">
        <f>(IL_prices!J9+$D$2)*IF($M$2="Prices in $/MWh",1,1/1000)</f>
        <v>64.16</v>
      </c>
      <c r="K21" s="80">
        <f>(IL_prices!K9+$D$2)*IF($M$2="Prices in $/MWh",1,1/1000)</f>
        <v>65.27</v>
      </c>
      <c r="L21" s="79">
        <f>(IL_prices!L9+$D$2)*IF($M$2="Prices in $/MWh",1,1/1000)</f>
        <v>30.55</v>
      </c>
      <c r="M21" s="80">
        <f>(IL_prices!M9+$D$2)*IF($M$2="Prices in $/MWh",1,1/1000)</f>
        <v>31.6</v>
      </c>
      <c r="N21" s="79">
        <f>(IL_prices!N9+$D$2)*IF($M$2="Prices in $/MWh",1,1/1000)</f>
        <v>32.909999999999997</v>
      </c>
      <c r="O21" s="61"/>
    </row>
    <row r="22" spans="2:15" x14ac:dyDescent="0.25">
      <c r="B22" s="57"/>
      <c r="C22" s="82" t="str">
        <f>IL_prices!C10</f>
        <v>April-2016</v>
      </c>
      <c r="D22" s="83" t="str">
        <f>IL_prices!D10</f>
        <v>IL</v>
      </c>
      <c r="E22" s="84" t="str">
        <f>IL_prices!E10</f>
        <v>ComED</v>
      </c>
      <c r="F22" s="83" t="str">
        <f>IL_prices!F10</f>
        <v>LP28</v>
      </c>
      <c r="G22" s="84" t="str">
        <f>IL_prices!G10</f>
        <v>0-100 Kw</v>
      </c>
      <c r="H22" s="85" t="str">
        <f t="shared" ref="H22" si="8">IF($M$2="Prices in $/MWh","500-2500 MWh","500,000-2,500,000 kWh")</f>
        <v>500-2500 MWh</v>
      </c>
      <c r="I22" s="84">
        <f>(IL_prices!I10+$D$2)*IF($M$2="Prices in $/MWh",1,1/1000)</f>
        <v>61.92</v>
      </c>
      <c r="J22" s="83">
        <f>(IL_prices!J10+$D$2)*IF($M$2="Prices in $/MWh",1,1/1000)</f>
        <v>63.11</v>
      </c>
      <c r="K22" s="84">
        <f>(IL_prices!K10+$D$2)*IF($M$2="Prices in $/MWh",1,1/1000)</f>
        <v>64.22</v>
      </c>
      <c r="L22" s="83">
        <f>(IL_prices!L10+$D$2)*IF($M$2="Prices in $/MWh",1,1/1000)</f>
        <v>29.5</v>
      </c>
      <c r="M22" s="84">
        <f>(IL_prices!M10+$D$2)*IF($M$2="Prices in $/MWh",1,1/1000)</f>
        <v>30.55</v>
      </c>
      <c r="N22" s="83">
        <f>(IL_prices!N10+$D$2)*IF($M$2="Prices in $/MWh",1,1/1000)</f>
        <v>31.86</v>
      </c>
      <c r="O22" s="61"/>
    </row>
    <row r="23" spans="2:15" x14ac:dyDescent="0.25">
      <c r="B23" s="57"/>
      <c r="C23" s="74" t="str">
        <f>IL_prices!C11</f>
        <v>May-2016</v>
      </c>
      <c r="D23" s="75" t="str">
        <f>IL_prices!D11</f>
        <v>IL</v>
      </c>
      <c r="E23" s="76" t="str">
        <f>IL_prices!E11</f>
        <v>ComED</v>
      </c>
      <c r="F23" s="75" t="str">
        <f>IL_prices!F11</f>
        <v>LP28</v>
      </c>
      <c r="G23" s="76" t="str">
        <f>IL_prices!G11</f>
        <v>0-100 Kw</v>
      </c>
      <c r="H23" s="77" t="str">
        <f t="shared" ref="H23" si="9">IF($M$2="Prices in $/MWh","0-100 MWh","0-100,000 kWh")</f>
        <v>0-100 MWh</v>
      </c>
      <c r="I23" s="76">
        <f>(IL_prices!I11+$D$2)*IF($M$2="Prices in $/MWh",1,1/1000)</f>
        <v>64.38</v>
      </c>
      <c r="J23" s="75">
        <f>(IL_prices!J11+$D$2)*IF($M$2="Prices in $/MWh",1,1/1000)</f>
        <v>65.77</v>
      </c>
      <c r="K23" s="76">
        <f>(IL_prices!K11+$D$2)*IF($M$2="Prices in $/MWh",1,1/1000)</f>
        <v>67.010000000000005</v>
      </c>
      <c r="L23" s="75">
        <f>(IL_prices!L11+$D$2)*IF($M$2="Prices in $/MWh",1,1/1000)</f>
        <v>31.9</v>
      </c>
      <c r="M23" s="76">
        <f>(IL_prices!M11+$D$2)*IF($M$2="Prices in $/MWh",1,1/1000)</f>
        <v>33.29</v>
      </c>
      <c r="N23" s="75">
        <f>(IL_prices!N11+$D$2)*IF($M$2="Prices in $/MWh",1,1/1000)</f>
        <v>34.64</v>
      </c>
      <c r="O23" s="61"/>
    </row>
    <row r="24" spans="2:15" x14ac:dyDescent="0.25">
      <c r="B24" s="57"/>
      <c r="C24" s="78" t="str">
        <f>IL_prices!C12</f>
        <v>May-2016</v>
      </c>
      <c r="D24" s="79" t="str">
        <f>IL_prices!D12</f>
        <v>IL</v>
      </c>
      <c r="E24" s="80" t="str">
        <f>IL_prices!E12</f>
        <v>ComED</v>
      </c>
      <c r="F24" s="79" t="str">
        <f>IL_prices!F12</f>
        <v>LP28</v>
      </c>
      <c r="G24" s="80" t="str">
        <f>IL_prices!G12</f>
        <v>0-100 Kw</v>
      </c>
      <c r="H24" s="81" t="str">
        <f t="shared" ref="H24" si="10">IF($M$2="Prices in $/MWh","100-500 MWh","100,000-500,000 kWh")</f>
        <v>100-500 MWh</v>
      </c>
      <c r="I24" s="80">
        <f>(IL_prices!I12+$D$2)*IF($M$2="Prices in $/MWh",1,1/1000)</f>
        <v>62.78</v>
      </c>
      <c r="J24" s="79">
        <f>(IL_prices!J12+$D$2)*IF($M$2="Prices in $/MWh",1,1/1000)</f>
        <v>64.17</v>
      </c>
      <c r="K24" s="80">
        <f>(IL_prices!K12+$D$2)*IF($M$2="Prices in $/MWh",1,1/1000)</f>
        <v>65.41</v>
      </c>
      <c r="L24" s="79">
        <f>(IL_prices!L12+$D$2)*IF($M$2="Prices in $/MWh",1,1/1000)</f>
        <v>30.3</v>
      </c>
      <c r="M24" s="80">
        <f>(IL_prices!M12+$D$2)*IF($M$2="Prices in $/MWh",1,1/1000)</f>
        <v>31.69</v>
      </c>
      <c r="N24" s="79">
        <f>(IL_prices!N12+$D$2)*IF($M$2="Prices in $/MWh",1,1/1000)</f>
        <v>33.04</v>
      </c>
      <c r="O24" s="61"/>
    </row>
    <row r="25" spans="2:15" x14ac:dyDescent="0.25">
      <c r="B25" s="57"/>
      <c r="C25" s="82" t="str">
        <f>IL_prices!C13</f>
        <v>May-2016</v>
      </c>
      <c r="D25" s="83" t="str">
        <f>IL_prices!D13</f>
        <v>IL</v>
      </c>
      <c r="E25" s="84" t="str">
        <f>IL_prices!E13</f>
        <v>ComED</v>
      </c>
      <c r="F25" s="83" t="str">
        <f>IL_prices!F13</f>
        <v>LP28</v>
      </c>
      <c r="G25" s="84" t="str">
        <f>IL_prices!G13</f>
        <v>0-100 Kw</v>
      </c>
      <c r="H25" s="85" t="str">
        <f t="shared" ref="H25" si="11">IF($M$2="Prices in $/MWh","500-2500 MWh","500,000-2,500,000 kWh")</f>
        <v>500-2500 MWh</v>
      </c>
      <c r="I25" s="84">
        <f>(IL_prices!I13+$D$2)*IF($M$2="Prices in $/MWh",1,1/1000)</f>
        <v>61.73</v>
      </c>
      <c r="J25" s="83">
        <f>(IL_prices!J13+$D$2)*IF($M$2="Prices in $/MWh",1,1/1000)</f>
        <v>63.12</v>
      </c>
      <c r="K25" s="84">
        <f>(IL_prices!K13+$D$2)*IF($M$2="Prices in $/MWh",1,1/1000)</f>
        <v>64.36</v>
      </c>
      <c r="L25" s="83">
        <f>(IL_prices!L13+$D$2)*IF($M$2="Prices in $/MWh",1,1/1000)</f>
        <v>29.25</v>
      </c>
      <c r="M25" s="84">
        <f>(IL_prices!M13+$D$2)*IF($M$2="Prices in $/MWh",1,1/1000)</f>
        <v>30.64</v>
      </c>
      <c r="N25" s="83">
        <f>(IL_prices!N13+$D$2)*IF($M$2="Prices in $/MWh",1,1/1000)</f>
        <v>31.99</v>
      </c>
      <c r="O25" s="61"/>
    </row>
    <row r="26" spans="2:15" x14ac:dyDescent="0.25">
      <c r="B26" s="57"/>
      <c r="C26" s="74" t="str">
        <f>IL_prices!C14</f>
        <v>June-2016</v>
      </c>
      <c r="D26" s="75" t="str">
        <f>IL_prices!D14</f>
        <v>IL</v>
      </c>
      <c r="E26" s="76" t="str">
        <f>IL_prices!E14</f>
        <v>ComED</v>
      </c>
      <c r="F26" s="75" t="str">
        <f>IL_prices!F14</f>
        <v>LP28</v>
      </c>
      <c r="G26" s="76" t="str">
        <f>IL_prices!G14</f>
        <v>0-100 Kw</v>
      </c>
      <c r="H26" s="77" t="str">
        <f t="shared" ref="H26" si="12">IF($M$2="Prices in $/MWh","0-100 MWh","0-100,000 kWh")</f>
        <v>0-100 MWh</v>
      </c>
      <c r="I26" s="76">
        <f>(IL_prices!I14+$D$2)*IF($M$2="Prices in $/MWh",1,1/1000)</f>
        <v>64.19</v>
      </c>
      <c r="J26" s="75">
        <f>(IL_prices!J14+$D$2)*IF($M$2="Prices in $/MWh",1,1/1000)</f>
        <v>65.7</v>
      </c>
      <c r="K26" s="76">
        <f>(IL_prices!K14+$D$2)*IF($M$2="Prices in $/MWh",1,1/1000)</f>
        <v>67.2</v>
      </c>
      <c r="L26" s="75">
        <f>(IL_prices!L14+$D$2)*IF($M$2="Prices in $/MWh",1,1/1000)</f>
        <v>31.63</v>
      </c>
      <c r="M26" s="76">
        <f>(IL_prices!M14+$D$2)*IF($M$2="Prices in $/MWh",1,1/1000)</f>
        <v>33.340000000000003</v>
      </c>
      <c r="N26" s="75">
        <f>(IL_prices!N14+$D$2)*IF($M$2="Prices in $/MWh",1,1/1000)</f>
        <v>34.76</v>
      </c>
      <c r="O26" s="61"/>
    </row>
    <row r="27" spans="2:15" x14ac:dyDescent="0.25">
      <c r="B27" s="57"/>
      <c r="C27" s="78" t="str">
        <f>IL_prices!C15</f>
        <v>June-2016</v>
      </c>
      <c r="D27" s="79" t="str">
        <f>IL_prices!D15</f>
        <v>IL</v>
      </c>
      <c r="E27" s="80" t="str">
        <f>IL_prices!E15</f>
        <v>ComED</v>
      </c>
      <c r="F27" s="79" t="str">
        <f>IL_prices!F15</f>
        <v>LP28</v>
      </c>
      <c r="G27" s="80" t="str">
        <f>IL_prices!G15</f>
        <v>0-100 Kw</v>
      </c>
      <c r="H27" s="81" t="str">
        <f t="shared" ref="H27" si="13">IF($M$2="Prices in $/MWh","100-500 MWh","100,000-500,000 kWh")</f>
        <v>100-500 MWh</v>
      </c>
      <c r="I27" s="80">
        <f>(IL_prices!I15+$D$2)*IF($M$2="Prices in $/MWh",1,1/1000)</f>
        <v>62.59</v>
      </c>
      <c r="J27" s="79">
        <f>(IL_prices!J15+$D$2)*IF($M$2="Prices in $/MWh",1,1/1000)</f>
        <v>64.099999999999994</v>
      </c>
      <c r="K27" s="80">
        <f>(IL_prices!K15+$D$2)*IF($M$2="Prices in $/MWh",1,1/1000)</f>
        <v>65.599999999999994</v>
      </c>
      <c r="L27" s="79">
        <f>(IL_prices!L15+$D$2)*IF($M$2="Prices in $/MWh",1,1/1000)</f>
        <v>30.03</v>
      </c>
      <c r="M27" s="80">
        <f>(IL_prices!M15+$D$2)*IF($M$2="Prices in $/MWh",1,1/1000)</f>
        <v>31.74</v>
      </c>
      <c r="N27" s="79">
        <f>(IL_prices!N15+$D$2)*IF($M$2="Prices in $/MWh",1,1/1000)</f>
        <v>33.159999999999997</v>
      </c>
      <c r="O27" s="61"/>
    </row>
    <row r="28" spans="2:15" x14ac:dyDescent="0.25">
      <c r="B28" s="57"/>
      <c r="C28" s="82" t="str">
        <f>IL_prices!C16</f>
        <v>June-2016</v>
      </c>
      <c r="D28" s="83" t="str">
        <f>IL_prices!D16</f>
        <v>IL</v>
      </c>
      <c r="E28" s="84" t="str">
        <f>IL_prices!E16</f>
        <v>ComED</v>
      </c>
      <c r="F28" s="83" t="str">
        <f>IL_prices!F16</f>
        <v>LP28</v>
      </c>
      <c r="G28" s="84" t="str">
        <f>IL_prices!G16</f>
        <v>0-100 Kw</v>
      </c>
      <c r="H28" s="85" t="str">
        <f t="shared" ref="H28" si="14">IF($M$2="Prices in $/MWh","500-2500 MWh","500,000-2,500,000 kWh")</f>
        <v>500-2500 MWh</v>
      </c>
      <c r="I28" s="84">
        <f>(IL_prices!I16+$D$2)*IF($M$2="Prices in $/MWh",1,1/1000)</f>
        <v>61.54</v>
      </c>
      <c r="J28" s="83">
        <f>(IL_prices!J16+$D$2)*IF($M$2="Prices in $/MWh",1,1/1000)</f>
        <v>63.05</v>
      </c>
      <c r="K28" s="84">
        <f>(IL_prices!K16+$D$2)*IF($M$2="Prices in $/MWh",1,1/1000)</f>
        <v>64.55</v>
      </c>
      <c r="L28" s="83">
        <f>(IL_prices!L16+$D$2)*IF($M$2="Prices in $/MWh",1,1/1000)</f>
        <v>28.98</v>
      </c>
      <c r="M28" s="84">
        <f>(IL_prices!M16+$D$2)*IF($M$2="Prices in $/MWh",1,1/1000)</f>
        <v>30.69</v>
      </c>
      <c r="N28" s="83">
        <f>(IL_prices!N16+$D$2)*IF($M$2="Prices in $/MWh",1,1/1000)</f>
        <v>32.11</v>
      </c>
      <c r="O28" s="61"/>
    </row>
    <row r="29" spans="2:15" x14ac:dyDescent="0.25">
      <c r="B29" s="57"/>
      <c r="C29" s="74" t="str">
        <f>IL_prices!C17</f>
        <v>July-2016</v>
      </c>
      <c r="D29" s="75" t="str">
        <f>IL_prices!D17</f>
        <v>IL</v>
      </c>
      <c r="E29" s="76" t="str">
        <f>IL_prices!E17</f>
        <v>ComED</v>
      </c>
      <c r="F29" s="75" t="str">
        <f>IL_prices!F17</f>
        <v>LP28</v>
      </c>
      <c r="G29" s="76" t="str">
        <f>IL_prices!G17</f>
        <v>0-100 Kw</v>
      </c>
      <c r="H29" s="77" t="str">
        <f t="shared" ref="H29" si="15">IF($M$2="Prices in $/MWh","0-100 MWh","0-100,000 kWh")</f>
        <v>0-100 MWh</v>
      </c>
      <c r="I29" s="76">
        <f>(IL_prices!I17+$D$2)*IF($M$2="Prices in $/MWh",1,1/1000)</f>
        <v>64.760000000000005</v>
      </c>
      <c r="J29" s="75">
        <f>(IL_prices!J17+$D$2)*IF($M$2="Prices in $/MWh",1,1/1000)</f>
        <v>65.97</v>
      </c>
      <c r="K29" s="76">
        <f>(IL_prices!K17+$D$2)*IF($M$2="Prices in $/MWh",1,1/1000)</f>
        <v>67.739999999999995</v>
      </c>
      <c r="L29" s="75">
        <f>(IL_prices!L17+$D$2)*IF($M$2="Prices in $/MWh",1,1/1000)</f>
        <v>32.14</v>
      </c>
      <c r="M29" s="76">
        <f>(IL_prices!M17+$D$2)*IF($M$2="Prices in $/MWh",1,1/1000)</f>
        <v>33.76</v>
      </c>
      <c r="N29" s="75">
        <f>(IL_prices!N17+$D$2)*IF($M$2="Prices in $/MWh",1,1/1000)</f>
        <v>35.29</v>
      </c>
      <c r="O29" s="61"/>
    </row>
    <row r="30" spans="2:15" x14ac:dyDescent="0.25">
      <c r="B30" s="57"/>
      <c r="C30" s="78" t="str">
        <f>IL_prices!C18</f>
        <v>July-2016</v>
      </c>
      <c r="D30" s="79" t="str">
        <f>IL_prices!D18</f>
        <v>IL</v>
      </c>
      <c r="E30" s="80" t="str">
        <f>IL_prices!E18</f>
        <v>ComED</v>
      </c>
      <c r="F30" s="79" t="str">
        <f>IL_prices!F18</f>
        <v>LP28</v>
      </c>
      <c r="G30" s="80" t="str">
        <f>IL_prices!G18</f>
        <v>0-100 Kw</v>
      </c>
      <c r="H30" s="81" t="str">
        <f t="shared" ref="H30" si="16">IF($M$2="Prices in $/MWh","100-500 MWh","100,000-500,000 kWh")</f>
        <v>100-500 MWh</v>
      </c>
      <c r="I30" s="80">
        <f>(IL_prices!I18+$D$2)*IF($M$2="Prices in $/MWh",1,1/1000)</f>
        <v>63.16</v>
      </c>
      <c r="J30" s="79">
        <f>(IL_prices!J18+$D$2)*IF($M$2="Prices in $/MWh",1,1/1000)</f>
        <v>64.37</v>
      </c>
      <c r="K30" s="80">
        <f>(IL_prices!K18+$D$2)*IF($M$2="Prices in $/MWh",1,1/1000)</f>
        <v>66.14</v>
      </c>
      <c r="L30" s="79">
        <f>(IL_prices!L18+$D$2)*IF($M$2="Prices in $/MWh",1,1/1000)</f>
        <v>30.54</v>
      </c>
      <c r="M30" s="80">
        <f>(IL_prices!M18+$D$2)*IF($M$2="Prices in $/MWh",1,1/1000)</f>
        <v>32.159999999999997</v>
      </c>
      <c r="N30" s="79">
        <f>(IL_prices!N18+$D$2)*IF($M$2="Prices in $/MWh",1,1/1000)</f>
        <v>33.69</v>
      </c>
      <c r="O30" s="61"/>
    </row>
    <row r="31" spans="2:15" x14ac:dyDescent="0.25">
      <c r="B31" s="57"/>
      <c r="C31" s="82" t="str">
        <f>IL_prices!C19</f>
        <v>July-2016</v>
      </c>
      <c r="D31" s="83" t="str">
        <f>IL_prices!D19</f>
        <v>IL</v>
      </c>
      <c r="E31" s="84" t="str">
        <f>IL_prices!E19</f>
        <v>ComED</v>
      </c>
      <c r="F31" s="83" t="str">
        <f>IL_prices!F19</f>
        <v>LP28</v>
      </c>
      <c r="G31" s="84" t="str">
        <f>IL_prices!G19</f>
        <v>0-100 Kw</v>
      </c>
      <c r="H31" s="85" t="str">
        <f t="shared" ref="H31" si="17">IF($M$2="Prices in $/MWh","500-2500 MWh","500,000-2,500,000 kWh")</f>
        <v>500-2500 MWh</v>
      </c>
      <c r="I31" s="84">
        <f>(IL_prices!I19+$D$2)*IF($M$2="Prices in $/MWh",1,1/1000)</f>
        <v>62.11</v>
      </c>
      <c r="J31" s="83">
        <f>(IL_prices!J19+$D$2)*IF($M$2="Prices in $/MWh",1,1/1000)</f>
        <v>63.32</v>
      </c>
      <c r="K31" s="84">
        <f>(IL_prices!K19+$D$2)*IF($M$2="Prices in $/MWh",1,1/1000)</f>
        <v>65.09</v>
      </c>
      <c r="L31" s="83">
        <f>(IL_prices!L19+$D$2)*IF($M$2="Prices in $/MWh",1,1/1000)</f>
        <v>29.49</v>
      </c>
      <c r="M31" s="84">
        <f>(IL_prices!M19+$D$2)*IF($M$2="Prices in $/MWh",1,1/1000)</f>
        <v>31.11</v>
      </c>
      <c r="N31" s="83">
        <f>(IL_prices!N19+$D$2)*IF($M$2="Prices in $/MWh",1,1/1000)</f>
        <v>32.64</v>
      </c>
      <c r="O31" s="61"/>
    </row>
    <row r="32" spans="2:15" x14ac:dyDescent="0.25">
      <c r="B32" s="57"/>
      <c r="C32" s="74" t="str">
        <f>IL_prices!C20</f>
        <v>August-2016</v>
      </c>
      <c r="D32" s="75" t="str">
        <f>IL_prices!D20</f>
        <v>IL</v>
      </c>
      <c r="E32" s="76" t="str">
        <f>IL_prices!E20</f>
        <v>ComED</v>
      </c>
      <c r="F32" s="75" t="str">
        <f>IL_prices!F20</f>
        <v>LP28</v>
      </c>
      <c r="G32" s="76" t="str">
        <f>IL_prices!G20</f>
        <v>0-100 Kw</v>
      </c>
      <c r="H32" s="77" t="str">
        <f t="shared" ref="H32" si="18">IF($M$2="Prices in $/MWh","0-100 MWh","0-100,000 kWh")</f>
        <v>0-100 MWh</v>
      </c>
      <c r="I32" s="76">
        <f>(IL_prices!I20+$D$2)*IF($M$2="Prices in $/MWh",1,1/1000)</f>
        <v>65.260000000000005</v>
      </c>
      <c r="J32" s="75">
        <f>(IL_prices!J20+$D$2)*IF($M$2="Prices in $/MWh",1,1/1000)</f>
        <v>66.400000000000006</v>
      </c>
      <c r="K32" s="76">
        <f>(IL_prices!K20+$D$2)*IF($M$2="Prices in $/MWh",1,1/1000)</f>
        <v>68.33</v>
      </c>
      <c r="L32" s="75">
        <f>(IL_prices!L20+$D$2)*IF($M$2="Prices in $/MWh",1,1/1000)</f>
        <v>32.68</v>
      </c>
      <c r="M32" s="76">
        <f>(IL_prices!M20+$D$2)*IF($M$2="Prices in $/MWh",1,1/1000)</f>
        <v>34.31</v>
      </c>
      <c r="N32" s="75">
        <f>(IL_prices!N20+$D$2)*IF($M$2="Prices in $/MWh",1,1/1000)</f>
        <v>35.85</v>
      </c>
      <c r="O32" s="61"/>
    </row>
    <row r="33" spans="2:15" x14ac:dyDescent="0.25">
      <c r="B33" s="57"/>
      <c r="C33" s="78" t="str">
        <f>IL_prices!C21</f>
        <v>August-2016</v>
      </c>
      <c r="D33" s="79" t="str">
        <f>IL_prices!D21</f>
        <v>IL</v>
      </c>
      <c r="E33" s="80" t="str">
        <f>IL_prices!E21</f>
        <v>ComED</v>
      </c>
      <c r="F33" s="79" t="str">
        <f>IL_prices!F21</f>
        <v>LP28</v>
      </c>
      <c r="G33" s="80" t="str">
        <f>IL_prices!G21</f>
        <v>0-100 Kw</v>
      </c>
      <c r="H33" s="81" t="str">
        <f t="shared" ref="H33" si="19">IF($M$2="Prices in $/MWh","100-500 MWh","100,000-500,000 kWh")</f>
        <v>100-500 MWh</v>
      </c>
      <c r="I33" s="80">
        <f>(IL_prices!I21+$D$2)*IF($M$2="Prices in $/MWh",1,1/1000)</f>
        <v>63.66</v>
      </c>
      <c r="J33" s="79">
        <f>(IL_prices!J21+$D$2)*IF($M$2="Prices in $/MWh",1,1/1000)</f>
        <v>64.8</v>
      </c>
      <c r="K33" s="80">
        <f>(IL_prices!K21+$D$2)*IF($M$2="Prices in $/MWh",1,1/1000)</f>
        <v>66.73</v>
      </c>
      <c r="L33" s="79">
        <f>(IL_prices!L21+$D$2)*IF($M$2="Prices in $/MWh",1,1/1000)</f>
        <v>31.08</v>
      </c>
      <c r="M33" s="80">
        <f>(IL_prices!M21+$D$2)*IF($M$2="Prices in $/MWh",1,1/1000)</f>
        <v>32.71</v>
      </c>
      <c r="N33" s="79">
        <f>(IL_prices!N21+$D$2)*IF($M$2="Prices in $/MWh",1,1/1000)</f>
        <v>34.25</v>
      </c>
      <c r="O33" s="61"/>
    </row>
    <row r="34" spans="2:15" x14ac:dyDescent="0.25">
      <c r="B34" s="57"/>
      <c r="C34" s="82" t="str">
        <f>IL_prices!C22</f>
        <v>August-2016</v>
      </c>
      <c r="D34" s="83" t="str">
        <f>IL_prices!D22</f>
        <v>IL</v>
      </c>
      <c r="E34" s="84" t="str">
        <f>IL_prices!E22</f>
        <v>ComED</v>
      </c>
      <c r="F34" s="83" t="str">
        <f>IL_prices!F22</f>
        <v>LP28</v>
      </c>
      <c r="G34" s="84" t="str">
        <f>IL_prices!G22</f>
        <v>0-100 Kw</v>
      </c>
      <c r="H34" s="85" t="str">
        <f t="shared" ref="H34" si="20">IF($M$2="Prices in $/MWh","500-2500 MWh","500,000-2,500,000 kWh")</f>
        <v>500-2500 MWh</v>
      </c>
      <c r="I34" s="84">
        <f>(IL_prices!I22+$D$2)*IF($M$2="Prices in $/MWh",1,1/1000)</f>
        <v>62.61</v>
      </c>
      <c r="J34" s="83">
        <f>(IL_prices!J22+$D$2)*IF($M$2="Prices in $/MWh",1,1/1000)</f>
        <v>63.75</v>
      </c>
      <c r="K34" s="84">
        <f>(IL_prices!K22+$D$2)*IF($M$2="Prices in $/MWh",1,1/1000)</f>
        <v>65.680000000000007</v>
      </c>
      <c r="L34" s="83">
        <f>(IL_prices!L22+$D$2)*IF($M$2="Prices in $/MWh",1,1/1000)</f>
        <v>30.03</v>
      </c>
      <c r="M34" s="84">
        <f>(IL_prices!M22+$D$2)*IF($M$2="Prices in $/MWh",1,1/1000)</f>
        <v>31.66</v>
      </c>
      <c r="N34" s="83">
        <f>(IL_prices!N22+$D$2)*IF($M$2="Prices in $/MWh",1,1/1000)</f>
        <v>33.200000000000003</v>
      </c>
      <c r="O34" s="61"/>
    </row>
    <row r="35" spans="2:15" x14ac:dyDescent="0.25">
      <c r="B35" s="57"/>
      <c r="C35" s="74" t="str">
        <f>IL_prices!C23</f>
        <v>September-2016</v>
      </c>
      <c r="D35" s="75" t="str">
        <f>IL_prices!D23</f>
        <v>IL</v>
      </c>
      <c r="E35" s="76" t="str">
        <f>IL_prices!E23</f>
        <v>ComED</v>
      </c>
      <c r="F35" s="75" t="str">
        <f>IL_prices!F23</f>
        <v>LP28</v>
      </c>
      <c r="G35" s="76" t="str">
        <f>IL_prices!G23</f>
        <v>0-100 Kw</v>
      </c>
      <c r="H35" s="77" t="str">
        <f t="shared" ref="H35" si="21">IF($M$2="Prices in $/MWh","0-100 MWh","0-100,000 kWh")</f>
        <v>0-100 MWh</v>
      </c>
      <c r="I35" s="76">
        <f>(IL_prices!I23+$D$2)*IF($M$2="Prices in $/MWh",1,1/1000)</f>
        <v>65.709999999999994</v>
      </c>
      <c r="J35" s="75">
        <f>(IL_prices!J23+$D$2)*IF($M$2="Prices in $/MWh",1,1/1000)</f>
        <v>66.86</v>
      </c>
      <c r="K35" s="76">
        <f>(IL_prices!K23+$D$2)*IF($M$2="Prices in $/MWh",1,1/1000)</f>
        <v>68.87</v>
      </c>
      <c r="L35" s="75">
        <f>(IL_prices!L23+$D$2)*IF($M$2="Prices in $/MWh",1,1/1000)</f>
        <v>33.21</v>
      </c>
      <c r="M35" s="76">
        <f>(IL_prices!M23+$D$2)*IF($M$2="Prices in $/MWh",1,1/1000)</f>
        <v>34.82</v>
      </c>
      <c r="N35" s="75">
        <f>(IL_prices!N23+$D$2)*IF($M$2="Prices in $/MWh",1,1/1000)</f>
        <v>36.409999999999997</v>
      </c>
      <c r="O35" s="61"/>
    </row>
    <row r="36" spans="2:15" x14ac:dyDescent="0.25">
      <c r="B36" s="57"/>
      <c r="C36" s="78" t="str">
        <f>IL_prices!C24</f>
        <v>September-2016</v>
      </c>
      <c r="D36" s="79" t="str">
        <f>IL_prices!D24</f>
        <v>IL</v>
      </c>
      <c r="E36" s="80" t="str">
        <f>IL_prices!E24</f>
        <v>ComED</v>
      </c>
      <c r="F36" s="79" t="str">
        <f>IL_prices!F24</f>
        <v>LP28</v>
      </c>
      <c r="G36" s="80" t="str">
        <f>IL_prices!G24</f>
        <v>0-100 Kw</v>
      </c>
      <c r="H36" s="81" t="str">
        <f t="shared" ref="H36" si="22">IF($M$2="Prices in $/MWh","100-500 MWh","100,000-500,000 kWh")</f>
        <v>100-500 MWh</v>
      </c>
      <c r="I36" s="80">
        <f>(IL_prices!I24+$D$2)*IF($M$2="Prices in $/MWh",1,1/1000)</f>
        <v>64.11</v>
      </c>
      <c r="J36" s="79">
        <f>(IL_prices!J24+$D$2)*IF($M$2="Prices in $/MWh",1,1/1000)</f>
        <v>65.260000000000005</v>
      </c>
      <c r="K36" s="80">
        <f>(IL_prices!K24+$D$2)*IF($M$2="Prices in $/MWh",1,1/1000)</f>
        <v>67.27</v>
      </c>
      <c r="L36" s="79">
        <f>(IL_prices!L24+$D$2)*IF($M$2="Prices in $/MWh",1,1/1000)</f>
        <v>31.61</v>
      </c>
      <c r="M36" s="80">
        <f>(IL_prices!M24+$D$2)*IF($M$2="Prices in $/MWh",1,1/1000)</f>
        <v>33.22</v>
      </c>
      <c r="N36" s="79">
        <f>(IL_prices!N24+$D$2)*IF($M$2="Prices in $/MWh",1,1/1000)</f>
        <v>34.81</v>
      </c>
      <c r="O36" s="61"/>
    </row>
    <row r="37" spans="2:15" x14ac:dyDescent="0.25">
      <c r="B37" s="57"/>
      <c r="C37" s="82" t="str">
        <f>IL_prices!C25</f>
        <v>September-2016</v>
      </c>
      <c r="D37" s="83" t="str">
        <f>IL_prices!D25</f>
        <v>IL</v>
      </c>
      <c r="E37" s="84" t="str">
        <f>IL_prices!E25</f>
        <v>ComED</v>
      </c>
      <c r="F37" s="83" t="str">
        <f>IL_prices!F25</f>
        <v>LP28</v>
      </c>
      <c r="G37" s="84" t="str">
        <f>IL_prices!G25</f>
        <v>0-100 Kw</v>
      </c>
      <c r="H37" s="85" t="str">
        <f t="shared" ref="H37" si="23">IF($M$2="Prices in $/MWh","500-2500 MWh","500,000-2,500,000 kWh")</f>
        <v>500-2500 MWh</v>
      </c>
      <c r="I37" s="84">
        <f>(IL_prices!I25+$D$2)*IF($M$2="Prices in $/MWh",1,1/1000)</f>
        <v>63.06</v>
      </c>
      <c r="J37" s="83">
        <f>(IL_prices!J25+$D$2)*IF($M$2="Prices in $/MWh",1,1/1000)</f>
        <v>64.209999999999994</v>
      </c>
      <c r="K37" s="84">
        <f>(IL_prices!K25+$D$2)*IF($M$2="Prices in $/MWh",1,1/1000)</f>
        <v>66.22</v>
      </c>
      <c r="L37" s="83">
        <f>(IL_prices!L25+$D$2)*IF($M$2="Prices in $/MWh",1,1/1000)</f>
        <v>30.56</v>
      </c>
      <c r="M37" s="84">
        <f>(IL_prices!M25+$D$2)*IF($M$2="Prices in $/MWh",1,1/1000)</f>
        <v>32.17</v>
      </c>
      <c r="N37" s="83">
        <f>(IL_prices!N25+$D$2)*IF($M$2="Prices in $/MWh",1,1/1000)</f>
        <v>33.76</v>
      </c>
      <c r="O37" s="61"/>
    </row>
    <row r="38" spans="2:15" x14ac:dyDescent="0.25">
      <c r="B38" s="57"/>
      <c r="C38" s="74" t="str">
        <f>IL_prices!C26</f>
        <v>October-2016</v>
      </c>
      <c r="D38" s="75" t="str">
        <f>IL_prices!D26</f>
        <v>IL</v>
      </c>
      <c r="E38" s="76" t="str">
        <f>IL_prices!E26</f>
        <v>ComED</v>
      </c>
      <c r="F38" s="75" t="str">
        <f>IL_prices!F26</f>
        <v>LP28</v>
      </c>
      <c r="G38" s="76" t="str">
        <f>IL_prices!G26</f>
        <v>0-100 Kw</v>
      </c>
      <c r="H38" s="77" t="str">
        <f t="shared" ref="H38" si="24">IF($M$2="Prices in $/MWh","0-100 MWh","0-100,000 kWh")</f>
        <v>0-100 MWh</v>
      </c>
      <c r="I38" s="76">
        <f>(IL_prices!I26+$D$2)*IF($M$2="Prices in $/MWh",1,1/1000)</f>
        <v>66.22</v>
      </c>
      <c r="J38" s="75">
        <f>(IL_prices!J26+$D$2)*IF($M$2="Prices in $/MWh",1,1/1000)</f>
        <v>67.569999999999993</v>
      </c>
      <c r="K38" s="76">
        <f>(IL_prices!K26+$D$2)*IF($M$2="Prices in $/MWh",1,1/1000)</f>
        <v>69.38</v>
      </c>
      <c r="L38" s="75">
        <f>(IL_prices!L26+$D$2)*IF($M$2="Prices in $/MWh",1,1/1000)</f>
        <v>33.74</v>
      </c>
      <c r="M38" s="76">
        <f>(IL_prices!M26+$D$2)*IF($M$2="Prices in $/MWh",1,1/1000)</f>
        <v>35.32</v>
      </c>
      <c r="N38" s="75">
        <f>(IL_prices!N26+$D$2)*IF($M$2="Prices in $/MWh",1,1/1000)</f>
        <v>36.97</v>
      </c>
      <c r="O38" s="61"/>
    </row>
    <row r="39" spans="2:15" x14ac:dyDescent="0.25">
      <c r="B39" s="57"/>
      <c r="C39" s="78" t="str">
        <f>IL_prices!C27</f>
        <v>October-2016</v>
      </c>
      <c r="D39" s="79" t="str">
        <f>IL_prices!D27</f>
        <v>IL</v>
      </c>
      <c r="E39" s="80" t="str">
        <f>IL_prices!E27</f>
        <v>ComED</v>
      </c>
      <c r="F39" s="79" t="str">
        <f>IL_prices!F27</f>
        <v>LP28</v>
      </c>
      <c r="G39" s="80" t="str">
        <f>IL_prices!G27</f>
        <v>0-100 Kw</v>
      </c>
      <c r="H39" s="81" t="str">
        <f t="shared" ref="H39" si="25">IF($M$2="Prices in $/MWh","100-500 MWh","100,000-500,000 kWh")</f>
        <v>100-500 MWh</v>
      </c>
      <c r="I39" s="80">
        <f>(IL_prices!I27+$D$2)*IF($M$2="Prices in $/MWh",1,1/1000)</f>
        <v>64.62</v>
      </c>
      <c r="J39" s="79">
        <f>(IL_prices!J27+$D$2)*IF($M$2="Prices in $/MWh",1,1/1000)</f>
        <v>65.97</v>
      </c>
      <c r="K39" s="80">
        <f>(IL_prices!K27+$D$2)*IF($M$2="Prices in $/MWh",1,1/1000)</f>
        <v>67.78</v>
      </c>
      <c r="L39" s="79">
        <f>(IL_prices!L27+$D$2)*IF($M$2="Prices in $/MWh",1,1/1000)</f>
        <v>32.14</v>
      </c>
      <c r="M39" s="80">
        <f>(IL_prices!M27+$D$2)*IF($M$2="Prices in $/MWh",1,1/1000)</f>
        <v>33.72</v>
      </c>
      <c r="N39" s="79">
        <f>(IL_prices!N27+$D$2)*IF($M$2="Prices in $/MWh",1,1/1000)</f>
        <v>35.369999999999997</v>
      </c>
      <c r="O39" s="61"/>
    </row>
    <row r="40" spans="2:15" x14ac:dyDescent="0.25">
      <c r="B40" s="57"/>
      <c r="C40" s="82" t="str">
        <f>IL_prices!C28</f>
        <v>October-2016</v>
      </c>
      <c r="D40" s="83" t="str">
        <f>IL_prices!D28</f>
        <v>IL</v>
      </c>
      <c r="E40" s="84" t="str">
        <f>IL_prices!E28</f>
        <v>ComED</v>
      </c>
      <c r="F40" s="83" t="str">
        <f>IL_prices!F28</f>
        <v>LP28</v>
      </c>
      <c r="G40" s="84" t="str">
        <f>IL_prices!G28</f>
        <v>0-100 Kw</v>
      </c>
      <c r="H40" s="85" t="str">
        <f t="shared" ref="H40" si="26">IF($M$2="Prices in $/MWh","500-2500 MWh","500,000-2,500,000 kWh")</f>
        <v>500-2500 MWh</v>
      </c>
      <c r="I40" s="84">
        <f>(IL_prices!I28+$D$2)*IF($M$2="Prices in $/MWh",1,1/1000)</f>
        <v>63.57</v>
      </c>
      <c r="J40" s="83">
        <f>(IL_prices!J28+$D$2)*IF($M$2="Prices in $/MWh",1,1/1000)</f>
        <v>64.92</v>
      </c>
      <c r="K40" s="84">
        <f>(IL_prices!K28+$D$2)*IF($M$2="Prices in $/MWh",1,1/1000)</f>
        <v>66.73</v>
      </c>
      <c r="L40" s="83">
        <f>(IL_prices!L28+$D$2)*IF($M$2="Prices in $/MWh",1,1/1000)</f>
        <v>31.09</v>
      </c>
      <c r="M40" s="84">
        <f>(IL_prices!M28+$D$2)*IF($M$2="Prices in $/MWh",1,1/1000)</f>
        <v>32.67</v>
      </c>
      <c r="N40" s="83">
        <f>(IL_prices!N28+$D$2)*IF($M$2="Prices in $/MWh",1,1/1000)</f>
        <v>34.32</v>
      </c>
      <c r="O40" s="61"/>
    </row>
    <row r="41" spans="2:15" x14ac:dyDescent="0.25">
      <c r="B41" s="57"/>
      <c r="C41" s="74" t="str">
        <f>IL_prices!C29</f>
        <v>November-2016</v>
      </c>
      <c r="D41" s="75" t="str">
        <f>IL_prices!D29</f>
        <v>IL</v>
      </c>
      <c r="E41" s="76" t="str">
        <f>IL_prices!E29</f>
        <v>ComED</v>
      </c>
      <c r="F41" s="75" t="str">
        <f>IL_prices!F29</f>
        <v>LP28</v>
      </c>
      <c r="G41" s="76" t="str">
        <f>IL_prices!G29</f>
        <v>0-100 Kw</v>
      </c>
      <c r="H41" s="77" t="str">
        <f t="shared" ref="H41" si="27">IF($M$2="Prices in $/MWh","0-100 MWh","0-100,000 kWh")</f>
        <v>0-100 MWh</v>
      </c>
      <c r="I41" s="76">
        <f>(IL_prices!I29+$D$2)*IF($M$2="Prices in $/MWh",1,1/1000)</f>
        <v>66.78</v>
      </c>
      <c r="J41" s="75">
        <f>(IL_prices!J29+$D$2)*IF($M$2="Prices in $/MWh",1,1/1000)</f>
        <v>68.14</v>
      </c>
      <c r="K41" s="76">
        <f>(IL_prices!K29+$D$2)*IF($M$2="Prices in $/MWh",1,1/1000)</f>
        <v>69.959999999999994</v>
      </c>
      <c r="L41" s="75">
        <f>(IL_prices!L29+$D$2)*IF($M$2="Prices in $/MWh",1,1/1000)</f>
        <v>34.29</v>
      </c>
      <c r="M41" s="76">
        <f>(IL_prices!M29+$D$2)*IF($M$2="Prices in $/MWh",1,1/1000)</f>
        <v>35.79</v>
      </c>
      <c r="N41" s="75">
        <f>(IL_prices!N29+$D$2)*IF($M$2="Prices in $/MWh",1,1/1000)</f>
        <v>37.53</v>
      </c>
      <c r="O41" s="61"/>
    </row>
    <row r="42" spans="2:15" x14ac:dyDescent="0.25">
      <c r="B42" s="57"/>
      <c r="C42" s="78" t="str">
        <f>IL_prices!C30</f>
        <v>November-2016</v>
      </c>
      <c r="D42" s="79" t="str">
        <f>IL_prices!D30</f>
        <v>IL</v>
      </c>
      <c r="E42" s="80" t="str">
        <f>IL_prices!E30</f>
        <v>ComED</v>
      </c>
      <c r="F42" s="79" t="str">
        <f>IL_prices!F30</f>
        <v>LP28</v>
      </c>
      <c r="G42" s="80" t="str">
        <f>IL_prices!G30</f>
        <v>0-100 Kw</v>
      </c>
      <c r="H42" s="81" t="str">
        <f t="shared" ref="H42" si="28">IF($M$2="Prices in $/MWh","100-500 MWh","100,000-500,000 kWh")</f>
        <v>100-500 MWh</v>
      </c>
      <c r="I42" s="80">
        <f>(IL_prices!I30+$D$2)*IF($M$2="Prices in $/MWh",1,1/1000)</f>
        <v>65.180000000000007</v>
      </c>
      <c r="J42" s="79">
        <f>(IL_prices!J30+$D$2)*IF($M$2="Prices in $/MWh",1,1/1000)</f>
        <v>66.540000000000006</v>
      </c>
      <c r="K42" s="80">
        <f>(IL_prices!K30+$D$2)*IF($M$2="Prices in $/MWh",1,1/1000)</f>
        <v>68.36</v>
      </c>
      <c r="L42" s="79">
        <f>(IL_prices!L30+$D$2)*IF($M$2="Prices in $/MWh",1,1/1000)</f>
        <v>32.69</v>
      </c>
      <c r="M42" s="80">
        <f>(IL_prices!M30+$D$2)*IF($M$2="Prices in $/MWh",1,1/1000)</f>
        <v>34.19</v>
      </c>
      <c r="N42" s="79">
        <f>(IL_prices!N30+$D$2)*IF($M$2="Prices in $/MWh",1,1/1000)</f>
        <v>35.93</v>
      </c>
      <c r="O42" s="61"/>
    </row>
    <row r="43" spans="2:15" x14ac:dyDescent="0.25">
      <c r="B43" s="57"/>
      <c r="C43" s="82" t="str">
        <f>IL_prices!C31</f>
        <v>November-2016</v>
      </c>
      <c r="D43" s="83" t="str">
        <f>IL_prices!D31</f>
        <v>IL</v>
      </c>
      <c r="E43" s="84" t="str">
        <f>IL_prices!E31</f>
        <v>ComED</v>
      </c>
      <c r="F43" s="83" t="str">
        <f>IL_prices!F31</f>
        <v>LP28</v>
      </c>
      <c r="G43" s="84" t="str">
        <f>IL_prices!G31</f>
        <v>0-100 Kw</v>
      </c>
      <c r="H43" s="85" t="str">
        <f t="shared" ref="H43" si="29">IF($M$2="Prices in $/MWh","500-2500 MWh","500,000-2,500,000 kWh")</f>
        <v>500-2500 MWh</v>
      </c>
      <c r="I43" s="84">
        <f>(IL_prices!I31+$D$2)*IF($M$2="Prices in $/MWh",1,1/1000)</f>
        <v>64.13</v>
      </c>
      <c r="J43" s="83">
        <f>(IL_prices!J31+$D$2)*IF($M$2="Prices in $/MWh",1,1/1000)</f>
        <v>65.489999999999995</v>
      </c>
      <c r="K43" s="84">
        <f>(IL_prices!K31+$D$2)*IF($M$2="Prices in $/MWh",1,1/1000)</f>
        <v>67.31</v>
      </c>
      <c r="L43" s="83">
        <f>(IL_prices!L31+$D$2)*IF($M$2="Prices in $/MWh",1,1/1000)</f>
        <v>31.64</v>
      </c>
      <c r="M43" s="84">
        <f>(IL_prices!M31+$D$2)*IF($M$2="Prices in $/MWh",1,1/1000)</f>
        <v>33.14</v>
      </c>
      <c r="N43" s="83">
        <f>(IL_prices!N31+$D$2)*IF($M$2="Prices in $/MWh",1,1/1000)</f>
        <v>34.880000000000003</v>
      </c>
      <c r="O43" s="61"/>
    </row>
    <row r="44" spans="2:15" x14ac:dyDescent="0.25">
      <c r="B44" s="57"/>
      <c r="C44" s="74" t="str">
        <f>IL_prices!C32</f>
        <v>December-2016</v>
      </c>
      <c r="D44" s="75" t="str">
        <f>IL_prices!D32</f>
        <v>IL</v>
      </c>
      <c r="E44" s="76" t="str">
        <f>IL_prices!E32</f>
        <v>ComED</v>
      </c>
      <c r="F44" s="75" t="str">
        <f>IL_prices!F32</f>
        <v>LP28</v>
      </c>
      <c r="G44" s="76" t="str">
        <f>IL_prices!G32</f>
        <v>0-100 Kw</v>
      </c>
      <c r="H44" s="77" t="str">
        <f t="shared" ref="H44" si="30">IF($M$2="Prices in $/MWh","0-100 MWh","0-100,000 kWh")</f>
        <v>0-100 MWh</v>
      </c>
      <c r="I44" s="76">
        <f>(IL_prices!I32+$D$2)*IF($M$2="Prices in $/MWh",1,1/1000)</f>
        <v>67.22</v>
      </c>
      <c r="J44" s="75">
        <f>(IL_prices!J32+$D$2)*IF($M$2="Prices in $/MWh",1,1/1000)</f>
        <v>68.77</v>
      </c>
      <c r="K44" s="76">
        <f>(IL_prices!K32+$D$2)*IF($M$2="Prices in $/MWh",1,1/1000)</f>
        <v>70.459999999999994</v>
      </c>
      <c r="L44" s="75">
        <f>(IL_prices!L32+$D$2)*IF($M$2="Prices in $/MWh",1,1/1000)</f>
        <v>34.78</v>
      </c>
      <c r="M44" s="76">
        <f>(IL_prices!M32+$D$2)*IF($M$2="Prices in $/MWh",1,1/1000)</f>
        <v>36.24</v>
      </c>
      <c r="N44" s="75">
        <f>(IL_prices!N32+$D$2)*IF($M$2="Prices in $/MWh",1,1/1000)</f>
        <v>38.06</v>
      </c>
      <c r="O44" s="61"/>
    </row>
    <row r="45" spans="2:15" x14ac:dyDescent="0.25">
      <c r="B45" s="57"/>
      <c r="C45" s="78" t="str">
        <f>IL_prices!C33</f>
        <v>December-2016</v>
      </c>
      <c r="D45" s="79" t="str">
        <f>IL_prices!D33</f>
        <v>IL</v>
      </c>
      <c r="E45" s="80" t="str">
        <f>IL_prices!E33</f>
        <v>ComED</v>
      </c>
      <c r="F45" s="79" t="str">
        <f>IL_prices!F33</f>
        <v>LP28</v>
      </c>
      <c r="G45" s="80" t="str">
        <f>IL_prices!G33</f>
        <v>0-100 Kw</v>
      </c>
      <c r="H45" s="81" t="str">
        <f t="shared" ref="H45" si="31">IF($M$2="Prices in $/MWh","100-500 MWh","100,000-500,000 kWh")</f>
        <v>100-500 MWh</v>
      </c>
      <c r="I45" s="80">
        <f>(IL_prices!I33+$D$2)*IF($M$2="Prices in $/MWh",1,1/1000)</f>
        <v>65.62</v>
      </c>
      <c r="J45" s="79">
        <f>(IL_prices!J33+$D$2)*IF($M$2="Prices in $/MWh",1,1/1000)</f>
        <v>67.17</v>
      </c>
      <c r="K45" s="80">
        <f>(IL_prices!K33+$D$2)*IF($M$2="Prices in $/MWh",1,1/1000)</f>
        <v>68.86</v>
      </c>
      <c r="L45" s="79">
        <f>(IL_prices!L33+$D$2)*IF($M$2="Prices in $/MWh",1,1/1000)</f>
        <v>33.18</v>
      </c>
      <c r="M45" s="80">
        <f>(IL_prices!M33+$D$2)*IF($M$2="Prices in $/MWh",1,1/1000)</f>
        <v>34.64</v>
      </c>
      <c r="N45" s="79">
        <f>(IL_prices!N33+$D$2)*IF($M$2="Prices in $/MWh",1,1/1000)</f>
        <v>36.46</v>
      </c>
      <c r="O45" s="61"/>
    </row>
    <row r="46" spans="2:15" x14ac:dyDescent="0.25">
      <c r="B46" s="57"/>
      <c r="C46" s="82" t="str">
        <f>IL_prices!C34</f>
        <v>December-2016</v>
      </c>
      <c r="D46" s="83" t="str">
        <f>IL_prices!D34</f>
        <v>IL</v>
      </c>
      <c r="E46" s="84" t="str">
        <f>IL_prices!E34</f>
        <v>ComED</v>
      </c>
      <c r="F46" s="83" t="str">
        <f>IL_prices!F34</f>
        <v>LP28</v>
      </c>
      <c r="G46" s="84" t="str">
        <f>IL_prices!G34</f>
        <v>0-100 Kw</v>
      </c>
      <c r="H46" s="85" t="str">
        <f t="shared" ref="H46" si="32">IF($M$2="Prices in $/MWh","500-2500 MWh","500,000-2,500,000 kWh")</f>
        <v>500-2500 MWh</v>
      </c>
      <c r="I46" s="84">
        <f>(IL_prices!I34+$D$2)*IF($M$2="Prices in $/MWh",1,1/1000)</f>
        <v>64.569999999999993</v>
      </c>
      <c r="J46" s="83">
        <f>(IL_prices!J34+$D$2)*IF($M$2="Prices in $/MWh",1,1/1000)</f>
        <v>66.12</v>
      </c>
      <c r="K46" s="84">
        <f>(IL_prices!K34+$D$2)*IF($M$2="Prices in $/MWh",1,1/1000)</f>
        <v>67.81</v>
      </c>
      <c r="L46" s="83">
        <f>(IL_prices!L34+$D$2)*IF($M$2="Prices in $/MWh",1,1/1000)</f>
        <v>32.130000000000003</v>
      </c>
      <c r="M46" s="84">
        <f>(IL_prices!M34+$D$2)*IF($M$2="Prices in $/MWh",1,1/1000)</f>
        <v>33.590000000000003</v>
      </c>
      <c r="N46" s="83">
        <f>(IL_prices!N34+$D$2)*IF($M$2="Prices in $/MWh",1,1/1000)</f>
        <v>35.409999999999997</v>
      </c>
      <c r="O46" s="61"/>
    </row>
    <row r="47" spans="2:15" x14ac:dyDescent="0.25">
      <c r="B47" s="57"/>
      <c r="C47" s="74" t="str">
        <f>IL_prices!C35</f>
        <v>January-2017</v>
      </c>
      <c r="D47" s="75" t="str">
        <f>IL_prices!D35</f>
        <v>IL</v>
      </c>
      <c r="E47" s="76" t="str">
        <f>IL_prices!E35</f>
        <v>ComED</v>
      </c>
      <c r="F47" s="75" t="str">
        <f>IL_prices!F35</f>
        <v>LP28</v>
      </c>
      <c r="G47" s="76" t="str">
        <f>IL_prices!G35</f>
        <v>0-100 Kw</v>
      </c>
      <c r="H47" s="77" t="str">
        <f t="shared" ref="H47" si="33">IF($M$2="Prices in $/MWh","0-100 MWh","0-100,000 kWh")</f>
        <v>0-100 MWh</v>
      </c>
      <c r="I47" s="76">
        <f>(IL_prices!I35+$D$2)*IF($M$2="Prices in $/MWh",1,1/1000)</f>
        <v>67.709999999999994</v>
      </c>
      <c r="J47" s="75">
        <f>(IL_prices!J35+$D$2)*IF($M$2="Prices in $/MWh",1,1/1000)</f>
        <v>69.53</v>
      </c>
      <c r="K47" s="76">
        <f>(IL_prices!K35+$D$2)*IF($M$2="Prices in $/MWh",1,1/1000)</f>
        <v>71.06</v>
      </c>
      <c r="L47" s="75">
        <f>(IL_prices!L35+$D$2)*IF($M$2="Prices in $/MWh",1,1/1000)</f>
        <v>35.32</v>
      </c>
      <c r="M47" s="76">
        <f>(IL_prices!M35+$D$2)*IF($M$2="Prices in $/MWh",1,1/1000)</f>
        <v>36.89</v>
      </c>
      <c r="N47" s="75">
        <f>(IL_prices!N35+$D$2)*IF($M$2="Prices in $/MWh",1,1/1000)</f>
        <v>38.630000000000003</v>
      </c>
      <c r="O47" s="61"/>
    </row>
    <row r="48" spans="2:15" x14ac:dyDescent="0.25">
      <c r="B48" s="57"/>
      <c r="C48" s="78" t="str">
        <f>IL_prices!C36</f>
        <v>January-2017</v>
      </c>
      <c r="D48" s="79" t="str">
        <f>IL_prices!D36</f>
        <v>IL</v>
      </c>
      <c r="E48" s="80" t="str">
        <f>IL_prices!E36</f>
        <v>ComED</v>
      </c>
      <c r="F48" s="79" t="str">
        <f>IL_prices!F36</f>
        <v>LP28</v>
      </c>
      <c r="G48" s="80" t="str">
        <f>IL_prices!G36</f>
        <v>0-100 Kw</v>
      </c>
      <c r="H48" s="81" t="str">
        <f t="shared" ref="H48" si="34">IF($M$2="Prices in $/MWh","100-500 MWh","100,000-500,000 kWh")</f>
        <v>100-500 MWh</v>
      </c>
      <c r="I48" s="80">
        <f>(IL_prices!I36+$D$2)*IF($M$2="Prices in $/MWh",1,1/1000)</f>
        <v>66.11</v>
      </c>
      <c r="J48" s="79">
        <f>(IL_prices!J36+$D$2)*IF($M$2="Prices in $/MWh",1,1/1000)</f>
        <v>67.930000000000007</v>
      </c>
      <c r="K48" s="80">
        <f>(IL_prices!K36+$D$2)*IF($M$2="Prices in $/MWh",1,1/1000)</f>
        <v>69.459999999999994</v>
      </c>
      <c r="L48" s="79">
        <f>(IL_prices!L36+$D$2)*IF($M$2="Prices in $/MWh",1,1/1000)</f>
        <v>33.72</v>
      </c>
      <c r="M48" s="80">
        <f>(IL_prices!M36+$D$2)*IF($M$2="Prices in $/MWh",1,1/1000)</f>
        <v>35.29</v>
      </c>
      <c r="N48" s="79">
        <f>(IL_prices!N36+$D$2)*IF($M$2="Prices in $/MWh",1,1/1000)</f>
        <v>37.03</v>
      </c>
      <c r="O48" s="61"/>
    </row>
    <row r="49" spans="2:15" ht="15.75" thickBot="1" x14ac:dyDescent="0.3">
      <c r="B49" s="57"/>
      <c r="C49" s="82" t="str">
        <f>IL_prices!C37</f>
        <v>January-2017</v>
      </c>
      <c r="D49" s="83" t="str">
        <f>IL_prices!D37</f>
        <v>IL</v>
      </c>
      <c r="E49" s="84" t="str">
        <f>IL_prices!E37</f>
        <v>ComED</v>
      </c>
      <c r="F49" s="83" t="str">
        <f>IL_prices!F37</f>
        <v>LP28</v>
      </c>
      <c r="G49" s="84" t="str">
        <f>IL_prices!G37</f>
        <v>0-100 Kw</v>
      </c>
      <c r="H49" s="85" t="str">
        <f t="shared" ref="H49" si="35">IF($M$2="Prices in $/MWh","500-2500 MWh","500,000-2,500,000 kWh")</f>
        <v>500-2500 MWh</v>
      </c>
      <c r="I49" s="84">
        <f>(IL_prices!I37+$D$2)*IF($M$2="Prices in $/MWh",1,1/1000)</f>
        <v>65.06</v>
      </c>
      <c r="J49" s="83">
        <f>(IL_prices!J37+$D$2)*IF($M$2="Prices in $/MWh",1,1/1000)</f>
        <v>66.88</v>
      </c>
      <c r="K49" s="84">
        <f>(IL_prices!K37+$D$2)*IF($M$2="Prices in $/MWh",1,1/1000)</f>
        <v>68.41</v>
      </c>
      <c r="L49" s="83">
        <f>(IL_prices!L37+$D$2)*IF($M$2="Prices in $/MWh",1,1/1000)</f>
        <v>32.67</v>
      </c>
      <c r="M49" s="84">
        <f>(IL_prices!M37+$D$2)*IF($M$2="Prices in $/MWh",1,1/1000)</f>
        <v>34.24</v>
      </c>
      <c r="N49" s="83">
        <f>(IL_prices!N37+$D$2)*IF($M$2="Prices in $/MWh",1,1/1000)</f>
        <v>35.979999999999997</v>
      </c>
      <c r="O49" s="61"/>
    </row>
    <row r="50" spans="2:15" s="2" customFormat="1" ht="7.5" customHeight="1" thickBot="1" x14ac:dyDescent="0.2">
      <c r="B50" s="5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7"/>
    </row>
    <row r="51" spans="2:15" s="2" customFormat="1" ht="15.75" x14ac:dyDescent="0.25">
      <c r="B51" s="5"/>
      <c r="C51" s="102" t="s">
        <v>650</v>
      </c>
      <c r="D51" s="3"/>
      <c r="E51" s="3"/>
      <c r="F51" s="3"/>
      <c r="G51" s="3"/>
      <c r="H51" s="3"/>
      <c r="I51" s="3"/>
      <c r="J51" s="3"/>
      <c r="K51" s="3"/>
      <c r="L51" s="3"/>
      <c r="M51" s="3"/>
      <c r="N51" s="4"/>
      <c r="O51" s="7"/>
    </row>
    <row r="52" spans="2:15" s="2" customFormat="1" ht="10.5" x14ac:dyDescent="0.15">
      <c r="B52" s="5"/>
      <c r="C52" s="5" t="s">
        <v>651</v>
      </c>
      <c r="D52" s="6"/>
      <c r="E52" s="6"/>
      <c r="F52" s="6"/>
      <c r="G52" s="6"/>
      <c r="H52" s="6"/>
      <c r="I52" s="6"/>
      <c r="J52" s="6"/>
      <c r="K52" s="6"/>
      <c r="L52" s="6"/>
      <c r="M52" s="6"/>
      <c r="N52" s="7"/>
      <c r="O52" s="7"/>
    </row>
    <row r="53" spans="2:15" s="2" customFormat="1" ht="10.5" x14ac:dyDescent="0.15">
      <c r="B53" s="5"/>
      <c r="C53" s="5" t="s">
        <v>652</v>
      </c>
      <c r="D53" s="6"/>
      <c r="E53" s="6"/>
      <c r="F53" s="6"/>
      <c r="G53" s="6"/>
      <c r="H53" s="6"/>
      <c r="I53" s="6"/>
      <c r="J53" s="6"/>
      <c r="K53" s="6"/>
      <c r="L53" s="6"/>
      <c r="M53" s="6"/>
      <c r="N53" s="7"/>
      <c r="O53" s="7"/>
    </row>
    <row r="54" spans="2:15" s="2" customFormat="1" ht="10.5" x14ac:dyDescent="0.15">
      <c r="B54" s="5"/>
      <c r="C54" s="5" t="s">
        <v>653</v>
      </c>
      <c r="D54" s="6"/>
      <c r="E54" s="6"/>
      <c r="F54" s="6"/>
      <c r="G54" s="6"/>
      <c r="H54" s="6"/>
      <c r="I54" s="6"/>
      <c r="J54" s="6"/>
      <c r="K54" s="6"/>
      <c r="L54" s="6"/>
      <c r="M54" s="6"/>
      <c r="N54" s="7"/>
      <c r="O54" s="7"/>
    </row>
    <row r="55" spans="2:15" s="2" customFormat="1" ht="10.5" x14ac:dyDescent="0.15">
      <c r="B55" s="5"/>
      <c r="C55" s="5" t="s">
        <v>654</v>
      </c>
      <c r="D55" s="6"/>
      <c r="E55" s="6"/>
      <c r="F55" s="6"/>
      <c r="G55" s="6"/>
      <c r="H55" s="6"/>
      <c r="I55" s="6"/>
      <c r="J55" s="6"/>
      <c r="K55" s="6"/>
      <c r="L55" s="6"/>
      <c r="M55" s="6"/>
      <c r="N55" s="7"/>
      <c r="O55" s="7"/>
    </row>
    <row r="56" spans="2:15" s="2" customFormat="1" ht="10.5" x14ac:dyDescent="0.15">
      <c r="B56" s="5"/>
      <c r="C56" s="5" t="s">
        <v>655</v>
      </c>
      <c r="D56" s="6"/>
      <c r="E56" s="6"/>
      <c r="F56" s="6"/>
      <c r="G56" s="6"/>
      <c r="H56" s="6"/>
      <c r="I56" s="6"/>
      <c r="J56" s="6"/>
      <c r="K56" s="6"/>
      <c r="L56" s="6"/>
      <c r="M56" s="6"/>
      <c r="N56" s="7"/>
      <c r="O56" s="7"/>
    </row>
    <row r="57" spans="2:15" s="2" customFormat="1" ht="10.5" x14ac:dyDescent="0.15">
      <c r="B57" s="5"/>
      <c r="C57" s="5" t="s">
        <v>656</v>
      </c>
      <c r="D57" s="6"/>
      <c r="E57" s="6"/>
      <c r="F57" s="6"/>
      <c r="G57" s="6"/>
      <c r="H57" s="6"/>
      <c r="I57" s="6"/>
      <c r="J57" s="6"/>
      <c r="K57" s="6"/>
      <c r="L57" s="6"/>
      <c r="M57" s="6"/>
      <c r="N57" s="7"/>
      <c r="O57" s="7"/>
    </row>
    <row r="58" spans="2:15" s="2" customFormat="1" ht="11.25" thickBot="1" x14ac:dyDescent="0.2">
      <c r="B58" s="5"/>
      <c r="C58" s="5" t="s">
        <v>657</v>
      </c>
      <c r="D58" s="6"/>
      <c r="E58" s="6"/>
      <c r="F58" s="6"/>
      <c r="G58" s="6"/>
      <c r="H58" s="6"/>
      <c r="I58" s="6"/>
      <c r="J58" s="6"/>
      <c r="K58" s="6"/>
      <c r="L58" s="6"/>
      <c r="M58" s="6"/>
      <c r="N58" s="117"/>
      <c r="O58" s="7"/>
    </row>
    <row r="59" spans="2:15" s="2" customFormat="1" ht="15.75" thickBot="1" x14ac:dyDescent="0.3">
      <c r="B59" s="5"/>
      <c r="C59" s="8" t="s">
        <v>17</v>
      </c>
      <c r="D59" s="9"/>
      <c r="E59" s="9"/>
      <c r="F59" s="9"/>
      <c r="G59" s="9"/>
      <c r="H59" s="9"/>
      <c r="I59" s="9"/>
      <c r="J59" s="9"/>
      <c r="K59" s="9"/>
      <c r="L59" s="9"/>
      <c r="M59" s="9"/>
      <c r="N59" s="10"/>
      <c r="O59" s="7"/>
    </row>
    <row r="60" spans="2:15" ht="15.75" thickBot="1" x14ac:dyDescent="0.3">
      <c r="B60" s="86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8"/>
    </row>
  </sheetData>
  <sheetProtection autoFilter="0"/>
  <autoFilter ref="C13:H49"/>
  <mergeCells count="3">
    <mergeCell ref="C6:F7"/>
    <mergeCell ref="C8:C9"/>
    <mergeCell ref="M2:N2"/>
  </mergeCells>
  <dataValidations count="2">
    <dataValidation type="list" allowBlank="1" showInputMessage="1" showErrorMessage="1" sqref="M2:N2">
      <formula1>"Prices in $/MWh,Prices in $/kWh"</formula1>
    </dataValidation>
    <dataValidation type="decimal" allowBlank="1" showErrorMessage="1" errorTitle="Invalid Input" error="Please enter numerical value." promptTitle="Broker Fee" sqref="D2">
      <formula1>-99</formula1>
      <formula2>99</formula2>
    </dataValidation>
  </dataValidations>
  <printOptions horizontalCentered="1"/>
  <pageMargins left="0.45" right="0.45" top="0.5" bottom="0.5" header="0.3" footer="0.3"/>
  <pageSetup scale="67" fitToHeight="3" orientation="portrait" r:id="rId1"/>
  <headerFooter>
    <oddFooter>Page &amp;P of &amp;N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6" tint="-0.249977111117893"/>
    <pageSetUpPr fitToPage="1"/>
  </sheetPr>
  <dimension ref="B1:O276"/>
  <sheetViews>
    <sheetView showGridLines="0" zoomScale="70" zoomScaleNormal="70" workbookViewId="0">
      <pane ySplit="13" topLeftCell="A224" activePane="bottomLeft" state="frozen"/>
      <selection activeCell="A2" sqref="A2:F2"/>
      <selection pane="bottomLeft" activeCell="M2" sqref="M2:N2"/>
    </sheetView>
  </sheetViews>
  <sheetFormatPr defaultRowHeight="15" x14ac:dyDescent="0.25"/>
  <cols>
    <col min="1" max="1" width="3.83203125" style="49" customWidth="1"/>
    <col min="2" max="2" width="2.5" style="49" customWidth="1"/>
    <col min="3" max="3" width="25.33203125" style="49" customWidth="1"/>
    <col min="4" max="5" width="14.5" style="49" customWidth="1"/>
    <col min="6" max="6" width="43.5" style="49" customWidth="1"/>
    <col min="7" max="7" width="26.5" style="49" customWidth="1"/>
    <col min="8" max="8" width="20.33203125" style="49" customWidth="1"/>
    <col min="9" max="9" width="13.33203125" style="49" customWidth="1"/>
    <col min="10" max="10" width="13.1640625" style="49" customWidth="1"/>
    <col min="11" max="11" width="12.33203125" style="49" customWidth="1"/>
    <col min="12" max="13" width="11.5" style="49" customWidth="1"/>
    <col min="14" max="14" width="13" style="49" customWidth="1"/>
    <col min="15" max="15" width="2.5" style="49" customWidth="1"/>
    <col min="16" max="16" width="3.83203125" style="49" customWidth="1"/>
    <col min="17" max="16384" width="9.33203125" style="49"/>
  </cols>
  <sheetData>
    <row r="1" spans="2:15" ht="5.25" customHeight="1" x14ac:dyDescent="0.25"/>
    <row r="2" spans="2:15" s="50" customFormat="1" ht="18.75" x14ac:dyDescent="0.3">
      <c r="C2" s="51" t="s">
        <v>54</v>
      </c>
      <c r="D2" s="11">
        <v>0</v>
      </c>
      <c r="E2" s="52" t="s">
        <v>90</v>
      </c>
      <c r="M2" s="173" t="s">
        <v>1116</v>
      </c>
      <c r="N2" s="174"/>
      <c r="O2" s="52" t="s">
        <v>90</v>
      </c>
    </row>
    <row r="3" spans="2:15" ht="5.25" customHeight="1" thickBot="1" x14ac:dyDescent="0.3">
      <c r="B3" s="53"/>
    </row>
    <row r="4" spans="2:15" ht="5.25" customHeight="1" x14ac:dyDescent="0.25">
      <c r="B4" s="54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6"/>
    </row>
    <row r="5" spans="2:15" ht="26.25" x14ac:dyDescent="0.4">
      <c r="B5" s="57"/>
      <c r="C5" s="103"/>
      <c r="D5" s="103"/>
      <c r="E5" s="103"/>
      <c r="F5" s="103"/>
      <c r="G5" s="59"/>
      <c r="H5" s="59"/>
      <c r="I5" s="59"/>
      <c r="J5" s="59"/>
      <c r="K5" s="59"/>
      <c r="L5" s="59"/>
      <c r="M5" s="60"/>
      <c r="N5" s="60"/>
      <c r="O5" s="61"/>
    </row>
    <row r="6" spans="2:15" ht="11.25" customHeight="1" x14ac:dyDescent="0.25">
      <c r="B6" s="57"/>
      <c r="C6" s="169" t="s">
        <v>658</v>
      </c>
      <c r="D6" s="169"/>
      <c r="E6" s="169"/>
      <c r="F6" s="169"/>
      <c r="G6" s="59"/>
      <c r="H6" s="59"/>
      <c r="I6" s="59"/>
      <c r="J6" s="59"/>
      <c r="K6" s="59"/>
      <c r="L6" s="59"/>
      <c r="M6" s="60"/>
      <c r="N6" s="60"/>
      <c r="O6" s="61"/>
    </row>
    <row r="7" spans="2:15" ht="11.25" customHeight="1" x14ac:dyDescent="0.25">
      <c r="B7" s="57"/>
      <c r="C7" s="169"/>
      <c r="D7" s="169"/>
      <c r="E7" s="169"/>
      <c r="F7" s="169"/>
      <c r="G7" s="62"/>
      <c r="H7" s="62"/>
      <c r="I7" s="62"/>
      <c r="J7" s="62"/>
      <c r="K7" s="62"/>
      <c r="L7" s="62"/>
      <c r="M7" s="60"/>
      <c r="N7" s="60"/>
      <c r="O7" s="61"/>
    </row>
    <row r="8" spans="2:15" x14ac:dyDescent="0.25">
      <c r="B8" s="57"/>
      <c r="C8" s="172">
        <f>NJ_prices!A2</f>
        <v>42374</v>
      </c>
      <c r="D8" s="60"/>
      <c r="E8" s="59"/>
      <c r="F8" s="62"/>
      <c r="G8" s="90"/>
      <c r="H8" s="62"/>
      <c r="I8" s="62"/>
      <c r="J8" s="62"/>
      <c r="K8" s="62"/>
      <c r="L8" s="90"/>
      <c r="M8" s="60"/>
      <c r="N8" s="60"/>
      <c r="O8" s="61"/>
    </row>
    <row r="9" spans="2:15" ht="10.5" customHeight="1" x14ac:dyDescent="0.25">
      <c r="B9" s="57"/>
      <c r="C9" s="172"/>
      <c r="D9" s="65"/>
      <c r="E9" s="65"/>
      <c r="F9" s="62"/>
      <c r="G9" s="62"/>
      <c r="H9" s="62"/>
      <c r="I9" s="62"/>
      <c r="J9" s="62"/>
      <c r="K9" s="62"/>
      <c r="L9" s="66" t="s">
        <v>92</v>
      </c>
      <c r="M9" s="67" t="s">
        <v>93</v>
      </c>
      <c r="N9" s="60"/>
      <c r="O9" s="61"/>
    </row>
    <row r="10" spans="2:15" ht="18" x14ac:dyDescent="0.25">
      <c r="B10" s="57"/>
      <c r="C10" s="63" t="s">
        <v>0</v>
      </c>
      <c r="D10" s="65"/>
      <c r="E10" s="65"/>
      <c r="F10" s="62"/>
      <c r="G10" s="62"/>
      <c r="H10" s="68"/>
      <c r="I10" s="68"/>
      <c r="J10" s="68"/>
      <c r="K10" s="68"/>
      <c r="L10" s="68">
        <f>IF(NJ!M2="Prices in $/kWh",1000,1)</f>
        <v>1</v>
      </c>
      <c r="M10" s="69">
        <f>IF(NJ!M2="Prices in $/kWh",2,1)</f>
        <v>1</v>
      </c>
      <c r="N10" s="69"/>
      <c r="O10" s="61"/>
    </row>
    <row r="11" spans="2:15" ht="10.5" customHeight="1" thickBot="1" x14ac:dyDescent="0.3">
      <c r="B11" s="57"/>
      <c r="C11" s="60"/>
      <c r="D11" s="60"/>
      <c r="E11" s="60"/>
      <c r="F11" s="62"/>
      <c r="G11" s="62"/>
      <c r="H11" s="69"/>
      <c r="I11" s="69"/>
      <c r="J11" s="69"/>
      <c r="K11" s="69"/>
      <c r="L11" s="69">
        <v>3</v>
      </c>
      <c r="M11" s="69">
        <v>4</v>
      </c>
      <c r="N11" s="69">
        <v>5</v>
      </c>
      <c r="O11" s="61"/>
    </row>
    <row r="12" spans="2:15" ht="18.75" thickBot="1" x14ac:dyDescent="0.3">
      <c r="B12" s="57"/>
      <c r="C12" s="63" t="s">
        <v>51</v>
      </c>
      <c r="D12" s="60"/>
      <c r="E12" s="60"/>
      <c r="F12" s="60"/>
      <c r="G12" s="60"/>
      <c r="H12" s="60"/>
      <c r="I12" s="111" t="str">
        <f>IF(NJ!M2="Prices in $/kWh","Contract Term (months) - $/kWh","Contract Term (months) - $/MWh")</f>
        <v>Contract Term (months) - $/MWh</v>
      </c>
      <c r="J12" s="112"/>
      <c r="K12" s="112"/>
      <c r="L12" s="113" t="str">
        <f>IF(NJ!M2="Prices in $/kWh","Contract Term (months) - $/kWh","Contract Term (months) - $/MWh")</f>
        <v>Contract Term (months) - $/MWh</v>
      </c>
      <c r="M12" s="114"/>
      <c r="N12" s="115"/>
      <c r="O12" s="61"/>
    </row>
    <row r="13" spans="2:15" ht="25.5" customHeight="1" x14ac:dyDescent="0.25">
      <c r="B13" s="57"/>
      <c r="C13" s="71" t="s">
        <v>1</v>
      </c>
      <c r="D13" s="71" t="s">
        <v>2</v>
      </c>
      <c r="E13" s="71" t="s">
        <v>3</v>
      </c>
      <c r="F13" s="71" t="s">
        <v>4</v>
      </c>
      <c r="G13" s="71" t="s">
        <v>89</v>
      </c>
      <c r="H13" s="71" t="s">
        <v>55</v>
      </c>
      <c r="I13" s="72" t="s">
        <v>56</v>
      </c>
      <c r="J13" s="72" t="s">
        <v>57</v>
      </c>
      <c r="K13" s="73" t="s">
        <v>58</v>
      </c>
      <c r="L13" s="72" t="s">
        <v>56</v>
      </c>
      <c r="M13" s="72" t="s">
        <v>57</v>
      </c>
      <c r="N13" s="73" t="s">
        <v>58</v>
      </c>
      <c r="O13" s="61"/>
    </row>
    <row r="14" spans="2:15" x14ac:dyDescent="0.25">
      <c r="B14" s="57"/>
      <c r="C14" s="74" t="str">
        <f>NJ_prices!C2</f>
        <v>February-2016</v>
      </c>
      <c r="D14" s="75" t="str">
        <f>NJ_prices!D2</f>
        <v>NJ</v>
      </c>
      <c r="E14" s="76" t="str">
        <f>NJ_prices!E2</f>
        <v>AECO</v>
      </c>
      <c r="F14" s="75" t="str">
        <f>NJ_prices!F2</f>
        <v>AGS</v>
      </c>
      <c r="G14" s="76" t="str">
        <f>NJ_prices!G2</f>
        <v>Annual Gen services</v>
      </c>
      <c r="H14" s="77" t="str">
        <f>IF($M$2="Prices in $/MWh","0-100 MWh","0-100,000 kWh")</f>
        <v>0-100 MWh</v>
      </c>
      <c r="I14" s="76">
        <f>(NJ_prices!I2+$D$2)*IF($M$2="Prices in $/MWh",1,1/1000)</f>
        <v>93.18</v>
      </c>
      <c r="J14" s="75">
        <f>(NJ_prices!J2+$D$2)*IF($M$2="Prices in $/MWh",1,1/1000)</f>
        <v>93.82</v>
      </c>
      <c r="K14" s="76">
        <f>(NJ_prices!K2+$D$2)*IF($M$2="Prices in $/MWh",1,1/1000)</f>
        <v>93.12</v>
      </c>
      <c r="L14" s="75">
        <f>(NJ_prices!L2+$D$2)*IF($M$2="Prices in $/MWh",1,1/1000)</f>
        <v>48.63</v>
      </c>
      <c r="M14" s="76">
        <f>(NJ_prices!M2+$D$2)*IF($M$2="Prices in $/MWh",1,1/1000)</f>
        <v>49.18</v>
      </c>
      <c r="N14" s="75">
        <f>(NJ_prices!N2+$D$2)*IF($M$2="Prices in $/MWh",1,1/1000)</f>
        <v>48.92</v>
      </c>
      <c r="O14" s="61"/>
    </row>
    <row r="15" spans="2:15" x14ac:dyDescent="0.25">
      <c r="B15" s="57"/>
      <c r="C15" s="78" t="str">
        <f>NJ_prices!C3</f>
        <v>February-2016</v>
      </c>
      <c r="D15" s="79" t="str">
        <f>NJ_prices!D3</f>
        <v>NJ</v>
      </c>
      <c r="E15" s="80" t="str">
        <f>NJ_prices!E3</f>
        <v>AECO</v>
      </c>
      <c r="F15" s="79" t="str">
        <f>NJ_prices!F3</f>
        <v>AGS</v>
      </c>
      <c r="G15" s="80" t="str">
        <f>NJ_prices!G3</f>
        <v>Annual Gen services</v>
      </c>
      <c r="H15" s="81" t="str">
        <f>IF($M$2="Prices in $/MWh","100-500 MWh","100,000-500,000 kWh")</f>
        <v>100-500 MWh</v>
      </c>
      <c r="I15" s="80">
        <f>(NJ_prices!I3+$D$2)*IF($M$2="Prices in $/MWh",1,1/1000)</f>
        <v>91.47</v>
      </c>
      <c r="J15" s="79">
        <f>(NJ_prices!J3+$D$2)*IF($M$2="Prices in $/MWh",1,1/1000)</f>
        <v>92.11</v>
      </c>
      <c r="K15" s="80">
        <f>(NJ_prices!K3+$D$2)*IF($M$2="Prices in $/MWh",1,1/1000)</f>
        <v>91.41</v>
      </c>
      <c r="L15" s="79">
        <f>(NJ_prices!L3+$D$2)*IF($M$2="Prices in $/MWh",1,1/1000)</f>
        <v>46.92</v>
      </c>
      <c r="M15" s="80">
        <f>(NJ_prices!M3+$D$2)*IF($M$2="Prices in $/MWh",1,1/1000)</f>
        <v>47.47</v>
      </c>
      <c r="N15" s="79">
        <f>(NJ_prices!N3+$D$2)*IF($M$2="Prices in $/MWh",1,1/1000)</f>
        <v>47.21</v>
      </c>
      <c r="O15" s="61"/>
    </row>
    <row r="16" spans="2:15" x14ac:dyDescent="0.25">
      <c r="B16" s="57"/>
      <c r="C16" s="82" t="str">
        <f>NJ_prices!C4</f>
        <v>February-2016</v>
      </c>
      <c r="D16" s="83" t="str">
        <f>NJ_prices!D4</f>
        <v>NJ</v>
      </c>
      <c r="E16" s="84" t="str">
        <f>NJ_prices!E4</f>
        <v>AECO</v>
      </c>
      <c r="F16" s="83" t="str">
        <f>NJ_prices!F4</f>
        <v>AGS</v>
      </c>
      <c r="G16" s="84" t="str">
        <f>NJ_prices!G4</f>
        <v>Annual Gen services</v>
      </c>
      <c r="H16" s="85" t="str">
        <f>IF($M$2="Prices in $/MWh","500-2500 MWh","500,000-2,500,000 kWh")</f>
        <v>500-2500 MWh</v>
      </c>
      <c r="I16" s="84">
        <f>(NJ_prices!I4+$D$2)*IF($M$2="Prices in $/MWh",1,1/1000)</f>
        <v>90.35</v>
      </c>
      <c r="J16" s="83">
        <f>(NJ_prices!J4+$D$2)*IF($M$2="Prices in $/MWh",1,1/1000)</f>
        <v>90.98</v>
      </c>
      <c r="K16" s="84">
        <f>(NJ_prices!K4+$D$2)*IF($M$2="Prices in $/MWh",1,1/1000)</f>
        <v>90.29</v>
      </c>
      <c r="L16" s="83">
        <f>(NJ_prices!L4+$D$2)*IF($M$2="Prices in $/MWh",1,1/1000)</f>
        <v>45.79</v>
      </c>
      <c r="M16" s="84">
        <f>(NJ_prices!M4+$D$2)*IF($M$2="Prices in $/MWh",1,1/1000)</f>
        <v>46.34</v>
      </c>
      <c r="N16" s="83">
        <f>(NJ_prices!N4+$D$2)*IF($M$2="Prices in $/MWh",1,1/1000)</f>
        <v>46.08</v>
      </c>
      <c r="O16" s="61"/>
    </row>
    <row r="17" spans="2:15" x14ac:dyDescent="0.25">
      <c r="B17" s="57"/>
      <c r="C17" s="74" t="str">
        <f>NJ_prices!C5</f>
        <v>March-2016</v>
      </c>
      <c r="D17" s="75" t="str">
        <f>NJ_prices!D5</f>
        <v>NJ</v>
      </c>
      <c r="E17" s="76" t="str">
        <f>NJ_prices!E5</f>
        <v>AECO</v>
      </c>
      <c r="F17" s="75" t="str">
        <f>NJ_prices!F5</f>
        <v>AGS</v>
      </c>
      <c r="G17" s="76" t="str">
        <f>NJ_prices!G5</f>
        <v>Annual Gen services</v>
      </c>
      <c r="H17" s="77" t="str">
        <f t="shared" ref="H17" si="0">IF($M$2="Prices in $/MWh","0-100 MWh","0-100,000 kWh")</f>
        <v>0-100 MWh</v>
      </c>
      <c r="I17" s="76">
        <f>(NJ_prices!I5+$D$2)*IF($M$2="Prices in $/MWh",1,1/1000)</f>
        <v>93.61</v>
      </c>
      <c r="J17" s="75">
        <f>(NJ_prices!J5+$D$2)*IF($M$2="Prices in $/MWh",1,1/1000)</f>
        <v>92.77</v>
      </c>
      <c r="K17" s="76">
        <f>(NJ_prices!K5+$D$2)*IF($M$2="Prices in $/MWh",1,1/1000)</f>
        <v>93.15</v>
      </c>
      <c r="L17" s="75">
        <f>(NJ_prices!L5+$D$2)*IF($M$2="Prices in $/MWh",1,1/1000)</f>
        <v>48.47</v>
      </c>
      <c r="M17" s="76">
        <f>(NJ_prices!M5+$D$2)*IF($M$2="Prices in $/MWh",1,1/1000)</f>
        <v>48.34</v>
      </c>
      <c r="N17" s="75">
        <f>(NJ_prices!N5+$D$2)*IF($M$2="Prices in $/MWh",1,1/1000)</f>
        <v>48.62</v>
      </c>
      <c r="O17" s="61"/>
    </row>
    <row r="18" spans="2:15" x14ac:dyDescent="0.25">
      <c r="B18" s="57"/>
      <c r="C18" s="78" t="str">
        <f>NJ_prices!C6</f>
        <v>March-2016</v>
      </c>
      <c r="D18" s="79" t="str">
        <f>NJ_prices!D6</f>
        <v>NJ</v>
      </c>
      <c r="E18" s="80" t="str">
        <f>NJ_prices!E6</f>
        <v>AECO</v>
      </c>
      <c r="F18" s="79" t="str">
        <f>NJ_prices!F6</f>
        <v>AGS</v>
      </c>
      <c r="G18" s="80" t="str">
        <f>NJ_prices!G6</f>
        <v>Annual Gen services</v>
      </c>
      <c r="H18" s="81" t="str">
        <f t="shared" ref="H18" si="1">IF($M$2="Prices in $/MWh","100-500 MWh","100,000-500,000 kWh")</f>
        <v>100-500 MWh</v>
      </c>
      <c r="I18" s="80">
        <f>(NJ_prices!I6+$D$2)*IF($M$2="Prices in $/MWh",1,1/1000)</f>
        <v>91.9</v>
      </c>
      <c r="J18" s="79">
        <f>(NJ_prices!J6+$D$2)*IF($M$2="Prices in $/MWh",1,1/1000)</f>
        <v>91.05</v>
      </c>
      <c r="K18" s="80">
        <f>(NJ_prices!K6+$D$2)*IF($M$2="Prices in $/MWh",1,1/1000)</f>
        <v>91.44</v>
      </c>
      <c r="L18" s="79">
        <f>(NJ_prices!L6+$D$2)*IF($M$2="Prices in $/MWh",1,1/1000)</f>
        <v>46.76</v>
      </c>
      <c r="M18" s="80">
        <f>(NJ_prices!M6+$D$2)*IF($M$2="Prices in $/MWh",1,1/1000)</f>
        <v>46.63</v>
      </c>
      <c r="N18" s="79">
        <f>(NJ_prices!N6+$D$2)*IF($M$2="Prices in $/MWh",1,1/1000)</f>
        <v>46.91</v>
      </c>
      <c r="O18" s="61"/>
    </row>
    <row r="19" spans="2:15" x14ac:dyDescent="0.25">
      <c r="B19" s="57"/>
      <c r="C19" s="82" t="str">
        <f>NJ_prices!C7</f>
        <v>March-2016</v>
      </c>
      <c r="D19" s="83" t="str">
        <f>NJ_prices!D7</f>
        <v>NJ</v>
      </c>
      <c r="E19" s="84" t="str">
        <f>NJ_prices!E7</f>
        <v>AECO</v>
      </c>
      <c r="F19" s="83" t="str">
        <f>NJ_prices!F7</f>
        <v>AGS</v>
      </c>
      <c r="G19" s="84" t="str">
        <f>NJ_prices!G7</f>
        <v>Annual Gen services</v>
      </c>
      <c r="H19" s="85" t="str">
        <f t="shared" ref="H19" si="2">IF($M$2="Prices in $/MWh","500-2500 MWh","500,000-2,500,000 kWh")</f>
        <v>500-2500 MWh</v>
      </c>
      <c r="I19" s="84">
        <f>(NJ_prices!I7+$D$2)*IF($M$2="Prices in $/MWh",1,1/1000)</f>
        <v>90.78</v>
      </c>
      <c r="J19" s="83">
        <f>(NJ_prices!J7+$D$2)*IF($M$2="Prices in $/MWh",1,1/1000)</f>
        <v>89.93</v>
      </c>
      <c r="K19" s="84">
        <f>(NJ_prices!K7+$D$2)*IF($M$2="Prices in $/MWh",1,1/1000)</f>
        <v>90.32</v>
      </c>
      <c r="L19" s="83">
        <f>(NJ_prices!L7+$D$2)*IF($M$2="Prices in $/MWh",1,1/1000)</f>
        <v>45.63</v>
      </c>
      <c r="M19" s="84">
        <f>(NJ_prices!M7+$D$2)*IF($M$2="Prices in $/MWh",1,1/1000)</f>
        <v>45.5</v>
      </c>
      <c r="N19" s="83">
        <f>(NJ_prices!N7+$D$2)*IF($M$2="Prices in $/MWh",1,1/1000)</f>
        <v>45.78</v>
      </c>
      <c r="O19" s="61"/>
    </row>
    <row r="20" spans="2:15" x14ac:dyDescent="0.25">
      <c r="B20" s="57"/>
      <c r="C20" s="74" t="str">
        <f>NJ_prices!C8</f>
        <v>April-2016</v>
      </c>
      <c r="D20" s="75" t="str">
        <f>NJ_prices!D8</f>
        <v>NJ</v>
      </c>
      <c r="E20" s="76" t="str">
        <f>NJ_prices!E8</f>
        <v>AECO</v>
      </c>
      <c r="F20" s="75" t="str">
        <f>NJ_prices!F8</f>
        <v>AGS</v>
      </c>
      <c r="G20" s="76" t="str">
        <f>NJ_prices!G8</f>
        <v>Annual Gen services</v>
      </c>
      <c r="H20" s="77" t="str">
        <f t="shared" ref="H20" si="3">IF($M$2="Prices in $/MWh","0-100 MWh","0-100,000 kWh")</f>
        <v>0-100 MWh</v>
      </c>
      <c r="I20" s="76">
        <f>(NJ_prices!I8+$D$2)*IF($M$2="Prices in $/MWh",1,1/1000)</f>
        <v>93.9</v>
      </c>
      <c r="J20" s="75">
        <f>(NJ_prices!J8+$D$2)*IF($M$2="Prices in $/MWh",1,1/1000)</f>
        <v>91.83</v>
      </c>
      <c r="K20" s="76">
        <f>(NJ_prices!K8+$D$2)*IF($M$2="Prices in $/MWh",1,1/1000)</f>
        <v>93.08</v>
      </c>
      <c r="L20" s="75">
        <f>(NJ_prices!L8+$D$2)*IF($M$2="Prices in $/MWh",1,1/1000)</f>
        <v>48.76</v>
      </c>
      <c r="M20" s="76">
        <f>(NJ_prices!M8+$D$2)*IF($M$2="Prices in $/MWh",1,1/1000)</f>
        <v>47.59</v>
      </c>
      <c r="N20" s="75">
        <f>(NJ_prices!N8+$D$2)*IF($M$2="Prices in $/MWh",1,1/1000)</f>
        <v>48.62</v>
      </c>
      <c r="O20" s="61"/>
    </row>
    <row r="21" spans="2:15" x14ac:dyDescent="0.25">
      <c r="B21" s="57"/>
      <c r="C21" s="78" t="str">
        <f>NJ_prices!C9</f>
        <v>April-2016</v>
      </c>
      <c r="D21" s="79" t="str">
        <f>NJ_prices!D9</f>
        <v>NJ</v>
      </c>
      <c r="E21" s="80" t="str">
        <f>NJ_prices!E9</f>
        <v>AECO</v>
      </c>
      <c r="F21" s="79" t="str">
        <f>NJ_prices!F9</f>
        <v>AGS</v>
      </c>
      <c r="G21" s="80" t="str">
        <f>NJ_prices!G9</f>
        <v>Annual Gen services</v>
      </c>
      <c r="H21" s="81" t="str">
        <f t="shared" ref="H21" si="4">IF($M$2="Prices in $/MWh","100-500 MWh","100,000-500,000 kWh")</f>
        <v>100-500 MWh</v>
      </c>
      <c r="I21" s="80">
        <f>(NJ_prices!I9+$D$2)*IF($M$2="Prices in $/MWh",1,1/1000)</f>
        <v>92.19</v>
      </c>
      <c r="J21" s="79">
        <f>(NJ_prices!J9+$D$2)*IF($M$2="Prices in $/MWh",1,1/1000)</f>
        <v>90.12</v>
      </c>
      <c r="K21" s="80">
        <f>(NJ_prices!K9+$D$2)*IF($M$2="Prices in $/MWh",1,1/1000)</f>
        <v>91.37</v>
      </c>
      <c r="L21" s="79">
        <f>(NJ_prices!L9+$D$2)*IF($M$2="Prices in $/MWh",1,1/1000)</f>
        <v>47.05</v>
      </c>
      <c r="M21" s="80">
        <f>(NJ_prices!M9+$D$2)*IF($M$2="Prices in $/MWh",1,1/1000)</f>
        <v>45.88</v>
      </c>
      <c r="N21" s="79">
        <f>(NJ_prices!N9+$D$2)*IF($M$2="Prices in $/MWh",1,1/1000)</f>
        <v>46.91</v>
      </c>
      <c r="O21" s="61"/>
    </row>
    <row r="22" spans="2:15" x14ac:dyDescent="0.25">
      <c r="B22" s="57"/>
      <c r="C22" s="82" t="str">
        <f>NJ_prices!C10</f>
        <v>April-2016</v>
      </c>
      <c r="D22" s="83" t="str">
        <f>NJ_prices!D10</f>
        <v>NJ</v>
      </c>
      <c r="E22" s="84" t="str">
        <f>NJ_prices!E10</f>
        <v>AECO</v>
      </c>
      <c r="F22" s="83" t="str">
        <f>NJ_prices!F10</f>
        <v>AGS</v>
      </c>
      <c r="G22" s="84" t="str">
        <f>NJ_prices!G10</f>
        <v>Annual Gen services</v>
      </c>
      <c r="H22" s="85" t="str">
        <f t="shared" ref="H22" si="5">IF($M$2="Prices in $/MWh","500-2500 MWh","500,000-2,500,000 kWh")</f>
        <v>500-2500 MWh</v>
      </c>
      <c r="I22" s="84">
        <f>(NJ_prices!I10+$D$2)*IF($M$2="Prices in $/MWh",1,1/1000)</f>
        <v>91.06</v>
      </c>
      <c r="J22" s="83">
        <f>(NJ_prices!J10+$D$2)*IF($M$2="Prices in $/MWh",1,1/1000)</f>
        <v>89</v>
      </c>
      <c r="K22" s="84">
        <f>(NJ_prices!K10+$D$2)*IF($M$2="Prices in $/MWh",1,1/1000)</f>
        <v>90.25</v>
      </c>
      <c r="L22" s="83">
        <f>(NJ_prices!L10+$D$2)*IF($M$2="Prices in $/MWh",1,1/1000)</f>
        <v>45.92</v>
      </c>
      <c r="M22" s="84">
        <f>(NJ_prices!M10+$D$2)*IF($M$2="Prices in $/MWh",1,1/1000)</f>
        <v>44.75</v>
      </c>
      <c r="N22" s="83">
        <f>(NJ_prices!N10+$D$2)*IF($M$2="Prices in $/MWh",1,1/1000)</f>
        <v>45.78</v>
      </c>
      <c r="O22" s="61"/>
    </row>
    <row r="23" spans="2:15" x14ac:dyDescent="0.25">
      <c r="B23" s="57"/>
      <c r="C23" s="74" t="str">
        <f>NJ_prices!C11</f>
        <v>May-2016</v>
      </c>
      <c r="D23" s="75" t="str">
        <f>NJ_prices!D11</f>
        <v>NJ</v>
      </c>
      <c r="E23" s="76" t="str">
        <f>NJ_prices!E11</f>
        <v>AECO</v>
      </c>
      <c r="F23" s="75" t="str">
        <f>NJ_prices!F11</f>
        <v>AGS</v>
      </c>
      <c r="G23" s="76" t="str">
        <f>NJ_prices!G11</f>
        <v>Annual Gen services</v>
      </c>
      <c r="H23" s="77" t="str">
        <f t="shared" ref="H23" si="6">IF($M$2="Prices in $/MWh","0-100 MWh","0-100,000 kWh")</f>
        <v>0-100 MWh</v>
      </c>
      <c r="I23" s="76">
        <f>(NJ_prices!I11+$D$2)*IF($M$2="Prices in $/MWh",1,1/1000)</f>
        <v>93.94</v>
      </c>
      <c r="J23" s="75">
        <f>(NJ_prices!J11+$D$2)*IF($M$2="Prices in $/MWh",1,1/1000)</f>
        <v>91.49</v>
      </c>
      <c r="K23" s="76">
        <f>(NJ_prices!K11+$D$2)*IF($M$2="Prices in $/MWh",1,1/1000)</f>
        <v>92.81</v>
      </c>
      <c r="L23" s="75">
        <f>(NJ_prices!L11+$D$2)*IF($M$2="Prices in $/MWh",1,1/1000)</f>
        <v>48.82</v>
      </c>
      <c r="M23" s="76">
        <f>(NJ_prices!M11+$D$2)*IF($M$2="Prices in $/MWh",1,1/1000)</f>
        <v>47.47</v>
      </c>
      <c r="N23" s="75">
        <f>(NJ_prices!N11+$D$2)*IF($M$2="Prices in $/MWh",1,1/1000)</f>
        <v>48.44</v>
      </c>
      <c r="O23" s="61"/>
    </row>
    <row r="24" spans="2:15" x14ac:dyDescent="0.25">
      <c r="B24" s="57"/>
      <c r="C24" s="78" t="str">
        <f>NJ_prices!C12</f>
        <v>May-2016</v>
      </c>
      <c r="D24" s="79" t="str">
        <f>NJ_prices!D12</f>
        <v>NJ</v>
      </c>
      <c r="E24" s="80" t="str">
        <f>NJ_prices!E12</f>
        <v>AECO</v>
      </c>
      <c r="F24" s="79" t="str">
        <f>NJ_prices!F12</f>
        <v>AGS</v>
      </c>
      <c r="G24" s="80" t="str">
        <f>NJ_prices!G12</f>
        <v>Annual Gen services</v>
      </c>
      <c r="H24" s="81" t="str">
        <f t="shared" ref="H24" si="7">IF($M$2="Prices in $/MWh","100-500 MWh","100,000-500,000 kWh")</f>
        <v>100-500 MWh</v>
      </c>
      <c r="I24" s="80">
        <f>(NJ_prices!I12+$D$2)*IF($M$2="Prices in $/MWh",1,1/1000)</f>
        <v>92.23</v>
      </c>
      <c r="J24" s="79">
        <f>(NJ_prices!J12+$D$2)*IF($M$2="Prices in $/MWh",1,1/1000)</f>
        <v>89.78</v>
      </c>
      <c r="K24" s="80">
        <f>(NJ_prices!K12+$D$2)*IF($M$2="Prices in $/MWh",1,1/1000)</f>
        <v>91.09</v>
      </c>
      <c r="L24" s="79">
        <f>(NJ_prices!L12+$D$2)*IF($M$2="Prices in $/MWh",1,1/1000)</f>
        <v>47.11</v>
      </c>
      <c r="M24" s="80">
        <f>(NJ_prices!M12+$D$2)*IF($M$2="Prices in $/MWh",1,1/1000)</f>
        <v>45.76</v>
      </c>
      <c r="N24" s="79">
        <f>(NJ_prices!N12+$D$2)*IF($M$2="Prices in $/MWh",1,1/1000)</f>
        <v>46.73</v>
      </c>
      <c r="O24" s="61"/>
    </row>
    <row r="25" spans="2:15" x14ac:dyDescent="0.25">
      <c r="B25" s="57"/>
      <c r="C25" s="82" t="str">
        <f>NJ_prices!C13</f>
        <v>May-2016</v>
      </c>
      <c r="D25" s="83" t="str">
        <f>NJ_prices!D13</f>
        <v>NJ</v>
      </c>
      <c r="E25" s="84" t="str">
        <f>NJ_prices!E13</f>
        <v>AECO</v>
      </c>
      <c r="F25" s="83" t="str">
        <f>NJ_prices!F13</f>
        <v>AGS</v>
      </c>
      <c r="G25" s="84" t="str">
        <f>NJ_prices!G13</f>
        <v>Annual Gen services</v>
      </c>
      <c r="H25" s="85" t="str">
        <f t="shared" ref="H25" si="8">IF($M$2="Prices in $/MWh","500-2500 MWh","500,000-2,500,000 kWh")</f>
        <v>500-2500 MWh</v>
      </c>
      <c r="I25" s="84">
        <f>(NJ_prices!I13+$D$2)*IF($M$2="Prices in $/MWh",1,1/1000)</f>
        <v>91.1</v>
      </c>
      <c r="J25" s="83">
        <f>(NJ_prices!J13+$D$2)*IF($M$2="Prices in $/MWh",1,1/1000)</f>
        <v>88.66</v>
      </c>
      <c r="K25" s="84">
        <f>(NJ_prices!K13+$D$2)*IF($M$2="Prices in $/MWh",1,1/1000)</f>
        <v>89.97</v>
      </c>
      <c r="L25" s="83">
        <f>(NJ_prices!L13+$D$2)*IF($M$2="Prices in $/MWh",1,1/1000)</f>
        <v>45.98</v>
      </c>
      <c r="M25" s="84">
        <f>(NJ_prices!M13+$D$2)*IF($M$2="Prices in $/MWh",1,1/1000)</f>
        <v>44.63</v>
      </c>
      <c r="N25" s="83">
        <f>(NJ_prices!N13+$D$2)*IF($M$2="Prices in $/MWh",1,1/1000)</f>
        <v>45.6</v>
      </c>
      <c r="O25" s="61"/>
    </row>
    <row r="26" spans="2:15" x14ac:dyDescent="0.25">
      <c r="B26" s="57"/>
      <c r="C26" s="74" t="str">
        <f>NJ_prices!C14</f>
        <v>June-2016</v>
      </c>
      <c r="D26" s="75" t="str">
        <f>NJ_prices!D14</f>
        <v>NJ</v>
      </c>
      <c r="E26" s="76" t="str">
        <f>NJ_prices!E14</f>
        <v>AECO</v>
      </c>
      <c r="F26" s="75" t="str">
        <f>NJ_prices!F14</f>
        <v>AGS</v>
      </c>
      <c r="G26" s="76" t="str">
        <f>NJ_prices!G14</f>
        <v>Annual Gen services</v>
      </c>
      <c r="H26" s="77" t="str">
        <f t="shared" ref="H26" si="9">IF($M$2="Prices in $/MWh","0-100 MWh","0-100,000 kWh")</f>
        <v>0-100 MWh</v>
      </c>
      <c r="I26" s="76">
        <f>(NJ_prices!I14+$D$2)*IF($M$2="Prices in $/MWh",1,1/1000)</f>
        <v>93.89</v>
      </c>
      <c r="J26" s="75">
        <f>(NJ_prices!J14+$D$2)*IF($M$2="Prices in $/MWh",1,1/1000)</f>
        <v>91.39</v>
      </c>
      <c r="K26" s="76">
        <f>(NJ_prices!K14+$D$2)*IF($M$2="Prices in $/MWh",1,1/1000)</f>
        <v>92.62</v>
      </c>
      <c r="L26" s="75">
        <f>(NJ_prices!L14+$D$2)*IF($M$2="Prices in $/MWh",1,1/1000)</f>
        <v>48.86</v>
      </c>
      <c r="M26" s="76">
        <f>(NJ_prices!M14+$D$2)*IF($M$2="Prices in $/MWh",1,1/1000)</f>
        <v>47.55</v>
      </c>
      <c r="N26" s="75">
        <f>(NJ_prices!N14+$D$2)*IF($M$2="Prices in $/MWh",1,1/1000)</f>
        <v>48.34</v>
      </c>
      <c r="O26" s="61"/>
    </row>
    <row r="27" spans="2:15" x14ac:dyDescent="0.25">
      <c r="B27" s="57"/>
      <c r="C27" s="78" t="str">
        <f>NJ_prices!C15</f>
        <v>June-2016</v>
      </c>
      <c r="D27" s="79" t="str">
        <f>NJ_prices!D15</f>
        <v>NJ</v>
      </c>
      <c r="E27" s="80" t="str">
        <f>NJ_prices!E15</f>
        <v>AECO</v>
      </c>
      <c r="F27" s="79" t="str">
        <f>NJ_prices!F15</f>
        <v>AGS</v>
      </c>
      <c r="G27" s="80" t="str">
        <f>NJ_prices!G15</f>
        <v>Annual Gen services</v>
      </c>
      <c r="H27" s="81" t="str">
        <f t="shared" ref="H27" si="10">IF($M$2="Prices in $/MWh","100-500 MWh","100,000-500,000 kWh")</f>
        <v>100-500 MWh</v>
      </c>
      <c r="I27" s="80">
        <f>(NJ_prices!I15+$D$2)*IF($M$2="Prices in $/MWh",1,1/1000)</f>
        <v>92.18</v>
      </c>
      <c r="J27" s="79">
        <f>(NJ_prices!J15+$D$2)*IF($M$2="Prices in $/MWh",1,1/1000)</f>
        <v>89.68</v>
      </c>
      <c r="K27" s="80">
        <f>(NJ_prices!K15+$D$2)*IF($M$2="Prices in $/MWh",1,1/1000)</f>
        <v>90.91</v>
      </c>
      <c r="L27" s="79">
        <f>(NJ_prices!L15+$D$2)*IF($M$2="Prices in $/MWh",1,1/1000)</f>
        <v>47.15</v>
      </c>
      <c r="M27" s="80">
        <f>(NJ_prices!M15+$D$2)*IF($M$2="Prices in $/MWh",1,1/1000)</f>
        <v>45.84</v>
      </c>
      <c r="N27" s="79">
        <f>(NJ_prices!N15+$D$2)*IF($M$2="Prices in $/MWh",1,1/1000)</f>
        <v>46.63</v>
      </c>
      <c r="O27" s="61"/>
    </row>
    <row r="28" spans="2:15" x14ac:dyDescent="0.25">
      <c r="B28" s="57"/>
      <c r="C28" s="82" t="str">
        <f>NJ_prices!C16</f>
        <v>June-2016</v>
      </c>
      <c r="D28" s="83" t="str">
        <f>NJ_prices!D16</f>
        <v>NJ</v>
      </c>
      <c r="E28" s="84" t="str">
        <f>NJ_prices!E16</f>
        <v>AECO</v>
      </c>
      <c r="F28" s="83" t="str">
        <f>NJ_prices!F16</f>
        <v>AGS</v>
      </c>
      <c r="G28" s="84" t="str">
        <f>NJ_prices!G16</f>
        <v>Annual Gen services</v>
      </c>
      <c r="H28" s="85" t="str">
        <f t="shared" ref="H28" si="11">IF($M$2="Prices in $/MWh","500-2500 MWh","500,000-2,500,000 kWh")</f>
        <v>500-2500 MWh</v>
      </c>
      <c r="I28" s="84">
        <f>(NJ_prices!I16+$D$2)*IF($M$2="Prices in $/MWh",1,1/1000)</f>
        <v>91.05</v>
      </c>
      <c r="J28" s="83">
        <f>(NJ_prices!J16+$D$2)*IF($M$2="Prices in $/MWh",1,1/1000)</f>
        <v>88.55</v>
      </c>
      <c r="K28" s="84">
        <f>(NJ_prices!K16+$D$2)*IF($M$2="Prices in $/MWh",1,1/1000)</f>
        <v>89.78</v>
      </c>
      <c r="L28" s="83">
        <f>(NJ_prices!L16+$D$2)*IF($M$2="Prices in $/MWh",1,1/1000)</f>
        <v>46.02</v>
      </c>
      <c r="M28" s="84">
        <f>(NJ_prices!M16+$D$2)*IF($M$2="Prices in $/MWh",1,1/1000)</f>
        <v>44.71</v>
      </c>
      <c r="N28" s="83">
        <f>(NJ_prices!N16+$D$2)*IF($M$2="Prices in $/MWh",1,1/1000)</f>
        <v>45.5</v>
      </c>
      <c r="O28" s="61"/>
    </row>
    <row r="29" spans="2:15" x14ac:dyDescent="0.25">
      <c r="B29" s="57"/>
      <c r="C29" s="74" t="str">
        <f>NJ_prices!C17</f>
        <v>July-2016</v>
      </c>
      <c r="D29" s="75" t="str">
        <f>NJ_prices!D17</f>
        <v>NJ</v>
      </c>
      <c r="E29" s="76" t="str">
        <f>NJ_prices!E17</f>
        <v>AECO</v>
      </c>
      <c r="F29" s="75" t="str">
        <f>NJ_prices!F17</f>
        <v>AGS</v>
      </c>
      <c r="G29" s="76" t="str">
        <f>NJ_prices!G17</f>
        <v>Annual Gen services</v>
      </c>
      <c r="H29" s="77" t="str">
        <f t="shared" ref="H29" si="12">IF($M$2="Prices in $/MWh","0-100 MWh","0-100,000 kWh")</f>
        <v>0-100 MWh</v>
      </c>
      <c r="I29" s="76">
        <f>(NJ_prices!I17+$D$2)*IF($M$2="Prices in $/MWh",1,1/1000)</f>
        <v>93.91</v>
      </c>
      <c r="J29" s="75">
        <f>(NJ_prices!J17+$D$2)*IF($M$2="Prices in $/MWh",1,1/1000)</f>
        <v>91.83</v>
      </c>
      <c r="K29" s="76">
        <f>(NJ_prices!K17+$D$2)*IF($M$2="Prices in $/MWh",1,1/1000)</f>
        <v>92.41</v>
      </c>
      <c r="L29" s="75">
        <f>(NJ_prices!L17+$D$2)*IF($M$2="Prices in $/MWh",1,1/1000)</f>
        <v>48.98</v>
      </c>
      <c r="M29" s="76">
        <f>(NJ_prices!M17+$D$2)*IF($M$2="Prices in $/MWh",1,1/1000)</f>
        <v>48.21</v>
      </c>
      <c r="N29" s="75">
        <f>(NJ_prices!N17+$D$2)*IF($M$2="Prices in $/MWh",1,1/1000)</f>
        <v>48.28</v>
      </c>
      <c r="O29" s="61"/>
    </row>
    <row r="30" spans="2:15" x14ac:dyDescent="0.25">
      <c r="B30" s="57"/>
      <c r="C30" s="78" t="str">
        <f>NJ_prices!C18</f>
        <v>July-2016</v>
      </c>
      <c r="D30" s="79" t="str">
        <f>NJ_prices!D18</f>
        <v>NJ</v>
      </c>
      <c r="E30" s="80" t="str">
        <f>NJ_prices!E18</f>
        <v>AECO</v>
      </c>
      <c r="F30" s="79" t="str">
        <f>NJ_prices!F18</f>
        <v>AGS</v>
      </c>
      <c r="G30" s="80" t="str">
        <f>NJ_prices!G18</f>
        <v>Annual Gen services</v>
      </c>
      <c r="H30" s="81" t="str">
        <f t="shared" ref="H30" si="13">IF($M$2="Prices in $/MWh","100-500 MWh","100,000-500,000 kWh")</f>
        <v>100-500 MWh</v>
      </c>
      <c r="I30" s="80">
        <f>(NJ_prices!I18+$D$2)*IF($M$2="Prices in $/MWh",1,1/1000)</f>
        <v>92.19</v>
      </c>
      <c r="J30" s="79">
        <f>(NJ_prices!J18+$D$2)*IF($M$2="Prices in $/MWh",1,1/1000)</f>
        <v>90.11</v>
      </c>
      <c r="K30" s="80">
        <f>(NJ_prices!K18+$D$2)*IF($M$2="Prices in $/MWh",1,1/1000)</f>
        <v>90.7</v>
      </c>
      <c r="L30" s="79">
        <f>(NJ_prices!L18+$D$2)*IF($M$2="Prices in $/MWh",1,1/1000)</f>
        <v>47.27</v>
      </c>
      <c r="M30" s="80">
        <f>(NJ_prices!M18+$D$2)*IF($M$2="Prices in $/MWh",1,1/1000)</f>
        <v>46.5</v>
      </c>
      <c r="N30" s="79">
        <f>(NJ_prices!N18+$D$2)*IF($M$2="Prices in $/MWh",1,1/1000)</f>
        <v>46.57</v>
      </c>
      <c r="O30" s="61"/>
    </row>
    <row r="31" spans="2:15" x14ac:dyDescent="0.25">
      <c r="B31" s="57"/>
      <c r="C31" s="82" t="str">
        <f>NJ_prices!C19</f>
        <v>July-2016</v>
      </c>
      <c r="D31" s="83" t="str">
        <f>NJ_prices!D19</f>
        <v>NJ</v>
      </c>
      <c r="E31" s="84" t="str">
        <f>NJ_prices!E19</f>
        <v>AECO</v>
      </c>
      <c r="F31" s="83" t="str">
        <f>NJ_prices!F19</f>
        <v>AGS</v>
      </c>
      <c r="G31" s="84" t="str">
        <f>NJ_prices!G19</f>
        <v>Annual Gen services</v>
      </c>
      <c r="H31" s="85" t="str">
        <f t="shared" ref="H31" si="14">IF($M$2="Prices in $/MWh","500-2500 MWh","500,000-2,500,000 kWh")</f>
        <v>500-2500 MWh</v>
      </c>
      <c r="I31" s="84">
        <f>(NJ_prices!I19+$D$2)*IF($M$2="Prices in $/MWh",1,1/1000)</f>
        <v>91.07</v>
      </c>
      <c r="J31" s="83">
        <f>(NJ_prices!J19+$D$2)*IF($M$2="Prices in $/MWh",1,1/1000)</f>
        <v>88.99</v>
      </c>
      <c r="K31" s="84">
        <f>(NJ_prices!K19+$D$2)*IF($M$2="Prices in $/MWh",1,1/1000)</f>
        <v>89.58</v>
      </c>
      <c r="L31" s="83">
        <f>(NJ_prices!L19+$D$2)*IF($M$2="Prices in $/MWh",1,1/1000)</f>
        <v>46.14</v>
      </c>
      <c r="M31" s="84">
        <f>(NJ_prices!M19+$D$2)*IF($M$2="Prices in $/MWh",1,1/1000)</f>
        <v>45.38</v>
      </c>
      <c r="N31" s="83">
        <f>(NJ_prices!N19+$D$2)*IF($M$2="Prices in $/MWh",1,1/1000)</f>
        <v>45.45</v>
      </c>
      <c r="O31" s="61"/>
    </row>
    <row r="32" spans="2:15" x14ac:dyDescent="0.25">
      <c r="B32" s="57"/>
      <c r="C32" s="74" t="str">
        <f>NJ_prices!C20</f>
        <v>August-2016</v>
      </c>
      <c r="D32" s="75" t="str">
        <f>NJ_prices!D20</f>
        <v>NJ</v>
      </c>
      <c r="E32" s="76" t="str">
        <f>NJ_prices!E20</f>
        <v>AECO</v>
      </c>
      <c r="F32" s="75" t="str">
        <f>NJ_prices!F20</f>
        <v>AGS</v>
      </c>
      <c r="G32" s="76" t="str">
        <f>NJ_prices!G20</f>
        <v>Annual Gen services</v>
      </c>
      <c r="H32" s="77" t="str">
        <f t="shared" ref="H32" si="15">IF($M$2="Prices in $/MWh","0-100 MWh","0-100,000 kWh")</f>
        <v>0-100 MWh</v>
      </c>
      <c r="I32" s="76">
        <f>(NJ_prices!I20+$D$2)*IF($M$2="Prices in $/MWh",1,1/1000)</f>
        <v>93.85</v>
      </c>
      <c r="J32" s="75">
        <f>(NJ_prices!J20+$D$2)*IF($M$2="Prices in $/MWh",1,1/1000)</f>
        <v>92.92</v>
      </c>
      <c r="K32" s="76">
        <f>(NJ_prices!K20+$D$2)*IF($M$2="Prices in $/MWh",1,1/1000)</f>
        <v>92.38</v>
      </c>
      <c r="L32" s="75">
        <f>(NJ_prices!L20+$D$2)*IF($M$2="Prices in $/MWh",1,1/1000)</f>
        <v>49.18</v>
      </c>
      <c r="M32" s="76">
        <f>(NJ_prices!M20+$D$2)*IF($M$2="Prices in $/MWh",1,1/1000)</f>
        <v>48.84</v>
      </c>
      <c r="N32" s="75">
        <f>(NJ_prices!N20+$D$2)*IF($M$2="Prices in $/MWh",1,1/1000)</f>
        <v>48.26</v>
      </c>
      <c r="O32" s="61"/>
    </row>
    <row r="33" spans="2:15" x14ac:dyDescent="0.25">
      <c r="B33" s="57"/>
      <c r="C33" s="78" t="str">
        <f>NJ_prices!C21</f>
        <v>August-2016</v>
      </c>
      <c r="D33" s="79" t="str">
        <f>NJ_prices!D21</f>
        <v>NJ</v>
      </c>
      <c r="E33" s="80" t="str">
        <f>NJ_prices!E21</f>
        <v>AECO</v>
      </c>
      <c r="F33" s="79" t="str">
        <f>NJ_prices!F21</f>
        <v>AGS</v>
      </c>
      <c r="G33" s="80" t="str">
        <f>NJ_prices!G21</f>
        <v>Annual Gen services</v>
      </c>
      <c r="H33" s="81" t="str">
        <f t="shared" ref="H33" si="16">IF($M$2="Prices in $/MWh","100-500 MWh","100,000-500,000 kWh")</f>
        <v>100-500 MWh</v>
      </c>
      <c r="I33" s="80">
        <f>(NJ_prices!I21+$D$2)*IF($M$2="Prices in $/MWh",1,1/1000)</f>
        <v>92.14</v>
      </c>
      <c r="J33" s="79">
        <f>(NJ_prices!J21+$D$2)*IF($M$2="Prices in $/MWh",1,1/1000)</f>
        <v>91.2</v>
      </c>
      <c r="K33" s="80">
        <f>(NJ_prices!K21+$D$2)*IF($M$2="Prices in $/MWh",1,1/1000)</f>
        <v>90.67</v>
      </c>
      <c r="L33" s="79">
        <f>(NJ_prices!L21+$D$2)*IF($M$2="Prices in $/MWh",1,1/1000)</f>
        <v>47.47</v>
      </c>
      <c r="M33" s="80">
        <f>(NJ_prices!M21+$D$2)*IF($M$2="Prices in $/MWh",1,1/1000)</f>
        <v>47.13</v>
      </c>
      <c r="N33" s="79">
        <f>(NJ_prices!N21+$D$2)*IF($M$2="Prices in $/MWh",1,1/1000)</f>
        <v>46.55</v>
      </c>
      <c r="O33" s="61"/>
    </row>
    <row r="34" spans="2:15" x14ac:dyDescent="0.25">
      <c r="B34" s="57"/>
      <c r="C34" s="82" t="str">
        <f>NJ_prices!C22</f>
        <v>August-2016</v>
      </c>
      <c r="D34" s="83" t="str">
        <f>NJ_prices!D22</f>
        <v>NJ</v>
      </c>
      <c r="E34" s="84" t="str">
        <f>NJ_prices!E22</f>
        <v>AECO</v>
      </c>
      <c r="F34" s="83" t="str">
        <f>NJ_prices!F22</f>
        <v>AGS</v>
      </c>
      <c r="G34" s="84" t="str">
        <f>NJ_prices!G22</f>
        <v>Annual Gen services</v>
      </c>
      <c r="H34" s="85" t="str">
        <f t="shared" ref="H34" si="17">IF($M$2="Prices in $/MWh","500-2500 MWh","500,000-2,500,000 kWh")</f>
        <v>500-2500 MWh</v>
      </c>
      <c r="I34" s="84">
        <f>(NJ_prices!I22+$D$2)*IF($M$2="Prices in $/MWh",1,1/1000)</f>
        <v>91.02</v>
      </c>
      <c r="J34" s="83">
        <f>(NJ_prices!J22+$D$2)*IF($M$2="Prices in $/MWh",1,1/1000)</f>
        <v>90.08</v>
      </c>
      <c r="K34" s="84">
        <f>(NJ_prices!K22+$D$2)*IF($M$2="Prices in $/MWh",1,1/1000)</f>
        <v>89.54</v>
      </c>
      <c r="L34" s="83">
        <f>(NJ_prices!L22+$D$2)*IF($M$2="Prices in $/MWh",1,1/1000)</f>
        <v>46.34</v>
      </c>
      <c r="M34" s="84">
        <f>(NJ_prices!M22+$D$2)*IF($M$2="Prices in $/MWh",1,1/1000)</f>
        <v>46</v>
      </c>
      <c r="N34" s="83">
        <f>(NJ_prices!N22+$D$2)*IF($M$2="Prices in $/MWh",1,1/1000)</f>
        <v>45.42</v>
      </c>
      <c r="O34" s="61"/>
    </row>
    <row r="35" spans="2:15" x14ac:dyDescent="0.25">
      <c r="B35" s="57"/>
      <c r="C35" s="74" t="str">
        <f>NJ_prices!C23</f>
        <v>September-2016</v>
      </c>
      <c r="D35" s="75" t="str">
        <f>NJ_prices!D23</f>
        <v>NJ</v>
      </c>
      <c r="E35" s="76" t="str">
        <f>NJ_prices!E23</f>
        <v>AECO</v>
      </c>
      <c r="F35" s="75" t="str">
        <f>NJ_prices!F23</f>
        <v>AGS</v>
      </c>
      <c r="G35" s="76" t="str">
        <f>NJ_prices!G23</f>
        <v>Annual Gen services</v>
      </c>
      <c r="H35" s="77" t="str">
        <f t="shared" ref="H35" si="18">IF($M$2="Prices in $/MWh","0-100 MWh","0-100,000 kWh")</f>
        <v>0-100 MWh</v>
      </c>
      <c r="I35" s="76">
        <f>(NJ_prices!I23+$D$2)*IF($M$2="Prices in $/MWh",1,1/1000)</f>
        <v>93.78</v>
      </c>
      <c r="J35" s="75">
        <f>(NJ_prices!J23+$D$2)*IF($M$2="Prices in $/MWh",1,1/1000)</f>
        <v>93.96</v>
      </c>
      <c r="K35" s="76">
        <f>(NJ_prices!K23+$D$2)*IF($M$2="Prices in $/MWh",1,1/1000)</f>
        <v>92.33</v>
      </c>
      <c r="L35" s="75">
        <f>(NJ_prices!L23+$D$2)*IF($M$2="Prices in $/MWh",1,1/1000)</f>
        <v>49.37</v>
      </c>
      <c r="M35" s="76">
        <f>(NJ_prices!M23+$D$2)*IF($M$2="Prices in $/MWh",1,1/1000)</f>
        <v>49.39</v>
      </c>
      <c r="N35" s="75">
        <f>(NJ_prices!N23+$D$2)*IF($M$2="Prices in $/MWh",1,1/1000)</f>
        <v>48.37</v>
      </c>
      <c r="O35" s="61"/>
    </row>
    <row r="36" spans="2:15" x14ac:dyDescent="0.25">
      <c r="B36" s="57"/>
      <c r="C36" s="78" t="str">
        <f>NJ_prices!C24</f>
        <v>September-2016</v>
      </c>
      <c r="D36" s="79" t="str">
        <f>NJ_prices!D24</f>
        <v>NJ</v>
      </c>
      <c r="E36" s="80" t="str">
        <f>NJ_prices!E24</f>
        <v>AECO</v>
      </c>
      <c r="F36" s="79" t="str">
        <f>NJ_prices!F24</f>
        <v>AGS</v>
      </c>
      <c r="G36" s="80" t="str">
        <f>NJ_prices!G24</f>
        <v>Annual Gen services</v>
      </c>
      <c r="H36" s="81" t="str">
        <f t="shared" ref="H36" si="19">IF($M$2="Prices in $/MWh","100-500 MWh","100,000-500,000 kWh")</f>
        <v>100-500 MWh</v>
      </c>
      <c r="I36" s="80">
        <f>(NJ_prices!I24+$D$2)*IF($M$2="Prices in $/MWh",1,1/1000)</f>
        <v>92.07</v>
      </c>
      <c r="J36" s="79">
        <f>(NJ_prices!J24+$D$2)*IF($M$2="Prices in $/MWh",1,1/1000)</f>
        <v>92.25</v>
      </c>
      <c r="K36" s="80">
        <f>(NJ_prices!K24+$D$2)*IF($M$2="Prices in $/MWh",1,1/1000)</f>
        <v>90.62</v>
      </c>
      <c r="L36" s="79">
        <f>(NJ_prices!L24+$D$2)*IF($M$2="Prices in $/MWh",1,1/1000)</f>
        <v>47.66</v>
      </c>
      <c r="M36" s="80">
        <f>(NJ_prices!M24+$D$2)*IF($M$2="Prices in $/MWh",1,1/1000)</f>
        <v>47.68</v>
      </c>
      <c r="N36" s="79">
        <f>(NJ_prices!N24+$D$2)*IF($M$2="Prices in $/MWh",1,1/1000)</f>
        <v>46.66</v>
      </c>
      <c r="O36" s="61"/>
    </row>
    <row r="37" spans="2:15" x14ac:dyDescent="0.25">
      <c r="B37" s="57"/>
      <c r="C37" s="82" t="str">
        <f>NJ_prices!C25</f>
        <v>September-2016</v>
      </c>
      <c r="D37" s="83" t="str">
        <f>NJ_prices!D25</f>
        <v>NJ</v>
      </c>
      <c r="E37" s="84" t="str">
        <f>NJ_prices!E25</f>
        <v>AECO</v>
      </c>
      <c r="F37" s="83" t="str">
        <f>NJ_prices!F25</f>
        <v>AGS</v>
      </c>
      <c r="G37" s="84" t="str">
        <f>NJ_prices!G25</f>
        <v>Annual Gen services</v>
      </c>
      <c r="H37" s="85" t="str">
        <f t="shared" ref="H37" si="20">IF($M$2="Prices in $/MWh","500-2500 MWh","500,000-2,500,000 kWh")</f>
        <v>500-2500 MWh</v>
      </c>
      <c r="I37" s="84">
        <f>(NJ_prices!I25+$D$2)*IF($M$2="Prices in $/MWh",1,1/1000)</f>
        <v>90.95</v>
      </c>
      <c r="J37" s="83">
        <f>(NJ_prices!J25+$D$2)*IF($M$2="Prices in $/MWh",1,1/1000)</f>
        <v>91.12</v>
      </c>
      <c r="K37" s="84">
        <f>(NJ_prices!K25+$D$2)*IF($M$2="Prices in $/MWh",1,1/1000)</f>
        <v>89.49</v>
      </c>
      <c r="L37" s="83">
        <f>(NJ_prices!L25+$D$2)*IF($M$2="Prices in $/MWh",1,1/1000)</f>
        <v>46.53</v>
      </c>
      <c r="M37" s="84">
        <f>(NJ_prices!M25+$D$2)*IF($M$2="Prices in $/MWh",1,1/1000)</f>
        <v>46.55</v>
      </c>
      <c r="N37" s="83">
        <f>(NJ_prices!N25+$D$2)*IF($M$2="Prices in $/MWh",1,1/1000)</f>
        <v>45.53</v>
      </c>
      <c r="O37" s="61"/>
    </row>
    <row r="38" spans="2:15" x14ac:dyDescent="0.25">
      <c r="B38" s="57"/>
      <c r="C38" s="74" t="str">
        <f>NJ_prices!C26</f>
        <v>October-2016</v>
      </c>
      <c r="D38" s="75" t="str">
        <f>NJ_prices!D26</f>
        <v>NJ</v>
      </c>
      <c r="E38" s="76" t="str">
        <f>NJ_prices!E26</f>
        <v>AECO</v>
      </c>
      <c r="F38" s="75" t="str">
        <f>NJ_prices!F26</f>
        <v>AGS</v>
      </c>
      <c r="G38" s="76" t="str">
        <f>NJ_prices!G26</f>
        <v>Annual Gen services</v>
      </c>
      <c r="H38" s="77" t="str">
        <f t="shared" ref="H38" si="21">IF($M$2="Prices in $/MWh","0-100 MWh","0-100,000 kWh")</f>
        <v>0-100 MWh</v>
      </c>
      <c r="I38" s="76">
        <f>(NJ_prices!I26+$D$2)*IF($M$2="Prices in $/MWh",1,1/1000)</f>
        <v>93.82</v>
      </c>
      <c r="J38" s="75">
        <f>(NJ_prices!J26+$D$2)*IF($M$2="Prices in $/MWh",1,1/1000)</f>
        <v>94.84</v>
      </c>
      <c r="K38" s="76">
        <f>(NJ_prices!K26+$D$2)*IF($M$2="Prices in $/MWh",1,1/1000)</f>
        <v>92.06</v>
      </c>
      <c r="L38" s="75">
        <f>(NJ_prices!L26+$D$2)*IF($M$2="Prices in $/MWh",1,1/1000)</f>
        <v>49.64</v>
      </c>
      <c r="M38" s="76">
        <f>(NJ_prices!M26+$D$2)*IF($M$2="Prices in $/MWh",1,1/1000)</f>
        <v>50.35</v>
      </c>
      <c r="N38" s="75">
        <f>(NJ_prices!N26+$D$2)*IF($M$2="Prices in $/MWh",1,1/1000)</f>
        <v>48.34</v>
      </c>
      <c r="O38" s="61"/>
    </row>
    <row r="39" spans="2:15" x14ac:dyDescent="0.25">
      <c r="B39" s="57"/>
      <c r="C39" s="78" t="str">
        <f>NJ_prices!C27</f>
        <v>October-2016</v>
      </c>
      <c r="D39" s="79" t="str">
        <f>NJ_prices!D27</f>
        <v>NJ</v>
      </c>
      <c r="E39" s="80" t="str">
        <f>NJ_prices!E27</f>
        <v>AECO</v>
      </c>
      <c r="F39" s="79" t="str">
        <f>NJ_prices!F27</f>
        <v>AGS</v>
      </c>
      <c r="G39" s="80" t="str">
        <f>NJ_prices!G27</f>
        <v>Annual Gen services</v>
      </c>
      <c r="H39" s="81" t="str">
        <f t="shared" ref="H39" si="22">IF($M$2="Prices in $/MWh","100-500 MWh","100,000-500,000 kWh")</f>
        <v>100-500 MWh</v>
      </c>
      <c r="I39" s="80">
        <f>(NJ_prices!I27+$D$2)*IF($M$2="Prices in $/MWh",1,1/1000)</f>
        <v>92.11</v>
      </c>
      <c r="J39" s="79">
        <f>(NJ_prices!J27+$D$2)*IF($M$2="Prices in $/MWh",1,1/1000)</f>
        <v>93.12</v>
      </c>
      <c r="K39" s="80">
        <f>(NJ_prices!K27+$D$2)*IF($M$2="Prices in $/MWh",1,1/1000)</f>
        <v>90.35</v>
      </c>
      <c r="L39" s="79">
        <f>(NJ_prices!L27+$D$2)*IF($M$2="Prices in $/MWh",1,1/1000)</f>
        <v>47.93</v>
      </c>
      <c r="M39" s="80">
        <f>(NJ_prices!M27+$D$2)*IF($M$2="Prices in $/MWh",1,1/1000)</f>
        <v>48.64</v>
      </c>
      <c r="N39" s="79">
        <f>(NJ_prices!N27+$D$2)*IF($M$2="Prices in $/MWh",1,1/1000)</f>
        <v>46.63</v>
      </c>
      <c r="O39" s="61"/>
    </row>
    <row r="40" spans="2:15" x14ac:dyDescent="0.25">
      <c r="B40" s="57"/>
      <c r="C40" s="82" t="str">
        <f>NJ_prices!C28</f>
        <v>October-2016</v>
      </c>
      <c r="D40" s="83" t="str">
        <f>NJ_prices!D28</f>
        <v>NJ</v>
      </c>
      <c r="E40" s="84" t="str">
        <f>NJ_prices!E28</f>
        <v>AECO</v>
      </c>
      <c r="F40" s="83" t="str">
        <f>NJ_prices!F28</f>
        <v>AGS</v>
      </c>
      <c r="G40" s="84" t="str">
        <f>NJ_prices!G28</f>
        <v>Annual Gen services</v>
      </c>
      <c r="H40" s="85" t="str">
        <f t="shared" ref="H40" si="23">IF($M$2="Prices in $/MWh","500-2500 MWh","500,000-2,500,000 kWh")</f>
        <v>500-2500 MWh</v>
      </c>
      <c r="I40" s="84">
        <f>(NJ_prices!I28+$D$2)*IF($M$2="Prices in $/MWh",1,1/1000)</f>
        <v>90.99</v>
      </c>
      <c r="J40" s="83">
        <f>(NJ_prices!J28+$D$2)*IF($M$2="Prices in $/MWh",1,1/1000)</f>
        <v>92</v>
      </c>
      <c r="K40" s="84">
        <f>(NJ_prices!K28+$D$2)*IF($M$2="Prices in $/MWh",1,1/1000)</f>
        <v>89.23</v>
      </c>
      <c r="L40" s="83">
        <f>(NJ_prices!L28+$D$2)*IF($M$2="Prices in $/MWh",1,1/1000)</f>
        <v>46.8</v>
      </c>
      <c r="M40" s="84">
        <f>(NJ_prices!M28+$D$2)*IF($M$2="Prices in $/MWh",1,1/1000)</f>
        <v>47.51</v>
      </c>
      <c r="N40" s="83">
        <f>(NJ_prices!N28+$D$2)*IF($M$2="Prices in $/MWh",1,1/1000)</f>
        <v>45.5</v>
      </c>
      <c r="O40" s="61"/>
    </row>
    <row r="41" spans="2:15" x14ac:dyDescent="0.25">
      <c r="B41" s="57"/>
      <c r="C41" s="74" t="str">
        <f>NJ_prices!C29</f>
        <v>November-2016</v>
      </c>
      <c r="D41" s="75" t="str">
        <f>NJ_prices!D29</f>
        <v>NJ</v>
      </c>
      <c r="E41" s="76" t="str">
        <f>NJ_prices!E29</f>
        <v>AECO</v>
      </c>
      <c r="F41" s="75" t="str">
        <f>NJ_prices!F29</f>
        <v>AGS</v>
      </c>
      <c r="G41" s="76" t="str">
        <f>NJ_prices!G29</f>
        <v>Annual Gen services</v>
      </c>
      <c r="H41" s="77" t="str">
        <f t="shared" ref="H41" si="24">IF($M$2="Prices in $/MWh","0-100 MWh","0-100,000 kWh")</f>
        <v>0-100 MWh</v>
      </c>
      <c r="I41" s="76">
        <f>(NJ_prices!I29+$D$2)*IF($M$2="Prices in $/MWh",1,1/1000)</f>
        <v>93.77</v>
      </c>
      <c r="J41" s="75">
        <f>(NJ_prices!J29+$D$2)*IF($M$2="Prices in $/MWh",1,1/1000)</f>
        <v>94.77</v>
      </c>
      <c r="K41" s="76">
        <f>(NJ_prices!K29+$D$2)*IF($M$2="Prices in $/MWh",1,1/1000)</f>
        <v>91.87</v>
      </c>
      <c r="L41" s="75">
        <f>(NJ_prices!L29+$D$2)*IF($M$2="Prices in $/MWh",1,1/1000)</f>
        <v>49.78</v>
      </c>
      <c r="M41" s="76">
        <f>(NJ_prices!M29+$D$2)*IF($M$2="Prices in $/MWh",1,1/1000)</f>
        <v>50.29</v>
      </c>
      <c r="N41" s="75">
        <f>(NJ_prices!N29+$D$2)*IF($M$2="Prices in $/MWh",1,1/1000)</f>
        <v>48.32</v>
      </c>
      <c r="O41" s="61"/>
    </row>
    <row r="42" spans="2:15" x14ac:dyDescent="0.25">
      <c r="B42" s="57"/>
      <c r="C42" s="78" t="str">
        <f>NJ_prices!C30</f>
        <v>November-2016</v>
      </c>
      <c r="D42" s="79" t="str">
        <f>NJ_prices!D30</f>
        <v>NJ</v>
      </c>
      <c r="E42" s="80" t="str">
        <f>NJ_prices!E30</f>
        <v>AECO</v>
      </c>
      <c r="F42" s="79" t="str">
        <f>NJ_prices!F30</f>
        <v>AGS</v>
      </c>
      <c r="G42" s="80" t="str">
        <f>NJ_prices!G30</f>
        <v>Annual Gen services</v>
      </c>
      <c r="H42" s="81" t="str">
        <f t="shared" ref="H42" si="25">IF($M$2="Prices in $/MWh","100-500 MWh","100,000-500,000 kWh")</f>
        <v>100-500 MWh</v>
      </c>
      <c r="I42" s="80">
        <f>(NJ_prices!I30+$D$2)*IF($M$2="Prices in $/MWh",1,1/1000)</f>
        <v>92.06</v>
      </c>
      <c r="J42" s="79">
        <f>(NJ_prices!J30+$D$2)*IF($M$2="Prices in $/MWh",1,1/1000)</f>
        <v>93.06</v>
      </c>
      <c r="K42" s="80">
        <f>(NJ_prices!K30+$D$2)*IF($M$2="Prices in $/MWh",1,1/1000)</f>
        <v>90.16</v>
      </c>
      <c r="L42" s="79">
        <f>(NJ_prices!L30+$D$2)*IF($M$2="Prices in $/MWh",1,1/1000)</f>
        <v>48.07</v>
      </c>
      <c r="M42" s="80">
        <f>(NJ_prices!M30+$D$2)*IF($M$2="Prices in $/MWh",1,1/1000)</f>
        <v>48.58</v>
      </c>
      <c r="N42" s="79">
        <f>(NJ_prices!N30+$D$2)*IF($M$2="Prices in $/MWh",1,1/1000)</f>
        <v>46.61</v>
      </c>
      <c r="O42" s="61"/>
    </row>
    <row r="43" spans="2:15" x14ac:dyDescent="0.25">
      <c r="B43" s="57"/>
      <c r="C43" s="82" t="str">
        <f>NJ_prices!C31</f>
        <v>November-2016</v>
      </c>
      <c r="D43" s="83" t="str">
        <f>NJ_prices!D31</f>
        <v>NJ</v>
      </c>
      <c r="E43" s="84" t="str">
        <f>NJ_prices!E31</f>
        <v>AECO</v>
      </c>
      <c r="F43" s="83" t="str">
        <f>NJ_prices!F31</f>
        <v>AGS</v>
      </c>
      <c r="G43" s="84" t="str">
        <f>NJ_prices!G31</f>
        <v>Annual Gen services</v>
      </c>
      <c r="H43" s="85" t="str">
        <f t="shared" ref="H43" si="26">IF($M$2="Prices in $/MWh","500-2500 MWh","500,000-2,500,000 kWh")</f>
        <v>500-2500 MWh</v>
      </c>
      <c r="I43" s="84">
        <f>(NJ_prices!I31+$D$2)*IF($M$2="Prices in $/MWh",1,1/1000)</f>
        <v>90.94</v>
      </c>
      <c r="J43" s="83">
        <f>(NJ_prices!J31+$D$2)*IF($M$2="Prices in $/MWh",1,1/1000)</f>
        <v>91.93</v>
      </c>
      <c r="K43" s="84">
        <f>(NJ_prices!K31+$D$2)*IF($M$2="Prices in $/MWh",1,1/1000)</f>
        <v>89.03</v>
      </c>
      <c r="L43" s="83">
        <f>(NJ_prices!L31+$D$2)*IF($M$2="Prices in $/MWh",1,1/1000)</f>
        <v>46.95</v>
      </c>
      <c r="M43" s="84">
        <f>(NJ_prices!M31+$D$2)*IF($M$2="Prices in $/MWh",1,1/1000)</f>
        <v>47.45</v>
      </c>
      <c r="N43" s="83">
        <f>(NJ_prices!N31+$D$2)*IF($M$2="Prices in $/MWh",1,1/1000)</f>
        <v>45.48</v>
      </c>
      <c r="O43" s="61"/>
    </row>
    <row r="44" spans="2:15" x14ac:dyDescent="0.25">
      <c r="B44" s="57"/>
      <c r="C44" s="74" t="str">
        <f>NJ_prices!C32</f>
        <v>December-2016</v>
      </c>
      <c r="D44" s="75" t="str">
        <f>NJ_prices!D32</f>
        <v>NJ</v>
      </c>
      <c r="E44" s="76" t="str">
        <f>NJ_prices!E32</f>
        <v>AECO</v>
      </c>
      <c r="F44" s="75" t="str">
        <f>NJ_prices!F32</f>
        <v>AGS</v>
      </c>
      <c r="G44" s="76" t="str">
        <f>NJ_prices!G32</f>
        <v>Annual Gen services</v>
      </c>
      <c r="H44" s="77" t="str">
        <f t="shared" ref="H44" si="27">IF($M$2="Prices in $/MWh","0-100 MWh","0-100,000 kWh")</f>
        <v>0-100 MWh</v>
      </c>
      <c r="I44" s="76">
        <f>(NJ_prices!I32+$D$2)*IF($M$2="Prices in $/MWh",1,1/1000)</f>
        <v>93.49</v>
      </c>
      <c r="J44" s="75">
        <f>(NJ_prices!J32+$D$2)*IF($M$2="Prices in $/MWh",1,1/1000)</f>
        <v>94.4</v>
      </c>
      <c r="K44" s="76">
        <f>(NJ_prices!K32+$D$2)*IF($M$2="Prices in $/MWh",1,1/1000)</f>
        <v>91.67</v>
      </c>
      <c r="L44" s="75">
        <f>(NJ_prices!L32+$D$2)*IF($M$2="Prices in $/MWh",1,1/1000)</f>
        <v>49.62</v>
      </c>
      <c r="M44" s="76">
        <f>(NJ_prices!M32+$D$2)*IF($M$2="Prices in $/MWh",1,1/1000)</f>
        <v>49.95</v>
      </c>
      <c r="N44" s="75">
        <f>(NJ_prices!N32+$D$2)*IF($M$2="Prices in $/MWh",1,1/1000)</f>
        <v>48.27</v>
      </c>
      <c r="O44" s="61"/>
    </row>
    <row r="45" spans="2:15" x14ac:dyDescent="0.25">
      <c r="B45" s="57"/>
      <c r="C45" s="78" t="str">
        <f>NJ_prices!C33</f>
        <v>December-2016</v>
      </c>
      <c r="D45" s="79" t="str">
        <f>NJ_prices!D33</f>
        <v>NJ</v>
      </c>
      <c r="E45" s="80" t="str">
        <f>NJ_prices!E33</f>
        <v>AECO</v>
      </c>
      <c r="F45" s="79" t="str">
        <f>NJ_prices!F33</f>
        <v>AGS</v>
      </c>
      <c r="G45" s="80" t="str">
        <f>NJ_prices!G33</f>
        <v>Annual Gen services</v>
      </c>
      <c r="H45" s="81" t="str">
        <f t="shared" ref="H45" si="28">IF($M$2="Prices in $/MWh","100-500 MWh","100,000-500,000 kWh")</f>
        <v>100-500 MWh</v>
      </c>
      <c r="I45" s="80">
        <f>(NJ_prices!I33+$D$2)*IF($M$2="Prices in $/MWh",1,1/1000)</f>
        <v>91.78</v>
      </c>
      <c r="J45" s="79">
        <f>(NJ_prices!J33+$D$2)*IF($M$2="Prices in $/MWh",1,1/1000)</f>
        <v>92.69</v>
      </c>
      <c r="K45" s="80">
        <f>(NJ_prices!K33+$D$2)*IF($M$2="Prices in $/MWh",1,1/1000)</f>
        <v>89.96</v>
      </c>
      <c r="L45" s="79">
        <f>(NJ_prices!L33+$D$2)*IF($M$2="Prices in $/MWh",1,1/1000)</f>
        <v>47.91</v>
      </c>
      <c r="M45" s="80">
        <f>(NJ_prices!M33+$D$2)*IF($M$2="Prices in $/MWh",1,1/1000)</f>
        <v>48.24</v>
      </c>
      <c r="N45" s="79">
        <f>(NJ_prices!N33+$D$2)*IF($M$2="Prices in $/MWh",1,1/1000)</f>
        <v>46.56</v>
      </c>
      <c r="O45" s="61"/>
    </row>
    <row r="46" spans="2:15" x14ac:dyDescent="0.25">
      <c r="B46" s="57"/>
      <c r="C46" s="82" t="str">
        <f>NJ_prices!C34</f>
        <v>December-2016</v>
      </c>
      <c r="D46" s="83" t="str">
        <f>NJ_prices!D34</f>
        <v>NJ</v>
      </c>
      <c r="E46" s="84" t="str">
        <f>NJ_prices!E34</f>
        <v>AECO</v>
      </c>
      <c r="F46" s="83" t="str">
        <f>NJ_prices!F34</f>
        <v>AGS</v>
      </c>
      <c r="G46" s="84" t="str">
        <f>NJ_prices!G34</f>
        <v>Annual Gen services</v>
      </c>
      <c r="H46" s="85" t="str">
        <f t="shared" ref="H46" si="29">IF($M$2="Prices in $/MWh","500-2500 MWh","500,000-2,500,000 kWh")</f>
        <v>500-2500 MWh</v>
      </c>
      <c r="I46" s="84">
        <f>(NJ_prices!I34+$D$2)*IF($M$2="Prices in $/MWh",1,1/1000)</f>
        <v>90.65</v>
      </c>
      <c r="J46" s="83">
        <f>(NJ_prices!J34+$D$2)*IF($M$2="Prices in $/MWh",1,1/1000)</f>
        <v>91.57</v>
      </c>
      <c r="K46" s="84">
        <f>(NJ_prices!K34+$D$2)*IF($M$2="Prices in $/MWh",1,1/1000)</f>
        <v>88.83</v>
      </c>
      <c r="L46" s="83">
        <f>(NJ_prices!L34+$D$2)*IF($M$2="Prices in $/MWh",1,1/1000)</f>
        <v>46.78</v>
      </c>
      <c r="M46" s="84">
        <f>(NJ_prices!M34+$D$2)*IF($M$2="Prices in $/MWh",1,1/1000)</f>
        <v>47.11</v>
      </c>
      <c r="N46" s="83">
        <f>(NJ_prices!N34+$D$2)*IF($M$2="Prices in $/MWh",1,1/1000)</f>
        <v>45.43</v>
      </c>
      <c r="O46" s="61"/>
    </row>
    <row r="47" spans="2:15" x14ac:dyDescent="0.25">
      <c r="B47" s="57"/>
      <c r="C47" s="74" t="str">
        <f>NJ_prices!C35</f>
        <v>January-2017</v>
      </c>
      <c r="D47" s="75" t="str">
        <f>NJ_prices!D35</f>
        <v>NJ</v>
      </c>
      <c r="E47" s="76" t="str">
        <f>NJ_prices!E35</f>
        <v>AECO</v>
      </c>
      <c r="F47" s="75" t="str">
        <f>NJ_prices!F35</f>
        <v>AGS</v>
      </c>
      <c r="G47" s="76" t="str">
        <f>NJ_prices!G35</f>
        <v>Annual Gen services</v>
      </c>
      <c r="H47" s="77" t="str">
        <f t="shared" ref="H47" si="30">IF($M$2="Prices in $/MWh","0-100 MWh","0-100,000 kWh")</f>
        <v>0-100 MWh</v>
      </c>
      <c r="I47" s="76">
        <f>(NJ_prices!I35+$D$2)*IF($M$2="Prices in $/MWh",1,1/1000)</f>
        <v>93.29</v>
      </c>
      <c r="J47" s="75">
        <f>(NJ_prices!J35+$D$2)*IF($M$2="Prices in $/MWh",1,1/1000)</f>
        <v>93.55</v>
      </c>
      <c r="K47" s="76">
        <f>(NJ_prices!K35+$D$2)*IF($M$2="Prices in $/MWh",1,1/1000)</f>
        <v>91.74</v>
      </c>
      <c r="L47" s="75">
        <f>(NJ_prices!L35+$D$2)*IF($M$2="Prices in $/MWh",1,1/1000)</f>
        <v>49.49</v>
      </c>
      <c r="M47" s="76">
        <f>(NJ_prices!M35+$D$2)*IF($M$2="Prices in $/MWh",1,1/1000)</f>
        <v>49.13</v>
      </c>
      <c r="N47" s="75">
        <f>(NJ_prices!N35+$D$2)*IF($M$2="Prices in $/MWh",1,1/1000)</f>
        <v>48.33</v>
      </c>
      <c r="O47" s="61"/>
    </row>
    <row r="48" spans="2:15" x14ac:dyDescent="0.25">
      <c r="B48" s="57"/>
      <c r="C48" s="78" t="str">
        <f>NJ_prices!C36</f>
        <v>January-2017</v>
      </c>
      <c r="D48" s="79" t="str">
        <f>NJ_prices!D36</f>
        <v>NJ</v>
      </c>
      <c r="E48" s="80" t="str">
        <f>NJ_prices!E36</f>
        <v>AECO</v>
      </c>
      <c r="F48" s="79" t="str">
        <f>NJ_prices!F36</f>
        <v>AGS</v>
      </c>
      <c r="G48" s="80" t="str">
        <f>NJ_prices!G36</f>
        <v>Annual Gen services</v>
      </c>
      <c r="H48" s="81" t="str">
        <f t="shared" ref="H48" si="31">IF($M$2="Prices in $/MWh","100-500 MWh","100,000-500,000 kWh")</f>
        <v>100-500 MWh</v>
      </c>
      <c r="I48" s="80">
        <f>(NJ_prices!I36+$D$2)*IF($M$2="Prices in $/MWh",1,1/1000)</f>
        <v>91.58</v>
      </c>
      <c r="J48" s="79">
        <f>(NJ_prices!J36+$D$2)*IF($M$2="Prices in $/MWh",1,1/1000)</f>
        <v>91.83</v>
      </c>
      <c r="K48" s="80">
        <f>(NJ_prices!K36+$D$2)*IF($M$2="Prices in $/MWh",1,1/1000)</f>
        <v>90.03</v>
      </c>
      <c r="L48" s="79">
        <f>(NJ_prices!L36+$D$2)*IF($M$2="Prices in $/MWh",1,1/1000)</f>
        <v>47.78</v>
      </c>
      <c r="M48" s="80">
        <f>(NJ_prices!M36+$D$2)*IF($M$2="Prices in $/MWh",1,1/1000)</f>
        <v>47.42</v>
      </c>
      <c r="N48" s="79">
        <f>(NJ_prices!N36+$D$2)*IF($M$2="Prices in $/MWh",1,1/1000)</f>
        <v>46.62</v>
      </c>
      <c r="O48" s="61"/>
    </row>
    <row r="49" spans="2:15" x14ac:dyDescent="0.25">
      <c r="B49" s="57"/>
      <c r="C49" s="82" t="str">
        <f>NJ_prices!C37</f>
        <v>January-2017</v>
      </c>
      <c r="D49" s="83" t="str">
        <f>NJ_prices!D37</f>
        <v>NJ</v>
      </c>
      <c r="E49" s="84" t="str">
        <f>NJ_prices!E37</f>
        <v>AECO</v>
      </c>
      <c r="F49" s="83" t="str">
        <f>NJ_prices!F37</f>
        <v>AGS</v>
      </c>
      <c r="G49" s="84" t="str">
        <f>NJ_prices!G37</f>
        <v>Annual Gen services</v>
      </c>
      <c r="H49" s="85" t="str">
        <f t="shared" ref="H49" si="32">IF($M$2="Prices in $/MWh","500-2500 MWh","500,000-2,500,000 kWh")</f>
        <v>500-2500 MWh</v>
      </c>
      <c r="I49" s="84">
        <f>(NJ_prices!I37+$D$2)*IF($M$2="Prices in $/MWh",1,1/1000)</f>
        <v>90.46</v>
      </c>
      <c r="J49" s="83">
        <f>(NJ_prices!J37+$D$2)*IF($M$2="Prices in $/MWh",1,1/1000)</f>
        <v>90.71</v>
      </c>
      <c r="K49" s="84">
        <f>(NJ_prices!K37+$D$2)*IF($M$2="Prices in $/MWh",1,1/1000)</f>
        <v>88.91</v>
      </c>
      <c r="L49" s="83">
        <f>(NJ_prices!L37+$D$2)*IF($M$2="Prices in $/MWh",1,1/1000)</f>
        <v>46.65</v>
      </c>
      <c r="M49" s="84">
        <f>(NJ_prices!M37+$D$2)*IF($M$2="Prices in $/MWh",1,1/1000)</f>
        <v>46.29</v>
      </c>
      <c r="N49" s="83">
        <f>(NJ_prices!N37+$D$2)*IF($M$2="Prices in $/MWh",1,1/1000)</f>
        <v>45.49</v>
      </c>
      <c r="O49" s="61"/>
    </row>
    <row r="50" spans="2:15" x14ac:dyDescent="0.25">
      <c r="B50" s="57"/>
      <c r="C50" s="74" t="str">
        <f>NJ_prices!C38</f>
        <v>February-2016</v>
      </c>
      <c r="D50" s="75" t="str">
        <f>NJ_prices!D38</f>
        <v>NJ</v>
      </c>
      <c r="E50" s="76" t="str">
        <f>NJ_prices!E38</f>
        <v>AECO</v>
      </c>
      <c r="F50" s="75" t="str">
        <f>NJ_prices!F38</f>
        <v>MGS</v>
      </c>
      <c r="G50" s="76" t="str">
        <f>NJ_prices!G38</f>
        <v>Mthly Gen.Services</v>
      </c>
      <c r="H50" s="77" t="str">
        <f t="shared" ref="H50" si="33">IF($M$2="Prices in $/MWh","0-100 MWh","0-100,000 kWh")</f>
        <v>0-100 MWh</v>
      </c>
      <c r="I50" s="76">
        <f>(NJ_prices!I38+$D$2)*IF($M$2="Prices in $/MWh",1,1/1000)</f>
        <v>93.61</v>
      </c>
      <c r="J50" s="75">
        <f>(NJ_prices!J38+$D$2)*IF($M$2="Prices in $/MWh",1,1/1000)</f>
        <v>94.13</v>
      </c>
      <c r="K50" s="76">
        <f>(NJ_prices!K38+$D$2)*IF($M$2="Prices in $/MWh",1,1/1000)</f>
        <v>93.62</v>
      </c>
      <c r="L50" s="75">
        <f>(NJ_prices!L38+$D$2)*IF($M$2="Prices in $/MWh",1,1/1000)</f>
        <v>48.7</v>
      </c>
      <c r="M50" s="76">
        <f>(NJ_prices!M38+$D$2)*IF($M$2="Prices in $/MWh",1,1/1000)</f>
        <v>49.14</v>
      </c>
      <c r="N50" s="75">
        <f>(NJ_prices!N38+$D$2)*IF($M$2="Prices in $/MWh",1,1/1000)</f>
        <v>49.12</v>
      </c>
      <c r="O50" s="61"/>
    </row>
    <row r="51" spans="2:15" x14ac:dyDescent="0.25">
      <c r="B51" s="57"/>
      <c r="C51" s="78" t="str">
        <f>NJ_prices!C39</f>
        <v>February-2016</v>
      </c>
      <c r="D51" s="79" t="str">
        <f>NJ_prices!D39</f>
        <v>NJ</v>
      </c>
      <c r="E51" s="80" t="str">
        <f>NJ_prices!E39</f>
        <v>AECO</v>
      </c>
      <c r="F51" s="79" t="str">
        <f>NJ_prices!F39</f>
        <v>MGS</v>
      </c>
      <c r="G51" s="80" t="str">
        <f>NJ_prices!G39</f>
        <v>Mthly Gen.Services</v>
      </c>
      <c r="H51" s="81" t="str">
        <f t="shared" ref="H51" si="34">IF($M$2="Prices in $/MWh","100-500 MWh","100,000-500,000 kWh")</f>
        <v>100-500 MWh</v>
      </c>
      <c r="I51" s="80">
        <f>(NJ_prices!I39+$D$2)*IF($M$2="Prices in $/MWh",1,1/1000)</f>
        <v>91.9</v>
      </c>
      <c r="J51" s="79">
        <f>(NJ_prices!J39+$D$2)*IF($M$2="Prices in $/MWh",1,1/1000)</f>
        <v>92.42</v>
      </c>
      <c r="K51" s="80">
        <f>(NJ_prices!K39+$D$2)*IF($M$2="Prices in $/MWh",1,1/1000)</f>
        <v>91.91</v>
      </c>
      <c r="L51" s="79">
        <f>(NJ_prices!L39+$D$2)*IF($M$2="Prices in $/MWh",1,1/1000)</f>
        <v>46.99</v>
      </c>
      <c r="M51" s="80">
        <f>(NJ_prices!M39+$D$2)*IF($M$2="Prices in $/MWh",1,1/1000)</f>
        <v>47.43</v>
      </c>
      <c r="N51" s="79">
        <f>(NJ_prices!N39+$D$2)*IF($M$2="Prices in $/MWh",1,1/1000)</f>
        <v>47.41</v>
      </c>
      <c r="O51" s="61"/>
    </row>
    <row r="52" spans="2:15" x14ac:dyDescent="0.25">
      <c r="B52" s="57"/>
      <c r="C52" s="82" t="str">
        <f>NJ_prices!C40</f>
        <v>February-2016</v>
      </c>
      <c r="D52" s="83" t="str">
        <f>NJ_prices!D40</f>
        <v>NJ</v>
      </c>
      <c r="E52" s="84" t="str">
        <f>NJ_prices!E40</f>
        <v>AECO</v>
      </c>
      <c r="F52" s="83" t="str">
        <f>NJ_prices!F40</f>
        <v>MGS</v>
      </c>
      <c r="G52" s="84" t="str">
        <f>NJ_prices!G40</f>
        <v>Mthly Gen.Services</v>
      </c>
      <c r="H52" s="85" t="str">
        <f t="shared" ref="H52" si="35">IF($M$2="Prices in $/MWh","500-2500 MWh","500,000-2,500,000 kWh")</f>
        <v>500-2500 MWh</v>
      </c>
      <c r="I52" s="84">
        <f>(NJ_prices!I40+$D$2)*IF($M$2="Prices in $/MWh",1,1/1000)</f>
        <v>90.78</v>
      </c>
      <c r="J52" s="83">
        <f>(NJ_prices!J40+$D$2)*IF($M$2="Prices in $/MWh",1,1/1000)</f>
        <v>91.3</v>
      </c>
      <c r="K52" s="84">
        <f>(NJ_prices!K40+$D$2)*IF($M$2="Prices in $/MWh",1,1/1000)</f>
        <v>90.79</v>
      </c>
      <c r="L52" s="83">
        <f>(NJ_prices!L40+$D$2)*IF($M$2="Prices in $/MWh",1,1/1000)</f>
        <v>45.86</v>
      </c>
      <c r="M52" s="84">
        <f>(NJ_prices!M40+$D$2)*IF($M$2="Prices in $/MWh",1,1/1000)</f>
        <v>46.3</v>
      </c>
      <c r="N52" s="83">
        <f>(NJ_prices!N40+$D$2)*IF($M$2="Prices in $/MWh",1,1/1000)</f>
        <v>46.28</v>
      </c>
      <c r="O52" s="61"/>
    </row>
    <row r="53" spans="2:15" x14ac:dyDescent="0.25">
      <c r="B53" s="57"/>
      <c r="C53" s="74" t="str">
        <f>NJ_prices!C41</f>
        <v>March-2016</v>
      </c>
      <c r="D53" s="75" t="str">
        <f>NJ_prices!D41</f>
        <v>NJ</v>
      </c>
      <c r="E53" s="76" t="str">
        <f>NJ_prices!E41</f>
        <v>AECO</v>
      </c>
      <c r="F53" s="75" t="str">
        <f>NJ_prices!F41</f>
        <v>MGS</v>
      </c>
      <c r="G53" s="76" t="str">
        <f>NJ_prices!G41</f>
        <v>Mthly Gen.Services</v>
      </c>
      <c r="H53" s="77" t="str">
        <f t="shared" ref="H53" si="36">IF($M$2="Prices in $/MWh","0-100 MWh","0-100,000 kWh")</f>
        <v>0-100 MWh</v>
      </c>
      <c r="I53" s="76">
        <f>(NJ_prices!I41+$D$2)*IF($M$2="Prices in $/MWh",1,1/1000)</f>
        <v>94.02</v>
      </c>
      <c r="J53" s="75">
        <f>(NJ_prices!J41+$D$2)*IF($M$2="Prices in $/MWh",1,1/1000)</f>
        <v>92.82</v>
      </c>
      <c r="K53" s="76">
        <f>(NJ_prices!K41+$D$2)*IF($M$2="Prices in $/MWh",1,1/1000)</f>
        <v>93.75</v>
      </c>
      <c r="L53" s="75">
        <f>(NJ_prices!L41+$D$2)*IF($M$2="Prices in $/MWh",1,1/1000)</f>
        <v>48.54</v>
      </c>
      <c r="M53" s="76">
        <f>(NJ_prices!M41+$D$2)*IF($M$2="Prices in $/MWh",1,1/1000)</f>
        <v>47.99</v>
      </c>
      <c r="N53" s="75">
        <f>(NJ_prices!N41+$D$2)*IF($M$2="Prices in $/MWh",1,1/1000)</f>
        <v>48.97</v>
      </c>
      <c r="O53" s="61"/>
    </row>
    <row r="54" spans="2:15" x14ac:dyDescent="0.25">
      <c r="B54" s="57"/>
      <c r="C54" s="78" t="str">
        <f>NJ_prices!C42</f>
        <v>March-2016</v>
      </c>
      <c r="D54" s="79" t="str">
        <f>NJ_prices!D42</f>
        <v>NJ</v>
      </c>
      <c r="E54" s="80" t="str">
        <f>NJ_prices!E42</f>
        <v>AECO</v>
      </c>
      <c r="F54" s="79" t="str">
        <f>NJ_prices!F42</f>
        <v>MGS</v>
      </c>
      <c r="G54" s="80" t="str">
        <f>NJ_prices!G42</f>
        <v>Mthly Gen.Services</v>
      </c>
      <c r="H54" s="81" t="str">
        <f t="shared" ref="H54" si="37">IF($M$2="Prices in $/MWh","100-500 MWh","100,000-500,000 kWh")</f>
        <v>100-500 MWh</v>
      </c>
      <c r="I54" s="80">
        <f>(NJ_prices!I42+$D$2)*IF($M$2="Prices in $/MWh",1,1/1000)</f>
        <v>92.31</v>
      </c>
      <c r="J54" s="79">
        <f>(NJ_prices!J42+$D$2)*IF($M$2="Prices in $/MWh",1,1/1000)</f>
        <v>91.11</v>
      </c>
      <c r="K54" s="80">
        <f>(NJ_prices!K42+$D$2)*IF($M$2="Prices in $/MWh",1,1/1000)</f>
        <v>92.04</v>
      </c>
      <c r="L54" s="79">
        <f>(NJ_prices!L42+$D$2)*IF($M$2="Prices in $/MWh",1,1/1000)</f>
        <v>46.83</v>
      </c>
      <c r="M54" s="80">
        <f>(NJ_prices!M42+$D$2)*IF($M$2="Prices in $/MWh",1,1/1000)</f>
        <v>46.28</v>
      </c>
      <c r="N54" s="79">
        <f>(NJ_prices!N42+$D$2)*IF($M$2="Prices in $/MWh",1,1/1000)</f>
        <v>47.26</v>
      </c>
      <c r="O54" s="61"/>
    </row>
    <row r="55" spans="2:15" x14ac:dyDescent="0.25">
      <c r="B55" s="57"/>
      <c r="C55" s="82" t="str">
        <f>NJ_prices!C43</f>
        <v>March-2016</v>
      </c>
      <c r="D55" s="83" t="str">
        <f>NJ_prices!D43</f>
        <v>NJ</v>
      </c>
      <c r="E55" s="84" t="str">
        <f>NJ_prices!E43</f>
        <v>AECO</v>
      </c>
      <c r="F55" s="83" t="str">
        <f>NJ_prices!F43</f>
        <v>MGS</v>
      </c>
      <c r="G55" s="84" t="str">
        <f>NJ_prices!G43</f>
        <v>Mthly Gen.Services</v>
      </c>
      <c r="H55" s="85" t="str">
        <f t="shared" ref="H55" si="38">IF($M$2="Prices in $/MWh","500-2500 MWh","500,000-2,500,000 kWh")</f>
        <v>500-2500 MWh</v>
      </c>
      <c r="I55" s="84">
        <f>(NJ_prices!I43+$D$2)*IF($M$2="Prices in $/MWh",1,1/1000)</f>
        <v>91.18</v>
      </c>
      <c r="J55" s="83">
        <f>(NJ_prices!J43+$D$2)*IF($M$2="Prices in $/MWh",1,1/1000)</f>
        <v>89.99</v>
      </c>
      <c r="K55" s="84">
        <f>(NJ_prices!K43+$D$2)*IF($M$2="Prices in $/MWh",1,1/1000)</f>
        <v>90.92</v>
      </c>
      <c r="L55" s="83">
        <f>(NJ_prices!L43+$D$2)*IF($M$2="Prices in $/MWh",1,1/1000)</f>
        <v>45.7</v>
      </c>
      <c r="M55" s="84">
        <f>(NJ_prices!M43+$D$2)*IF($M$2="Prices in $/MWh",1,1/1000)</f>
        <v>45.15</v>
      </c>
      <c r="N55" s="83">
        <f>(NJ_prices!N43+$D$2)*IF($M$2="Prices in $/MWh",1,1/1000)</f>
        <v>46.13</v>
      </c>
      <c r="O55" s="61"/>
    </row>
    <row r="56" spans="2:15" x14ac:dyDescent="0.25">
      <c r="B56" s="57"/>
      <c r="C56" s="74" t="str">
        <f>NJ_prices!C44</f>
        <v>April-2016</v>
      </c>
      <c r="D56" s="75" t="str">
        <f>NJ_prices!D44</f>
        <v>NJ</v>
      </c>
      <c r="E56" s="76" t="str">
        <f>NJ_prices!E44</f>
        <v>AECO</v>
      </c>
      <c r="F56" s="75" t="str">
        <f>NJ_prices!F44</f>
        <v>MGS</v>
      </c>
      <c r="G56" s="76" t="str">
        <f>NJ_prices!G44</f>
        <v>Mthly Gen.Services</v>
      </c>
      <c r="H56" s="77" t="str">
        <f t="shared" ref="H56" si="39">IF($M$2="Prices in $/MWh","0-100 MWh","0-100,000 kWh")</f>
        <v>0-100 MWh</v>
      </c>
      <c r="I56" s="76">
        <f>(NJ_prices!I44+$D$2)*IF($M$2="Prices in $/MWh",1,1/1000)</f>
        <v>94.26</v>
      </c>
      <c r="J56" s="75">
        <f>(NJ_prices!J44+$D$2)*IF($M$2="Prices in $/MWh",1,1/1000)</f>
        <v>91.75</v>
      </c>
      <c r="K56" s="76">
        <f>(NJ_prices!K44+$D$2)*IF($M$2="Prices in $/MWh",1,1/1000)</f>
        <v>93.77</v>
      </c>
      <c r="L56" s="75">
        <f>(NJ_prices!L44+$D$2)*IF($M$2="Prices in $/MWh",1,1/1000)</f>
        <v>48.78</v>
      </c>
      <c r="M56" s="76">
        <f>(NJ_prices!M44+$D$2)*IF($M$2="Prices in $/MWh",1,1/1000)</f>
        <v>47.12</v>
      </c>
      <c r="N56" s="75">
        <f>(NJ_prices!N44+$D$2)*IF($M$2="Prices in $/MWh",1,1/1000)</f>
        <v>49.04</v>
      </c>
      <c r="O56" s="61"/>
    </row>
    <row r="57" spans="2:15" x14ac:dyDescent="0.25">
      <c r="B57" s="57"/>
      <c r="C57" s="78" t="str">
        <f>NJ_prices!C45</f>
        <v>April-2016</v>
      </c>
      <c r="D57" s="79" t="str">
        <f>NJ_prices!D45</f>
        <v>NJ</v>
      </c>
      <c r="E57" s="80" t="str">
        <f>NJ_prices!E45</f>
        <v>AECO</v>
      </c>
      <c r="F57" s="79" t="str">
        <f>NJ_prices!F45</f>
        <v>MGS</v>
      </c>
      <c r="G57" s="80" t="str">
        <f>NJ_prices!G45</f>
        <v>Mthly Gen.Services</v>
      </c>
      <c r="H57" s="81" t="str">
        <f t="shared" ref="H57" si="40">IF($M$2="Prices in $/MWh","100-500 MWh","100,000-500,000 kWh")</f>
        <v>100-500 MWh</v>
      </c>
      <c r="I57" s="80">
        <f>(NJ_prices!I45+$D$2)*IF($M$2="Prices in $/MWh",1,1/1000)</f>
        <v>92.55</v>
      </c>
      <c r="J57" s="79">
        <f>(NJ_prices!J45+$D$2)*IF($M$2="Prices in $/MWh",1,1/1000)</f>
        <v>90.04</v>
      </c>
      <c r="K57" s="80">
        <f>(NJ_prices!K45+$D$2)*IF($M$2="Prices in $/MWh",1,1/1000)</f>
        <v>92.06</v>
      </c>
      <c r="L57" s="79">
        <f>(NJ_prices!L45+$D$2)*IF($M$2="Prices in $/MWh",1,1/1000)</f>
        <v>47.07</v>
      </c>
      <c r="M57" s="80">
        <f>(NJ_prices!M45+$D$2)*IF($M$2="Prices in $/MWh",1,1/1000)</f>
        <v>45.41</v>
      </c>
      <c r="N57" s="79">
        <f>(NJ_prices!N45+$D$2)*IF($M$2="Prices in $/MWh",1,1/1000)</f>
        <v>47.33</v>
      </c>
      <c r="O57" s="61"/>
    </row>
    <row r="58" spans="2:15" x14ac:dyDescent="0.25">
      <c r="B58" s="57"/>
      <c r="C58" s="82" t="str">
        <f>NJ_prices!C46</f>
        <v>April-2016</v>
      </c>
      <c r="D58" s="83" t="str">
        <f>NJ_prices!D46</f>
        <v>NJ</v>
      </c>
      <c r="E58" s="84" t="str">
        <f>NJ_prices!E46</f>
        <v>AECO</v>
      </c>
      <c r="F58" s="83" t="str">
        <f>NJ_prices!F46</f>
        <v>MGS</v>
      </c>
      <c r="G58" s="84" t="str">
        <f>NJ_prices!G46</f>
        <v>Mthly Gen.Services</v>
      </c>
      <c r="H58" s="85" t="str">
        <f t="shared" ref="H58" si="41">IF($M$2="Prices in $/MWh","500-2500 MWh","500,000-2,500,000 kWh")</f>
        <v>500-2500 MWh</v>
      </c>
      <c r="I58" s="84">
        <f>(NJ_prices!I46+$D$2)*IF($M$2="Prices in $/MWh",1,1/1000)</f>
        <v>91.43</v>
      </c>
      <c r="J58" s="83">
        <f>(NJ_prices!J46+$D$2)*IF($M$2="Prices in $/MWh",1,1/1000)</f>
        <v>88.92</v>
      </c>
      <c r="K58" s="84">
        <f>(NJ_prices!K46+$D$2)*IF($M$2="Prices in $/MWh",1,1/1000)</f>
        <v>90.94</v>
      </c>
      <c r="L58" s="83">
        <f>(NJ_prices!L46+$D$2)*IF($M$2="Prices in $/MWh",1,1/1000)</f>
        <v>45.95</v>
      </c>
      <c r="M58" s="84">
        <f>(NJ_prices!M46+$D$2)*IF($M$2="Prices in $/MWh",1,1/1000)</f>
        <v>44.28</v>
      </c>
      <c r="N58" s="83">
        <f>(NJ_prices!N46+$D$2)*IF($M$2="Prices in $/MWh",1,1/1000)</f>
        <v>46.2</v>
      </c>
      <c r="O58" s="61"/>
    </row>
    <row r="59" spans="2:15" x14ac:dyDescent="0.25">
      <c r="B59" s="57"/>
      <c r="C59" s="74" t="str">
        <f>NJ_prices!C47</f>
        <v>May-2016</v>
      </c>
      <c r="D59" s="75" t="str">
        <f>NJ_prices!D47</f>
        <v>NJ</v>
      </c>
      <c r="E59" s="76" t="str">
        <f>NJ_prices!E47</f>
        <v>AECO</v>
      </c>
      <c r="F59" s="75" t="str">
        <f>NJ_prices!F47</f>
        <v>MGS</v>
      </c>
      <c r="G59" s="76" t="str">
        <f>NJ_prices!G47</f>
        <v>Mthly Gen.Services</v>
      </c>
      <c r="H59" s="77" t="str">
        <f t="shared" ref="H59" si="42">IF($M$2="Prices in $/MWh","0-100 MWh","0-100,000 kWh")</f>
        <v>0-100 MWh</v>
      </c>
      <c r="I59" s="76">
        <f>(NJ_prices!I47+$D$2)*IF($M$2="Prices in $/MWh",1,1/1000)</f>
        <v>94.27</v>
      </c>
      <c r="J59" s="75">
        <f>(NJ_prices!J47+$D$2)*IF($M$2="Prices in $/MWh",1,1/1000)</f>
        <v>91.37</v>
      </c>
      <c r="K59" s="76">
        <f>(NJ_prices!K47+$D$2)*IF($M$2="Prices in $/MWh",1,1/1000)</f>
        <v>93.67</v>
      </c>
      <c r="L59" s="75">
        <f>(NJ_prices!L47+$D$2)*IF($M$2="Prices in $/MWh",1,1/1000)</f>
        <v>48.8</v>
      </c>
      <c r="M59" s="76">
        <f>(NJ_prices!M47+$D$2)*IF($M$2="Prices in $/MWh",1,1/1000)</f>
        <v>46.94</v>
      </c>
      <c r="N59" s="75">
        <f>(NJ_prices!N47+$D$2)*IF($M$2="Prices in $/MWh",1,1/1000)</f>
        <v>48.99</v>
      </c>
      <c r="O59" s="61"/>
    </row>
    <row r="60" spans="2:15" x14ac:dyDescent="0.25">
      <c r="B60" s="57"/>
      <c r="C60" s="78" t="str">
        <f>NJ_prices!C48</f>
        <v>May-2016</v>
      </c>
      <c r="D60" s="79" t="str">
        <f>NJ_prices!D48</f>
        <v>NJ</v>
      </c>
      <c r="E60" s="80" t="str">
        <f>NJ_prices!E48</f>
        <v>AECO</v>
      </c>
      <c r="F60" s="79" t="str">
        <f>NJ_prices!F48</f>
        <v>MGS</v>
      </c>
      <c r="G60" s="80" t="str">
        <f>NJ_prices!G48</f>
        <v>Mthly Gen.Services</v>
      </c>
      <c r="H60" s="81" t="str">
        <f t="shared" ref="H60" si="43">IF($M$2="Prices in $/MWh","100-500 MWh","100,000-500,000 kWh")</f>
        <v>100-500 MWh</v>
      </c>
      <c r="I60" s="80">
        <f>(NJ_prices!I48+$D$2)*IF($M$2="Prices in $/MWh",1,1/1000)</f>
        <v>92.56</v>
      </c>
      <c r="J60" s="79">
        <f>(NJ_prices!J48+$D$2)*IF($M$2="Prices in $/MWh",1,1/1000)</f>
        <v>89.66</v>
      </c>
      <c r="K60" s="80">
        <f>(NJ_prices!K48+$D$2)*IF($M$2="Prices in $/MWh",1,1/1000)</f>
        <v>91.96</v>
      </c>
      <c r="L60" s="79">
        <f>(NJ_prices!L48+$D$2)*IF($M$2="Prices in $/MWh",1,1/1000)</f>
        <v>47.09</v>
      </c>
      <c r="M60" s="80">
        <f>(NJ_prices!M48+$D$2)*IF($M$2="Prices in $/MWh",1,1/1000)</f>
        <v>45.23</v>
      </c>
      <c r="N60" s="79">
        <f>(NJ_prices!N48+$D$2)*IF($M$2="Prices in $/MWh",1,1/1000)</f>
        <v>47.28</v>
      </c>
      <c r="O60" s="61"/>
    </row>
    <row r="61" spans="2:15" x14ac:dyDescent="0.25">
      <c r="B61" s="57"/>
      <c r="C61" s="82" t="str">
        <f>NJ_prices!C49</f>
        <v>May-2016</v>
      </c>
      <c r="D61" s="83" t="str">
        <f>NJ_prices!D49</f>
        <v>NJ</v>
      </c>
      <c r="E61" s="84" t="str">
        <f>NJ_prices!E49</f>
        <v>AECO</v>
      </c>
      <c r="F61" s="83" t="str">
        <f>NJ_prices!F49</f>
        <v>MGS</v>
      </c>
      <c r="G61" s="84" t="str">
        <f>NJ_prices!G49</f>
        <v>Mthly Gen.Services</v>
      </c>
      <c r="H61" s="85" t="str">
        <f t="shared" ref="H61" si="44">IF($M$2="Prices in $/MWh","500-2500 MWh","500,000-2,500,000 kWh")</f>
        <v>500-2500 MWh</v>
      </c>
      <c r="I61" s="84">
        <f>(NJ_prices!I49+$D$2)*IF($M$2="Prices in $/MWh",1,1/1000)</f>
        <v>91.43</v>
      </c>
      <c r="J61" s="83">
        <f>(NJ_prices!J49+$D$2)*IF($M$2="Prices in $/MWh",1,1/1000)</f>
        <v>88.53</v>
      </c>
      <c r="K61" s="84">
        <f>(NJ_prices!K49+$D$2)*IF($M$2="Prices in $/MWh",1,1/1000)</f>
        <v>90.84</v>
      </c>
      <c r="L61" s="83">
        <f>(NJ_prices!L49+$D$2)*IF($M$2="Prices in $/MWh",1,1/1000)</f>
        <v>45.96</v>
      </c>
      <c r="M61" s="84">
        <f>(NJ_prices!M49+$D$2)*IF($M$2="Prices in $/MWh",1,1/1000)</f>
        <v>44.1</v>
      </c>
      <c r="N61" s="83">
        <f>(NJ_prices!N49+$D$2)*IF($M$2="Prices in $/MWh",1,1/1000)</f>
        <v>46.15</v>
      </c>
      <c r="O61" s="61"/>
    </row>
    <row r="62" spans="2:15" x14ac:dyDescent="0.25">
      <c r="B62" s="57"/>
      <c r="C62" s="74" t="str">
        <f>NJ_prices!C50</f>
        <v>June-2016</v>
      </c>
      <c r="D62" s="75" t="str">
        <f>NJ_prices!D50</f>
        <v>NJ</v>
      </c>
      <c r="E62" s="76" t="str">
        <f>NJ_prices!E50</f>
        <v>AECO</v>
      </c>
      <c r="F62" s="75" t="str">
        <f>NJ_prices!F50</f>
        <v>MGS</v>
      </c>
      <c r="G62" s="76" t="str">
        <f>NJ_prices!G50</f>
        <v>Mthly Gen.Services</v>
      </c>
      <c r="H62" s="77" t="str">
        <f t="shared" ref="H62" si="45">IF($M$2="Prices in $/MWh","0-100 MWh","0-100,000 kWh")</f>
        <v>0-100 MWh</v>
      </c>
      <c r="I62" s="76">
        <f>(NJ_prices!I50+$D$2)*IF($M$2="Prices in $/MWh",1,1/1000)</f>
        <v>94.2</v>
      </c>
      <c r="J62" s="75">
        <f>(NJ_prices!J50+$D$2)*IF($M$2="Prices in $/MWh",1,1/1000)</f>
        <v>91.31</v>
      </c>
      <c r="K62" s="76">
        <f>(NJ_prices!K50+$D$2)*IF($M$2="Prices in $/MWh",1,1/1000)</f>
        <v>93.84</v>
      </c>
      <c r="L62" s="75">
        <f>(NJ_prices!L50+$D$2)*IF($M$2="Prices in $/MWh",1,1/1000)</f>
        <v>48.82</v>
      </c>
      <c r="M62" s="76">
        <f>(NJ_prices!M50+$D$2)*IF($M$2="Prices in $/MWh",1,1/1000)</f>
        <v>47.02</v>
      </c>
      <c r="N62" s="75">
        <f>(NJ_prices!N50+$D$2)*IF($M$2="Prices in $/MWh",1,1/1000)</f>
        <v>49.16</v>
      </c>
      <c r="O62" s="61"/>
    </row>
    <row r="63" spans="2:15" x14ac:dyDescent="0.25">
      <c r="B63" s="57"/>
      <c r="C63" s="78" t="str">
        <f>NJ_prices!C51</f>
        <v>June-2016</v>
      </c>
      <c r="D63" s="79" t="str">
        <f>NJ_prices!D51</f>
        <v>NJ</v>
      </c>
      <c r="E63" s="80" t="str">
        <f>NJ_prices!E51</f>
        <v>AECO</v>
      </c>
      <c r="F63" s="79" t="str">
        <f>NJ_prices!F51</f>
        <v>MGS</v>
      </c>
      <c r="G63" s="80" t="str">
        <f>NJ_prices!G51</f>
        <v>Mthly Gen.Services</v>
      </c>
      <c r="H63" s="81" t="str">
        <f t="shared" ref="H63" si="46">IF($M$2="Prices in $/MWh","100-500 MWh","100,000-500,000 kWh")</f>
        <v>100-500 MWh</v>
      </c>
      <c r="I63" s="80">
        <f>(NJ_prices!I51+$D$2)*IF($M$2="Prices in $/MWh",1,1/1000)</f>
        <v>92.49</v>
      </c>
      <c r="J63" s="79">
        <f>(NJ_prices!J51+$D$2)*IF($M$2="Prices in $/MWh",1,1/1000)</f>
        <v>89.59</v>
      </c>
      <c r="K63" s="80">
        <f>(NJ_prices!K51+$D$2)*IF($M$2="Prices in $/MWh",1,1/1000)</f>
        <v>92.12</v>
      </c>
      <c r="L63" s="79">
        <f>(NJ_prices!L51+$D$2)*IF($M$2="Prices in $/MWh",1,1/1000)</f>
        <v>47.11</v>
      </c>
      <c r="M63" s="80">
        <f>(NJ_prices!M51+$D$2)*IF($M$2="Prices in $/MWh",1,1/1000)</f>
        <v>45.31</v>
      </c>
      <c r="N63" s="79">
        <f>(NJ_prices!N51+$D$2)*IF($M$2="Prices in $/MWh",1,1/1000)</f>
        <v>47.45</v>
      </c>
      <c r="O63" s="61"/>
    </row>
    <row r="64" spans="2:15" x14ac:dyDescent="0.25">
      <c r="B64" s="57"/>
      <c r="C64" s="82" t="str">
        <f>NJ_prices!C52</f>
        <v>June-2016</v>
      </c>
      <c r="D64" s="83" t="str">
        <f>NJ_prices!D52</f>
        <v>NJ</v>
      </c>
      <c r="E64" s="84" t="str">
        <f>NJ_prices!E52</f>
        <v>AECO</v>
      </c>
      <c r="F64" s="83" t="str">
        <f>NJ_prices!F52</f>
        <v>MGS</v>
      </c>
      <c r="G64" s="84" t="str">
        <f>NJ_prices!G52</f>
        <v>Mthly Gen.Services</v>
      </c>
      <c r="H64" s="85" t="str">
        <f t="shared" ref="H64" si="47">IF($M$2="Prices in $/MWh","500-2500 MWh","500,000-2,500,000 kWh")</f>
        <v>500-2500 MWh</v>
      </c>
      <c r="I64" s="84">
        <f>(NJ_prices!I52+$D$2)*IF($M$2="Prices in $/MWh",1,1/1000)</f>
        <v>91.36</v>
      </c>
      <c r="J64" s="83">
        <f>(NJ_prices!J52+$D$2)*IF($M$2="Prices in $/MWh",1,1/1000)</f>
        <v>88.47</v>
      </c>
      <c r="K64" s="84">
        <f>(NJ_prices!K52+$D$2)*IF($M$2="Prices in $/MWh",1,1/1000)</f>
        <v>91</v>
      </c>
      <c r="L64" s="83">
        <f>(NJ_prices!L52+$D$2)*IF($M$2="Prices in $/MWh",1,1/1000)</f>
        <v>45.98</v>
      </c>
      <c r="M64" s="84">
        <f>(NJ_prices!M52+$D$2)*IF($M$2="Prices in $/MWh",1,1/1000)</f>
        <v>44.18</v>
      </c>
      <c r="N64" s="83">
        <f>(NJ_prices!N52+$D$2)*IF($M$2="Prices in $/MWh",1,1/1000)</f>
        <v>46.32</v>
      </c>
      <c r="O64" s="61"/>
    </row>
    <row r="65" spans="2:15" x14ac:dyDescent="0.25">
      <c r="B65" s="57"/>
      <c r="C65" s="74" t="str">
        <f>NJ_prices!C53</f>
        <v>July-2016</v>
      </c>
      <c r="D65" s="75" t="str">
        <f>NJ_prices!D53</f>
        <v>NJ</v>
      </c>
      <c r="E65" s="76" t="str">
        <f>NJ_prices!E53</f>
        <v>AECO</v>
      </c>
      <c r="F65" s="75" t="str">
        <f>NJ_prices!F53</f>
        <v>MGS</v>
      </c>
      <c r="G65" s="76" t="str">
        <f>NJ_prices!G53</f>
        <v>Mthly Gen.Services</v>
      </c>
      <c r="H65" s="77" t="str">
        <f t="shared" ref="H65" si="48">IF($M$2="Prices in $/MWh","0-100 MWh","0-100,000 kWh")</f>
        <v>0-100 MWh</v>
      </c>
      <c r="I65" s="76">
        <f>(NJ_prices!I53+$D$2)*IF($M$2="Prices in $/MWh",1,1/1000)</f>
        <v>94.21</v>
      </c>
      <c r="J65" s="75">
        <f>(NJ_prices!J53+$D$2)*IF($M$2="Prices in $/MWh",1,1/1000)</f>
        <v>92</v>
      </c>
      <c r="K65" s="76">
        <f>(NJ_prices!K53+$D$2)*IF($M$2="Prices in $/MWh",1,1/1000)</f>
        <v>93.92</v>
      </c>
      <c r="L65" s="75">
        <f>(NJ_prices!L53+$D$2)*IF($M$2="Prices in $/MWh",1,1/1000)</f>
        <v>48.92</v>
      </c>
      <c r="M65" s="76">
        <f>(NJ_prices!M53+$D$2)*IF($M$2="Prices in $/MWh",1,1/1000)</f>
        <v>47.92</v>
      </c>
      <c r="N65" s="75">
        <f>(NJ_prices!N53+$D$2)*IF($M$2="Prices in $/MWh",1,1/1000)</f>
        <v>49.37</v>
      </c>
      <c r="O65" s="61"/>
    </row>
    <row r="66" spans="2:15" x14ac:dyDescent="0.25">
      <c r="B66" s="57"/>
      <c r="C66" s="78" t="str">
        <f>NJ_prices!C54</f>
        <v>July-2016</v>
      </c>
      <c r="D66" s="79" t="str">
        <f>NJ_prices!D54</f>
        <v>NJ</v>
      </c>
      <c r="E66" s="80" t="str">
        <f>NJ_prices!E54</f>
        <v>AECO</v>
      </c>
      <c r="F66" s="79" t="str">
        <f>NJ_prices!F54</f>
        <v>MGS</v>
      </c>
      <c r="G66" s="80" t="str">
        <f>NJ_prices!G54</f>
        <v>Mthly Gen.Services</v>
      </c>
      <c r="H66" s="81" t="str">
        <f t="shared" ref="H66" si="49">IF($M$2="Prices in $/MWh","100-500 MWh","100,000-500,000 kWh")</f>
        <v>100-500 MWh</v>
      </c>
      <c r="I66" s="80">
        <f>(NJ_prices!I54+$D$2)*IF($M$2="Prices in $/MWh",1,1/1000)</f>
        <v>92.49</v>
      </c>
      <c r="J66" s="79">
        <f>(NJ_prices!J54+$D$2)*IF($M$2="Prices in $/MWh",1,1/1000)</f>
        <v>90.29</v>
      </c>
      <c r="K66" s="80">
        <f>(NJ_prices!K54+$D$2)*IF($M$2="Prices in $/MWh",1,1/1000)</f>
        <v>92.21</v>
      </c>
      <c r="L66" s="79">
        <f>(NJ_prices!L54+$D$2)*IF($M$2="Prices in $/MWh",1,1/1000)</f>
        <v>47.21</v>
      </c>
      <c r="M66" s="80">
        <f>(NJ_prices!M54+$D$2)*IF($M$2="Prices in $/MWh",1,1/1000)</f>
        <v>46.21</v>
      </c>
      <c r="N66" s="79">
        <f>(NJ_prices!N54+$D$2)*IF($M$2="Prices in $/MWh",1,1/1000)</f>
        <v>47.66</v>
      </c>
      <c r="O66" s="61"/>
    </row>
    <row r="67" spans="2:15" x14ac:dyDescent="0.25">
      <c r="B67" s="57"/>
      <c r="C67" s="82" t="str">
        <f>NJ_prices!C55</f>
        <v>July-2016</v>
      </c>
      <c r="D67" s="83" t="str">
        <f>NJ_prices!D55</f>
        <v>NJ</v>
      </c>
      <c r="E67" s="84" t="str">
        <f>NJ_prices!E55</f>
        <v>AECO</v>
      </c>
      <c r="F67" s="83" t="str">
        <f>NJ_prices!F55</f>
        <v>MGS</v>
      </c>
      <c r="G67" s="84" t="str">
        <f>NJ_prices!G55</f>
        <v>Mthly Gen.Services</v>
      </c>
      <c r="H67" s="85" t="str">
        <f t="shared" ref="H67" si="50">IF($M$2="Prices in $/MWh","500-2500 MWh","500,000-2,500,000 kWh")</f>
        <v>500-2500 MWh</v>
      </c>
      <c r="I67" s="84">
        <f>(NJ_prices!I55+$D$2)*IF($M$2="Prices in $/MWh",1,1/1000)</f>
        <v>91.37</v>
      </c>
      <c r="J67" s="83">
        <f>(NJ_prices!J55+$D$2)*IF($M$2="Prices in $/MWh",1,1/1000)</f>
        <v>89.17</v>
      </c>
      <c r="K67" s="84">
        <f>(NJ_prices!K55+$D$2)*IF($M$2="Prices in $/MWh",1,1/1000)</f>
        <v>91.09</v>
      </c>
      <c r="L67" s="83">
        <f>(NJ_prices!L55+$D$2)*IF($M$2="Prices in $/MWh",1,1/1000)</f>
        <v>46.08</v>
      </c>
      <c r="M67" s="84">
        <f>(NJ_prices!M55+$D$2)*IF($M$2="Prices in $/MWh",1,1/1000)</f>
        <v>45.08</v>
      </c>
      <c r="N67" s="83">
        <f>(NJ_prices!N55+$D$2)*IF($M$2="Prices in $/MWh",1,1/1000)</f>
        <v>46.53</v>
      </c>
      <c r="O67" s="61"/>
    </row>
    <row r="68" spans="2:15" x14ac:dyDescent="0.25">
      <c r="B68" s="57"/>
      <c r="C68" s="74" t="str">
        <f>NJ_prices!C56</f>
        <v>August-2016</v>
      </c>
      <c r="D68" s="75" t="str">
        <f>NJ_prices!D56</f>
        <v>NJ</v>
      </c>
      <c r="E68" s="76" t="str">
        <f>NJ_prices!E56</f>
        <v>AECO</v>
      </c>
      <c r="F68" s="75" t="str">
        <f>NJ_prices!F56</f>
        <v>MGS</v>
      </c>
      <c r="G68" s="76" t="str">
        <f>NJ_prices!G56</f>
        <v>Mthly Gen.Services</v>
      </c>
      <c r="H68" s="77" t="str">
        <f t="shared" ref="H68" si="51">IF($M$2="Prices in $/MWh","0-100 MWh","0-100,000 kWh")</f>
        <v>0-100 MWh</v>
      </c>
      <c r="I68" s="76">
        <f>(NJ_prices!I56+$D$2)*IF($M$2="Prices in $/MWh",1,1/1000)</f>
        <v>94.14</v>
      </c>
      <c r="J68" s="75">
        <f>(NJ_prices!J56+$D$2)*IF($M$2="Prices in $/MWh",1,1/1000)</f>
        <v>93.46</v>
      </c>
      <c r="K68" s="76">
        <f>(NJ_prices!K56+$D$2)*IF($M$2="Prices in $/MWh",1,1/1000)</f>
        <v>94.14</v>
      </c>
      <c r="L68" s="75">
        <f>(NJ_prices!L56+$D$2)*IF($M$2="Prices in $/MWh",1,1/1000)</f>
        <v>49.16</v>
      </c>
      <c r="M68" s="76">
        <f>(NJ_prices!M56+$D$2)*IF($M$2="Prices in $/MWh",1,1/1000)</f>
        <v>49.12</v>
      </c>
      <c r="N68" s="75">
        <f>(NJ_prices!N56+$D$2)*IF($M$2="Prices in $/MWh",1,1/1000)</f>
        <v>49.63</v>
      </c>
      <c r="O68" s="61"/>
    </row>
    <row r="69" spans="2:15" x14ac:dyDescent="0.25">
      <c r="B69" s="57"/>
      <c r="C69" s="78" t="str">
        <f>NJ_prices!C57</f>
        <v>August-2016</v>
      </c>
      <c r="D69" s="79" t="str">
        <f>NJ_prices!D57</f>
        <v>NJ</v>
      </c>
      <c r="E69" s="80" t="str">
        <f>NJ_prices!E57</f>
        <v>AECO</v>
      </c>
      <c r="F69" s="79" t="str">
        <f>NJ_prices!F57</f>
        <v>MGS</v>
      </c>
      <c r="G69" s="80" t="str">
        <f>NJ_prices!G57</f>
        <v>Mthly Gen.Services</v>
      </c>
      <c r="H69" s="81" t="str">
        <f t="shared" ref="H69" si="52">IF($M$2="Prices in $/MWh","100-500 MWh","100,000-500,000 kWh")</f>
        <v>100-500 MWh</v>
      </c>
      <c r="I69" s="80">
        <f>(NJ_prices!I57+$D$2)*IF($M$2="Prices in $/MWh",1,1/1000)</f>
        <v>92.43</v>
      </c>
      <c r="J69" s="79">
        <f>(NJ_prices!J57+$D$2)*IF($M$2="Prices in $/MWh",1,1/1000)</f>
        <v>91.75</v>
      </c>
      <c r="K69" s="80">
        <f>(NJ_prices!K57+$D$2)*IF($M$2="Prices in $/MWh",1,1/1000)</f>
        <v>92.43</v>
      </c>
      <c r="L69" s="79">
        <f>(NJ_prices!L57+$D$2)*IF($M$2="Prices in $/MWh",1,1/1000)</f>
        <v>47.45</v>
      </c>
      <c r="M69" s="80">
        <f>(NJ_prices!M57+$D$2)*IF($M$2="Prices in $/MWh",1,1/1000)</f>
        <v>47.41</v>
      </c>
      <c r="N69" s="79">
        <f>(NJ_prices!N57+$D$2)*IF($M$2="Prices in $/MWh",1,1/1000)</f>
        <v>47.92</v>
      </c>
      <c r="O69" s="61"/>
    </row>
    <row r="70" spans="2:15" x14ac:dyDescent="0.25">
      <c r="B70" s="57"/>
      <c r="C70" s="82" t="str">
        <f>NJ_prices!C58</f>
        <v>August-2016</v>
      </c>
      <c r="D70" s="83" t="str">
        <f>NJ_prices!D58</f>
        <v>NJ</v>
      </c>
      <c r="E70" s="84" t="str">
        <f>NJ_prices!E58</f>
        <v>AECO</v>
      </c>
      <c r="F70" s="83" t="str">
        <f>NJ_prices!F58</f>
        <v>MGS</v>
      </c>
      <c r="G70" s="84" t="str">
        <f>NJ_prices!G58</f>
        <v>Mthly Gen.Services</v>
      </c>
      <c r="H70" s="85" t="str">
        <f t="shared" ref="H70" si="53">IF($M$2="Prices in $/MWh","500-2500 MWh","500,000-2,500,000 kWh")</f>
        <v>500-2500 MWh</v>
      </c>
      <c r="I70" s="84">
        <f>(NJ_prices!I58+$D$2)*IF($M$2="Prices in $/MWh",1,1/1000)</f>
        <v>91.31</v>
      </c>
      <c r="J70" s="83">
        <f>(NJ_prices!J58+$D$2)*IF($M$2="Prices in $/MWh",1,1/1000)</f>
        <v>90.63</v>
      </c>
      <c r="K70" s="84">
        <f>(NJ_prices!K58+$D$2)*IF($M$2="Prices in $/MWh",1,1/1000)</f>
        <v>91.31</v>
      </c>
      <c r="L70" s="83">
        <f>(NJ_prices!L58+$D$2)*IF($M$2="Prices in $/MWh",1,1/1000)</f>
        <v>46.32</v>
      </c>
      <c r="M70" s="84">
        <f>(NJ_prices!M58+$D$2)*IF($M$2="Prices in $/MWh",1,1/1000)</f>
        <v>46.28</v>
      </c>
      <c r="N70" s="83">
        <f>(NJ_prices!N58+$D$2)*IF($M$2="Prices in $/MWh",1,1/1000)</f>
        <v>46.79</v>
      </c>
      <c r="O70" s="61"/>
    </row>
    <row r="71" spans="2:15" x14ac:dyDescent="0.25">
      <c r="B71" s="57"/>
      <c r="C71" s="74" t="str">
        <f>NJ_prices!C59</f>
        <v>September-2016</v>
      </c>
      <c r="D71" s="75" t="str">
        <f>NJ_prices!D59</f>
        <v>NJ</v>
      </c>
      <c r="E71" s="76" t="str">
        <f>NJ_prices!E59</f>
        <v>AECO</v>
      </c>
      <c r="F71" s="75" t="str">
        <f>NJ_prices!F59</f>
        <v>MGS</v>
      </c>
      <c r="G71" s="76" t="str">
        <f>NJ_prices!G59</f>
        <v>Mthly Gen.Services</v>
      </c>
      <c r="H71" s="77" t="str">
        <f t="shared" ref="H71" si="54">IF($M$2="Prices in $/MWh","0-100 MWh","0-100,000 kWh")</f>
        <v>0-100 MWh</v>
      </c>
      <c r="I71" s="76">
        <f>(NJ_prices!I59+$D$2)*IF($M$2="Prices in $/MWh",1,1/1000)</f>
        <v>94.07</v>
      </c>
      <c r="J71" s="75">
        <f>(NJ_prices!J59+$D$2)*IF($M$2="Prices in $/MWh",1,1/1000)</f>
        <v>94.95</v>
      </c>
      <c r="K71" s="76">
        <f>(NJ_prices!K59+$D$2)*IF($M$2="Prices in $/MWh",1,1/1000)</f>
        <v>94.31</v>
      </c>
      <c r="L71" s="75">
        <f>(NJ_prices!L59+$D$2)*IF($M$2="Prices in $/MWh",1,1/1000)</f>
        <v>49.39</v>
      </c>
      <c r="M71" s="76">
        <f>(NJ_prices!M59+$D$2)*IF($M$2="Prices in $/MWh",1,1/1000)</f>
        <v>50.29</v>
      </c>
      <c r="N71" s="75">
        <f>(NJ_prices!N59+$D$2)*IF($M$2="Prices in $/MWh",1,1/1000)</f>
        <v>49.96</v>
      </c>
      <c r="O71" s="61"/>
    </row>
    <row r="72" spans="2:15" x14ac:dyDescent="0.25">
      <c r="B72" s="57"/>
      <c r="C72" s="78" t="str">
        <f>NJ_prices!C60</f>
        <v>September-2016</v>
      </c>
      <c r="D72" s="79" t="str">
        <f>NJ_prices!D60</f>
        <v>NJ</v>
      </c>
      <c r="E72" s="80" t="str">
        <f>NJ_prices!E60</f>
        <v>AECO</v>
      </c>
      <c r="F72" s="79" t="str">
        <f>NJ_prices!F60</f>
        <v>MGS</v>
      </c>
      <c r="G72" s="80" t="str">
        <f>NJ_prices!G60</f>
        <v>Mthly Gen.Services</v>
      </c>
      <c r="H72" s="81" t="str">
        <f t="shared" ref="H72" si="55">IF($M$2="Prices in $/MWh","100-500 MWh","100,000-500,000 kWh")</f>
        <v>100-500 MWh</v>
      </c>
      <c r="I72" s="80">
        <f>(NJ_prices!I60+$D$2)*IF($M$2="Prices in $/MWh",1,1/1000)</f>
        <v>92.36</v>
      </c>
      <c r="J72" s="79">
        <f>(NJ_prices!J60+$D$2)*IF($M$2="Prices in $/MWh",1,1/1000)</f>
        <v>93.23</v>
      </c>
      <c r="K72" s="80">
        <f>(NJ_prices!K60+$D$2)*IF($M$2="Prices in $/MWh",1,1/1000)</f>
        <v>92.6</v>
      </c>
      <c r="L72" s="79">
        <f>(NJ_prices!L60+$D$2)*IF($M$2="Prices in $/MWh",1,1/1000)</f>
        <v>47.68</v>
      </c>
      <c r="M72" s="80">
        <f>(NJ_prices!M60+$D$2)*IF($M$2="Prices in $/MWh",1,1/1000)</f>
        <v>48.58</v>
      </c>
      <c r="N72" s="79">
        <f>(NJ_prices!N60+$D$2)*IF($M$2="Prices in $/MWh",1,1/1000)</f>
        <v>48.25</v>
      </c>
      <c r="O72" s="61"/>
    </row>
    <row r="73" spans="2:15" x14ac:dyDescent="0.25">
      <c r="B73" s="57"/>
      <c r="C73" s="82" t="str">
        <f>NJ_prices!C61</f>
        <v>September-2016</v>
      </c>
      <c r="D73" s="83" t="str">
        <f>NJ_prices!D61</f>
        <v>NJ</v>
      </c>
      <c r="E73" s="84" t="str">
        <f>NJ_prices!E61</f>
        <v>AECO</v>
      </c>
      <c r="F73" s="83" t="str">
        <f>NJ_prices!F61</f>
        <v>MGS</v>
      </c>
      <c r="G73" s="84" t="str">
        <f>NJ_prices!G61</f>
        <v>Mthly Gen.Services</v>
      </c>
      <c r="H73" s="85" t="str">
        <f t="shared" ref="H73" si="56">IF($M$2="Prices in $/MWh","500-2500 MWh","500,000-2,500,000 kWh")</f>
        <v>500-2500 MWh</v>
      </c>
      <c r="I73" s="84">
        <f>(NJ_prices!I61+$D$2)*IF($M$2="Prices in $/MWh",1,1/1000)</f>
        <v>91.23</v>
      </c>
      <c r="J73" s="83">
        <f>(NJ_prices!J61+$D$2)*IF($M$2="Prices in $/MWh",1,1/1000)</f>
        <v>92.11</v>
      </c>
      <c r="K73" s="84">
        <f>(NJ_prices!K61+$D$2)*IF($M$2="Prices in $/MWh",1,1/1000)</f>
        <v>91.47</v>
      </c>
      <c r="L73" s="83">
        <f>(NJ_prices!L61+$D$2)*IF($M$2="Prices in $/MWh",1,1/1000)</f>
        <v>46.55</v>
      </c>
      <c r="M73" s="84">
        <f>(NJ_prices!M61+$D$2)*IF($M$2="Prices in $/MWh",1,1/1000)</f>
        <v>47.45</v>
      </c>
      <c r="N73" s="83">
        <f>(NJ_prices!N61+$D$2)*IF($M$2="Prices in $/MWh",1,1/1000)</f>
        <v>47.13</v>
      </c>
      <c r="O73" s="61"/>
    </row>
    <row r="74" spans="2:15" x14ac:dyDescent="0.25">
      <c r="B74" s="57"/>
      <c r="C74" s="74" t="str">
        <f>NJ_prices!C62</f>
        <v>October-2016</v>
      </c>
      <c r="D74" s="75" t="str">
        <f>NJ_prices!D62</f>
        <v>NJ</v>
      </c>
      <c r="E74" s="76" t="str">
        <f>NJ_prices!E62</f>
        <v>AECO</v>
      </c>
      <c r="F74" s="75" t="str">
        <f>NJ_prices!F62</f>
        <v>MGS</v>
      </c>
      <c r="G74" s="76" t="str">
        <f>NJ_prices!G62</f>
        <v>Mthly Gen.Services</v>
      </c>
      <c r="H74" s="77" t="str">
        <f t="shared" ref="H74" si="57">IF($M$2="Prices in $/MWh","0-100 MWh","0-100,000 kWh")</f>
        <v>0-100 MWh</v>
      </c>
      <c r="I74" s="76">
        <f>(NJ_prices!I62+$D$2)*IF($M$2="Prices in $/MWh",1,1/1000)</f>
        <v>94.14</v>
      </c>
      <c r="J74" s="75">
        <f>(NJ_prices!J62+$D$2)*IF($M$2="Prices in $/MWh",1,1/1000)</f>
        <v>96.21</v>
      </c>
      <c r="K74" s="76">
        <f>(NJ_prices!K62+$D$2)*IF($M$2="Prices in $/MWh",1,1/1000)</f>
        <v>94.18</v>
      </c>
      <c r="L74" s="75">
        <f>(NJ_prices!L62+$D$2)*IF($M$2="Prices in $/MWh",1,1/1000)</f>
        <v>49.69</v>
      </c>
      <c r="M74" s="76">
        <f>(NJ_prices!M62+$D$2)*IF($M$2="Prices in $/MWh",1,1/1000)</f>
        <v>51.57</v>
      </c>
      <c r="N74" s="75">
        <f>(NJ_prices!N62+$D$2)*IF($M$2="Prices in $/MWh",1,1/1000)</f>
        <v>50.05</v>
      </c>
      <c r="O74" s="61"/>
    </row>
    <row r="75" spans="2:15" x14ac:dyDescent="0.25">
      <c r="B75" s="57"/>
      <c r="C75" s="78" t="str">
        <f>NJ_prices!C63</f>
        <v>October-2016</v>
      </c>
      <c r="D75" s="79" t="str">
        <f>NJ_prices!D63</f>
        <v>NJ</v>
      </c>
      <c r="E75" s="80" t="str">
        <f>NJ_prices!E63</f>
        <v>AECO</v>
      </c>
      <c r="F75" s="79" t="str">
        <f>NJ_prices!F63</f>
        <v>MGS</v>
      </c>
      <c r="G75" s="80" t="str">
        <f>NJ_prices!G63</f>
        <v>Mthly Gen.Services</v>
      </c>
      <c r="H75" s="81" t="str">
        <f t="shared" ref="H75" si="58">IF($M$2="Prices in $/MWh","100-500 MWh","100,000-500,000 kWh")</f>
        <v>100-500 MWh</v>
      </c>
      <c r="I75" s="80">
        <f>(NJ_prices!I63+$D$2)*IF($M$2="Prices in $/MWh",1,1/1000)</f>
        <v>92.43</v>
      </c>
      <c r="J75" s="79">
        <f>(NJ_prices!J63+$D$2)*IF($M$2="Prices in $/MWh",1,1/1000)</f>
        <v>94.5</v>
      </c>
      <c r="K75" s="80">
        <f>(NJ_prices!K63+$D$2)*IF($M$2="Prices in $/MWh",1,1/1000)</f>
        <v>92.46</v>
      </c>
      <c r="L75" s="79">
        <f>(NJ_prices!L63+$D$2)*IF($M$2="Prices in $/MWh",1,1/1000)</f>
        <v>47.98</v>
      </c>
      <c r="M75" s="80">
        <f>(NJ_prices!M63+$D$2)*IF($M$2="Prices in $/MWh",1,1/1000)</f>
        <v>49.86</v>
      </c>
      <c r="N75" s="79">
        <f>(NJ_prices!N63+$D$2)*IF($M$2="Prices in $/MWh",1,1/1000)</f>
        <v>48.34</v>
      </c>
      <c r="O75" s="61"/>
    </row>
    <row r="76" spans="2:15" x14ac:dyDescent="0.25">
      <c r="B76" s="57"/>
      <c r="C76" s="82" t="str">
        <f>NJ_prices!C64</f>
        <v>October-2016</v>
      </c>
      <c r="D76" s="83" t="str">
        <f>NJ_prices!D64</f>
        <v>NJ</v>
      </c>
      <c r="E76" s="84" t="str">
        <f>NJ_prices!E64</f>
        <v>AECO</v>
      </c>
      <c r="F76" s="83" t="str">
        <f>NJ_prices!F64</f>
        <v>MGS</v>
      </c>
      <c r="G76" s="84" t="str">
        <f>NJ_prices!G64</f>
        <v>Mthly Gen.Services</v>
      </c>
      <c r="H76" s="85" t="str">
        <f t="shared" ref="H76" si="59">IF($M$2="Prices in $/MWh","500-2500 MWh","500,000-2,500,000 kWh")</f>
        <v>500-2500 MWh</v>
      </c>
      <c r="I76" s="84">
        <f>(NJ_prices!I64+$D$2)*IF($M$2="Prices in $/MWh",1,1/1000)</f>
        <v>91.31</v>
      </c>
      <c r="J76" s="83">
        <f>(NJ_prices!J64+$D$2)*IF($M$2="Prices in $/MWh",1,1/1000)</f>
        <v>93.37</v>
      </c>
      <c r="K76" s="84">
        <f>(NJ_prices!K64+$D$2)*IF($M$2="Prices in $/MWh",1,1/1000)</f>
        <v>91.34</v>
      </c>
      <c r="L76" s="83">
        <f>(NJ_prices!L64+$D$2)*IF($M$2="Prices in $/MWh",1,1/1000)</f>
        <v>46.85</v>
      </c>
      <c r="M76" s="84">
        <f>(NJ_prices!M64+$D$2)*IF($M$2="Prices in $/MWh",1,1/1000)</f>
        <v>48.73</v>
      </c>
      <c r="N76" s="83">
        <f>(NJ_prices!N64+$D$2)*IF($M$2="Prices in $/MWh",1,1/1000)</f>
        <v>47.21</v>
      </c>
      <c r="O76" s="61"/>
    </row>
    <row r="77" spans="2:15" x14ac:dyDescent="0.25">
      <c r="B77" s="57"/>
      <c r="C77" s="74" t="str">
        <f>NJ_prices!C65</f>
        <v>November-2016</v>
      </c>
      <c r="D77" s="75" t="str">
        <f>NJ_prices!D65</f>
        <v>NJ</v>
      </c>
      <c r="E77" s="76" t="str">
        <f>NJ_prices!E65</f>
        <v>AECO</v>
      </c>
      <c r="F77" s="75" t="str">
        <f>NJ_prices!F65</f>
        <v>MGS</v>
      </c>
      <c r="G77" s="76" t="str">
        <f>NJ_prices!G65</f>
        <v>Mthly Gen.Services</v>
      </c>
      <c r="H77" s="77" t="str">
        <f t="shared" ref="H77" si="60">IF($M$2="Prices in $/MWh","0-100 MWh","0-100,000 kWh")</f>
        <v>0-100 MWh</v>
      </c>
      <c r="I77" s="76">
        <f>(NJ_prices!I65+$D$2)*IF($M$2="Prices in $/MWh",1,1/1000)</f>
        <v>94.09</v>
      </c>
      <c r="J77" s="75">
        <f>(NJ_prices!J65+$D$2)*IF($M$2="Prices in $/MWh",1,1/1000)</f>
        <v>96.48</v>
      </c>
      <c r="K77" s="76">
        <f>(NJ_prices!K65+$D$2)*IF($M$2="Prices in $/MWh",1,1/1000)</f>
        <v>94.2</v>
      </c>
      <c r="L77" s="75">
        <f>(NJ_prices!L65+$D$2)*IF($M$2="Prices in $/MWh",1,1/1000)</f>
        <v>49.82</v>
      </c>
      <c r="M77" s="76">
        <f>(NJ_prices!M65+$D$2)*IF($M$2="Prices in $/MWh",1,1/1000)</f>
        <v>51.8</v>
      </c>
      <c r="N77" s="75">
        <f>(NJ_prices!N65+$D$2)*IF($M$2="Prices in $/MWh",1,1/1000)</f>
        <v>50.19</v>
      </c>
      <c r="O77" s="61"/>
    </row>
    <row r="78" spans="2:15" x14ac:dyDescent="0.25">
      <c r="B78" s="57"/>
      <c r="C78" s="78" t="str">
        <f>NJ_prices!C66</f>
        <v>November-2016</v>
      </c>
      <c r="D78" s="79" t="str">
        <f>NJ_prices!D66</f>
        <v>NJ</v>
      </c>
      <c r="E78" s="80" t="str">
        <f>NJ_prices!E66</f>
        <v>AECO</v>
      </c>
      <c r="F78" s="79" t="str">
        <f>NJ_prices!F66</f>
        <v>MGS</v>
      </c>
      <c r="G78" s="80" t="str">
        <f>NJ_prices!G66</f>
        <v>Mthly Gen.Services</v>
      </c>
      <c r="H78" s="81" t="str">
        <f t="shared" ref="H78" si="61">IF($M$2="Prices in $/MWh","100-500 MWh","100,000-500,000 kWh")</f>
        <v>100-500 MWh</v>
      </c>
      <c r="I78" s="80">
        <f>(NJ_prices!I66+$D$2)*IF($M$2="Prices in $/MWh",1,1/1000)</f>
        <v>92.38</v>
      </c>
      <c r="J78" s="79">
        <f>(NJ_prices!J66+$D$2)*IF($M$2="Prices in $/MWh",1,1/1000)</f>
        <v>94.76</v>
      </c>
      <c r="K78" s="80">
        <f>(NJ_prices!K66+$D$2)*IF($M$2="Prices in $/MWh",1,1/1000)</f>
        <v>92.48</v>
      </c>
      <c r="L78" s="79">
        <f>(NJ_prices!L66+$D$2)*IF($M$2="Prices in $/MWh",1,1/1000)</f>
        <v>48.11</v>
      </c>
      <c r="M78" s="80">
        <f>(NJ_prices!M66+$D$2)*IF($M$2="Prices in $/MWh",1,1/1000)</f>
        <v>50.09</v>
      </c>
      <c r="N78" s="79">
        <f>(NJ_prices!N66+$D$2)*IF($M$2="Prices in $/MWh",1,1/1000)</f>
        <v>48.48</v>
      </c>
      <c r="O78" s="61"/>
    </row>
    <row r="79" spans="2:15" x14ac:dyDescent="0.25">
      <c r="B79" s="57"/>
      <c r="C79" s="82" t="str">
        <f>NJ_prices!C67</f>
        <v>November-2016</v>
      </c>
      <c r="D79" s="83" t="str">
        <f>NJ_prices!D67</f>
        <v>NJ</v>
      </c>
      <c r="E79" s="84" t="str">
        <f>NJ_prices!E67</f>
        <v>AECO</v>
      </c>
      <c r="F79" s="83" t="str">
        <f>NJ_prices!F67</f>
        <v>MGS</v>
      </c>
      <c r="G79" s="84" t="str">
        <f>NJ_prices!G67</f>
        <v>Mthly Gen.Services</v>
      </c>
      <c r="H79" s="85" t="str">
        <f t="shared" ref="H79" si="62">IF($M$2="Prices in $/MWh","500-2500 MWh","500,000-2,500,000 kWh")</f>
        <v>500-2500 MWh</v>
      </c>
      <c r="I79" s="84">
        <f>(NJ_prices!I67+$D$2)*IF($M$2="Prices in $/MWh",1,1/1000)</f>
        <v>91.26</v>
      </c>
      <c r="J79" s="83">
        <f>(NJ_prices!J67+$D$2)*IF($M$2="Prices in $/MWh",1,1/1000)</f>
        <v>93.64</v>
      </c>
      <c r="K79" s="84">
        <f>(NJ_prices!K67+$D$2)*IF($M$2="Prices in $/MWh",1,1/1000)</f>
        <v>91.36</v>
      </c>
      <c r="L79" s="83">
        <f>(NJ_prices!L67+$D$2)*IF($M$2="Prices in $/MWh",1,1/1000)</f>
        <v>46.98</v>
      </c>
      <c r="M79" s="84">
        <f>(NJ_prices!M67+$D$2)*IF($M$2="Prices in $/MWh",1,1/1000)</f>
        <v>48.96</v>
      </c>
      <c r="N79" s="83">
        <f>(NJ_prices!N67+$D$2)*IF($M$2="Prices in $/MWh",1,1/1000)</f>
        <v>47.35</v>
      </c>
      <c r="O79" s="61"/>
    </row>
    <row r="80" spans="2:15" x14ac:dyDescent="0.25">
      <c r="B80" s="57"/>
      <c r="C80" s="74" t="str">
        <f>NJ_prices!C68</f>
        <v>December-2016</v>
      </c>
      <c r="D80" s="75" t="str">
        <f>NJ_prices!D68</f>
        <v>NJ</v>
      </c>
      <c r="E80" s="76" t="str">
        <f>NJ_prices!E68</f>
        <v>AECO</v>
      </c>
      <c r="F80" s="75" t="str">
        <f>NJ_prices!F68</f>
        <v>MGS</v>
      </c>
      <c r="G80" s="76" t="str">
        <f>NJ_prices!G68</f>
        <v>Mthly Gen.Services</v>
      </c>
      <c r="H80" s="77" t="str">
        <f t="shared" ref="H80" si="63">IF($M$2="Prices in $/MWh","0-100 MWh","0-100,000 kWh")</f>
        <v>0-100 MWh</v>
      </c>
      <c r="I80" s="76">
        <f>(NJ_prices!I68+$D$2)*IF($M$2="Prices in $/MWh",1,1/1000)</f>
        <v>93.79</v>
      </c>
      <c r="J80" s="75">
        <f>(NJ_prices!J68+$D$2)*IF($M$2="Prices in $/MWh",1,1/1000)</f>
        <v>96.54</v>
      </c>
      <c r="K80" s="76">
        <f>(NJ_prices!K68+$D$2)*IF($M$2="Prices in $/MWh",1,1/1000)</f>
        <v>94.32</v>
      </c>
      <c r="L80" s="75">
        <f>(NJ_prices!L68+$D$2)*IF($M$2="Prices in $/MWh",1,1/1000)</f>
        <v>49.64</v>
      </c>
      <c r="M80" s="76">
        <f>(NJ_prices!M68+$D$2)*IF($M$2="Prices in $/MWh",1,1/1000)</f>
        <v>51.81</v>
      </c>
      <c r="N80" s="75">
        <f>(NJ_prices!N68+$D$2)*IF($M$2="Prices in $/MWh",1,1/1000)</f>
        <v>50.4</v>
      </c>
      <c r="O80" s="61"/>
    </row>
    <row r="81" spans="2:15" x14ac:dyDescent="0.25">
      <c r="B81" s="57"/>
      <c r="C81" s="78" t="str">
        <f>NJ_prices!C69</f>
        <v>December-2016</v>
      </c>
      <c r="D81" s="79" t="str">
        <f>NJ_prices!D69</f>
        <v>NJ</v>
      </c>
      <c r="E81" s="80" t="str">
        <f>NJ_prices!E69</f>
        <v>AECO</v>
      </c>
      <c r="F81" s="79" t="str">
        <f>NJ_prices!F69</f>
        <v>MGS</v>
      </c>
      <c r="G81" s="80" t="str">
        <f>NJ_prices!G69</f>
        <v>Mthly Gen.Services</v>
      </c>
      <c r="H81" s="81" t="str">
        <f t="shared" ref="H81" si="64">IF($M$2="Prices in $/MWh","100-500 MWh","100,000-500,000 kWh")</f>
        <v>100-500 MWh</v>
      </c>
      <c r="I81" s="80">
        <f>(NJ_prices!I69+$D$2)*IF($M$2="Prices in $/MWh",1,1/1000)</f>
        <v>92.08</v>
      </c>
      <c r="J81" s="79">
        <f>(NJ_prices!J69+$D$2)*IF($M$2="Prices in $/MWh",1,1/1000)</f>
        <v>94.83</v>
      </c>
      <c r="K81" s="80">
        <f>(NJ_prices!K69+$D$2)*IF($M$2="Prices in $/MWh",1,1/1000)</f>
        <v>92.61</v>
      </c>
      <c r="L81" s="79">
        <f>(NJ_prices!L69+$D$2)*IF($M$2="Prices in $/MWh",1,1/1000)</f>
        <v>47.93</v>
      </c>
      <c r="M81" s="80">
        <f>(NJ_prices!M69+$D$2)*IF($M$2="Prices in $/MWh",1,1/1000)</f>
        <v>50.1</v>
      </c>
      <c r="N81" s="79">
        <f>(NJ_prices!N69+$D$2)*IF($M$2="Prices in $/MWh",1,1/1000)</f>
        <v>48.69</v>
      </c>
      <c r="O81" s="61"/>
    </row>
    <row r="82" spans="2:15" x14ac:dyDescent="0.25">
      <c r="B82" s="57"/>
      <c r="C82" s="82" t="str">
        <f>NJ_prices!C70</f>
        <v>December-2016</v>
      </c>
      <c r="D82" s="83" t="str">
        <f>NJ_prices!D70</f>
        <v>NJ</v>
      </c>
      <c r="E82" s="84" t="str">
        <f>NJ_prices!E70</f>
        <v>AECO</v>
      </c>
      <c r="F82" s="83" t="str">
        <f>NJ_prices!F70</f>
        <v>MGS</v>
      </c>
      <c r="G82" s="84" t="str">
        <f>NJ_prices!G70</f>
        <v>Mthly Gen.Services</v>
      </c>
      <c r="H82" s="85" t="str">
        <f t="shared" ref="H82" si="65">IF($M$2="Prices in $/MWh","500-2500 MWh","500,000-2,500,000 kWh")</f>
        <v>500-2500 MWh</v>
      </c>
      <c r="I82" s="84">
        <f>(NJ_prices!I70+$D$2)*IF($M$2="Prices in $/MWh",1,1/1000)</f>
        <v>90.96</v>
      </c>
      <c r="J82" s="83">
        <f>(NJ_prices!J70+$D$2)*IF($M$2="Prices in $/MWh",1,1/1000)</f>
        <v>93.71</v>
      </c>
      <c r="K82" s="84">
        <f>(NJ_prices!K70+$D$2)*IF($M$2="Prices in $/MWh",1,1/1000)</f>
        <v>91.49</v>
      </c>
      <c r="L82" s="83">
        <f>(NJ_prices!L70+$D$2)*IF($M$2="Prices in $/MWh",1,1/1000)</f>
        <v>46.8</v>
      </c>
      <c r="M82" s="84">
        <f>(NJ_prices!M70+$D$2)*IF($M$2="Prices in $/MWh",1,1/1000)</f>
        <v>48.97</v>
      </c>
      <c r="N82" s="83">
        <f>(NJ_prices!N70+$D$2)*IF($M$2="Prices in $/MWh",1,1/1000)</f>
        <v>47.56</v>
      </c>
      <c r="O82" s="61"/>
    </row>
    <row r="83" spans="2:15" x14ac:dyDescent="0.25">
      <c r="B83" s="57"/>
      <c r="C83" s="74" t="str">
        <f>NJ_prices!C71</f>
        <v>January-2017</v>
      </c>
      <c r="D83" s="75" t="str">
        <f>NJ_prices!D71</f>
        <v>NJ</v>
      </c>
      <c r="E83" s="76" t="str">
        <f>NJ_prices!E71</f>
        <v>AECO</v>
      </c>
      <c r="F83" s="75" t="str">
        <f>NJ_prices!F71</f>
        <v>MGS</v>
      </c>
      <c r="G83" s="76" t="str">
        <f>NJ_prices!G71</f>
        <v>Mthly Gen.Services</v>
      </c>
      <c r="H83" s="77" t="str">
        <f t="shared" ref="H83" si="66">IF($M$2="Prices in $/MWh","0-100 MWh","0-100,000 kWh")</f>
        <v>0-100 MWh</v>
      </c>
      <c r="I83" s="76">
        <f>(NJ_prices!I71+$D$2)*IF($M$2="Prices in $/MWh",1,1/1000)</f>
        <v>93.76</v>
      </c>
      <c r="J83" s="75">
        <f>(NJ_prices!J71+$D$2)*IF($M$2="Prices in $/MWh",1,1/1000)</f>
        <v>95.83</v>
      </c>
      <c r="K83" s="76">
        <f>(NJ_prices!K71+$D$2)*IF($M$2="Prices in $/MWh",1,1/1000)</f>
        <v>94.62</v>
      </c>
      <c r="L83" s="75">
        <f>(NJ_prices!L71+$D$2)*IF($M$2="Prices in $/MWh",1,1/1000)</f>
        <v>49.63</v>
      </c>
      <c r="M83" s="76">
        <f>(NJ_prices!M71+$D$2)*IF($M$2="Prices in $/MWh",1,1/1000)</f>
        <v>51.07</v>
      </c>
      <c r="N83" s="75">
        <f>(NJ_prices!N71+$D$2)*IF($M$2="Prices in $/MWh",1,1/1000)</f>
        <v>50.66</v>
      </c>
      <c r="O83" s="61"/>
    </row>
    <row r="84" spans="2:15" x14ac:dyDescent="0.25">
      <c r="B84" s="57"/>
      <c r="C84" s="78" t="str">
        <f>NJ_prices!C72</f>
        <v>January-2017</v>
      </c>
      <c r="D84" s="79" t="str">
        <f>NJ_prices!D72</f>
        <v>NJ</v>
      </c>
      <c r="E84" s="80" t="str">
        <f>NJ_prices!E72</f>
        <v>AECO</v>
      </c>
      <c r="F84" s="79" t="str">
        <f>NJ_prices!F72</f>
        <v>MGS</v>
      </c>
      <c r="G84" s="80" t="str">
        <f>NJ_prices!G72</f>
        <v>Mthly Gen.Services</v>
      </c>
      <c r="H84" s="81" t="str">
        <f t="shared" ref="H84" si="67">IF($M$2="Prices in $/MWh","100-500 MWh","100,000-500,000 kWh")</f>
        <v>100-500 MWh</v>
      </c>
      <c r="I84" s="80">
        <f>(NJ_prices!I72+$D$2)*IF($M$2="Prices in $/MWh",1,1/1000)</f>
        <v>92.05</v>
      </c>
      <c r="J84" s="79">
        <f>(NJ_prices!J72+$D$2)*IF($M$2="Prices in $/MWh",1,1/1000)</f>
        <v>94.12</v>
      </c>
      <c r="K84" s="80">
        <f>(NJ_prices!K72+$D$2)*IF($M$2="Prices in $/MWh",1,1/1000)</f>
        <v>92.91</v>
      </c>
      <c r="L84" s="79">
        <f>(NJ_prices!L72+$D$2)*IF($M$2="Prices in $/MWh",1,1/1000)</f>
        <v>47.92</v>
      </c>
      <c r="M84" s="80">
        <f>(NJ_prices!M72+$D$2)*IF($M$2="Prices in $/MWh",1,1/1000)</f>
        <v>49.36</v>
      </c>
      <c r="N84" s="79">
        <f>(NJ_prices!N72+$D$2)*IF($M$2="Prices in $/MWh",1,1/1000)</f>
        <v>48.95</v>
      </c>
      <c r="O84" s="61"/>
    </row>
    <row r="85" spans="2:15" x14ac:dyDescent="0.25">
      <c r="B85" s="57"/>
      <c r="C85" s="82" t="str">
        <f>NJ_prices!C73</f>
        <v>January-2017</v>
      </c>
      <c r="D85" s="83" t="str">
        <f>NJ_prices!D73</f>
        <v>NJ</v>
      </c>
      <c r="E85" s="84" t="str">
        <f>NJ_prices!E73</f>
        <v>AECO</v>
      </c>
      <c r="F85" s="83" t="str">
        <f>NJ_prices!F73</f>
        <v>MGS</v>
      </c>
      <c r="G85" s="84" t="str">
        <f>NJ_prices!G73</f>
        <v>Mthly Gen.Services</v>
      </c>
      <c r="H85" s="85" t="str">
        <f t="shared" ref="H85" si="68">IF($M$2="Prices in $/MWh","500-2500 MWh","500,000-2,500,000 kWh")</f>
        <v>500-2500 MWh</v>
      </c>
      <c r="I85" s="84">
        <f>(NJ_prices!I73+$D$2)*IF($M$2="Prices in $/MWh",1,1/1000)</f>
        <v>90.93</v>
      </c>
      <c r="J85" s="83">
        <f>(NJ_prices!J73+$D$2)*IF($M$2="Prices in $/MWh",1,1/1000)</f>
        <v>93</v>
      </c>
      <c r="K85" s="84">
        <f>(NJ_prices!K73+$D$2)*IF($M$2="Prices in $/MWh",1,1/1000)</f>
        <v>91.79</v>
      </c>
      <c r="L85" s="83">
        <f>(NJ_prices!L73+$D$2)*IF($M$2="Prices in $/MWh",1,1/1000)</f>
        <v>46.79</v>
      </c>
      <c r="M85" s="84">
        <f>(NJ_prices!M73+$D$2)*IF($M$2="Prices in $/MWh",1,1/1000)</f>
        <v>48.23</v>
      </c>
      <c r="N85" s="83">
        <f>(NJ_prices!N73+$D$2)*IF($M$2="Prices in $/MWh",1,1/1000)</f>
        <v>47.82</v>
      </c>
      <c r="O85" s="61"/>
    </row>
    <row r="86" spans="2:15" x14ac:dyDescent="0.25">
      <c r="B86" s="57"/>
      <c r="C86" s="74" t="str">
        <f>NJ_prices!C74</f>
        <v>February-2016</v>
      </c>
      <c r="D86" s="75" t="str">
        <f>NJ_prices!D74</f>
        <v>NJ</v>
      </c>
      <c r="E86" s="76" t="str">
        <f>NJ_prices!E74</f>
        <v>JCPL</v>
      </c>
      <c r="F86" s="75" t="str">
        <f>NJ_prices!F74</f>
        <v>GSCL</v>
      </c>
      <c r="G86" s="76" t="str">
        <f>NJ_prices!G74</f>
        <v>General Service Large</v>
      </c>
      <c r="H86" s="77" t="str">
        <f t="shared" ref="H86" si="69">IF($M$2="Prices in $/MWh","0-100 MWh","0-100,000 kWh")</f>
        <v>0-100 MWh</v>
      </c>
      <c r="I86" s="76">
        <f>(NJ_prices!I74+$D$2)*IF($M$2="Prices in $/MWh",1,1/1000)</f>
        <v>85.91</v>
      </c>
      <c r="J86" s="75">
        <f>(NJ_prices!J74+$D$2)*IF($M$2="Prices in $/MWh",1,1/1000)</f>
        <v>87.08</v>
      </c>
      <c r="K86" s="76">
        <f>(NJ_prices!K74+$D$2)*IF($M$2="Prices in $/MWh",1,1/1000)</f>
        <v>86.63</v>
      </c>
      <c r="L86" s="75">
        <f>(NJ_prices!L74+$D$2)*IF($M$2="Prices in $/MWh",1,1/1000)</f>
        <v>40.32</v>
      </c>
      <c r="M86" s="76">
        <f>(NJ_prices!M74+$D$2)*IF($M$2="Prices in $/MWh",1,1/1000)</f>
        <v>41.43</v>
      </c>
      <c r="N86" s="75">
        <f>(NJ_prices!N74+$D$2)*IF($M$2="Prices in $/MWh",1,1/1000)</f>
        <v>41.53</v>
      </c>
      <c r="O86" s="61"/>
    </row>
    <row r="87" spans="2:15" x14ac:dyDescent="0.25">
      <c r="B87" s="57"/>
      <c r="C87" s="78" t="str">
        <f>NJ_prices!C75</f>
        <v>February-2016</v>
      </c>
      <c r="D87" s="79" t="str">
        <f>NJ_prices!D75</f>
        <v>NJ</v>
      </c>
      <c r="E87" s="80" t="str">
        <f>NJ_prices!E75</f>
        <v>JCPL</v>
      </c>
      <c r="F87" s="79" t="str">
        <f>NJ_prices!F75</f>
        <v>GSCL</v>
      </c>
      <c r="G87" s="80" t="str">
        <f>NJ_prices!G75</f>
        <v>General Service Large</v>
      </c>
      <c r="H87" s="81" t="str">
        <f t="shared" ref="H87" si="70">IF($M$2="Prices in $/MWh","100-500 MWh","100,000-500,000 kWh")</f>
        <v>100-500 MWh</v>
      </c>
      <c r="I87" s="80">
        <f>(NJ_prices!I75+$D$2)*IF($M$2="Prices in $/MWh",1,1/1000)</f>
        <v>84.2</v>
      </c>
      <c r="J87" s="79">
        <f>(NJ_prices!J75+$D$2)*IF($M$2="Prices in $/MWh",1,1/1000)</f>
        <v>85.37</v>
      </c>
      <c r="K87" s="80">
        <f>(NJ_prices!K75+$D$2)*IF($M$2="Prices in $/MWh",1,1/1000)</f>
        <v>84.92</v>
      </c>
      <c r="L87" s="79">
        <f>(NJ_prices!L75+$D$2)*IF($M$2="Prices in $/MWh",1,1/1000)</f>
        <v>38.61</v>
      </c>
      <c r="M87" s="80">
        <f>(NJ_prices!M75+$D$2)*IF($M$2="Prices in $/MWh",1,1/1000)</f>
        <v>39.72</v>
      </c>
      <c r="N87" s="79">
        <f>(NJ_prices!N75+$D$2)*IF($M$2="Prices in $/MWh",1,1/1000)</f>
        <v>39.82</v>
      </c>
      <c r="O87" s="61"/>
    </row>
    <row r="88" spans="2:15" x14ac:dyDescent="0.25">
      <c r="B88" s="57"/>
      <c r="C88" s="82" t="str">
        <f>NJ_prices!C76</f>
        <v>February-2016</v>
      </c>
      <c r="D88" s="83" t="str">
        <f>NJ_prices!D76</f>
        <v>NJ</v>
      </c>
      <c r="E88" s="84" t="str">
        <f>NJ_prices!E76</f>
        <v>JCPL</v>
      </c>
      <c r="F88" s="83" t="str">
        <f>NJ_prices!F76</f>
        <v>GSCL</v>
      </c>
      <c r="G88" s="84" t="str">
        <f>NJ_prices!G76</f>
        <v>General Service Large</v>
      </c>
      <c r="H88" s="85" t="str">
        <f t="shared" ref="H88" si="71">IF($M$2="Prices in $/MWh","500-2500 MWh","500,000-2,500,000 kWh")</f>
        <v>500-2500 MWh</v>
      </c>
      <c r="I88" s="84">
        <f>(NJ_prices!I76+$D$2)*IF($M$2="Prices in $/MWh",1,1/1000)</f>
        <v>83.08</v>
      </c>
      <c r="J88" s="83">
        <f>(NJ_prices!J76+$D$2)*IF($M$2="Prices in $/MWh",1,1/1000)</f>
        <v>84.24</v>
      </c>
      <c r="K88" s="84">
        <f>(NJ_prices!K76+$D$2)*IF($M$2="Prices in $/MWh",1,1/1000)</f>
        <v>83.79</v>
      </c>
      <c r="L88" s="83">
        <f>(NJ_prices!L76+$D$2)*IF($M$2="Prices in $/MWh",1,1/1000)</f>
        <v>37.479999999999997</v>
      </c>
      <c r="M88" s="84">
        <f>(NJ_prices!M76+$D$2)*IF($M$2="Prices in $/MWh",1,1/1000)</f>
        <v>38.590000000000003</v>
      </c>
      <c r="N88" s="83">
        <f>(NJ_prices!N76+$D$2)*IF($M$2="Prices in $/MWh",1,1/1000)</f>
        <v>38.700000000000003</v>
      </c>
      <c r="O88" s="61"/>
    </row>
    <row r="89" spans="2:15" x14ac:dyDescent="0.25">
      <c r="B89" s="57"/>
      <c r="C89" s="74" t="str">
        <f>NJ_prices!C77</f>
        <v>March-2016</v>
      </c>
      <c r="D89" s="75" t="str">
        <f>NJ_prices!D77</f>
        <v>NJ</v>
      </c>
      <c r="E89" s="76" t="str">
        <f>NJ_prices!E77</f>
        <v>JCPL</v>
      </c>
      <c r="F89" s="75" t="str">
        <f>NJ_prices!F77</f>
        <v>GSCL</v>
      </c>
      <c r="G89" s="76" t="str">
        <f>NJ_prices!G77</f>
        <v>General Service Large</v>
      </c>
      <c r="H89" s="77" t="str">
        <f t="shared" ref="H89" si="72">IF($M$2="Prices in $/MWh","0-100 MWh","0-100,000 kWh")</f>
        <v>0-100 MWh</v>
      </c>
      <c r="I89" s="76">
        <f>(NJ_prices!I77+$D$2)*IF($M$2="Prices in $/MWh",1,1/1000)</f>
        <v>86.43</v>
      </c>
      <c r="J89" s="75">
        <f>(NJ_prices!J77+$D$2)*IF($M$2="Prices in $/MWh",1,1/1000)</f>
        <v>86.23</v>
      </c>
      <c r="K89" s="76">
        <f>(NJ_prices!K77+$D$2)*IF($M$2="Prices in $/MWh",1,1/1000)</f>
        <v>86.94</v>
      </c>
      <c r="L89" s="75">
        <f>(NJ_prices!L77+$D$2)*IF($M$2="Prices in $/MWh",1,1/1000)</f>
        <v>40.369999999999997</v>
      </c>
      <c r="M89" s="76">
        <f>(NJ_prices!M77+$D$2)*IF($M$2="Prices in $/MWh",1,1/1000)</f>
        <v>40.64</v>
      </c>
      <c r="N89" s="75">
        <f>(NJ_prices!N77+$D$2)*IF($M$2="Prices in $/MWh",1,1/1000)</f>
        <v>41.55</v>
      </c>
      <c r="O89" s="61"/>
    </row>
    <row r="90" spans="2:15" x14ac:dyDescent="0.25">
      <c r="B90" s="57"/>
      <c r="C90" s="78" t="str">
        <f>NJ_prices!C78</f>
        <v>March-2016</v>
      </c>
      <c r="D90" s="79" t="str">
        <f>NJ_prices!D78</f>
        <v>NJ</v>
      </c>
      <c r="E90" s="80" t="str">
        <f>NJ_prices!E78</f>
        <v>JCPL</v>
      </c>
      <c r="F90" s="79" t="str">
        <f>NJ_prices!F78</f>
        <v>GSCL</v>
      </c>
      <c r="G90" s="80" t="str">
        <f>NJ_prices!G78</f>
        <v>General Service Large</v>
      </c>
      <c r="H90" s="81" t="str">
        <f t="shared" ref="H90" si="73">IF($M$2="Prices in $/MWh","100-500 MWh","100,000-500,000 kWh")</f>
        <v>100-500 MWh</v>
      </c>
      <c r="I90" s="80">
        <f>(NJ_prices!I78+$D$2)*IF($M$2="Prices in $/MWh",1,1/1000)</f>
        <v>84.72</v>
      </c>
      <c r="J90" s="79">
        <f>(NJ_prices!J78+$D$2)*IF($M$2="Prices in $/MWh",1,1/1000)</f>
        <v>84.52</v>
      </c>
      <c r="K90" s="80">
        <f>(NJ_prices!K78+$D$2)*IF($M$2="Prices in $/MWh",1,1/1000)</f>
        <v>85.22</v>
      </c>
      <c r="L90" s="79">
        <f>(NJ_prices!L78+$D$2)*IF($M$2="Prices in $/MWh",1,1/1000)</f>
        <v>38.659999999999997</v>
      </c>
      <c r="M90" s="80">
        <f>(NJ_prices!M78+$D$2)*IF($M$2="Prices in $/MWh",1,1/1000)</f>
        <v>38.93</v>
      </c>
      <c r="N90" s="79">
        <f>(NJ_prices!N78+$D$2)*IF($M$2="Prices in $/MWh",1,1/1000)</f>
        <v>39.840000000000003</v>
      </c>
      <c r="O90" s="61"/>
    </row>
    <row r="91" spans="2:15" x14ac:dyDescent="0.25">
      <c r="B91" s="57"/>
      <c r="C91" s="82" t="str">
        <f>NJ_prices!C79</f>
        <v>March-2016</v>
      </c>
      <c r="D91" s="83" t="str">
        <f>NJ_prices!D79</f>
        <v>NJ</v>
      </c>
      <c r="E91" s="84" t="str">
        <f>NJ_prices!E79</f>
        <v>JCPL</v>
      </c>
      <c r="F91" s="83" t="str">
        <f>NJ_prices!F79</f>
        <v>GSCL</v>
      </c>
      <c r="G91" s="84" t="str">
        <f>NJ_prices!G79</f>
        <v>General Service Large</v>
      </c>
      <c r="H91" s="85" t="str">
        <f t="shared" ref="H91" si="74">IF($M$2="Prices in $/MWh","500-2500 MWh","500,000-2,500,000 kWh")</f>
        <v>500-2500 MWh</v>
      </c>
      <c r="I91" s="84">
        <f>(NJ_prices!I79+$D$2)*IF($M$2="Prices in $/MWh",1,1/1000)</f>
        <v>83.6</v>
      </c>
      <c r="J91" s="83">
        <f>(NJ_prices!J79+$D$2)*IF($M$2="Prices in $/MWh",1,1/1000)</f>
        <v>83.39</v>
      </c>
      <c r="K91" s="84">
        <f>(NJ_prices!K79+$D$2)*IF($M$2="Prices in $/MWh",1,1/1000)</f>
        <v>84.1</v>
      </c>
      <c r="L91" s="83">
        <f>(NJ_prices!L79+$D$2)*IF($M$2="Prices in $/MWh",1,1/1000)</f>
        <v>37.53</v>
      </c>
      <c r="M91" s="84">
        <f>(NJ_prices!M79+$D$2)*IF($M$2="Prices in $/MWh",1,1/1000)</f>
        <v>37.799999999999997</v>
      </c>
      <c r="N91" s="83">
        <f>(NJ_prices!N79+$D$2)*IF($M$2="Prices in $/MWh",1,1/1000)</f>
        <v>38.71</v>
      </c>
      <c r="O91" s="61"/>
    </row>
    <row r="92" spans="2:15" x14ac:dyDescent="0.25">
      <c r="B92" s="57"/>
      <c r="C92" s="74" t="str">
        <f>NJ_prices!C80</f>
        <v>April-2016</v>
      </c>
      <c r="D92" s="75" t="str">
        <f>NJ_prices!D80</f>
        <v>NJ</v>
      </c>
      <c r="E92" s="76" t="str">
        <f>NJ_prices!E80</f>
        <v>JCPL</v>
      </c>
      <c r="F92" s="75" t="str">
        <f>NJ_prices!F80</f>
        <v>GSCL</v>
      </c>
      <c r="G92" s="76" t="str">
        <f>NJ_prices!G80</f>
        <v>General Service Large</v>
      </c>
      <c r="H92" s="77" t="str">
        <f t="shared" ref="H92" si="75">IF($M$2="Prices in $/MWh","0-100 MWh","0-100,000 kWh")</f>
        <v>0-100 MWh</v>
      </c>
      <c r="I92" s="76">
        <f>(NJ_prices!I80+$D$2)*IF($M$2="Prices in $/MWh",1,1/1000)</f>
        <v>86.78</v>
      </c>
      <c r="J92" s="75">
        <f>(NJ_prices!J80+$D$2)*IF($M$2="Prices in $/MWh",1,1/1000)</f>
        <v>85.64</v>
      </c>
      <c r="K92" s="76">
        <f>(NJ_prices!K80+$D$2)*IF($M$2="Prices in $/MWh",1,1/1000)</f>
        <v>87.01</v>
      </c>
      <c r="L92" s="75">
        <f>(NJ_prices!L80+$D$2)*IF($M$2="Prices in $/MWh",1,1/1000)</f>
        <v>40.630000000000003</v>
      </c>
      <c r="M92" s="76">
        <f>(NJ_prices!M80+$D$2)*IF($M$2="Prices in $/MWh",1,1/1000)</f>
        <v>40.21</v>
      </c>
      <c r="N92" s="75">
        <f>(NJ_prices!N80+$D$2)*IF($M$2="Prices in $/MWh",1,1/1000)</f>
        <v>41.6</v>
      </c>
      <c r="O92" s="61"/>
    </row>
    <row r="93" spans="2:15" x14ac:dyDescent="0.25">
      <c r="B93" s="57"/>
      <c r="C93" s="78" t="str">
        <f>NJ_prices!C81</f>
        <v>April-2016</v>
      </c>
      <c r="D93" s="79" t="str">
        <f>NJ_prices!D81</f>
        <v>NJ</v>
      </c>
      <c r="E93" s="80" t="str">
        <f>NJ_prices!E81</f>
        <v>JCPL</v>
      </c>
      <c r="F93" s="79" t="str">
        <f>NJ_prices!F81</f>
        <v>GSCL</v>
      </c>
      <c r="G93" s="80" t="str">
        <f>NJ_prices!G81</f>
        <v>General Service Large</v>
      </c>
      <c r="H93" s="81" t="str">
        <f t="shared" ref="H93" si="76">IF($M$2="Prices in $/MWh","100-500 MWh","100,000-500,000 kWh")</f>
        <v>100-500 MWh</v>
      </c>
      <c r="I93" s="80">
        <f>(NJ_prices!I81+$D$2)*IF($M$2="Prices in $/MWh",1,1/1000)</f>
        <v>85.07</v>
      </c>
      <c r="J93" s="79">
        <f>(NJ_prices!J81+$D$2)*IF($M$2="Prices in $/MWh",1,1/1000)</f>
        <v>83.93</v>
      </c>
      <c r="K93" s="80">
        <f>(NJ_prices!K81+$D$2)*IF($M$2="Prices in $/MWh",1,1/1000)</f>
        <v>85.3</v>
      </c>
      <c r="L93" s="79">
        <f>(NJ_prices!L81+$D$2)*IF($M$2="Prices in $/MWh",1,1/1000)</f>
        <v>38.92</v>
      </c>
      <c r="M93" s="80">
        <f>(NJ_prices!M81+$D$2)*IF($M$2="Prices in $/MWh",1,1/1000)</f>
        <v>38.5</v>
      </c>
      <c r="N93" s="79">
        <f>(NJ_prices!N81+$D$2)*IF($M$2="Prices in $/MWh",1,1/1000)</f>
        <v>39.89</v>
      </c>
      <c r="O93" s="61"/>
    </row>
    <row r="94" spans="2:15" x14ac:dyDescent="0.25">
      <c r="B94" s="57"/>
      <c r="C94" s="82" t="str">
        <f>NJ_prices!C82</f>
        <v>April-2016</v>
      </c>
      <c r="D94" s="83" t="str">
        <f>NJ_prices!D82</f>
        <v>NJ</v>
      </c>
      <c r="E94" s="84" t="str">
        <f>NJ_prices!E82</f>
        <v>JCPL</v>
      </c>
      <c r="F94" s="83" t="str">
        <f>NJ_prices!F82</f>
        <v>GSCL</v>
      </c>
      <c r="G94" s="84" t="str">
        <f>NJ_prices!G82</f>
        <v>General Service Large</v>
      </c>
      <c r="H94" s="85" t="str">
        <f t="shared" ref="H94" si="77">IF($M$2="Prices in $/MWh","500-2500 MWh","500,000-2,500,000 kWh")</f>
        <v>500-2500 MWh</v>
      </c>
      <c r="I94" s="84">
        <f>(NJ_prices!I82+$D$2)*IF($M$2="Prices in $/MWh",1,1/1000)</f>
        <v>83.95</v>
      </c>
      <c r="J94" s="83">
        <f>(NJ_prices!J82+$D$2)*IF($M$2="Prices in $/MWh",1,1/1000)</f>
        <v>82.81</v>
      </c>
      <c r="K94" s="84">
        <f>(NJ_prices!K82+$D$2)*IF($M$2="Prices in $/MWh",1,1/1000)</f>
        <v>84.17</v>
      </c>
      <c r="L94" s="83">
        <f>(NJ_prices!L82+$D$2)*IF($M$2="Prices in $/MWh",1,1/1000)</f>
        <v>37.79</v>
      </c>
      <c r="M94" s="84">
        <f>(NJ_prices!M82+$D$2)*IF($M$2="Prices in $/MWh",1,1/1000)</f>
        <v>37.380000000000003</v>
      </c>
      <c r="N94" s="83">
        <f>(NJ_prices!N82+$D$2)*IF($M$2="Prices in $/MWh",1,1/1000)</f>
        <v>38.76</v>
      </c>
      <c r="O94" s="61"/>
    </row>
    <row r="95" spans="2:15" x14ac:dyDescent="0.25">
      <c r="B95" s="57"/>
      <c r="C95" s="74" t="str">
        <f>NJ_prices!C83</f>
        <v>May-2016</v>
      </c>
      <c r="D95" s="75" t="str">
        <f>NJ_prices!D83</f>
        <v>NJ</v>
      </c>
      <c r="E95" s="76" t="str">
        <f>NJ_prices!E83</f>
        <v>JCPL</v>
      </c>
      <c r="F95" s="75" t="str">
        <f>NJ_prices!F83</f>
        <v>GSCL</v>
      </c>
      <c r="G95" s="76" t="str">
        <f>NJ_prices!G83</f>
        <v>General Service Large</v>
      </c>
      <c r="H95" s="77" t="str">
        <f t="shared" ref="H95" si="78">IF($M$2="Prices in $/MWh","0-100 MWh","0-100,000 kWh")</f>
        <v>0-100 MWh</v>
      </c>
      <c r="I95" s="76">
        <f>(NJ_prices!I83+$D$2)*IF($M$2="Prices in $/MWh",1,1/1000)</f>
        <v>87.05</v>
      </c>
      <c r="J95" s="75">
        <f>(NJ_prices!J83+$D$2)*IF($M$2="Prices in $/MWh",1,1/1000)</f>
        <v>85.4</v>
      </c>
      <c r="K95" s="76">
        <f>(NJ_prices!K83+$D$2)*IF($M$2="Prices in $/MWh",1,1/1000)</f>
        <v>87.04</v>
      </c>
      <c r="L95" s="75">
        <f>(NJ_prices!L83+$D$2)*IF($M$2="Prices in $/MWh",1,1/1000)</f>
        <v>40.92</v>
      </c>
      <c r="M95" s="76">
        <f>(NJ_prices!M83+$D$2)*IF($M$2="Prices in $/MWh",1,1/1000)</f>
        <v>40.159999999999997</v>
      </c>
      <c r="N95" s="75">
        <f>(NJ_prices!N83+$D$2)*IF($M$2="Prices in $/MWh",1,1/1000)</f>
        <v>41.67</v>
      </c>
      <c r="O95" s="61"/>
    </row>
    <row r="96" spans="2:15" x14ac:dyDescent="0.25">
      <c r="B96" s="57"/>
      <c r="C96" s="78" t="str">
        <f>NJ_prices!C84</f>
        <v>May-2016</v>
      </c>
      <c r="D96" s="79" t="str">
        <f>NJ_prices!D84</f>
        <v>NJ</v>
      </c>
      <c r="E96" s="80" t="str">
        <f>NJ_prices!E84</f>
        <v>JCPL</v>
      </c>
      <c r="F96" s="79" t="str">
        <f>NJ_prices!F84</f>
        <v>GSCL</v>
      </c>
      <c r="G96" s="80" t="str">
        <f>NJ_prices!G84</f>
        <v>General Service Large</v>
      </c>
      <c r="H96" s="81" t="str">
        <f t="shared" ref="H96" si="79">IF($M$2="Prices in $/MWh","100-500 MWh","100,000-500,000 kWh")</f>
        <v>100-500 MWh</v>
      </c>
      <c r="I96" s="80">
        <f>(NJ_prices!I84+$D$2)*IF($M$2="Prices in $/MWh",1,1/1000)</f>
        <v>85.33</v>
      </c>
      <c r="J96" s="79">
        <f>(NJ_prices!J84+$D$2)*IF($M$2="Prices in $/MWh",1,1/1000)</f>
        <v>83.69</v>
      </c>
      <c r="K96" s="80">
        <f>(NJ_prices!K84+$D$2)*IF($M$2="Prices in $/MWh",1,1/1000)</f>
        <v>85.33</v>
      </c>
      <c r="L96" s="79">
        <f>(NJ_prices!L84+$D$2)*IF($M$2="Prices in $/MWh",1,1/1000)</f>
        <v>39.21</v>
      </c>
      <c r="M96" s="80">
        <f>(NJ_prices!M84+$D$2)*IF($M$2="Prices in $/MWh",1,1/1000)</f>
        <v>38.450000000000003</v>
      </c>
      <c r="N96" s="79">
        <f>(NJ_prices!N84+$D$2)*IF($M$2="Prices in $/MWh",1,1/1000)</f>
        <v>39.96</v>
      </c>
      <c r="O96" s="61"/>
    </row>
    <row r="97" spans="2:15" x14ac:dyDescent="0.25">
      <c r="B97" s="57"/>
      <c r="C97" s="82" t="str">
        <f>NJ_prices!C85</f>
        <v>May-2016</v>
      </c>
      <c r="D97" s="83" t="str">
        <f>NJ_prices!D85</f>
        <v>NJ</v>
      </c>
      <c r="E97" s="84" t="str">
        <f>NJ_prices!E85</f>
        <v>JCPL</v>
      </c>
      <c r="F97" s="83" t="str">
        <f>NJ_prices!F85</f>
        <v>GSCL</v>
      </c>
      <c r="G97" s="84" t="str">
        <f>NJ_prices!G85</f>
        <v>General Service Large</v>
      </c>
      <c r="H97" s="85" t="str">
        <f t="shared" ref="H97" si="80">IF($M$2="Prices in $/MWh","500-2500 MWh","500,000-2,500,000 kWh")</f>
        <v>500-2500 MWh</v>
      </c>
      <c r="I97" s="84">
        <f>(NJ_prices!I85+$D$2)*IF($M$2="Prices in $/MWh",1,1/1000)</f>
        <v>84.21</v>
      </c>
      <c r="J97" s="83">
        <f>(NJ_prices!J85+$D$2)*IF($M$2="Prices in $/MWh",1,1/1000)</f>
        <v>82.56</v>
      </c>
      <c r="K97" s="84">
        <f>(NJ_prices!K85+$D$2)*IF($M$2="Prices in $/MWh",1,1/1000)</f>
        <v>84.21</v>
      </c>
      <c r="L97" s="83">
        <f>(NJ_prices!L85+$D$2)*IF($M$2="Prices in $/MWh",1,1/1000)</f>
        <v>38.08</v>
      </c>
      <c r="M97" s="84">
        <f>(NJ_prices!M85+$D$2)*IF($M$2="Prices in $/MWh",1,1/1000)</f>
        <v>37.32</v>
      </c>
      <c r="N97" s="83">
        <f>(NJ_prices!N85+$D$2)*IF($M$2="Prices in $/MWh",1,1/1000)</f>
        <v>38.83</v>
      </c>
      <c r="O97" s="61"/>
    </row>
    <row r="98" spans="2:15" x14ac:dyDescent="0.25">
      <c r="B98" s="57"/>
      <c r="C98" s="74" t="str">
        <f>NJ_prices!C86</f>
        <v>June-2016</v>
      </c>
      <c r="D98" s="75" t="str">
        <f>NJ_prices!D86</f>
        <v>NJ</v>
      </c>
      <c r="E98" s="76" t="str">
        <f>NJ_prices!E86</f>
        <v>JCPL</v>
      </c>
      <c r="F98" s="75" t="str">
        <f>NJ_prices!F86</f>
        <v>GSCL</v>
      </c>
      <c r="G98" s="76" t="str">
        <f>NJ_prices!G86</f>
        <v>General Service Large</v>
      </c>
      <c r="H98" s="77" t="str">
        <f t="shared" ref="H98" si="81">IF($M$2="Prices in $/MWh","0-100 MWh","0-100,000 kWh")</f>
        <v>0-100 MWh</v>
      </c>
      <c r="I98" s="76">
        <f>(NJ_prices!I86+$D$2)*IF($M$2="Prices in $/MWh",1,1/1000)</f>
        <v>87.24</v>
      </c>
      <c r="J98" s="75">
        <f>(NJ_prices!J86+$D$2)*IF($M$2="Prices in $/MWh",1,1/1000)</f>
        <v>85.42</v>
      </c>
      <c r="K98" s="76">
        <f>(NJ_prices!K86+$D$2)*IF($M$2="Prices in $/MWh",1,1/1000)</f>
        <v>87.08</v>
      </c>
      <c r="L98" s="75">
        <f>(NJ_prices!L86+$D$2)*IF($M$2="Prices in $/MWh",1,1/1000)</f>
        <v>41.2</v>
      </c>
      <c r="M98" s="76">
        <f>(NJ_prices!M86+$D$2)*IF($M$2="Prices in $/MWh",1,1/1000)</f>
        <v>40.46</v>
      </c>
      <c r="N98" s="75">
        <f>(NJ_prices!N86+$D$2)*IF($M$2="Prices in $/MWh",1,1/1000)</f>
        <v>41.75</v>
      </c>
      <c r="O98" s="61"/>
    </row>
    <row r="99" spans="2:15" x14ac:dyDescent="0.25">
      <c r="B99" s="57"/>
      <c r="C99" s="78" t="str">
        <f>NJ_prices!C87</f>
        <v>June-2016</v>
      </c>
      <c r="D99" s="79" t="str">
        <f>NJ_prices!D87</f>
        <v>NJ</v>
      </c>
      <c r="E99" s="80" t="str">
        <f>NJ_prices!E87</f>
        <v>JCPL</v>
      </c>
      <c r="F99" s="79" t="str">
        <f>NJ_prices!F87</f>
        <v>GSCL</v>
      </c>
      <c r="G99" s="80" t="str">
        <f>NJ_prices!G87</f>
        <v>General Service Large</v>
      </c>
      <c r="H99" s="81" t="str">
        <f t="shared" ref="H99" si="82">IF($M$2="Prices in $/MWh","100-500 MWh","100,000-500,000 kWh")</f>
        <v>100-500 MWh</v>
      </c>
      <c r="I99" s="80">
        <f>(NJ_prices!I87+$D$2)*IF($M$2="Prices in $/MWh",1,1/1000)</f>
        <v>85.52</v>
      </c>
      <c r="J99" s="79">
        <f>(NJ_prices!J87+$D$2)*IF($M$2="Prices in $/MWh",1,1/1000)</f>
        <v>83.71</v>
      </c>
      <c r="K99" s="80">
        <f>(NJ_prices!K87+$D$2)*IF($M$2="Prices in $/MWh",1,1/1000)</f>
        <v>85.37</v>
      </c>
      <c r="L99" s="79">
        <f>(NJ_prices!L87+$D$2)*IF($M$2="Prices in $/MWh",1,1/1000)</f>
        <v>39.49</v>
      </c>
      <c r="M99" s="80">
        <f>(NJ_prices!M87+$D$2)*IF($M$2="Prices in $/MWh",1,1/1000)</f>
        <v>38.75</v>
      </c>
      <c r="N99" s="79">
        <f>(NJ_prices!N87+$D$2)*IF($M$2="Prices in $/MWh",1,1/1000)</f>
        <v>40.04</v>
      </c>
      <c r="O99" s="61"/>
    </row>
    <row r="100" spans="2:15" x14ac:dyDescent="0.25">
      <c r="B100" s="57"/>
      <c r="C100" s="82" t="str">
        <f>NJ_prices!C88</f>
        <v>June-2016</v>
      </c>
      <c r="D100" s="83" t="str">
        <f>NJ_prices!D88</f>
        <v>NJ</v>
      </c>
      <c r="E100" s="84" t="str">
        <f>NJ_prices!E88</f>
        <v>JCPL</v>
      </c>
      <c r="F100" s="83" t="str">
        <f>NJ_prices!F88</f>
        <v>GSCL</v>
      </c>
      <c r="G100" s="84" t="str">
        <f>NJ_prices!G88</f>
        <v>General Service Large</v>
      </c>
      <c r="H100" s="85" t="str">
        <f t="shared" ref="H100" si="83">IF($M$2="Prices in $/MWh","500-2500 MWh","500,000-2,500,000 kWh")</f>
        <v>500-2500 MWh</v>
      </c>
      <c r="I100" s="84">
        <f>(NJ_prices!I88+$D$2)*IF($M$2="Prices in $/MWh",1,1/1000)</f>
        <v>84.4</v>
      </c>
      <c r="J100" s="83">
        <f>(NJ_prices!J88+$D$2)*IF($M$2="Prices in $/MWh",1,1/1000)</f>
        <v>82.59</v>
      </c>
      <c r="K100" s="84">
        <f>(NJ_prices!K88+$D$2)*IF($M$2="Prices in $/MWh",1,1/1000)</f>
        <v>84.25</v>
      </c>
      <c r="L100" s="83">
        <f>(NJ_prices!L88+$D$2)*IF($M$2="Prices in $/MWh",1,1/1000)</f>
        <v>38.36</v>
      </c>
      <c r="M100" s="84">
        <f>(NJ_prices!M88+$D$2)*IF($M$2="Prices in $/MWh",1,1/1000)</f>
        <v>37.630000000000003</v>
      </c>
      <c r="N100" s="83">
        <f>(NJ_prices!N88+$D$2)*IF($M$2="Prices in $/MWh",1,1/1000)</f>
        <v>38.909999999999997</v>
      </c>
      <c r="O100" s="61"/>
    </row>
    <row r="101" spans="2:15" x14ac:dyDescent="0.25">
      <c r="B101" s="57"/>
      <c r="C101" s="74" t="str">
        <f>NJ_prices!C89</f>
        <v>July-2016</v>
      </c>
      <c r="D101" s="75" t="str">
        <f>NJ_prices!D89</f>
        <v>NJ</v>
      </c>
      <c r="E101" s="76" t="str">
        <f>NJ_prices!E89</f>
        <v>JCPL</v>
      </c>
      <c r="F101" s="75" t="str">
        <f>NJ_prices!F89</f>
        <v>GSCL</v>
      </c>
      <c r="G101" s="76" t="str">
        <f>NJ_prices!G89</f>
        <v>General Service Large</v>
      </c>
      <c r="H101" s="77" t="str">
        <f t="shared" ref="H101" si="84">IF($M$2="Prices in $/MWh","0-100 MWh","0-100,000 kWh")</f>
        <v>0-100 MWh</v>
      </c>
      <c r="I101" s="76">
        <f>(NJ_prices!I89+$D$2)*IF($M$2="Prices in $/MWh",1,1/1000)</f>
        <v>87.23</v>
      </c>
      <c r="J101" s="75">
        <f>(NJ_prices!J89+$D$2)*IF($M$2="Prices in $/MWh",1,1/1000)</f>
        <v>85.66</v>
      </c>
      <c r="K101" s="76">
        <f>(NJ_prices!K89+$D$2)*IF($M$2="Prices in $/MWh",1,1/1000)</f>
        <v>87.26</v>
      </c>
      <c r="L101" s="75">
        <f>(NJ_prices!L89+$D$2)*IF($M$2="Prices in $/MWh",1,1/1000)</f>
        <v>41.37</v>
      </c>
      <c r="M101" s="76">
        <f>(NJ_prices!M89+$D$2)*IF($M$2="Prices in $/MWh",1,1/1000)</f>
        <v>41.09</v>
      </c>
      <c r="N101" s="75">
        <f>(NJ_prices!N89+$D$2)*IF($M$2="Prices in $/MWh",1,1/1000)</f>
        <v>42.09</v>
      </c>
      <c r="O101" s="61"/>
    </row>
    <row r="102" spans="2:15" x14ac:dyDescent="0.25">
      <c r="B102" s="57"/>
      <c r="C102" s="78" t="str">
        <f>NJ_prices!C90</f>
        <v>July-2016</v>
      </c>
      <c r="D102" s="79" t="str">
        <f>NJ_prices!D90</f>
        <v>NJ</v>
      </c>
      <c r="E102" s="80" t="str">
        <f>NJ_prices!E90</f>
        <v>JCPL</v>
      </c>
      <c r="F102" s="79" t="str">
        <f>NJ_prices!F90</f>
        <v>GSCL</v>
      </c>
      <c r="G102" s="80" t="str">
        <f>NJ_prices!G90</f>
        <v>General Service Large</v>
      </c>
      <c r="H102" s="81" t="str">
        <f t="shared" ref="H102" si="85">IF($M$2="Prices in $/MWh","100-500 MWh","100,000-500,000 kWh")</f>
        <v>100-500 MWh</v>
      </c>
      <c r="I102" s="80">
        <f>(NJ_prices!I90+$D$2)*IF($M$2="Prices in $/MWh",1,1/1000)</f>
        <v>85.52</v>
      </c>
      <c r="J102" s="79">
        <f>(NJ_prices!J90+$D$2)*IF($M$2="Prices in $/MWh",1,1/1000)</f>
        <v>83.95</v>
      </c>
      <c r="K102" s="80">
        <f>(NJ_prices!K90+$D$2)*IF($M$2="Prices in $/MWh",1,1/1000)</f>
        <v>85.55</v>
      </c>
      <c r="L102" s="79">
        <f>(NJ_prices!L90+$D$2)*IF($M$2="Prices in $/MWh",1,1/1000)</f>
        <v>39.659999999999997</v>
      </c>
      <c r="M102" s="80">
        <f>(NJ_prices!M90+$D$2)*IF($M$2="Prices in $/MWh",1,1/1000)</f>
        <v>39.380000000000003</v>
      </c>
      <c r="N102" s="79">
        <f>(NJ_prices!N90+$D$2)*IF($M$2="Prices in $/MWh",1,1/1000)</f>
        <v>40.380000000000003</v>
      </c>
      <c r="O102" s="61"/>
    </row>
    <row r="103" spans="2:15" x14ac:dyDescent="0.25">
      <c r="B103" s="57"/>
      <c r="C103" s="82" t="str">
        <f>NJ_prices!C91</f>
        <v>July-2016</v>
      </c>
      <c r="D103" s="83" t="str">
        <f>NJ_prices!D91</f>
        <v>NJ</v>
      </c>
      <c r="E103" s="84" t="str">
        <f>NJ_prices!E91</f>
        <v>JCPL</v>
      </c>
      <c r="F103" s="83" t="str">
        <f>NJ_prices!F91</f>
        <v>GSCL</v>
      </c>
      <c r="G103" s="84" t="str">
        <f>NJ_prices!G91</f>
        <v>General Service Large</v>
      </c>
      <c r="H103" s="85" t="str">
        <f t="shared" ref="H103" si="86">IF($M$2="Prices in $/MWh","500-2500 MWh","500,000-2,500,000 kWh")</f>
        <v>500-2500 MWh</v>
      </c>
      <c r="I103" s="84">
        <f>(NJ_prices!I91+$D$2)*IF($M$2="Prices in $/MWh",1,1/1000)</f>
        <v>84.4</v>
      </c>
      <c r="J103" s="83">
        <f>(NJ_prices!J91+$D$2)*IF($M$2="Prices in $/MWh",1,1/1000)</f>
        <v>82.82</v>
      </c>
      <c r="K103" s="84">
        <f>(NJ_prices!K91+$D$2)*IF($M$2="Prices in $/MWh",1,1/1000)</f>
        <v>84.43</v>
      </c>
      <c r="L103" s="83">
        <f>(NJ_prices!L91+$D$2)*IF($M$2="Prices in $/MWh",1,1/1000)</f>
        <v>38.53</v>
      </c>
      <c r="M103" s="84">
        <f>(NJ_prices!M91+$D$2)*IF($M$2="Prices in $/MWh",1,1/1000)</f>
        <v>38.25</v>
      </c>
      <c r="N103" s="83">
        <f>(NJ_prices!N91+$D$2)*IF($M$2="Prices in $/MWh",1,1/1000)</f>
        <v>39.25</v>
      </c>
      <c r="O103" s="61"/>
    </row>
    <row r="104" spans="2:15" x14ac:dyDescent="0.25">
      <c r="B104" s="57"/>
      <c r="C104" s="74" t="str">
        <f>NJ_prices!C92</f>
        <v>August-2016</v>
      </c>
      <c r="D104" s="75" t="str">
        <f>NJ_prices!D92</f>
        <v>NJ</v>
      </c>
      <c r="E104" s="76" t="str">
        <f>NJ_prices!E92</f>
        <v>JCPL</v>
      </c>
      <c r="F104" s="75" t="str">
        <f>NJ_prices!F92</f>
        <v>GSCL</v>
      </c>
      <c r="G104" s="76" t="str">
        <f>NJ_prices!G92</f>
        <v>General Service Large</v>
      </c>
      <c r="H104" s="77" t="str">
        <f t="shared" ref="H104" si="87">IF($M$2="Prices in $/MWh","0-100 MWh","0-100,000 kWh")</f>
        <v>0-100 MWh</v>
      </c>
      <c r="I104" s="76">
        <f>(NJ_prices!I92+$D$2)*IF($M$2="Prices in $/MWh",1,1/1000)</f>
        <v>87.47</v>
      </c>
      <c r="J104" s="75">
        <f>(NJ_prices!J92+$D$2)*IF($M$2="Prices in $/MWh",1,1/1000)</f>
        <v>86.74</v>
      </c>
      <c r="K104" s="76">
        <f>(NJ_prices!K92+$D$2)*IF($M$2="Prices in $/MWh",1,1/1000)</f>
        <v>87.74</v>
      </c>
      <c r="L104" s="75">
        <f>(NJ_prices!L92+$D$2)*IF($M$2="Prices in $/MWh",1,1/1000)</f>
        <v>42.05</v>
      </c>
      <c r="M104" s="76">
        <f>(NJ_prices!M92+$D$2)*IF($M$2="Prices in $/MWh",1,1/1000)</f>
        <v>41.97</v>
      </c>
      <c r="N104" s="75">
        <f>(NJ_prices!N92+$D$2)*IF($M$2="Prices in $/MWh",1,1/1000)</f>
        <v>42.8</v>
      </c>
      <c r="O104" s="61"/>
    </row>
    <row r="105" spans="2:15" x14ac:dyDescent="0.25">
      <c r="B105" s="57"/>
      <c r="C105" s="78" t="str">
        <f>NJ_prices!C93</f>
        <v>August-2016</v>
      </c>
      <c r="D105" s="79" t="str">
        <f>NJ_prices!D93</f>
        <v>NJ</v>
      </c>
      <c r="E105" s="80" t="str">
        <f>NJ_prices!E93</f>
        <v>JCPL</v>
      </c>
      <c r="F105" s="79" t="str">
        <f>NJ_prices!F93</f>
        <v>GSCL</v>
      </c>
      <c r="G105" s="80" t="str">
        <f>NJ_prices!G93</f>
        <v>General Service Large</v>
      </c>
      <c r="H105" s="81" t="str">
        <f t="shared" ref="H105" si="88">IF($M$2="Prices in $/MWh","100-500 MWh","100,000-500,000 kWh")</f>
        <v>100-500 MWh</v>
      </c>
      <c r="I105" s="80">
        <f>(NJ_prices!I93+$D$2)*IF($M$2="Prices in $/MWh",1,1/1000)</f>
        <v>85.76</v>
      </c>
      <c r="J105" s="79">
        <f>(NJ_prices!J93+$D$2)*IF($M$2="Prices in $/MWh",1,1/1000)</f>
        <v>85.03</v>
      </c>
      <c r="K105" s="80">
        <f>(NJ_prices!K93+$D$2)*IF($M$2="Prices in $/MWh",1,1/1000)</f>
        <v>86.03</v>
      </c>
      <c r="L105" s="79">
        <f>(NJ_prices!L93+$D$2)*IF($M$2="Prices in $/MWh",1,1/1000)</f>
        <v>40.340000000000003</v>
      </c>
      <c r="M105" s="80">
        <f>(NJ_prices!M93+$D$2)*IF($M$2="Prices in $/MWh",1,1/1000)</f>
        <v>40.26</v>
      </c>
      <c r="N105" s="79">
        <f>(NJ_prices!N93+$D$2)*IF($M$2="Prices in $/MWh",1,1/1000)</f>
        <v>41.09</v>
      </c>
      <c r="O105" s="61"/>
    </row>
    <row r="106" spans="2:15" x14ac:dyDescent="0.25">
      <c r="B106" s="57"/>
      <c r="C106" s="82" t="str">
        <f>NJ_prices!C94</f>
        <v>August-2016</v>
      </c>
      <c r="D106" s="83" t="str">
        <f>NJ_prices!D94</f>
        <v>NJ</v>
      </c>
      <c r="E106" s="84" t="str">
        <f>NJ_prices!E94</f>
        <v>JCPL</v>
      </c>
      <c r="F106" s="83" t="str">
        <f>NJ_prices!F94</f>
        <v>GSCL</v>
      </c>
      <c r="G106" s="84" t="str">
        <f>NJ_prices!G94</f>
        <v>General Service Large</v>
      </c>
      <c r="H106" s="85" t="str">
        <f t="shared" ref="H106" si="89">IF($M$2="Prices in $/MWh","500-2500 MWh","500,000-2,500,000 kWh")</f>
        <v>500-2500 MWh</v>
      </c>
      <c r="I106" s="84">
        <f>(NJ_prices!I94+$D$2)*IF($M$2="Prices in $/MWh",1,1/1000)</f>
        <v>84.63</v>
      </c>
      <c r="J106" s="83">
        <f>(NJ_prices!J94+$D$2)*IF($M$2="Prices in $/MWh",1,1/1000)</f>
        <v>83.9</v>
      </c>
      <c r="K106" s="84">
        <f>(NJ_prices!K94+$D$2)*IF($M$2="Prices in $/MWh",1,1/1000)</f>
        <v>84.9</v>
      </c>
      <c r="L106" s="83">
        <f>(NJ_prices!L94+$D$2)*IF($M$2="Prices in $/MWh",1,1/1000)</f>
        <v>39.21</v>
      </c>
      <c r="M106" s="84">
        <f>(NJ_prices!M94+$D$2)*IF($M$2="Prices in $/MWh",1,1/1000)</f>
        <v>39.130000000000003</v>
      </c>
      <c r="N106" s="83">
        <f>(NJ_prices!N94+$D$2)*IF($M$2="Prices in $/MWh",1,1/1000)</f>
        <v>39.96</v>
      </c>
      <c r="O106" s="61"/>
    </row>
    <row r="107" spans="2:15" x14ac:dyDescent="0.25">
      <c r="B107" s="57"/>
      <c r="C107" s="74" t="str">
        <f>NJ_prices!C95</f>
        <v>September-2016</v>
      </c>
      <c r="D107" s="75" t="str">
        <f>NJ_prices!D95</f>
        <v>NJ</v>
      </c>
      <c r="E107" s="76" t="str">
        <f>NJ_prices!E95</f>
        <v>JCPL</v>
      </c>
      <c r="F107" s="75" t="str">
        <f>NJ_prices!F95</f>
        <v>GSCL</v>
      </c>
      <c r="G107" s="76" t="str">
        <f>NJ_prices!G95</f>
        <v>General Service Large</v>
      </c>
      <c r="H107" s="77" t="str">
        <f t="shared" ref="H107" si="90">IF($M$2="Prices in $/MWh","0-100 MWh","0-100,000 kWh")</f>
        <v>0-100 MWh</v>
      </c>
      <c r="I107" s="76">
        <f>(NJ_prices!I95+$D$2)*IF($M$2="Prices in $/MWh",1,1/1000)</f>
        <v>87.35</v>
      </c>
      <c r="J107" s="75">
        <f>(NJ_prices!J95+$D$2)*IF($M$2="Prices in $/MWh",1,1/1000)</f>
        <v>87.95</v>
      </c>
      <c r="K107" s="76">
        <f>(NJ_prices!K95+$D$2)*IF($M$2="Prices in $/MWh",1,1/1000)</f>
        <v>87.98</v>
      </c>
      <c r="L107" s="75">
        <f>(NJ_prices!L95+$D$2)*IF($M$2="Prices in $/MWh",1,1/1000)</f>
        <v>42.18</v>
      </c>
      <c r="M107" s="76">
        <f>(NJ_prices!M95+$D$2)*IF($M$2="Prices in $/MWh",1,1/1000)</f>
        <v>42.93</v>
      </c>
      <c r="N107" s="75">
        <f>(NJ_prices!N95+$D$2)*IF($M$2="Prices in $/MWh",1,1/1000)</f>
        <v>43.23</v>
      </c>
      <c r="O107" s="61"/>
    </row>
    <row r="108" spans="2:15" x14ac:dyDescent="0.25">
      <c r="B108" s="57"/>
      <c r="C108" s="78" t="str">
        <f>NJ_prices!C96</f>
        <v>September-2016</v>
      </c>
      <c r="D108" s="79" t="str">
        <f>NJ_prices!D96</f>
        <v>NJ</v>
      </c>
      <c r="E108" s="80" t="str">
        <f>NJ_prices!E96</f>
        <v>JCPL</v>
      </c>
      <c r="F108" s="79" t="str">
        <f>NJ_prices!F96</f>
        <v>GSCL</v>
      </c>
      <c r="G108" s="80" t="str">
        <f>NJ_prices!G96</f>
        <v>General Service Large</v>
      </c>
      <c r="H108" s="81" t="str">
        <f t="shared" ref="H108" si="91">IF($M$2="Prices in $/MWh","100-500 MWh","100,000-500,000 kWh")</f>
        <v>100-500 MWh</v>
      </c>
      <c r="I108" s="80">
        <f>(NJ_prices!I96+$D$2)*IF($M$2="Prices in $/MWh",1,1/1000)</f>
        <v>85.64</v>
      </c>
      <c r="J108" s="79">
        <f>(NJ_prices!J96+$D$2)*IF($M$2="Prices in $/MWh",1,1/1000)</f>
        <v>86.24</v>
      </c>
      <c r="K108" s="80">
        <f>(NJ_prices!K96+$D$2)*IF($M$2="Prices in $/MWh",1,1/1000)</f>
        <v>86.27</v>
      </c>
      <c r="L108" s="79">
        <f>(NJ_prices!L96+$D$2)*IF($M$2="Prices in $/MWh",1,1/1000)</f>
        <v>40.47</v>
      </c>
      <c r="M108" s="80">
        <f>(NJ_prices!M96+$D$2)*IF($M$2="Prices in $/MWh",1,1/1000)</f>
        <v>41.22</v>
      </c>
      <c r="N108" s="79">
        <f>(NJ_prices!N96+$D$2)*IF($M$2="Prices in $/MWh",1,1/1000)</f>
        <v>41.52</v>
      </c>
      <c r="O108" s="61"/>
    </row>
    <row r="109" spans="2:15" x14ac:dyDescent="0.25">
      <c r="B109" s="57"/>
      <c r="C109" s="82" t="str">
        <f>NJ_prices!C97</f>
        <v>September-2016</v>
      </c>
      <c r="D109" s="83" t="str">
        <f>NJ_prices!D97</f>
        <v>NJ</v>
      </c>
      <c r="E109" s="84" t="str">
        <f>NJ_prices!E97</f>
        <v>JCPL</v>
      </c>
      <c r="F109" s="83" t="str">
        <f>NJ_prices!F97</f>
        <v>GSCL</v>
      </c>
      <c r="G109" s="84" t="str">
        <f>NJ_prices!G97</f>
        <v>General Service Large</v>
      </c>
      <c r="H109" s="85" t="str">
        <f t="shared" ref="H109" si="92">IF($M$2="Prices in $/MWh","500-2500 MWh","500,000-2,500,000 kWh")</f>
        <v>500-2500 MWh</v>
      </c>
      <c r="I109" s="84">
        <f>(NJ_prices!I97+$D$2)*IF($M$2="Prices in $/MWh",1,1/1000)</f>
        <v>84.51</v>
      </c>
      <c r="J109" s="83">
        <f>(NJ_prices!J97+$D$2)*IF($M$2="Prices in $/MWh",1,1/1000)</f>
        <v>85.11</v>
      </c>
      <c r="K109" s="84">
        <f>(NJ_prices!K97+$D$2)*IF($M$2="Prices in $/MWh",1,1/1000)</f>
        <v>85.14</v>
      </c>
      <c r="L109" s="83">
        <f>(NJ_prices!L97+$D$2)*IF($M$2="Prices in $/MWh",1,1/1000)</f>
        <v>39.340000000000003</v>
      </c>
      <c r="M109" s="84">
        <f>(NJ_prices!M97+$D$2)*IF($M$2="Prices in $/MWh",1,1/1000)</f>
        <v>40.090000000000003</v>
      </c>
      <c r="N109" s="83">
        <f>(NJ_prices!N97+$D$2)*IF($M$2="Prices in $/MWh",1,1/1000)</f>
        <v>40.39</v>
      </c>
      <c r="O109" s="61"/>
    </row>
    <row r="110" spans="2:15" x14ac:dyDescent="0.25">
      <c r="B110" s="57"/>
      <c r="C110" s="74" t="str">
        <f>NJ_prices!C98</f>
        <v>October-2016</v>
      </c>
      <c r="D110" s="75" t="str">
        <f>NJ_prices!D98</f>
        <v>NJ</v>
      </c>
      <c r="E110" s="76" t="str">
        <f>NJ_prices!E98</f>
        <v>JCPL</v>
      </c>
      <c r="F110" s="75" t="str">
        <f>NJ_prices!F98</f>
        <v>GSCL</v>
      </c>
      <c r="G110" s="76" t="str">
        <f>NJ_prices!G98</f>
        <v>General Service Large</v>
      </c>
      <c r="H110" s="77" t="str">
        <f t="shared" ref="H110" si="93">IF($M$2="Prices in $/MWh","0-100 MWh","0-100,000 kWh")</f>
        <v>0-100 MWh</v>
      </c>
      <c r="I110" s="76">
        <f>(NJ_prices!I98+$D$2)*IF($M$2="Prices in $/MWh",1,1/1000)</f>
        <v>87.38</v>
      </c>
      <c r="J110" s="75">
        <f>(NJ_prices!J98+$D$2)*IF($M$2="Prices in $/MWh",1,1/1000)</f>
        <v>88.69</v>
      </c>
      <c r="K110" s="76">
        <f>(NJ_prices!K98+$D$2)*IF($M$2="Prices in $/MWh",1,1/1000)</f>
        <v>88.26</v>
      </c>
      <c r="L110" s="75">
        <f>(NJ_prices!L98+$D$2)*IF($M$2="Prices in $/MWh",1,1/1000)</f>
        <v>42.38</v>
      </c>
      <c r="M110" s="76">
        <f>(NJ_prices!M98+$D$2)*IF($M$2="Prices in $/MWh",1,1/1000)</f>
        <v>43.58</v>
      </c>
      <c r="N110" s="75">
        <f>(NJ_prices!N98+$D$2)*IF($M$2="Prices in $/MWh",1,1/1000)</f>
        <v>43.71</v>
      </c>
      <c r="O110" s="61"/>
    </row>
    <row r="111" spans="2:15" x14ac:dyDescent="0.25">
      <c r="B111" s="57"/>
      <c r="C111" s="78" t="str">
        <f>NJ_prices!C99</f>
        <v>October-2016</v>
      </c>
      <c r="D111" s="79" t="str">
        <f>NJ_prices!D99</f>
        <v>NJ</v>
      </c>
      <c r="E111" s="80" t="str">
        <f>NJ_prices!E99</f>
        <v>JCPL</v>
      </c>
      <c r="F111" s="79" t="str">
        <f>NJ_prices!F99</f>
        <v>GSCL</v>
      </c>
      <c r="G111" s="80" t="str">
        <f>NJ_prices!G99</f>
        <v>General Service Large</v>
      </c>
      <c r="H111" s="81" t="str">
        <f t="shared" ref="H111" si="94">IF($M$2="Prices in $/MWh","100-500 MWh","100,000-500,000 kWh")</f>
        <v>100-500 MWh</v>
      </c>
      <c r="I111" s="80">
        <f>(NJ_prices!I99+$D$2)*IF($M$2="Prices in $/MWh",1,1/1000)</f>
        <v>85.67</v>
      </c>
      <c r="J111" s="79">
        <f>(NJ_prices!J99+$D$2)*IF($M$2="Prices in $/MWh",1,1/1000)</f>
        <v>86.97</v>
      </c>
      <c r="K111" s="80">
        <f>(NJ_prices!K99+$D$2)*IF($M$2="Prices in $/MWh",1,1/1000)</f>
        <v>86.55</v>
      </c>
      <c r="L111" s="79">
        <f>(NJ_prices!L99+$D$2)*IF($M$2="Prices in $/MWh",1,1/1000)</f>
        <v>40.67</v>
      </c>
      <c r="M111" s="80">
        <f>(NJ_prices!M99+$D$2)*IF($M$2="Prices in $/MWh",1,1/1000)</f>
        <v>41.87</v>
      </c>
      <c r="N111" s="79">
        <f>(NJ_prices!N99+$D$2)*IF($M$2="Prices in $/MWh",1,1/1000)</f>
        <v>42</v>
      </c>
      <c r="O111" s="61"/>
    </row>
    <row r="112" spans="2:15" x14ac:dyDescent="0.25">
      <c r="B112" s="57"/>
      <c r="C112" s="82" t="str">
        <f>NJ_prices!C100</f>
        <v>October-2016</v>
      </c>
      <c r="D112" s="83" t="str">
        <f>NJ_prices!D100</f>
        <v>NJ</v>
      </c>
      <c r="E112" s="84" t="str">
        <f>NJ_prices!E100</f>
        <v>JCPL</v>
      </c>
      <c r="F112" s="83" t="str">
        <f>NJ_prices!F100</f>
        <v>GSCL</v>
      </c>
      <c r="G112" s="84" t="str">
        <f>NJ_prices!G100</f>
        <v>General Service Large</v>
      </c>
      <c r="H112" s="85" t="str">
        <f t="shared" ref="H112" si="95">IF($M$2="Prices in $/MWh","500-2500 MWh","500,000-2,500,000 kWh")</f>
        <v>500-2500 MWh</v>
      </c>
      <c r="I112" s="84">
        <f>(NJ_prices!I100+$D$2)*IF($M$2="Prices in $/MWh",1,1/1000)</f>
        <v>84.54</v>
      </c>
      <c r="J112" s="83">
        <f>(NJ_prices!J100+$D$2)*IF($M$2="Prices in $/MWh",1,1/1000)</f>
        <v>85.85</v>
      </c>
      <c r="K112" s="84">
        <f>(NJ_prices!K100+$D$2)*IF($M$2="Prices in $/MWh",1,1/1000)</f>
        <v>85.42</v>
      </c>
      <c r="L112" s="83">
        <f>(NJ_prices!L100+$D$2)*IF($M$2="Prices in $/MWh",1,1/1000)</f>
        <v>39.54</v>
      </c>
      <c r="M112" s="84">
        <f>(NJ_prices!M100+$D$2)*IF($M$2="Prices in $/MWh",1,1/1000)</f>
        <v>40.74</v>
      </c>
      <c r="N112" s="83">
        <f>(NJ_prices!N100+$D$2)*IF($M$2="Prices in $/MWh",1,1/1000)</f>
        <v>40.880000000000003</v>
      </c>
      <c r="O112" s="61"/>
    </row>
    <row r="113" spans="2:15" x14ac:dyDescent="0.25">
      <c r="B113" s="57"/>
      <c r="C113" s="74" t="str">
        <f>NJ_prices!C101</f>
        <v>November-2016</v>
      </c>
      <c r="D113" s="75" t="str">
        <f>NJ_prices!D101</f>
        <v>NJ</v>
      </c>
      <c r="E113" s="76" t="str">
        <f>NJ_prices!E101</f>
        <v>JCPL</v>
      </c>
      <c r="F113" s="75" t="str">
        <f>NJ_prices!F101</f>
        <v>GSCL</v>
      </c>
      <c r="G113" s="76" t="str">
        <f>NJ_prices!G101</f>
        <v>General Service Large</v>
      </c>
      <c r="H113" s="77" t="str">
        <f t="shared" ref="H113" si="96">IF($M$2="Prices in $/MWh","0-100 MWh","0-100,000 kWh")</f>
        <v>0-100 MWh</v>
      </c>
      <c r="I113" s="76">
        <f>(NJ_prices!I101+$D$2)*IF($M$2="Prices in $/MWh",1,1/1000)</f>
        <v>87.44</v>
      </c>
      <c r="J113" s="75">
        <f>(NJ_prices!J101+$D$2)*IF($M$2="Prices in $/MWh",1,1/1000)</f>
        <v>89.04</v>
      </c>
      <c r="K113" s="76">
        <f>(NJ_prices!K101+$D$2)*IF($M$2="Prices in $/MWh",1,1/1000)</f>
        <v>88.62</v>
      </c>
      <c r="L113" s="75">
        <f>(NJ_prices!L101+$D$2)*IF($M$2="Prices in $/MWh",1,1/1000)</f>
        <v>42.54</v>
      </c>
      <c r="M113" s="76">
        <f>(NJ_prices!M101+$D$2)*IF($M$2="Prices in $/MWh",1,1/1000)</f>
        <v>43.85</v>
      </c>
      <c r="N113" s="75">
        <f>(NJ_prices!N101+$D$2)*IF($M$2="Prices in $/MWh",1,1/1000)</f>
        <v>44.23</v>
      </c>
      <c r="O113" s="61"/>
    </row>
    <row r="114" spans="2:15" x14ac:dyDescent="0.25">
      <c r="B114" s="57"/>
      <c r="C114" s="78" t="str">
        <f>NJ_prices!C102</f>
        <v>November-2016</v>
      </c>
      <c r="D114" s="79" t="str">
        <f>NJ_prices!D102</f>
        <v>NJ</v>
      </c>
      <c r="E114" s="80" t="str">
        <f>NJ_prices!E102</f>
        <v>JCPL</v>
      </c>
      <c r="F114" s="79" t="str">
        <f>NJ_prices!F102</f>
        <v>GSCL</v>
      </c>
      <c r="G114" s="80" t="str">
        <f>NJ_prices!G102</f>
        <v>General Service Large</v>
      </c>
      <c r="H114" s="81" t="str">
        <f t="shared" ref="H114" si="97">IF($M$2="Prices in $/MWh","100-500 MWh","100,000-500,000 kWh")</f>
        <v>100-500 MWh</v>
      </c>
      <c r="I114" s="80">
        <f>(NJ_prices!I102+$D$2)*IF($M$2="Prices in $/MWh",1,1/1000)</f>
        <v>85.73</v>
      </c>
      <c r="J114" s="79">
        <f>(NJ_prices!J102+$D$2)*IF($M$2="Prices in $/MWh",1,1/1000)</f>
        <v>87.33</v>
      </c>
      <c r="K114" s="80">
        <f>(NJ_prices!K102+$D$2)*IF($M$2="Prices in $/MWh",1,1/1000)</f>
        <v>86.91</v>
      </c>
      <c r="L114" s="79">
        <f>(NJ_prices!L102+$D$2)*IF($M$2="Prices in $/MWh",1,1/1000)</f>
        <v>40.83</v>
      </c>
      <c r="M114" s="80">
        <f>(NJ_prices!M102+$D$2)*IF($M$2="Prices in $/MWh",1,1/1000)</f>
        <v>42.14</v>
      </c>
      <c r="N114" s="79">
        <f>(NJ_prices!N102+$D$2)*IF($M$2="Prices in $/MWh",1,1/1000)</f>
        <v>42.52</v>
      </c>
      <c r="O114" s="61"/>
    </row>
    <row r="115" spans="2:15" x14ac:dyDescent="0.25">
      <c r="B115" s="57"/>
      <c r="C115" s="82" t="str">
        <f>NJ_prices!C103</f>
        <v>November-2016</v>
      </c>
      <c r="D115" s="83" t="str">
        <f>NJ_prices!D103</f>
        <v>NJ</v>
      </c>
      <c r="E115" s="84" t="str">
        <f>NJ_prices!E103</f>
        <v>JCPL</v>
      </c>
      <c r="F115" s="83" t="str">
        <f>NJ_prices!F103</f>
        <v>GSCL</v>
      </c>
      <c r="G115" s="84" t="str">
        <f>NJ_prices!G103</f>
        <v>General Service Large</v>
      </c>
      <c r="H115" s="85" t="str">
        <f t="shared" ref="H115" si="98">IF($M$2="Prices in $/MWh","500-2500 MWh","500,000-2,500,000 kWh")</f>
        <v>500-2500 MWh</v>
      </c>
      <c r="I115" s="84">
        <f>(NJ_prices!I103+$D$2)*IF($M$2="Prices in $/MWh",1,1/1000)</f>
        <v>84.6</v>
      </c>
      <c r="J115" s="83">
        <f>(NJ_prices!J103+$D$2)*IF($M$2="Prices in $/MWh",1,1/1000)</f>
        <v>86.2</v>
      </c>
      <c r="K115" s="84">
        <f>(NJ_prices!K103+$D$2)*IF($M$2="Prices in $/MWh",1,1/1000)</f>
        <v>85.79</v>
      </c>
      <c r="L115" s="83">
        <f>(NJ_prices!L103+$D$2)*IF($M$2="Prices in $/MWh",1,1/1000)</f>
        <v>39.700000000000003</v>
      </c>
      <c r="M115" s="84">
        <f>(NJ_prices!M103+$D$2)*IF($M$2="Prices in $/MWh",1,1/1000)</f>
        <v>41.01</v>
      </c>
      <c r="N115" s="83">
        <f>(NJ_prices!N103+$D$2)*IF($M$2="Prices in $/MWh",1,1/1000)</f>
        <v>41.39</v>
      </c>
      <c r="O115" s="61"/>
    </row>
    <row r="116" spans="2:15" x14ac:dyDescent="0.25">
      <c r="B116" s="57"/>
      <c r="C116" s="74" t="str">
        <f>NJ_prices!C104</f>
        <v>December-2016</v>
      </c>
      <c r="D116" s="75" t="str">
        <f>NJ_prices!D104</f>
        <v>NJ</v>
      </c>
      <c r="E116" s="76" t="str">
        <f>NJ_prices!E104</f>
        <v>JCPL</v>
      </c>
      <c r="F116" s="75" t="str">
        <f>NJ_prices!F104</f>
        <v>GSCL</v>
      </c>
      <c r="G116" s="76" t="str">
        <f>NJ_prices!G104</f>
        <v>General Service Large</v>
      </c>
      <c r="H116" s="77" t="str">
        <f t="shared" ref="H116" si="99">IF($M$2="Prices in $/MWh","0-100 MWh","0-100,000 kWh")</f>
        <v>0-100 MWh</v>
      </c>
      <c r="I116" s="76">
        <f>(NJ_prices!I104+$D$2)*IF($M$2="Prices in $/MWh",1,1/1000)</f>
        <v>87.34</v>
      </c>
      <c r="J116" s="75">
        <f>(NJ_prices!J104+$D$2)*IF($M$2="Prices in $/MWh",1,1/1000)</f>
        <v>88.99</v>
      </c>
      <c r="K116" s="76">
        <f>(NJ_prices!K104+$D$2)*IF($M$2="Prices in $/MWh",1,1/1000)</f>
        <v>88.84</v>
      </c>
      <c r="L116" s="75">
        <f>(NJ_prices!L104+$D$2)*IF($M$2="Prices in $/MWh",1,1/1000)</f>
        <v>42.69</v>
      </c>
      <c r="M116" s="76">
        <f>(NJ_prices!M104+$D$2)*IF($M$2="Prices in $/MWh",1,1/1000)</f>
        <v>43.74</v>
      </c>
      <c r="N116" s="75">
        <f>(NJ_prices!N104+$D$2)*IF($M$2="Prices in $/MWh",1,1/1000)</f>
        <v>44.63</v>
      </c>
      <c r="O116" s="61"/>
    </row>
    <row r="117" spans="2:15" x14ac:dyDescent="0.25">
      <c r="B117" s="57"/>
      <c r="C117" s="78" t="str">
        <f>NJ_prices!C105</f>
        <v>December-2016</v>
      </c>
      <c r="D117" s="79" t="str">
        <f>NJ_prices!D105</f>
        <v>NJ</v>
      </c>
      <c r="E117" s="80" t="str">
        <f>NJ_prices!E105</f>
        <v>JCPL</v>
      </c>
      <c r="F117" s="79" t="str">
        <f>NJ_prices!F105</f>
        <v>GSCL</v>
      </c>
      <c r="G117" s="80" t="str">
        <f>NJ_prices!G105</f>
        <v>General Service Large</v>
      </c>
      <c r="H117" s="81" t="str">
        <f t="shared" ref="H117" si="100">IF($M$2="Prices in $/MWh","100-500 MWh","100,000-500,000 kWh")</f>
        <v>100-500 MWh</v>
      </c>
      <c r="I117" s="80">
        <f>(NJ_prices!I105+$D$2)*IF($M$2="Prices in $/MWh",1,1/1000)</f>
        <v>85.63</v>
      </c>
      <c r="J117" s="79">
        <f>(NJ_prices!J105+$D$2)*IF($M$2="Prices in $/MWh",1,1/1000)</f>
        <v>87.28</v>
      </c>
      <c r="K117" s="80">
        <f>(NJ_prices!K105+$D$2)*IF($M$2="Prices in $/MWh",1,1/1000)</f>
        <v>87.13</v>
      </c>
      <c r="L117" s="79">
        <f>(NJ_prices!L105+$D$2)*IF($M$2="Prices in $/MWh",1,1/1000)</f>
        <v>40.98</v>
      </c>
      <c r="M117" s="80">
        <f>(NJ_prices!M105+$D$2)*IF($M$2="Prices in $/MWh",1,1/1000)</f>
        <v>42.03</v>
      </c>
      <c r="N117" s="79">
        <f>(NJ_prices!N105+$D$2)*IF($M$2="Prices in $/MWh",1,1/1000)</f>
        <v>42.92</v>
      </c>
      <c r="O117" s="61"/>
    </row>
    <row r="118" spans="2:15" x14ac:dyDescent="0.25">
      <c r="B118" s="57"/>
      <c r="C118" s="82" t="str">
        <f>NJ_prices!C106</f>
        <v>December-2016</v>
      </c>
      <c r="D118" s="83" t="str">
        <f>NJ_prices!D106</f>
        <v>NJ</v>
      </c>
      <c r="E118" s="84" t="str">
        <f>NJ_prices!E106</f>
        <v>JCPL</v>
      </c>
      <c r="F118" s="83" t="str">
        <f>NJ_prices!F106</f>
        <v>GSCL</v>
      </c>
      <c r="G118" s="84" t="str">
        <f>NJ_prices!G106</f>
        <v>General Service Large</v>
      </c>
      <c r="H118" s="85" t="str">
        <f t="shared" ref="H118" si="101">IF($M$2="Prices in $/MWh","500-2500 MWh","500,000-2,500,000 kWh")</f>
        <v>500-2500 MWh</v>
      </c>
      <c r="I118" s="84">
        <f>(NJ_prices!I106+$D$2)*IF($M$2="Prices in $/MWh",1,1/1000)</f>
        <v>84.51</v>
      </c>
      <c r="J118" s="83">
        <f>(NJ_prices!J106+$D$2)*IF($M$2="Prices in $/MWh",1,1/1000)</f>
        <v>86.15</v>
      </c>
      <c r="K118" s="84">
        <f>(NJ_prices!K106+$D$2)*IF($M$2="Prices in $/MWh",1,1/1000)</f>
        <v>86</v>
      </c>
      <c r="L118" s="83">
        <f>(NJ_prices!L106+$D$2)*IF($M$2="Prices in $/MWh",1,1/1000)</f>
        <v>39.85</v>
      </c>
      <c r="M118" s="84">
        <f>(NJ_prices!M106+$D$2)*IF($M$2="Prices in $/MWh",1,1/1000)</f>
        <v>40.9</v>
      </c>
      <c r="N118" s="83">
        <f>(NJ_prices!N106+$D$2)*IF($M$2="Prices in $/MWh",1,1/1000)</f>
        <v>41.79</v>
      </c>
      <c r="O118" s="61"/>
    </row>
    <row r="119" spans="2:15" x14ac:dyDescent="0.25">
      <c r="B119" s="57"/>
      <c r="C119" s="74" t="str">
        <f>NJ_prices!C107</f>
        <v>January-2017</v>
      </c>
      <c r="D119" s="75" t="str">
        <f>NJ_prices!D107</f>
        <v>NJ</v>
      </c>
      <c r="E119" s="76" t="str">
        <f>NJ_prices!E107</f>
        <v>JCPL</v>
      </c>
      <c r="F119" s="75" t="str">
        <f>NJ_prices!F107</f>
        <v>GSCL</v>
      </c>
      <c r="G119" s="76" t="str">
        <f>NJ_prices!G107</f>
        <v>General Service Large</v>
      </c>
      <c r="H119" s="77" t="str">
        <f t="shared" ref="H119" si="102">IF($M$2="Prices in $/MWh","0-100 MWh","0-100,000 kWh")</f>
        <v>0-100 MWh</v>
      </c>
      <c r="I119" s="76">
        <f>(NJ_prices!I107+$D$2)*IF($M$2="Prices in $/MWh",1,1/1000)</f>
        <v>87.21</v>
      </c>
      <c r="J119" s="75">
        <f>(NJ_prices!J107+$D$2)*IF($M$2="Prices in $/MWh",1,1/1000)</f>
        <v>88.87</v>
      </c>
      <c r="K119" s="76">
        <f>(NJ_prices!K107+$D$2)*IF($M$2="Prices in $/MWh",1,1/1000)</f>
        <v>89.08</v>
      </c>
      <c r="L119" s="75">
        <f>(NJ_prices!L107+$D$2)*IF($M$2="Prices in $/MWh",1,1/1000)</f>
        <v>42.76</v>
      </c>
      <c r="M119" s="76">
        <f>(NJ_prices!M107+$D$2)*IF($M$2="Prices in $/MWh",1,1/1000)</f>
        <v>43.58</v>
      </c>
      <c r="N119" s="75">
        <f>(NJ_prices!N107+$D$2)*IF($M$2="Prices in $/MWh",1,1/1000)</f>
        <v>44.96</v>
      </c>
      <c r="O119" s="61"/>
    </row>
    <row r="120" spans="2:15" x14ac:dyDescent="0.25">
      <c r="B120" s="57"/>
      <c r="C120" s="78" t="str">
        <f>NJ_prices!C108</f>
        <v>January-2017</v>
      </c>
      <c r="D120" s="79" t="str">
        <f>NJ_prices!D108</f>
        <v>NJ</v>
      </c>
      <c r="E120" s="80" t="str">
        <f>NJ_prices!E108</f>
        <v>JCPL</v>
      </c>
      <c r="F120" s="79" t="str">
        <f>NJ_prices!F108</f>
        <v>GSCL</v>
      </c>
      <c r="G120" s="80" t="str">
        <f>NJ_prices!G108</f>
        <v>General Service Large</v>
      </c>
      <c r="H120" s="81" t="str">
        <f t="shared" ref="H120" si="103">IF($M$2="Prices in $/MWh","100-500 MWh","100,000-500,000 kWh")</f>
        <v>100-500 MWh</v>
      </c>
      <c r="I120" s="80">
        <f>(NJ_prices!I108+$D$2)*IF($M$2="Prices in $/MWh",1,1/1000)</f>
        <v>85.49</v>
      </c>
      <c r="J120" s="79">
        <f>(NJ_prices!J108+$D$2)*IF($M$2="Prices in $/MWh",1,1/1000)</f>
        <v>87.16</v>
      </c>
      <c r="K120" s="80">
        <f>(NJ_prices!K108+$D$2)*IF($M$2="Prices in $/MWh",1,1/1000)</f>
        <v>87.37</v>
      </c>
      <c r="L120" s="79">
        <f>(NJ_prices!L108+$D$2)*IF($M$2="Prices in $/MWh",1,1/1000)</f>
        <v>41.05</v>
      </c>
      <c r="M120" s="80">
        <f>(NJ_prices!M108+$D$2)*IF($M$2="Prices in $/MWh",1,1/1000)</f>
        <v>41.87</v>
      </c>
      <c r="N120" s="79">
        <f>(NJ_prices!N108+$D$2)*IF($M$2="Prices in $/MWh",1,1/1000)</f>
        <v>43.25</v>
      </c>
      <c r="O120" s="61"/>
    </row>
    <row r="121" spans="2:15" x14ac:dyDescent="0.25">
      <c r="B121" s="57"/>
      <c r="C121" s="82" t="str">
        <f>NJ_prices!C109</f>
        <v>January-2017</v>
      </c>
      <c r="D121" s="83" t="str">
        <f>NJ_prices!D109</f>
        <v>NJ</v>
      </c>
      <c r="E121" s="84" t="str">
        <f>NJ_prices!E109</f>
        <v>JCPL</v>
      </c>
      <c r="F121" s="83" t="str">
        <f>NJ_prices!F109</f>
        <v>GSCL</v>
      </c>
      <c r="G121" s="84" t="str">
        <f>NJ_prices!G109</f>
        <v>General Service Large</v>
      </c>
      <c r="H121" s="85" t="str">
        <f t="shared" ref="H121" si="104">IF($M$2="Prices in $/MWh","500-2500 MWh","500,000-2,500,000 kWh")</f>
        <v>500-2500 MWh</v>
      </c>
      <c r="I121" s="84">
        <f>(NJ_prices!I109+$D$2)*IF($M$2="Prices in $/MWh",1,1/1000)</f>
        <v>84.37</v>
      </c>
      <c r="J121" s="83">
        <f>(NJ_prices!J109+$D$2)*IF($M$2="Prices in $/MWh",1,1/1000)</f>
        <v>86.04</v>
      </c>
      <c r="K121" s="84">
        <f>(NJ_prices!K109+$D$2)*IF($M$2="Prices in $/MWh",1,1/1000)</f>
        <v>86.25</v>
      </c>
      <c r="L121" s="83">
        <f>(NJ_prices!L109+$D$2)*IF($M$2="Prices in $/MWh",1,1/1000)</f>
        <v>39.92</v>
      </c>
      <c r="M121" s="84">
        <f>(NJ_prices!M109+$D$2)*IF($M$2="Prices in $/MWh",1,1/1000)</f>
        <v>40.74</v>
      </c>
      <c r="N121" s="83">
        <f>(NJ_prices!N109+$D$2)*IF($M$2="Prices in $/MWh",1,1/1000)</f>
        <v>42.13</v>
      </c>
      <c r="O121" s="61"/>
    </row>
    <row r="122" spans="2:15" x14ac:dyDescent="0.25">
      <c r="B122" s="57"/>
      <c r="C122" s="74" t="str">
        <f>NJ_prices!C110</f>
        <v>February-2016</v>
      </c>
      <c r="D122" s="75" t="str">
        <f>NJ_prices!D110</f>
        <v>NJ</v>
      </c>
      <c r="E122" s="76" t="str">
        <f>NJ_prices!E110</f>
        <v>JCPL</v>
      </c>
      <c r="F122" s="75" t="str">
        <f>NJ_prices!F110</f>
        <v>GSCM</v>
      </c>
      <c r="G122" s="76" t="str">
        <f>NJ_prices!G110</f>
        <v>General Service Medium</v>
      </c>
      <c r="H122" s="77" t="str">
        <f t="shared" ref="H122" si="105">IF($M$2="Prices in $/MWh","0-100 MWh","0-100,000 kWh")</f>
        <v>0-100 MWh</v>
      </c>
      <c r="I122" s="76">
        <f>(NJ_prices!I110+$D$2)*IF($M$2="Prices in $/MWh",1,1/1000)</f>
        <v>88.1</v>
      </c>
      <c r="J122" s="75">
        <f>(NJ_prices!J110+$D$2)*IF($M$2="Prices in $/MWh",1,1/1000)</f>
        <v>88.51</v>
      </c>
      <c r="K122" s="76">
        <f>(NJ_prices!K110+$D$2)*IF($M$2="Prices in $/MWh",1,1/1000)</f>
        <v>89.14</v>
      </c>
      <c r="L122" s="75">
        <f>(NJ_prices!L110+$D$2)*IF($M$2="Prices in $/MWh",1,1/1000)</f>
        <v>41.35</v>
      </c>
      <c r="M122" s="76">
        <f>(NJ_prices!M110+$D$2)*IF($M$2="Prices in $/MWh",1,1/1000)</f>
        <v>41.74</v>
      </c>
      <c r="N122" s="75">
        <f>(NJ_prices!N110+$D$2)*IF($M$2="Prices in $/MWh",1,1/1000)</f>
        <v>42.58</v>
      </c>
      <c r="O122" s="61"/>
    </row>
    <row r="123" spans="2:15" x14ac:dyDescent="0.25">
      <c r="B123" s="57"/>
      <c r="C123" s="78" t="str">
        <f>NJ_prices!C111</f>
        <v>February-2016</v>
      </c>
      <c r="D123" s="79" t="str">
        <f>NJ_prices!D111</f>
        <v>NJ</v>
      </c>
      <c r="E123" s="80" t="str">
        <f>NJ_prices!E111</f>
        <v>JCPL</v>
      </c>
      <c r="F123" s="79" t="str">
        <f>NJ_prices!F111</f>
        <v>GSCM</v>
      </c>
      <c r="G123" s="80" t="str">
        <f>NJ_prices!G111</f>
        <v>General Service Medium</v>
      </c>
      <c r="H123" s="81" t="str">
        <f t="shared" ref="H123" si="106">IF($M$2="Prices in $/MWh","100-500 MWh","100,000-500,000 kWh")</f>
        <v>100-500 MWh</v>
      </c>
      <c r="I123" s="80">
        <f>(NJ_prices!I111+$D$2)*IF($M$2="Prices in $/MWh",1,1/1000)</f>
        <v>86.39</v>
      </c>
      <c r="J123" s="79">
        <f>(NJ_prices!J111+$D$2)*IF($M$2="Prices in $/MWh",1,1/1000)</f>
        <v>86.8</v>
      </c>
      <c r="K123" s="80">
        <f>(NJ_prices!K111+$D$2)*IF($M$2="Prices in $/MWh",1,1/1000)</f>
        <v>87.43</v>
      </c>
      <c r="L123" s="79">
        <f>(NJ_prices!L111+$D$2)*IF($M$2="Prices in $/MWh",1,1/1000)</f>
        <v>39.64</v>
      </c>
      <c r="M123" s="80">
        <f>(NJ_prices!M111+$D$2)*IF($M$2="Prices in $/MWh",1,1/1000)</f>
        <v>40.03</v>
      </c>
      <c r="N123" s="79">
        <f>(NJ_prices!N111+$D$2)*IF($M$2="Prices in $/MWh",1,1/1000)</f>
        <v>40.869999999999997</v>
      </c>
      <c r="O123" s="61"/>
    </row>
    <row r="124" spans="2:15" x14ac:dyDescent="0.25">
      <c r="B124" s="57"/>
      <c r="C124" s="82" t="str">
        <f>NJ_prices!C112</f>
        <v>February-2016</v>
      </c>
      <c r="D124" s="83" t="str">
        <f>NJ_prices!D112</f>
        <v>NJ</v>
      </c>
      <c r="E124" s="84" t="str">
        <f>NJ_prices!E112</f>
        <v>JCPL</v>
      </c>
      <c r="F124" s="83" t="str">
        <f>NJ_prices!F112</f>
        <v>GSCM</v>
      </c>
      <c r="G124" s="84" t="str">
        <f>NJ_prices!G112</f>
        <v>General Service Medium</v>
      </c>
      <c r="H124" s="85" t="str">
        <f t="shared" ref="H124" si="107">IF($M$2="Prices in $/MWh","500-2500 MWh","500,000-2,500,000 kWh")</f>
        <v>500-2500 MWh</v>
      </c>
      <c r="I124" s="84">
        <f>(NJ_prices!I112+$D$2)*IF($M$2="Prices in $/MWh",1,1/1000)</f>
        <v>85.27</v>
      </c>
      <c r="J124" s="83">
        <f>(NJ_prices!J112+$D$2)*IF($M$2="Prices in $/MWh",1,1/1000)</f>
        <v>85.67</v>
      </c>
      <c r="K124" s="84">
        <f>(NJ_prices!K112+$D$2)*IF($M$2="Prices in $/MWh",1,1/1000)</f>
        <v>86.31</v>
      </c>
      <c r="L124" s="83">
        <f>(NJ_prices!L112+$D$2)*IF($M$2="Prices in $/MWh",1,1/1000)</f>
        <v>38.51</v>
      </c>
      <c r="M124" s="84">
        <f>(NJ_prices!M112+$D$2)*IF($M$2="Prices in $/MWh",1,1/1000)</f>
        <v>38.9</v>
      </c>
      <c r="N124" s="83">
        <f>(NJ_prices!N112+$D$2)*IF($M$2="Prices in $/MWh",1,1/1000)</f>
        <v>39.74</v>
      </c>
      <c r="O124" s="61"/>
    </row>
    <row r="125" spans="2:15" x14ac:dyDescent="0.25">
      <c r="B125" s="57"/>
      <c r="C125" s="74" t="str">
        <f>NJ_prices!C113</f>
        <v>March-2016</v>
      </c>
      <c r="D125" s="75" t="str">
        <f>NJ_prices!D113</f>
        <v>NJ</v>
      </c>
      <c r="E125" s="76" t="str">
        <f>NJ_prices!E113</f>
        <v>JCPL</v>
      </c>
      <c r="F125" s="75" t="str">
        <f>NJ_prices!F113</f>
        <v>GSCM</v>
      </c>
      <c r="G125" s="76" t="str">
        <f>NJ_prices!G113</f>
        <v>General Service Medium</v>
      </c>
      <c r="H125" s="77" t="str">
        <f t="shared" ref="H125" si="108">IF($M$2="Prices in $/MWh","0-100 MWh","0-100,000 kWh")</f>
        <v>0-100 MWh</v>
      </c>
      <c r="I125" s="76">
        <f>(NJ_prices!I113+$D$2)*IF($M$2="Prices in $/MWh",1,1/1000)</f>
        <v>88.75</v>
      </c>
      <c r="J125" s="75">
        <f>(NJ_prices!J113+$D$2)*IF($M$2="Prices in $/MWh",1,1/1000)</f>
        <v>88.21</v>
      </c>
      <c r="K125" s="76">
        <f>(NJ_prices!K113+$D$2)*IF($M$2="Prices in $/MWh",1,1/1000)</f>
        <v>89.54</v>
      </c>
      <c r="L125" s="75">
        <f>(NJ_prices!L113+$D$2)*IF($M$2="Prices in $/MWh",1,1/1000)</f>
        <v>41.42</v>
      </c>
      <c r="M125" s="76">
        <f>(NJ_prices!M113+$D$2)*IF($M$2="Prices in $/MWh",1,1/1000)</f>
        <v>41.4</v>
      </c>
      <c r="N125" s="75">
        <f>(NJ_prices!N113+$D$2)*IF($M$2="Prices in $/MWh",1,1/1000)</f>
        <v>42.62</v>
      </c>
      <c r="O125" s="61"/>
    </row>
    <row r="126" spans="2:15" x14ac:dyDescent="0.25">
      <c r="B126" s="57"/>
      <c r="C126" s="78" t="str">
        <f>NJ_prices!C114</f>
        <v>March-2016</v>
      </c>
      <c r="D126" s="79" t="str">
        <f>NJ_prices!D114</f>
        <v>NJ</v>
      </c>
      <c r="E126" s="80" t="str">
        <f>NJ_prices!E114</f>
        <v>JCPL</v>
      </c>
      <c r="F126" s="79" t="str">
        <f>NJ_prices!F114</f>
        <v>GSCM</v>
      </c>
      <c r="G126" s="80" t="str">
        <f>NJ_prices!G114</f>
        <v>General Service Medium</v>
      </c>
      <c r="H126" s="81" t="str">
        <f t="shared" ref="H126" si="109">IF($M$2="Prices in $/MWh","100-500 MWh","100,000-500,000 kWh")</f>
        <v>100-500 MWh</v>
      </c>
      <c r="I126" s="80">
        <f>(NJ_prices!I114+$D$2)*IF($M$2="Prices in $/MWh",1,1/1000)</f>
        <v>87.04</v>
      </c>
      <c r="J126" s="79">
        <f>(NJ_prices!J114+$D$2)*IF($M$2="Prices in $/MWh",1,1/1000)</f>
        <v>86.49</v>
      </c>
      <c r="K126" s="80">
        <f>(NJ_prices!K114+$D$2)*IF($M$2="Prices in $/MWh",1,1/1000)</f>
        <v>87.83</v>
      </c>
      <c r="L126" s="79">
        <f>(NJ_prices!L114+$D$2)*IF($M$2="Prices in $/MWh",1,1/1000)</f>
        <v>39.71</v>
      </c>
      <c r="M126" s="80">
        <f>(NJ_prices!M114+$D$2)*IF($M$2="Prices in $/MWh",1,1/1000)</f>
        <v>39.69</v>
      </c>
      <c r="N126" s="79">
        <f>(NJ_prices!N114+$D$2)*IF($M$2="Prices in $/MWh",1,1/1000)</f>
        <v>40.909999999999997</v>
      </c>
      <c r="O126" s="61"/>
    </row>
    <row r="127" spans="2:15" x14ac:dyDescent="0.25">
      <c r="B127" s="57"/>
      <c r="C127" s="82" t="str">
        <f>NJ_prices!C115</f>
        <v>March-2016</v>
      </c>
      <c r="D127" s="83" t="str">
        <f>NJ_prices!D115</f>
        <v>NJ</v>
      </c>
      <c r="E127" s="84" t="str">
        <f>NJ_prices!E115</f>
        <v>JCPL</v>
      </c>
      <c r="F127" s="83" t="str">
        <f>NJ_prices!F115</f>
        <v>GSCM</v>
      </c>
      <c r="G127" s="84" t="str">
        <f>NJ_prices!G115</f>
        <v>General Service Medium</v>
      </c>
      <c r="H127" s="85" t="str">
        <f t="shared" ref="H127" si="110">IF($M$2="Prices in $/MWh","500-2500 MWh","500,000-2,500,000 kWh")</f>
        <v>500-2500 MWh</v>
      </c>
      <c r="I127" s="84">
        <f>(NJ_prices!I115+$D$2)*IF($M$2="Prices in $/MWh",1,1/1000)</f>
        <v>85.92</v>
      </c>
      <c r="J127" s="83">
        <f>(NJ_prices!J115+$D$2)*IF($M$2="Prices in $/MWh",1,1/1000)</f>
        <v>85.37</v>
      </c>
      <c r="K127" s="84">
        <f>(NJ_prices!K115+$D$2)*IF($M$2="Prices in $/MWh",1,1/1000)</f>
        <v>86.7</v>
      </c>
      <c r="L127" s="83">
        <f>(NJ_prices!L115+$D$2)*IF($M$2="Prices in $/MWh",1,1/1000)</f>
        <v>38.58</v>
      </c>
      <c r="M127" s="84">
        <f>(NJ_prices!M115+$D$2)*IF($M$2="Prices in $/MWh",1,1/1000)</f>
        <v>38.56</v>
      </c>
      <c r="N127" s="83">
        <f>(NJ_prices!N115+$D$2)*IF($M$2="Prices in $/MWh",1,1/1000)</f>
        <v>39.78</v>
      </c>
      <c r="O127" s="61"/>
    </row>
    <row r="128" spans="2:15" x14ac:dyDescent="0.25">
      <c r="B128" s="57"/>
      <c r="C128" s="74" t="str">
        <f>NJ_prices!C116</f>
        <v>April-2016</v>
      </c>
      <c r="D128" s="75" t="str">
        <f>NJ_prices!D116</f>
        <v>NJ</v>
      </c>
      <c r="E128" s="76" t="str">
        <f>NJ_prices!E116</f>
        <v>JCPL</v>
      </c>
      <c r="F128" s="75" t="str">
        <f>NJ_prices!F116</f>
        <v>GSCM</v>
      </c>
      <c r="G128" s="76" t="str">
        <f>NJ_prices!G116</f>
        <v>General Service Medium</v>
      </c>
      <c r="H128" s="77" t="str">
        <f t="shared" ref="H128" si="111">IF($M$2="Prices in $/MWh","0-100 MWh","0-100,000 kWh")</f>
        <v>0-100 MWh</v>
      </c>
      <c r="I128" s="76">
        <f>(NJ_prices!I116+$D$2)*IF($M$2="Prices in $/MWh",1,1/1000)</f>
        <v>89.26</v>
      </c>
      <c r="J128" s="75">
        <f>(NJ_prices!J116+$D$2)*IF($M$2="Prices in $/MWh",1,1/1000)</f>
        <v>88.41</v>
      </c>
      <c r="K128" s="76">
        <f>(NJ_prices!K116+$D$2)*IF($M$2="Prices in $/MWh",1,1/1000)</f>
        <v>89.67</v>
      </c>
      <c r="L128" s="75">
        <f>(NJ_prices!L116+$D$2)*IF($M$2="Prices in $/MWh",1,1/1000)</f>
        <v>41.81</v>
      </c>
      <c r="M128" s="76">
        <f>(NJ_prices!M116+$D$2)*IF($M$2="Prices in $/MWh",1,1/1000)</f>
        <v>41.62</v>
      </c>
      <c r="N128" s="75">
        <f>(NJ_prices!N116+$D$2)*IF($M$2="Prices in $/MWh",1,1/1000)</f>
        <v>42.7</v>
      </c>
      <c r="O128" s="61"/>
    </row>
    <row r="129" spans="2:15" x14ac:dyDescent="0.25">
      <c r="B129" s="57"/>
      <c r="C129" s="78" t="str">
        <f>NJ_prices!C117</f>
        <v>April-2016</v>
      </c>
      <c r="D129" s="79" t="str">
        <f>NJ_prices!D117</f>
        <v>NJ</v>
      </c>
      <c r="E129" s="80" t="str">
        <f>NJ_prices!E117</f>
        <v>JCPL</v>
      </c>
      <c r="F129" s="79" t="str">
        <f>NJ_prices!F117</f>
        <v>GSCM</v>
      </c>
      <c r="G129" s="80" t="str">
        <f>NJ_prices!G117</f>
        <v>General Service Medium</v>
      </c>
      <c r="H129" s="81" t="str">
        <f t="shared" ref="H129" si="112">IF($M$2="Prices in $/MWh","100-500 MWh","100,000-500,000 kWh")</f>
        <v>100-500 MWh</v>
      </c>
      <c r="I129" s="80">
        <f>(NJ_prices!I117+$D$2)*IF($M$2="Prices in $/MWh",1,1/1000)</f>
        <v>87.55</v>
      </c>
      <c r="J129" s="79">
        <f>(NJ_prices!J117+$D$2)*IF($M$2="Prices in $/MWh",1,1/1000)</f>
        <v>86.7</v>
      </c>
      <c r="K129" s="80">
        <f>(NJ_prices!K117+$D$2)*IF($M$2="Prices in $/MWh",1,1/1000)</f>
        <v>87.96</v>
      </c>
      <c r="L129" s="79">
        <f>(NJ_prices!L117+$D$2)*IF($M$2="Prices in $/MWh",1,1/1000)</f>
        <v>40.1</v>
      </c>
      <c r="M129" s="80">
        <f>(NJ_prices!M117+$D$2)*IF($M$2="Prices in $/MWh",1,1/1000)</f>
        <v>39.909999999999997</v>
      </c>
      <c r="N129" s="79">
        <f>(NJ_prices!N117+$D$2)*IF($M$2="Prices in $/MWh",1,1/1000)</f>
        <v>40.99</v>
      </c>
      <c r="O129" s="61"/>
    </row>
    <row r="130" spans="2:15" x14ac:dyDescent="0.25">
      <c r="B130" s="57"/>
      <c r="C130" s="82" t="str">
        <f>NJ_prices!C118</f>
        <v>April-2016</v>
      </c>
      <c r="D130" s="83" t="str">
        <f>NJ_prices!D118</f>
        <v>NJ</v>
      </c>
      <c r="E130" s="84" t="str">
        <f>NJ_prices!E118</f>
        <v>JCPL</v>
      </c>
      <c r="F130" s="83" t="str">
        <f>NJ_prices!F118</f>
        <v>GSCM</v>
      </c>
      <c r="G130" s="84" t="str">
        <f>NJ_prices!G118</f>
        <v>General Service Medium</v>
      </c>
      <c r="H130" s="85" t="str">
        <f t="shared" ref="H130" si="113">IF($M$2="Prices in $/MWh","500-2500 MWh","500,000-2,500,000 kWh")</f>
        <v>500-2500 MWh</v>
      </c>
      <c r="I130" s="84">
        <f>(NJ_prices!I118+$D$2)*IF($M$2="Prices in $/MWh",1,1/1000)</f>
        <v>86.43</v>
      </c>
      <c r="J130" s="83">
        <f>(NJ_prices!J118+$D$2)*IF($M$2="Prices in $/MWh",1,1/1000)</f>
        <v>85.58</v>
      </c>
      <c r="K130" s="84">
        <f>(NJ_prices!K118+$D$2)*IF($M$2="Prices in $/MWh",1,1/1000)</f>
        <v>86.84</v>
      </c>
      <c r="L130" s="83">
        <f>(NJ_prices!L118+$D$2)*IF($M$2="Prices in $/MWh",1,1/1000)</f>
        <v>38.97</v>
      </c>
      <c r="M130" s="84">
        <f>(NJ_prices!M118+$D$2)*IF($M$2="Prices in $/MWh",1,1/1000)</f>
        <v>38.78</v>
      </c>
      <c r="N130" s="83">
        <f>(NJ_prices!N118+$D$2)*IF($M$2="Prices in $/MWh",1,1/1000)</f>
        <v>39.86</v>
      </c>
      <c r="O130" s="61"/>
    </row>
    <row r="131" spans="2:15" x14ac:dyDescent="0.25">
      <c r="B131" s="57"/>
      <c r="C131" s="74" t="str">
        <f>NJ_prices!C119</f>
        <v>May-2016</v>
      </c>
      <c r="D131" s="75" t="str">
        <f>NJ_prices!D119</f>
        <v>NJ</v>
      </c>
      <c r="E131" s="76" t="str">
        <f>NJ_prices!E119</f>
        <v>JCPL</v>
      </c>
      <c r="F131" s="75" t="str">
        <f>NJ_prices!F119</f>
        <v>GSCM</v>
      </c>
      <c r="G131" s="76" t="str">
        <f>NJ_prices!G119</f>
        <v>General Service Medium</v>
      </c>
      <c r="H131" s="77" t="str">
        <f t="shared" ref="H131" si="114">IF($M$2="Prices in $/MWh","0-100 MWh","0-100,000 kWh")</f>
        <v>0-100 MWh</v>
      </c>
      <c r="I131" s="76">
        <f>(NJ_prices!I119+$D$2)*IF($M$2="Prices in $/MWh",1,1/1000)</f>
        <v>89.67</v>
      </c>
      <c r="J131" s="75">
        <f>(NJ_prices!J119+$D$2)*IF($M$2="Prices in $/MWh",1,1/1000)</f>
        <v>89.1</v>
      </c>
      <c r="K131" s="76">
        <f>(NJ_prices!K119+$D$2)*IF($M$2="Prices in $/MWh",1,1/1000)</f>
        <v>89.74</v>
      </c>
      <c r="L131" s="75">
        <f>(NJ_prices!L119+$D$2)*IF($M$2="Prices in $/MWh",1,1/1000)</f>
        <v>42.23</v>
      </c>
      <c r="M131" s="76">
        <f>(NJ_prices!M119+$D$2)*IF($M$2="Prices in $/MWh",1,1/1000)</f>
        <v>42.37</v>
      </c>
      <c r="N131" s="75">
        <f>(NJ_prices!N119+$D$2)*IF($M$2="Prices in $/MWh",1,1/1000)</f>
        <v>42.83</v>
      </c>
      <c r="O131" s="61"/>
    </row>
    <row r="132" spans="2:15" x14ac:dyDescent="0.25">
      <c r="B132" s="57"/>
      <c r="C132" s="78" t="str">
        <f>NJ_prices!C120</f>
        <v>May-2016</v>
      </c>
      <c r="D132" s="79" t="str">
        <f>NJ_prices!D120</f>
        <v>NJ</v>
      </c>
      <c r="E132" s="80" t="str">
        <f>NJ_prices!E120</f>
        <v>JCPL</v>
      </c>
      <c r="F132" s="79" t="str">
        <f>NJ_prices!F120</f>
        <v>GSCM</v>
      </c>
      <c r="G132" s="80" t="str">
        <f>NJ_prices!G120</f>
        <v>General Service Medium</v>
      </c>
      <c r="H132" s="81" t="str">
        <f t="shared" ref="H132" si="115">IF($M$2="Prices in $/MWh","100-500 MWh","100,000-500,000 kWh")</f>
        <v>100-500 MWh</v>
      </c>
      <c r="I132" s="80">
        <f>(NJ_prices!I120+$D$2)*IF($M$2="Prices in $/MWh",1,1/1000)</f>
        <v>87.95</v>
      </c>
      <c r="J132" s="79">
        <f>(NJ_prices!J120+$D$2)*IF($M$2="Prices in $/MWh",1,1/1000)</f>
        <v>87.39</v>
      </c>
      <c r="K132" s="80">
        <f>(NJ_prices!K120+$D$2)*IF($M$2="Prices in $/MWh",1,1/1000)</f>
        <v>88.02</v>
      </c>
      <c r="L132" s="79">
        <f>(NJ_prices!L120+$D$2)*IF($M$2="Prices in $/MWh",1,1/1000)</f>
        <v>40.520000000000003</v>
      </c>
      <c r="M132" s="80">
        <f>(NJ_prices!M120+$D$2)*IF($M$2="Prices in $/MWh",1,1/1000)</f>
        <v>40.659999999999997</v>
      </c>
      <c r="N132" s="79">
        <f>(NJ_prices!N120+$D$2)*IF($M$2="Prices in $/MWh",1,1/1000)</f>
        <v>41.12</v>
      </c>
      <c r="O132" s="61"/>
    </row>
    <row r="133" spans="2:15" x14ac:dyDescent="0.25">
      <c r="B133" s="57"/>
      <c r="C133" s="82" t="str">
        <f>NJ_prices!C121</f>
        <v>May-2016</v>
      </c>
      <c r="D133" s="83" t="str">
        <f>NJ_prices!D121</f>
        <v>NJ</v>
      </c>
      <c r="E133" s="84" t="str">
        <f>NJ_prices!E121</f>
        <v>JCPL</v>
      </c>
      <c r="F133" s="83" t="str">
        <f>NJ_prices!F121</f>
        <v>GSCM</v>
      </c>
      <c r="G133" s="84" t="str">
        <f>NJ_prices!G121</f>
        <v>General Service Medium</v>
      </c>
      <c r="H133" s="85" t="str">
        <f t="shared" ref="H133" si="116">IF($M$2="Prices in $/MWh","500-2500 MWh","500,000-2,500,000 kWh")</f>
        <v>500-2500 MWh</v>
      </c>
      <c r="I133" s="84">
        <f>(NJ_prices!I121+$D$2)*IF($M$2="Prices in $/MWh",1,1/1000)</f>
        <v>86.83</v>
      </c>
      <c r="J133" s="83">
        <f>(NJ_prices!J121+$D$2)*IF($M$2="Prices in $/MWh",1,1/1000)</f>
        <v>86.27</v>
      </c>
      <c r="K133" s="84">
        <f>(NJ_prices!K121+$D$2)*IF($M$2="Prices in $/MWh",1,1/1000)</f>
        <v>86.9</v>
      </c>
      <c r="L133" s="83">
        <f>(NJ_prices!L121+$D$2)*IF($M$2="Prices in $/MWh",1,1/1000)</f>
        <v>39.39</v>
      </c>
      <c r="M133" s="84">
        <f>(NJ_prices!M121+$D$2)*IF($M$2="Prices in $/MWh",1,1/1000)</f>
        <v>39.53</v>
      </c>
      <c r="N133" s="83">
        <f>(NJ_prices!N121+$D$2)*IF($M$2="Prices in $/MWh",1,1/1000)</f>
        <v>39.99</v>
      </c>
      <c r="O133" s="61"/>
    </row>
    <row r="134" spans="2:15" x14ac:dyDescent="0.25">
      <c r="B134" s="57"/>
      <c r="C134" s="74" t="str">
        <f>NJ_prices!C122</f>
        <v>June-2016</v>
      </c>
      <c r="D134" s="75" t="str">
        <f>NJ_prices!D122</f>
        <v>NJ</v>
      </c>
      <c r="E134" s="76" t="str">
        <f>NJ_prices!E122</f>
        <v>JCPL</v>
      </c>
      <c r="F134" s="75" t="str">
        <f>NJ_prices!F122</f>
        <v>GSCM</v>
      </c>
      <c r="G134" s="76" t="str">
        <f>NJ_prices!G122</f>
        <v>General Service Medium</v>
      </c>
      <c r="H134" s="77" t="str">
        <f t="shared" ref="H134" si="117">IF($M$2="Prices in $/MWh","0-100 MWh","0-100,000 kWh")</f>
        <v>0-100 MWh</v>
      </c>
      <c r="I134" s="76">
        <f>(NJ_prices!I122+$D$2)*IF($M$2="Prices in $/MWh",1,1/1000)</f>
        <v>89.93</v>
      </c>
      <c r="J134" s="75">
        <f>(NJ_prices!J122+$D$2)*IF($M$2="Prices in $/MWh",1,1/1000)</f>
        <v>90</v>
      </c>
      <c r="K134" s="76">
        <f>(NJ_prices!K122+$D$2)*IF($M$2="Prices in $/MWh",1,1/1000)</f>
        <v>89.81</v>
      </c>
      <c r="L134" s="75">
        <f>(NJ_prices!L122+$D$2)*IF($M$2="Prices in $/MWh",1,1/1000)</f>
        <v>42.6</v>
      </c>
      <c r="M134" s="76">
        <f>(NJ_prices!M122+$D$2)*IF($M$2="Prices in $/MWh",1,1/1000)</f>
        <v>43.42</v>
      </c>
      <c r="N134" s="75">
        <f>(NJ_prices!N122+$D$2)*IF($M$2="Prices in $/MWh",1,1/1000)</f>
        <v>42.95</v>
      </c>
      <c r="O134" s="61"/>
    </row>
    <row r="135" spans="2:15" x14ac:dyDescent="0.25">
      <c r="B135" s="57"/>
      <c r="C135" s="78" t="str">
        <f>NJ_prices!C123</f>
        <v>June-2016</v>
      </c>
      <c r="D135" s="79" t="str">
        <f>NJ_prices!D123</f>
        <v>NJ</v>
      </c>
      <c r="E135" s="80" t="str">
        <f>NJ_prices!E123</f>
        <v>JCPL</v>
      </c>
      <c r="F135" s="79" t="str">
        <f>NJ_prices!F123</f>
        <v>GSCM</v>
      </c>
      <c r="G135" s="80" t="str">
        <f>NJ_prices!G123</f>
        <v>General Service Medium</v>
      </c>
      <c r="H135" s="81" t="str">
        <f t="shared" ref="H135" si="118">IF($M$2="Prices in $/MWh","100-500 MWh","100,000-500,000 kWh")</f>
        <v>100-500 MWh</v>
      </c>
      <c r="I135" s="80">
        <f>(NJ_prices!I123+$D$2)*IF($M$2="Prices in $/MWh",1,1/1000)</f>
        <v>88.22</v>
      </c>
      <c r="J135" s="79">
        <f>(NJ_prices!J123+$D$2)*IF($M$2="Prices in $/MWh",1,1/1000)</f>
        <v>88.29</v>
      </c>
      <c r="K135" s="80">
        <f>(NJ_prices!K123+$D$2)*IF($M$2="Prices in $/MWh",1,1/1000)</f>
        <v>88.1</v>
      </c>
      <c r="L135" s="79">
        <f>(NJ_prices!L123+$D$2)*IF($M$2="Prices in $/MWh",1,1/1000)</f>
        <v>40.89</v>
      </c>
      <c r="M135" s="80">
        <f>(NJ_prices!M123+$D$2)*IF($M$2="Prices in $/MWh",1,1/1000)</f>
        <v>41.71</v>
      </c>
      <c r="N135" s="79">
        <f>(NJ_prices!N123+$D$2)*IF($M$2="Prices in $/MWh",1,1/1000)</f>
        <v>41.24</v>
      </c>
      <c r="O135" s="61"/>
    </row>
    <row r="136" spans="2:15" x14ac:dyDescent="0.25">
      <c r="B136" s="57"/>
      <c r="C136" s="82" t="str">
        <f>NJ_prices!C124</f>
        <v>June-2016</v>
      </c>
      <c r="D136" s="83" t="str">
        <f>NJ_prices!D124</f>
        <v>NJ</v>
      </c>
      <c r="E136" s="84" t="str">
        <f>NJ_prices!E124</f>
        <v>JCPL</v>
      </c>
      <c r="F136" s="83" t="str">
        <f>NJ_prices!F124</f>
        <v>GSCM</v>
      </c>
      <c r="G136" s="84" t="str">
        <f>NJ_prices!G124</f>
        <v>General Service Medium</v>
      </c>
      <c r="H136" s="85" t="str">
        <f t="shared" ref="H136" si="119">IF($M$2="Prices in $/MWh","500-2500 MWh","500,000-2,500,000 kWh")</f>
        <v>500-2500 MWh</v>
      </c>
      <c r="I136" s="84">
        <f>(NJ_prices!I124+$D$2)*IF($M$2="Prices in $/MWh",1,1/1000)</f>
        <v>87.09</v>
      </c>
      <c r="J136" s="83">
        <f>(NJ_prices!J124+$D$2)*IF($M$2="Prices in $/MWh",1,1/1000)</f>
        <v>87.17</v>
      </c>
      <c r="K136" s="84">
        <f>(NJ_prices!K124+$D$2)*IF($M$2="Prices in $/MWh",1,1/1000)</f>
        <v>86.98</v>
      </c>
      <c r="L136" s="83">
        <f>(NJ_prices!L124+$D$2)*IF($M$2="Prices in $/MWh",1,1/1000)</f>
        <v>39.76</v>
      </c>
      <c r="M136" s="84">
        <f>(NJ_prices!M124+$D$2)*IF($M$2="Prices in $/MWh",1,1/1000)</f>
        <v>40.58</v>
      </c>
      <c r="N136" s="83">
        <f>(NJ_prices!N124+$D$2)*IF($M$2="Prices in $/MWh",1,1/1000)</f>
        <v>40.11</v>
      </c>
      <c r="O136" s="61"/>
    </row>
    <row r="137" spans="2:15" x14ac:dyDescent="0.25">
      <c r="B137" s="57"/>
      <c r="C137" s="74" t="str">
        <f>NJ_prices!C125</f>
        <v>July-2016</v>
      </c>
      <c r="D137" s="75" t="str">
        <f>NJ_prices!D125</f>
        <v>NJ</v>
      </c>
      <c r="E137" s="76" t="str">
        <f>NJ_prices!E125</f>
        <v>JCPL</v>
      </c>
      <c r="F137" s="75" t="str">
        <f>NJ_prices!F125</f>
        <v>GSCM</v>
      </c>
      <c r="G137" s="76" t="str">
        <f>NJ_prices!G125</f>
        <v>General Service Medium</v>
      </c>
      <c r="H137" s="77" t="str">
        <f t="shared" ref="H137" si="120">IF($M$2="Prices in $/MWh","0-100 MWh","0-100,000 kWh")</f>
        <v>0-100 MWh</v>
      </c>
      <c r="I137" s="76">
        <f>(NJ_prices!I125+$D$2)*IF($M$2="Prices in $/MWh",1,1/1000)</f>
        <v>89.97</v>
      </c>
      <c r="J137" s="75">
        <f>(NJ_prices!J125+$D$2)*IF($M$2="Prices in $/MWh",1,1/1000)</f>
        <v>89.73</v>
      </c>
      <c r="K137" s="76">
        <f>(NJ_prices!K125+$D$2)*IF($M$2="Prices in $/MWh",1,1/1000)</f>
        <v>90.07</v>
      </c>
      <c r="L137" s="75">
        <f>(NJ_prices!L125+$D$2)*IF($M$2="Prices in $/MWh",1,1/1000)</f>
        <v>42.76</v>
      </c>
      <c r="M137" s="76">
        <f>(NJ_prices!M125+$D$2)*IF($M$2="Prices in $/MWh",1,1/1000)</f>
        <v>43.63</v>
      </c>
      <c r="N137" s="75">
        <f>(NJ_prices!N125+$D$2)*IF($M$2="Prices in $/MWh",1,1/1000)</f>
        <v>43.32</v>
      </c>
      <c r="O137" s="61"/>
    </row>
    <row r="138" spans="2:15" x14ac:dyDescent="0.25">
      <c r="B138" s="57"/>
      <c r="C138" s="78" t="str">
        <f>NJ_prices!C126</f>
        <v>July-2016</v>
      </c>
      <c r="D138" s="79" t="str">
        <f>NJ_prices!D126</f>
        <v>NJ</v>
      </c>
      <c r="E138" s="80" t="str">
        <f>NJ_prices!E126</f>
        <v>JCPL</v>
      </c>
      <c r="F138" s="79" t="str">
        <f>NJ_prices!F126</f>
        <v>GSCM</v>
      </c>
      <c r="G138" s="80" t="str">
        <f>NJ_prices!G126</f>
        <v>General Service Medium</v>
      </c>
      <c r="H138" s="81" t="str">
        <f t="shared" ref="H138" si="121">IF($M$2="Prices in $/MWh","100-500 MWh","100,000-500,000 kWh")</f>
        <v>100-500 MWh</v>
      </c>
      <c r="I138" s="80">
        <f>(NJ_prices!I126+$D$2)*IF($M$2="Prices in $/MWh",1,1/1000)</f>
        <v>88.26</v>
      </c>
      <c r="J138" s="79">
        <f>(NJ_prices!J126+$D$2)*IF($M$2="Prices in $/MWh",1,1/1000)</f>
        <v>88.02</v>
      </c>
      <c r="K138" s="80">
        <f>(NJ_prices!K126+$D$2)*IF($M$2="Prices in $/MWh",1,1/1000)</f>
        <v>88.36</v>
      </c>
      <c r="L138" s="79">
        <f>(NJ_prices!L126+$D$2)*IF($M$2="Prices in $/MWh",1,1/1000)</f>
        <v>41.05</v>
      </c>
      <c r="M138" s="80">
        <f>(NJ_prices!M126+$D$2)*IF($M$2="Prices in $/MWh",1,1/1000)</f>
        <v>41.92</v>
      </c>
      <c r="N138" s="79">
        <f>(NJ_prices!N126+$D$2)*IF($M$2="Prices in $/MWh",1,1/1000)</f>
        <v>41.61</v>
      </c>
      <c r="O138" s="61"/>
    </row>
    <row r="139" spans="2:15" x14ac:dyDescent="0.25">
      <c r="B139" s="57"/>
      <c r="C139" s="82" t="str">
        <f>NJ_prices!C127</f>
        <v>July-2016</v>
      </c>
      <c r="D139" s="83" t="str">
        <f>NJ_prices!D127</f>
        <v>NJ</v>
      </c>
      <c r="E139" s="84" t="str">
        <f>NJ_prices!E127</f>
        <v>JCPL</v>
      </c>
      <c r="F139" s="83" t="str">
        <f>NJ_prices!F127</f>
        <v>GSCM</v>
      </c>
      <c r="G139" s="84" t="str">
        <f>NJ_prices!G127</f>
        <v>General Service Medium</v>
      </c>
      <c r="H139" s="85" t="str">
        <f t="shared" ref="H139" si="122">IF($M$2="Prices in $/MWh","500-2500 MWh","500,000-2,500,000 kWh")</f>
        <v>500-2500 MWh</v>
      </c>
      <c r="I139" s="84">
        <f>(NJ_prices!I127+$D$2)*IF($M$2="Prices in $/MWh",1,1/1000)</f>
        <v>87.13</v>
      </c>
      <c r="J139" s="83">
        <f>(NJ_prices!J127+$D$2)*IF($M$2="Prices in $/MWh",1,1/1000)</f>
        <v>86.89</v>
      </c>
      <c r="K139" s="84">
        <f>(NJ_prices!K127+$D$2)*IF($M$2="Prices in $/MWh",1,1/1000)</f>
        <v>87.23</v>
      </c>
      <c r="L139" s="83">
        <f>(NJ_prices!L127+$D$2)*IF($M$2="Prices in $/MWh",1,1/1000)</f>
        <v>39.92</v>
      </c>
      <c r="M139" s="84">
        <f>(NJ_prices!M127+$D$2)*IF($M$2="Prices in $/MWh",1,1/1000)</f>
        <v>40.79</v>
      </c>
      <c r="N139" s="83">
        <f>(NJ_prices!N127+$D$2)*IF($M$2="Prices in $/MWh",1,1/1000)</f>
        <v>40.479999999999997</v>
      </c>
      <c r="O139" s="61"/>
    </row>
    <row r="140" spans="2:15" x14ac:dyDescent="0.25">
      <c r="B140" s="57"/>
      <c r="C140" s="74" t="str">
        <f>NJ_prices!C128</f>
        <v>August-2016</v>
      </c>
      <c r="D140" s="75" t="str">
        <f>NJ_prices!D128</f>
        <v>NJ</v>
      </c>
      <c r="E140" s="76" t="str">
        <f>NJ_prices!E128</f>
        <v>JCPL</v>
      </c>
      <c r="F140" s="75" t="str">
        <f>NJ_prices!F128</f>
        <v>GSCM</v>
      </c>
      <c r="G140" s="76" t="str">
        <f>NJ_prices!G128</f>
        <v>General Service Medium</v>
      </c>
      <c r="H140" s="77" t="str">
        <f t="shared" ref="H140" si="123">IF($M$2="Prices in $/MWh","0-100 MWh","0-100,000 kWh")</f>
        <v>0-100 MWh</v>
      </c>
      <c r="I140" s="76">
        <f>(NJ_prices!I128+$D$2)*IF($M$2="Prices in $/MWh",1,1/1000)</f>
        <v>90.18</v>
      </c>
      <c r="J140" s="75">
        <f>(NJ_prices!J128+$D$2)*IF($M$2="Prices in $/MWh",1,1/1000)</f>
        <v>90.53</v>
      </c>
      <c r="K140" s="76">
        <f>(NJ_prices!K128+$D$2)*IF($M$2="Prices in $/MWh",1,1/1000)</f>
        <v>90.55</v>
      </c>
      <c r="L140" s="75">
        <f>(NJ_prices!L128+$D$2)*IF($M$2="Prices in $/MWh",1,1/1000)</f>
        <v>43.28</v>
      </c>
      <c r="M140" s="76">
        <f>(NJ_prices!M128+$D$2)*IF($M$2="Prices in $/MWh",1,1/1000)</f>
        <v>43.96</v>
      </c>
      <c r="N140" s="75">
        <f>(NJ_prices!N128+$D$2)*IF($M$2="Prices in $/MWh",1,1/1000)</f>
        <v>43.95</v>
      </c>
      <c r="O140" s="61"/>
    </row>
    <row r="141" spans="2:15" x14ac:dyDescent="0.25">
      <c r="B141" s="57"/>
      <c r="C141" s="78" t="str">
        <f>NJ_prices!C129</f>
        <v>August-2016</v>
      </c>
      <c r="D141" s="79" t="str">
        <f>NJ_prices!D129</f>
        <v>NJ</v>
      </c>
      <c r="E141" s="80" t="str">
        <f>NJ_prices!E129</f>
        <v>JCPL</v>
      </c>
      <c r="F141" s="79" t="str">
        <f>NJ_prices!F129</f>
        <v>GSCM</v>
      </c>
      <c r="G141" s="80" t="str">
        <f>NJ_prices!G129</f>
        <v>General Service Medium</v>
      </c>
      <c r="H141" s="81" t="str">
        <f t="shared" ref="H141" si="124">IF($M$2="Prices in $/MWh","100-500 MWh","100,000-500,000 kWh")</f>
        <v>100-500 MWh</v>
      </c>
      <c r="I141" s="80">
        <f>(NJ_prices!I129+$D$2)*IF($M$2="Prices in $/MWh",1,1/1000)</f>
        <v>88.46</v>
      </c>
      <c r="J141" s="79">
        <f>(NJ_prices!J129+$D$2)*IF($M$2="Prices in $/MWh",1,1/1000)</f>
        <v>88.82</v>
      </c>
      <c r="K141" s="80">
        <f>(NJ_prices!K129+$D$2)*IF($M$2="Prices in $/MWh",1,1/1000)</f>
        <v>88.84</v>
      </c>
      <c r="L141" s="79">
        <f>(NJ_prices!L129+$D$2)*IF($M$2="Prices in $/MWh",1,1/1000)</f>
        <v>41.57</v>
      </c>
      <c r="M141" s="80">
        <f>(NJ_prices!M129+$D$2)*IF($M$2="Prices in $/MWh",1,1/1000)</f>
        <v>42.25</v>
      </c>
      <c r="N141" s="79">
        <f>(NJ_prices!N129+$D$2)*IF($M$2="Prices in $/MWh",1,1/1000)</f>
        <v>42.24</v>
      </c>
      <c r="O141" s="61"/>
    </row>
    <row r="142" spans="2:15" x14ac:dyDescent="0.25">
      <c r="B142" s="57"/>
      <c r="C142" s="82" t="str">
        <f>NJ_prices!C130</f>
        <v>August-2016</v>
      </c>
      <c r="D142" s="83" t="str">
        <f>NJ_prices!D130</f>
        <v>NJ</v>
      </c>
      <c r="E142" s="84" t="str">
        <f>NJ_prices!E130</f>
        <v>JCPL</v>
      </c>
      <c r="F142" s="83" t="str">
        <f>NJ_prices!F130</f>
        <v>GSCM</v>
      </c>
      <c r="G142" s="84" t="str">
        <f>NJ_prices!G130</f>
        <v>General Service Medium</v>
      </c>
      <c r="H142" s="85" t="str">
        <f t="shared" ref="H142" si="125">IF($M$2="Prices in $/MWh","500-2500 MWh","500,000-2,500,000 kWh")</f>
        <v>500-2500 MWh</v>
      </c>
      <c r="I142" s="84">
        <f>(NJ_prices!I130+$D$2)*IF($M$2="Prices in $/MWh",1,1/1000)</f>
        <v>87.34</v>
      </c>
      <c r="J142" s="83">
        <f>(NJ_prices!J130+$D$2)*IF($M$2="Prices in $/MWh",1,1/1000)</f>
        <v>87.7</v>
      </c>
      <c r="K142" s="84">
        <f>(NJ_prices!K130+$D$2)*IF($M$2="Prices in $/MWh",1,1/1000)</f>
        <v>87.71</v>
      </c>
      <c r="L142" s="83">
        <f>(NJ_prices!L130+$D$2)*IF($M$2="Prices in $/MWh",1,1/1000)</f>
        <v>40.450000000000003</v>
      </c>
      <c r="M142" s="84">
        <f>(NJ_prices!M130+$D$2)*IF($M$2="Prices in $/MWh",1,1/1000)</f>
        <v>41.13</v>
      </c>
      <c r="N142" s="83">
        <f>(NJ_prices!N130+$D$2)*IF($M$2="Prices in $/MWh",1,1/1000)</f>
        <v>41.11</v>
      </c>
      <c r="O142" s="61"/>
    </row>
    <row r="143" spans="2:15" x14ac:dyDescent="0.25">
      <c r="B143" s="57"/>
      <c r="C143" s="74" t="str">
        <f>NJ_prices!C131</f>
        <v>September-2016</v>
      </c>
      <c r="D143" s="75" t="str">
        <f>NJ_prices!D131</f>
        <v>NJ</v>
      </c>
      <c r="E143" s="76" t="str">
        <f>NJ_prices!E131</f>
        <v>JCPL</v>
      </c>
      <c r="F143" s="75" t="str">
        <f>NJ_prices!F131</f>
        <v>GSCM</v>
      </c>
      <c r="G143" s="76" t="str">
        <f>NJ_prices!G131</f>
        <v>General Service Medium</v>
      </c>
      <c r="H143" s="77" t="str">
        <f t="shared" ref="H143" si="126">IF($M$2="Prices in $/MWh","0-100 MWh","0-100,000 kWh")</f>
        <v>0-100 MWh</v>
      </c>
      <c r="I143" s="76">
        <f>(NJ_prices!I131+$D$2)*IF($M$2="Prices in $/MWh",1,1/1000)</f>
        <v>90.06</v>
      </c>
      <c r="J143" s="75">
        <f>(NJ_prices!J131+$D$2)*IF($M$2="Prices in $/MWh",1,1/1000)</f>
        <v>91.31</v>
      </c>
      <c r="K143" s="76">
        <f>(NJ_prices!K131+$D$2)*IF($M$2="Prices in $/MWh",1,1/1000)</f>
        <v>90.81</v>
      </c>
      <c r="L143" s="75">
        <f>(NJ_prices!L131+$D$2)*IF($M$2="Prices in $/MWh",1,1/1000)</f>
        <v>43.35</v>
      </c>
      <c r="M143" s="76">
        <f>(NJ_prices!M131+$D$2)*IF($M$2="Prices in $/MWh",1,1/1000)</f>
        <v>44.41</v>
      </c>
      <c r="N143" s="75">
        <f>(NJ_prices!N131+$D$2)*IF($M$2="Prices in $/MWh",1,1/1000)</f>
        <v>44.35</v>
      </c>
      <c r="O143" s="61"/>
    </row>
    <row r="144" spans="2:15" x14ac:dyDescent="0.25">
      <c r="B144" s="57"/>
      <c r="C144" s="78" t="str">
        <f>NJ_prices!C132</f>
        <v>September-2016</v>
      </c>
      <c r="D144" s="79" t="str">
        <f>NJ_prices!D132</f>
        <v>NJ</v>
      </c>
      <c r="E144" s="80" t="str">
        <f>NJ_prices!E132</f>
        <v>JCPL</v>
      </c>
      <c r="F144" s="79" t="str">
        <f>NJ_prices!F132</f>
        <v>GSCM</v>
      </c>
      <c r="G144" s="80" t="str">
        <f>NJ_prices!G132</f>
        <v>General Service Medium</v>
      </c>
      <c r="H144" s="81" t="str">
        <f t="shared" ref="H144" si="127">IF($M$2="Prices in $/MWh","100-500 MWh","100,000-500,000 kWh")</f>
        <v>100-500 MWh</v>
      </c>
      <c r="I144" s="80">
        <f>(NJ_prices!I132+$D$2)*IF($M$2="Prices in $/MWh",1,1/1000)</f>
        <v>88.35</v>
      </c>
      <c r="J144" s="79">
        <f>(NJ_prices!J132+$D$2)*IF($M$2="Prices in $/MWh",1,1/1000)</f>
        <v>89.6</v>
      </c>
      <c r="K144" s="80">
        <f>(NJ_prices!K132+$D$2)*IF($M$2="Prices in $/MWh",1,1/1000)</f>
        <v>89.09</v>
      </c>
      <c r="L144" s="79">
        <f>(NJ_prices!L132+$D$2)*IF($M$2="Prices in $/MWh",1,1/1000)</f>
        <v>41.64</v>
      </c>
      <c r="M144" s="80">
        <f>(NJ_prices!M132+$D$2)*IF($M$2="Prices in $/MWh",1,1/1000)</f>
        <v>42.7</v>
      </c>
      <c r="N144" s="79">
        <f>(NJ_prices!N132+$D$2)*IF($M$2="Prices in $/MWh",1,1/1000)</f>
        <v>42.64</v>
      </c>
      <c r="O144" s="61"/>
    </row>
    <row r="145" spans="2:15" x14ac:dyDescent="0.25">
      <c r="B145" s="57"/>
      <c r="C145" s="82" t="str">
        <f>NJ_prices!C133</f>
        <v>September-2016</v>
      </c>
      <c r="D145" s="83" t="str">
        <f>NJ_prices!D133</f>
        <v>NJ</v>
      </c>
      <c r="E145" s="84" t="str">
        <f>NJ_prices!E133</f>
        <v>JCPL</v>
      </c>
      <c r="F145" s="83" t="str">
        <f>NJ_prices!F133</f>
        <v>GSCM</v>
      </c>
      <c r="G145" s="84" t="str">
        <f>NJ_prices!G133</f>
        <v>General Service Medium</v>
      </c>
      <c r="H145" s="85" t="str">
        <f t="shared" ref="H145" si="128">IF($M$2="Prices in $/MWh","500-2500 MWh","500,000-2,500,000 kWh")</f>
        <v>500-2500 MWh</v>
      </c>
      <c r="I145" s="84">
        <f>(NJ_prices!I133+$D$2)*IF($M$2="Prices in $/MWh",1,1/1000)</f>
        <v>87.23</v>
      </c>
      <c r="J145" s="83">
        <f>(NJ_prices!J133+$D$2)*IF($M$2="Prices in $/MWh",1,1/1000)</f>
        <v>88.47</v>
      </c>
      <c r="K145" s="84">
        <f>(NJ_prices!K133+$D$2)*IF($M$2="Prices in $/MWh",1,1/1000)</f>
        <v>87.97</v>
      </c>
      <c r="L145" s="83">
        <f>(NJ_prices!L133+$D$2)*IF($M$2="Prices in $/MWh",1,1/1000)</f>
        <v>40.51</v>
      </c>
      <c r="M145" s="84">
        <f>(NJ_prices!M133+$D$2)*IF($M$2="Prices in $/MWh",1,1/1000)</f>
        <v>41.57</v>
      </c>
      <c r="N145" s="83">
        <f>(NJ_prices!N133+$D$2)*IF($M$2="Prices in $/MWh",1,1/1000)</f>
        <v>41.51</v>
      </c>
      <c r="O145" s="61"/>
    </row>
    <row r="146" spans="2:15" x14ac:dyDescent="0.25">
      <c r="B146" s="57"/>
      <c r="C146" s="74" t="str">
        <f>NJ_prices!C134</f>
        <v>October-2016</v>
      </c>
      <c r="D146" s="75" t="str">
        <f>NJ_prices!D134</f>
        <v>NJ</v>
      </c>
      <c r="E146" s="76" t="str">
        <f>NJ_prices!E134</f>
        <v>JCPL</v>
      </c>
      <c r="F146" s="75" t="str">
        <f>NJ_prices!F134</f>
        <v>GSCM</v>
      </c>
      <c r="G146" s="76" t="str">
        <f>NJ_prices!G134</f>
        <v>General Service Medium</v>
      </c>
      <c r="H146" s="77" t="str">
        <f t="shared" ref="H146" si="129">IF($M$2="Prices in $/MWh","0-100 MWh","0-100,000 kWh")</f>
        <v>0-100 MWh</v>
      </c>
      <c r="I146" s="76">
        <f>(NJ_prices!I134+$D$2)*IF($M$2="Prices in $/MWh",1,1/1000)</f>
        <v>90.08</v>
      </c>
      <c r="J146" s="75">
        <f>(NJ_prices!J134+$D$2)*IF($M$2="Prices in $/MWh",1,1/1000)</f>
        <v>91.21</v>
      </c>
      <c r="K146" s="76">
        <f>(NJ_prices!K134+$D$2)*IF($M$2="Prices in $/MWh",1,1/1000)</f>
        <v>91.11</v>
      </c>
      <c r="L146" s="75">
        <f>(NJ_prices!L134+$D$2)*IF($M$2="Prices in $/MWh",1,1/1000)</f>
        <v>43.5</v>
      </c>
      <c r="M146" s="76">
        <f>(NJ_prices!M134+$D$2)*IF($M$2="Prices in $/MWh",1,1/1000)</f>
        <v>44.33</v>
      </c>
      <c r="N146" s="75">
        <f>(NJ_prices!N134+$D$2)*IF($M$2="Prices in $/MWh",1,1/1000)</f>
        <v>44.81</v>
      </c>
      <c r="O146" s="61"/>
    </row>
    <row r="147" spans="2:15" x14ac:dyDescent="0.25">
      <c r="B147" s="57"/>
      <c r="C147" s="78" t="str">
        <f>NJ_prices!C135</f>
        <v>October-2016</v>
      </c>
      <c r="D147" s="79" t="str">
        <f>NJ_prices!D135</f>
        <v>NJ</v>
      </c>
      <c r="E147" s="80" t="str">
        <f>NJ_prices!E135</f>
        <v>JCPL</v>
      </c>
      <c r="F147" s="79" t="str">
        <f>NJ_prices!F135</f>
        <v>GSCM</v>
      </c>
      <c r="G147" s="80" t="str">
        <f>NJ_prices!G135</f>
        <v>General Service Medium</v>
      </c>
      <c r="H147" s="81" t="str">
        <f t="shared" ref="H147" si="130">IF($M$2="Prices in $/MWh","100-500 MWh","100,000-500,000 kWh")</f>
        <v>100-500 MWh</v>
      </c>
      <c r="I147" s="80">
        <f>(NJ_prices!I135+$D$2)*IF($M$2="Prices in $/MWh",1,1/1000)</f>
        <v>88.36</v>
      </c>
      <c r="J147" s="79">
        <f>(NJ_prices!J135+$D$2)*IF($M$2="Prices in $/MWh",1,1/1000)</f>
        <v>89.5</v>
      </c>
      <c r="K147" s="80">
        <f>(NJ_prices!K135+$D$2)*IF($M$2="Prices in $/MWh",1,1/1000)</f>
        <v>89.39</v>
      </c>
      <c r="L147" s="79">
        <f>(NJ_prices!L135+$D$2)*IF($M$2="Prices in $/MWh",1,1/1000)</f>
        <v>41.79</v>
      </c>
      <c r="M147" s="80">
        <f>(NJ_prices!M135+$D$2)*IF($M$2="Prices in $/MWh",1,1/1000)</f>
        <v>42.62</v>
      </c>
      <c r="N147" s="79">
        <f>(NJ_prices!N135+$D$2)*IF($M$2="Prices in $/MWh",1,1/1000)</f>
        <v>43.1</v>
      </c>
      <c r="O147" s="61"/>
    </row>
    <row r="148" spans="2:15" x14ac:dyDescent="0.25">
      <c r="B148" s="57"/>
      <c r="C148" s="82" t="str">
        <f>NJ_prices!C136</f>
        <v>October-2016</v>
      </c>
      <c r="D148" s="83" t="str">
        <f>NJ_prices!D136</f>
        <v>NJ</v>
      </c>
      <c r="E148" s="84" t="str">
        <f>NJ_prices!E136</f>
        <v>JCPL</v>
      </c>
      <c r="F148" s="83" t="str">
        <f>NJ_prices!F136</f>
        <v>GSCM</v>
      </c>
      <c r="G148" s="84" t="str">
        <f>NJ_prices!G136</f>
        <v>General Service Medium</v>
      </c>
      <c r="H148" s="85" t="str">
        <f t="shared" ref="H148" si="131">IF($M$2="Prices in $/MWh","500-2500 MWh","500,000-2,500,000 kWh")</f>
        <v>500-2500 MWh</v>
      </c>
      <c r="I148" s="84">
        <f>(NJ_prices!I136+$D$2)*IF($M$2="Prices in $/MWh",1,1/1000)</f>
        <v>87.24</v>
      </c>
      <c r="J148" s="83">
        <f>(NJ_prices!J136+$D$2)*IF($M$2="Prices in $/MWh",1,1/1000)</f>
        <v>88.38</v>
      </c>
      <c r="K148" s="84">
        <f>(NJ_prices!K136+$D$2)*IF($M$2="Prices in $/MWh",1,1/1000)</f>
        <v>88.27</v>
      </c>
      <c r="L148" s="83">
        <f>(NJ_prices!L136+$D$2)*IF($M$2="Prices in $/MWh",1,1/1000)</f>
        <v>40.659999999999997</v>
      </c>
      <c r="M148" s="84">
        <f>(NJ_prices!M136+$D$2)*IF($M$2="Prices in $/MWh",1,1/1000)</f>
        <v>41.49</v>
      </c>
      <c r="N148" s="83">
        <f>(NJ_prices!N136+$D$2)*IF($M$2="Prices in $/MWh",1,1/1000)</f>
        <v>41.97</v>
      </c>
      <c r="O148" s="61"/>
    </row>
    <row r="149" spans="2:15" x14ac:dyDescent="0.25">
      <c r="B149" s="57"/>
      <c r="C149" s="74" t="str">
        <f>NJ_prices!C137</f>
        <v>November-2016</v>
      </c>
      <c r="D149" s="75" t="str">
        <f>NJ_prices!D137</f>
        <v>NJ</v>
      </c>
      <c r="E149" s="76" t="str">
        <f>NJ_prices!E137</f>
        <v>JCPL</v>
      </c>
      <c r="F149" s="75" t="str">
        <f>NJ_prices!F137</f>
        <v>GSCM</v>
      </c>
      <c r="G149" s="76" t="str">
        <f>NJ_prices!G137</f>
        <v>General Service Medium</v>
      </c>
      <c r="H149" s="77" t="str">
        <f t="shared" ref="H149" si="132">IF($M$2="Prices in $/MWh","0-100 MWh","0-100,000 kWh")</f>
        <v>0-100 MWh</v>
      </c>
      <c r="I149" s="76">
        <f>(NJ_prices!I137+$D$2)*IF($M$2="Prices in $/MWh",1,1/1000)</f>
        <v>90.13</v>
      </c>
      <c r="J149" s="75">
        <f>(NJ_prices!J137+$D$2)*IF($M$2="Prices in $/MWh",1,1/1000)</f>
        <v>90.6</v>
      </c>
      <c r="K149" s="76">
        <f>(NJ_prices!K137+$D$2)*IF($M$2="Prices in $/MWh",1,1/1000)</f>
        <v>91.46</v>
      </c>
      <c r="L149" s="75">
        <f>(NJ_prices!L137+$D$2)*IF($M$2="Prices in $/MWh",1,1/1000)</f>
        <v>43.61</v>
      </c>
      <c r="M149" s="76">
        <f>(NJ_prices!M137+$D$2)*IF($M$2="Prices in $/MWh",1,1/1000)</f>
        <v>43.78</v>
      </c>
      <c r="N149" s="75">
        <f>(NJ_prices!N137+$D$2)*IF($M$2="Prices in $/MWh",1,1/1000)</f>
        <v>45.29</v>
      </c>
      <c r="O149" s="61"/>
    </row>
    <row r="150" spans="2:15" x14ac:dyDescent="0.25">
      <c r="B150" s="57"/>
      <c r="C150" s="78" t="str">
        <f>NJ_prices!C138</f>
        <v>November-2016</v>
      </c>
      <c r="D150" s="79" t="str">
        <f>NJ_prices!D138</f>
        <v>NJ</v>
      </c>
      <c r="E150" s="80" t="str">
        <f>NJ_prices!E138</f>
        <v>JCPL</v>
      </c>
      <c r="F150" s="79" t="str">
        <f>NJ_prices!F138</f>
        <v>GSCM</v>
      </c>
      <c r="G150" s="80" t="str">
        <f>NJ_prices!G138</f>
        <v>General Service Medium</v>
      </c>
      <c r="H150" s="81" t="str">
        <f t="shared" ref="H150" si="133">IF($M$2="Prices in $/MWh","100-500 MWh","100,000-500,000 kWh")</f>
        <v>100-500 MWh</v>
      </c>
      <c r="I150" s="80">
        <f>(NJ_prices!I138+$D$2)*IF($M$2="Prices in $/MWh",1,1/1000)</f>
        <v>88.41</v>
      </c>
      <c r="J150" s="79">
        <f>(NJ_prices!J138+$D$2)*IF($M$2="Prices in $/MWh",1,1/1000)</f>
        <v>88.89</v>
      </c>
      <c r="K150" s="80">
        <f>(NJ_prices!K138+$D$2)*IF($M$2="Prices in $/MWh",1,1/1000)</f>
        <v>89.75</v>
      </c>
      <c r="L150" s="79">
        <f>(NJ_prices!L138+$D$2)*IF($M$2="Prices in $/MWh",1,1/1000)</f>
        <v>41.9</v>
      </c>
      <c r="M150" s="80">
        <f>(NJ_prices!M138+$D$2)*IF($M$2="Prices in $/MWh",1,1/1000)</f>
        <v>42.07</v>
      </c>
      <c r="N150" s="79">
        <f>(NJ_prices!N138+$D$2)*IF($M$2="Prices in $/MWh",1,1/1000)</f>
        <v>43.58</v>
      </c>
      <c r="O150" s="61"/>
    </row>
    <row r="151" spans="2:15" x14ac:dyDescent="0.25">
      <c r="B151" s="57"/>
      <c r="C151" s="82" t="str">
        <f>NJ_prices!C139</f>
        <v>November-2016</v>
      </c>
      <c r="D151" s="83" t="str">
        <f>NJ_prices!D139</f>
        <v>NJ</v>
      </c>
      <c r="E151" s="84" t="str">
        <f>NJ_prices!E139</f>
        <v>JCPL</v>
      </c>
      <c r="F151" s="83" t="str">
        <f>NJ_prices!F139</f>
        <v>GSCM</v>
      </c>
      <c r="G151" s="84" t="str">
        <f>NJ_prices!G139</f>
        <v>General Service Medium</v>
      </c>
      <c r="H151" s="85" t="str">
        <f t="shared" ref="H151" si="134">IF($M$2="Prices in $/MWh","500-2500 MWh","500,000-2,500,000 kWh")</f>
        <v>500-2500 MWh</v>
      </c>
      <c r="I151" s="84">
        <f>(NJ_prices!I139+$D$2)*IF($M$2="Prices in $/MWh",1,1/1000)</f>
        <v>87.29</v>
      </c>
      <c r="J151" s="83">
        <f>(NJ_prices!J139+$D$2)*IF($M$2="Prices in $/MWh",1,1/1000)</f>
        <v>87.76</v>
      </c>
      <c r="K151" s="84">
        <f>(NJ_prices!K139+$D$2)*IF($M$2="Prices in $/MWh",1,1/1000)</f>
        <v>88.63</v>
      </c>
      <c r="L151" s="83">
        <f>(NJ_prices!L139+$D$2)*IF($M$2="Prices in $/MWh",1,1/1000)</f>
        <v>40.770000000000003</v>
      </c>
      <c r="M151" s="84">
        <f>(NJ_prices!M139+$D$2)*IF($M$2="Prices in $/MWh",1,1/1000)</f>
        <v>40.950000000000003</v>
      </c>
      <c r="N151" s="83">
        <f>(NJ_prices!N139+$D$2)*IF($M$2="Prices in $/MWh",1,1/1000)</f>
        <v>42.45</v>
      </c>
      <c r="O151" s="61"/>
    </row>
    <row r="152" spans="2:15" x14ac:dyDescent="0.25">
      <c r="B152" s="57"/>
      <c r="C152" s="74" t="str">
        <f>NJ_prices!C140</f>
        <v>December-2016</v>
      </c>
      <c r="D152" s="75" t="str">
        <f>NJ_prices!D140</f>
        <v>NJ</v>
      </c>
      <c r="E152" s="76" t="str">
        <f>NJ_prices!E140</f>
        <v>JCPL</v>
      </c>
      <c r="F152" s="75" t="str">
        <f>NJ_prices!F140</f>
        <v>GSCM</v>
      </c>
      <c r="G152" s="76" t="str">
        <f>NJ_prices!G140</f>
        <v>General Service Medium</v>
      </c>
      <c r="H152" s="77" t="str">
        <f t="shared" ref="H152" si="135">IF($M$2="Prices in $/MWh","0-100 MWh","0-100,000 kWh")</f>
        <v>0-100 MWh</v>
      </c>
      <c r="I152" s="76">
        <f>(NJ_prices!I140+$D$2)*IF($M$2="Prices in $/MWh",1,1/1000)</f>
        <v>90.06</v>
      </c>
      <c r="J152" s="75">
        <f>(NJ_prices!J140+$D$2)*IF($M$2="Prices in $/MWh",1,1/1000)</f>
        <v>89.8</v>
      </c>
      <c r="K152" s="76">
        <f>(NJ_prices!K140+$D$2)*IF($M$2="Prices in $/MWh",1,1/1000)</f>
        <v>91.71</v>
      </c>
      <c r="L152" s="75">
        <f>(NJ_prices!L140+$D$2)*IF($M$2="Prices in $/MWh",1,1/1000)</f>
        <v>43.73</v>
      </c>
      <c r="M152" s="76">
        <f>(NJ_prices!M140+$D$2)*IF($M$2="Prices in $/MWh",1,1/1000)</f>
        <v>43.02</v>
      </c>
      <c r="N152" s="75">
        <f>(NJ_prices!N140+$D$2)*IF($M$2="Prices in $/MWh",1,1/1000)</f>
        <v>45.68</v>
      </c>
      <c r="O152" s="61"/>
    </row>
    <row r="153" spans="2:15" x14ac:dyDescent="0.25">
      <c r="B153" s="57"/>
      <c r="C153" s="78" t="str">
        <f>NJ_prices!C141</f>
        <v>December-2016</v>
      </c>
      <c r="D153" s="79" t="str">
        <f>NJ_prices!D141</f>
        <v>NJ</v>
      </c>
      <c r="E153" s="80" t="str">
        <f>NJ_prices!E141</f>
        <v>JCPL</v>
      </c>
      <c r="F153" s="79" t="str">
        <f>NJ_prices!F141</f>
        <v>GSCM</v>
      </c>
      <c r="G153" s="80" t="str">
        <f>NJ_prices!G141</f>
        <v>General Service Medium</v>
      </c>
      <c r="H153" s="81" t="str">
        <f t="shared" ref="H153" si="136">IF($M$2="Prices in $/MWh","100-500 MWh","100,000-500,000 kWh")</f>
        <v>100-500 MWh</v>
      </c>
      <c r="I153" s="80">
        <f>(NJ_prices!I141+$D$2)*IF($M$2="Prices in $/MWh",1,1/1000)</f>
        <v>88.35</v>
      </c>
      <c r="J153" s="79">
        <f>(NJ_prices!J141+$D$2)*IF($M$2="Prices in $/MWh",1,1/1000)</f>
        <v>88.08</v>
      </c>
      <c r="K153" s="80">
        <f>(NJ_prices!K141+$D$2)*IF($M$2="Prices in $/MWh",1,1/1000)</f>
        <v>90</v>
      </c>
      <c r="L153" s="79">
        <f>(NJ_prices!L141+$D$2)*IF($M$2="Prices in $/MWh",1,1/1000)</f>
        <v>42.02</v>
      </c>
      <c r="M153" s="80">
        <f>(NJ_prices!M141+$D$2)*IF($M$2="Prices in $/MWh",1,1/1000)</f>
        <v>41.31</v>
      </c>
      <c r="N153" s="79">
        <f>(NJ_prices!N141+$D$2)*IF($M$2="Prices in $/MWh",1,1/1000)</f>
        <v>43.97</v>
      </c>
      <c r="O153" s="61"/>
    </row>
    <row r="154" spans="2:15" x14ac:dyDescent="0.25">
      <c r="B154" s="57"/>
      <c r="C154" s="82" t="str">
        <f>NJ_prices!C142</f>
        <v>December-2016</v>
      </c>
      <c r="D154" s="83" t="str">
        <f>NJ_prices!D142</f>
        <v>NJ</v>
      </c>
      <c r="E154" s="84" t="str">
        <f>NJ_prices!E142</f>
        <v>JCPL</v>
      </c>
      <c r="F154" s="83" t="str">
        <f>NJ_prices!F142</f>
        <v>GSCM</v>
      </c>
      <c r="G154" s="84" t="str">
        <f>NJ_prices!G142</f>
        <v>General Service Medium</v>
      </c>
      <c r="H154" s="85" t="str">
        <f t="shared" ref="H154" si="137">IF($M$2="Prices in $/MWh","500-2500 MWh","500,000-2,500,000 kWh")</f>
        <v>500-2500 MWh</v>
      </c>
      <c r="I154" s="84">
        <f>(NJ_prices!I142+$D$2)*IF($M$2="Prices in $/MWh",1,1/1000)</f>
        <v>87.22</v>
      </c>
      <c r="J154" s="83">
        <f>(NJ_prices!J142+$D$2)*IF($M$2="Prices in $/MWh",1,1/1000)</f>
        <v>86.96</v>
      </c>
      <c r="K154" s="84">
        <f>(NJ_prices!K142+$D$2)*IF($M$2="Prices in $/MWh",1,1/1000)</f>
        <v>88.88</v>
      </c>
      <c r="L154" s="83">
        <f>(NJ_prices!L142+$D$2)*IF($M$2="Prices in $/MWh",1,1/1000)</f>
        <v>40.89</v>
      </c>
      <c r="M154" s="84">
        <f>(NJ_prices!M142+$D$2)*IF($M$2="Prices in $/MWh",1,1/1000)</f>
        <v>40.18</v>
      </c>
      <c r="N154" s="83">
        <f>(NJ_prices!N142+$D$2)*IF($M$2="Prices in $/MWh",1,1/1000)</f>
        <v>42.84</v>
      </c>
      <c r="O154" s="61"/>
    </row>
    <row r="155" spans="2:15" x14ac:dyDescent="0.25">
      <c r="B155" s="57"/>
      <c r="C155" s="74" t="str">
        <f>NJ_prices!C143</f>
        <v>January-2017</v>
      </c>
      <c r="D155" s="75" t="str">
        <f>NJ_prices!D143</f>
        <v>NJ</v>
      </c>
      <c r="E155" s="76" t="str">
        <f>NJ_prices!E143</f>
        <v>JCPL</v>
      </c>
      <c r="F155" s="75" t="str">
        <f>NJ_prices!F143</f>
        <v>GSCM</v>
      </c>
      <c r="G155" s="76" t="str">
        <f>NJ_prices!G143</f>
        <v>General Service Medium</v>
      </c>
      <c r="H155" s="77" t="str">
        <f t="shared" ref="H155" si="138">IF($M$2="Prices in $/MWh","0-100 MWh","0-100,000 kWh")</f>
        <v>0-100 MWh</v>
      </c>
      <c r="I155" s="76">
        <f>(NJ_prices!I143+$D$2)*IF($M$2="Prices in $/MWh",1,1/1000)</f>
        <v>89.98</v>
      </c>
      <c r="J155" s="75">
        <f>(NJ_prices!J143+$D$2)*IF($M$2="Prices in $/MWh",1,1/1000)</f>
        <v>90.33</v>
      </c>
      <c r="K155" s="76">
        <f>(NJ_prices!K143+$D$2)*IF($M$2="Prices in $/MWh",1,1/1000)</f>
        <v>91.97</v>
      </c>
      <c r="L155" s="75">
        <f>(NJ_prices!L143+$D$2)*IF($M$2="Prices in $/MWh",1,1/1000)</f>
        <v>43.87</v>
      </c>
      <c r="M155" s="76">
        <f>(NJ_prices!M143+$D$2)*IF($M$2="Prices in $/MWh",1,1/1000)</f>
        <v>43.38</v>
      </c>
      <c r="N155" s="75">
        <f>(NJ_prices!N143+$D$2)*IF($M$2="Prices in $/MWh",1,1/1000)</f>
        <v>46.02</v>
      </c>
      <c r="O155" s="61"/>
    </row>
    <row r="156" spans="2:15" x14ac:dyDescent="0.25">
      <c r="B156" s="57"/>
      <c r="C156" s="78" t="str">
        <f>NJ_prices!C144</f>
        <v>January-2017</v>
      </c>
      <c r="D156" s="79" t="str">
        <f>NJ_prices!D144</f>
        <v>NJ</v>
      </c>
      <c r="E156" s="80" t="str">
        <f>NJ_prices!E144</f>
        <v>JCPL</v>
      </c>
      <c r="F156" s="79" t="str">
        <f>NJ_prices!F144</f>
        <v>GSCM</v>
      </c>
      <c r="G156" s="80" t="str">
        <f>NJ_prices!G144</f>
        <v>General Service Medium</v>
      </c>
      <c r="H156" s="81" t="str">
        <f t="shared" ref="H156" si="139">IF($M$2="Prices in $/MWh","100-500 MWh","100,000-500,000 kWh")</f>
        <v>100-500 MWh</v>
      </c>
      <c r="I156" s="80">
        <f>(NJ_prices!I144+$D$2)*IF($M$2="Prices in $/MWh",1,1/1000)</f>
        <v>88.27</v>
      </c>
      <c r="J156" s="79">
        <f>(NJ_prices!J144+$D$2)*IF($M$2="Prices in $/MWh",1,1/1000)</f>
        <v>88.62</v>
      </c>
      <c r="K156" s="80">
        <f>(NJ_prices!K144+$D$2)*IF($M$2="Prices in $/MWh",1,1/1000)</f>
        <v>90.26</v>
      </c>
      <c r="L156" s="79">
        <f>(NJ_prices!L144+$D$2)*IF($M$2="Prices in $/MWh",1,1/1000)</f>
        <v>42.16</v>
      </c>
      <c r="M156" s="80">
        <f>(NJ_prices!M144+$D$2)*IF($M$2="Prices in $/MWh",1,1/1000)</f>
        <v>41.67</v>
      </c>
      <c r="N156" s="79">
        <f>(NJ_prices!N144+$D$2)*IF($M$2="Prices in $/MWh",1,1/1000)</f>
        <v>44.31</v>
      </c>
      <c r="O156" s="61"/>
    </row>
    <row r="157" spans="2:15" x14ac:dyDescent="0.25">
      <c r="B157" s="57"/>
      <c r="C157" s="82" t="str">
        <f>NJ_prices!C145</f>
        <v>January-2017</v>
      </c>
      <c r="D157" s="83" t="str">
        <f>NJ_prices!D145</f>
        <v>NJ</v>
      </c>
      <c r="E157" s="84" t="str">
        <f>NJ_prices!E145</f>
        <v>JCPL</v>
      </c>
      <c r="F157" s="83" t="str">
        <f>NJ_prices!F145</f>
        <v>GSCM</v>
      </c>
      <c r="G157" s="84" t="str">
        <f>NJ_prices!G145</f>
        <v>General Service Medium</v>
      </c>
      <c r="H157" s="85" t="str">
        <f t="shared" ref="H157" si="140">IF($M$2="Prices in $/MWh","500-2500 MWh","500,000-2,500,000 kWh")</f>
        <v>500-2500 MWh</v>
      </c>
      <c r="I157" s="84">
        <f>(NJ_prices!I145+$D$2)*IF($M$2="Prices in $/MWh",1,1/1000)</f>
        <v>87.14</v>
      </c>
      <c r="J157" s="83">
        <f>(NJ_prices!J145+$D$2)*IF($M$2="Prices in $/MWh",1,1/1000)</f>
        <v>87.49</v>
      </c>
      <c r="K157" s="84">
        <f>(NJ_prices!K145+$D$2)*IF($M$2="Prices in $/MWh",1,1/1000)</f>
        <v>89.13</v>
      </c>
      <c r="L157" s="83">
        <f>(NJ_prices!L145+$D$2)*IF($M$2="Prices in $/MWh",1,1/1000)</f>
        <v>41.03</v>
      </c>
      <c r="M157" s="84">
        <f>(NJ_prices!M145+$D$2)*IF($M$2="Prices in $/MWh",1,1/1000)</f>
        <v>40.54</v>
      </c>
      <c r="N157" s="83">
        <f>(NJ_prices!N145+$D$2)*IF($M$2="Prices in $/MWh",1,1/1000)</f>
        <v>43.18</v>
      </c>
      <c r="O157" s="61"/>
    </row>
    <row r="158" spans="2:15" x14ac:dyDescent="0.25">
      <c r="B158" s="57"/>
      <c r="C158" s="74" t="str">
        <f>NJ_prices!C146</f>
        <v>February-2016</v>
      </c>
      <c r="D158" s="75" t="str">
        <f>NJ_prices!D146</f>
        <v>NJ</v>
      </c>
      <c r="E158" s="76" t="str">
        <f>NJ_prices!E146</f>
        <v>JCPL</v>
      </c>
      <c r="F158" s="75" t="str">
        <f>NJ_prices!F146</f>
        <v>GSCS</v>
      </c>
      <c r="G158" s="76" t="str">
        <f>NJ_prices!G146</f>
        <v>General Service Medium</v>
      </c>
      <c r="H158" s="77" t="str">
        <f t="shared" ref="H158" si="141">IF($M$2="Prices in $/MWh","0-100 MWh","0-100,000 kWh")</f>
        <v>0-100 MWh</v>
      </c>
      <c r="I158" s="76">
        <f>(NJ_prices!I146+$D$2)*IF($M$2="Prices in $/MWh",1,1/1000)</f>
        <v>86.77</v>
      </c>
      <c r="J158" s="75">
        <f>(NJ_prices!J146+$D$2)*IF($M$2="Prices in $/MWh",1,1/1000)</f>
        <v>87.87</v>
      </c>
      <c r="K158" s="76">
        <f>(NJ_prices!K146+$D$2)*IF($M$2="Prices in $/MWh",1,1/1000)</f>
        <v>87.53</v>
      </c>
      <c r="L158" s="75">
        <f>(NJ_prices!L146+$D$2)*IF($M$2="Prices in $/MWh",1,1/1000)</f>
        <v>41.91</v>
      </c>
      <c r="M158" s="76">
        <f>(NJ_prices!M146+$D$2)*IF($M$2="Prices in $/MWh",1,1/1000)</f>
        <v>42.95</v>
      </c>
      <c r="N158" s="75">
        <f>(NJ_prices!N146+$D$2)*IF($M$2="Prices in $/MWh",1,1/1000)</f>
        <v>43.03</v>
      </c>
      <c r="O158" s="61"/>
    </row>
    <row r="159" spans="2:15" x14ac:dyDescent="0.25">
      <c r="B159" s="57"/>
      <c r="C159" s="78" t="str">
        <f>NJ_prices!C147</f>
        <v>February-2016</v>
      </c>
      <c r="D159" s="79" t="str">
        <f>NJ_prices!D147</f>
        <v>NJ</v>
      </c>
      <c r="E159" s="80" t="str">
        <f>NJ_prices!E147</f>
        <v>JCPL</v>
      </c>
      <c r="F159" s="79" t="str">
        <f>NJ_prices!F147</f>
        <v>GSCS</v>
      </c>
      <c r="G159" s="80" t="str">
        <f>NJ_prices!G147</f>
        <v>General Service Medium</v>
      </c>
      <c r="H159" s="81" t="str">
        <f t="shared" ref="H159" si="142">IF($M$2="Prices in $/MWh","100-500 MWh","100,000-500,000 kWh")</f>
        <v>100-500 MWh</v>
      </c>
      <c r="I159" s="80">
        <f>(NJ_prices!I147+$D$2)*IF($M$2="Prices in $/MWh",1,1/1000)</f>
        <v>85.06</v>
      </c>
      <c r="J159" s="79">
        <f>(NJ_prices!J147+$D$2)*IF($M$2="Prices in $/MWh",1,1/1000)</f>
        <v>86.16</v>
      </c>
      <c r="K159" s="80">
        <f>(NJ_prices!K147+$D$2)*IF($M$2="Prices in $/MWh",1,1/1000)</f>
        <v>85.82</v>
      </c>
      <c r="L159" s="79">
        <f>(NJ_prices!L147+$D$2)*IF($M$2="Prices in $/MWh",1,1/1000)</f>
        <v>40.200000000000003</v>
      </c>
      <c r="M159" s="80">
        <f>(NJ_prices!M147+$D$2)*IF($M$2="Prices in $/MWh",1,1/1000)</f>
        <v>41.24</v>
      </c>
      <c r="N159" s="79">
        <f>(NJ_prices!N147+$D$2)*IF($M$2="Prices in $/MWh",1,1/1000)</f>
        <v>41.32</v>
      </c>
      <c r="O159" s="61"/>
    </row>
    <row r="160" spans="2:15" x14ac:dyDescent="0.25">
      <c r="B160" s="57"/>
      <c r="C160" s="82" t="str">
        <f>NJ_prices!C148</f>
        <v>February-2016</v>
      </c>
      <c r="D160" s="83" t="str">
        <f>NJ_prices!D148</f>
        <v>NJ</v>
      </c>
      <c r="E160" s="84" t="str">
        <f>NJ_prices!E148</f>
        <v>JCPL</v>
      </c>
      <c r="F160" s="83" t="str">
        <f>NJ_prices!F148</f>
        <v>GSCS</v>
      </c>
      <c r="G160" s="84" t="str">
        <f>NJ_prices!G148</f>
        <v>General Service Medium</v>
      </c>
      <c r="H160" s="85" t="str">
        <f t="shared" ref="H160" si="143">IF($M$2="Prices in $/MWh","500-2500 MWh","500,000-2,500,000 kWh")</f>
        <v>500-2500 MWh</v>
      </c>
      <c r="I160" s="84">
        <f>(NJ_prices!I148+$D$2)*IF($M$2="Prices in $/MWh",1,1/1000)</f>
        <v>83.94</v>
      </c>
      <c r="J160" s="83">
        <f>(NJ_prices!J148+$D$2)*IF($M$2="Prices in $/MWh",1,1/1000)</f>
        <v>85.04</v>
      </c>
      <c r="K160" s="84">
        <f>(NJ_prices!K148+$D$2)*IF($M$2="Prices in $/MWh",1,1/1000)</f>
        <v>84.69</v>
      </c>
      <c r="L160" s="83">
        <f>(NJ_prices!L148+$D$2)*IF($M$2="Prices in $/MWh",1,1/1000)</f>
        <v>39.07</v>
      </c>
      <c r="M160" s="84">
        <f>(NJ_prices!M148+$D$2)*IF($M$2="Prices in $/MWh",1,1/1000)</f>
        <v>40.11</v>
      </c>
      <c r="N160" s="83">
        <f>(NJ_prices!N148+$D$2)*IF($M$2="Prices in $/MWh",1,1/1000)</f>
        <v>40.200000000000003</v>
      </c>
      <c r="O160" s="61"/>
    </row>
    <row r="161" spans="2:15" x14ac:dyDescent="0.25">
      <c r="B161" s="57"/>
      <c r="C161" s="74" t="str">
        <f>NJ_prices!C149</f>
        <v>March-2016</v>
      </c>
      <c r="D161" s="75" t="str">
        <f>NJ_prices!D149</f>
        <v>NJ</v>
      </c>
      <c r="E161" s="76" t="str">
        <f>NJ_prices!E149</f>
        <v>JCPL</v>
      </c>
      <c r="F161" s="75" t="str">
        <f>NJ_prices!F149</f>
        <v>GSCS</v>
      </c>
      <c r="G161" s="76" t="str">
        <f>NJ_prices!G149</f>
        <v>General Service Medium</v>
      </c>
      <c r="H161" s="77" t="str">
        <f t="shared" ref="H161" si="144">IF($M$2="Prices in $/MWh","0-100 MWh","0-100,000 kWh")</f>
        <v>0-100 MWh</v>
      </c>
      <c r="I161" s="76">
        <f>(NJ_prices!I149+$D$2)*IF($M$2="Prices in $/MWh",1,1/1000)</f>
        <v>87.39</v>
      </c>
      <c r="J161" s="75">
        <f>(NJ_prices!J149+$D$2)*IF($M$2="Prices in $/MWh",1,1/1000)</f>
        <v>87.42</v>
      </c>
      <c r="K161" s="76">
        <f>(NJ_prices!K149+$D$2)*IF($M$2="Prices in $/MWh",1,1/1000)</f>
        <v>87.89</v>
      </c>
      <c r="L161" s="75">
        <f>(NJ_prices!L149+$D$2)*IF($M$2="Prices in $/MWh",1,1/1000)</f>
        <v>41.96</v>
      </c>
      <c r="M161" s="76">
        <f>(NJ_prices!M149+$D$2)*IF($M$2="Prices in $/MWh",1,1/1000)</f>
        <v>42.54</v>
      </c>
      <c r="N161" s="75">
        <f>(NJ_prices!N149+$D$2)*IF($M$2="Prices in $/MWh",1,1/1000)</f>
        <v>43.06</v>
      </c>
      <c r="O161" s="61"/>
    </row>
    <row r="162" spans="2:15" x14ac:dyDescent="0.25">
      <c r="B162" s="57"/>
      <c r="C162" s="78" t="str">
        <f>NJ_prices!C150</f>
        <v>March-2016</v>
      </c>
      <c r="D162" s="79" t="str">
        <f>NJ_prices!D150</f>
        <v>NJ</v>
      </c>
      <c r="E162" s="80" t="str">
        <f>NJ_prices!E150</f>
        <v>JCPL</v>
      </c>
      <c r="F162" s="79" t="str">
        <f>NJ_prices!F150</f>
        <v>GSCS</v>
      </c>
      <c r="G162" s="80" t="str">
        <f>NJ_prices!G150</f>
        <v>General Service Medium</v>
      </c>
      <c r="H162" s="81" t="str">
        <f t="shared" ref="H162" si="145">IF($M$2="Prices in $/MWh","100-500 MWh","100,000-500,000 kWh")</f>
        <v>100-500 MWh</v>
      </c>
      <c r="I162" s="80">
        <f>(NJ_prices!I150+$D$2)*IF($M$2="Prices in $/MWh",1,1/1000)</f>
        <v>85.68</v>
      </c>
      <c r="J162" s="79">
        <f>(NJ_prices!J150+$D$2)*IF($M$2="Prices in $/MWh",1,1/1000)</f>
        <v>85.71</v>
      </c>
      <c r="K162" s="80">
        <f>(NJ_prices!K150+$D$2)*IF($M$2="Prices in $/MWh",1,1/1000)</f>
        <v>86.18</v>
      </c>
      <c r="L162" s="79">
        <f>(NJ_prices!L150+$D$2)*IF($M$2="Prices in $/MWh",1,1/1000)</f>
        <v>40.25</v>
      </c>
      <c r="M162" s="80">
        <f>(NJ_prices!M150+$D$2)*IF($M$2="Prices in $/MWh",1,1/1000)</f>
        <v>40.83</v>
      </c>
      <c r="N162" s="79">
        <f>(NJ_prices!N150+$D$2)*IF($M$2="Prices in $/MWh",1,1/1000)</f>
        <v>41.35</v>
      </c>
      <c r="O162" s="61"/>
    </row>
    <row r="163" spans="2:15" x14ac:dyDescent="0.25">
      <c r="B163" s="57"/>
      <c r="C163" s="82" t="str">
        <f>NJ_prices!C151</f>
        <v>March-2016</v>
      </c>
      <c r="D163" s="83" t="str">
        <f>NJ_prices!D151</f>
        <v>NJ</v>
      </c>
      <c r="E163" s="84" t="str">
        <f>NJ_prices!E151</f>
        <v>JCPL</v>
      </c>
      <c r="F163" s="83" t="str">
        <f>NJ_prices!F151</f>
        <v>GSCS</v>
      </c>
      <c r="G163" s="84" t="str">
        <f>NJ_prices!G151</f>
        <v>General Service Medium</v>
      </c>
      <c r="H163" s="85" t="str">
        <f t="shared" ref="H163" si="146">IF($M$2="Prices in $/MWh","500-2500 MWh","500,000-2,500,000 kWh")</f>
        <v>500-2500 MWh</v>
      </c>
      <c r="I163" s="84">
        <f>(NJ_prices!I151+$D$2)*IF($M$2="Prices in $/MWh",1,1/1000)</f>
        <v>84.56</v>
      </c>
      <c r="J163" s="83">
        <f>(NJ_prices!J151+$D$2)*IF($M$2="Prices in $/MWh",1,1/1000)</f>
        <v>84.59</v>
      </c>
      <c r="K163" s="84">
        <f>(NJ_prices!K151+$D$2)*IF($M$2="Prices in $/MWh",1,1/1000)</f>
        <v>85.06</v>
      </c>
      <c r="L163" s="83">
        <f>(NJ_prices!L151+$D$2)*IF($M$2="Prices in $/MWh",1,1/1000)</f>
        <v>39.130000000000003</v>
      </c>
      <c r="M163" s="84">
        <f>(NJ_prices!M151+$D$2)*IF($M$2="Prices in $/MWh",1,1/1000)</f>
        <v>39.700000000000003</v>
      </c>
      <c r="N163" s="83">
        <f>(NJ_prices!N151+$D$2)*IF($M$2="Prices in $/MWh",1,1/1000)</f>
        <v>40.22</v>
      </c>
      <c r="O163" s="61"/>
    </row>
    <row r="164" spans="2:15" x14ac:dyDescent="0.25">
      <c r="B164" s="57"/>
      <c r="C164" s="74" t="str">
        <f>NJ_prices!C152</f>
        <v>April-2016</v>
      </c>
      <c r="D164" s="75" t="str">
        <f>NJ_prices!D152</f>
        <v>NJ</v>
      </c>
      <c r="E164" s="76" t="str">
        <f>NJ_prices!E152</f>
        <v>JCPL</v>
      </c>
      <c r="F164" s="75" t="str">
        <f>NJ_prices!F152</f>
        <v>GSCS</v>
      </c>
      <c r="G164" s="76" t="str">
        <f>NJ_prices!G152</f>
        <v>General Service Medium</v>
      </c>
      <c r="H164" s="77" t="str">
        <f t="shared" ref="H164" si="147">IF($M$2="Prices in $/MWh","0-100 MWh","0-100,000 kWh")</f>
        <v>0-100 MWh</v>
      </c>
      <c r="I164" s="76">
        <f>(NJ_prices!I152+$D$2)*IF($M$2="Prices in $/MWh",1,1/1000)</f>
        <v>87.77</v>
      </c>
      <c r="J164" s="75">
        <f>(NJ_prices!J152+$D$2)*IF($M$2="Prices in $/MWh",1,1/1000)</f>
        <v>87.15</v>
      </c>
      <c r="K164" s="76">
        <f>(NJ_prices!K152+$D$2)*IF($M$2="Prices in $/MWh",1,1/1000)</f>
        <v>87.98</v>
      </c>
      <c r="L164" s="75">
        <f>(NJ_prices!L152+$D$2)*IF($M$2="Prices in $/MWh",1,1/1000)</f>
        <v>42.23</v>
      </c>
      <c r="M164" s="76">
        <f>(NJ_prices!M152+$D$2)*IF($M$2="Prices in $/MWh",1,1/1000)</f>
        <v>42.39</v>
      </c>
      <c r="N164" s="75">
        <f>(NJ_prices!N152+$D$2)*IF($M$2="Prices in $/MWh",1,1/1000)</f>
        <v>43.1</v>
      </c>
      <c r="O164" s="61"/>
    </row>
    <row r="165" spans="2:15" x14ac:dyDescent="0.25">
      <c r="B165" s="57"/>
      <c r="C165" s="78" t="str">
        <f>NJ_prices!C153</f>
        <v>April-2016</v>
      </c>
      <c r="D165" s="79" t="str">
        <f>NJ_prices!D153</f>
        <v>NJ</v>
      </c>
      <c r="E165" s="80" t="str">
        <f>NJ_prices!E153</f>
        <v>JCPL</v>
      </c>
      <c r="F165" s="79" t="str">
        <f>NJ_prices!F153</f>
        <v>GSCS</v>
      </c>
      <c r="G165" s="80" t="str">
        <f>NJ_prices!G153</f>
        <v>General Service Medium</v>
      </c>
      <c r="H165" s="81" t="str">
        <f t="shared" ref="H165" si="148">IF($M$2="Prices in $/MWh","100-500 MWh","100,000-500,000 kWh")</f>
        <v>100-500 MWh</v>
      </c>
      <c r="I165" s="80">
        <f>(NJ_prices!I153+$D$2)*IF($M$2="Prices in $/MWh",1,1/1000)</f>
        <v>86.06</v>
      </c>
      <c r="J165" s="79">
        <f>(NJ_prices!J153+$D$2)*IF($M$2="Prices in $/MWh",1,1/1000)</f>
        <v>85.44</v>
      </c>
      <c r="K165" s="80">
        <f>(NJ_prices!K153+$D$2)*IF($M$2="Prices in $/MWh",1,1/1000)</f>
        <v>86.26</v>
      </c>
      <c r="L165" s="79">
        <f>(NJ_prices!L153+$D$2)*IF($M$2="Prices in $/MWh",1,1/1000)</f>
        <v>40.520000000000003</v>
      </c>
      <c r="M165" s="80">
        <f>(NJ_prices!M153+$D$2)*IF($M$2="Prices in $/MWh",1,1/1000)</f>
        <v>40.68</v>
      </c>
      <c r="N165" s="79">
        <f>(NJ_prices!N153+$D$2)*IF($M$2="Prices in $/MWh",1,1/1000)</f>
        <v>41.39</v>
      </c>
      <c r="O165" s="61"/>
    </row>
    <row r="166" spans="2:15" x14ac:dyDescent="0.25">
      <c r="B166" s="57"/>
      <c r="C166" s="82" t="str">
        <f>NJ_prices!C154</f>
        <v>April-2016</v>
      </c>
      <c r="D166" s="83" t="str">
        <f>NJ_prices!D154</f>
        <v>NJ</v>
      </c>
      <c r="E166" s="84" t="str">
        <f>NJ_prices!E154</f>
        <v>JCPL</v>
      </c>
      <c r="F166" s="83" t="str">
        <f>NJ_prices!F154</f>
        <v>GSCS</v>
      </c>
      <c r="G166" s="84" t="str">
        <f>NJ_prices!G154</f>
        <v>General Service Medium</v>
      </c>
      <c r="H166" s="85" t="str">
        <f t="shared" ref="H166" si="149">IF($M$2="Prices in $/MWh","500-2500 MWh","500,000-2,500,000 kWh")</f>
        <v>500-2500 MWh</v>
      </c>
      <c r="I166" s="84">
        <f>(NJ_prices!I154+$D$2)*IF($M$2="Prices in $/MWh",1,1/1000)</f>
        <v>84.94</v>
      </c>
      <c r="J166" s="83">
        <f>(NJ_prices!J154+$D$2)*IF($M$2="Prices in $/MWh",1,1/1000)</f>
        <v>84.32</v>
      </c>
      <c r="K166" s="84">
        <f>(NJ_prices!K154+$D$2)*IF($M$2="Prices in $/MWh",1,1/1000)</f>
        <v>85.14</v>
      </c>
      <c r="L166" s="83">
        <f>(NJ_prices!L154+$D$2)*IF($M$2="Prices in $/MWh",1,1/1000)</f>
        <v>39.39</v>
      </c>
      <c r="M166" s="84">
        <f>(NJ_prices!M154+$D$2)*IF($M$2="Prices in $/MWh",1,1/1000)</f>
        <v>39.549999999999997</v>
      </c>
      <c r="N166" s="83">
        <f>(NJ_prices!N154+$D$2)*IF($M$2="Prices in $/MWh",1,1/1000)</f>
        <v>40.26</v>
      </c>
      <c r="O166" s="61"/>
    </row>
    <row r="167" spans="2:15" x14ac:dyDescent="0.25">
      <c r="B167" s="57"/>
      <c r="C167" s="74" t="str">
        <f>NJ_prices!C155</f>
        <v>May-2016</v>
      </c>
      <c r="D167" s="75" t="str">
        <f>NJ_prices!D155</f>
        <v>NJ</v>
      </c>
      <c r="E167" s="76" t="str">
        <f>NJ_prices!E155</f>
        <v>JCPL</v>
      </c>
      <c r="F167" s="75" t="str">
        <f>NJ_prices!F155</f>
        <v>GSCS</v>
      </c>
      <c r="G167" s="76" t="str">
        <f>NJ_prices!G155</f>
        <v>General Service Medium</v>
      </c>
      <c r="H167" s="77" t="str">
        <f t="shared" ref="H167" si="150">IF($M$2="Prices in $/MWh","0-100 MWh","0-100,000 kWh")</f>
        <v>0-100 MWh</v>
      </c>
      <c r="I167" s="76">
        <f>(NJ_prices!I155+$D$2)*IF($M$2="Prices in $/MWh",1,1/1000)</f>
        <v>88.06</v>
      </c>
      <c r="J167" s="75">
        <f>(NJ_prices!J155+$D$2)*IF($M$2="Prices in $/MWh",1,1/1000)</f>
        <v>87.1</v>
      </c>
      <c r="K167" s="76">
        <f>(NJ_prices!K155+$D$2)*IF($M$2="Prices in $/MWh",1,1/1000)</f>
        <v>88.02</v>
      </c>
      <c r="L167" s="75">
        <f>(NJ_prices!L155+$D$2)*IF($M$2="Prices in $/MWh",1,1/1000)</f>
        <v>42.53</v>
      </c>
      <c r="M167" s="76">
        <f>(NJ_prices!M155+$D$2)*IF($M$2="Prices in $/MWh",1,1/1000)</f>
        <v>42.49</v>
      </c>
      <c r="N167" s="75">
        <f>(NJ_prices!N155+$D$2)*IF($M$2="Prices in $/MWh",1,1/1000)</f>
        <v>43.17</v>
      </c>
      <c r="O167" s="61"/>
    </row>
    <row r="168" spans="2:15" x14ac:dyDescent="0.25">
      <c r="B168" s="57"/>
      <c r="C168" s="78" t="str">
        <f>NJ_prices!C156</f>
        <v>May-2016</v>
      </c>
      <c r="D168" s="79" t="str">
        <f>NJ_prices!D156</f>
        <v>NJ</v>
      </c>
      <c r="E168" s="80" t="str">
        <f>NJ_prices!E156</f>
        <v>JCPL</v>
      </c>
      <c r="F168" s="79" t="str">
        <f>NJ_prices!F156</f>
        <v>GSCS</v>
      </c>
      <c r="G168" s="80" t="str">
        <f>NJ_prices!G156</f>
        <v>General Service Medium</v>
      </c>
      <c r="H168" s="81" t="str">
        <f t="shared" ref="H168" si="151">IF($M$2="Prices in $/MWh","100-500 MWh","100,000-500,000 kWh")</f>
        <v>100-500 MWh</v>
      </c>
      <c r="I168" s="80">
        <f>(NJ_prices!I156+$D$2)*IF($M$2="Prices in $/MWh",1,1/1000)</f>
        <v>86.34</v>
      </c>
      <c r="J168" s="79">
        <f>(NJ_prices!J156+$D$2)*IF($M$2="Prices in $/MWh",1,1/1000)</f>
        <v>85.38</v>
      </c>
      <c r="K168" s="80">
        <f>(NJ_prices!K156+$D$2)*IF($M$2="Prices in $/MWh",1,1/1000)</f>
        <v>86.31</v>
      </c>
      <c r="L168" s="79">
        <f>(NJ_prices!L156+$D$2)*IF($M$2="Prices in $/MWh",1,1/1000)</f>
        <v>40.82</v>
      </c>
      <c r="M168" s="80">
        <f>(NJ_prices!M156+$D$2)*IF($M$2="Prices in $/MWh",1,1/1000)</f>
        <v>40.78</v>
      </c>
      <c r="N168" s="79">
        <f>(NJ_prices!N156+$D$2)*IF($M$2="Prices in $/MWh",1,1/1000)</f>
        <v>41.46</v>
      </c>
      <c r="O168" s="61"/>
    </row>
    <row r="169" spans="2:15" x14ac:dyDescent="0.25">
      <c r="B169" s="57"/>
      <c r="C169" s="82" t="str">
        <f>NJ_prices!C157</f>
        <v>May-2016</v>
      </c>
      <c r="D169" s="83" t="str">
        <f>NJ_prices!D157</f>
        <v>NJ</v>
      </c>
      <c r="E169" s="84" t="str">
        <f>NJ_prices!E157</f>
        <v>JCPL</v>
      </c>
      <c r="F169" s="83" t="str">
        <f>NJ_prices!F157</f>
        <v>GSCS</v>
      </c>
      <c r="G169" s="84" t="str">
        <f>NJ_prices!G157</f>
        <v>General Service Medium</v>
      </c>
      <c r="H169" s="85" t="str">
        <f t="shared" ref="H169" si="152">IF($M$2="Prices in $/MWh","500-2500 MWh","500,000-2,500,000 kWh")</f>
        <v>500-2500 MWh</v>
      </c>
      <c r="I169" s="84">
        <f>(NJ_prices!I157+$D$2)*IF($M$2="Prices in $/MWh",1,1/1000)</f>
        <v>85.22</v>
      </c>
      <c r="J169" s="83">
        <f>(NJ_prices!J157+$D$2)*IF($M$2="Prices in $/MWh",1,1/1000)</f>
        <v>84.26</v>
      </c>
      <c r="K169" s="84">
        <f>(NJ_prices!K157+$D$2)*IF($M$2="Prices in $/MWh",1,1/1000)</f>
        <v>85.18</v>
      </c>
      <c r="L169" s="83">
        <f>(NJ_prices!L157+$D$2)*IF($M$2="Prices in $/MWh",1,1/1000)</f>
        <v>39.700000000000003</v>
      </c>
      <c r="M169" s="84">
        <f>(NJ_prices!M157+$D$2)*IF($M$2="Prices in $/MWh",1,1/1000)</f>
        <v>39.65</v>
      </c>
      <c r="N169" s="83">
        <f>(NJ_prices!N157+$D$2)*IF($M$2="Prices in $/MWh",1,1/1000)</f>
        <v>40.33</v>
      </c>
      <c r="O169" s="61"/>
    </row>
    <row r="170" spans="2:15" x14ac:dyDescent="0.25">
      <c r="B170" s="57"/>
      <c r="C170" s="74" t="str">
        <f>NJ_prices!C158</f>
        <v>June-2016</v>
      </c>
      <c r="D170" s="75" t="str">
        <f>NJ_prices!D158</f>
        <v>NJ</v>
      </c>
      <c r="E170" s="76" t="str">
        <f>NJ_prices!E158</f>
        <v>JCPL</v>
      </c>
      <c r="F170" s="75" t="str">
        <f>NJ_prices!F158</f>
        <v>GSCS</v>
      </c>
      <c r="G170" s="76" t="str">
        <f>NJ_prices!G158</f>
        <v>General Service Medium</v>
      </c>
      <c r="H170" s="77" t="str">
        <f t="shared" ref="H170" si="153">IF($M$2="Prices in $/MWh","0-100 MWh","0-100,000 kWh")</f>
        <v>0-100 MWh</v>
      </c>
      <c r="I170" s="76">
        <f>(NJ_prices!I158+$D$2)*IF($M$2="Prices in $/MWh",1,1/1000)</f>
        <v>88.26</v>
      </c>
      <c r="J170" s="75">
        <f>(NJ_prices!J158+$D$2)*IF($M$2="Prices in $/MWh",1,1/1000)</f>
        <v>87.07</v>
      </c>
      <c r="K170" s="76">
        <f>(NJ_prices!K158+$D$2)*IF($M$2="Prices in $/MWh",1,1/1000)</f>
        <v>88.07</v>
      </c>
      <c r="L170" s="75">
        <f>(NJ_prices!L158+$D$2)*IF($M$2="Prices in $/MWh",1,1/1000)</f>
        <v>42.82</v>
      </c>
      <c r="M170" s="76">
        <f>(NJ_prices!M158+$D$2)*IF($M$2="Prices in $/MWh",1,1/1000)</f>
        <v>42.7</v>
      </c>
      <c r="N170" s="75">
        <f>(NJ_prices!N158+$D$2)*IF($M$2="Prices in $/MWh",1,1/1000)</f>
        <v>43.27</v>
      </c>
      <c r="O170" s="61"/>
    </row>
    <row r="171" spans="2:15" x14ac:dyDescent="0.25">
      <c r="B171" s="57"/>
      <c r="C171" s="78" t="str">
        <f>NJ_prices!C159</f>
        <v>June-2016</v>
      </c>
      <c r="D171" s="79" t="str">
        <f>NJ_prices!D159</f>
        <v>NJ</v>
      </c>
      <c r="E171" s="80" t="str">
        <f>NJ_prices!E159</f>
        <v>JCPL</v>
      </c>
      <c r="F171" s="79" t="str">
        <f>NJ_prices!F159</f>
        <v>GSCS</v>
      </c>
      <c r="G171" s="80" t="str">
        <f>NJ_prices!G159</f>
        <v>General Service Medium</v>
      </c>
      <c r="H171" s="81" t="str">
        <f t="shared" ref="H171" si="154">IF($M$2="Prices in $/MWh","100-500 MWh","100,000-500,000 kWh")</f>
        <v>100-500 MWh</v>
      </c>
      <c r="I171" s="80">
        <f>(NJ_prices!I159+$D$2)*IF($M$2="Prices in $/MWh",1,1/1000)</f>
        <v>86.55</v>
      </c>
      <c r="J171" s="79">
        <f>(NJ_prices!J159+$D$2)*IF($M$2="Prices in $/MWh",1,1/1000)</f>
        <v>85.36</v>
      </c>
      <c r="K171" s="80">
        <f>(NJ_prices!K159+$D$2)*IF($M$2="Prices in $/MWh",1,1/1000)</f>
        <v>86.36</v>
      </c>
      <c r="L171" s="79">
        <f>(NJ_prices!L159+$D$2)*IF($M$2="Prices in $/MWh",1,1/1000)</f>
        <v>41.11</v>
      </c>
      <c r="M171" s="80">
        <f>(NJ_prices!M159+$D$2)*IF($M$2="Prices in $/MWh",1,1/1000)</f>
        <v>40.99</v>
      </c>
      <c r="N171" s="79">
        <f>(NJ_prices!N159+$D$2)*IF($M$2="Prices in $/MWh",1,1/1000)</f>
        <v>41.56</v>
      </c>
      <c r="O171" s="61"/>
    </row>
    <row r="172" spans="2:15" x14ac:dyDescent="0.25">
      <c r="B172" s="57"/>
      <c r="C172" s="82" t="str">
        <f>NJ_prices!C160</f>
        <v>June-2016</v>
      </c>
      <c r="D172" s="83" t="str">
        <f>NJ_prices!D160</f>
        <v>NJ</v>
      </c>
      <c r="E172" s="84" t="str">
        <f>NJ_prices!E160</f>
        <v>JCPL</v>
      </c>
      <c r="F172" s="83" t="str">
        <f>NJ_prices!F160</f>
        <v>GSCS</v>
      </c>
      <c r="G172" s="84" t="str">
        <f>NJ_prices!G160</f>
        <v>General Service Medium</v>
      </c>
      <c r="H172" s="85" t="str">
        <f t="shared" ref="H172" si="155">IF($M$2="Prices in $/MWh","500-2500 MWh","500,000-2,500,000 kWh")</f>
        <v>500-2500 MWh</v>
      </c>
      <c r="I172" s="84">
        <f>(NJ_prices!I160+$D$2)*IF($M$2="Prices in $/MWh",1,1/1000)</f>
        <v>85.43</v>
      </c>
      <c r="J172" s="83">
        <f>(NJ_prices!J160+$D$2)*IF($M$2="Prices in $/MWh",1,1/1000)</f>
        <v>84.24</v>
      </c>
      <c r="K172" s="84">
        <f>(NJ_prices!K160+$D$2)*IF($M$2="Prices in $/MWh",1,1/1000)</f>
        <v>85.24</v>
      </c>
      <c r="L172" s="83">
        <f>(NJ_prices!L160+$D$2)*IF($M$2="Prices in $/MWh",1,1/1000)</f>
        <v>39.979999999999997</v>
      </c>
      <c r="M172" s="84">
        <f>(NJ_prices!M160+$D$2)*IF($M$2="Prices in $/MWh",1,1/1000)</f>
        <v>39.86</v>
      </c>
      <c r="N172" s="83">
        <f>(NJ_prices!N160+$D$2)*IF($M$2="Prices in $/MWh",1,1/1000)</f>
        <v>40.43</v>
      </c>
      <c r="O172" s="61"/>
    </row>
    <row r="173" spans="2:15" x14ac:dyDescent="0.25">
      <c r="B173" s="57"/>
      <c r="C173" s="74" t="str">
        <f>NJ_prices!C161</f>
        <v>July-2016</v>
      </c>
      <c r="D173" s="75" t="str">
        <f>NJ_prices!D161</f>
        <v>NJ</v>
      </c>
      <c r="E173" s="76" t="str">
        <f>NJ_prices!E161</f>
        <v>JCPL</v>
      </c>
      <c r="F173" s="75" t="str">
        <f>NJ_prices!F161</f>
        <v>GSCS</v>
      </c>
      <c r="G173" s="76" t="str">
        <f>NJ_prices!G161</f>
        <v>General Service Medium</v>
      </c>
      <c r="H173" s="77" t="str">
        <f t="shared" ref="H173" si="156">IF($M$2="Prices in $/MWh","0-100 MWh","0-100,000 kWh")</f>
        <v>0-100 MWh</v>
      </c>
      <c r="I173" s="76">
        <f>(NJ_prices!I161+$D$2)*IF($M$2="Prices in $/MWh",1,1/1000)</f>
        <v>88.28</v>
      </c>
      <c r="J173" s="75">
        <f>(NJ_prices!J161+$D$2)*IF($M$2="Prices in $/MWh",1,1/1000)</f>
        <v>86.91</v>
      </c>
      <c r="K173" s="76">
        <f>(NJ_prices!K161+$D$2)*IF($M$2="Prices in $/MWh",1,1/1000)</f>
        <v>88.29</v>
      </c>
      <c r="L173" s="75">
        <f>(NJ_prices!L161+$D$2)*IF($M$2="Prices in $/MWh",1,1/1000)</f>
        <v>42.99</v>
      </c>
      <c r="M173" s="76">
        <f>(NJ_prices!M161+$D$2)*IF($M$2="Prices in $/MWh",1,1/1000)</f>
        <v>42.97</v>
      </c>
      <c r="N173" s="75">
        <f>(NJ_prices!N161+$D$2)*IF($M$2="Prices in $/MWh",1,1/1000)</f>
        <v>43.62</v>
      </c>
      <c r="O173" s="61"/>
    </row>
    <row r="174" spans="2:15" x14ac:dyDescent="0.25">
      <c r="B174" s="57"/>
      <c r="C174" s="78" t="str">
        <f>NJ_prices!C162</f>
        <v>July-2016</v>
      </c>
      <c r="D174" s="79" t="str">
        <f>NJ_prices!D162</f>
        <v>NJ</v>
      </c>
      <c r="E174" s="80" t="str">
        <f>NJ_prices!E162</f>
        <v>JCPL</v>
      </c>
      <c r="F174" s="79" t="str">
        <f>NJ_prices!F162</f>
        <v>GSCS</v>
      </c>
      <c r="G174" s="80" t="str">
        <f>NJ_prices!G162</f>
        <v>General Service Medium</v>
      </c>
      <c r="H174" s="81" t="str">
        <f t="shared" ref="H174" si="157">IF($M$2="Prices in $/MWh","100-500 MWh","100,000-500,000 kWh")</f>
        <v>100-500 MWh</v>
      </c>
      <c r="I174" s="80">
        <f>(NJ_prices!I162+$D$2)*IF($M$2="Prices in $/MWh",1,1/1000)</f>
        <v>86.57</v>
      </c>
      <c r="J174" s="79">
        <f>(NJ_prices!J162+$D$2)*IF($M$2="Prices in $/MWh",1,1/1000)</f>
        <v>85.2</v>
      </c>
      <c r="K174" s="80">
        <f>(NJ_prices!K162+$D$2)*IF($M$2="Prices in $/MWh",1,1/1000)</f>
        <v>86.58</v>
      </c>
      <c r="L174" s="79">
        <f>(NJ_prices!L162+$D$2)*IF($M$2="Prices in $/MWh",1,1/1000)</f>
        <v>41.28</v>
      </c>
      <c r="M174" s="80">
        <f>(NJ_prices!M162+$D$2)*IF($M$2="Prices in $/MWh",1,1/1000)</f>
        <v>41.26</v>
      </c>
      <c r="N174" s="79">
        <f>(NJ_prices!N162+$D$2)*IF($M$2="Prices in $/MWh",1,1/1000)</f>
        <v>41.91</v>
      </c>
      <c r="O174" s="61"/>
    </row>
    <row r="175" spans="2:15" x14ac:dyDescent="0.25">
      <c r="B175" s="57"/>
      <c r="C175" s="82" t="str">
        <f>NJ_prices!C163</f>
        <v>July-2016</v>
      </c>
      <c r="D175" s="83" t="str">
        <f>NJ_prices!D163</f>
        <v>NJ</v>
      </c>
      <c r="E175" s="84" t="str">
        <f>NJ_prices!E163</f>
        <v>JCPL</v>
      </c>
      <c r="F175" s="83" t="str">
        <f>NJ_prices!F163</f>
        <v>GSCS</v>
      </c>
      <c r="G175" s="84" t="str">
        <f>NJ_prices!G163</f>
        <v>General Service Medium</v>
      </c>
      <c r="H175" s="85" t="str">
        <f t="shared" ref="H175" si="158">IF($M$2="Prices in $/MWh","500-2500 MWh","500,000-2,500,000 kWh")</f>
        <v>500-2500 MWh</v>
      </c>
      <c r="I175" s="84">
        <f>(NJ_prices!I163+$D$2)*IF($M$2="Prices in $/MWh",1,1/1000)</f>
        <v>85.44</v>
      </c>
      <c r="J175" s="83">
        <f>(NJ_prices!J163+$D$2)*IF($M$2="Prices in $/MWh",1,1/1000)</f>
        <v>84.08</v>
      </c>
      <c r="K175" s="84">
        <f>(NJ_prices!K163+$D$2)*IF($M$2="Prices in $/MWh",1,1/1000)</f>
        <v>85.46</v>
      </c>
      <c r="L175" s="83">
        <f>(NJ_prices!L163+$D$2)*IF($M$2="Prices in $/MWh",1,1/1000)</f>
        <v>40.15</v>
      </c>
      <c r="M175" s="84">
        <f>(NJ_prices!M163+$D$2)*IF($M$2="Prices in $/MWh",1,1/1000)</f>
        <v>40.130000000000003</v>
      </c>
      <c r="N175" s="83">
        <f>(NJ_prices!N163+$D$2)*IF($M$2="Prices in $/MWh",1,1/1000)</f>
        <v>40.78</v>
      </c>
      <c r="O175" s="61"/>
    </row>
    <row r="176" spans="2:15" x14ac:dyDescent="0.25">
      <c r="B176" s="57"/>
      <c r="C176" s="74" t="str">
        <f>NJ_prices!C164</f>
        <v>August-2016</v>
      </c>
      <c r="D176" s="75" t="str">
        <f>NJ_prices!D164</f>
        <v>NJ</v>
      </c>
      <c r="E176" s="76" t="str">
        <f>NJ_prices!E164</f>
        <v>JCPL</v>
      </c>
      <c r="F176" s="75" t="str">
        <f>NJ_prices!F164</f>
        <v>GSCS</v>
      </c>
      <c r="G176" s="76" t="str">
        <f>NJ_prices!G164</f>
        <v>General Service Medium</v>
      </c>
      <c r="H176" s="77" t="str">
        <f t="shared" ref="H176" si="159">IF($M$2="Prices in $/MWh","0-100 MWh","0-100,000 kWh")</f>
        <v>0-100 MWh</v>
      </c>
      <c r="I176" s="76">
        <f>(NJ_prices!I164+$D$2)*IF($M$2="Prices in $/MWh",1,1/1000)</f>
        <v>88.47</v>
      </c>
      <c r="J176" s="75">
        <f>(NJ_prices!J164+$D$2)*IF($M$2="Prices in $/MWh",1,1/1000)</f>
        <v>87.81</v>
      </c>
      <c r="K176" s="76">
        <f>(NJ_prices!K164+$D$2)*IF($M$2="Prices in $/MWh",1,1/1000)</f>
        <v>88.75</v>
      </c>
      <c r="L176" s="75">
        <f>(NJ_prices!L164+$D$2)*IF($M$2="Prices in $/MWh",1,1/1000)</f>
        <v>43.55</v>
      </c>
      <c r="M176" s="76">
        <f>(NJ_prices!M164+$D$2)*IF($M$2="Prices in $/MWh",1,1/1000)</f>
        <v>43.46</v>
      </c>
      <c r="N176" s="75">
        <f>(NJ_prices!N164+$D$2)*IF($M$2="Prices in $/MWh",1,1/1000)</f>
        <v>44.26</v>
      </c>
      <c r="O176" s="61"/>
    </row>
    <row r="177" spans="2:15" x14ac:dyDescent="0.25">
      <c r="B177" s="57"/>
      <c r="C177" s="78" t="str">
        <f>NJ_prices!C165</f>
        <v>August-2016</v>
      </c>
      <c r="D177" s="79" t="str">
        <f>NJ_prices!D165</f>
        <v>NJ</v>
      </c>
      <c r="E177" s="80" t="str">
        <f>NJ_prices!E165</f>
        <v>JCPL</v>
      </c>
      <c r="F177" s="79" t="str">
        <f>NJ_prices!F165</f>
        <v>GSCS</v>
      </c>
      <c r="G177" s="80" t="str">
        <f>NJ_prices!G165</f>
        <v>General Service Medium</v>
      </c>
      <c r="H177" s="81" t="str">
        <f t="shared" ref="H177" si="160">IF($M$2="Prices in $/MWh","100-500 MWh","100,000-500,000 kWh")</f>
        <v>100-500 MWh</v>
      </c>
      <c r="I177" s="80">
        <f>(NJ_prices!I165+$D$2)*IF($M$2="Prices in $/MWh",1,1/1000)</f>
        <v>86.76</v>
      </c>
      <c r="J177" s="79">
        <f>(NJ_prices!J165+$D$2)*IF($M$2="Prices in $/MWh",1,1/1000)</f>
        <v>86.1</v>
      </c>
      <c r="K177" s="80">
        <f>(NJ_prices!K165+$D$2)*IF($M$2="Prices in $/MWh",1,1/1000)</f>
        <v>87.03</v>
      </c>
      <c r="L177" s="79">
        <f>(NJ_prices!L165+$D$2)*IF($M$2="Prices in $/MWh",1,1/1000)</f>
        <v>41.84</v>
      </c>
      <c r="M177" s="80">
        <f>(NJ_prices!M165+$D$2)*IF($M$2="Prices in $/MWh",1,1/1000)</f>
        <v>41.75</v>
      </c>
      <c r="N177" s="79">
        <f>(NJ_prices!N165+$D$2)*IF($M$2="Prices in $/MWh",1,1/1000)</f>
        <v>42.55</v>
      </c>
      <c r="O177" s="61"/>
    </row>
    <row r="178" spans="2:15" x14ac:dyDescent="0.25">
      <c r="B178" s="57"/>
      <c r="C178" s="82" t="str">
        <f>NJ_prices!C166</f>
        <v>August-2016</v>
      </c>
      <c r="D178" s="83" t="str">
        <f>NJ_prices!D166</f>
        <v>NJ</v>
      </c>
      <c r="E178" s="84" t="str">
        <f>NJ_prices!E166</f>
        <v>JCPL</v>
      </c>
      <c r="F178" s="83" t="str">
        <f>NJ_prices!F166</f>
        <v>GSCS</v>
      </c>
      <c r="G178" s="84" t="str">
        <f>NJ_prices!G166</f>
        <v>General Service Medium</v>
      </c>
      <c r="H178" s="85" t="str">
        <f t="shared" ref="H178" si="161">IF($M$2="Prices in $/MWh","500-2500 MWh","500,000-2,500,000 kWh")</f>
        <v>500-2500 MWh</v>
      </c>
      <c r="I178" s="84">
        <f>(NJ_prices!I166+$D$2)*IF($M$2="Prices in $/MWh",1,1/1000)</f>
        <v>85.64</v>
      </c>
      <c r="J178" s="83">
        <f>(NJ_prices!J166+$D$2)*IF($M$2="Prices in $/MWh",1,1/1000)</f>
        <v>84.98</v>
      </c>
      <c r="K178" s="84">
        <f>(NJ_prices!K166+$D$2)*IF($M$2="Prices in $/MWh",1,1/1000)</f>
        <v>85.91</v>
      </c>
      <c r="L178" s="83">
        <f>(NJ_prices!L166+$D$2)*IF($M$2="Prices in $/MWh",1,1/1000)</f>
        <v>40.71</v>
      </c>
      <c r="M178" s="84">
        <f>(NJ_prices!M166+$D$2)*IF($M$2="Prices in $/MWh",1,1/1000)</f>
        <v>40.630000000000003</v>
      </c>
      <c r="N178" s="83">
        <f>(NJ_prices!N166+$D$2)*IF($M$2="Prices in $/MWh",1,1/1000)</f>
        <v>41.42</v>
      </c>
      <c r="O178" s="61"/>
    </row>
    <row r="179" spans="2:15" x14ac:dyDescent="0.25">
      <c r="B179" s="57"/>
      <c r="C179" s="74" t="str">
        <f>NJ_prices!C167</f>
        <v>September-2016</v>
      </c>
      <c r="D179" s="75" t="str">
        <f>NJ_prices!D167</f>
        <v>NJ</v>
      </c>
      <c r="E179" s="76" t="str">
        <f>NJ_prices!E167</f>
        <v>JCPL</v>
      </c>
      <c r="F179" s="75" t="str">
        <f>NJ_prices!F167</f>
        <v>GSCS</v>
      </c>
      <c r="G179" s="76" t="str">
        <f>NJ_prices!G167</f>
        <v>General Service Medium</v>
      </c>
      <c r="H179" s="77" t="str">
        <f t="shared" ref="H179" si="162">IF($M$2="Prices in $/MWh","0-100 MWh","0-100,000 kWh")</f>
        <v>0-100 MWh</v>
      </c>
      <c r="I179" s="76">
        <f>(NJ_prices!I167+$D$2)*IF($M$2="Prices in $/MWh",1,1/1000)</f>
        <v>88.37</v>
      </c>
      <c r="J179" s="75">
        <f>(NJ_prices!J167+$D$2)*IF($M$2="Prices in $/MWh",1,1/1000)</f>
        <v>88.68</v>
      </c>
      <c r="K179" s="76">
        <f>(NJ_prices!K167+$D$2)*IF($M$2="Prices in $/MWh",1,1/1000)</f>
        <v>89.01</v>
      </c>
      <c r="L179" s="75">
        <f>(NJ_prices!L167+$D$2)*IF($M$2="Prices in $/MWh",1,1/1000)</f>
        <v>43.66</v>
      </c>
      <c r="M179" s="76">
        <f>(NJ_prices!M167+$D$2)*IF($M$2="Prices in $/MWh",1,1/1000)</f>
        <v>43.97</v>
      </c>
      <c r="N179" s="75">
        <f>(NJ_prices!N167+$D$2)*IF($M$2="Prices in $/MWh",1,1/1000)</f>
        <v>44.67</v>
      </c>
      <c r="O179" s="61"/>
    </row>
    <row r="180" spans="2:15" x14ac:dyDescent="0.25">
      <c r="B180" s="57"/>
      <c r="C180" s="78" t="str">
        <f>NJ_prices!C168</f>
        <v>September-2016</v>
      </c>
      <c r="D180" s="79" t="str">
        <f>NJ_prices!D168</f>
        <v>NJ</v>
      </c>
      <c r="E180" s="80" t="str">
        <f>NJ_prices!E168</f>
        <v>JCPL</v>
      </c>
      <c r="F180" s="79" t="str">
        <f>NJ_prices!F168</f>
        <v>GSCS</v>
      </c>
      <c r="G180" s="80" t="str">
        <f>NJ_prices!G168</f>
        <v>General Service Medium</v>
      </c>
      <c r="H180" s="81" t="str">
        <f t="shared" ref="H180" si="163">IF($M$2="Prices in $/MWh","100-500 MWh","100,000-500,000 kWh")</f>
        <v>100-500 MWh</v>
      </c>
      <c r="I180" s="80">
        <f>(NJ_prices!I168+$D$2)*IF($M$2="Prices in $/MWh",1,1/1000)</f>
        <v>86.66</v>
      </c>
      <c r="J180" s="79">
        <f>(NJ_prices!J168+$D$2)*IF($M$2="Prices in $/MWh",1,1/1000)</f>
        <v>86.97</v>
      </c>
      <c r="K180" s="80">
        <f>(NJ_prices!K168+$D$2)*IF($M$2="Prices in $/MWh",1,1/1000)</f>
        <v>87.29</v>
      </c>
      <c r="L180" s="79">
        <f>(NJ_prices!L168+$D$2)*IF($M$2="Prices in $/MWh",1,1/1000)</f>
        <v>41.95</v>
      </c>
      <c r="M180" s="80">
        <f>(NJ_prices!M168+$D$2)*IF($M$2="Prices in $/MWh",1,1/1000)</f>
        <v>42.26</v>
      </c>
      <c r="N180" s="79">
        <f>(NJ_prices!N168+$D$2)*IF($M$2="Prices in $/MWh",1,1/1000)</f>
        <v>42.96</v>
      </c>
      <c r="O180" s="61"/>
    </row>
    <row r="181" spans="2:15" x14ac:dyDescent="0.25">
      <c r="B181" s="57"/>
      <c r="C181" s="82" t="str">
        <f>NJ_prices!C169</f>
        <v>September-2016</v>
      </c>
      <c r="D181" s="83" t="str">
        <f>NJ_prices!D169</f>
        <v>NJ</v>
      </c>
      <c r="E181" s="84" t="str">
        <f>NJ_prices!E169</f>
        <v>JCPL</v>
      </c>
      <c r="F181" s="83" t="str">
        <f>NJ_prices!F169</f>
        <v>GSCS</v>
      </c>
      <c r="G181" s="84" t="str">
        <f>NJ_prices!G169</f>
        <v>General Service Medium</v>
      </c>
      <c r="H181" s="85" t="str">
        <f t="shared" ref="H181" si="164">IF($M$2="Prices in $/MWh","500-2500 MWh","500,000-2,500,000 kWh")</f>
        <v>500-2500 MWh</v>
      </c>
      <c r="I181" s="84">
        <f>(NJ_prices!I169+$D$2)*IF($M$2="Prices in $/MWh",1,1/1000)</f>
        <v>85.54</v>
      </c>
      <c r="J181" s="83">
        <f>(NJ_prices!J169+$D$2)*IF($M$2="Prices in $/MWh",1,1/1000)</f>
        <v>85.85</v>
      </c>
      <c r="K181" s="84">
        <f>(NJ_prices!K169+$D$2)*IF($M$2="Prices in $/MWh",1,1/1000)</f>
        <v>86.17</v>
      </c>
      <c r="L181" s="83">
        <f>(NJ_prices!L169+$D$2)*IF($M$2="Prices in $/MWh",1,1/1000)</f>
        <v>40.82</v>
      </c>
      <c r="M181" s="84">
        <f>(NJ_prices!M169+$D$2)*IF($M$2="Prices in $/MWh",1,1/1000)</f>
        <v>41.13</v>
      </c>
      <c r="N181" s="83">
        <f>(NJ_prices!N169+$D$2)*IF($M$2="Prices in $/MWh",1,1/1000)</f>
        <v>41.83</v>
      </c>
      <c r="O181" s="61"/>
    </row>
    <row r="182" spans="2:15" x14ac:dyDescent="0.25">
      <c r="B182" s="57"/>
      <c r="C182" s="74" t="str">
        <f>NJ_prices!C170</f>
        <v>October-2016</v>
      </c>
      <c r="D182" s="75" t="str">
        <f>NJ_prices!D170</f>
        <v>NJ</v>
      </c>
      <c r="E182" s="76" t="str">
        <f>NJ_prices!E170</f>
        <v>JCPL</v>
      </c>
      <c r="F182" s="75" t="str">
        <f>NJ_prices!F170</f>
        <v>GSCS</v>
      </c>
      <c r="G182" s="76" t="str">
        <f>NJ_prices!G170</f>
        <v>General Service Medium</v>
      </c>
      <c r="H182" s="77" t="str">
        <f t="shared" ref="H182" si="165">IF($M$2="Prices in $/MWh","0-100 MWh","0-100,000 kWh")</f>
        <v>0-100 MWh</v>
      </c>
      <c r="I182" s="76">
        <f>(NJ_prices!I170+$D$2)*IF($M$2="Prices in $/MWh",1,1/1000)</f>
        <v>88.4</v>
      </c>
      <c r="J182" s="75">
        <f>(NJ_prices!J170+$D$2)*IF($M$2="Prices in $/MWh",1,1/1000)</f>
        <v>89.06</v>
      </c>
      <c r="K182" s="76">
        <f>(NJ_prices!K170+$D$2)*IF($M$2="Prices in $/MWh",1,1/1000)</f>
        <v>89.28</v>
      </c>
      <c r="L182" s="75">
        <f>(NJ_prices!L170+$D$2)*IF($M$2="Prices in $/MWh",1,1/1000)</f>
        <v>43.84</v>
      </c>
      <c r="M182" s="76">
        <f>(NJ_prices!M170+$D$2)*IF($M$2="Prices in $/MWh",1,1/1000)</f>
        <v>44.28</v>
      </c>
      <c r="N182" s="75">
        <f>(NJ_prices!N170+$D$2)*IF($M$2="Prices in $/MWh",1,1/1000)</f>
        <v>45.11</v>
      </c>
      <c r="O182" s="61"/>
    </row>
    <row r="183" spans="2:15" x14ac:dyDescent="0.25">
      <c r="B183" s="57"/>
      <c r="C183" s="78" t="str">
        <f>NJ_prices!C171</f>
        <v>October-2016</v>
      </c>
      <c r="D183" s="79" t="str">
        <f>NJ_prices!D171</f>
        <v>NJ</v>
      </c>
      <c r="E183" s="80" t="str">
        <f>NJ_prices!E171</f>
        <v>JCPL</v>
      </c>
      <c r="F183" s="79" t="str">
        <f>NJ_prices!F171</f>
        <v>GSCS</v>
      </c>
      <c r="G183" s="80" t="str">
        <f>NJ_prices!G171</f>
        <v>General Service Medium</v>
      </c>
      <c r="H183" s="81" t="str">
        <f t="shared" ref="H183" si="166">IF($M$2="Prices in $/MWh","100-500 MWh","100,000-500,000 kWh")</f>
        <v>100-500 MWh</v>
      </c>
      <c r="I183" s="80">
        <f>(NJ_prices!I171+$D$2)*IF($M$2="Prices in $/MWh",1,1/1000)</f>
        <v>86.69</v>
      </c>
      <c r="J183" s="79">
        <f>(NJ_prices!J171+$D$2)*IF($M$2="Prices in $/MWh",1,1/1000)</f>
        <v>87.35</v>
      </c>
      <c r="K183" s="80">
        <f>(NJ_prices!K171+$D$2)*IF($M$2="Prices in $/MWh",1,1/1000)</f>
        <v>87.57</v>
      </c>
      <c r="L183" s="79">
        <f>(NJ_prices!L171+$D$2)*IF($M$2="Prices in $/MWh",1,1/1000)</f>
        <v>42.13</v>
      </c>
      <c r="M183" s="80">
        <f>(NJ_prices!M171+$D$2)*IF($M$2="Prices in $/MWh",1,1/1000)</f>
        <v>42.57</v>
      </c>
      <c r="N183" s="79">
        <f>(NJ_prices!N171+$D$2)*IF($M$2="Prices in $/MWh",1,1/1000)</f>
        <v>43.4</v>
      </c>
      <c r="O183" s="61"/>
    </row>
    <row r="184" spans="2:15" x14ac:dyDescent="0.25">
      <c r="B184" s="57"/>
      <c r="C184" s="82" t="str">
        <f>NJ_prices!C172</f>
        <v>October-2016</v>
      </c>
      <c r="D184" s="83" t="str">
        <f>NJ_prices!D172</f>
        <v>NJ</v>
      </c>
      <c r="E184" s="84" t="str">
        <f>NJ_prices!E172</f>
        <v>JCPL</v>
      </c>
      <c r="F184" s="83" t="str">
        <f>NJ_prices!F172</f>
        <v>GSCS</v>
      </c>
      <c r="G184" s="84" t="str">
        <f>NJ_prices!G172</f>
        <v>General Service Medium</v>
      </c>
      <c r="H184" s="85" t="str">
        <f t="shared" ref="H184" si="167">IF($M$2="Prices in $/MWh","500-2500 MWh","500,000-2,500,000 kWh")</f>
        <v>500-2500 MWh</v>
      </c>
      <c r="I184" s="84">
        <f>(NJ_prices!I172+$D$2)*IF($M$2="Prices in $/MWh",1,1/1000)</f>
        <v>85.57</v>
      </c>
      <c r="J184" s="83">
        <f>(NJ_prices!J172+$D$2)*IF($M$2="Prices in $/MWh",1,1/1000)</f>
        <v>86.23</v>
      </c>
      <c r="K184" s="84">
        <f>(NJ_prices!K172+$D$2)*IF($M$2="Prices in $/MWh",1,1/1000)</f>
        <v>86.44</v>
      </c>
      <c r="L184" s="83">
        <f>(NJ_prices!L172+$D$2)*IF($M$2="Prices in $/MWh",1,1/1000)</f>
        <v>41</v>
      </c>
      <c r="M184" s="84">
        <f>(NJ_prices!M172+$D$2)*IF($M$2="Prices in $/MWh",1,1/1000)</f>
        <v>41.45</v>
      </c>
      <c r="N184" s="83">
        <f>(NJ_prices!N172+$D$2)*IF($M$2="Prices in $/MWh",1,1/1000)</f>
        <v>42.27</v>
      </c>
      <c r="O184" s="61"/>
    </row>
    <row r="185" spans="2:15" x14ac:dyDescent="0.25">
      <c r="B185" s="57"/>
      <c r="C185" s="74" t="str">
        <f>NJ_prices!C173</f>
        <v>November-2016</v>
      </c>
      <c r="D185" s="75" t="str">
        <f>NJ_prices!D173</f>
        <v>NJ</v>
      </c>
      <c r="E185" s="76" t="str">
        <f>NJ_prices!E173</f>
        <v>JCPL</v>
      </c>
      <c r="F185" s="75" t="str">
        <f>NJ_prices!F173</f>
        <v>GSCS</v>
      </c>
      <c r="G185" s="76" t="str">
        <f>NJ_prices!G173</f>
        <v>General Service Medium</v>
      </c>
      <c r="H185" s="77" t="str">
        <f t="shared" ref="H185" si="168">IF($M$2="Prices in $/MWh","0-100 MWh","0-100,000 kWh")</f>
        <v>0-100 MWh</v>
      </c>
      <c r="I185" s="76">
        <f>(NJ_prices!I173+$D$2)*IF($M$2="Prices in $/MWh",1,1/1000)</f>
        <v>88.45</v>
      </c>
      <c r="J185" s="75">
        <f>(NJ_prices!J173+$D$2)*IF($M$2="Prices in $/MWh",1,1/1000)</f>
        <v>89.2</v>
      </c>
      <c r="K185" s="76">
        <f>(NJ_prices!K173+$D$2)*IF($M$2="Prices in $/MWh",1,1/1000)</f>
        <v>89.63</v>
      </c>
      <c r="L185" s="75">
        <f>(NJ_prices!L173+$D$2)*IF($M$2="Prices in $/MWh",1,1/1000)</f>
        <v>43.98</v>
      </c>
      <c r="M185" s="76">
        <f>(NJ_prices!M173+$D$2)*IF($M$2="Prices in $/MWh",1,1/1000)</f>
        <v>44.37</v>
      </c>
      <c r="N185" s="75">
        <f>(NJ_prices!N173+$D$2)*IF($M$2="Prices in $/MWh",1,1/1000)</f>
        <v>45.6</v>
      </c>
      <c r="O185" s="61"/>
    </row>
    <row r="186" spans="2:15" x14ac:dyDescent="0.25">
      <c r="B186" s="57"/>
      <c r="C186" s="78" t="str">
        <f>NJ_prices!C174</f>
        <v>November-2016</v>
      </c>
      <c r="D186" s="79" t="str">
        <f>NJ_prices!D174</f>
        <v>NJ</v>
      </c>
      <c r="E186" s="80" t="str">
        <f>NJ_prices!E174</f>
        <v>JCPL</v>
      </c>
      <c r="F186" s="79" t="str">
        <f>NJ_prices!F174</f>
        <v>GSCS</v>
      </c>
      <c r="G186" s="80" t="str">
        <f>NJ_prices!G174</f>
        <v>General Service Medium</v>
      </c>
      <c r="H186" s="81" t="str">
        <f t="shared" ref="H186" si="169">IF($M$2="Prices in $/MWh","100-500 MWh","100,000-500,000 kWh")</f>
        <v>100-500 MWh</v>
      </c>
      <c r="I186" s="80">
        <f>(NJ_prices!I174+$D$2)*IF($M$2="Prices in $/MWh",1,1/1000)</f>
        <v>86.74</v>
      </c>
      <c r="J186" s="79">
        <f>(NJ_prices!J174+$D$2)*IF($M$2="Prices in $/MWh",1,1/1000)</f>
        <v>87.49</v>
      </c>
      <c r="K186" s="80">
        <f>(NJ_prices!K174+$D$2)*IF($M$2="Prices in $/MWh",1,1/1000)</f>
        <v>87.92</v>
      </c>
      <c r="L186" s="79">
        <f>(NJ_prices!L174+$D$2)*IF($M$2="Prices in $/MWh",1,1/1000)</f>
        <v>42.27</v>
      </c>
      <c r="M186" s="80">
        <f>(NJ_prices!M174+$D$2)*IF($M$2="Prices in $/MWh",1,1/1000)</f>
        <v>42.66</v>
      </c>
      <c r="N186" s="79">
        <f>(NJ_prices!N174+$D$2)*IF($M$2="Prices in $/MWh",1,1/1000)</f>
        <v>43.89</v>
      </c>
      <c r="O186" s="61"/>
    </row>
    <row r="187" spans="2:15" x14ac:dyDescent="0.25">
      <c r="B187" s="57"/>
      <c r="C187" s="82" t="str">
        <f>NJ_prices!C175</f>
        <v>November-2016</v>
      </c>
      <c r="D187" s="83" t="str">
        <f>NJ_prices!D175</f>
        <v>NJ</v>
      </c>
      <c r="E187" s="84" t="str">
        <f>NJ_prices!E175</f>
        <v>JCPL</v>
      </c>
      <c r="F187" s="83" t="str">
        <f>NJ_prices!F175</f>
        <v>GSCS</v>
      </c>
      <c r="G187" s="84" t="str">
        <f>NJ_prices!G175</f>
        <v>General Service Medium</v>
      </c>
      <c r="H187" s="85" t="str">
        <f t="shared" ref="H187" si="170">IF($M$2="Prices in $/MWh","500-2500 MWh","500,000-2,500,000 kWh")</f>
        <v>500-2500 MWh</v>
      </c>
      <c r="I187" s="84">
        <f>(NJ_prices!I175+$D$2)*IF($M$2="Prices in $/MWh",1,1/1000)</f>
        <v>85.62</v>
      </c>
      <c r="J187" s="83">
        <f>(NJ_prices!J175+$D$2)*IF($M$2="Prices in $/MWh",1,1/1000)</f>
        <v>86.37</v>
      </c>
      <c r="K187" s="84">
        <f>(NJ_prices!K175+$D$2)*IF($M$2="Prices in $/MWh",1,1/1000)</f>
        <v>86.8</v>
      </c>
      <c r="L187" s="83">
        <f>(NJ_prices!L175+$D$2)*IF($M$2="Prices in $/MWh",1,1/1000)</f>
        <v>41.14</v>
      </c>
      <c r="M187" s="84">
        <f>(NJ_prices!M175+$D$2)*IF($M$2="Prices in $/MWh",1,1/1000)</f>
        <v>41.53</v>
      </c>
      <c r="N187" s="83">
        <f>(NJ_prices!N175+$D$2)*IF($M$2="Prices in $/MWh",1,1/1000)</f>
        <v>42.76</v>
      </c>
      <c r="O187" s="61"/>
    </row>
    <row r="188" spans="2:15" x14ac:dyDescent="0.25">
      <c r="B188" s="57"/>
      <c r="C188" s="74" t="str">
        <f>NJ_prices!C176</f>
        <v>December-2016</v>
      </c>
      <c r="D188" s="75" t="str">
        <f>NJ_prices!D176</f>
        <v>NJ</v>
      </c>
      <c r="E188" s="76" t="str">
        <f>NJ_prices!E176</f>
        <v>JCPL</v>
      </c>
      <c r="F188" s="75" t="str">
        <f>NJ_prices!F176</f>
        <v>GSCS</v>
      </c>
      <c r="G188" s="76" t="str">
        <f>NJ_prices!G176</f>
        <v>General Service Medium</v>
      </c>
      <c r="H188" s="77" t="str">
        <f t="shared" ref="H188" si="171">IF($M$2="Prices in $/MWh","0-100 MWh","0-100,000 kWh")</f>
        <v>0-100 MWh</v>
      </c>
      <c r="I188" s="76">
        <f>(NJ_prices!I176+$D$2)*IF($M$2="Prices in $/MWh",1,1/1000)</f>
        <v>88.28</v>
      </c>
      <c r="J188" s="75">
        <f>(NJ_prices!J176+$D$2)*IF($M$2="Prices in $/MWh",1,1/1000)</f>
        <v>89.18</v>
      </c>
      <c r="K188" s="76">
        <f>(NJ_prices!K176+$D$2)*IF($M$2="Prices in $/MWh",1,1/1000)</f>
        <v>89.8</v>
      </c>
      <c r="L188" s="75">
        <f>(NJ_prices!L176+$D$2)*IF($M$2="Prices in $/MWh",1,1/1000)</f>
        <v>44.09</v>
      </c>
      <c r="M188" s="76">
        <f>(NJ_prices!M176+$D$2)*IF($M$2="Prices in $/MWh",1,1/1000)</f>
        <v>44.35</v>
      </c>
      <c r="N188" s="75">
        <f>(NJ_prices!N176+$D$2)*IF($M$2="Prices in $/MWh",1,1/1000)</f>
        <v>45.97</v>
      </c>
      <c r="O188" s="61"/>
    </row>
    <row r="189" spans="2:15" x14ac:dyDescent="0.25">
      <c r="B189" s="57"/>
      <c r="C189" s="78" t="str">
        <f>NJ_prices!C177</f>
        <v>December-2016</v>
      </c>
      <c r="D189" s="79" t="str">
        <f>NJ_prices!D177</f>
        <v>NJ</v>
      </c>
      <c r="E189" s="80" t="str">
        <f>NJ_prices!E177</f>
        <v>JCPL</v>
      </c>
      <c r="F189" s="79" t="str">
        <f>NJ_prices!F177</f>
        <v>GSCS</v>
      </c>
      <c r="G189" s="80" t="str">
        <f>NJ_prices!G177</f>
        <v>General Service Medium</v>
      </c>
      <c r="H189" s="81" t="str">
        <f t="shared" ref="H189" si="172">IF($M$2="Prices in $/MWh","100-500 MWh","100,000-500,000 kWh")</f>
        <v>100-500 MWh</v>
      </c>
      <c r="I189" s="80">
        <f>(NJ_prices!I177+$D$2)*IF($M$2="Prices in $/MWh",1,1/1000)</f>
        <v>86.57</v>
      </c>
      <c r="J189" s="79">
        <f>(NJ_prices!J177+$D$2)*IF($M$2="Prices in $/MWh",1,1/1000)</f>
        <v>87.47</v>
      </c>
      <c r="K189" s="80">
        <f>(NJ_prices!K177+$D$2)*IF($M$2="Prices in $/MWh",1,1/1000)</f>
        <v>88.09</v>
      </c>
      <c r="L189" s="79">
        <f>(NJ_prices!L177+$D$2)*IF($M$2="Prices in $/MWh",1,1/1000)</f>
        <v>42.38</v>
      </c>
      <c r="M189" s="80">
        <f>(NJ_prices!M177+$D$2)*IF($M$2="Prices in $/MWh",1,1/1000)</f>
        <v>42.64</v>
      </c>
      <c r="N189" s="79">
        <f>(NJ_prices!N177+$D$2)*IF($M$2="Prices in $/MWh",1,1/1000)</f>
        <v>44.26</v>
      </c>
      <c r="O189" s="61"/>
    </row>
    <row r="190" spans="2:15" x14ac:dyDescent="0.25">
      <c r="B190" s="57"/>
      <c r="C190" s="82" t="str">
        <f>NJ_prices!C178</f>
        <v>December-2016</v>
      </c>
      <c r="D190" s="83" t="str">
        <f>NJ_prices!D178</f>
        <v>NJ</v>
      </c>
      <c r="E190" s="84" t="str">
        <f>NJ_prices!E178</f>
        <v>JCPL</v>
      </c>
      <c r="F190" s="83" t="str">
        <f>NJ_prices!F178</f>
        <v>GSCS</v>
      </c>
      <c r="G190" s="84" t="str">
        <f>NJ_prices!G178</f>
        <v>General Service Medium</v>
      </c>
      <c r="H190" s="85" t="str">
        <f t="shared" ref="H190" si="173">IF($M$2="Prices in $/MWh","500-2500 MWh","500,000-2,500,000 kWh")</f>
        <v>500-2500 MWh</v>
      </c>
      <c r="I190" s="84">
        <f>(NJ_prices!I178+$D$2)*IF($M$2="Prices in $/MWh",1,1/1000)</f>
        <v>85.44</v>
      </c>
      <c r="J190" s="83">
        <f>(NJ_prices!J178+$D$2)*IF($M$2="Prices in $/MWh",1,1/1000)</f>
        <v>86.35</v>
      </c>
      <c r="K190" s="84">
        <f>(NJ_prices!K178+$D$2)*IF($M$2="Prices in $/MWh",1,1/1000)</f>
        <v>86.97</v>
      </c>
      <c r="L190" s="83">
        <f>(NJ_prices!L178+$D$2)*IF($M$2="Prices in $/MWh",1,1/1000)</f>
        <v>41.25</v>
      </c>
      <c r="M190" s="84">
        <f>(NJ_prices!M178+$D$2)*IF($M$2="Prices in $/MWh",1,1/1000)</f>
        <v>41.51</v>
      </c>
      <c r="N190" s="83">
        <f>(NJ_prices!N178+$D$2)*IF($M$2="Prices in $/MWh",1,1/1000)</f>
        <v>43.13</v>
      </c>
      <c r="O190" s="61"/>
    </row>
    <row r="191" spans="2:15" x14ac:dyDescent="0.25">
      <c r="B191" s="57"/>
      <c r="C191" s="74" t="str">
        <f>NJ_prices!C179</f>
        <v>January-2017</v>
      </c>
      <c r="D191" s="75" t="str">
        <f>NJ_prices!D179</f>
        <v>NJ</v>
      </c>
      <c r="E191" s="76" t="str">
        <f>NJ_prices!E179</f>
        <v>JCPL</v>
      </c>
      <c r="F191" s="75" t="str">
        <f>NJ_prices!F179</f>
        <v>GSCS</v>
      </c>
      <c r="G191" s="76" t="str">
        <f>NJ_prices!G179</f>
        <v>General Service Medium</v>
      </c>
      <c r="H191" s="77" t="str">
        <f t="shared" ref="H191" si="174">IF($M$2="Prices in $/MWh","0-100 MWh","0-100,000 kWh")</f>
        <v>0-100 MWh</v>
      </c>
      <c r="I191" s="76">
        <f>(NJ_prices!I179+$D$2)*IF($M$2="Prices in $/MWh",1,1/1000)</f>
        <v>88.13</v>
      </c>
      <c r="J191" s="75">
        <f>(NJ_prices!J179+$D$2)*IF($M$2="Prices in $/MWh",1,1/1000)</f>
        <v>89.55</v>
      </c>
      <c r="K191" s="76">
        <f>(NJ_prices!K179+$D$2)*IF($M$2="Prices in $/MWh",1,1/1000)</f>
        <v>90.04</v>
      </c>
      <c r="L191" s="75">
        <f>(NJ_prices!L179+$D$2)*IF($M$2="Prices in $/MWh",1,1/1000)</f>
        <v>44.17</v>
      </c>
      <c r="M191" s="76">
        <f>(NJ_prices!M179+$D$2)*IF($M$2="Prices in $/MWh",1,1/1000)</f>
        <v>44.62</v>
      </c>
      <c r="N191" s="75">
        <f>(NJ_prices!N179+$D$2)*IF($M$2="Prices in $/MWh",1,1/1000)</f>
        <v>46.31</v>
      </c>
      <c r="O191" s="61"/>
    </row>
    <row r="192" spans="2:15" x14ac:dyDescent="0.25">
      <c r="B192" s="57"/>
      <c r="C192" s="78" t="str">
        <f>NJ_prices!C180</f>
        <v>January-2017</v>
      </c>
      <c r="D192" s="79" t="str">
        <f>NJ_prices!D180</f>
        <v>NJ</v>
      </c>
      <c r="E192" s="80" t="str">
        <f>NJ_prices!E180</f>
        <v>JCPL</v>
      </c>
      <c r="F192" s="79" t="str">
        <f>NJ_prices!F180</f>
        <v>GSCS</v>
      </c>
      <c r="G192" s="80" t="str">
        <f>NJ_prices!G180</f>
        <v>General Service Medium</v>
      </c>
      <c r="H192" s="81" t="str">
        <f t="shared" ref="H192" si="175">IF($M$2="Prices in $/MWh","100-500 MWh","100,000-500,000 kWh")</f>
        <v>100-500 MWh</v>
      </c>
      <c r="I192" s="80">
        <f>(NJ_prices!I180+$D$2)*IF($M$2="Prices in $/MWh",1,1/1000)</f>
        <v>86.42</v>
      </c>
      <c r="J192" s="79">
        <f>(NJ_prices!J180+$D$2)*IF($M$2="Prices in $/MWh",1,1/1000)</f>
        <v>87.84</v>
      </c>
      <c r="K192" s="80">
        <f>(NJ_prices!K180+$D$2)*IF($M$2="Prices in $/MWh",1,1/1000)</f>
        <v>88.33</v>
      </c>
      <c r="L192" s="79">
        <f>(NJ_prices!L180+$D$2)*IF($M$2="Prices in $/MWh",1,1/1000)</f>
        <v>42.46</v>
      </c>
      <c r="M192" s="80">
        <f>(NJ_prices!M180+$D$2)*IF($M$2="Prices in $/MWh",1,1/1000)</f>
        <v>42.91</v>
      </c>
      <c r="N192" s="79">
        <f>(NJ_prices!N180+$D$2)*IF($M$2="Prices in $/MWh",1,1/1000)</f>
        <v>44.6</v>
      </c>
      <c r="O192" s="61"/>
    </row>
    <row r="193" spans="2:15" x14ac:dyDescent="0.25">
      <c r="B193" s="57"/>
      <c r="C193" s="82" t="str">
        <f>NJ_prices!C181</f>
        <v>January-2017</v>
      </c>
      <c r="D193" s="83" t="str">
        <f>NJ_prices!D181</f>
        <v>NJ</v>
      </c>
      <c r="E193" s="84" t="str">
        <f>NJ_prices!E181</f>
        <v>JCPL</v>
      </c>
      <c r="F193" s="83" t="str">
        <f>NJ_prices!F181</f>
        <v>GSCS</v>
      </c>
      <c r="G193" s="84" t="str">
        <f>NJ_prices!G181</f>
        <v>General Service Medium</v>
      </c>
      <c r="H193" s="85" t="str">
        <f t="shared" ref="H193" si="176">IF($M$2="Prices in $/MWh","500-2500 MWh","500,000-2,500,000 kWh")</f>
        <v>500-2500 MWh</v>
      </c>
      <c r="I193" s="84">
        <f>(NJ_prices!I181+$D$2)*IF($M$2="Prices in $/MWh",1,1/1000)</f>
        <v>85.3</v>
      </c>
      <c r="J193" s="83">
        <f>(NJ_prices!J181+$D$2)*IF($M$2="Prices in $/MWh",1,1/1000)</f>
        <v>86.72</v>
      </c>
      <c r="K193" s="84">
        <f>(NJ_prices!K181+$D$2)*IF($M$2="Prices in $/MWh",1,1/1000)</f>
        <v>87.2</v>
      </c>
      <c r="L193" s="83">
        <f>(NJ_prices!L181+$D$2)*IF($M$2="Prices in $/MWh",1,1/1000)</f>
        <v>41.33</v>
      </c>
      <c r="M193" s="84">
        <f>(NJ_prices!M181+$D$2)*IF($M$2="Prices in $/MWh",1,1/1000)</f>
        <v>41.78</v>
      </c>
      <c r="N193" s="83">
        <f>(NJ_prices!N181+$D$2)*IF($M$2="Prices in $/MWh",1,1/1000)</f>
        <v>43.47</v>
      </c>
      <c r="O193" s="61"/>
    </row>
    <row r="194" spans="2:15" x14ac:dyDescent="0.25">
      <c r="B194" s="57"/>
      <c r="C194" s="74" t="str">
        <f>NJ_prices!C182</f>
        <v>February-2016</v>
      </c>
      <c r="D194" s="75" t="str">
        <f>NJ_prices!D182</f>
        <v>NJ</v>
      </c>
      <c r="E194" s="76" t="str">
        <f>NJ_prices!E182</f>
        <v>PSEG</v>
      </c>
      <c r="F194" s="75" t="str">
        <f>NJ_prices!F182</f>
        <v>GLP</v>
      </c>
      <c r="G194" s="76" t="str">
        <f>NJ_prices!G182</f>
        <v>General L&amp;P</v>
      </c>
      <c r="H194" s="77" t="str">
        <f t="shared" ref="H194" si="177">IF($M$2="Prices in $/MWh","0-100 MWh","0-100,000 kWh")</f>
        <v>0-100 MWh</v>
      </c>
      <c r="I194" s="76">
        <f>(NJ_prices!I182+$D$2)*IF($M$2="Prices in $/MWh",1,1/1000)</f>
        <v>107.49</v>
      </c>
      <c r="J194" s="75">
        <f>(NJ_prices!J182+$D$2)*IF($M$2="Prices in $/MWh",1,1/1000)</f>
        <v>109</v>
      </c>
      <c r="K194" s="76">
        <f>(NJ_prices!K182+$D$2)*IF($M$2="Prices in $/MWh",1,1/1000)</f>
        <v>109.07</v>
      </c>
      <c r="L194" s="75">
        <f>(NJ_prices!L182+$D$2)*IF($M$2="Prices in $/MWh",1,1/1000)</f>
        <v>62.58</v>
      </c>
      <c r="M194" s="76">
        <f>(NJ_prices!M182+$D$2)*IF($M$2="Prices in $/MWh",1,1/1000)</f>
        <v>63.97</v>
      </c>
      <c r="N194" s="75">
        <f>(NJ_prices!N182+$D$2)*IF($M$2="Prices in $/MWh",1,1/1000)</f>
        <v>64.56</v>
      </c>
      <c r="O194" s="61"/>
    </row>
    <row r="195" spans="2:15" x14ac:dyDescent="0.25">
      <c r="B195" s="57"/>
      <c r="C195" s="78" t="str">
        <f>NJ_prices!C183</f>
        <v>February-2016</v>
      </c>
      <c r="D195" s="79" t="str">
        <f>NJ_prices!D183</f>
        <v>NJ</v>
      </c>
      <c r="E195" s="80" t="str">
        <f>NJ_prices!E183</f>
        <v>PSEG</v>
      </c>
      <c r="F195" s="79" t="str">
        <f>NJ_prices!F183</f>
        <v>GLP</v>
      </c>
      <c r="G195" s="80" t="str">
        <f>NJ_prices!G183</f>
        <v>General L&amp;P</v>
      </c>
      <c r="H195" s="81" t="str">
        <f t="shared" ref="H195" si="178">IF($M$2="Prices in $/MWh","100-500 MWh","100,000-500,000 kWh")</f>
        <v>100-500 MWh</v>
      </c>
      <c r="I195" s="80">
        <f>(NJ_prices!I183+$D$2)*IF($M$2="Prices in $/MWh",1,1/1000)</f>
        <v>105.78</v>
      </c>
      <c r="J195" s="79">
        <f>(NJ_prices!J183+$D$2)*IF($M$2="Prices in $/MWh",1,1/1000)</f>
        <v>107.29</v>
      </c>
      <c r="K195" s="80">
        <f>(NJ_prices!K183+$D$2)*IF($M$2="Prices in $/MWh",1,1/1000)</f>
        <v>107.35</v>
      </c>
      <c r="L195" s="79">
        <f>(NJ_prices!L183+$D$2)*IF($M$2="Prices in $/MWh",1,1/1000)</f>
        <v>60.87</v>
      </c>
      <c r="M195" s="80">
        <f>(NJ_prices!M183+$D$2)*IF($M$2="Prices in $/MWh",1,1/1000)</f>
        <v>62.26</v>
      </c>
      <c r="N195" s="79">
        <f>(NJ_prices!N183+$D$2)*IF($M$2="Prices in $/MWh",1,1/1000)</f>
        <v>62.85</v>
      </c>
      <c r="O195" s="61"/>
    </row>
    <row r="196" spans="2:15" x14ac:dyDescent="0.25">
      <c r="B196" s="57"/>
      <c r="C196" s="82" t="str">
        <f>NJ_prices!C184</f>
        <v>February-2016</v>
      </c>
      <c r="D196" s="83" t="str">
        <f>NJ_prices!D184</f>
        <v>NJ</v>
      </c>
      <c r="E196" s="84" t="str">
        <f>NJ_prices!E184</f>
        <v>PSEG</v>
      </c>
      <c r="F196" s="83" t="str">
        <f>NJ_prices!F184</f>
        <v>GLP</v>
      </c>
      <c r="G196" s="84" t="str">
        <f>NJ_prices!G184</f>
        <v>General L&amp;P</v>
      </c>
      <c r="H196" s="85" t="str">
        <f t="shared" ref="H196" si="179">IF($M$2="Prices in $/MWh","500-2500 MWh","500,000-2,500,000 kWh")</f>
        <v>500-2500 MWh</v>
      </c>
      <c r="I196" s="84">
        <f>(NJ_prices!I184+$D$2)*IF($M$2="Prices in $/MWh",1,1/1000)</f>
        <v>104.65</v>
      </c>
      <c r="J196" s="83">
        <f>(NJ_prices!J184+$D$2)*IF($M$2="Prices in $/MWh",1,1/1000)</f>
        <v>106.16</v>
      </c>
      <c r="K196" s="84">
        <f>(NJ_prices!K184+$D$2)*IF($M$2="Prices in $/MWh",1,1/1000)</f>
        <v>106.23</v>
      </c>
      <c r="L196" s="83">
        <f>(NJ_prices!L184+$D$2)*IF($M$2="Prices in $/MWh",1,1/1000)</f>
        <v>59.74</v>
      </c>
      <c r="M196" s="84">
        <f>(NJ_prices!M184+$D$2)*IF($M$2="Prices in $/MWh",1,1/1000)</f>
        <v>61.13</v>
      </c>
      <c r="N196" s="83">
        <f>(NJ_prices!N184+$D$2)*IF($M$2="Prices in $/MWh",1,1/1000)</f>
        <v>61.72</v>
      </c>
      <c r="O196" s="61"/>
    </row>
    <row r="197" spans="2:15" x14ac:dyDescent="0.25">
      <c r="B197" s="57"/>
      <c r="C197" s="74" t="str">
        <f>NJ_prices!C185</f>
        <v>March-2016</v>
      </c>
      <c r="D197" s="75" t="str">
        <f>NJ_prices!D185</f>
        <v>NJ</v>
      </c>
      <c r="E197" s="76" t="str">
        <f>NJ_prices!E185</f>
        <v>PSEG</v>
      </c>
      <c r="F197" s="75" t="str">
        <f>NJ_prices!F185</f>
        <v>GLP</v>
      </c>
      <c r="G197" s="76" t="str">
        <f>NJ_prices!G185</f>
        <v>General L&amp;P</v>
      </c>
      <c r="H197" s="77" t="str">
        <f t="shared" ref="H197" si="180">IF($M$2="Prices in $/MWh","0-100 MWh","0-100,000 kWh")</f>
        <v>0-100 MWh</v>
      </c>
      <c r="I197" s="76">
        <f>(NJ_prices!I185+$D$2)*IF($M$2="Prices in $/MWh",1,1/1000)</f>
        <v>108.76</v>
      </c>
      <c r="J197" s="75">
        <f>(NJ_prices!J185+$D$2)*IF($M$2="Prices in $/MWh",1,1/1000)</f>
        <v>108.49</v>
      </c>
      <c r="K197" s="76">
        <f>(NJ_prices!K185+$D$2)*IF($M$2="Prices in $/MWh",1,1/1000)</f>
        <v>109.75</v>
      </c>
      <c r="L197" s="75">
        <f>(NJ_prices!L185+$D$2)*IF($M$2="Prices in $/MWh",1,1/1000)</f>
        <v>63.23</v>
      </c>
      <c r="M197" s="76">
        <f>(NJ_prices!M185+$D$2)*IF($M$2="Prices in $/MWh",1,1/1000)</f>
        <v>63.48</v>
      </c>
      <c r="N197" s="75">
        <f>(NJ_prices!N185+$D$2)*IF($M$2="Prices in $/MWh",1,1/1000)</f>
        <v>64.88</v>
      </c>
      <c r="O197" s="61"/>
    </row>
    <row r="198" spans="2:15" x14ac:dyDescent="0.25">
      <c r="B198" s="57"/>
      <c r="C198" s="78" t="str">
        <f>NJ_prices!C186</f>
        <v>March-2016</v>
      </c>
      <c r="D198" s="79" t="str">
        <f>NJ_prices!D186</f>
        <v>NJ</v>
      </c>
      <c r="E198" s="80" t="str">
        <f>NJ_prices!E186</f>
        <v>PSEG</v>
      </c>
      <c r="F198" s="79" t="str">
        <f>NJ_prices!F186</f>
        <v>GLP</v>
      </c>
      <c r="G198" s="80" t="str">
        <f>NJ_prices!G186</f>
        <v>General L&amp;P</v>
      </c>
      <c r="H198" s="81" t="str">
        <f t="shared" ref="H198" si="181">IF($M$2="Prices in $/MWh","100-500 MWh","100,000-500,000 kWh")</f>
        <v>100-500 MWh</v>
      </c>
      <c r="I198" s="80">
        <f>(NJ_prices!I186+$D$2)*IF($M$2="Prices in $/MWh",1,1/1000)</f>
        <v>107.05</v>
      </c>
      <c r="J198" s="79">
        <f>(NJ_prices!J186+$D$2)*IF($M$2="Prices in $/MWh",1,1/1000)</f>
        <v>106.78</v>
      </c>
      <c r="K198" s="80">
        <f>(NJ_prices!K186+$D$2)*IF($M$2="Prices in $/MWh",1,1/1000)</f>
        <v>108.04</v>
      </c>
      <c r="L198" s="79">
        <f>(NJ_prices!L186+$D$2)*IF($M$2="Prices in $/MWh",1,1/1000)</f>
        <v>61.52</v>
      </c>
      <c r="M198" s="80">
        <f>(NJ_prices!M186+$D$2)*IF($M$2="Prices in $/MWh",1,1/1000)</f>
        <v>61.77</v>
      </c>
      <c r="N198" s="79">
        <f>(NJ_prices!N186+$D$2)*IF($M$2="Prices in $/MWh",1,1/1000)</f>
        <v>63.17</v>
      </c>
      <c r="O198" s="61"/>
    </row>
    <row r="199" spans="2:15" x14ac:dyDescent="0.25">
      <c r="B199" s="57"/>
      <c r="C199" s="82" t="str">
        <f>NJ_prices!C187</f>
        <v>March-2016</v>
      </c>
      <c r="D199" s="83" t="str">
        <f>NJ_prices!D187</f>
        <v>NJ</v>
      </c>
      <c r="E199" s="84" t="str">
        <f>NJ_prices!E187</f>
        <v>PSEG</v>
      </c>
      <c r="F199" s="83" t="str">
        <f>NJ_prices!F187</f>
        <v>GLP</v>
      </c>
      <c r="G199" s="84" t="str">
        <f>NJ_prices!G187</f>
        <v>General L&amp;P</v>
      </c>
      <c r="H199" s="85" t="str">
        <f t="shared" ref="H199" si="182">IF($M$2="Prices in $/MWh","500-2500 MWh","500,000-2,500,000 kWh")</f>
        <v>500-2500 MWh</v>
      </c>
      <c r="I199" s="84">
        <f>(NJ_prices!I187+$D$2)*IF($M$2="Prices in $/MWh",1,1/1000)</f>
        <v>105.93</v>
      </c>
      <c r="J199" s="83">
        <f>(NJ_prices!J187+$D$2)*IF($M$2="Prices in $/MWh",1,1/1000)</f>
        <v>105.66</v>
      </c>
      <c r="K199" s="84">
        <f>(NJ_prices!K187+$D$2)*IF($M$2="Prices in $/MWh",1,1/1000)</f>
        <v>106.92</v>
      </c>
      <c r="L199" s="83">
        <f>(NJ_prices!L187+$D$2)*IF($M$2="Prices in $/MWh",1,1/1000)</f>
        <v>60.39</v>
      </c>
      <c r="M199" s="84">
        <f>(NJ_prices!M187+$D$2)*IF($M$2="Prices in $/MWh",1,1/1000)</f>
        <v>60.64</v>
      </c>
      <c r="N199" s="83">
        <f>(NJ_prices!N187+$D$2)*IF($M$2="Prices in $/MWh",1,1/1000)</f>
        <v>62.04</v>
      </c>
      <c r="O199" s="61"/>
    </row>
    <row r="200" spans="2:15" x14ac:dyDescent="0.25">
      <c r="B200" s="57"/>
      <c r="C200" s="74" t="str">
        <f>NJ_prices!C188</f>
        <v>April-2016</v>
      </c>
      <c r="D200" s="75" t="str">
        <f>NJ_prices!D188</f>
        <v>NJ</v>
      </c>
      <c r="E200" s="76" t="str">
        <f>NJ_prices!E188</f>
        <v>PSEG</v>
      </c>
      <c r="F200" s="75" t="str">
        <f>NJ_prices!F188</f>
        <v>GLP</v>
      </c>
      <c r="G200" s="76" t="str">
        <f>NJ_prices!G188</f>
        <v>General L&amp;P</v>
      </c>
      <c r="H200" s="77" t="str">
        <f t="shared" ref="H200" si="183">IF($M$2="Prices in $/MWh","0-100 MWh","0-100,000 kWh")</f>
        <v>0-100 MWh</v>
      </c>
      <c r="I200" s="76">
        <f>(NJ_prices!I188+$D$2)*IF($M$2="Prices in $/MWh",1,1/1000)</f>
        <v>109.71</v>
      </c>
      <c r="J200" s="75">
        <f>(NJ_prices!J188+$D$2)*IF($M$2="Prices in $/MWh",1,1/1000)</f>
        <v>108.09</v>
      </c>
      <c r="K200" s="76">
        <f>(NJ_prices!K188+$D$2)*IF($M$2="Prices in $/MWh",1,1/1000)</f>
        <v>110.18</v>
      </c>
      <c r="L200" s="75">
        <f>(NJ_prices!L188+$D$2)*IF($M$2="Prices in $/MWh",1,1/1000)</f>
        <v>64.06</v>
      </c>
      <c r="M200" s="76">
        <f>(NJ_prices!M188+$D$2)*IF($M$2="Prices in $/MWh",1,1/1000)</f>
        <v>63.26</v>
      </c>
      <c r="N200" s="75">
        <f>(NJ_prices!N188+$D$2)*IF($M$2="Prices in $/MWh",1,1/1000)</f>
        <v>65.28</v>
      </c>
      <c r="O200" s="61"/>
    </row>
    <row r="201" spans="2:15" x14ac:dyDescent="0.25">
      <c r="B201" s="57"/>
      <c r="C201" s="78" t="str">
        <f>NJ_prices!C189</f>
        <v>April-2016</v>
      </c>
      <c r="D201" s="79" t="str">
        <f>NJ_prices!D189</f>
        <v>NJ</v>
      </c>
      <c r="E201" s="80" t="str">
        <f>NJ_prices!E189</f>
        <v>PSEG</v>
      </c>
      <c r="F201" s="79" t="str">
        <f>NJ_prices!F189</f>
        <v>GLP</v>
      </c>
      <c r="G201" s="80" t="str">
        <f>NJ_prices!G189</f>
        <v>General L&amp;P</v>
      </c>
      <c r="H201" s="81" t="str">
        <f t="shared" ref="H201" si="184">IF($M$2="Prices in $/MWh","100-500 MWh","100,000-500,000 kWh")</f>
        <v>100-500 MWh</v>
      </c>
      <c r="I201" s="80">
        <f>(NJ_prices!I189+$D$2)*IF($M$2="Prices in $/MWh",1,1/1000)</f>
        <v>108</v>
      </c>
      <c r="J201" s="79">
        <f>(NJ_prices!J189+$D$2)*IF($M$2="Prices in $/MWh",1,1/1000)</f>
        <v>106.37</v>
      </c>
      <c r="K201" s="80">
        <f>(NJ_prices!K189+$D$2)*IF($M$2="Prices in $/MWh",1,1/1000)</f>
        <v>108.46</v>
      </c>
      <c r="L201" s="79">
        <f>(NJ_prices!L189+$D$2)*IF($M$2="Prices in $/MWh",1,1/1000)</f>
        <v>62.35</v>
      </c>
      <c r="M201" s="80">
        <f>(NJ_prices!M189+$D$2)*IF($M$2="Prices in $/MWh",1,1/1000)</f>
        <v>61.55</v>
      </c>
      <c r="N201" s="79">
        <f>(NJ_prices!N189+$D$2)*IF($M$2="Prices in $/MWh",1,1/1000)</f>
        <v>63.57</v>
      </c>
      <c r="O201" s="61"/>
    </row>
    <row r="202" spans="2:15" x14ac:dyDescent="0.25">
      <c r="B202" s="57"/>
      <c r="C202" s="82" t="str">
        <f>NJ_prices!C190</f>
        <v>April-2016</v>
      </c>
      <c r="D202" s="83" t="str">
        <f>NJ_prices!D190</f>
        <v>NJ</v>
      </c>
      <c r="E202" s="84" t="str">
        <f>NJ_prices!E190</f>
        <v>PSEG</v>
      </c>
      <c r="F202" s="83" t="str">
        <f>NJ_prices!F190</f>
        <v>GLP</v>
      </c>
      <c r="G202" s="84" t="str">
        <f>NJ_prices!G190</f>
        <v>General L&amp;P</v>
      </c>
      <c r="H202" s="85" t="str">
        <f t="shared" ref="H202" si="185">IF($M$2="Prices in $/MWh","500-2500 MWh","500,000-2,500,000 kWh")</f>
        <v>500-2500 MWh</v>
      </c>
      <c r="I202" s="84">
        <f>(NJ_prices!I190+$D$2)*IF($M$2="Prices in $/MWh",1,1/1000)</f>
        <v>106.87</v>
      </c>
      <c r="J202" s="83">
        <f>(NJ_prices!J190+$D$2)*IF($M$2="Prices in $/MWh",1,1/1000)</f>
        <v>105.25</v>
      </c>
      <c r="K202" s="84">
        <f>(NJ_prices!K190+$D$2)*IF($M$2="Prices in $/MWh",1,1/1000)</f>
        <v>107.34</v>
      </c>
      <c r="L202" s="83">
        <f>(NJ_prices!L190+$D$2)*IF($M$2="Prices in $/MWh",1,1/1000)</f>
        <v>61.22</v>
      </c>
      <c r="M202" s="84">
        <f>(NJ_prices!M190+$D$2)*IF($M$2="Prices in $/MWh",1,1/1000)</f>
        <v>60.42</v>
      </c>
      <c r="N202" s="83">
        <f>(NJ_prices!N190+$D$2)*IF($M$2="Prices in $/MWh",1,1/1000)</f>
        <v>62.45</v>
      </c>
      <c r="O202" s="61"/>
    </row>
    <row r="203" spans="2:15" x14ac:dyDescent="0.25">
      <c r="B203" s="57"/>
      <c r="C203" s="74" t="str">
        <f>NJ_prices!C191</f>
        <v>May-2016</v>
      </c>
      <c r="D203" s="75" t="str">
        <f>NJ_prices!D191</f>
        <v>NJ</v>
      </c>
      <c r="E203" s="76" t="str">
        <f>NJ_prices!E191</f>
        <v>PSEG</v>
      </c>
      <c r="F203" s="75" t="str">
        <f>NJ_prices!F191</f>
        <v>GLP</v>
      </c>
      <c r="G203" s="76" t="str">
        <f>NJ_prices!G191</f>
        <v>General L&amp;P</v>
      </c>
      <c r="H203" s="77" t="str">
        <f t="shared" ref="H203" si="186">IF($M$2="Prices in $/MWh","0-100 MWh","0-100,000 kWh")</f>
        <v>0-100 MWh</v>
      </c>
      <c r="I203" s="76">
        <f>(NJ_prices!I191+$D$2)*IF($M$2="Prices in $/MWh",1,1/1000)</f>
        <v>110.51</v>
      </c>
      <c r="J203" s="75">
        <f>(NJ_prices!J191+$D$2)*IF($M$2="Prices in $/MWh",1,1/1000)</f>
        <v>108.24</v>
      </c>
      <c r="K203" s="76">
        <f>(NJ_prices!K191+$D$2)*IF($M$2="Prices in $/MWh",1,1/1000)</f>
        <v>110.51</v>
      </c>
      <c r="L203" s="75">
        <f>(NJ_prices!L191+$D$2)*IF($M$2="Prices in $/MWh",1,1/1000)</f>
        <v>64.83</v>
      </c>
      <c r="M203" s="76">
        <f>(NJ_prices!M191+$D$2)*IF($M$2="Prices in $/MWh",1,1/1000)</f>
        <v>63.61</v>
      </c>
      <c r="N203" s="75">
        <f>(NJ_prices!N191+$D$2)*IF($M$2="Prices in $/MWh",1,1/1000)</f>
        <v>65.64</v>
      </c>
      <c r="O203" s="61"/>
    </row>
    <row r="204" spans="2:15" x14ac:dyDescent="0.25">
      <c r="B204" s="57"/>
      <c r="C204" s="78" t="str">
        <f>NJ_prices!C192</f>
        <v>May-2016</v>
      </c>
      <c r="D204" s="79" t="str">
        <f>NJ_prices!D192</f>
        <v>NJ</v>
      </c>
      <c r="E204" s="80" t="str">
        <f>NJ_prices!E192</f>
        <v>PSEG</v>
      </c>
      <c r="F204" s="79" t="str">
        <f>NJ_prices!F192</f>
        <v>GLP</v>
      </c>
      <c r="G204" s="80" t="str">
        <f>NJ_prices!G192</f>
        <v>General L&amp;P</v>
      </c>
      <c r="H204" s="81" t="str">
        <f t="shared" ref="H204" si="187">IF($M$2="Prices in $/MWh","100-500 MWh","100,000-500,000 kWh")</f>
        <v>100-500 MWh</v>
      </c>
      <c r="I204" s="80">
        <f>(NJ_prices!I192+$D$2)*IF($M$2="Prices in $/MWh",1,1/1000)</f>
        <v>108.8</v>
      </c>
      <c r="J204" s="79">
        <f>(NJ_prices!J192+$D$2)*IF($M$2="Prices in $/MWh",1,1/1000)</f>
        <v>106.53</v>
      </c>
      <c r="K204" s="80">
        <f>(NJ_prices!K192+$D$2)*IF($M$2="Prices in $/MWh",1,1/1000)</f>
        <v>108.8</v>
      </c>
      <c r="L204" s="79">
        <f>(NJ_prices!L192+$D$2)*IF($M$2="Prices in $/MWh",1,1/1000)</f>
        <v>63.12</v>
      </c>
      <c r="M204" s="80">
        <f>(NJ_prices!M192+$D$2)*IF($M$2="Prices in $/MWh",1,1/1000)</f>
        <v>61.9</v>
      </c>
      <c r="N204" s="79">
        <f>(NJ_prices!N192+$D$2)*IF($M$2="Prices in $/MWh",1,1/1000)</f>
        <v>63.93</v>
      </c>
      <c r="O204" s="61"/>
    </row>
    <row r="205" spans="2:15" x14ac:dyDescent="0.25">
      <c r="B205" s="57"/>
      <c r="C205" s="82" t="str">
        <f>NJ_prices!C193</f>
        <v>May-2016</v>
      </c>
      <c r="D205" s="83" t="str">
        <f>NJ_prices!D193</f>
        <v>NJ</v>
      </c>
      <c r="E205" s="84" t="str">
        <f>NJ_prices!E193</f>
        <v>PSEG</v>
      </c>
      <c r="F205" s="83" t="str">
        <f>NJ_prices!F193</f>
        <v>GLP</v>
      </c>
      <c r="G205" s="84" t="str">
        <f>NJ_prices!G193</f>
        <v>General L&amp;P</v>
      </c>
      <c r="H205" s="85" t="str">
        <f t="shared" ref="H205" si="188">IF($M$2="Prices in $/MWh","500-2500 MWh","500,000-2,500,000 kWh")</f>
        <v>500-2500 MWh</v>
      </c>
      <c r="I205" s="84">
        <f>(NJ_prices!I193+$D$2)*IF($M$2="Prices in $/MWh",1,1/1000)</f>
        <v>107.67</v>
      </c>
      <c r="J205" s="83">
        <f>(NJ_prices!J193+$D$2)*IF($M$2="Prices in $/MWh",1,1/1000)</f>
        <v>105.41</v>
      </c>
      <c r="K205" s="84">
        <f>(NJ_prices!K193+$D$2)*IF($M$2="Prices in $/MWh",1,1/1000)</f>
        <v>107.67</v>
      </c>
      <c r="L205" s="83">
        <f>(NJ_prices!L193+$D$2)*IF($M$2="Prices in $/MWh",1,1/1000)</f>
        <v>61.99</v>
      </c>
      <c r="M205" s="84">
        <f>(NJ_prices!M193+$D$2)*IF($M$2="Prices in $/MWh",1,1/1000)</f>
        <v>60.77</v>
      </c>
      <c r="N205" s="83">
        <f>(NJ_prices!N193+$D$2)*IF($M$2="Prices in $/MWh",1,1/1000)</f>
        <v>62.8</v>
      </c>
      <c r="O205" s="61"/>
    </row>
    <row r="206" spans="2:15" x14ac:dyDescent="0.25">
      <c r="B206" s="57"/>
      <c r="C206" s="74" t="str">
        <f>NJ_prices!C194</f>
        <v>June-2016</v>
      </c>
      <c r="D206" s="75" t="str">
        <f>NJ_prices!D194</f>
        <v>NJ</v>
      </c>
      <c r="E206" s="76" t="str">
        <f>NJ_prices!E194</f>
        <v>PSEG</v>
      </c>
      <c r="F206" s="75" t="str">
        <f>NJ_prices!F194</f>
        <v>GLP</v>
      </c>
      <c r="G206" s="76" t="str">
        <f>NJ_prices!G194</f>
        <v>General L&amp;P</v>
      </c>
      <c r="H206" s="77" t="str">
        <f t="shared" ref="H206" si="189">IF($M$2="Prices in $/MWh","0-100 MWh","0-100,000 kWh")</f>
        <v>0-100 MWh</v>
      </c>
      <c r="I206" s="76">
        <f>(NJ_prices!I194+$D$2)*IF($M$2="Prices in $/MWh",1,1/1000)</f>
        <v>111.2</v>
      </c>
      <c r="J206" s="75">
        <f>(NJ_prices!J194+$D$2)*IF($M$2="Prices in $/MWh",1,1/1000)</f>
        <v>108.63</v>
      </c>
      <c r="K206" s="76">
        <f>(NJ_prices!K194+$D$2)*IF($M$2="Prices in $/MWh",1,1/1000)</f>
        <v>110.82</v>
      </c>
      <c r="L206" s="75">
        <f>(NJ_prices!L194+$D$2)*IF($M$2="Prices in $/MWh",1,1/1000)</f>
        <v>65.59</v>
      </c>
      <c r="M206" s="76">
        <f>(NJ_prices!M194+$D$2)*IF($M$2="Prices in $/MWh",1,1/1000)</f>
        <v>64.28</v>
      </c>
      <c r="N206" s="75">
        <f>(NJ_prices!N194+$D$2)*IF($M$2="Prices in $/MWh",1,1/1000)</f>
        <v>65.98</v>
      </c>
      <c r="O206" s="61"/>
    </row>
    <row r="207" spans="2:15" x14ac:dyDescent="0.25">
      <c r="B207" s="57"/>
      <c r="C207" s="78" t="str">
        <f>NJ_prices!C195</f>
        <v>June-2016</v>
      </c>
      <c r="D207" s="79" t="str">
        <f>NJ_prices!D195</f>
        <v>NJ</v>
      </c>
      <c r="E207" s="80" t="str">
        <f>NJ_prices!E195</f>
        <v>PSEG</v>
      </c>
      <c r="F207" s="79" t="str">
        <f>NJ_prices!F195</f>
        <v>GLP</v>
      </c>
      <c r="G207" s="80" t="str">
        <f>NJ_prices!G195</f>
        <v>General L&amp;P</v>
      </c>
      <c r="H207" s="81" t="str">
        <f t="shared" ref="H207" si="190">IF($M$2="Prices in $/MWh","100-500 MWh","100,000-500,000 kWh")</f>
        <v>100-500 MWh</v>
      </c>
      <c r="I207" s="80">
        <f>(NJ_prices!I195+$D$2)*IF($M$2="Prices in $/MWh",1,1/1000)</f>
        <v>109.49</v>
      </c>
      <c r="J207" s="79">
        <f>(NJ_prices!J195+$D$2)*IF($M$2="Prices in $/MWh",1,1/1000)</f>
        <v>106.91</v>
      </c>
      <c r="K207" s="80">
        <f>(NJ_prices!K195+$D$2)*IF($M$2="Prices in $/MWh",1,1/1000)</f>
        <v>109.11</v>
      </c>
      <c r="L207" s="79">
        <f>(NJ_prices!L195+$D$2)*IF($M$2="Prices in $/MWh",1,1/1000)</f>
        <v>63.88</v>
      </c>
      <c r="M207" s="80">
        <f>(NJ_prices!M195+$D$2)*IF($M$2="Prices in $/MWh",1,1/1000)</f>
        <v>62.57</v>
      </c>
      <c r="N207" s="79">
        <f>(NJ_prices!N195+$D$2)*IF($M$2="Prices in $/MWh",1,1/1000)</f>
        <v>64.27</v>
      </c>
      <c r="O207" s="61"/>
    </row>
    <row r="208" spans="2:15" x14ac:dyDescent="0.25">
      <c r="B208" s="57"/>
      <c r="C208" s="82" t="str">
        <f>NJ_prices!C196</f>
        <v>June-2016</v>
      </c>
      <c r="D208" s="83" t="str">
        <f>NJ_prices!D196</f>
        <v>NJ</v>
      </c>
      <c r="E208" s="84" t="str">
        <f>NJ_prices!E196</f>
        <v>PSEG</v>
      </c>
      <c r="F208" s="83" t="str">
        <f>NJ_prices!F196</f>
        <v>GLP</v>
      </c>
      <c r="G208" s="84" t="str">
        <f>NJ_prices!G196</f>
        <v>General L&amp;P</v>
      </c>
      <c r="H208" s="85" t="str">
        <f t="shared" ref="H208" si="191">IF($M$2="Prices in $/MWh","500-2500 MWh","500,000-2,500,000 kWh")</f>
        <v>500-2500 MWh</v>
      </c>
      <c r="I208" s="84">
        <f>(NJ_prices!I196+$D$2)*IF($M$2="Prices in $/MWh",1,1/1000)</f>
        <v>108.37</v>
      </c>
      <c r="J208" s="83">
        <f>(NJ_prices!J196+$D$2)*IF($M$2="Prices in $/MWh",1,1/1000)</f>
        <v>105.79</v>
      </c>
      <c r="K208" s="84">
        <f>(NJ_prices!K196+$D$2)*IF($M$2="Prices in $/MWh",1,1/1000)</f>
        <v>107.98</v>
      </c>
      <c r="L208" s="83">
        <f>(NJ_prices!L196+$D$2)*IF($M$2="Prices in $/MWh",1,1/1000)</f>
        <v>62.75</v>
      </c>
      <c r="M208" s="84">
        <f>(NJ_prices!M196+$D$2)*IF($M$2="Prices in $/MWh",1,1/1000)</f>
        <v>61.45</v>
      </c>
      <c r="N208" s="83">
        <f>(NJ_prices!N196+$D$2)*IF($M$2="Prices in $/MWh",1,1/1000)</f>
        <v>63.14</v>
      </c>
      <c r="O208" s="61"/>
    </row>
    <row r="209" spans="2:15" x14ac:dyDescent="0.25">
      <c r="B209" s="57"/>
      <c r="C209" s="74" t="str">
        <f>NJ_prices!C197</f>
        <v>July-2016</v>
      </c>
      <c r="D209" s="75" t="str">
        <f>NJ_prices!D197</f>
        <v>NJ</v>
      </c>
      <c r="E209" s="76" t="str">
        <f>NJ_prices!E197</f>
        <v>PSEG</v>
      </c>
      <c r="F209" s="75" t="str">
        <f>NJ_prices!F197</f>
        <v>GLP</v>
      </c>
      <c r="G209" s="76" t="str">
        <f>NJ_prices!G197</f>
        <v>General L&amp;P</v>
      </c>
      <c r="H209" s="77" t="str">
        <f t="shared" ref="H209" si="192">IF($M$2="Prices in $/MWh","0-100 MWh","0-100,000 kWh")</f>
        <v>0-100 MWh</v>
      </c>
      <c r="I209" s="76">
        <f>(NJ_prices!I197+$D$2)*IF($M$2="Prices in $/MWh",1,1/1000)</f>
        <v>111.21</v>
      </c>
      <c r="J209" s="75">
        <f>(NJ_prices!J197+$D$2)*IF($M$2="Prices in $/MWh",1,1/1000)</f>
        <v>109.08</v>
      </c>
      <c r="K209" s="76">
        <f>(NJ_prices!K197+$D$2)*IF($M$2="Prices in $/MWh",1,1/1000)</f>
        <v>110.82</v>
      </c>
      <c r="L209" s="75">
        <f>(NJ_prices!L197+$D$2)*IF($M$2="Prices in $/MWh",1,1/1000)</f>
        <v>65.75</v>
      </c>
      <c r="M209" s="76">
        <f>(NJ_prices!M197+$D$2)*IF($M$2="Prices in $/MWh",1,1/1000)</f>
        <v>65.069999999999993</v>
      </c>
      <c r="N209" s="75">
        <f>(NJ_prices!N197+$D$2)*IF($M$2="Prices in $/MWh",1,1/1000)</f>
        <v>66.14</v>
      </c>
      <c r="O209" s="61"/>
    </row>
    <row r="210" spans="2:15" x14ac:dyDescent="0.25">
      <c r="B210" s="57"/>
      <c r="C210" s="78" t="str">
        <f>NJ_prices!C198</f>
        <v>July-2016</v>
      </c>
      <c r="D210" s="79" t="str">
        <f>NJ_prices!D198</f>
        <v>NJ</v>
      </c>
      <c r="E210" s="80" t="str">
        <f>NJ_prices!E198</f>
        <v>PSEG</v>
      </c>
      <c r="F210" s="79" t="str">
        <f>NJ_prices!F198</f>
        <v>GLP</v>
      </c>
      <c r="G210" s="80" t="str">
        <f>NJ_prices!G198</f>
        <v>General L&amp;P</v>
      </c>
      <c r="H210" s="81" t="str">
        <f t="shared" ref="H210" si="193">IF($M$2="Prices in $/MWh","100-500 MWh","100,000-500,000 kWh")</f>
        <v>100-500 MWh</v>
      </c>
      <c r="I210" s="80">
        <f>(NJ_prices!I198+$D$2)*IF($M$2="Prices in $/MWh",1,1/1000)</f>
        <v>109.5</v>
      </c>
      <c r="J210" s="79">
        <f>(NJ_prices!J198+$D$2)*IF($M$2="Prices in $/MWh",1,1/1000)</f>
        <v>107.37</v>
      </c>
      <c r="K210" s="80">
        <f>(NJ_prices!K198+$D$2)*IF($M$2="Prices in $/MWh",1,1/1000)</f>
        <v>109.11</v>
      </c>
      <c r="L210" s="79">
        <f>(NJ_prices!L198+$D$2)*IF($M$2="Prices in $/MWh",1,1/1000)</f>
        <v>64.040000000000006</v>
      </c>
      <c r="M210" s="80">
        <f>(NJ_prices!M198+$D$2)*IF($M$2="Prices in $/MWh",1,1/1000)</f>
        <v>63.36</v>
      </c>
      <c r="N210" s="79">
        <f>(NJ_prices!N198+$D$2)*IF($M$2="Prices in $/MWh",1,1/1000)</f>
        <v>64.430000000000007</v>
      </c>
      <c r="O210" s="61"/>
    </row>
    <row r="211" spans="2:15" x14ac:dyDescent="0.25">
      <c r="B211" s="57"/>
      <c r="C211" s="82" t="str">
        <f>NJ_prices!C199</f>
        <v>July-2016</v>
      </c>
      <c r="D211" s="83" t="str">
        <f>NJ_prices!D199</f>
        <v>NJ</v>
      </c>
      <c r="E211" s="84" t="str">
        <f>NJ_prices!E199</f>
        <v>PSEG</v>
      </c>
      <c r="F211" s="83" t="str">
        <f>NJ_prices!F199</f>
        <v>GLP</v>
      </c>
      <c r="G211" s="84" t="str">
        <f>NJ_prices!G199</f>
        <v>General L&amp;P</v>
      </c>
      <c r="H211" s="85" t="str">
        <f t="shared" ref="H211" si="194">IF($M$2="Prices in $/MWh","500-2500 MWh","500,000-2,500,000 kWh")</f>
        <v>500-2500 MWh</v>
      </c>
      <c r="I211" s="84">
        <f>(NJ_prices!I199+$D$2)*IF($M$2="Prices in $/MWh",1,1/1000)</f>
        <v>108.38</v>
      </c>
      <c r="J211" s="83">
        <f>(NJ_prices!J199+$D$2)*IF($M$2="Prices in $/MWh",1,1/1000)</f>
        <v>106.25</v>
      </c>
      <c r="K211" s="84">
        <f>(NJ_prices!K199+$D$2)*IF($M$2="Prices in $/MWh",1,1/1000)</f>
        <v>107.99</v>
      </c>
      <c r="L211" s="83">
        <f>(NJ_prices!L199+$D$2)*IF($M$2="Prices in $/MWh",1,1/1000)</f>
        <v>62.91</v>
      </c>
      <c r="M211" s="84">
        <f>(NJ_prices!M199+$D$2)*IF($M$2="Prices in $/MWh",1,1/1000)</f>
        <v>62.23</v>
      </c>
      <c r="N211" s="83">
        <f>(NJ_prices!N199+$D$2)*IF($M$2="Prices in $/MWh",1,1/1000)</f>
        <v>63.3</v>
      </c>
      <c r="O211" s="61"/>
    </row>
    <row r="212" spans="2:15" x14ac:dyDescent="0.25">
      <c r="B212" s="57"/>
      <c r="C212" s="74" t="str">
        <f>NJ_prices!C200</f>
        <v>August-2016</v>
      </c>
      <c r="D212" s="75" t="str">
        <f>NJ_prices!D200</f>
        <v>NJ</v>
      </c>
      <c r="E212" s="76" t="str">
        <f>NJ_prices!E200</f>
        <v>PSEG</v>
      </c>
      <c r="F212" s="75" t="str">
        <f>NJ_prices!F200</f>
        <v>GLP</v>
      </c>
      <c r="G212" s="76" t="str">
        <f>NJ_prices!G200</f>
        <v>General L&amp;P</v>
      </c>
      <c r="H212" s="77" t="str">
        <f t="shared" ref="H212" si="195">IF($M$2="Prices in $/MWh","0-100 MWh","0-100,000 kWh")</f>
        <v>0-100 MWh</v>
      </c>
      <c r="I212" s="76">
        <f>(NJ_prices!I200+$D$2)*IF($M$2="Prices in $/MWh",1,1/1000)</f>
        <v>111.31</v>
      </c>
      <c r="J212" s="75">
        <f>(NJ_prices!J200+$D$2)*IF($M$2="Prices in $/MWh",1,1/1000)</f>
        <v>110.62</v>
      </c>
      <c r="K212" s="76">
        <f>(NJ_prices!K200+$D$2)*IF($M$2="Prices in $/MWh",1,1/1000)</f>
        <v>111.03</v>
      </c>
      <c r="L212" s="75">
        <f>(NJ_prices!L200+$D$2)*IF($M$2="Prices in $/MWh",1,1/1000)</f>
        <v>66.27</v>
      </c>
      <c r="M212" s="76">
        <f>(NJ_prices!M200+$D$2)*IF($M$2="Prices in $/MWh",1,1/1000)</f>
        <v>66.28</v>
      </c>
      <c r="N212" s="75">
        <f>(NJ_prices!N200+$D$2)*IF($M$2="Prices in $/MWh",1,1/1000)</f>
        <v>66.569999999999993</v>
      </c>
      <c r="O212" s="61"/>
    </row>
    <row r="213" spans="2:15" x14ac:dyDescent="0.25">
      <c r="B213" s="57"/>
      <c r="C213" s="78" t="str">
        <f>NJ_prices!C201</f>
        <v>August-2016</v>
      </c>
      <c r="D213" s="79" t="str">
        <f>NJ_prices!D201</f>
        <v>NJ</v>
      </c>
      <c r="E213" s="80" t="str">
        <f>NJ_prices!E201</f>
        <v>PSEG</v>
      </c>
      <c r="F213" s="79" t="str">
        <f>NJ_prices!F201</f>
        <v>GLP</v>
      </c>
      <c r="G213" s="80" t="str">
        <f>NJ_prices!G201</f>
        <v>General L&amp;P</v>
      </c>
      <c r="H213" s="81" t="str">
        <f t="shared" ref="H213" si="196">IF($M$2="Prices in $/MWh","100-500 MWh","100,000-500,000 kWh")</f>
        <v>100-500 MWh</v>
      </c>
      <c r="I213" s="80">
        <f>(NJ_prices!I201+$D$2)*IF($M$2="Prices in $/MWh",1,1/1000)</f>
        <v>109.59</v>
      </c>
      <c r="J213" s="79">
        <f>(NJ_prices!J201+$D$2)*IF($M$2="Prices in $/MWh",1,1/1000)</f>
        <v>108.91</v>
      </c>
      <c r="K213" s="80">
        <f>(NJ_prices!K201+$D$2)*IF($M$2="Prices in $/MWh",1,1/1000)</f>
        <v>109.31</v>
      </c>
      <c r="L213" s="79">
        <f>(NJ_prices!L201+$D$2)*IF($M$2="Prices in $/MWh",1,1/1000)</f>
        <v>64.56</v>
      </c>
      <c r="M213" s="80">
        <f>(NJ_prices!M201+$D$2)*IF($M$2="Prices in $/MWh",1,1/1000)</f>
        <v>64.569999999999993</v>
      </c>
      <c r="N213" s="79">
        <f>(NJ_prices!N201+$D$2)*IF($M$2="Prices in $/MWh",1,1/1000)</f>
        <v>64.86</v>
      </c>
      <c r="O213" s="61"/>
    </row>
    <row r="214" spans="2:15" x14ac:dyDescent="0.25">
      <c r="B214" s="57"/>
      <c r="C214" s="82" t="str">
        <f>NJ_prices!C202</f>
        <v>August-2016</v>
      </c>
      <c r="D214" s="83" t="str">
        <f>NJ_prices!D202</f>
        <v>NJ</v>
      </c>
      <c r="E214" s="84" t="str">
        <f>NJ_prices!E202</f>
        <v>PSEG</v>
      </c>
      <c r="F214" s="83" t="str">
        <f>NJ_prices!F202</f>
        <v>GLP</v>
      </c>
      <c r="G214" s="84" t="str">
        <f>NJ_prices!G202</f>
        <v>General L&amp;P</v>
      </c>
      <c r="H214" s="85" t="str">
        <f t="shared" ref="H214" si="197">IF($M$2="Prices in $/MWh","500-2500 MWh","500,000-2,500,000 kWh")</f>
        <v>500-2500 MWh</v>
      </c>
      <c r="I214" s="84">
        <f>(NJ_prices!I202+$D$2)*IF($M$2="Prices in $/MWh",1,1/1000)</f>
        <v>108.47</v>
      </c>
      <c r="J214" s="83">
        <f>(NJ_prices!J202+$D$2)*IF($M$2="Prices in $/MWh",1,1/1000)</f>
        <v>107.79</v>
      </c>
      <c r="K214" s="84">
        <f>(NJ_prices!K202+$D$2)*IF($M$2="Prices in $/MWh",1,1/1000)</f>
        <v>108.19</v>
      </c>
      <c r="L214" s="83">
        <f>(NJ_prices!L202+$D$2)*IF($M$2="Prices in $/MWh",1,1/1000)</f>
        <v>63.43</v>
      </c>
      <c r="M214" s="84">
        <f>(NJ_prices!M202+$D$2)*IF($M$2="Prices in $/MWh",1,1/1000)</f>
        <v>63.45</v>
      </c>
      <c r="N214" s="83">
        <f>(NJ_prices!N202+$D$2)*IF($M$2="Prices in $/MWh",1,1/1000)</f>
        <v>63.73</v>
      </c>
      <c r="O214" s="61"/>
    </row>
    <row r="215" spans="2:15" x14ac:dyDescent="0.25">
      <c r="B215" s="57"/>
      <c r="C215" s="74" t="str">
        <f>NJ_prices!C203</f>
        <v>September-2016</v>
      </c>
      <c r="D215" s="75" t="str">
        <f>NJ_prices!D203</f>
        <v>NJ</v>
      </c>
      <c r="E215" s="76" t="str">
        <f>NJ_prices!E203</f>
        <v>PSEG</v>
      </c>
      <c r="F215" s="75" t="str">
        <f>NJ_prices!F203</f>
        <v>GLP</v>
      </c>
      <c r="G215" s="76" t="str">
        <f>NJ_prices!G203</f>
        <v>General L&amp;P</v>
      </c>
      <c r="H215" s="77" t="str">
        <f t="shared" ref="H215" si="198">IF($M$2="Prices in $/MWh","0-100 MWh","0-100,000 kWh")</f>
        <v>0-100 MWh</v>
      </c>
      <c r="I215" s="76">
        <f>(NJ_prices!I203+$D$2)*IF($M$2="Prices in $/MWh",1,1/1000)</f>
        <v>111.04</v>
      </c>
      <c r="J215" s="75">
        <f>(NJ_prices!J203+$D$2)*IF($M$2="Prices in $/MWh",1,1/1000)</f>
        <v>111.93</v>
      </c>
      <c r="K215" s="76">
        <f>(NJ_prices!K203+$D$2)*IF($M$2="Prices in $/MWh",1,1/1000)</f>
        <v>111.01</v>
      </c>
      <c r="L215" s="75">
        <f>(NJ_prices!L203+$D$2)*IF($M$2="Prices in $/MWh",1,1/1000)</f>
        <v>66.260000000000005</v>
      </c>
      <c r="M215" s="76">
        <f>(NJ_prices!M203+$D$2)*IF($M$2="Prices in $/MWh",1,1/1000)</f>
        <v>67.25</v>
      </c>
      <c r="N215" s="75">
        <f>(NJ_prices!N203+$D$2)*IF($M$2="Prices in $/MWh",1,1/1000)</f>
        <v>66.739999999999995</v>
      </c>
      <c r="O215" s="61"/>
    </row>
    <row r="216" spans="2:15" x14ac:dyDescent="0.25">
      <c r="B216" s="57"/>
      <c r="C216" s="78" t="str">
        <f>NJ_prices!C204</f>
        <v>September-2016</v>
      </c>
      <c r="D216" s="79" t="str">
        <f>NJ_prices!D204</f>
        <v>NJ</v>
      </c>
      <c r="E216" s="80" t="str">
        <f>NJ_prices!E204</f>
        <v>PSEG</v>
      </c>
      <c r="F216" s="79" t="str">
        <f>NJ_prices!F204</f>
        <v>GLP</v>
      </c>
      <c r="G216" s="80" t="str">
        <f>NJ_prices!G204</f>
        <v>General L&amp;P</v>
      </c>
      <c r="H216" s="81" t="str">
        <f t="shared" ref="H216" si="199">IF($M$2="Prices in $/MWh","100-500 MWh","100,000-500,000 kWh")</f>
        <v>100-500 MWh</v>
      </c>
      <c r="I216" s="80">
        <f>(NJ_prices!I204+$D$2)*IF($M$2="Prices in $/MWh",1,1/1000)</f>
        <v>109.33</v>
      </c>
      <c r="J216" s="79">
        <f>(NJ_prices!J204+$D$2)*IF($M$2="Prices in $/MWh",1,1/1000)</f>
        <v>110.21</v>
      </c>
      <c r="K216" s="80">
        <f>(NJ_prices!K204+$D$2)*IF($M$2="Prices in $/MWh",1,1/1000)</f>
        <v>109.29</v>
      </c>
      <c r="L216" s="79">
        <f>(NJ_prices!L204+$D$2)*IF($M$2="Prices in $/MWh",1,1/1000)</f>
        <v>64.55</v>
      </c>
      <c r="M216" s="80">
        <f>(NJ_prices!M204+$D$2)*IF($M$2="Prices in $/MWh",1,1/1000)</f>
        <v>65.540000000000006</v>
      </c>
      <c r="N216" s="79">
        <f>(NJ_prices!N204+$D$2)*IF($M$2="Prices in $/MWh",1,1/1000)</f>
        <v>65.03</v>
      </c>
      <c r="O216" s="61"/>
    </row>
    <row r="217" spans="2:15" x14ac:dyDescent="0.25">
      <c r="B217" s="57"/>
      <c r="C217" s="82" t="str">
        <f>NJ_prices!C205</f>
        <v>September-2016</v>
      </c>
      <c r="D217" s="83" t="str">
        <f>NJ_prices!D205</f>
        <v>NJ</v>
      </c>
      <c r="E217" s="84" t="str">
        <f>NJ_prices!E205</f>
        <v>PSEG</v>
      </c>
      <c r="F217" s="83" t="str">
        <f>NJ_prices!F205</f>
        <v>GLP</v>
      </c>
      <c r="G217" s="84" t="str">
        <f>NJ_prices!G205</f>
        <v>General L&amp;P</v>
      </c>
      <c r="H217" s="85" t="str">
        <f t="shared" ref="H217" si="200">IF($M$2="Prices in $/MWh","500-2500 MWh","500,000-2,500,000 kWh")</f>
        <v>500-2500 MWh</v>
      </c>
      <c r="I217" s="84">
        <f>(NJ_prices!I205+$D$2)*IF($M$2="Prices in $/MWh",1,1/1000)</f>
        <v>108.21</v>
      </c>
      <c r="J217" s="83">
        <f>(NJ_prices!J205+$D$2)*IF($M$2="Prices in $/MWh",1,1/1000)</f>
        <v>109.09</v>
      </c>
      <c r="K217" s="84">
        <f>(NJ_prices!K205+$D$2)*IF($M$2="Prices in $/MWh",1,1/1000)</f>
        <v>108.17</v>
      </c>
      <c r="L217" s="83">
        <f>(NJ_prices!L205+$D$2)*IF($M$2="Prices in $/MWh",1,1/1000)</f>
        <v>63.42</v>
      </c>
      <c r="M217" s="84">
        <f>(NJ_prices!M205+$D$2)*IF($M$2="Prices in $/MWh",1,1/1000)</f>
        <v>64.42</v>
      </c>
      <c r="N217" s="83">
        <f>(NJ_prices!N205+$D$2)*IF($M$2="Prices in $/MWh",1,1/1000)</f>
        <v>63.9</v>
      </c>
      <c r="O217" s="61"/>
    </row>
    <row r="218" spans="2:15" x14ac:dyDescent="0.25">
      <c r="B218" s="57"/>
      <c r="C218" s="74" t="str">
        <f>NJ_prices!C206</f>
        <v>October-2016</v>
      </c>
      <c r="D218" s="75" t="str">
        <f>NJ_prices!D206</f>
        <v>NJ</v>
      </c>
      <c r="E218" s="76" t="str">
        <f>NJ_prices!E206</f>
        <v>PSEG</v>
      </c>
      <c r="F218" s="75" t="str">
        <f>NJ_prices!F206</f>
        <v>GLP</v>
      </c>
      <c r="G218" s="76" t="str">
        <f>NJ_prices!G206</f>
        <v>General L&amp;P</v>
      </c>
      <c r="H218" s="77" t="str">
        <f t="shared" ref="H218" si="201">IF($M$2="Prices in $/MWh","0-100 MWh","0-100,000 kWh")</f>
        <v>0-100 MWh</v>
      </c>
      <c r="I218" s="76">
        <f>(NJ_prices!I206+$D$2)*IF($M$2="Prices in $/MWh",1,1/1000)</f>
        <v>110.92</v>
      </c>
      <c r="J218" s="75">
        <f>(NJ_prices!J206+$D$2)*IF($M$2="Prices in $/MWh",1,1/1000)</f>
        <v>112.85</v>
      </c>
      <c r="K218" s="76">
        <f>(NJ_prices!K206+$D$2)*IF($M$2="Prices in $/MWh",1,1/1000)</f>
        <v>111</v>
      </c>
      <c r="L218" s="75">
        <f>(NJ_prices!L206+$D$2)*IF($M$2="Prices in $/MWh",1,1/1000)</f>
        <v>66.34</v>
      </c>
      <c r="M218" s="76">
        <f>(NJ_prices!M206+$D$2)*IF($M$2="Prices in $/MWh",1,1/1000)</f>
        <v>68.099999999999994</v>
      </c>
      <c r="N218" s="75">
        <f>(NJ_prices!N206+$D$2)*IF($M$2="Prices in $/MWh",1,1/1000)</f>
        <v>66.94</v>
      </c>
      <c r="O218" s="61"/>
    </row>
    <row r="219" spans="2:15" x14ac:dyDescent="0.25">
      <c r="B219" s="57"/>
      <c r="C219" s="78" t="str">
        <f>NJ_prices!C207</f>
        <v>October-2016</v>
      </c>
      <c r="D219" s="79" t="str">
        <f>NJ_prices!D207</f>
        <v>NJ</v>
      </c>
      <c r="E219" s="80" t="str">
        <f>NJ_prices!E207</f>
        <v>PSEG</v>
      </c>
      <c r="F219" s="79" t="str">
        <f>NJ_prices!F207</f>
        <v>GLP</v>
      </c>
      <c r="G219" s="80" t="str">
        <f>NJ_prices!G207</f>
        <v>General L&amp;P</v>
      </c>
      <c r="H219" s="81" t="str">
        <f t="shared" ref="H219" si="202">IF($M$2="Prices in $/MWh","100-500 MWh","100,000-500,000 kWh")</f>
        <v>100-500 MWh</v>
      </c>
      <c r="I219" s="80">
        <f>(NJ_prices!I207+$D$2)*IF($M$2="Prices in $/MWh",1,1/1000)</f>
        <v>109.2</v>
      </c>
      <c r="J219" s="79">
        <f>(NJ_prices!J207+$D$2)*IF($M$2="Prices in $/MWh",1,1/1000)</f>
        <v>111.14</v>
      </c>
      <c r="K219" s="80">
        <f>(NJ_prices!K207+$D$2)*IF($M$2="Prices in $/MWh",1,1/1000)</f>
        <v>109.29</v>
      </c>
      <c r="L219" s="79">
        <f>(NJ_prices!L207+$D$2)*IF($M$2="Prices in $/MWh",1,1/1000)</f>
        <v>64.63</v>
      </c>
      <c r="M219" s="80">
        <f>(NJ_prices!M207+$D$2)*IF($M$2="Prices in $/MWh",1,1/1000)</f>
        <v>66.39</v>
      </c>
      <c r="N219" s="79">
        <f>(NJ_prices!N207+$D$2)*IF($M$2="Prices in $/MWh",1,1/1000)</f>
        <v>65.23</v>
      </c>
      <c r="O219" s="61"/>
    </row>
    <row r="220" spans="2:15" x14ac:dyDescent="0.25">
      <c r="B220" s="57"/>
      <c r="C220" s="82" t="str">
        <f>NJ_prices!C208</f>
        <v>October-2016</v>
      </c>
      <c r="D220" s="83" t="str">
        <f>NJ_prices!D208</f>
        <v>NJ</v>
      </c>
      <c r="E220" s="84" t="str">
        <f>NJ_prices!E208</f>
        <v>PSEG</v>
      </c>
      <c r="F220" s="83" t="str">
        <f>NJ_prices!F208</f>
        <v>GLP</v>
      </c>
      <c r="G220" s="84" t="str">
        <f>NJ_prices!G208</f>
        <v>General L&amp;P</v>
      </c>
      <c r="H220" s="85" t="str">
        <f t="shared" ref="H220" si="203">IF($M$2="Prices in $/MWh","500-2500 MWh","500,000-2,500,000 kWh")</f>
        <v>500-2500 MWh</v>
      </c>
      <c r="I220" s="84">
        <f>(NJ_prices!I208+$D$2)*IF($M$2="Prices in $/MWh",1,1/1000)</f>
        <v>108.08</v>
      </c>
      <c r="J220" s="83">
        <f>(NJ_prices!J208+$D$2)*IF($M$2="Prices in $/MWh",1,1/1000)</f>
        <v>110.02</v>
      </c>
      <c r="K220" s="84">
        <f>(NJ_prices!K208+$D$2)*IF($M$2="Prices in $/MWh",1,1/1000)</f>
        <v>108.17</v>
      </c>
      <c r="L220" s="83">
        <f>(NJ_prices!L208+$D$2)*IF($M$2="Prices in $/MWh",1,1/1000)</f>
        <v>63.5</v>
      </c>
      <c r="M220" s="84">
        <f>(NJ_prices!M208+$D$2)*IF($M$2="Prices in $/MWh",1,1/1000)</f>
        <v>65.27</v>
      </c>
      <c r="N220" s="83">
        <f>(NJ_prices!N208+$D$2)*IF($M$2="Prices in $/MWh",1,1/1000)</f>
        <v>64.11</v>
      </c>
      <c r="O220" s="61"/>
    </row>
    <row r="221" spans="2:15" x14ac:dyDescent="0.25">
      <c r="B221" s="57"/>
      <c r="C221" s="74" t="str">
        <f>NJ_prices!C209</f>
        <v>November-2016</v>
      </c>
      <c r="D221" s="75" t="str">
        <f>NJ_prices!D209</f>
        <v>NJ</v>
      </c>
      <c r="E221" s="76" t="str">
        <f>NJ_prices!E209</f>
        <v>PSEG</v>
      </c>
      <c r="F221" s="75" t="str">
        <f>NJ_prices!F209</f>
        <v>GLP</v>
      </c>
      <c r="G221" s="76" t="str">
        <f>NJ_prices!G209</f>
        <v>General L&amp;P</v>
      </c>
      <c r="H221" s="77" t="str">
        <f t="shared" ref="H221" si="204">IF($M$2="Prices in $/MWh","0-100 MWh","0-100,000 kWh")</f>
        <v>0-100 MWh</v>
      </c>
      <c r="I221" s="76">
        <f>(NJ_prices!I209+$D$2)*IF($M$2="Prices in $/MWh",1,1/1000)</f>
        <v>110.8</v>
      </c>
      <c r="J221" s="75">
        <f>(NJ_prices!J209+$D$2)*IF($M$2="Prices in $/MWh",1,1/1000)</f>
        <v>113.08</v>
      </c>
      <c r="K221" s="76">
        <f>(NJ_prices!K209+$D$2)*IF($M$2="Prices in $/MWh",1,1/1000)</f>
        <v>111.02</v>
      </c>
      <c r="L221" s="75">
        <f>(NJ_prices!L209+$D$2)*IF($M$2="Prices in $/MWh",1,1/1000)</f>
        <v>66.44</v>
      </c>
      <c r="M221" s="76">
        <f>(NJ_prices!M209+$D$2)*IF($M$2="Prices in $/MWh",1,1/1000)</f>
        <v>68.31</v>
      </c>
      <c r="N221" s="75">
        <f>(NJ_prices!N209+$D$2)*IF($M$2="Prices in $/MWh",1,1/1000)</f>
        <v>67.14</v>
      </c>
      <c r="O221" s="61"/>
    </row>
    <row r="222" spans="2:15" x14ac:dyDescent="0.25">
      <c r="B222" s="57"/>
      <c r="C222" s="78" t="str">
        <f>NJ_prices!C210</f>
        <v>November-2016</v>
      </c>
      <c r="D222" s="79" t="str">
        <f>NJ_prices!D210</f>
        <v>NJ</v>
      </c>
      <c r="E222" s="80" t="str">
        <f>NJ_prices!E210</f>
        <v>PSEG</v>
      </c>
      <c r="F222" s="79" t="str">
        <f>NJ_prices!F210</f>
        <v>GLP</v>
      </c>
      <c r="G222" s="80" t="str">
        <f>NJ_prices!G210</f>
        <v>General L&amp;P</v>
      </c>
      <c r="H222" s="81" t="str">
        <f t="shared" ref="H222" si="205">IF($M$2="Prices in $/MWh","100-500 MWh","100,000-500,000 kWh")</f>
        <v>100-500 MWh</v>
      </c>
      <c r="I222" s="80">
        <f>(NJ_prices!I210+$D$2)*IF($M$2="Prices in $/MWh",1,1/1000)</f>
        <v>109.09</v>
      </c>
      <c r="J222" s="79">
        <f>(NJ_prices!J210+$D$2)*IF($M$2="Prices in $/MWh",1,1/1000)</f>
        <v>111.37</v>
      </c>
      <c r="K222" s="80">
        <f>(NJ_prices!K210+$D$2)*IF($M$2="Prices in $/MWh",1,1/1000)</f>
        <v>109.31</v>
      </c>
      <c r="L222" s="79">
        <f>(NJ_prices!L210+$D$2)*IF($M$2="Prices in $/MWh",1,1/1000)</f>
        <v>64.73</v>
      </c>
      <c r="M222" s="80">
        <f>(NJ_prices!M210+$D$2)*IF($M$2="Prices in $/MWh",1,1/1000)</f>
        <v>66.599999999999994</v>
      </c>
      <c r="N222" s="79">
        <f>(NJ_prices!N210+$D$2)*IF($M$2="Prices in $/MWh",1,1/1000)</f>
        <v>65.430000000000007</v>
      </c>
      <c r="O222" s="61"/>
    </row>
    <row r="223" spans="2:15" x14ac:dyDescent="0.25">
      <c r="B223" s="57"/>
      <c r="C223" s="82" t="str">
        <f>NJ_prices!C211</f>
        <v>November-2016</v>
      </c>
      <c r="D223" s="83" t="str">
        <f>NJ_prices!D211</f>
        <v>NJ</v>
      </c>
      <c r="E223" s="84" t="str">
        <f>NJ_prices!E211</f>
        <v>PSEG</v>
      </c>
      <c r="F223" s="83" t="str">
        <f>NJ_prices!F211</f>
        <v>GLP</v>
      </c>
      <c r="G223" s="84" t="str">
        <f>NJ_prices!G211</f>
        <v>General L&amp;P</v>
      </c>
      <c r="H223" s="85" t="str">
        <f t="shared" ref="H223" si="206">IF($M$2="Prices in $/MWh","500-2500 MWh","500,000-2,500,000 kWh")</f>
        <v>500-2500 MWh</v>
      </c>
      <c r="I223" s="84">
        <f>(NJ_prices!I211+$D$2)*IF($M$2="Prices in $/MWh",1,1/1000)</f>
        <v>107.97</v>
      </c>
      <c r="J223" s="83">
        <f>(NJ_prices!J211+$D$2)*IF($M$2="Prices in $/MWh",1,1/1000)</f>
        <v>110.24</v>
      </c>
      <c r="K223" s="84">
        <f>(NJ_prices!K211+$D$2)*IF($M$2="Prices in $/MWh",1,1/1000)</f>
        <v>108.18</v>
      </c>
      <c r="L223" s="83">
        <f>(NJ_prices!L211+$D$2)*IF($M$2="Prices in $/MWh",1,1/1000)</f>
        <v>63.6</v>
      </c>
      <c r="M223" s="84">
        <f>(NJ_prices!M211+$D$2)*IF($M$2="Prices in $/MWh",1,1/1000)</f>
        <v>65.47</v>
      </c>
      <c r="N223" s="83">
        <f>(NJ_prices!N211+$D$2)*IF($M$2="Prices in $/MWh",1,1/1000)</f>
        <v>64.31</v>
      </c>
      <c r="O223" s="61"/>
    </row>
    <row r="224" spans="2:15" x14ac:dyDescent="0.25">
      <c r="B224" s="57"/>
      <c r="C224" s="74" t="str">
        <f>NJ_prices!C212</f>
        <v>December-2016</v>
      </c>
      <c r="D224" s="75" t="str">
        <f>NJ_prices!D212</f>
        <v>NJ</v>
      </c>
      <c r="E224" s="76" t="str">
        <f>NJ_prices!E212</f>
        <v>PSEG</v>
      </c>
      <c r="F224" s="75" t="str">
        <f>NJ_prices!F212</f>
        <v>GLP</v>
      </c>
      <c r="G224" s="76" t="str">
        <f>NJ_prices!G212</f>
        <v>General L&amp;P</v>
      </c>
      <c r="H224" s="77" t="str">
        <f t="shared" ref="H224" si="207">IF($M$2="Prices in $/MWh","0-100 MWh","0-100,000 kWh")</f>
        <v>0-100 MWh</v>
      </c>
      <c r="I224" s="76">
        <f>(NJ_prices!I212+$D$2)*IF($M$2="Prices in $/MWh",1,1/1000)</f>
        <v>110.64</v>
      </c>
      <c r="J224" s="75">
        <f>(NJ_prices!J212+$D$2)*IF($M$2="Prices in $/MWh",1,1/1000)</f>
        <v>112.97</v>
      </c>
      <c r="K224" s="76">
        <f>(NJ_prices!K212+$D$2)*IF($M$2="Prices in $/MWh",1,1/1000)</f>
        <v>110.99</v>
      </c>
      <c r="L224" s="75">
        <f>(NJ_prices!L212+$D$2)*IF($M$2="Prices in $/MWh",1,1/1000)</f>
        <v>66.489999999999995</v>
      </c>
      <c r="M224" s="76">
        <f>(NJ_prices!M212+$D$2)*IF($M$2="Prices in $/MWh",1,1/1000)</f>
        <v>68.09</v>
      </c>
      <c r="N224" s="75">
        <f>(NJ_prices!N212+$D$2)*IF($M$2="Prices in $/MWh",1,1/1000)</f>
        <v>67.239999999999995</v>
      </c>
      <c r="O224" s="61"/>
    </row>
    <row r="225" spans="2:15" x14ac:dyDescent="0.25">
      <c r="B225" s="57"/>
      <c r="C225" s="78" t="str">
        <f>NJ_prices!C213</f>
        <v>December-2016</v>
      </c>
      <c r="D225" s="79" t="str">
        <f>NJ_prices!D213</f>
        <v>NJ</v>
      </c>
      <c r="E225" s="80" t="str">
        <f>NJ_prices!E213</f>
        <v>PSEG</v>
      </c>
      <c r="F225" s="79" t="str">
        <f>NJ_prices!F213</f>
        <v>GLP</v>
      </c>
      <c r="G225" s="80" t="str">
        <f>NJ_prices!G213</f>
        <v>General L&amp;P</v>
      </c>
      <c r="H225" s="81" t="str">
        <f t="shared" ref="H225" si="208">IF($M$2="Prices in $/MWh","100-500 MWh","100,000-500,000 kWh")</f>
        <v>100-500 MWh</v>
      </c>
      <c r="I225" s="80">
        <f>(NJ_prices!I213+$D$2)*IF($M$2="Prices in $/MWh",1,1/1000)</f>
        <v>108.93</v>
      </c>
      <c r="J225" s="79">
        <f>(NJ_prices!J213+$D$2)*IF($M$2="Prices in $/MWh",1,1/1000)</f>
        <v>111.25</v>
      </c>
      <c r="K225" s="80">
        <f>(NJ_prices!K213+$D$2)*IF($M$2="Prices in $/MWh",1,1/1000)</f>
        <v>109.28</v>
      </c>
      <c r="L225" s="79">
        <f>(NJ_prices!L213+$D$2)*IF($M$2="Prices in $/MWh",1,1/1000)</f>
        <v>64.78</v>
      </c>
      <c r="M225" s="80">
        <f>(NJ_prices!M213+$D$2)*IF($M$2="Prices in $/MWh",1,1/1000)</f>
        <v>66.38</v>
      </c>
      <c r="N225" s="79">
        <f>(NJ_prices!N213+$D$2)*IF($M$2="Prices in $/MWh",1,1/1000)</f>
        <v>65.53</v>
      </c>
      <c r="O225" s="61"/>
    </row>
    <row r="226" spans="2:15" x14ac:dyDescent="0.25">
      <c r="B226" s="57"/>
      <c r="C226" s="82" t="str">
        <f>NJ_prices!C214</f>
        <v>December-2016</v>
      </c>
      <c r="D226" s="83" t="str">
        <f>NJ_prices!D214</f>
        <v>NJ</v>
      </c>
      <c r="E226" s="84" t="str">
        <f>NJ_prices!E214</f>
        <v>PSEG</v>
      </c>
      <c r="F226" s="83" t="str">
        <f>NJ_prices!F214</f>
        <v>GLP</v>
      </c>
      <c r="G226" s="84" t="str">
        <f>NJ_prices!G214</f>
        <v>General L&amp;P</v>
      </c>
      <c r="H226" s="85" t="str">
        <f t="shared" ref="H226" si="209">IF($M$2="Prices in $/MWh","500-2500 MWh","500,000-2,500,000 kWh")</f>
        <v>500-2500 MWh</v>
      </c>
      <c r="I226" s="84">
        <f>(NJ_prices!I214+$D$2)*IF($M$2="Prices in $/MWh",1,1/1000)</f>
        <v>107.8</v>
      </c>
      <c r="J226" s="83">
        <f>(NJ_prices!J214+$D$2)*IF($M$2="Prices in $/MWh",1,1/1000)</f>
        <v>110.13</v>
      </c>
      <c r="K226" s="84">
        <f>(NJ_prices!K214+$D$2)*IF($M$2="Prices in $/MWh",1,1/1000)</f>
        <v>108.15</v>
      </c>
      <c r="L226" s="83">
        <f>(NJ_prices!L214+$D$2)*IF($M$2="Prices in $/MWh",1,1/1000)</f>
        <v>63.65</v>
      </c>
      <c r="M226" s="84">
        <f>(NJ_prices!M214+$D$2)*IF($M$2="Prices in $/MWh",1,1/1000)</f>
        <v>65.25</v>
      </c>
      <c r="N226" s="83">
        <f>(NJ_prices!N214+$D$2)*IF($M$2="Prices in $/MWh",1,1/1000)</f>
        <v>64.41</v>
      </c>
      <c r="O226" s="61"/>
    </row>
    <row r="227" spans="2:15" x14ac:dyDescent="0.25">
      <c r="B227" s="57"/>
      <c r="C227" s="74" t="str">
        <f>NJ_prices!C215</f>
        <v>January-2017</v>
      </c>
      <c r="D227" s="75" t="str">
        <f>NJ_prices!D215</f>
        <v>NJ</v>
      </c>
      <c r="E227" s="76" t="str">
        <f>NJ_prices!E215</f>
        <v>PSEG</v>
      </c>
      <c r="F227" s="75" t="str">
        <f>NJ_prices!F215</f>
        <v>GLP</v>
      </c>
      <c r="G227" s="76" t="str">
        <f>NJ_prices!G215</f>
        <v>General L&amp;P</v>
      </c>
      <c r="H227" s="77" t="str">
        <f t="shared" ref="H227" si="210">IF($M$2="Prices in $/MWh","0-100 MWh","0-100,000 kWh")</f>
        <v>0-100 MWh</v>
      </c>
      <c r="I227" s="76">
        <f>(NJ_prices!I215+$D$2)*IF($M$2="Prices in $/MWh",1,1/1000)</f>
        <v>110.56</v>
      </c>
      <c r="J227" s="75">
        <f>(NJ_prices!J215+$D$2)*IF($M$2="Prices in $/MWh",1,1/1000)</f>
        <v>112.43</v>
      </c>
      <c r="K227" s="76">
        <f>(NJ_prices!K215+$D$2)*IF($M$2="Prices in $/MWh",1,1/1000)</f>
        <v>111.05</v>
      </c>
      <c r="L227" s="75">
        <f>(NJ_prices!L215+$D$2)*IF($M$2="Prices in $/MWh",1,1/1000)</f>
        <v>66.58</v>
      </c>
      <c r="M227" s="76">
        <f>(NJ_prices!M215+$D$2)*IF($M$2="Prices in $/MWh",1,1/1000)</f>
        <v>67.540000000000006</v>
      </c>
      <c r="N227" s="75">
        <f>(NJ_prices!N215+$D$2)*IF($M$2="Prices in $/MWh",1,1/1000)</f>
        <v>67.33</v>
      </c>
      <c r="O227" s="61"/>
    </row>
    <row r="228" spans="2:15" x14ac:dyDescent="0.25">
      <c r="B228" s="57"/>
      <c r="C228" s="78" t="str">
        <f>NJ_prices!C216</f>
        <v>January-2017</v>
      </c>
      <c r="D228" s="79" t="str">
        <f>NJ_prices!D216</f>
        <v>NJ</v>
      </c>
      <c r="E228" s="80" t="str">
        <f>NJ_prices!E216</f>
        <v>PSEG</v>
      </c>
      <c r="F228" s="79" t="str">
        <f>NJ_prices!F216</f>
        <v>GLP</v>
      </c>
      <c r="G228" s="80" t="str">
        <f>NJ_prices!G216</f>
        <v>General L&amp;P</v>
      </c>
      <c r="H228" s="81" t="str">
        <f t="shared" ref="H228" si="211">IF($M$2="Prices in $/MWh","100-500 MWh","100,000-500,000 kWh")</f>
        <v>100-500 MWh</v>
      </c>
      <c r="I228" s="80">
        <f>(NJ_prices!I216+$D$2)*IF($M$2="Prices in $/MWh",1,1/1000)</f>
        <v>108.85</v>
      </c>
      <c r="J228" s="79">
        <f>(NJ_prices!J216+$D$2)*IF($M$2="Prices in $/MWh",1,1/1000)</f>
        <v>110.72</v>
      </c>
      <c r="K228" s="80">
        <f>(NJ_prices!K216+$D$2)*IF($M$2="Prices in $/MWh",1,1/1000)</f>
        <v>109.33</v>
      </c>
      <c r="L228" s="79">
        <f>(NJ_prices!L216+$D$2)*IF($M$2="Prices in $/MWh",1,1/1000)</f>
        <v>64.87</v>
      </c>
      <c r="M228" s="80">
        <f>(NJ_prices!M216+$D$2)*IF($M$2="Prices in $/MWh",1,1/1000)</f>
        <v>65.83</v>
      </c>
      <c r="N228" s="79">
        <f>(NJ_prices!N216+$D$2)*IF($M$2="Prices in $/MWh",1,1/1000)</f>
        <v>65.62</v>
      </c>
      <c r="O228" s="61"/>
    </row>
    <row r="229" spans="2:15" x14ac:dyDescent="0.25">
      <c r="B229" s="57"/>
      <c r="C229" s="82" t="str">
        <f>NJ_prices!C217</f>
        <v>January-2017</v>
      </c>
      <c r="D229" s="83" t="str">
        <f>NJ_prices!D217</f>
        <v>NJ</v>
      </c>
      <c r="E229" s="84" t="str">
        <f>NJ_prices!E217</f>
        <v>PSEG</v>
      </c>
      <c r="F229" s="83" t="str">
        <f>NJ_prices!F217</f>
        <v>GLP</v>
      </c>
      <c r="G229" s="84" t="str">
        <f>NJ_prices!G217</f>
        <v>General L&amp;P</v>
      </c>
      <c r="H229" s="85" t="str">
        <f t="shared" ref="H229" si="212">IF($M$2="Prices in $/MWh","500-2500 MWh","500,000-2,500,000 kWh")</f>
        <v>500-2500 MWh</v>
      </c>
      <c r="I229" s="84">
        <f>(NJ_prices!I217+$D$2)*IF($M$2="Prices in $/MWh",1,1/1000)</f>
        <v>107.73</v>
      </c>
      <c r="J229" s="83">
        <f>(NJ_prices!J217+$D$2)*IF($M$2="Prices in $/MWh",1,1/1000)</f>
        <v>109.59</v>
      </c>
      <c r="K229" s="84">
        <f>(NJ_prices!K217+$D$2)*IF($M$2="Prices in $/MWh",1,1/1000)</f>
        <v>108.21</v>
      </c>
      <c r="L229" s="83">
        <f>(NJ_prices!L217+$D$2)*IF($M$2="Prices in $/MWh",1,1/1000)</f>
        <v>63.74</v>
      </c>
      <c r="M229" s="84">
        <f>(NJ_prices!M217+$D$2)*IF($M$2="Prices in $/MWh",1,1/1000)</f>
        <v>64.7</v>
      </c>
      <c r="N229" s="83">
        <f>(NJ_prices!N217+$D$2)*IF($M$2="Prices in $/MWh",1,1/1000)</f>
        <v>64.5</v>
      </c>
      <c r="O229" s="61"/>
    </row>
    <row r="230" spans="2:15" x14ac:dyDescent="0.25">
      <c r="B230" s="57"/>
      <c r="C230" s="74" t="str">
        <f>NJ_prices!C218</f>
        <v>February-2016</v>
      </c>
      <c r="D230" s="75" t="str">
        <f>NJ_prices!D218</f>
        <v>NJ</v>
      </c>
      <c r="E230" s="76" t="str">
        <f>NJ_prices!E218</f>
        <v>PSEG</v>
      </c>
      <c r="F230" s="75" t="str">
        <f>NJ_prices!F218</f>
        <v>LPL</v>
      </c>
      <c r="G230" s="76" t="str">
        <f>NJ_prices!G218</f>
        <v>Large P&amp;L</v>
      </c>
      <c r="H230" s="77" t="str">
        <f t="shared" ref="H230" si="213">IF($M$2="Prices in $/MWh","0-100 MWh","0-100,000 kWh")</f>
        <v>0-100 MWh</v>
      </c>
      <c r="I230" s="76">
        <f>(NJ_prices!I218+$D$2)*IF($M$2="Prices in $/MWh",1,1/1000)</f>
        <v>106.25</v>
      </c>
      <c r="J230" s="75">
        <f>(NJ_prices!J218+$D$2)*IF($M$2="Prices in $/MWh",1,1/1000)</f>
        <v>107.61</v>
      </c>
      <c r="K230" s="76">
        <f>(NJ_prices!K218+$D$2)*IF($M$2="Prices in $/MWh",1,1/1000)</f>
        <v>107.75</v>
      </c>
      <c r="L230" s="75">
        <f>(NJ_prices!L218+$D$2)*IF($M$2="Prices in $/MWh",1,1/1000)</f>
        <v>61.98</v>
      </c>
      <c r="M230" s="76">
        <f>(NJ_prices!M218+$D$2)*IF($M$2="Prices in $/MWh",1,1/1000)</f>
        <v>63.25</v>
      </c>
      <c r="N230" s="75">
        <f>(NJ_prices!N218+$D$2)*IF($M$2="Prices in $/MWh",1,1/1000)</f>
        <v>63.89</v>
      </c>
      <c r="O230" s="61"/>
    </row>
    <row r="231" spans="2:15" x14ac:dyDescent="0.25">
      <c r="B231" s="57"/>
      <c r="C231" s="78" t="str">
        <f>NJ_prices!C219</f>
        <v>February-2016</v>
      </c>
      <c r="D231" s="79" t="str">
        <f>NJ_prices!D219</f>
        <v>NJ</v>
      </c>
      <c r="E231" s="80" t="str">
        <f>NJ_prices!E219</f>
        <v>PSEG</v>
      </c>
      <c r="F231" s="79" t="str">
        <f>NJ_prices!F219</f>
        <v>LPL</v>
      </c>
      <c r="G231" s="80" t="str">
        <f>NJ_prices!G219</f>
        <v>Large P&amp;L</v>
      </c>
      <c r="H231" s="81" t="str">
        <f t="shared" ref="H231" si="214">IF($M$2="Prices in $/MWh","100-500 MWh","100,000-500,000 kWh")</f>
        <v>100-500 MWh</v>
      </c>
      <c r="I231" s="80">
        <f>(NJ_prices!I219+$D$2)*IF($M$2="Prices in $/MWh",1,1/1000)</f>
        <v>104.54</v>
      </c>
      <c r="J231" s="79">
        <f>(NJ_prices!J219+$D$2)*IF($M$2="Prices in $/MWh",1,1/1000)</f>
        <v>105.9</v>
      </c>
      <c r="K231" s="80">
        <f>(NJ_prices!K219+$D$2)*IF($M$2="Prices in $/MWh",1,1/1000)</f>
        <v>106.04</v>
      </c>
      <c r="L231" s="79">
        <f>(NJ_prices!L219+$D$2)*IF($M$2="Prices in $/MWh",1,1/1000)</f>
        <v>60.27</v>
      </c>
      <c r="M231" s="80">
        <f>(NJ_prices!M219+$D$2)*IF($M$2="Prices in $/MWh",1,1/1000)</f>
        <v>61.54</v>
      </c>
      <c r="N231" s="79">
        <f>(NJ_prices!N219+$D$2)*IF($M$2="Prices in $/MWh",1,1/1000)</f>
        <v>62.18</v>
      </c>
      <c r="O231" s="61"/>
    </row>
    <row r="232" spans="2:15" x14ac:dyDescent="0.25">
      <c r="B232" s="57"/>
      <c r="C232" s="82" t="str">
        <f>NJ_prices!C220</f>
        <v>February-2016</v>
      </c>
      <c r="D232" s="83" t="str">
        <f>NJ_prices!D220</f>
        <v>NJ</v>
      </c>
      <c r="E232" s="84" t="str">
        <f>NJ_prices!E220</f>
        <v>PSEG</v>
      </c>
      <c r="F232" s="83" t="str">
        <f>NJ_prices!F220</f>
        <v>LPL</v>
      </c>
      <c r="G232" s="84" t="str">
        <f>NJ_prices!G220</f>
        <v>Large P&amp;L</v>
      </c>
      <c r="H232" s="85" t="str">
        <f t="shared" ref="H232" si="215">IF($M$2="Prices in $/MWh","500-2500 MWh","500,000-2,500,000 kWh")</f>
        <v>500-2500 MWh</v>
      </c>
      <c r="I232" s="84">
        <f>(NJ_prices!I220+$D$2)*IF($M$2="Prices in $/MWh",1,1/1000)</f>
        <v>103.42</v>
      </c>
      <c r="J232" s="83">
        <f>(NJ_prices!J220+$D$2)*IF($M$2="Prices in $/MWh",1,1/1000)</f>
        <v>104.77</v>
      </c>
      <c r="K232" s="84">
        <f>(NJ_prices!K220+$D$2)*IF($M$2="Prices in $/MWh",1,1/1000)</f>
        <v>104.91</v>
      </c>
      <c r="L232" s="83">
        <f>(NJ_prices!L220+$D$2)*IF($M$2="Prices in $/MWh",1,1/1000)</f>
        <v>59.14</v>
      </c>
      <c r="M232" s="84">
        <f>(NJ_prices!M220+$D$2)*IF($M$2="Prices in $/MWh",1,1/1000)</f>
        <v>60.41</v>
      </c>
      <c r="N232" s="83">
        <f>(NJ_prices!N220+$D$2)*IF($M$2="Prices in $/MWh",1,1/1000)</f>
        <v>61.05</v>
      </c>
      <c r="O232" s="61"/>
    </row>
    <row r="233" spans="2:15" x14ac:dyDescent="0.25">
      <c r="B233" s="57"/>
      <c r="C233" s="74" t="str">
        <f>NJ_prices!C221</f>
        <v>March-2016</v>
      </c>
      <c r="D233" s="75" t="str">
        <f>NJ_prices!D221</f>
        <v>NJ</v>
      </c>
      <c r="E233" s="76" t="str">
        <f>NJ_prices!E221</f>
        <v>PSEG</v>
      </c>
      <c r="F233" s="75" t="str">
        <f>NJ_prices!F221</f>
        <v>LPL</v>
      </c>
      <c r="G233" s="76" t="str">
        <f>NJ_prices!G221</f>
        <v>Large P&amp;L</v>
      </c>
      <c r="H233" s="77" t="str">
        <f t="shared" ref="H233" si="216">IF($M$2="Prices in $/MWh","0-100 MWh","0-100,000 kWh")</f>
        <v>0-100 MWh</v>
      </c>
      <c r="I233" s="76">
        <f>(NJ_prices!I221+$D$2)*IF($M$2="Prices in $/MWh",1,1/1000)</f>
        <v>107.57</v>
      </c>
      <c r="J233" s="75">
        <f>(NJ_prices!J221+$D$2)*IF($M$2="Prices in $/MWh",1,1/1000)</f>
        <v>107</v>
      </c>
      <c r="K233" s="76">
        <f>(NJ_prices!K221+$D$2)*IF($M$2="Prices in $/MWh",1,1/1000)</f>
        <v>108.46</v>
      </c>
      <c r="L233" s="75">
        <f>(NJ_prices!L221+$D$2)*IF($M$2="Prices in $/MWh",1,1/1000)</f>
        <v>62.64</v>
      </c>
      <c r="M233" s="76">
        <f>(NJ_prices!M221+$D$2)*IF($M$2="Prices in $/MWh",1,1/1000)</f>
        <v>62.75</v>
      </c>
      <c r="N233" s="75">
        <f>(NJ_prices!N221+$D$2)*IF($M$2="Prices in $/MWh",1,1/1000)</f>
        <v>64.22</v>
      </c>
      <c r="O233" s="61"/>
    </row>
    <row r="234" spans="2:15" x14ac:dyDescent="0.25">
      <c r="B234" s="57"/>
      <c r="C234" s="78" t="str">
        <f>NJ_prices!C222</f>
        <v>March-2016</v>
      </c>
      <c r="D234" s="79" t="str">
        <f>NJ_prices!D222</f>
        <v>NJ</v>
      </c>
      <c r="E234" s="80" t="str">
        <f>NJ_prices!E222</f>
        <v>PSEG</v>
      </c>
      <c r="F234" s="79" t="str">
        <f>NJ_prices!F222</f>
        <v>LPL</v>
      </c>
      <c r="G234" s="80" t="str">
        <f>NJ_prices!G222</f>
        <v>Large P&amp;L</v>
      </c>
      <c r="H234" s="81" t="str">
        <f t="shared" ref="H234" si="217">IF($M$2="Prices in $/MWh","100-500 MWh","100,000-500,000 kWh")</f>
        <v>100-500 MWh</v>
      </c>
      <c r="I234" s="80">
        <f>(NJ_prices!I222+$D$2)*IF($M$2="Prices in $/MWh",1,1/1000)</f>
        <v>105.86</v>
      </c>
      <c r="J234" s="79">
        <f>(NJ_prices!J222+$D$2)*IF($M$2="Prices in $/MWh",1,1/1000)</f>
        <v>105.29</v>
      </c>
      <c r="K234" s="80">
        <f>(NJ_prices!K222+$D$2)*IF($M$2="Prices in $/MWh",1,1/1000)</f>
        <v>106.75</v>
      </c>
      <c r="L234" s="79">
        <f>(NJ_prices!L222+$D$2)*IF($M$2="Prices in $/MWh",1,1/1000)</f>
        <v>60.93</v>
      </c>
      <c r="M234" s="80">
        <f>(NJ_prices!M222+$D$2)*IF($M$2="Prices in $/MWh",1,1/1000)</f>
        <v>61.04</v>
      </c>
      <c r="N234" s="79">
        <f>(NJ_prices!N222+$D$2)*IF($M$2="Prices in $/MWh",1,1/1000)</f>
        <v>62.51</v>
      </c>
      <c r="O234" s="61"/>
    </row>
    <row r="235" spans="2:15" x14ac:dyDescent="0.25">
      <c r="B235" s="57"/>
      <c r="C235" s="82" t="str">
        <f>NJ_prices!C223</f>
        <v>March-2016</v>
      </c>
      <c r="D235" s="83" t="str">
        <f>NJ_prices!D223</f>
        <v>NJ</v>
      </c>
      <c r="E235" s="84" t="str">
        <f>NJ_prices!E223</f>
        <v>PSEG</v>
      </c>
      <c r="F235" s="83" t="str">
        <f>NJ_prices!F223</f>
        <v>LPL</v>
      </c>
      <c r="G235" s="84" t="str">
        <f>NJ_prices!G223</f>
        <v>Large P&amp;L</v>
      </c>
      <c r="H235" s="85" t="str">
        <f t="shared" ref="H235" si="218">IF($M$2="Prices in $/MWh","500-2500 MWh","500,000-2,500,000 kWh")</f>
        <v>500-2500 MWh</v>
      </c>
      <c r="I235" s="84">
        <f>(NJ_prices!I223+$D$2)*IF($M$2="Prices in $/MWh",1,1/1000)</f>
        <v>104.73</v>
      </c>
      <c r="J235" s="83">
        <f>(NJ_prices!J223+$D$2)*IF($M$2="Prices in $/MWh",1,1/1000)</f>
        <v>104.16</v>
      </c>
      <c r="K235" s="84">
        <f>(NJ_prices!K223+$D$2)*IF($M$2="Prices in $/MWh",1,1/1000)</f>
        <v>105.62</v>
      </c>
      <c r="L235" s="83">
        <f>(NJ_prices!L223+$D$2)*IF($M$2="Prices in $/MWh",1,1/1000)</f>
        <v>59.8</v>
      </c>
      <c r="M235" s="84">
        <f>(NJ_prices!M223+$D$2)*IF($M$2="Prices in $/MWh",1,1/1000)</f>
        <v>59.91</v>
      </c>
      <c r="N235" s="83">
        <f>(NJ_prices!N223+$D$2)*IF($M$2="Prices in $/MWh",1,1/1000)</f>
        <v>61.38</v>
      </c>
      <c r="O235" s="61"/>
    </row>
    <row r="236" spans="2:15" x14ac:dyDescent="0.25">
      <c r="B236" s="57"/>
      <c r="C236" s="74" t="str">
        <f>NJ_prices!C224</f>
        <v>April-2016</v>
      </c>
      <c r="D236" s="75" t="str">
        <f>NJ_prices!D224</f>
        <v>NJ</v>
      </c>
      <c r="E236" s="76" t="str">
        <f>NJ_prices!E224</f>
        <v>PSEG</v>
      </c>
      <c r="F236" s="75" t="str">
        <f>NJ_prices!F224</f>
        <v>LPL</v>
      </c>
      <c r="G236" s="76" t="str">
        <f>NJ_prices!G224</f>
        <v>Large P&amp;L</v>
      </c>
      <c r="H236" s="77" t="str">
        <f t="shared" ref="H236" si="219">IF($M$2="Prices in $/MWh","0-100 MWh","0-100,000 kWh")</f>
        <v>0-100 MWh</v>
      </c>
      <c r="I236" s="76">
        <f>(NJ_prices!I224+$D$2)*IF($M$2="Prices in $/MWh",1,1/1000)</f>
        <v>108.53</v>
      </c>
      <c r="J236" s="75">
        <f>(NJ_prices!J224+$D$2)*IF($M$2="Prices in $/MWh",1,1/1000)</f>
        <v>106.65</v>
      </c>
      <c r="K236" s="76">
        <f>(NJ_prices!K224+$D$2)*IF($M$2="Prices in $/MWh",1,1/1000)</f>
        <v>108.89</v>
      </c>
      <c r="L236" s="75">
        <f>(NJ_prices!L224+$D$2)*IF($M$2="Prices in $/MWh",1,1/1000)</f>
        <v>63.49</v>
      </c>
      <c r="M236" s="76">
        <f>(NJ_prices!M224+$D$2)*IF($M$2="Prices in $/MWh",1,1/1000)</f>
        <v>62.61</v>
      </c>
      <c r="N236" s="75">
        <f>(NJ_prices!N224+$D$2)*IF($M$2="Prices in $/MWh",1,1/1000)</f>
        <v>64.63</v>
      </c>
      <c r="O236" s="61"/>
    </row>
    <row r="237" spans="2:15" x14ac:dyDescent="0.25">
      <c r="B237" s="57"/>
      <c r="C237" s="78" t="str">
        <f>NJ_prices!C225</f>
        <v>April-2016</v>
      </c>
      <c r="D237" s="79" t="str">
        <f>NJ_prices!D225</f>
        <v>NJ</v>
      </c>
      <c r="E237" s="80" t="str">
        <f>NJ_prices!E225</f>
        <v>PSEG</v>
      </c>
      <c r="F237" s="79" t="str">
        <f>NJ_prices!F225</f>
        <v>LPL</v>
      </c>
      <c r="G237" s="80" t="str">
        <f>NJ_prices!G225</f>
        <v>Large P&amp;L</v>
      </c>
      <c r="H237" s="81" t="str">
        <f t="shared" ref="H237" si="220">IF($M$2="Prices in $/MWh","100-500 MWh","100,000-500,000 kWh")</f>
        <v>100-500 MWh</v>
      </c>
      <c r="I237" s="80">
        <f>(NJ_prices!I225+$D$2)*IF($M$2="Prices in $/MWh",1,1/1000)</f>
        <v>106.82</v>
      </c>
      <c r="J237" s="79">
        <f>(NJ_prices!J225+$D$2)*IF($M$2="Prices in $/MWh",1,1/1000)</f>
        <v>104.94</v>
      </c>
      <c r="K237" s="80">
        <f>(NJ_prices!K225+$D$2)*IF($M$2="Prices in $/MWh",1,1/1000)</f>
        <v>107.18</v>
      </c>
      <c r="L237" s="79">
        <f>(NJ_prices!L225+$D$2)*IF($M$2="Prices in $/MWh",1,1/1000)</f>
        <v>61.78</v>
      </c>
      <c r="M237" s="80">
        <f>(NJ_prices!M225+$D$2)*IF($M$2="Prices in $/MWh",1,1/1000)</f>
        <v>60.9</v>
      </c>
      <c r="N237" s="79">
        <f>(NJ_prices!N225+$D$2)*IF($M$2="Prices in $/MWh",1,1/1000)</f>
        <v>62.92</v>
      </c>
      <c r="O237" s="61"/>
    </row>
    <row r="238" spans="2:15" x14ac:dyDescent="0.25">
      <c r="B238" s="57"/>
      <c r="C238" s="82" t="str">
        <f>NJ_prices!C226</f>
        <v>April-2016</v>
      </c>
      <c r="D238" s="83" t="str">
        <f>NJ_prices!D226</f>
        <v>NJ</v>
      </c>
      <c r="E238" s="84" t="str">
        <f>NJ_prices!E226</f>
        <v>PSEG</v>
      </c>
      <c r="F238" s="83" t="str">
        <f>NJ_prices!F226</f>
        <v>LPL</v>
      </c>
      <c r="G238" s="84" t="str">
        <f>NJ_prices!G226</f>
        <v>Large P&amp;L</v>
      </c>
      <c r="H238" s="85" t="str">
        <f t="shared" ref="H238" si="221">IF($M$2="Prices in $/MWh","500-2500 MWh","500,000-2,500,000 kWh")</f>
        <v>500-2500 MWh</v>
      </c>
      <c r="I238" s="84">
        <f>(NJ_prices!I226+$D$2)*IF($M$2="Prices in $/MWh",1,1/1000)</f>
        <v>105.69</v>
      </c>
      <c r="J238" s="83">
        <f>(NJ_prices!J226+$D$2)*IF($M$2="Prices in $/MWh",1,1/1000)</f>
        <v>103.82</v>
      </c>
      <c r="K238" s="84">
        <f>(NJ_prices!K226+$D$2)*IF($M$2="Prices in $/MWh",1,1/1000)</f>
        <v>106.05</v>
      </c>
      <c r="L238" s="83">
        <f>(NJ_prices!L226+$D$2)*IF($M$2="Prices in $/MWh",1,1/1000)</f>
        <v>60.65</v>
      </c>
      <c r="M238" s="84">
        <f>(NJ_prices!M226+$D$2)*IF($M$2="Prices in $/MWh",1,1/1000)</f>
        <v>59.77</v>
      </c>
      <c r="N238" s="83">
        <f>(NJ_prices!N226+$D$2)*IF($M$2="Prices in $/MWh",1,1/1000)</f>
        <v>61.79</v>
      </c>
      <c r="O238" s="61"/>
    </row>
    <row r="239" spans="2:15" x14ac:dyDescent="0.25">
      <c r="B239" s="57"/>
      <c r="C239" s="74" t="str">
        <f>NJ_prices!C227</f>
        <v>May-2016</v>
      </c>
      <c r="D239" s="75" t="str">
        <f>NJ_prices!D227</f>
        <v>NJ</v>
      </c>
      <c r="E239" s="76" t="str">
        <f>NJ_prices!E227</f>
        <v>PSEG</v>
      </c>
      <c r="F239" s="75" t="str">
        <f>NJ_prices!F227</f>
        <v>LPL</v>
      </c>
      <c r="G239" s="76" t="str">
        <f>NJ_prices!G227</f>
        <v>Large P&amp;L</v>
      </c>
      <c r="H239" s="77" t="str">
        <f t="shared" ref="H239" si="222">IF($M$2="Prices in $/MWh","0-100 MWh","0-100,000 kWh")</f>
        <v>0-100 MWh</v>
      </c>
      <c r="I239" s="76">
        <f>(NJ_prices!I227+$D$2)*IF($M$2="Prices in $/MWh",1,1/1000)</f>
        <v>109.34</v>
      </c>
      <c r="J239" s="75">
        <f>(NJ_prices!J227+$D$2)*IF($M$2="Prices in $/MWh",1,1/1000)</f>
        <v>106.87</v>
      </c>
      <c r="K239" s="76">
        <f>(NJ_prices!K227+$D$2)*IF($M$2="Prices in $/MWh",1,1/1000)</f>
        <v>109.21</v>
      </c>
      <c r="L239" s="75">
        <f>(NJ_prices!L227+$D$2)*IF($M$2="Prices in $/MWh",1,1/1000)</f>
        <v>64.27</v>
      </c>
      <c r="M239" s="76">
        <f>(NJ_prices!M227+$D$2)*IF($M$2="Prices in $/MWh",1,1/1000)</f>
        <v>63.01</v>
      </c>
      <c r="N239" s="75">
        <f>(NJ_prices!N227+$D$2)*IF($M$2="Prices in $/MWh",1,1/1000)</f>
        <v>64.989999999999995</v>
      </c>
      <c r="O239" s="61"/>
    </row>
    <row r="240" spans="2:15" x14ac:dyDescent="0.25">
      <c r="B240" s="57"/>
      <c r="C240" s="78" t="str">
        <f>NJ_prices!C228</f>
        <v>May-2016</v>
      </c>
      <c r="D240" s="79" t="str">
        <f>NJ_prices!D228</f>
        <v>NJ</v>
      </c>
      <c r="E240" s="80" t="str">
        <f>NJ_prices!E228</f>
        <v>PSEG</v>
      </c>
      <c r="F240" s="79" t="str">
        <f>NJ_prices!F228</f>
        <v>LPL</v>
      </c>
      <c r="G240" s="80" t="str">
        <f>NJ_prices!G228</f>
        <v>Large P&amp;L</v>
      </c>
      <c r="H240" s="81" t="str">
        <f t="shared" ref="H240" si="223">IF($M$2="Prices in $/MWh","100-500 MWh","100,000-500,000 kWh")</f>
        <v>100-500 MWh</v>
      </c>
      <c r="I240" s="80">
        <f>(NJ_prices!I228+$D$2)*IF($M$2="Prices in $/MWh",1,1/1000)</f>
        <v>107.63</v>
      </c>
      <c r="J240" s="79">
        <f>(NJ_prices!J228+$D$2)*IF($M$2="Prices in $/MWh",1,1/1000)</f>
        <v>105.16</v>
      </c>
      <c r="K240" s="80">
        <f>(NJ_prices!K228+$D$2)*IF($M$2="Prices in $/MWh",1,1/1000)</f>
        <v>107.5</v>
      </c>
      <c r="L240" s="79">
        <f>(NJ_prices!L228+$D$2)*IF($M$2="Prices in $/MWh",1,1/1000)</f>
        <v>62.56</v>
      </c>
      <c r="M240" s="80">
        <f>(NJ_prices!M228+$D$2)*IF($M$2="Prices in $/MWh",1,1/1000)</f>
        <v>61.3</v>
      </c>
      <c r="N240" s="79">
        <f>(NJ_prices!N228+$D$2)*IF($M$2="Prices in $/MWh",1,1/1000)</f>
        <v>63.28</v>
      </c>
      <c r="O240" s="61"/>
    </row>
    <row r="241" spans="2:15" x14ac:dyDescent="0.25">
      <c r="B241" s="57"/>
      <c r="C241" s="82" t="str">
        <f>NJ_prices!C229</f>
        <v>May-2016</v>
      </c>
      <c r="D241" s="83" t="str">
        <f>NJ_prices!D229</f>
        <v>NJ</v>
      </c>
      <c r="E241" s="84" t="str">
        <f>NJ_prices!E229</f>
        <v>PSEG</v>
      </c>
      <c r="F241" s="83" t="str">
        <f>NJ_prices!F229</f>
        <v>LPL</v>
      </c>
      <c r="G241" s="84" t="str">
        <f>NJ_prices!G229</f>
        <v>Large P&amp;L</v>
      </c>
      <c r="H241" s="85" t="str">
        <f t="shared" ref="H241" si="224">IF($M$2="Prices in $/MWh","500-2500 MWh","500,000-2,500,000 kWh")</f>
        <v>500-2500 MWh</v>
      </c>
      <c r="I241" s="84">
        <f>(NJ_prices!I229+$D$2)*IF($M$2="Prices in $/MWh",1,1/1000)</f>
        <v>106.5</v>
      </c>
      <c r="J241" s="83">
        <f>(NJ_prices!J229+$D$2)*IF($M$2="Prices in $/MWh",1,1/1000)</f>
        <v>104.03</v>
      </c>
      <c r="K241" s="84">
        <f>(NJ_prices!K229+$D$2)*IF($M$2="Prices in $/MWh",1,1/1000)</f>
        <v>106.38</v>
      </c>
      <c r="L241" s="83">
        <f>(NJ_prices!L229+$D$2)*IF($M$2="Prices in $/MWh",1,1/1000)</f>
        <v>61.43</v>
      </c>
      <c r="M241" s="84">
        <f>(NJ_prices!M229+$D$2)*IF($M$2="Prices in $/MWh",1,1/1000)</f>
        <v>60.17</v>
      </c>
      <c r="N241" s="83">
        <f>(NJ_prices!N229+$D$2)*IF($M$2="Prices in $/MWh",1,1/1000)</f>
        <v>62.15</v>
      </c>
      <c r="O241" s="61"/>
    </row>
    <row r="242" spans="2:15" x14ac:dyDescent="0.25">
      <c r="B242" s="57"/>
      <c r="C242" s="74" t="str">
        <f>NJ_prices!C230</f>
        <v>June-2016</v>
      </c>
      <c r="D242" s="75" t="str">
        <f>NJ_prices!D230</f>
        <v>NJ</v>
      </c>
      <c r="E242" s="76" t="str">
        <f>NJ_prices!E230</f>
        <v>PSEG</v>
      </c>
      <c r="F242" s="75" t="str">
        <f>NJ_prices!F230</f>
        <v>LPL</v>
      </c>
      <c r="G242" s="76" t="str">
        <f>NJ_prices!G230</f>
        <v>Large P&amp;L</v>
      </c>
      <c r="H242" s="77" t="str">
        <f t="shared" ref="H242" si="225">IF($M$2="Prices in $/MWh","0-100 MWh","0-100,000 kWh")</f>
        <v>0-100 MWh</v>
      </c>
      <c r="I242" s="76">
        <f>(NJ_prices!I230+$D$2)*IF($M$2="Prices in $/MWh",1,1/1000)</f>
        <v>110.04</v>
      </c>
      <c r="J242" s="75">
        <f>(NJ_prices!J230+$D$2)*IF($M$2="Prices in $/MWh",1,1/1000)</f>
        <v>107.31</v>
      </c>
      <c r="K242" s="76">
        <f>(NJ_prices!K230+$D$2)*IF($M$2="Prices in $/MWh",1,1/1000)</f>
        <v>109.53</v>
      </c>
      <c r="L242" s="75">
        <f>(NJ_prices!L230+$D$2)*IF($M$2="Prices in $/MWh",1,1/1000)</f>
        <v>65.040000000000006</v>
      </c>
      <c r="M242" s="76">
        <f>(NJ_prices!M230+$D$2)*IF($M$2="Prices in $/MWh",1,1/1000)</f>
        <v>63.73</v>
      </c>
      <c r="N242" s="75">
        <f>(NJ_prices!N230+$D$2)*IF($M$2="Prices in $/MWh",1,1/1000)</f>
        <v>65.34</v>
      </c>
      <c r="O242" s="61"/>
    </row>
    <row r="243" spans="2:15" x14ac:dyDescent="0.25">
      <c r="B243" s="57"/>
      <c r="C243" s="78" t="str">
        <f>NJ_prices!C231</f>
        <v>June-2016</v>
      </c>
      <c r="D243" s="79" t="str">
        <f>NJ_prices!D231</f>
        <v>NJ</v>
      </c>
      <c r="E243" s="80" t="str">
        <f>NJ_prices!E231</f>
        <v>PSEG</v>
      </c>
      <c r="F243" s="79" t="str">
        <f>NJ_prices!F231</f>
        <v>LPL</v>
      </c>
      <c r="G243" s="80" t="str">
        <f>NJ_prices!G231</f>
        <v>Large P&amp;L</v>
      </c>
      <c r="H243" s="81" t="str">
        <f t="shared" ref="H243" si="226">IF($M$2="Prices in $/MWh","100-500 MWh","100,000-500,000 kWh")</f>
        <v>100-500 MWh</v>
      </c>
      <c r="I243" s="80">
        <f>(NJ_prices!I231+$D$2)*IF($M$2="Prices in $/MWh",1,1/1000)</f>
        <v>108.33</v>
      </c>
      <c r="J243" s="79">
        <f>(NJ_prices!J231+$D$2)*IF($M$2="Prices in $/MWh",1,1/1000)</f>
        <v>105.6</v>
      </c>
      <c r="K243" s="80">
        <f>(NJ_prices!K231+$D$2)*IF($M$2="Prices in $/MWh",1,1/1000)</f>
        <v>107.81</v>
      </c>
      <c r="L243" s="79">
        <f>(NJ_prices!L231+$D$2)*IF($M$2="Prices in $/MWh",1,1/1000)</f>
        <v>63.33</v>
      </c>
      <c r="M243" s="80">
        <f>(NJ_prices!M231+$D$2)*IF($M$2="Prices in $/MWh",1,1/1000)</f>
        <v>62.02</v>
      </c>
      <c r="N243" s="79">
        <f>(NJ_prices!N231+$D$2)*IF($M$2="Prices in $/MWh",1,1/1000)</f>
        <v>63.63</v>
      </c>
      <c r="O243" s="61"/>
    </row>
    <row r="244" spans="2:15" x14ac:dyDescent="0.25">
      <c r="B244" s="57"/>
      <c r="C244" s="82" t="str">
        <f>NJ_prices!C232</f>
        <v>June-2016</v>
      </c>
      <c r="D244" s="83" t="str">
        <f>NJ_prices!D232</f>
        <v>NJ</v>
      </c>
      <c r="E244" s="84" t="str">
        <f>NJ_prices!E232</f>
        <v>PSEG</v>
      </c>
      <c r="F244" s="83" t="str">
        <f>NJ_prices!F232</f>
        <v>LPL</v>
      </c>
      <c r="G244" s="84" t="str">
        <f>NJ_prices!G232</f>
        <v>Large P&amp;L</v>
      </c>
      <c r="H244" s="85" t="str">
        <f t="shared" ref="H244" si="227">IF($M$2="Prices in $/MWh","500-2500 MWh","500,000-2,500,000 kWh")</f>
        <v>500-2500 MWh</v>
      </c>
      <c r="I244" s="84">
        <f>(NJ_prices!I232+$D$2)*IF($M$2="Prices in $/MWh",1,1/1000)</f>
        <v>107.2</v>
      </c>
      <c r="J244" s="83">
        <f>(NJ_prices!J232+$D$2)*IF($M$2="Prices in $/MWh",1,1/1000)</f>
        <v>104.48</v>
      </c>
      <c r="K244" s="84">
        <f>(NJ_prices!K232+$D$2)*IF($M$2="Prices in $/MWh",1,1/1000)</f>
        <v>106.69</v>
      </c>
      <c r="L244" s="83">
        <f>(NJ_prices!L232+$D$2)*IF($M$2="Prices in $/MWh",1,1/1000)</f>
        <v>62.2</v>
      </c>
      <c r="M244" s="84">
        <f>(NJ_prices!M232+$D$2)*IF($M$2="Prices in $/MWh",1,1/1000)</f>
        <v>60.89</v>
      </c>
      <c r="N244" s="83">
        <f>(NJ_prices!N232+$D$2)*IF($M$2="Prices in $/MWh",1,1/1000)</f>
        <v>62.5</v>
      </c>
      <c r="O244" s="61"/>
    </row>
    <row r="245" spans="2:15" x14ac:dyDescent="0.25">
      <c r="B245" s="57"/>
      <c r="C245" s="74" t="str">
        <f>NJ_prices!C233</f>
        <v>July-2016</v>
      </c>
      <c r="D245" s="75" t="str">
        <f>NJ_prices!D233</f>
        <v>NJ</v>
      </c>
      <c r="E245" s="76" t="str">
        <f>NJ_prices!E233</f>
        <v>PSEG</v>
      </c>
      <c r="F245" s="75" t="str">
        <f>NJ_prices!F233</f>
        <v>LPL</v>
      </c>
      <c r="G245" s="76" t="str">
        <f>NJ_prices!G233</f>
        <v>Large P&amp;L</v>
      </c>
      <c r="H245" s="77" t="str">
        <f t="shared" ref="H245" si="228">IF($M$2="Prices in $/MWh","0-100 MWh","0-100,000 kWh")</f>
        <v>0-100 MWh</v>
      </c>
      <c r="I245" s="76">
        <f>(NJ_prices!I233+$D$2)*IF($M$2="Prices in $/MWh",1,1/1000)</f>
        <v>110.05</v>
      </c>
      <c r="J245" s="75">
        <f>(NJ_prices!J233+$D$2)*IF($M$2="Prices in $/MWh",1,1/1000)</f>
        <v>107.87</v>
      </c>
      <c r="K245" s="76">
        <f>(NJ_prices!K233+$D$2)*IF($M$2="Prices in $/MWh",1,1/1000)</f>
        <v>109.54</v>
      </c>
      <c r="L245" s="75">
        <f>(NJ_prices!L233+$D$2)*IF($M$2="Prices in $/MWh",1,1/1000)</f>
        <v>65.23</v>
      </c>
      <c r="M245" s="76">
        <f>(NJ_prices!M233+$D$2)*IF($M$2="Prices in $/MWh",1,1/1000)</f>
        <v>64.58</v>
      </c>
      <c r="N245" s="75">
        <f>(NJ_prices!N233+$D$2)*IF($M$2="Prices in $/MWh",1,1/1000)</f>
        <v>65.52</v>
      </c>
      <c r="O245" s="61"/>
    </row>
    <row r="246" spans="2:15" x14ac:dyDescent="0.25">
      <c r="B246" s="57"/>
      <c r="C246" s="78" t="str">
        <f>NJ_prices!C234</f>
        <v>July-2016</v>
      </c>
      <c r="D246" s="79" t="str">
        <f>NJ_prices!D234</f>
        <v>NJ</v>
      </c>
      <c r="E246" s="80" t="str">
        <f>NJ_prices!E234</f>
        <v>PSEG</v>
      </c>
      <c r="F246" s="79" t="str">
        <f>NJ_prices!F234</f>
        <v>LPL</v>
      </c>
      <c r="G246" s="80" t="str">
        <f>NJ_prices!G234</f>
        <v>Large P&amp;L</v>
      </c>
      <c r="H246" s="81" t="str">
        <f t="shared" ref="H246" si="229">IF($M$2="Prices in $/MWh","100-500 MWh","100,000-500,000 kWh")</f>
        <v>100-500 MWh</v>
      </c>
      <c r="I246" s="80">
        <f>(NJ_prices!I234+$D$2)*IF($M$2="Prices in $/MWh",1,1/1000)</f>
        <v>108.34</v>
      </c>
      <c r="J246" s="79">
        <f>(NJ_prices!J234+$D$2)*IF($M$2="Prices in $/MWh",1,1/1000)</f>
        <v>106.16</v>
      </c>
      <c r="K246" s="80">
        <f>(NJ_prices!K234+$D$2)*IF($M$2="Prices in $/MWh",1,1/1000)</f>
        <v>107.83</v>
      </c>
      <c r="L246" s="79">
        <f>(NJ_prices!L234+$D$2)*IF($M$2="Prices in $/MWh",1,1/1000)</f>
        <v>63.52</v>
      </c>
      <c r="M246" s="80">
        <f>(NJ_prices!M234+$D$2)*IF($M$2="Prices in $/MWh",1,1/1000)</f>
        <v>62.87</v>
      </c>
      <c r="N246" s="79">
        <f>(NJ_prices!N234+$D$2)*IF($M$2="Prices in $/MWh",1,1/1000)</f>
        <v>63.81</v>
      </c>
      <c r="O246" s="61"/>
    </row>
    <row r="247" spans="2:15" x14ac:dyDescent="0.25">
      <c r="B247" s="57"/>
      <c r="C247" s="82" t="str">
        <f>NJ_prices!C235</f>
        <v>July-2016</v>
      </c>
      <c r="D247" s="83" t="str">
        <f>NJ_prices!D235</f>
        <v>NJ</v>
      </c>
      <c r="E247" s="84" t="str">
        <f>NJ_prices!E235</f>
        <v>PSEG</v>
      </c>
      <c r="F247" s="83" t="str">
        <f>NJ_prices!F235</f>
        <v>LPL</v>
      </c>
      <c r="G247" s="84" t="str">
        <f>NJ_prices!G235</f>
        <v>Large P&amp;L</v>
      </c>
      <c r="H247" s="85" t="str">
        <f t="shared" ref="H247" si="230">IF($M$2="Prices in $/MWh","500-2500 MWh","500,000-2,500,000 kWh")</f>
        <v>500-2500 MWh</v>
      </c>
      <c r="I247" s="84">
        <f>(NJ_prices!I235+$D$2)*IF($M$2="Prices in $/MWh",1,1/1000)</f>
        <v>107.22</v>
      </c>
      <c r="J247" s="83">
        <f>(NJ_prices!J235+$D$2)*IF($M$2="Prices in $/MWh",1,1/1000)</f>
        <v>105.04</v>
      </c>
      <c r="K247" s="84">
        <f>(NJ_prices!K235+$D$2)*IF($M$2="Prices in $/MWh",1,1/1000)</f>
        <v>106.71</v>
      </c>
      <c r="L247" s="83">
        <f>(NJ_prices!L235+$D$2)*IF($M$2="Prices in $/MWh",1,1/1000)</f>
        <v>62.39</v>
      </c>
      <c r="M247" s="84">
        <f>(NJ_prices!M235+$D$2)*IF($M$2="Prices in $/MWh",1,1/1000)</f>
        <v>61.74</v>
      </c>
      <c r="N247" s="83">
        <f>(NJ_prices!N235+$D$2)*IF($M$2="Prices in $/MWh",1,1/1000)</f>
        <v>62.68</v>
      </c>
      <c r="O247" s="61"/>
    </row>
    <row r="248" spans="2:15" x14ac:dyDescent="0.25">
      <c r="B248" s="57"/>
      <c r="C248" s="74" t="str">
        <f>NJ_prices!C236</f>
        <v>August-2016</v>
      </c>
      <c r="D248" s="75" t="str">
        <f>NJ_prices!D236</f>
        <v>NJ</v>
      </c>
      <c r="E248" s="76" t="str">
        <f>NJ_prices!E236</f>
        <v>PSEG</v>
      </c>
      <c r="F248" s="75" t="str">
        <f>NJ_prices!F236</f>
        <v>LPL</v>
      </c>
      <c r="G248" s="76" t="str">
        <f>NJ_prices!G236</f>
        <v>Large P&amp;L</v>
      </c>
      <c r="H248" s="77" t="str">
        <f t="shared" ref="H248" si="231">IF($M$2="Prices in $/MWh","0-100 MWh","0-100,000 kWh")</f>
        <v>0-100 MWh</v>
      </c>
      <c r="I248" s="76">
        <f>(NJ_prices!I236+$D$2)*IF($M$2="Prices in $/MWh",1,1/1000)</f>
        <v>110.12</v>
      </c>
      <c r="J248" s="75">
        <f>(NJ_prices!J236+$D$2)*IF($M$2="Prices in $/MWh",1,1/1000)</f>
        <v>109.47</v>
      </c>
      <c r="K248" s="76">
        <f>(NJ_prices!K236+$D$2)*IF($M$2="Prices in $/MWh",1,1/1000)</f>
        <v>109.72</v>
      </c>
      <c r="L248" s="75">
        <f>(NJ_prices!L236+$D$2)*IF($M$2="Prices in $/MWh",1,1/1000)</f>
        <v>65.72</v>
      </c>
      <c r="M248" s="76">
        <f>(NJ_prices!M236+$D$2)*IF($M$2="Prices in $/MWh",1,1/1000)</f>
        <v>65.75</v>
      </c>
      <c r="N248" s="75">
        <f>(NJ_prices!N236+$D$2)*IF($M$2="Prices in $/MWh",1,1/1000)</f>
        <v>65.930000000000007</v>
      </c>
      <c r="O248" s="61"/>
    </row>
    <row r="249" spans="2:15" x14ac:dyDescent="0.25">
      <c r="B249" s="57"/>
      <c r="C249" s="78" t="str">
        <f>NJ_prices!C237</f>
        <v>August-2016</v>
      </c>
      <c r="D249" s="79" t="str">
        <f>NJ_prices!D237</f>
        <v>NJ</v>
      </c>
      <c r="E249" s="80" t="str">
        <f>NJ_prices!E237</f>
        <v>PSEG</v>
      </c>
      <c r="F249" s="79" t="str">
        <f>NJ_prices!F237</f>
        <v>LPL</v>
      </c>
      <c r="G249" s="80" t="str">
        <f>NJ_prices!G237</f>
        <v>Large P&amp;L</v>
      </c>
      <c r="H249" s="81" t="str">
        <f t="shared" ref="H249" si="232">IF($M$2="Prices in $/MWh","100-500 MWh","100,000-500,000 kWh")</f>
        <v>100-500 MWh</v>
      </c>
      <c r="I249" s="80">
        <f>(NJ_prices!I237+$D$2)*IF($M$2="Prices in $/MWh",1,1/1000)</f>
        <v>108.41</v>
      </c>
      <c r="J249" s="79">
        <f>(NJ_prices!J237+$D$2)*IF($M$2="Prices in $/MWh",1,1/1000)</f>
        <v>107.76</v>
      </c>
      <c r="K249" s="80">
        <f>(NJ_prices!K237+$D$2)*IF($M$2="Prices in $/MWh",1,1/1000)</f>
        <v>108</v>
      </c>
      <c r="L249" s="79">
        <f>(NJ_prices!L237+$D$2)*IF($M$2="Prices in $/MWh",1,1/1000)</f>
        <v>64.010000000000005</v>
      </c>
      <c r="M249" s="80">
        <f>(NJ_prices!M237+$D$2)*IF($M$2="Prices in $/MWh",1,1/1000)</f>
        <v>64.040000000000006</v>
      </c>
      <c r="N249" s="79">
        <f>(NJ_prices!N237+$D$2)*IF($M$2="Prices in $/MWh",1,1/1000)</f>
        <v>64.22</v>
      </c>
      <c r="O249" s="61"/>
    </row>
    <row r="250" spans="2:15" x14ac:dyDescent="0.25">
      <c r="B250" s="57"/>
      <c r="C250" s="82" t="str">
        <f>NJ_prices!C238</f>
        <v>August-2016</v>
      </c>
      <c r="D250" s="83" t="str">
        <f>NJ_prices!D238</f>
        <v>NJ</v>
      </c>
      <c r="E250" s="84" t="str">
        <f>NJ_prices!E238</f>
        <v>PSEG</v>
      </c>
      <c r="F250" s="83" t="str">
        <f>NJ_prices!F238</f>
        <v>LPL</v>
      </c>
      <c r="G250" s="84" t="str">
        <f>NJ_prices!G238</f>
        <v>Large P&amp;L</v>
      </c>
      <c r="H250" s="85" t="str">
        <f t="shared" ref="H250" si="233">IF($M$2="Prices in $/MWh","500-2500 MWh","500,000-2,500,000 kWh")</f>
        <v>500-2500 MWh</v>
      </c>
      <c r="I250" s="84">
        <f>(NJ_prices!I238+$D$2)*IF($M$2="Prices in $/MWh",1,1/1000)</f>
        <v>107.29</v>
      </c>
      <c r="J250" s="83">
        <f>(NJ_prices!J238+$D$2)*IF($M$2="Prices in $/MWh",1,1/1000)</f>
        <v>106.63</v>
      </c>
      <c r="K250" s="84">
        <f>(NJ_prices!K238+$D$2)*IF($M$2="Prices in $/MWh",1,1/1000)</f>
        <v>106.88</v>
      </c>
      <c r="L250" s="83">
        <f>(NJ_prices!L238+$D$2)*IF($M$2="Prices in $/MWh",1,1/1000)</f>
        <v>62.88</v>
      </c>
      <c r="M250" s="84">
        <f>(NJ_prices!M238+$D$2)*IF($M$2="Prices in $/MWh",1,1/1000)</f>
        <v>62.91</v>
      </c>
      <c r="N250" s="83">
        <f>(NJ_prices!N238+$D$2)*IF($M$2="Prices in $/MWh",1,1/1000)</f>
        <v>63.09</v>
      </c>
      <c r="O250" s="61"/>
    </row>
    <row r="251" spans="2:15" x14ac:dyDescent="0.25">
      <c r="B251" s="57"/>
      <c r="C251" s="74" t="str">
        <f>NJ_prices!C239</f>
        <v>September-2016</v>
      </c>
      <c r="D251" s="75" t="str">
        <f>NJ_prices!D239</f>
        <v>NJ</v>
      </c>
      <c r="E251" s="76" t="str">
        <f>NJ_prices!E239</f>
        <v>PSEG</v>
      </c>
      <c r="F251" s="75" t="str">
        <f>NJ_prices!F239</f>
        <v>LPL</v>
      </c>
      <c r="G251" s="76" t="str">
        <f>NJ_prices!G239</f>
        <v>Large P&amp;L</v>
      </c>
      <c r="H251" s="77" t="str">
        <f t="shared" ref="H251" si="234">IF($M$2="Prices in $/MWh","0-100 MWh","0-100,000 kWh")</f>
        <v>0-100 MWh</v>
      </c>
      <c r="I251" s="76">
        <f>(NJ_prices!I239+$D$2)*IF($M$2="Prices in $/MWh",1,1/1000)</f>
        <v>109.65</v>
      </c>
      <c r="J251" s="75">
        <f>(NJ_prices!J239+$D$2)*IF($M$2="Prices in $/MWh",1,1/1000)</f>
        <v>110.76</v>
      </c>
      <c r="K251" s="76">
        <f>(NJ_prices!K239+$D$2)*IF($M$2="Prices in $/MWh",1,1/1000)</f>
        <v>109.59</v>
      </c>
      <c r="L251" s="75">
        <f>(NJ_prices!L239+$D$2)*IF($M$2="Prices in $/MWh",1,1/1000)</f>
        <v>65.53</v>
      </c>
      <c r="M251" s="76">
        <f>(NJ_prices!M239+$D$2)*IF($M$2="Prices in $/MWh",1,1/1000)</f>
        <v>66.62</v>
      </c>
      <c r="N251" s="75">
        <f>(NJ_prices!N239+$D$2)*IF($M$2="Prices in $/MWh",1,1/1000)</f>
        <v>66.010000000000005</v>
      </c>
      <c r="O251" s="61"/>
    </row>
    <row r="252" spans="2:15" x14ac:dyDescent="0.25">
      <c r="B252" s="57"/>
      <c r="C252" s="78" t="str">
        <f>NJ_prices!C240</f>
        <v>September-2016</v>
      </c>
      <c r="D252" s="79" t="str">
        <f>NJ_prices!D240</f>
        <v>NJ</v>
      </c>
      <c r="E252" s="80" t="str">
        <f>NJ_prices!E240</f>
        <v>PSEG</v>
      </c>
      <c r="F252" s="79" t="str">
        <f>NJ_prices!F240</f>
        <v>LPL</v>
      </c>
      <c r="G252" s="80" t="str">
        <f>NJ_prices!G240</f>
        <v>Large P&amp;L</v>
      </c>
      <c r="H252" s="81" t="str">
        <f t="shared" ref="H252" si="235">IF($M$2="Prices in $/MWh","100-500 MWh","100,000-500,000 kWh")</f>
        <v>100-500 MWh</v>
      </c>
      <c r="I252" s="80">
        <f>(NJ_prices!I240+$D$2)*IF($M$2="Prices in $/MWh",1,1/1000)</f>
        <v>107.93</v>
      </c>
      <c r="J252" s="79">
        <f>(NJ_prices!J240+$D$2)*IF($M$2="Prices in $/MWh",1,1/1000)</f>
        <v>109.05</v>
      </c>
      <c r="K252" s="80">
        <f>(NJ_prices!K240+$D$2)*IF($M$2="Prices in $/MWh",1,1/1000)</f>
        <v>107.87</v>
      </c>
      <c r="L252" s="79">
        <f>(NJ_prices!L240+$D$2)*IF($M$2="Prices in $/MWh",1,1/1000)</f>
        <v>63.82</v>
      </c>
      <c r="M252" s="80">
        <f>(NJ_prices!M240+$D$2)*IF($M$2="Prices in $/MWh",1,1/1000)</f>
        <v>64.91</v>
      </c>
      <c r="N252" s="79">
        <f>(NJ_prices!N240+$D$2)*IF($M$2="Prices in $/MWh",1,1/1000)</f>
        <v>64.3</v>
      </c>
      <c r="O252" s="61"/>
    </row>
    <row r="253" spans="2:15" x14ac:dyDescent="0.25">
      <c r="B253" s="57"/>
      <c r="C253" s="82" t="str">
        <f>NJ_prices!C241</f>
        <v>September-2016</v>
      </c>
      <c r="D253" s="83" t="str">
        <f>NJ_prices!D241</f>
        <v>NJ</v>
      </c>
      <c r="E253" s="84" t="str">
        <f>NJ_prices!E241</f>
        <v>PSEG</v>
      </c>
      <c r="F253" s="83" t="str">
        <f>NJ_prices!F241</f>
        <v>LPL</v>
      </c>
      <c r="G253" s="84" t="str">
        <f>NJ_prices!G241</f>
        <v>Large P&amp;L</v>
      </c>
      <c r="H253" s="85" t="str">
        <f t="shared" ref="H253" si="236">IF($M$2="Prices in $/MWh","500-2500 MWh","500,000-2,500,000 kWh")</f>
        <v>500-2500 MWh</v>
      </c>
      <c r="I253" s="84">
        <f>(NJ_prices!I241+$D$2)*IF($M$2="Prices in $/MWh",1,1/1000)</f>
        <v>106.81</v>
      </c>
      <c r="J253" s="83">
        <f>(NJ_prices!J241+$D$2)*IF($M$2="Prices in $/MWh",1,1/1000)</f>
        <v>107.93</v>
      </c>
      <c r="K253" s="84">
        <f>(NJ_prices!K241+$D$2)*IF($M$2="Prices in $/MWh",1,1/1000)</f>
        <v>106.75</v>
      </c>
      <c r="L253" s="83">
        <f>(NJ_prices!L241+$D$2)*IF($M$2="Prices in $/MWh",1,1/1000)</f>
        <v>62.7</v>
      </c>
      <c r="M253" s="84">
        <f>(NJ_prices!M241+$D$2)*IF($M$2="Prices in $/MWh",1,1/1000)</f>
        <v>63.78</v>
      </c>
      <c r="N253" s="83">
        <f>(NJ_prices!N241+$D$2)*IF($M$2="Prices in $/MWh",1,1/1000)</f>
        <v>63.17</v>
      </c>
      <c r="O253" s="61"/>
    </row>
    <row r="254" spans="2:15" x14ac:dyDescent="0.25">
      <c r="B254" s="57"/>
      <c r="C254" s="74" t="str">
        <f>NJ_prices!C242</f>
        <v>October-2016</v>
      </c>
      <c r="D254" s="75" t="str">
        <f>NJ_prices!D242</f>
        <v>NJ</v>
      </c>
      <c r="E254" s="76" t="str">
        <f>NJ_prices!E242</f>
        <v>PSEG</v>
      </c>
      <c r="F254" s="75" t="str">
        <f>NJ_prices!F242</f>
        <v>LPL</v>
      </c>
      <c r="G254" s="76" t="str">
        <f>NJ_prices!G242</f>
        <v>Large P&amp;L</v>
      </c>
      <c r="H254" s="77" t="str">
        <f t="shared" ref="H254" si="237">IF($M$2="Prices in $/MWh","0-100 MWh","0-100,000 kWh")</f>
        <v>0-100 MWh</v>
      </c>
      <c r="I254" s="76">
        <f>(NJ_prices!I242+$D$2)*IF($M$2="Prices in $/MWh",1,1/1000)</f>
        <v>109.53</v>
      </c>
      <c r="J254" s="75">
        <f>(NJ_prices!J242+$D$2)*IF($M$2="Prices in $/MWh",1,1/1000)</f>
        <v>111.65</v>
      </c>
      <c r="K254" s="76">
        <f>(NJ_prices!K242+$D$2)*IF($M$2="Prices in $/MWh",1,1/1000)</f>
        <v>109.59</v>
      </c>
      <c r="L254" s="75">
        <f>(NJ_prices!L242+$D$2)*IF($M$2="Prices in $/MWh",1,1/1000)</f>
        <v>65.63</v>
      </c>
      <c r="M254" s="76">
        <f>(NJ_prices!M242+$D$2)*IF($M$2="Prices in $/MWh",1,1/1000)</f>
        <v>67.41</v>
      </c>
      <c r="N254" s="75">
        <f>(NJ_prices!N242+$D$2)*IF($M$2="Prices in $/MWh",1,1/1000)</f>
        <v>66.22</v>
      </c>
      <c r="O254" s="61"/>
    </row>
    <row r="255" spans="2:15" x14ac:dyDescent="0.25">
      <c r="B255" s="57"/>
      <c r="C255" s="78" t="str">
        <f>NJ_prices!C243</f>
        <v>October-2016</v>
      </c>
      <c r="D255" s="79" t="str">
        <f>NJ_prices!D243</f>
        <v>NJ</v>
      </c>
      <c r="E255" s="80" t="str">
        <f>NJ_prices!E243</f>
        <v>PSEG</v>
      </c>
      <c r="F255" s="79" t="str">
        <f>NJ_prices!F243</f>
        <v>LPL</v>
      </c>
      <c r="G255" s="80" t="str">
        <f>NJ_prices!G243</f>
        <v>Large P&amp;L</v>
      </c>
      <c r="H255" s="81" t="str">
        <f t="shared" ref="H255" si="238">IF($M$2="Prices in $/MWh","100-500 MWh","100,000-500,000 kWh")</f>
        <v>100-500 MWh</v>
      </c>
      <c r="I255" s="80">
        <f>(NJ_prices!I243+$D$2)*IF($M$2="Prices in $/MWh",1,1/1000)</f>
        <v>107.82</v>
      </c>
      <c r="J255" s="79">
        <f>(NJ_prices!J243+$D$2)*IF($M$2="Prices in $/MWh",1,1/1000)</f>
        <v>109.93</v>
      </c>
      <c r="K255" s="80">
        <f>(NJ_prices!K243+$D$2)*IF($M$2="Prices in $/MWh",1,1/1000)</f>
        <v>107.88</v>
      </c>
      <c r="L255" s="79">
        <f>(NJ_prices!L243+$D$2)*IF($M$2="Prices in $/MWh",1,1/1000)</f>
        <v>63.92</v>
      </c>
      <c r="M255" s="80">
        <f>(NJ_prices!M243+$D$2)*IF($M$2="Prices in $/MWh",1,1/1000)</f>
        <v>65.7</v>
      </c>
      <c r="N255" s="79">
        <f>(NJ_prices!N243+$D$2)*IF($M$2="Prices in $/MWh",1,1/1000)</f>
        <v>64.510000000000005</v>
      </c>
      <c r="O255" s="61"/>
    </row>
    <row r="256" spans="2:15" x14ac:dyDescent="0.25">
      <c r="B256" s="57"/>
      <c r="C256" s="82" t="str">
        <f>NJ_prices!C244</f>
        <v>October-2016</v>
      </c>
      <c r="D256" s="83" t="str">
        <f>NJ_prices!D244</f>
        <v>NJ</v>
      </c>
      <c r="E256" s="84" t="str">
        <f>NJ_prices!E244</f>
        <v>PSEG</v>
      </c>
      <c r="F256" s="83" t="str">
        <f>NJ_prices!F244</f>
        <v>LPL</v>
      </c>
      <c r="G256" s="84" t="str">
        <f>NJ_prices!G244</f>
        <v>Large P&amp;L</v>
      </c>
      <c r="H256" s="85" t="str">
        <f t="shared" ref="H256" si="239">IF($M$2="Prices in $/MWh","500-2500 MWh","500,000-2,500,000 kWh")</f>
        <v>500-2500 MWh</v>
      </c>
      <c r="I256" s="84">
        <f>(NJ_prices!I244+$D$2)*IF($M$2="Prices in $/MWh",1,1/1000)</f>
        <v>106.7</v>
      </c>
      <c r="J256" s="83">
        <f>(NJ_prices!J244+$D$2)*IF($M$2="Prices in $/MWh",1,1/1000)</f>
        <v>108.81</v>
      </c>
      <c r="K256" s="84">
        <f>(NJ_prices!K244+$D$2)*IF($M$2="Prices in $/MWh",1,1/1000)</f>
        <v>106.76</v>
      </c>
      <c r="L256" s="83">
        <f>(NJ_prices!L244+$D$2)*IF($M$2="Prices in $/MWh",1,1/1000)</f>
        <v>62.79</v>
      </c>
      <c r="M256" s="84">
        <f>(NJ_prices!M244+$D$2)*IF($M$2="Prices in $/MWh",1,1/1000)</f>
        <v>64.58</v>
      </c>
      <c r="N256" s="83">
        <f>(NJ_prices!N244+$D$2)*IF($M$2="Prices in $/MWh",1,1/1000)</f>
        <v>63.38</v>
      </c>
      <c r="O256" s="61"/>
    </row>
    <row r="257" spans="2:15" x14ac:dyDescent="0.25">
      <c r="B257" s="57"/>
      <c r="C257" s="74" t="str">
        <f>NJ_prices!C245</f>
        <v>November-2016</v>
      </c>
      <c r="D257" s="75" t="str">
        <f>NJ_prices!D245</f>
        <v>NJ</v>
      </c>
      <c r="E257" s="76" t="str">
        <f>NJ_prices!E245</f>
        <v>PSEG</v>
      </c>
      <c r="F257" s="75" t="str">
        <f>NJ_prices!F245</f>
        <v>LPL</v>
      </c>
      <c r="G257" s="76" t="str">
        <f>NJ_prices!G245</f>
        <v>Large P&amp;L</v>
      </c>
      <c r="H257" s="77" t="str">
        <f t="shared" ref="H257" si="240">IF($M$2="Prices in $/MWh","0-100 MWh","0-100,000 kWh")</f>
        <v>0-100 MWh</v>
      </c>
      <c r="I257" s="76">
        <f>(NJ_prices!I245+$D$2)*IF($M$2="Prices in $/MWh",1,1/1000)</f>
        <v>109.41</v>
      </c>
      <c r="J257" s="75">
        <f>(NJ_prices!J245+$D$2)*IF($M$2="Prices in $/MWh",1,1/1000)</f>
        <v>111.79</v>
      </c>
      <c r="K257" s="76">
        <f>(NJ_prices!K245+$D$2)*IF($M$2="Prices in $/MWh",1,1/1000)</f>
        <v>109.6</v>
      </c>
      <c r="L257" s="75">
        <f>(NJ_prices!L245+$D$2)*IF($M$2="Prices in $/MWh",1,1/1000)</f>
        <v>65.709999999999994</v>
      </c>
      <c r="M257" s="76">
        <f>(NJ_prices!M245+$D$2)*IF($M$2="Prices in $/MWh",1,1/1000)</f>
        <v>67.540000000000006</v>
      </c>
      <c r="N257" s="75">
        <f>(NJ_prices!N245+$D$2)*IF($M$2="Prices in $/MWh",1,1/1000)</f>
        <v>66.41</v>
      </c>
      <c r="O257" s="61"/>
    </row>
    <row r="258" spans="2:15" x14ac:dyDescent="0.25">
      <c r="B258" s="57"/>
      <c r="C258" s="78" t="str">
        <f>NJ_prices!C246</f>
        <v>November-2016</v>
      </c>
      <c r="D258" s="79" t="str">
        <f>NJ_prices!D246</f>
        <v>NJ</v>
      </c>
      <c r="E258" s="80" t="str">
        <f>NJ_prices!E246</f>
        <v>PSEG</v>
      </c>
      <c r="F258" s="79" t="str">
        <f>NJ_prices!F246</f>
        <v>LPL</v>
      </c>
      <c r="G258" s="80" t="str">
        <f>NJ_prices!G246</f>
        <v>Large P&amp;L</v>
      </c>
      <c r="H258" s="81" t="str">
        <f t="shared" ref="H258" si="241">IF($M$2="Prices in $/MWh","100-500 MWh","100,000-500,000 kWh")</f>
        <v>100-500 MWh</v>
      </c>
      <c r="I258" s="80">
        <f>(NJ_prices!I246+$D$2)*IF($M$2="Prices in $/MWh",1,1/1000)</f>
        <v>107.7</v>
      </c>
      <c r="J258" s="79">
        <f>(NJ_prices!J246+$D$2)*IF($M$2="Prices in $/MWh",1,1/1000)</f>
        <v>110.08</v>
      </c>
      <c r="K258" s="80">
        <f>(NJ_prices!K246+$D$2)*IF($M$2="Prices in $/MWh",1,1/1000)</f>
        <v>107.89</v>
      </c>
      <c r="L258" s="79">
        <f>(NJ_prices!L246+$D$2)*IF($M$2="Prices in $/MWh",1,1/1000)</f>
        <v>64</v>
      </c>
      <c r="M258" s="80">
        <f>(NJ_prices!M246+$D$2)*IF($M$2="Prices in $/MWh",1,1/1000)</f>
        <v>65.83</v>
      </c>
      <c r="N258" s="79">
        <f>(NJ_prices!N246+$D$2)*IF($M$2="Prices in $/MWh",1,1/1000)</f>
        <v>64.7</v>
      </c>
      <c r="O258" s="61"/>
    </row>
    <row r="259" spans="2:15" x14ac:dyDescent="0.25">
      <c r="B259" s="57"/>
      <c r="C259" s="82" t="str">
        <f>NJ_prices!C247</f>
        <v>November-2016</v>
      </c>
      <c r="D259" s="83" t="str">
        <f>NJ_prices!D247</f>
        <v>NJ</v>
      </c>
      <c r="E259" s="84" t="str">
        <f>NJ_prices!E247</f>
        <v>PSEG</v>
      </c>
      <c r="F259" s="83" t="str">
        <f>NJ_prices!F247</f>
        <v>LPL</v>
      </c>
      <c r="G259" s="84" t="str">
        <f>NJ_prices!G247</f>
        <v>Large P&amp;L</v>
      </c>
      <c r="H259" s="85" t="str">
        <f t="shared" ref="H259" si="242">IF($M$2="Prices in $/MWh","500-2500 MWh","500,000-2,500,000 kWh")</f>
        <v>500-2500 MWh</v>
      </c>
      <c r="I259" s="84">
        <f>(NJ_prices!I247+$D$2)*IF($M$2="Prices in $/MWh",1,1/1000)</f>
        <v>106.57</v>
      </c>
      <c r="J259" s="83">
        <f>(NJ_prices!J247+$D$2)*IF($M$2="Prices in $/MWh",1,1/1000)</f>
        <v>108.95</v>
      </c>
      <c r="K259" s="84">
        <f>(NJ_prices!K247+$D$2)*IF($M$2="Prices in $/MWh",1,1/1000)</f>
        <v>106.77</v>
      </c>
      <c r="L259" s="83">
        <f>(NJ_prices!L247+$D$2)*IF($M$2="Prices in $/MWh",1,1/1000)</f>
        <v>62.88</v>
      </c>
      <c r="M259" s="84">
        <f>(NJ_prices!M247+$D$2)*IF($M$2="Prices in $/MWh",1,1/1000)</f>
        <v>64.7</v>
      </c>
      <c r="N259" s="83">
        <f>(NJ_prices!N247+$D$2)*IF($M$2="Prices in $/MWh",1,1/1000)</f>
        <v>63.57</v>
      </c>
      <c r="O259" s="61"/>
    </row>
    <row r="260" spans="2:15" x14ac:dyDescent="0.25">
      <c r="B260" s="57"/>
      <c r="C260" s="74" t="str">
        <f>NJ_prices!C248</f>
        <v>December-2016</v>
      </c>
      <c r="D260" s="75" t="str">
        <f>NJ_prices!D248</f>
        <v>NJ</v>
      </c>
      <c r="E260" s="76" t="str">
        <f>NJ_prices!E248</f>
        <v>PSEG</v>
      </c>
      <c r="F260" s="75" t="str">
        <f>NJ_prices!F248</f>
        <v>LPL</v>
      </c>
      <c r="G260" s="76" t="str">
        <f>NJ_prices!G248</f>
        <v>Large P&amp;L</v>
      </c>
      <c r="H260" s="77" t="str">
        <f t="shared" ref="H260" si="243">IF($M$2="Prices in $/MWh","0-100 MWh","0-100,000 kWh")</f>
        <v>0-100 MWh</v>
      </c>
      <c r="I260" s="76">
        <f>(NJ_prices!I248+$D$2)*IF($M$2="Prices in $/MWh",1,1/1000)</f>
        <v>109.24</v>
      </c>
      <c r="J260" s="75">
        <f>(NJ_prices!J248+$D$2)*IF($M$2="Prices in $/MWh",1,1/1000)</f>
        <v>111.61</v>
      </c>
      <c r="K260" s="76">
        <f>(NJ_prices!K248+$D$2)*IF($M$2="Prices in $/MWh",1,1/1000)</f>
        <v>109.57</v>
      </c>
      <c r="L260" s="75">
        <f>(NJ_prices!L248+$D$2)*IF($M$2="Prices in $/MWh",1,1/1000)</f>
        <v>65.760000000000005</v>
      </c>
      <c r="M260" s="76">
        <f>(NJ_prices!M248+$D$2)*IF($M$2="Prices in $/MWh",1,1/1000)</f>
        <v>67.28</v>
      </c>
      <c r="N260" s="75">
        <f>(NJ_prices!N248+$D$2)*IF($M$2="Prices in $/MWh",1,1/1000)</f>
        <v>66.510000000000005</v>
      </c>
      <c r="O260" s="61"/>
    </row>
    <row r="261" spans="2:15" x14ac:dyDescent="0.25">
      <c r="B261" s="57"/>
      <c r="C261" s="78" t="str">
        <f>NJ_prices!C249</f>
        <v>December-2016</v>
      </c>
      <c r="D261" s="79" t="str">
        <f>NJ_prices!D249</f>
        <v>NJ</v>
      </c>
      <c r="E261" s="80" t="str">
        <f>NJ_prices!E249</f>
        <v>PSEG</v>
      </c>
      <c r="F261" s="79" t="str">
        <f>NJ_prices!F249</f>
        <v>LPL</v>
      </c>
      <c r="G261" s="80" t="str">
        <f>NJ_prices!G249</f>
        <v>Large P&amp;L</v>
      </c>
      <c r="H261" s="81" t="str">
        <f t="shared" ref="H261" si="244">IF($M$2="Prices in $/MWh","100-500 MWh","100,000-500,000 kWh")</f>
        <v>100-500 MWh</v>
      </c>
      <c r="I261" s="80">
        <f>(NJ_prices!I249+$D$2)*IF($M$2="Prices in $/MWh",1,1/1000)</f>
        <v>107.53</v>
      </c>
      <c r="J261" s="79">
        <f>(NJ_prices!J249+$D$2)*IF($M$2="Prices in $/MWh",1,1/1000)</f>
        <v>109.9</v>
      </c>
      <c r="K261" s="80">
        <f>(NJ_prices!K249+$D$2)*IF($M$2="Prices in $/MWh",1,1/1000)</f>
        <v>107.86</v>
      </c>
      <c r="L261" s="79">
        <f>(NJ_prices!L249+$D$2)*IF($M$2="Prices in $/MWh",1,1/1000)</f>
        <v>64.05</v>
      </c>
      <c r="M261" s="80">
        <f>(NJ_prices!M249+$D$2)*IF($M$2="Prices in $/MWh",1,1/1000)</f>
        <v>65.569999999999993</v>
      </c>
      <c r="N261" s="79">
        <f>(NJ_prices!N249+$D$2)*IF($M$2="Prices in $/MWh",1,1/1000)</f>
        <v>64.8</v>
      </c>
      <c r="O261" s="61"/>
    </row>
    <row r="262" spans="2:15" x14ac:dyDescent="0.25">
      <c r="B262" s="57"/>
      <c r="C262" s="82" t="str">
        <f>NJ_prices!C250</f>
        <v>December-2016</v>
      </c>
      <c r="D262" s="83" t="str">
        <f>NJ_prices!D250</f>
        <v>NJ</v>
      </c>
      <c r="E262" s="84" t="str">
        <f>NJ_prices!E250</f>
        <v>PSEG</v>
      </c>
      <c r="F262" s="83" t="str">
        <f>NJ_prices!F250</f>
        <v>LPL</v>
      </c>
      <c r="G262" s="84" t="str">
        <f>NJ_prices!G250</f>
        <v>Large P&amp;L</v>
      </c>
      <c r="H262" s="85" t="str">
        <f t="shared" ref="H262" si="245">IF($M$2="Prices in $/MWh","500-2500 MWh","500,000-2,500,000 kWh")</f>
        <v>500-2500 MWh</v>
      </c>
      <c r="I262" s="84">
        <f>(NJ_prices!I250+$D$2)*IF($M$2="Prices in $/MWh",1,1/1000)</f>
        <v>106.4</v>
      </c>
      <c r="J262" s="83">
        <f>(NJ_prices!J250+$D$2)*IF($M$2="Prices in $/MWh",1,1/1000)</f>
        <v>108.78</v>
      </c>
      <c r="K262" s="84">
        <f>(NJ_prices!K250+$D$2)*IF($M$2="Prices in $/MWh",1,1/1000)</f>
        <v>106.73</v>
      </c>
      <c r="L262" s="83">
        <f>(NJ_prices!L250+$D$2)*IF($M$2="Prices in $/MWh",1,1/1000)</f>
        <v>62.92</v>
      </c>
      <c r="M262" s="84">
        <f>(NJ_prices!M250+$D$2)*IF($M$2="Prices in $/MWh",1,1/1000)</f>
        <v>64.45</v>
      </c>
      <c r="N262" s="83">
        <f>(NJ_prices!N250+$D$2)*IF($M$2="Prices in $/MWh",1,1/1000)</f>
        <v>63.67</v>
      </c>
      <c r="O262" s="61"/>
    </row>
    <row r="263" spans="2:15" x14ac:dyDescent="0.25">
      <c r="B263" s="57"/>
      <c r="C263" s="74" t="str">
        <f>NJ_prices!C251</f>
        <v>January-2017</v>
      </c>
      <c r="D263" s="75" t="str">
        <f>NJ_prices!D251</f>
        <v>NJ</v>
      </c>
      <c r="E263" s="76" t="str">
        <f>NJ_prices!E251</f>
        <v>PSEG</v>
      </c>
      <c r="F263" s="75" t="str">
        <f>NJ_prices!F251</f>
        <v>LPL</v>
      </c>
      <c r="G263" s="76" t="str">
        <f>NJ_prices!G251</f>
        <v>Large P&amp;L</v>
      </c>
      <c r="H263" s="77" t="str">
        <f t="shared" ref="H263" si="246">IF($M$2="Prices in $/MWh","0-100 MWh","0-100,000 kWh")</f>
        <v>0-100 MWh</v>
      </c>
      <c r="I263" s="76">
        <f>(NJ_prices!I251+$D$2)*IF($M$2="Prices in $/MWh",1,1/1000)</f>
        <v>109.17</v>
      </c>
      <c r="J263" s="75">
        <f>(NJ_prices!J251+$D$2)*IF($M$2="Prices in $/MWh",1,1/1000)</f>
        <v>110.99</v>
      </c>
      <c r="K263" s="76">
        <f>(NJ_prices!K251+$D$2)*IF($M$2="Prices in $/MWh",1,1/1000)</f>
        <v>109.62</v>
      </c>
      <c r="L263" s="75">
        <f>(NJ_prices!L251+$D$2)*IF($M$2="Prices in $/MWh",1,1/1000)</f>
        <v>65.849999999999994</v>
      </c>
      <c r="M263" s="76">
        <f>(NJ_prices!M251+$D$2)*IF($M$2="Prices in $/MWh",1,1/1000)</f>
        <v>66.7</v>
      </c>
      <c r="N263" s="75">
        <f>(NJ_prices!N251+$D$2)*IF($M$2="Prices in $/MWh",1,1/1000)</f>
        <v>66.59</v>
      </c>
      <c r="O263" s="61"/>
    </row>
    <row r="264" spans="2:15" x14ac:dyDescent="0.25">
      <c r="B264" s="57"/>
      <c r="C264" s="78" t="str">
        <f>NJ_prices!C252</f>
        <v>January-2017</v>
      </c>
      <c r="D264" s="79" t="str">
        <f>NJ_prices!D252</f>
        <v>NJ</v>
      </c>
      <c r="E264" s="80" t="str">
        <f>NJ_prices!E252</f>
        <v>PSEG</v>
      </c>
      <c r="F264" s="79" t="str">
        <f>NJ_prices!F252</f>
        <v>LPL</v>
      </c>
      <c r="G264" s="80" t="str">
        <f>NJ_prices!G252</f>
        <v>Large P&amp;L</v>
      </c>
      <c r="H264" s="81" t="str">
        <f t="shared" ref="H264" si="247">IF($M$2="Prices in $/MWh","100-500 MWh","100,000-500,000 kWh")</f>
        <v>100-500 MWh</v>
      </c>
      <c r="I264" s="80">
        <f>(NJ_prices!I252+$D$2)*IF($M$2="Prices in $/MWh",1,1/1000)</f>
        <v>107.45</v>
      </c>
      <c r="J264" s="79">
        <f>(NJ_prices!J252+$D$2)*IF($M$2="Prices in $/MWh",1,1/1000)</f>
        <v>109.28</v>
      </c>
      <c r="K264" s="80">
        <f>(NJ_prices!K252+$D$2)*IF($M$2="Prices in $/MWh",1,1/1000)</f>
        <v>107.91</v>
      </c>
      <c r="L264" s="79">
        <f>(NJ_prices!L252+$D$2)*IF($M$2="Prices in $/MWh",1,1/1000)</f>
        <v>64.14</v>
      </c>
      <c r="M264" s="80">
        <f>(NJ_prices!M252+$D$2)*IF($M$2="Prices in $/MWh",1,1/1000)</f>
        <v>64.989999999999995</v>
      </c>
      <c r="N264" s="79">
        <f>(NJ_prices!N252+$D$2)*IF($M$2="Prices in $/MWh",1,1/1000)</f>
        <v>64.88</v>
      </c>
      <c r="O264" s="61"/>
    </row>
    <row r="265" spans="2:15" ht="15.75" thickBot="1" x14ac:dyDescent="0.3">
      <c r="B265" s="57"/>
      <c r="C265" s="82" t="str">
        <f>NJ_prices!C253</f>
        <v>January-2017</v>
      </c>
      <c r="D265" s="83" t="str">
        <f>NJ_prices!D253</f>
        <v>NJ</v>
      </c>
      <c r="E265" s="84" t="str">
        <f>NJ_prices!E253</f>
        <v>PSEG</v>
      </c>
      <c r="F265" s="83" t="str">
        <f>NJ_prices!F253</f>
        <v>LPL</v>
      </c>
      <c r="G265" s="84" t="str">
        <f>NJ_prices!G253</f>
        <v>Large P&amp;L</v>
      </c>
      <c r="H265" s="85" t="str">
        <f t="shared" ref="H265" si="248">IF($M$2="Prices in $/MWh","500-2500 MWh","500,000-2,500,000 kWh")</f>
        <v>500-2500 MWh</v>
      </c>
      <c r="I265" s="84">
        <f>(NJ_prices!I253+$D$2)*IF($M$2="Prices in $/MWh",1,1/1000)</f>
        <v>106.33</v>
      </c>
      <c r="J265" s="83">
        <f>(NJ_prices!J253+$D$2)*IF($M$2="Prices in $/MWh",1,1/1000)</f>
        <v>108.15</v>
      </c>
      <c r="K265" s="84">
        <f>(NJ_prices!K253+$D$2)*IF($M$2="Prices in $/MWh",1,1/1000)</f>
        <v>106.78</v>
      </c>
      <c r="L265" s="83">
        <f>(NJ_prices!L253+$D$2)*IF($M$2="Prices in $/MWh",1,1/1000)</f>
        <v>63.01</v>
      </c>
      <c r="M265" s="84">
        <f>(NJ_prices!M253+$D$2)*IF($M$2="Prices in $/MWh",1,1/1000)</f>
        <v>63.86</v>
      </c>
      <c r="N265" s="83">
        <f>(NJ_prices!N253+$D$2)*IF($M$2="Prices in $/MWh",1,1/1000)</f>
        <v>63.75</v>
      </c>
      <c r="O265" s="61"/>
    </row>
    <row r="266" spans="2:15" s="2" customFormat="1" ht="7.5" customHeight="1" thickBot="1" x14ac:dyDescent="0.2">
      <c r="B266" s="5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7"/>
    </row>
    <row r="267" spans="2:15" s="2" customFormat="1" ht="15.75" x14ac:dyDescent="0.25">
      <c r="B267" s="5"/>
      <c r="C267" s="102" t="s">
        <v>650</v>
      </c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4"/>
      <c r="O267" s="7"/>
    </row>
    <row r="268" spans="2:15" s="2" customFormat="1" ht="10.5" x14ac:dyDescent="0.15">
      <c r="B268" s="5"/>
      <c r="C268" s="5" t="s">
        <v>651</v>
      </c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7"/>
      <c r="O268" s="7"/>
    </row>
    <row r="269" spans="2:15" s="2" customFormat="1" ht="10.5" x14ac:dyDescent="0.15">
      <c r="B269" s="5"/>
      <c r="C269" s="5" t="s">
        <v>652</v>
      </c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7"/>
      <c r="O269" s="7"/>
    </row>
    <row r="270" spans="2:15" s="2" customFormat="1" ht="10.5" x14ac:dyDescent="0.15">
      <c r="B270" s="5"/>
      <c r="C270" s="5" t="s">
        <v>653</v>
      </c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7"/>
      <c r="O270" s="7"/>
    </row>
    <row r="271" spans="2:15" s="2" customFormat="1" ht="10.5" x14ac:dyDescent="0.15">
      <c r="B271" s="5"/>
      <c r="C271" s="5" t="s">
        <v>654</v>
      </c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7"/>
      <c r="O271" s="7"/>
    </row>
    <row r="272" spans="2:15" s="2" customFormat="1" ht="10.5" x14ac:dyDescent="0.15">
      <c r="B272" s="5"/>
      <c r="C272" s="5" t="s">
        <v>655</v>
      </c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7"/>
      <c r="O272" s="7"/>
    </row>
    <row r="273" spans="2:15" s="2" customFormat="1" ht="10.5" x14ac:dyDescent="0.15">
      <c r="B273" s="5"/>
      <c r="C273" s="5" t="s">
        <v>656</v>
      </c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7"/>
      <c r="O273" s="7"/>
    </row>
    <row r="274" spans="2:15" s="2" customFormat="1" ht="11.25" thickBot="1" x14ac:dyDescent="0.2">
      <c r="B274" s="5"/>
      <c r="C274" s="5" t="s">
        <v>657</v>
      </c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7"/>
      <c r="O274" s="7"/>
    </row>
    <row r="275" spans="2:15" s="2" customFormat="1" ht="15.75" thickBot="1" x14ac:dyDescent="0.3">
      <c r="B275" s="5"/>
      <c r="C275" s="8" t="s">
        <v>17</v>
      </c>
      <c r="D275" s="9"/>
      <c r="E275" s="9"/>
      <c r="F275" s="9"/>
      <c r="G275" s="9"/>
      <c r="H275" s="9"/>
      <c r="I275" s="9"/>
      <c r="J275" s="9"/>
      <c r="K275" s="9"/>
      <c r="L275" s="9"/>
      <c r="M275" s="9"/>
      <c r="N275" s="10"/>
      <c r="O275" s="7"/>
    </row>
    <row r="276" spans="2:15" ht="15.75" thickBot="1" x14ac:dyDescent="0.3">
      <c r="B276" s="86"/>
      <c r="C276" s="87"/>
      <c r="D276" s="87"/>
      <c r="E276" s="87"/>
      <c r="F276" s="87"/>
      <c r="G276" s="87"/>
      <c r="H276" s="87"/>
      <c r="I276" s="87"/>
      <c r="J276" s="87"/>
      <c r="K276" s="87"/>
      <c r="L276" s="87"/>
      <c r="M276" s="87"/>
      <c r="N276" s="87"/>
      <c r="O276" s="88"/>
    </row>
  </sheetData>
  <sheetProtection autoFilter="0"/>
  <autoFilter ref="C13:H265"/>
  <mergeCells count="3">
    <mergeCell ref="C6:F7"/>
    <mergeCell ref="C8:C9"/>
    <mergeCell ref="M2:N2"/>
  </mergeCells>
  <dataValidations count="2">
    <dataValidation type="list" allowBlank="1" showInputMessage="1" showErrorMessage="1" sqref="M2:N2">
      <formula1>"Prices in $/MWh,Prices in $/kWh"</formula1>
    </dataValidation>
    <dataValidation type="decimal" allowBlank="1" showErrorMessage="1" errorTitle="Invalid Input" error="Please enter numerical value." promptTitle="Broker Fee" sqref="D2">
      <formula1>-99</formula1>
      <formula2>99</formula2>
    </dataValidation>
  </dataValidations>
  <printOptions horizontalCentered="1"/>
  <pageMargins left="0.45" right="0.45" top="0.5" bottom="0.5" header="0.3" footer="0.3"/>
  <pageSetup scale="67" fitToHeight="6" orientation="portrait" r:id="rId1"/>
  <headerFooter>
    <oddFooter>Page &amp;P of &amp;N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6" tint="-0.499984740745262"/>
    <pageSetUpPr fitToPage="1"/>
  </sheetPr>
  <dimension ref="B1:O312"/>
  <sheetViews>
    <sheetView showGridLines="0" zoomScale="70" zoomScaleNormal="70" workbookViewId="0">
      <pane ySplit="13" topLeftCell="A14" activePane="bottomLeft" state="frozen"/>
      <selection activeCell="A2" sqref="A2:F2"/>
      <selection pane="bottomLeft" activeCell="V13" sqref="V13"/>
    </sheetView>
  </sheetViews>
  <sheetFormatPr defaultRowHeight="15" x14ac:dyDescent="0.25"/>
  <cols>
    <col min="1" max="1" width="3.83203125" style="49" customWidth="1"/>
    <col min="2" max="2" width="2.5" style="49" customWidth="1"/>
    <col min="3" max="3" width="25.33203125" style="49" customWidth="1"/>
    <col min="4" max="5" width="14.5" style="49" customWidth="1"/>
    <col min="6" max="6" width="39.33203125" style="49" customWidth="1"/>
    <col min="7" max="7" width="26.5" style="49" customWidth="1"/>
    <col min="8" max="8" width="20.33203125" style="49" customWidth="1"/>
    <col min="9" max="9" width="11.5" style="49" customWidth="1"/>
    <col min="10" max="10" width="11.33203125" style="49" customWidth="1"/>
    <col min="11" max="11" width="12.83203125" style="49" customWidth="1"/>
    <col min="12" max="13" width="11.5" style="49" customWidth="1"/>
    <col min="14" max="14" width="13" style="49" customWidth="1"/>
    <col min="15" max="15" width="2.5" style="49" customWidth="1"/>
    <col min="16" max="16" width="3.83203125" style="49" customWidth="1"/>
    <col min="17" max="16384" width="9.33203125" style="49"/>
  </cols>
  <sheetData>
    <row r="1" spans="2:15" ht="5.25" customHeight="1" x14ac:dyDescent="0.25"/>
    <row r="2" spans="2:15" s="50" customFormat="1" ht="18.75" x14ac:dyDescent="0.3">
      <c r="C2" s="51" t="s">
        <v>54</v>
      </c>
      <c r="D2" s="11">
        <v>0</v>
      </c>
      <c r="E2" s="52" t="s">
        <v>90</v>
      </c>
      <c r="M2" s="173" t="s">
        <v>1116</v>
      </c>
      <c r="N2" s="174"/>
      <c r="O2" s="52" t="s">
        <v>90</v>
      </c>
    </row>
    <row r="3" spans="2:15" ht="5.25" customHeight="1" thickBot="1" x14ac:dyDescent="0.3">
      <c r="B3" s="53"/>
    </row>
    <row r="4" spans="2:15" ht="5.25" customHeight="1" x14ac:dyDescent="0.25">
      <c r="B4" s="54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6"/>
    </row>
    <row r="5" spans="2:15" ht="26.25" x14ac:dyDescent="0.4">
      <c r="B5" s="57"/>
      <c r="C5" s="103"/>
      <c r="D5" s="103"/>
      <c r="E5" s="103"/>
      <c r="F5" s="103"/>
      <c r="G5" s="59"/>
      <c r="H5" s="59"/>
      <c r="I5" s="59"/>
      <c r="J5" s="59"/>
      <c r="K5" s="59"/>
      <c r="L5" s="59"/>
      <c r="M5" s="60"/>
      <c r="N5" s="60"/>
      <c r="O5" s="61"/>
    </row>
    <row r="6" spans="2:15" ht="11.25" customHeight="1" x14ac:dyDescent="0.25">
      <c r="B6" s="57"/>
      <c r="C6" s="169" t="s">
        <v>658</v>
      </c>
      <c r="D6" s="169"/>
      <c r="E6" s="169"/>
      <c r="F6" s="169"/>
      <c r="G6" s="59"/>
      <c r="H6" s="59"/>
      <c r="I6" s="59"/>
      <c r="J6" s="59"/>
      <c r="K6" s="59"/>
      <c r="L6" s="59"/>
      <c r="M6" s="60"/>
      <c r="N6" s="60"/>
      <c r="O6" s="61"/>
    </row>
    <row r="7" spans="2:15" ht="11.25" customHeight="1" x14ac:dyDescent="0.25">
      <c r="B7" s="57"/>
      <c r="C7" s="169"/>
      <c r="D7" s="169"/>
      <c r="E7" s="169"/>
      <c r="F7" s="169"/>
      <c r="G7" s="62"/>
      <c r="H7" s="62"/>
      <c r="I7" s="62"/>
      <c r="J7" s="62"/>
      <c r="K7" s="62"/>
      <c r="L7" s="62"/>
      <c r="M7" s="60"/>
      <c r="N7" s="60"/>
      <c r="O7" s="61"/>
    </row>
    <row r="8" spans="2:15" x14ac:dyDescent="0.25">
      <c r="B8" s="57"/>
      <c r="C8" s="172">
        <f>MD_prices!A2</f>
        <v>42374</v>
      </c>
      <c r="D8" s="60"/>
      <c r="E8" s="59"/>
      <c r="F8" s="62"/>
      <c r="G8" s="62"/>
      <c r="H8" s="62"/>
      <c r="I8" s="62"/>
      <c r="J8" s="62"/>
      <c r="K8" s="62"/>
      <c r="L8" s="62"/>
      <c r="M8" s="60"/>
      <c r="N8" s="60"/>
      <c r="O8" s="61"/>
    </row>
    <row r="9" spans="2:15" ht="10.5" customHeight="1" x14ac:dyDescent="0.25">
      <c r="B9" s="57"/>
      <c r="C9" s="172"/>
      <c r="D9" s="65"/>
      <c r="E9" s="65"/>
      <c r="F9" s="62"/>
      <c r="G9" s="62"/>
      <c r="H9" s="62"/>
      <c r="I9" s="62"/>
      <c r="J9" s="62"/>
      <c r="K9" s="62"/>
      <c r="L9" s="66" t="s">
        <v>92</v>
      </c>
      <c r="M9" s="67" t="s">
        <v>93</v>
      </c>
      <c r="N9" s="60"/>
      <c r="O9" s="61"/>
    </row>
    <row r="10" spans="2:15" ht="18" x14ac:dyDescent="0.25">
      <c r="B10" s="57"/>
      <c r="C10" s="63" t="s">
        <v>0</v>
      </c>
      <c r="D10" s="65"/>
      <c r="E10" s="65"/>
      <c r="F10" s="62"/>
      <c r="G10" s="62"/>
      <c r="H10" s="68">
        <v>6</v>
      </c>
      <c r="I10" s="68"/>
      <c r="J10" s="68"/>
      <c r="K10" s="68"/>
      <c r="L10" s="68">
        <f>IF(MD!M2="Prices in $/kWh",1000,1)</f>
        <v>1</v>
      </c>
      <c r="M10" s="69">
        <f>IF(MD!M2="Prices in $/kWh",2,1)</f>
        <v>1</v>
      </c>
      <c r="N10" s="69"/>
      <c r="O10" s="61"/>
    </row>
    <row r="11" spans="2:15" ht="10.5" customHeight="1" thickBot="1" x14ac:dyDescent="0.3">
      <c r="B11" s="57"/>
      <c r="C11" s="60"/>
      <c r="D11" s="60"/>
      <c r="E11" s="60"/>
      <c r="F11" s="62"/>
      <c r="G11" s="62"/>
      <c r="H11" s="69"/>
      <c r="I11" s="69"/>
      <c r="J11" s="69"/>
      <c r="K11" s="69"/>
      <c r="L11" s="69">
        <v>3</v>
      </c>
      <c r="M11" s="69">
        <v>4</v>
      </c>
      <c r="N11" s="69">
        <v>5</v>
      </c>
      <c r="O11" s="61"/>
    </row>
    <row r="12" spans="2:15" ht="18.75" thickBot="1" x14ac:dyDescent="0.3">
      <c r="B12" s="57"/>
      <c r="C12" s="63" t="s">
        <v>52</v>
      </c>
      <c r="D12" s="60"/>
      <c r="E12" s="60"/>
      <c r="F12" s="60"/>
      <c r="G12" s="60"/>
      <c r="H12" s="60"/>
      <c r="I12" s="111" t="str">
        <f>IF(MD!M2="Prices in $/kWh","Contract Term (months) - $/kWh","Contract Term (months) - $/MWh")</f>
        <v>Contract Term (months) - $/MWh</v>
      </c>
      <c r="J12" s="112"/>
      <c r="K12" s="112"/>
      <c r="L12" s="113" t="str">
        <f>IF(MD!M2="Prices in $/kWh","Contract Term (months) - $/kWh","Contract Term (months) - $/MWh")</f>
        <v>Contract Term (months) - $/MWh</v>
      </c>
      <c r="M12" s="114"/>
      <c r="N12" s="115"/>
      <c r="O12" s="61"/>
    </row>
    <row r="13" spans="2:15" ht="25.5" customHeight="1" x14ac:dyDescent="0.25">
      <c r="B13" s="57"/>
      <c r="C13" s="71" t="s">
        <v>1</v>
      </c>
      <c r="D13" s="71" t="s">
        <v>2</v>
      </c>
      <c r="E13" s="71" t="s">
        <v>3</v>
      </c>
      <c r="F13" s="71" t="s">
        <v>4</v>
      </c>
      <c r="G13" s="71" t="s">
        <v>89</v>
      </c>
      <c r="H13" s="71" t="s">
        <v>55</v>
      </c>
      <c r="I13" s="72" t="s">
        <v>56</v>
      </c>
      <c r="J13" s="72" t="s">
        <v>57</v>
      </c>
      <c r="K13" s="73" t="s">
        <v>58</v>
      </c>
      <c r="L13" s="116" t="s">
        <v>56</v>
      </c>
      <c r="M13" s="72" t="s">
        <v>57</v>
      </c>
      <c r="N13" s="73" t="s">
        <v>58</v>
      </c>
      <c r="O13" s="61"/>
    </row>
    <row r="14" spans="2:15" x14ac:dyDescent="0.25">
      <c r="B14" s="57"/>
      <c r="C14" s="74" t="str">
        <f>MD_prices!C2</f>
        <v>February-2016</v>
      </c>
      <c r="D14" s="75" t="str">
        <f>MD_prices!D2</f>
        <v>MD</v>
      </c>
      <c r="E14" s="76" t="str">
        <f>MD_prices!E2</f>
        <v>BGE</v>
      </c>
      <c r="F14" s="75" t="str">
        <f>MD_prices!F2</f>
        <v>G</v>
      </c>
      <c r="G14" s="76" t="str">
        <f>MD_prices!G2</f>
        <v>General Service Medium</v>
      </c>
      <c r="H14" s="77" t="str">
        <f>IF($M$2="Prices in $/MWh","0-100 MWh","0-100,000 kWh")</f>
        <v>0-100 MWh</v>
      </c>
      <c r="I14" s="76">
        <f>(MD_prices!I2+$D$2)*IF($M$2="Prices in $/MWh",1,1/1000)</f>
        <v>85.14</v>
      </c>
      <c r="J14" s="75">
        <f>(MD_prices!J2+$D$2)*IF($M$2="Prices in $/MWh",1,1/1000)</f>
        <v>85.79</v>
      </c>
      <c r="K14" s="76">
        <f>(MD_prices!K2+$D$2)*IF($M$2="Prices in $/MWh",1,1/1000)</f>
        <v>85.12</v>
      </c>
      <c r="L14" s="75">
        <f>(MD_prices!L2+$D$2)*IF($M$2="Prices in $/MWh",1,1/1000)</f>
        <v>37.74</v>
      </c>
      <c r="M14" s="76">
        <f>(MD_prices!M2+$D$2)*IF($M$2="Prices in $/MWh",1,1/1000)</f>
        <v>37.9</v>
      </c>
      <c r="N14" s="75">
        <f>(MD_prices!N2+$D$2)*IF($M$2="Prices in $/MWh",1,1/1000)</f>
        <v>37.79</v>
      </c>
      <c r="O14" s="61"/>
    </row>
    <row r="15" spans="2:15" x14ac:dyDescent="0.25">
      <c r="B15" s="57"/>
      <c r="C15" s="78" t="str">
        <f>MD_prices!C3</f>
        <v>February-2016</v>
      </c>
      <c r="D15" s="79" t="str">
        <f>MD_prices!D3</f>
        <v>MD</v>
      </c>
      <c r="E15" s="80" t="str">
        <f>MD_prices!E3</f>
        <v>BGE</v>
      </c>
      <c r="F15" s="79" t="str">
        <f>MD_prices!F3</f>
        <v>G</v>
      </c>
      <c r="G15" s="80" t="str">
        <f>MD_prices!G3</f>
        <v>General Service Medium</v>
      </c>
      <c r="H15" s="81" t="str">
        <f>IF($M$2="Prices in $/MWh","100-500 MWh","100,000-500,000 kWh")</f>
        <v>100-500 MWh</v>
      </c>
      <c r="I15" s="80">
        <f>(MD_prices!I3+$D$2)*IF($M$2="Prices in $/MWh",1,1/1000)</f>
        <v>83.54</v>
      </c>
      <c r="J15" s="79">
        <f>(MD_prices!J3+$D$2)*IF($M$2="Prices in $/MWh",1,1/1000)</f>
        <v>84.19</v>
      </c>
      <c r="K15" s="80">
        <f>(MD_prices!K3+$D$2)*IF($M$2="Prices in $/MWh",1,1/1000)</f>
        <v>83.52</v>
      </c>
      <c r="L15" s="79">
        <f>(MD_prices!L3+$D$2)*IF($M$2="Prices in $/MWh",1,1/1000)</f>
        <v>36.14</v>
      </c>
      <c r="M15" s="80">
        <f>(MD_prices!M3+$D$2)*IF($M$2="Prices in $/MWh",1,1/1000)</f>
        <v>36.299999999999997</v>
      </c>
      <c r="N15" s="79">
        <f>(MD_prices!N3+$D$2)*IF($M$2="Prices in $/MWh",1,1/1000)</f>
        <v>36.19</v>
      </c>
      <c r="O15" s="61"/>
    </row>
    <row r="16" spans="2:15" x14ac:dyDescent="0.25">
      <c r="B16" s="57"/>
      <c r="C16" s="82" t="str">
        <f>MD_prices!C4</f>
        <v>February-2016</v>
      </c>
      <c r="D16" s="83" t="str">
        <f>MD_prices!D4</f>
        <v>MD</v>
      </c>
      <c r="E16" s="84" t="str">
        <f>MD_prices!E4</f>
        <v>BGE</v>
      </c>
      <c r="F16" s="83" t="str">
        <f>MD_prices!F4</f>
        <v>G</v>
      </c>
      <c r="G16" s="84" t="str">
        <f>MD_prices!G4</f>
        <v>General Service Medium</v>
      </c>
      <c r="H16" s="85" t="str">
        <f>IF($M$2="Prices in $/MWh","500-2500 MWh","500,000-2,500,000 kWh")</f>
        <v>500-2500 MWh</v>
      </c>
      <c r="I16" s="84">
        <f>(MD_prices!I4+$D$2)*IF($M$2="Prices in $/MWh",1,1/1000)</f>
        <v>82.49</v>
      </c>
      <c r="J16" s="83">
        <f>(MD_prices!J4+$D$2)*IF($M$2="Prices in $/MWh",1,1/1000)</f>
        <v>83.14</v>
      </c>
      <c r="K16" s="84">
        <f>(MD_prices!K4+$D$2)*IF($M$2="Prices in $/MWh",1,1/1000)</f>
        <v>82.47</v>
      </c>
      <c r="L16" s="83">
        <f>(MD_prices!L4+$D$2)*IF($M$2="Prices in $/MWh",1,1/1000)</f>
        <v>35.090000000000003</v>
      </c>
      <c r="M16" s="84">
        <f>(MD_prices!M4+$D$2)*IF($M$2="Prices in $/MWh",1,1/1000)</f>
        <v>35.25</v>
      </c>
      <c r="N16" s="83">
        <f>(MD_prices!N4+$D$2)*IF($M$2="Prices in $/MWh",1,1/1000)</f>
        <v>35.14</v>
      </c>
      <c r="O16" s="61"/>
    </row>
    <row r="17" spans="2:15" x14ac:dyDescent="0.25">
      <c r="B17" s="57"/>
      <c r="C17" s="74" t="str">
        <f>MD_prices!C5</f>
        <v>March-2016</v>
      </c>
      <c r="D17" s="75" t="str">
        <f>MD_prices!D5</f>
        <v>MD</v>
      </c>
      <c r="E17" s="76" t="str">
        <f>MD_prices!E5</f>
        <v>BGE</v>
      </c>
      <c r="F17" s="75" t="str">
        <f>MD_prices!F5</f>
        <v>G</v>
      </c>
      <c r="G17" s="76" t="str">
        <f>MD_prices!G5</f>
        <v>General Service Medium</v>
      </c>
      <c r="H17" s="77" t="str">
        <f t="shared" ref="H17" si="0">IF($M$2="Prices in $/MWh","0-100 MWh","0-100,000 kWh")</f>
        <v>0-100 MWh</v>
      </c>
      <c r="I17" s="76">
        <f>(MD_prices!I5+$D$2)*IF($M$2="Prices in $/MWh",1,1/1000)</f>
        <v>85.72</v>
      </c>
      <c r="J17" s="75">
        <f>(MD_prices!J5+$D$2)*IF($M$2="Prices in $/MWh",1,1/1000)</f>
        <v>85.72</v>
      </c>
      <c r="K17" s="76">
        <f>(MD_prices!K5+$D$2)*IF($M$2="Prices in $/MWh",1,1/1000)</f>
        <v>85.42</v>
      </c>
      <c r="L17" s="75">
        <f>(MD_prices!L5+$D$2)*IF($M$2="Prices in $/MWh",1,1/1000)</f>
        <v>37.78</v>
      </c>
      <c r="M17" s="76">
        <f>(MD_prices!M5+$D$2)*IF($M$2="Prices in $/MWh",1,1/1000)</f>
        <v>37.75</v>
      </c>
      <c r="N17" s="75">
        <f>(MD_prices!N5+$D$2)*IF($M$2="Prices in $/MWh",1,1/1000)</f>
        <v>37.83</v>
      </c>
      <c r="O17" s="61"/>
    </row>
    <row r="18" spans="2:15" x14ac:dyDescent="0.25">
      <c r="B18" s="57"/>
      <c r="C18" s="78" t="str">
        <f>MD_prices!C6</f>
        <v>March-2016</v>
      </c>
      <c r="D18" s="79" t="str">
        <f>MD_prices!D6</f>
        <v>MD</v>
      </c>
      <c r="E18" s="80" t="str">
        <f>MD_prices!E6</f>
        <v>BGE</v>
      </c>
      <c r="F18" s="79" t="str">
        <f>MD_prices!F6</f>
        <v>G</v>
      </c>
      <c r="G18" s="80" t="str">
        <f>MD_prices!G6</f>
        <v>General Service Medium</v>
      </c>
      <c r="H18" s="81" t="str">
        <f t="shared" ref="H18" si="1">IF($M$2="Prices in $/MWh","100-500 MWh","100,000-500,000 kWh")</f>
        <v>100-500 MWh</v>
      </c>
      <c r="I18" s="80">
        <f>(MD_prices!I6+$D$2)*IF($M$2="Prices in $/MWh",1,1/1000)</f>
        <v>84.12</v>
      </c>
      <c r="J18" s="79">
        <f>(MD_prices!J6+$D$2)*IF($M$2="Prices in $/MWh",1,1/1000)</f>
        <v>84.12</v>
      </c>
      <c r="K18" s="80">
        <f>(MD_prices!K6+$D$2)*IF($M$2="Prices in $/MWh",1,1/1000)</f>
        <v>83.82</v>
      </c>
      <c r="L18" s="79">
        <f>(MD_prices!L6+$D$2)*IF($M$2="Prices in $/MWh",1,1/1000)</f>
        <v>36.18</v>
      </c>
      <c r="M18" s="80">
        <f>(MD_prices!M6+$D$2)*IF($M$2="Prices in $/MWh",1,1/1000)</f>
        <v>36.15</v>
      </c>
      <c r="N18" s="79">
        <f>(MD_prices!N6+$D$2)*IF($M$2="Prices in $/MWh",1,1/1000)</f>
        <v>36.229999999999997</v>
      </c>
      <c r="O18" s="61"/>
    </row>
    <row r="19" spans="2:15" x14ac:dyDescent="0.25">
      <c r="B19" s="57"/>
      <c r="C19" s="82" t="str">
        <f>MD_prices!C7</f>
        <v>March-2016</v>
      </c>
      <c r="D19" s="83" t="str">
        <f>MD_prices!D7</f>
        <v>MD</v>
      </c>
      <c r="E19" s="84" t="str">
        <f>MD_prices!E7</f>
        <v>BGE</v>
      </c>
      <c r="F19" s="83" t="str">
        <f>MD_prices!F7</f>
        <v>G</v>
      </c>
      <c r="G19" s="84" t="str">
        <f>MD_prices!G7</f>
        <v>General Service Medium</v>
      </c>
      <c r="H19" s="85" t="str">
        <f t="shared" ref="H19" si="2">IF($M$2="Prices in $/MWh","500-2500 MWh","500,000-2,500,000 kWh")</f>
        <v>500-2500 MWh</v>
      </c>
      <c r="I19" s="84">
        <f>(MD_prices!I7+$D$2)*IF($M$2="Prices in $/MWh",1,1/1000)</f>
        <v>83.07</v>
      </c>
      <c r="J19" s="83">
        <f>(MD_prices!J7+$D$2)*IF($M$2="Prices in $/MWh",1,1/1000)</f>
        <v>83.07</v>
      </c>
      <c r="K19" s="84">
        <f>(MD_prices!K7+$D$2)*IF($M$2="Prices in $/MWh",1,1/1000)</f>
        <v>82.77</v>
      </c>
      <c r="L19" s="83">
        <f>(MD_prices!L7+$D$2)*IF($M$2="Prices in $/MWh",1,1/1000)</f>
        <v>35.130000000000003</v>
      </c>
      <c r="M19" s="84">
        <f>(MD_prices!M7+$D$2)*IF($M$2="Prices in $/MWh",1,1/1000)</f>
        <v>35.1</v>
      </c>
      <c r="N19" s="83">
        <f>(MD_prices!N7+$D$2)*IF($M$2="Prices in $/MWh",1,1/1000)</f>
        <v>35.18</v>
      </c>
      <c r="O19" s="61"/>
    </row>
    <row r="20" spans="2:15" x14ac:dyDescent="0.25">
      <c r="B20" s="57"/>
      <c r="C20" s="74" t="str">
        <f>MD_prices!C8</f>
        <v>April-2016</v>
      </c>
      <c r="D20" s="75" t="str">
        <f>MD_prices!D8</f>
        <v>MD</v>
      </c>
      <c r="E20" s="76" t="str">
        <f>MD_prices!E8</f>
        <v>BGE</v>
      </c>
      <c r="F20" s="75" t="str">
        <f>MD_prices!F8</f>
        <v>G</v>
      </c>
      <c r="G20" s="76" t="str">
        <f>MD_prices!G8</f>
        <v>General Service Medium</v>
      </c>
      <c r="H20" s="77" t="str">
        <f t="shared" ref="H20" si="3">IF($M$2="Prices in $/MWh","0-100 MWh","0-100,000 kWh")</f>
        <v>0-100 MWh</v>
      </c>
      <c r="I20" s="76">
        <f>(MD_prices!I8+$D$2)*IF($M$2="Prices in $/MWh",1,1/1000)</f>
        <v>85.84</v>
      </c>
      <c r="J20" s="75">
        <f>(MD_prices!J8+$D$2)*IF($M$2="Prices in $/MWh",1,1/1000)</f>
        <v>85.25</v>
      </c>
      <c r="K20" s="76">
        <f>(MD_prices!K8+$D$2)*IF($M$2="Prices in $/MWh",1,1/1000)</f>
        <v>85.38</v>
      </c>
      <c r="L20" s="75">
        <f>(MD_prices!L8+$D$2)*IF($M$2="Prices in $/MWh",1,1/1000)</f>
        <v>37.799999999999997</v>
      </c>
      <c r="M20" s="76">
        <f>(MD_prices!M8+$D$2)*IF($M$2="Prices in $/MWh",1,1/1000)</f>
        <v>37.57</v>
      </c>
      <c r="N20" s="75">
        <f>(MD_prices!N8+$D$2)*IF($M$2="Prices in $/MWh",1,1/1000)</f>
        <v>37.85</v>
      </c>
      <c r="O20" s="61"/>
    </row>
    <row r="21" spans="2:15" x14ac:dyDescent="0.25">
      <c r="B21" s="57"/>
      <c r="C21" s="78" t="str">
        <f>MD_prices!C9</f>
        <v>April-2016</v>
      </c>
      <c r="D21" s="79" t="str">
        <f>MD_prices!D9</f>
        <v>MD</v>
      </c>
      <c r="E21" s="80" t="str">
        <f>MD_prices!E9</f>
        <v>BGE</v>
      </c>
      <c r="F21" s="79" t="str">
        <f>MD_prices!F9</f>
        <v>G</v>
      </c>
      <c r="G21" s="80" t="str">
        <f>MD_prices!G9</f>
        <v>General Service Medium</v>
      </c>
      <c r="H21" s="81" t="str">
        <f t="shared" ref="H21" si="4">IF($M$2="Prices in $/MWh","100-500 MWh","100,000-500,000 kWh")</f>
        <v>100-500 MWh</v>
      </c>
      <c r="I21" s="80">
        <f>(MD_prices!I9+$D$2)*IF($M$2="Prices in $/MWh",1,1/1000)</f>
        <v>84.24</v>
      </c>
      <c r="J21" s="79">
        <f>(MD_prices!J9+$D$2)*IF($M$2="Prices in $/MWh",1,1/1000)</f>
        <v>83.65</v>
      </c>
      <c r="K21" s="80">
        <f>(MD_prices!K9+$D$2)*IF($M$2="Prices in $/MWh",1,1/1000)</f>
        <v>83.78</v>
      </c>
      <c r="L21" s="79">
        <f>(MD_prices!L9+$D$2)*IF($M$2="Prices in $/MWh",1,1/1000)</f>
        <v>36.200000000000003</v>
      </c>
      <c r="M21" s="80">
        <f>(MD_prices!M9+$D$2)*IF($M$2="Prices in $/MWh",1,1/1000)</f>
        <v>35.97</v>
      </c>
      <c r="N21" s="79">
        <f>(MD_prices!N9+$D$2)*IF($M$2="Prices in $/MWh",1,1/1000)</f>
        <v>36.25</v>
      </c>
      <c r="O21" s="61"/>
    </row>
    <row r="22" spans="2:15" x14ac:dyDescent="0.25">
      <c r="B22" s="57"/>
      <c r="C22" s="82" t="str">
        <f>MD_prices!C10</f>
        <v>April-2016</v>
      </c>
      <c r="D22" s="83" t="str">
        <f>MD_prices!D10</f>
        <v>MD</v>
      </c>
      <c r="E22" s="84" t="str">
        <f>MD_prices!E10</f>
        <v>BGE</v>
      </c>
      <c r="F22" s="83" t="str">
        <f>MD_prices!F10</f>
        <v>G</v>
      </c>
      <c r="G22" s="84" t="str">
        <f>MD_prices!G10</f>
        <v>General Service Medium</v>
      </c>
      <c r="H22" s="85" t="str">
        <f t="shared" ref="H22" si="5">IF($M$2="Prices in $/MWh","500-2500 MWh","500,000-2,500,000 kWh")</f>
        <v>500-2500 MWh</v>
      </c>
      <c r="I22" s="84">
        <f>(MD_prices!I10+$D$2)*IF($M$2="Prices in $/MWh",1,1/1000)</f>
        <v>83.19</v>
      </c>
      <c r="J22" s="83">
        <f>(MD_prices!J10+$D$2)*IF($M$2="Prices in $/MWh",1,1/1000)</f>
        <v>82.6</v>
      </c>
      <c r="K22" s="84">
        <f>(MD_prices!K10+$D$2)*IF($M$2="Prices in $/MWh",1,1/1000)</f>
        <v>82.73</v>
      </c>
      <c r="L22" s="83">
        <f>(MD_prices!L10+$D$2)*IF($M$2="Prices in $/MWh",1,1/1000)</f>
        <v>35.15</v>
      </c>
      <c r="M22" s="84">
        <f>(MD_prices!M10+$D$2)*IF($M$2="Prices in $/MWh",1,1/1000)</f>
        <v>34.92</v>
      </c>
      <c r="N22" s="83">
        <f>(MD_prices!N10+$D$2)*IF($M$2="Prices in $/MWh",1,1/1000)</f>
        <v>35.200000000000003</v>
      </c>
      <c r="O22" s="61"/>
    </row>
    <row r="23" spans="2:15" x14ac:dyDescent="0.25">
      <c r="B23" s="57"/>
      <c r="C23" s="74" t="str">
        <f>MD_prices!C11</f>
        <v>May-2016</v>
      </c>
      <c r="D23" s="75" t="str">
        <f>MD_prices!D11</f>
        <v>MD</v>
      </c>
      <c r="E23" s="76" t="str">
        <f>MD_prices!E11</f>
        <v>BGE</v>
      </c>
      <c r="F23" s="75" t="str">
        <f>MD_prices!F11</f>
        <v>G</v>
      </c>
      <c r="G23" s="76" t="str">
        <f>MD_prices!G11</f>
        <v>General Service Medium</v>
      </c>
      <c r="H23" s="77" t="str">
        <f t="shared" ref="H23" si="6">IF($M$2="Prices in $/MWh","0-100 MWh","0-100,000 kWh")</f>
        <v>0-100 MWh</v>
      </c>
      <c r="I23" s="76">
        <f>(MD_prices!I11+$D$2)*IF($M$2="Prices in $/MWh",1,1/1000)</f>
        <v>85.92</v>
      </c>
      <c r="J23" s="75">
        <f>(MD_prices!J11+$D$2)*IF($M$2="Prices in $/MWh",1,1/1000)</f>
        <v>84.99</v>
      </c>
      <c r="K23" s="76">
        <f>(MD_prices!K11+$D$2)*IF($M$2="Prices in $/MWh",1,1/1000)</f>
        <v>85.33</v>
      </c>
      <c r="L23" s="75">
        <f>(MD_prices!L11+$D$2)*IF($M$2="Prices in $/MWh",1,1/1000)</f>
        <v>37.82</v>
      </c>
      <c r="M23" s="76">
        <f>(MD_prices!M11+$D$2)*IF($M$2="Prices in $/MWh",1,1/1000)</f>
        <v>37.549999999999997</v>
      </c>
      <c r="N23" s="75">
        <f>(MD_prices!N11+$D$2)*IF($M$2="Prices in $/MWh",1,1/1000)</f>
        <v>37.86</v>
      </c>
      <c r="O23" s="61"/>
    </row>
    <row r="24" spans="2:15" x14ac:dyDescent="0.25">
      <c r="B24" s="57"/>
      <c r="C24" s="78" t="str">
        <f>MD_prices!C12</f>
        <v>May-2016</v>
      </c>
      <c r="D24" s="79" t="str">
        <f>MD_prices!D12</f>
        <v>MD</v>
      </c>
      <c r="E24" s="80" t="str">
        <f>MD_prices!E12</f>
        <v>BGE</v>
      </c>
      <c r="F24" s="79" t="str">
        <f>MD_prices!F12</f>
        <v>G</v>
      </c>
      <c r="G24" s="80" t="str">
        <f>MD_prices!G12</f>
        <v>General Service Medium</v>
      </c>
      <c r="H24" s="81" t="str">
        <f t="shared" ref="H24" si="7">IF($M$2="Prices in $/MWh","100-500 MWh","100,000-500,000 kWh")</f>
        <v>100-500 MWh</v>
      </c>
      <c r="I24" s="80">
        <f>(MD_prices!I12+$D$2)*IF($M$2="Prices in $/MWh",1,1/1000)</f>
        <v>84.32</v>
      </c>
      <c r="J24" s="79">
        <f>(MD_prices!J12+$D$2)*IF($M$2="Prices in $/MWh",1,1/1000)</f>
        <v>83.39</v>
      </c>
      <c r="K24" s="80">
        <f>(MD_prices!K12+$D$2)*IF($M$2="Prices in $/MWh",1,1/1000)</f>
        <v>83.73</v>
      </c>
      <c r="L24" s="79">
        <f>(MD_prices!L12+$D$2)*IF($M$2="Prices in $/MWh",1,1/1000)</f>
        <v>36.22</v>
      </c>
      <c r="M24" s="80">
        <f>(MD_prices!M12+$D$2)*IF($M$2="Prices in $/MWh",1,1/1000)</f>
        <v>35.950000000000003</v>
      </c>
      <c r="N24" s="79">
        <f>(MD_prices!N12+$D$2)*IF($M$2="Prices in $/MWh",1,1/1000)</f>
        <v>36.26</v>
      </c>
      <c r="O24" s="61"/>
    </row>
    <row r="25" spans="2:15" x14ac:dyDescent="0.25">
      <c r="B25" s="57"/>
      <c r="C25" s="82" t="str">
        <f>MD_prices!C13</f>
        <v>May-2016</v>
      </c>
      <c r="D25" s="83" t="str">
        <f>MD_prices!D13</f>
        <v>MD</v>
      </c>
      <c r="E25" s="84" t="str">
        <f>MD_prices!E13</f>
        <v>BGE</v>
      </c>
      <c r="F25" s="83" t="str">
        <f>MD_prices!F13</f>
        <v>G</v>
      </c>
      <c r="G25" s="84" t="str">
        <f>MD_prices!G13</f>
        <v>General Service Medium</v>
      </c>
      <c r="H25" s="85" t="str">
        <f t="shared" ref="H25" si="8">IF($M$2="Prices in $/MWh","500-2500 MWh","500,000-2,500,000 kWh")</f>
        <v>500-2500 MWh</v>
      </c>
      <c r="I25" s="84">
        <f>(MD_prices!I13+$D$2)*IF($M$2="Prices in $/MWh",1,1/1000)</f>
        <v>83.27</v>
      </c>
      <c r="J25" s="83">
        <f>(MD_prices!J13+$D$2)*IF($M$2="Prices in $/MWh",1,1/1000)</f>
        <v>82.34</v>
      </c>
      <c r="K25" s="84">
        <f>(MD_prices!K13+$D$2)*IF($M$2="Prices in $/MWh",1,1/1000)</f>
        <v>82.68</v>
      </c>
      <c r="L25" s="83">
        <f>(MD_prices!L13+$D$2)*IF($M$2="Prices in $/MWh",1,1/1000)</f>
        <v>35.17</v>
      </c>
      <c r="M25" s="84">
        <f>(MD_prices!M13+$D$2)*IF($M$2="Prices in $/MWh",1,1/1000)</f>
        <v>34.9</v>
      </c>
      <c r="N25" s="83">
        <f>(MD_prices!N13+$D$2)*IF($M$2="Prices in $/MWh",1,1/1000)</f>
        <v>35.21</v>
      </c>
      <c r="O25" s="61"/>
    </row>
    <row r="26" spans="2:15" x14ac:dyDescent="0.25">
      <c r="B26" s="57"/>
      <c r="C26" s="74" t="str">
        <f>MD_prices!C14</f>
        <v>June-2016</v>
      </c>
      <c r="D26" s="75" t="str">
        <f>MD_prices!D14</f>
        <v>MD</v>
      </c>
      <c r="E26" s="76" t="str">
        <f>MD_prices!E14</f>
        <v>BGE</v>
      </c>
      <c r="F26" s="75" t="str">
        <f>MD_prices!F14</f>
        <v>G</v>
      </c>
      <c r="G26" s="76" t="str">
        <f>MD_prices!G14</f>
        <v>General Service Medium</v>
      </c>
      <c r="H26" s="77" t="str">
        <f t="shared" ref="H26" si="9">IF($M$2="Prices in $/MWh","0-100 MWh","0-100,000 kWh")</f>
        <v>0-100 MWh</v>
      </c>
      <c r="I26" s="76">
        <f>(MD_prices!I14+$D$2)*IF($M$2="Prices in $/MWh",1,1/1000)</f>
        <v>85.89</v>
      </c>
      <c r="J26" s="75">
        <f>(MD_prices!J14+$D$2)*IF($M$2="Prices in $/MWh",1,1/1000)</f>
        <v>84.62</v>
      </c>
      <c r="K26" s="76">
        <f>(MD_prices!K14+$D$2)*IF($M$2="Prices in $/MWh",1,1/1000)</f>
        <v>85.24</v>
      </c>
      <c r="L26" s="75">
        <f>(MD_prices!L14+$D$2)*IF($M$2="Prices in $/MWh",1,1/1000)</f>
        <v>37.799999999999997</v>
      </c>
      <c r="M26" s="76">
        <f>(MD_prices!M14+$D$2)*IF($M$2="Prices in $/MWh",1,1/1000)</f>
        <v>37.44</v>
      </c>
      <c r="N26" s="75">
        <f>(MD_prices!N14+$D$2)*IF($M$2="Prices in $/MWh",1,1/1000)</f>
        <v>37.85</v>
      </c>
      <c r="O26" s="61"/>
    </row>
    <row r="27" spans="2:15" x14ac:dyDescent="0.25">
      <c r="B27" s="57"/>
      <c r="C27" s="78" t="str">
        <f>MD_prices!C15</f>
        <v>June-2016</v>
      </c>
      <c r="D27" s="79" t="str">
        <f>MD_prices!D15</f>
        <v>MD</v>
      </c>
      <c r="E27" s="80" t="str">
        <f>MD_prices!E15</f>
        <v>BGE</v>
      </c>
      <c r="F27" s="79" t="str">
        <f>MD_prices!F15</f>
        <v>G</v>
      </c>
      <c r="G27" s="80" t="str">
        <f>MD_prices!G15</f>
        <v>General Service Medium</v>
      </c>
      <c r="H27" s="81" t="str">
        <f t="shared" ref="H27" si="10">IF($M$2="Prices in $/MWh","100-500 MWh","100,000-500,000 kWh")</f>
        <v>100-500 MWh</v>
      </c>
      <c r="I27" s="80">
        <f>(MD_prices!I15+$D$2)*IF($M$2="Prices in $/MWh",1,1/1000)</f>
        <v>84.29</v>
      </c>
      <c r="J27" s="79">
        <f>(MD_prices!J15+$D$2)*IF($M$2="Prices in $/MWh",1,1/1000)</f>
        <v>83.02</v>
      </c>
      <c r="K27" s="80">
        <f>(MD_prices!K15+$D$2)*IF($M$2="Prices in $/MWh",1,1/1000)</f>
        <v>83.64</v>
      </c>
      <c r="L27" s="79">
        <f>(MD_prices!L15+$D$2)*IF($M$2="Prices in $/MWh",1,1/1000)</f>
        <v>36.200000000000003</v>
      </c>
      <c r="M27" s="80">
        <f>(MD_prices!M15+$D$2)*IF($M$2="Prices in $/MWh",1,1/1000)</f>
        <v>35.840000000000003</v>
      </c>
      <c r="N27" s="79">
        <f>(MD_prices!N15+$D$2)*IF($M$2="Prices in $/MWh",1,1/1000)</f>
        <v>36.25</v>
      </c>
      <c r="O27" s="61"/>
    </row>
    <row r="28" spans="2:15" x14ac:dyDescent="0.25">
      <c r="B28" s="57"/>
      <c r="C28" s="82" t="str">
        <f>MD_prices!C16</f>
        <v>June-2016</v>
      </c>
      <c r="D28" s="83" t="str">
        <f>MD_prices!D16</f>
        <v>MD</v>
      </c>
      <c r="E28" s="84" t="str">
        <f>MD_prices!E16</f>
        <v>BGE</v>
      </c>
      <c r="F28" s="83" t="str">
        <f>MD_prices!F16</f>
        <v>G</v>
      </c>
      <c r="G28" s="84" t="str">
        <f>MD_prices!G16</f>
        <v>General Service Medium</v>
      </c>
      <c r="H28" s="85" t="str">
        <f t="shared" ref="H28" si="11">IF($M$2="Prices in $/MWh","500-2500 MWh","500,000-2,500,000 kWh")</f>
        <v>500-2500 MWh</v>
      </c>
      <c r="I28" s="84">
        <f>(MD_prices!I16+$D$2)*IF($M$2="Prices in $/MWh",1,1/1000)</f>
        <v>83.24</v>
      </c>
      <c r="J28" s="83">
        <f>(MD_prices!J16+$D$2)*IF($M$2="Prices in $/MWh",1,1/1000)</f>
        <v>81.97</v>
      </c>
      <c r="K28" s="84">
        <f>(MD_prices!K16+$D$2)*IF($M$2="Prices in $/MWh",1,1/1000)</f>
        <v>82.59</v>
      </c>
      <c r="L28" s="83">
        <f>(MD_prices!L16+$D$2)*IF($M$2="Prices in $/MWh",1,1/1000)</f>
        <v>35.15</v>
      </c>
      <c r="M28" s="84">
        <f>(MD_prices!M16+$D$2)*IF($M$2="Prices in $/MWh",1,1/1000)</f>
        <v>34.79</v>
      </c>
      <c r="N28" s="83">
        <f>(MD_prices!N16+$D$2)*IF($M$2="Prices in $/MWh",1,1/1000)</f>
        <v>35.200000000000003</v>
      </c>
      <c r="O28" s="61"/>
    </row>
    <row r="29" spans="2:15" x14ac:dyDescent="0.25">
      <c r="B29" s="57"/>
      <c r="C29" s="74" t="str">
        <f>MD_prices!C17</f>
        <v>July-2016</v>
      </c>
      <c r="D29" s="75" t="str">
        <f>MD_prices!D17</f>
        <v>MD</v>
      </c>
      <c r="E29" s="76" t="str">
        <f>MD_prices!E17</f>
        <v>BGE</v>
      </c>
      <c r="F29" s="75" t="str">
        <f>MD_prices!F17</f>
        <v>G</v>
      </c>
      <c r="G29" s="76" t="str">
        <f>MD_prices!G17</f>
        <v>General Service Medium</v>
      </c>
      <c r="H29" s="77" t="str">
        <f t="shared" ref="H29" si="12">IF($M$2="Prices in $/MWh","0-100 MWh","0-100,000 kWh")</f>
        <v>0-100 MWh</v>
      </c>
      <c r="I29" s="76">
        <f>(MD_prices!I17+$D$2)*IF($M$2="Prices in $/MWh",1,1/1000)</f>
        <v>85.76</v>
      </c>
      <c r="J29" s="75">
        <f>(MD_prices!J17+$D$2)*IF($M$2="Prices in $/MWh",1,1/1000)</f>
        <v>84.41</v>
      </c>
      <c r="K29" s="76">
        <f>(MD_prices!K17+$D$2)*IF($M$2="Prices in $/MWh",1,1/1000)</f>
        <v>85.14</v>
      </c>
      <c r="L29" s="75">
        <f>(MD_prices!L17+$D$2)*IF($M$2="Prices in $/MWh",1,1/1000)</f>
        <v>37.78</v>
      </c>
      <c r="M29" s="76">
        <f>(MD_prices!M17+$D$2)*IF($M$2="Prices in $/MWh",1,1/1000)</f>
        <v>37.520000000000003</v>
      </c>
      <c r="N29" s="75">
        <f>(MD_prices!N17+$D$2)*IF($M$2="Prices in $/MWh",1,1/1000)</f>
        <v>37.9</v>
      </c>
      <c r="O29" s="61"/>
    </row>
    <row r="30" spans="2:15" x14ac:dyDescent="0.25">
      <c r="B30" s="57"/>
      <c r="C30" s="78" t="str">
        <f>MD_prices!C18</f>
        <v>July-2016</v>
      </c>
      <c r="D30" s="79" t="str">
        <f>MD_prices!D18</f>
        <v>MD</v>
      </c>
      <c r="E30" s="80" t="str">
        <f>MD_prices!E18</f>
        <v>BGE</v>
      </c>
      <c r="F30" s="79" t="str">
        <f>MD_prices!F18</f>
        <v>G</v>
      </c>
      <c r="G30" s="80" t="str">
        <f>MD_prices!G18</f>
        <v>General Service Medium</v>
      </c>
      <c r="H30" s="81" t="str">
        <f t="shared" ref="H30" si="13">IF($M$2="Prices in $/MWh","100-500 MWh","100,000-500,000 kWh")</f>
        <v>100-500 MWh</v>
      </c>
      <c r="I30" s="80">
        <f>(MD_prices!I18+$D$2)*IF($M$2="Prices in $/MWh",1,1/1000)</f>
        <v>84.16</v>
      </c>
      <c r="J30" s="79">
        <f>(MD_prices!J18+$D$2)*IF($M$2="Prices in $/MWh",1,1/1000)</f>
        <v>82.81</v>
      </c>
      <c r="K30" s="80">
        <f>(MD_prices!K18+$D$2)*IF($M$2="Prices in $/MWh",1,1/1000)</f>
        <v>83.54</v>
      </c>
      <c r="L30" s="79">
        <f>(MD_prices!L18+$D$2)*IF($M$2="Prices in $/MWh",1,1/1000)</f>
        <v>36.18</v>
      </c>
      <c r="M30" s="80">
        <f>(MD_prices!M18+$D$2)*IF($M$2="Prices in $/MWh",1,1/1000)</f>
        <v>35.92</v>
      </c>
      <c r="N30" s="79">
        <f>(MD_prices!N18+$D$2)*IF($M$2="Prices in $/MWh",1,1/1000)</f>
        <v>36.299999999999997</v>
      </c>
      <c r="O30" s="61"/>
    </row>
    <row r="31" spans="2:15" x14ac:dyDescent="0.25">
      <c r="B31" s="57"/>
      <c r="C31" s="82" t="str">
        <f>MD_prices!C19</f>
        <v>July-2016</v>
      </c>
      <c r="D31" s="83" t="str">
        <f>MD_prices!D19</f>
        <v>MD</v>
      </c>
      <c r="E31" s="84" t="str">
        <f>MD_prices!E19</f>
        <v>BGE</v>
      </c>
      <c r="F31" s="83" t="str">
        <f>MD_prices!F19</f>
        <v>G</v>
      </c>
      <c r="G31" s="84" t="str">
        <f>MD_prices!G19</f>
        <v>General Service Medium</v>
      </c>
      <c r="H31" s="85" t="str">
        <f t="shared" ref="H31" si="14">IF($M$2="Prices in $/MWh","500-2500 MWh","500,000-2,500,000 kWh")</f>
        <v>500-2500 MWh</v>
      </c>
      <c r="I31" s="84">
        <f>(MD_prices!I19+$D$2)*IF($M$2="Prices in $/MWh",1,1/1000)</f>
        <v>83.11</v>
      </c>
      <c r="J31" s="83">
        <f>(MD_prices!J19+$D$2)*IF($M$2="Prices in $/MWh",1,1/1000)</f>
        <v>81.760000000000005</v>
      </c>
      <c r="K31" s="84">
        <f>(MD_prices!K19+$D$2)*IF($M$2="Prices in $/MWh",1,1/1000)</f>
        <v>82.49</v>
      </c>
      <c r="L31" s="83">
        <f>(MD_prices!L19+$D$2)*IF($M$2="Prices in $/MWh",1,1/1000)</f>
        <v>35.130000000000003</v>
      </c>
      <c r="M31" s="84">
        <f>(MD_prices!M19+$D$2)*IF($M$2="Prices in $/MWh",1,1/1000)</f>
        <v>34.869999999999997</v>
      </c>
      <c r="N31" s="83">
        <f>(MD_prices!N19+$D$2)*IF($M$2="Prices in $/MWh",1,1/1000)</f>
        <v>35.25</v>
      </c>
      <c r="O31" s="61"/>
    </row>
    <row r="32" spans="2:15" x14ac:dyDescent="0.25">
      <c r="B32" s="57"/>
      <c r="C32" s="74" t="str">
        <f>MD_prices!C20</f>
        <v>August-2016</v>
      </c>
      <c r="D32" s="75" t="str">
        <f>MD_prices!D20</f>
        <v>MD</v>
      </c>
      <c r="E32" s="76" t="str">
        <f>MD_prices!E20</f>
        <v>BGE</v>
      </c>
      <c r="F32" s="75" t="str">
        <f>MD_prices!F20</f>
        <v>G</v>
      </c>
      <c r="G32" s="76" t="str">
        <f>MD_prices!G20</f>
        <v>General Service Medium</v>
      </c>
      <c r="H32" s="77" t="str">
        <f t="shared" ref="H32" si="15">IF($M$2="Prices in $/MWh","0-100 MWh","0-100,000 kWh")</f>
        <v>0-100 MWh</v>
      </c>
      <c r="I32" s="76">
        <f>(MD_prices!I20+$D$2)*IF($M$2="Prices in $/MWh",1,1/1000)</f>
        <v>85.77</v>
      </c>
      <c r="J32" s="75">
        <f>(MD_prices!J20+$D$2)*IF($M$2="Prices in $/MWh",1,1/1000)</f>
        <v>84.89</v>
      </c>
      <c r="K32" s="76">
        <f>(MD_prices!K20+$D$2)*IF($M$2="Prices in $/MWh",1,1/1000)</f>
        <v>85.22</v>
      </c>
      <c r="L32" s="75">
        <f>(MD_prices!L20+$D$2)*IF($M$2="Prices in $/MWh",1,1/1000)</f>
        <v>37.799999999999997</v>
      </c>
      <c r="M32" s="76">
        <f>(MD_prices!M20+$D$2)*IF($M$2="Prices in $/MWh",1,1/1000)</f>
        <v>37.68</v>
      </c>
      <c r="N32" s="75">
        <f>(MD_prices!N20+$D$2)*IF($M$2="Prices in $/MWh",1,1/1000)</f>
        <v>37.979999999999997</v>
      </c>
      <c r="O32" s="61"/>
    </row>
    <row r="33" spans="2:15" x14ac:dyDescent="0.25">
      <c r="B33" s="57"/>
      <c r="C33" s="78" t="str">
        <f>MD_prices!C21</f>
        <v>August-2016</v>
      </c>
      <c r="D33" s="79" t="str">
        <f>MD_prices!D21</f>
        <v>MD</v>
      </c>
      <c r="E33" s="80" t="str">
        <f>MD_prices!E21</f>
        <v>BGE</v>
      </c>
      <c r="F33" s="79" t="str">
        <f>MD_prices!F21</f>
        <v>G</v>
      </c>
      <c r="G33" s="80" t="str">
        <f>MD_prices!G21</f>
        <v>General Service Medium</v>
      </c>
      <c r="H33" s="81" t="str">
        <f t="shared" ref="H33" si="16">IF($M$2="Prices in $/MWh","100-500 MWh","100,000-500,000 kWh")</f>
        <v>100-500 MWh</v>
      </c>
      <c r="I33" s="80">
        <f>(MD_prices!I21+$D$2)*IF($M$2="Prices in $/MWh",1,1/1000)</f>
        <v>84.17</v>
      </c>
      <c r="J33" s="79">
        <f>(MD_prices!J21+$D$2)*IF($M$2="Prices in $/MWh",1,1/1000)</f>
        <v>83.29</v>
      </c>
      <c r="K33" s="80">
        <f>(MD_prices!K21+$D$2)*IF($M$2="Prices in $/MWh",1,1/1000)</f>
        <v>83.62</v>
      </c>
      <c r="L33" s="79">
        <f>(MD_prices!L21+$D$2)*IF($M$2="Prices in $/MWh",1,1/1000)</f>
        <v>36.200000000000003</v>
      </c>
      <c r="M33" s="80">
        <f>(MD_prices!M21+$D$2)*IF($M$2="Prices in $/MWh",1,1/1000)</f>
        <v>36.08</v>
      </c>
      <c r="N33" s="79">
        <f>(MD_prices!N21+$D$2)*IF($M$2="Prices in $/MWh",1,1/1000)</f>
        <v>36.380000000000003</v>
      </c>
      <c r="O33" s="61"/>
    </row>
    <row r="34" spans="2:15" x14ac:dyDescent="0.25">
      <c r="B34" s="57"/>
      <c r="C34" s="82" t="str">
        <f>MD_prices!C22</f>
        <v>August-2016</v>
      </c>
      <c r="D34" s="83" t="str">
        <f>MD_prices!D22</f>
        <v>MD</v>
      </c>
      <c r="E34" s="84" t="str">
        <f>MD_prices!E22</f>
        <v>BGE</v>
      </c>
      <c r="F34" s="83" t="str">
        <f>MD_prices!F22</f>
        <v>G</v>
      </c>
      <c r="G34" s="84" t="str">
        <f>MD_prices!G22</f>
        <v>General Service Medium</v>
      </c>
      <c r="H34" s="85" t="str">
        <f t="shared" ref="H34" si="17">IF($M$2="Prices in $/MWh","500-2500 MWh","500,000-2,500,000 kWh")</f>
        <v>500-2500 MWh</v>
      </c>
      <c r="I34" s="84">
        <f>(MD_prices!I22+$D$2)*IF($M$2="Prices in $/MWh",1,1/1000)</f>
        <v>83.12</v>
      </c>
      <c r="J34" s="83">
        <f>(MD_prices!J22+$D$2)*IF($M$2="Prices in $/MWh",1,1/1000)</f>
        <v>82.24</v>
      </c>
      <c r="K34" s="84">
        <f>(MD_prices!K22+$D$2)*IF($M$2="Prices in $/MWh",1,1/1000)</f>
        <v>82.57</v>
      </c>
      <c r="L34" s="83">
        <f>(MD_prices!L22+$D$2)*IF($M$2="Prices in $/MWh",1,1/1000)</f>
        <v>35.15</v>
      </c>
      <c r="M34" s="84">
        <f>(MD_prices!M22+$D$2)*IF($M$2="Prices in $/MWh",1,1/1000)</f>
        <v>35.03</v>
      </c>
      <c r="N34" s="83">
        <f>(MD_prices!N22+$D$2)*IF($M$2="Prices in $/MWh",1,1/1000)</f>
        <v>35.33</v>
      </c>
      <c r="O34" s="61"/>
    </row>
    <row r="35" spans="2:15" x14ac:dyDescent="0.25">
      <c r="B35" s="57"/>
      <c r="C35" s="74" t="str">
        <f>MD_prices!C23</f>
        <v>September-2016</v>
      </c>
      <c r="D35" s="75" t="str">
        <f>MD_prices!D23</f>
        <v>MD</v>
      </c>
      <c r="E35" s="76" t="str">
        <f>MD_prices!E23</f>
        <v>BGE</v>
      </c>
      <c r="F35" s="75" t="str">
        <f>MD_prices!F23</f>
        <v>G</v>
      </c>
      <c r="G35" s="76" t="str">
        <f>MD_prices!G23</f>
        <v>General Service Medium</v>
      </c>
      <c r="H35" s="77" t="str">
        <f t="shared" ref="H35" si="18">IF($M$2="Prices in $/MWh","0-100 MWh","0-100,000 kWh")</f>
        <v>0-100 MWh</v>
      </c>
      <c r="I35" s="76">
        <f>(MD_prices!I23+$D$2)*IF($M$2="Prices in $/MWh",1,1/1000)</f>
        <v>85.75</v>
      </c>
      <c r="J35" s="75">
        <f>(MD_prices!J23+$D$2)*IF($M$2="Prices in $/MWh",1,1/1000)</f>
        <v>85.33</v>
      </c>
      <c r="K35" s="76">
        <f>(MD_prices!K23+$D$2)*IF($M$2="Prices in $/MWh",1,1/1000)</f>
        <v>85.25</v>
      </c>
      <c r="L35" s="75">
        <f>(MD_prices!L23+$D$2)*IF($M$2="Prices in $/MWh",1,1/1000)</f>
        <v>37.79</v>
      </c>
      <c r="M35" s="76">
        <f>(MD_prices!M23+$D$2)*IF($M$2="Prices in $/MWh",1,1/1000)</f>
        <v>37.880000000000003</v>
      </c>
      <c r="N35" s="75">
        <f>(MD_prices!N23+$D$2)*IF($M$2="Prices in $/MWh",1,1/1000)</f>
        <v>38.049999999999997</v>
      </c>
      <c r="O35" s="61"/>
    </row>
    <row r="36" spans="2:15" x14ac:dyDescent="0.25">
      <c r="B36" s="57"/>
      <c r="C36" s="78" t="str">
        <f>MD_prices!C24</f>
        <v>September-2016</v>
      </c>
      <c r="D36" s="79" t="str">
        <f>MD_prices!D24</f>
        <v>MD</v>
      </c>
      <c r="E36" s="80" t="str">
        <f>MD_prices!E24</f>
        <v>BGE</v>
      </c>
      <c r="F36" s="79" t="str">
        <f>MD_prices!F24</f>
        <v>G</v>
      </c>
      <c r="G36" s="80" t="str">
        <f>MD_prices!G24</f>
        <v>General Service Medium</v>
      </c>
      <c r="H36" s="81" t="str">
        <f t="shared" ref="H36" si="19">IF($M$2="Prices in $/MWh","100-500 MWh","100,000-500,000 kWh")</f>
        <v>100-500 MWh</v>
      </c>
      <c r="I36" s="80">
        <f>(MD_prices!I24+$D$2)*IF($M$2="Prices in $/MWh",1,1/1000)</f>
        <v>84.15</v>
      </c>
      <c r="J36" s="79">
        <f>(MD_prices!J24+$D$2)*IF($M$2="Prices in $/MWh",1,1/1000)</f>
        <v>83.73</v>
      </c>
      <c r="K36" s="80">
        <f>(MD_prices!K24+$D$2)*IF($M$2="Prices in $/MWh",1,1/1000)</f>
        <v>83.65</v>
      </c>
      <c r="L36" s="79">
        <f>(MD_prices!L24+$D$2)*IF($M$2="Prices in $/MWh",1,1/1000)</f>
        <v>36.19</v>
      </c>
      <c r="M36" s="80">
        <f>(MD_prices!M24+$D$2)*IF($M$2="Prices in $/MWh",1,1/1000)</f>
        <v>36.28</v>
      </c>
      <c r="N36" s="79">
        <f>(MD_prices!N24+$D$2)*IF($M$2="Prices in $/MWh",1,1/1000)</f>
        <v>36.450000000000003</v>
      </c>
      <c r="O36" s="61"/>
    </row>
    <row r="37" spans="2:15" x14ac:dyDescent="0.25">
      <c r="B37" s="57"/>
      <c r="C37" s="82" t="str">
        <f>MD_prices!C25</f>
        <v>September-2016</v>
      </c>
      <c r="D37" s="83" t="str">
        <f>MD_prices!D25</f>
        <v>MD</v>
      </c>
      <c r="E37" s="84" t="str">
        <f>MD_prices!E25</f>
        <v>BGE</v>
      </c>
      <c r="F37" s="83" t="str">
        <f>MD_prices!F25</f>
        <v>G</v>
      </c>
      <c r="G37" s="84" t="str">
        <f>MD_prices!G25</f>
        <v>General Service Medium</v>
      </c>
      <c r="H37" s="85" t="str">
        <f t="shared" ref="H37" si="20">IF($M$2="Prices in $/MWh","500-2500 MWh","500,000-2,500,000 kWh")</f>
        <v>500-2500 MWh</v>
      </c>
      <c r="I37" s="84">
        <f>(MD_prices!I25+$D$2)*IF($M$2="Prices in $/MWh",1,1/1000)</f>
        <v>83.1</v>
      </c>
      <c r="J37" s="83">
        <f>(MD_prices!J25+$D$2)*IF($M$2="Prices in $/MWh",1,1/1000)</f>
        <v>82.68</v>
      </c>
      <c r="K37" s="84">
        <f>(MD_prices!K25+$D$2)*IF($M$2="Prices in $/MWh",1,1/1000)</f>
        <v>82.6</v>
      </c>
      <c r="L37" s="83">
        <f>(MD_prices!L25+$D$2)*IF($M$2="Prices in $/MWh",1,1/1000)</f>
        <v>35.14</v>
      </c>
      <c r="M37" s="84">
        <f>(MD_prices!M25+$D$2)*IF($M$2="Prices in $/MWh",1,1/1000)</f>
        <v>35.229999999999997</v>
      </c>
      <c r="N37" s="83">
        <f>(MD_prices!N25+$D$2)*IF($M$2="Prices in $/MWh",1,1/1000)</f>
        <v>35.4</v>
      </c>
      <c r="O37" s="61"/>
    </row>
    <row r="38" spans="2:15" x14ac:dyDescent="0.25">
      <c r="B38" s="57"/>
      <c r="C38" s="74" t="str">
        <f>MD_prices!C26</f>
        <v>October-2016</v>
      </c>
      <c r="D38" s="75" t="str">
        <f>MD_prices!D26</f>
        <v>MD</v>
      </c>
      <c r="E38" s="76" t="str">
        <f>MD_prices!E26</f>
        <v>BGE</v>
      </c>
      <c r="F38" s="75" t="str">
        <f>MD_prices!F26</f>
        <v>G</v>
      </c>
      <c r="G38" s="76" t="str">
        <f>MD_prices!G26</f>
        <v>General Service Medium</v>
      </c>
      <c r="H38" s="77" t="str">
        <f t="shared" ref="H38" si="21">IF($M$2="Prices in $/MWh","0-100 MWh","0-100,000 kWh")</f>
        <v>0-100 MWh</v>
      </c>
      <c r="I38" s="76">
        <f>(MD_prices!I26+$D$2)*IF($M$2="Prices in $/MWh",1,1/1000)</f>
        <v>85.62</v>
      </c>
      <c r="J38" s="75">
        <f>(MD_prices!J26+$D$2)*IF($M$2="Prices in $/MWh",1,1/1000)</f>
        <v>85.68</v>
      </c>
      <c r="K38" s="76">
        <f>(MD_prices!K26+$D$2)*IF($M$2="Prices in $/MWh",1,1/1000)</f>
        <v>85.19</v>
      </c>
      <c r="L38" s="75">
        <f>(MD_prices!L26+$D$2)*IF($M$2="Prices in $/MWh",1,1/1000)</f>
        <v>37.79</v>
      </c>
      <c r="M38" s="76">
        <f>(MD_prices!M26+$D$2)*IF($M$2="Prices in $/MWh",1,1/1000)</f>
        <v>38.1</v>
      </c>
      <c r="N38" s="75">
        <f>(MD_prices!N26+$D$2)*IF($M$2="Prices in $/MWh",1,1/1000)</f>
        <v>38.130000000000003</v>
      </c>
      <c r="O38" s="61"/>
    </row>
    <row r="39" spans="2:15" x14ac:dyDescent="0.25">
      <c r="B39" s="57"/>
      <c r="C39" s="78" t="str">
        <f>MD_prices!C27</f>
        <v>October-2016</v>
      </c>
      <c r="D39" s="79" t="str">
        <f>MD_prices!D27</f>
        <v>MD</v>
      </c>
      <c r="E39" s="80" t="str">
        <f>MD_prices!E27</f>
        <v>BGE</v>
      </c>
      <c r="F39" s="79" t="str">
        <f>MD_prices!F27</f>
        <v>G</v>
      </c>
      <c r="G39" s="80" t="str">
        <f>MD_prices!G27</f>
        <v>General Service Medium</v>
      </c>
      <c r="H39" s="81" t="str">
        <f t="shared" ref="H39" si="22">IF($M$2="Prices in $/MWh","100-500 MWh","100,000-500,000 kWh")</f>
        <v>100-500 MWh</v>
      </c>
      <c r="I39" s="80">
        <f>(MD_prices!I27+$D$2)*IF($M$2="Prices in $/MWh",1,1/1000)</f>
        <v>84.02</v>
      </c>
      <c r="J39" s="79">
        <f>(MD_prices!J27+$D$2)*IF($M$2="Prices in $/MWh",1,1/1000)</f>
        <v>84.08</v>
      </c>
      <c r="K39" s="80">
        <f>(MD_prices!K27+$D$2)*IF($M$2="Prices in $/MWh",1,1/1000)</f>
        <v>83.59</v>
      </c>
      <c r="L39" s="79">
        <f>(MD_prices!L27+$D$2)*IF($M$2="Prices in $/MWh",1,1/1000)</f>
        <v>36.19</v>
      </c>
      <c r="M39" s="80">
        <f>(MD_prices!M27+$D$2)*IF($M$2="Prices in $/MWh",1,1/1000)</f>
        <v>36.5</v>
      </c>
      <c r="N39" s="79">
        <f>(MD_prices!N27+$D$2)*IF($M$2="Prices in $/MWh",1,1/1000)</f>
        <v>36.53</v>
      </c>
      <c r="O39" s="61"/>
    </row>
    <row r="40" spans="2:15" x14ac:dyDescent="0.25">
      <c r="B40" s="57"/>
      <c r="C40" s="82" t="str">
        <f>MD_prices!C28</f>
        <v>October-2016</v>
      </c>
      <c r="D40" s="83" t="str">
        <f>MD_prices!D28</f>
        <v>MD</v>
      </c>
      <c r="E40" s="84" t="str">
        <f>MD_prices!E28</f>
        <v>BGE</v>
      </c>
      <c r="F40" s="83" t="str">
        <f>MD_prices!F28</f>
        <v>G</v>
      </c>
      <c r="G40" s="84" t="str">
        <f>MD_prices!G28</f>
        <v>General Service Medium</v>
      </c>
      <c r="H40" s="85" t="str">
        <f t="shared" ref="H40" si="23">IF($M$2="Prices in $/MWh","500-2500 MWh","500,000-2,500,000 kWh")</f>
        <v>500-2500 MWh</v>
      </c>
      <c r="I40" s="84">
        <f>(MD_prices!I28+$D$2)*IF($M$2="Prices in $/MWh",1,1/1000)</f>
        <v>82.97</v>
      </c>
      <c r="J40" s="83">
        <f>(MD_prices!J28+$D$2)*IF($M$2="Prices in $/MWh",1,1/1000)</f>
        <v>83.03</v>
      </c>
      <c r="K40" s="84">
        <f>(MD_prices!K28+$D$2)*IF($M$2="Prices in $/MWh",1,1/1000)</f>
        <v>82.54</v>
      </c>
      <c r="L40" s="83">
        <f>(MD_prices!L28+$D$2)*IF($M$2="Prices in $/MWh",1,1/1000)</f>
        <v>35.14</v>
      </c>
      <c r="M40" s="84">
        <f>(MD_prices!M28+$D$2)*IF($M$2="Prices in $/MWh",1,1/1000)</f>
        <v>35.450000000000003</v>
      </c>
      <c r="N40" s="83">
        <f>(MD_prices!N28+$D$2)*IF($M$2="Prices in $/MWh",1,1/1000)</f>
        <v>35.479999999999997</v>
      </c>
      <c r="O40" s="61"/>
    </row>
    <row r="41" spans="2:15" x14ac:dyDescent="0.25">
      <c r="B41" s="57"/>
      <c r="C41" s="74" t="str">
        <f>MD_prices!C29</f>
        <v>November-2016</v>
      </c>
      <c r="D41" s="75" t="str">
        <f>MD_prices!D29</f>
        <v>MD</v>
      </c>
      <c r="E41" s="76" t="str">
        <f>MD_prices!E29</f>
        <v>BGE</v>
      </c>
      <c r="F41" s="75" t="str">
        <f>MD_prices!F29</f>
        <v>G</v>
      </c>
      <c r="G41" s="76" t="str">
        <f>MD_prices!G29</f>
        <v>General Service Medium</v>
      </c>
      <c r="H41" s="77" t="str">
        <f t="shared" ref="H41" si="24">IF($M$2="Prices in $/MWh","0-100 MWh","0-100,000 kWh")</f>
        <v>0-100 MWh</v>
      </c>
      <c r="I41" s="76">
        <f>(MD_prices!I29+$D$2)*IF($M$2="Prices in $/MWh",1,1/1000)</f>
        <v>85.45</v>
      </c>
      <c r="J41" s="75">
        <f>(MD_prices!J29+$D$2)*IF($M$2="Prices in $/MWh",1,1/1000)</f>
        <v>85.76</v>
      </c>
      <c r="K41" s="76">
        <f>(MD_prices!K29+$D$2)*IF($M$2="Prices in $/MWh",1,1/1000)</f>
        <v>85.15</v>
      </c>
      <c r="L41" s="75">
        <f>(MD_prices!L29+$D$2)*IF($M$2="Prices in $/MWh",1,1/1000)</f>
        <v>37.76</v>
      </c>
      <c r="M41" s="76">
        <f>(MD_prices!M29+$D$2)*IF($M$2="Prices in $/MWh",1,1/1000)</f>
        <v>38.119999999999997</v>
      </c>
      <c r="N41" s="75">
        <f>(MD_prices!N29+$D$2)*IF($M$2="Prices in $/MWh",1,1/1000)</f>
        <v>38.18</v>
      </c>
      <c r="O41" s="61"/>
    </row>
    <row r="42" spans="2:15" x14ac:dyDescent="0.25">
      <c r="B42" s="57"/>
      <c r="C42" s="78" t="str">
        <f>MD_prices!C30</f>
        <v>November-2016</v>
      </c>
      <c r="D42" s="79" t="str">
        <f>MD_prices!D30</f>
        <v>MD</v>
      </c>
      <c r="E42" s="80" t="str">
        <f>MD_prices!E30</f>
        <v>BGE</v>
      </c>
      <c r="F42" s="79" t="str">
        <f>MD_prices!F30</f>
        <v>G</v>
      </c>
      <c r="G42" s="80" t="str">
        <f>MD_prices!G30</f>
        <v>General Service Medium</v>
      </c>
      <c r="H42" s="81" t="str">
        <f t="shared" ref="H42" si="25">IF($M$2="Prices in $/MWh","100-500 MWh","100,000-500,000 kWh")</f>
        <v>100-500 MWh</v>
      </c>
      <c r="I42" s="80">
        <f>(MD_prices!I30+$D$2)*IF($M$2="Prices in $/MWh",1,1/1000)</f>
        <v>83.85</v>
      </c>
      <c r="J42" s="79">
        <f>(MD_prices!J30+$D$2)*IF($M$2="Prices in $/MWh",1,1/1000)</f>
        <v>84.16</v>
      </c>
      <c r="K42" s="80">
        <f>(MD_prices!K30+$D$2)*IF($M$2="Prices in $/MWh",1,1/1000)</f>
        <v>83.55</v>
      </c>
      <c r="L42" s="79">
        <f>(MD_prices!L30+$D$2)*IF($M$2="Prices in $/MWh",1,1/1000)</f>
        <v>36.159999999999997</v>
      </c>
      <c r="M42" s="80">
        <f>(MD_prices!M30+$D$2)*IF($M$2="Prices in $/MWh",1,1/1000)</f>
        <v>36.520000000000003</v>
      </c>
      <c r="N42" s="79">
        <f>(MD_prices!N30+$D$2)*IF($M$2="Prices in $/MWh",1,1/1000)</f>
        <v>36.58</v>
      </c>
      <c r="O42" s="61"/>
    </row>
    <row r="43" spans="2:15" x14ac:dyDescent="0.25">
      <c r="B43" s="57"/>
      <c r="C43" s="82" t="str">
        <f>MD_prices!C31</f>
        <v>November-2016</v>
      </c>
      <c r="D43" s="83" t="str">
        <f>MD_prices!D31</f>
        <v>MD</v>
      </c>
      <c r="E43" s="84" t="str">
        <f>MD_prices!E31</f>
        <v>BGE</v>
      </c>
      <c r="F43" s="83" t="str">
        <f>MD_prices!F31</f>
        <v>G</v>
      </c>
      <c r="G43" s="84" t="str">
        <f>MD_prices!G31</f>
        <v>General Service Medium</v>
      </c>
      <c r="H43" s="85" t="str">
        <f t="shared" ref="H43" si="26">IF($M$2="Prices in $/MWh","500-2500 MWh","500,000-2,500,000 kWh")</f>
        <v>500-2500 MWh</v>
      </c>
      <c r="I43" s="84">
        <f>(MD_prices!I31+$D$2)*IF($M$2="Prices in $/MWh",1,1/1000)</f>
        <v>82.8</v>
      </c>
      <c r="J43" s="83">
        <f>(MD_prices!J31+$D$2)*IF($M$2="Prices in $/MWh",1,1/1000)</f>
        <v>83.11</v>
      </c>
      <c r="K43" s="84">
        <f>(MD_prices!K31+$D$2)*IF($M$2="Prices in $/MWh",1,1/1000)</f>
        <v>82.5</v>
      </c>
      <c r="L43" s="83">
        <f>(MD_prices!L31+$D$2)*IF($M$2="Prices in $/MWh",1,1/1000)</f>
        <v>35.11</v>
      </c>
      <c r="M43" s="84">
        <f>(MD_prices!M31+$D$2)*IF($M$2="Prices in $/MWh",1,1/1000)</f>
        <v>35.47</v>
      </c>
      <c r="N43" s="83">
        <f>(MD_prices!N31+$D$2)*IF($M$2="Prices in $/MWh",1,1/1000)</f>
        <v>35.53</v>
      </c>
      <c r="O43" s="61"/>
    </row>
    <row r="44" spans="2:15" x14ac:dyDescent="0.25">
      <c r="B44" s="57"/>
      <c r="C44" s="74" t="str">
        <f>MD_prices!C32</f>
        <v>December-2016</v>
      </c>
      <c r="D44" s="75" t="str">
        <f>MD_prices!D32</f>
        <v>MD</v>
      </c>
      <c r="E44" s="76" t="str">
        <f>MD_prices!E32</f>
        <v>BGE</v>
      </c>
      <c r="F44" s="75" t="str">
        <f>MD_prices!F32</f>
        <v>G</v>
      </c>
      <c r="G44" s="76" t="str">
        <f>MD_prices!G32</f>
        <v>General Service Medium</v>
      </c>
      <c r="H44" s="77" t="str">
        <f t="shared" ref="H44" si="27">IF($M$2="Prices in $/MWh","0-100 MWh","0-100,000 kWh")</f>
        <v>0-100 MWh</v>
      </c>
      <c r="I44" s="76">
        <f>(MD_prices!I32+$D$2)*IF($M$2="Prices in $/MWh",1,1/1000)</f>
        <v>85.12</v>
      </c>
      <c r="J44" s="75">
        <f>(MD_prices!J32+$D$2)*IF($M$2="Prices in $/MWh",1,1/1000)</f>
        <v>85.8</v>
      </c>
      <c r="K44" s="76">
        <f>(MD_prices!K32+$D$2)*IF($M$2="Prices in $/MWh",1,1/1000)</f>
        <v>85.03</v>
      </c>
      <c r="L44" s="75">
        <f>(MD_prices!L32+$D$2)*IF($M$2="Prices in $/MWh",1,1/1000)</f>
        <v>37.67</v>
      </c>
      <c r="M44" s="76">
        <f>(MD_prices!M32+$D$2)*IF($M$2="Prices in $/MWh",1,1/1000)</f>
        <v>38.15</v>
      </c>
      <c r="N44" s="75">
        <f>(MD_prices!N32+$D$2)*IF($M$2="Prices in $/MWh",1,1/1000)</f>
        <v>38.19</v>
      </c>
      <c r="O44" s="61"/>
    </row>
    <row r="45" spans="2:15" x14ac:dyDescent="0.25">
      <c r="B45" s="57"/>
      <c r="C45" s="78" t="str">
        <f>MD_prices!C33</f>
        <v>December-2016</v>
      </c>
      <c r="D45" s="79" t="str">
        <f>MD_prices!D33</f>
        <v>MD</v>
      </c>
      <c r="E45" s="80" t="str">
        <f>MD_prices!E33</f>
        <v>BGE</v>
      </c>
      <c r="F45" s="79" t="str">
        <f>MD_prices!F33</f>
        <v>G</v>
      </c>
      <c r="G45" s="80" t="str">
        <f>MD_prices!G33</f>
        <v>General Service Medium</v>
      </c>
      <c r="H45" s="81" t="str">
        <f t="shared" ref="H45" si="28">IF($M$2="Prices in $/MWh","100-500 MWh","100,000-500,000 kWh")</f>
        <v>100-500 MWh</v>
      </c>
      <c r="I45" s="80">
        <f>(MD_prices!I33+$D$2)*IF($M$2="Prices in $/MWh",1,1/1000)</f>
        <v>83.52</v>
      </c>
      <c r="J45" s="79">
        <f>(MD_prices!J33+$D$2)*IF($M$2="Prices in $/MWh",1,1/1000)</f>
        <v>84.2</v>
      </c>
      <c r="K45" s="80">
        <f>(MD_prices!K33+$D$2)*IF($M$2="Prices in $/MWh",1,1/1000)</f>
        <v>83.43</v>
      </c>
      <c r="L45" s="79">
        <f>(MD_prices!L33+$D$2)*IF($M$2="Prices in $/MWh",1,1/1000)</f>
        <v>36.07</v>
      </c>
      <c r="M45" s="80">
        <f>(MD_prices!M33+$D$2)*IF($M$2="Prices in $/MWh",1,1/1000)</f>
        <v>36.549999999999997</v>
      </c>
      <c r="N45" s="79">
        <f>(MD_prices!N33+$D$2)*IF($M$2="Prices in $/MWh",1,1/1000)</f>
        <v>36.590000000000003</v>
      </c>
      <c r="O45" s="61"/>
    </row>
    <row r="46" spans="2:15" x14ac:dyDescent="0.25">
      <c r="B46" s="57"/>
      <c r="C46" s="82" t="str">
        <f>MD_prices!C34</f>
        <v>December-2016</v>
      </c>
      <c r="D46" s="83" t="str">
        <f>MD_prices!D34</f>
        <v>MD</v>
      </c>
      <c r="E46" s="84" t="str">
        <f>MD_prices!E34</f>
        <v>BGE</v>
      </c>
      <c r="F46" s="83" t="str">
        <f>MD_prices!F34</f>
        <v>G</v>
      </c>
      <c r="G46" s="84" t="str">
        <f>MD_prices!G34</f>
        <v>General Service Medium</v>
      </c>
      <c r="H46" s="85" t="str">
        <f t="shared" ref="H46" si="29">IF($M$2="Prices in $/MWh","500-2500 MWh","500,000-2,500,000 kWh")</f>
        <v>500-2500 MWh</v>
      </c>
      <c r="I46" s="84">
        <f>(MD_prices!I34+$D$2)*IF($M$2="Prices in $/MWh",1,1/1000)</f>
        <v>82.47</v>
      </c>
      <c r="J46" s="83">
        <f>(MD_prices!J34+$D$2)*IF($M$2="Prices in $/MWh",1,1/1000)</f>
        <v>83.15</v>
      </c>
      <c r="K46" s="84">
        <f>(MD_prices!K34+$D$2)*IF($M$2="Prices in $/MWh",1,1/1000)</f>
        <v>82.38</v>
      </c>
      <c r="L46" s="83">
        <f>(MD_prices!L34+$D$2)*IF($M$2="Prices in $/MWh",1,1/1000)</f>
        <v>35.020000000000003</v>
      </c>
      <c r="M46" s="84">
        <f>(MD_prices!M34+$D$2)*IF($M$2="Prices in $/MWh",1,1/1000)</f>
        <v>35.5</v>
      </c>
      <c r="N46" s="83">
        <f>(MD_prices!N34+$D$2)*IF($M$2="Prices in $/MWh",1,1/1000)</f>
        <v>35.54</v>
      </c>
      <c r="O46" s="61"/>
    </row>
    <row r="47" spans="2:15" x14ac:dyDescent="0.25">
      <c r="B47" s="57"/>
      <c r="C47" s="74" t="str">
        <f>MD_prices!C35</f>
        <v>January-2017</v>
      </c>
      <c r="D47" s="75" t="str">
        <f>MD_prices!D35</f>
        <v>MD</v>
      </c>
      <c r="E47" s="76" t="str">
        <f>MD_prices!E35</f>
        <v>BGE</v>
      </c>
      <c r="F47" s="75" t="str">
        <f>MD_prices!F35</f>
        <v>G</v>
      </c>
      <c r="G47" s="76" t="str">
        <f>MD_prices!G35</f>
        <v>General Service Medium</v>
      </c>
      <c r="H47" s="77" t="str">
        <f t="shared" ref="H47" si="30">IF($M$2="Prices in $/MWh","0-100 MWh","0-100,000 kWh")</f>
        <v>0-100 MWh</v>
      </c>
      <c r="I47" s="76">
        <f>(MD_prices!I35+$D$2)*IF($M$2="Prices in $/MWh",1,1/1000)</f>
        <v>85.12</v>
      </c>
      <c r="J47" s="75">
        <f>(MD_prices!J35+$D$2)*IF($M$2="Prices in $/MWh",1,1/1000)</f>
        <v>85.87</v>
      </c>
      <c r="K47" s="76">
        <f>(MD_prices!K35+$D$2)*IF($M$2="Prices in $/MWh",1,1/1000)</f>
        <v>85.12</v>
      </c>
      <c r="L47" s="75">
        <f>(MD_prices!L35+$D$2)*IF($M$2="Prices in $/MWh",1,1/1000)</f>
        <v>37.79</v>
      </c>
      <c r="M47" s="76">
        <f>(MD_prices!M35+$D$2)*IF($M$2="Prices in $/MWh",1,1/1000)</f>
        <v>38.22</v>
      </c>
      <c r="N47" s="75">
        <f>(MD_prices!N35+$D$2)*IF($M$2="Prices in $/MWh",1,1/1000)</f>
        <v>38.32</v>
      </c>
      <c r="O47" s="61"/>
    </row>
    <row r="48" spans="2:15" x14ac:dyDescent="0.25">
      <c r="B48" s="57"/>
      <c r="C48" s="78" t="str">
        <f>MD_prices!C36</f>
        <v>January-2017</v>
      </c>
      <c r="D48" s="79" t="str">
        <f>MD_prices!D36</f>
        <v>MD</v>
      </c>
      <c r="E48" s="80" t="str">
        <f>MD_prices!E36</f>
        <v>BGE</v>
      </c>
      <c r="F48" s="79" t="str">
        <f>MD_prices!F36</f>
        <v>G</v>
      </c>
      <c r="G48" s="80" t="str">
        <f>MD_prices!G36</f>
        <v>General Service Medium</v>
      </c>
      <c r="H48" s="81" t="str">
        <f t="shared" ref="H48" si="31">IF($M$2="Prices in $/MWh","100-500 MWh","100,000-500,000 kWh")</f>
        <v>100-500 MWh</v>
      </c>
      <c r="I48" s="80">
        <f>(MD_prices!I36+$D$2)*IF($M$2="Prices in $/MWh",1,1/1000)</f>
        <v>83.52</v>
      </c>
      <c r="J48" s="79">
        <f>(MD_prices!J36+$D$2)*IF($M$2="Prices in $/MWh",1,1/1000)</f>
        <v>84.27</v>
      </c>
      <c r="K48" s="80">
        <f>(MD_prices!K36+$D$2)*IF($M$2="Prices in $/MWh",1,1/1000)</f>
        <v>83.52</v>
      </c>
      <c r="L48" s="79">
        <f>(MD_prices!L36+$D$2)*IF($M$2="Prices in $/MWh",1,1/1000)</f>
        <v>36.19</v>
      </c>
      <c r="M48" s="80">
        <f>(MD_prices!M36+$D$2)*IF($M$2="Prices in $/MWh",1,1/1000)</f>
        <v>36.619999999999997</v>
      </c>
      <c r="N48" s="79">
        <f>(MD_prices!N36+$D$2)*IF($M$2="Prices in $/MWh",1,1/1000)</f>
        <v>36.72</v>
      </c>
      <c r="O48" s="61"/>
    </row>
    <row r="49" spans="2:15" x14ac:dyDescent="0.25">
      <c r="B49" s="57"/>
      <c r="C49" s="82" t="str">
        <f>MD_prices!C37</f>
        <v>January-2017</v>
      </c>
      <c r="D49" s="83" t="str">
        <f>MD_prices!D37</f>
        <v>MD</v>
      </c>
      <c r="E49" s="84" t="str">
        <f>MD_prices!E37</f>
        <v>BGE</v>
      </c>
      <c r="F49" s="83" t="str">
        <f>MD_prices!F37</f>
        <v>G</v>
      </c>
      <c r="G49" s="84" t="str">
        <f>MD_prices!G37</f>
        <v>General Service Medium</v>
      </c>
      <c r="H49" s="85" t="str">
        <f t="shared" ref="H49" si="32">IF($M$2="Prices in $/MWh","500-2500 MWh","500,000-2,500,000 kWh")</f>
        <v>500-2500 MWh</v>
      </c>
      <c r="I49" s="84">
        <f>(MD_prices!I37+$D$2)*IF($M$2="Prices in $/MWh",1,1/1000)</f>
        <v>82.47</v>
      </c>
      <c r="J49" s="83">
        <f>(MD_prices!J37+$D$2)*IF($M$2="Prices in $/MWh",1,1/1000)</f>
        <v>83.22</v>
      </c>
      <c r="K49" s="84">
        <f>(MD_prices!K37+$D$2)*IF($M$2="Prices in $/MWh",1,1/1000)</f>
        <v>82.47</v>
      </c>
      <c r="L49" s="83">
        <f>(MD_prices!L37+$D$2)*IF($M$2="Prices in $/MWh",1,1/1000)</f>
        <v>35.14</v>
      </c>
      <c r="M49" s="84">
        <f>(MD_prices!M37+$D$2)*IF($M$2="Prices in $/MWh",1,1/1000)</f>
        <v>35.57</v>
      </c>
      <c r="N49" s="83">
        <f>(MD_prices!N37+$D$2)*IF($M$2="Prices in $/MWh",1,1/1000)</f>
        <v>35.67</v>
      </c>
      <c r="O49" s="61"/>
    </row>
    <row r="50" spans="2:15" x14ac:dyDescent="0.25">
      <c r="B50" s="57"/>
      <c r="C50" s="74" t="str">
        <f>MD_prices!C38</f>
        <v>February-2016</v>
      </c>
      <c r="D50" s="75" t="str">
        <f>MD_prices!D38</f>
        <v>MD</v>
      </c>
      <c r="E50" s="76" t="str">
        <f>MD_prices!E38</f>
        <v>BGE</v>
      </c>
      <c r="F50" s="75" t="str">
        <f>MD_prices!F38</f>
        <v>GL</v>
      </c>
      <c r="G50" s="76" t="str">
        <f>MD_prices!G38</f>
        <v>General Service Large</v>
      </c>
      <c r="H50" s="77" t="str">
        <f t="shared" ref="H50" si="33">IF($M$2="Prices in $/MWh","0-100 MWh","0-100,000 kWh")</f>
        <v>0-100 MWh</v>
      </c>
      <c r="I50" s="76">
        <f>(MD_prices!I38+$D$2)*IF($M$2="Prices in $/MWh",1,1/1000)</f>
        <v>84.51</v>
      </c>
      <c r="J50" s="75">
        <f>(MD_prices!J38+$D$2)*IF($M$2="Prices in $/MWh",1,1/1000)</f>
        <v>85.21</v>
      </c>
      <c r="K50" s="76">
        <f>(MD_prices!K38+$D$2)*IF($M$2="Prices in $/MWh",1,1/1000)</f>
        <v>84.36</v>
      </c>
      <c r="L50" s="75">
        <f>(MD_prices!L38+$D$2)*IF($M$2="Prices in $/MWh",1,1/1000)</f>
        <v>37.700000000000003</v>
      </c>
      <c r="M50" s="76">
        <f>(MD_prices!M38+$D$2)*IF($M$2="Prices in $/MWh",1,1/1000)</f>
        <v>37.93</v>
      </c>
      <c r="N50" s="75">
        <f>(MD_prices!N38+$D$2)*IF($M$2="Prices in $/MWh",1,1/1000)</f>
        <v>37.67</v>
      </c>
      <c r="O50" s="61"/>
    </row>
    <row r="51" spans="2:15" x14ac:dyDescent="0.25">
      <c r="B51" s="57"/>
      <c r="C51" s="78" t="str">
        <f>MD_prices!C39</f>
        <v>February-2016</v>
      </c>
      <c r="D51" s="79" t="str">
        <f>MD_prices!D39</f>
        <v>MD</v>
      </c>
      <c r="E51" s="80" t="str">
        <f>MD_prices!E39</f>
        <v>BGE</v>
      </c>
      <c r="F51" s="79" t="str">
        <f>MD_prices!F39</f>
        <v>GL</v>
      </c>
      <c r="G51" s="80" t="str">
        <f>MD_prices!G39</f>
        <v>General Service Large</v>
      </c>
      <c r="H51" s="81" t="str">
        <f t="shared" ref="H51" si="34">IF($M$2="Prices in $/MWh","100-500 MWh","100,000-500,000 kWh")</f>
        <v>100-500 MWh</v>
      </c>
      <c r="I51" s="80">
        <f>(MD_prices!I39+$D$2)*IF($M$2="Prices in $/MWh",1,1/1000)</f>
        <v>82.91</v>
      </c>
      <c r="J51" s="79">
        <f>(MD_prices!J39+$D$2)*IF($M$2="Prices in $/MWh",1,1/1000)</f>
        <v>83.61</v>
      </c>
      <c r="K51" s="80">
        <f>(MD_prices!K39+$D$2)*IF($M$2="Prices in $/MWh",1,1/1000)</f>
        <v>82.76</v>
      </c>
      <c r="L51" s="79">
        <f>(MD_prices!L39+$D$2)*IF($M$2="Prices in $/MWh",1,1/1000)</f>
        <v>36.1</v>
      </c>
      <c r="M51" s="80">
        <f>(MD_prices!M39+$D$2)*IF($M$2="Prices in $/MWh",1,1/1000)</f>
        <v>36.33</v>
      </c>
      <c r="N51" s="79">
        <f>(MD_prices!N39+$D$2)*IF($M$2="Prices in $/MWh",1,1/1000)</f>
        <v>36.07</v>
      </c>
      <c r="O51" s="61"/>
    </row>
    <row r="52" spans="2:15" x14ac:dyDescent="0.25">
      <c r="B52" s="57"/>
      <c r="C52" s="82" t="str">
        <f>MD_prices!C40</f>
        <v>February-2016</v>
      </c>
      <c r="D52" s="83" t="str">
        <f>MD_prices!D40</f>
        <v>MD</v>
      </c>
      <c r="E52" s="84" t="str">
        <f>MD_prices!E40</f>
        <v>BGE</v>
      </c>
      <c r="F52" s="83" t="str">
        <f>MD_prices!F40</f>
        <v>GL</v>
      </c>
      <c r="G52" s="84" t="str">
        <f>MD_prices!G40</f>
        <v>General Service Large</v>
      </c>
      <c r="H52" s="85" t="str">
        <f t="shared" ref="H52" si="35">IF($M$2="Prices in $/MWh","500-2500 MWh","500,000-2,500,000 kWh")</f>
        <v>500-2500 MWh</v>
      </c>
      <c r="I52" s="84">
        <f>(MD_prices!I40+$D$2)*IF($M$2="Prices in $/MWh",1,1/1000)</f>
        <v>81.86</v>
      </c>
      <c r="J52" s="83">
        <f>(MD_prices!J40+$D$2)*IF($M$2="Prices in $/MWh",1,1/1000)</f>
        <v>82.56</v>
      </c>
      <c r="K52" s="84">
        <f>(MD_prices!K40+$D$2)*IF($M$2="Prices in $/MWh",1,1/1000)</f>
        <v>81.709999999999994</v>
      </c>
      <c r="L52" s="83">
        <f>(MD_prices!L40+$D$2)*IF($M$2="Prices in $/MWh",1,1/1000)</f>
        <v>35.049999999999997</v>
      </c>
      <c r="M52" s="84">
        <f>(MD_prices!M40+$D$2)*IF($M$2="Prices in $/MWh",1,1/1000)</f>
        <v>35.28</v>
      </c>
      <c r="N52" s="83">
        <f>(MD_prices!N40+$D$2)*IF($M$2="Prices in $/MWh",1,1/1000)</f>
        <v>35.020000000000003</v>
      </c>
      <c r="O52" s="61"/>
    </row>
    <row r="53" spans="2:15" x14ac:dyDescent="0.25">
      <c r="B53" s="57"/>
      <c r="C53" s="74" t="str">
        <f>MD_prices!C41</f>
        <v>March-2016</v>
      </c>
      <c r="D53" s="75" t="str">
        <f>MD_prices!D41</f>
        <v>MD</v>
      </c>
      <c r="E53" s="76" t="str">
        <f>MD_prices!E41</f>
        <v>BGE</v>
      </c>
      <c r="F53" s="75" t="str">
        <f>MD_prices!F41</f>
        <v>GL</v>
      </c>
      <c r="G53" s="76" t="str">
        <f>MD_prices!G41</f>
        <v>General Service Large</v>
      </c>
      <c r="H53" s="77" t="str">
        <f t="shared" ref="H53" si="36">IF($M$2="Prices in $/MWh","0-100 MWh","0-100,000 kWh")</f>
        <v>0-100 MWh</v>
      </c>
      <c r="I53" s="76">
        <f>(MD_prices!I41+$D$2)*IF($M$2="Prices in $/MWh",1,1/1000)</f>
        <v>85.03</v>
      </c>
      <c r="J53" s="75">
        <f>(MD_prices!J41+$D$2)*IF($M$2="Prices in $/MWh",1,1/1000)</f>
        <v>84.89</v>
      </c>
      <c r="K53" s="76">
        <f>(MD_prices!K41+$D$2)*IF($M$2="Prices in $/MWh",1,1/1000)</f>
        <v>84.62</v>
      </c>
      <c r="L53" s="75">
        <f>(MD_prices!L41+$D$2)*IF($M$2="Prices in $/MWh",1,1/1000)</f>
        <v>37.74</v>
      </c>
      <c r="M53" s="76">
        <f>(MD_prices!M41+$D$2)*IF($M$2="Prices in $/MWh",1,1/1000)</f>
        <v>37.6</v>
      </c>
      <c r="N53" s="75">
        <f>(MD_prices!N41+$D$2)*IF($M$2="Prices in $/MWh",1,1/1000)</f>
        <v>37.71</v>
      </c>
      <c r="O53" s="61"/>
    </row>
    <row r="54" spans="2:15" x14ac:dyDescent="0.25">
      <c r="B54" s="57"/>
      <c r="C54" s="78" t="str">
        <f>MD_prices!C42</f>
        <v>March-2016</v>
      </c>
      <c r="D54" s="79" t="str">
        <f>MD_prices!D42</f>
        <v>MD</v>
      </c>
      <c r="E54" s="80" t="str">
        <f>MD_prices!E42</f>
        <v>BGE</v>
      </c>
      <c r="F54" s="79" t="str">
        <f>MD_prices!F42</f>
        <v>GL</v>
      </c>
      <c r="G54" s="80" t="str">
        <f>MD_prices!G42</f>
        <v>General Service Large</v>
      </c>
      <c r="H54" s="81" t="str">
        <f t="shared" ref="H54" si="37">IF($M$2="Prices in $/MWh","100-500 MWh","100,000-500,000 kWh")</f>
        <v>100-500 MWh</v>
      </c>
      <c r="I54" s="80">
        <f>(MD_prices!I42+$D$2)*IF($M$2="Prices in $/MWh",1,1/1000)</f>
        <v>83.43</v>
      </c>
      <c r="J54" s="79">
        <f>(MD_prices!J42+$D$2)*IF($M$2="Prices in $/MWh",1,1/1000)</f>
        <v>83.29</v>
      </c>
      <c r="K54" s="80">
        <f>(MD_prices!K42+$D$2)*IF($M$2="Prices in $/MWh",1,1/1000)</f>
        <v>83.02</v>
      </c>
      <c r="L54" s="79">
        <f>(MD_prices!L42+$D$2)*IF($M$2="Prices in $/MWh",1,1/1000)</f>
        <v>36.14</v>
      </c>
      <c r="M54" s="80">
        <f>(MD_prices!M42+$D$2)*IF($M$2="Prices in $/MWh",1,1/1000)</f>
        <v>36</v>
      </c>
      <c r="N54" s="79">
        <f>(MD_prices!N42+$D$2)*IF($M$2="Prices in $/MWh",1,1/1000)</f>
        <v>36.11</v>
      </c>
      <c r="O54" s="61"/>
    </row>
    <row r="55" spans="2:15" x14ac:dyDescent="0.25">
      <c r="B55" s="57"/>
      <c r="C55" s="82" t="str">
        <f>MD_prices!C43</f>
        <v>March-2016</v>
      </c>
      <c r="D55" s="83" t="str">
        <f>MD_prices!D43</f>
        <v>MD</v>
      </c>
      <c r="E55" s="84" t="str">
        <f>MD_prices!E43</f>
        <v>BGE</v>
      </c>
      <c r="F55" s="83" t="str">
        <f>MD_prices!F43</f>
        <v>GL</v>
      </c>
      <c r="G55" s="84" t="str">
        <f>MD_prices!G43</f>
        <v>General Service Large</v>
      </c>
      <c r="H55" s="85" t="str">
        <f t="shared" ref="H55" si="38">IF($M$2="Prices in $/MWh","500-2500 MWh","500,000-2,500,000 kWh")</f>
        <v>500-2500 MWh</v>
      </c>
      <c r="I55" s="84">
        <f>(MD_prices!I43+$D$2)*IF($M$2="Prices in $/MWh",1,1/1000)</f>
        <v>82.38</v>
      </c>
      <c r="J55" s="83">
        <f>(MD_prices!J43+$D$2)*IF($M$2="Prices in $/MWh",1,1/1000)</f>
        <v>82.24</v>
      </c>
      <c r="K55" s="84">
        <f>(MD_prices!K43+$D$2)*IF($M$2="Prices in $/MWh",1,1/1000)</f>
        <v>81.97</v>
      </c>
      <c r="L55" s="83">
        <f>(MD_prices!L43+$D$2)*IF($M$2="Prices in $/MWh",1,1/1000)</f>
        <v>35.090000000000003</v>
      </c>
      <c r="M55" s="84">
        <f>(MD_prices!M43+$D$2)*IF($M$2="Prices in $/MWh",1,1/1000)</f>
        <v>34.950000000000003</v>
      </c>
      <c r="N55" s="83">
        <f>(MD_prices!N43+$D$2)*IF($M$2="Prices in $/MWh",1,1/1000)</f>
        <v>35.06</v>
      </c>
      <c r="O55" s="61"/>
    </row>
    <row r="56" spans="2:15" x14ac:dyDescent="0.25">
      <c r="B56" s="57"/>
      <c r="C56" s="74" t="str">
        <f>MD_prices!C44</f>
        <v>April-2016</v>
      </c>
      <c r="D56" s="75" t="str">
        <f>MD_prices!D44</f>
        <v>MD</v>
      </c>
      <c r="E56" s="76" t="str">
        <f>MD_prices!E44</f>
        <v>BGE</v>
      </c>
      <c r="F56" s="75" t="str">
        <f>MD_prices!F44</f>
        <v>GL</v>
      </c>
      <c r="G56" s="76" t="str">
        <f>MD_prices!G44</f>
        <v>General Service Large</v>
      </c>
      <c r="H56" s="77" t="str">
        <f t="shared" ref="H56" si="39">IF($M$2="Prices in $/MWh","0-100 MWh","0-100,000 kWh")</f>
        <v>0-100 MWh</v>
      </c>
      <c r="I56" s="76">
        <f>(MD_prices!I44+$D$2)*IF($M$2="Prices in $/MWh",1,1/1000)</f>
        <v>85.14</v>
      </c>
      <c r="J56" s="75">
        <f>(MD_prices!J44+$D$2)*IF($M$2="Prices in $/MWh",1,1/1000)</f>
        <v>84.25</v>
      </c>
      <c r="K56" s="76">
        <f>(MD_prices!K44+$D$2)*IF($M$2="Prices in $/MWh",1,1/1000)</f>
        <v>84.58</v>
      </c>
      <c r="L56" s="75">
        <f>(MD_prices!L44+$D$2)*IF($M$2="Prices in $/MWh",1,1/1000)</f>
        <v>37.75</v>
      </c>
      <c r="M56" s="76">
        <f>(MD_prices!M44+$D$2)*IF($M$2="Prices in $/MWh",1,1/1000)</f>
        <v>37.299999999999997</v>
      </c>
      <c r="N56" s="75">
        <f>(MD_prices!N44+$D$2)*IF($M$2="Prices in $/MWh",1,1/1000)</f>
        <v>37.72</v>
      </c>
      <c r="O56" s="61"/>
    </row>
    <row r="57" spans="2:15" x14ac:dyDescent="0.25">
      <c r="B57" s="57"/>
      <c r="C57" s="78" t="str">
        <f>MD_prices!C45</f>
        <v>April-2016</v>
      </c>
      <c r="D57" s="79" t="str">
        <f>MD_prices!D45</f>
        <v>MD</v>
      </c>
      <c r="E57" s="80" t="str">
        <f>MD_prices!E45</f>
        <v>BGE</v>
      </c>
      <c r="F57" s="79" t="str">
        <f>MD_prices!F45</f>
        <v>GL</v>
      </c>
      <c r="G57" s="80" t="str">
        <f>MD_prices!G45</f>
        <v>General Service Large</v>
      </c>
      <c r="H57" s="81" t="str">
        <f t="shared" ref="H57" si="40">IF($M$2="Prices in $/MWh","100-500 MWh","100,000-500,000 kWh")</f>
        <v>100-500 MWh</v>
      </c>
      <c r="I57" s="80">
        <f>(MD_prices!I45+$D$2)*IF($M$2="Prices in $/MWh",1,1/1000)</f>
        <v>83.54</v>
      </c>
      <c r="J57" s="79">
        <f>(MD_prices!J45+$D$2)*IF($M$2="Prices in $/MWh",1,1/1000)</f>
        <v>82.65</v>
      </c>
      <c r="K57" s="80">
        <f>(MD_prices!K45+$D$2)*IF($M$2="Prices in $/MWh",1,1/1000)</f>
        <v>82.98</v>
      </c>
      <c r="L57" s="79">
        <f>(MD_prices!L45+$D$2)*IF($M$2="Prices in $/MWh",1,1/1000)</f>
        <v>36.15</v>
      </c>
      <c r="M57" s="80">
        <f>(MD_prices!M45+$D$2)*IF($M$2="Prices in $/MWh",1,1/1000)</f>
        <v>35.700000000000003</v>
      </c>
      <c r="N57" s="79">
        <f>(MD_prices!N45+$D$2)*IF($M$2="Prices in $/MWh",1,1/1000)</f>
        <v>36.119999999999997</v>
      </c>
      <c r="O57" s="61"/>
    </row>
    <row r="58" spans="2:15" x14ac:dyDescent="0.25">
      <c r="B58" s="57"/>
      <c r="C58" s="82" t="str">
        <f>MD_prices!C46</f>
        <v>April-2016</v>
      </c>
      <c r="D58" s="83" t="str">
        <f>MD_prices!D46</f>
        <v>MD</v>
      </c>
      <c r="E58" s="84" t="str">
        <f>MD_prices!E46</f>
        <v>BGE</v>
      </c>
      <c r="F58" s="83" t="str">
        <f>MD_prices!F46</f>
        <v>GL</v>
      </c>
      <c r="G58" s="84" t="str">
        <f>MD_prices!G46</f>
        <v>General Service Large</v>
      </c>
      <c r="H58" s="85" t="str">
        <f t="shared" ref="H58" si="41">IF($M$2="Prices in $/MWh","500-2500 MWh","500,000-2,500,000 kWh")</f>
        <v>500-2500 MWh</v>
      </c>
      <c r="I58" s="84">
        <f>(MD_prices!I46+$D$2)*IF($M$2="Prices in $/MWh",1,1/1000)</f>
        <v>82.49</v>
      </c>
      <c r="J58" s="83">
        <f>(MD_prices!J46+$D$2)*IF($M$2="Prices in $/MWh",1,1/1000)</f>
        <v>81.599999999999994</v>
      </c>
      <c r="K58" s="84">
        <f>(MD_prices!K46+$D$2)*IF($M$2="Prices in $/MWh",1,1/1000)</f>
        <v>81.93</v>
      </c>
      <c r="L58" s="83">
        <f>(MD_prices!L46+$D$2)*IF($M$2="Prices in $/MWh",1,1/1000)</f>
        <v>35.1</v>
      </c>
      <c r="M58" s="84">
        <f>(MD_prices!M46+$D$2)*IF($M$2="Prices in $/MWh",1,1/1000)</f>
        <v>34.65</v>
      </c>
      <c r="N58" s="83">
        <f>(MD_prices!N46+$D$2)*IF($M$2="Prices in $/MWh",1,1/1000)</f>
        <v>35.07</v>
      </c>
      <c r="O58" s="61"/>
    </row>
    <row r="59" spans="2:15" x14ac:dyDescent="0.25">
      <c r="B59" s="57"/>
      <c r="C59" s="74" t="str">
        <f>MD_prices!C47</f>
        <v>May-2016</v>
      </c>
      <c r="D59" s="75" t="str">
        <f>MD_prices!D47</f>
        <v>MD</v>
      </c>
      <c r="E59" s="76" t="str">
        <f>MD_prices!E47</f>
        <v>BGE</v>
      </c>
      <c r="F59" s="75" t="str">
        <f>MD_prices!F47</f>
        <v>GL</v>
      </c>
      <c r="G59" s="76" t="str">
        <f>MD_prices!G47</f>
        <v>General Service Large</v>
      </c>
      <c r="H59" s="77" t="str">
        <f t="shared" ref="H59" si="42">IF($M$2="Prices in $/MWh","0-100 MWh","0-100,000 kWh")</f>
        <v>0-100 MWh</v>
      </c>
      <c r="I59" s="76">
        <f>(MD_prices!I47+$D$2)*IF($M$2="Prices in $/MWh",1,1/1000)</f>
        <v>85.21</v>
      </c>
      <c r="J59" s="75">
        <f>(MD_prices!J47+$D$2)*IF($M$2="Prices in $/MWh",1,1/1000)</f>
        <v>83.8</v>
      </c>
      <c r="K59" s="76">
        <f>(MD_prices!K47+$D$2)*IF($M$2="Prices in $/MWh",1,1/1000)</f>
        <v>84.52</v>
      </c>
      <c r="L59" s="75">
        <f>(MD_prices!L47+$D$2)*IF($M$2="Prices in $/MWh",1,1/1000)</f>
        <v>37.770000000000003</v>
      </c>
      <c r="M59" s="76">
        <f>(MD_prices!M47+$D$2)*IF($M$2="Prices in $/MWh",1,1/1000)</f>
        <v>37.130000000000003</v>
      </c>
      <c r="N59" s="75">
        <f>(MD_prices!N47+$D$2)*IF($M$2="Prices in $/MWh",1,1/1000)</f>
        <v>37.729999999999997</v>
      </c>
      <c r="O59" s="61"/>
    </row>
    <row r="60" spans="2:15" x14ac:dyDescent="0.25">
      <c r="B60" s="57"/>
      <c r="C60" s="78" t="str">
        <f>MD_prices!C48</f>
        <v>May-2016</v>
      </c>
      <c r="D60" s="79" t="str">
        <f>MD_prices!D48</f>
        <v>MD</v>
      </c>
      <c r="E60" s="80" t="str">
        <f>MD_prices!E48</f>
        <v>BGE</v>
      </c>
      <c r="F60" s="79" t="str">
        <f>MD_prices!F48</f>
        <v>GL</v>
      </c>
      <c r="G60" s="80" t="str">
        <f>MD_prices!G48</f>
        <v>General Service Large</v>
      </c>
      <c r="H60" s="81" t="str">
        <f t="shared" ref="H60" si="43">IF($M$2="Prices in $/MWh","100-500 MWh","100,000-500,000 kWh")</f>
        <v>100-500 MWh</v>
      </c>
      <c r="I60" s="80">
        <f>(MD_prices!I48+$D$2)*IF($M$2="Prices in $/MWh",1,1/1000)</f>
        <v>83.61</v>
      </c>
      <c r="J60" s="79">
        <f>(MD_prices!J48+$D$2)*IF($M$2="Prices in $/MWh",1,1/1000)</f>
        <v>82.2</v>
      </c>
      <c r="K60" s="80">
        <f>(MD_prices!K48+$D$2)*IF($M$2="Prices in $/MWh",1,1/1000)</f>
        <v>82.92</v>
      </c>
      <c r="L60" s="79">
        <f>(MD_prices!L48+$D$2)*IF($M$2="Prices in $/MWh",1,1/1000)</f>
        <v>36.17</v>
      </c>
      <c r="M60" s="80">
        <f>(MD_prices!M48+$D$2)*IF($M$2="Prices in $/MWh",1,1/1000)</f>
        <v>35.53</v>
      </c>
      <c r="N60" s="79">
        <f>(MD_prices!N48+$D$2)*IF($M$2="Prices in $/MWh",1,1/1000)</f>
        <v>36.130000000000003</v>
      </c>
      <c r="O60" s="61"/>
    </row>
    <row r="61" spans="2:15" x14ac:dyDescent="0.25">
      <c r="B61" s="57"/>
      <c r="C61" s="82" t="str">
        <f>MD_prices!C49</f>
        <v>May-2016</v>
      </c>
      <c r="D61" s="83" t="str">
        <f>MD_prices!D49</f>
        <v>MD</v>
      </c>
      <c r="E61" s="84" t="str">
        <f>MD_prices!E49</f>
        <v>BGE</v>
      </c>
      <c r="F61" s="83" t="str">
        <f>MD_prices!F49</f>
        <v>GL</v>
      </c>
      <c r="G61" s="84" t="str">
        <f>MD_prices!G49</f>
        <v>General Service Large</v>
      </c>
      <c r="H61" s="85" t="str">
        <f t="shared" ref="H61" si="44">IF($M$2="Prices in $/MWh","500-2500 MWh","500,000-2,500,000 kWh")</f>
        <v>500-2500 MWh</v>
      </c>
      <c r="I61" s="84">
        <f>(MD_prices!I49+$D$2)*IF($M$2="Prices in $/MWh",1,1/1000)</f>
        <v>82.56</v>
      </c>
      <c r="J61" s="83">
        <f>(MD_prices!J49+$D$2)*IF($M$2="Prices in $/MWh",1,1/1000)</f>
        <v>81.150000000000006</v>
      </c>
      <c r="K61" s="84">
        <f>(MD_prices!K49+$D$2)*IF($M$2="Prices in $/MWh",1,1/1000)</f>
        <v>81.87</v>
      </c>
      <c r="L61" s="83">
        <f>(MD_prices!L49+$D$2)*IF($M$2="Prices in $/MWh",1,1/1000)</f>
        <v>35.119999999999997</v>
      </c>
      <c r="M61" s="84">
        <f>(MD_prices!M49+$D$2)*IF($M$2="Prices in $/MWh",1,1/1000)</f>
        <v>34.479999999999997</v>
      </c>
      <c r="N61" s="83">
        <f>(MD_prices!N49+$D$2)*IF($M$2="Prices in $/MWh",1,1/1000)</f>
        <v>35.08</v>
      </c>
      <c r="O61" s="61"/>
    </row>
    <row r="62" spans="2:15" x14ac:dyDescent="0.25">
      <c r="B62" s="57"/>
      <c r="C62" s="74" t="str">
        <f>MD_prices!C50</f>
        <v>June-2016</v>
      </c>
      <c r="D62" s="75" t="str">
        <f>MD_prices!D50</f>
        <v>MD</v>
      </c>
      <c r="E62" s="76" t="str">
        <f>MD_prices!E50</f>
        <v>BGE</v>
      </c>
      <c r="F62" s="75" t="str">
        <f>MD_prices!F50</f>
        <v>GL</v>
      </c>
      <c r="G62" s="76" t="str">
        <f>MD_prices!G50</f>
        <v>General Service Large</v>
      </c>
      <c r="H62" s="77" t="str">
        <f t="shared" ref="H62" si="45">IF($M$2="Prices in $/MWh","0-100 MWh","0-100,000 kWh")</f>
        <v>0-100 MWh</v>
      </c>
      <c r="I62" s="76">
        <f>(MD_prices!I50+$D$2)*IF($M$2="Prices in $/MWh",1,1/1000)</f>
        <v>85.18</v>
      </c>
      <c r="J62" s="75">
        <f>(MD_prices!J50+$D$2)*IF($M$2="Prices in $/MWh",1,1/1000)</f>
        <v>83.49</v>
      </c>
      <c r="K62" s="76">
        <f>(MD_prices!K50+$D$2)*IF($M$2="Prices in $/MWh",1,1/1000)</f>
        <v>84.43</v>
      </c>
      <c r="L62" s="75">
        <f>(MD_prices!L50+$D$2)*IF($M$2="Prices in $/MWh",1,1/1000)</f>
        <v>37.74</v>
      </c>
      <c r="M62" s="76">
        <f>(MD_prices!M50+$D$2)*IF($M$2="Prices in $/MWh",1,1/1000)</f>
        <v>37.06</v>
      </c>
      <c r="N62" s="75">
        <f>(MD_prices!N50+$D$2)*IF($M$2="Prices in $/MWh",1,1/1000)</f>
        <v>37.72</v>
      </c>
      <c r="O62" s="61"/>
    </row>
    <row r="63" spans="2:15" x14ac:dyDescent="0.25">
      <c r="B63" s="57"/>
      <c r="C63" s="78" t="str">
        <f>MD_prices!C51</f>
        <v>June-2016</v>
      </c>
      <c r="D63" s="79" t="str">
        <f>MD_prices!D51</f>
        <v>MD</v>
      </c>
      <c r="E63" s="80" t="str">
        <f>MD_prices!E51</f>
        <v>BGE</v>
      </c>
      <c r="F63" s="79" t="str">
        <f>MD_prices!F51</f>
        <v>GL</v>
      </c>
      <c r="G63" s="80" t="str">
        <f>MD_prices!G51</f>
        <v>General Service Large</v>
      </c>
      <c r="H63" s="81" t="str">
        <f t="shared" ref="H63" si="46">IF($M$2="Prices in $/MWh","100-500 MWh","100,000-500,000 kWh")</f>
        <v>100-500 MWh</v>
      </c>
      <c r="I63" s="80">
        <f>(MD_prices!I51+$D$2)*IF($M$2="Prices in $/MWh",1,1/1000)</f>
        <v>83.58</v>
      </c>
      <c r="J63" s="79">
        <f>(MD_prices!J51+$D$2)*IF($M$2="Prices in $/MWh",1,1/1000)</f>
        <v>81.89</v>
      </c>
      <c r="K63" s="80">
        <f>(MD_prices!K51+$D$2)*IF($M$2="Prices in $/MWh",1,1/1000)</f>
        <v>82.83</v>
      </c>
      <c r="L63" s="79">
        <f>(MD_prices!L51+$D$2)*IF($M$2="Prices in $/MWh",1,1/1000)</f>
        <v>36.14</v>
      </c>
      <c r="M63" s="80">
        <f>(MD_prices!M51+$D$2)*IF($M$2="Prices in $/MWh",1,1/1000)</f>
        <v>35.46</v>
      </c>
      <c r="N63" s="79">
        <f>(MD_prices!N51+$D$2)*IF($M$2="Prices in $/MWh",1,1/1000)</f>
        <v>36.119999999999997</v>
      </c>
      <c r="O63" s="61"/>
    </row>
    <row r="64" spans="2:15" x14ac:dyDescent="0.25">
      <c r="B64" s="57"/>
      <c r="C64" s="82" t="str">
        <f>MD_prices!C52</f>
        <v>June-2016</v>
      </c>
      <c r="D64" s="83" t="str">
        <f>MD_prices!D52</f>
        <v>MD</v>
      </c>
      <c r="E64" s="84" t="str">
        <f>MD_prices!E52</f>
        <v>BGE</v>
      </c>
      <c r="F64" s="83" t="str">
        <f>MD_prices!F52</f>
        <v>GL</v>
      </c>
      <c r="G64" s="84" t="str">
        <f>MD_prices!G52</f>
        <v>General Service Large</v>
      </c>
      <c r="H64" s="85" t="str">
        <f t="shared" ref="H64" si="47">IF($M$2="Prices in $/MWh","500-2500 MWh","500,000-2,500,000 kWh")</f>
        <v>500-2500 MWh</v>
      </c>
      <c r="I64" s="84">
        <f>(MD_prices!I52+$D$2)*IF($M$2="Prices in $/MWh",1,1/1000)</f>
        <v>82.53</v>
      </c>
      <c r="J64" s="83">
        <f>(MD_prices!J52+$D$2)*IF($M$2="Prices in $/MWh",1,1/1000)</f>
        <v>80.84</v>
      </c>
      <c r="K64" s="84">
        <f>(MD_prices!K52+$D$2)*IF($M$2="Prices in $/MWh",1,1/1000)</f>
        <v>81.78</v>
      </c>
      <c r="L64" s="83">
        <f>(MD_prices!L52+$D$2)*IF($M$2="Prices in $/MWh",1,1/1000)</f>
        <v>35.090000000000003</v>
      </c>
      <c r="M64" s="84">
        <f>(MD_prices!M52+$D$2)*IF($M$2="Prices in $/MWh",1,1/1000)</f>
        <v>34.409999999999997</v>
      </c>
      <c r="N64" s="83">
        <f>(MD_prices!N52+$D$2)*IF($M$2="Prices in $/MWh",1,1/1000)</f>
        <v>35.07</v>
      </c>
      <c r="O64" s="61"/>
    </row>
    <row r="65" spans="2:15" x14ac:dyDescent="0.25">
      <c r="B65" s="57"/>
      <c r="C65" s="74" t="str">
        <f>MD_prices!C53</f>
        <v>July-2016</v>
      </c>
      <c r="D65" s="75" t="str">
        <f>MD_prices!D53</f>
        <v>MD</v>
      </c>
      <c r="E65" s="76" t="str">
        <f>MD_prices!E53</f>
        <v>BGE</v>
      </c>
      <c r="F65" s="75" t="str">
        <f>MD_prices!F53</f>
        <v>GL</v>
      </c>
      <c r="G65" s="76" t="str">
        <f>MD_prices!G53</f>
        <v>General Service Large</v>
      </c>
      <c r="H65" s="77" t="str">
        <f t="shared" ref="H65" si="48">IF($M$2="Prices in $/MWh","0-100 MWh","0-100,000 kWh")</f>
        <v>0-100 MWh</v>
      </c>
      <c r="I65" s="76">
        <f>(MD_prices!I53+$D$2)*IF($M$2="Prices in $/MWh",1,1/1000)</f>
        <v>85.05</v>
      </c>
      <c r="J65" s="75">
        <f>(MD_prices!J53+$D$2)*IF($M$2="Prices in $/MWh",1,1/1000)</f>
        <v>83.38</v>
      </c>
      <c r="K65" s="76">
        <f>(MD_prices!K53+$D$2)*IF($M$2="Prices in $/MWh",1,1/1000)</f>
        <v>84.34</v>
      </c>
      <c r="L65" s="75">
        <f>(MD_prices!L53+$D$2)*IF($M$2="Prices in $/MWh",1,1/1000)</f>
        <v>37.729999999999997</v>
      </c>
      <c r="M65" s="76">
        <f>(MD_prices!M53+$D$2)*IF($M$2="Prices in $/MWh",1,1/1000)</f>
        <v>37.15</v>
      </c>
      <c r="N65" s="75">
        <f>(MD_prices!N53+$D$2)*IF($M$2="Prices in $/MWh",1,1/1000)</f>
        <v>37.79</v>
      </c>
      <c r="O65" s="61"/>
    </row>
    <row r="66" spans="2:15" x14ac:dyDescent="0.25">
      <c r="B66" s="57"/>
      <c r="C66" s="78" t="str">
        <f>MD_prices!C54</f>
        <v>July-2016</v>
      </c>
      <c r="D66" s="79" t="str">
        <f>MD_prices!D54</f>
        <v>MD</v>
      </c>
      <c r="E66" s="80" t="str">
        <f>MD_prices!E54</f>
        <v>BGE</v>
      </c>
      <c r="F66" s="79" t="str">
        <f>MD_prices!F54</f>
        <v>GL</v>
      </c>
      <c r="G66" s="80" t="str">
        <f>MD_prices!G54</f>
        <v>General Service Large</v>
      </c>
      <c r="H66" s="81" t="str">
        <f t="shared" ref="H66" si="49">IF($M$2="Prices in $/MWh","100-500 MWh","100,000-500,000 kWh")</f>
        <v>100-500 MWh</v>
      </c>
      <c r="I66" s="80">
        <f>(MD_prices!I54+$D$2)*IF($M$2="Prices in $/MWh",1,1/1000)</f>
        <v>83.45</v>
      </c>
      <c r="J66" s="79">
        <f>(MD_prices!J54+$D$2)*IF($M$2="Prices in $/MWh",1,1/1000)</f>
        <v>81.78</v>
      </c>
      <c r="K66" s="80">
        <f>(MD_prices!K54+$D$2)*IF($M$2="Prices in $/MWh",1,1/1000)</f>
        <v>82.74</v>
      </c>
      <c r="L66" s="79">
        <f>(MD_prices!L54+$D$2)*IF($M$2="Prices in $/MWh",1,1/1000)</f>
        <v>36.130000000000003</v>
      </c>
      <c r="M66" s="80">
        <f>(MD_prices!M54+$D$2)*IF($M$2="Prices in $/MWh",1,1/1000)</f>
        <v>35.549999999999997</v>
      </c>
      <c r="N66" s="79">
        <f>(MD_prices!N54+$D$2)*IF($M$2="Prices in $/MWh",1,1/1000)</f>
        <v>36.19</v>
      </c>
      <c r="O66" s="61"/>
    </row>
    <row r="67" spans="2:15" x14ac:dyDescent="0.25">
      <c r="B67" s="57"/>
      <c r="C67" s="82" t="str">
        <f>MD_prices!C55</f>
        <v>July-2016</v>
      </c>
      <c r="D67" s="83" t="str">
        <f>MD_prices!D55</f>
        <v>MD</v>
      </c>
      <c r="E67" s="84" t="str">
        <f>MD_prices!E55</f>
        <v>BGE</v>
      </c>
      <c r="F67" s="83" t="str">
        <f>MD_prices!F55</f>
        <v>GL</v>
      </c>
      <c r="G67" s="84" t="str">
        <f>MD_prices!G55</f>
        <v>General Service Large</v>
      </c>
      <c r="H67" s="85" t="str">
        <f t="shared" ref="H67" si="50">IF($M$2="Prices in $/MWh","500-2500 MWh","500,000-2,500,000 kWh")</f>
        <v>500-2500 MWh</v>
      </c>
      <c r="I67" s="84">
        <f>(MD_prices!I55+$D$2)*IF($M$2="Prices in $/MWh",1,1/1000)</f>
        <v>82.4</v>
      </c>
      <c r="J67" s="83">
        <f>(MD_prices!J55+$D$2)*IF($M$2="Prices in $/MWh",1,1/1000)</f>
        <v>80.73</v>
      </c>
      <c r="K67" s="84">
        <f>(MD_prices!K55+$D$2)*IF($M$2="Prices in $/MWh",1,1/1000)</f>
        <v>81.69</v>
      </c>
      <c r="L67" s="83">
        <f>(MD_prices!L55+$D$2)*IF($M$2="Prices in $/MWh",1,1/1000)</f>
        <v>35.08</v>
      </c>
      <c r="M67" s="84">
        <f>(MD_prices!M55+$D$2)*IF($M$2="Prices in $/MWh",1,1/1000)</f>
        <v>34.5</v>
      </c>
      <c r="N67" s="83">
        <f>(MD_prices!N55+$D$2)*IF($M$2="Prices in $/MWh",1,1/1000)</f>
        <v>35.14</v>
      </c>
      <c r="O67" s="61"/>
    </row>
    <row r="68" spans="2:15" x14ac:dyDescent="0.25">
      <c r="B68" s="57"/>
      <c r="C68" s="74" t="str">
        <f>MD_prices!C56</f>
        <v>August-2016</v>
      </c>
      <c r="D68" s="75" t="str">
        <f>MD_prices!D56</f>
        <v>MD</v>
      </c>
      <c r="E68" s="76" t="str">
        <f>MD_prices!E56</f>
        <v>BGE</v>
      </c>
      <c r="F68" s="75" t="str">
        <f>MD_prices!F56</f>
        <v>GL</v>
      </c>
      <c r="G68" s="76" t="str">
        <f>MD_prices!G56</f>
        <v>General Service Large</v>
      </c>
      <c r="H68" s="77" t="str">
        <f t="shared" ref="H68" si="51">IF($M$2="Prices in $/MWh","0-100 MWh","0-100,000 kWh")</f>
        <v>0-100 MWh</v>
      </c>
      <c r="I68" s="76">
        <f>(MD_prices!I56+$D$2)*IF($M$2="Prices in $/MWh",1,1/1000)</f>
        <v>85.05</v>
      </c>
      <c r="J68" s="75">
        <f>(MD_prices!J56+$D$2)*IF($M$2="Prices in $/MWh",1,1/1000)</f>
        <v>83.99</v>
      </c>
      <c r="K68" s="76">
        <f>(MD_prices!K56+$D$2)*IF($M$2="Prices in $/MWh",1,1/1000)</f>
        <v>84.4</v>
      </c>
      <c r="L68" s="75">
        <f>(MD_prices!L56+$D$2)*IF($M$2="Prices in $/MWh",1,1/1000)</f>
        <v>37.75</v>
      </c>
      <c r="M68" s="76">
        <f>(MD_prices!M56+$D$2)*IF($M$2="Prices in $/MWh",1,1/1000)</f>
        <v>37.47</v>
      </c>
      <c r="N68" s="75">
        <f>(MD_prices!N56+$D$2)*IF($M$2="Prices in $/MWh",1,1/1000)</f>
        <v>37.85</v>
      </c>
      <c r="O68" s="61"/>
    </row>
    <row r="69" spans="2:15" x14ac:dyDescent="0.25">
      <c r="B69" s="57"/>
      <c r="C69" s="78" t="str">
        <f>MD_prices!C57</f>
        <v>August-2016</v>
      </c>
      <c r="D69" s="79" t="str">
        <f>MD_prices!D57</f>
        <v>MD</v>
      </c>
      <c r="E69" s="80" t="str">
        <f>MD_prices!E57</f>
        <v>BGE</v>
      </c>
      <c r="F69" s="79" t="str">
        <f>MD_prices!F57</f>
        <v>GL</v>
      </c>
      <c r="G69" s="80" t="str">
        <f>MD_prices!G57</f>
        <v>General Service Large</v>
      </c>
      <c r="H69" s="81" t="str">
        <f t="shared" ref="H69" si="52">IF($M$2="Prices in $/MWh","100-500 MWh","100,000-500,000 kWh")</f>
        <v>100-500 MWh</v>
      </c>
      <c r="I69" s="80">
        <f>(MD_prices!I57+$D$2)*IF($M$2="Prices in $/MWh",1,1/1000)</f>
        <v>83.45</v>
      </c>
      <c r="J69" s="79">
        <f>(MD_prices!J57+$D$2)*IF($M$2="Prices in $/MWh",1,1/1000)</f>
        <v>82.39</v>
      </c>
      <c r="K69" s="80">
        <f>(MD_prices!K57+$D$2)*IF($M$2="Prices in $/MWh",1,1/1000)</f>
        <v>82.8</v>
      </c>
      <c r="L69" s="79">
        <f>(MD_prices!L57+$D$2)*IF($M$2="Prices in $/MWh",1,1/1000)</f>
        <v>36.15</v>
      </c>
      <c r="M69" s="80">
        <f>(MD_prices!M57+$D$2)*IF($M$2="Prices in $/MWh",1,1/1000)</f>
        <v>35.869999999999997</v>
      </c>
      <c r="N69" s="79">
        <f>(MD_prices!N57+$D$2)*IF($M$2="Prices in $/MWh",1,1/1000)</f>
        <v>36.25</v>
      </c>
      <c r="O69" s="61"/>
    </row>
    <row r="70" spans="2:15" x14ac:dyDescent="0.25">
      <c r="B70" s="57"/>
      <c r="C70" s="82" t="str">
        <f>MD_prices!C58</f>
        <v>August-2016</v>
      </c>
      <c r="D70" s="83" t="str">
        <f>MD_prices!D58</f>
        <v>MD</v>
      </c>
      <c r="E70" s="84" t="str">
        <f>MD_prices!E58</f>
        <v>BGE</v>
      </c>
      <c r="F70" s="83" t="str">
        <f>MD_prices!F58</f>
        <v>GL</v>
      </c>
      <c r="G70" s="84" t="str">
        <f>MD_prices!G58</f>
        <v>General Service Large</v>
      </c>
      <c r="H70" s="85" t="str">
        <f t="shared" ref="H70" si="53">IF($M$2="Prices in $/MWh","500-2500 MWh","500,000-2,500,000 kWh")</f>
        <v>500-2500 MWh</v>
      </c>
      <c r="I70" s="84">
        <f>(MD_prices!I58+$D$2)*IF($M$2="Prices in $/MWh",1,1/1000)</f>
        <v>82.4</v>
      </c>
      <c r="J70" s="83">
        <f>(MD_prices!J58+$D$2)*IF($M$2="Prices in $/MWh",1,1/1000)</f>
        <v>81.34</v>
      </c>
      <c r="K70" s="84">
        <f>(MD_prices!K58+$D$2)*IF($M$2="Prices in $/MWh",1,1/1000)</f>
        <v>81.75</v>
      </c>
      <c r="L70" s="83">
        <f>(MD_prices!L58+$D$2)*IF($M$2="Prices in $/MWh",1,1/1000)</f>
        <v>35.1</v>
      </c>
      <c r="M70" s="84">
        <f>(MD_prices!M58+$D$2)*IF($M$2="Prices in $/MWh",1,1/1000)</f>
        <v>34.82</v>
      </c>
      <c r="N70" s="83">
        <f>(MD_prices!N58+$D$2)*IF($M$2="Prices in $/MWh",1,1/1000)</f>
        <v>35.200000000000003</v>
      </c>
      <c r="O70" s="61"/>
    </row>
    <row r="71" spans="2:15" x14ac:dyDescent="0.25">
      <c r="B71" s="57"/>
      <c r="C71" s="74" t="str">
        <f>MD_prices!C59</f>
        <v>September-2016</v>
      </c>
      <c r="D71" s="75" t="str">
        <f>MD_prices!D59</f>
        <v>MD</v>
      </c>
      <c r="E71" s="76" t="str">
        <f>MD_prices!E59</f>
        <v>BGE</v>
      </c>
      <c r="F71" s="75" t="str">
        <f>MD_prices!F59</f>
        <v>GL</v>
      </c>
      <c r="G71" s="76" t="str">
        <f>MD_prices!G59</f>
        <v>General Service Large</v>
      </c>
      <c r="H71" s="77" t="str">
        <f t="shared" ref="H71" si="54">IF($M$2="Prices in $/MWh","0-100 MWh","0-100,000 kWh")</f>
        <v>0-100 MWh</v>
      </c>
      <c r="I71" s="76">
        <f>(MD_prices!I59+$D$2)*IF($M$2="Prices in $/MWh",1,1/1000)</f>
        <v>85.02</v>
      </c>
      <c r="J71" s="75">
        <f>(MD_prices!J59+$D$2)*IF($M$2="Prices in $/MWh",1,1/1000)</f>
        <v>84.62</v>
      </c>
      <c r="K71" s="76">
        <f>(MD_prices!K59+$D$2)*IF($M$2="Prices in $/MWh",1,1/1000)</f>
        <v>84.43</v>
      </c>
      <c r="L71" s="75">
        <f>(MD_prices!L59+$D$2)*IF($M$2="Prices in $/MWh",1,1/1000)</f>
        <v>37.75</v>
      </c>
      <c r="M71" s="76">
        <f>(MD_prices!M59+$D$2)*IF($M$2="Prices in $/MWh",1,1/1000)</f>
        <v>37.840000000000003</v>
      </c>
      <c r="N71" s="75">
        <f>(MD_prices!N59+$D$2)*IF($M$2="Prices in $/MWh",1,1/1000)</f>
        <v>37.92</v>
      </c>
      <c r="O71" s="61"/>
    </row>
    <row r="72" spans="2:15" x14ac:dyDescent="0.25">
      <c r="B72" s="57"/>
      <c r="C72" s="78" t="str">
        <f>MD_prices!C60</f>
        <v>September-2016</v>
      </c>
      <c r="D72" s="79" t="str">
        <f>MD_prices!D60</f>
        <v>MD</v>
      </c>
      <c r="E72" s="80" t="str">
        <f>MD_prices!E60</f>
        <v>BGE</v>
      </c>
      <c r="F72" s="79" t="str">
        <f>MD_prices!F60</f>
        <v>GL</v>
      </c>
      <c r="G72" s="80" t="str">
        <f>MD_prices!G60</f>
        <v>General Service Large</v>
      </c>
      <c r="H72" s="81" t="str">
        <f t="shared" ref="H72" si="55">IF($M$2="Prices in $/MWh","100-500 MWh","100,000-500,000 kWh")</f>
        <v>100-500 MWh</v>
      </c>
      <c r="I72" s="80">
        <f>(MD_prices!I60+$D$2)*IF($M$2="Prices in $/MWh",1,1/1000)</f>
        <v>83.42</v>
      </c>
      <c r="J72" s="79">
        <f>(MD_prices!J60+$D$2)*IF($M$2="Prices in $/MWh",1,1/1000)</f>
        <v>83.02</v>
      </c>
      <c r="K72" s="80">
        <f>(MD_prices!K60+$D$2)*IF($M$2="Prices in $/MWh",1,1/1000)</f>
        <v>82.83</v>
      </c>
      <c r="L72" s="79">
        <f>(MD_prices!L60+$D$2)*IF($M$2="Prices in $/MWh",1,1/1000)</f>
        <v>36.15</v>
      </c>
      <c r="M72" s="80">
        <f>(MD_prices!M60+$D$2)*IF($M$2="Prices in $/MWh",1,1/1000)</f>
        <v>36.24</v>
      </c>
      <c r="N72" s="79">
        <f>(MD_prices!N60+$D$2)*IF($M$2="Prices in $/MWh",1,1/1000)</f>
        <v>36.32</v>
      </c>
      <c r="O72" s="61"/>
    </row>
    <row r="73" spans="2:15" x14ac:dyDescent="0.25">
      <c r="B73" s="57"/>
      <c r="C73" s="82" t="str">
        <f>MD_prices!C61</f>
        <v>September-2016</v>
      </c>
      <c r="D73" s="83" t="str">
        <f>MD_prices!D61</f>
        <v>MD</v>
      </c>
      <c r="E73" s="84" t="str">
        <f>MD_prices!E61</f>
        <v>BGE</v>
      </c>
      <c r="F73" s="83" t="str">
        <f>MD_prices!F61</f>
        <v>GL</v>
      </c>
      <c r="G73" s="84" t="str">
        <f>MD_prices!G61</f>
        <v>General Service Large</v>
      </c>
      <c r="H73" s="85" t="str">
        <f t="shared" ref="H73" si="56">IF($M$2="Prices in $/MWh","500-2500 MWh","500,000-2,500,000 kWh")</f>
        <v>500-2500 MWh</v>
      </c>
      <c r="I73" s="84">
        <f>(MD_prices!I61+$D$2)*IF($M$2="Prices in $/MWh",1,1/1000)</f>
        <v>82.37</v>
      </c>
      <c r="J73" s="83">
        <f>(MD_prices!J61+$D$2)*IF($M$2="Prices in $/MWh",1,1/1000)</f>
        <v>81.97</v>
      </c>
      <c r="K73" s="84">
        <f>(MD_prices!K61+$D$2)*IF($M$2="Prices in $/MWh",1,1/1000)</f>
        <v>81.78</v>
      </c>
      <c r="L73" s="83">
        <f>(MD_prices!L61+$D$2)*IF($M$2="Prices in $/MWh",1,1/1000)</f>
        <v>35.1</v>
      </c>
      <c r="M73" s="84">
        <f>(MD_prices!M61+$D$2)*IF($M$2="Prices in $/MWh",1,1/1000)</f>
        <v>35.19</v>
      </c>
      <c r="N73" s="83">
        <f>(MD_prices!N61+$D$2)*IF($M$2="Prices in $/MWh",1,1/1000)</f>
        <v>35.270000000000003</v>
      </c>
      <c r="O73" s="61"/>
    </row>
    <row r="74" spans="2:15" x14ac:dyDescent="0.25">
      <c r="B74" s="57"/>
      <c r="C74" s="74" t="str">
        <f>MD_prices!C62</f>
        <v>October-2016</v>
      </c>
      <c r="D74" s="75" t="str">
        <f>MD_prices!D62</f>
        <v>MD</v>
      </c>
      <c r="E74" s="76" t="str">
        <f>MD_prices!E62</f>
        <v>BGE</v>
      </c>
      <c r="F74" s="75" t="str">
        <f>MD_prices!F62</f>
        <v>GL</v>
      </c>
      <c r="G74" s="76" t="str">
        <f>MD_prices!G62</f>
        <v>General Service Large</v>
      </c>
      <c r="H74" s="77" t="str">
        <f t="shared" ref="H74" si="57">IF($M$2="Prices in $/MWh","0-100 MWh","0-100,000 kWh")</f>
        <v>0-100 MWh</v>
      </c>
      <c r="I74" s="76">
        <f>(MD_prices!I62+$D$2)*IF($M$2="Prices in $/MWh",1,1/1000)</f>
        <v>84.89</v>
      </c>
      <c r="J74" s="75">
        <f>(MD_prices!J62+$D$2)*IF($M$2="Prices in $/MWh",1,1/1000)</f>
        <v>85.14</v>
      </c>
      <c r="K74" s="76">
        <f>(MD_prices!K62+$D$2)*IF($M$2="Prices in $/MWh",1,1/1000)</f>
        <v>84.36</v>
      </c>
      <c r="L74" s="75">
        <f>(MD_prices!L62+$D$2)*IF($M$2="Prices in $/MWh",1,1/1000)</f>
        <v>37.75</v>
      </c>
      <c r="M74" s="76">
        <f>(MD_prices!M62+$D$2)*IF($M$2="Prices in $/MWh",1,1/1000)</f>
        <v>38.18</v>
      </c>
      <c r="N74" s="75">
        <f>(MD_prices!N62+$D$2)*IF($M$2="Prices in $/MWh",1,1/1000)</f>
        <v>38.01</v>
      </c>
      <c r="O74" s="61"/>
    </row>
    <row r="75" spans="2:15" x14ac:dyDescent="0.25">
      <c r="B75" s="57"/>
      <c r="C75" s="78" t="str">
        <f>MD_prices!C63</f>
        <v>October-2016</v>
      </c>
      <c r="D75" s="79" t="str">
        <f>MD_prices!D63</f>
        <v>MD</v>
      </c>
      <c r="E75" s="80" t="str">
        <f>MD_prices!E63</f>
        <v>BGE</v>
      </c>
      <c r="F75" s="79" t="str">
        <f>MD_prices!F63</f>
        <v>GL</v>
      </c>
      <c r="G75" s="80" t="str">
        <f>MD_prices!G63</f>
        <v>General Service Large</v>
      </c>
      <c r="H75" s="81" t="str">
        <f t="shared" ref="H75" si="58">IF($M$2="Prices in $/MWh","100-500 MWh","100,000-500,000 kWh")</f>
        <v>100-500 MWh</v>
      </c>
      <c r="I75" s="80">
        <f>(MD_prices!I63+$D$2)*IF($M$2="Prices in $/MWh",1,1/1000)</f>
        <v>83.29</v>
      </c>
      <c r="J75" s="79">
        <f>(MD_prices!J63+$D$2)*IF($M$2="Prices in $/MWh",1,1/1000)</f>
        <v>83.54</v>
      </c>
      <c r="K75" s="80">
        <f>(MD_prices!K63+$D$2)*IF($M$2="Prices in $/MWh",1,1/1000)</f>
        <v>82.76</v>
      </c>
      <c r="L75" s="79">
        <f>(MD_prices!L63+$D$2)*IF($M$2="Prices in $/MWh",1,1/1000)</f>
        <v>36.15</v>
      </c>
      <c r="M75" s="80">
        <f>(MD_prices!M63+$D$2)*IF($M$2="Prices in $/MWh",1,1/1000)</f>
        <v>36.58</v>
      </c>
      <c r="N75" s="79">
        <f>(MD_prices!N63+$D$2)*IF($M$2="Prices in $/MWh",1,1/1000)</f>
        <v>36.409999999999997</v>
      </c>
      <c r="O75" s="61"/>
    </row>
    <row r="76" spans="2:15" x14ac:dyDescent="0.25">
      <c r="B76" s="57"/>
      <c r="C76" s="82" t="str">
        <f>MD_prices!C64</f>
        <v>October-2016</v>
      </c>
      <c r="D76" s="83" t="str">
        <f>MD_prices!D64</f>
        <v>MD</v>
      </c>
      <c r="E76" s="84" t="str">
        <f>MD_prices!E64</f>
        <v>BGE</v>
      </c>
      <c r="F76" s="83" t="str">
        <f>MD_prices!F64</f>
        <v>GL</v>
      </c>
      <c r="G76" s="84" t="str">
        <f>MD_prices!G64</f>
        <v>General Service Large</v>
      </c>
      <c r="H76" s="85" t="str">
        <f t="shared" ref="H76" si="59">IF($M$2="Prices in $/MWh","500-2500 MWh","500,000-2,500,000 kWh")</f>
        <v>500-2500 MWh</v>
      </c>
      <c r="I76" s="84">
        <f>(MD_prices!I64+$D$2)*IF($M$2="Prices in $/MWh",1,1/1000)</f>
        <v>82.24</v>
      </c>
      <c r="J76" s="83">
        <f>(MD_prices!J64+$D$2)*IF($M$2="Prices in $/MWh",1,1/1000)</f>
        <v>82.49</v>
      </c>
      <c r="K76" s="84">
        <f>(MD_prices!K64+$D$2)*IF($M$2="Prices in $/MWh",1,1/1000)</f>
        <v>81.709999999999994</v>
      </c>
      <c r="L76" s="83">
        <f>(MD_prices!L64+$D$2)*IF($M$2="Prices in $/MWh",1,1/1000)</f>
        <v>35.1</v>
      </c>
      <c r="M76" s="84">
        <f>(MD_prices!M64+$D$2)*IF($M$2="Prices in $/MWh",1,1/1000)</f>
        <v>35.53</v>
      </c>
      <c r="N76" s="83">
        <f>(MD_prices!N64+$D$2)*IF($M$2="Prices in $/MWh",1,1/1000)</f>
        <v>35.36</v>
      </c>
      <c r="O76" s="61"/>
    </row>
    <row r="77" spans="2:15" x14ac:dyDescent="0.25">
      <c r="B77" s="57"/>
      <c r="C77" s="74" t="str">
        <f>MD_prices!C65</f>
        <v>November-2016</v>
      </c>
      <c r="D77" s="75" t="str">
        <f>MD_prices!D65</f>
        <v>MD</v>
      </c>
      <c r="E77" s="76" t="str">
        <f>MD_prices!E65</f>
        <v>BGE</v>
      </c>
      <c r="F77" s="75" t="str">
        <f>MD_prices!F65</f>
        <v>GL</v>
      </c>
      <c r="G77" s="76" t="str">
        <f>MD_prices!G65</f>
        <v>General Service Large</v>
      </c>
      <c r="H77" s="77" t="str">
        <f t="shared" ref="H77" si="60">IF($M$2="Prices in $/MWh","0-100 MWh","0-100,000 kWh")</f>
        <v>0-100 MWh</v>
      </c>
      <c r="I77" s="76">
        <f>(MD_prices!I65+$D$2)*IF($M$2="Prices in $/MWh",1,1/1000)</f>
        <v>84.7</v>
      </c>
      <c r="J77" s="75">
        <f>(MD_prices!J65+$D$2)*IF($M$2="Prices in $/MWh",1,1/1000)</f>
        <v>85.41</v>
      </c>
      <c r="K77" s="76">
        <f>(MD_prices!K65+$D$2)*IF($M$2="Prices in $/MWh",1,1/1000)</f>
        <v>84.31</v>
      </c>
      <c r="L77" s="75">
        <f>(MD_prices!L65+$D$2)*IF($M$2="Prices in $/MWh",1,1/1000)</f>
        <v>37.72</v>
      </c>
      <c r="M77" s="76">
        <f>(MD_prices!M65+$D$2)*IF($M$2="Prices in $/MWh",1,1/1000)</f>
        <v>38.36</v>
      </c>
      <c r="N77" s="75">
        <f>(MD_prices!N65+$D$2)*IF($M$2="Prices in $/MWh",1,1/1000)</f>
        <v>38.06</v>
      </c>
      <c r="O77" s="61"/>
    </row>
    <row r="78" spans="2:15" x14ac:dyDescent="0.25">
      <c r="B78" s="57"/>
      <c r="C78" s="78" t="str">
        <f>MD_prices!C66</f>
        <v>November-2016</v>
      </c>
      <c r="D78" s="79" t="str">
        <f>MD_prices!D66</f>
        <v>MD</v>
      </c>
      <c r="E78" s="80" t="str">
        <f>MD_prices!E66</f>
        <v>BGE</v>
      </c>
      <c r="F78" s="79" t="str">
        <f>MD_prices!F66</f>
        <v>GL</v>
      </c>
      <c r="G78" s="80" t="str">
        <f>MD_prices!G66</f>
        <v>General Service Large</v>
      </c>
      <c r="H78" s="81" t="str">
        <f t="shared" ref="H78" si="61">IF($M$2="Prices in $/MWh","100-500 MWh","100,000-500,000 kWh")</f>
        <v>100-500 MWh</v>
      </c>
      <c r="I78" s="80">
        <f>(MD_prices!I66+$D$2)*IF($M$2="Prices in $/MWh",1,1/1000)</f>
        <v>83.1</v>
      </c>
      <c r="J78" s="79">
        <f>(MD_prices!J66+$D$2)*IF($M$2="Prices in $/MWh",1,1/1000)</f>
        <v>83.81</v>
      </c>
      <c r="K78" s="80">
        <f>(MD_prices!K66+$D$2)*IF($M$2="Prices in $/MWh",1,1/1000)</f>
        <v>82.71</v>
      </c>
      <c r="L78" s="79">
        <f>(MD_prices!L66+$D$2)*IF($M$2="Prices in $/MWh",1,1/1000)</f>
        <v>36.119999999999997</v>
      </c>
      <c r="M78" s="80">
        <f>(MD_prices!M66+$D$2)*IF($M$2="Prices in $/MWh",1,1/1000)</f>
        <v>36.76</v>
      </c>
      <c r="N78" s="79">
        <f>(MD_prices!N66+$D$2)*IF($M$2="Prices in $/MWh",1,1/1000)</f>
        <v>36.46</v>
      </c>
      <c r="O78" s="61"/>
    </row>
    <row r="79" spans="2:15" x14ac:dyDescent="0.25">
      <c r="B79" s="57"/>
      <c r="C79" s="82" t="str">
        <f>MD_prices!C67</f>
        <v>November-2016</v>
      </c>
      <c r="D79" s="83" t="str">
        <f>MD_prices!D67</f>
        <v>MD</v>
      </c>
      <c r="E79" s="84" t="str">
        <f>MD_prices!E67</f>
        <v>BGE</v>
      </c>
      <c r="F79" s="83" t="str">
        <f>MD_prices!F67</f>
        <v>GL</v>
      </c>
      <c r="G79" s="84" t="str">
        <f>MD_prices!G67</f>
        <v>General Service Large</v>
      </c>
      <c r="H79" s="85" t="str">
        <f t="shared" ref="H79" si="62">IF($M$2="Prices in $/MWh","500-2500 MWh","500,000-2,500,000 kWh")</f>
        <v>500-2500 MWh</v>
      </c>
      <c r="I79" s="84">
        <f>(MD_prices!I67+$D$2)*IF($M$2="Prices in $/MWh",1,1/1000)</f>
        <v>82.05</v>
      </c>
      <c r="J79" s="83">
        <f>(MD_prices!J67+$D$2)*IF($M$2="Prices in $/MWh",1,1/1000)</f>
        <v>82.76</v>
      </c>
      <c r="K79" s="84">
        <f>(MD_prices!K67+$D$2)*IF($M$2="Prices in $/MWh",1,1/1000)</f>
        <v>81.66</v>
      </c>
      <c r="L79" s="83">
        <f>(MD_prices!L67+$D$2)*IF($M$2="Prices in $/MWh",1,1/1000)</f>
        <v>35.07</v>
      </c>
      <c r="M79" s="84">
        <f>(MD_prices!M67+$D$2)*IF($M$2="Prices in $/MWh",1,1/1000)</f>
        <v>35.71</v>
      </c>
      <c r="N79" s="83">
        <f>(MD_prices!N67+$D$2)*IF($M$2="Prices in $/MWh",1,1/1000)</f>
        <v>35.409999999999997</v>
      </c>
      <c r="O79" s="61"/>
    </row>
    <row r="80" spans="2:15" x14ac:dyDescent="0.25">
      <c r="B80" s="57"/>
      <c r="C80" s="74" t="str">
        <f>MD_prices!C68</f>
        <v>December-2016</v>
      </c>
      <c r="D80" s="75" t="str">
        <f>MD_prices!D68</f>
        <v>MD</v>
      </c>
      <c r="E80" s="76" t="str">
        <f>MD_prices!E68</f>
        <v>BGE</v>
      </c>
      <c r="F80" s="75" t="str">
        <f>MD_prices!F68</f>
        <v>GL</v>
      </c>
      <c r="G80" s="76" t="str">
        <f>MD_prices!G68</f>
        <v>General Service Large</v>
      </c>
      <c r="H80" s="77" t="str">
        <f t="shared" ref="H80" si="63">IF($M$2="Prices in $/MWh","0-100 MWh","0-100,000 kWh")</f>
        <v>0-100 MWh</v>
      </c>
      <c r="I80" s="76">
        <f>(MD_prices!I68+$D$2)*IF($M$2="Prices in $/MWh",1,1/1000)</f>
        <v>84.4</v>
      </c>
      <c r="J80" s="75">
        <f>(MD_prices!J68+$D$2)*IF($M$2="Prices in $/MWh",1,1/1000)</f>
        <v>85.39</v>
      </c>
      <c r="K80" s="76">
        <f>(MD_prices!K68+$D$2)*IF($M$2="Prices in $/MWh",1,1/1000)</f>
        <v>84.21</v>
      </c>
      <c r="L80" s="75">
        <f>(MD_prices!L68+$D$2)*IF($M$2="Prices in $/MWh",1,1/1000)</f>
        <v>37.64</v>
      </c>
      <c r="M80" s="76">
        <f>(MD_prices!M68+$D$2)*IF($M$2="Prices in $/MWh",1,1/1000)</f>
        <v>38.36</v>
      </c>
      <c r="N80" s="75">
        <f>(MD_prices!N68+$D$2)*IF($M$2="Prices in $/MWh",1,1/1000)</f>
        <v>38.08</v>
      </c>
      <c r="O80" s="61"/>
    </row>
    <row r="81" spans="2:15" x14ac:dyDescent="0.25">
      <c r="B81" s="57"/>
      <c r="C81" s="78" t="str">
        <f>MD_prices!C69</f>
        <v>December-2016</v>
      </c>
      <c r="D81" s="79" t="str">
        <f>MD_prices!D69</f>
        <v>MD</v>
      </c>
      <c r="E81" s="80" t="str">
        <f>MD_prices!E69</f>
        <v>BGE</v>
      </c>
      <c r="F81" s="79" t="str">
        <f>MD_prices!F69</f>
        <v>GL</v>
      </c>
      <c r="G81" s="80" t="str">
        <f>MD_prices!G69</f>
        <v>General Service Large</v>
      </c>
      <c r="H81" s="81" t="str">
        <f t="shared" ref="H81" si="64">IF($M$2="Prices in $/MWh","100-500 MWh","100,000-500,000 kWh")</f>
        <v>100-500 MWh</v>
      </c>
      <c r="I81" s="80">
        <f>(MD_prices!I69+$D$2)*IF($M$2="Prices in $/MWh",1,1/1000)</f>
        <v>82.8</v>
      </c>
      <c r="J81" s="79">
        <f>(MD_prices!J69+$D$2)*IF($M$2="Prices in $/MWh",1,1/1000)</f>
        <v>83.79</v>
      </c>
      <c r="K81" s="80">
        <f>(MD_prices!K69+$D$2)*IF($M$2="Prices in $/MWh",1,1/1000)</f>
        <v>82.61</v>
      </c>
      <c r="L81" s="79">
        <f>(MD_prices!L69+$D$2)*IF($M$2="Prices in $/MWh",1,1/1000)</f>
        <v>36.04</v>
      </c>
      <c r="M81" s="80">
        <f>(MD_prices!M69+$D$2)*IF($M$2="Prices in $/MWh",1,1/1000)</f>
        <v>36.76</v>
      </c>
      <c r="N81" s="79">
        <f>(MD_prices!N69+$D$2)*IF($M$2="Prices in $/MWh",1,1/1000)</f>
        <v>36.479999999999997</v>
      </c>
      <c r="O81" s="61"/>
    </row>
    <row r="82" spans="2:15" x14ac:dyDescent="0.25">
      <c r="B82" s="57"/>
      <c r="C82" s="82" t="str">
        <f>MD_prices!C70</f>
        <v>December-2016</v>
      </c>
      <c r="D82" s="83" t="str">
        <f>MD_prices!D70</f>
        <v>MD</v>
      </c>
      <c r="E82" s="84" t="str">
        <f>MD_prices!E70</f>
        <v>BGE</v>
      </c>
      <c r="F82" s="83" t="str">
        <f>MD_prices!F70</f>
        <v>GL</v>
      </c>
      <c r="G82" s="84" t="str">
        <f>MD_prices!G70</f>
        <v>General Service Large</v>
      </c>
      <c r="H82" s="85" t="str">
        <f t="shared" ref="H82" si="65">IF($M$2="Prices in $/MWh","500-2500 MWh","500,000-2,500,000 kWh")</f>
        <v>500-2500 MWh</v>
      </c>
      <c r="I82" s="84">
        <f>(MD_prices!I70+$D$2)*IF($M$2="Prices in $/MWh",1,1/1000)</f>
        <v>81.75</v>
      </c>
      <c r="J82" s="83">
        <f>(MD_prices!J70+$D$2)*IF($M$2="Prices in $/MWh",1,1/1000)</f>
        <v>82.74</v>
      </c>
      <c r="K82" s="84">
        <f>(MD_prices!K70+$D$2)*IF($M$2="Prices in $/MWh",1,1/1000)</f>
        <v>81.56</v>
      </c>
      <c r="L82" s="83">
        <f>(MD_prices!L70+$D$2)*IF($M$2="Prices in $/MWh",1,1/1000)</f>
        <v>34.99</v>
      </c>
      <c r="M82" s="84">
        <f>(MD_prices!M70+$D$2)*IF($M$2="Prices in $/MWh",1,1/1000)</f>
        <v>35.71</v>
      </c>
      <c r="N82" s="83">
        <f>(MD_prices!N70+$D$2)*IF($M$2="Prices in $/MWh",1,1/1000)</f>
        <v>35.43</v>
      </c>
      <c r="O82" s="61"/>
    </row>
    <row r="83" spans="2:15" x14ac:dyDescent="0.25">
      <c r="B83" s="57"/>
      <c r="C83" s="74" t="str">
        <f>MD_prices!C71</f>
        <v>January-2017</v>
      </c>
      <c r="D83" s="75" t="str">
        <f>MD_prices!D71</f>
        <v>MD</v>
      </c>
      <c r="E83" s="76" t="str">
        <f>MD_prices!E71</f>
        <v>BGE</v>
      </c>
      <c r="F83" s="75" t="str">
        <f>MD_prices!F71</f>
        <v>GL</v>
      </c>
      <c r="G83" s="76" t="str">
        <f>MD_prices!G71</f>
        <v>General Service Large</v>
      </c>
      <c r="H83" s="77" t="str">
        <f t="shared" ref="H83" si="66">IF($M$2="Prices in $/MWh","0-100 MWh","0-100,000 kWh")</f>
        <v>0-100 MWh</v>
      </c>
      <c r="I83" s="76">
        <f>(MD_prices!I71+$D$2)*IF($M$2="Prices in $/MWh",1,1/1000)</f>
        <v>84.22</v>
      </c>
      <c r="J83" s="75">
        <f>(MD_prices!J71+$D$2)*IF($M$2="Prices in $/MWh",1,1/1000)</f>
        <v>85.25</v>
      </c>
      <c r="K83" s="76">
        <f>(MD_prices!K71+$D$2)*IF($M$2="Prices in $/MWh",1,1/1000)</f>
        <v>84.21</v>
      </c>
      <c r="L83" s="75">
        <f>(MD_prices!L71+$D$2)*IF($M$2="Prices in $/MWh",1,1/1000)</f>
        <v>37.61</v>
      </c>
      <c r="M83" s="76">
        <f>(MD_prices!M71+$D$2)*IF($M$2="Prices in $/MWh",1,1/1000)</f>
        <v>38.33</v>
      </c>
      <c r="N83" s="75">
        <f>(MD_prices!N71+$D$2)*IF($M$2="Prices in $/MWh",1,1/1000)</f>
        <v>38.14</v>
      </c>
      <c r="O83" s="61"/>
    </row>
    <row r="84" spans="2:15" x14ac:dyDescent="0.25">
      <c r="B84" s="57"/>
      <c r="C84" s="78" t="str">
        <f>MD_prices!C72</f>
        <v>January-2017</v>
      </c>
      <c r="D84" s="79" t="str">
        <f>MD_prices!D72</f>
        <v>MD</v>
      </c>
      <c r="E84" s="80" t="str">
        <f>MD_prices!E72</f>
        <v>BGE</v>
      </c>
      <c r="F84" s="79" t="str">
        <f>MD_prices!F72</f>
        <v>GL</v>
      </c>
      <c r="G84" s="80" t="str">
        <f>MD_prices!G72</f>
        <v>General Service Large</v>
      </c>
      <c r="H84" s="81" t="str">
        <f t="shared" ref="H84" si="67">IF($M$2="Prices in $/MWh","100-500 MWh","100,000-500,000 kWh")</f>
        <v>100-500 MWh</v>
      </c>
      <c r="I84" s="80">
        <f>(MD_prices!I72+$D$2)*IF($M$2="Prices in $/MWh",1,1/1000)</f>
        <v>82.62</v>
      </c>
      <c r="J84" s="79">
        <f>(MD_prices!J72+$D$2)*IF($M$2="Prices in $/MWh",1,1/1000)</f>
        <v>83.65</v>
      </c>
      <c r="K84" s="80">
        <f>(MD_prices!K72+$D$2)*IF($M$2="Prices in $/MWh",1,1/1000)</f>
        <v>82.61</v>
      </c>
      <c r="L84" s="79">
        <f>(MD_prices!L72+$D$2)*IF($M$2="Prices in $/MWh",1,1/1000)</f>
        <v>36.01</v>
      </c>
      <c r="M84" s="80">
        <f>(MD_prices!M72+$D$2)*IF($M$2="Prices in $/MWh",1,1/1000)</f>
        <v>36.729999999999997</v>
      </c>
      <c r="N84" s="79">
        <f>(MD_prices!N72+$D$2)*IF($M$2="Prices in $/MWh",1,1/1000)</f>
        <v>36.54</v>
      </c>
      <c r="O84" s="61"/>
    </row>
    <row r="85" spans="2:15" x14ac:dyDescent="0.25">
      <c r="B85" s="57"/>
      <c r="C85" s="82" t="str">
        <f>MD_prices!C73</f>
        <v>January-2017</v>
      </c>
      <c r="D85" s="83" t="str">
        <f>MD_prices!D73</f>
        <v>MD</v>
      </c>
      <c r="E85" s="84" t="str">
        <f>MD_prices!E73</f>
        <v>BGE</v>
      </c>
      <c r="F85" s="83" t="str">
        <f>MD_prices!F73</f>
        <v>GL</v>
      </c>
      <c r="G85" s="84" t="str">
        <f>MD_prices!G73</f>
        <v>General Service Large</v>
      </c>
      <c r="H85" s="85" t="str">
        <f t="shared" ref="H85" si="68">IF($M$2="Prices in $/MWh","500-2500 MWh","500,000-2,500,000 kWh")</f>
        <v>500-2500 MWh</v>
      </c>
      <c r="I85" s="84">
        <f>(MD_prices!I73+$D$2)*IF($M$2="Prices in $/MWh",1,1/1000)</f>
        <v>81.569999999999993</v>
      </c>
      <c r="J85" s="83">
        <f>(MD_prices!J73+$D$2)*IF($M$2="Prices in $/MWh",1,1/1000)</f>
        <v>82.6</v>
      </c>
      <c r="K85" s="84">
        <f>(MD_prices!K73+$D$2)*IF($M$2="Prices in $/MWh",1,1/1000)</f>
        <v>81.56</v>
      </c>
      <c r="L85" s="83">
        <f>(MD_prices!L73+$D$2)*IF($M$2="Prices in $/MWh",1,1/1000)</f>
        <v>34.96</v>
      </c>
      <c r="M85" s="84">
        <f>(MD_prices!M73+$D$2)*IF($M$2="Prices in $/MWh",1,1/1000)</f>
        <v>35.68</v>
      </c>
      <c r="N85" s="83">
        <f>(MD_prices!N73+$D$2)*IF($M$2="Prices in $/MWh",1,1/1000)</f>
        <v>35.49</v>
      </c>
      <c r="O85" s="61"/>
    </row>
    <row r="86" spans="2:15" x14ac:dyDescent="0.25">
      <c r="B86" s="57"/>
      <c r="C86" s="74" t="str">
        <f>MD_prices!C74</f>
        <v>February-2016</v>
      </c>
      <c r="D86" s="75" t="str">
        <f>MD_prices!D74</f>
        <v>MD</v>
      </c>
      <c r="E86" s="76" t="str">
        <f>MD_prices!E74</f>
        <v>BGE</v>
      </c>
      <c r="F86" s="75" t="str">
        <f>MD_prices!F74</f>
        <v>GS</v>
      </c>
      <c r="G86" s="76" t="str">
        <f>MD_prices!G74</f>
        <v>General Service Small</v>
      </c>
      <c r="H86" s="77" t="str">
        <f t="shared" ref="H86" si="69">IF($M$2="Prices in $/MWh","0-100 MWh","0-100,000 kWh")</f>
        <v>0-100 MWh</v>
      </c>
      <c r="I86" s="76">
        <f>(MD_prices!I74+$D$2)*IF($M$2="Prices in $/MWh",1,1/1000)</f>
        <v>83.78</v>
      </c>
      <c r="J86" s="75">
        <f>(MD_prices!J74+$D$2)*IF($M$2="Prices in $/MWh",1,1/1000)</f>
        <v>84.51</v>
      </c>
      <c r="K86" s="76">
        <f>(MD_prices!K74+$D$2)*IF($M$2="Prices in $/MWh",1,1/1000)</f>
        <v>83.58</v>
      </c>
      <c r="L86" s="75">
        <f>(MD_prices!L74+$D$2)*IF($M$2="Prices in $/MWh",1,1/1000)</f>
        <v>38.729999999999997</v>
      </c>
      <c r="M86" s="76">
        <f>(MD_prices!M74+$D$2)*IF($M$2="Prices in $/MWh",1,1/1000)</f>
        <v>39</v>
      </c>
      <c r="N86" s="75">
        <f>(MD_prices!N74+$D$2)*IF($M$2="Prices in $/MWh",1,1/1000)</f>
        <v>38.64</v>
      </c>
      <c r="O86" s="61"/>
    </row>
    <row r="87" spans="2:15" x14ac:dyDescent="0.25">
      <c r="B87" s="57"/>
      <c r="C87" s="78" t="str">
        <f>MD_prices!C75</f>
        <v>February-2016</v>
      </c>
      <c r="D87" s="79" t="str">
        <f>MD_prices!D75</f>
        <v>MD</v>
      </c>
      <c r="E87" s="80" t="str">
        <f>MD_prices!E75</f>
        <v>BGE</v>
      </c>
      <c r="F87" s="79" t="str">
        <f>MD_prices!F75</f>
        <v>GS</v>
      </c>
      <c r="G87" s="80" t="str">
        <f>MD_prices!G75</f>
        <v>General Service Small</v>
      </c>
      <c r="H87" s="81" t="str">
        <f t="shared" ref="H87" si="70">IF($M$2="Prices in $/MWh","100-500 MWh","100,000-500,000 kWh")</f>
        <v>100-500 MWh</v>
      </c>
      <c r="I87" s="80">
        <f>(MD_prices!I75+$D$2)*IF($M$2="Prices in $/MWh",1,1/1000)</f>
        <v>82.18</v>
      </c>
      <c r="J87" s="79">
        <f>(MD_prices!J75+$D$2)*IF($M$2="Prices in $/MWh",1,1/1000)</f>
        <v>82.91</v>
      </c>
      <c r="K87" s="80">
        <f>(MD_prices!K75+$D$2)*IF($M$2="Prices in $/MWh",1,1/1000)</f>
        <v>81.98</v>
      </c>
      <c r="L87" s="79">
        <f>(MD_prices!L75+$D$2)*IF($M$2="Prices in $/MWh",1,1/1000)</f>
        <v>37.130000000000003</v>
      </c>
      <c r="M87" s="80">
        <f>(MD_prices!M75+$D$2)*IF($M$2="Prices in $/MWh",1,1/1000)</f>
        <v>37.4</v>
      </c>
      <c r="N87" s="79">
        <f>(MD_prices!N75+$D$2)*IF($M$2="Prices in $/MWh",1,1/1000)</f>
        <v>37.04</v>
      </c>
      <c r="O87" s="61"/>
    </row>
    <row r="88" spans="2:15" x14ac:dyDescent="0.25">
      <c r="B88" s="57"/>
      <c r="C88" s="82" t="str">
        <f>MD_prices!C76</f>
        <v>February-2016</v>
      </c>
      <c r="D88" s="83" t="str">
        <f>MD_prices!D76</f>
        <v>MD</v>
      </c>
      <c r="E88" s="84" t="str">
        <f>MD_prices!E76</f>
        <v>BGE</v>
      </c>
      <c r="F88" s="83" t="str">
        <f>MD_prices!F76</f>
        <v>GS</v>
      </c>
      <c r="G88" s="84" t="str">
        <f>MD_prices!G76</f>
        <v>General Service Small</v>
      </c>
      <c r="H88" s="85" t="str">
        <f t="shared" ref="H88" si="71">IF($M$2="Prices in $/MWh","500-2500 MWh","500,000-2,500,000 kWh")</f>
        <v>500-2500 MWh</v>
      </c>
      <c r="I88" s="84">
        <f>(MD_prices!I76+$D$2)*IF($M$2="Prices in $/MWh",1,1/1000)</f>
        <v>81.13</v>
      </c>
      <c r="J88" s="83">
        <f>(MD_prices!J76+$D$2)*IF($M$2="Prices in $/MWh",1,1/1000)</f>
        <v>81.86</v>
      </c>
      <c r="K88" s="84">
        <f>(MD_prices!K76+$D$2)*IF($M$2="Prices in $/MWh",1,1/1000)</f>
        <v>80.930000000000007</v>
      </c>
      <c r="L88" s="83">
        <f>(MD_prices!L76+$D$2)*IF($M$2="Prices in $/MWh",1,1/1000)</f>
        <v>36.08</v>
      </c>
      <c r="M88" s="84">
        <f>(MD_prices!M76+$D$2)*IF($M$2="Prices in $/MWh",1,1/1000)</f>
        <v>36.35</v>
      </c>
      <c r="N88" s="83">
        <f>(MD_prices!N76+$D$2)*IF($M$2="Prices in $/MWh",1,1/1000)</f>
        <v>35.99</v>
      </c>
      <c r="O88" s="61"/>
    </row>
    <row r="89" spans="2:15" x14ac:dyDescent="0.25">
      <c r="B89" s="57"/>
      <c r="C89" s="74" t="str">
        <f>MD_prices!C77</f>
        <v>March-2016</v>
      </c>
      <c r="D89" s="75" t="str">
        <f>MD_prices!D77</f>
        <v>MD</v>
      </c>
      <c r="E89" s="76" t="str">
        <f>MD_prices!E77</f>
        <v>BGE</v>
      </c>
      <c r="F89" s="75" t="str">
        <f>MD_prices!F77</f>
        <v>GS</v>
      </c>
      <c r="G89" s="76" t="str">
        <f>MD_prices!G77</f>
        <v>General Service Small</v>
      </c>
      <c r="H89" s="77" t="str">
        <f t="shared" ref="H89" si="72">IF($M$2="Prices in $/MWh","0-100 MWh","0-100,000 kWh")</f>
        <v>0-100 MWh</v>
      </c>
      <c r="I89" s="76">
        <f>(MD_prices!I77+$D$2)*IF($M$2="Prices in $/MWh",1,1/1000)</f>
        <v>84.3</v>
      </c>
      <c r="J89" s="75">
        <f>(MD_prices!J77+$D$2)*IF($M$2="Prices in $/MWh",1,1/1000)</f>
        <v>84.16</v>
      </c>
      <c r="K89" s="76">
        <f>(MD_prices!K77+$D$2)*IF($M$2="Prices in $/MWh",1,1/1000)</f>
        <v>83.85</v>
      </c>
      <c r="L89" s="75">
        <f>(MD_prices!L77+$D$2)*IF($M$2="Prices in $/MWh",1,1/1000)</f>
        <v>38.76</v>
      </c>
      <c r="M89" s="76">
        <f>(MD_prices!M77+$D$2)*IF($M$2="Prices in $/MWh",1,1/1000)</f>
        <v>38.75</v>
      </c>
      <c r="N89" s="75">
        <f>(MD_prices!N77+$D$2)*IF($M$2="Prices in $/MWh",1,1/1000)</f>
        <v>38.67</v>
      </c>
      <c r="O89" s="61"/>
    </row>
    <row r="90" spans="2:15" x14ac:dyDescent="0.25">
      <c r="B90" s="57"/>
      <c r="C90" s="78" t="str">
        <f>MD_prices!C78</f>
        <v>March-2016</v>
      </c>
      <c r="D90" s="79" t="str">
        <f>MD_prices!D78</f>
        <v>MD</v>
      </c>
      <c r="E90" s="80" t="str">
        <f>MD_prices!E78</f>
        <v>BGE</v>
      </c>
      <c r="F90" s="79" t="str">
        <f>MD_prices!F78</f>
        <v>GS</v>
      </c>
      <c r="G90" s="80" t="str">
        <f>MD_prices!G78</f>
        <v>General Service Small</v>
      </c>
      <c r="H90" s="81" t="str">
        <f t="shared" ref="H90" si="73">IF($M$2="Prices in $/MWh","100-500 MWh","100,000-500,000 kWh")</f>
        <v>100-500 MWh</v>
      </c>
      <c r="I90" s="80">
        <f>(MD_prices!I78+$D$2)*IF($M$2="Prices in $/MWh",1,1/1000)</f>
        <v>82.7</v>
      </c>
      <c r="J90" s="79">
        <f>(MD_prices!J78+$D$2)*IF($M$2="Prices in $/MWh",1,1/1000)</f>
        <v>82.56</v>
      </c>
      <c r="K90" s="80">
        <f>(MD_prices!K78+$D$2)*IF($M$2="Prices in $/MWh",1,1/1000)</f>
        <v>82.25</v>
      </c>
      <c r="L90" s="79">
        <f>(MD_prices!L78+$D$2)*IF($M$2="Prices in $/MWh",1,1/1000)</f>
        <v>37.159999999999997</v>
      </c>
      <c r="M90" s="80">
        <f>(MD_prices!M78+$D$2)*IF($M$2="Prices in $/MWh",1,1/1000)</f>
        <v>37.15</v>
      </c>
      <c r="N90" s="79">
        <f>(MD_prices!N78+$D$2)*IF($M$2="Prices in $/MWh",1,1/1000)</f>
        <v>37.07</v>
      </c>
      <c r="O90" s="61"/>
    </row>
    <row r="91" spans="2:15" x14ac:dyDescent="0.25">
      <c r="B91" s="57"/>
      <c r="C91" s="82" t="str">
        <f>MD_prices!C79</f>
        <v>March-2016</v>
      </c>
      <c r="D91" s="83" t="str">
        <f>MD_prices!D79</f>
        <v>MD</v>
      </c>
      <c r="E91" s="84" t="str">
        <f>MD_prices!E79</f>
        <v>BGE</v>
      </c>
      <c r="F91" s="83" t="str">
        <f>MD_prices!F79</f>
        <v>GS</v>
      </c>
      <c r="G91" s="84" t="str">
        <f>MD_prices!G79</f>
        <v>General Service Small</v>
      </c>
      <c r="H91" s="85" t="str">
        <f t="shared" ref="H91" si="74">IF($M$2="Prices in $/MWh","500-2500 MWh","500,000-2,500,000 kWh")</f>
        <v>500-2500 MWh</v>
      </c>
      <c r="I91" s="84">
        <f>(MD_prices!I79+$D$2)*IF($M$2="Prices in $/MWh",1,1/1000)</f>
        <v>81.650000000000006</v>
      </c>
      <c r="J91" s="83">
        <f>(MD_prices!J79+$D$2)*IF($M$2="Prices in $/MWh",1,1/1000)</f>
        <v>81.510000000000005</v>
      </c>
      <c r="K91" s="84">
        <f>(MD_prices!K79+$D$2)*IF($M$2="Prices in $/MWh",1,1/1000)</f>
        <v>81.2</v>
      </c>
      <c r="L91" s="83">
        <f>(MD_prices!L79+$D$2)*IF($M$2="Prices in $/MWh",1,1/1000)</f>
        <v>36.11</v>
      </c>
      <c r="M91" s="84">
        <f>(MD_prices!M79+$D$2)*IF($M$2="Prices in $/MWh",1,1/1000)</f>
        <v>36.1</v>
      </c>
      <c r="N91" s="83">
        <f>(MD_prices!N79+$D$2)*IF($M$2="Prices in $/MWh",1,1/1000)</f>
        <v>36.020000000000003</v>
      </c>
      <c r="O91" s="61"/>
    </row>
    <row r="92" spans="2:15" x14ac:dyDescent="0.25">
      <c r="B92" s="57"/>
      <c r="C92" s="74" t="str">
        <f>MD_prices!C80</f>
        <v>April-2016</v>
      </c>
      <c r="D92" s="75" t="str">
        <f>MD_prices!D80</f>
        <v>MD</v>
      </c>
      <c r="E92" s="76" t="str">
        <f>MD_prices!E80</f>
        <v>BGE</v>
      </c>
      <c r="F92" s="75" t="str">
        <f>MD_prices!F80</f>
        <v>GS</v>
      </c>
      <c r="G92" s="76" t="str">
        <f>MD_prices!G80</f>
        <v>General Service Small</v>
      </c>
      <c r="H92" s="77" t="str">
        <f t="shared" ref="H92" si="75">IF($M$2="Prices in $/MWh","0-100 MWh","0-100,000 kWh")</f>
        <v>0-100 MWh</v>
      </c>
      <c r="I92" s="76">
        <f>(MD_prices!I80+$D$2)*IF($M$2="Prices in $/MWh",1,1/1000)</f>
        <v>84.42</v>
      </c>
      <c r="J92" s="75">
        <f>(MD_prices!J80+$D$2)*IF($M$2="Prices in $/MWh",1,1/1000)</f>
        <v>83.55</v>
      </c>
      <c r="K92" s="76">
        <f>(MD_prices!K80+$D$2)*IF($M$2="Prices in $/MWh",1,1/1000)</f>
        <v>83.81</v>
      </c>
      <c r="L92" s="75">
        <f>(MD_prices!L80+$D$2)*IF($M$2="Prices in $/MWh",1,1/1000)</f>
        <v>38.770000000000003</v>
      </c>
      <c r="M92" s="76">
        <f>(MD_prices!M80+$D$2)*IF($M$2="Prices in $/MWh",1,1/1000)</f>
        <v>38.51</v>
      </c>
      <c r="N92" s="75">
        <f>(MD_prices!N80+$D$2)*IF($M$2="Prices in $/MWh",1,1/1000)</f>
        <v>38.68</v>
      </c>
      <c r="O92" s="61"/>
    </row>
    <row r="93" spans="2:15" x14ac:dyDescent="0.25">
      <c r="B93" s="57"/>
      <c r="C93" s="78" t="str">
        <f>MD_prices!C81</f>
        <v>April-2016</v>
      </c>
      <c r="D93" s="79" t="str">
        <f>MD_prices!D81</f>
        <v>MD</v>
      </c>
      <c r="E93" s="80" t="str">
        <f>MD_prices!E81</f>
        <v>BGE</v>
      </c>
      <c r="F93" s="79" t="str">
        <f>MD_prices!F81</f>
        <v>GS</v>
      </c>
      <c r="G93" s="80" t="str">
        <f>MD_prices!G81</f>
        <v>General Service Small</v>
      </c>
      <c r="H93" s="81" t="str">
        <f t="shared" ref="H93" si="76">IF($M$2="Prices in $/MWh","100-500 MWh","100,000-500,000 kWh")</f>
        <v>100-500 MWh</v>
      </c>
      <c r="I93" s="80">
        <f>(MD_prices!I81+$D$2)*IF($M$2="Prices in $/MWh",1,1/1000)</f>
        <v>82.82</v>
      </c>
      <c r="J93" s="79">
        <f>(MD_prices!J81+$D$2)*IF($M$2="Prices in $/MWh",1,1/1000)</f>
        <v>81.95</v>
      </c>
      <c r="K93" s="80">
        <f>(MD_prices!K81+$D$2)*IF($M$2="Prices in $/MWh",1,1/1000)</f>
        <v>82.21</v>
      </c>
      <c r="L93" s="79">
        <f>(MD_prices!L81+$D$2)*IF($M$2="Prices in $/MWh",1,1/1000)</f>
        <v>37.17</v>
      </c>
      <c r="M93" s="80">
        <f>(MD_prices!M81+$D$2)*IF($M$2="Prices in $/MWh",1,1/1000)</f>
        <v>36.909999999999997</v>
      </c>
      <c r="N93" s="79">
        <f>(MD_prices!N81+$D$2)*IF($M$2="Prices in $/MWh",1,1/1000)</f>
        <v>37.08</v>
      </c>
      <c r="O93" s="61"/>
    </row>
    <row r="94" spans="2:15" x14ac:dyDescent="0.25">
      <c r="B94" s="57"/>
      <c r="C94" s="82" t="str">
        <f>MD_prices!C82</f>
        <v>April-2016</v>
      </c>
      <c r="D94" s="83" t="str">
        <f>MD_prices!D82</f>
        <v>MD</v>
      </c>
      <c r="E94" s="84" t="str">
        <f>MD_prices!E82</f>
        <v>BGE</v>
      </c>
      <c r="F94" s="83" t="str">
        <f>MD_prices!F82</f>
        <v>GS</v>
      </c>
      <c r="G94" s="84" t="str">
        <f>MD_prices!G82</f>
        <v>General Service Small</v>
      </c>
      <c r="H94" s="85" t="str">
        <f t="shared" ref="H94" si="77">IF($M$2="Prices in $/MWh","500-2500 MWh","500,000-2,500,000 kWh")</f>
        <v>500-2500 MWh</v>
      </c>
      <c r="I94" s="84">
        <f>(MD_prices!I82+$D$2)*IF($M$2="Prices in $/MWh",1,1/1000)</f>
        <v>81.77</v>
      </c>
      <c r="J94" s="83">
        <f>(MD_prices!J82+$D$2)*IF($M$2="Prices in $/MWh",1,1/1000)</f>
        <v>80.900000000000006</v>
      </c>
      <c r="K94" s="84">
        <f>(MD_prices!K82+$D$2)*IF($M$2="Prices in $/MWh",1,1/1000)</f>
        <v>81.16</v>
      </c>
      <c r="L94" s="83">
        <f>(MD_prices!L82+$D$2)*IF($M$2="Prices in $/MWh",1,1/1000)</f>
        <v>36.119999999999997</v>
      </c>
      <c r="M94" s="84">
        <f>(MD_prices!M82+$D$2)*IF($M$2="Prices in $/MWh",1,1/1000)</f>
        <v>35.86</v>
      </c>
      <c r="N94" s="83">
        <f>(MD_prices!N82+$D$2)*IF($M$2="Prices in $/MWh",1,1/1000)</f>
        <v>36.03</v>
      </c>
      <c r="O94" s="61"/>
    </row>
    <row r="95" spans="2:15" x14ac:dyDescent="0.25">
      <c r="B95" s="57"/>
      <c r="C95" s="74" t="str">
        <f>MD_prices!C83</f>
        <v>May-2016</v>
      </c>
      <c r="D95" s="75" t="str">
        <f>MD_prices!D83</f>
        <v>MD</v>
      </c>
      <c r="E95" s="76" t="str">
        <f>MD_prices!E83</f>
        <v>BGE</v>
      </c>
      <c r="F95" s="75" t="str">
        <f>MD_prices!F83</f>
        <v>GS</v>
      </c>
      <c r="G95" s="76" t="str">
        <f>MD_prices!G83</f>
        <v>General Service Small</v>
      </c>
      <c r="H95" s="77" t="str">
        <f t="shared" ref="H95" si="78">IF($M$2="Prices in $/MWh","0-100 MWh","0-100,000 kWh")</f>
        <v>0-100 MWh</v>
      </c>
      <c r="I95" s="76">
        <f>(MD_prices!I83+$D$2)*IF($M$2="Prices in $/MWh",1,1/1000)</f>
        <v>84.5</v>
      </c>
      <c r="J95" s="75">
        <f>(MD_prices!J83+$D$2)*IF($M$2="Prices in $/MWh",1,1/1000)</f>
        <v>83.13</v>
      </c>
      <c r="K95" s="76">
        <f>(MD_prices!K83+$D$2)*IF($M$2="Prices in $/MWh",1,1/1000)</f>
        <v>83.75</v>
      </c>
      <c r="L95" s="75">
        <f>(MD_prices!L83+$D$2)*IF($M$2="Prices in $/MWh",1,1/1000)</f>
        <v>38.78</v>
      </c>
      <c r="M95" s="76">
        <f>(MD_prices!M83+$D$2)*IF($M$2="Prices in $/MWh",1,1/1000)</f>
        <v>38.35</v>
      </c>
      <c r="N95" s="75">
        <f>(MD_prices!N83+$D$2)*IF($M$2="Prices in $/MWh",1,1/1000)</f>
        <v>38.69</v>
      </c>
      <c r="O95" s="61"/>
    </row>
    <row r="96" spans="2:15" x14ac:dyDescent="0.25">
      <c r="B96" s="57"/>
      <c r="C96" s="78" t="str">
        <f>MD_prices!C84</f>
        <v>May-2016</v>
      </c>
      <c r="D96" s="79" t="str">
        <f>MD_prices!D84</f>
        <v>MD</v>
      </c>
      <c r="E96" s="80" t="str">
        <f>MD_prices!E84</f>
        <v>BGE</v>
      </c>
      <c r="F96" s="79" t="str">
        <f>MD_prices!F84</f>
        <v>GS</v>
      </c>
      <c r="G96" s="80" t="str">
        <f>MD_prices!G84</f>
        <v>General Service Small</v>
      </c>
      <c r="H96" s="81" t="str">
        <f t="shared" ref="H96" si="79">IF($M$2="Prices in $/MWh","100-500 MWh","100,000-500,000 kWh")</f>
        <v>100-500 MWh</v>
      </c>
      <c r="I96" s="80">
        <f>(MD_prices!I84+$D$2)*IF($M$2="Prices in $/MWh",1,1/1000)</f>
        <v>82.9</v>
      </c>
      <c r="J96" s="79">
        <f>(MD_prices!J84+$D$2)*IF($M$2="Prices in $/MWh",1,1/1000)</f>
        <v>81.53</v>
      </c>
      <c r="K96" s="80">
        <f>(MD_prices!K84+$D$2)*IF($M$2="Prices in $/MWh",1,1/1000)</f>
        <v>82.15</v>
      </c>
      <c r="L96" s="79">
        <f>(MD_prices!L84+$D$2)*IF($M$2="Prices in $/MWh",1,1/1000)</f>
        <v>37.18</v>
      </c>
      <c r="M96" s="80">
        <f>(MD_prices!M84+$D$2)*IF($M$2="Prices in $/MWh",1,1/1000)</f>
        <v>36.75</v>
      </c>
      <c r="N96" s="79">
        <f>(MD_prices!N84+$D$2)*IF($M$2="Prices in $/MWh",1,1/1000)</f>
        <v>37.090000000000003</v>
      </c>
      <c r="O96" s="61"/>
    </row>
    <row r="97" spans="2:15" x14ac:dyDescent="0.25">
      <c r="B97" s="57"/>
      <c r="C97" s="82" t="str">
        <f>MD_prices!C85</f>
        <v>May-2016</v>
      </c>
      <c r="D97" s="83" t="str">
        <f>MD_prices!D85</f>
        <v>MD</v>
      </c>
      <c r="E97" s="84" t="str">
        <f>MD_prices!E85</f>
        <v>BGE</v>
      </c>
      <c r="F97" s="83" t="str">
        <f>MD_prices!F85</f>
        <v>GS</v>
      </c>
      <c r="G97" s="84" t="str">
        <f>MD_prices!G85</f>
        <v>General Service Small</v>
      </c>
      <c r="H97" s="85" t="str">
        <f t="shared" ref="H97" si="80">IF($M$2="Prices in $/MWh","500-2500 MWh","500,000-2,500,000 kWh")</f>
        <v>500-2500 MWh</v>
      </c>
      <c r="I97" s="84">
        <f>(MD_prices!I85+$D$2)*IF($M$2="Prices in $/MWh",1,1/1000)</f>
        <v>81.849999999999994</v>
      </c>
      <c r="J97" s="83">
        <f>(MD_prices!J85+$D$2)*IF($M$2="Prices in $/MWh",1,1/1000)</f>
        <v>80.48</v>
      </c>
      <c r="K97" s="84">
        <f>(MD_prices!K85+$D$2)*IF($M$2="Prices in $/MWh",1,1/1000)</f>
        <v>81.099999999999994</v>
      </c>
      <c r="L97" s="83">
        <f>(MD_prices!L85+$D$2)*IF($M$2="Prices in $/MWh",1,1/1000)</f>
        <v>36.130000000000003</v>
      </c>
      <c r="M97" s="84">
        <f>(MD_prices!M85+$D$2)*IF($M$2="Prices in $/MWh",1,1/1000)</f>
        <v>35.700000000000003</v>
      </c>
      <c r="N97" s="83">
        <f>(MD_prices!N85+$D$2)*IF($M$2="Prices in $/MWh",1,1/1000)</f>
        <v>36.04</v>
      </c>
      <c r="O97" s="61"/>
    </row>
    <row r="98" spans="2:15" x14ac:dyDescent="0.25">
      <c r="B98" s="57"/>
      <c r="C98" s="74" t="str">
        <f>MD_prices!C86</f>
        <v>June-2016</v>
      </c>
      <c r="D98" s="75" t="str">
        <f>MD_prices!D86</f>
        <v>MD</v>
      </c>
      <c r="E98" s="76" t="str">
        <f>MD_prices!E86</f>
        <v>BGE</v>
      </c>
      <c r="F98" s="75" t="str">
        <f>MD_prices!F86</f>
        <v>GS</v>
      </c>
      <c r="G98" s="76" t="str">
        <f>MD_prices!G86</f>
        <v>General Service Small</v>
      </c>
      <c r="H98" s="77" t="str">
        <f t="shared" ref="H98" si="81">IF($M$2="Prices in $/MWh","0-100 MWh","0-100,000 kWh")</f>
        <v>0-100 MWh</v>
      </c>
      <c r="I98" s="76">
        <f>(MD_prices!I86+$D$2)*IF($M$2="Prices in $/MWh",1,1/1000)</f>
        <v>84.49</v>
      </c>
      <c r="J98" s="75">
        <f>(MD_prices!J86+$D$2)*IF($M$2="Prices in $/MWh",1,1/1000)</f>
        <v>82.71</v>
      </c>
      <c r="K98" s="76">
        <f>(MD_prices!K86+$D$2)*IF($M$2="Prices in $/MWh",1,1/1000)</f>
        <v>83.67</v>
      </c>
      <c r="L98" s="75">
        <f>(MD_prices!L86+$D$2)*IF($M$2="Prices in $/MWh",1,1/1000)</f>
        <v>38.770000000000003</v>
      </c>
      <c r="M98" s="76">
        <f>(MD_prices!M86+$D$2)*IF($M$2="Prices in $/MWh",1,1/1000)</f>
        <v>38.14</v>
      </c>
      <c r="N98" s="75">
        <f>(MD_prices!N86+$D$2)*IF($M$2="Prices in $/MWh",1,1/1000)</f>
        <v>38.69</v>
      </c>
      <c r="O98" s="61"/>
    </row>
    <row r="99" spans="2:15" x14ac:dyDescent="0.25">
      <c r="B99" s="57"/>
      <c r="C99" s="78" t="str">
        <f>MD_prices!C87</f>
        <v>June-2016</v>
      </c>
      <c r="D99" s="79" t="str">
        <f>MD_prices!D87</f>
        <v>MD</v>
      </c>
      <c r="E99" s="80" t="str">
        <f>MD_prices!E87</f>
        <v>BGE</v>
      </c>
      <c r="F99" s="79" t="str">
        <f>MD_prices!F87</f>
        <v>GS</v>
      </c>
      <c r="G99" s="80" t="str">
        <f>MD_prices!G87</f>
        <v>General Service Small</v>
      </c>
      <c r="H99" s="81" t="str">
        <f t="shared" ref="H99" si="82">IF($M$2="Prices in $/MWh","100-500 MWh","100,000-500,000 kWh")</f>
        <v>100-500 MWh</v>
      </c>
      <c r="I99" s="80">
        <f>(MD_prices!I87+$D$2)*IF($M$2="Prices in $/MWh",1,1/1000)</f>
        <v>82.89</v>
      </c>
      <c r="J99" s="79">
        <f>(MD_prices!J87+$D$2)*IF($M$2="Prices in $/MWh",1,1/1000)</f>
        <v>81.11</v>
      </c>
      <c r="K99" s="80">
        <f>(MD_prices!K87+$D$2)*IF($M$2="Prices in $/MWh",1,1/1000)</f>
        <v>82.07</v>
      </c>
      <c r="L99" s="79">
        <f>(MD_prices!L87+$D$2)*IF($M$2="Prices in $/MWh",1,1/1000)</f>
        <v>37.17</v>
      </c>
      <c r="M99" s="80">
        <f>(MD_prices!M87+$D$2)*IF($M$2="Prices in $/MWh",1,1/1000)</f>
        <v>36.54</v>
      </c>
      <c r="N99" s="79">
        <f>(MD_prices!N87+$D$2)*IF($M$2="Prices in $/MWh",1,1/1000)</f>
        <v>37.090000000000003</v>
      </c>
      <c r="O99" s="61"/>
    </row>
    <row r="100" spans="2:15" x14ac:dyDescent="0.25">
      <c r="B100" s="57"/>
      <c r="C100" s="82" t="str">
        <f>MD_prices!C88</f>
        <v>June-2016</v>
      </c>
      <c r="D100" s="83" t="str">
        <f>MD_prices!D88</f>
        <v>MD</v>
      </c>
      <c r="E100" s="84" t="str">
        <f>MD_prices!E88</f>
        <v>BGE</v>
      </c>
      <c r="F100" s="83" t="str">
        <f>MD_prices!F88</f>
        <v>GS</v>
      </c>
      <c r="G100" s="84" t="str">
        <f>MD_prices!G88</f>
        <v>General Service Small</v>
      </c>
      <c r="H100" s="85" t="str">
        <f t="shared" ref="H100" si="83">IF($M$2="Prices in $/MWh","500-2500 MWh","500,000-2,500,000 kWh")</f>
        <v>500-2500 MWh</v>
      </c>
      <c r="I100" s="84">
        <f>(MD_prices!I88+$D$2)*IF($M$2="Prices in $/MWh",1,1/1000)</f>
        <v>81.84</v>
      </c>
      <c r="J100" s="83">
        <f>(MD_prices!J88+$D$2)*IF($M$2="Prices in $/MWh",1,1/1000)</f>
        <v>80.06</v>
      </c>
      <c r="K100" s="84">
        <f>(MD_prices!K88+$D$2)*IF($M$2="Prices in $/MWh",1,1/1000)</f>
        <v>81.02</v>
      </c>
      <c r="L100" s="83">
        <f>(MD_prices!L88+$D$2)*IF($M$2="Prices in $/MWh",1,1/1000)</f>
        <v>36.119999999999997</v>
      </c>
      <c r="M100" s="84">
        <f>(MD_prices!M88+$D$2)*IF($M$2="Prices in $/MWh",1,1/1000)</f>
        <v>35.49</v>
      </c>
      <c r="N100" s="83">
        <f>(MD_prices!N88+$D$2)*IF($M$2="Prices in $/MWh",1,1/1000)</f>
        <v>36.04</v>
      </c>
      <c r="O100" s="61"/>
    </row>
    <row r="101" spans="2:15" x14ac:dyDescent="0.25">
      <c r="B101" s="57"/>
      <c r="C101" s="74" t="str">
        <f>MD_prices!C89</f>
        <v>July-2016</v>
      </c>
      <c r="D101" s="75" t="str">
        <f>MD_prices!D89</f>
        <v>MD</v>
      </c>
      <c r="E101" s="76" t="str">
        <f>MD_prices!E89</f>
        <v>BGE</v>
      </c>
      <c r="F101" s="75" t="str">
        <f>MD_prices!F89</f>
        <v>GS</v>
      </c>
      <c r="G101" s="76" t="str">
        <f>MD_prices!G89</f>
        <v>General Service Small</v>
      </c>
      <c r="H101" s="77" t="str">
        <f t="shared" ref="H101" si="84">IF($M$2="Prices in $/MWh","0-100 MWh","0-100,000 kWh")</f>
        <v>0-100 MWh</v>
      </c>
      <c r="I101" s="76">
        <f>(MD_prices!I89+$D$2)*IF($M$2="Prices in $/MWh",1,1/1000)</f>
        <v>84.38</v>
      </c>
      <c r="J101" s="75">
        <f>(MD_prices!J89+$D$2)*IF($M$2="Prices in $/MWh",1,1/1000)</f>
        <v>82.49</v>
      </c>
      <c r="K101" s="76">
        <f>(MD_prices!K89+$D$2)*IF($M$2="Prices in $/MWh",1,1/1000)</f>
        <v>83.57</v>
      </c>
      <c r="L101" s="75">
        <f>(MD_prices!L89+$D$2)*IF($M$2="Prices in $/MWh",1,1/1000)</f>
        <v>38.75</v>
      </c>
      <c r="M101" s="76">
        <f>(MD_prices!M89+$D$2)*IF($M$2="Prices in $/MWh",1,1/1000)</f>
        <v>38.1</v>
      </c>
      <c r="N101" s="75">
        <f>(MD_prices!N89+$D$2)*IF($M$2="Prices in $/MWh",1,1/1000)</f>
        <v>38.75</v>
      </c>
      <c r="O101" s="61"/>
    </row>
    <row r="102" spans="2:15" x14ac:dyDescent="0.25">
      <c r="B102" s="57"/>
      <c r="C102" s="78" t="str">
        <f>MD_prices!C90</f>
        <v>July-2016</v>
      </c>
      <c r="D102" s="79" t="str">
        <f>MD_prices!D90</f>
        <v>MD</v>
      </c>
      <c r="E102" s="80" t="str">
        <f>MD_prices!E90</f>
        <v>BGE</v>
      </c>
      <c r="F102" s="79" t="str">
        <f>MD_prices!F90</f>
        <v>GS</v>
      </c>
      <c r="G102" s="80" t="str">
        <f>MD_prices!G90</f>
        <v>General Service Small</v>
      </c>
      <c r="H102" s="81" t="str">
        <f t="shared" ref="H102" si="85">IF($M$2="Prices in $/MWh","100-500 MWh","100,000-500,000 kWh")</f>
        <v>100-500 MWh</v>
      </c>
      <c r="I102" s="80">
        <f>(MD_prices!I90+$D$2)*IF($M$2="Prices in $/MWh",1,1/1000)</f>
        <v>82.78</v>
      </c>
      <c r="J102" s="79">
        <f>(MD_prices!J90+$D$2)*IF($M$2="Prices in $/MWh",1,1/1000)</f>
        <v>80.89</v>
      </c>
      <c r="K102" s="80">
        <f>(MD_prices!K90+$D$2)*IF($M$2="Prices in $/MWh",1,1/1000)</f>
        <v>81.97</v>
      </c>
      <c r="L102" s="79">
        <f>(MD_prices!L90+$D$2)*IF($M$2="Prices in $/MWh",1,1/1000)</f>
        <v>37.15</v>
      </c>
      <c r="M102" s="80">
        <f>(MD_prices!M90+$D$2)*IF($M$2="Prices in $/MWh",1,1/1000)</f>
        <v>36.5</v>
      </c>
      <c r="N102" s="79">
        <f>(MD_prices!N90+$D$2)*IF($M$2="Prices in $/MWh",1,1/1000)</f>
        <v>37.15</v>
      </c>
      <c r="O102" s="61"/>
    </row>
    <row r="103" spans="2:15" x14ac:dyDescent="0.25">
      <c r="B103" s="57"/>
      <c r="C103" s="82" t="str">
        <f>MD_prices!C91</f>
        <v>July-2016</v>
      </c>
      <c r="D103" s="83" t="str">
        <f>MD_prices!D91</f>
        <v>MD</v>
      </c>
      <c r="E103" s="84" t="str">
        <f>MD_prices!E91</f>
        <v>BGE</v>
      </c>
      <c r="F103" s="83" t="str">
        <f>MD_prices!F91</f>
        <v>GS</v>
      </c>
      <c r="G103" s="84" t="str">
        <f>MD_prices!G91</f>
        <v>General Service Small</v>
      </c>
      <c r="H103" s="85" t="str">
        <f t="shared" ref="H103" si="86">IF($M$2="Prices in $/MWh","500-2500 MWh","500,000-2,500,000 kWh")</f>
        <v>500-2500 MWh</v>
      </c>
      <c r="I103" s="84">
        <f>(MD_prices!I91+$D$2)*IF($M$2="Prices in $/MWh",1,1/1000)</f>
        <v>81.73</v>
      </c>
      <c r="J103" s="83">
        <f>(MD_prices!J91+$D$2)*IF($M$2="Prices in $/MWh",1,1/1000)</f>
        <v>79.84</v>
      </c>
      <c r="K103" s="84">
        <f>(MD_prices!K91+$D$2)*IF($M$2="Prices in $/MWh",1,1/1000)</f>
        <v>80.92</v>
      </c>
      <c r="L103" s="83">
        <f>(MD_prices!L91+$D$2)*IF($M$2="Prices in $/MWh",1,1/1000)</f>
        <v>36.1</v>
      </c>
      <c r="M103" s="84">
        <f>(MD_prices!M91+$D$2)*IF($M$2="Prices in $/MWh",1,1/1000)</f>
        <v>35.450000000000003</v>
      </c>
      <c r="N103" s="83">
        <f>(MD_prices!N91+$D$2)*IF($M$2="Prices in $/MWh",1,1/1000)</f>
        <v>36.1</v>
      </c>
      <c r="O103" s="61"/>
    </row>
    <row r="104" spans="2:15" x14ac:dyDescent="0.25">
      <c r="B104" s="57"/>
      <c r="C104" s="74" t="str">
        <f>MD_prices!C92</f>
        <v>August-2016</v>
      </c>
      <c r="D104" s="75" t="str">
        <f>MD_prices!D92</f>
        <v>MD</v>
      </c>
      <c r="E104" s="76" t="str">
        <f>MD_prices!E92</f>
        <v>BGE</v>
      </c>
      <c r="F104" s="75" t="str">
        <f>MD_prices!F92</f>
        <v>GS</v>
      </c>
      <c r="G104" s="76" t="str">
        <f>MD_prices!G92</f>
        <v>General Service Small</v>
      </c>
      <c r="H104" s="77" t="str">
        <f t="shared" ref="H104" si="87">IF($M$2="Prices in $/MWh","0-100 MWh","0-100,000 kWh")</f>
        <v>0-100 MWh</v>
      </c>
      <c r="I104" s="76">
        <f>(MD_prices!I92+$D$2)*IF($M$2="Prices in $/MWh",1,1/1000)</f>
        <v>84.35</v>
      </c>
      <c r="J104" s="75">
        <f>(MD_prices!J92+$D$2)*IF($M$2="Prices in $/MWh",1,1/1000)</f>
        <v>83.18</v>
      </c>
      <c r="K104" s="76">
        <f>(MD_prices!K92+$D$2)*IF($M$2="Prices in $/MWh",1,1/1000)</f>
        <v>83.61</v>
      </c>
      <c r="L104" s="75">
        <f>(MD_prices!L92+$D$2)*IF($M$2="Prices in $/MWh",1,1/1000)</f>
        <v>38.770000000000003</v>
      </c>
      <c r="M104" s="76">
        <f>(MD_prices!M92+$D$2)*IF($M$2="Prices in $/MWh",1,1/1000)</f>
        <v>38.380000000000003</v>
      </c>
      <c r="N104" s="75">
        <f>(MD_prices!N92+$D$2)*IF($M$2="Prices in $/MWh",1,1/1000)</f>
        <v>38.82</v>
      </c>
      <c r="O104" s="61"/>
    </row>
    <row r="105" spans="2:15" x14ac:dyDescent="0.25">
      <c r="B105" s="57"/>
      <c r="C105" s="78" t="str">
        <f>MD_prices!C93</f>
        <v>August-2016</v>
      </c>
      <c r="D105" s="79" t="str">
        <f>MD_prices!D93</f>
        <v>MD</v>
      </c>
      <c r="E105" s="80" t="str">
        <f>MD_prices!E93</f>
        <v>BGE</v>
      </c>
      <c r="F105" s="79" t="str">
        <f>MD_prices!F93</f>
        <v>GS</v>
      </c>
      <c r="G105" s="80" t="str">
        <f>MD_prices!G93</f>
        <v>General Service Small</v>
      </c>
      <c r="H105" s="81" t="str">
        <f t="shared" ref="H105" si="88">IF($M$2="Prices in $/MWh","100-500 MWh","100,000-500,000 kWh")</f>
        <v>100-500 MWh</v>
      </c>
      <c r="I105" s="80">
        <f>(MD_prices!I93+$D$2)*IF($M$2="Prices in $/MWh",1,1/1000)</f>
        <v>82.75</v>
      </c>
      <c r="J105" s="79">
        <f>(MD_prices!J93+$D$2)*IF($M$2="Prices in $/MWh",1,1/1000)</f>
        <v>81.58</v>
      </c>
      <c r="K105" s="80">
        <f>(MD_prices!K93+$D$2)*IF($M$2="Prices in $/MWh",1,1/1000)</f>
        <v>82.01</v>
      </c>
      <c r="L105" s="79">
        <f>(MD_prices!L93+$D$2)*IF($M$2="Prices in $/MWh",1,1/1000)</f>
        <v>37.17</v>
      </c>
      <c r="M105" s="80">
        <f>(MD_prices!M93+$D$2)*IF($M$2="Prices in $/MWh",1,1/1000)</f>
        <v>36.78</v>
      </c>
      <c r="N105" s="79">
        <f>(MD_prices!N93+$D$2)*IF($M$2="Prices in $/MWh",1,1/1000)</f>
        <v>37.22</v>
      </c>
      <c r="O105" s="61"/>
    </row>
    <row r="106" spans="2:15" x14ac:dyDescent="0.25">
      <c r="B106" s="57"/>
      <c r="C106" s="82" t="str">
        <f>MD_prices!C94</f>
        <v>August-2016</v>
      </c>
      <c r="D106" s="83" t="str">
        <f>MD_prices!D94</f>
        <v>MD</v>
      </c>
      <c r="E106" s="84" t="str">
        <f>MD_prices!E94</f>
        <v>BGE</v>
      </c>
      <c r="F106" s="83" t="str">
        <f>MD_prices!F94</f>
        <v>GS</v>
      </c>
      <c r="G106" s="84" t="str">
        <f>MD_prices!G94</f>
        <v>General Service Small</v>
      </c>
      <c r="H106" s="85" t="str">
        <f t="shared" ref="H106" si="89">IF($M$2="Prices in $/MWh","500-2500 MWh","500,000-2,500,000 kWh")</f>
        <v>500-2500 MWh</v>
      </c>
      <c r="I106" s="84">
        <f>(MD_prices!I94+$D$2)*IF($M$2="Prices in $/MWh",1,1/1000)</f>
        <v>81.7</v>
      </c>
      <c r="J106" s="83">
        <f>(MD_prices!J94+$D$2)*IF($M$2="Prices in $/MWh",1,1/1000)</f>
        <v>80.53</v>
      </c>
      <c r="K106" s="84">
        <f>(MD_prices!K94+$D$2)*IF($M$2="Prices in $/MWh",1,1/1000)</f>
        <v>80.959999999999994</v>
      </c>
      <c r="L106" s="83">
        <f>(MD_prices!L94+$D$2)*IF($M$2="Prices in $/MWh",1,1/1000)</f>
        <v>36.119999999999997</v>
      </c>
      <c r="M106" s="84">
        <f>(MD_prices!M94+$D$2)*IF($M$2="Prices in $/MWh",1,1/1000)</f>
        <v>35.729999999999997</v>
      </c>
      <c r="N106" s="83">
        <f>(MD_prices!N94+$D$2)*IF($M$2="Prices in $/MWh",1,1/1000)</f>
        <v>36.17</v>
      </c>
      <c r="O106" s="61"/>
    </row>
    <row r="107" spans="2:15" x14ac:dyDescent="0.25">
      <c r="B107" s="57"/>
      <c r="C107" s="74" t="str">
        <f>MD_prices!C95</f>
        <v>September-2016</v>
      </c>
      <c r="D107" s="75" t="str">
        <f>MD_prices!D95</f>
        <v>MD</v>
      </c>
      <c r="E107" s="76" t="str">
        <f>MD_prices!E95</f>
        <v>BGE</v>
      </c>
      <c r="F107" s="75" t="str">
        <f>MD_prices!F95</f>
        <v>GS</v>
      </c>
      <c r="G107" s="76" t="str">
        <f>MD_prices!G95</f>
        <v>General Service Small</v>
      </c>
      <c r="H107" s="77" t="str">
        <f t="shared" ref="H107" si="90">IF($M$2="Prices in $/MWh","0-100 MWh","0-100,000 kWh")</f>
        <v>0-100 MWh</v>
      </c>
      <c r="I107" s="76">
        <f>(MD_prices!I95+$D$2)*IF($M$2="Prices in $/MWh",1,1/1000)</f>
        <v>84.34</v>
      </c>
      <c r="J107" s="75">
        <f>(MD_prices!J95+$D$2)*IF($M$2="Prices in $/MWh",1,1/1000)</f>
        <v>83.86</v>
      </c>
      <c r="K107" s="76">
        <f>(MD_prices!K95+$D$2)*IF($M$2="Prices in $/MWh",1,1/1000)</f>
        <v>83.65</v>
      </c>
      <c r="L107" s="75">
        <f>(MD_prices!L95+$D$2)*IF($M$2="Prices in $/MWh",1,1/1000)</f>
        <v>38.770000000000003</v>
      </c>
      <c r="M107" s="76">
        <f>(MD_prices!M95+$D$2)*IF($M$2="Prices in $/MWh",1,1/1000)</f>
        <v>38.65</v>
      </c>
      <c r="N107" s="75">
        <f>(MD_prices!N95+$D$2)*IF($M$2="Prices in $/MWh",1,1/1000)</f>
        <v>38.89</v>
      </c>
      <c r="O107" s="61"/>
    </row>
    <row r="108" spans="2:15" x14ac:dyDescent="0.25">
      <c r="B108" s="57"/>
      <c r="C108" s="78" t="str">
        <f>MD_prices!C96</f>
        <v>September-2016</v>
      </c>
      <c r="D108" s="79" t="str">
        <f>MD_prices!D96</f>
        <v>MD</v>
      </c>
      <c r="E108" s="80" t="str">
        <f>MD_prices!E96</f>
        <v>BGE</v>
      </c>
      <c r="F108" s="79" t="str">
        <f>MD_prices!F96</f>
        <v>GS</v>
      </c>
      <c r="G108" s="80" t="str">
        <f>MD_prices!G96</f>
        <v>General Service Small</v>
      </c>
      <c r="H108" s="81" t="str">
        <f t="shared" ref="H108" si="91">IF($M$2="Prices in $/MWh","100-500 MWh","100,000-500,000 kWh")</f>
        <v>100-500 MWh</v>
      </c>
      <c r="I108" s="80">
        <f>(MD_prices!I96+$D$2)*IF($M$2="Prices in $/MWh",1,1/1000)</f>
        <v>82.74</v>
      </c>
      <c r="J108" s="79">
        <f>(MD_prices!J96+$D$2)*IF($M$2="Prices in $/MWh",1,1/1000)</f>
        <v>82.26</v>
      </c>
      <c r="K108" s="80">
        <f>(MD_prices!K96+$D$2)*IF($M$2="Prices in $/MWh",1,1/1000)</f>
        <v>82.05</v>
      </c>
      <c r="L108" s="79">
        <f>(MD_prices!L96+$D$2)*IF($M$2="Prices in $/MWh",1,1/1000)</f>
        <v>37.17</v>
      </c>
      <c r="M108" s="80">
        <f>(MD_prices!M96+$D$2)*IF($M$2="Prices in $/MWh",1,1/1000)</f>
        <v>37.049999999999997</v>
      </c>
      <c r="N108" s="79">
        <f>(MD_prices!N96+$D$2)*IF($M$2="Prices in $/MWh",1,1/1000)</f>
        <v>37.29</v>
      </c>
      <c r="O108" s="61"/>
    </row>
    <row r="109" spans="2:15" x14ac:dyDescent="0.25">
      <c r="B109" s="57"/>
      <c r="C109" s="82" t="str">
        <f>MD_prices!C97</f>
        <v>September-2016</v>
      </c>
      <c r="D109" s="83" t="str">
        <f>MD_prices!D97</f>
        <v>MD</v>
      </c>
      <c r="E109" s="84" t="str">
        <f>MD_prices!E97</f>
        <v>BGE</v>
      </c>
      <c r="F109" s="83" t="str">
        <f>MD_prices!F97</f>
        <v>GS</v>
      </c>
      <c r="G109" s="84" t="str">
        <f>MD_prices!G97</f>
        <v>General Service Small</v>
      </c>
      <c r="H109" s="85" t="str">
        <f t="shared" ref="H109" si="92">IF($M$2="Prices in $/MWh","500-2500 MWh","500,000-2,500,000 kWh")</f>
        <v>500-2500 MWh</v>
      </c>
      <c r="I109" s="84">
        <f>(MD_prices!I97+$D$2)*IF($M$2="Prices in $/MWh",1,1/1000)</f>
        <v>81.69</v>
      </c>
      <c r="J109" s="83">
        <f>(MD_prices!J97+$D$2)*IF($M$2="Prices in $/MWh",1,1/1000)</f>
        <v>81.209999999999994</v>
      </c>
      <c r="K109" s="84">
        <f>(MD_prices!K97+$D$2)*IF($M$2="Prices in $/MWh",1,1/1000)</f>
        <v>81</v>
      </c>
      <c r="L109" s="83">
        <f>(MD_prices!L97+$D$2)*IF($M$2="Prices in $/MWh",1,1/1000)</f>
        <v>36.119999999999997</v>
      </c>
      <c r="M109" s="84">
        <f>(MD_prices!M97+$D$2)*IF($M$2="Prices in $/MWh",1,1/1000)</f>
        <v>36</v>
      </c>
      <c r="N109" s="83">
        <f>(MD_prices!N97+$D$2)*IF($M$2="Prices in $/MWh",1,1/1000)</f>
        <v>36.24</v>
      </c>
      <c r="O109" s="61"/>
    </row>
    <row r="110" spans="2:15" x14ac:dyDescent="0.25">
      <c r="B110" s="57"/>
      <c r="C110" s="74" t="str">
        <f>MD_prices!C98</f>
        <v>October-2016</v>
      </c>
      <c r="D110" s="75" t="str">
        <f>MD_prices!D98</f>
        <v>MD</v>
      </c>
      <c r="E110" s="76" t="str">
        <f>MD_prices!E98</f>
        <v>BGE</v>
      </c>
      <c r="F110" s="75" t="str">
        <f>MD_prices!F98</f>
        <v>GS</v>
      </c>
      <c r="G110" s="76" t="str">
        <f>MD_prices!G98</f>
        <v>General Service Small</v>
      </c>
      <c r="H110" s="77" t="str">
        <f t="shared" ref="H110" si="93">IF($M$2="Prices in $/MWh","0-100 MWh","0-100,000 kWh")</f>
        <v>0-100 MWh</v>
      </c>
      <c r="I110" s="76">
        <f>(MD_prices!I98+$D$2)*IF($M$2="Prices in $/MWh",1,1/1000)</f>
        <v>84.23</v>
      </c>
      <c r="J110" s="75">
        <f>(MD_prices!J98+$D$2)*IF($M$2="Prices in $/MWh",1,1/1000)</f>
        <v>84.34</v>
      </c>
      <c r="K110" s="76">
        <f>(MD_prices!K98+$D$2)*IF($M$2="Prices in $/MWh",1,1/1000)</f>
        <v>83.57</v>
      </c>
      <c r="L110" s="75">
        <f>(MD_prices!L98+$D$2)*IF($M$2="Prices in $/MWh",1,1/1000)</f>
        <v>38.76</v>
      </c>
      <c r="M110" s="76">
        <f>(MD_prices!M98+$D$2)*IF($M$2="Prices in $/MWh",1,1/1000)</f>
        <v>38.909999999999997</v>
      </c>
      <c r="N110" s="75">
        <f>(MD_prices!N98+$D$2)*IF($M$2="Prices in $/MWh",1,1/1000)</f>
        <v>38.96</v>
      </c>
      <c r="O110" s="61"/>
    </row>
    <row r="111" spans="2:15" x14ac:dyDescent="0.25">
      <c r="B111" s="57"/>
      <c r="C111" s="78" t="str">
        <f>MD_prices!C99</f>
        <v>October-2016</v>
      </c>
      <c r="D111" s="79" t="str">
        <f>MD_prices!D99</f>
        <v>MD</v>
      </c>
      <c r="E111" s="80" t="str">
        <f>MD_prices!E99</f>
        <v>BGE</v>
      </c>
      <c r="F111" s="79" t="str">
        <f>MD_prices!F99</f>
        <v>GS</v>
      </c>
      <c r="G111" s="80" t="str">
        <f>MD_prices!G99</f>
        <v>General Service Small</v>
      </c>
      <c r="H111" s="81" t="str">
        <f t="shared" ref="H111" si="94">IF($M$2="Prices in $/MWh","100-500 MWh","100,000-500,000 kWh")</f>
        <v>100-500 MWh</v>
      </c>
      <c r="I111" s="80">
        <f>(MD_prices!I99+$D$2)*IF($M$2="Prices in $/MWh",1,1/1000)</f>
        <v>82.63</v>
      </c>
      <c r="J111" s="79">
        <f>(MD_prices!J99+$D$2)*IF($M$2="Prices in $/MWh",1,1/1000)</f>
        <v>82.74</v>
      </c>
      <c r="K111" s="80">
        <f>(MD_prices!K99+$D$2)*IF($M$2="Prices in $/MWh",1,1/1000)</f>
        <v>81.97</v>
      </c>
      <c r="L111" s="79">
        <f>(MD_prices!L99+$D$2)*IF($M$2="Prices in $/MWh",1,1/1000)</f>
        <v>37.159999999999997</v>
      </c>
      <c r="M111" s="80">
        <f>(MD_prices!M99+$D$2)*IF($M$2="Prices in $/MWh",1,1/1000)</f>
        <v>37.31</v>
      </c>
      <c r="N111" s="79">
        <f>(MD_prices!N99+$D$2)*IF($M$2="Prices in $/MWh",1,1/1000)</f>
        <v>37.36</v>
      </c>
      <c r="O111" s="61"/>
    </row>
    <row r="112" spans="2:15" x14ac:dyDescent="0.25">
      <c r="B112" s="57"/>
      <c r="C112" s="82" t="str">
        <f>MD_prices!C100</f>
        <v>October-2016</v>
      </c>
      <c r="D112" s="83" t="str">
        <f>MD_prices!D100</f>
        <v>MD</v>
      </c>
      <c r="E112" s="84" t="str">
        <f>MD_prices!E100</f>
        <v>BGE</v>
      </c>
      <c r="F112" s="83" t="str">
        <f>MD_prices!F100</f>
        <v>GS</v>
      </c>
      <c r="G112" s="84" t="str">
        <f>MD_prices!G100</f>
        <v>General Service Small</v>
      </c>
      <c r="H112" s="85" t="str">
        <f t="shared" ref="H112" si="95">IF($M$2="Prices in $/MWh","500-2500 MWh","500,000-2,500,000 kWh")</f>
        <v>500-2500 MWh</v>
      </c>
      <c r="I112" s="84">
        <f>(MD_prices!I100+$D$2)*IF($M$2="Prices in $/MWh",1,1/1000)</f>
        <v>81.58</v>
      </c>
      <c r="J112" s="83">
        <f>(MD_prices!J100+$D$2)*IF($M$2="Prices in $/MWh",1,1/1000)</f>
        <v>81.69</v>
      </c>
      <c r="K112" s="84">
        <f>(MD_prices!K100+$D$2)*IF($M$2="Prices in $/MWh",1,1/1000)</f>
        <v>80.92</v>
      </c>
      <c r="L112" s="83">
        <f>(MD_prices!L100+$D$2)*IF($M$2="Prices in $/MWh",1,1/1000)</f>
        <v>36.11</v>
      </c>
      <c r="M112" s="84">
        <f>(MD_prices!M100+$D$2)*IF($M$2="Prices in $/MWh",1,1/1000)</f>
        <v>36.26</v>
      </c>
      <c r="N112" s="83">
        <f>(MD_prices!N100+$D$2)*IF($M$2="Prices in $/MWh",1,1/1000)</f>
        <v>36.31</v>
      </c>
      <c r="O112" s="61"/>
    </row>
    <row r="113" spans="2:15" x14ac:dyDescent="0.25">
      <c r="B113" s="57"/>
      <c r="C113" s="74" t="str">
        <f>MD_prices!C101</f>
        <v>November-2016</v>
      </c>
      <c r="D113" s="75" t="str">
        <f>MD_prices!D101</f>
        <v>MD</v>
      </c>
      <c r="E113" s="76" t="str">
        <f>MD_prices!E101</f>
        <v>BGE</v>
      </c>
      <c r="F113" s="75" t="str">
        <f>MD_prices!F101</f>
        <v>GS</v>
      </c>
      <c r="G113" s="76" t="str">
        <f>MD_prices!G101</f>
        <v>General Service Small</v>
      </c>
      <c r="H113" s="77" t="str">
        <f t="shared" ref="H113" si="96">IF($M$2="Prices in $/MWh","0-100 MWh","0-100,000 kWh")</f>
        <v>0-100 MWh</v>
      </c>
      <c r="I113" s="76">
        <f>(MD_prices!I101+$D$2)*IF($M$2="Prices in $/MWh",1,1/1000)</f>
        <v>84.04</v>
      </c>
      <c r="J113" s="75">
        <f>(MD_prices!J101+$D$2)*IF($M$2="Prices in $/MWh",1,1/1000)</f>
        <v>84.59</v>
      </c>
      <c r="K113" s="76">
        <f>(MD_prices!K101+$D$2)*IF($M$2="Prices in $/MWh",1,1/1000)</f>
        <v>83.53</v>
      </c>
      <c r="L113" s="75">
        <f>(MD_prices!L101+$D$2)*IF($M$2="Prices in $/MWh",1,1/1000)</f>
        <v>38.729999999999997</v>
      </c>
      <c r="M113" s="76">
        <f>(MD_prices!M101+$D$2)*IF($M$2="Prices in $/MWh",1,1/1000)</f>
        <v>39.07</v>
      </c>
      <c r="N113" s="75">
        <f>(MD_prices!N101+$D$2)*IF($M$2="Prices in $/MWh",1,1/1000)</f>
        <v>39.01</v>
      </c>
      <c r="O113" s="61"/>
    </row>
    <row r="114" spans="2:15" x14ac:dyDescent="0.25">
      <c r="B114" s="57"/>
      <c r="C114" s="78" t="str">
        <f>MD_prices!C102</f>
        <v>November-2016</v>
      </c>
      <c r="D114" s="79" t="str">
        <f>MD_prices!D102</f>
        <v>MD</v>
      </c>
      <c r="E114" s="80" t="str">
        <f>MD_prices!E102</f>
        <v>BGE</v>
      </c>
      <c r="F114" s="79" t="str">
        <f>MD_prices!F102</f>
        <v>GS</v>
      </c>
      <c r="G114" s="80" t="str">
        <f>MD_prices!G102</f>
        <v>General Service Small</v>
      </c>
      <c r="H114" s="81" t="str">
        <f t="shared" ref="H114" si="97">IF($M$2="Prices in $/MWh","100-500 MWh","100,000-500,000 kWh")</f>
        <v>100-500 MWh</v>
      </c>
      <c r="I114" s="80">
        <f>(MD_prices!I102+$D$2)*IF($M$2="Prices in $/MWh",1,1/1000)</f>
        <v>82.44</v>
      </c>
      <c r="J114" s="79">
        <f>(MD_prices!J102+$D$2)*IF($M$2="Prices in $/MWh",1,1/1000)</f>
        <v>82.99</v>
      </c>
      <c r="K114" s="80">
        <f>(MD_prices!K102+$D$2)*IF($M$2="Prices in $/MWh",1,1/1000)</f>
        <v>81.93</v>
      </c>
      <c r="L114" s="79">
        <f>(MD_prices!L102+$D$2)*IF($M$2="Prices in $/MWh",1,1/1000)</f>
        <v>37.130000000000003</v>
      </c>
      <c r="M114" s="80">
        <f>(MD_prices!M102+$D$2)*IF($M$2="Prices in $/MWh",1,1/1000)</f>
        <v>37.47</v>
      </c>
      <c r="N114" s="79">
        <f>(MD_prices!N102+$D$2)*IF($M$2="Prices in $/MWh",1,1/1000)</f>
        <v>37.409999999999997</v>
      </c>
      <c r="O114" s="61"/>
    </row>
    <row r="115" spans="2:15" x14ac:dyDescent="0.25">
      <c r="B115" s="57"/>
      <c r="C115" s="82" t="str">
        <f>MD_prices!C103</f>
        <v>November-2016</v>
      </c>
      <c r="D115" s="83" t="str">
        <f>MD_prices!D103</f>
        <v>MD</v>
      </c>
      <c r="E115" s="84" t="str">
        <f>MD_prices!E103</f>
        <v>BGE</v>
      </c>
      <c r="F115" s="83" t="str">
        <f>MD_prices!F103</f>
        <v>GS</v>
      </c>
      <c r="G115" s="84" t="str">
        <f>MD_prices!G103</f>
        <v>General Service Small</v>
      </c>
      <c r="H115" s="85" t="str">
        <f t="shared" ref="H115" si="98">IF($M$2="Prices in $/MWh","500-2500 MWh","500,000-2,500,000 kWh")</f>
        <v>500-2500 MWh</v>
      </c>
      <c r="I115" s="84">
        <f>(MD_prices!I103+$D$2)*IF($M$2="Prices in $/MWh",1,1/1000)</f>
        <v>81.39</v>
      </c>
      <c r="J115" s="83">
        <f>(MD_prices!J103+$D$2)*IF($M$2="Prices in $/MWh",1,1/1000)</f>
        <v>81.94</v>
      </c>
      <c r="K115" s="84">
        <f>(MD_prices!K103+$D$2)*IF($M$2="Prices in $/MWh",1,1/1000)</f>
        <v>80.88</v>
      </c>
      <c r="L115" s="83">
        <f>(MD_prices!L103+$D$2)*IF($M$2="Prices in $/MWh",1,1/1000)</f>
        <v>36.08</v>
      </c>
      <c r="M115" s="84">
        <f>(MD_prices!M103+$D$2)*IF($M$2="Prices in $/MWh",1,1/1000)</f>
        <v>36.42</v>
      </c>
      <c r="N115" s="83">
        <f>(MD_prices!N103+$D$2)*IF($M$2="Prices in $/MWh",1,1/1000)</f>
        <v>36.36</v>
      </c>
      <c r="O115" s="61"/>
    </row>
    <row r="116" spans="2:15" x14ac:dyDescent="0.25">
      <c r="B116" s="57"/>
      <c r="C116" s="74" t="str">
        <f>MD_prices!C104</f>
        <v>December-2016</v>
      </c>
      <c r="D116" s="75" t="str">
        <f>MD_prices!D104</f>
        <v>MD</v>
      </c>
      <c r="E116" s="76" t="str">
        <f>MD_prices!E104</f>
        <v>BGE</v>
      </c>
      <c r="F116" s="75" t="str">
        <f>MD_prices!F104</f>
        <v>GS</v>
      </c>
      <c r="G116" s="76" t="str">
        <f>MD_prices!G104</f>
        <v>General Service Small</v>
      </c>
      <c r="H116" s="77" t="str">
        <f t="shared" ref="H116" si="99">IF($M$2="Prices in $/MWh","0-100 MWh","0-100,000 kWh")</f>
        <v>0-100 MWh</v>
      </c>
      <c r="I116" s="76">
        <f>(MD_prices!I104+$D$2)*IF($M$2="Prices in $/MWh",1,1/1000)</f>
        <v>83.65</v>
      </c>
      <c r="J116" s="75">
        <f>(MD_prices!J104+$D$2)*IF($M$2="Prices in $/MWh",1,1/1000)</f>
        <v>84.65</v>
      </c>
      <c r="K116" s="76">
        <f>(MD_prices!K104+$D$2)*IF($M$2="Prices in $/MWh",1,1/1000)</f>
        <v>83.38</v>
      </c>
      <c r="L116" s="75">
        <f>(MD_prices!L104+$D$2)*IF($M$2="Prices in $/MWh",1,1/1000)</f>
        <v>38.6</v>
      </c>
      <c r="M116" s="76">
        <f>(MD_prices!M104+$D$2)*IF($M$2="Prices in $/MWh",1,1/1000)</f>
        <v>39.200000000000003</v>
      </c>
      <c r="N116" s="75">
        <f>(MD_prices!N104+$D$2)*IF($M$2="Prices in $/MWh",1,1/1000)</f>
        <v>39.01</v>
      </c>
      <c r="O116" s="61"/>
    </row>
    <row r="117" spans="2:15" x14ac:dyDescent="0.25">
      <c r="B117" s="57"/>
      <c r="C117" s="78" t="str">
        <f>MD_prices!C105</f>
        <v>December-2016</v>
      </c>
      <c r="D117" s="79" t="str">
        <f>MD_prices!D105</f>
        <v>MD</v>
      </c>
      <c r="E117" s="80" t="str">
        <f>MD_prices!E105</f>
        <v>BGE</v>
      </c>
      <c r="F117" s="79" t="str">
        <f>MD_prices!F105</f>
        <v>GS</v>
      </c>
      <c r="G117" s="80" t="str">
        <f>MD_prices!G105</f>
        <v>General Service Small</v>
      </c>
      <c r="H117" s="81" t="str">
        <f t="shared" ref="H117" si="100">IF($M$2="Prices in $/MWh","100-500 MWh","100,000-500,000 kWh")</f>
        <v>100-500 MWh</v>
      </c>
      <c r="I117" s="80">
        <f>(MD_prices!I105+$D$2)*IF($M$2="Prices in $/MWh",1,1/1000)</f>
        <v>82.05</v>
      </c>
      <c r="J117" s="79">
        <f>(MD_prices!J105+$D$2)*IF($M$2="Prices in $/MWh",1,1/1000)</f>
        <v>83.05</v>
      </c>
      <c r="K117" s="80">
        <f>(MD_prices!K105+$D$2)*IF($M$2="Prices in $/MWh",1,1/1000)</f>
        <v>81.78</v>
      </c>
      <c r="L117" s="79">
        <f>(MD_prices!L105+$D$2)*IF($M$2="Prices in $/MWh",1,1/1000)</f>
        <v>37</v>
      </c>
      <c r="M117" s="80">
        <f>(MD_prices!M105+$D$2)*IF($M$2="Prices in $/MWh",1,1/1000)</f>
        <v>37.6</v>
      </c>
      <c r="N117" s="79">
        <f>(MD_prices!N105+$D$2)*IF($M$2="Prices in $/MWh",1,1/1000)</f>
        <v>37.409999999999997</v>
      </c>
      <c r="O117" s="61"/>
    </row>
    <row r="118" spans="2:15" x14ac:dyDescent="0.25">
      <c r="B118" s="57"/>
      <c r="C118" s="82" t="str">
        <f>MD_prices!C106</f>
        <v>December-2016</v>
      </c>
      <c r="D118" s="83" t="str">
        <f>MD_prices!D106</f>
        <v>MD</v>
      </c>
      <c r="E118" s="84" t="str">
        <f>MD_prices!E106</f>
        <v>BGE</v>
      </c>
      <c r="F118" s="83" t="str">
        <f>MD_prices!F106</f>
        <v>GS</v>
      </c>
      <c r="G118" s="84" t="str">
        <f>MD_prices!G106</f>
        <v>General Service Small</v>
      </c>
      <c r="H118" s="85" t="str">
        <f t="shared" ref="H118" si="101">IF($M$2="Prices in $/MWh","500-2500 MWh","500,000-2,500,000 kWh")</f>
        <v>500-2500 MWh</v>
      </c>
      <c r="I118" s="84">
        <f>(MD_prices!I106+$D$2)*IF($M$2="Prices in $/MWh",1,1/1000)</f>
        <v>81</v>
      </c>
      <c r="J118" s="83">
        <f>(MD_prices!J106+$D$2)*IF($M$2="Prices in $/MWh",1,1/1000)</f>
        <v>82</v>
      </c>
      <c r="K118" s="84">
        <f>(MD_prices!K106+$D$2)*IF($M$2="Prices in $/MWh",1,1/1000)</f>
        <v>80.73</v>
      </c>
      <c r="L118" s="83">
        <f>(MD_prices!L106+$D$2)*IF($M$2="Prices in $/MWh",1,1/1000)</f>
        <v>35.950000000000003</v>
      </c>
      <c r="M118" s="84">
        <f>(MD_prices!M106+$D$2)*IF($M$2="Prices in $/MWh",1,1/1000)</f>
        <v>36.549999999999997</v>
      </c>
      <c r="N118" s="83">
        <f>(MD_prices!N106+$D$2)*IF($M$2="Prices in $/MWh",1,1/1000)</f>
        <v>36.36</v>
      </c>
      <c r="O118" s="61"/>
    </row>
    <row r="119" spans="2:15" x14ac:dyDescent="0.25">
      <c r="B119" s="57"/>
      <c r="C119" s="74" t="str">
        <f>MD_prices!C107</f>
        <v>January-2017</v>
      </c>
      <c r="D119" s="75" t="str">
        <f>MD_prices!D107</f>
        <v>MD</v>
      </c>
      <c r="E119" s="76" t="str">
        <f>MD_prices!E107</f>
        <v>BGE</v>
      </c>
      <c r="F119" s="75" t="str">
        <f>MD_prices!F107</f>
        <v>GS</v>
      </c>
      <c r="G119" s="76" t="str">
        <f>MD_prices!G107</f>
        <v>General Service Small</v>
      </c>
      <c r="H119" s="77" t="str">
        <f t="shared" ref="H119" si="102">IF($M$2="Prices in $/MWh","0-100 MWh","0-100,000 kWh")</f>
        <v>0-100 MWh</v>
      </c>
      <c r="I119" s="76">
        <f>(MD_prices!I107+$D$2)*IF($M$2="Prices in $/MWh",1,1/1000)</f>
        <v>83.39</v>
      </c>
      <c r="J119" s="75">
        <f>(MD_prices!J107+$D$2)*IF($M$2="Prices in $/MWh",1,1/1000)</f>
        <v>84.57</v>
      </c>
      <c r="K119" s="76">
        <f>(MD_prices!K107+$D$2)*IF($M$2="Prices in $/MWh",1,1/1000)</f>
        <v>83.36</v>
      </c>
      <c r="L119" s="75">
        <f>(MD_prices!L107+$D$2)*IF($M$2="Prices in $/MWh",1,1/1000)</f>
        <v>38.51</v>
      </c>
      <c r="M119" s="76">
        <f>(MD_prices!M107+$D$2)*IF($M$2="Prices in $/MWh",1,1/1000)</f>
        <v>39.26</v>
      </c>
      <c r="N119" s="75">
        <f>(MD_prices!N107+$D$2)*IF($M$2="Prices in $/MWh",1,1/1000)</f>
        <v>39.04</v>
      </c>
      <c r="O119" s="61"/>
    </row>
    <row r="120" spans="2:15" x14ac:dyDescent="0.25">
      <c r="B120" s="57"/>
      <c r="C120" s="78" t="str">
        <f>MD_prices!C108</f>
        <v>January-2017</v>
      </c>
      <c r="D120" s="79" t="str">
        <f>MD_prices!D108</f>
        <v>MD</v>
      </c>
      <c r="E120" s="80" t="str">
        <f>MD_prices!E108</f>
        <v>BGE</v>
      </c>
      <c r="F120" s="79" t="str">
        <f>MD_prices!F108</f>
        <v>GS</v>
      </c>
      <c r="G120" s="80" t="str">
        <f>MD_prices!G108</f>
        <v>General Service Small</v>
      </c>
      <c r="H120" s="81" t="str">
        <f t="shared" ref="H120" si="103">IF($M$2="Prices in $/MWh","100-500 MWh","100,000-500,000 kWh")</f>
        <v>100-500 MWh</v>
      </c>
      <c r="I120" s="80">
        <f>(MD_prices!I108+$D$2)*IF($M$2="Prices in $/MWh",1,1/1000)</f>
        <v>81.790000000000006</v>
      </c>
      <c r="J120" s="79">
        <f>(MD_prices!J108+$D$2)*IF($M$2="Prices in $/MWh",1,1/1000)</f>
        <v>82.97</v>
      </c>
      <c r="K120" s="80">
        <f>(MD_prices!K108+$D$2)*IF($M$2="Prices in $/MWh",1,1/1000)</f>
        <v>81.760000000000005</v>
      </c>
      <c r="L120" s="79">
        <f>(MD_prices!L108+$D$2)*IF($M$2="Prices in $/MWh",1,1/1000)</f>
        <v>36.909999999999997</v>
      </c>
      <c r="M120" s="80">
        <f>(MD_prices!M108+$D$2)*IF($M$2="Prices in $/MWh",1,1/1000)</f>
        <v>37.659999999999997</v>
      </c>
      <c r="N120" s="79">
        <f>(MD_prices!N108+$D$2)*IF($M$2="Prices in $/MWh",1,1/1000)</f>
        <v>37.44</v>
      </c>
      <c r="O120" s="61"/>
    </row>
    <row r="121" spans="2:15" x14ac:dyDescent="0.25">
      <c r="B121" s="57"/>
      <c r="C121" s="82" t="str">
        <f>MD_prices!C109</f>
        <v>January-2017</v>
      </c>
      <c r="D121" s="83" t="str">
        <f>MD_prices!D109</f>
        <v>MD</v>
      </c>
      <c r="E121" s="84" t="str">
        <f>MD_prices!E109</f>
        <v>BGE</v>
      </c>
      <c r="F121" s="83" t="str">
        <f>MD_prices!F109</f>
        <v>GS</v>
      </c>
      <c r="G121" s="84" t="str">
        <f>MD_prices!G109</f>
        <v>General Service Small</v>
      </c>
      <c r="H121" s="85" t="str">
        <f t="shared" ref="H121" si="104">IF($M$2="Prices in $/MWh","500-2500 MWh","500,000-2,500,000 kWh")</f>
        <v>500-2500 MWh</v>
      </c>
      <c r="I121" s="84">
        <f>(MD_prices!I109+$D$2)*IF($M$2="Prices in $/MWh",1,1/1000)</f>
        <v>80.739999999999995</v>
      </c>
      <c r="J121" s="83">
        <f>(MD_prices!J109+$D$2)*IF($M$2="Prices in $/MWh",1,1/1000)</f>
        <v>81.92</v>
      </c>
      <c r="K121" s="84">
        <f>(MD_prices!K109+$D$2)*IF($M$2="Prices in $/MWh",1,1/1000)</f>
        <v>80.709999999999994</v>
      </c>
      <c r="L121" s="83">
        <f>(MD_prices!L109+$D$2)*IF($M$2="Prices in $/MWh",1,1/1000)</f>
        <v>35.86</v>
      </c>
      <c r="M121" s="84">
        <f>(MD_prices!M109+$D$2)*IF($M$2="Prices in $/MWh",1,1/1000)</f>
        <v>36.61</v>
      </c>
      <c r="N121" s="83">
        <f>(MD_prices!N109+$D$2)*IF($M$2="Prices in $/MWh",1,1/1000)</f>
        <v>36.39</v>
      </c>
      <c r="O121" s="61"/>
    </row>
    <row r="122" spans="2:15" x14ac:dyDescent="0.25">
      <c r="B122" s="57"/>
      <c r="C122" s="74" t="str">
        <f>MD_prices!C110</f>
        <v>February-2016</v>
      </c>
      <c r="D122" s="75" t="str">
        <f>MD_prices!D110</f>
        <v>MD</v>
      </c>
      <c r="E122" s="76" t="str">
        <f>MD_prices!E110</f>
        <v>Delmarva</v>
      </c>
      <c r="F122" s="75" t="str">
        <f>MD_prices!F110</f>
        <v>GS</v>
      </c>
      <c r="G122" s="76" t="str">
        <f>MD_prices!G110</f>
        <v>General Service Small</v>
      </c>
      <c r="H122" s="77" t="str">
        <f t="shared" ref="H122" si="105">IF($M$2="Prices in $/MWh","0-100 MWh","0-100,000 kWh")</f>
        <v>0-100 MWh</v>
      </c>
      <c r="I122" s="76">
        <f>(MD_prices!I110+$D$2)*IF($M$2="Prices in $/MWh",1,1/1000)</f>
        <v>80.86</v>
      </c>
      <c r="J122" s="75">
        <f>(MD_prices!J110+$D$2)*IF($M$2="Prices in $/MWh",1,1/1000)</f>
        <v>80.66</v>
      </c>
      <c r="K122" s="76">
        <f>(MD_prices!K110+$D$2)*IF($M$2="Prices in $/MWh",1,1/1000)</f>
        <v>80.16</v>
      </c>
      <c r="L122" s="75">
        <f>(MD_prices!L110+$D$2)*IF($M$2="Prices in $/MWh",1,1/1000)</f>
        <v>39.58</v>
      </c>
      <c r="M122" s="76">
        <f>(MD_prices!M110+$D$2)*IF($M$2="Prices in $/MWh",1,1/1000)</f>
        <v>39.22</v>
      </c>
      <c r="N122" s="75">
        <f>(MD_prices!N110+$D$2)*IF($M$2="Prices in $/MWh",1,1/1000)</f>
        <v>39.17</v>
      </c>
      <c r="O122" s="61"/>
    </row>
    <row r="123" spans="2:15" x14ac:dyDescent="0.25">
      <c r="B123" s="57"/>
      <c r="C123" s="78" t="str">
        <f>MD_prices!C111</f>
        <v>February-2016</v>
      </c>
      <c r="D123" s="79" t="str">
        <f>MD_prices!D111</f>
        <v>MD</v>
      </c>
      <c r="E123" s="80" t="str">
        <f>MD_prices!E111</f>
        <v>Delmarva</v>
      </c>
      <c r="F123" s="79" t="str">
        <f>MD_prices!F111</f>
        <v>GS</v>
      </c>
      <c r="G123" s="80" t="str">
        <f>MD_prices!G111</f>
        <v>General Service Small</v>
      </c>
      <c r="H123" s="81" t="str">
        <f t="shared" ref="H123" si="106">IF($M$2="Prices in $/MWh","100-500 MWh","100,000-500,000 kWh")</f>
        <v>100-500 MWh</v>
      </c>
      <c r="I123" s="80">
        <f>(MD_prices!I111+$D$2)*IF($M$2="Prices in $/MWh",1,1/1000)</f>
        <v>79.260000000000005</v>
      </c>
      <c r="J123" s="79">
        <f>(MD_prices!J111+$D$2)*IF($M$2="Prices in $/MWh",1,1/1000)</f>
        <v>79.06</v>
      </c>
      <c r="K123" s="80">
        <f>(MD_prices!K111+$D$2)*IF($M$2="Prices in $/MWh",1,1/1000)</f>
        <v>78.56</v>
      </c>
      <c r="L123" s="79">
        <f>(MD_prices!L111+$D$2)*IF($M$2="Prices in $/MWh",1,1/1000)</f>
        <v>37.979999999999997</v>
      </c>
      <c r="M123" s="80">
        <f>(MD_prices!M111+$D$2)*IF($M$2="Prices in $/MWh",1,1/1000)</f>
        <v>37.619999999999997</v>
      </c>
      <c r="N123" s="79">
        <f>(MD_prices!N111+$D$2)*IF($M$2="Prices in $/MWh",1,1/1000)</f>
        <v>37.57</v>
      </c>
      <c r="O123" s="61"/>
    </row>
    <row r="124" spans="2:15" x14ac:dyDescent="0.25">
      <c r="B124" s="57"/>
      <c r="C124" s="82" t="str">
        <f>MD_prices!C112</f>
        <v>February-2016</v>
      </c>
      <c r="D124" s="83" t="str">
        <f>MD_prices!D112</f>
        <v>MD</v>
      </c>
      <c r="E124" s="84" t="str">
        <f>MD_prices!E112</f>
        <v>Delmarva</v>
      </c>
      <c r="F124" s="83" t="str">
        <f>MD_prices!F112</f>
        <v>GS</v>
      </c>
      <c r="G124" s="84" t="str">
        <f>MD_prices!G112</f>
        <v>General Service Small</v>
      </c>
      <c r="H124" s="85" t="str">
        <f t="shared" ref="H124" si="107">IF($M$2="Prices in $/MWh","500-2500 MWh","500,000-2,500,000 kWh")</f>
        <v>500-2500 MWh</v>
      </c>
      <c r="I124" s="84">
        <f>(MD_prices!I112+$D$2)*IF($M$2="Prices in $/MWh",1,1/1000)</f>
        <v>78.209999999999994</v>
      </c>
      <c r="J124" s="83">
        <f>(MD_prices!J112+$D$2)*IF($M$2="Prices in $/MWh",1,1/1000)</f>
        <v>78.010000000000005</v>
      </c>
      <c r="K124" s="84">
        <f>(MD_prices!K112+$D$2)*IF($M$2="Prices in $/MWh",1,1/1000)</f>
        <v>77.510000000000005</v>
      </c>
      <c r="L124" s="83">
        <f>(MD_prices!L112+$D$2)*IF($M$2="Prices in $/MWh",1,1/1000)</f>
        <v>36.93</v>
      </c>
      <c r="M124" s="84">
        <f>(MD_prices!M112+$D$2)*IF($M$2="Prices in $/MWh",1,1/1000)</f>
        <v>36.57</v>
      </c>
      <c r="N124" s="83">
        <f>(MD_prices!N112+$D$2)*IF($M$2="Prices in $/MWh",1,1/1000)</f>
        <v>36.520000000000003</v>
      </c>
      <c r="O124" s="61"/>
    </row>
    <row r="125" spans="2:15" x14ac:dyDescent="0.25">
      <c r="B125" s="57"/>
      <c r="C125" s="74" t="str">
        <f>MD_prices!C113</f>
        <v>March-2016</v>
      </c>
      <c r="D125" s="75" t="str">
        <f>MD_prices!D113</f>
        <v>MD</v>
      </c>
      <c r="E125" s="76" t="str">
        <f>MD_prices!E113</f>
        <v>Delmarva</v>
      </c>
      <c r="F125" s="75" t="str">
        <f>MD_prices!F113</f>
        <v>GS</v>
      </c>
      <c r="G125" s="76" t="str">
        <f>MD_prices!G113</f>
        <v>General Service Small</v>
      </c>
      <c r="H125" s="77" t="str">
        <f t="shared" ref="H125" si="108">IF($M$2="Prices in $/MWh","0-100 MWh","0-100,000 kWh")</f>
        <v>0-100 MWh</v>
      </c>
      <c r="I125" s="76">
        <f>(MD_prices!I113+$D$2)*IF($M$2="Prices in $/MWh",1,1/1000)</f>
        <v>81.06</v>
      </c>
      <c r="J125" s="75">
        <f>(MD_prices!J113+$D$2)*IF($M$2="Prices in $/MWh",1,1/1000)</f>
        <v>79.680000000000007</v>
      </c>
      <c r="K125" s="76">
        <f>(MD_prices!K113+$D$2)*IF($M$2="Prices in $/MWh",1,1/1000)</f>
        <v>80.25</v>
      </c>
      <c r="L125" s="75">
        <f>(MD_prices!L113+$D$2)*IF($M$2="Prices in $/MWh",1,1/1000)</f>
        <v>39.47</v>
      </c>
      <c r="M125" s="76">
        <f>(MD_prices!M113+$D$2)*IF($M$2="Prices in $/MWh",1,1/1000)</f>
        <v>38.799999999999997</v>
      </c>
      <c r="N125" s="75">
        <f>(MD_prices!N113+$D$2)*IF($M$2="Prices in $/MWh",1,1/1000)</f>
        <v>39.130000000000003</v>
      </c>
      <c r="O125" s="61"/>
    </row>
    <row r="126" spans="2:15" x14ac:dyDescent="0.25">
      <c r="B126" s="57"/>
      <c r="C126" s="78" t="str">
        <f>MD_prices!C114</f>
        <v>March-2016</v>
      </c>
      <c r="D126" s="79" t="str">
        <f>MD_prices!D114</f>
        <v>MD</v>
      </c>
      <c r="E126" s="80" t="str">
        <f>MD_prices!E114</f>
        <v>Delmarva</v>
      </c>
      <c r="F126" s="79" t="str">
        <f>MD_prices!F114</f>
        <v>GS</v>
      </c>
      <c r="G126" s="80" t="str">
        <f>MD_prices!G114</f>
        <v>General Service Small</v>
      </c>
      <c r="H126" s="81" t="str">
        <f t="shared" ref="H126" si="109">IF($M$2="Prices in $/MWh","100-500 MWh","100,000-500,000 kWh")</f>
        <v>100-500 MWh</v>
      </c>
      <c r="I126" s="80">
        <f>(MD_prices!I114+$D$2)*IF($M$2="Prices in $/MWh",1,1/1000)</f>
        <v>79.459999999999994</v>
      </c>
      <c r="J126" s="79">
        <f>(MD_prices!J114+$D$2)*IF($M$2="Prices in $/MWh",1,1/1000)</f>
        <v>78.08</v>
      </c>
      <c r="K126" s="80">
        <f>(MD_prices!K114+$D$2)*IF($M$2="Prices in $/MWh",1,1/1000)</f>
        <v>78.650000000000006</v>
      </c>
      <c r="L126" s="79">
        <f>(MD_prices!L114+$D$2)*IF($M$2="Prices in $/MWh",1,1/1000)</f>
        <v>37.869999999999997</v>
      </c>
      <c r="M126" s="80">
        <f>(MD_prices!M114+$D$2)*IF($M$2="Prices in $/MWh",1,1/1000)</f>
        <v>37.200000000000003</v>
      </c>
      <c r="N126" s="79">
        <f>(MD_prices!N114+$D$2)*IF($M$2="Prices in $/MWh",1,1/1000)</f>
        <v>37.53</v>
      </c>
      <c r="O126" s="61"/>
    </row>
    <row r="127" spans="2:15" x14ac:dyDescent="0.25">
      <c r="B127" s="57"/>
      <c r="C127" s="82" t="str">
        <f>MD_prices!C115</f>
        <v>March-2016</v>
      </c>
      <c r="D127" s="83" t="str">
        <f>MD_prices!D115</f>
        <v>MD</v>
      </c>
      <c r="E127" s="84" t="str">
        <f>MD_prices!E115</f>
        <v>Delmarva</v>
      </c>
      <c r="F127" s="83" t="str">
        <f>MD_prices!F115</f>
        <v>GS</v>
      </c>
      <c r="G127" s="84" t="str">
        <f>MD_prices!G115</f>
        <v>General Service Small</v>
      </c>
      <c r="H127" s="85" t="str">
        <f t="shared" ref="H127" si="110">IF($M$2="Prices in $/MWh","500-2500 MWh","500,000-2,500,000 kWh")</f>
        <v>500-2500 MWh</v>
      </c>
      <c r="I127" s="84">
        <f>(MD_prices!I115+$D$2)*IF($M$2="Prices in $/MWh",1,1/1000)</f>
        <v>78.41</v>
      </c>
      <c r="J127" s="83">
        <f>(MD_prices!J115+$D$2)*IF($M$2="Prices in $/MWh",1,1/1000)</f>
        <v>77.03</v>
      </c>
      <c r="K127" s="84">
        <f>(MD_prices!K115+$D$2)*IF($M$2="Prices in $/MWh",1,1/1000)</f>
        <v>77.599999999999994</v>
      </c>
      <c r="L127" s="83">
        <f>(MD_prices!L115+$D$2)*IF($M$2="Prices in $/MWh",1,1/1000)</f>
        <v>36.82</v>
      </c>
      <c r="M127" s="84">
        <f>(MD_prices!M115+$D$2)*IF($M$2="Prices in $/MWh",1,1/1000)</f>
        <v>36.15</v>
      </c>
      <c r="N127" s="83">
        <f>(MD_prices!N115+$D$2)*IF($M$2="Prices in $/MWh",1,1/1000)</f>
        <v>36.479999999999997</v>
      </c>
      <c r="O127" s="61"/>
    </row>
    <row r="128" spans="2:15" x14ac:dyDescent="0.25">
      <c r="B128" s="57"/>
      <c r="C128" s="74" t="str">
        <f>MD_prices!C116</f>
        <v>April-2016</v>
      </c>
      <c r="D128" s="75" t="str">
        <f>MD_prices!D116</f>
        <v>MD</v>
      </c>
      <c r="E128" s="76" t="str">
        <f>MD_prices!E116</f>
        <v>Delmarva</v>
      </c>
      <c r="F128" s="75" t="str">
        <f>MD_prices!F116</f>
        <v>GS</v>
      </c>
      <c r="G128" s="76" t="str">
        <f>MD_prices!G116</f>
        <v>General Service Small</v>
      </c>
      <c r="H128" s="77" t="str">
        <f t="shared" ref="H128" si="111">IF($M$2="Prices in $/MWh","0-100 MWh","0-100,000 kWh")</f>
        <v>0-100 MWh</v>
      </c>
      <c r="I128" s="76">
        <f>(MD_prices!I116+$D$2)*IF($M$2="Prices in $/MWh",1,1/1000)</f>
        <v>80.569999999999993</v>
      </c>
      <c r="J128" s="75">
        <f>(MD_prices!J116+$D$2)*IF($M$2="Prices in $/MWh",1,1/1000)</f>
        <v>78.81</v>
      </c>
      <c r="K128" s="76">
        <f>(MD_prices!K116+$D$2)*IF($M$2="Prices in $/MWh",1,1/1000)</f>
        <v>79.98</v>
      </c>
      <c r="L128" s="75">
        <f>(MD_prices!L116+$D$2)*IF($M$2="Prices in $/MWh",1,1/1000)</f>
        <v>39.33</v>
      </c>
      <c r="M128" s="76">
        <f>(MD_prices!M116+$D$2)*IF($M$2="Prices in $/MWh",1,1/1000)</f>
        <v>38.450000000000003</v>
      </c>
      <c r="N128" s="75">
        <f>(MD_prices!N116+$D$2)*IF($M$2="Prices in $/MWh",1,1/1000)</f>
        <v>39.07</v>
      </c>
      <c r="O128" s="61"/>
    </row>
    <row r="129" spans="2:15" x14ac:dyDescent="0.25">
      <c r="B129" s="57"/>
      <c r="C129" s="78" t="str">
        <f>MD_prices!C117</f>
        <v>April-2016</v>
      </c>
      <c r="D129" s="79" t="str">
        <f>MD_prices!D117</f>
        <v>MD</v>
      </c>
      <c r="E129" s="80" t="str">
        <f>MD_prices!E117</f>
        <v>Delmarva</v>
      </c>
      <c r="F129" s="79" t="str">
        <f>MD_prices!F117</f>
        <v>GS</v>
      </c>
      <c r="G129" s="80" t="str">
        <f>MD_prices!G117</f>
        <v>General Service Small</v>
      </c>
      <c r="H129" s="81" t="str">
        <f t="shared" ref="H129" si="112">IF($M$2="Prices in $/MWh","100-500 MWh","100,000-500,000 kWh")</f>
        <v>100-500 MWh</v>
      </c>
      <c r="I129" s="80">
        <f>(MD_prices!I117+$D$2)*IF($M$2="Prices in $/MWh",1,1/1000)</f>
        <v>78.97</v>
      </c>
      <c r="J129" s="79">
        <f>(MD_prices!J117+$D$2)*IF($M$2="Prices in $/MWh",1,1/1000)</f>
        <v>77.209999999999994</v>
      </c>
      <c r="K129" s="80">
        <f>(MD_prices!K117+$D$2)*IF($M$2="Prices in $/MWh",1,1/1000)</f>
        <v>78.38</v>
      </c>
      <c r="L129" s="79">
        <f>(MD_prices!L117+$D$2)*IF($M$2="Prices in $/MWh",1,1/1000)</f>
        <v>37.729999999999997</v>
      </c>
      <c r="M129" s="80">
        <f>(MD_prices!M117+$D$2)*IF($M$2="Prices in $/MWh",1,1/1000)</f>
        <v>36.85</v>
      </c>
      <c r="N129" s="79">
        <f>(MD_prices!N117+$D$2)*IF($M$2="Prices in $/MWh",1,1/1000)</f>
        <v>37.47</v>
      </c>
      <c r="O129" s="61"/>
    </row>
    <row r="130" spans="2:15" x14ac:dyDescent="0.25">
      <c r="B130" s="57"/>
      <c r="C130" s="82" t="str">
        <f>MD_prices!C118</f>
        <v>April-2016</v>
      </c>
      <c r="D130" s="83" t="str">
        <f>MD_prices!D118</f>
        <v>MD</v>
      </c>
      <c r="E130" s="84" t="str">
        <f>MD_prices!E118</f>
        <v>Delmarva</v>
      </c>
      <c r="F130" s="83" t="str">
        <f>MD_prices!F118</f>
        <v>GS</v>
      </c>
      <c r="G130" s="84" t="str">
        <f>MD_prices!G118</f>
        <v>General Service Small</v>
      </c>
      <c r="H130" s="85" t="str">
        <f t="shared" ref="H130" si="113">IF($M$2="Prices in $/MWh","500-2500 MWh","500,000-2,500,000 kWh")</f>
        <v>500-2500 MWh</v>
      </c>
      <c r="I130" s="84">
        <f>(MD_prices!I118+$D$2)*IF($M$2="Prices in $/MWh",1,1/1000)</f>
        <v>77.92</v>
      </c>
      <c r="J130" s="83">
        <f>(MD_prices!J118+$D$2)*IF($M$2="Prices in $/MWh",1,1/1000)</f>
        <v>76.16</v>
      </c>
      <c r="K130" s="84">
        <f>(MD_prices!K118+$D$2)*IF($M$2="Prices in $/MWh",1,1/1000)</f>
        <v>77.33</v>
      </c>
      <c r="L130" s="83">
        <f>(MD_prices!L118+$D$2)*IF($M$2="Prices in $/MWh",1,1/1000)</f>
        <v>36.68</v>
      </c>
      <c r="M130" s="84">
        <f>(MD_prices!M118+$D$2)*IF($M$2="Prices in $/MWh",1,1/1000)</f>
        <v>35.799999999999997</v>
      </c>
      <c r="N130" s="83">
        <f>(MD_prices!N118+$D$2)*IF($M$2="Prices in $/MWh",1,1/1000)</f>
        <v>36.42</v>
      </c>
      <c r="O130" s="61"/>
    </row>
    <row r="131" spans="2:15" x14ac:dyDescent="0.25">
      <c r="B131" s="57"/>
      <c r="C131" s="74" t="str">
        <f>MD_prices!C119</f>
        <v>May-2016</v>
      </c>
      <c r="D131" s="75" t="str">
        <f>MD_prices!D119</f>
        <v>MD</v>
      </c>
      <c r="E131" s="76" t="str">
        <f>MD_prices!E119</f>
        <v>Delmarva</v>
      </c>
      <c r="F131" s="75" t="str">
        <f>MD_prices!F119</f>
        <v>GS</v>
      </c>
      <c r="G131" s="76" t="str">
        <f>MD_prices!G119</f>
        <v>General Service Small</v>
      </c>
      <c r="H131" s="77" t="str">
        <f t="shared" ref="H131" si="114">IF($M$2="Prices in $/MWh","0-100 MWh","0-100,000 kWh")</f>
        <v>0-100 MWh</v>
      </c>
      <c r="I131" s="76">
        <f>(MD_prices!I119+$D$2)*IF($M$2="Prices in $/MWh",1,1/1000)</f>
        <v>80.400000000000006</v>
      </c>
      <c r="J131" s="75">
        <f>(MD_prices!J119+$D$2)*IF($M$2="Prices in $/MWh",1,1/1000)</f>
        <v>78.459999999999994</v>
      </c>
      <c r="K131" s="76">
        <f>(MD_prices!K119+$D$2)*IF($M$2="Prices in $/MWh",1,1/1000)</f>
        <v>79.87</v>
      </c>
      <c r="L131" s="75">
        <f>(MD_prices!L119+$D$2)*IF($M$2="Prices in $/MWh",1,1/1000)</f>
        <v>39.08</v>
      </c>
      <c r="M131" s="76">
        <f>(MD_prices!M119+$D$2)*IF($M$2="Prices in $/MWh",1,1/1000)</f>
        <v>38.28</v>
      </c>
      <c r="N131" s="75">
        <f>(MD_prices!N119+$D$2)*IF($M$2="Prices in $/MWh",1,1/1000)</f>
        <v>38.96</v>
      </c>
      <c r="O131" s="61"/>
    </row>
    <row r="132" spans="2:15" x14ac:dyDescent="0.25">
      <c r="B132" s="57"/>
      <c r="C132" s="78" t="str">
        <f>MD_prices!C120</f>
        <v>May-2016</v>
      </c>
      <c r="D132" s="79" t="str">
        <f>MD_prices!D120</f>
        <v>MD</v>
      </c>
      <c r="E132" s="80" t="str">
        <f>MD_prices!E120</f>
        <v>Delmarva</v>
      </c>
      <c r="F132" s="79" t="str">
        <f>MD_prices!F120</f>
        <v>GS</v>
      </c>
      <c r="G132" s="80" t="str">
        <f>MD_prices!G120</f>
        <v>General Service Small</v>
      </c>
      <c r="H132" s="81" t="str">
        <f t="shared" ref="H132" si="115">IF($M$2="Prices in $/MWh","100-500 MWh","100,000-500,000 kWh")</f>
        <v>100-500 MWh</v>
      </c>
      <c r="I132" s="80">
        <f>(MD_prices!I120+$D$2)*IF($M$2="Prices in $/MWh",1,1/1000)</f>
        <v>78.8</v>
      </c>
      <c r="J132" s="79">
        <f>(MD_prices!J120+$D$2)*IF($M$2="Prices in $/MWh",1,1/1000)</f>
        <v>76.86</v>
      </c>
      <c r="K132" s="80">
        <f>(MD_prices!K120+$D$2)*IF($M$2="Prices in $/MWh",1,1/1000)</f>
        <v>78.27</v>
      </c>
      <c r="L132" s="79">
        <f>(MD_prices!L120+$D$2)*IF($M$2="Prices in $/MWh",1,1/1000)</f>
        <v>37.479999999999997</v>
      </c>
      <c r="M132" s="80">
        <f>(MD_prices!M120+$D$2)*IF($M$2="Prices in $/MWh",1,1/1000)</f>
        <v>36.68</v>
      </c>
      <c r="N132" s="79">
        <f>(MD_prices!N120+$D$2)*IF($M$2="Prices in $/MWh",1,1/1000)</f>
        <v>37.36</v>
      </c>
      <c r="O132" s="61"/>
    </row>
    <row r="133" spans="2:15" x14ac:dyDescent="0.25">
      <c r="B133" s="57"/>
      <c r="C133" s="82" t="str">
        <f>MD_prices!C121</f>
        <v>May-2016</v>
      </c>
      <c r="D133" s="83" t="str">
        <f>MD_prices!D121</f>
        <v>MD</v>
      </c>
      <c r="E133" s="84" t="str">
        <f>MD_prices!E121</f>
        <v>Delmarva</v>
      </c>
      <c r="F133" s="83" t="str">
        <f>MD_prices!F121</f>
        <v>GS</v>
      </c>
      <c r="G133" s="84" t="str">
        <f>MD_prices!G121</f>
        <v>General Service Small</v>
      </c>
      <c r="H133" s="85" t="str">
        <f t="shared" ref="H133" si="116">IF($M$2="Prices in $/MWh","500-2500 MWh","500,000-2,500,000 kWh")</f>
        <v>500-2500 MWh</v>
      </c>
      <c r="I133" s="84">
        <f>(MD_prices!I121+$D$2)*IF($M$2="Prices in $/MWh",1,1/1000)</f>
        <v>77.75</v>
      </c>
      <c r="J133" s="83">
        <f>(MD_prices!J121+$D$2)*IF($M$2="Prices in $/MWh",1,1/1000)</f>
        <v>75.81</v>
      </c>
      <c r="K133" s="84">
        <f>(MD_prices!K121+$D$2)*IF($M$2="Prices in $/MWh",1,1/1000)</f>
        <v>77.22</v>
      </c>
      <c r="L133" s="83">
        <f>(MD_prices!L121+$D$2)*IF($M$2="Prices in $/MWh",1,1/1000)</f>
        <v>36.43</v>
      </c>
      <c r="M133" s="84">
        <f>(MD_prices!M121+$D$2)*IF($M$2="Prices in $/MWh",1,1/1000)</f>
        <v>35.630000000000003</v>
      </c>
      <c r="N133" s="83">
        <f>(MD_prices!N121+$D$2)*IF($M$2="Prices in $/MWh",1,1/1000)</f>
        <v>36.31</v>
      </c>
      <c r="O133" s="61"/>
    </row>
    <row r="134" spans="2:15" x14ac:dyDescent="0.25">
      <c r="B134" s="57"/>
      <c r="C134" s="74" t="str">
        <f>MD_prices!C122</f>
        <v>June-2016</v>
      </c>
      <c r="D134" s="75" t="str">
        <f>MD_prices!D122</f>
        <v>MD</v>
      </c>
      <c r="E134" s="76" t="str">
        <f>MD_prices!E122</f>
        <v>Delmarva</v>
      </c>
      <c r="F134" s="75" t="str">
        <f>MD_prices!F122</f>
        <v>GS</v>
      </c>
      <c r="G134" s="76" t="str">
        <f>MD_prices!G122</f>
        <v>General Service Small</v>
      </c>
      <c r="H134" s="77" t="str">
        <f t="shared" ref="H134" si="117">IF($M$2="Prices in $/MWh","0-100 MWh","0-100,000 kWh")</f>
        <v>0-100 MWh</v>
      </c>
      <c r="I134" s="76">
        <f>(MD_prices!I122+$D$2)*IF($M$2="Prices in $/MWh",1,1/1000)</f>
        <v>80.11</v>
      </c>
      <c r="J134" s="75">
        <f>(MD_prices!J122+$D$2)*IF($M$2="Prices in $/MWh",1,1/1000)</f>
        <v>78.239999999999995</v>
      </c>
      <c r="K134" s="76">
        <f>(MD_prices!K122+$D$2)*IF($M$2="Prices in $/MWh",1,1/1000)</f>
        <v>79.72</v>
      </c>
      <c r="L134" s="75">
        <f>(MD_prices!L122+$D$2)*IF($M$2="Prices in $/MWh",1,1/1000)</f>
        <v>38.75</v>
      </c>
      <c r="M134" s="76">
        <f>(MD_prices!M122+$D$2)*IF($M$2="Prices in $/MWh",1,1/1000)</f>
        <v>38.21</v>
      </c>
      <c r="N134" s="75">
        <f>(MD_prices!N122+$D$2)*IF($M$2="Prices in $/MWh",1,1/1000)</f>
        <v>38.799999999999997</v>
      </c>
      <c r="O134" s="61"/>
    </row>
    <row r="135" spans="2:15" x14ac:dyDescent="0.25">
      <c r="B135" s="57"/>
      <c r="C135" s="78" t="str">
        <f>MD_prices!C123</f>
        <v>June-2016</v>
      </c>
      <c r="D135" s="79" t="str">
        <f>MD_prices!D123</f>
        <v>MD</v>
      </c>
      <c r="E135" s="80" t="str">
        <f>MD_prices!E123</f>
        <v>Delmarva</v>
      </c>
      <c r="F135" s="79" t="str">
        <f>MD_prices!F123</f>
        <v>GS</v>
      </c>
      <c r="G135" s="80" t="str">
        <f>MD_prices!G123</f>
        <v>General Service Small</v>
      </c>
      <c r="H135" s="81" t="str">
        <f t="shared" ref="H135" si="118">IF($M$2="Prices in $/MWh","100-500 MWh","100,000-500,000 kWh")</f>
        <v>100-500 MWh</v>
      </c>
      <c r="I135" s="80">
        <f>(MD_prices!I123+$D$2)*IF($M$2="Prices in $/MWh",1,1/1000)</f>
        <v>78.510000000000005</v>
      </c>
      <c r="J135" s="79">
        <f>(MD_prices!J123+$D$2)*IF($M$2="Prices in $/MWh",1,1/1000)</f>
        <v>76.64</v>
      </c>
      <c r="K135" s="80">
        <f>(MD_prices!K123+$D$2)*IF($M$2="Prices in $/MWh",1,1/1000)</f>
        <v>78.12</v>
      </c>
      <c r="L135" s="79">
        <f>(MD_prices!L123+$D$2)*IF($M$2="Prices in $/MWh",1,1/1000)</f>
        <v>37.15</v>
      </c>
      <c r="M135" s="80">
        <f>(MD_prices!M123+$D$2)*IF($M$2="Prices in $/MWh",1,1/1000)</f>
        <v>36.61</v>
      </c>
      <c r="N135" s="79">
        <f>(MD_prices!N123+$D$2)*IF($M$2="Prices in $/MWh",1,1/1000)</f>
        <v>37.200000000000003</v>
      </c>
      <c r="O135" s="61"/>
    </row>
    <row r="136" spans="2:15" x14ac:dyDescent="0.25">
      <c r="B136" s="57"/>
      <c r="C136" s="82" t="str">
        <f>MD_prices!C124</f>
        <v>June-2016</v>
      </c>
      <c r="D136" s="83" t="str">
        <f>MD_prices!D124</f>
        <v>MD</v>
      </c>
      <c r="E136" s="84" t="str">
        <f>MD_prices!E124</f>
        <v>Delmarva</v>
      </c>
      <c r="F136" s="83" t="str">
        <f>MD_prices!F124</f>
        <v>GS</v>
      </c>
      <c r="G136" s="84" t="str">
        <f>MD_prices!G124</f>
        <v>General Service Small</v>
      </c>
      <c r="H136" s="85" t="str">
        <f t="shared" ref="H136" si="119">IF($M$2="Prices in $/MWh","500-2500 MWh","500,000-2,500,000 kWh")</f>
        <v>500-2500 MWh</v>
      </c>
      <c r="I136" s="84">
        <f>(MD_prices!I124+$D$2)*IF($M$2="Prices in $/MWh",1,1/1000)</f>
        <v>77.459999999999994</v>
      </c>
      <c r="J136" s="83">
        <f>(MD_prices!J124+$D$2)*IF($M$2="Prices in $/MWh",1,1/1000)</f>
        <v>75.59</v>
      </c>
      <c r="K136" s="84">
        <f>(MD_prices!K124+$D$2)*IF($M$2="Prices in $/MWh",1,1/1000)</f>
        <v>77.069999999999993</v>
      </c>
      <c r="L136" s="83">
        <f>(MD_prices!L124+$D$2)*IF($M$2="Prices in $/MWh",1,1/1000)</f>
        <v>36.1</v>
      </c>
      <c r="M136" s="84">
        <f>(MD_prices!M124+$D$2)*IF($M$2="Prices in $/MWh",1,1/1000)</f>
        <v>35.56</v>
      </c>
      <c r="N136" s="83">
        <f>(MD_prices!N124+$D$2)*IF($M$2="Prices in $/MWh",1,1/1000)</f>
        <v>36.15</v>
      </c>
      <c r="O136" s="61"/>
    </row>
    <row r="137" spans="2:15" x14ac:dyDescent="0.25">
      <c r="B137" s="57"/>
      <c r="C137" s="74" t="str">
        <f>MD_prices!C125</f>
        <v>July-2016</v>
      </c>
      <c r="D137" s="75" t="str">
        <f>MD_prices!D125</f>
        <v>MD</v>
      </c>
      <c r="E137" s="76" t="str">
        <f>MD_prices!E125</f>
        <v>Delmarva</v>
      </c>
      <c r="F137" s="75" t="str">
        <f>MD_prices!F125</f>
        <v>GS</v>
      </c>
      <c r="G137" s="76" t="str">
        <f>MD_prices!G125</f>
        <v>General Service Small</v>
      </c>
      <c r="H137" s="77" t="str">
        <f t="shared" ref="H137" si="120">IF($M$2="Prices in $/MWh","0-100 MWh","0-100,000 kWh")</f>
        <v>0-100 MWh</v>
      </c>
      <c r="I137" s="76">
        <f>(MD_prices!I125+$D$2)*IF($M$2="Prices in $/MWh",1,1/1000)</f>
        <v>80.08</v>
      </c>
      <c r="J137" s="75">
        <f>(MD_prices!J125+$D$2)*IF($M$2="Prices in $/MWh",1,1/1000)</f>
        <v>78.41</v>
      </c>
      <c r="K137" s="76">
        <f>(MD_prices!K125+$D$2)*IF($M$2="Prices in $/MWh",1,1/1000)</f>
        <v>80.02</v>
      </c>
      <c r="L137" s="75">
        <f>(MD_prices!L125+$D$2)*IF($M$2="Prices in $/MWh",1,1/1000)</f>
        <v>38.729999999999997</v>
      </c>
      <c r="M137" s="76">
        <f>(MD_prices!M125+$D$2)*IF($M$2="Prices in $/MWh",1,1/1000)</f>
        <v>38.43</v>
      </c>
      <c r="N137" s="75">
        <f>(MD_prices!N125+$D$2)*IF($M$2="Prices in $/MWh",1,1/1000)</f>
        <v>39.159999999999997</v>
      </c>
      <c r="O137" s="61"/>
    </row>
    <row r="138" spans="2:15" x14ac:dyDescent="0.25">
      <c r="B138" s="57"/>
      <c r="C138" s="78" t="str">
        <f>MD_prices!C126</f>
        <v>July-2016</v>
      </c>
      <c r="D138" s="79" t="str">
        <f>MD_prices!D126</f>
        <v>MD</v>
      </c>
      <c r="E138" s="80" t="str">
        <f>MD_prices!E126</f>
        <v>Delmarva</v>
      </c>
      <c r="F138" s="79" t="str">
        <f>MD_prices!F126</f>
        <v>GS</v>
      </c>
      <c r="G138" s="80" t="str">
        <f>MD_prices!G126</f>
        <v>General Service Small</v>
      </c>
      <c r="H138" s="81" t="str">
        <f t="shared" ref="H138" si="121">IF($M$2="Prices in $/MWh","100-500 MWh","100,000-500,000 kWh")</f>
        <v>100-500 MWh</v>
      </c>
      <c r="I138" s="80">
        <f>(MD_prices!I126+$D$2)*IF($M$2="Prices in $/MWh",1,1/1000)</f>
        <v>78.48</v>
      </c>
      <c r="J138" s="79">
        <f>(MD_prices!J126+$D$2)*IF($M$2="Prices in $/MWh",1,1/1000)</f>
        <v>76.81</v>
      </c>
      <c r="K138" s="80">
        <f>(MD_prices!K126+$D$2)*IF($M$2="Prices in $/MWh",1,1/1000)</f>
        <v>78.42</v>
      </c>
      <c r="L138" s="79">
        <f>(MD_prices!L126+$D$2)*IF($M$2="Prices in $/MWh",1,1/1000)</f>
        <v>37.130000000000003</v>
      </c>
      <c r="M138" s="80">
        <f>(MD_prices!M126+$D$2)*IF($M$2="Prices in $/MWh",1,1/1000)</f>
        <v>36.83</v>
      </c>
      <c r="N138" s="79">
        <f>(MD_prices!N126+$D$2)*IF($M$2="Prices in $/MWh",1,1/1000)</f>
        <v>37.56</v>
      </c>
      <c r="O138" s="61"/>
    </row>
    <row r="139" spans="2:15" x14ac:dyDescent="0.25">
      <c r="B139" s="57"/>
      <c r="C139" s="82" t="str">
        <f>MD_prices!C127</f>
        <v>July-2016</v>
      </c>
      <c r="D139" s="83" t="str">
        <f>MD_prices!D127</f>
        <v>MD</v>
      </c>
      <c r="E139" s="84" t="str">
        <f>MD_prices!E127</f>
        <v>Delmarva</v>
      </c>
      <c r="F139" s="83" t="str">
        <f>MD_prices!F127</f>
        <v>GS</v>
      </c>
      <c r="G139" s="84" t="str">
        <f>MD_prices!G127</f>
        <v>General Service Small</v>
      </c>
      <c r="H139" s="85" t="str">
        <f t="shared" ref="H139" si="122">IF($M$2="Prices in $/MWh","500-2500 MWh","500,000-2,500,000 kWh")</f>
        <v>500-2500 MWh</v>
      </c>
      <c r="I139" s="84">
        <f>(MD_prices!I127+$D$2)*IF($M$2="Prices in $/MWh",1,1/1000)</f>
        <v>77.430000000000007</v>
      </c>
      <c r="J139" s="83">
        <f>(MD_prices!J127+$D$2)*IF($M$2="Prices in $/MWh",1,1/1000)</f>
        <v>75.760000000000005</v>
      </c>
      <c r="K139" s="84">
        <f>(MD_prices!K127+$D$2)*IF($M$2="Prices in $/MWh",1,1/1000)</f>
        <v>77.37</v>
      </c>
      <c r="L139" s="83">
        <f>(MD_prices!L127+$D$2)*IF($M$2="Prices in $/MWh",1,1/1000)</f>
        <v>36.08</v>
      </c>
      <c r="M139" s="84">
        <f>(MD_prices!M127+$D$2)*IF($M$2="Prices in $/MWh",1,1/1000)</f>
        <v>35.78</v>
      </c>
      <c r="N139" s="83">
        <f>(MD_prices!N127+$D$2)*IF($M$2="Prices in $/MWh",1,1/1000)</f>
        <v>36.51</v>
      </c>
      <c r="O139" s="61"/>
    </row>
    <row r="140" spans="2:15" x14ac:dyDescent="0.25">
      <c r="B140" s="57"/>
      <c r="C140" s="74" t="str">
        <f>MD_prices!C128</f>
        <v>August-2016</v>
      </c>
      <c r="D140" s="75" t="str">
        <f>MD_prices!D128</f>
        <v>MD</v>
      </c>
      <c r="E140" s="76" t="str">
        <f>MD_prices!E128</f>
        <v>Delmarva</v>
      </c>
      <c r="F140" s="75" t="str">
        <f>MD_prices!F128</f>
        <v>GS</v>
      </c>
      <c r="G140" s="76" t="str">
        <f>MD_prices!G128</f>
        <v>General Service Small</v>
      </c>
      <c r="H140" s="77" t="str">
        <f t="shared" ref="H140" si="123">IF($M$2="Prices in $/MWh","0-100 MWh","0-100,000 kWh")</f>
        <v>0-100 MWh</v>
      </c>
      <c r="I140" s="76">
        <f>(MD_prices!I128+$D$2)*IF($M$2="Prices in $/MWh",1,1/1000)</f>
        <v>80.010000000000005</v>
      </c>
      <c r="J140" s="75">
        <f>(MD_prices!J128+$D$2)*IF($M$2="Prices in $/MWh",1,1/1000)</f>
        <v>79.55</v>
      </c>
      <c r="K140" s="76">
        <f>(MD_prices!K128+$D$2)*IF($M$2="Prices in $/MWh",1,1/1000)</f>
        <v>80.42</v>
      </c>
      <c r="L140" s="75">
        <f>(MD_prices!L128+$D$2)*IF($M$2="Prices in $/MWh",1,1/1000)</f>
        <v>38.75</v>
      </c>
      <c r="M140" s="76">
        <f>(MD_prices!M128+$D$2)*IF($M$2="Prices in $/MWh",1,1/1000)</f>
        <v>38.840000000000003</v>
      </c>
      <c r="N140" s="75">
        <f>(MD_prices!N128+$D$2)*IF($M$2="Prices in $/MWh",1,1/1000)</f>
        <v>39.54</v>
      </c>
      <c r="O140" s="61"/>
    </row>
    <row r="141" spans="2:15" x14ac:dyDescent="0.25">
      <c r="B141" s="57"/>
      <c r="C141" s="78" t="str">
        <f>MD_prices!C129</f>
        <v>August-2016</v>
      </c>
      <c r="D141" s="79" t="str">
        <f>MD_prices!D129</f>
        <v>MD</v>
      </c>
      <c r="E141" s="80" t="str">
        <f>MD_prices!E129</f>
        <v>Delmarva</v>
      </c>
      <c r="F141" s="79" t="str">
        <f>MD_prices!F129</f>
        <v>GS</v>
      </c>
      <c r="G141" s="80" t="str">
        <f>MD_prices!G129</f>
        <v>General Service Small</v>
      </c>
      <c r="H141" s="81" t="str">
        <f t="shared" ref="H141" si="124">IF($M$2="Prices in $/MWh","100-500 MWh","100,000-500,000 kWh")</f>
        <v>100-500 MWh</v>
      </c>
      <c r="I141" s="80">
        <f>(MD_prices!I129+$D$2)*IF($M$2="Prices in $/MWh",1,1/1000)</f>
        <v>78.41</v>
      </c>
      <c r="J141" s="79">
        <f>(MD_prices!J129+$D$2)*IF($M$2="Prices in $/MWh",1,1/1000)</f>
        <v>77.95</v>
      </c>
      <c r="K141" s="80">
        <f>(MD_prices!K129+$D$2)*IF($M$2="Prices in $/MWh",1,1/1000)</f>
        <v>78.819999999999993</v>
      </c>
      <c r="L141" s="79">
        <f>(MD_prices!L129+$D$2)*IF($M$2="Prices in $/MWh",1,1/1000)</f>
        <v>37.15</v>
      </c>
      <c r="M141" s="80">
        <f>(MD_prices!M129+$D$2)*IF($M$2="Prices in $/MWh",1,1/1000)</f>
        <v>37.24</v>
      </c>
      <c r="N141" s="79">
        <f>(MD_prices!N129+$D$2)*IF($M$2="Prices in $/MWh",1,1/1000)</f>
        <v>37.94</v>
      </c>
      <c r="O141" s="61"/>
    </row>
    <row r="142" spans="2:15" x14ac:dyDescent="0.25">
      <c r="B142" s="57"/>
      <c r="C142" s="82" t="str">
        <f>MD_prices!C130</f>
        <v>August-2016</v>
      </c>
      <c r="D142" s="83" t="str">
        <f>MD_prices!D130</f>
        <v>MD</v>
      </c>
      <c r="E142" s="84" t="str">
        <f>MD_prices!E130</f>
        <v>Delmarva</v>
      </c>
      <c r="F142" s="83" t="str">
        <f>MD_prices!F130</f>
        <v>GS</v>
      </c>
      <c r="G142" s="84" t="str">
        <f>MD_prices!G130</f>
        <v>General Service Small</v>
      </c>
      <c r="H142" s="85" t="str">
        <f t="shared" ref="H142" si="125">IF($M$2="Prices in $/MWh","500-2500 MWh","500,000-2,500,000 kWh")</f>
        <v>500-2500 MWh</v>
      </c>
      <c r="I142" s="84">
        <f>(MD_prices!I130+$D$2)*IF($M$2="Prices in $/MWh",1,1/1000)</f>
        <v>77.36</v>
      </c>
      <c r="J142" s="83">
        <f>(MD_prices!J130+$D$2)*IF($M$2="Prices in $/MWh",1,1/1000)</f>
        <v>76.900000000000006</v>
      </c>
      <c r="K142" s="84">
        <f>(MD_prices!K130+$D$2)*IF($M$2="Prices in $/MWh",1,1/1000)</f>
        <v>77.77</v>
      </c>
      <c r="L142" s="83">
        <f>(MD_prices!L130+$D$2)*IF($M$2="Prices in $/MWh",1,1/1000)</f>
        <v>36.1</v>
      </c>
      <c r="M142" s="84">
        <f>(MD_prices!M130+$D$2)*IF($M$2="Prices in $/MWh",1,1/1000)</f>
        <v>36.19</v>
      </c>
      <c r="N142" s="83">
        <f>(MD_prices!N130+$D$2)*IF($M$2="Prices in $/MWh",1,1/1000)</f>
        <v>36.89</v>
      </c>
      <c r="O142" s="61"/>
    </row>
    <row r="143" spans="2:15" x14ac:dyDescent="0.25">
      <c r="B143" s="57"/>
      <c r="C143" s="74" t="str">
        <f>MD_prices!C131</f>
        <v>September-2016</v>
      </c>
      <c r="D143" s="75" t="str">
        <f>MD_prices!D131</f>
        <v>MD</v>
      </c>
      <c r="E143" s="76" t="str">
        <f>MD_prices!E131</f>
        <v>Delmarva</v>
      </c>
      <c r="F143" s="75" t="str">
        <f>MD_prices!F131</f>
        <v>GS</v>
      </c>
      <c r="G143" s="76" t="str">
        <f>MD_prices!G131</f>
        <v>General Service Small</v>
      </c>
      <c r="H143" s="77" t="str">
        <f t="shared" ref="H143" si="126">IF($M$2="Prices in $/MWh","0-100 MWh","0-100,000 kWh")</f>
        <v>0-100 MWh</v>
      </c>
      <c r="I143" s="76">
        <f>(MD_prices!I131+$D$2)*IF($M$2="Prices in $/MWh",1,1/1000)</f>
        <v>79.88</v>
      </c>
      <c r="J143" s="75">
        <f>(MD_prices!J131+$D$2)*IF($M$2="Prices in $/MWh",1,1/1000)</f>
        <v>80.59</v>
      </c>
      <c r="K143" s="76">
        <f>(MD_prices!K131+$D$2)*IF($M$2="Prices in $/MWh",1,1/1000)</f>
        <v>80.75</v>
      </c>
      <c r="L143" s="75">
        <f>(MD_prices!L131+$D$2)*IF($M$2="Prices in $/MWh",1,1/1000)</f>
        <v>38.74</v>
      </c>
      <c r="M143" s="76">
        <f>(MD_prices!M131+$D$2)*IF($M$2="Prices in $/MWh",1,1/1000)</f>
        <v>39.21</v>
      </c>
      <c r="N143" s="75">
        <f>(MD_prices!N131+$D$2)*IF($M$2="Prices in $/MWh",1,1/1000)</f>
        <v>39.92</v>
      </c>
      <c r="O143" s="61"/>
    </row>
    <row r="144" spans="2:15" x14ac:dyDescent="0.25">
      <c r="B144" s="57"/>
      <c r="C144" s="78" t="str">
        <f>MD_prices!C132</f>
        <v>September-2016</v>
      </c>
      <c r="D144" s="79" t="str">
        <f>MD_prices!D132</f>
        <v>MD</v>
      </c>
      <c r="E144" s="80" t="str">
        <f>MD_prices!E132</f>
        <v>Delmarva</v>
      </c>
      <c r="F144" s="79" t="str">
        <f>MD_prices!F132</f>
        <v>GS</v>
      </c>
      <c r="G144" s="80" t="str">
        <f>MD_prices!G132</f>
        <v>General Service Small</v>
      </c>
      <c r="H144" s="81" t="str">
        <f t="shared" ref="H144" si="127">IF($M$2="Prices in $/MWh","100-500 MWh","100,000-500,000 kWh")</f>
        <v>100-500 MWh</v>
      </c>
      <c r="I144" s="80">
        <f>(MD_prices!I132+$D$2)*IF($M$2="Prices in $/MWh",1,1/1000)</f>
        <v>78.28</v>
      </c>
      <c r="J144" s="79">
        <f>(MD_prices!J132+$D$2)*IF($M$2="Prices in $/MWh",1,1/1000)</f>
        <v>78.989999999999995</v>
      </c>
      <c r="K144" s="80">
        <f>(MD_prices!K132+$D$2)*IF($M$2="Prices in $/MWh",1,1/1000)</f>
        <v>79.150000000000006</v>
      </c>
      <c r="L144" s="79">
        <f>(MD_prices!L132+$D$2)*IF($M$2="Prices in $/MWh",1,1/1000)</f>
        <v>37.14</v>
      </c>
      <c r="M144" s="80">
        <f>(MD_prices!M132+$D$2)*IF($M$2="Prices in $/MWh",1,1/1000)</f>
        <v>37.61</v>
      </c>
      <c r="N144" s="79">
        <f>(MD_prices!N132+$D$2)*IF($M$2="Prices in $/MWh",1,1/1000)</f>
        <v>38.32</v>
      </c>
      <c r="O144" s="61"/>
    </row>
    <row r="145" spans="2:15" x14ac:dyDescent="0.25">
      <c r="B145" s="57"/>
      <c r="C145" s="82" t="str">
        <f>MD_prices!C133</f>
        <v>September-2016</v>
      </c>
      <c r="D145" s="83" t="str">
        <f>MD_prices!D133</f>
        <v>MD</v>
      </c>
      <c r="E145" s="84" t="str">
        <f>MD_prices!E133</f>
        <v>Delmarva</v>
      </c>
      <c r="F145" s="83" t="str">
        <f>MD_prices!F133</f>
        <v>GS</v>
      </c>
      <c r="G145" s="84" t="str">
        <f>MD_prices!G133</f>
        <v>General Service Small</v>
      </c>
      <c r="H145" s="85" t="str">
        <f t="shared" ref="H145" si="128">IF($M$2="Prices in $/MWh","500-2500 MWh","500,000-2,500,000 kWh")</f>
        <v>500-2500 MWh</v>
      </c>
      <c r="I145" s="84">
        <f>(MD_prices!I133+$D$2)*IF($M$2="Prices in $/MWh",1,1/1000)</f>
        <v>77.23</v>
      </c>
      <c r="J145" s="83">
        <f>(MD_prices!J133+$D$2)*IF($M$2="Prices in $/MWh",1,1/1000)</f>
        <v>77.94</v>
      </c>
      <c r="K145" s="84">
        <f>(MD_prices!K133+$D$2)*IF($M$2="Prices in $/MWh",1,1/1000)</f>
        <v>78.099999999999994</v>
      </c>
      <c r="L145" s="83">
        <f>(MD_prices!L133+$D$2)*IF($M$2="Prices in $/MWh",1,1/1000)</f>
        <v>36.090000000000003</v>
      </c>
      <c r="M145" s="84">
        <f>(MD_prices!M133+$D$2)*IF($M$2="Prices in $/MWh",1,1/1000)</f>
        <v>36.56</v>
      </c>
      <c r="N145" s="83">
        <f>(MD_prices!N133+$D$2)*IF($M$2="Prices in $/MWh",1,1/1000)</f>
        <v>37.270000000000003</v>
      </c>
      <c r="O145" s="61"/>
    </row>
    <row r="146" spans="2:15" x14ac:dyDescent="0.25">
      <c r="B146" s="57"/>
      <c r="C146" s="74" t="str">
        <f>MD_prices!C134</f>
        <v>October-2016</v>
      </c>
      <c r="D146" s="75" t="str">
        <f>MD_prices!D134</f>
        <v>MD</v>
      </c>
      <c r="E146" s="76" t="str">
        <f>MD_prices!E134</f>
        <v>Delmarva</v>
      </c>
      <c r="F146" s="75" t="str">
        <f>MD_prices!F134</f>
        <v>GS</v>
      </c>
      <c r="G146" s="76" t="str">
        <f>MD_prices!G134</f>
        <v>General Service Small</v>
      </c>
      <c r="H146" s="77" t="str">
        <f t="shared" ref="H146" si="129">IF($M$2="Prices in $/MWh","0-100 MWh","0-100,000 kWh")</f>
        <v>0-100 MWh</v>
      </c>
      <c r="I146" s="76">
        <f>(MD_prices!I134+$D$2)*IF($M$2="Prices in $/MWh",1,1/1000)</f>
        <v>79.87</v>
      </c>
      <c r="J146" s="75">
        <f>(MD_prices!J134+$D$2)*IF($M$2="Prices in $/MWh",1,1/1000)</f>
        <v>81.13</v>
      </c>
      <c r="K146" s="76">
        <f>(MD_prices!K134+$D$2)*IF($M$2="Prices in $/MWh",1,1/1000)</f>
        <v>81.040000000000006</v>
      </c>
      <c r="L146" s="75">
        <f>(MD_prices!L134+$D$2)*IF($M$2="Prices in $/MWh",1,1/1000)</f>
        <v>38.75</v>
      </c>
      <c r="M146" s="76">
        <f>(MD_prices!M134+$D$2)*IF($M$2="Prices in $/MWh",1,1/1000)</f>
        <v>39.5</v>
      </c>
      <c r="N146" s="75">
        <f>(MD_prices!N134+$D$2)*IF($M$2="Prices in $/MWh",1,1/1000)</f>
        <v>40.299999999999997</v>
      </c>
      <c r="O146" s="61"/>
    </row>
    <row r="147" spans="2:15" x14ac:dyDescent="0.25">
      <c r="B147" s="57"/>
      <c r="C147" s="78" t="str">
        <f>MD_prices!C135</f>
        <v>October-2016</v>
      </c>
      <c r="D147" s="79" t="str">
        <f>MD_prices!D135</f>
        <v>MD</v>
      </c>
      <c r="E147" s="80" t="str">
        <f>MD_prices!E135</f>
        <v>Delmarva</v>
      </c>
      <c r="F147" s="79" t="str">
        <f>MD_prices!F135</f>
        <v>GS</v>
      </c>
      <c r="G147" s="80" t="str">
        <f>MD_prices!G135</f>
        <v>General Service Small</v>
      </c>
      <c r="H147" s="81" t="str">
        <f t="shared" ref="H147" si="130">IF($M$2="Prices in $/MWh","100-500 MWh","100,000-500,000 kWh")</f>
        <v>100-500 MWh</v>
      </c>
      <c r="I147" s="80">
        <f>(MD_prices!I135+$D$2)*IF($M$2="Prices in $/MWh",1,1/1000)</f>
        <v>78.27</v>
      </c>
      <c r="J147" s="79">
        <f>(MD_prices!J135+$D$2)*IF($M$2="Prices in $/MWh",1,1/1000)</f>
        <v>79.53</v>
      </c>
      <c r="K147" s="80">
        <f>(MD_prices!K135+$D$2)*IF($M$2="Prices in $/MWh",1,1/1000)</f>
        <v>79.44</v>
      </c>
      <c r="L147" s="79">
        <f>(MD_prices!L135+$D$2)*IF($M$2="Prices in $/MWh",1,1/1000)</f>
        <v>37.15</v>
      </c>
      <c r="M147" s="80">
        <f>(MD_prices!M135+$D$2)*IF($M$2="Prices in $/MWh",1,1/1000)</f>
        <v>37.9</v>
      </c>
      <c r="N147" s="79">
        <f>(MD_prices!N135+$D$2)*IF($M$2="Prices in $/MWh",1,1/1000)</f>
        <v>38.700000000000003</v>
      </c>
      <c r="O147" s="61"/>
    </row>
    <row r="148" spans="2:15" x14ac:dyDescent="0.25">
      <c r="B148" s="57"/>
      <c r="C148" s="82" t="str">
        <f>MD_prices!C136</f>
        <v>October-2016</v>
      </c>
      <c r="D148" s="83" t="str">
        <f>MD_prices!D136</f>
        <v>MD</v>
      </c>
      <c r="E148" s="84" t="str">
        <f>MD_prices!E136</f>
        <v>Delmarva</v>
      </c>
      <c r="F148" s="83" t="str">
        <f>MD_prices!F136</f>
        <v>GS</v>
      </c>
      <c r="G148" s="84" t="str">
        <f>MD_prices!G136</f>
        <v>General Service Small</v>
      </c>
      <c r="H148" s="85" t="str">
        <f t="shared" ref="H148" si="131">IF($M$2="Prices in $/MWh","500-2500 MWh","500,000-2,500,000 kWh")</f>
        <v>500-2500 MWh</v>
      </c>
      <c r="I148" s="84">
        <f>(MD_prices!I136+$D$2)*IF($M$2="Prices in $/MWh",1,1/1000)</f>
        <v>77.22</v>
      </c>
      <c r="J148" s="83">
        <f>(MD_prices!J136+$D$2)*IF($M$2="Prices in $/MWh",1,1/1000)</f>
        <v>78.48</v>
      </c>
      <c r="K148" s="84">
        <f>(MD_prices!K136+$D$2)*IF($M$2="Prices in $/MWh",1,1/1000)</f>
        <v>78.39</v>
      </c>
      <c r="L148" s="83">
        <f>(MD_prices!L136+$D$2)*IF($M$2="Prices in $/MWh",1,1/1000)</f>
        <v>36.1</v>
      </c>
      <c r="M148" s="84">
        <f>(MD_prices!M136+$D$2)*IF($M$2="Prices in $/MWh",1,1/1000)</f>
        <v>36.85</v>
      </c>
      <c r="N148" s="83">
        <f>(MD_prices!N136+$D$2)*IF($M$2="Prices in $/MWh",1,1/1000)</f>
        <v>37.65</v>
      </c>
      <c r="O148" s="61"/>
    </row>
    <row r="149" spans="2:15" x14ac:dyDescent="0.25">
      <c r="B149" s="57"/>
      <c r="C149" s="74" t="str">
        <f>MD_prices!C137</f>
        <v>November-2016</v>
      </c>
      <c r="D149" s="75" t="str">
        <f>MD_prices!D137</f>
        <v>MD</v>
      </c>
      <c r="E149" s="76" t="str">
        <f>MD_prices!E137</f>
        <v>Delmarva</v>
      </c>
      <c r="F149" s="75" t="str">
        <f>MD_prices!F137</f>
        <v>GS</v>
      </c>
      <c r="G149" s="76" t="str">
        <f>MD_prices!G137</f>
        <v>General Service Small</v>
      </c>
      <c r="H149" s="77" t="str">
        <f t="shared" ref="H149" si="132">IF($M$2="Prices in $/MWh","0-100 MWh","0-100,000 kWh")</f>
        <v>0-100 MWh</v>
      </c>
      <c r="I149" s="76">
        <f>(MD_prices!I137+$D$2)*IF($M$2="Prices in $/MWh",1,1/1000)</f>
        <v>79.8</v>
      </c>
      <c r="J149" s="75">
        <f>(MD_prices!J137+$D$2)*IF($M$2="Prices in $/MWh",1,1/1000)</f>
        <v>81.31</v>
      </c>
      <c r="K149" s="76">
        <f>(MD_prices!K137+$D$2)*IF($M$2="Prices in $/MWh",1,1/1000)</f>
        <v>81.38</v>
      </c>
      <c r="L149" s="75">
        <f>(MD_prices!L137+$D$2)*IF($M$2="Prices in $/MWh",1,1/1000)</f>
        <v>38.770000000000003</v>
      </c>
      <c r="M149" s="76">
        <f>(MD_prices!M137+$D$2)*IF($M$2="Prices in $/MWh",1,1/1000)</f>
        <v>39.549999999999997</v>
      </c>
      <c r="N149" s="75">
        <f>(MD_prices!N137+$D$2)*IF($M$2="Prices in $/MWh",1,1/1000)</f>
        <v>40.69</v>
      </c>
      <c r="O149" s="61"/>
    </row>
    <row r="150" spans="2:15" x14ac:dyDescent="0.25">
      <c r="B150" s="57"/>
      <c r="C150" s="78" t="str">
        <f>MD_prices!C138</f>
        <v>November-2016</v>
      </c>
      <c r="D150" s="79" t="str">
        <f>MD_prices!D138</f>
        <v>MD</v>
      </c>
      <c r="E150" s="80" t="str">
        <f>MD_prices!E138</f>
        <v>Delmarva</v>
      </c>
      <c r="F150" s="79" t="str">
        <f>MD_prices!F138</f>
        <v>GS</v>
      </c>
      <c r="G150" s="80" t="str">
        <f>MD_prices!G138</f>
        <v>General Service Small</v>
      </c>
      <c r="H150" s="81" t="str">
        <f t="shared" ref="H150" si="133">IF($M$2="Prices in $/MWh","100-500 MWh","100,000-500,000 kWh")</f>
        <v>100-500 MWh</v>
      </c>
      <c r="I150" s="80">
        <f>(MD_prices!I138+$D$2)*IF($M$2="Prices in $/MWh",1,1/1000)</f>
        <v>78.2</v>
      </c>
      <c r="J150" s="79">
        <f>(MD_prices!J138+$D$2)*IF($M$2="Prices in $/MWh",1,1/1000)</f>
        <v>79.709999999999994</v>
      </c>
      <c r="K150" s="80">
        <f>(MD_prices!K138+$D$2)*IF($M$2="Prices in $/MWh",1,1/1000)</f>
        <v>79.78</v>
      </c>
      <c r="L150" s="79">
        <f>(MD_prices!L138+$D$2)*IF($M$2="Prices in $/MWh",1,1/1000)</f>
        <v>37.17</v>
      </c>
      <c r="M150" s="80">
        <f>(MD_prices!M138+$D$2)*IF($M$2="Prices in $/MWh",1,1/1000)</f>
        <v>37.950000000000003</v>
      </c>
      <c r="N150" s="79">
        <f>(MD_prices!N138+$D$2)*IF($M$2="Prices in $/MWh",1,1/1000)</f>
        <v>39.090000000000003</v>
      </c>
      <c r="O150" s="61"/>
    </row>
    <row r="151" spans="2:15" x14ac:dyDescent="0.25">
      <c r="B151" s="57"/>
      <c r="C151" s="82" t="str">
        <f>MD_prices!C139</f>
        <v>November-2016</v>
      </c>
      <c r="D151" s="83" t="str">
        <f>MD_prices!D139</f>
        <v>MD</v>
      </c>
      <c r="E151" s="84" t="str">
        <f>MD_prices!E139</f>
        <v>Delmarva</v>
      </c>
      <c r="F151" s="83" t="str">
        <f>MD_prices!F139</f>
        <v>GS</v>
      </c>
      <c r="G151" s="84" t="str">
        <f>MD_prices!G139</f>
        <v>General Service Small</v>
      </c>
      <c r="H151" s="85" t="str">
        <f t="shared" ref="H151" si="134">IF($M$2="Prices in $/MWh","500-2500 MWh","500,000-2,500,000 kWh")</f>
        <v>500-2500 MWh</v>
      </c>
      <c r="I151" s="84">
        <f>(MD_prices!I139+$D$2)*IF($M$2="Prices in $/MWh",1,1/1000)</f>
        <v>77.150000000000006</v>
      </c>
      <c r="J151" s="83">
        <f>(MD_prices!J139+$D$2)*IF($M$2="Prices in $/MWh",1,1/1000)</f>
        <v>78.66</v>
      </c>
      <c r="K151" s="84">
        <f>(MD_prices!K139+$D$2)*IF($M$2="Prices in $/MWh",1,1/1000)</f>
        <v>78.73</v>
      </c>
      <c r="L151" s="83">
        <f>(MD_prices!L139+$D$2)*IF($M$2="Prices in $/MWh",1,1/1000)</f>
        <v>36.119999999999997</v>
      </c>
      <c r="M151" s="84">
        <f>(MD_prices!M139+$D$2)*IF($M$2="Prices in $/MWh",1,1/1000)</f>
        <v>36.9</v>
      </c>
      <c r="N151" s="83">
        <f>(MD_prices!N139+$D$2)*IF($M$2="Prices in $/MWh",1,1/1000)</f>
        <v>38.04</v>
      </c>
      <c r="O151" s="61"/>
    </row>
    <row r="152" spans="2:15" x14ac:dyDescent="0.25">
      <c r="B152" s="57"/>
      <c r="C152" s="74" t="str">
        <f>MD_prices!C140</f>
        <v>December-2016</v>
      </c>
      <c r="D152" s="75" t="str">
        <f>MD_prices!D140</f>
        <v>MD</v>
      </c>
      <c r="E152" s="76" t="str">
        <f>MD_prices!E140</f>
        <v>Delmarva</v>
      </c>
      <c r="F152" s="75" t="str">
        <f>MD_prices!F140</f>
        <v>GS</v>
      </c>
      <c r="G152" s="76" t="str">
        <f>MD_prices!G140</f>
        <v>General Service Small</v>
      </c>
      <c r="H152" s="77" t="str">
        <f t="shared" ref="H152" si="135">IF($M$2="Prices in $/MWh","0-100 MWh","0-100,000 kWh")</f>
        <v>0-100 MWh</v>
      </c>
      <c r="I152" s="76">
        <f>(MD_prices!I140+$D$2)*IF($M$2="Prices in $/MWh",1,1/1000)</f>
        <v>79.61</v>
      </c>
      <c r="J152" s="75">
        <f>(MD_prices!J140+$D$2)*IF($M$2="Prices in $/MWh",1,1/1000)</f>
        <v>81.180000000000007</v>
      </c>
      <c r="K152" s="76">
        <f>(MD_prices!K140+$D$2)*IF($M$2="Prices in $/MWh",1,1/1000)</f>
        <v>81.61</v>
      </c>
      <c r="L152" s="75">
        <f>(MD_prices!L140+$D$2)*IF($M$2="Prices in $/MWh",1,1/1000)</f>
        <v>38.74</v>
      </c>
      <c r="M152" s="76">
        <f>(MD_prices!M140+$D$2)*IF($M$2="Prices in $/MWh",1,1/1000)</f>
        <v>39.380000000000003</v>
      </c>
      <c r="N152" s="75">
        <f>(MD_prices!N140+$D$2)*IF($M$2="Prices in $/MWh",1,1/1000)</f>
        <v>41.02</v>
      </c>
      <c r="O152" s="61"/>
    </row>
    <row r="153" spans="2:15" x14ac:dyDescent="0.25">
      <c r="B153" s="57"/>
      <c r="C153" s="78" t="str">
        <f>MD_prices!C141</f>
        <v>December-2016</v>
      </c>
      <c r="D153" s="79" t="str">
        <f>MD_prices!D141</f>
        <v>MD</v>
      </c>
      <c r="E153" s="80" t="str">
        <f>MD_prices!E141</f>
        <v>Delmarva</v>
      </c>
      <c r="F153" s="79" t="str">
        <f>MD_prices!F141</f>
        <v>GS</v>
      </c>
      <c r="G153" s="80" t="str">
        <f>MD_prices!G141</f>
        <v>General Service Small</v>
      </c>
      <c r="H153" s="81" t="str">
        <f t="shared" ref="H153" si="136">IF($M$2="Prices in $/MWh","100-500 MWh","100,000-500,000 kWh")</f>
        <v>100-500 MWh</v>
      </c>
      <c r="I153" s="80">
        <f>(MD_prices!I141+$D$2)*IF($M$2="Prices in $/MWh",1,1/1000)</f>
        <v>78.010000000000005</v>
      </c>
      <c r="J153" s="79">
        <f>(MD_prices!J141+$D$2)*IF($M$2="Prices in $/MWh",1,1/1000)</f>
        <v>79.58</v>
      </c>
      <c r="K153" s="80">
        <f>(MD_prices!K141+$D$2)*IF($M$2="Prices in $/MWh",1,1/1000)</f>
        <v>80.010000000000005</v>
      </c>
      <c r="L153" s="79">
        <f>(MD_prices!L141+$D$2)*IF($M$2="Prices in $/MWh",1,1/1000)</f>
        <v>37.14</v>
      </c>
      <c r="M153" s="80">
        <f>(MD_prices!M141+$D$2)*IF($M$2="Prices in $/MWh",1,1/1000)</f>
        <v>37.78</v>
      </c>
      <c r="N153" s="79">
        <f>(MD_prices!N141+$D$2)*IF($M$2="Prices in $/MWh",1,1/1000)</f>
        <v>39.42</v>
      </c>
      <c r="O153" s="61"/>
    </row>
    <row r="154" spans="2:15" x14ac:dyDescent="0.25">
      <c r="B154" s="57"/>
      <c r="C154" s="82" t="str">
        <f>MD_prices!C142</f>
        <v>December-2016</v>
      </c>
      <c r="D154" s="83" t="str">
        <f>MD_prices!D142</f>
        <v>MD</v>
      </c>
      <c r="E154" s="84" t="str">
        <f>MD_prices!E142</f>
        <v>Delmarva</v>
      </c>
      <c r="F154" s="83" t="str">
        <f>MD_prices!F142</f>
        <v>GS</v>
      </c>
      <c r="G154" s="84" t="str">
        <f>MD_prices!G142</f>
        <v>General Service Small</v>
      </c>
      <c r="H154" s="85" t="str">
        <f t="shared" ref="H154" si="137">IF($M$2="Prices in $/MWh","500-2500 MWh","500,000-2,500,000 kWh")</f>
        <v>500-2500 MWh</v>
      </c>
      <c r="I154" s="84">
        <f>(MD_prices!I142+$D$2)*IF($M$2="Prices in $/MWh",1,1/1000)</f>
        <v>76.959999999999994</v>
      </c>
      <c r="J154" s="83">
        <f>(MD_prices!J142+$D$2)*IF($M$2="Prices in $/MWh",1,1/1000)</f>
        <v>78.53</v>
      </c>
      <c r="K154" s="84">
        <f>(MD_prices!K142+$D$2)*IF($M$2="Prices in $/MWh",1,1/1000)</f>
        <v>78.959999999999994</v>
      </c>
      <c r="L154" s="83">
        <f>(MD_prices!L142+$D$2)*IF($M$2="Prices in $/MWh",1,1/1000)</f>
        <v>36.090000000000003</v>
      </c>
      <c r="M154" s="84">
        <f>(MD_prices!M142+$D$2)*IF($M$2="Prices in $/MWh",1,1/1000)</f>
        <v>36.729999999999997</v>
      </c>
      <c r="N154" s="83">
        <f>(MD_prices!N142+$D$2)*IF($M$2="Prices in $/MWh",1,1/1000)</f>
        <v>38.369999999999997</v>
      </c>
      <c r="O154" s="61"/>
    </row>
    <row r="155" spans="2:15" x14ac:dyDescent="0.25">
      <c r="B155" s="57"/>
      <c r="C155" s="74" t="str">
        <f>MD_prices!C143</f>
        <v>January-2017</v>
      </c>
      <c r="D155" s="75" t="str">
        <f>MD_prices!D143</f>
        <v>MD</v>
      </c>
      <c r="E155" s="76" t="str">
        <f>MD_prices!E143</f>
        <v>Delmarva</v>
      </c>
      <c r="F155" s="75" t="str">
        <f>MD_prices!F143</f>
        <v>GS</v>
      </c>
      <c r="G155" s="76" t="str">
        <f>MD_prices!G143</f>
        <v>General Service Small</v>
      </c>
      <c r="H155" s="77" t="str">
        <f t="shared" ref="H155" si="138">IF($M$2="Prices in $/MWh","0-100 MWh","0-100,000 kWh")</f>
        <v>0-100 MWh</v>
      </c>
      <c r="I155" s="76">
        <f>(MD_prices!I143+$D$2)*IF($M$2="Prices in $/MWh",1,1/1000)</f>
        <v>79.53</v>
      </c>
      <c r="J155" s="75">
        <f>(MD_prices!J143+$D$2)*IF($M$2="Prices in $/MWh",1,1/1000)</f>
        <v>81.349999999999994</v>
      </c>
      <c r="K155" s="76">
        <f>(MD_prices!K143+$D$2)*IF($M$2="Prices in $/MWh",1,1/1000)</f>
        <v>81.97</v>
      </c>
      <c r="L155" s="75">
        <f>(MD_prices!L143+$D$2)*IF($M$2="Prices in $/MWh",1,1/1000)</f>
        <v>38.729999999999997</v>
      </c>
      <c r="M155" s="76">
        <f>(MD_prices!M143+$D$2)*IF($M$2="Prices in $/MWh",1,1/1000)</f>
        <v>39.619999999999997</v>
      </c>
      <c r="N155" s="75">
        <f>(MD_prices!N143+$D$2)*IF($M$2="Prices in $/MWh",1,1/1000)</f>
        <v>41.39</v>
      </c>
      <c r="O155" s="61"/>
    </row>
    <row r="156" spans="2:15" x14ac:dyDescent="0.25">
      <c r="B156" s="57"/>
      <c r="C156" s="78" t="str">
        <f>MD_prices!C144</f>
        <v>January-2017</v>
      </c>
      <c r="D156" s="79" t="str">
        <f>MD_prices!D144</f>
        <v>MD</v>
      </c>
      <c r="E156" s="80" t="str">
        <f>MD_prices!E144</f>
        <v>Delmarva</v>
      </c>
      <c r="F156" s="79" t="str">
        <f>MD_prices!F144</f>
        <v>GS</v>
      </c>
      <c r="G156" s="80" t="str">
        <f>MD_prices!G144</f>
        <v>General Service Small</v>
      </c>
      <c r="H156" s="81" t="str">
        <f t="shared" ref="H156" si="139">IF($M$2="Prices in $/MWh","100-500 MWh","100,000-500,000 kWh")</f>
        <v>100-500 MWh</v>
      </c>
      <c r="I156" s="80">
        <f>(MD_prices!I144+$D$2)*IF($M$2="Prices in $/MWh",1,1/1000)</f>
        <v>77.930000000000007</v>
      </c>
      <c r="J156" s="79">
        <f>(MD_prices!J144+$D$2)*IF($M$2="Prices in $/MWh",1,1/1000)</f>
        <v>79.75</v>
      </c>
      <c r="K156" s="80">
        <f>(MD_prices!K144+$D$2)*IF($M$2="Prices in $/MWh",1,1/1000)</f>
        <v>80.37</v>
      </c>
      <c r="L156" s="79">
        <f>(MD_prices!L144+$D$2)*IF($M$2="Prices in $/MWh",1,1/1000)</f>
        <v>37.130000000000003</v>
      </c>
      <c r="M156" s="80">
        <f>(MD_prices!M144+$D$2)*IF($M$2="Prices in $/MWh",1,1/1000)</f>
        <v>38.020000000000003</v>
      </c>
      <c r="N156" s="79">
        <f>(MD_prices!N144+$D$2)*IF($M$2="Prices in $/MWh",1,1/1000)</f>
        <v>39.79</v>
      </c>
      <c r="O156" s="61"/>
    </row>
    <row r="157" spans="2:15" x14ac:dyDescent="0.25">
      <c r="B157" s="57"/>
      <c r="C157" s="82" t="str">
        <f>MD_prices!C145</f>
        <v>January-2017</v>
      </c>
      <c r="D157" s="83" t="str">
        <f>MD_prices!D145</f>
        <v>MD</v>
      </c>
      <c r="E157" s="84" t="str">
        <f>MD_prices!E145</f>
        <v>Delmarva</v>
      </c>
      <c r="F157" s="83" t="str">
        <f>MD_prices!F145</f>
        <v>GS</v>
      </c>
      <c r="G157" s="84" t="str">
        <f>MD_prices!G145</f>
        <v>General Service Small</v>
      </c>
      <c r="H157" s="85" t="str">
        <f t="shared" ref="H157" si="140">IF($M$2="Prices in $/MWh","500-2500 MWh","500,000-2,500,000 kWh")</f>
        <v>500-2500 MWh</v>
      </c>
      <c r="I157" s="84">
        <f>(MD_prices!I145+$D$2)*IF($M$2="Prices in $/MWh",1,1/1000)</f>
        <v>76.88</v>
      </c>
      <c r="J157" s="83">
        <f>(MD_prices!J145+$D$2)*IF($M$2="Prices in $/MWh",1,1/1000)</f>
        <v>78.7</v>
      </c>
      <c r="K157" s="84">
        <f>(MD_prices!K145+$D$2)*IF($M$2="Prices in $/MWh",1,1/1000)</f>
        <v>79.319999999999993</v>
      </c>
      <c r="L157" s="83">
        <f>(MD_prices!L145+$D$2)*IF($M$2="Prices in $/MWh",1,1/1000)</f>
        <v>36.08</v>
      </c>
      <c r="M157" s="84">
        <f>(MD_prices!M145+$D$2)*IF($M$2="Prices in $/MWh",1,1/1000)</f>
        <v>36.97</v>
      </c>
      <c r="N157" s="83">
        <f>(MD_prices!N145+$D$2)*IF($M$2="Prices in $/MWh",1,1/1000)</f>
        <v>38.74</v>
      </c>
      <c r="O157" s="61"/>
    </row>
    <row r="158" spans="2:15" x14ac:dyDescent="0.25">
      <c r="B158" s="57"/>
      <c r="C158" s="74" t="str">
        <f>MD_prices!C146</f>
        <v>February-2016</v>
      </c>
      <c r="D158" s="75" t="str">
        <f>MD_prices!D146</f>
        <v>MD</v>
      </c>
      <c r="E158" s="76" t="str">
        <f>MD_prices!E146</f>
        <v>PEPCO</v>
      </c>
      <c r="F158" s="75" t="str">
        <f>MD_prices!F146</f>
        <v>GS</v>
      </c>
      <c r="G158" s="76" t="str">
        <f>MD_prices!G146</f>
        <v>General Service Small</v>
      </c>
      <c r="H158" s="77" t="str">
        <f t="shared" ref="H158" si="141">IF($M$2="Prices in $/MWh","0-100 MWh","0-100,000 kWh")</f>
        <v>0-100 MWh</v>
      </c>
      <c r="I158" s="76">
        <f>(MD_prices!I146+$D$2)*IF($M$2="Prices in $/MWh",1,1/1000)</f>
        <v>83.2</v>
      </c>
      <c r="J158" s="75">
        <f>(MD_prices!J146+$D$2)*IF($M$2="Prices in $/MWh",1,1/1000)</f>
        <v>83.38</v>
      </c>
      <c r="K158" s="76">
        <f>(MD_prices!K146+$D$2)*IF($M$2="Prices in $/MWh",1,1/1000)</f>
        <v>82.48</v>
      </c>
      <c r="L158" s="75">
        <f>(MD_prices!L146+$D$2)*IF($M$2="Prices in $/MWh",1,1/1000)</f>
        <v>38.450000000000003</v>
      </c>
      <c r="M158" s="76">
        <f>(MD_prices!M146+$D$2)*IF($M$2="Prices in $/MWh",1,1/1000)</f>
        <v>38.49</v>
      </c>
      <c r="N158" s="75">
        <f>(MD_prices!N146+$D$2)*IF($M$2="Prices in $/MWh",1,1/1000)</f>
        <v>38.270000000000003</v>
      </c>
      <c r="O158" s="61"/>
    </row>
    <row r="159" spans="2:15" x14ac:dyDescent="0.25">
      <c r="B159" s="57"/>
      <c r="C159" s="78" t="str">
        <f>MD_prices!C147</f>
        <v>February-2016</v>
      </c>
      <c r="D159" s="79" t="str">
        <f>MD_prices!D147</f>
        <v>MD</v>
      </c>
      <c r="E159" s="80" t="str">
        <f>MD_prices!E147</f>
        <v>PEPCO</v>
      </c>
      <c r="F159" s="79" t="str">
        <f>MD_prices!F147</f>
        <v>GS</v>
      </c>
      <c r="G159" s="80" t="str">
        <f>MD_prices!G147</f>
        <v>General Service Small</v>
      </c>
      <c r="H159" s="81" t="str">
        <f t="shared" ref="H159" si="142">IF($M$2="Prices in $/MWh","100-500 MWh","100,000-500,000 kWh")</f>
        <v>100-500 MWh</v>
      </c>
      <c r="I159" s="80">
        <f>(MD_prices!I147+$D$2)*IF($M$2="Prices in $/MWh",1,1/1000)</f>
        <v>81.599999999999994</v>
      </c>
      <c r="J159" s="79">
        <f>(MD_prices!J147+$D$2)*IF($M$2="Prices in $/MWh",1,1/1000)</f>
        <v>81.78</v>
      </c>
      <c r="K159" s="80">
        <f>(MD_prices!K147+$D$2)*IF($M$2="Prices in $/MWh",1,1/1000)</f>
        <v>80.88</v>
      </c>
      <c r="L159" s="79">
        <f>(MD_prices!L147+$D$2)*IF($M$2="Prices in $/MWh",1,1/1000)</f>
        <v>36.85</v>
      </c>
      <c r="M159" s="80">
        <f>(MD_prices!M147+$D$2)*IF($M$2="Prices in $/MWh",1,1/1000)</f>
        <v>36.89</v>
      </c>
      <c r="N159" s="79">
        <f>(MD_prices!N147+$D$2)*IF($M$2="Prices in $/MWh",1,1/1000)</f>
        <v>36.67</v>
      </c>
      <c r="O159" s="61"/>
    </row>
    <row r="160" spans="2:15" x14ac:dyDescent="0.25">
      <c r="B160" s="57"/>
      <c r="C160" s="82" t="str">
        <f>MD_prices!C148</f>
        <v>February-2016</v>
      </c>
      <c r="D160" s="83" t="str">
        <f>MD_prices!D148</f>
        <v>MD</v>
      </c>
      <c r="E160" s="84" t="str">
        <f>MD_prices!E148</f>
        <v>PEPCO</v>
      </c>
      <c r="F160" s="83" t="str">
        <f>MD_prices!F148</f>
        <v>GS</v>
      </c>
      <c r="G160" s="84" t="str">
        <f>MD_prices!G148</f>
        <v>General Service Small</v>
      </c>
      <c r="H160" s="85" t="str">
        <f t="shared" ref="H160" si="143">IF($M$2="Prices in $/MWh","500-2500 MWh","500,000-2,500,000 kWh")</f>
        <v>500-2500 MWh</v>
      </c>
      <c r="I160" s="84">
        <f>(MD_prices!I148+$D$2)*IF($M$2="Prices in $/MWh",1,1/1000)</f>
        <v>80.55</v>
      </c>
      <c r="J160" s="83">
        <f>(MD_prices!J148+$D$2)*IF($M$2="Prices in $/MWh",1,1/1000)</f>
        <v>80.73</v>
      </c>
      <c r="K160" s="84">
        <f>(MD_prices!K148+$D$2)*IF($M$2="Prices in $/MWh",1,1/1000)</f>
        <v>79.83</v>
      </c>
      <c r="L160" s="83">
        <f>(MD_prices!L148+$D$2)*IF($M$2="Prices in $/MWh",1,1/1000)</f>
        <v>35.799999999999997</v>
      </c>
      <c r="M160" s="84">
        <f>(MD_prices!M148+$D$2)*IF($M$2="Prices in $/MWh",1,1/1000)</f>
        <v>35.840000000000003</v>
      </c>
      <c r="N160" s="83">
        <f>(MD_prices!N148+$D$2)*IF($M$2="Prices in $/MWh",1,1/1000)</f>
        <v>35.619999999999997</v>
      </c>
      <c r="O160" s="61"/>
    </row>
    <row r="161" spans="2:15" x14ac:dyDescent="0.25">
      <c r="B161" s="57"/>
      <c r="C161" s="74" t="str">
        <f>MD_prices!C149</f>
        <v>March-2016</v>
      </c>
      <c r="D161" s="75" t="str">
        <f>MD_prices!D149</f>
        <v>MD</v>
      </c>
      <c r="E161" s="76" t="str">
        <f>MD_prices!E149</f>
        <v>PEPCO</v>
      </c>
      <c r="F161" s="75" t="str">
        <f>MD_prices!F149</f>
        <v>GS</v>
      </c>
      <c r="G161" s="76" t="str">
        <f>MD_prices!G149</f>
        <v>General Service Small</v>
      </c>
      <c r="H161" s="77" t="str">
        <f t="shared" ref="H161" si="144">IF($M$2="Prices in $/MWh","0-100 MWh","0-100,000 kWh")</f>
        <v>0-100 MWh</v>
      </c>
      <c r="I161" s="76">
        <f>(MD_prices!I149+$D$2)*IF($M$2="Prices in $/MWh",1,1/1000)</f>
        <v>83.61</v>
      </c>
      <c r="J161" s="75">
        <f>(MD_prices!J149+$D$2)*IF($M$2="Prices in $/MWh",1,1/1000)</f>
        <v>83.26</v>
      </c>
      <c r="K161" s="76">
        <f>(MD_prices!K149+$D$2)*IF($M$2="Prices in $/MWh",1,1/1000)</f>
        <v>82.68</v>
      </c>
      <c r="L161" s="75">
        <f>(MD_prices!L149+$D$2)*IF($M$2="Prices in $/MWh",1,1/1000)</f>
        <v>38.39</v>
      </c>
      <c r="M161" s="76">
        <f>(MD_prices!M149+$D$2)*IF($M$2="Prices in $/MWh",1,1/1000)</f>
        <v>38.409999999999997</v>
      </c>
      <c r="N161" s="75">
        <f>(MD_prices!N149+$D$2)*IF($M$2="Prices in $/MWh",1,1/1000)</f>
        <v>38.24</v>
      </c>
      <c r="O161" s="61"/>
    </row>
    <row r="162" spans="2:15" x14ac:dyDescent="0.25">
      <c r="B162" s="57"/>
      <c r="C162" s="78" t="str">
        <f>MD_prices!C150</f>
        <v>March-2016</v>
      </c>
      <c r="D162" s="79" t="str">
        <f>MD_prices!D150</f>
        <v>MD</v>
      </c>
      <c r="E162" s="80" t="str">
        <f>MD_prices!E150</f>
        <v>PEPCO</v>
      </c>
      <c r="F162" s="79" t="str">
        <f>MD_prices!F150</f>
        <v>GS</v>
      </c>
      <c r="G162" s="80" t="str">
        <f>MD_prices!G150</f>
        <v>General Service Small</v>
      </c>
      <c r="H162" s="81" t="str">
        <f t="shared" ref="H162" si="145">IF($M$2="Prices in $/MWh","100-500 MWh","100,000-500,000 kWh")</f>
        <v>100-500 MWh</v>
      </c>
      <c r="I162" s="80">
        <f>(MD_prices!I150+$D$2)*IF($M$2="Prices in $/MWh",1,1/1000)</f>
        <v>82.01</v>
      </c>
      <c r="J162" s="79">
        <f>(MD_prices!J150+$D$2)*IF($M$2="Prices in $/MWh",1,1/1000)</f>
        <v>81.66</v>
      </c>
      <c r="K162" s="80">
        <f>(MD_prices!K150+$D$2)*IF($M$2="Prices in $/MWh",1,1/1000)</f>
        <v>81.08</v>
      </c>
      <c r="L162" s="79">
        <f>(MD_prices!L150+$D$2)*IF($M$2="Prices in $/MWh",1,1/1000)</f>
        <v>36.79</v>
      </c>
      <c r="M162" s="80">
        <f>(MD_prices!M150+$D$2)*IF($M$2="Prices in $/MWh",1,1/1000)</f>
        <v>36.81</v>
      </c>
      <c r="N162" s="79">
        <f>(MD_prices!N150+$D$2)*IF($M$2="Prices in $/MWh",1,1/1000)</f>
        <v>36.64</v>
      </c>
      <c r="O162" s="61"/>
    </row>
    <row r="163" spans="2:15" x14ac:dyDescent="0.25">
      <c r="B163" s="57"/>
      <c r="C163" s="82" t="str">
        <f>MD_prices!C151</f>
        <v>March-2016</v>
      </c>
      <c r="D163" s="83" t="str">
        <f>MD_prices!D151</f>
        <v>MD</v>
      </c>
      <c r="E163" s="84" t="str">
        <f>MD_prices!E151</f>
        <v>PEPCO</v>
      </c>
      <c r="F163" s="83" t="str">
        <f>MD_prices!F151</f>
        <v>GS</v>
      </c>
      <c r="G163" s="84" t="str">
        <f>MD_prices!G151</f>
        <v>General Service Small</v>
      </c>
      <c r="H163" s="85" t="str">
        <f t="shared" ref="H163" si="146">IF($M$2="Prices in $/MWh","500-2500 MWh","500,000-2,500,000 kWh")</f>
        <v>500-2500 MWh</v>
      </c>
      <c r="I163" s="84">
        <f>(MD_prices!I151+$D$2)*IF($M$2="Prices in $/MWh",1,1/1000)</f>
        <v>80.959999999999994</v>
      </c>
      <c r="J163" s="83">
        <f>(MD_prices!J151+$D$2)*IF($M$2="Prices in $/MWh",1,1/1000)</f>
        <v>80.61</v>
      </c>
      <c r="K163" s="84">
        <f>(MD_prices!K151+$D$2)*IF($M$2="Prices in $/MWh",1,1/1000)</f>
        <v>80.03</v>
      </c>
      <c r="L163" s="83">
        <f>(MD_prices!L151+$D$2)*IF($M$2="Prices in $/MWh",1,1/1000)</f>
        <v>35.74</v>
      </c>
      <c r="M163" s="84">
        <f>(MD_prices!M151+$D$2)*IF($M$2="Prices in $/MWh",1,1/1000)</f>
        <v>35.76</v>
      </c>
      <c r="N163" s="83">
        <f>(MD_prices!N151+$D$2)*IF($M$2="Prices in $/MWh",1,1/1000)</f>
        <v>35.590000000000003</v>
      </c>
      <c r="O163" s="61"/>
    </row>
    <row r="164" spans="2:15" x14ac:dyDescent="0.25">
      <c r="B164" s="57"/>
      <c r="C164" s="74" t="str">
        <f>MD_prices!C152</f>
        <v>April-2016</v>
      </c>
      <c r="D164" s="75" t="str">
        <f>MD_prices!D152</f>
        <v>MD</v>
      </c>
      <c r="E164" s="76" t="str">
        <f>MD_prices!E152</f>
        <v>PEPCO</v>
      </c>
      <c r="F164" s="75" t="str">
        <f>MD_prices!F152</f>
        <v>GS</v>
      </c>
      <c r="G164" s="76" t="str">
        <f>MD_prices!G152</f>
        <v>General Service Small</v>
      </c>
      <c r="H164" s="77" t="str">
        <f t="shared" ref="H164" si="147">IF($M$2="Prices in $/MWh","0-100 MWh","0-100,000 kWh")</f>
        <v>0-100 MWh</v>
      </c>
      <c r="I164" s="76">
        <f>(MD_prices!I152+$D$2)*IF($M$2="Prices in $/MWh",1,1/1000)</f>
        <v>83.62</v>
      </c>
      <c r="J164" s="75">
        <f>(MD_prices!J152+$D$2)*IF($M$2="Prices in $/MWh",1,1/1000)</f>
        <v>82.89</v>
      </c>
      <c r="K164" s="76">
        <f>(MD_prices!K152+$D$2)*IF($M$2="Prices in $/MWh",1,1/1000)</f>
        <v>82.63</v>
      </c>
      <c r="L164" s="75">
        <f>(MD_prices!L152+$D$2)*IF($M$2="Prices in $/MWh",1,1/1000)</f>
        <v>38.36</v>
      </c>
      <c r="M164" s="76">
        <f>(MD_prices!M152+$D$2)*IF($M$2="Prices in $/MWh",1,1/1000)</f>
        <v>38.369999999999997</v>
      </c>
      <c r="N164" s="75">
        <f>(MD_prices!N152+$D$2)*IF($M$2="Prices in $/MWh",1,1/1000)</f>
        <v>38.24</v>
      </c>
      <c r="O164" s="61"/>
    </row>
    <row r="165" spans="2:15" x14ac:dyDescent="0.25">
      <c r="B165" s="57"/>
      <c r="C165" s="78" t="str">
        <f>MD_prices!C153</f>
        <v>April-2016</v>
      </c>
      <c r="D165" s="79" t="str">
        <f>MD_prices!D153</f>
        <v>MD</v>
      </c>
      <c r="E165" s="80" t="str">
        <f>MD_prices!E153</f>
        <v>PEPCO</v>
      </c>
      <c r="F165" s="79" t="str">
        <f>MD_prices!F153</f>
        <v>GS</v>
      </c>
      <c r="G165" s="80" t="str">
        <f>MD_prices!G153</f>
        <v>General Service Small</v>
      </c>
      <c r="H165" s="81" t="str">
        <f t="shared" ref="H165" si="148">IF($M$2="Prices in $/MWh","100-500 MWh","100,000-500,000 kWh")</f>
        <v>100-500 MWh</v>
      </c>
      <c r="I165" s="80">
        <f>(MD_prices!I153+$D$2)*IF($M$2="Prices in $/MWh",1,1/1000)</f>
        <v>82.02</v>
      </c>
      <c r="J165" s="79">
        <f>(MD_prices!J153+$D$2)*IF($M$2="Prices in $/MWh",1,1/1000)</f>
        <v>81.290000000000006</v>
      </c>
      <c r="K165" s="80">
        <f>(MD_prices!K153+$D$2)*IF($M$2="Prices in $/MWh",1,1/1000)</f>
        <v>81.03</v>
      </c>
      <c r="L165" s="79">
        <f>(MD_prices!L153+$D$2)*IF($M$2="Prices in $/MWh",1,1/1000)</f>
        <v>36.76</v>
      </c>
      <c r="M165" s="80">
        <f>(MD_prices!M153+$D$2)*IF($M$2="Prices in $/MWh",1,1/1000)</f>
        <v>36.770000000000003</v>
      </c>
      <c r="N165" s="79">
        <f>(MD_prices!N153+$D$2)*IF($M$2="Prices in $/MWh",1,1/1000)</f>
        <v>36.64</v>
      </c>
      <c r="O165" s="61"/>
    </row>
    <row r="166" spans="2:15" x14ac:dyDescent="0.25">
      <c r="B166" s="57"/>
      <c r="C166" s="82" t="str">
        <f>MD_prices!C154</f>
        <v>April-2016</v>
      </c>
      <c r="D166" s="83" t="str">
        <f>MD_prices!D154</f>
        <v>MD</v>
      </c>
      <c r="E166" s="84" t="str">
        <f>MD_prices!E154</f>
        <v>PEPCO</v>
      </c>
      <c r="F166" s="83" t="str">
        <f>MD_prices!F154</f>
        <v>GS</v>
      </c>
      <c r="G166" s="84" t="str">
        <f>MD_prices!G154</f>
        <v>General Service Small</v>
      </c>
      <c r="H166" s="85" t="str">
        <f t="shared" ref="H166" si="149">IF($M$2="Prices in $/MWh","500-2500 MWh","500,000-2,500,000 kWh")</f>
        <v>500-2500 MWh</v>
      </c>
      <c r="I166" s="84">
        <f>(MD_prices!I154+$D$2)*IF($M$2="Prices in $/MWh",1,1/1000)</f>
        <v>80.97</v>
      </c>
      <c r="J166" s="83">
        <f>(MD_prices!J154+$D$2)*IF($M$2="Prices in $/MWh",1,1/1000)</f>
        <v>80.239999999999995</v>
      </c>
      <c r="K166" s="84">
        <f>(MD_prices!K154+$D$2)*IF($M$2="Prices in $/MWh",1,1/1000)</f>
        <v>79.98</v>
      </c>
      <c r="L166" s="83">
        <f>(MD_prices!L154+$D$2)*IF($M$2="Prices in $/MWh",1,1/1000)</f>
        <v>35.71</v>
      </c>
      <c r="M166" s="84">
        <f>(MD_prices!M154+$D$2)*IF($M$2="Prices in $/MWh",1,1/1000)</f>
        <v>35.72</v>
      </c>
      <c r="N166" s="83">
        <f>(MD_prices!N154+$D$2)*IF($M$2="Prices in $/MWh",1,1/1000)</f>
        <v>35.590000000000003</v>
      </c>
      <c r="O166" s="61"/>
    </row>
    <row r="167" spans="2:15" x14ac:dyDescent="0.25">
      <c r="B167" s="57"/>
      <c r="C167" s="74" t="str">
        <f>MD_prices!C155</f>
        <v>May-2016</v>
      </c>
      <c r="D167" s="75" t="str">
        <f>MD_prices!D155</f>
        <v>MD</v>
      </c>
      <c r="E167" s="76" t="str">
        <f>MD_prices!E155</f>
        <v>PEPCO</v>
      </c>
      <c r="F167" s="75" t="str">
        <f>MD_prices!F155</f>
        <v>GS</v>
      </c>
      <c r="G167" s="76" t="str">
        <f>MD_prices!G155</f>
        <v>General Service Small</v>
      </c>
      <c r="H167" s="77" t="str">
        <f t="shared" ref="H167" si="150">IF($M$2="Prices in $/MWh","0-100 MWh","0-100,000 kWh")</f>
        <v>0-100 MWh</v>
      </c>
      <c r="I167" s="76">
        <f>(MD_prices!I155+$D$2)*IF($M$2="Prices in $/MWh",1,1/1000)</f>
        <v>83.57</v>
      </c>
      <c r="J167" s="75">
        <f>(MD_prices!J155+$D$2)*IF($M$2="Prices in $/MWh",1,1/1000)</f>
        <v>82.61</v>
      </c>
      <c r="K167" s="76">
        <f>(MD_prices!K155+$D$2)*IF($M$2="Prices in $/MWh",1,1/1000)</f>
        <v>82.54</v>
      </c>
      <c r="L167" s="75">
        <f>(MD_prices!L155+$D$2)*IF($M$2="Prices in $/MWh",1,1/1000)</f>
        <v>38.33</v>
      </c>
      <c r="M167" s="76">
        <f>(MD_prices!M155+$D$2)*IF($M$2="Prices in $/MWh",1,1/1000)</f>
        <v>38.36</v>
      </c>
      <c r="N167" s="75">
        <f>(MD_prices!N155+$D$2)*IF($M$2="Prices in $/MWh",1,1/1000)</f>
        <v>38.229999999999997</v>
      </c>
      <c r="O167" s="61"/>
    </row>
    <row r="168" spans="2:15" x14ac:dyDescent="0.25">
      <c r="B168" s="57"/>
      <c r="C168" s="78" t="str">
        <f>MD_prices!C156</f>
        <v>May-2016</v>
      </c>
      <c r="D168" s="79" t="str">
        <f>MD_prices!D156</f>
        <v>MD</v>
      </c>
      <c r="E168" s="80" t="str">
        <f>MD_prices!E156</f>
        <v>PEPCO</v>
      </c>
      <c r="F168" s="79" t="str">
        <f>MD_prices!F156</f>
        <v>GS</v>
      </c>
      <c r="G168" s="80" t="str">
        <f>MD_prices!G156</f>
        <v>General Service Small</v>
      </c>
      <c r="H168" s="81" t="str">
        <f t="shared" ref="H168" si="151">IF($M$2="Prices in $/MWh","100-500 MWh","100,000-500,000 kWh")</f>
        <v>100-500 MWh</v>
      </c>
      <c r="I168" s="80">
        <f>(MD_prices!I156+$D$2)*IF($M$2="Prices in $/MWh",1,1/1000)</f>
        <v>81.97</v>
      </c>
      <c r="J168" s="79">
        <f>(MD_prices!J156+$D$2)*IF($M$2="Prices in $/MWh",1,1/1000)</f>
        <v>81.010000000000005</v>
      </c>
      <c r="K168" s="80">
        <f>(MD_prices!K156+$D$2)*IF($M$2="Prices in $/MWh",1,1/1000)</f>
        <v>80.94</v>
      </c>
      <c r="L168" s="79">
        <f>(MD_prices!L156+$D$2)*IF($M$2="Prices in $/MWh",1,1/1000)</f>
        <v>36.729999999999997</v>
      </c>
      <c r="M168" s="80">
        <f>(MD_prices!M156+$D$2)*IF($M$2="Prices in $/MWh",1,1/1000)</f>
        <v>36.76</v>
      </c>
      <c r="N168" s="79">
        <f>(MD_prices!N156+$D$2)*IF($M$2="Prices in $/MWh",1,1/1000)</f>
        <v>36.630000000000003</v>
      </c>
      <c r="O168" s="61"/>
    </row>
    <row r="169" spans="2:15" x14ac:dyDescent="0.25">
      <c r="B169" s="57"/>
      <c r="C169" s="82" t="str">
        <f>MD_prices!C157</f>
        <v>May-2016</v>
      </c>
      <c r="D169" s="83" t="str">
        <f>MD_prices!D157</f>
        <v>MD</v>
      </c>
      <c r="E169" s="84" t="str">
        <f>MD_prices!E157</f>
        <v>PEPCO</v>
      </c>
      <c r="F169" s="83" t="str">
        <f>MD_prices!F157</f>
        <v>GS</v>
      </c>
      <c r="G169" s="84" t="str">
        <f>MD_prices!G157</f>
        <v>General Service Small</v>
      </c>
      <c r="H169" s="85" t="str">
        <f t="shared" ref="H169" si="152">IF($M$2="Prices in $/MWh","500-2500 MWh","500,000-2,500,000 kWh")</f>
        <v>500-2500 MWh</v>
      </c>
      <c r="I169" s="84">
        <f>(MD_prices!I157+$D$2)*IF($M$2="Prices in $/MWh",1,1/1000)</f>
        <v>80.92</v>
      </c>
      <c r="J169" s="83">
        <f>(MD_prices!J157+$D$2)*IF($M$2="Prices in $/MWh",1,1/1000)</f>
        <v>79.959999999999994</v>
      </c>
      <c r="K169" s="84">
        <f>(MD_prices!K157+$D$2)*IF($M$2="Prices in $/MWh",1,1/1000)</f>
        <v>79.89</v>
      </c>
      <c r="L169" s="83">
        <f>(MD_prices!L157+$D$2)*IF($M$2="Prices in $/MWh",1,1/1000)</f>
        <v>35.68</v>
      </c>
      <c r="M169" s="84">
        <f>(MD_prices!M157+$D$2)*IF($M$2="Prices in $/MWh",1,1/1000)</f>
        <v>35.71</v>
      </c>
      <c r="N169" s="83">
        <f>(MD_prices!N157+$D$2)*IF($M$2="Prices in $/MWh",1,1/1000)</f>
        <v>35.58</v>
      </c>
      <c r="O169" s="61"/>
    </row>
    <row r="170" spans="2:15" x14ac:dyDescent="0.25">
      <c r="B170" s="57"/>
      <c r="C170" s="74" t="str">
        <f>MD_prices!C158</f>
        <v>June-2016</v>
      </c>
      <c r="D170" s="75" t="str">
        <f>MD_prices!D158</f>
        <v>MD</v>
      </c>
      <c r="E170" s="76" t="str">
        <f>MD_prices!E158</f>
        <v>PEPCO</v>
      </c>
      <c r="F170" s="75" t="str">
        <f>MD_prices!F158</f>
        <v>GS</v>
      </c>
      <c r="G170" s="76" t="str">
        <f>MD_prices!G158</f>
        <v>General Service Small</v>
      </c>
      <c r="H170" s="77" t="str">
        <f t="shared" ref="H170" si="153">IF($M$2="Prices in $/MWh","0-100 MWh","0-100,000 kWh")</f>
        <v>0-100 MWh</v>
      </c>
      <c r="I170" s="76">
        <f>(MD_prices!I158+$D$2)*IF($M$2="Prices in $/MWh",1,1/1000)</f>
        <v>83.41</v>
      </c>
      <c r="J170" s="75">
        <f>(MD_prices!J158+$D$2)*IF($M$2="Prices in $/MWh",1,1/1000)</f>
        <v>81.98</v>
      </c>
      <c r="K170" s="76">
        <f>(MD_prices!K158+$D$2)*IF($M$2="Prices in $/MWh",1,1/1000)</f>
        <v>82.46</v>
      </c>
      <c r="L170" s="75">
        <f>(MD_prices!L158+$D$2)*IF($M$2="Prices in $/MWh",1,1/1000)</f>
        <v>38.270000000000003</v>
      </c>
      <c r="M170" s="76">
        <f>(MD_prices!M158+$D$2)*IF($M$2="Prices in $/MWh",1,1/1000)</f>
        <v>38.1</v>
      </c>
      <c r="N170" s="75">
        <f>(MD_prices!N158+$D$2)*IF($M$2="Prices in $/MWh",1,1/1000)</f>
        <v>38.200000000000003</v>
      </c>
      <c r="O170" s="61"/>
    </row>
    <row r="171" spans="2:15" x14ac:dyDescent="0.25">
      <c r="B171" s="57"/>
      <c r="C171" s="78" t="str">
        <f>MD_prices!C159</f>
        <v>June-2016</v>
      </c>
      <c r="D171" s="79" t="str">
        <f>MD_prices!D159</f>
        <v>MD</v>
      </c>
      <c r="E171" s="80" t="str">
        <f>MD_prices!E159</f>
        <v>PEPCO</v>
      </c>
      <c r="F171" s="79" t="str">
        <f>MD_prices!F159</f>
        <v>GS</v>
      </c>
      <c r="G171" s="80" t="str">
        <f>MD_prices!G159</f>
        <v>General Service Small</v>
      </c>
      <c r="H171" s="81" t="str">
        <f t="shared" ref="H171" si="154">IF($M$2="Prices in $/MWh","100-500 MWh","100,000-500,000 kWh")</f>
        <v>100-500 MWh</v>
      </c>
      <c r="I171" s="80">
        <f>(MD_prices!I159+$D$2)*IF($M$2="Prices in $/MWh",1,1/1000)</f>
        <v>81.81</v>
      </c>
      <c r="J171" s="79">
        <f>(MD_prices!J159+$D$2)*IF($M$2="Prices in $/MWh",1,1/1000)</f>
        <v>80.38</v>
      </c>
      <c r="K171" s="80">
        <f>(MD_prices!K159+$D$2)*IF($M$2="Prices in $/MWh",1,1/1000)</f>
        <v>80.86</v>
      </c>
      <c r="L171" s="79">
        <f>(MD_prices!L159+$D$2)*IF($M$2="Prices in $/MWh",1,1/1000)</f>
        <v>36.67</v>
      </c>
      <c r="M171" s="80">
        <f>(MD_prices!M159+$D$2)*IF($M$2="Prices in $/MWh",1,1/1000)</f>
        <v>36.5</v>
      </c>
      <c r="N171" s="79">
        <f>(MD_prices!N159+$D$2)*IF($M$2="Prices in $/MWh",1,1/1000)</f>
        <v>36.6</v>
      </c>
      <c r="O171" s="61"/>
    </row>
    <row r="172" spans="2:15" x14ac:dyDescent="0.25">
      <c r="B172" s="57"/>
      <c r="C172" s="82" t="str">
        <f>MD_prices!C160</f>
        <v>June-2016</v>
      </c>
      <c r="D172" s="83" t="str">
        <f>MD_prices!D160</f>
        <v>MD</v>
      </c>
      <c r="E172" s="84" t="str">
        <f>MD_prices!E160</f>
        <v>PEPCO</v>
      </c>
      <c r="F172" s="83" t="str">
        <f>MD_prices!F160</f>
        <v>GS</v>
      </c>
      <c r="G172" s="84" t="str">
        <f>MD_prices!G160</f>
        <v>General Service Small</v>
      </c>
      <c r="H172" s="85" t="str">
        <f t="shared" ref="H172" si="155">IF($M$2="Prices in $/MWh","500-2500 MWh","500,000-2,500,000 kWh")</f>
        <v>500-2500 MWh</v>
      </c>
      <c r="I172" s="84">
        <f>(MD_prices!I160+$D$2)*IF($M$2="Prices in $/MWh",1,1/1000)</f>
        <v>80.760000000000005</v>
      </c>
      <c r="J172" s="83">
        <f>(MD_prices!J160+$D$2)*IF($M$2="Prices in $/MWh",1,1/1000)</f>
        <v>79.33</v>
      </c>
      <c r="K172" s="84">
        <f>(MD_prices!K160+$D$2)*IF($M$2="Prices in $/MWh",1,1/1000)</f>
        <v>79.81</v>
      </c>
      <c r="L172" s="83">
        <f>(MD_prices!L160+$D$2)*IF($M$2="Prices in $/MWh",1,1/1000)</f>
        <v>35.619999999999997</v>
      </c>
      <c r="M172" s="84">
        <f>(MD_prices!M160+$D$2)*IF($M$2="Prices in $/MWh",1,1/1000)</f>
        <v>35.450000000000003</v>
      </c>
      <c r="N172" s="83">
        <f>(MD_prices!N160+$D$2)*IF($M$2="Prices in $/MWh",1,1/1000)</f>
        <v>35.549999999999997</v>
      </c>
      <c r="O172" s="61"/>
    </row>
    <row r="173" spans="2:15" x14ac:dyDescent="0.25">
      <c r="B173" s="57"/>
      <c r="C173" s="74" t="str">
        <f>MD_prices!C161</f>
        <v>July-2016</v>
      </c>
      <c r="D173" s="75" t="str">
        <f>MD_prices!D161</f>
        <v>MD</v>
      </c>
      <c r="E173" s="76" t="str">
        <f>MD_prices!E161</f>
        <v>PEPCO</v>
      </c>
      <c r="F173" s="75" t="str">
        <f>MD_prices!F161</f>
        <v>GS</v>
      </c>
      <c r="G173" s="76" t="str">
        <f>MD_prices!G161</f>
        <v>General Service Small</v>
      </c>
      <c r="H173" s="77" t="str">
        <f t="shared" ref="H173" si="156">IF($M$2="Prices in $/MWh","0-100 MWh","0-100,000 kWh")</f>
        <v>0-100 MWh</v>
      </c>
      <c r="I173" s="76">
        <f>(MD_prices!I161+$D$2)*IF($M$2="Prices in $/MWh",1,1/1000)</f>
        <v>83.29</v>
      </c>
      <c r="J173" s="75">
        <f>(MD_prices!J161+$D$2)*IF($M$2="Prices in $/MWh",1,1/1000)</f>
        <v>81.650000000000006</v>
      </c>
      <c r="K173" s="76">
        <f>(MD_prices!K161+$D$2)*IF($M$2="Prices in $/MWh",1,1/1000)</f>
        <v>82.39</v>
      </c>
      <c r="L173" s="75">
        <f>(MD_prices!L161+$D$2)*IF($M$2="Prices in $/MWh",1,1/1000)</f>
        <v>38.22</v>
      </c>
      <c r="M173" s="76">
        <f>(MD_prices!M161+$D$2)*IF($M$2="Prices in $/MWh",1,1/1000)</f>
        <v>37.979999999999997</v>
      </c>
      <c r="N173" s="75">
        <f>(MD_prices!N161+$D$2)*IF($M$2="Prices in $/MWh",1,1/1000)</f>
        <v>38.24</v>
      </c>
      <c r="O173" s="61"/>
    </row>
    <row r="174" spans="2:15" x14ac:dyDescent="0.25">
      <c r="B174" s="57"/>
      <c r="C174" s="78" t="str">
        <f>MD_prices!C162</f>
        <v>July-2016</v>
      </c>
      <c r="D174" s="79" t="str">
        <f>MD_prices!D162</f>
        <v>MD</v>
      </c>
      <c r="E174" s="80" t="str">
        <f>MD_prices!E162</f>
        <v>PEPCO</v>
      </c>
      <c r="F174" s="79" t="str">
        <f>MD_prices!F162</f>
        <v>GS</v>
      </c>
      <c r="G174" s="80" t="str">
        <f>MD_prices!G162</f>
        <v>General Service Small</v>
      </c>
      <c r="H174" s="81" t="str">
        <f t="shared" ref="H174" si="157">IF($M$2="Prices in $/MWh","100-500 MWh","100,000-500,000 kWh")</f>
        <v>100-500 MWh</v>
      </c>
      <c r="I174" s="80">
        <f>(MD_prices!I162+$D$2)*IF($M$2="Prices in $/MWh",1,1/1000)</f>
        <v>81.69</v>
      </c>
      <c r="J174" s="79">
        <f>(MD_prices!J162+$D$2)*IF($M$2="Prices in $/MWh",1,1/1000)</f>
        <v>80.05</v>
      </c>
      <c r="K174" s="80">
        <f>(MD_prices!K162+$D$2)*IF($M$2="Prices in $/MWh",1,1/1000)</f>
        <v>80.790000000000006</v>
      </c>
      <c r="L174" s="79">
        <f>(MD_prices!L162+$D$2)*IF($M$2="Prices in $/MWh",1,1/1000)</f>
        <v>36.619999999999997</v>
      </c>
      <c r="M174" s="80">
        <f>(MD_prices!M162+$D$2)*IF($M$2="Prices in $/MWh",1,1/1000)</f>
        <v>36.380000000000003</v>
      </c>
      <c r="N174" s="79">
        <f>(MD_prices!N162+$D$2)*IF($M$2="Prices in $/MWh",1,1/1000)</f>
        <v>36.64</v>
      </c>
      <c r="O174" s="61"/>
    </row>
    <row r="175" spans="2:15" x14ac:dyDescent="0.25">
      <c r="B175" s="57"/>
      <c r="C175" s="82" t="str">
        <f>MD_prices!C163</f>
        <v>July-2016</v>
      </c>
      <c r="D175" s="83" t="str">
        <f>MD_prices!D163</f>
        <v>MD</v>
      </c>
      <c r="E175" s="84" t="str">
        <f>MD_prices!E163</f>
        <v>PEPCO</v>
      </c>
      <c r="F175" s="83" t="str">
        <f>MD_prices!F163</f>
        <v>GS</v>
      </c>
      <c r="G175" s="84" t="str">
        <f>MD_prices!G163</f>
        <v>General Service Small</v>
      </c>
      <c r="H175" s="85" t="str">
        <f t="shared" ref="H175" si="158">IF($M$2="Prices in $/MWh","500-2500 MWh","500,000-2,500,000 kWh")</f>
        <v>500-2500 MWh</v>
      </c>
      <c r="I175" s="84">
        <f>(MD_prices!I163+$D$2)*IF($M$2="Prices in $/MWh",1,1/1000)</f>
        <v>80.64</v>
      </c>
      <c r="J175" s="83">
        <f>(MD_prices!J163+$D$2)*IF($M$2="Prices in $/MWh",1,1/1000)</f>
        <v>79</v>
      </c>
      <c r="K175" s="84">
        <f>(MD_prices!K163+$D$2)*IF($M$2="Prices in $/MWh",1,1/1000)</f>
        <v>79.739999999999995</v>
      </c>
      <c r="L175" s="83">
        <f>(MD_prices!L163+$D$2)*IF($M$2="Prices in $/MWh",1,1/1000)</f>
        <v>35.57</v>
      </c>
      <c r="M175" s="84">
        <f>(MD_prices!M163+$D$2)*IF($M$2="Prices in $/MWh",1,1/1000)</f>
        <v>35.33</v>
      </c>
      <c r="N175" s="83">
        <f>(MD_prices!N163+$D$2)*IF($M$2="Prices in $/MWh",1,1/1000)</f>
        <v>35.590000000000003</v>
      </c>
      <c r="O175" s="61"/>
    </row>
    <row r="176" spans="2:15" x14ac:dyDescent="0.25">
      <c r="B176" s="57"/>
      <c r="C176" s="74" t="str">
        <f>MD_prices!C164</f>
        <v>August-2016</v>
      </c>
      <c r="D176" s="75" t="str">
        <f>MD_prices!D164</f>
        <v>MD</v>
      </c>
      <c r="E176" s="76" t="str">
        <f>MD_prices!E164</f>
        <v>PEPCO</v>
      </c>
      <c r="F176" s="75" t="str">
        <f>MD_prices!F164</f>
        <v>GS</v>
      </c>
      <c r="G176" s="76" t="str">
        <f>MD_prices!G164</f>
        <v>General Service Small</v>
      </c>
      <c r="H176" s="77" t="str">
        <f t="shared" ref="H176" si="159">IF($M$2="Prices in $/MWh","0-100 MWh","0-100,000 kWh")</f>
        <v>0-100 MWh</v>
      </c>
      <c r="I176" s="76">
        <f>(MD_prices!I164+$D$2)*IF($M$2="Prices in $/MWh",1,1/1000)</f>
        <v>83.03</v>
      </c>
      <c r="J176" s="75">
        <f>(MD_prices!J164+$D$2)*IF($M$2="Prices in $/MWh",1,1/1000)</f>
        <v>81.96</v>
      </c>
      <c r="K176" s="76">
        <f>(MD_prices!K164+$D$2)*IF($M$2="Prices in $/MWh",1,1/1000)</f>
        <v>82.36</v>
      </c>
      <c r="L176" s="75">
        <f>(MD_prices!L164+$D$2)*IF($M$2="Prices in $/MWh",1,1/1000)</f>
        <v>38.22</v>
      </c>
      <c r="M176" s="76">
        <f>(MD_prices!M164+$D$2)*IF($M$2="Prices in $/MWh",1,1/1000)</f>
        <v>38.01</v>
      </c>
      <c r="N176" s="75">
        <f>(MD_prices!N164+$D$2)*IF($M$2="Prices in $/MWh",1,1/1000)</f>
        <v>38.28</v>
      </c>
      <c r="O176" s="61"/>
    </row>
    <row r="177" spans="2:15" x14ac:dyDescent="0.25">
      <c r="B177" s="57"/>
      <c r="C177" s="78" t="str">
        <f>MD_prices!C165</f>
        <v>August-2016</v>
      </c>
      <c r="D177" s="79" t="str">
        <f>MD_prices!D165</f>
        <v>MD</v>
      </c>
      <c r="E177" s="80" t="str">
        <f>MD_prices!E165</f>
        <v>PEPCO</v>
      </c>
      <c r="F177" s="79" t="str">
        <f>MD_prices!F165</f>
        <v>GS</v>
      </c>
      <c r="G177" s="80" t="str">
        <f>MD_prices!G165</f>
        <v>General Service Small</v>
      </c>
      <c r="H177" s="81" t="str">
        <f t="shared" ref="H177" si="160">IF($M$2="Prices in $/MWh","100-500 MWh","100,000-500,000 kWh")</f>
        <v>100-500 MWh</v>
      </c>
      <c r="I177" s="80">
        <f>(MD_prices!I165+$D$2)*IF($M$2="Prices in $/MWh",1,1/1000)</f>
        <v>81.430000000000007</v>
      </c>
      <c r="J177" s="79">
        <f>(MD_prices!J165+$D$2)*IF($M$2="Prices in $/MWh",1,1/1000)</f>
        <v>80.36</v>
      </c>
      <c r="K177" s="80">
        <f>(MD_prices!K165+$D$2)*IF($M$2="Prices in $/MWh",1,1/1000)</f>
        <v>80.760000000000005</v>
      </c>
      <c r="L177" s="79">
        <f>(MD_prices!L165+$D$2)*IF($M$2="Prices in $/MWh",1,1/1000)</f>
        <v>36.619999999999997</v>
      </c>
      <c r="M177" s="80">
        <f>(MD_prices!M165+$D$2)*IF($M$2="Prices in $/MWh",1,1/1000)</f>
        <v>36.409999999999997</v>
      </c>
      <c r="N177" s="79">
        <f>(MD_prices!N165+$D$2)*IF($M$2="Prices in $/MWh",1,1/1000)</f>
        <v>36.68</v>
      </c>
      <c r="O177" s="61"/>
    </row>
    <row r="178" spans="2:15" x14ac:dyDescent="0.25">
      <c r="B178" s="57"/>
      <c r="C178" s="82" t="str">
        <f>MD_prices!C166</f>
        <v>August-2016</v>
      </c>
      <c r="D178" s="83" t="str">
        <f>MD_prices!D166</f>
        <v>MD</v>
      </c>
      <c r="E178" s="84" t="str">
        <f>MD_prices!E166</f>
        <v>PEPCO</v>
      </c>
      <c r="F178" s="83" t="str">
        <f>MD_prices!F166</f>
        <v>GS</v>
      </c>
      <c r="G178" s="84" t="str">
        <f>MD_prices!G166</f>
        <v>General Service Small</v>
      </c>
      <c r="H178" s="85" t="str">
        <f t="shared" ref="H178" si="161">IF($M$2="Prices in $/MWh","500-2500 MWh","500,000-2,500,000 kWh")</f>
        <v>500-2500 MWh</v>
      </c>
      <c r="I178" s="84">
        <f>(MD_prices!I166+$D$2)*IF($M$2="Prices in $/MWh",1,1/1000)</f>
        <v>80.38</v>
      </c>
      <c r="J178" s="83">
        <f>(MD_prices!J166+$D$2)*IF($M$2="Prices in $/MWh",1,1/1000)</f>
        <v>79.31</v>
      </c>
      <c r="K178" s="84">
        <f>(MD_prices!K166+$D$2)*IF($M$2="Prices in $/MWh",1,1/1000)</f>
        <v>79.709999999999994</v>
      </c>
      <c r="L178" s="83">
        <f>(MD_prices!L166+$D$2)*IF($M$2="Prices in $/MWh",1,1/1000)</f>
        <v>35.57</v>
      </c>
      <c r="M178" s="84">
        <f>(MD_prices!M166+$D$2)*IF($M$2="Prices in $/MWh",1,1/1000)</f>
        <v>35.36</v>
      </c>
      <c r="N178" s="83">
        <f>(MD_prices!N166+$D$2)*IF($M$2="Prices in $/MWh",1,1/1000)</f>
        <v>35.630000000000003</v>
      </c>
      <c r="O178" s="61"/>
    </row>
    <row r="179" spans="2:15" x14ac:dyDescent="0.25">
      <c r="B179" s="57"/>
      <c r="C179" s="74" t="str">
        <f>MD_prices!C167</f>
        <v>September-2016</v>
      </c>
      <c r="D179" s="75" t="str">
        <f>MD_prices!D167</f>
        <v>MD</v>
      </c>
      <c r="E179" s="76" t="str">
        <f>MD_prices!E167</f>
        <v>PEPCO</v>
      </c>
      <c r="F179" s="75" t="str">
        <f>MD_prices!F167</f>
        <v>GS</v>
      </c>
      <c r="G179" s="76" t="str">
        <f>MD_prices!G167</f>
        <v>General Service Small</v>
      </c>
      <c r="H179" s="77" t="str">
        <f t="shared" ref="H179" si="162">IF($M$2="Prices in $/MWh","0-100 MWh","0-100,000 kWh")</f>
        <v>0-100 MWh</v>
      </c>
      <c r="I179" s="76">
        <f>(MD_prices!I167+$D$2)*IF($M$2="Prices in $/MWh",1,1/1000)</f>
        <v>82.75</v>
      </c>
      <c r="J179" s="75">
        <f>(MD_prices!J167+$D$2)*IF($M$2="Prices in $/MWh",1,1/1000)</f>
        <v>82.16</v>
      </c>
      <c r="K179" s="76">
        <f>(MD_prices!K167+$D$2)*IF($M$2="Prices in $/MWh",1,1/1000)</f>
        <v>82.28</v>
      </c>
      <c r="L179" s="75">
        <f>(MD_prices!L167+$D$2)*IF($M$2="Prices in $/MWh",1,1/1000)</f>
        <v>38.17</v>
      </c>
      <c r="M179" s="76">
        <f>(MD_prices!M167+$D$2)*IF($M$2="Prices in $/MWh",1,1/1000)</f>
        <v>38.03</v>
      </c>
      <c r="N179" s="75">
        <f>(MD_prices!N167+$D$2)*IF($M$2="Prices in $/MWh",1,1/1000)</f>
        <v>38.299999999999997</v>
      </c>
      <c r="O179" s="61"/>
    </row>
    <row r="180" spans="2:15" x14ac:dyDescent="0.25">
      <c r="B180" s="57"/>
      <c r="C180" s="78" t="str">
        <f>MD_prices!C168</f>
        <v>September-2016</v>
      </c>
      <c r="D180" s="79" t="str">
        <f>MD_prices!D168</f>
        <v>MD</v>
      </c>
      <c r="E180" s="80" t="str">
        <f>MD_prices!E168</f>
        <v>PEPCO</v>
      </c>
      <c r="F180" s="79" t="str">
        <f>MD_prices!F168</f>
        <v>GS</v>
      </c>
      <c r="G180" s="80" t="str">
        <f>MD_prices!G168</f>
        <v>General Service Small</v>
      </c>
      <c r="H180" s="81" t="str">
        <f t="shared" ref="H180" si="163">IF($M$2="Prices in $/MWh","100-500 MWh","100,000-500,000 kWh")</f>
        <v>100-500 MWh</v>
      </c>
      <c r="I180" s="80">
        <f>(MD_prices!I168+$D$2)*IF($M$2="Prices in $/MWh",1,1/1000)</f>
        <v>81.150000000000006</v>
      </c>
      <c r="J180" s="79">
        <f>(MD_prices!J168+$D$2)*IF($M$2="Prices in $/MWh",1,1/1000)</f>
        <v>80.56</v>
      </c>
      <c r="K180" s="80">
        <f>(MD_prices!K168+$D$2)*IF($M$2="Prices in $/MWh",1,1/1000)</f>
        <v>80.680000000000007</v>
      </c>
      <c r="L180" s="79">
        <f>(MD_prices!L168+$D$2)*IF($M$2="Prices in $/MWh",1,1/1000)</f>
        <v>36.57</v>
      </c>
      <c r="M180" s="80">
        <f>(MD_prices!M168+$D$2)*IF($M$2="Prices in $/MWh",1,1/1000)</f>
        <v>36.43</v>
      </c>
      <c r="N180" s="79">
        <f>(MD_prices!N168+$D$2)*IF($M$2="Prices in $/MWh",1,1/1000)</f>
        <v>36.700000000000003</v>
      </c>
      <c r="O180" s="61"/>
    </row>
    <row r="181" spans="2:15" x14ac:dyDescent="0.25">
      <c r="B181" s="57"/>
      <c r="C181" s="82" t="str">
        <f>MD_prices!C169</f>
        <v>September-2016</v>
      </c>
      <c r="D181" s="83" t="str">
        <f>MD_prices!D169</f>
        <v>MD</v>
      </c>
      <c r="E181" s="84" t="str">
        <f>MD_prices!E169</f>
        <v>PEPCO</v>
      </c>
      <c r="F181" s="83" t="str">
        <f>MD_prices!F169</f>
        <v>GS</v>
      </c>
      <c r="G181" s="84" t="str">
        <f>MD_prices!G169</f>
        <v>General Service Small</v>
      </c>
      <c r="H181" s="85" t="str">
        <f t="shared" ref="H181" si="164">IF($M$2="Prices in $/MWh","500-2500 MWh","500,000-2,500,000 kWh")</f>
        <v>500-2500 MWh</v>
      </c>
      <c r="I181" s="84">
        <f>(MD_prices!I169+$D$2)*IF($M$2="Prices in $/MWh",1,1/1000)</f>
        <v>80.099999999999994</v>
      </c>
      <c r="J181" s="83">
        <f>(MD_prices!J169+$D$2)*IF($M$2="Prices in $/MWh",1,1/1000)</f>
        <v>79.510000000000005</v>
      </c>
      <c r="K181" s="84">
        <f>(MD_prices!K169+$D$2)*IF($M$2="Prices in $/MWh",1,1/1000)</f>
        <v>79.63</v>
      </c>
      <c r="L181" s="83">
        <f>(MD_prices!L169+$D$2)*IF($M$2="Prices in $/MWh",1,1/1000)</f>
        <v>35.520000000000003</v>
      </c>
      <c r="M181" s="84">
        <f>(MD_prices!M169+$D$2)*IF($M$2="Prices in $/MWh",1,1/1000)</f>
        <v>35.380000000000003</v>
      </c>
      <c r="N181" s="83">
        <f>(MD_prices!N169+$D$2)*IF($M$2="Prices in $/MWh",1,1/1000)</f>
        <v>35.65</v>
      </c>
      <c r="O181" s="61"/>
    </row>
    <row r="182" spans="2:15" x14ac:dyDescent="0.25">
      <c r="B182" s="57"/>
      <c r="C182" s="74" t="str">
        <f>MD_prices!C170</f>
        <v>October-2016</v>
      </c>
      <c r="D182" s="75" t="str">
        <f>MD_prices!D170</f>
        <v>MD</v>
      </c>
      <c r="E182" s="76" t="str">
        <f>MD_prices!E170</f>
        <v>PEPCO</v>
      </c>
      <c r="F182" s="75" t="str">
        <f>MD_prices!F170</f>
        <v>GS</v>
      </c>
      <c r="G182" s="76" t="str">
        <f>MD_prices!G170</f>
        <v>General Service Small</v>
      </c>
      <c r="H182" s="77" t="str">
        <f t="shared" ref="H182" si="165">IF($M$2="Prices in $/MWh","0-100 MWh","0-100,000 kWh")</f>
        <v>0-100 MWh</v>
      </c>
      <c r="I182" s="76">
        <f>(MD_prices!I170+$D$2)*IF($M$2="Prices in $/MWh",1,1/1000)</f>
        <v>82.58</v>
      </c>
      <c r="J182" s="75">
        <f>(MD_prices!J170+$D$2)*IF($M$2="Prices in $/MWh",1,1/1000)</f>
        <v>82.35</v>
      </c>
      <c r="K182" s="76">
        <f>(MD_prices!K170+$D$2)*IF($M$2="Prices in $/MWh",1,1/1000)</f>
        <v>82.23</v>
      </c>
      <c r="L182" s="75">
        <f>(MD_prices!L170+$D$2)*IF($M$2="Prices in $/MWh",1,1/1000)</f>
        <v>38.17</v>
      </c>
      <c r="M182" s="76">
        <f>(MD_prices!M170+$D$2)*IF($M$2="Prices in $/MWh",1,1/1000)</f>
        <v>38.07</v>
      </c>
      <c r="N182" s="75">
        <f>(MD_prices!N170+$D$2)*IF($M$2="Prices in $/MWh",1,1/1000)</f>
        <v>38.369999999999997</v>
      </c>
      <c r="O182" s="61"/>
    </row>
    <row r="183" spans="2:15" x14ac:dyDescent="0.25">
      <c r="B183" s="57"/>
      <c r="C183" s="78" t="str">
        <f>MD_prices!C171</f>
        <v>October-2016</v>
      </c>
      <c r="D183" s="79" t="str">
        <f>MD_prices!D171</f>
        <v>MD</v>
      </c>
      <c r="E183" s="80" t="str">
        <f>MD_prices!E171</f>
        <v>PEPCO</v>
      </c>
      <c r="F183" s="79" t="str">
        <f>MD_prices!F171</f>
        <v>GS</v>
      </c>
      <c r="G183" s="80" t="str">
        <f>MD_prices!G171</f>
        <v>General Service Small</v>
      </c>
      <c r="H183" s="81" t="str">
        <f t="shared" ref="H183" si="166">IF($M$2="Prices in $/MWh","100-500 MWh","100,000-500,000 kWh")</f>
        <v>100-500 MWh</v>
      </c>
      <c r="I183" s="80">
        <f>(MD_prices!I171+$D$2)*IF($M$2="Prices in $/MWh",1,1/1000)</f>
        <v>80.98</v>
      </c>
      <c r="J183" s="79">
        <f>(MD_prices!J171+$D$2)*IF($M$2="Prices in $/MWh",1,1/1000)</f>
        <v>80.75</v>
      </c>
      <c r="K183" s="80">
        <f>(MD_prices!K171+$D$2)*IF($M$2="Prices in $/MWh",1,1/1000)</f>
        <v>80.63</v>
      </c>
      <c r="L183" s="79">
        <f>(MD_prices!L171+$D$2)*IF($M$2="Prices in $/MWh",1,1/1000)</f>
        <v>36.57</v>
      </c>
      <c r="M183" s="80">
        <f>(MD_prices!M171+$D$2)*IF($M$2="Prices in $/MWh",1,1/1000)</f>
        <v>36.47</v>
      </c>
      <c r="N183" s="79">
        <f>(MD_prices!N171+$D$2)*IF($M$2="Prices in $/MWh",1,1/1000)</f>
        <v>36.770000000000003</v>
      </c>
      <c r="O183" s="61"/>
    </row>
    <row r="184" spans="2:15" x14ac:dyDescent="0.25">
      <c r="B184" s="57"/>
      <c r="C184" s="82" t="str">
        <f>MD_prices!C172</f>
        <v>October-2016</v>
      </c>
      <c r="D184" s="83" t="str">
        <f>MD_prices!D172</f>
        <v>MD</v>
      </c>
      <c r="E184" s="84" t="str">
        <f>MD_prices!E172</f>
        <v>PEPCO</v>
      </c>
      <c r="F184" s="83" t="str">
        <f>MD_prices!F172</f>
        <v>GS</v>
      </c>
      <c r="G184" s="84" t="str">
        <f>MD_prices!G172</f>
        <v>General Service Small</v>
      </c>
      <c r="H184" s="85" t="str">
        <f t="shared" ref="H184" si="167">IF($M$2="Prices in $/MWh","500-2500 MWh","500,000-2,500,000 kWh")</f>
        <v>500-2500 MWh</v>
      </c>
      <c r="I184" s="84">
        <f>(MD_prices!I172+$D$2)*IF($M$2="Prices in $/MWh",1,1/1000)</f>
        <v>79.930000000000007</v>
      </c>
      <c r="J184" s="83">
        <f>(MD_prices!J172+$D$2)*IF($M$2="Prices in $/MWh",1,1/1000)</f>
        <v>79.7</v>
      </c>
      <c r="K184" s="84">
        <f>(MD_prices!K172+$D$2)*IF($M$2="Prices in $/MWh",1,1/1000)</f>
        <v>79.58</v>
      </c>
      <c r="L184" s="83">
        <f>(MD_prices!L172+$D$2)*IF($M$2="Prices in $/MWh",1,1/1000)</f>
        <v>35.520000000000003</v>
      </c>
      <c r="M184" s="84">
        <f>(MD_prices!M172+$D$2)*IF($M$2="Prices in $/MWh",1,1/1000)</f>
        <v>35.42</v>
      </c>
      <c r="N184" s="83">
        <f>(MD_prices!N172+$D$2)*IF($M$2="Prices in $/MWh",1,1/1000)</f>
        <v>35.72</v>
      </c>
      <c r="O184" s="61"/>
    </row>
    <row r="185" spans="2:15" x14ac:dyDescent="0.25">
      <c r="B185" s="57"/>
      <c r="C185" s="74" t="str">
        <f>MD_prices!C173</f>
        <v>November-2016</v>
      </c>
      <c r="D185" s="75" t="str">
        <f>MD_prices!D173</f>
        <v>MD</v>
      </c>
      <c r="E185" s="76" t="str">
        <f>MD_prices!E173</f>
        <v>PEPCO</v>
      </c>
      <c r="F185" s="75" t="str">
        <f>MD_prices!F173</f>
        <v>GS</v>
      </c>
      <c r="G185" s="76" t="str">
        <f>MD_prices!G173</f>
        <v>General Service Small</v>
      </c>
      <c r="H185" s="77" t="str">
        <f t="shared" ref="H185" si="168">IF($M$2="Prices in $/MWh","0-100 MWh","0-100,000 kWh")</f>
        <v>0-100 MWh</v>
      </c>
      <c r="I185" s="76">
        <f>(MD_prices!I173+$D$2)*IF($M$2="Prices in $/MWh",1,1/1000)</f>
        <v>82.31</v>
      </c>
      <c r="J185" s="75">
        <f>(MD_prices!J173+$D$2)*IF($M$2="Prices in $/MWh",1,1/1000)</f>
        <v>82.32</v>
      </c>
      <c r="K185" s="76">
        <f>(MD_prices!K173+$D$2)*IF($M$2="Prices in $/MWh",1,1/1000)</f>
        <v>82.12</v>
      </c>
      <c r="L185" s="75">
        <f>(MD_prices!L173+$D$2)*IF($M$2="Prices in $/MWh",1,1/1000)</f>
        <v>38.1</v>
      </c>
      <c r="M185" s="76">
        <f>(MD_prices!M173+$D$2)*IF($M$2="Prices in $/MWh",1,1/1000)</f>
        <v>38.020000000000003</v>
      </c>
      <c r="N185" s="75">
        <f>(MD_prices!N173+$D$2)*IF($M$2="Prices in $/MWh",1,1/1000)</f>
        <v>38.380000000000003</v>
      </c>
      <c r="O185" s="61"/>
    </row>
    <row r="186" spans="2:15" x14ac:dyDescent="0.25">
      <c r="B186" s="57"/>
      <c r="C186" s="78" t="str">
        <f>MD_prices!C174</f>
        <v>November-2016</v>
      </c>
      <c r="D186" s="79" t="str">
        <f>MD_prices!D174</f>
        <v>MD</v>
      </c>
      <c r="E186" s="80" t="str">
        <f>MD_prices!E174</f>
        <v>PEPCO</v>
      </c>
      <c r="F186" s="79" t="str">
        <f>MD_prices!F174</f>
        <v>GS</v>
      </c>
      <c r="G186" s="80" t="str">
        <f>MD_prices!G174</f>
        <v>General Service Small</v>
      </c>
      <c r="H186" s="81" t="str">
        <f t="shared" ref="H186" si="169">IF($M$2="Prices in $/MWh","100-500 MWh","100,000-500,000 kWh")</f>
        <v>100-500 MWh</v>
      </c>
      <c r="I186" s="80">
        <f>(MD_prices!I174+$D$2)*IF($M$2="Prices in $/MWh",1,1/1000)</f>
        <v>80.709999999999994</v>
      </c>
      <c r="J186" s="79">
        <f>(MD_prices!J174+$D$2)*IF($M$2="Prices in $/MWh",1,1/1000)</f>
        <v>80.72</v>
      </c>
      <c r="K186" s="80">
        <f>(MD_prices!K174+$D$2)*IF($M$2="Prices in $/MWh",1,1/1000)</f>
        <v>80.52</v>
      </c>
      <c r="L186" s="79">
        <f>(MD_prices!L174+$D$2)*IF($M$2="Prices in $/MWh",1,1/1000)</f>
        <v>36.5</v>
      </c>
      <c r="M186" s="80">
        <f>(MD_prices!M174+$D$2)*IF($M$2="Prices in $/MWh",1,1/1000)</f>
        <v>36.42</v>
      </c>
      <c r="N186" s="79">
        <f>(MD_prices!N174+$D$2)*IF($M$2="Prices in $/MWh",1,1/1000)</f>
        <v>36.78</v>
      </c>
      <c r="O186" s="61"/>
    </row>
    <row r="187" spans="2:15" x14ac:dyDescent="0.25">
      <c r="B187" s="57"/>
      <c r="C187" s="82" t="str">
        <f>MD_prices!C175</f>
        <v>November-2016</v>
      </c>
      <c r="D187" s="83" t="str">
        <f>MD_prices!D175</f>
        <v>MD</v>
      </c>
      <c r="E187" s="84" t="str">
        <f>MD_prices!E175</f>
        <v>PEPCO</v>
      </c>
      <c r="F187" s="83" t="str">
        <f>MD_prices!F175</f>
        <v>GS</v>
      </c>
      <c r="G187" s="84" t="str">
        <f>MD_prices!G175</f>
        <v>General Service Small</v>
      </c>
      <c r="H187" s="85" t="str">
        <f t="shared" ref="H187" si="170">IF($M$2="Prices in $/MWh","500-2500 MWh","500,000-2,500,000 kWh")</f>
        <v>500-2500 MWh</v>
      </c>
      <c r="I187" s="84">
        <f>(MD_prices!I175+$D$2)*IF($M$2="Prices in $/MWh",1,1/1000)</f>
        <v>79.66</v>
      </c>
      <c r="J187" s="83">
        <f>(MD_prices!J175+$D$2)*IF($M$2="Prices in $/MWh",1,1/1000)</f>
        <v>79.67</v>
      </c>
      <c r="K187" s="84">
        <f>(MD_prices!K175+$D$2)*IF($M$2="Prices in $/MWh",1,1/1000)</f>
        <v>79.47</v>
      </c>
      <c r="L187" s="83">
        <f>(MD_prices!L175+$D$2)*IF($M$2="Prices in $/MWh",1,1/1000)</f>
        <v>35.450000000000003</v>
      </c>
      <c r="M187" s="84">
        <f>(MD_prices!M175+$D$2)*IF($M$2="Prices in $/MWh",1,1/1000)</f>
        <v>35.369999999999997</v>
      </c>
      <c r="N187" s="83">
        <f>(MD_prices!N175+$D$2)*IF($M$2="Prices in $/MWh",1,1/1000)</f>
        <v>35.729999999999997</v>
      </c>
      <c r="O187" s="61"/>
    </row>
    <row r="188" spans="2:15" x14ac:dyDescent="0.25">
      <c r="B188" s="57"/>
      <c r="C188" s="74" t="str">
        <f>MD_prices!C176</f>
        <v>December-2016</v>
      </c>
      <c r="D188" s="75" t="str">
        <f>MD_prices!D176</f>
        <v>MD</v>
      </c>
      <c r="E188" s="76" t="str">
        <f>MD_prices!E176</f>
        <v>PEPCO</v>
      </c>
      <c r="F188" s="75" t="str">
        <f>MD_prices!F176</f>
        <v>GS</v>
      </c>
      <c r="G188" s="76" t="str">
        <f>MD_prices!G176</f>
        <v>General Service Small</v>
      </c>
      <c r="H188" s="77" t="str">
        <f t="shared" ref="H188" si="171">IF($M$2="Prices in $/MWh","0-100 MWh","0-100,000 kWh")</f>
        <v>0-100 MWh</v>
      </c>
      <c r="I188" s="76">
        <f>(MD_prices!I176+$D$2)*IF($M$2="Prices in $/MWh",1,1/1000)</f>
        <v>81.99</v>
      </c>
      <c r="J188" s="75">
        <f>(MD_prices!J176+$D$2)*IF($M$2="Prices in $/MWh",1,1/1000)</f>
        <v>82.63</v>
      </c>
      <c r="K188" s="76">
        <f>(MD_prices!K176+$D$2)*IF($M$2="Prices in $/MWh",1,1/1000)</f>
        <v>81.99</v>
      </c>
      <c r="L188" s="75">
        <f>(MD_prices!L176+$D$2)*IF($M$2="Prices in $/MWh",1,1/1000)</f>
        <v>38.07</v>
      </c>
      <c r="M188" s="76">
        <f>(MD_prices!M176+$D$2)*IF($M$2="Prices in $/MWh",1,1/1000)</f>
        <v>38.21</v>
      </c>
      <c r="N188" s="75">
        <f>(MD_prices!N176+$D$2)*IF($M$2="Prices in $/MWh",1,1/1000)</f>
        <v>38.42</v>
      </c>
      <c r="O188" s="61"/>
    </row>
    <row r="189" spans="2:15" x14ac:dyDescent="0.25">
      <c r="B189" s="57"/>
      <c r="C189" s="78" t="str">
        <f>MD_prices!C177</f>
        <v>December-2016</v>
      </c>
      <c r="D189" s="79" t="str">
        <f>MD_prices!D177</f>
        <v>MD</v>
      </c>
      <c r="E189" s="80" t="str">
        <f>MD_prices!E177</f>
        <v>PEPCO</v>
      </c>
      <c r="F189" s="79" t="str">
        <f>MD_prices!F177</f>
        <v>GS</v>
      </c>
      <c r="G189" s="80" t="str">
        <f>MD_prices!G177</f>
        <v>General Service Small</v>
      </c>
      <c r="H189" s="81" t="str">
        <f t="shared" ref="H189" si="172">IF($M$2="Prices in $/MWh","100-500 MWh","100,000-500,000 kWh")</f>
        <v>100-500 MWh</v>
      </c>
      <c r="I189" s="80">
        <f>(MD_prices!I177+$D$2)*IF($M$2="Prices in $/MWh",1,1/1000)</f>
        <v>80.39</v>
      </c>
      <c r="J189" s="79">
        <f>(MD_prices!J177+$D$2)*IF($M$2="Prices in $/MWh",1,1/1000)</f>
        <v>81.03</v>
      </c>
      <c r="K189" s="80">
        <f>(MD_prices!K177+$D$2)*IF($M$2="Prices in $/MWh",1,1/1000)</f>
        <v>80.39</v>
      </c>
      <c r="L189" s="79">
        <f>(MD_prices!L177+$D$2)*IF($M$2="Prices in $/MWh",1,1/1000)</f>
        <v>36.47</v>
      </c>
      <c r="M189" s="80">
        <f>(MD_prices!M177+$D$2)*IF($M$2="Prices in $/MWh",1,1/1000)</f>
        <v>36.61</v>
      </c>
      <c r="N189" s="79">
        <f>(MD_prices!N177+$D$2)*IF($M$2="Prices in $/MWh",1,1/1000)</f>
        <v>36.82</v>
      </c>
      <c r="O189" s="61"/>
    </row>
    <row r="190" spans="2:15" x14ac:dyDescent="0.25">
      <c r="B190" s="57"/>
      <c r="C190" s="82" t="str">
        <f>MD_prices!C178</f>
        <v>December-2016</v>
      </c>
      <c r="D190" s="83" t="str">
        <f>MD_prices!D178</f>
        <v>MD</v>
      </c>
      <c r="E190" s="84" t="str">
        <f>MD_prices!E178</f>
        <v>PEPCO</v>
      </c>
      <c r="F190" s="83" t="str">
        <f>MD_prices!F178</f>
        <v>GS</v>
      </c>
      <c r="G190" s="84" t="str">
        <f>MD_prices!G178</f>
        <v>General Service Small</v>
      </c>
      <c r="H190" s="85" t="str">
        <f t="shared" ref="H190" si="173">IF($M$2="Prices in $/MWh","500-2500 MWh","500,000-2,500,000 kWh")</f>
        <v>500-2500 MWh</v>
      </c>
      <c r="I190" s="84">
        <f>(MD_prices!I178+$D$2)*IF($M$2="Prices in $/MWh",1,1/1000)</f>
        <v>79.34</v>
      </c>
      <c r="J190" s="83">
        <f>(MD_prices!J178+$D$2)*IF($M$2="Prices in $/MWh",1,1/1000)</f>
        <v>79.98</v>
      </c>
      <c r="K190" s="84">
        <f>(MD_prices!K178+$D$2)*IF($M$2="Prices in $/MWh",1,1/1000)</f>
        <v>79.34</v>
      </c>
      <c r="L190" s="83">
        <f>(MD_prices!L178+$D$2)*IF($M$2="Prices in $/MWh",1,1/1000)</f>
        <v>35.42</v>
      </c>
      <c r="M190" s="84">
        <f>(MD_prices!M178+$D$2)*IF($M$2="Prices in $/MWh",1,1/1000)</f>
        <v>35.56</v>
      </c>
      <c r="N190" s="83">
        <f>(MD_prices!N178+$D$2)*IF($M$2="Prices in $/MWh",1,1/1000)</f>
        <v>35.770000000000003</v>
      </c>
      <c r="O190" s="61"/>
    </row>
    <row r="191" spans="2:15" x14ac:dyDescent="0.25">
      <c r="B191" s="57"/>
      <c r="C191" s="74" t="str">
        <f>MD_prices!C179</f>
        <v>January-2017</v>
      </c>
      <c r="D191" s="75" t="str">
        <f>MD_prices!D179</f>
        <v>MD</v>
      </c>
      <c r="E191" s="76" t="str">
        <f>MD_prices!E179</f>
        <v>PEPCO</v>
      </c>
      <c r="F191" s="75" t="str">
        <f>MD_prices!F179</f>
        <v>GS</v>
      </c>
      <c r="G191" s="76" t="str">
        <f>MD_prices!G179</f>
        <v>General Service Small</v>
      </c>
      <c r="H191" s="77" t="str">
        <f t="shared" ref="H191" si="174">IF($M$2="Prices in $/MWh","0-100 MWh","0-100,000 kWh")</f>
        <v>0-100 MWh</v>
      </c>
      <c r="I191" s="76">
        <f>(MD_prices!I179+$D$2)*IF($M$2="Prices in $/MWh",1,1/1000)</f>
        <v>81.83</v>
      </c>
      <c r="J191" s="75">
        <f>(MD_prices!J179+$D$2)*IF($M$2="Prices in $/MWh",1,1/1000)</f>
        <v>82.76</v>
      </c>
      <c r="K191" s="76">
        <f>(MD_prices!K179+$D$2)*IF($M$2="Prices in $/MWh",1,1/1000)</f>
        <v>82.01</v>
      </c>
      <c r="L191" s="75">
        <f>(MD_prices!L179+$D$2)*IF($M$2="Prices in $/MWh",1,1/1000)</f>
        <v>38.07</v>
      </c>
      <c r="M191" s="76">
        <f>(MD_prices!M179+$D$2)*IF($M$2="Prices in $/MWh",1,1/1000)</f>
        <v>38.39</v>
      </c>
      <c r="N191" s="75">
        <f>(MD_prices!N179+$D$2)*IF($M$2="Prices in $/MWh",1,1/1000)</f>
        <v>38.479999999999997</v>
      </c>
      <c r="O191" s="61"/>
    </row>
    <row r="192" spans="2:15" x14ac:dyDescent="0.25">
      <c r="B192" s="57"/>
      <c r="C192" s="78" t="str">
        <f>MD_prices!C180</f>
        <v>January-2017</v>
      </c>
      <c r="D192" s="79" t="str">
        <f>MD_prices!D180</f>
        <v>MD</v>
      </c>
      <c r="E192" s="80" t="str">
        <f>MD_prices!E180</f>
        <v>PEPCO</v>
      </c>
      <c r="F192" s="79" t="str">
        <f>MD_prices!F180</f>
        <v>GS</v>
      </c>
      <c r="G192" s="80" t="str">
        <f>MD_prices!G180</f>
        <v>General Service Small</v>
      </c>
      <c r="H192" s="81" t="str">
        <f t="shared" ref="H192" si="175">IF($M$2="Prices in $/MWh","100-500 MWh","100,000-500,000 kWh")</f>
        <v>100-500 MWh</v>
      </c>
      <c r="I192" s="80">
        <f>(MD_prices!I180+$D$2)*IF($M$2="Prices in $/MWh",1,1/1000)</f>
        <v>80.23</v>
      </c>
      <c r="J192" s="79">
        <f>(MD_prices!J180+$D$2)*IF($M$2="Prices in $/MWh",1,1/1000)</f>
        <v>81.16</v>
      </c>
      <c r="K192" s="80">
        <f>(MD_prices!K180+$D$2)*IF($M$2="Prices in $/MWh",1,1/1000)</f>
        <v>80.41</v>
      </c>
      <c r="L192" s="79">
        <f>(MD_prices!L180+$D$2)*IF($M$2="Prices in $/MWh",1,1/1000)</f>
        <v>36.47</v>
      </c>
      <c r="M192" s="80">
        <f>(MD_prices!M180+$D$2)*IF($M$2="Prices in $/MWh",1,1/1000)</f>
        <v>36.79</v>
      </c>
      <c r="N192" s="79">
        <f>(MD_prices!N180+$D$2)*IF($M$2="Prices in $/MWh",1,1/1000)</f>
        <v>36.880000000000003</v>
      </c>
      <c r="O192" s="61"/>
    </row>
    <row r="193" spans="2:15" x14ac:dyDescent="0.25">
      <c r="B193" s="57"/>
      <c r="C193" s="82" t="str">
        <f>MD_prices!C181</f>
        <v>January-2017</v>
      </c>
      <c r="D193" s="83" t="str">
        <f>MD_prices!D181</f>
        <v>MD</v>
      </c>
      <c r="E193" s="84" t="str">
        <f>MD_prices!E181</f>
        <v>PEPCO</v>
      </c>
      <c r="F193" s="83" t="str">
        <f>MD_prices!F181</f>
        <v>GS</v>
      </c>
      <c r="G193" s="84" t="str">
        <f>MD_prices!G181</f>
        <v>General Service Small</v>
      </c>
      <c r="H193" s="85" t="str">
        <f t="shared" ref="H193" si="176">IF($M$2="Prices in $/MWh","500-2500 MWh","500,000-2,500,000 kWh")</f>
        <v>500-2500 MWh</v>
      </c>
      <c r="I193" s="84">
        <f>(MD_prices!I181+$D$2)*IF($M$2="Prices in $/MWh",1,1/1000)</f>
        <v>79.180000000000007</v>
      </c>
      <c r="J193" s="83">
        <f>(MD_prices!J181+$D$2)*IF($M$2="Prices in $/MWh",1,1/1000)</f>
        <v>80.11</v>
      </c>
      <c r="K193" s="84">
        <f>(MD_prices!K181+$D$2)*IF($M$2="Prices in $/MWh",1,1/1000)</f>
        <v>79.36</v>
      </c>
      <c r="L193" s="83">
        <f>(MD_prices!L181+$D$2)*IF($M$2="Prices in $/MWh",1,1/1000)</f>
        <v>35.42</v>
      </c>
      <c r="M193" s="84">
        <f>(MD_prices!M181+$D$2)*IF($M$2="Prices in $/MWh",1,1/1000)</f>
        <v>35.74</v>
      </c>
      <c r="N193" s="83">
        <f>(MD_prices!N181+$D$2)*IF($M$2="Prices in $/MWh",1,1/1000)</f>
        <v>35.83</v>
      </c>
      <c r="O193" s="61"/>
    </row>
    <row r="194" spans="2:15" x14ac:dyDescent="0.25">
      <c r="B194" s="57"/>
      <c r="C194" s="74" t="str">
        <f>MD_prices!C182</f>
        <v>February-2016</v>
      </c>
      <c r="D194" s="75" t="str">
        <f>MD_prices!D182</f>
        <v>MD</v>
      </c>
      <c r="E194" s="76" t="str">
        <f>MD_prices!E182</f>
        <v>PEPCO</v>
      </c>
      <c r="F194" s="75" t="str">
        <f>MD_prices!F182</f>
        <v>MGT LV II</v>
      </c>
      <c r="G194" s="76" t="str">
        <f>MD_prices!G182</f>
        <v>Time Metered Gen Service</v>
      </c>
      <c r="H194" s="77" t="str">
        <f t="shared" ref="H194" si="177">IF($M$2="Prices in $/MWh","0-100 MWh","0-100,000 kWh")</f>
        <v>0-100 MWh</v>
      </c>
      <c r="I194" s="76">
        <f>(MD_prices!I182+$D$2)*IF($M$2="Prices in $/MWh",1,1/1000)</f>
        <v>81.36</v>
      </c>
      <c r="J194" s="75">
        <f>(MD_prices!J182+$D$2)*IF($M$2="Prices in $/MWh",1,1/1000)</f>
        <v>81.349999999999994</v>
      </c>
      <c r="K194" s="76">
        <f>(MD_prices!K182+$D$2)*IF($M$2="Prices in $/MWh",1,1/1000)</f>
        <v>80.56</v>
      </c>
      <c r="L194" s="75">
        <f>(MD_prices!L182+$D$2)*IF($M$2="Prices in $/MWh",1,1/1000)</f>
        <v>37.380000000000003</v>
      </c>
      <c r="M194" s="76">
        <f>(MD_prices!M182+$D$2)*IF($M$2="Prices in $/MWh",1,1/1000)</f>
        <v>37.33</v>
      </c>
      <c r="N194" s="75">
        <f>(MD_prices!N182+$D$2)*IF($M$2="Prices in $/MWh",1,1/1000)</f>
        <v>37.21</v>
      </c>
      <c r="O194" s="61"/>
    </row>
    <row r="195" spans="2:15" x14ac:dyDescent="0.25">
      <c r="B195" s="57"/>
      <c r="C195" s="78" t="str">
        <f>MD_prices!C183</f>
        <v>February-2016</v>
      </c>
      <c r="D195" s="79" t="str">
        <f>MD_prices!D183</f>
        <v>MD</v>
      </c>
      <c r="E195" s="80" t="str">
        <f>MD_prices!E183</f>
        <v>PEPCO</v>
      </c>
      <c r="F195" s="79" t="str">
        <f>MD_prices!F183</f>
        <v>MGT LV II</v>
      </c>
      <c r="G195" s="80" t="str">
        <f>MD_prices!G183</f>
        <v>Time Metered Gen Service</v>
      </c>
      <c r="H195" s="81" t="str">
        <f t="shared" ref="H195" si="178">IF($M$2="Prices in $/MWh","100-500 MWh","100,000-500,000 kWh")</f>
        <v>100-500 MWh</v>
      </c>
      <c r="I195" s="80">
        <f>(MD_prices!I183+$D$2)*IF($M$2="Prices in $/MWh",1,1/1000)</f>
        <v>79.760000000000005</v>
      </c>
      <c r="J195" s="79">
        <f>(MD_prices!J183+$D$2)*IF($M$2="Prices in $/MWh",1,1/1000)</f>
        <v>79.75</v>
      </c>
      <c r="K195" s="80">
        <f>(MD_prices!K183+$D$2)*IF($M$2="Prices in $/MWh",1,1/1000)</f>
        <v>78.959999999999994</v>
      </c>
      <c r="L195" s="79">
        <f>(MD_prices!L183+$D$2)*IF($M$2="Prices in $/MWh",1,1/1000)</f>
        <v>35.78</v>
      </c>
      <c r="M195" s="80">
        <f>(MD_prices!M183+$D$2)*IF($M$2="Prices in $/MWh",1,1/1000)</f>
        <v>35.729999999999997</v>
      </c>
      <c r="N195" s="79">
        <f>(MD_prices!N183+$D$2)*IF($M$2="Prices in $/MWh",1,1/1000)</f>
        <v>35.61</v>
      </c>
      <c r="O195" s="61"/>
    </row>
    <row r="196" spans="2:15" x14ac:dyDescent="0.25">
      <c r="B196" s="57"/>
      <c r="C196" s="82" t="str">
        <f>MD_prices!C184</f>
        <v>February-2016</v>
      </c>
      <c r="D196" s="83" t="str">
        <f>MD_prices!D184</f>
        <v>MD</v>
      </c>
      <c r="E196" s="84" t="str">
        <f>MD_prices!E184</f>
        <v>PEPCO</v>
      </c>
      <c r="F196" s="83" t="str">
        <f>MD_prices!F184</f>
        <v>MGT LV II</v>
      </c>
      <c r="G196" s="84" t="str">
        <f>MD_prices!G184</f>
        <v>Time Metered Gen Service</v>
      </c>
      <c r="H196" s="85" t="str">
        <f t="shared" ref="H196" si="179">IF($M$2="Prices in $/MWh","500-2500 MWh","500,000-2,500,000 kWh")</f>
        <v>500-2500 MWh</v>
      </c>
      <c r="I196" s="84">
        <f>(MD_prices!I184+$D$2)*IF($M$2="Prices in $/MWh",1,1/1000)</f>
        <v>78.709999999999994</v>
      </c>
      <c r="J196" s="83">
        <f>(MD_prices!J184+$D$2)*IF($M$2="Prices in $/MWh",1,1/1000)</f>
        <v>78.7</v>
      </c>
      <c r="K196" s="84">
        <f>(MD_prices!K184+$D$2)*IF($M$2="Prices in $/MWh",1,1/1000)</f>
        <v>77.91</v>
      </c>
      <c r="L196" s="83">
        <f>(MD_prices!L184+$D$2)*IF($M$2="Prices in $/MWh",1,1/1000)</f>
        <v>34.729999999999997</v>
      </c>
      <c r="M196" s="84">
        <f>(MD_prices!M184+$D$2)*IF($M$2="Prices in $/MWh",1,1/1000)</f>
        <v>34.68</v>
      </c>
      <c r="N196" s="83">
        <f>(MD_prices!N184+$D$2)*IF($M$2="Prices in $/MWh",1,1/1000)</f>
        <v>34.56</v>
      </c>
      <c r="O196" s="61"/>
    </row>
    <row r="197" spans="2:15" x14ac:dyDescent="0.25">
      <c r="B197" s="57"/>
      <c r="C197" s="74" t="str">
        <f>MD_prices!C185</f>
        <v>March-2016</v>
      </c>
      <c r="D197" s="75" t="str">
        <f>MD_prices!D185</f>
        <v>MD</v>
      </c>
      <c r="E197" s="76" t="str">
        <f>MD_prices!E185</f>
        <v>PEPCO</v>
      </c>
      <c r="F197" s="75" t="str">
        <f>MD_prices!F185</f>
        <v>MGT LV II</v>
      </c>
      <c r="G197" s="76" t="str">
        <f>MD_prices!G185</f>
        <v>Time Metered Gen Service</v>
      </c>
      <c r="H197" s="77" t="str">
        <f t="shared" ref="H197" si="180">IF($M$2="Prices in $/MWh","0-100 MWh","0-100,000 kWh")</f>
        <v>0-100 MWh</v>
      </c>
      <c r="I197" s="76">
        <f>(MD_prices!I185+$D$2)*IF($M$2="Prices in $/MWh",1,1/1000)</f>
        <v>81.72</v>
      </c>
      <c r="J197" s="75">
        <f>(MD_prices!J185+$D$2)*IF($M$2="Prices in $/MWh",1,1/1000)</f>
        <v>80.87</v>
      </c>
      <c r="K197" s="76">
        <f>(MD_prices!K185+$D$2)*IF($M$2="Prices in $/MWh",1,1/1000)</f>
        <v>80.73</v>
      </c>
      <c r="L197" s="75">
        <f>(MD_prices!L185+$D$2)*IF($M$2="Prices in $/MWh",1,1/1000)</f>
        <v>37.36</v>
      </c>
      <c r="M197" s="76">
        <f>(MD_prices!M185+$D$2)*IF($M$2="Prices in $/MWh",1,1/1000)</f>
        <v>37.01</v>
      </c>
      <c r="N197" s="75">
        <f>(MD_prices!N185+$D$2)*IF($M$2="Prices in $/MWh",1,1/1000)</f>
        <v>37.200000000000003</v>
      </c>
      <c r="O197" s="61"/>
    </row>
    <row r="198" spans="2:15" x14ac:dyDescent="0.25">
      <c r="B198" s="57"/>
      <c r="C198" s="78" t="str">
        <f>MD_prices!C186</f>
        <v>March-2016</v>
      </c>
      <c r="D198" s="79" t="str">
        <f>MD_prices!D186</f>
        <v>MD</v>
      </c>
      <c r="E198" s="80" t="str">
        <f>MD_prices!E186</f>
        <v>PEPCO</v>
      </c>
      <c r="F198" s="79" t="str">
        <f>MD_prices!F186</f>
        <v>MGT LV II</v>
      </c>
      <c r="G198" s="80" t="str">
        <f>MD_prices!G186</f>
        <v>Time Metered Gen Service</v>
      </c>
      <c r="H198" s="81" t="str">
        <f t="shared" ref="H198" si="181">IF($M$2="Prices in $/MWh","100-500 MWh","100,000-500,000 kWh")</f>
        <v>100-500 MWh</v>
      </c>
      <c r="I198" s="80">
        <f>(MD_prices!I186+$D$2)*IF($M$2="Prices in $/MWh",1,1/1000)</f>
        <v>80.12</v>
      </c>
      <c r="J198" s="79">
        <f>(MD_prices!J186+$D$2)*IF($M$2="Prices in $/MWh",1,1/1000)</f>
        <v>79.27</v>
      </c>
      <c r="K198" s="80">
        <f>(MD_prices!K186+$D$2)*IF($M$2="Prices in $/MWh",1,1/1000)</f>
        <v>79.13</v>
      </c>
      <c r="L198" s="79">
        <f>(MD_prices!L186+$D$2)*IF($M$2="Prices in $/MWh",1,1/1000)</f>
        <v>35.76</v>
      </c>
      <c r="M198" s="80">
        <f>(MD_prices!M186+$D$2)*IF($M$2="Prices in $/MWh",1,1/1000)</f>
        <v>35.409999999999997</v>
      </c>
      <c r="N198" s="79">
        <f>(MD_prices!N186+$D$2)*IF($M$2="Prices in $/MWh",1,1/1000)</f>
        <v>35.6</v>
      </c>
      <c r="O198" s="61"/>
    </row>
    <row r="199" spans="2:15" x14ac:dyDescent="0.25">
      <c r="B199" s="57"/>
      <c r="C199" s="82" t="str">
        <f>MD_prices!C187</f>
        <v>March-2016</v>
      </c>
      <c r="D199" s="83" t="str">
        <f>MD_prices!D187</f>
        <v>MD</v>
      </c>
      <c r="E199" s="84" t="str">
        <f>MD_prices!E187</f>
        <v>PEPCO</v>
      </c>
      <c r="F199" s="83" t="str">
        <f>MD_prices!F187</f>
        <v>MGT LV II</v>
      </c>
      <c r="G199" s="84" t="str">
        <f>MD_prices!G187</f>
        <v>Time Metered Gen Service</v>
      </c>
      <c r="H199" s="85" t="str">
        <f t="shared" ref="H199" si="182">IF($M$2="Prices in $/MWh","500-2500 MWh","500,000-2,500,000 kWh")</f>
        <v>500-2500 MWh</v>
      </c>
      <c r="I199" s="84">
        <f>(MD_prices!I187+$D$2)*IF($M$2="Prices in $/MWh",1,1/1000)</f>
        <v>79.069999999999993</v>
      </c>
      <c r="J199" s="83">
        <f>(MD_prices!J187+$D$2)*IF($M$2="Prices in $/MWh",1,1/1000)</f>
        <v>78.22</v>
      </c>
      <c r="K199" s="84">
        <f>(MD_prices!K187+$D$2)*IF($M$2="Prices in $/MWh",1,1/1000)</f>
        <v>78.08</v>
      </c>
      <c r="L199" s="83">
        <f>(MD_prices!L187+$D$2)*IF($M$2="Prices in $/MWh",1,1/1000)</f>
        <v>34.71</v>
      </c>
      <c r="M199" s="84">
        <f>(MD_prices!M187+$D$2)*IF($M$2="Prices in $/MWh",1,1/1000)</f>
        <v>34.36</v>
      </c>
      <c r="N199" s="83">
        <f>(MD_prices!N187+$D$2)*IF($M$2="Prices in $/MWh",1,1/1000)</f>
        <v>34.549999999999997</v>
      </c>
      <c r="O199" s="61"/>
    </row>
    <row r="200" spans="2:15" x14ac:dyDescent="0.25">
      <c r="B200" s="57"/>
      <c r="C200" s="74" t="str">
        <f>MD_prices!C188</f>
        <v>April-2016</v>
      </c>
      <c r="D200" s="75" t="str">
        <f>MD_prices!D188</f>
        <v>MD</v>
      </c>
      <c r="E200" s="76" t="str">
        <f>MD_prices!E188</f>
        <v>PEPCO</v>
      </c>
      <c r="F200" s="75" t="str">
        <f>MD_prices!F188</f>
        <v>MGT LV II</v>
      </c>
      <c r="G200" s="76" t="str">
        <f>MD_prices!G188</f>
        <v>Time Metered Gen Service</v>
      </c>
      <c r="H200" s="77" t="str">
        <f t="shared" ref="H200" si="183">IF($M$2="Prices in $/MWh","0-100 MWh","0-100,000 kWh")</f>
        <v>0-100 MWh</v>
      </c>
      <c r="I200" s="76">
        <f>(MD_prices!I188+$D$2)*IF($M$2="Prices in $/MWh",1,1/1000)</f>
        <v>81.72</v>
      </c>
      <c r="J200" s="75">
        <f>(MD_prices!J188+$D$2)*IF($M$2="Prices in $/MWh",1,1/1000)</f>
        <v>80.23</v>
      </c>
      <c r="K200" s="76">
        <f>(MD_prices!K188+$D$2)*IF($M$2="Prices in $/MWh",1,1/1000)</f>
        <v>80.67</v>
      </c>
      <c r="L200" s="75">
        <f>(MD_prices!L188+$D$2)*IF($M$2="Prices in $/MWh",1,1/1000)</f>
        <v>37.32</v>
      </c>
      <c r="M200" s="76">
        <f>(MD_prices!M188+$D$2)*IF($M$2="Prices in $/MWh",1,1/1000)</f>
        <v>36.78</v>
      </c>
      <c r="N200" s="75">
        <f>(MD_prices!N188+$D$2)*IF($M$2="Prices in $/MWh",1,1/1000)</f>
        <v>37.19</v>
      </c>
      <c r="O200" s="61"/>
    </row>
    <row r="201" spans="2:15" x14ac:dyDescent="0.25">
      <c r="B201" s="57"/>
      <c r="C201" s="78" t="str">
        <f>MD_prices!C189</f>
        <v>April-2016</v>
      </c>
      <c r="D201" s="79" t="str">
        <f>MD_prices!D189</f>
        <v>MD</v>
      </c>
      <c r="E201" s="80" t="str">
        <f>MD_prices!E189</f>
        <v>PEPCO</v>
      </c>
      <c r="F201" s="79" t="str">
        <f>MD_prices!F189</f>
        <v>MGT LV II</v>
      </c>
      <c r="G201" s="80" t="str">
        <f>MD_prices!G189</f>
        <v>Time Metered Gen Service</v>
      </c>
      <c r="H201" s="81" t="str">
        <f t="shared" ref="H201" si="184">IF($M$2="Prices in $/MWh","100-500 MWh","100,000-500,000 kWh")</f>
        <v>100-500 MWh</v>
      </c>
      <c r="I201" s="80">
        <f>(MD_prices!I189+$D$2)*IF($M$2="Prices in $/MWh",1,1/1000)</f>
        <v>80.12</v>
      </c>
      <c r="J201" s="79">
        <f>(MD_prices!J189+$D$2)*IF($M$2="Prices in $/MWh",1,1/1000)</f>
        <v>78.63</v>
      </c>
      <c r="K201" s="80">
        <f>(MD_prices!K189+$D$2)*IF($M$2="Prices in $/MWh",1,1/1000)</f>
        <v>79.069999999999993</v>
      </c>
      <c r="L201" s="79">
        <f>(MD_prices!L189+$D$2)*IF($M$2="Prices in $/MWh",1,1/1000)</f>
        <v>35.72</v>
      </c>
      <c r="M201" s="80">
        <f>(MD_prices!M189+$D$2)*IF($M$2="Prices in $/MWh",1,1/1000)</f>
        <v>35.18</v>
      </c>
      <c r="N201" s="79">
        <f>(MD_prices!N189+$D$2)*IF($M$2="Prices in $/MWh",1,1/1000)</f>
        <v>35.590000000000003</v>
      </c>
      <c r="O201" s="61"/>
    </row>
    <row r="202" spans="2:15" x14ac:dyDescent="0.25">
      <c r="B202" s="57"/>
      <c r="C202" s="82" t="str">
        <f>MD_prices!C190</f>
        <v>April-2016</v>
      </c>
      <c r="D202" s="83" t="str">
        <f>MD_prices!D190</f>
        <v>MD</v>
      </c>
      <c r="E202" s="84" t="str">
        <f>MD_prices!E190</f>
        <v>PEPCO</v>
      </c>
      <c r="F202" s="83" t="str">
        <f>MD_prices!F190</f>
        <v>MGT LV II</v>
      </c>
      <c r="G202" s="84" t="str">
        <f>MD_prices!G190</f>
        <v>Time Metered Gen Service</v>
      </c>
      <c r="H202" s="85" t="str">
        <f t="shared" ref="H202" si="185">IF($M$2="Prices in $/MWh","500-2500 MWh","500,000-2,500,000 kWh")</f>
        <v>500-2500 MWh</v>
      </c>
      <c r="I202" s="84">
        <f>(MD_prices!I190+$D$2)*IF($M$2="Prices in $/MWh",1,1/1000)</f>
        <v>79.069999999999993</v>
      </c>
      <c r="J202" s="83">
        <f>(MD_prices!J190+$D$2)*IF($M$2="Prices in $/MWh",1,1/1000)</f>
        <v>77.58</v>
      </c>
      <c r="K202" s="84">
        <f>(MD_prices!K190+$D$2)*IF($M$2="Prices in $/MWh",1,1/1000)</f>
        <v>78.02</v>
      </c>
      <c r="L202" s="83">
        <f>(MD_prices!L190+$D$2)*IF($M$2="Prices in $/MWh",1,1/1000)</f>
        <v>34.67</v>
      </c>
      <c r="M202" s="84">
        <f>(MD_prices!M190+$D$2)*IF($M$2="Prices in $/MWh",1,1/1000)</f>
        <v>34.130000000000003</v>
      </c>
      <c r="N202" s="83">
        <f>(MD_prices!N190+$D$2)*IF($M$2="Prices in $/MWh",1,1/1000)</f>
        <v>34.54</v>
      </c>
      <c r="O202" s="61"/>
    </row>
    <row r="203" spans="2:15" x14ac:dyDescent="0.25">
      <c r="B203" s="57"/>
      <c r="C203" s="74" t="str">
        <f>MD_prices!C191</f>
        <v>May-2016</v>
      </c>
      <c r="D203" s="75" t="str">
        <f>MD_prices!D191</f>
        <v>MD</v>
      </c>
      <c r="E203" s="76" t="str">
        <f>MD_prices!E191</f>
        <v>PEPCO</v>
      </c>
      <c r="F203" s="75" t="str">
        <f>MD_prices!F191</f>
        <v>MGT LV II</v>
      </c>
      <c r="G203" s="76" t="str">
        <f>MD_prices!G191</f>
        <v>Time Metered Gen Service</v>
      </c>
      <c r="H203" s="77" t="str">
        <f t="shared" ref="H203" si="186">IF($M$2="Prices in $/MWh","0-100 MWh","0-100,000 kWh")</f>
        <v>0-100 MWh</v>
      </c>
      <c r="I203" s="76">
        <f>(MD_prices!I191+$D$2)*IF($M$2="Prices in $/MWh",1,1/1000)</f>
        <v>81.64</v>
      </c>
      <c r="J203" s="75">
        <f>(MD_prices!J191+$D$2)*IF($M$2="Prices in $/MWh",1,1/1000)</f>
        <v>79.92</v>
      </c>
      <c r="K203" s="76">
        <f>(MD_prices!K191+$D$2)*IF($M$2="Prices in $/MWh",1,1/1000)</f>
        <v>80.58</v>
      </c>
      <c r="L203" s="75">
        <f>(MD_prices!L191+$D$2)*IF($M$2="Prices in $/MWh",1,1/1000)</f>
        <v>37.29</v>
      </c>
      <c r="M203" s="76">
        <f>(MD_prices!M191+$D$2)*IF($M$2="Prices in $/MWh",1,1/1000)</f>
        <v>36.74</v>
      </c>
      <c r="N203" s="75">
        <f>(MD_prices!N191+$D$2)*IF($M$2="Prices in $/MWh",1,1/1000)</f>
        <v>37.17</v>
      </c>
      <c r="O203" s="61"/>
    </row>
    <row r="204" spans="2:15" x14ac:dyDescent="0.25">
      <c r="B204" s="57"/>
      <c r="C204" s="78" t="str">
        <f>MD_prices!C192</f>
        <v>May-2016</v>
      </c>
      <c r="D204" s="79" t="str">
        <f>MD_prices!D192</f>
        <v>MD</v>
      </c>
      <c r="E204" s="80" t="str">
        <f>MD_prices!E192</f>
        <v>PEPCO</v>
      </c>
      <c r="F204" s="79" t="str">
        <f>MD_prices!F192</f>
        <v>MGT LV II</v>
      </c>
      <c r="G204" s="80" t="str">
        <f>MD_prices!G192</f>
        <v>Time Metered Gen Service</v>
      </c>
      <c r="H204" s="81" t="str">
        <f t="shared" ref="H204" si="187">IF($M$2="Prices in $/MWh","100-500 MWh","100,000-500,000 kWh")</f>
        <v>100-500 MWh</v>
      </c>
      <c r="I204" s="80">
        <f>(MD_prices!I192+$D$2)*IF($M$2="Prices in $/MWh",1,1/1000)</f>
        <v>80.040000000000006</v>
      </c>
      <c r="J204" s="79">
        <f>(MD_prices!J192+$D$2)*IF($M$2="Prices in $/MWh",1,1/1000)</f>
        <v>78.319999999999993</v>
      </c>
      <c r="K204" s="80">
        <f>(MD_prices!K192+$D$2)*IF($M$2="Prices in $/MWh",1,1/1000)</f>
        <v>78.98</v>
      </c>
      <c r="L204" s="79">
        <f>(MD_prices!L192+$D$2)*IF($M$2="Prices in $/MWh",1,1/1000)</f>
        <v>35.69</v>
      </c>
      <c r="M204" s="80">
        <f>(MD_prices!M192+$D$2)*IF($M$2="Prices in $/MWh",1,1/1000)</f>
        <v>35.14</v>
      </c>
      <c r="N204" s="79">
        <f>(MD_prices!N192+$D$2)*IF($M$2="Prices in $/MWh",1,1/1000)</f>
        <v>35.57</v>
      </c>
      <c r="O204" s="61"/>
    </row>
    <row r="205" spans="2:15" x14ac:dyDescent="0.25">
      <c r="B205" s="57"/>
      <c r="C205" s="82" t="str">
        <f>MD_prices!C193</f>
        <v>May-2016</v>
      </c>
      <c r="D205" s="83" t="str">
        <f>MD_prices!D193</f>
        <v>MD</v>
      </c>
      <c r="E205" s="84" t="str">
        <f>MD_prices!E193</f>
        <v>PEPCO</v>
      </c>
      <c r="F205" s="83" t="str">
        <f>MD_prices!F193</f>
        <v>MGT LV II</v>
      </c>
      <c r="G205" s="84" t="str">
        <f>MD_prices!G193</f>
        <v>Time Metered Gen Service</v>
      </c>
      <c r="H205" s="85" t="str">
        <f t="shared" ref="H205" si="188">IF($M$2="Prices in $/MWh","500-2500 MWh","500,000-2,500,000 kWh")</f>
        <v>500-2500 MWh</v>
      </c>
      <c r="I205" s="84">
        <f>(MD_prices!I193+$D$2)*IF($M$2="Prices in $/MWh",1,1/1000)</f>
        <v>78.989999999999995</v>
      </c>
      <c r="J205" s="83">
        <f>(MD_prices!J193+$D$2)*IF($M$2="Prices in $/MWh",1,1/1000)</f>
        <v>77.27</v>
      </c>
      <c r="K205" s="84">
        <f>(MD_prices!K193+$D$2)*IF($M$2="Prices in $/MWh",1,1/1000)</f>
        <v>77.930000000000007</v>
      </c>
      <c r="L205" s="83">
        <f>(MD_prices!L193+$D$2)*IF($M$2="Prices in $/MWh",1,1/1000)</f>
        <v>34.64</v>
      </c>
      <c r="M205" s="84">
        <f>(MD_prices!M193+$D$2)*IF($M$2="Prices in $/MWh",1,1/1000)</f>
        <v>34.090000000000003</v>
      </c>
      <c r="N205" s="83">
        <f>(MD_prices!N193+$D$2)*IF($M$2="Prices in $/MWh",1,1/1000)</f>
        <v>34.520000000000003</v>
      </c>
      <c r="O205" s="61"/>
    </row>
    <row r="206" spans="2:15" x14ac:dyDescent="0.25">
      <c r="B206" s="57"/>
      <c r="C206" s="74" t="str">
        <f>MD_prices!C194</f>
        <v>June-2016</v>
      </c>
      <c r="D206" s="75" t="str">
        <f>MD_prices!D194</f>
        <v>MD</v>
      </c>
      <c r="E206" s="76" t="str">
        <f>MD_prices!E194</f>
        <v>PEPCO</v>
      </c>
      <c r="F206" s="75" t="str">
        <f>MD_prices!F194</f>
        <v>MGT LV II</v>
      </c>
      <c r="G206" s="76" t="str">
        <f>MD_prices!G194</f>
        <v>Time Metered Gen Service</v>
      </c>
      <c r="H206" s="77" t="str">
        <f t="shared" ref="H206" si="189">IF($M$2="Prices in $/MWh","0-100 MWh","0-100,000 kWh")</f>
        <v>0-100 MWh</v>
      </c>
      <c r="I206" s="76">
        <f>(MD_prices!I194+$D$2)*IF($M$2="Prices in $/MWh",1,1/1000)</f>
        <v>81.459999999999994</v>
      </c>
      <c r="J206" s="75">
        <f>(MD_prices!J194+$D$2)*IF($M$2="Prices in $/MWh",1,1/1000)</f>
        <v>79.650000000000006</v>
      </c>
      <c r="K206" s="76">
        <f>(MD_prices!K194+$D$2)*IF($M$2="Prices in $/MWh",1,1/1000)</f>
        <v>80.47</v>
      </c>
      <c r="L206" s="75">
        <f>(MD_prices!L194+$D$2)*IF($M$2="Prices in $/MWh",1,1/1000)</f>
        <v>37.22</v>
      </c>
      <c r="M206" s="76">
        <f>(MD_prices!M194+$D$2)*IF($M$2="Prices in $/MWh",1,1/1000)</f>
        <v>36.729999999999997</v>
      </c>
      <c r="N206" s="75">
        <f>(MD_prices!N194+$D$2)*IF($M$2="Prices in $/MWh",1,1/1000)</f>
        <v>37.14</v>
      </c>
      <c r="O206" s="61"/>
    </row>
    <row r="207" spans="2:15" x14ac:dyDescent="0.25">
      <c r="B207" s="57"/>
      <c r="C207" s="78" t="str">
        <f>MD_prices!C195</f>
        <v>June-2016</v>
      </c>
      <c r="D207" s="79" t="str">
        <f>MD_prices!D195</f>
        <v>MD</v>
      </c>
      <c r="E207" s="80" t="str">
        <f>MD_prices!E195</f>
        <v>PEPCO</v>
      </c>
      <c r="F207" s="79" t="str">
        <f>MD_prices!F195</f>
        <v>MGT LV II</v>
      </c>
      <c r="G207" s="80" t="str">
        <f>MD_prices!G195</f>
        <v>Time Metered Gen Service</v>
      </c>
      <c r="H207" s="81" t="str">
        <f t="shared" ref="H207" si="190">IF($M$2="Prices in $/MWh","100-500 MWh","100,000-500,000 kWh")</f>
        <v>100-500 MWh</v>
      </c>
      <c r="I207" s="80">
        <f>(MD_prices!I195+$D$2)*IF($M$2="Prices in $/MWh",1,1/1000)</f>
        <v>79.86</v>
      </c>
      <c r="J207" s="79">
        <f>(MD_prices!J195+$D$2)*IF($M$2="Prices in $/MWh",1,1/1000)</f>
        <v>78.05</v>
      </c>
      <c r="K207" s="80">
        <f>(MD_prices!K195+$D$2)*IF($M$2="Prices in $/MWh",1,1/1000)</f>
        <v>78.87</v>
      </c>
      <c r="L207" s="79">
        <f>(MD_prices!L195+$D$2)*IF($M$2="Prices in $/MWh",1,1/1000)</f>
        <v>35.619999999999997</v>
      </c>
      <c r="M207" s="80">
        <f>(MD_prices!M195+$D$2)*IF($M$2="Prices in $/MWh",1,1/1000)</f>
        <v>35.130000000000003</v>
      </c>
      <c r="N207" s="79">
        <f>(MD_prices!N195+$D$2)*IF($M$2="Prices in $/MWh",1,1/1000)</f>
        <v>35.54</v>
      </c>
      <c r="O207" s="61"/>
    </row>
    <row r="208" spans="2:15" x14ac:dyDescent="0.25">
      <c r="B208" s="57"/>
      <c r="C208" s="82" t="str">
        <f>MD_prices!C196</f>
        <v>June-2016</v>
      </c>
      <c r="D208" s="83" t="str">
        <f>MD_prices!D196</f>
        <v>MD</v>
      </c>
      <c r="E208" s="84" t="str">
        <f>MD_prices!E196</f>
        <v>PEPCO</v>
      </c>
      <c r="F208" s="83" t="str">
        <f>MD_prices!F196</f>
        <v>MGT LV II</v>
      </c>
      <c r="G208" s="84" t="str">
        <f>MD_prices!G196</f>
        <v>Time Metered Gen Service</v>
      </c>
      <c r="H208" s="85" t="str">
        <f t="shared" ref="H208" si="191">IF($M$2="Prices in $/MWh","500-2500 MWh","500,000-2,500,000 kWh")</f>
        <v>500-2500 MWh</v>
      </c>
      <c r="I208" s="84">
        <f>(MD_prices!I196+$D$2)*IF($M$2="Prices in $/MWh",1,1/1000)</f>
        <v>78.81</v>
      </c>
      <c r="J208" s="83">
        <f>(MD_prices!J196+$D$2)*IF($M$2="Prices in $/MWh",1,1/1000)</f>
        <v>77</v>
      </c>
      <c r="K208" s="84">
        <f>(MD_prices!K196+$D$2)*IF($M$2="Prices in $/MWh",1,1/1000)</f>
        <v>77.819999999999993</v>
      </c>
      <c r="L208" s="83">
        <f>(MD_prices!L196+$D$2)*IF($M$2="Prices in $/MWh",1,1/1000)</f>
        <v>34.57</v>
      </c>
      <c r="M208" s="84">
        <f>(MD_prices!M196+$D$2)*IF($M$2="Prices in $/MWh",1,1/1000)</f>
        <v>34.08</v>
      </c>
      <c r="N208" s="83">
        <f>(MD_prices!N196+$D$2)*IF($M$2="Prices in $/MWh",1,1/1000)</f>
        <v>34.49</v>
      </c>
      <c r="O208" s="61"/>
    </row>
    <row r="209" spans="2:15" x14ac:dyDescent="0.25">
      <c r="B209" s="57"/>
      <c r="C209" s="74" t="str">
        <f>MD_prices!C197</f>
        <v>July-2016</v>
      </c>
      <c r="D209" s="75" t="str">
        <f>MD_prices!D197</f>
        <v>MD</v>
      </c>
      <c r="E209" s="76" t="str">
        <f>MD_prices!E197</f>
        <v>PEPCO</v>
      </c>
      <c r="F209" s="75" t="str">
        <f>MD_prices!F197</f>
        <v>MGT LV II</v>
      </c>
      <c r="G209" s="76" t="str">
        <f>MD_prices!G197</f>
        <v>Time Metered Gen Service</v>
      </c>
      <c r="H209" s="77" t="str">
        <f t="shared" ref="H209" si="192">IF($M$2="Prices in $/MWh","0-100 MWh","0-100,000 kWh")</f>
        <v>0-100 MWh</v>
      </c>
      <c r="I209" s="76">
        <f>(MD_prices!I197+$D$2)*IF($M$2="Prices in $/MWh",1,1/1000)</f>
        <v>81.319999999999993</v>
      </c>
      <c r="J209" s="75">
        <f>(MD_prices!J197+$D$2)*IF($M$2="Prices in $/MWh",1,1/1000)</f>
        <v>79.56</v>
      </c>
      <c r="K209" s="76">
        <f>(MD_prices!K197+$D$2)*IF($M$2="Prices in $/MWh",1,1/1000)</f>
        <v>80.38</v>
      </c>
      <c r="L209" s="75">
        <f>(MD_prices!L197+$D$2)*IF($M$2="Prices in $/MWh",1,1/1000)</f>
        <v>37.17</v>
      </c>
      <c r="M209" s="76">
        <f>(MD_prices!M197+$D$2)*IF($M$2="Prices in $/MWh",1,1/1000)</f>
        <v>36.799999999999997</v>
      </c>
      <c r="N209" s="75">
        <f>(MD_prices!N197+$D$2)*IF($M$2="Prices in $/MWh",1,1/1000)</f>
        <v>37.18</v>
      </c>
      <c r="O209" s="61"/>
    </row>
    <row r="210" spans="2:15" x14ac:dyDescent="0.25">
      <c r="B210" s="57"/>
      <c r="C210" s="78" t="str">
        <f>MD_prices!C198</f>
        <v>July-2016</v>
      </c>
      <c r="D210" s="79" t="str">
        <f>MD_prices!D198</f>
        <v>MD</v>
      </c>
      <c r="E210" s="80" t="str">
        <f>MD_prices!E198</f>
        <v>PEPCO</v>
      </c>
      <c r="F210" s="79" t="str">
        <f>MD_prices!F198</f>
        <v>MGT LV II</v>
      </c>
      <c r="G210" s="80" t="str">
        <f>MD_prices!G198</f>
        <v>Time Metered Gen Service</v>
      </c>
      <c r="H210" s="81" t="str">
        <f t="shared" ref="H210" si="193">IF($M$2="Prices in $/MWh","100-500 MWh","100,000-500,000 kWh")</f>
        <v>100-500 MWh</v>
      </c>
      <c r="I210" s="80">
        <f>(MD_prices!I198+$D$2)*IF($M$2="Prices in $/MWh",1,1/1000)</f>
        <v>79.72</v>
      </c>
      <c r="J210" s="79">
        <f>(MD_prices!J198+$D$2)*IF($M$2="Prices in $/MWh",1,1/1000)</f>
        <v>77.959999999999994</v>
      </c>
      <c r="K210" s="80">
        <f>(MD_prices!K198+$D$2)*IF($M$2="Prices in $/MWh",1,1/1000)</f>
        <v>78.78</v>
      </c>
      <c r="L210" s="79">
        <f>(MD_prices!L198+$D$2)*IF($M$2="Prices in $/MWh",1,1/1000)</f>
        <v>35.57</v>
      </c>
      <c r="M210" s="80">
        <f>(MD_prices!M198+$D$2)*IF($M$2="Prices in $/MWh",1,1/1000)</f>
        <v>35.200000000000003</v>
      </c>
      <c r="N210" s="79">
        <f>(MD_prices!N198+$D$2)*IF($M$2="Prices in $/MWh",1,1/1000)</f>
        <v>35.58</v>
      </c>
      <c r="O210" s="61"/>
    </row>
    <row r="211" spans="2:15" x14ac:dyDescent="0.25">
      <c r="B211" s="57"/>
      <c r="C211" s="82" t="str">
        <f>MD_prices!C199</f>
        <v>July-2016</v>
      </c>
      <c r="D211" s="83" t="str">
        <f>MD_prices!D199</f>
        <v>MD</v>
      </c>
      <c r="E211" s="84" t="str">
        <f>MD_prices!E199</f>
        <v>PEPCO</v>
      </c>
      <c r="F211" s="83" t="str">
        <f>MD_prices!F199</f>
        <v>MGT LV II</v>
      </c>
      <c r="G211" s="84" t="str">
        <f>MD_prices!G199</f>
        <v>Time Metered Gen Service</v>
      </c>
      <c r="H211" s="85" t="str">
        <f t="shared" ref="H211" si="194">IF($M$2="Prices in $/MWh","500-2500 MWh","500,000-2,500,000 kWh")</f>
        <v>500-2500 MWh</v>
      </c>
      <c r="I211" s="84">
        <f>(MD_prices!I199+$D$2)*IF($M$2="Prices in $/MWh",1,1/1000)</f>
        <v>78.67</v>
      </c>
      <c r="J211" s="83">
        <f>(MD_prices!J199+$D$2)*IF($M$2="Prices in $/MWh",1,1/1000)</f>
        <v>76.91</v>
      </c>
      <c r="K211" s="84">
        <f>(MD_prices!K199+$D$2)*IF($M$2="Prices in $/MWh",1,1/1000)</f>
        <v>77.73</v>
      </c>
      <c r="L211" s="83">
        <f>(MD_prices!L199+$D$2)*IF($M$2="Prices in $/MWh",1,1/1000)</f>
        <v>34.520000000000003</v>
      </c>
      <c r="M211" s="84">
        <f>(MD_prices!M199+$D$2)*IF($M$2="Prices in $/MWh",1,1/1000)</f>
        <v>34.15</v>
      </c>
      <c r="N211" s="83">
        <f>(MD_prices!N199+$D$2)*IF($M$2="Prices in $/MWh",1,1/1000)</f>
        <v>34.53</v>
      </c>
      <c r="O211" s="61"/>
    </row>
    <row r="212" spans="2:15" x14ac:dyDescent="0.25">
      <c r="B212" s="57"/>
      <c r="C212" s="74" t="str">
        <f>MD_prices!C200</f>
        <v>August-2016</v>
      </c>
      <c r="D212" s="75" t="str">
        <f>MD_prices!D200</f>
        <v>MD</v>
      </c>
      <c r="E212" s="76" t="str">
        <f>MD_prices!E200</f>
        <v>PEPCO</v>
      </c>
      <c r="F212" s="75" t="str">
        <f>MD_prices!F200</f>
        <v>MGT LV II</v>
      </c>
      <c r="G212" s="76" t="str">
        <f>MD_prices!G200</f>
        <v>Time Metered Gen Service</v>
      </c>
      <c r="H212" s="77" t="str">
        <f t="shared" ref="H212" si="195">IF($M$2="Prices in $/MWh","0-100 MWh","0-100,000 kWh")</f>
        <v>0-100 MWh</v>
      </c>
      <c r="I212" s="76">
        <f>(MD_prices!I200+$D$2)*IF($M$2="Prices in $/MWh",1,1/1000)</f>
        <v>81.02</v>
      </c>
      <c r="J212" s="75">
        <f>(MD_prices!J200+$D$2)*IF($M$2="Prices in $/MWh",1,1/1000)</f>
        <v>80.08</v>
      </c>
      <c r="K212" s="76">
        <f>(MD_prices!K200+$D$2)*IF($M$2="Prices in $/MWh",1,1/1000)</f>
        <v>80.33</v>
      </c>
      <c r="L212" s="75">
        <f>(MD_prices!L200+$D$2)*IF($M$2="Prices in $/MWh",1,1/1000)</f>
        <v>37.17</v>
      </c>
      <c r="M212" s="76">
        <f>(MD_prices!M200+$D$2)*IF($M$2="Prices in $/MWh",1,1/1000)</f>
        <v>37.06</v>
      </c>
      <c r="N212" s="75">
        <f>(MD_prices!N200+$D$2)*IF($M$2="Prices in $/MWh",1,1/1000)</f>
        <v>37.229999999999997</v>
      </c>
      <c r="O212" s="61"/>
    </row>
    <row r="213" spans="2:15" x14ac:dyDescent="0.25">
      <c r="B213" s="57"/>
      <c r="C213" s="78" t="str">
        <f>MD_prices!C201</f>
        <v>August-2016</v>
      </c>
      <c r="D213" s="79" t="str">
        <f>MD_prices!D201</f>
        <v>MD</v>
      </c>
      <c r="E213" s="80" t="str">
        <f>MD_prices!E201</f>
        <v>PEPCO</v>
      </c>
      <c r="F213" s="79" t="str">
        <f>MD_prices!F201</f>
        <v>MGT LV II</v>
      </c>
      <c r="G213" s="80" t="str">
        <f>MD_prices!G201</f>
        <v>Time Metered Gen Service</v>
      </c>
      <c r="H213" s="81" t="str">
        <f t="shared" ref="H213" si="196">IF($M$2="Prices in $/MWh","100-500 MWh","100,000-500,000 kWh")</f>
        <v>100-500 MWh</v>
      </c>
      <c r="I213" s="80">
        <f>(MD_prices!I201+$D$2)*IF($M$2="Prices in $/MWh",1,1/1000)</f>
        <v>79.42</v>
      </c>
      <c r="J213" s="79">
        <f>(MD_prices!J201+$D$2)*IF($M$2="Prices in $/MWh",1,1/1000)</f>
        <v>78.48</v>
      </c>
      <c r="K213" s="80">
        <f>(MD_prices!K201+$D$2)*IF($M$2="Prices in $/MWh",1,1/1000)</f>
        <v>78.73</v>
      </c>
      <c r="L213" s="79">
        <f>(MD_prices!L201+$D$2)*IF($M$2="Prices in $/MWh",1,1/1000)</f>
        <v>35.57</v>
      </c>
      <c r="M213" s="80">
        <f>(MD_prices!M201+$D$2)*IF($M$2="Prices in $/MWh",1,1/1000)</f>
        <v>35.46</v>
      </c>
      <c r="N213" s="79">
        <f>(MD_prices!N201+$D$2)*IF($M$2="Prices in $/MWh",1,1/1000)</f>
        <v>35.630000000000003</v>
      </c>
      <c r="O213" s="61"/>
    </row>
    <row r="214" spans="2:15" x14ac:dyDescent="0.25">
      <c r="B214" s="57"/>
      <c r="C214" s="82" t="str">
        <f>MD_prices!C202</f>
        <v>August-2016</v>
      </c>
      <c r="D214" s="83" t="str">
        <f>MD_prices!D202</f>
        <v>MD</v>
      </c>
      <c r="E214" s="84" t="str">
        <f>MD_prices!E202</f>
        <v>PEPCO</v>
      </c>
      <c r="F214" s="83" t="str">
        <f>MD_prices!F202</f>
        <v>MGT LV II</v>
      </c>
      <c r="G214" s="84" t="str">
        <f>MD_prices!G202</f>
        <v>Time Metered Gen Service</v>
      </c>
      <c r="H214" s="85" t="str">
        <f t="shared" ref="H214" si="197">IF($M$2="Prices in $/MWh","500-2500 MWh","500,000-2,500,000 kWh")</f>
        <v>500-2500 MWh</v>
      </c>
      <c r="I214" s="84">
        <f>(MD_prices!I202+$D$2)*IF($M$2="Prices in $/MWh",1,1/1000)</f>
        <v>78.37</v>
      </c>
      <c r="J214" s="83">
        <f>(MD_prices!J202+$D$2)*IF($M$2="Prices in $/MWh",1,1/1000)</f>
        <v>77.430000000000007</v>
      </c>
      <c r="K214" s="84">
        <f>(MD_prices!K202+$D$2)*IF($M$2="Prices in $/MWh",1,1/1000)</f>
        <v>77.680000000000007</v>
      </c>
      <c r="L214" s="83">
        <f>(MD_prices!L202+$D$2)*IF($M$2="Prices in $/MWh",1,1/1000)</f>
        <v>34.520000000000003</v>
      </c>
      <c r="M214" s="84">
        <f>(MD_prices!M202+$D$2)*IF($M$2="Prices in $/MWh",1,1/1000)</f>
        <v>34.409999999999997</v>
      </c>
      <c r="N214" s="83">
        <f>(MD_prices!N202+$D$2)*IF($M$2="Prices in $/MWh",1,1/1000)</f>
        <v>34.58</v>
      </c>
      <c r="O214" s="61"/>
    </row>
    <row r="215" spans="2:15" x14ac:dyDescent="0.25">
      <c r="B215" s="57"/>
      <c r="C215" s="74" t="str">
        <f>MD_prices!C203</f>
        <v>September-2016</v>
      </c>
      <c r="D215" s="75" t="str">
        <f>MD_prices!D203</f>
        <v>MD</v>
      </c>
      <c r="E215" s="76" t="str">
        <f>MD_prices!E203</f>
        <v>PEPCO</v>
      </c>
      <c r="F215" s="75" t="str">
        <f>MD_prices!F203</f>
        <v>MGT LV II</v>
      </c>
      <c r="G215" s="76" t="str">
        <f>MD_prices!G203</f>
        <v>Time Metered Gen Service</v>
      </c>
      <c r="H215" s="77" t="str">
        <f t="shared" ref="H215" si="198">IF($M$2="Prices in $/MWh","0-100 MWh","0-100,000 kWh")</f>
        <v>0-100 MWh</v>
      </c>
      <c r="I215" s="76">
        <f>(MD_prices!I203+$D$2)*IF($M$2="Prices in $/MWh",1,1/1000)</f>
        <v>80.739999999999995</v>
      </c>
      <c r="J215" s="75">
        <f>(MD_prices!J203+$D$2)*IF($M$2="Prices in $/MWh",1,1/1000)</f>
        <v>80.599999999999994</v>
      </c>
      <c r="K215" s="76">
        <f>(MD_prices!K203+$D$2)*IF($M$2="Prices in $/MWh",1,1/1000)</f>
        <v>80.239999999999995</v>
      </c>
      <c r="L215" s="75">
        <f>(MD_prices!L203+$D$2)*IF($M$2="Prices in $/MWh",1,1/1000)</f>
        <v>37.14</v>
      </c>
      <c r="M215" s="76">
        <f>(MD_prices!M203+$D$2)*IF($M$2="Prices in $/MWh",1,1/1000)</f>
        <v>37.35</v>
      </c>
      <c r="N215" s="75">
        <f>(MD_prices!N203+$D$2)*IF($M$2="Prices in $/MWh",1,1/1000)</f>
        <v>37.270000000000003</v>
      </c>
      <c r="O215" s="61"/>
    </row>
    <row r="216" spans="2:15" x14ac:dyDescent="0.25">
      <c r="B216" s="57"/>
      <c r="C216" s="78" t="str">
        <f>MD_prices!C204</f>
        <v>September-2016</v>
      </c>
      <c r="D216" s="79" t="str">
        <f>MD_prices!D204</f>
        <v>MD</v>
      </c>
      <c r="E216" s="80" t="str">
        <f>MD_prices!E204</f>
        <v>PEPCO</v>
      </c>
      <c r="F216" s="79" t="str">
        <f>MD_prices!F204</f>
        <v>MGT LV II</v>
      </c>
      <c r="G216" s="80" t="str">
        <f>MD_prices!G204</f>
        <v>Time Metered Gen Service</v>
      </c>
      <c r="H216" s="81" t="str">
        <f t="shared" ref="H216" si="199">IF($M$2="Prices in $/MWh","100-500 MWh","100,000-500,000 kWh")</f>
        <v>100-500 MWh</v>
      </c>
      <c r="I216" s="80">
        <f>(MD_prices!I204+$D$2)*IF($M$2="Prices in $/MWh",1,1/1000)</f>
        <v>79.14</v>
      </c>
      <c r="J216" s="79">
        <f>(MD_prices!J204+$D$2)*IF($M$2="Prices in $/MWh",1,1/1000)</f>
        <v>79</v>
      </c>
      <c r="K216" s="80">
        <f>(MD_prices!K204+$D$2)*IF($M$2="Prices in $/MWh",1,1/1000)</f>
        <v>78.64</v>
      </c>
      <c r="L216" s="79">
        <f>(MD_prices!L204+$D$2)*IF($M$2="Prices in $/MWh",1,1/1000)</f>
        <v>35.54</v>
      </c>
      <c r="M216" s="80">
        <f>(MD_prices!M204+$D$2)*IF($M$2="Prices in $/MWh",1,1/1000)</f>
        <v>35.75</v>
      </c>
      <c r="N216" s="79">
        <f>(MD_prices!N204+$D$2)*IF($M$2="Prices in $/MWh",1,1/1000)</f>
        <v>35.67</v>
      </c>
      <c r="O216" s="61"/>
    </row>
    <row r="217" spans="2:15" x14ac:dyDescent="0.25">
      <c r="B217" s="57"/>
      <c r="C217" s="82" t="str">
        <f>MD_prices!C205</f>
        <v>September-2016</v>
      </c>
      <c r="D217" s="83" t="str">
        <f>MD_prices!D205</f>
        <v>MD</v>
      </c>
      <c r="E217" s="84" t="str">
        <f>MD_prices!E205</f>
        <v>PEPCO</v>
      </c>
      <c r="F217" s="83" t="str">
        <f>MD_prices!F205</f>
        <v>MGT LV II</v>
      </c>
      <c r="G217" s="84" t="str">
        <f>MD_prices!G205</f>
        <v>Time Metered Gen Service</v>
      </c>
      <c r="H217" s="85" t="str">
        <f t="shared" ref="H217" si="200">IF($M$2="Prices in $/MWh","500-2500 MWh","500,000-2,500,000 kWh")</f>
        <v>500-2500 MWh</v>
      </c>
      <c r="I217" s="84">
        <f>(MD_prices!I205+$D$2)*IF($M$2="Prices in $/MWh",1,1/1000)</f>
        <v>78.09</v>
      </c>
      <c r="J217" s="83">
        <f>(MD_prices!J205+$D$2)*IF($M$2="Prices in $/MWh",1,1/1000)</f>
        <v>77.95</v>
      </c>
      <c r="K217" s="84">
        <f>(MD_prices!K205+$D$2)*IF($M$2="Prices in $/MWh",1,1/1000)</f>
        <v>77.59</v>
      </c>
      <c r="L217" s="83">
        <f>(MD_prices!L205+$D$2)*IF($M$2="Prices in $/MWh",1,1/1000)</f>
        <v>34.49</v>
      </c>
      <c r="M217" s="84">
        <f>(MD_prices!M205+$D$2)*IF($M$2="Prices in $/MWh",1,1/1000)</f>
        <v>34.700000000000003</v>
      </c>
      <c r="N217" s="83">
        <f>(MD_prices!N205+$D$2)*IF($M$2="Prices in $/MWh",1,1/1000)</f>
        <v>34.619999999999997</v>
      </c>
      <c r="O217" s="61"/>
    </row>
    <row r="218" spans="2:15" x14ac:dyDescent="0.25">
      <c r="B218" s="57"/>
      <c r="C218" s="74" t="str">
        <f>MD_prices!C206</f>
        <v>October-2016</v>
      </c>
      <c r="D218" s="75" t="str">
        <f>MD_prices!D206</f>
        <v>MD</v>
      </c>
      <c r="E218" s="76" t="str">
        <f>MD_prices!E206</f>
        <v>PEPCO</v>
      </c>
      <c r="F218" s="75" t="str">
        <f>MD_prices!F206</f>
        <v>MGT LV II</v>
      </c>
      <c r="G218" s="76" t="str">
        <f>MD_prices!G206</f>
        <v>Time Metered Gen Service</v>
      </c>
      <c r="H218" s="77" t="str">
        <f t="shared" ref="H218" si="201">IF($M$2="Prices in $/MWh","0-100 MWh","0-100,000 kWh")</f>
        <v>0-100 MWh</v>
      </c>
      <c r="I218" s="76">
        <f>(MD_prices!I206+$D$2)*IF($M$2="Prices in $/MWh",1,1/1000)</f>
        <v>80.55</v>
      </c>
      <c r="J218" s="75">
        <f>(MD_prices!J206+$D$2)*IF($M$2="Prices in $/MWh",1,1/1000)</f>
        <v>81.05</v>
      </c>
      <c r="K218" s="76">
        <f>(MD_prices!K206+$D$2)*IF($M$2="Prices in $/MWh",1,1/1000)</f>
        <v>80.180000000000007</v>
      </c>
      <c r="L218" s="75">
        <f>(MD_prices!L206+$D$2)*IF($M$2="Prices in $/MWh",1,1/1000)</f>
        <v>37.130000000000003</v>
      </c>
      <c r="M218" s="76">
        <f>(MD_prices!M206+$D$2)*IF($M$2="Prices in $/MWh",1,1/1000)</f>
        <v>37.58</v>
      </c>
      <c r="N218" s="75">
        <f>(MD_prices!N206+$D$2)*IF($M$2="Prices in $/MWh",1,1/1000)</f>
        <v>37.33</v>
      </c>
      <c r="O218" s="61"/>
    </row>
    <row r="219" spans="2:15" x14ac:dyDescent="0.25">
      <c r="B219" s="57"/>
      <c r="C219" s="78" t="str">
        <f>MD_prices!C207</f>
        <v>October-2016</v>
      </c>
      <c r="D219" s="79" t="str">
        <f>MD_prices!D207</f>
        <v>MD</v>
      </c>
      <c r="E219" s="80" t="str">
        <f>MD_prices!E207</f>
        <v>PEPCO</v>
      </c>
      <c r="F219" s="79" t="str">
        <f>MD_prices!F207</f>
        <v>MGT LV II</v>
      </c>
      <c r="G219" s="80" t="str">
        <f>MD_prices!G207</f>
        <v>Time Metered Gen Service</v>
      </c>
      <c r="H219" s="81" t="str">
        <f t="shared" ref="H219" si="202">IF($M$2="Prices in $/MWh","100-500 MWh","100,000-500,000 kWh")</f>
        <v>100-500 MWh</v>
      </c>
      <c r="I219" s="80">
        <f>(MD_prices!I207+$D$2)*IF($M$2="Prices in $/MWh",1,1/1000)</f>
        <v>78.95</v>
      </c>
      <c r="J219" s="79">
        <f>(MD_prices!J207+$D$2)*IF($M$2="Prices in $/MWh",1,1/1000)</f>
        <v>79.45</v>
      </c>
      <c r="K219" s="80">
        <f>(MD_prices!K207+$D$2)*IF($M$2="Prices in $/MWh",1,1/1000)</f>
        <v>78.58</v>
      </c>
      <c r="L219" s="79">
        <f>(MD_prices!L207+$D$2)*IF($M$2="Prices in $/MWh",1,1/1000)</f>
        <v>35.53</v>
      </c>
      <c r="M219" s="80">
        <f>(MD_prices!M207+$D$2)*IF($M$2="Prices in $/MWh",1,1/1000)</f>
        <v>35.979999999999997</v>
      </c>
      <c r="N219" s="79">
        <f>(MD_prices!N207+$D$2)*IF($M$2="Prices in $/MWh",1,1/1000)</f>
        <v>35.729999999999997</v>
      </c>
      <c r="O219" s="61"/>
    </row>
    <row r="220" spans="2:15" x14ac:dyDescent="0.25">
      <c r="B220" s="57"/>
      <c r="C220" s="82" t="str">
        <f>MD_prices!C208</f>
        <v>October-2016</v>
      </c>
      <c r="D220" s="83" t="str">
        <f>MD_prices!D208</f>
        <v>MD</v>
      </c>
      <c r="E220" s="84" t="str">
        <f>MD_prices!E208</f>
        <v>PEPCO</v>
      </c>
      <c r="F220" s="83" t="str">
        <f>MD_prices!F208</f>
        <v>MGT LV II</v>
      </c>
      <c r="G220" s="84" t="str">
        <f>MD_prices!G208</f>
        <v>Time Metered Gen Service</v>
      </c>
      <c r="H220" s="85" t="str">
        <f t="shared" ref="H220" si="203">IF($M$2="Prices in $/MWh","500-2500 MWh","500,000-2,500,000 kWh")</f>
        <v>500-2500 MWh</v>
      </c>
      <c r="I220" s="84">
        <f>(MD_prices!I208+$D$2)*IF($M$2="Prices in $/MWh",1,1/1000)</f>
        <v>77.900000000000006</v>
      </c>
      <c r="J220" s="83">
        <f>(MD_prices!J208+$D$2)*IF($M$2="Prices in $/MWh",1,1/1000)</f>
        <v>78.400000000000006</v>
      </c>
      <c r="K220" s="84">
        <f>(MD_prices!K208+$D$2)*IF($M$2="Prices in $/MWh",1,1/1000)</f>
        <v>77.53</v>
      </c>
      <c r="L220" s="83">
        <f>(MD_prices!L208+$D$2)*IF($M$2="Prices in $/MWh",1,1/1000)</f>
        <v>34.479999999999997</v>
      </c>
      <c r="M220" s="84">
        <f>(MD_prices!M208+$D$2)*IF($M$2="Prices in $/MWh",1,1/1000)</f>
        <v>34.93</v>
      </c>
      <c r="N220" s="83">
        <f>(MD_prices!N208+$D$2)*IF($M$2="Prices in $/MWh",1,1/1000)</f>
        <v>34.68</v>
      </c>
      <c r="O220" s="61"/>
    </row>
    <row r="221" spans="2:15" x14ac:dyDescent="0.25">
      <c r="B221" s="57"/>
      <c r="C221" s="74" t="str">
        <f>MD_prices!C209</f>
        <v>November-2016</v>
      </c>
      <c r="D221" s="75" t="str">
        <f>MD_prices!D209</f>
        <v>MD</v>
      </c>
      <c r="E221" s="76" t="str">
        <f>MD_prices!E209</f>
        <v>PEPCO</v>
      </c>
      <c r="F221" s="75" t="str">
        <f>MD_prices!F209</f>
        <v>MGT LV II</v>
      </c>
      <c r="G221" s="76" t="str">
        <f>MD_prices!G209</f>
        <v>Time Metered Gen Service</v>
      </c>
      <c r="H221" s="77" t="str">
        <f t="shared" ref="H221" si="204">IF($M$2="Prices in $/MWh","0-100 MWh","0-100,000 kWh")</f>
        <v>0-100 MWh</v>
      </c>
      <c r="I221" s="76">
        <f>(MD_prices!I209+$D$2)*IF($M$2="Prices in $/MWh",1,1/1000)</f>
        <v>80.3</v>
      </c>
      <c r="J221" s="75">
        <f>(MD_prices!J209+$D$2)*IF($M$2="Prices in $/MWh",1,1/1000)</f>
        <v>81.069999999999993</v>
      </c>
      <c r="K221" s="76">
        <f>(MD_prices!K209+$D$2)*IF($M$2="Prices in $/MWh",1,1/1000)</f>
        <v>80.08</v>
      </c>
      <c r="L221" s="75">
        <f>(MD_prices!L209+$D$2)*IF($M$2="Prices in $/MWh",1,1/1000)</f>
        <v>37.090000000000003</v>
      </c>
      <c r="M221" s="76">
        <f>(MD_prices!M209+$D$2)*IF($M$2="Prices in $/MWh",1,1/1000)</f>
        <v>37.57</v>
      </c>
      <c r="N221" s="75">
        <f>(MD_prices!N209+$D$2)*IF($M$2="Prices in $/MWh",1,1/1000)</f>
        <v>37.36</v>
      </c>
      <c r="O221" s="61"/>
    </row>
    <row r="222" spans="2:15" x14ac:dyDescent="0.25">
      <c r="B222" s="57"/>
      <c r="C222" s="78" t="str">
        <f>MD_prices!C210</f>
        <v>November-2016</v>
      </c>
      <c r="D222" s="79" t="str">
        <f>MD_prices!D210</f>
        <v>MD</v>
      </c>
      <c r="E222" s="80" t="str">
        <f>MD_prices!E210</f>
        <v>PEPCO</v>
      </c>
      <c r="F222" s="79" t="str">
        <f>MD_prices!F210</f>
        <v>MGT LV II</v>
      </c>
      <c r="G222" s="80" t="str">
        <f>MD_prices!G210</f>
        <v>Time Metered Gen Service</v>
      </c>
      <c r="H222" s="81" t="str">
        <f t="shared" ref="H222" si="205">IF($M$2="Prices in $/MWh","100-500 MWh","100,000-500,000 kWh")</f>
        <v>100-500 MWh</v>
      </c>
      <c r="I222" s="80">
        <f>(MD_prices!I210+$D$2)*IF($M$2="Prices in $/MWh",1,1/1000)</f>
        <v>78.7</v>
      </c>
      <c r="J222" s="79">
        <f>(MD_prices!J210+$D$2)*IF($M$2="Prices in $/MWh",1,1/1000)</f>
        <v>79.47</v>
      </c>
      <c r="K222" s="80">
        <f>(MD_prices!K210+$D$2)*IF($M$2="Prices in $/MWh",1,1/1000)</f>
        <v>78.48</v>
      </c>
      <c r="L222" s="79">
        <f>(MD_prices!L210+$D$2)*IF($M$2="Prices in $/MWh",1,1/1000)</f>
        <v>35.49</v>
      </c>
      <c r="M222" s="80">
        <f>(MD_prices!M210+$D$2)*IF($M$2="Prices in $/MWh",1,1/1000)</f>
        <v>35.97</v>
      </c>
      <c r="N222" s="79">
        <f>(MD_prices!N210+$D$2)*IF($M$2="Prices in $/MWh",1,1/1000)</f>
        <v>35.76</v>
      </c>
      <c r="O222" s="61"/>
    </row>
    <row r="223" spans="2:15" x14ac:dyDescent="0.25">
      <c r="B223" s="57"/>
      <c r="C223" s="82" t="str">
        <f>MD_prices!C211</f>
        <v>November-2016</v>
      </c>
      <c r="D223" s="83" t="str">
        <f>MD_prices!D211</f>
        <v>MD</v>
      </c>
      <c r="E223" s="84" t="str">
        <f>MD_prices!E211</f>
        <v>PEPCO</v>
      </c>
      <c r="F223" s="83" t="str">
        <f>MD_prices!F211</f>
        <v>MGT LV II</v>
      </c>
      <c r="G223" s="84" t="str">
        <f>MD_prices!G211</f>
        <v>Time Metered Gen Service</v>
      </c>
      <c r="H223" s="85" t="str">
        <f t="shared" ref="H223" si="206">IF($M$2="Prices in $/MWh","500-2500 MWh","500,000-2,500,000 kWh")</f>
        <v>500-2500 MWh</v>
      </c>
      <c r="I223" s="84">
        <f>(MD_prices!I211+$D$2)*IF($M$2="Prices in $/MWh",1,1/1000)</f>
        <v>77.650000000000006</v>
      </c>
      <c r="J223" s="83">
        <f>(MD_prices!J211+$D$2)*IF($M$2="Prices in $/MWh",1,1/1000)</f>
        <v>78.42</v>
      </c>
      <c r="K223" s="84">
        <f>(MD_prices!K211+$D$2)*IF($M$2="Prices in $/MWh",1,1/1000)</f>
        <v>77.430000000000007</v>
      </c>
      <c r="L223" s="83">
        <f>(MD_prices!L211+$D$2)*IF($M$2="Prices in $/MWh",1,1/1000)</f>
        <v>34.44</v>
      </c>
      <c r="M223" s="84">
        <f>(MD_prices!M211+$D$2)*IF($M$2="Prices in $/MWh",1,1/1000)</f>
        <v>34.92</v>
      </c>
      <c r="N223" s="83">
        <f>(MD_prices!N211+$D$2)*IF($M$2="Prices in $/MWh",1,1/1000)</f>
        <v>34.71</v>
      </c>
      <c r="O223" s="61"/>
    </row>
    <row r="224" spans="2:15" x14ac:dyDescent="0.25">
      <c r="B224" s="57"/>
      <c r="C224" s="74" t="str">
        <f>MD_prices!C212</f>
        <v>December-2016</v>
      </c>
      <c r="D224" s="75" t="str">
        <f>MD_prices!D212</f>
        <v>MD</v>
      </c>
      <c r="E224" s="76" t="str">
        <f>MD_prices!E212</f>
        <v>PEPCO</v>
      </c>
      <c r="F224" s="75" t="str">
        <f>MD_prices!F212</f>
        <v>MGT LV II</v>
      </c>
      <c r="G224" s="76" t="str">
        <f>MD_prices!G212</f>
        <v>Time Metered Gen Service</v>
      </c>
      <c r="H224" s="77" t="str">
        <f t="shared" ref="H224" si="207">IF($M$2="Prices in $/MWh","0-100 MWh","0-100,000 kWh")</f>
        <v>0-100 MWh</v>
      </c>
      <c r="I224" s="76">
        <f>(MD_prices!I212+$D$2)*IF($M$2="Prices in $/MWh",1,1/1000)</f>
        <v>80.010000000000005</v>
      </c>
      <c r="J224" s="75">
        <f>(MD_prices!J212+$D$2)*IF($M$2="Prices in $/MWh",1,1/1000)</f>
        <v>81.010000000000005</v>
      </c>
      <c r="K224" s="76">
        <f>(MD_prices!K212+$D$2)*IF($M$2="Prices in $/MWh",1,1/1000)</f>
        <v>79.95</v>
      </c>
      <c r="L224" s="75">
        <f>(MD_prices!L212+$D$2)*IF($M$2="Prices in $/MWh",1,1/1000)</f>
        <v>37.04</v>
      </c>
      <c r="M224" s="76">
        <f>(MD_prices!M212+$D$2)*IF($M$2="Prices in $/MWh",1,1/1000)</f>
        <v>37.5</v>
      </c>
      <c r="N224" s="75">
        <f>(MD_prices!N212+$D$2)*IF($M$2="Prices in $/MWh",1,1/1000)</f>
        <v>37.380000000000003</v>
      </c>
      <c r="O224" s="61"/>
    </row>
    <row r="225" spans="2:15" x14ac:dyDescent="0.25">
      <c r="B225" s="57"/>
      <c r="C225" s="78" t="str">
        <f>MD_prices!C213</f>
        <v>December-2016</v>
      </c>
      <c r="D225" s="79" t="str">
        <f>MD_prices!D213</f>
        <v>MD</v>
      </c>
      <c r="E225" s="80" t="str">
        <f>MD_prices!E213</f>
        <v>PEPCO</v>
      </c>
      <c r="F225" s="79" t="str">
        <f>MD_prices!F213</f>
        <v>MGT LV II</v>
      </c>
      <c r="G225" s="80" t="str">
        <f>MD_prices!G213</f>
        <v>Time Metered Gen Service</v>
      </c>
      <c r="H225" s="81" t="str">
        <f t="shared" ref="H225" si="208">IF($M$2="Prices in $/MWh","100-500 MWh","100,000-500,000 kWh")</f>
        <v>100-500 MWh</v>
      </c>
      <c r="I225" s="80">
        <f>(MD_prices!I213+$D$2)*IF($M$2="Prices in $/MWh",1,1/1000)</f>
        <v>78.41</v>
      </c>
      <c r="J225" s="79">
        <f>(MD_prices!J213+$D$2)*IF($M$2="Prices in $/MWh",1,1/1000)</f>
        <v>79.41</v>
      </c>
      <c r="K225" s="80">
        <f>(MD_prices!K213+$D$2)*IF($M$2="Prices in $/MWh",1,1/1000)</f>
        <v>78.349999999999994</v>
      </c>
      <c r="L225" s="79">
        <f>(MD_prices!L213+$D$2)*IF($M$2="Prices in $/MWh",1,1/1000)</f>
        <v>35.44</v>
      </c>
      <c r="M225" s="80">
        <f>(MD_prices!M213+$D$2)*IF($M$2="Prices in $/MWh",1,1/1000)</f>
        <v>35.9</v>
      </c>
      <c r="N225" s="79">
        <f>(MD_prices!N213+$D$2)*IF($M$2="Prices in $/MWh",1,1/1000)</f>
        <v>35.78</v>
      </c>
      <c r="O225" s="61"/>
    </row>
    <row r="226" spans="2:15" x14ac:dyDescent="0.25">
      <c r="B226" s="57"/>
      <c r="C226" s="82" t="str">
        <f>MD_prices!C214</f>
        <v>December-2016</v>
      </c>
      <c r="D226" s="83" t="str">
        <f>MD_prices!D214</f>
        <v>MD</v>
      </c>
      <c r="E226" s="84" t="str">
        <f>MD_prices!E214</f>
        <v>PEPCO</v>
      </c>
      <c r="F226" s="83" t="str">
        <f>MD_prices!F214</f>
        <v>MGT LV II</v>
      </c>
      <c r="G226" s="84" t="str">
        <f>MD_prices!G214</f>
        <v>Time Metered Gen Service</v>
      </c>
      <c r="H226" s="85" t="str">
        <f t="shared" ref="H226" si="209">IF($M$2="Prices in $/MWh","500-2500 MWh","500,000-2,500,000 kWh")</f>
        <v>500-2500 MWh</v>
      </c>
      <c r="I226" s="84">
        <f>(MD_prices!I214+$D$2)*IF($M$2="Prices in $/MWh",1,1/1000)</f>
        <v>77.36</v>
      </c>
      <c r="J226" s="83">
        <f>(MD_prices!J214+$D$2)*IF($M$2="Prices in $/MWh",1,1/1000)</f>
        <v>78.36</v>
      </c>
      <c r="K226" s="84">
        <f>(MD_prices!K214+$D$2)*IF($M$2="Prices in $/MWh",1,1/1000)</f>
        <v>77.3</v>
      </c>
      <c r="L226" s="83">
        <f>(MD_prices!L214+$D$2)*IF($M$2="Prices in $/MWh",1,1/1000)</f>
        <v>34.39</v>
      </c>
      <c r="M226" s="84">
        <f>(MD_prices!M214+$D$2)*IF($M$2="Prices in $/MWh",1,1/1000)</f>
        <v>34.85</v>
      </c>
      <c r="N226" s="83">
        <f>(MD_prices!N214+$D$2)*IF($M$2="Prices in $/MWh",1,1/1000)</f>
        <v>34.729999999999997</v>
      </c>
      <c r="O226" s="61"/>
    </row>
    <row r="227" spans="2:15" x14ac:dyDescent="0.25">
      <c r="B227" s="57"/>
      <c r="C227" s="74" t="str">
        <f>MD_prices!C215</f>
        <v>January-2017</v>
      </c>
      <c r="D227" s="75" t="str">
        <f>MD_prices!D215</f>
        <v>MD</v>
      </c>
      <c r="E227" s="76" t="str">
        <f>MD_prices!E215</f>
        <v>PEPCO</v>
      </c>
      <c r="F227" s="75" t="str">
        <f>MD_prices!F215</f>
        <v>MGT LV II</v>
      </c>
      <c r="G227" s="76" t="str">
        <f>MD_prices!G215</f>
        <v>Time Metered Gen Service</v>
      </c>
      <c r="H227" s="77" t="str">
        <f t="shared" ref="H227" si="210">IF($M$2="Prices in $/MWh","0-100 MWh","0-100,000 kWh")</f>
        <v>0-100 MWh</v>
      </c>
      <c r="I227" s="76">
        <f>(MD_prices!I215+$D$2)*IF($M$2="Prices in $/MWh",1,1/1000)</f>
        <v>79.83</v>
      </c>
      <c r="J227" s="75">
        <f>(MD_prices!J215+$D$2)*IF($M$2="Prices in $/MWh",1,1/1000)</f>
        <v>80.84</v>
      </c>
      <c r="K227" s="76">
        <f>(MD_prices!K215+$D$2)*IF($M$2="Prices in $/MWh",1,1/1000)</f>
        <v>79.92</v>
      </c>
      <c r="L227" s="75">
        <f>(MD_prices!L215+$D$2)*IF($M$2="Prices in $/MWh",1,1/1000)</f>
        <v>37.01</v>
      </c>
      <c r="M227" s="76">
        <f>(MD_prices!M215+$D$2)*IF($M$2="Prices in $/MWh",1,1/1000)</f>
        <v>37.450000000000003</v>
      </c>
      <c r="N227" s="75">
        <f>(MD_prices!N215+$D$2)*IF($M$2="Prices in $/MWh",1,1/1000)</f>
        <v>37.39</v>
      </c>
      <c r="O227" s="61"/>
    </row>
    <row r="228" spans="2:15" x14ac:dyDescent="0.25">
      <c r="B228" s="57"/>
      <c r="C228" s="78" t="str">
        <f>MD_prices!C216</f>
        <v>January-2017</v>
      </c>
      <c r="D228" s="79" t="str">
        <f>MD_prices!D216</f>
        <v>MD</v>
      </c>
      <c r="E228" s="80" t="str">
        <f>MD_prices!E216</f>
        <v>PEPCO</v>
      </c>
      <c r="F228" s="79" t="str">
        <f>MD_prices!F216</f>
        <v>MGT LV II</v>
      </c>
      <c r="G228" s="80" t="str">
        <f>MD_prices!G216</f>
        <v>Time Metered Gen Service</v>
      </c>
      <c r="H228" s="81" t="str">
        <f t="shared" ref="H228" si="211">IF($M$2="Prices in $/MWh","100-500 MWh","100,000-500,000 kWh")</f>
        <v>100-500 MWh</v>
      </c>
      <c r="I228" s="80">
        <f>(MD_prices!I216+$D$2)*IF($M$2="Prices in $/MWh",1,1/1000)</f>
        <v>78.23</v>
      </c>
      <c r="J228" s="79">
        <f>(MD_prices!J216+$D$2)*IF($M$2="Prices in $/MWh",1,1/1000)</f>
        <v>79.239999999999995</v>
      </c>
      <c r="K228" s="80">
        <f>(MD_prices!K216+$D$2)*IF($M$2="Prices in $/MWh",1,1/1000)</f>
        <v>78.319999999999993</v>
      </c>
      <c r="L228" s="79">
        <f>(MD_prices!L216+$D$2)*IF($M$2="Prices in $/MWh",1,1/1000)</f>
        <v>35.409999999999997</v>
      </c>
      <c r="M228" s="80">
        <f>(MD_prices!M216+$D$2)*IF($M$2="Prices in $/MWh",1,1/1000)</f>
        <v>35.85</v>
      </c>
      <c r="N228" s="79">
        <f>(MD_prices!N216+$D$2)*IF($M$2="Prices in $/MWh",1,1/1000)</f>
        <v>35.79</v>
      </c>
      <c r="O228" s="61"/>
    </row>
    <row r="229" spans="2:15" x14ac:dyDescent="0.25">
      <c r="B229" s="57"/>
      <c r="C229" s="82" t="str">
        <f>MD_prices!C217</f>
        <v>January-2017</v>
      </c>
      <c r="D229" s="83" t="str">
        <f>MD_prices!D217</f>
        <v>MD</v>
      </c>
      <c r="E229" s="84" t="str">
        <f>MD_prices!E217</f>
        <v>PEPCO</v>
      </c>
      <c r="F229" s="83" t="str">
        <f>MD_prices!F217</f>
        <v>MGT LV II</v>
      </c>
      <c r="G229" s="84" t="str">
        <f>MD_prices!G217</f>
        <v>Time Metered Gen Service</v>
      </c>
      <c r="H229" s="85" t="str">
        <f t="shared" ref="H229" si="212">IF($M$2="Prices in $/MWh","500-2500 MWh","500,000-2,500,000 kWh")</f>
        <v>500-2500 MWh</v>
      </c>
      <c r="I229" s="84">
        <f>(MD_prices!I217+$D$2)*IF($M$2="Prices in $/MWh",1,1/1000)</f>
        <v>77.180000000000007</v>
      </c>
      <c r="J229" s="83">
        <f>(MD_prices!J217+$D$2)*IF($M$2="Prices in $/MWh",1,1/1000)</f>
        <v>78.19</v>
      </c>
      <c r="K229" s="84">
        <f>(MD_prices!K217+$D$2)*IF($M$2="Prices in $/MWh",1,1/1000)</f>
        <v>77.27</v>
      </c>
      <c r="L229" s="83">
        <f>(MD_prices!L217+$D$2)*IF($M$2="Prices in $/MWh",1,1/1000)</f>
        <v>34.36</v>
      </c>
      <c r="M229" s="84">
        <f>(MD_prices!M217+$D$2)*IF($M$2="Prices in $/MWh",1,1/1000)</f>
        <v>34.799999999999997</v>
      </c>
      <c r="N229" s="83">
        <f>(MD_prices!N217+$D$2)*IF($M$2="Prices in $/MWh",1,1/1000)</f>
        <v>34.74</v>
      </c>
      <c r="O229" s="61"/>
    </row>
    <row r="230" spans="2:15" x14ac:dyDescent="0.25">
      <c r="B230" s="57"/>
      <c r="C230" s="74" t="str">
        <f>MD_prices!C218</f>
        <v>February-2016</v>
      </c>
      <c r="D230" s="75" t="str">
        <f>MD_prices!D218</f>
        <v>MD</v>
      </c>
      <c r="E230" s="76" t="str">
        <f>MD_prices!E218</f>
        <v>PEPCO</v>
      </c>
      <c r="F230" s="75" t="str">
        <f>MD_prices!F218</f>
        <v>RC_3T7</v>
      </c>
      <c r="G230" s="76" t="str">
        <f>MD_prices!G218</f>
        <v>RC_3T7</v>
      </c>
      <c r="H230" s="77" t="str">
        <f t="shared" ref="H230" si="213">IF($M$2="Prices in $/MWh","0-100 MWh","0-100,000 kWh")</f>
        <v>0-100 MWh</v>
      </c>
      <c r="I230" s="76">
        <f>(MD_prices!I218+$D$2)*IF($M$2="Prices in $/MWh",1,1/1000)</f>
        <v>80.81</v>
      </c>
      <c r="J230" s="75">
        <f>(MD_prices!J218+$D$2)*IF($M$2="Prices in $/MWh",1,1/1000)</f>
        <v>81.2</v>
      </c>
      <c r="K230" s="76">
        <f>(MD_prices!K218+$D$2)*IF($M$2="Prices in $/MWh",1,1/1000)</f>
        <v>80.2</v>
      </c>
      <c r="L230" s="75">
        <f>(MD_prices!L218+$D$2)*IF($M$2="Prices in $/MWh",1,1/1000)</f>
        <v>38.18</v>
      </c>
      <c r="M230" s="76">
        <f>(MD_prices!M218+$D$2)*IF($M$2="Prices in $/MWh",1,1/1000)</f>
        <v>38.49</v>
      </c>
      <c r="N230" s="75">
        <f>(MD_prices!N218+$D$2)*IF($M$2="Prices in $/MWh",1,1/1000)</f>
        <v>38.130000000000003</v>
      </c>
      <c r="O230" s="61"/>
    </row>
    <row r="231" spans="2:15" x14ac:dyDescent="0.25">
      <c r="B231" s="57"/>
      <c r="C231" s="78" t="str">
        <f>MD_prices!C219</f>
        <v>February-2016</v>
      </c>
      <c r="D231" s="79" t="str">
        <f>MD_prices!D219</f>
        <v>MD</v>
      </c>
      <c r="E231" s="80" t="str">
        <f>MD_prices!E219</f>
        <v>PEPCO</v>
      </c>
      <c r="F231" s="79" t="str">
        <f>MD_prices!F219</f>
        <v>RC_3T7</v>
      </c>
      <c r="G231" s="80" t="str">
        <f>MD_prices!G219</f>
        <v>RC_3T7</v>
      </c>
      <c r="H231" s="81" t="str">
        <f t="shared" ref="H231" si="214">IF($M$2="Prices in $/MWh","100-500 MWh","100,000-500,000 kWh")</f>
        <v>100-500 MWh</v>
      </c>
      <c r="I231" s="80">
        <f>(MD_prices!I219+$D$2)*IF($M$2="Prices in $/MWh",1,1/1000)</f>
        <v>79.209999999999994</v>
      </c>
      <c r="J231" s="79">
        <f>(MD_prices!J219+$D$2)*IF($M$2="Prices in $/MWh",1,1/1000)</f>
        <v>79.599999999999994</v>
      </c>
      <c r="K231" s="80">
        <f>(MD_prices!K219+$D$2)*IF($M$2="Prices in $/MWh",1,1/1000)</f>
        <v>78.599999999999994</v>
      </c>
      <c r="L231" s="79">
        <f>(MD_prices!L219+$D$2)*IF($M$2="Prices in $/MWh",1,1/1000)</f>
        <v>36.58</v>
      </c>
      <c r="M231" s="80">
        <f>(MD_prices!M219+$D$2)*IF($M$2="Prices in $/MWh",1,1/1000)</f>
        <v>36.89</v>
      </c>
      <c r="N231" s="79">
        <f>(MD_prices!N219+$D$2)*IF($M$2="Prices in $/MWh",1,1/1000)</f>
        <v>36.53</v>
      </c>
      <c r="O231" s="61"/>
    </row>
    <row r="232" spans="2:15" x14ac:dyDescent="0.25">
      <c r="B232" s="57"/>
      <c r="C232" s="82" t="str">
        <f>MD_prices!C220</f>
        <v>February-2016</v>
      </c>
      <c r="D232" s="83" t="str">
        <f>MD_prices!D220</f>
        <v>MD</v>
      </c>
      <c r="E232" s="84" t="str">
        <f>MD_prices!E220</f>
        <v>PEPCO</v>
      </c>
      <c r="F232" s="83" t="str">
        <f>MD_prices!F220</f>
        <v>RC_3T7</v>
      </c>
      <c r="G232" s="84" t="str">
        <f>MD_prices!G220</f>
        <v>RC_3T7</v>
      </c>
      <c r="H232" s="85" t="str">
        <f t="shared" ref="H232" si="215">IF($M$2="Prices in $/MWh","500-2500 MWh","500,000-2,500,000 kWh")</f>
        <v>500-2500 MWh</v>
      </c>
      <c r="I232" s="84">
        <f>(MD_prices!I220+$D$2)*IF($M$2="Prices in $/MWh",1,1/1000)</f>
        <v>78.16</v>
      </c>
      <c r="J232" s="83">
        <f>(MD_prices!J220+$D$2)*IF($M$2="Prices in $/MWh",1,1/1000)</f>
        <v>78.55</v>
      </c>
      <c r="K232" s="84">
        <f>(MD_prices!K220+$D$2)*IF($M$2="Prices in $/MWh",1,1/1000)</f>
        <v>77.55</v>
      </c>
      <c r="L232" s="83">
        <f>(MD_prices!L220+$D$2)*IF($M$2="Prices in $/MWh",1,1/1000)</f>
        <v>35.53</v>
      </c>
      <c r="M232" s="84">
        <f>(MD_prices!M220+$D$2)*IF($M$2="Prices in $/MWh",1,1/1000)</f>
        <v>35.840000000000003</v>
      </c>
      <c r="N232" s="83">
        <f>(MD_prices!N220+$D$2)*IF($M$2="Prices in $/MWh",1,1/1000)</f>
        <v>35.479999999999997</v>
      </c>
      <c r="O232" s="61"/>
    </row>
    <row r="233" spans="2:15" x14ac:dyDescent="0.25">
      <c r="B233" s="57"/>
      <c r="C233" s="74" t="str">
        <f>MD_prices!C221</f>
        <v>March-2016</v>
      </c>
      <c r="D233" s="75" t="str">
        <f>MD_prices!D221</f>
        <v>MD</v>
      </c>
      <c r="E233" s="76" t="str">
        <f>MD_prices!E221</f>
        <v>PEPCO</v>
      </c>
      <c r="F233" s="75" t="str">
        <f>MD_prices!F221</f>
        <v>RC_3T7</v>
      </c>
      <c r="G233" s="76" t="str">
        <f>MD_prices!G221</f>
        <v>RC_3T7</v>
      </c>
      <c r="H233" s="77" t="str">
        <f t="shared" ref="H233" si="216">IF($M$2="Prices in $/MWh","0-100 MWh","0-100,000 kWh")</f>
        <v>0-100 MWh</v>
      </c>
      <c r="I233" s="76">
        <f>(MD_prices!I221+$D$2)*IF($M$2="Prices in $/MWh",1,1/1000)</f>
        <v>81.19</v>
      </c>
      <c r="J233" s="75">
        <f>(MD_prices!J221+$D$2)*IF($M$2="Prices in $/MWh",1,1/1000)</f>
        <v>80.91</v>
      </c>
      <c r="K233" s="76">
        <f>(MD_prices!K221+$D$2)*IF($M$2="Prices in $/MWh",1,1/1000)</f>
        <v>80.400000000000006</v>
      </c>
      <c r="L233" s="75">
        <f>(MD_prices!L221+$D$2)*IF($M$2="Prices in $/MWh",1,1/1000)</f>
        <v>38.17</v>
      </c>
      <c r="M233" s="76">
        <f>(MD_prices!M221+$D$2)*IF($M$2="Prices in $/MWh",1,1/1000)</f>
        <v>38.479999999999997</v>
      </c>
      <c r="N233" s="75">
        <f>(MD_prices!N221+$D$2)*IF($M$2="Prices in $/MWh",1,1/1000)</f>
        <v>38.14</v>
      </c>
      <c r="O233" s="61"/>
    </row>
    <row r="234" spans="2:15" x14ac:dyDescent="0.25">
      <c r="B234" s="57"/>
      <c r="C234" s="78" t="str">
        <f>MD_prices!C222</f>
        <v>March-2016</v>
      </c>
      <c r="D234" s="79" t="str">
        <f>MD_prices!D222</f>
        <v>MD</v>
      </c>
      <c r="E234" s="80" t="str">
        <f>MD_prices!E222</f>
        <v>PEPCO</v>
      </c>
      <c r="F234" s="79" t="str">
        <f>MD_prices!F222</f>
        <v>RC_3T7</v>
      </c>
      <c r="G234" s="80" t="str">
        <f>MD_prices!G222</f>
        <v>RC_3T7</v>
      </c>
      <c r="H234" s="81" t="str">
        <f t="shared" ref="H234" si="217">IF($M$2="Prices in $/MWh","100-500 MWh","100,000-500,000 kWh")</f>
        <v>100-500 MWh</v>
      </c>
      <c r="I234" s="80">
        <f>(MD_prices!I222+$D$2)*IF($M$2="Prices in $/MWh",1,1/1000)</f>
        <v>79.59</v>
      </c>
      <c r="J234" s="79">
        <f>(MD_prices!J222+$D$2)*IF($M$2="Prices in $/MWh",1,1/1000)</f>
        <v>79.31</v>
      </c>
      <c r="K234" s="80">
        <f>(MD_prices!K222+$D$2)*IF($M$2="Prices in $/MWh",1,1/1000)</f>
        <v>78.8</v>
      </c>
      <c r="L234" s="79">
        <f>(MD_prices!L222+$D$2)*IF($M$2="Prices in $/MWh",1,1/1000)</f>
        <v>36.57</v>
      </c>
      <c r="M234" s="80">
        <f>(MD_prices!M222+$D$2)*IF($M$2="Prices in $/MWh",1,1/1000)</f>
        <v>36.880000000000003</v>
      </c>
      <c r="N234" s="79">
        <f>(MD_prices!N222+$D$2)*IF($M$2="Prices in $/MWh",1,1/1000)</f>
        <v>36.54</v>
      </c>
      <c r="O234" s="61"/>
    </row>
    <row r="235" spans="2:15" x14ac:dyDescent="0.25">
      <c r="B235" s="57"/>
      <c r="C235" s="82" t="str">
        <f>MD_prices!C223</f>
        <v>March-2016</v>
      </c>
      <c r="D235" s="83" t="str">
        <f>MD_prices!D223</f>
        <v>MD</v>
      </c>
      <c r="E235" s="84" t="str">
        <f>MD_prices!E223</f>
        <v>PEPCO</v>
      </c>
      <c r="F235" s="83" t="str">
        <f>MD_prices!F223</f>
        <v>RC_3T7</v>
      </c>
      <c r="G235" s="84" t="str">
        <f>MD_prices!G223</f>
        <v>RC_3T7</v>
      </c>
      <c r="H235" s="85" t="str">
        <f t="shared" ref="H235" si="218">IF($M$2="Prices in $/MWh","500-2500 MWh","500,000-2,500,000 kWh")</f>
        <v>500-2500 MWh</v>
      </c>
      <c r="I235" s="84">
        <f>(MD_prices!I223+$D$2)*IF($M$2="Prices in $/MWh",1,1/1000)</f>
        <v>78.540000000000006</v>
      </c>
      <c r="J235" s="83">
        <f>(MD_prices!J223+$D$2)*IF($M$2="Prices in $/MWh",1,1/1000)</f>
        <v>78.260000000000005</v>
      </c>
      <c r="K235" s="84">
        <f>(MD_prices!K223+$D$2)*IF($M$2="Prices in $/MWh",1,1/1000)</f>
        <v>77.75</v>
      </c>
      <c r="L235" s="83">
        <f>(MD_prices!L223+$D$2)*IF($M$2="Prices in $/MWh",1,1/1000)</f>
        <v>35.520000000000003</v>
      </c>
      <c r="M235" s="84">
        <f>(MD_prices!M223+$D$2)*IF($M$2="Prices in $/MWh",1,1/1000)</f>
        <v>35.83</v>
      </c>
      <c r="N235" s="83">
        <f>(MD_prices!N223+$D$2)*IF($M$2="Prices in $/MWh",1,1/1000)</f>
        <v>35.49</v>
      </c>
      <c r="O235" s="61"/>
    </row>
    <row r="236" spans="2:15" x14ac:dyDescent="0.25">
      <c r="B236" s="57"/>
      <c r="C236" s="74" t="str">
        <f>MD_prices!C224</f>
        <v>April-2016</v>
      </c>
      <c r="D236" s="75" t="str">
        <f>MD_prices!D224</f>
        <v>MD</v>
      </c>
      <c r="E236" s="76" t="str">
        <f>MD_prices!E224</f>
        <v>PEPCO</v>
      </c>
      <c r="F236" s="75" t="str">
        <f>MD_prices!F224</f>
        <v>RC_3T7</v>
      </c>
      <c r="G236" s="76" t="str">
        <f>MD_prices!G224</f>
        <v>RC_3T7</v>
      </c>
      <c r="H236" s="77" t="str">
        <f t="shared" ref="H236" si="219">IF($M$2="Prices in $/MWh","0-100 MWh","0-100,000 kWh")</f>
        <v>0-100 MWh</v>
      </c>
      <c r="I236" s="76">
        <f>(MD_prices!I224+$D$2)*IF($M$2="Prices in $/MWh",1,1/1000)</f>
        <v>81.2</v>
      </c>
      <c r="J236" s="75">
        <f>(MD_prices!J224+$D$2)*IF($M$2="Prices in $/MWh",1,1/1000)</f>
        <v>80.34</v>
      </c>
      <c r="K236" s="76">
        <f>(MD_prices!K224+$D$2)*IF($M$2="Prices in $/MWh",1,1/1000)</f>
        <v>80.34</v>
      </c>
      <c r="L236" s="75">
        <f>(MD_prices!L224+$D$2)*IF($M$2="Prices in $/MWh",1,1/1000)</f>
        <v>38.130000000000003</v>
      </c>
      <c r="M236" s="76">
        <f>(MD_prices!M224+$D$2)*IF($M$2="Prices in $/MWh",1,1/1000)</f>
        <v>38.35</v>
      </c>
      <c r="N236" s="75">
        <f>(MD_prices!N224+$D$2)*IF($M$2="Prices in $/MWh",1,1/1000)</f>
        <v>38.130000000000003</v>
      </c>
      <c r="O236" s="61"/>
    </row>
    <row r="237" spans="2:15" x14ac:dyDescent="0.25">
      <c r="B237" s="57"/>
      <c r="C237" s="78" t="str">
        <f>MD_prices!C225</f>
        <v>April-2016</v>
      </c>
      <c r="D237" s="79" t="str">
        <f>MD_prices!D225</f>
        <v>MD</v>
      </c>
      <c r="E237" s="80" t="str">
        <f>MD_prices!E225</f>
        <v>PEPCO</v>
      </c>
      <c r="F237" s="79" t="str">
        <f>MD_prices!F225</f>
        <v>RC_3T7</v>
      </c>
      <c r="G237" s="80" t="str">
        <f>MD_prices!G225</f>
        <v>RC_3T7</v>
      </c>
      <c r="H237" s="81" t="str">
        <f t="shared" ref="H237" si="220">IF($M$2="Prices in $/MWh","100-500 MWh","100,000-500,000 kWh")</f>
        <v>100-500 MWh</v>
      </c>
      <c r="I237" s="80">
        <f>(MD_prices!I225+$D$2)*IF($M$2="Prices in $/MWh",1,1/1000)</f>
        <v>79.599999999999994</v>
      </c>
      <c r="J237" s="79">
        <f>(MD_prices!J225+$D$2)*IF($M$2="Prices in $/MWh",1,1/1000)</f>
        <v>78.739999999999995</v>
      </c>
      <c r="K237" s="80">
        <f>(MD_prices!K225+$D$2)*IF($M$2="Prices in $/MWh",1,1/1000)</f>
        <v>78.739999999999995</v>
      </c>
      <c r="L237" s="79">
        <f>(MD_prices!L225+$D$2)*IF($M$2="Prices in $/MWh",1,1/1000)</f>
        <v>36.53</v>
      </c>
      <c r="M237" s="80">
        <f>(MD_prices!M225+$D$2)*IF($M$2="Prices in $/MWh",1,1/1000)</f>
        <v>36.75</v>
      </c>
      <c r="N237" s="79">
        <f>(MD_prices!N225+$D$2)*IF($M$2="Prices in $/MWh",1,1/1000)</f>
        <v>36.53</v>
      </c>
      <c r="O237" s="61"/>
    </row>
    <row r="238" spans="2:15" x14ac:dyDescent="0.25">
      <c r="B238" s="57"/>
      <c r="C238" s="82" t="str">
        <f>MD_prices!C226</f>
        <v>April-2016</v>
      </c>
      <c r="D238" s="83" t="str">
        <f>MD_prices!D226</f>
        <v>MD</v>
      </c>
      <c r="E238" s="84" t="str">
        <f>MD_prices!E226</f>
        <v>PEPCO</v>
      </c>
      <c r="F238" s="83" t="str">
        <f>MD_prices!F226</f>
        <v>RC_3T7</v>
      </c>
      <c r="G238" s="84" t="str">
        <f>MD_prices!G226</f>
        <v>RC_3T7</v>
      </c>
      <c r="H238" s="85" t="str">
        <f t="shared" ref="H238" si="221">IF($M$2="Prices in $/MWh","500-2500 MWh","500,000-2,500,000 kWh")</f>
        <v>500-2500 MWh</v>
      </c>
      <c r="I238" s="84">
        <f>(MD_prices!I226+$D$2)*IF($M$2="Prices in $/MWh",1,1/1000)</f>
        <v>78.55</v>
      </c>
      <c r="J238" s="83">
        <f>(MD_prices!J226+$D$2)*IF($M$2="Prices in $/MWh",1,1/1000)</f>
        <v>77.69</v>
      </c>
      <c r="K238" s="84">
        <f>(MD_prices!K226+$D$2)*IF($M$2="Prices in $/MWh",1,1/1000)</f>
        <v>77.69</v>
      </c>
      <c r="L238" s="83">
        <f>(MD_prices!L226+$D$2)*IF($M$2="Prices in $/MWh",1,1/1000)</f>
        <v>35.479999999999997</v>
      </c>
      <c r="M238" s="84">
        <f>(MD_prices!M226+$D$2)*IF($M$2="Prices in $/MWh",1,1/1000)</f>
        <v>35.700000000000003</v>
      </c>
      <c r="N238" s="83">
        <f>(MD_prices!N226+$D$2)*IF($M$2="Prices in $/MWh",1,1/1000)</f>
        <v>35.479999999999997</v>
      </c>
      <c r="O238" s="61"/>
    </row>
    <row r="239" spans="2:15" x14ac:dyDescent="0.25">
      <c r="B239" s="57"/>
      <c r="C239" s="74" t="str">
        <f>MD_prices!C227</f>
        <v>May-2016</v>
      </c>
      <c r="D239" s="75" t="str">
        <f>MD_prices!D227</f>
        <v>MD</v>
      </c>
      <c r="E239" s="76" t="str">
        <f>MD_prices!E227</f>
        <v>PEPCO</v>
      </c>
      <c r="F239" s="75" t="str">
        <f>MD_prices!F227</f>
        <v>RC_3T7</v>
      </c>
      <c r="G239" s="76" t="str">
        <f>MD_prices!G227</f>
        <v>RC_3T7</v>
      </c>
      <c r="H239" s="77" t="str">
        <f t="shared" ref="H239" si="222">IF($M$2="Prices in $/MWh","0-100 MWh","0-100,000 kWh")</f>
        <v>0-100 MWh</v>
      </c>
      <c r="I239" s="76">
        <f>(MD_prices!I227+$D$2)*IF($M$2="Prices in $/MWh",1,1/1000)</f>
        <v>81.099999999999994</v>
      </c>
      <c r="J239" s="75">
        <f>(MD_prices!J227+$D$2)*IF($M$2="Prices in $/MWh",1,1/1000)</f>
        <v>79.760000000000005</v>
      </c>
      <c r="K239" s="76">
        <f>(MD_prices!K227+$D$2)*IF($M$2="Prices in $/MWh",1,1/1000)</f>
        <v>80.239999999999995</v>
      </c>
      <c r="L239" s="75">
        <f>(MD_prices!L227+$D$2)*IF($M$2="Prices in $/MWh",1,1/1000)</f>
        <v>38.090000000000003</v>
      </c>
      <c r="M239" s="76">
        <f>(MD_prices!M227+$D$2)*IF($M$2="Prices in $/MWh",1,1/1000)</f>
        <v>38.1</v>
      </c>
      <c r="N239" s="75">
        <f>(MD_prices!N227+$D$2)*IF($M$2="Prices in $/MWh",1,1/1000)</f>
        <v>38.11</v>
      </c>
      <c r="O239" s="61"/>
    </row>
    <row r="240" spans="2:15" x14ac:dyDescent="0.25">
      <c r="B240" s="57"/>
      <c r="C240" s="78" t="str">
        <f>MD_prices!C228</f>
        <v>May-2016</v>
      </c>
      <c r="D240" s="79" t="str">
        <f>MD_prices!D228</f>
        <v>MD</v>
      </c>
      <c r="E240" s="80" t="str">
        <f>MD_prices!E228</f>
        <v>PEPCO</v>
      </c>
      <c r="F240" s="79" t="str">
        <f>MD_prices!F228</f>
        <v>RC_3T7</v>
      </c>
      <c r="G240" s="80" t="str">
        <f>MD_prices!G228</f>
        <v>RC_3T7</v>
      </c>
      <c r="H240" s="81" t="str">
        <f t="shared" ref="H240" si="223">IF($M$2="Prices in $/MWh","100-500 MWh","100,000-500,000 kWh")</f>
        <v>100-500 MWh</v>
      </c>
      <c r="I240" s="80">
        <f>(MD_prices!I228+$D$2)*IF($M$2="Prices in $/MWh",1,1/1000)</f>
        <v>79.5</v>
      </c>
      <c r="J240" s="79">
        <f>(MD_prices!J228+$D$2)*IF($M$2="Prices in $/MWh",1,1/1000)</f>
        <v>78.16</v>
      </c>
      <c r="K240" s="80">
        <f>(MD_prices!K228+$D$2)*IF($M$2="Prices in $/MWh",1,1/1000)</f>
        <v>78.64</v>
      </c>
      <c r="L240" s="79">
        <f>(MD_prices!L228+$D$2)*IF($M$2="Prices in $/MWh",1,1/1000)</f>
        <v>36.49</v>
      </c>
      <c r="M240" s="80">
        <f>(MD_prices!M228+$D$2)*IF($M$2="Prices in $/MWh",1,1/1000)</f>
        <v>36.5</v>
      </c>
      <c r="N240" s="79">
        <f>(MD_prices!N228+$D$2)*IF($M$2="Prices in $/MWh",1,1/1000)</f>
        <v>36.51</v>
      </c>
      <c r="O240" s="61"/>
    </row>
    <row r="241" spans="2:15" x14ac:dyDescent="0.25">
      <c r="B241" s="57"/>
      <c r="C241" s="82" t="str">
        <f>MD_prices!C229</f>
        <v>May-2016</v>
      </c>
      <c r="D241" s="83" t="str">
        <f>MD_prices!D229</f>
        <v>MD</v>
      </c>
      <c r="E241" s="84" t="str">
        <f>MD_prices!E229</f>
        <v>PEPCO</v>
      </c>
      <c r="F241" s="83" t="str">
        <f>MD_prices!F229</f>
        <v>RC_3T7</v>
      </c>
      <c r="G241" s="84" t="str">
        <f>MD_prices!G229</f>
        <v>RC_3T7</v>
      </c>
      <c r="H241" s="85" t="str">
        <f t="shared" ref="H241" si="224">IF($M$2="Prices in $/MWh","500-2500 MWh","500,000-2,500,000 kWh")</f>
        <v>500-2500 MWh</v>
      </c>
      <c r="I241" s="84">
        <f>(MD_prices!I229+$D$2)*IF($M$2="Prices in $/MWh",1,1/1000)</f>
        <v>78.45</v>
      </c>
      <c r="J241" s="83">
        <f>(MD_prices!J229+$D$2)*IF($M$2="Prices in $/MWh",1,1/1000)</f>
        <v>77.11</v>
      </c>
      <c r="K241" s="84">
        <f>(MD_prices!K229+$D$2)*IF($M$2="Prices in $/MWh",1,1/1000)</f>
        <v>77.59</v>
      </c>
      <c r="L241" s="83">
        <f>(MD_prices!L229+$D$2)*IF($M$2="Prices in $/MWh",1,1/1000)</f>
        <v>35.44</v>
      </c>
      <c r="M241" s="84">
        <f>(MD_prices!M229+$D$2)*IF($M$2="Prices in $/MWh",1,1/1000)</f>
        <v>35.450000000000003</v>
      </c>
      <c r="N241" s="83">
        <f>(MD_prices!N229+$D$2)*IF($M$2="Prices in $/MWh",1,1/1000)</f>
        <v>35.46</v>
      </c>
      <c r="O241" s="61"/>
    </row>
    <row r="242" spans="2:15" x14ac:dyDescent="0.25">
      <c r="B242" s="57"/>
      <c r="C242" s="74" t="str">
        <f>MD_prices!C230</f>
        <v>June-2016</v>
      </c>
      <c r="D242" s="75" t="str">
        <f>MD_prices!D230</f>
        <v>MD</v>
      </c>
      <c r="E242" s="76" t="str">
        <f>MD_prices!E230</f>
        <v>PEPCO</v>
      </c>
      <c r="F242" s="75" t="str">
        <f>MD_prices!F230</f>
        <v>RC_3T7</v>
      </c>
      <c r="G242" s="76" t="str">
        <f>MD_prices!G230</f>
        <v>RC_3T7</v>
      </c>
      <c r="H242" s="77" t="str">
        <f t="shared" ref="H242" si="225">IF($M$2="Prices in $/MWh","0-100 MWh","0-100,000 kWh")</f>
        <v>0-100 MWh</v>
      </c>
      <c r="I242" s="76">
        <f>(MD_prices!I230+$D$2)*IF($M$2="Prices in $/MWh",1,1/1000)</f>
        <v>80.94</v>
      </c>
      <c r="J242" s="75">
        <f>(MD_prices!J230+$D$2)*IF($M$2="Prices in $/MWh",1,1/1000)</f>
        <v>79.489999999999995</v>
      </c>
      <c r="K242" s="76">
        <f>(MD_prices!K230+$D$2)*IF($M$2="Prices in $/MWh",1,1/1000)</f>
        <v>80.150000000000006</v>
      </c>
      <c r="L242" s="75">
        <f>(MD_prices!L230+$D$2)*IF($M$2="Prices in $/MWh",1,1/1000)</f>
        <v>38.04</v>
      </c>
      <c r="M242" s="76">
        <f>(MD_prices!M230+$D$2)*IF($M$2="Prices in $/MWh",1,1/1000)</f>
        <v>38.07</v>
      </c>
      <c r="N242" s="75">
        <f>(MD_prices!N230+$D$2)*IF($M$2="Prices in $/MWh",1,1/1000)</f>
        <v>38.090000000000003</v>
      </c>
      <c r="O242" s="61"/>
    </row>
    <row r="243" spans="2:15" x14ac:dyDescent="0.25">
      <c r="B243" s="57"/>
      <c r="C243" s="78" t="str">
        <f>MD_prices!C231</f>
        <v>June-2016</v>
      </c>
      <c r="D243" s="79" t="str">
        <f>MD_prices!D231</f>
        <v>MD</v>
      </c>
      <c r="E243" s="80" t="str">
        <f>MD_prices!E231</f>
        <v>PEPCO</v>
      </c>
      <c r="F243" s="79" t="str">
        <f>MD_prices!F231</f>
        <v>RC_3T7</v>
      </c>
      <c r="G243" s="80" t="str">
        <f>MD_prices!G231</f>
        <v>RC_3T7</v>
      </c>
      <c r="H243" s="81" t="str">
        <f t="shared" ref="H243" si="226">IF($M$2="Prices in $/MWh","100-500 MWh","100,000-500,000 kWh")</f>
        <v>100-500 MWh</v>
      </c>
      <c r="I243" s="80">
        <f>(MD_prices!I231+$D$2)*IF($M$2="Prices in $/MWh",1,1/1000)</f>
        <v>79.34</v>
      </c>
      <c r="J243" s="79">
        <f>(MD_prices!J231+$D$2)*IF($M$2="Prices in $/MWh",1,1/1000)</f>
        <v>77.89</v>
      </c>
      <c r="K243" s="80">
        <f>(MD_prices!K231+$D$2)*IF($M$2="Prices in $/MWh",1,1/1000)</f>
        <v>78.55</v>
      </c>
      <c r="L243" s="79">
        <f>(MD_prices!L231+$D$2)*IF($M$2="Prices in $/MWh",1,1/1000)</f>
        <v>36.44</v>
      </c>
      <c r="M243" s="80">
        <f>(MD_prices!M231+$D$2)*IF($M$2="Prices in $/MWh",1,1/1000)</f>
        <v>36.47</v>
      </c>
      <c r="N243" s="79">
        <f>(MD_prices!N231+$D$2)*IF($M$2="Prices in $/MWh",1,1/1000)</f>
        <v>36.49</v>
      </c>
      <c r="O243" s="61"/>
    </row>
    <row r="244" spans="2:15" x14ac:dyDescent="0.25">
      <c r="B244" s="57"/>
      <c r="C244" s="82" t="str">
        <f>MD_prices!C232</f>
        <v>June-2016</v>
      </c>
      <c r="D244" s="83" t="str">
        <f>MD_prices!D232</f>
        <v>MD</v>
      </c>
      <c r="E244" s="84" t="str">
        <f>MD_prices!E232</f>
        <v>PEPCO</v>
      </c>
      <c r="F244" s="83" t="str">
        <f>MD_prices!F232</f>
        <v>RC_3T7</v>
      </c>
      <c r="G244" s="84" t="str">
        <f>MD_prices!G232</f>
        <v>RC_3T7</v>
      </c>
      <c r="H244" s="85" t="str">
        <f t="shared" ref="H244" si="227">IF($M$2="Prices in $/MWh","500-2500 MWh","500,000-2,500,000 kWh")</f>
        <v>500-2500 MWh</v>
      </c>
      <c r="I244" s="84">
        <f>(MD_prices!I232+$D$2)*IF($M$2="Prices in $/MWh",1,1/1000)</f>
        <v>78.290000000000006</v>
      </c>
      <c r="J244" s="83">
        <f>(MD_prices!J232+$D$2)*IF($M$2="Prices in $/MWh",1,1/1000)</f>
        <v>76.84</v>
      </c>
      <c r="K244" s="84">
        <f>(MD_prices!K232+$D$2)*IF($M$2="Prices in $/MWh",1,1/1000)</f>
        <v>77.5</v>
      </c>
      <c r="L244" s="83">
        <f>(MD_prices!L232+$D$2)*IF($M$2="Prices in $/MWh",1,1/1000)</f>
        <v>35.39</v>
      </c>
      <c r="M244" s="84">
        <f>(MD_prices!M232+$D$2)*IF($M$2="Prices in $/MWh",1,1/1000)</f>
        <v>35.42</v>
      </c>
      <c r="N244" s="83">
        <f>(MD_prices!N232+$D$2)*IF($M$2="Prices in $/MWh",1,1/1000)</f>
        <v>35.44</v>
      </c>
      <c r="O244" s="61"/>
    </row>
    <row r="245" spans="2:15" x14ac:dyDescent="0.25">
      <c r="B245" s="57"/>
      <c r="C245" s="74" t="str">
        <f>MD_prices!C233</f>
        <v>July-2016</v>
      </c>
      <c r="D245" s="75" t="str">
        <f>MD_prices!D233</f>
        <v>MD</v>
      </c>
      <c r="E245" s="76" t="str">
        <f>MD_prices!E233</f>
        <v>PEPCO</v>
      </c>
      <c r="F245" s="75" t="str">
        <f>MD_prices!F233</f>
        <v>RC_3T7</v>
      </c>
      <c r="G245" s="76" t="str">
        <f>MD_prices!G233</f>
        <v>RC_3T7</v>
      </c>
      <c r="H245" s="77" t="str">
        <f t="shared" ref="H245" si="228">IF($M$2="Prices in $/MWh","0-100 MWh","0-100,000 kWh")</f>
        <v>0-100 MWh</v>
      </c>
      <c r="I245" s="76">
        <f>(MD_prices!I233+$D$2)*IF($M$2="Prices in $/MWh",1,1/1000)</f>
        <v>80.84</v>
      </c>
      <c r="J245" s="75">
        <f>(MD_prices!J233+$D$2)*IF($M$2="Prices in $/MWh",1,1/1000)</f>
        <v>79.14</v>
      </c>
      <c r="K245" s="76">
        <f>(MD_prices!K233+$D$2)*IF($M$2="Prices in $/MWh",1,1/1000)</f>
        <v>80.069999999999993</v>
      </c>
      <c r="L245" s="75">
        <f>(MD_prices!L233+$D$2)*IF($M$2="Prices in $/MWh",1,1/1000)</f>
        <v>38.01</v>
      </c>
      <c r="M245" s="76">
        <f>(MD_prices!M233+$D$2)*IF($M$2="Prices in $/MWh",1,1/1000)</f>
        <v>37.85</v>
      </c>
      <c r="N245" s="75">
        <f>(MD_prices!N233+$D$2)*IF($M$2="Prices in $/MWh",1,1/1000)</f>
        <v>38.130000000000003</v>
      </c>
      <c r="O245" s="61"/>
    </row>
    <row r="246" spans="2:15" x14ac:dyDescent="0.25">
      <c r="B246" s="57"/>
      <c r="C246" s="78" t="str">
        <f>MD_prices!C234</f>
        <v>July-2016</v>
      </c>
      <c r="D246" s="79" t="str">
        <f>MD_prices!D234</f>
        <v>MD</v>
      </c>
      <c r="E246" s="80" t="str">
        <f>MD_prices!E234</f>
        <v>PEPCO</v>
      </c>
      <c r="F246" s="79" t="str">
        <f>MD_prices!F234</f>
        <v>RC_3T7</v>
      </c>
      <c r="G246" s="80" t="str">
        <f>MD_prices!G234</f>
        <v>RC_3T7</v>
      </c>
      <c r="H246" s="81" t="str">
        <f t="shared" ref="H246" si="229">IF($M$2="Prices in $/MWh","100-500 MWh","100,000-500,000 kWh")</f>
        <v>100-500 MWh</v>
      </c>
      <c r="I246" s="80">
        <f>(MD_prices!I234+$D$2)*IF($M$2="Prices in $/MWh",1,1/1000)</f>
        <v>79.239999999999995</v>
      </c>
      <c r="J246" s="79">
        <f>(MD_prices!J234+$D$2)*IF($M$2="Prices in $/MWh",1,1/1000)</f>
        <v>77.540000000000006</v>
      </c>
      <c r="K246" s="80">
        <f>(MD_prices!K234+$D$2)*IF($M$2="Prices in $/MWh",1,1/1000)</f>
        <v>78.47</v>
      </c>
      <c r="L246" s="79">
        <f>(MD_prices!L234+$D$2)*IF($M$2="Prices in $/MWh",1,1/1000)</f>
        <v>36.409999999999997</v>
      </c>
      <c r="M246" s="80">
        <f>(MD_prices!M234+$D$2)*IF($M$2="Prices in $/MWh",1,1/1000)</f>
        <v>36.25</v>
      </c>
      <c r="N246" s="79">
        <f>(MD_prices!N234+$D$2)*IF($M$2="Prices in $/MWh",1,1/1000)</f>
        <v>36.53</v>
      </c>
      <c r="O246" s="61"/>
    </row>
    <row r="247" spans="2:15" x14ac:dyDescent="0.25">
      <c r="B247" s="57"/>
      <c r="C247" s="82" t="str">
        <f>MD_prices!C235</f>
        <v>July-2016</v>
      </c>
      <c r="D247" s="83" t="str">
        <f>MD_prices!D235</f>
        <v>MD</v>
      </c>
      <c r="E247" s="84" t="str">
        <f>MD_prices!E235</f>
        <v>PEPCO</v>
      </c>
      <c r="F247" s="83" t="str">
        <f>MD_prices!F235</f>
        <v>RC_3T7</v>
      </c>
      <c r="G247" s="84" t="str">
        <f>MD_prices!G235</f>
        <v>RC_3T7</v>
      </c>
      <c r="H247" s="85" t="str">
        <f t="shared" ref="H247" si="230">IF($M$2="Prices in $/MWh","500-2500 MWh","500,000-2,500,000 kWh")</f>
        <v>500-2500 MWh</v>
      </c>
      <c r="I247" s="84">
        <f>(MD_prices!I235+$D$2)*IF($M$2="Prices in $/MWh",1,1/1000)</f>
        <v>78.19</v>
      </c>
      <c r="J247" s="83">
        <f>(MD_prices!J235+$D$2)*IF($M$2="Prices in $/MWh",1,1/1000)</f>
        <v>76.489999999999995</v>
      </c>
      <c r="K247" s="84">
        <f>(MD_prices!K235+$D$2)*IF($M$2="Prices in $/MWh",1,1/1000)</f>
        <v>77.42</v>
      </c>
      <c r="L247" s="83">
        <f>(MD_prices!L235+$D$2)*IF($M$2="Prices in $/MWh",1,1/1000)</f>
        <v>35.36</v>
      </c>
      <c r="M247" s="84">
        <f>(MD_prices!M235+$D$2)*IF($M$2="Prices in $/MWh",1,1/1000)</f>
        <v>35.200000000000003</v>
      </c>
      <c r="N247" s="83">
        <f>(MD_prices!N235+$D$2)*IF($M$2="Prices in $/MWh",1,1/1000)</f>
        <v>35.479999999999997</v>
      </c>
      <c r="O247" s="61"/>
    </row>
    <row r="248" spans="2:15" x14ac:dyDescent="0.25">
      <c r="B248" s="57"/>
      <c r="C248" s="74" t="str">
        <f>MD_prices!C236</f>
        <v>August-2016</v>
      </c>
      <c r="D248" s="75" t="str">
        <f>MD_prices!D236</f>
        <v>MD</v>
      </c>
      <c r="E248" s="76" t="str">
        <f>MD_prices!E236</f>
        <v>PEPCO</v>
      </c>
      <c r="F248" s="75" t="str">
        <f>MD_prices!F236</f>
        <v>RC_3T7</v>
      </c>
      <c r="G248" s="76" t="str">
        <f>MD_prices!G236</f>
        <v>RC_3T7</v>
      </c>
      <c r="H248" s="77" t="str">
        <f t="shared" ref="H248" si="231">IF($M$2="Prices in $/MWh","0-100 MWh","0-100,000 kWh")</f>
        <v>0-100 MWh</v>
      </c>
      <c r="I248" s="76">
        <f>(MD_prices!I236+$D$2)*IF($M$2="Prices in $/MWh",1,1/1000)</f>
        <v>80.58</v>
      </c>
      <c r="J248" s="75">
        <f>(MD_prices!J236+$D$2)*IF($M$2="Prices in $/MWh",1,1/1000)</f>
        <v>79.48</v>
      </c>
      <c r="K248" s="76">
        <f>(MD_prices!K236+$D$2)*IF($M$2="Prices in $/MWh",1,1/1000)</f>
        <v>80.02</v>
      </c>
      <c r="L248" s="75">
        <f>(MD_prices!L236+$D$2)*IF($M$2="Prices in $/MWh",1,1/1000)</f>
        <v>38</v>
      </c>
      <c r="M248" s="76">
        <f>(MD_prices!M236+$D$2)*IF($M$2="Prices in $/MWh",1,1/1000)</f>
        <v>37.68</v>
      </c>
      <c r="N248" s="75">
        <f>(MD_prices!N236+$D$2)*IF($M$2="Prices in $/MWh",1,1/1000)</f>
        <v>38.17</v>
      </c>
      <c r="O248" s="61"/>
    </row>
    <row r="249" spans="2:15" x14ac:dyDescent="0.25">
      <c r="B249" s="57"/>
      <c r="C249" s="78" t="str">
        <f>MD_prices!C237</f>
        <v>August-2016</v>
      </c>
      <c r="D249" s="79" t="str">
        <f>MD_prices!D237</f>
        <v>MD</v>
      </c>
      <c r="E249" s="80" t="str">
        <f>MD_prices!E237</f>
        <v>PEPCO</v>
      </c>
      <c r="F249" s="79" t="str">
        <f>MD_prices!F237</f>
        <v>RC_3T7</v>
      </c>
      <c r="G249" s="80" t="str">
        <f>MD_prices!G237</f>
        <v>RC_3T7</v>
      </c>
      <c r="H249" s="81" t="str">
        <f t="shared" ref="H249" si="232">IF($M$2="Prices in $/MWh","100-500 MWh","100,000-500,000 kWh")</f>
        <v>100-500 MWh</v>
      </c>
      <c r="I249" s="80">
        <f>(MD_prices!I237+$D$2)*IF($M$2="Prices in $/MWh",1,1/1000)</f>
        <v>78.98</v>
      </c>
      <c r="J249" s="79">
        <f>(MD_prices!J237+$D$2)*IF($M$2="Prices in $/MWh",1,1/1000)</f>
        <v>77.88</v>
      </c>
      <c r="K249" s="80">
        <f>(MD_prices!K237+$D$2)*IF($M$2="Prices in $/MWh",1,1/1000)</f>
        <v>78.42</v>
      </c>
      <c r="L249" s="79">
        <f>(MD_prices!L237+$D$2)*IF($M$2="Prices in $/MWh",1,1/1000)</f>
        <v>36.4</v>
      </c>
      <c r="M249" s="80">
        <f>(MD_prices!M237+$D$2)*IF($M$2="Prices in $/MWh",1,1/1000)</f>
        <v>36.08</v>
      </c>
      <c r="N249" s="79">
        <f>(MD_prices!N237+$D$2)*IF($M$2="Prices in $/MWh",1,1/1000)</f>
        <v>36.57</v>
      </c>
      <c r="O249" s="61"/>
    </row>
    <row r="250" spans="2:15" x14ac:dyDescent="0.25">
      <c r="B250" s="57"/>
      <c r="C250" s="82" t="str">
        <f>MD_prices!C238</f>
        <v>August-2016</v>
      </c>
      <c r="D250" s="83" t="str">
        <f>MD_prices!D238</f>
        <v>MD</v>
      </c>
      <c r="E250" s="84" t="str">
        <f>MD_prices!E238</f>
        <v>PEPCO</v>
      </c>
      <c r="F250" s="83" t="str">
        <f>MD_prices!F238</f>
        <v>RC_3T7</v>
      </c>
      <c r="G250" s="84" t="str">
        <f>MD_prices!G238</f>
        <v>RC_3T7</v>
      </c>
      <c r="H250" s="85" t="str">
        <f t="shared" ref="H250" si="233">IF($M$2="Prices in $/MWh","500-2500 MWh","500,000-2,500,000 kWh")</f>
        <v>500-2500 MWh</v>
      </c>
      <c r="I250" s="84">
        <f>(MD_prices!I238+$D$2)*IF($M$2="Prices in $/MWh",1,1/1000)</f>
        <v>77.930000000000007</v>
      </c>
      <c r="J250" s="83">
        <f>(MD_prices!J238+$D$2)*IF($M$2="Prices in $/MWh",1,1/1000)</f>
        <v>76.83</v>
      </c>
      <c r="K250" s="84">
        <f>(MD_prices!K238+$D$2)*IF($M$2="Prices in $/MWh",1,1/1000)</f>
        <v>77.37</v>
      </c>
      <c r="L250" s="83">
        <f>(MD_prices!L238+$D$2)*IF($M$2="Prices in $/MWh",1,1/1000)</f>
        <v>35.35</v>
      </c>
      <c r="M250" s="84">
        <f>(MD_prices!M238+$D$2)*IF($M$2="Prices in $/MWh",1,1/1000)</f>
        <v>35.03</v>
      </c>
      <c r="N250" s="83">
        <f>(MD_prices!N238+$D$2)*IF($M$2="Prices in $/MWh",1,1/1000)</f>
        <v>35.520000000000003</v>
      </c>
      <c r="O250" s="61"/>
    </row>
    <row r="251" spans="2:15" x14ac:dyDescent="0.25">
      <c r="B251" s="57"/>
      <c r="C251" s="74" t="str">
        <f>MD_prices!C239</f>
        <v>September-2016</v>
      </c>
      <c r="D251" s="75" t="str">
        <f>MD_prices!D239</f>
        <v>MD</v>
      </c>
      <c r="E251" s="76" t="str">
        <f>MD_prices!E239</f>
        <v>PEPCO</v>
      </c>
      <c r="F251" s="75" t="str">
        <f>MD_prices!F239</f>
        <v>RC_3T7</v>
      </c>
      <c r="G251" s="76" t="str">
        <f>MD_prices!G239</f>
        <v>RC_3T7</v>
      </c>
      <c r="H251" s="77" t="str">
        <f t="shared" ref="H251" si="234">IF($M$2="Prices in $/MWh","0-100 MWh","0-100,000 kWh")</f>
        <v>0-100 MWh</v>
      </c>
      <c r="I251" s="76">
        <f>(MD_prices!I239+$D$2)*IF($M$2="Prices in $/MWh",1,1/1000)</f>
        <v>80.349999999999994</v>
      </c>
      <c r="J251" s="75">
        <f>(MD_prices!J239+$D$2)*IF($M$2="Prices in $/MWh",1,1/1000)</f>
        <v>79.86</v>
      </c>
      <c r="K251" s="76">
        <f>(MD_prices!K239+$D$2)*IF($M$2="Prices in $/MWh",1,1/1000)</f>
        <v>79.959999999999994</v>
      </c>
      <c r="L251" s="75">
        <f>(MD_prices!L239+$D$2)*IF($M$2="Prices in $/MWh",1,1/1000)</f>
        <v>37.97</v>
      </c>
      <c r="M251" s="76">
        <f>(MD_prices!M239+$D$2)*IF($M$2="Prices in $/MWh",1,1/1000)</f>
        <v>37.69</v>
      </c>
      <c r="N251" s="75">
        <f>(MD_prices!N239+$D$2)*IF($M$2="Prices in $/MWh",1,1/1000)</f>
        <v>38.21</v>
      </c>
      <c r="O251" s="61"/>
    </row>
    <row r="252" spans="2:15" x14ac:dyDescent="0.25">
      <c r="B252" s="57"/>
      <c r="C252" s="78" t="str">
        <f>MD_prices!C240</f>
        <v>September-2016</v>
      </c>
      <c r="D252" s="79" t="str">
        <f>MD_prices!D240</f>
        <v>MD</v>
      </c>
      <c r="E252" s="80" t="str">
        <f>MD_prices!E240</f>
        <v>PEPCO</v>
      </c>
      <c r="F252" s="79" t="str">
        <f>MD_prices!F240</f>
        <v>RC_3T7</v>
      </c>
      <c r="G252" s="80" t="str">
        <f>MD_prices!G240</f>
        <v>RC_3T7</v>
      </c>
      <c r="H252" s="81" t="str">
        <f t="shared" ref="H252" si="235">IF($M$2="Prices in $/MWh","100-500 MWh","100,000-500,000 kWh")</f>
        <v>100-500 MWh</v>
      </c>
      <c r="I252" s="80">
        <f>(MD_prices!I240+$D$2)*IF($M$2="Prices in $/MWh",1,1/1000)</f>
        <v>78.75</v>
      </c>
      <c r="J252" s="79">
        <f>(MD_prices!J240+$D$2)*IF($M$2="Prices in $/MWh",1,1/1000)</f>
        <v>78.260000000000005</v>
      </c>
      <c r="K252" s="80">
        <f>(MD_prices!K240+$D$2)*IF($M$2="Prices in $/MWh",1,1/1000)</f>
        <v>78.36</v>
      </c>
      <c r="L252" s="79">
        <f>(MD_prices!L240+$D$2)*IF($M$2="Prices in $/MWh",1,1/1000)</f>
        <v>36.369999999999997</v>
      </c>
      <c r="M252" s="80">
        <f>(MD_prices!M240+$D$2)*IF($M$2="Prices in $/MWh",1,1/1000)</f>
        <v>36.090000000000003</v>
      </c>
      <c r="N252" s="79">
        <f>(MD_prices!N240+$D$2)*IF($M$2="Prices in $/MWh",1,1/1000)</f>
        <v>36.61</v>
      </c>
      <c r="O252" s="61"/>
    </row>
    <row r="253" spans="2:15" x14ac:dyDescent="0.25">
      <c r="B253" s="57"/>
      <c r="C253" s="82" t="str">
        <f>MD_prices!C241</f>
        <v>September-2016</v>
      </c>
      <c r="D253" s="83" t="str">
        <f>MD_prices!D241</f>
        <v>MD</v>
      </c>
      <c r="E253" s="84" t="str">
        <f>MD_prices!E241</f>
        <v>PEPCO</v>
      </c>
      <c r="F253" s="83" t="str">
        <f>MD_prices!F241</f>
        <v>RC_3T7</v>
      </c>
      <c r="G253" s="84" t="str">
        <f>MD_prices!G241</f>
        <v>RC_3T7</v>
      </c>
      <c r="H253" s="85" t="str">
        <f t="shared" ref="H253" si="236">IF($M$2="Prices in $/MWh","500-2500 MWh","500,000-2,500,000 kWh")</f>
        <v>500-2500 MWh</v>
      </c>
      <c r="I253" s="84">
        <f>(MD_prices!I241+$D$2)*IF($M$2="Prices in $/MWh",1,1/1000)</f>
        <v>77.7</v>
      </c>
      <c r="J253" s="83">
        <f>(MD_prices!J241+$D$2)*IF($M$2="Prices in $/MWh",1,1/1000)</f>
        <v>77.209999999999994</v>
      </c>
      <c r="K253" s="84">
        <f>(MD_prices!K241+$D$2)*IF($M$2="Prices in $/MWh",1,1/1000)</f>
        <v>77.31</v>
      </c>
      <c r="L253" s="83">
        <f>(MD_prices!L241+$D$2)*IF($M$2="Prices in $/MWh",1,1/1000)</f>
        <v>35.32</v>
      </c>
      <c r="M253" s="84">
        <f>(MD_prices!M241+$D$2)*IF($M$2="Prices in $/MWh",1,1/1000)</f>
        <v>35.04</v>
      </c>
      <c r="N253" s="83">
        <f>(MD_prices!N241+$D$2)*IF($M$2="Prices in $/MWh",1,1/1000)</f>
        <v>35.56</v>
      </c>
      <c r="O253" s="61"/>
    </row>
    <row r="254" spans="2:15" x14ac:dyDescent="0.25">
      <c r="B254" s="57"/>
      <c r="C254" s="74" t="str">
        <f>MD_prices!C242</f>
        <v>October-2016</v>
      </c>
      <c r="D254" s="75" t="str">
        <f>MD_prices!D242</f>
        <v>MD</v>
      </c>
      <c r="E254" s="76" t="str">
        <f>MD_prices!E242</f>
        <v>PEPCO</v>
      </c>
      <c r="F254" s="75" t="str">
        <f>MD_prices!F242</f>
        <v>RC_3T7</v>
      </c>
      <c r="G254" s="76" t="str">
        <f>MD_prices!G242</f>
        <v>RC_3T7</v>
      </c>
      <c r="H254" s="77" t="str">
        <f t="shared" ref="H254" si="237">IF($M$2="Prices in $/MWh","0-100 MWh","0-100,000 kWh")</f>
        <v>0-100 MWh</v>
      </c>
      <c r="I254" s="76">
        <f>(MD_prices!I242+$D$2)*IF($M$2="Prices in $/MWh",1,1/1000)</f>
        <v>80.14</v>
      </c>
      <c r="J254" s="75">
        <f>(MD_prices!J242+$D$2)*IF($M$2="Prices in $/MWh",1,1/1000)</f>
        <v>80.2</v>
      </c>
      <c r="K254" s="76">
        <f>(MD_prices!K242+$D$2)*IF($M$2="Prices in $/MWh",1,1/1000)</f>
        <v>79.849999999999994</v>
      </c>
      <c r="L254" s="75">
        <f>(MD_prices!L242+$D$2)*IF($M$2="Prices in $/MWh",1,1/1000)</f>
        <v>37.93</v>
      </c>
      <c r="M254" s="76">
        <f>(MD_prices!M242+$D$2)*IF($M$2="Prices in $/MWh",1,1/1000)</f>
        <v>37.79</v>
      </c>
      <c r="N254" s="75">
        <f>(MD_prices!N242+$D$2)*IF($M$2="Prices in $/MWh",1,1/1000)</f>
        <v>38.24</v>
      </c>
      <c r="O254" s="61"/>
    </row>
    <row r="255" spans="2:15" x14ac:dyDescent="0.25">
      <c r="B255" s="57"/>
      <c r="C255" s="78" t="str">
        <f>MD_prices!C243</f>
        <v>October-2016</v>
      </c>
      <c r="D255" s="79" t="str">
        <f>MD_prices!D243</f>
        <v>MD</v>
      </c>
      <c r="E255" s="80" t="str">
        <f>MD_prices!E243</f>
        <v>PEPCO</v>
      </c>
      <c r="F255" s="79" t="str">
        <f>MD_prices!F243</f>
        <v>RC_3T7</v>
      </c>
      <c r="G255" s="80" t="str">
        <f>MD_prices!G243</f>
        <v>RC_3T7</v>
      </c>
      <c r="H255" s="81" t="str">
        <f t="shared" ref="H255" si="238">IF($M$2="Prices in $/MWh","100-500 MWh","100,000-500,000 kWh")</f>
        <v>100-500 MWh</v>
      </c>
      <c r="I255" s="80">
        <f>(MD_prices!I243+$D$2)*IF($M$2="Prices in $/MWh",1,1/1000)</f>
        <v>78.540000000000006</v>
      </c>
      <c r="J255" s="79">
        <f>(MD_prices!J243+$D$2)*IF($M$2="Prices in $/MWh",1,1/1000)</f>
        <v>78.599999999999994</v>
      </c>
      <c r="K255" s="80">
        <f>(MD_prices!K243+$D$2)*IF($M$2="Prices in $/MWh",1,1/1000)</f>
        <v>78.25</v>
      </c>
      <c r="L255" s="79">
        <f>(MD_prices!L243+$D$2)*IF($M$2="Prices in $/MWh",1,1/1000)</f>
        <v>36.33</v>
      </c>
      <c r="M255" s="80">
        <f>(MD_prices!M243+$D$2)*IF($M$2="Prices in $/MWh",1,1/1000)</f>
        <v>36.19</v>
      </c>
      <c r="N255" s="79">
        <f>(MD_prices!N243+$D$2)*IF($M$2="Prices in $/MWh",1,1/1000)</f>
        <v>36.64</v>
      </c>
      <c r="O255" s="61"/>
    </row>
    <row r="256" spans="2:15" x14ac:dyDescent="0.25">
      <c r="B256" s="57"/>
      <c r="C256" s="82" t="str">
        <f>MD_prices!C244</f>
        <v>October-2016</v>
      </c>
      <c r="D256" s="83" t="str">
        <f>MD_prices!D244</f>
        <v>MD</v>
      </c>
      <c r="E256" s="84" t="str">
        <f>MD_prices!E244</f>
        <v>PEPCO</v>
      </c>
      <c r="F256" s="83" t="str">
        <f>MD_prices!F244</f>
        <v>RC_3T7</v>
      </c>
      <c r="G256" s="84" t="str">
        <f>MD_prices!G244</f>
        <v>RC_3T7</v>
      </c>
      <c r="H256" s="85" t="str">
        <f t="shared" ref="H256" si="239">IF($M$2="Prices in $/MWh","500-2500 MWh","500,000-2,500,000 kWh")</f>
        <v>500-2500 MWh</v>
      </c>
      <c r="I256" s="84">
        <f>(MD_prices!I244+$D$2)*IF($M$2="Prices in $/MWh",1,1/1000)</f>
        <v>77.489999999999995</v>
      </c>
      <c r="J256" s="83">
        <f>(MD_prices!J244+$D$2)*IF($M$2="Prices in $/MWh",1,1/1000)</f>
        <v>77.55</v>
      </c>
      <c r="K256" s="84">
        <f>(MD_prices!K244+$D$2)*IF($M$2="Prices in $/MWh",1,1/1000)</f>
        <v>77.2</v>
      </c>
      <c r="L256" s="83">
        <f>(MD_prices!L244+$D$2)*IF($M$2="Prices in $/MWh",1,1/1000)</f>
        <v>35.28</v>
      </c>
      <c r="M256" s="84">
        <f>(MD_prices!M244+$D$2)*IF($M$2="Prices in $/MWh",1,1/1000)</f>
        <v>35.14</v>
      </c>
      <c r="N256" s="83">
        <f>(MD_prices!N244+$D$2)*IF($M$2="Prices in $/MWh",1,1/1000)</f>
        <v>35.590000000000003</v>
      </c>
      <c r="O256" s="61"/>
    </row>
    <row r="257" spans="2:15" x14ac:dyDescent="0.25">
      <c r="B257" s="57"/>
      <c r="C257" s="74" t="str">
        <f>MD_prices!C245</f>
        <v>November-2016</v>
      </c>
      <c r="D257" s="75" t="str">
        <f>MD_prices!D245</f>
        <v>MD</v>
      </c>
      <c r="E257" s="76" t="str">
        <f>MD_prices!E245</f>
        <v>PEPCO</v>
      </c>
      <c r="F257" s="75" t="str">
        <f>MD_prices!F245</f>
        <v>RC_3T7</v>
      </c>
      <c r="G257" s="76" t="str">
        <f>MD_prices!G245</f>
        <v>RC_3T7</v>
      </c>
      <c r="H257" s="77" t="str">
        <f t="shared" ref="H257" si="240">IF($M$2="Prices in $/MWh","0-100 MWh","0-100,000 kWh")</f>
        <v>0-100 MWh</v>
      </c>
      <c r="I257" s="76">
        <f>(MD_prices!I245+$D$2)*IF($M$2="Prices in $/MWh",1,1/1000)</f>
        <v>79.87</v>
      </c>
      <c r="J257" s="75">
        <f>(MD_prices!J245+$D$2)*IF($M$2="Prices in $/MWh",1,1/1000)</f>
        <v>80.47</v>
      </c>
      <c r="K257" s="76">
        <f>(MD_prices!K245+$D$2)*IF($M$2="Prices in $/MWh",1,1/1000)</f>
        <v>79.77</v>
      </c>
      <c r="L257" s="75">
        <f>(MD_prices!L245+$D$2)*IF($M$2="Prices in $/MWh",1,1/1000)</f>
        <v>37.89</v>
      </c>
      <c r="M257" s="76">
        <f>(MD_prices!M245+$D$2)*IF($M$2="Prices in $/MWh",1,1/1000)</f>
        <v>37.97</v>
      </c>
      <c r="N257" s="75">
        <f>(MD_prices!N245+$D$2)*IF($M$2="Prices in $/MWh",1,1/1000)</f>
        <v>38.29</v>
      </c>
      <c r="O257" s="61"/>
    </row>
    <row r="258" spans="2:15" x14ac:dyDescent="0.25">
      <c r="B258" s="57"/>
      <c r="C258" s="78" t="str">
        <f>MD_prices!C246</f>
        <v>November-2016</v>
      </c>
      <c r="D258" s="79" t="str">
        <f>MD_prices!D246</f>
        <v>MD</v>
      </c>
      <c r="E258" s="80" t="str">
        <f>MD_prices!E246</f>
        <v>PEPCO</v>
      </c>
      <c r="F258" s="79" t="str">
        <f>MD_prices!F246</f>
        <v>RC_3T7</v>
      </c>
      <c r="G258" s="80" t="str">
        <f>MD_prices!G246</f>
        <v>RC_3T7</v>
      </c>
      <c r="H258" s="81" t="str">
        <f t="shared" ref="H258" si="241">IF($M$2="Prices in $/MWh","100-500 MWh","100,000-500,000 kWh")</f>
        <v>100-500 MWh</v>
      </c>
      <c r="I258" s="80">
        <f>(MD_prices!I246+$D$2)*IF($M$2="Prices in $/MWh",1,1/1000)</f>
        <v>78.27</v>
      </c>
      <c r="J258" s="79">
        <f>(MD_prices!J246+$D$2)*IF($M$2="Prices in $/MWh",1,1/1000)</f>
        <v>78.87</v>
      </c>
      <c r="K258" s="80">
        <f>(MD_prices!K246+$D$2)*IF($M$2="Prices in $/MWh",1,1/1000)</f>
        <v>78.17</v>
      </c>
      <c r="L258" s="79">
        <f>(MD_prices!L246+$D$2)*IF($M$2="Prices in $/MWh",1,1/1000)</f>
        <v>36.29</v>
      </c>
      <c r="M258" s="80">
        <f>(MD_prices!M246+$D$2)*IF($M$2="Prices in $/MWh",1,1/1000)</f>
        <v>36.369999999999997</v>
      </c>
      <c r="N258" s="79">
        <f>(MD_prices!N246+$D$2)*IF($M$2="Prices in $/MWh",1,1/1000)</f>
        <v>36.69</v>
      </c>
      <c r="O258" s="61"/>
    </row>
    <row r="259" spans="2:15" x14ac:dyDescent="0.25">
      <c r="B259" s="57"/>
      <c r="C259" s="82" t="str">
        <f>MD_prices!C247</f>
        <v>November-2016</v>
      </c>
      <c r="D259" s="83" t="str">
        <f>MD_prices!D247</f>
        <v>MD</v>
      </c>
      <c r="E259" s="84" t="str">
        <f>MD_prices!E247</f>
        <v>PEPCO</v>
      </c>
      <c r="F259" s="83" t="str">
        <f>MD_prices!F247</f>
        <v>RC_3T7</v>
      </c>
      <c r="G259" s="84" t="str">
        <f>MD_prices!G247</f>
        <v>RC_3T7</v>
      </c>
      <c r="H259" s="85" t="str">
        <f t="shared" ref="H259" si="242">IF($M$2="Prices in $/MWh","500-2500 MWh","500,000-2,500,000 kWh")</f>
        <v>500-2500 MWh</v>
      </c>
      <c r="I259" s="84">
        <f>(MD_prices!I247+$D$2)*IF($M$2="Prices in $/MWh",1,1/1000)</f>
        <v>77.22</v>
      </c>
      <c r="J259" s="83">
        <f>(MD_prices!J247+$D$2)*IF($M$2="Prices in $/MWh",1,1/1000)</f>
        <v>77.819999999999993</v>
      </c>
      <c r="K259" s="84">
        <f>(MD_prices!K247+$D$2)*IF($M$2="Prices in $/MWh",1,1/1000)</f>
        <v>77.12</v>
      </c>
      <c r="L259" s="83">
        <f>(MD_prices!L247+$D$2)*IF($M$2="Prices in $/MWh",1,1/1000)</f>
        <v>35.24</v>
      </c>
      <c r="M259" s="84">
        <f>(MD_prices!M247+$D$2)*IF($M$2="Prices in $/MWh",1,1/1000)</f>
        <v>35.32</v>
      </c>
      <c r="N259" s="83">
        <f>(MD_prices!N247+$D$2)*IF($M$2="Prices in $/MWh",1,1/1000)</f>
        <v>35.64</v>
      </c>
      <c r="O259" s="61"/>
    </row>
    <row r="260" spans="2:15" x14ac:dyDescent="0.25">
      <c r="B260" s="57"/>
      <c r="C260" s="74" t="str">
        <f>MD_prices!C248</f>
        <v>December-2016</v>
      </c>
      <c r="D260" s="75" t="str">
        <f>MD_prices!D248</f>
        <v>MD</v>
      </c>
      <c r="E260" s="76" t="str">
        <f>MD_prices!E248</f>
        <v>PEPCO</v>
      </c>
      <c r="F260" s="75" t="str">
        <f>MD_prices!F248</f>
        <v>RC_3T7</v>
      </c>
      <c r="G260" s="76" t="str">
        <f>MD_prices!G248</f>
        <v>RC_3T7</v>
      </c>
      <c r="H260" s="77" t="str">
        <f t="shared" ref="H260" si="243">IF($M$2="Prices in $/MWh","0-100 MWh","0-100,000 kWh")</f>
        <v>0-100 MWh</v>
      </c>
      <c r="I260" s="76">
        <f>(MD_prices!I248+$D$2)*IF($M$2="Prices in $/MWh",1,1/1000)</f>
        <v>79.84</v>
      </c>
      <c r="J260" s="75">
        <f>(MD_prices!J248+$D$2)*IF($M$2="Prices in $/MWh",1,1/1000)</f>
        <v>80.59</v>
      </c>
      <c r="K260" s="76">
        <f>(MD_prices!K248+$D$2)*IF($M$2="Prices in $/MWh",1,1/1000)</f>
        <v>79.760000000000005</v>
      </c>
      <c r="L260" s="75">
        <f>(MD_prices!L248+$D$2)*IF($M$2="Prices in $/MWh",1,1/1000)</f>
        <v>38.06</v>
      </c>
      <c r="M260" s="76">
        <f>(MD_prices!M248+$D$2)*IF($M$2="Prices in $/MWh",1,1/1000)</f>
        <v>38.090000000000003</v>
      </c>
      <c r="N260" s="75">
        <f>(MD_prices!N248+$D$2)*IF($M$2="Prices in $/MWh",1,1/1000)</f>
        <v>38.409999999999997</v>
      </c>
      <c r="O260" s="61"/>
    </row>
    <row r="261" spans="2:15" x14ac:dyDescent="0.25">
      <c r="B261" s="57"/>
      <c r="C261" s="78" t="str">
        <f>MD_prices!C249</f>
        <v>December-2016</v>
      </c>
      <c r="D261" s="79" t="str">
        <f>MD_prices!D249</f>
        <v>MD</v>
      </c>
      <c r="E261" s="80" t="str">
        <f>MD_prices!E249</f>
        <v>PEPCO</v>
      </c>
      <c r="F261" s="79" t="str">
        <f>MD_prices!F249</f>
        <v>RC_3T7</v>
      </c>
      <c r="G261" s="80" t="str">
        <f>MD_prices!G249</f>
        <v>RC_3T7</v>
      </c>
      <c r="H261" s="81" t="str">
        <f t="shared" ref="H261" si="244">IF($M$2="Prices in $/MWh","100-500 MWh","100,000-500,000 kWh")</f>
        <v>100-500 MWh</v>
      </c>
      <c r="I261" s="80">
        <f>(MD_prices!I249+$D$2)*IF($M$2="Prices in $/MWh",1,1/1000)</f>
        <v>78.239999999999995</v>
      </c>
      <c r="J261" s="79">
        <f>(MD_prices!J249+$D$2)*IF($M$2="Prices in $/MWh",1,1/1000)</f>
        <v>78.989999999999995</v>
      </c>
      <c r="K261" s="80">
        <f>(MD_prices!K249+$D$2)*IF($M$2="Prices in $/MWh",1,1/1000)</f>
        <v>78.16</v>
      </c>
      <c r="L261" s="79">
        <f>(MD_prices!L249+$D$2)*IF($M$2="Prices in $/MWh",1,1/1000)</f>
        <v>36.46</v>
      </c>
      <c r="M261" s="80">
        <f>(MD_prices!M249+$D$2)*IF($M$2="Prices in $/MWh",1,1/1000)</f>
        <v>36.49</v>
      </c>
      <c r="N261" s="79">
        <f>(MD_prices!N249+$D$2)*IF($M$2="Prices in $/MWh",1,1/1000)</f>
        <v>36.81</v>
      </c>
      <c r="O261" s="61"/>
    </row>
    <row r="262" spans="2:15" x14ac:dyDescent="0.25">
      <c r="B262" s="57"/>
      <c r="C262" s="82" t="str">
        <f>MD_prices!C250</f>
        <v>December-2016</v>
      </c>
      <c r="D262" s="83" t="str">
        <f>MD_prices!D250</f>
        <v>MD</v>
      </c>
      <c r="E262" s="84" t="str">
        <f>MD_prices!E250</f>
        <v>PEPCO</v>
      </c>
      <c r="F262" s="83" t="str">
        <f>MD_prices!F250</f>
        <v>RC_3T7</v>
      </c>
      <c r="G262" s="84" t="str">
        <f>MD_prices!G250</f>
        <v>RC_3T7</v>
      </c>
      <c r="H262" s="85" t="str">
        <f t="shared" ref="H262" si="245">IF($M$2="Prices in $/MWh","500-2500 MWh","500,000-2,500,000 kWh")</f>
        <v>500-2500 MWh</v>
      </c>
      <c r="I262" s="84">
        <f>(MD_prices!I250+$D$2)*IF($M$2="Prices in $/MWh",1,1/1000)</f>
        <v>77.19</v>
      </c>
      <c r="J262" s="83">
        <f>(MD_prices!J250+$D$2)*IF($M$2="Prices in $/MWh",1,1/1000)</f>
        <v>77.94</v>
      </c>
      <c r="K262" s="84">
        <f>(MD_prices!K250+$D$2)*IF($M$2="Prices in $/MWh",1,1/1000)</f>
        <v>77.11</v>
      </c>
      <c r="L262" s="83">
        <f>(MD_prices!L250+$D$2)*IF($M$2="Prices in $/MWh",1,1/1000)</f>
        <v>35.409999999999997</v>
      </c>
      <c r="M262" s="84">
        <f>(MD_prices!M250+$D$2)*IF($M$2="Prices in $/MWh",1,1/1000)</f>
        <v>35.44</v>
      </c>
      <c r="N262" s="83">
        <f>(MD_prices!N250+$D$2)*IF($M$2="Prices in $/MWh",1,1/1000)</f>
        <v>35.76</v>
      </c>
      <c r="O262" s="61"/>
    </row>
    <row r="263" spans="2:15" x14ac:dyDescent="0.25">
      <c r="B263" s="57"/>
      <c r="C263" s="74" t="str">
        <f>MD_prices!C251</f>
        <v>January-2017</v>
      </c>
      <c r="D263" s="75" t="str">
        <f>MD_prices!D251</f>
        <v>MD</v>
      </c>
      <c r="E263" s="76" t="str">
        <f>MD_prices!E251</f>
        <v>PEPCO</v>
      </c>
      <c r="F263" s="75" t="str">
        <f>MD_prices!F251</f>
        <v>RC_3T7</v>
      </c>
      <c r="G263" s="76" t="str">
        <f>MD_prices!G251</f>
        <v>RC_3T7</v>
      </c>
      <c r="H263" s="77" t="str">
        <f t="shared" ref="H263" si="246">IF($M$2="Prices in $/MWh","0-100 MWh","0-100,000 kWh")</f>
        <v>0-100 MWh</v>
      </c>
      <c r="I263" s="76">
        <f>(MD_prices!I251+$D$2)*IF($M$2="Prices in $/MWh",1,1/1000)</f>
        <v>79.650000000000006</v>
      </c>
      <c r="J263" s="75">
        <f>(MD_prices!J251+$D$2)*IF($M$2="Prices in $/MWh",1,1/1000)</f>
        <v>80.73</v>
      </c>
      <c r="K263" s="76">
        <f>(MD_prices!K251+$D$2)*IF($M$2="Prices in $/MWh",1,1/1000)</f>
        <v>79.77</v>
      </c>
      <c r="L263" s="75">
        <f>(MD_prices!L251+$D$2)*IF($M$2="Prices in $/MWh",1,1/1000)</f>
        <v>38.04</v>
      </c>
      <c r="M263" s="76">
        <f>(MD_prices!M251+$D$2)*IF($M$2="Prices in $/MWh",1,1/1000)</f>
        <v>38.340000000000003</v>
      </c>
      <c r="N263" s="75">
        <f>(MD_prices!N251+$D$2)*IF($M$2="Prices in $/MWh",1,1/1000)</f>
        <v>38.47</v>
      </c>
      <c r="O263" s="61"/>
    </row>
    <row r="264" spans="2:15" x14ac:dyDescent="0.25">
      <c r="B264" s="57"/>
      <c r="C264" s="78" t="str">
        <f>MD_prices!C252</f>
        <v>January-2017</v>
      </c>
      <c r="D264" s="79" t="str">
        <f>MD_prices!D252</f>
        <v>MD</v>
      </c>
      <c r="E264" s="80" t="str">
        <f>MD_prices!E252</f>
        <v>PEPCO</v>
      </c>
      <c r="F264" s="79" t="str">
        <f>MD_prices!F252</f>
        <v>RC_3T7</v>
      </c>
      <c r="G264" s="80" t="str">
        <f>MD_prices!G252</f>
        <v>RC_3T7</v>
      </c>
      <c r="H264" s="81" t="str">
        <f t="shared" ref="H264" si="247">IF($M$2="Prices in $/MWh","100-500 MWh","100,000-500,000 kWh")</f>
        <v>100-500 MWh</v>
      </c>
      <c r="I264" s="80">
        <f>(MD_prices!I252+$D$2)*IF($M$2="Prices in $/MWh",1,1/1000)</f>
        <v>78.05</v>
      </c>
      <c r="J264" s="79">
        <f>(MD_prices!J252+$D$2)*IF($M$2="Prices in $/MWh",1,1/1000)</f>
        <v>79.13</v>
      </c>
      <c r="K264" s="80">
        <f>(MD_prices!K252+$D$2)*IF($M$2="Prices in $/MWh",1,1/1000)</f>
        <v>78.17</v>
      </c>
      <c r="L264" s="79">
        <f>(MD_prices!L252+$D$2)*IF($M$2="Prices in $/MWh",1,1/1000)</f>
        <v>36.44</v>
      </c>
      <c r="M264" s="80">
        <f>(MD_prices!M252+$D$2)*IF($M$2="Prices in $/MWh",1,1/1000)</f>
        <v>36.74</v>
      </c>
      <c r="N264" s="79">
        <f>(MD_prices!N252+$D$2)*IF($M$2="Prices in $/MWh",1,1/1000)</f>
        <v>36.869999999999997</v>
      </c>
      <c r="O264" s="61"/>
    </row>
    <row r="265" spans="2:15" x14ac:dyDescent="0.25">
      <c r="B265" s="57"/>
      <c r="C265" s="82" t="str">
        <f>MD_prices!C253</f>
        <v>January-2017</v>
      </c>
      <c r="D265" s="83" t="str">
        <f>MD_prices!D253</f>
        <v>MD</v>
      </c>
      <c r="E265" s="84" t="str">
        <f>MD_prices!E253</f>
        <v>PEPCO</v>
      </c>
      <c r="F265" s="83" t="str">
        <f>MD_prices!F253</f>
        <v>RC_3T7</v>
      </c>
      <c r="G265" s="84" t="str">
        <f>MD_prices!G253</f>
        <v>RC_3T7</v>
      </c>
      <c r="H265" s="85" t="str">
        <f t="shared" ref="H265" si="248">IF($M$2="Prices in $/MWh","500-2500 MWh","500,000-2,500,000 kWh")</f>
        <v>500-2500 MWh</v>
      </c>
      <c r="I265" s="84">
        <f>(MD_prices!I253+$D$2)*IF($M$2="Prices in $/MWh",1,1/1000)</f>
        <v>77</v>
      </c>
      <c r="J265" s="83">
        <f>(MD_prices!J253+$D$2)*IF($M$2="Prices in $/MWh",1,1/1000)</f>
        <v>78.08</v>
      </c>
      <c r="K265" s="84">
        <f>(MD_prices!K253+$D$2)*IF($M$2="Prices in $/MWh",1,1/1000)</f>
        <v>77.12</v>
      </c>
      <c r="L265" s="83">
        <f>(MD_prices!L253+$D$2)*IF($M$2="Prices in $/MWh",1,1/1000)</f>
        <v>35.39</v>
      </c>
      <c r="M265" s="84">
        <f>(MD_prices!M253+$D$2)*IF($M$2="Prices in $/MWh",1,1/1000)</f>
        <v>35.69</v>
      </c>
      <c r="N265" s="83">
        <f>(MD_prices!N253+$D$2)*IF($M$2="Prices in $/MWh",1,1/1000)</f>
        <v>35.82</v>
      </c>
      <c r="O265" s="61"/>
    </row>
    <row r="266" spans="2:15" x14ac:dyDescent="0.25">
      <c r="B266" s="57"/>
      <c r="C266" s="74" t="str">
        <f>MD_prices!C254</f>
        <v>February-2016</v>
      </c>
      <c r="D266" s="75" t="str">
        <f>MD_prices!D254</f>
        <v>MD</v>
      </c>
      <c r="E266" s="76" t="str">
        <f>MD_prices!E254</f>
        <v>Potomac Edison</v>
      </c>
      <c r="F266" s="75" t="str">
        <f>MD_prices!F254</f>
        <v>GS</v>
      </c>
      <c r="G266" s="76" t="str">
        <f>MD_prices!G254</f>
        <v>General Service Small</v>
      </c>
      <c r="H266" s="77" t="str">
        <f t="shared" ref="H266" si="249">IF($M$2="Prices in $/MWh","0-100 MWh","0-100,000 kWh")</f>
        <v>0-100 MWh</v>
      </c>
      <c r="I266" s="76">
        <f>(MD_prices!I254+$D$2)*IF($M$2="Prices in $/MWh",1,1/1000)</f>
        <v>71</v>
      </c>
      <c r="J266" s="75">
        <f>(MD_prices!J254+$D$2)*IF($M$2="Prices in $/MWh",1,1/1000)</f>
        <v>71.36</v>
      </c>
      <c r="K266" s="76">
        <f>(MD_prices!K254+$D$2)*IF($M$2="Prices in $/MWh",1,1/1000)</f>
        <v>72.84</v>
      </c>
      <c r="L266" s="75">
        <f>(MD_prices!L254+$D$2)*IF($M$2="Prices in $/MWh",1,1/1000)</f>
        <v>30.55</v>
      </c>
      <c r="M266" s="76">
        <f>(MD_prices!M254+$D$2)*IF($M$2="Prices in $/MWh",1,1/1000)</f>
        <v>30.55</v>
      </c>
      <c r="N266" s="75">
        <f>(MD_prices!N254+$D$2)*IF($M$2="Prices in $/MWh",1,1/1000)</f>
        <v>32.369999999999997</v>
      </c>
      <c r="O266" s="61"/>
    </row>
    <row r="267" spans="2:15" x14ac:dyDescent="0.25">
      <c r="B267" s="57"/>
      <c r="C267" s="78" t="str">
        <f>MD_prices!C255</f>
        <v>February-2016</v>
      </c>
      <c r="D267" s="79" t="str">
        <f>MD_prices!D255</f>
        <v>MD</v>
      </c>
      <c r="E267" s="80" t="str">
        <f>MD_prices!E255</f>
        <v>Potomac Edison</v>
      </c>
      <c r="F267" s="79" t="str">
        <f>MD_prices!F255</f>
        <v>GS</v>
      </c>
      <c r="G267" s="80" t="str">
        <f>MD_prices!G255</f>
        <v>General Service Small</v>
      </c>
      <c r="H267" s="81" t="str">
        <f t="shared" ref="H267" si="250">IF($M$2="Prices in $/MWh","100-500 MWh","100,000-500,000 kWh")</f>
        <v>100-500 MWh</v>
      </c>
      <c r="I267" s="80">
        <f>(MD_prices!I255+$D$2)*IF($M$2="Prices in $/MWh",1,1/1000)</f>
        <v>69.400000000000006</v>
      </c>
      <c r="J267" s="79">
        <f>(MD_prices!J255+$D$2)*IF($M$2="Prices in $/MWh",1,1/1000)</f>
        <v>69.760000000000005</v>
      </c>
      <c r="K267" s="80">
        <f>(MD_prices!K255+$D$2)*IF($M$2="Prices in $/MWh",1,1/1000)</f>
        <v>71.239999999999995</v>
      </c>
      <c r="L267" s="79">
        <f>(MD_prices!L255+$D$2)*IF($M$2="Prices in $/MWh",1,1/1000)</f>
        <v>28.95</v>
      </c>
      <c r="M267" s="80">
        <f>(MD_prices!M255+$D$2)*IF($M$2="Prices in $/MWh",1,1/1000)</f>
        <v>28.95</v>
      </c>
      <c r="N267" s="79">
        <f>(MD_prices!N255+$D$2)*IF($M$2="Prices in $/MWh",1,1/1000)</f>
        <v>30.77</v>
      </c>
      <c r="O267" s="61"/>
    </row>
    <row r="268" spans="2:15" x14ac:dyDescent="0.25">
      <c r="B268" s="57"/>
      <c r="C268" s="82" t="str">
        <f>MD_prices!C256</f>
        <v>February-2016</v>
      </c>
      <c r="D268" s="83" t="str">
        <f>MD_prices!D256</f>
        <v>MD</v>
      </c>
      <c r="E268" s="84" t="str">
        <f>MD_prices!E256</f>
        <v>Potomac Edison</v>
      </c>
      <c r="F268" s="83" t="str">
        <f>MD_prices!F256</f>
        <v>GS</v>
      </c>
      <c r="G268" s="84" t="str">
        <f>MD_prices!G256</f>
        <v>General Service Small</v>
      </c>
      <c r="H268" s="85" t="str">
        <f t="shared" ref="H268" si="251">IF($M$2="Prices in $/MWh","500-2500 MWh","500,000-2,500,000 kWh")</f>
        <v>500-2500 MWh</v>
      </c>
      <c r="I268" s="84">
        <f>(MD_prices!I256+$D$2)*IF($M$2="Prices in $/MWh",1,1/1000)</f>
        <v>68.349999999999994</v>
      </c>
      <c r="J268" s="83">
        <f>(MD_prices!J256+$D$2)*IF($M$2="Prices in $/MWh",1,1/1000)</f>
        <v>68.709999999999994</v>
      </c>
      <c r="K268" s="84">
        <f>(MD_prices!K256+$D$2)*IF($M$2="Prices in $/MWh",1,1/1000)</f>
        <v>70.19</v>
      </c>
      <c r="L268" s="83">
        <f>(MD_prices!L256+$D$2)*IF($M$2="Prices in $/MWh",1,1/1000)</f>
        <v>27.9</v>
      </c>
      <c r="M268" s="84">
        <f>(MD_prices!M256+$D$2)*IF($M$2="Prices in $/MWh",1,1/1000)</f>
        <v>27.9</v>
      </c>
      <c r="N268" s="83">
        <f>(MD_prices!N256+$D$2)*IF($M$2="Prices in $/MWh",1,1/1000)</f>
        <v>29.72</v>
      </c>
      <c r="O268" s="61"/>
    </row>
    <row r="269" spans="2:15" x14ac:dyDescent="0.25">
      <c r="B269" s="57"/>
      <c r="C269" s="74" t="str">
        <f>MD_prices!C257</f>
        <v>March-2016</v>
      </c>
      <c r="D269" s="75" t="str">
        <f>MD_prices!D257</f>
        <v>MD</v>
      </c>
      <c r="E269" s="76" t="str">
        <f>MD_prices!E257</f>
        <v>Potomac Edison</v>
      </c>
      <c r="F269" s="75" t="str">
        <f>MD_prices!F257</f>
        <v>GS</v>
      </c>
      <c r="G269" s="76" t="str">
        <f>MD_prices!G257</f>
        <v>General Service Small</v>
      </c>
      <c r="H269" s="77" t="str">
        <f t="shared" ref="H269" si="252">IF($M$2="Prices in $/MWh","0-100 MWh","0-100,000 kWh")</f>
        <v>0-100 MWh</v>
      </c>
      <c r="I269" s="76">
        <f>(MD_prices!I257+$D$2)*IF($M$2="Prices in $/MWh",1,1/1000)</f>
        <v>71.27</v>
      </c>
      <c r="J269" s="75">
        <f>(MD_prices!J257+$D$2)*IF($M$2="Prices in $/MWh",1,1/1000)</f>
        <v>71.63</v>
      </c>
      <c r="K269" s="76">
        <f>(MD_prices!K257+$D$2)*IF($M$2="Prices in $/MWh",1,1/1000)</f>
        <v>73.19</v>
      </c>
      <c r="L269" s="75">
        <f>(MD_prices!L257+$D$2)*IF($M$2="Prices in $/MWh",1,1/1000)</f>
        <v>30.39</v>
      </c>
      <c r="M269" s="76">
        <f>(MD_prices!M257+$D$2)*IF($M$2="Prices in $/MWh",1,1/1000)</f>
        <v>30.94</v>
      </c>
      <c r="N269" s="75">
        <f>(MD_prices!N257+$D$2)*IF($M$2="Prices in $/MWh",1,1/1000)</f>
        <v>32.58</v>
      </c>
      <c r="O269" s="61"/>
    </row>
    <row r="270" spans="2:15" x14ac:dyDescent="0.25">
      <c r="B270" s="57"/>
      <c r="C270" s="78" t="str">
        <f>MD_prices!C258</f>
        <v>March-2016</v>
      </c>
      <c r="D270" s="79" t="str">
        <f>MD_prices!D258</f>
        <v>MD</v>
      </c>
      <c r="E270" s="80" t="str">
        <f>MD_prices!E258</f>
        <v>Potomac Edison</v>
      </c>
      <c r="F270" s="79" t="str">
        <f>MD_prices!F258</f>
        <v>GS</v>
      </c>
      <c r="G270" s="80" t="str">
        <f>MD_prices!G258</f>
        <v>General Service Small</v>
      </c>
      <c r="H270" s="81" t="str">
        <f t="shared" ref="H270" si="253">IF($M$2="Prices in $/MWh","100-500 MWh","100,000-500,000 kWh")</f>
        <v>100-500 MWh</v>
      </c>
      <c r="I270" s="80">
        <f>(MD_prices!I258+$D$2)*IF($M$2="Prices in $/MWh",1,1/1000)</f>
        <v>69.67</v>
      </c>
      <c r="J270" s="79">
        <f>(MD_prices!J258+$D$2)*IF($M$2="Prices in $/MWh",1,1/1000)</f>
        <v>70.03</v>
      </c>
      <c r="K270" s="80">
        <f>(MD_prices!K258+$D$2)*IF($M$2="Prices in $/MWh",1,1/1000)</f>
        <v>71.59</v>
      </c>
      <c r="L270" s="79">
        <f>(MD_prices!L258+$D$2)*IF($M$2="Prices in $/MWh",1,1/1000)</f>
        <v>28.79</v>
      </c>
      <c r="M270" s="80">
        <f>(MD_prices!M258+$D$2)*IF($M$2="Prices in $/MWh",1,1/1000)</f>
        <v>29.34</v>
      </c>
      <c r="N270" s="79">
        <f>(MD_prices!N258+$D$2)*IF($M$2="Prices in $/MWh",1,1/1000)</f>
        <v>30.98</v>
      </c>
      <c r="O270" s="61"/>
    </row>
    <row r="271" spans="2:15" x14ac:dyDescent="0.25">
      <c r="B271" s="57"/>
      <c r="C271" s="82" t="str">
        <f>MD_prices!C259</f>
        <v>March-2016</v>
      </c>
      <c r="D271" s="83" t="str">
        <f>MD_prices!D259</f>
        <v>MD</v>
      </c>
      <c r="E271" s="84" t="str">
        <f>MD_prices!E259</f>
        <v>Potomac Edison</v>
      </c>
      <c r="F271" s="83" t="str">
        <f>MD_prices!F259</f>
        <v>GS</v>
      </c>
      <c r="G271" s="84" t="str">
        <f>MD_prices!G259</f>
        <v>General Service Small</v>
      </c>
      <c r="H271" s="85" t="str">
        <f t="shared" ref="H271" si="254">IF($M$2="Prices in $/MWh","500-2500 MWh","500,000-2,500,000 kWh")</f>
        <v>500-2500 MWh</v>
      </c>
      <c r="I271" s="84">
        <f>(MD_prices!I259+$D$2)*IF($M$2="Prices in $/MWh",1,1/1000)</f>
        <v>68.62</v>
      </c>
      <c r="J271" s="83">
        <f>(MD_prices!J259+$D$2)*IF($M$2="Prices in $/MWh",1,1/1000)</f>
        <v>68.98</v>
      </c>
      <c r="K271" s="84">
        <f>(MD_prices!K259+$D$2)*IF($M$2="Prices in $/MWh",1,1/1000)</f>
        <v>70.540000000000006</v>
      </c>
      <c r="L271" s="83">
        <f>(MD_prices!L259+$D$2)*IF($M$2="Prices in $/MWh",1,1/1000)</f>
        <v>27.74</v>
      </c>
      <c r="M271" s="84">
        <f>(MD_prices!M259+$D$2)*IF($M$2="Prices in $/MWh",1,1/1000)</f>
        <v>28.29</v>
      </c>
      <c r="N271" s="83">
        <f>(MD_prices!N259+$D$2)*IF($M$2="Prices in $/MWh",1,1/1000)</f>
        <v>29.93</v>
      </c>
      <c r="O271" s="61"/>
    </row>
    <row r="272" spans="2:15" x14ac:dyDescent="0.25">
      <c r="B272" s="57"/>
      <c r="C272" s="74" t="str">
        <f>MD_prices!C260</f>
        <v>April-2016</v>
      </c>
      <c r="D272" s="75" t="str">
        <f>MD_prices!D260</f>
        <v>MD</v>
      </c>
      <c r="E272" s="76" t="str">
        <f>MD_prices!E260</f>
        <v>Potomac Edison</v>
      </c>
      <c r="F272" s="75" t="str">
        <f>MD_prices!F260</f>
        <v>GS</v>
      </c>
      <c r="G272" s="76" t="str">
        <f>MD_prices!G260</f>
        <v>General Service Small</v>
      </c>
      <c r="H272" s="77" t="str">
        <f t="shared" ref="H272" si="255">IF($M$2="Prices in $/MWh","0-100 MWh","0-100,000 kWh")</f>
        <v>0-100 MWh</v>
      </c>
      <c r="I272" s="76">
        <f>(MD_prices!I260+$D$2)*IF($M$2="Prices in $/MWh",1,1/1000)</f>
        <v>71.290000000000006</v>
      </c>
      <c r="J272" s="75">
        <f>(MD_prices!J260+$D$2)*IF($M$2="Prices in $/MWh",1,1/1000)</f>
        <v>72.02</v>
      </c>
      <c r="K272" s="76">
        <f>(MD_prices!K260+$D$2)*IF($M$2="Prices in $/MWh",1,1/1000)</f>
        <v>73.44</v>
      </c>
      <c r="L272" s="75">
        <f>(MD_prices!L260+$D$2)*IF($M$2="Prices in $/MWh",1,1/1000)</f>
        <v>30.17</v>
      </c>
      <c r="M272" s="76">
        <f>(MD_prices!M260+$D$2)*IF($M$2="Prices in $/MWh",1,1/1000)</f>
        <v>31.53</v>
      </c>
      <c r="N272" s="75">
        <f>(MD_prices!N260+$D$2)*IF($M$2="Prices in $/MWh",1,1/1000)</f>
        <v>32.79</v>
      </c>
      <c r="O272" s="61"/>
    </row>
    <row r="273" spans="2:15" x14ac:dyDescent="0.25">
      <c r="B273" s="57"/>
      <c r="C273" s="78" t="str">
        <f>MD_prices!C261</f>
        <v>April-2016</v>
      </c>
      <c r="D273" s="79" t="str">
        <f>MD_prices!D261</f>
        <v>MD</v>
      </c>
      <c r="E273" s="80" t="str">
        <f>MD_prices!E261</f>
        <v>Potomac Edison</v>
      </c>
      <c r="F273" s="79" t="str">
        <f>MD_prices!F261</f>
        <v>GS</v>
      </c>
      <c r="G273" s="80" t="str">
        <f>MD_prices!G261</f>
        <v>General Service Small</v>
      </c>
      <c r="H273" s="81" t="str">
        <f t="shared" ref="H273" si="256">IF($M$2="Prices in $/MWh","100-500 MWh","100,000-500,000 kWh")</f>
        <v>100-500 MWh</v>
      </c>
      <c r="I273" s="80">
        <f>(MD_prices!I261+$D$2)*IF($M$2="Prices in $/MWh",1,1/1000)</f>
        <v>69.69</v>
      </c>
      <c r="J273" s="79">
        <f>(MD_prices!J261+$D$2)*IF($M$2="Prices in $/MWh",1,1/1000)</f>
        <v>70.42</v>
      </c>
      <c r="K273" s="80">
        <f>(MD_prices!K261+$D$2)*IF($M$2="Prices in $/MWh",1,1/1000)</f>
        <v>71.84</v>
      </c>
      <c r="L273" s="79">
        <f>(MD_prices!L261+$D$2)*IF($M$2="Prices in $/MWh",1,1/1000)</f>
        <v>28.57</v>
      </c>
      <c r="M273" s="80">
        <f>(MD_prices!M261+$D$2)*IF($M$2="Prices in $/MWh",1,1/1000)</f>
        <v>29.93</v>
      </c>
      <c r="N273" s="79">
        <f>(MD_prices!N261+$D$2)*IF($M$2="Prices in $/MWh",1,1/1000)</f>
        <v>31.19</v>
      </c>
      <c r="O273" s="61"/>
    </row>
    <row r="274" spans="2:15" x14ac:dyDescent="0.25">
      <c r="B274" s="57"/>
      <c r="C274" s="82" t="str">
        <f>MD_prices!C262</f>
        <v>April-2016</v>
      </c>
      <c r="D274" s="83" t="str">
        <f>MD_prices!D262</f>
        <v>MD</v>
      </c>
      <c r="E274" s="84" t="str">
        <f>MD_prices!E262</f>
        <v>Potomac Edison</v>
      </c>
      <c r="F274" s="83" t="str">
        <f>MD_prices!F262</f>
        <v>GS</v>
      </c>
      <c r="G274" s="84" t="str">
        <f>MD_prices!G262</f>
        <v>General Service Small</v>
      </c>
      <c r="H274" s="85" t="str">
        <f t="shared" ref="H274" si="257">IF($M$2="Prices in $/MWh","500-2500 MWh","500,000-2,500,000 kWh")</f>
        <v>500-2500 MWh</v>
      </c>
      <c r="I274" s="84">
        <f>(MD_prices!I262+$D$2)*IF($M$2="Prices in $/MWh",1,1/1000)</f>
        <v>68.64</v>
      </c>
      <c r="J274" s="83">
        <f>(MD_prices!J262+$D$2)*IF($M$2="Prices in $/MWh",1,1/1000)</f>
        <v>69.37</v>
      </c>
      <c r="K274" s="84">
        <f>(MD_prices!K262+$D$2)*IF($M$2="Prices in $/MWh",1,1/1000)</f>
        <v>70.790000000000006</v>
      </c>
      <c r="L274" s="83">
        <f>(MD_prices!L262+$D$2)*IF($M$2="Prices in $/MWh",1,1/1000)</f>
        <v>27.52</v>
      </c>
      <c r="M274" s="84">
        <f>(MD_prices!M262+$D$2)*IF($M$2="Prices in $/MWh",1,1/1000)</f>
        <v>28.88</v>
      </c>
      <c r="N274" s="83">
        <f>(MD_prices!N262+$D$2)*IF($M$2="Prices in $/MWh",1,1/1000)</f>
        <v>30.14</v>
      </c>
      <c r="O274" s="61"/>
    </row>
    <row r="275" spans="2:15" x14ac:dyDescent="0.25">
      <c r="B275" s="57"/>
      <c r="C275" s="74" t="str">
        <f>MD_prices!C263</f>
        <v>May-2016</v>
      </c>
      <c r="D275" s="75" t="str">
        <f>MD_prices!D263</f>
        <v>MD</v>
      </c>
      <c r="E275" s="76" t="str">
        <f>MD_prices!E263</f>
        <v>Potomac Edison</v>
      </c>
      <c r="F275" s="75" t="str">
        <f>MD_prices!F263</f>
        <v>GS</v>
      </c>
      <c r="G275" s="76" t="str">
        <f>MD_prices!G263</f>
        <v>General Service Small</v>
      </c>
      <c r="H275" s="77" t="str">
        <f t="shared" ref="H275" si="258">IF($M$2="Prices in $/MWh","0-100 MWh","0-100,000 kWh")</f>
        <v>0-100 MWh</v>
      </c>
      <c r="I275" s="76">
        <f>(MD_prices!I263+$D$2)*IF($M$2="Prices in $/MWh",1,1/1000)</f>
        <v>71.209999999999994</v>
      </c>
      <c r="J275" s="75">
        <f>(MD_prices!J263+$D$2)*IF($M$2="Prices in $/MWh",1,1/1000)</f>
        <v>72.62</v>
      </c>
      <c r="K275" s="76">
        <f>(MD_prices!K263+$D$2)*IF($M$2="Prices in $/MWh",1,1/1000)</f>
        <v>73.62</v>
      </c>
      <c r="L275" s="75">
        <f>(MD_prices!L263+$D$2)*IF($M$2="Prices in $/MWh",1,1/1000)</f>
        <v>29.98</v>
      </c>
      <c r="M275" s="76">
        <f>(MD_prices!M263+$D$2)*IF($M$2="Prices in $/MWh",1,1/1000)</f>
        <v>32.17</v>
      </c>
      <c r="N275" s="75">
        <f>(MD_prices!N263+$D$2)*IF($M$2="Prices in $/MWh",1,1/1000)</f>
        <v>32.979999999999997</v>
      </c>
      <c r="O275" s="61"/>
    </row>
    <row r="276" spans="2:15" x14ac:dyDescent="0.25">
      <c r="B276" s="57"/>
      <c r="C276" s="78" t="str">
        <f>MD_prices!C264</f>
        <v>May-2016</v>
      </c>
      <c r="D276" s="79" t="str">
        <f>MD_prices!D264</f>
        <v>MD</v>
      </c>
      <c r="E276" s="80" t="str">
        <f>MD_prices!E264</f>
        <v>Potomac Edison</v>
      </c>
      <c r="F276" s="79" t="str">
        <f>MD_prices!F264</f>
        <v>GS</v>
      </c>
      <c r="G276" s="80" t="str">
        <f>MD_prices!G264</f>
        <v>General Service Small</v>
      </c>
      <c r="H276" s="81" t="str">
        <f t="shared" ref="H276" si="259">IF($M$2="Prices in $/MWh","100-500 MWh","100,000-500,000 kWh")</f>
        <v>100-500 MWh</v>
      </c>
      <c r="I276" s="80">
        <f>(MD_prices!I264+$D$2)*IF($M$2="Prices in $/MWh",1,1/1000)</f>
        <v>69.61</v>
      </c>
      <c r="J276" s="79">
        <f>(MD_prices!J264+$D$2)*IF($M$2="Prices in $/MWh",1,1/1000)</f>
        <v>71.02</v>
      </c>
      <c r="K276" s="80">
        <f>(MD_prices!K264+$D$2)*IF($M$2="Prices in $/MWh",1,1/1000)</f>
        <v>72.02</v>
      </c>
      <c r="L276" s="79">
        <f>(MD_prices!L264+$D$2)*IF($M$2="Prices in $/MWh",1,1/1000)</f>
        <v>28.38</v>
      </c>
      <c r="M276" s="80">
        <f>(MD_prices!M264+$D$2)*IF($M$2="Prices in $/MWh",1,1/1000)</f>
        <v>30.57</v>
      </c>
      <c r="N276" s="79">
        <f>(MD_prices!N264+$D$2)*IF($M$2="Prices in $/MWh",1,1/1000)</f>
        <v>31.38</v>
      </c>
      <c r="O276" s="61"/>
    </row>
    <row r="277" spans="2:15" x14ac:dyDescent="0.25">
      <c r="B277" s="57"/>
      <c r="C277" s="82" t="str">
        <f>MD_prices!C265</f>
        <v>May-2016</v>
      </c>
      <c r="D277" s="83" t="str">
        <f>MD_prices!D265</f>
        <v>MD</v>
      </c>
      <c r="E277" s="84" t="str">
        <f>MD_prices!E265</f>
        <v>Potomac Edison</v>
      </c>
      <c r="F277" s="83" t="str">
        <f>MD_prices!F265</f>
        <v>GS</v>
      </c>
      <c r="G277" s="84" t="str">
        <f>MD_prices!G265</f>
        <v>General Service Small</v>
      </c>
      <c r="H277" s="85" t="str">
        <f t="shared" ref="H277" si="260">IF($M$2="Prices in $/MWh","500-2500 MWh","500,000-2,500,000 kWh")</f>
        <v>500-2500 MWh</v>
      </c>
      <c r="I277" s="84">
        <f>(MD_prices!I265+$D$2)*IF($M$2="Prices in $/MWh",1,1/1000)</f>
        <v>68.56</v>
      </c>
      <c r="J277" s="83">
        <f>(MD_prices!J265+$D$2)*IF($M$2="Prices in $/MWh",1,1/1000)</f>
        <v>69.97</v>
      </c>
      <c r="K277" s="84">
        <f>(MD_prices!K265+$D$2)*IF($M$2="Prices in $/MWh",1,1/1000)</f>
        <v>70.97</v>
      </c>
      <c r="L277" s="83">
        <f>(MD_prices!L265+$D$2)*IF($M$2="Prices in $/MWh",1,1/1000)</f>
        <v>27.33</v>
      </c>
      <c r="M277" s="84">
        <f>(MD_prices!M265+$D$2)*IF($M$2="Prices in $/MWh",1,1/1000)</f>
        <v>29.52</v>
      </c>
      <c r="N277" s="83">
        <f>(MD_prices!N265+$D$2)*IF($M$2="Prices in $/MWh",1,1/1000)</f>
        <v>30.33</v>
      </c>
      <c r="O277" s="61"/>
    </row>
    <row r="278" spans="2:15" x14ac:dyDescent="0.25">
      <c r="B278" s="57"/>
      <c r="C278" s="74" t="str">
        <f>MD_prices!C266</f>
        <v>June-2016</v>
      </c>
      <c r="D278" s="75" t="str">
        <f>MD_prices!D266</f>
        <v>MD</v>
      </c>
      <c r="E278" s="76" t="str">
        <f>MD_prices!E266</f>
        <v>Potomac Edison</v>
      </c>
      <c r="F278" s="75" t="str">
        <f>MD_prices!F266</f>
        <v>GS</v>
      </c>
      <c r="G278" s="76" t="str">
        <f>MD_prices!G266</f>
        <v>General Service Small</v>
      </c>
      <c r="H278" s="77" t="str">
        <f t="shared" ref="H278" si="261">IF($M$2="Prices in $/MWh","0-100 MWh","0-100,000 kWh")</f>
        <v>0-100 MWh</v>
      </c>
      <c r="I278" s="76">
        <f>(MD_prices!I266+$D$2)*IF($M$2="Prices in $/MWh",1,1/1000)</f>
        <v>70.989999999999995</v>
      </c>
      <c r="J278" s="75">
        <f>(MD_prices!J266+$D$2)*IF($M$2="Prices in $/MWh",1,1/1000)</f>
        <v>73.23</v>
      </c>
      <c r="K278" s="76">
        <f>(MD_prices!K266+$D$2)*IF($M$2="Prices in $/MWh",1,1/1000)</f>
        <v>73.8</v>
      </c>
      <c r="L278" s="75">
        <f>(MD_prices!L266+$D$2)*IF($M$2="Prices in $/MWh",1,1/1000)</f>
        <v>29.73</v>
      </c>
      <c r="M278" s="76">
        <f>(MD_prices!M266+$D$2)*IF($M$2="Prices in $/MWh",1,1/1000)</f>
        <v>32.770000000000003</v>
      </c>
      <c r="N278" s="75">
        <f>(MD_prices!N266+$D$2)*IF($M$2="Prices in $/MWh",1,1/1000)</f>
        <v>33.15</v>
      </c>
      <c r="O278" s="61"/>
    </row>
    <row r="279" spans="2:15" x14ac:dyDescent="0.25">
      <c r="B279" s="57"/>
      <c r="C279" s="78" t="str">
        <f>MD_prices!C267</f>
        <v>June-2016</v>
      </c>
      <c r="D279" s="79" t="str">
        <f>MD_prices!D267</f>
        <v>MD</v>
      </c>
      <c r="E279" s="80" t="str">
        <f>MD_prices!E267</f>
        <v>Potomac Edison</v>
      </c>
      <c r="F279" s="79" t="str">
        <f>MD_prices!F267</f>
        <v>GS</v>
      </c>
      <c r="G279" s="80" t="str">
        <f>MD_prices!G267</f>
        <v>General Service Small</v>
      </c>
      <c r="H279" s="81" t="str">
        <f t="shared" ref="H279" si="262">IF($M$2="Prices in $/MWh","100-500 MWh","100,000-500,000 kWh")</f>
        <v>100-500 MWh</v>
      </c>
      <c r="I279" s="80">
        <f>(MD_prices!I267+$D$2)*IF($M$2="Prices in $/MWh",1,1/1000)</f>
        <v>69.39</v>
      </c>
      <c r="J279" s="79">
        <f>(MD_prices!J267+$D$2)*IF($M$2="Prices in $/MWh",1,1/1000)</f>
        <v>71.63</v>
      </c>
      <c r="K279" s="80">
        <f>(MD_prices!K267+$D$2)*IF($M$2="Prices in $/MWh",1,1/1000)</f>
        <v>72.2</v>
      </c>
      <c r="L279" s="79">
        <f>(MD_prices!L267+$D$2)*IF($M$2="Prices in $/MWh",1,1/1000)</f>
        <v>28.13</v>
      </c>
      <c r="M279" s="80">
        <f>(MD_prices!M267+$D$2)*IF($M$2="Prices in $/MWh",1,1/1000)</f>
        <v>31.17</v>
      </c>
      <c r="N279" s="79">
        <f>(MD_prices!N267+$D$2)*IF($M$2="Prices in $/MWh",1,1/1000)</f>
        <v>31.55</v>
      </c>
      <c r="O279" s="61"/>
    </row>
    <row r="280" spans="2:15" x14ac:dyDescent="0.25">
      <c r="B280" s="57"/>
      <c r="C280" s="82" t="str">
        <f>MD_prices!C268</f>
        <v>June-2016</v>
      </c>
      <c r="D280" s="83" t="str">
        <f>MD_prices!D268</f>
        <v>MD</v>
      </c>
      <c r="E280" s="84" t="str">
        <f>MD_prices!E268</f>
        <v>Potomac Edison</v>
      </c>
      <c r="F280" s="83" t="str">
        <f>MD_prices!F268</f>
        <v>GS</v>
      </c>
      <c r="G280" s="84" t="str">
        <f>MD_prices!G268</f>
        <v>General Service Small</v>
      </c>
      <c r="H280" s="85" t="str">
        <f t="shared" ref="H280" si="263">IF($M$2="Prices in $/MWh","500-2500 MWh","500,000-2,500,000 kWh")</f>
        <v>500-2500 MWh</v>
      </c>
      <c r="I280" s="84">
        <f>(MD_prices!I268+$D$2)*IF($M$2="Prices in $/MWh",1,1/1000)</f>
        <v>68.34</v>
      </c>
      <c r="J280" s="83">
        <f>(MD_prices!J268+$D$2)*IF($M$2="Prices in $/MWh",1,1/1000)</f>
        <v>70.58</v>
      </c>
      <c r="K280" s="84">
        <f>(MD_prices!K268+$D$2)*IF($M$2="Prices in $/MWh",1,1/1000)</f>
        <v>71.150000000000006</v>
      </c>
      <c r="L280" s="83">
        <f>(MD_prices!L268+$D$2)*IF($M$2="Prices in $/MWh",1,1/1000)</f>
        <v>27.08</v>
      </c>
      <c r="M280" s="84">
        <f>(MD_prices!M268+$D$2)*IF($M$2="Prices in $/MWh",1,1/1000)</f>
        <v>30.12</v>
      </c>
      <c r="N280" s="83">
        <f>(MD_prices!N268+$D$2)*IF($M$2="Prices in $/MWh",1,1/1000)</f>
        <v>30.5</v>
      </c>
      <c r="O280" s="61"/>
    </row>
    <row r="281" spans="2:15" x14ac:dyDescent="0.25">
      <c r="B281" s="57"/>
      <c r="C281" s="74" t="str">
        <f>MD_prices!C269</f>
        <v>July-2016</v>
      </c>
      <c r="D281" s="75" t="str">
        <f>MD_prices!D269</f>
        <v>MD</v>
      </c>
      <c r="E281" s="76" t="str">
        <f>MD_prices!E269</f>
        <v>Potomac Edison</v>
      </c>
      <c r="F281" s="75" t="str">
        <f>MD_prices!F269</f>
        <v>GS</v>
      </c>
      <c r="G281" s="76" t="str">
        <f>MD_prices!G269</f>
        <v>General Service Small</v>
      </c>
      <c r="H281" s="77" t="str">
        <f t="shared" ref="H281" si="264">IF($M$2="Prices in $/MWh","0-100 MWh","0-100,000 kWh")</f>
        <v>0-100 MWh</v>
      </c>
      <c r="I281" s="76">
        <f>(MD_prices!I269+$D$2)*IF($M$2="Prices in $/MWh",1,1/1000)</f>
        <v>71.540000000000006</v>
      </c>
      <c r="J281" s="75">
        <f>(MD_prices!J269+$D$2)*IF($M$2="Prices in $/MWh",1,1/1000)</f>
        <v>73.31</v>
      </c>
      <c r="K281" s="76">
        <f>(MD_prices!K269+$D$2)*IF($M$2="Prices in $/MWh",1,1/1000)</f>
        <v>74.150000000000006</v>
      </c>
      <c r="L281" s="75">
        <f>(MD_prices!L269+$D$2)*IF($M$2="Prices in $/MWh",1,1/1000)</f>
        <v>30.29</v>
      </c>
      <c r="M281" s="76">
        <f>(MD_prices!M269+$D$2)*IF($M$2="Prices in $/MWh",1,1/1000)</f>
        <v>33.090000000000003</v>
      </c>
      <c r="N281" s="75">
        <f>(MD_prices!N269+$D$2)*IF($M$2="Prices in $/MWh",1,1/1000)</f>
        <v>33.56</v>
      </c>
      <c r="O281" s="61"/>
    </row>
    <row r="282" spans="2:15" x14ac:dyDescent="0.25">
      <c r="B282" s="57"/>
      <c r="C282" s="78" t="str">
        <f>MD_prices!C270</f>
        <v>July-2016</v>
      </c>
      <c r="D282" s="79" t="str">
        <f>MD_prices!D270</f>
        <v>MD</v>
      </c>
      <c r="E282" s="80" t="str">
        <f>MD_prices!E270</f>
        <v>Potomac Edison</v>
      </c>
      <c r="F282" s="79" t="str">
        <f>MD_prices!F270</f>
        <v>GS</v>
      </c>
      <c r="G282" s="80" t="str">
        <f>MD_prices!G270</f>
        <v>General Service Small</v>
      </c>
      <c r="H282" s="81" t="str">
        <f t="shared" ref="H282" si="265">IF($M$2="Prices in $/MWh","100-500 MWh","100,000-500,000 kWh")</f>
        <v>100-500 MWh</v>
      </c>
      <c r="I282" s="80">
        <f>(MD_prices!I270+$D$2)*IF($M$2="Prices in $/MWh",1,1/1000)</f>
        <v>69.94</v>
      </c>
      <c r="J282" s="79">
        <f>(MD_prices!J270+$D$2)*IF($M$2="Prices in $/MWh",1,1/1000)</f>
        <v>71.709999999999994</v>
      </c>
      <c r="K282" s="80">
        <f>(MD_prices!K270+$D$2)*IF($M$2="Prices in $/MWh",1,1/1000)</f>
        <v>72.55</v>
      </c>
      <c r="L282" s="79">
        <f>(MD_prices!L270+$D$2)*IF($M$2="Prices in $/MWh",1,1/1000)</f>
        <v>28.69</v>
      </c>
      <c r="M282" s="80">
        <f>(MD_prices!M270+$D$2)*IF($M$2="Prices in $/MWh",1,1/1000)</f>
        <v>31.49</v>
      </c>
      <c r="N282" s="79">
        <f>(MD_prices!N270+$D$2)*IF($M$2="Prices in $/MWh",1,1/1000)</f>
        <v>31.96</v>
      </c>
      <c r="O282" s="61"/>
    </row>
    <row r="283" spans="2:15" x14ac:dyDescent="0.25">
      <c r="B283" s="57"/>
      <c r="C283" s="82" t="str">
        <f>MD_prices!C271</f>
        <v>July-2016</v>
      </c>
      <c r="D283" s="83" t="str">
        <f>MD_prices!D271</f>
        <v>MD</v>
      </c>
      <c r="E283" s="84" t="str">
        <f>MD_prices!E271</f>
        <v>Potomac Edison</v>
      </c>
      <c r="F283" s="83" t="str">
        <f>MD_prices!F271</f>
        <v>GS</v>
      </c>
      <c r="G283" s="84" t="str">
        <f>MD_prices!G271</f>
        <v>General Service Small</v>
      </c>
      <c r="H283" s="85" t="str">
        <f t="shared" ref="H283" si="266">IF($M$2="Prices in $/MWh","500-2500 MWh","500,000-2,500,000 kWh")</f>
        <v>500-2500 MWh</v>
      </c>
      <c r="I283" s="84">
        <f>(MD_prices!I271+$D$2)*IF($M$2="Prices in $/MWh",1,1/1000)</f>
        <v>68.89</v>
      </c>
      <c r="J283" s="83">
        <f>(MD_prices!J271+$D$2)*IF($M$2="Prices in $/MWh",1,1/1000)</f>
        <v>70.66</v>
      </c>
      <c r="K283" s="84">
        <f>(MD_prices!K271+$D$2)*IF($M$2="Prices in $/MWh",1,1/1000)</f>
        <v>71.5</v>
      </c>
      <c r="L283" s="83">
        <f>(MD_prices!L271+$D$2)*IF($M$2="Prices in $/MWh",1,1/1000)</f>
        <v>27.64</v>
      </c>
      <c r="M283" s="84">
        <f>(MD_prices!M271+$D$2)*IF($M$2="Prices in $/MWh",1,1/1000)</f>
        <v>30.44</v>
      </c>
      <c r="N283" s="83">
        <f>(MD_prices!N271+$D$2)*IF($M$2="Prices in $/MWh",1,1/1000)</f>
        <v>30.91</v>
      </c>
      <c r="O283" s="61"/>
    </row>
    <row r="284" spans="2:15" x14ac:dyDescent="0.25">
      <c r="B284" s="57"/>
      <c r="C284" s="74" t="str">
        <f>MD_prices!C272</f>
        <v>August-2016</v>
      </c>
      <c r="D284" s="75" t="str">
        <f>MD_prices!D272</f>
        <v>MD</v>
      </c>
      <c r="E284" s="76" t="str">
        <f>MD_prices!E272</f>
        <v>Potomac Edison</v>
      </c>
      <c r="F284" s="75" t="str">
        <f>MD_prices!F272</f>
        <v>GS</v>
      </c>
      <c r="G284" s="76" t="str">
        <f>MD_prices!G272</f>
        <v>General Service Small</v>
      </c>
      <c r="H284" s="77" t="str">
        <f t="shared" ref="H284" si="267">IF($M$2="Prices in $/MWh","0-100 MWh","0-100,000 kWh")</f>
        <v>0-100 MWh</v>
      </c>
      <c r="I284" s="76">
        <f>(MD_prices!I272+$D$2)*IF($M$2="Prices in $/MWh",1,1/1000)</f>
        <v>72.03</v>
      </c>
      <c r="J284" s="75">
        <f>(MD_prices!J272+$D$2)*IF($M$2="Prices in $/MWh",1,1/1000)</f>
        <v>73.86</v>
      </c>
      <c r="K284" s="76">
        <f>(MD_prices!K272+$D$2)*IF($M$2="Prices in $/MWh",1,1/1000)</f>
        <v>74.540000000000006</v>
      </c>
      <c r="L284" s="75">
        <f>(MD_prices!L272+$D$2)*IF($M$2="Prices in $/MWh",1,1/1000)</f>
        <v>30.87</v>
      </c>
      <c r="M284" s="76">
        <f>(MD_prices!M272+$D$2)*IF($M$2="Prices in $/MWh",1,1/1000)</f>
        <v>33.28</v>
      </c>
      <c r="N284" s="75">
        <f>(MD_prices!N272+$D$2)*IF($M$2="Prices in $/MWh",1,1/1000)</f>
        <v>33.96</v>
      </c>
      <c r="O284" s="61"/>
    </row>
    <row r="285" spans="2:15" x14ac:dyDescent="0.25">
      <c r="B285" s="57"/>
      <c r="C285" s="78" t="str">
        <f>MD_prices!C273</f>
        <v>August-2016</v>
      </c>
      <c r="D285" s="79" t="str">
        <f>MD_prices!D273</f>
        <v>MD</v>
      </c>
      <c r="E285" s="80" t="str">
        <f>MD_prices!E273</f>
        <v>Potomac Edison</v>
      </c>
      <c r="F285" s="79" t="str">
        <f>MD_prices!F273</f>
        <v>GS</v>
      </c>
      <c r="G285" s="80" t="str">
        <f>MD_prices!G273</f>
        <v>General Service Small</v>
      </c>
      <c r="H285" s="81" t="str">
        <f t="shared" ref="H285" si="268">IF($M$2="Prices in $/MWh","100-500 MWh","100,000-500,000 kWh")</f>
        <v>100-500 MWh</v>
      </c>
      <c r="I285" s="80">
        <f>(MD_prices!I273+$D$2)*IF($M$2="Prices in $/MWh",1,1/1000)</f>
        <v>70.430000000000007</v>
      </c>
      <c r="J285" s="79">
        <f>(MD_prices!J273+$D$2)*IF($M$2="Prices in $/MWh",1,1/1000)</f>
        <v>72.260000000000005</v>
      </c>
      <c r="K285" s="80">
        <f>(MD_prices!K273+$D$2)*IF($M$2="Prices in $/MWh",1,1/1000)</f>
        <v>72.94</v>
      </c>
      <c r="L285" s="79">
        <f>(MD_prices!L273+$D$2)*IF($M$2="Prices in $/MWh",1,1/1000)</f>
        <v>29.27</v>
      </c>
      <c r="M285" s="80">
        <f>(MD_prices!M273+$D$2)*IF($M$2="Prices in $/MWh",1,1/1000)</f>
        <v>31.68</v>
      </c>
      <c r="N285" s="79">
        <f>(MD_prices!N273+$D$2)*IF($M$2="Prices in $/MWh",1,1/1000)</f>
        <v>32.36</v>
      </c>
      <c r="O285" s="61"/>
    </row>
    <row r="286" spans="2:15" x14ac:dyDescent="0.25">
      <c r="B286" s="57"/>
      <c r="C286" s="82" t="str">
        <f>MD_prices!C274</f>
        <v>August-2016</v>
      </c>
      <c r="D286" s="83" t="str">
        <f>MD_prices!D274</f>
        <v>MD</v>
      </c>
      <c r="E286" s="84" t="str">
        <f>MD_prices!E274</f>
        <v>Potomac Edison</v>
      </c>
      <c r="F286" s="83" t="str">
        <f>MD_prices!F274</f>
        <v>GS</v>
      </c>
      <c r="G286" s="84" t="str">
        <f>MD_prices!G274</f>
        <v>General Service Small</v>
      </c>
      <c r="H286" s="85" t="str">
        <f t="shared" ref="H286" si="269">IF($M$2="Prices in $/MWh","500-2500 MWh","500,000-2,500,000 kWh")</f>
        <v>500-2500 MWh</v>
      </c>
      <c r="I286" s="84">
        <f>(MD_prices!I274+$D$2)*IF($M$2="Prices in $/MWh",1,1/1000)</f>
        <v>69.38</v>
      </c>
      <c r="J286" s="83">
        <f>(MD_prices!J274+$D$2)*IF($M$2="Prices in $/MWh",1,1/1000)</f>
        <v>71.209999999999994</v>
      </c>
      <c r="K286" s="84">
        <f>(MD_prices!K274+$D$2)*IF($M$2="Prices in $/MWh",1,1/1000)</f>
        <v>71.89</v>
      </c>
      <c r="L286" s="83">
        <f>(MD_prices!L274+$D$2)*IF($M$2="Prices in $/MWh",1,1/1000)</f>
        <v>28.22</v>
      </c>
      <c r="M286" s="84">
        <f>(MD_prices!M274+$D$2)*IF($M$2="Prices in $/MWh",1,1/1000)</f>
        <v>30.63</v>
      </c>
      <c r="N286" s="83">
        <f>(MD_prices!N274+$D$2)*IF($M$2="Prices in $/MWh",1,1/1000)</f>
        <v>31.31</v>
      </c>
      <c r="O286" s="61"/>
    </row>
    <row r="287" spans="2:15" x14ac:dyDescent="0.25">
      <c r="B287" s="57"/>
      <c r="C287" s="74" t="str">
        <f>MD_prices!C275</f>
        <v>September-2016</v>
      </c>
      <c r="D287" s="75" t="str">
        <f>MD_prices!D275</f>
        <v>MD</v>
      </c>
      <c r="E287" s="76" t="str">
        <f>MD_prices!E275</f>
        <v>Potomac Edison</v>
      </c>
      <c r="F287" s="75" t="str">
        <f>MD_prices!F275</f>
        <v>GS</v>
      </c>
      <c r="G287" s="76" t="str">
        <f>MD_prices!G275</f>
        <v>General Service Small</v>
      </c>
      <c r="H287" s="77" t="str">
        <f t="shared" ref="H287" si="270">IF($M$2="Prices in $/MWh","0-100 MWh","0-100,000 kWh")</f>
        <v>0-100 MWh</v>
      </c>
      <c r="I287" s="76">
        <f>(MD_prices!I275+$D$2)*IF($M$2="Prices in $/MWh",1,1/1000)</f>
        <v>72.459999999999994</v>
      </c>
      <c r="J287" s="75">
        <f>(MD_prices!J275+$D$2)*IF($M$2="Prices in $/MWh",1,1/1000)</f>
        <v>74.34</v>
      </c>
      <c r="K287" s="76">
        <f>(MD_prices!K275+$D$2)*IF($M$2="Prices in $/MWh",1,1/1000)</f>
        <v>74.849999999999994</v>
      </c>
      <c r="L287" s="75">
        <f>(MD_prices!L275+$D$2)*IF($M$2="Prices in $/MWh",1,1/1000)</f>
        <v>31.42</v>
      </c>
      <c r="M287" s="76">
        <f>(MD_prices!M275+$D$2)*IF($M$2="Prices in $/MWh",1,1/1000)</f>
        <v>33.53</v>
      </c>
      <c r="N287" s="75">
        <f>(MD_prices!N275+$D$2)*IF($M$2="Prices in $/MWh",1,1/1000)</f>
        <v>34.35</v>
      </c>
      <c r="O287" s="61"/>
    </row>
    <row r="288" spans="2:15" x14ac:dyDescent="0.25">
      <c r="B288" s="57"/>
      <c r="C288" s="78" t="str">
        <f>MD_prices!C276</f>
        <v>September-2016</v>
      </c>
      <c r="D288" s="79" t="str">
        <f>MD_prices!D276</f>
        <v>MD</v>
      </c>
      <c r="E288" s="80" t="str">
        <f>MD_prices!E276</f>
        <v>Potomac Edison</v>
      </c>
      <c r="F288" s="79" t="str">
        <f>MD_prices!F276</f>
        <v>GS</v>
      </c>
      <c r="G288" s="80" t="str">
        <f>MD_prices!G276</f>
        <v>General Service Small</v>
      </c>
      <c r="H288" s="81" t="str">
        <f t="shared" ref="H288" si="271">IF($M$2="Prices in $/MWh","100-500 MWh","100,000-500,000 kWh")</f>
        <v>100-500 MWh</v>
      </c>
      <c r="I288" s="80">
        <f>(MD_prices!I276+$D$2)*IF($M$2="Prices in $/MWh",1,1/1000)</f>
        <v>70.86</v>
      </c>
      <c r="J288" s="79">
        <f>(MD_prices!J276+$D$2)*IF($M$2="Prices in $/MWh",1,1/1000)</f>
        <v>72.739999999999995</v>
      </c>
      <c r="K288" s="80">
        <f>(MD_prices!K276+$D$2)*IF($M$2="Prices in $/MWh",1,1/1000)</f>
        <v>73.25</v>
      </c>
      <c r="L288" s="79">
        <f>(MD_prices!L276+$D$2)*IF($M$2="Prices in $/MWh",1,1/1000)</f>
        <v>29.82</v>
      </c>
      <c r="M288" s="80">
        <f>(MD_prices!M276+$D$2)*IF($M$2="Prices in $/MWh",1,1/1000)</f>
        <v>31.93</v>
      </c>
      <c r="N288" s="79">
        <f>(MD_prices!N276+$D$2)*IF($M$2="Prices in $/MWh",1,1/1000)</f>
        <v>32.75</v>
      </c>
      <c r="O288" s="61"/>
    </row>
    <row r="289" spans="2:15" x14ac:dyDescent="0.25">
      <c r="B289" s="57"/>
      <c r="C289" s="82" t="str">
        <f>MD_prices!C277</f>
        <v>September-2016</v>
      </c>
      <c r="D289" s="83" t="str">
        <f>MD_prices!D277</f>
        <v>MD</v>
      </c>
      <c r="E289" s="84" t="str">
        <f>MD_prices!E277</f>
        <v>Potomac Edison</v>
      </c>
      <c r="F289" s="83" t="str">
        <f>MD_prices!F277</f>
        <v>GS</v>
      </c>
      <c r="G289" s="84" t="str">
        <f>MD_prices!G277</f>
        <v>General Service Small</v>
      </c>
      <c r="H289" s="85" t="str">
        <f t="shared" ref="H289" si="272">IF($M$2="Prices in $/MWh","500-2500 MWh","500,000-2,500,000 kWh")</f>
        <v>500-2500 MWh</v>
      </c>
      <c r="I289" s="84">
        <f>(MD_prices!I277+$D$2)*IF($M$2="Prices in $/MWh",1,1/1000)</f>
        <v>69.81</v>
      </c>
      <c r="J289" s="83">
        <f>(MD_prices!J277+$D$2)*IF($M$2="Prices in $/MWh",1,1/1000)</f>
        <v>71.69</v>
      </c>
      <c r="K289" s="84">
        <f>(MD_prices!K277+$D$2)*IF($M$2="Prices in $/MWh",1,1/1000)</f>
        <v>72.2</v>
      </c>
      <c r="L289" s="83">
        <f>(MD_prices!L277+$D$2)*IF($M$2="Prices in $/MWh",1,1/1000)</f>
        <v>28.77</v>
      </c>
      <c r="M289" s="84">
        <f>(MD_prices!M277+$D$2)*IF($M$2="Prices in $/MWh",1,1/1000)</f>
        <v>30.88</v>
      </c>
      <c r="N289" s="83">
        <f>(MD_prices!N277+$D$2)*IF($M$2="Prices in $/MWh",1,1/1000)</f>
        <v>31.7</v>
      </c>
      <c r="O289" s="61"/>
    </row>
    <row r="290" spans="2:15" x14ac:dyDescent="0.25">
      <c r="B290" s="57"/>
      <c r="C290" s="74" t="str">
        <f>MD_prices!C278</f>
        <v>October-2016</v>
      </c>
      <c r="D290" s="75" t="str">
        <f>MD_prices!D278</f>
        <v>MD</v>
      </c>
      <c r="E290" s="76" t="str">
        <f>MD_prices!E278</f>
        <v>Potomac Edison</v>
      </c>
      <c r="F290" s="75" t="str">
        <f>MD_prices!F278</f>
        <v>GS</v>
      </c>
      <c r="G290" s="76" t="str">
        <f>MD_prices!G278</f>
        <v>General Service Small</v>
      </c>
      <c r="H290" s="77" t="str">
        <f t="shared" ref="H290" si="273">IF($M$2="Prices in $/MWh","0-100 MWh","0-100,000 kWh")</f>
        <v>0-100 MWh</v>
      </c>
      <c r="I290" s="76">
        <f>(MD_prices!I278+$D$2)*IF($M$2="Prices in $/MWh",1,1/1000)</f>
        <v>72.92</v>
      </c>
      <c r="J290" s="75">
        <f>(MD_prices!J278+$D$2)*IF($M$2="Prices in $/MWh",1,1/1000)</f>
        <v>74.540000000000006</v>
      </c>
      <c r="K290" s="76">
        <f>(MD_prices!K278+$D$2)*IF($M$2="Prices in $/MWh",1,1/1000)</f>
        <v>75.150000000000006</v>
      </c>
      <c r="L290" s="75">
        <f>(MD_prices!L278+$D$2)*IF($M$2="Prices in $/MWh",1,1/1000)</f>
        <v>31.95</v>
      </c>
      <c r="M290" s="76">
        <f>(MD_prices!M278+$D$2)*IF($M$2="Prices in $/MWh",1,1/1000)</f>
        <v>33.5</v>
      </c>
      <c r="N290" s="75">
        <f>(MD_prices!N278+$D$2)*IF($M$2="Prices in $/MWh",1,1/1000)</f>
        <v>34.74</v>
      </c>
      <c r="O290" s="61"/>
    </row>
    <row r="291" spans="2:15" x14ac:dyDescent="0.25">
      <c r="B291" s="57"/>
      <c r="C291" s="78" t="str">
        <f>MD_prices!C279</f>
        <v>October-2016</v>
      </c>
      <c r="D291" s="79" t="str">
        <f>MD_prices!D279</f>
        <v>MD</v>
      </c>
      <c r="E291" s="80" t="str">
        <f>MD_prices!E279</f>
        <v>Potomac Edison</v>
      </c>
      <c r="F291" s="79" t="str">
        <f>MD_prices!F279</f>
        <v>GS</v>
      </c>
      <c r="G291" s="80" t="str">
        <f>MD_prices!G279</f>
        <v>General Service Small</v>
      </c>
      <c r="H291" s="81" t="str">
        <f t="shared" ref="H291" si="274">IF($M$2="Prices in $/MWh","100-500 MWh","100,000-500,000 kWh")</f>
        <v>100-500 MWh</v>
      </c>
      <c r="I291" s="80">
        <f>(MD_prices!I279+$D$2)*IF($M$2="Prices in $/MWh",1,1/1000)</f>
        <v>71.319999999999993</v>
      </c>
      <c r="J291" s="79">
        <f>(MD_prices!J279+$D$2)*IF($M$2="Prices in $/MWh",1,1/1000)</f>
        <v>72.94</v>
      </c>
      <c r="K291" s="80">
        <f>(MD_prices!K279+$D$2)*IF($M$2="Prices in $/MWh",1,1/1000)</f>
        <v>73.55</v>
      </c>
      <c r="L291" s="79">
        <f>(MD_prices!L279+$D$2)*IF($M$2="Prices in $/MWh",1,1/1000)</f>
        <v>30.35</v>
      </c>
      <c r="M291" s="80">
        <f>(MD_prices!M279+$D$2)*IF($M$2="Prices in $/MWh",1,1/1000)</f>
        <v>31.9</v>
      </c>
      <c r="N291" s="79">
        <f>(MD_prices!N279+$D$2)*IF($M$2="Prices in $/MWh",1,1/1000)</f>
        <v>33.14</v>
      </c>
      <c r="O291" s="61"/>
    </row>
    <row r="292" spans="2:15" x14ac:dyDescent="0.25">
      <c r="B292" s="57"/>
      <c r="C292" s="82" t="str">
        <f>MD_prices!C280</f>
        <v>October-2016</v>
      </c>
      <c r="D292" s="83" t="str">
        <f>MD_prices!D280</f>
        <v>MD</v>
      </c>
      <c r="E292" s="84" t="str">
        <f>MD_prices!E280</f>
        <v>Potomac Edison</v>
      </c>
      <c r="F292" s="83" t="str">
        <f>MD_prices!F280</f>
        <v>GS</v>
      </c>
      <c r="G292" s="84" t="str">
        <f>MD_prices!G280</f>
        <v>General Service Small</v>
      </c>
      <c r="H292" s="85" t="str">
        <f t="shared" ref="H292" si="275">IF($M$2="Prices in $/MWh","500-2500 MWh","500,000-2,500,000 kWh")</f>
        <v>500-2500 MWh</v>
      </c>
      <c r="I292" s="84">
        <f>(MD_prices!I280+$D$2)*IF($M$2="Prices in $/MWh",1,1/1000)</f>
        <v>70.27</v>
      </c>
      <c r="J292" s="83">
        <f>(MD_prices!J280+$D$2)*IF($M$2="Prices in $/MWh",1,1/1000)</f>
        <v>71.89</v>
      </c>
      <c r="K292" s="84">
        <f>(MD_prices!K280+$D$2)*IF($M$2="Prices in $/MWh",1,1/1000)</f>
        <v>72.5</v>
      </c>
      <c r="L292" s="83">
        <f>(MD_prices!L280+$D$2)*IF($M$2="Prices in $/MWh",1,1/1000)</f>
        <v>29.3</v>
      </c>
      <c r="M292" s="84">
        <f>(MD_prices!M280+$D$2)*IF($M$2="Prices in $/MWh",1,1/1000)</f>
        <v>30.85</v>
      </c>
      <c r="N292" s="83">
        <f>(MD_prices!N280+$D$2)*IF($M$2="Prices in $/MWh",1,1/1000)</f>
        <v>32.090000000000003</v>
      </c>
      <c r="O292" s="61"/>
    </row>
    <row r="293" spans="2:15" x14ac:dyDescent="0.25">
      <c r="B293" s="57"/>
      <c r="C293" s="74" t="str">
        <f>MD_prices!C281</f>
        <v>November-2016</v>
      </c>
      <c r="D293" s="75" t="str">
        <f>MD_prices!D281</f>
        <v>MD</v>
      </c>
      <c r="E293" s="76" t="str">
        <f>MD_prices!E281</f>
        <v>Potomac Edison</v>
      </c>
      <c r="F293" s="75" t="str">
        <f>MD_prices!F281</f>
        <v>GS</v>
      </c>
      <c r="G293" s="76" t="str">
        <f>MD_prices!G281</f>
        <v>General Service Small</v>
      </c>
      <c r="H293" s="77" t="str">
        <f t="shared" ref="H293" si="276">IF($M$2="Prices in $/MWh","0-100 MWh","0-100,000 kWh")</f>
        <v>0-100 MWh</v>
      </c>
      <c r="I293" s="76">
        <f>(MD_prices!I281+$D$2)*IF($M$2="Prices in $/MWh",1,1/1000)</f>
        <v>73.37</v>
      </c>
      <c r="J293" s="75">
        <f>(MD_prices!J281+$D$2)*IF($M$2="Prices in $/MWh",1,1/1000)</f>
        <v>74.430000000000007</v>
      </c>
      <c r="K293" s="76">
        <f>(MD_prices!K281+$D$2)*IF($M$2="Prices in $/MWh",1,1/1000)</f>
        <v>75.44</v>
      </c>
      <c r="L293" s="75">
        <f>(MD_prices!L281+$D$2)*IF($M$2="Prices in $/MWh",1,1/1000)</f>
        <v>32.479999999999997</v>
      </c>
      <c r="M293" s="76">
        <f>(MD_prices!M281+$D$2)*IF($M$2="Prices in $/MWh",1,1/1000)</f>
        <v>33.43</v>
      </c>
      <c r="N293" s="75">
        <f>(MD_prices!N281+$D$2)*IF($M$2="Prices in $/MWh",1,1/1000)</f>
        <v>35.08</v>
      </c>
      <c r="O293" s="61"/>
    </row>
    <row r="294" spans="2:15" x14ac:dyDescent="0.25">
      <c r="B294" s="57"/>
      <c r="C294" s="78" t="str">
        <f>MD_prices!C282</f>
        <v>November-2016</v>
      </c>
      <c r="D294" s="79" t="str">
        <f>MD_prices!D282</f>
        <v>MD</v>
      </c>
      <c r="E294" s="80" t="str">
        <f>MD_prices!E282</f>
        <v>Potomac Edison</v>
      </c>
      <c r="F294" s="79" t="str">
        <f>MD_prices!F282</f>
        <v>GS</v>
      </c>
      <c r="G294" s="80" t="str">
        <f>MD_prices!G282</f>
        <v>General Service Small</v>
      </c>
      <c r="H294" s="81" t="str">
        <f t="shared" ref="H294" si="277">IF($M$2="Prices in $/MWh","100-500 MWh","100,000-500,000 kWh")</f>
        <v>100-500 MWh</v>
      </c>
      <c r="I294" s="80">
        <f>(MD_prices!I282+$D$2)*IF($M$2="Prices in $/MWh",1,1/1000)</f>
        <v>71.77</v>
      </c>
      <c r="J294" s="79">
        <f>(MD_prices!J282+$D$2)*IF($M$2="Prices in $/MWh",1,1/1000)</f>
        <v>72.83</v>
      </c>
      <c r="K294" s="80">
        <f>(MD_prices!K282+$D$2)*IF($M$2="Prices in $/MWh",1,1/1000)</f>
        <v>73.84</v>
      </c>
      <c r="L294" s="79">
        <f>(MD_prices!L282+$D$2)*IF($M$2="Prices in $/MWh",1,1/1000)</f>
        <v>30.88</v>
      </c>
      <c r="M294" s="80">
        <f>(MD_prices!M282+$D$2)*IF($M$2="Prices in $/MWh",1,1/1000)</f>
        <v>31.83</v>
      </c>
      <c r="N294" s="79">
        <f>(MD_prices!N282+$D$2)*IF($M$2="Prices in $/MWh",1,1/1000)</f>
        <v>33.479999999999997</v>
      </c>
      <c r="O294" s="61"/>
    </row>
    <row r="295" spans="2:15" x14ac:dyDescent="0.25">
      <c r="B295" s="57"/>
      <c r="C295" s="82" t="str">
        <f>MD_prices!C283</f>
        <v>November-2016</v>
      </c>
      <c r="D295" s="83" t="str">
        <f>MD_prices!D283</f>
        <v>MD</v>
      </c>
      <c r="E295" s="84" t="str">
        <f>MD_prices!E283</f>
        <v>Potomac Edison</v>
      </c>
      <c r="F295" s="83" t="str">
        <f>MD_prices!F283</f>
        <v>GS</v>
      </c>
      <c r="G295" s="84" t="str">
        <f>MD_prices!G283</f>
        <v>General Service Small</v>
      </c>
      <c r="H295" s="85" t="str">
        <f t="shared" ref="H295" si="278">IF($M$2="Prices in $/MWh","500-2500 MWh","500,000-2,500,000 kWh")</f>
        <v>500-2500 MWh</v>
      </c>
      <c r="I295" s="84">
        <f>(MD_prices!I283+$D$2)*IF($M$2="Prices in $/MWh",1,1/1000)</f>
        <v>70.72</v>
      </c>
      <c r="J295" s="83">
        <f>(MD_prices!J283+$D$2)*IF($M$2="Prices in $/MWh",1,1/1000)</f>
        <v>71.78</v>
      </c>
      <c r="K295" s="84">
        <f>(MD_prices!K283+$D$2)*IF($M$2="Prices in $/MWh",1,1/1000)</f>
        <v>72.790000000000006</v>
      </c>
      <c r="L295" s="83">
        <f>(MD_prices!L283+$D$2)*IF($M$2="Prices in $/MWh",1,1/1000)</f>
        <v>29.83</v>
      </c>
      <c r="M295" s="84">
        <f>(MD_prices!M283+$D$2)*IF($M$2="Prices in $/MWh",1,1/1000)</f>
        <v>30.78</v>
      </c>
      <c r="N295" s="83">
        <f>(MD_prices!N283+$D$2)*IF($M$2="Prices in $/MWh",1,1/1000)</f>
        <v>32.43</v>
      </c>
      <c r="O295" s="61"/>
    </row>
    <row r="296" spans="2:15" x14ac:dyDescent="0.25">
      <c r="B296" s="57"/>
      <c r="C296" s="74" t="str">
        <f>MD_prices!C284</f>
        <v>December-2016</v>
      </c>
      <c r="D296" s="75" t="str">
        <f>MD_prices!D284</f>
        <v>MD</v>
      </c>
      <c r="E296" s="76" t="str">
        <f>MD_prices!E284</f>
        <v>Potomac Edison</v>
      </c>
      <c r="F296" s="75" t="str">
        <f>MD_prices!F284</f>
        <v>GS</v>
      </c>
      <c r="G296" s="76" t="str">
        <f>MD_prices!G284</f>
        <v>General Service Small</v>
      </c>
      <c r="H296" s="77" t="str">
        <f t="shared" ref="H296" si="279">IF($M$2="Prices in $/MWh","0-100 MWh","0-100,000 kWh")</f>
        <v>0-100 MWh</v>
      </c>
      <c r="I296" s="76">
        <f>(MD_prices!I284+$D$2)*IF($M$2="Prices in $/MWh",1,1/1000)</f>
        <v>73.790000000000006</v>
      </c>
      <c r="J296" s="75">
        <f>(MD_prices!J284+$D$2)*IF($M$2="Prices in $/MWh",1,1/1000)</f>
        <v>74.31</v>
      </c>
      <c r="K296" s="76">
        <f>(MD_prices!K284+$D$2)*IF($M$2="Prices in $/MWh",1,1/1000)</f>
        <v>75.72</v>
      </c>
      <c r="L296" s="75">
        <f>(MD_prices!L284+$D$2)*IF($M$2="Prices in $/MWh",1,1/1000)</f>
        <v>32.99</v>
      </c>
      <c r="M296" s="76">
        <f>(MD_prices!M284+$D$2)*IF($M$2="Prices in $/MWh",1,1/1000)</f>
        <v>33.4</v>
      </c>
      <c r="N296" s="75">
        <f>(MD_prices!N284+$D$2)*IF($M$2="Prices in $/MWh",1,1/1000)</f>
        <v>35.43</v>
      </c>
      <c r="O296" s="61"/>
    </row>
    <row r="297" spans="2:15" x14ac:dyDescent="0.25">
      <c r="B297" s="57"/>
      <c r="C297" s="78" t="str">
        <f>MD_prices!C285</f>
        <v>December-2016</v>
      </c>
      <c r="D297" s="79" t="str">
        <f>MD_prices!D285</f>
        <v>MD</v>
      </c>
      <c r="E297" s="80" t="str">
        <f>MD_prices!E285</f>
        <v>Potomac Edison</v>
      </c>
      <c r="F297" s="79" t="str">
        <f>MD_prices!F285</f>
        <v>GS</v>
      </c>
      <c r="G297" s="80" t="str">
        <f>MD_prices!G285</f>
        <v>General Service Small</v>
      </c>
      <c r="H297" s="81" t="str">
        <f t="shared" ref="H297" si="280">IF($M$2="Prices in $/MWh","100-500 MWh","100,000-500,000 kWh")</f>
        <v>100-500 MWh</v>
      </c>
      <c r="I297" s="80">
        <f>(MD_prices!I285+$D$2)*IF($M$2="Prices in $/MWh",1,1/1000)</f>
        <v>72.19</v>
      </c>
      <c r="J297" s="79">
        <f>(MD_prices!J285+$D$2)*IF($M$2="Prices in $/MWh",1,1/1000)</f>
        <v>72.709999999999994</v>
      </c>
      <c r="K297" s="80">
        <f>(MD_prices!K285+$D$2)*IF($M$2="Prices in $/MWh",1,1/1000)</f>
        <v>74.12</v>
      </c>
      <c r="L297" s="79">
        <f>(MD_prices!L285+$D$2)*IF($M$2="Prices in $/MWh",1,1/1000)</f>
        <v>31.39</v>
      </c>
      <c r="M297" s="80">
        <f>(MD_prices!M285+$D$2)*IF($M$2="Prices in $/MWh",1,1/1000)</f>
        <v>31.8</v>
      </c>
      <c r="N297" s="79">
        <f>(MD_prices!N285+$D$2)*IF($M$2="Prices in $/MWh",1,1/1000)</f>
        <v>33.83</v>
      </c>
      <c r="O297" s="61"/>
    </row>
    <row r="298" spans="2:15" x14ac:dyDescent="0.25">
      <c r="B298" s="57"/>
      <c r="C298" s="82" t="str">
        <f>MD_prices!C286</f>
        <v>December-2016</v>
      </c>
      <c r="D298" s="83" t="str">
        <f>MD_prices!D286</f>
        <v>MD</v>
      </c>
      <c r="E298" s="84" t="str">
        <f>MD_prices!E286</f>
        <v>Potomac Edison</v>
      </c>
      <c r="F298" s="83" t="str">
        <f>MD_prices!F286</f>
        <v>GS</v>
      </c>
      <c r="G298" s="84" t="str">
        <f>MD_prices!G286</f>
        <v>General Service Small</v>
      </c>
      <c r="H298" s="85" t="str">
        <f t="shared" ref="H298" si="281">IF($M$2="Prices in $/MWh","500-2500 MWh","500,000-2,500,000 kWh")</f>
        <v>500-2500 MWh</v>
      </c>
      <c r="I298" s="84">
        <f>(MD_prices!I286+$D$2)*IF($M$2="Prices in $/MWh",1,1/1000)</f>
        <v>71.14</v>
      </c>
      <c r="J298" s="83">
        <f>(MD_prices!J286+$D$2)*IF($M$2="Prices in $/MWh",1,1/1000)</f>
        <v>71.66</v>
      </c>
      <c r="K298" s="84">
        <f>(MD_prices!K286+$D$2)*IF($M$2="Prices in $/MWh",1,1/1000)</f>
        <v>73.069999999999993</v>
      </c>
      <c r="L298" s="83">
        <f>(MD_prices!L286+$D$2)*IF($M$2="Prices in $/MWh",1,1/1000)</f>
        <v>30.34</v>
      </c>
      <c r="M298" s="84">
        <f>(MD_prices!M286+$D$2)*IF($M$2="Prices in $/MWh",1,1/1000)</f>
        <v>30.75</v>
      </c>
      <c r="N298" s="83">
        <f>(MD_prices!N286+$D$2)*IF($M$2="Prices in $/MWh",1,1/1000)</f>
        <v>32.78</v>
      </c>
      <c r="O298" s="61"/>
    </row>
    <row r="299" spans="2:15" x14ac:dyDescent="0.25">
      <c r="B299" s="57"/>
      <c r="C299" s="74" t="str">
        <f>MD_prices!C287</f>
        <v>January-2017</v>
      </c>
      <c r="D299" s="75" t="str">
        <f>MD_prices!D287</f>
        <v>MD</v>
      </c>
      <c r="E299" s="76" t="str">
        <f>MD_prices!E287</f>
        <v>Potomac Edison</v>
      </c>
      <c r="F299" s="75" t="str">
        <f>MD_prices!F287</f>
        <v>GS</v>
      </c>
      <c r="G299" s="76" t="str">
        <f>MD_prices!G287</f>
        <v>General Service Small</v>
      </c>
      <c r="H299" s="77" t="str">
        <f t="shared" ref="H299" si="282">IF($M$2="Prices in $/MWh","0-100 MWh","0-100,000 kWh")</f>
        <v>0-100 MWh</v>
      </c>
      <c r="I299" s="76">
        <f>(MD_prices!I287+$D$2)*IF($M$2="Prices in $/MWh",1,1/1000)</f>
        <v>74.23</v>
      </c>
      <c r="J299" s="75">
        <f>(MD_prices!J287+$D$2)*IF($M$2="Prices in $/MWh",1,1/1000)</f>
        <v>74.97</v>
      </c>
      <c r="K299" s="76">
        <f>(MD_prices!K287+$D$2)*IF($M$2="Prices in $/MWh",1,1/1000)</f>
        <v>76.069999999999993</v>
      </c>
      <c r="L299" s="75">
        <f>(MD_prices!L287+$D$2)*IF($M$2="Prices in $/MWh",1,1/1000)</f>
        <v>33.58</v>
      </c>
      <c r="M299" s="76">
        <f>(MD_prices!M287+$D$2)*IF($M$2="Prices in $/MWh",1,1/1000)</f>
        <v>34.01</v>
      </c>
      <c r="N299" s="75">
        <f>(MD_prices!N287+$D$2)*IF($M$2="Prices in $/MWh",1,1/1000)</f>
        <v>35.83</v>
      </c>
      <c r="O299" s="61"/>
    </row>
    <row r="300" spans="2:15" x14ac:dyDescent="0.25">
      <c r="B300" s="57"/>
      <c r="C300" s="78" t="str">
        <f>MD_prices!C288</f>
        <v>January-2017</v>
      </c>
      <c r="D300" s="79" t="str">
        <f>MD_prices!D288</f>
        <v>MD</v>
      </c>
      <c r="E300" s="80" t="str">
        <f>MD_prices!E288</f>
        <v>Potomac Edison</v>
      </c>
      <c r="F300" s="79" t="str">
        <f>MD_prices!F288</f>
        <v>GS</v>
      </c>
      <c r="G300" s="80" t="str">
        <f>MD_prices!G288</f>
        <v>General Service Small</v>
      </c>
      <c r="H300" s="81" t="str">
        <f t="shared" ref="H300" si="283">IF($M$2="Prices in $/MWh","100-500 MWh","100,000-500,000 kWh")</f>
        <v>100-500 MWh</v>
      </c>
      <c r="I300" s="80">
        <f>(MD_prices!I288+$D$2)*IF($M$2="Prices in $/MWh",1,1/1000)</f>
        <v>72.63</v>
      </c>
      <c r="J300" s="79">
        <f>(MD_prices!J288+$D$2)*IF($M$2="Prices in $/MWh",1,1/1000)</f>
        <v>73.37</v>
      </c>
      <c r="K300" s="80">
        <f>(MD_prices!K288+$D$2)*IF($M$2="Prices in $/MWh",1,1/1000)</f>
        <v>74.47</v>
      </c>
      <c r="L300" s="79">
        <f>(MD_prices!L288+$D$2)*IF($M$2="Prices in $/MWh",1,1/1000)</f>
        <v>31.98</v>
      </c>
      <c r="M300" s="80">
        <f>(MD_prices!M288+$D$2)*IF($M$2="Prices in $/MWh",1,1/1000)</f>
        <v>32.409999999999997</v>
      </c>
      <c r="N300" s="79">
        <f>(MD_prices!N288+$D$2)*IF($M$2="Prices in $/MWh",1,1/1000)</f>
        <v>34.229999999999997</v>
      </c>
      <c r="O300" s="61"/>
    </row>
    <row r="301" spans="2:15" ht="15.75" thickBot="1" x14ac:dyDescent="0.3">
      <c r="B301" s="57"/>
      <c r="C301" s="82" t="str">
        <f>MD_prices!C289</f>
        <v>January-2017</v>
      </c>
      <c r="D301" s="83" t="str">
        <f>MD_prices!D289</f>
        <v>MD</v>
      </c>
      <c r="E301" s="84" t="str">
        <f>MD_prices!E289</f>
        <v>Potomac Edison</v>
      </c>
      <c r="F301" s="83" t="str">
        <f>MD_prices!F289</f>
        <v>GS</v>
      </c>
      <c r="G301" s="84" t="str">
        <f>MD_prices!G289</f>
        <v>General Service Small</v>
      </c>
      <c r="H301" s="85" t="str">
        <f t="shared" ref="H301" si="284">IF($M$2="Prices in $/MWh","500-2500 MWh","500,000-2,500,000 kWh")</f>
        <v>500-2500 MWh</v>
      </c>
      <c r="I301" s="84">
        <f>(MD_prices!I289+$D$2)*IF($M$2="Prices in $/MWh",1,1/1000)</f>
        <v>71.58</v>
      </c>
      <c r="J301" s="83">
        <f>(MD_prices!J289+$D$2)*IF($M$2="Prices in $/MWh",1,1/1000)</f>
        <v>72.319999999999993</v>
      </c>
      <c r="K301" s="84">
        <f>(MD_prices!K289+$D$2)*IF($M$2="Prices in $/MWh",1,1/1000)</f>
        <v>73.42</v>
      </c>
      <c r="L301" s="83">
        <f>(MD_prices!L289+$D$2)*IF($M$2="Prices in $/MWh",1,1/1000)</f>
        <v>30.93</v>
      </c>
      <c r="M301" s="84">
        <f>(MD_prices!M289+$D$2)*IF($M$2="Prices in $/MWh",1,1/1000)</f>
        <v>31.36</v>
      </c>
      <c r="N301" s="83">
        <f>(MD_prices!N289+$D$2)*IF($M$2="Prices in $/MWh",1,1/1000)</f>
        <v>33.18</v>
      </c>
      <c r="O301" s="61"/>
    </row>
    <row r="302" spans="2:15" s="2" customFormat="1" ht="7.5" customHeight="1" thickBot="1" x14ac:dyDescent="0.2">
      <c r="B302" s="5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7"/>
    </row>
    <row r="303" spans="2:15" s="2" customFormat="1" ht="15.75" x14ac:dyDescent="0.25">
      <c r="B303" s="5"/>
      <c r="C303" s="102" t="s">
        <v>650</v>
      </c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4"/>
      <c r="O303" s="7"/>
    </row>
    <row r="304" spans="2:15" s="2" customFormat="1" ht="10.5" x14ac:dyDescent="0.15">
      <c r="B304" s="5"/>
      <c r="C304" s="5" t="s">
        <v>651</v>
      </c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7"/>
      <c r="O304" s="7"/>
    </row>
    <row r="305" spans="2:15" s="2" customFormat="1" ht="10.5" x14ac:dyDescent="0.15">
      <c r="B305" s="5"/>
      <c r="C305" s="5" t="s">
        <v>652</v>
      </c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7"/>
      <c r="O305" s="7"/>
    </row>
    <row r="306" spans="2:15" s="2" customFormat="1" ht="10.5" x14ac:dyDescent="0.15">
      <c r="B306" s="5"/>
      <c r="C306" s="5" t="s">
        <v>653</v>
      </c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7"/>
      <c r="O306" s="7"/>
    </row>
    <row r="307" spans="2:15" s="2" customFormat="1" ht="10.5" x14ac:dyDescent="0.15">
      <c r="B307" s="5"/>
      <c r="C307" s="5" t="s">
        <v>654</v>
      </c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7"/>
      <c r="O307" s="7"/>
    </row>
    <row r="308" spans="2:15" s="2" customFormat="1" ht="10.5" x14ac:dyDescent="0.15">
      <c r="B308" s="5"/>
      <c r="C308" s="5" t="s">
        <v>655</v>
      </c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7"/>
      <c r="O308" s="7"/>
    </row>
    <row r="309" spans="2:15" s="2" customFormat="1" ht="10.5" x14ac:dyDescent="0.15">
      <c r="B309" s="5"/>
      <c r="C309" s="5" t="s">
        <v>656</v>
      </c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7"/>
      <c r="O309" s="7"/>
    </row>
    <row r="310" spans="2:15" s="2" customFormat="1" ht="11.25" thickBot="1" x14ac:dyDescent="0.2">
      <c r="B310" s="5"/>
      <c r="C310" s="5" t="s">
        <v>657</v>
      </c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7"/>
      <c r="O310" s="7"/>
    </row>
    <row r="311" spans="2:15" s="2" customFormat="1" ht="15.75" thickBot="1" x14ac:dyDescent="0.3">
      <c r="B311" s="5"/>
      <c r="C311" s="8" t="s">
        <v>17</v>
      </c>
      <c r="D311" s="9"/>
      <c r="E311" s="9"/>
      <c r="F311" s="9"/>
      <c r="G311" s="9"/>
      <c r="H311" s="9"/>
      <c r="I311" s="9"/>
      <c r="J311" s="9"/>
      <c r="K311" s="9"/>
      <c r="L311" s="9"/>
      <c r="M311" s="9"/>
      <c r="N311" s="10"/>
      <c r="O311" s="7"/>
    </row>
    <row r="312" spans="2:15" ht="15.75" thickBot="1" x14ac:dyDescent="0.3">
      <c r="B312" s="86"/>
      <c r="C312" s="87"/>
      <c r="D312" s="87"/>
      <c r="E312" s="87"/>
      <c r="F312" s="87"/>
      <c r="G312" s="87"/>
      <c r="H312" s="87"/>
      <c r="I312" s="87"/>
      <c r="J312" s="87"/>
      <c r="K312" s="87"/>
      <c r="L312" s="87"/>
      <c r="M312" s="87"/>
      <c r="N312" s="87"/>
      <c r="O312" s="88"/>
    </row>
  </sheetData>
  <sheetProtection autoFilter="0"/>
  <autoFilter ref="C13:H301"/>
  <mergeCells count="3">
    <mergeCell ref="C6:F7"/>
    <mergeCell ref="C8:C9"/>
    <mergeCell ref="M2:N2"/>
  </mergeCells>
  <dataValidations count="2">
    <dataValidation type="list" allowBlank="1" showInputMessage="1" showErrorMessage="1" sqref="M2:N2">
      <formula1>"Prices in $/MWh,Prices in $/kWh"</formula1>
    </dataValidation>
    <dataValidation type="decimal" allowBlank="1" showErrorMessage="1" errorTitle="Invalid Input" error="Please enter numerical value." promptTitle="Broker Fee" sqref="D2">
      <formula1>-99</formula1>
      <formula2>99</formula2>
    </dataValidation>
  </dataValidations>
  <printOptions horizontalCentered="1"/>
  <pageMargins left="0.5" right="0.45" top="0.5" bottom="0.5" header="0.3" footer="0.3"/>
  <pageSetup scale="67" fitToHeight="7" orientation="portrait" r:id="rId1"/>
  <headerFooter>
    <oddFooter>Page &amp;P of &amp;N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1261"/>
  <sheetViews>
    <sheetView workbookViewId="0">
      <selection activeCell="A2" sqref="A2"/>
    </sheetView>
  </sheetViews>
  <sheetFormatPr defaultRowHeight="10.5" x14ac:dyDescent="0.15"/>
  <cols>
    <col min="3" max="3" width="9.83203125" style="123" bestFit="1" customWidth="1"/>
  </cols>
  <sheetData>
    <row r="1" spans="1:14" x14ac:dyDescent="0.15">
      <c r="C1" s="123" t="s">
        <v>1093</v>
      </c>
      <c r="D1" t="s">
        <v>2</v>
      </c>
      <c r="E1" t="s">
        <v>3</v>
      </c>
      <c r="F1" t="s">
        <v>1094</v>
      </c>
      <c r="G1" t="s">
        <v>89</v>
      </c>
      <c r="H1" t="s">
        <v>1095</v>
      </c>
      <c r="I1" t="s">
        <v>1096</v>
      </c>
      <c r="J1" t="s">
        <v>1097</v>
      </c>
      <c r="K1" t="s">
        <v>1098</v>
      </c>
      <c r="L1" t="s">
        <v>1099</v>
      </c>
      <c r="M1" t="s">
        <v>1100</v>
      </c>
      <c r="N1" t="s">
        <v>1101</v>
      </c>
    </row>
    <row r="2" spans="1:14" x14ac:dyDescent="0.15">
      <c r="A2" s="123">
        <v>42374</v>
      </c>
      <c r="C2" s="123">
        <v>42401</v>
      </c>
      <c r="D2" t="s">
        <v>23</v>
      </c>
      <c r="E2" t="s">
        <v>137</v>
      </c>
      <c r="F2" t="s">
        <v>25</v>
      </c>
      <c r="G2" t="s">
        <v>1102</v>
      </c>
      <c r="H2" t="s">
        <v>59</v>
      </c>
      <c r="I2">
        <v>64.61</v>
      </c>
      <c r="J2">
        <v>65.63</v>
      </c>
      <c r="K2">
        <v>66.400000000000006</v>
      </c>
      <c r="L2">
        <v>32.630000000000003</v>
      </c>
      <c r="M2">
        <v>33.119999999999997</v>
      </c>
      <c r="N2">
        <v>34.24</v>
      </c>
    </row>
    <row r="3" spans="1:14" x14ac:dyDescent="0.15">
      <c r="C3" s="123">
        <v>42401</v>
      </c>
      <c r="D3" t="s">
        <v>23</v>
      </c>
      <c r="E3" t="s">
        <v>137</v>
      </c>
      <c r="F3" t="s">
        <v>25</v>
      </c>
      <c r="G3" t="s">
        <v>1102</v>
      </c>
      <c r="H3" t="s">
        <v>60</v>
      </c>
      <c r="I3">
        <v>63.01</v>
      </c>
      <c r="J3">
        <v>64.03</v>
      </c>
      <c r="K3">
        <v>64.8</v>
      </c>
      <c r="L3">
        <v>31.03</v>
      </c>
      <c r="M3">
        <v>31.52</v>
      </c>
      <c r="N3">
        <v>32.64</v>
      </c>
    </row>
    <row r="4" spans="1:14" x14ac:dyDescent="0.15">
      <c r="C4" s="123">
        <v>42401</v>
      </c>
      <c r="D4" t="s">
        <v>23</v>
      </c>
      <c r="E4" t="s">
        <v>137</v>
      </c>
      <c r="F4" t="s">
        <v>25</v>
      </c>
      <c r="G4" t="s">
        <v>1102</v>
      </c>
      <c r="H4" t="s">
        <v>648</v>
      </c>
      <c r="I4">
        <v>61.96</v>
      </c>
      <c r="J4">
        <v>62.98</v>
      </c>
      <c r="K4">
        <v>63.75</v>
      </c>
      <c r="L4">
        <v>29.98</v>
      </c>
      <c r="M4">
        <v>30.47</v>
      </c>
      <c r="N4">
        <v>31.59</v>
      </c>
    </row>
    <row r="5" spans="1:14" x14ac:dyDescent="0.15">
      <c r="C5" s="123">
        <v>42430</v>
      </c>
      <c r="D5" t="s">
        <v>23</v>
      </c>
      <c r="E5" t="s">
        <v>137</v>
      </c>
      <c r="F5" t="s">
        <v>25</v>
      </c>
      <c r="G5" t="s">
        <v>1102</v>
      </c>
      <c r="H5" t="s">
        <v>59</v>
      </c>
      <c r="I5">
        <v>64.599999999999994</v>
      </c>
      <c r="J5">
        <v>65.8</v>
      </c>
      <c r="K5">
        <v>66.63</v>
      </c>
      <c r="L5">
        <v>32.4</v>
      </c>
      <c r="M5">
        <v>33.15</v>
      </c>
      <c r="N5">
        <v>34.369999999999997</v>
      </c>
    </row>
    <row r="6" spans="1:14" x14ac:dyDescent="0.15">
      <c r="C6" s="123">
        <v>42430</v>
      </c>
      <c r="D6" t="s">
        <v>23</v>
      </c>
      <c r="E6" t="s">
        <v>137</v>
      </c>
      <c r="F6" t="s">
        <v>25</v>
      </c>
      <c r="G6" t="s">
        <v>1102</v>
      </c>
      <c r="H6" t="s">
        <v>60</v>
      </c>
      <c r="I6">
        <v>63</v>
      </c>
      <c r="J6">
        <v>64.2</v>
      </c>
      <c r="K6">
        <v>65.03</v>
      </c>
      <c r="L6">
        <v>30.8</v>
      </c>
      <c r="M6">
        <v>31.55</v>
      </c>
      <c r="N6">
        <v>32.770000000000003</v>
      </c>
    </row>
    <row r="7" spans="1:14" x14ac:dyDescent="0.15">
      <c r="C7" s="123">
        <v>42430</v>
      </c>
      <c r="D7" t="s">
        <v>23</v>
      </c>
      <c r="E7" t="s">
        <v>137</v>
      </c>
      <c r="F7" t="s">
        <v>25</v>
      </c>
      <c r="G7" t="s">
        <v>1102</v>
      </c>
      <c r="H7" t="s">
        <v>648</v>
      </c>
      <c r="I7">
        <v>61.95</v>
      </c>
      <c r="J7">
        <v>63.15</v>
      </c>
      <c r="K7">
        <v>63.98</v>
      </c>
      <c r="L7">
        <v>29.75</v>
      </c>
      <c r="M7">
        <v>30.5</v>
      </c>
      <c r="N7">
        <v>31.72</v>
      </c>
    </row>
    <row r="8" spans="1:14" x14ac:dyDescent="0.15">
      <c r="C8" s="123">
        <v>42461</v>
      </c>
      <c r="D8" t="s">
        <v>23</v>
      </c>
      <c r="E8" t="s">
        <v>137</v>
      </c>
      <c r="F8" t="s">
        <v>25</v>
      </c>
      <c r="G8" t="s">
        <v>1102</v>
      </c>
      <c r="H8" t="s">
        <v>59</v>
      </c>
      <c r="I8">
        <v>64.569999999999993</v>
      </c>
      <c r="J8">
        <v>65.760000000000005</v>
      </c>
      <c r="K8">
        <v>66.87</v>
      </c>
      <c r="L8">
        <v>32.15</v>
      </c>
      <c r="M8">
        <v>33.200000000000003</v>
      </c>
      <c r="N8">
        <v>34.51</v>
      </c>
    </row>
    <row r="9" spans="1:14" x14ac:dyDescent="0.15">
      <c r="C9" s="123">
        <v>42461</v>
      </c>
      <c r="D9" t="s">
        <v>23</v>
      </c>
      <c r="E9" t="s">
        <v>137</v>
      </c>
      <c r="F9" t="s">
        <v>25</v>
      </c>
      <c r="G9" t="s">
        <v>1102</v>
      </c>
      <c r="H9" t="s">
        <v>60</v>
      </c>
      <c r="I9">
        <v>62.97</v>
      </c>
      <c r="J9">
        <v>64.16</v>
      </c>
      <c r="K9">
        <v>65.27</v>
      </c>
      <c r="L9">
        <v>30.55</v>
      </c>
      <c r="M9">
        <v>31.6</v>
      </c>
      <c r="N9">
        <v>32.909999999999997</v>
      </c>
    </row>
    <row r="10" spans="1:14" x14ac:dyDescent="0.15">
      <c r="C10" s="123">
        <v>42461</v>
      </c>
      <c r="D10" t="s">
        <v>23</v>
      </c>
      <c r="E10" t="s">
        <v>137</v>
      </c>
      <c r="F10" t="s">
        <v>25</v>
      </c>
      <c r="G10" t="s">
        <v>1102</v>
      </c>
      <c r="H10" t="s">
        <v>648</v>
      </c>
      <c r="I10">
        <v>61.92</v>
      </c>
      <c r="J10">
        <v>63.11</v>
      </c>
      <c r="K10">
        <v>64.22</v>
      </c>
      <c r="L10">
        <v>29.5</v>
      </c>
      <c r="M10">
        <v>30.55</v>
      </c>
      <c r="N10">
        <v>31.86</v>
      </c>
    </row>
    <row r="11" spans="1:14" x14ac:dyDescent="0.15">
      <c r="C11" s="123">
        <v>42491</v>
      </c>
      <c r="D11" t="s">
        <v>23</v>
      </c>
      <c r="E11" t="s">
        <v>137</v>
      </c>
      <c r="F11" t="s">
        <v>25</v>
      </c>
      <c r="G11" t="s">
        <v>1102</v>
      </c>
      <c r="H11" t="s">
        <v>59</v>
      </c>
      <c r="I11">
        <v>64.38</v>
      </c>
      <c r="J11">
        <v>65.77</v>
      </c>
      <c r="K11">
        <v>67.010000000000005</v>
      </c>
      <c r="L11">
        <v>31.9</v>
      </c>
      <c r="M11">
        <v>33.29</v>
      </c>
      <c r="N11">
        <v>34.64</v>
      </c>
    </row>
    <row r="12" spans="1:14" x14ac:dyDescent="0.15">
      <c r="C12" s="123">
        <v>42491</v>
      </c>
      <c r="D12" t="s">
        <v>23</v>
      </c>
      <c r="E12" t="s">
        <v>137</v>
      </c>
      <c r="F12" t="s">
        <v>25</v>
      </c>
      <c r="G12" t="s">
        <v>1102</v>
      </c>
      <c r="H12" t="s">
        <v>60</v>
      </c>
      <c r="I12">
        <v>62.78</v>
      </c>
      <c r="J12">
        <v>64.17</v>
      </c>
      <c r="K12">
        <v>65.41</v>
      </c>
      <c r="L12">
        <v>30.3</v>
      </c>
      <c r="M12">
        <v>31.69</v>
      </c>
      <c r="N12">
        <v>33.04</v>
      </c>
    </row>
    <row r="13" spans="1:14" x14ac:dyDescent="0.15">
      <c r="C13" s="123">
        <v>42491</v>
      </c>
      <c r="D13" t="s">
        <v>23</v>
      </c>
      <c r="E13" t="s">
        <v>137</v>
      </c>
      <c r="F13" t="s">
        <v>25</v>
      </c>
      <c r="G13" t="s">
        <v>1102</v>
      </c>
      <c r="H13" t="s">
        <v>648</v>
      </c>
      <c r="I13">
        <v>61.73</v>
      </c>
      <c r="J13">
        <v>63.12</v>
      </c>
      <c r="K13">
        <v>64.36</v>
      </c>
      <c r="L13">
        <v>29.25</v>
      </c>
      <c r="M13">
        <v>30.64</v>
      </c>
      <c r="N13">
        <v>31.99</v>
      </c>
    </row>
    <row r="14" spans="1:14" x14ac:dyDescent="0.15">
      <c r="C14" s="123">
        <v>42522</v>
      </c>
      <c r="D14" t="s">
        <v>23</v>
      </c>
      <c r="E14" t="s">
        <v>137</v>
      </c>
      <c r="F14" t="s">
        <v>25</v>
      </c>
      <c r="G14" t="s">
        <v>1102</v>
      </c>
      <c r="H14" t="s">
        <v>59</v>
      </c>
      <c r="I14">
        <v>64.19</v>
      </c>
      <c r="J14">
        <v>65.7</v>
      </c>
      <c r="K14">
        <v>67.2</v>
      </c>
      <c r="L14">
        <v>31.63</v>
      </c>
      <c r="M14">
        <v>33.340000000000003</v>
      </c>
      <c r="N14">
        <v>34.76</v>
      </c>
    </row>
    <row r="15" spans="1:14" x14ac:dyDescent="0.15">
      <c r="C15" s="123">
        <v>42522</v>
      </c>
      <c r="D15" t="s">
        <v>23</v>
      </c>
      <c r="E15" t="s">
        <v>137</v>
      </c>
      <c r="F15" t="s">
        <v>25</v>
      </c>
      <c r="G15" t="s">
        <v>1102</v>
      </c>
      <c r="H15" t="s">
        <v>60</v>
      </c>
      <c r="I15">
        <v>62.59</v>
      </c>
      <c r="J15">
        <v>64.099999999999994</v>
      </c>
      <c r="K15">
        <v>65.599999999999994</v>
      </c>
      <c r="L15">
        <v>30.03</v>
      </c>
      <c r="M15">
        <v>31.74</v>
      </c>
      <c r="N15">
        <v>33.159999999999997</v>
      </c>
    </row>
    <row r="16" spans="1:14" x14ac:dyDescent="0.15">
      <c r="C16" s="123">
        <v>42522</v>
      </c>
      <c r="D16" t="s">
        <v>23</v>
      </c>
      <c r="E16" t="s">
        <v>137</v>
      </c>
      <c r="F16" t="s">
        <v>25</v>
      </c>
      <c r="G16" t="s">
        <v>1102</v>
      </c>
      <c r="H16" t="s">
        <v>648</v>
      </c>
      <c r="I16">
        <v>61.54</v>
      </c>
      <c r="J16">
        <v>63.05</v>
      </c>
      <c r="K16">
        <v>64.55</v>
      </c>
      <c r="L16">
        <v>28.98</v>
      </c>
      <c r="M16">
        <v>30.69</v>
      </c>
      <c r="N16">
        <v>32.11</v>
      </c>
    </row>
    <row r="17" spans="3:14" x14ac:dyDescent="0.15">
      <c r="C17" s="123">
        <v>42552</v>
      </c>
      <c r="D17" t="s">
        <v>23</v>
      </c>
      <c r="E17" t="s">
        <v>137</v>
      </c>
      <c r="F17" t="s">
        <v>25</v>
      </c>
      <c r="G17" t="s">
        <v>1102</v>
      </c>
      <c r="H17" t="s">
        <v>59</v>
      </c>
      <c r="I17">
        <v>64.760000000000005</v>
      </c>
      <c r="J17">
        <v>65.97</v>
      </c>
      <c r="K17">
        <v>67.739999999999995</v>
      </c>
      <c r="L17">
        <v>32.14</v>
      </c>
      <c r="M17">
        <v>33.76</v>
      </c>
      <c r="N17">
        <v>35.29</v>
      </c>
    </row>
    <row r="18" spans="3:14" x14ac:dyDescent="0.15">
      <c r="C18" s="123">
        <v>42552</v>
      </c>
      <c r="D18" t="s">
        <v>23</v>
      </c>
      <c r="E18" t="s">
        <v>137</v>
      </c>
      <c r="F18" t="s">
        <v>25</v>
      </c>
      <c r="G18" t="s">
        <v>1102</v>
      </c>
      <c r="H18" t="s">
        <v>60</v>
      </c>
      <c r="I18">
        <v>63.16</v>
      </c>
      <c r="J18">
        <v>64.37</v>
      </c>
      <c r="K18">
        <v>66.14</v>
      </c>
      <c r="L18">
        <v>30.54</v>
      </c>
      <c r="M18">
        <v>32.159999999999997</v>
      </c>
      <c r="N18">
        <v>33.69</v>
      </c>
    </row>
    <row r="19" spans="3:14" x14ac:dyDescent="0.15">
      <c r="C19" s="123">
        <v>42552</v>
      </c>
      <c r="D19" t="s">
        <v>23</v>
      </c>
      <c r="E19" t="s">
        <v>137</v>
      </c>
      <c r="F19" t="s">
        <v>25</v>
      </c>
      <c r="G19" t="s">
        <v>1102</v>
      </c>
      <c r="H19" t="s">
        <v>648</v>
      </c>
      <c r="I19">
        <v>62.11</v>
      </c>
      <c r="J19">
        <v>63.32</v>
      </c>
      <c r="K19">
        <v>65.09</v>
      </c>
      <c r="L19">
        <v>29.49</v>
      </c>
      <c r="M19">
        <v>31.11</v>
      </c>
      <c r="N19">
        <v>32.64</v>
      </c>
    </row>
    <row r="20" spans="3:14" x14ac:dyDescent="0.15">
      <c r="C20" s="123">
        <v>42583</v>
      </c>
      <c r="D20" t="s">
        <v>23</v>
      </c>
      <c r="E20" t="s">
        <v>137</v>
      </c>
      <c r="F20" t="s">
        <v>25</v>
      </c>
      <c r="G20" t="s">
        <v>1102</v>
      </c>
      <c r="H20" t="s">
        <v>59</v>
      </c>
      <c r="I20">
        <v>65.260000000000005</v>
      </c>
      <c r="J20">
        <v>66.400000000000006</v>
      </c>
      <c r="K20">
        <v>68.33</v>
      </c>
      <c r="L20">
        <v>32.68</v>
      </c>
      <c r="M20">
        <v>34.31</v>
      </c>
      <c r="N20">
        <v>35.85</v>
      </c>
    </row>
    <row r="21" spans="3:14" x14ac:dyDescent="0.15">
      <c r="C21" s="123">
        <v>42583</v>
      </c>
      <c r="D21" t="s">
        <v>23</v>
      </c>
      <c r="E21" t="s">
        <v>137</v>
      </c>
      <c r="F21" t="s">
        <v>25</v>
      </c>
      <c r="G21" t="s">
        <v>1102</v>
      </c>
      <c r="H21" t="s">
        <v>60</v>
      </c>
      <c r="I21">
        <v>63.66</v>
      </c>
      <c r="J21">
        <v>64.8</v>
      </c>
      <c r="K21">
        <v>66.73</v>
      </c>
      <c r="L21">
        <v>31.08</v>
      </c>
      <c r="M21">
        <v>32.71</v>
      </c>
      <c r="N21">
        <v>34.25</v>
      </c>
    </row>
    <row r="22" spans="3:14" x14ac:dyDescent="0.15">
      <c r="C22" s="123">
        <v>42583</v>
      </c>
      <c r="D22" t="s">
        <v>23</v>
      </c>
      <c r="E22" t="s">
        <v>137</v>
      </c>
      <c r="F22" t="s">
        <v>25</v>
      </c>
      <c r="G22" t="s">
        <v>1102</v>
      </c>
      <c r="H22" t="s">
        <v>648</v>
      </c>
      <c r="I22">
        <v>62.61</v>
      </c>
      <c r="J22">
        <v>63.75</v>
      </c>
      <c r="K22">
        <v>65.680000000000007</v>
      </c>
      <c r="L22">
        <v>30.03</v>
      </c>
      <c r="M22">
        <v>31.66</v>
      </c>
      <c r="N22">
        <v>33.200000000000003</v>
      </c>
    </row>
    <row r="23" spans="3:14" x14ac:dyDescent="0.15">
      <c r="C23" s="123">
        <v>42614</v>
      </c>
      <c r="D23" t="s">
        <v>23</v>
      </c>
      <c r="E23" t="s">
        <v>137</v>
      </c>
      <c r="F23" t="s">
        <v>25</v>
      </c>
      <c r="G23" t="s">
        <v>1102</v>
      </c>
      <c r="H23" t="s">
        <v>59</v>
      </c>
      <c r="I23">
        <v>65.709999999999994</v>
      </c>
      <c r="J23">
        <v>66.86</v>
      </c>
      <c r="K23">
        <v>68.87</v>
      </c>
      <c r="L23">
        <v>33.21</v>
      </c>
      <c r="M23">
        <v>34.82</v>
      </c>
      <c r="N23">
        <v>36.409999999999997</v>
      </c>
    </row>
    <row r="24" spans="3:14" x14ac:dyDescent="0.15">
      <c r="C24" s="123">
        <v>42614</v>
      </c>
      <c r="D24" t="s">
        <v>23</v>
      </c>
      <c r="E24" t="s">
        <v>137</v>
      </c>
      <c r="F24" t="s">
        <v>25</v>
      </c>
      <c r="G24" t="s">
        <v>1102</v>
      </c>
      <c r="H24" t="s">
        <v>60</v>
      </c>
      <c r="I24">
        <v>64.11</v>
      </c>
      <c r="J24">
        <v>65.260000000000005</v>
      </c>
      <c r="K24">
        <v>67.27</v>
      </c>
      <c r="L24">
        <v>31.61</v>
      </c>
      <c r="M24">
        <v>33.22</v>
      </c>
      <c r="N24">
        <v>34.81</v>
      </c>
    </row>
    <row r="25" spans="3:14" x14ac:dyDescent="0.15">
      <c r="C25" s="123">
        <v>42614</v>
      </c>
      <c r="D25" t="s">
        <v>23</v>
      </c>
      <c r="E25" t="s">
        <v>137</v>
      </c>
      <c r="F25" t="s">
        <v>25</v>
      </c>
      <c r="G25" t="s">
        <v>1102</v>
      </c>
      <c r="H25" t="s">
        <v>648</v>
      </c>
      <c r="I25">
        <v>63.06</v>
      </c>
      <c r="J25">
        <v>64.209999999999994</v>
      </c>
      <c r="K25">
        <v>66.22</v>
      </c>
      <c r="L25">
        <v>30.56</v>
      </c>
      <c r="M25">
        <v>32.17</v>
      </c>
      <c r="N25">
        <v>33.76</v>
      </c>
    </row>
    <row r="26" spans="3:14" x14ac:dyDescent="0.15">
      <c r="C26" s="123">
        <v>42644</v>
      </c>
      <c r="D26" t="s">
        <v>23</v>
      </c>
      <c r="E26" t="s">
        <v>137</v>
      </c>
      <c r="F26" t="s">
        <v>25</v>
      </c>
      <c r="G26" t="s">
        <v>1102</v>
      </c>
      <c r="H26" t="s">
        <v>59</v>
      </c>
      <c r="I26">
        <v>66.22</v>
      </c>
      <c r="J26">
        <v>67.569999999999993</v>
      </c>
      <c r="K26">
        <v>69.38</v>
      </c>
      <c r="L26">
        <v>33.74</v>
      </c>
      <c r="M26">
        <v>35.32</v>
      </c>
      <c r="N26">
        <v>36.97</v>
      </c>
    </row>
    <row r="27" spans="3:14" x14ac:dyDescent="0.15">
      <c r="C27" s="123">
        <v>42644</v>
      </c>
      <c r="D27" t="s">
        <v>23</v>
      </c>
      <c r="E27" t="s">
        <v>137</v>
      </c>
      <c r="F27" t="s">
        <v>25</v>
      </c>
      <c r="G27" t="s">
        <v>1102</v>
      </c>
      <c r="H27" t="s">
        <v>60</v>
      </c>
      <c r="I27">
        <v>64.62</v>
      </c>
      <c r="J27">
        <v>65.97</v>
      </c>
      <c r="K27">
        <v>67.78</v>
      </c>
      <c r="L27">
        <v>32.14</v>
      </c>
      <c r="M27">
        <v>33.72</v>
      </c>
      <c r="N27">
        <v>35.369999999999997</v>
      </c>
    </row>
    <row r="28" spans="3:14" x14ac:dyDescent="0.15">
      <c r="C28" s="123">
        <v>42644</v>
      </c>
      <c r="D28" t="s">
        <v>23</v>
      </c>
      <c r="E28" t="s">
        <v>137</v>
      </c>
      <c r="F28" t="s">
        <v>25</v>
      </c>
      <c r="G28" t="s">
        <v>1102</v>
      </c>
      <c r="H28" t="s">
        <v>648</v>
      </c>
      <c r="I28">
        <v>63.57</v>
      </c>
      <c r="J28">
        <v>64.92</v>
      </c>
      <c r="K28">
        <v>66.73</v>
      </c>
      <c r="L28">
        <v>31.09</v>
      </c>
      <c r="M28">
        <v>32.67</v>
      </c>
      <c r="N28">
        <v>34.32</v>
      </c>
    </row>
    <row r="29" spans="3:14" x14ac:dyDescent="0.15">
      <c r="C29" s="123">
        <v>42675</v>
      </c>
      <c r="D29" t="s">
        <v>23</v>
      </c>
      <c r="E29" t="s">
        <v>137</v>
      </c>
      <c r="F29" t="s">
        <v>25</v>
      </c>
      <c r="G29" t="s">
        <v>1102</v>
      </c>
      <c r="H29" t="s">
        <v>59</v>
      </c>
      <c r="I29">
        <v>66.78</v>
      </c>
      <c r="J29">
        <v>68.14</v>
      </c>
      <c r="K29">
        <v>69.959999999999994</v>
      </c>
      <c r="L29">
        <v>34.29</v>
      </c>
      <c r="M29">
        <v>35.79</v>
      </c>
      <c r="N29">
        <v>37.53</v>
      </c>
    </row>
    <row r="30" spans="3:14" x14ac:dyDescent="0.15">
      <c r="C30" s="123">
        <v>42675</v>
      </c>
      <c r="D30" t="s">
        <v>23</v>
      </c>
      <c r="E30" t="s">
        <v>137</v>
      </c>
      <c r="F30" t="s">
        <v>25</v>
      </c>
      <c r="G30" t="s">
        <v>1102</v>
      </c>
      <c r="H30" t="s">
        <v>60</v>
      </c>
      <c r="I30">
        <v>65.180000000000007</v>
      </c>
      <c r="J30">
        <v>66.540000000000006</v>
      </c>
      <c r="K30">
        <v>68.36</v>
      </c>
      <c r="L30">
        <v>32.69</v>
      </c>
      <c r="M30">
        <v>34.19</v>
      </c>
      <c r="N30">
        <v>35.93</v>
      </c>
    </row>
    <row r="31" spans="3:14" x14ac:dyDescent="0.15">
      <c r="C31" s="123">
        <v>42675</v>
      </c>
      <c r="D31" t="s">
        <v>23</v>
      </c>
      <c r="E31" t="s">
        <v>137</v>
      </c>
      <c r="F31" t="s">
        <v>25</v>
      </c>
      <c r="G31" t="s">
        <v>1102</v>
      </c>
      <c r="H31" t="s">
        <v>648</v>
      </c>
      <c r="I31">
        <v>64.13</v>
      </c>
      <c r="J31">
        <v>65.489999999999995</v>
      </c>
      <c r="K31">
        <v>67.31</v>
      </c>
      <c r="L31">
        <v>31.64</v>
      </c>
      <c r="M31">
        <v>33.14</v>
      </c>
      <c r="N31">
        <v>34.880000000000003</v>
      </c>
    </row>
    <row r="32" spans="3:14" x14ac:dyDescent="0.15">
      <c r="C32" s="123">
        <v>42705</v>
      </c>
      <c r="D32" t="s">
        <v>23</v>
      </c>
      <c r="E32" t="s">
        <v>137</v>
      </c>
      <c r="F32" t="s">
        <v>25</v>
      </c>
      <c r="G32" t="s">
        <v>1102</v>
      </c>
      <c r="H32" t="s">
        <v>59</v>
      </c>
      <c r="I32">
        <v>67.22</v>
      </c>
      <c r="J32">
        <v>68.77</v>
      </c>
      <c r="K32">
        <v>70.459999999999994</v>
      </c>
      <c r="L32">
        <v>34.78</v>
      </c>
      <c r="M32">
        <v>36.24</v>
      </c>
      <c r="N32">
        <v>38.06</v>
      </c>
    </row>
    <row r="33" spans="3:14" x14ac:dyDescent="0.15">
      <c r="C33" s="123">
        <v>42705</v>
      </c>
      <c r="D33" t="s">
        <v>23</v>
      </c>
      <c r="E33" t="s">
        <v>137</v>
      </c>
      <c r="F33" t="s">
        <v>25</v>
      </c>
      <c r="G33" t="s">
        <v>1102</v>
      </c>
      <c r="H33" t="s">
        <v>60</v>
      </c>
      <c r="I33">
        <v>65.62</v>
      </c>
      <c r="J33">
        <v>67.17</v>
      </c>
      <c r="K33">
        <v>68.86</v>
      </c>
      <c r="L33">
        <v>33.18</v>
      </c>
      <c r="M33">
        <v>34.64</v>
      </c>
      <c r="N33">
        <v>36.46</v>
      </c>
    </row>
    <row r="34" spans="3:14" x14ac:dyDescent="0.15">
      <c r="C34" s="123">
        <v>42705</v>
      </c>
      <c r="D34" t="s">
        <v>23</v>
      </c>
      <c r="E34" t="s">
        <v>137</v>
      </c>
      <c r="F34" t="s">
        <v>25</v>
      </c>
      <c r="G34" t="s">
        <v>1102</v>
      </c>
      <c r="H34" t="s">
        <v>648</v>
      </c>
      <c r="I34">
        <v>64.569999999999993</v>
      </c>
      <c r="J34">
        <v>66.12</v>
      </c>
      <c r="K34">
        <v>67.81</v>
      </c>
      <c r="L34">
        <v>32.130000000000003</v>
      </c>
      <c r="M34">
        <v>33.590000000000003</v>
      </c>
      <c r="N34">
        <v>35.409999999999997</v>
      </c>
    </row>
    <row r="35" spans="3:14" x14ac:dyDescent="0.15">
      <c r="C35" s="123">
        <v>42736</v>
      </c>
      <c r="D35" t="s">
        <v>23</v>
      </c>
      <c r="E35" t="s">
        <v>137</v>
      </c>
      <c r="F35" t="s">
        <v>25</v>
      </c>
      <c r="G35" t="s">
        <v>1102</v>
      </c>
      <c r="H35" t="s">
        <v>59</v>
      </c>
      <c r="I35">
        <v>67.709999999999994</v>
      </c>
      <c r="J35">
        <v>69.53</v>
      </c>
      <c r="K35">
        <v>71.06</v>
      </c>
      <c r="L35">
        <v>35.32</v>
      </c>
      <c r="M35">
        <v>36.89</v>
      </c>
      <c r="N35">
        <v>38.630000000000003</v>
      </c>
    </row>
    <row r="36" spans="3:14" x14ac:dyDescent="0.15">
      <c r="C36" s="123">
        <v>42736</v>
      </c>
      <c r="D36" t="s">
        <v>23</v>
      </c>
      <c r="E36" t="s">
        <v>137</v>
      </c>
      <c r="F36" t="s">
        <v>25</v>
      </c>
      <c r="G36" t="s">
        <v>1102</v>
      </c>
      <c r="H36" t="s">
        <v>60</v>
      </c>
      <c r="I36">
        <v>66.11</v>
      </c>
      <c r="J36">
        <v>67.930000000000007</v>
      </c>
      <c r="K36">
        <v>69.459999999999994</v>
      </c>
      <c r="L36">
        <v>33.72</v>
      </c>
      <c r="M36">
        <v>35.29</v>
      </c>
      <c r="N36">
        <v>37.03</v>
      </c>
    </row>
    <row r="37" spans="3:14" x14ac:dyDescent="0.15">
      <c r="C37" s="123">
        <v>42736</v>
      </c>
      <c r="D37" t="s">
        <v>23</v>
      </c>
      <c r="E37" t="s">
        <v>137</v>
      </c>
      <c r="F37" t="s">
        <v>25</v>
      </c>
      <c r="G37" t="s">
        <v>1102</v>
      </c>
      <c r="H37" t="s">
        <v>648</v>
      </c>
      <c r="I37">
        <v>65.06</v>
      </c>
      <c r="J37">
        <v>66.88</v>
      </c>
      <c r="K37">
        <v>68.41</v>
      </c>
      <c r="L37">
        <v>32.67</v>
      </c>
      <c r="M37">
        <v>34.24</v>
      </c>
      <c r="N37">
        <v>35.979999999999997</v>
      </c>
    </row>
    <row r="38" spans="3:14" x14ac:dyDescent="0.15">
      <c r="C38" s="123">
        <v>42401</v>
      </c>
      <c r="D38" t="s">
        <v>23</v>
      </c>
      <c r="E38" t="s">
        <v>137</v>
      </c>
      <c r="F38" t="s">
        <v>26</v>
      </c>
      <c r="G38" t="s">
        <v>1103</v>
      </c>
      <c r="H38" t="s">
        <v>59</v>
      </c>
      <c r="I38">
        <v>63.79</v>
      </c>
      <c r="J38">
        <v>64.84</v>
      </c>
      <c r="K38">
        <v>65.58</v>
      </c>
      <c r="L38">
        <v>31.7</v>
      </c>
      <c r="M38">
        <v>32.21</v>
      </c>
      <c r="N38">
        <v>33.31</v>
      </c>
    </row>
    <row r="39" spans="3:14" x14ac:dyDescent="0.15">
      <c r="C39" s="123">
        <v>42401</v>
      </c>
      <c r="D39" t="s">
        <v>23</v>
      </c>
      <c r="E39" t="s">
        <v>137</v>
      </c>
      <c r="F39" t="s">
        <v>26</v>
      </c>
      <c r="G39" t="s">
        <v>1103</v>
      </c>
      <c r="H39" t="s">
        <v>60</v>
      </c>
      <c r="I39">
        <v>62.19</v>
      </c>
      <c r="J39">
        <v>63.24</v>
      </c>
      <c r="K39">
        <v>63.98</v>
      </c>
      <c r="L39">
        <v>30.1</v>
      </c>
      <c r="M39">
        <v>30.61</v>
      </c>
      <c r="N39">
        <v>31.71</v>
      </c>
    </row>
    <row r="40" spans="3:14" x14ac:dyDescent="0.15">
      <c r="C40" s="123">
        <v>42401</v>
      </c>
      <c r="D40" t="s">
        <v>23</v>
      </c>
      <c r="E40" t="s">
        <v>137</v>
      </c>
      <c r="F40" t="s">
        <v>26</v>
      </c>
      <c r="G40" t="s">
        <v>1103</v>
      </c>
      <c r="H40" t="s">
        <v>648</v>
      </c>
      <c r="I40">
        <v>61.14</v>
      </c>
      <c r="J40">
        <v>62.19</v>
      </c>
      <c r="K40">
        <v>62.93</v>
      </c>
      <c r="L40">
        <v>29.05</v>
      </c>
      <c r="M40">
        <v>29.56</v>
      </c>
      <c r="N40">
        <v>30.66</v>
      </c>
    </row>
    <row r="41" spans="3:14" x14ac:dyDescent="0.15">
      <c r="C41" s="123">
        <v>42430</v>
      </c>
      <c r="D41" t="s">
        <v>23</v>
      </c>
      <c r="E41" t="s">
        <v>137</v>
      </c>
      <c r="F41" t="s">
        <v>26</v>
      </c>
      <c r="G41" t="s">
        <v>1103</v>
      </c>
      <c r="H41" t="s">
        <v>59</v>
      </c>
      <c r="I41">
        <v>63.79</v>
      </c>
      <c r="J41">
        <v>64.989999999999995</v>
      </c>
      <c r="K41">
        <v>65.819999999999993</v>
      </c>
      <c r="L41">
        <v>31.47</v>
      </c>
      <c r="M41">
        <v>32.24</v>
      </c>
      <c r="N41">
        <v>33.44</v>
      </c>
    </row>
    <row r="42" spans="3:14" x14ac:dyDescent="0.15">
      <c r="C42" s="123">
        <v>42430</v>
      </c>
      <c r="D42" t="s">
        <v>23</v>
      </c>
      <c r="E42" t="s">
        <v>137</v>
      </c>
      <c r="F42" t="s">
        <v>26</v>
      </c>
      <c r="G42" t="s">
        <v>1103</v>
      </c>
      <c r="H42" t="s">
        <v>60</v>
      </c>
      <c r="I42">
        <v>62.19</v>
      </c>
      <c r="J42">
        <v>63.39</v>
      </c>
      <c r="K42">
        <v>64.22</v>
      </c>
      <c r="L42">
        <v>29.87</v>
      </c>
      <c r="M42">
        <v>30.64</v>
      </c>
      <c r="N42">
        <v>31.84</v>
      </c>
    </row>
    <row r="43" spans="3:14" x14ac:dyDescent="0.15">
      <c r="C43" s="123">
        <v>42430</v>
      </c>
      <c r="D43" t="s">
        <v>23</v>
      </c>
      <c r="E43" t="s">
        <v>137</v>
      </c>
      <c r="F43" t="s">
        <v>26</v>
      </c>
      <c r="G43" t="s">
        <v>1103</v>
      </c>
      <c r="H43" t="s">
        <v>648</v>
      </c>
      <c r="I43">
        <v>61.14</v>
      </c>
      <c r="J43">
        <v>62.34</v>
      </c>
      <c r="K43">
        <v>63.17</v>
      </c>
      <c r="L43">
        <v>28.82</v>
      </c>
      <c r="M43">
        <v>29.59</v>
      </c>
      <c r="N43">
        <v>30.79</v>
      </c>
    </row>
    <row r="44" spans="3:14" x14ac:dyDescent="0.15">
      <c r="C44" s="123">
        <v>42461</v>
      </c>
      <c r="D44" t="s">
        <v>23</v>
      </c>
      <c r="E44" t="s">
        <v>137</v>
      </c>
      <c r="F44" t="s">
        <v>26</v>
      </c>
      <c r="G44" t="s">
        <v>1103</v>
      </c>
      <c r="H44" t="s">
        <v>59</v>
      </c>
      <c r="I44">
        <v>63.76</v>
      </c>
      <c r="J44">
        <v>64.94</v>
      </c>
      <c r="K44">
        <v>66.06</v>
      </c>
      <c r="L44">
        <v>31.22</v>
      </c>
      <c r="M44">
        <v>32.29</v>
      </c>
      <c r="N44">
        <v>33.58</v>
      </c>
    </row>
    <row r="45" spans="3:14" x14ac:dyDescent="0.15">
      <c r="C45" s="123">
        <v>42461</v>
      </c>
      <c r="D45" t="s">
        <v>23</v>
      </c>
      <c r="E45" t="s">
        <v>137</v>
      </c>
      <c r="F45" t="s">
        <v>26</v>
      </c>
      <c r="G45" t="s">
        <v>1103</v>
      </c>
      <c r="H45" t="s">
        <v>60</v>
      </c>
      <c r="I45">
        <v>62.16</v>
      </c>
      <c r="J45">
        <v>63.34</v>
      </c>
      <c r="K45">
        <v>64.459999999999994</v>
      </c>
      <c r="L45">
        <v>29.62</v>
      </c>
      <c r="M45">
        <v>30.69</v>
      </c>
      <c r="N45">
        <v>31.98</v>
      </c>
    </row>
    <row r="46" spans="3:14" x14ac:dyDescent="0.15">
      <c r="C46" s="123">
        <v>42461</v>
      </c>
      <c r="D46" t="s">
        <v>23</v>
      </c>
      <c r="E46" t="s">
        <v>137</v>
      </c>
      <c r="F46" t="s">
        <v>26</v>
      </c>
      <c r="G46" t="s">
        <v>1103</v>
      </c>
      <c r="H46" t="s">
        <v>648</v>
      </c>
      <c r="I46">
        <v>61.11</v>
      </c>
      <c r="J46">
        <v>62.29</v>
      </c>
      <c r="K46">
        <v>63.41</v>
      </c>
      <c r="L46">
        <v>28.57</v>
      </c>
      <c r="M46">
        <v>29.64</v>
      </c>
      <c r="N46">
        <v>30.93</v>
      </c>
    </row>
    <row r="47" spans="3:14" x14ac:dyDescent="0.15">
      <c r="C47" s="123">
        <v>42491</v>
      </c>
      <c r="D47" t="s">
        <v>23</v>
      </c>
      <c r="E47" t="s">
        <v>137</v>
      </c>
      <c r="F47" t="s">
        <v>26</v>
      </c>
      <c r="G47" t="s">
        <v>1103</v>
      </c>
      <c r="H47" t="s">
        <v>59</v>
      </c>
      <c r="I47">
        <v>63.56</v>
      </c>
      <c r="J47">
        <v>64.930000000000007</v>
      </c>
      <c r="K47">
        <v>66.2</v>
      </c>
      <c r="L47">
        <v>30.98</v>
      </c>
      <c r="M47">
        <v>32.36</v>
      </c>
      <c r="N47">
        <v>33.71</v>
      </c>
    </row>
    <row r="48" spans="3:14" x14ac:dyDescent="0.15">
      <c r="C48" s="123">
        <v>42491</v>
      </c>
      <c r="D48" t="s">
        <v>23</v>
      </c>
      <c r="E48" t="s">
        <v>137</v>
      </c>
      <c r="F48" t="s">
        <v>26</v>
      </c>
      <c r="G48" t="s">
        <v>1103</v>
      </c>
      <c r="H48" t="s">
        <v>60</v>
      </c>
      <c r="I48">
        <v>61.96</v>
      </c>
      <c r="J48">
        <v>63.33</v>
      </c>
      <c r="K48">
        <v>64.599999999999994</v>
      </c>
      <c r="L48">
        <v>29.38</v>
      </c>
      <c r="M48">
        <v>30.76</v>
      </c>
      <c r="N48">
        <v>32.11</v>
      </c>
    </row>
    <row r="49" spans="3:14" x14ac:dyDescent="0.15">
      <c r="C49" s="123">
        <v>42491</v>
      </c>
      <c r="D49" t="s">
        <v>23</v>
      </c>
      <c r="E49" t="s">
        <v>137</v>
      </c>
      <c r="F49" t="s">
        <v>26</v>
      </c>
      <c r="G49" t="s">
        <v>1103</v>
      </c>
      <c r="H49" t="s">
        <v>648</v>
      </c>
      <c r="I49">
        <v>60.91</v>
      </c>
      <c r="J49">
        <v>62.28</v>
      </c>
      <c r="K49">
        <v>63.55</v>
      </c>
      <c r="L49">
        <v>28.33</v>
      </c>
      <c r="M49">
        <v>29.71</v>
      </c>
      <c r="N49">
        <v>31.06</v>
      </c>
    </row>
    <row r="50" spans="3:14" x14ac:dyDescent="0.15">
      <c r="C50" s="123">
        <v>42522</v>
      </c>
      <c r="D50" t="s">
        <v>23</v>
      </c>
      <c r="E50" t="s">
        <v>137</v>
      </c>
      <c r="F50" t="s">
        <v>26</v>
      </c>
      <c r="G50" t="s">
        <v>1103</v>
      </c>
      <c r="H50" t="s">
        <v>59</v>
      </c>
      <c r="I50">
        <v>63.37</v>
      </c>
      <c r="J50">
        <v>64.84</v>
      </c>
      <c r="K50">
        <v>66.38</v>
      </c>
      <c r="L50">
        <v>30.7</v>
      </c>
      <c r="M50">
        <v>32.39</v>
      </c>
      <c r="N50">
        <v>33.83</v>
      </c>
    </row>
    <row r="51" spans="3:14" x14ac:dyDescent="0.15">
      <c r="C51" s="123">
        <v>42522</v>
      </c>
      <c r="D51" t="s">
        <v>23</v>
      </c>
      <c r="E51" t="s">
        <v>137</v>
      </c>
      <c r="F51" t="s">
        <v>26</v>
      </c>
      <c r="G51" t="s">
        <v>1103</v>
      </c>
      <c r="H51" t="s">
        <v>60</v>
      </c>
      <c r="I51">
        <v>61.77</v>
      </c>
      <c r="J51">
        <v>63.24</v>
      </c>
      <c r="K51">
        <v>64.78</v>
      </c>
      <c r="L51">
        <v>29.1</v>
      </c>
      <c r="M51">
        <v>30.79</v>
      </c>
      <c r="N51">
        <v>32.229999999999997</v>
      </c>
    </row>
    <row r="52" spans="3:14" x14ac:dyDescent="0.15">
      <c r="C52" s="123">
        <v>42522</v>
      </c>
      <c r="D52" t="s">
        <v>23</v>
      </c>
      <c r="E52" t="s">
        <v>137</v>
      </c>
      <c r="F52" t="s">
        <v>26</v>
      </c>
      <c r="G52" t="s">
        <v>1103</v>
      </c>
      <c r="H52" t="s">
        <v>648</v>
      </c>
      <c r="I52">
        <v>60.72</v>
      </c>
      <c r="J52">
        <v>62.19</v>
      </c>
      <c r="K52">
        <v>63.73</v>
      </c>
      <c r="L52">
        <v>28.05</v>
      </c>
      <c r="M52">
        <v>29.74</v>
      </c>
      <c r="N52">
        <v>31.18</v>
      </c>
    </row>
    <row r="53" spans="3:14" x14ac:dyDescent="0.15">
      <c r="C53" s="123">
        <v>42552</v>
      </c>
      <c r="D53" t="s">
        <v>23</v>
      </c>
      <c r="E53" t="s">
        <v>137</v>
      </c>
      <c r="F53" t="s">
        <v>26</v>
      </c>
      <c r="G53" t="s">
        <v>1103</v>
      </c>
      <c r="H53" t="s">
        <v>59</v>
      </c>
      <c r="I53">
        <v>63.94</v>
      </c>
      <c r="J53">
        <v>65.13</v>
      </c>
      <c r="K53">
        <v>66.92</v>
      </c>
      <c r="L53">
        <v>31.21</v>
      </c>
      <c r="M53">
        <v>32.83</v>
      </c>
      <c r="N53">
        <v>34.369999999999997</v>
      </c>
    </row>
    <row r="54" spans="3:14" x14ac:dyDescent="0.15">
      <c r="C54" s="123">
        <v>42552</v>
      </c>
      <c r="D54" t="s">
        <v>23</v>
      </c>
      <c r="E54" t="s">
        <v>137</v>
      </c>
      <c r="F54" t="s">
        <v>26</v>
      </c>
      <c r="G54" t="s">
        <v>1103</v>
      </c>
      <c r="H54" t="s">
        <v>60</v>
      </c>
      <c r="I54">
        <v>62.34</v>
      </c>
      <c r="J54">
        <v>63.53</v>
      </c>
      <c r="K54">
        <v>65.319999999999993</v>
      </c>
      <c r="L54">
        <v>29.61</v>
      </c>
      <c r="M54">
        <v>31.23</v>
      </c>
      <c r="N54">
        <v>32.770000000000003</v>
      </c>
    </row>
    <row r="55" spans="3:14" x14ac:dyDescent="0.15">
      <c r="C55" s="123">
        <v>42552</v>
      </c>
      <c r="D55" t="s">
        <v>23</v>
      </c>
      <c r="E55" t="s">
        <v>137</v>
      </c>
      <c r="F55" t="s">
        <v>26</v>
      </c>
      <c r="G55" t="s">
        <v>1103</v>
      </c>
      <c r="H55" t="s">
        <v>648</v>
      </c>
      <c r="I55">
        <v>61.29</v>
      </c>
      <c r="J55">
        <v>62.48</v>
      </c>
      <c r="K55">
        <v>64.27</v>
      </c>
      <c r="L55">
        <v>28.56</v>
      </c>
      <c r="M55">
        <v>30.18</v>
      </c>
      <c r="N55">
        <v>31.72</v>
      </c>
    </row>
    <row r="56" spans="3:14" x14ac:dyDescent="0.15">
      <c r="C56" s="123">
        <v>42583</v>
      </c>
      <c r="D56" t="s">
        <v>23</v>
      </c>
      <c r="E56" t="s">
        <v>137</v>
      </c>
      <c r="F56" t="s">
        <v>26</v>
      </c>
      <c r="G56" t="s">
        <v>1103</v>
      </c>
      <c r="H56" t="s">
        <v>59</v>
      </c>
      <c r="I56">
        <v>64.44</v>
      </c>
      <c r="J56">
        <v>65.56</v>
      </c>
      <c r="K56">
        <v>67.52</v>
      </c>
      <c r="L56">
        <v>31.75</v>
      </c>
      <c r="M56">
        <v>33.36</v>
      </c>
      <c r="N56">
        <v>34.92</v>
      </c>
    </row>
    <row r="57" spans="3:14" x14ac:dyDescent="0.15">
      <c r="C57" s="123">
        <v>42583</v>
      </c>
      <c r="D57" t="s">
        <v>23</v>
      </c>
      <c r="E57" t="s">
        <v>137</v>
      </c>
      <c r="F57" t="s">
        <v>26</v>
      </c>
      <c r="G57" t="s">
        <v>1103</v>
      </c>
      <c r="H57" t="s">
        <v>60</v>
      </c>
      <c r="I57">
        <v>62.84</v>
      </c>
      <c r="J57">
        <v>63.96</v>
      </c>
      <c r="K57">
        <v>65.92</v>
      </c>
      <c r="L57">
        <v>30.15</v>
      </c>
      <c r="M57">
        <v>31.76</v>
      </c>
      <c r="N57">
        <v>33.32</v>
      </c>
    </row>
    <row r="58" spans="3:14" x14ac:dyDescent="0.15">
      <c r="C58" s="123">
        <v>42583</v>
      </c>
      <c r="D58" t="s">
        <v>23</v>
      </c>
      <c r="E58" t="s">
        <v>137</v>
      </c>
      <c r="F58" t="s">
        <v>26</v>
      </c>
      <c r="G58" t="s">
        <v>1103</v>
      </c>
      <c r="H58" t="s">
        <v>648</v>
      </c>
      <c r="I58">
        <v>61.79</v>
      </c>
      <c r="J58">
        <v>62.91</v>
      </c>
      <c r="K58">
        <v>64.87</v>
      </c>
      <c r="L58">
        <v>29.1</v>
      </c>
      <c r="M58">
        <v>30.71</v>
      </c>
      <c r="N58">
        <v>32.270000000000003</v>
      </c>
    </row>
    <row r="59" spans="3:14" x14ac:dyDescent="0.15">
      <c r="C59" s="123">
        <v>42614</v>
      </c>
      <c r="D59" t="s">
        <v>23</v>
      </c>
      <c r="E59" t="s">
        <v>137</v>
      </c>
      <c r="F59" t="s">
        <v>26</v>
      </c>
      <c r="G59" t="s">
        <v>1103</v>
      </c>
      <c r="H59" t="s">
        <v>59</v>
      </c>
      <c r="I59">
        <v>64.89</v>
      </c>
      <c r="J59">
        <v>66.03</v>
      </c>
      <c r="K59">
        <v>68.05</v>
      </c>
      <c r="L59">
        <v>32.28</v>
      </c>
      <c r="M59">
        <v>33.869999999999997</v>
      </c>
      <c r="N59">
        <v>35.479999999999997</v>
      </c>
    </row>
    <row r="60" spans="3:14" x14ac:dyDescent="0.15">
      <c r="C60" s="123">
        <v>42614</v>
      </c>
      <c r="D60" t="s">
        <v>23</v>
      </c>
      <c r="E60" t="s">
        <v>137</v>
      </c>
      <c r="F60" t="s">
        <v>26</v>
      </c>
      <c r="G60" t="s">
        <v>1103</v>
      </c>
      <c r="H60" t="s">
        <v>60</v>
      </c>
      <c r="I60">
        <v>63.29</v>
      </c>
      <c r="J60">
        <v>64.430000000000007</v>
      </c>
      <c r="K60">
        <v>66.45</v>
      </c>
      <c r="L60">
        <v>30.68</v>
      </c>
      <c r="M60">
        <v>32.270000000000003</v>
      </c>
      <c r="N60">
        <v>33.880000000000003</v>
      </c>
    </row>
    <row r="61" spans="3:14" x14ac:dyDescent="0.15">
      <c r="C61" s="123">
        <v>42614</v>
      </c>
      <c r="D61" t="s">
        <v>23</v>
      </c>
      <c r="E61" t="s">
        <v>137</v>
      </c>
      <c r="F61" t="s">
        <v>26</v>
      </c>
      <c r="G61" t="s">
        <v>1103</v>
      </c>
      <c r="H61" t="s">
        <v>648</v>
      </c>
      <c r="I61">
        <v>62.24</v>
      </c>
      <c r="J61">
        <v>63.38</v>
      </c>
      <c r="K61">
        <v>65.400000000000006</v>
      </c>
      <c r="L61">
        <v>29.63</v>
      </c>
      <c r="M61">
        <v>31.22</v>
      </c>
      <c r="N61">
        <v>32.83</v>
      </c>
    </row>
    <row r="62" spans="3:14" x14ac:dyDescent="0.15">
      <c r="C62" s="123">
        <v>42644</v>
      </c>
      <c r="D62" t="s">
        <v>23</v>
      </c>
      <c r="E62" t="s">
        <v>137</v>
      </c>
      <c r="F62" t="s">
        <v>26</v>
      </c>
      <c r="G62" t="s">
        <v>1103</v>
      </c>
      <c r="H62" t="s">
        <v>59</v>
      </c>
      <c r="I62">
        <v>65.400000000000006</v>
      </c>
      <c r="J62">
        <v>66.760000000000005</v>
      </c>
      <c r="K62">
        <v>68.569999999999993</v>
      </c>
      <c r="L62">
        <v>32.81</v>
      </c>
      <c r="M62">
        <v>34.39</v>
      </c>
      <c r="N62">
        <v>36.049999999999997</v>
      </c>
    </row>
    <row r="63" spans="3:14" x14ac:dyDescent="0.15">
      <c r="C63" s="123">
        <v>42644</v>
      </c>
      <c r="D63" t="s">
        <v>23</v>
      </c>
      <c r="E63" t="s">
        <v>137</v>
      </c>
      <c r="F63" t="s">
        <v>26</v>
      </c>
      <c r="G63" t="s">
        <v>1103</v>
      </c>
      <c r="H63" t="s">
        <v>60</v>
      </c>
      <c r="I63">
        <v>63.8</v>
      </c>
      <c r="J63">
        <v>65.16</v>
      </c>
      <c r="K63">
        <v>66.97</v>
      </c>
      <c r="L63">
        <v>31.21</v>
      </c>
      <c r="M63">
        <v>32.79</v>
      </c>
      <c r="N63">
        <v>34.450000000000003</v>
      </c>
    </row>
    <row r="64" spans="3:14" x14ac:dyDescent="0.15">
      <c r="C64" s="123">
        <v>42644</v>
      </c>
      <c r="D64" t="s">
        <v>23</v>
      </c>
      <c r="E64" t="s">
        <v>137</v>
      </c>
      <c r="F64" t="s">
        <v>26</v>
      </c>
      <c r="G64" t="s">
        <v>1103</v>
      </c>
      <c r="H64" t="s">
        <v>648</v>
      </c>
      <c r="I64">
        <v>62.75</v>
      </c>
      <c r="J64">
        <v>64.11</v>
      </c>
      <c r="K64">
        <v>65.92</v>
      </c>
      <c r="L64">
        <v>30.16</v>
      </c>
      <c r="M64">
        <v>31.74</v>
      </c>
      <c r="N64">
        <v>33.4</v>
      </c>
    </row>
    <row r="65" spans="3:14" x14ac:dyDescent="0.15">
      <c r="C65" s="123">
        <v>42675</v>
      </c>
      <c r="D65" t="s">
        <v>23</v>
      </c>
      <c r="E65" t="s">
        <v>137</v>
      </c>
      <c r="F65" t="s">
        <v>26</v>
      </c>
      <c r="G65" t="s">
        <v>1103</v>
      </c>
      <c r="H65" t="s">
        <v>59</v>
      </c>
      <c r="I65">
        <v>65.95</v>
      </c>
      <c r="J65">
        <v>67.34</v>
      </c>
      <c r="K65">
        <v>69.13</v>
      </c>
      <c r="L65">
        <v>33.36</v>
      </c>
      <c r="M65">
        <v>34.869999999999997</v>
      </c>
      <c r="N65">
        <v>36.6</v>
      </c>
    </row>
    <row r="66" spans="3:14" x14ac:dyDescent="0.15">
      <c r="C66" s="123">
        <v>42675</v>
      </c>
      <c r="D66" t="s">
        <v>23</v>
      </c>
      <c r="E66" t="s">
        <v>137</v>
      </c>
      <c r="F66" t="s">
        <v>26</v>
      </c>
      <c r="G66" t="s">
        <v>1103</v>
      </c>
      <c r="H66" t="s">
        <v>60</v>
      </c>
      <c r="I66">
        <v>64.349999999999994</v>
      </c>
      <c r="J66">
        <v>65.739999999999995</v>
      </c>
      <c r="K66">
        <v>67.53</v>
      </c>
      <c r="L66">
        <v>31.76</v>
      </c>
      <c r="M66">
        <v>33.270000000000003</v>
      </c>
      <c r="N66">
        <v>35</v>
      </c>
    </row>
    <row r="67" spans="3:14" x14ac:dyDescent="0.15">
      <c r="C67" s="123">
        <v>42675</v>
      </c>
      <c r="D67" t="s">
        <v>23</v>
      </c>
      <c r="E67" t="s">
        <v>137</v>
      </c>
      <c r="F67" t="s">
        <v>26</v>
      </c>
      <c r="G67" t="s">
        <v>1103</v>
      </c>
      <c r="H67" t="s">
        <v>648</v>
      </c>
      <c r="I67">
        <v>63.3</v>
      </c>
      <c r="J67">
        <v>64.69</v>
      </c>
      <c r="K67">
        <v>66.48</v>
      </c>
      <c r="L67">
        <v>30.71</v>
      </c>
      <c r="M67">
        <v>32.22</v>
      </c>
      <c r="N67">
        <v>33.950000000000003</v>
      </c>
    </row>
    <row r="68" spans="3:14" x14ac:dyDescent="0.15">
      <c r="C68" s="123">
        <v>42705</v>
      </c>
      <c r="D68" t="s">
        <v>23</v>
      </c>
      <c r="E68" t="s">
        <v>137</v>
      </c>
      <c r="F68" t="s">
        <v>26</v>
      </c>
      <c r="G68" t="s">
        <v>1103</v>
      </c>
      <c r="H68" t="s">
        <v>59</v>
      </c>
      <c r="I68">
        <v>66.41</v>
      </c>
      <c r="J68">
        <v>68</v>
      </c>
      <c r="K68">
        <v>69.650000000000006</v>
      </c>
      <c r="L68">
        <v>33.85</v>
      </c>
      <c r="M68">
        <v>35.340000000000003</v>
      </c>
      <c r="N68">
        <v>37.130000000000003</v>
      </c>
    </row>
    <row r="69" spans="3:14" x14ac:dyDescent="0.15">
      <c r="C69" s="123">
        <v>42705</v>
      </c>
      <c r="D69" t="s">
        <v>23</v>
      </c>
      <c r="E69" t="s">
        <v>137</v>
      </c>
      <c r="F69" t="s">
        <v>26</v>
      </c>
      <c r="G69" t="s">
        <v>1103</v>
      </c>
      <c r="H69" t="s">
        <v>60</v>
      </c>
      <c r="I69">
        <v>64.81</v>
      </c>
      <c r="J69">
        <v>66.400000000000006</v>
      </c>
      <c r="K69">
        <v>68.05</v>
      </c>
      <c r="L69">
        <v>32.25</v>
      </c>
      <c r="M69">
        <v>33.74</v>
      </c>
      <c r="N69">
        <v>35.53</v>
      </c>
    </row>
    <row r="70" spans="3:14" x14ac:dyDescent="0.15">
      <c r="C70" s="123">
        <v>42705</v>
      </c>
      <c r="D70" t="s">
        <v>23</v>
      </c>
      <c r="E70" t="s">
        <v>137</v>
      </c>
      <c r="F70" t="s">
        <v>26</v>
      </c>
      <c r="G70" t="s">
        <v>1103</v>
      </c>
      <c r="H70" t="s">
        <v>648</v>
      </c>
      <c r="I70">
        <v>63.76</v>
      </c>
      <c r="J70">
        <v>65.349999999999994</v>
      </c>
      <c r="K70">
        <v>67</v>
      </c>
      <c r="L70">
        <v>31.2</v>
      </c>
      <c r="M70">
        <v>32.69</v>
      </c>
      <c r="N70">
        <v>34.479999999999997</v>
      </c>
    </row>
    <row r="71" spans="3:14" x14ac:dyDescent="0.15">
      <c r="C71" s="123">
        <v>42736</v>
      </c>
      <c r="D71" t="s">
        <v>23</v>
      </c>
      <c r="E71" t="s">
        <v>137</v>
      </c>
      <c r="F71" t="s">
        <v>26</v>
      </c>
      <c r="G71" t="s">
        <v>1103</v>
      </c>
      <c r="H71" t="s">
        <v>59</v>
      </c>
      <c r="I71">
        <v>66.900000000000006</v>
      </c>
      <c r="J71">
        <v>68.75</v>
      </c>
      <c r="K71">
        <v>70.25</v>
      </c>
      <c r="L71">
        <v>34.4</v>
      </c>
      <c r="M71">
        <v>35.979999999999997</v>
      </c>
      <c r="N71">
        <v>37.71</v>
      </c>
    </row>
    <row r="72" spans="3:14" x14ac:dyDescent="0.15">
      <c r="C72" s="123">
        <v>42736</v>
      </c>
      <c r="D72" t="s">
        <v>23</v>
      </c>
      <c r="E72" t="s">
        <v>137</v>
      </c>
      <c r="F72" t="s">
        <v>26</v>
      </c>
      <c r="G72" t="s">
        <v>1103</v>
      </c>
      <c r="H72" t="s">
        <v>60</v>
      </c>
      <c r="I72">
        <v>65.3</v>
      </c>
      <c r="J72">
        <v>67.150000000000006</v>
      </c>
      <c r="K72">
        <v>68.650000000000006</v>
      </c>
      <c r="L72">
        <v>32.799999999999997</v>
      </c>
      <c r="M72">
        <v>34.380000000000003</v>
      </c>
      <c r="N72">
        <v>36.11</v>
      </c>
    </row>
    <row r="73" spans="3:14" x14ac:dyDescent="0.15">
      <c r="C73" s="123">
        <v>42736</v>
      </c>
      <c r="D73" t="s">
        <v>23</v>
      </c>
      <c r="E73" t="s">
        <v>137</v>
      </c>
      <c r="F73" t="s">
        <v>26</v>
      </c>
      <c r="G73" t="s">
        <v>1103</v>
      </c>
      <c r="H73" t="s">
        <v>648</v>
      </c>
      <c r="I73">
        <v>64.25</v>
      </c>
      <c r="J73">
        <v>66.099999999999994</v>
      </c>
      <c r="K73">
        <v>67.599999999999994</v>
      </c>
      <c r="L73">
        <v>31.75</v>
      </c>
      <c r="M73">
        <v>33.33</v>
      </c>
      <c r="N73">
        <v>35.06</v>
      </c>
    </row>
    <row r="74" spans="3:14" x14ac:dyDescent="0.15">
      <c r="C74" s="123">
        <v>42401</v>
      </c>
      <c r="D74" t="s">
        <v>37</v>
      </c>
      <c r="E74" t="s">
        <v>38</v>
      </c>
      <c r="F74" t="s">
        <v>39</v>
      </c>
      <c r="G74" t="s">
        <v>120</v>
      </c>
      <c r="H74" t="s">
        <v>59</v>
      </c>
      <c r="I74">
        <v>85.14</v>
      </c>
      <c r="J74">
        <v>85.79</v>
      </c>
      <c r="K74">
        <v>85.12</v>
      </c>
      <c r="L74">
        <v>37.74</v>
      </c>
      <c r="M74">
        <v>37.9</v>
      </c>
      <c r="N74">
        <v>37.79</v>
      </c>
    </row>
    <row r="75" spans="3:14" x14ac:dyDescent="0.15">
      <c r="C75" s="123">
        <v>42401</v>
      </c>
      <c r="D75" t="s">
        <v>37</v>
      </c>
      <c r="E75" t="s">
        <v>38</v>
      </c>
      <c r="F75" t="s">
        <v>39</v>
      </c>
      <c r="G75" t="s">
        <v>120</v>
      </c>
      <c r="H75" t="s">
        <v>60</v>
      </c>
      <c r="I75">
        <v>83.54</v>
      </c>
      <c r="J75">
        <v>84.19</v>
      </c>
      <c r="K75">
        <v>83.52</v>
      </c>
      <c r="L75">
        <v>36.14</v>
      </c>
      <c r="M75">
        <v>36.299999999999997</v>
      </c>
      <c r="N75">
        <v>36.19</v>
      </c>
    </row>
    <row r="76" spans="3:14" x14ac:dyDescent="0.15">
      <c r="C76" s="123">
        <v>42401</v>
      </c>
      <c r="D76" t="s">
        <v>37</v>
      </c>
      <c r="E76" t="s">
        <v>38</v>
      </c>
      <c r="F76" t="s">
        <v>39</v>
      </c>
      <c r="G76" t="s">
        <v>120</v>
      </c>
      <c r="H76" t="s">
        <v>648</v>
      </c>
      <c r="I76">
        <v>82.49</v>
      </c>
      <c r="J76">
        <v>83.14</v>
      </c>
      <c r="K76">
        <v>82.47</v>
      </c>
      <c r="L76">
        <v>35.090000000000003</v>
      </c>
      <c r="M76">
        <v>35.25</v>
      </c>
      <c r="N76">
        <v>35.14</v>
      </c>
    </row>
    <row r="77" spans="3:14" x14ac:dyDescent="0.15">
      <c r="C77" s="123">
        <v>42430</v>
      </c>
      <c r="D77" t="s">
        <v>37</v>
      </c>
      <c r="E77" t="s">
        <v>38</v>
      </c>
      <c r="F77" t="s">
        <v>39</v>
      </c>
      <c r="G77" t="s">
        <v>120</v>
      </c>
      <c r="H77" t="s">
        <v>59</v>
      </c>
      <c r="I77">
        <v>85.72</v>
      </c>
      <c r="J77">
        <v>85.72</v>
      </c>
      <c r="K77">
        <v>85.42</v>
      </c>
      <c r="L77">
        <v>37.78</v>
      </c>
      <c r="M77">
        <v>37.75</v>
      </c>
      <c r="N77">
        <v>37.83</v>
      </c>
    </row>
    <row r="78" spans="3:14" x14ac:dyDescent="0.15">
      <c r="C78" s="123">
        <v>42430</v>
      </c>
      <c r="D78" t="s">
        <v>37</v>
      </c>
      <c r="E78" t="s">
        <v>38</v>
      </c>
      <c r="F78" t="s">
        <v>39</v>
      </c>
      <c r="G78" t="s">
        <v>120</v>
      </c>
      <c r="H78" t="s">
        <v>60</v>
      </c>
      <c r="I78">
        <v>84.12</v>
      </c>
      <c r="J78">
        <v>84.12</v>
      </c>
      <c r="K78">
        <v>83.82</v>
      </c>
      <c r="L78">
        <v>36.18</v>
      </c>
      <c r="M78">
        <v>36.15</v>
      </c>
      <c r="N78">
        <v>36.229999999999997</v>
      </c>
    </row>
    <row r="79" spans="3:14" x14ac:dyDescent="0.15">
      <c r="C79" s="123">
        <v>42430</v>
      </c>
      <c r="D79" t="s">
        <v>37</v>
      </c>
      <c r="E79" t="s">
        <v>38</v>
      </c>
      <c r="F79" t="s">
        <v>39</v>
      </c>
      <c r="G79" t="s">
        <v>120</v>
      </c>
      <c r="H79" t="s">
        <v>648</v>
      </c>
      <c r="I79">
        <v>83.07</v>
      </c>
      <c r="J79">
        <v>83.07</v>
      </c>
      <c r="K79">
        <v>82.77</v>
      </c>
      <c r="L79">
        <v>35.130000000000003</v>
      </c>
      <c r="M79">
        <v>35.1</v>
      </c>
      <c r="N79">
        <v>35.18</v>
      </c>
    </row>
    <row r="80" spans="3:14" x14ac:dyDescent="0.15">
      <c r="C80" s="123">
        <v>42461</v>
      </c>
      <c r="D80" t="s">
        <v>37</v>
      </c>
      <c r="E80" t="s">
        <v>38</v>
      </c>
      <c r="F80" t="s">
        <v>39</v>
      </c>
      <c r="G80" t="s">
        <v>120</v>
      </c>
      <c r="H80" t="s">
        <v>59</v>
      </c>
      <c r="I80">
        <v>85.84</v>
      </c>
      <c r="J80">
        <v>85.25</v>
      </c>
      <c r="K80">
        <v>85.38</v>
      </c>
      <c r="L80">
        <v>37.799999999999997</v>
      </c>
      <c r="M80">
        <v>37.57</v>
      </c>
      <c r="N80">
        <v>37.85</v>
      </c>
    </row>
    <row r="81" spans="3:14" x14ac:dyDescent="0.15">
      <c r="C81" s="123">
        <v>42461</v>
      </c>
      <c r="D81" t="s">
        <v>37</v>
      </c>
      <c r="E81" t="s">
        <v>38</v>
      </c>
      <c r="F81" t="s">
        <v>39</v>
      </c>
      <c r="G81" t="s">
        <v>120</v>
      </c>
      <c r="H81" t="s">
        <v>60</v>
      </c>
      <c r="I81">
        <v>84.24</v>
      </c>
      <c r="J81">
        <v>83.65</v>
      </c>
      <c r="K81">
        <v>83.78</v>
      </c>
      <c r="L81">
        <v>36.200000000000003</v>
      </c>
      <c r="M81">
        <v>35.97</v>
      </c>
      <c r="N81">
        <v>36.25</v>
      </c>
    </row>
    <row r="82" spans="3:14" x14ac:dyDescent="0.15">
      <c r="C82" s="123">
        <v>42461</v>
      </c>
      <c r="D82" t="s">
        <v>37</v>
      </c>
      <c r="E82" t="s">
        <v>38</v>
      </c>
      <c r="F82" t="s">
        <v>39</v>
      </c>
      <c r="G82" t="s">
        <v>120</v>
      </c>
      <c r="H82" t="s">
        <v>648</v>
      </c>
      <c r="I82">
        <v>83.19</v>
      </c>
      <c r="J82">
        <v>82.6</v>
      </c>
      <c r="K82">
        <v>82.73</v>
      </c>
      <c r="L82">
        <v>35.15</v>
      </c>
      <c r="M82">
        <v>34.92</v>
      </c>
      <c r="N82">
        <v>35.200000000000003</v>
      </c>
    </row>
    <row r="83" spans="3:14" x14ac:dyDescent="0.15">
      <c r="C83" s="123">
        <v>42491</v>
      </c>
      <c r="D83" t="s">
        <v>37</v>
      </c>
      <c r="E83" t="s">
        <v>38</v>
      </c>
      <c r="F83" t="s">
        <v>39</v>
      </c>
      <c r="G83" t="s">
        <v>120</v>
      </c>
      <c r="H83" t="s">
        <v>59</v>
      </c>
      <c r="I83">
        <v>85.92</v>
      </c>
      <c r="J83">
        <v>84.99</v>
      </c>
      <c r="K83">
        <v>85.33</v>
      </c>
      <c r="L83">
        <v>37.82</v>
      </c>
      <c r="M83">
        <v>37.549999999999997</v>
      </c>
      <c r="N83">
        <v>37.86</v>
      </c>
    </row>
    <row r="84" spans="3:14" x14ac:dyDescent="0.15">
      <c r="C84" s="123">
        <v>42491</v>
      </c>
      <c r="D84" t="s">
        <v>37</v>
      </c>
      <c r="E84" t="s">
        <v>38</v>
      </c>
      <c r="F84" t="s">
        <v>39</v>
      </c>
      <c r="G84" t="s">
        <v>120</v>
      </c>
      <c r="H84" t="s">
        <v>60</v>
      </c>
      <c r="I84">
        <v>84.32</v>
      </c>
      <c r="J84">
        <v>83.39</v>
      </c>
      <c r="K84">
        <v>83.73</v>
      </c>
      <c r="L84">
        <v>36.22</v>
      </c>
      <c r="M84">
        <v>35.950000000000003</v>
      </c>
      <c r="N84">
        <v>36.26</v>
      </c>
    </row>
    <row r="85" spans="3:14" x14ac:dyDescent="0.15">
      <c r="C85" s="123">
        <v>42491</v>
      </c>
      <c r="D85" t="s">
        <v>37</v>
      </c>
      <c r="E85" t="s">
        <v>38</v>
      </c>
      <c r="F85" t="s">
        <v>39</v>
      </c>
      <c r="G85" t="s">
        <v>120</v>
      </c>
      <c r="H85" t="s">
        <v>648</v>
      </c>
      <c r="I85">
        <v>83.27</v>
      </c>
      <c r="J85">
        <v>82.34</v>
      </c>
      <c r="K85">
        <v>82.68</v>
      </c>
      <c r="L85">
        <v>35.17</v>
      </c>
      <c r="M85">
        <v>34.9</v>
      </c>
      <c r="N85">
        <v>35.21</v>
      </c>
    </row>
    <row r="86" spans="3:14" x14ac:dyDescent="0.15">
      <c r="C86" s="123">
        <v>42522</v>
      </c>
      <c r="D86" t="s">
        <v>37</v>
      </c>
      <c r="E86" t="s">
        <v>38</v>
      </c>
      <c r="F86" t="s">
        <v>39</v>
      </c>
      <c r="G86" t="s">
        <v>120</v>
      </c>
      <c r="H86" t="s">
        <v>59</v>
      </c>
      <c r="I86">
        <v>85.89</v>
      </c>
      <c r="J86">
        <v>84.62</v>
      </c>
      <c r="K86">
        <v>85.24</v>
      </c>
      <c r="L86">
        <v>37.799999999999997</v>
      </c>
      <c r="M86">
        <v>37.44</v>
      </c>
      <c r="N86">
        <v>37.85</v>
      </c>
    </row>
    <row r="87" spans="3:14" x14ac:dyDescent="0.15">
      <c r="C87" s="123">
        <v>42522</v>
      </c>
      <c r="D87" t="s">
        <v>37</v>
      </c>
      <c r="E87" t="s">
        <v>38</v>
      </c>
      <c r="F87" t="s">
        <v>39</v>
      </c>
      <c r="G87" t="s">
        <v>120</v>
      </c>
      <c r="H87" t="s">
        <v>60</v>
      </c>
      <c r="I87">
        <v>84.29</v>
      </c>
      <c r="J87">
        <v>83.02</v>
      </c>
      <c r="K87">
        <v>83.64</v>
      </c>
      <c r="L87">
        <v>36.200000000000003</v>
      </c>
      <c r="M87">
        <v>35.840000000000003</v>
      </c>
      <c r="N87">
        <v>36.25</v>
      </c>
    </row>
    <row r="88" spans="3:14" x14ac:dyDescent="0.15">
      <c r="C88" s="123">
        <v>42522</v>
      </c>
      <c r="D88" t="s">
        <v>37</v>
      </c>
      <c r="E88" t="s">
        <v>38</v>
      </c>
      <c r="F88" t="s">
        <v>39</v>
      </c>
      <c r="G88" t="s">
        <v>120</v>
      </c>
      <c r="H88" t="s">
        <v>648</v>
      </c>
      <c r="I88">
        <v>83.24</v>
      </c>
      <c r="J88">
        <v>81.97</v>
      </c>
      <c r="K88">
        <v>82.59</v>
      </c>
      <c r="L88">
        <v>35.15</v>
      </c>
      <c r="M88">
        <v>34.79</v>
      </c>
      <c r="N88">
        <v>35.200000000000003</v>
      </c>
    </row>
    <row r="89" spans="3:14" x14ac:dyDescent="0.15">
      <c r="C89" s="123">
        <v>42552</v>
      </c>
      <c r="D89" t="s">
        <v>37</v>
      </c>
      <c r="E89" t="s">
        <v>38</v>
      </c>
      <c r="F89" t="s">
        <v>39</v>
      </c>
      <c r="G89" t="s">
        <v>120</v>
      </c>
      <c r="H89" t="s">
        <v>59</v>
      </c>
      <c r="I89">
        <v>85.76</v>
      </c>
      <c r="J89">
        <v>84.41</v>
      </c>
      <c r="K89">
        <v>85.14</v>
      </c>
      <c r="L89">
        <v>37.78</v>
      </c>
      <c r="M89">
        <v>37.520000000000003</v>
      </c>
      <c r="N89">
        <v>37.9</v>
      </c>
    </row>
    <row r="90" spans="3:14" x14ac:dyDescent="0.15">
      <c r="C90" s="123">
        <v>42552</v>
      </c>
      <c r="D90" t="s">
        <v>37</v>
      </c>
      <c r="E90" t="s">
        <v>38</v>
      </c>
      <c r="F90" t="s">
        <v>39</v>
      </c>
      <c r="G90" t="s">
        <v>120</v>
      </c>
      <c r="H90" t="s">
        <v>60</v>
      </c>
      <c r="I90">
        <v>84.16</v>
      </c>
      <c r="J90">
        <v>82.81</v>
      </c>
      <c r="K90">
        <v>83.54</v>
      </c>
      <c r="L90">
        <v>36.18</v>
      </c>
      <c r="M90">
        <v>35.92</v>
      </c>
      <c r="N90">
        <v>36.299999999999997</v>
      </c>
    </row>
    <row r="91" spans="3:14" x14ac:dyDescent="0.15">
      <c r="C91" s="123">
        <v>42552</v>
      </c>
      <c r="D91" t="s">
        <v>37</v>
      </c>
      <c r="E91" t="s">
        <v>38</v>
      </c>
      <c r="F91" t="s">
        <v>39</v>
      </c>
      <c r="G91" t="s">
        <v>120</v>
      </c>
      <c r="H91" t="s">
        <v>648</v>
      </c>
      <c r="I91">
        <v>83.11</v>
      </c>
      <c r="J91">
        <v>81.760000000000005</v>
      </c>
      <c r="K91">
        <v>82.49</v>
      </c>
      <c r="L91">
        <v>35.130000000000003</v>
      </c>
      <c r="M91">
        <v>34.869999999999997</v>
      </c>
      <c r="N91">
        <v>35.25</v>
      </c>
    </row>
    <row r="92" spans="3:14" x14ac:dyDescent="0.15">
      <c r="C92" s="123">
        <v>42583</v>
      </c>
      <c r="D92" t="s">
        <v>37</v>
      </c>
      <c r="E92" t="s">
        <v>38</v>
      </c>
      <c r="F92" t="s">
        <v>39</v>
      </c>
      <c r="G92" t="s">
        <v>120</v>
      </c>
      <c r="H92" t="s">
        <v>59</v>
      </c>
      <c r="I92">
        <v>85.77</v>
      </c>
      <c r="J92">
        <v>84.89</v>
      </c>
      <c r="K92">
        <v>85.22</v>
      </c>
      <c r="L92">
        <v>37.799999999999997</v>
      </c>
      <c r="M92">
        <v>37.68</v>
      </c>
      <c r="N92">
        <v>37.979999999999997</v>
      </c>
    </row>
    <row r="93" spans="3:14" x14ac:dyDescent="0.15">
      <c r="C93" s="123">
        <v>42583</v>
      </c>
      <c r="D93" t="s">
        <v>37</v>
      </c>
      <c r="E93" t="s">
        <v>38</v>
      </c>
      <c r="F93" t="s">
        <v>39</v>
      </c>
      <c r="G93" t="s">
        <v>120</v>
      </c>
      <c r="H93" t="s">
        <v>60</v>
      </c>
      <c r="I93">
        <v>84.17</v>
      </c>
      <c r="J93">
        <v>83.29</v>
      </c>
      <c r="K93">
        <v>83.62</v>
      </c>
      <c r="L93">
        <v>36.200000000000003</v>
      </c>
      <c r="M93">
        <v>36.08</v>
      </c>
      <c r="N93">
        <v>36.380000000000003</v>
      </c>
    </row>
    <row r="94" spans="3:14" x14ac:dyDescent="0.15">
      <c r="C94" s="123">
        <v>42583</v>
      </c>
      <c r="D94" t="s">
        <v>37</v>
      </c>
      <c r="E94" t="s">
        <v>38</v>
      </c>
      <c r="F94" t="s">
        <v>39</v>
      </c>
      <c r="G94" t="s">
        <v>120</v>
      </c>
      <c r="H94" t="s">
        <v>648</v>
      </c>
      <c r="I94">
        <v>83.12</v>
      </c>
      <c r="J94">
        <v>82.24</v>
      </c>
      <c r="K94">
        <v>82.57</v>
      </c>
      <c r="L94">
        <v>35.15</v>
      </c>
      <c r="M94">
        <v>35.03</v>
      </c>
      <c r="N94">
        <v>35.33</v>
      </c>
    </row>
    <row r="95" spans="3:14" x14ac:dyDescent="0.15">
      <c r="C95" s="123">
        <v>42614</v>
      </c>
      <c r="D95" t="s">
        <v>37</v>
      </c>
      <c r="E95" t="s">
        <v>38</v>
      </c>
      <c r="F95" t="s">
        <v>39</v>
      </c>
      <c r="G95" t="s">
        <v>120</v>
      </c>
      <c r="H95" t="s">
        <v>59</v>
      </c>
      <c r="I95">
        <v>85.75</v>
      </c>
      <c r="J95">
        <v>85.33</v>
      </c>
      <c r="K95">
        <v>85.25</v>
      </c>
      <c r="L95">
        <v>37.79</v>
      </c>
      <c r="M95">
        <v>37.880000000000003</v>
      </c>
      <c r="N95">
        <v>38.049999999999997</v>
      </c>
    </row>
    <row r="96" spans="3:14" x14ac:dyDescent="0.15">
      <c r="C96" s="123">
        <v>42614</v>
      </c>
      <c r="D96" t="s">
        <v>37</v>
      </c>
      <c r="E96" t="s">
        <v>38</v>
      </c>
      <c r="F96" t="s">
        <v>39</v>
      </c>
      <c r="G96" t="s">
        <v>120</v>
      </c>
      <c r="H96" t="s">
        <v>60</v>
      </c>
      <c r="I96">
        <v>84.15</v>
      </c>
      <c r="J96">
        <v>83.73</v>
      </c>
      <c r="K96">
        <v>83.65</v>
      </c>
      <c r="L96">
        <v>36.19</v>
      </c>
      <c r="M96">
        <v>36.28</v>
      </c>
      <c r="N96">
        <v>36.450000000000003</v>
      </c>
    </row>
    <row r="97" spans="3:14" x14ac:dyDescent="0.15">
      <c r="C97" s="123">
        <v>42614</v>
      </c>
      <c r="D97" t="s">
        <v>37</v>
      </c>
      <c r="E97" t="s">
        <v>38</v>
      </c>
      <c r="F97" t="s">
        <v>39</v>
      </c>
      <c r="G97" t="s">
        <v>120</v>
      </c>
      <c r="H97" t="s">
        <v>648</v>
      </c>
      <c r="I97">
        <v>83.1</v>
      </c>
      <c r="J97">
        <v>82.68</v>
      </c>
      <c r="K97">
        <v>82.6</v>
      </c>
      <c r="L97">
        <v>35.14</v>
      </c>
      <c r="M97">
        <v>35.229999999999997</v>
      </c>
      <c r="N97">
        <v>35.4</v>
      </c>
    </row>
    <row r="98" spans="3:14" x14ac:dyDescent="0.15">
      <c r="C98" s="123">
        <v>42644</v>
      </c>
      <c r="D98" t="s">
        <v>37</v>
      </c>
      <c r="E98" t="s">
        <v>38</v>
      </c>
      <c r="F98" t="s">
        <v>39</v>
      </c>
      <c r="G98" t="s">
        <v>120</v>
      </c>
      <c r="H98" t="s">
        <v>59</v>
      </c>
      <c r="I98">
        <v>85.62</v>
      </c>
      <c r="J98">
        <v>85.68</v>
      </c>
      <c r="K98">
        <v>85.19</v>
      </c>
      <c r="L98">
        <v>37.79</v>
      </c>
      <c r="M98">
        <v>38.1</v>
      </c>
      <c r="N98">
        <v>38.130000000000003</v>
      </c>
    </row>
    <row r="99" spans="3:14" x14ac:dyDescent="0.15">
      <c r="C99" s="123">
        <v>42644</v>
      </c>
      <c r="D99" t="s">
        <v>37</v>
      </c>
      <c r="E99" t="s">
        <v>38</v>
      </c>
      <c r="F99" t="s">
        <v>39</v>
      </c>
      <c r="G99" t="s">
        <v>120</v>
      </c>
      <c r="H99" t="s">
        <v>60</v>
      </c>
      <c r="I99">
        <v>84.02</v>
      </c>
      <c r="J99">
        <v>84.08</v>
      </c>
      <c r="K99">
        <v>83.59</v>
      </c>
      <c r="L99">
        <v>36.19</v>
      </c>
      <c r="M99">
        <v>36.5</v>
      </c>
      <c r="N99">
        <v>36.53</v>
      </c>
    </row>
    <row r="100" spans="3:14" x14ac:dyDescent="0.15">
      <c r="C100" s="123">
        <v>42644</v>
      </c>
      <c r="D100" t="s">
        <v>37</v>
      </c>
      <c r="E100" t="s">
        <v>38</v>
      </c>
      <c r="F100" t="s">
        <v>39</v>
      </c>
      <c r="G100" t="s">
        <v>120</v>
      </c>
      <c r="H100" t="s">
        <v>648</v>
      </c>
      <c r="I100">
        <v>82.97</v>
      </c>
      <c r="J100">
        <v>83.03</v>
      </c>
      <c r="K100">
        <v>82.54</v>
      </c>
      <c r="L100">
        <v>35.14</v>
      </c>
      <c r="M100">
        <v>35.450000000000003</v>
      </c>
      <c r="N100">
        <v>35.479999999999997</v>
      </c>
    </row>
    <row r="101" spans="3:14" x14ac:dyDescent="0.15">
      <c r="C101" s="123">
        <v>42675</v>
      </c>
      <c r="D101" t="s">
        <v>37</v>
      </c>
      <c r="E101" t="s">
        <v>38</v>
      </c>
      <c r="F101" t="s">
        <v>39</v>
      </c>
      <c r="G101" t="s">
        <v>120</v>
      </c>
      <c r="H101" t="s">
        <v>59</v>
      </c>
      <c r="I101">
        <v>85.45</v>
      </c>
      <c r="J101">
        <v>85.76</v>
      </c>
      <c r="K101">
        <v>85.15</v>
      </c>
      <c r="L101">
        <v>37.76</v>
      </c>
      <c r="M101">
        <v>38.119999999999997</v>
      </c>
      <c r="N101">
        <v>38.18</v>
      </c>
    </row>
    <row r="102" spans="3:14" x14ac:dyDescent="0.15">
      <c r="C102" s="123">
        <v>42675</v>
      </c>
      <c r="D102" t="s">
        <v>37</v>
      </c>
      <c r="E102" t="s">
        <v>38</v>
      </c>
      <c r="F102" t="s">
        <v>39</v>
      </c>
      <c r="G102" t="s">
        <v>120</v>
      </c>
      <c r="H102" t="s">
        <v>60</v>
      </c>
      <c r="I102">
        <v>83.85</v>
      </c>
      <c r="J102">
        <v>84.16</v>
      </c>
      <c r="K102">
        <v>83.55</v>
      </c>
      <c r="L102">
        <v>36.159999999999997</v>
      </c>
      <c r="M102">
        <v>36.520000000000003</v>
      </c>
      <c r="N102">
        <v>36.58</v>
      </c>
    </row>
    <row r="103" spans="3:14" x14ac:dyDescent="0.15">
      <c r="C103" s="123">
        <v>42675</v>
      </c>
      <c r="D103" t="s">
        <v>37</v>
      </c>
      <c r="E103" t="s">
        <v>38</v>
      </c>
      <c r="F103" t="s">
        <v>39</v>
      </c>
      <c r="G103" t="s">
        <v>120</v>
      </c>
      <c r="H103" t="s">
        <v>648</v>
      </c>
      <c r="I103">
        <v>82.8</v>
      </c>
      <c r="J103">
        <v>83.11</v>
      </c>
      <c r="K103">
        <v>82.5</v>
      </c>
      <c r="L103">
        <v>35.11</v>
      </c>
      <c r="M103">
        <v>35.47</v>
      </c>
      <c r="N103">
        <v>35.53</v>
      </c>
    </row>
    <row r="104" spans="3:14" x14ac:dyDescent="0.15">
      <c r="C104" s="123">
        <v>42705</v>
      </c>
      <c r="D104" t="s">
        <v>37</v>
      </c>
      <c r="E104" t="s">
        <v>38</v>
      </c>
      <c r="F104" t="s">
        <v>39</v>
      </c>
      <c r="G104" t="s">
        <v>120</v>
      </c>
      <c r="H104" t="s">
        <v>59</v>
      </c>
      <c r="I104">
        <v>85.12</v>
      </c>
      <c r="J104">
        <v>85.8</v>
      </c>
      <c r="K104">
        <v>85.03</v>
      </c>
      <c r="L104">
        <v>37.67</v>
      </c>
      <c r="M104">
        <v>38.15</v>
      </c>
      <c r="N104">
        <v>38.19</v>
      </c>
    </row>
    <row r="105" spans="3:14" x14ac:dyDescent="0.15">
      <c r="C105" s="123">
        <v>42705</v>
      </c>
      <c r="D105" t="s">
        <v>37</v>
      </c>
      <c r="E105" t="s">
        <v>38</v>
      </c>
      <c r="F105" t="s">
        <v>39</v>
      </c>
      <c r="G105" t="s">
        <v>120</v>
      </c>
      <c r="H105" t="s">
        <v>60</v>
      </c>
      <c r="I105">
        <v>83.52</v>
      </c>
      <c r="J105">
        <v>84.2</v>
      </c>
      <c r="K105">
        <v>83.43</v>
      </c>
      <c r="L105">
        <v>36.07</v>
      </c>
      <c r="M105">
        <v>36.549999999999997</v>
      </c>
      <c r="N105">
        <v>36.590000000000003</v>
      </c>
    </row>
    <row r="106" spans="3:14" x14ac:dyDescent="0.15">
      <c r="C106" s="123">
        <v>42705</v>
      </c>
      <c r="D106" t="s">
        <v>37</v>
      </c>
      <c r="E106" t="s">
        <v>38</v>
      </c>
      <c r="F106" t="s">
        <v>39</v>
      </c>
      <c r="G106" t="s">
        <v>120</v>
      </c>
      <c r="H106" t="s">
        <v>648</v>
      </c>
      <c r="I106">
        <v>82.47</v>
      </c>
      <c r="J106">
        <v>83.15</v>
      </c>
      <c r="K106">
        <v>82.38</v>
      </c>
      <c r="L106">
        <v>35.020000000000003</v>
      </c>
      <c r="M106">
        <v>35.5</v>
      </c>
      <c r="N106">
        <v>35.54</v>
      </c>
    </row>
    <row r="107" spans="3:14" x14ac:dyDescent="0.15">
      <c r="C107" s="123">
        <v>42736</v>
      </c>
      <c r="D107" t="s">
        <v>37</v>
      </c>
      <c r="E107" t="s">
        <v>38</v>
      </c>
      <c r="F107" t="s">
        <v>39</v>
      </c>
      <c r="G107" t="s">
        <v>120</v>
      </c>
      <c r="H107" t="s">
        <v>59</v>
      </c>
      <c r="I107">
        <v>85.12</v>
      </c>
      <c r="J107">
        <v>85.87</v>
      </c>
      <c r="K107">
        <v>85.12</v>
      </c>
      <c r="L107">
        <v>37.79</v>
      </c>
      <c r="M107">
        <v>38.22</v>
      </c>
      <c r="N107">
        <v>38.32</v>
      </c>
    </row>
    <row r="108" spans="3:14" x14ac:dyDescent="0.15">
      <c r="C108" s="123">
        <v>42736</v>
      </c>
      <c r="D108" t="s">
        <v>37</v>
      </c>
      <c r="E108" t="s">
        <v>38</v>
      </c>
      <c r="F108" t="s">
        <v>39</v>
      </c>
      <c r="G108" t="s">
        <v>120</v>
      </c>
      <c r="H108" t="s">
        <v>60</v>
      </c>
      <c r="I108">
        <v>83.52</v>
      </c>
      <c r="J108">
        <v>84.27</v>
      </c>
      <c r="K108">
        <v>83.52</v>
      </c>
      <c r="L108">
        <v>36.19</v>
      </c>
      <c r="M108">
        <v>36.619999999999997</v>
      </c>
      <c r="N108">
        <v>36.72</v>
      </c>
    </row>
    <row r="109" spans="3:14" x14ac:dyDescent="0.15">
      <c r="C109" s="123">
        <v>42736</v>
      </c>
      <c r="D109" t="s">
        <v>37</v>
      </c>
      <c r="E109" t="s">
        <v>38</v>
      </c>
      <c r="F109" t="s">
        <v>39</v>
      </c>
      <c r="G109" t="s">
        <v>120</v>
      </c>
      <c r="H109" t="s">
        <v>648</v>
      </c>
      <c r="I109">
        <v>82.47</v>
      </c>
      <c r="J109">
        <v>83.22</v>
      </c>
      <c r="K109">
        <v>82.47</v>
      </c>
      <c r="L109">
        <v>35.14</v>
      </c>
      <c r="M109">
        <v>35.57</v>
      </c>
      <c r="N109">
        <v>35.67</v>
      </c>
    </row>
    <row r="110" spans="3:14" x14ac:dyDescent="0.15">
      <c r="C110" s="123">
        <v>42401</v>
      </c>
      <c r="D110" t="s">
        <v>37</v>
      </c>
      <c r="E110" t="s">
        <v>38</v>
      </c>
      <c r="F110" t="s">
        <v>40</v>
      </c>
      <c r="G110" t="s">
        <v>123</v>
      </c>
      <c r="H110" t="s">
        <v>59</v>
      </c>
      <c r="I110">
        <v>84.51</v>
      </c>
      <c r="J110">
        <v>85.21</v>
      </c>
      <c r="K110">
        <v>84.36</v>
      </c>
      <c r="L110">
        <v>37.700000000000003</v>
      </c>
      <c r="M110">
        <v>37.93</v>
      </c>
      <c r="N110">
        <v>37.67</v>
      </c>
    </row>
    <row r="111" spans="3:14" x14ac:dyDescent="0.15">
      <c r="C111" s="123">
        <v>42401</v>
      </c>
      <c r="D111" t="s">
        <v>37</v>
      </c>
      <c r="E111" t="s">
        <v>38</v>
      </c>
      <c r="F111" t="s">
        <v>40</v>
      </c>
      <c r="G111" t="s">
        <v>123</v>
      </c>
      <c r="H111" t="s">
        <v>60</v>
      </c>
      <c r="I111">
        <v>82.91</v>
      </c>
      <c r="J111">
        <v>83.61</v>
      </c>
      <c r="K111">
        <v>82.76</v>
      </c>
      <c r="L111">
        <v>36.1</v>
      </c>
      <c r="M111">
        <v>36.33</v>
      </c>
      <c r="N111">
        <v>36.07</v>
      </c>
    </row>
    <row r="112" spans="3:14" x14ac:dyDescent="0.15">
      <c r="C112" s="123">
        <v>42401</v>
      </c>
      <c r="D112" t="s">
        <v>37</v>
      </c>
      <c r="E112" t="s">
        <v>38</v>
      </c>
      <c r="F112" t="s">
        <v>40</v>
      </c>
      <c r="G112" t="s">
        <v>123</v>
      </c>
      <c r="H112" t="s">
        <v>648</v>
      </c>
      <c r="I112">
        <v>81.86</v>
      </c>
      <c r="J112">
        <v>82.56</v>
      </c>
      <c r="K112">
        <v>81.709999999999994</v>
      </c>
      <c r="L112">
        <v>35.049999999999997</v>
      </c>
      <c r="M112">
        <v>35.28</v>
      </c>
      <c r="N112">
        <v>35.020000000000003</v>
      </c>
    </row>
    <row r="113" spans="3:14" x14ac:dyDescent="0.15">
      <c r="C113" s="123">
        <v>42430</v>
      </c>
      <c r="D113" t="s">
        <v>37</v>
      </c>
      <c r="E113" t="s">
        <v>38</v>
      </c>
      <c r="F113" t="s">
        <v>40</v>
      </c>
      <c r="G113" t="s">
        <v>123</v>
      </c>
      <c r="H113" t="s">
        <v>59</v>
      </c>
      <c r="I113">
        <v>85.03</v>
      </c>
      <c r="J113">
        <v>84.89</v>
      </c>
      <c r="K113">
        <v>84.62</v>
      </c>
      <c r="L113">
        <v>37.74</v>
      </c>
      <c r="M113">
        <v>37.6</v>
      </c>
      <c r="N113">
        <v>37.71</v>
      </c>
    </row>
    <row r="114" spans="3:14" x14ac:dyDescent="0.15">
      <c r="C114" s="123">
        <v>42430</v>
      </c>
      <c r="D114" t="s">
        <v>37</v>
      </c>
      <c r="E114" t="s">
        <v>38</v>
      </c>
      <c r="F114" t="s">
        <v>40</v>
      </c>
      <c r="G114" t="s">
        <v>123</v>
      </c>
      <c r="H114" t="s">
        <v>60</v>
      </c>
      <c r="I114">
        <v>83.43</v>
      </c>
      <c r="J114">
        <v>83.29</v>
      </c>
      <c r="K114">
        <v>83.02</v>
      </c>
      <c r="L114">
        <v>36.14</v>
      </c>
      <c r="M114">
        <v>36</v>
      </c>
      <c r="N114">
        <v>36.11</v>
      </c>
    </row>
    <row r="115" spans="3:14" x14ac:dyDescent="0.15">
      <c r="C115" s="123">
        <v>42430</v>
      </c>
      <c r="D115" t="s">
        <v>37</v>
      </c>
      <c r="E115" t="s">
        <v>38</v>
      </c>
      <c r="F115" t="s">
        <v>40</v>
      </c>
      <c r="G115" t="s">
        <v>123</v>
      </c>
      <c r="H115" t="s">
        <v>648</v>
      </c>
      <c r="I115">
        <v>82.38</v>
      </c>
      <c r="J115">
        <v>82.24</v>
      </c>
      <c r="K115">
        <v>81.97</v>
      </c>
      <c r="L115">
        <v>35.090000000000003</v>
      </c>
      <c r="M115">
        <v>34.950000000000003</v>
      </c>
      <c r="N115">
        <v>35.06</v>
      </c>
    </row>
    <row r="116" spans="3:14" x14ac:dyDescent="0.15">
      <c r="C116" s="123">
        <v>42461</v>
      </c>
      <c r="D116" t="s">
        <v>37</v>
      </c>
      <c r="E116" t="s">
        <v>38</v>
      </c>
      <c r="F116" t="s">
        <v>40</v>
      </c>
      <c r="G116" t="s">
        <v>123</v>
      </c>
      <c r="H116" t="s">
        <v>59</v>
      </c>
      <c r="I116">
        <v>85.14</v>
      </c>
      <c r="J116">
        <v>84.25</v>
      </c>
      <c r="K116">
        <v>84.58</v>
      </c>
      <c r="L116">
        <v>37.75</v>
      </c>
      <c r="M116">
        <v>37.299999999999997</v>
      </c>
      <c r="N116">
        <v>37.72</v>
      </c>
    </row>
    <row r="117" spans="3:14" x14ac:dyDescent="0.15">
      <c r="C117" s="123">
        <v>42461</v>
      </c>
      <c r="D117" t="s">
        <v>37</v>
      </c>
      <c r="E117" t="s">
        <v>38</v>
      </c>
      <c r="F117" t="s">
        <v>40</v>
      </c>
      <c r="G117" t="s">
        <v>123</v>
      </c>
      <c r="H117" t="s">
        <v>60</v>
      </c>
      <c r="I117">
        <v>83.54</v>
      </c>
      <c r="J117">
        <v>82.65</v>
      </c>
      <c r="K117">
        <v>82.98</v>
      </c>
      <c r="L117">
        <v>36.15</v>
      </c>
      <c r="M117">
        <v>35.700000000000003</v>
      </c>
      <c r="N117">
        <v>36.119999999999997</v>
      </c>
    </row>
    <row r="118" spans="3:14" x14ac:dyDescent="0.15">
      <c r="C118" s="123">
        <v>42461</v>
      </c>
      <c r="D118" t="s">
        <v>37</v>
      </c>
      <c r="E118" t="s">
        <v>38</v>
      </c>
      <c r="F118" t="s">
        <v>40</v>
      </c>
      <c r="G118" t="s">
        <v>123</v>
      </c>
      <c r="H118" t="s">
        <v>648</v>
      </c>
      <c r="I118">
        <v>82.49</v>
      </c>
      <c r="J118">
        <v>81.599999999999994</v>
      </c>
      <c r="K118">
        <v>81.93</v>
      </c>
      <c r="L118">
        <v>35.1</v>
      </c>
      <c r="M118">
        <v>34.65</v>
      </c>
      <c r="N118">
        <v>35.07</v>
      </c>
    </row>
    <row r="119" spans="3:14" x14ac:dyDescent="0.15">
      <c r="C119" s="123">
        <v>42491</v>
      </c>
      <c r="D119" t="s">
        <v>37</v>
      </c>
      <c r="E119" t="s">
        <v>38</v>
      </c>
      <c r="F119" t="s">
        <v>40</v>
      </c>
      <c r="G119" t="s">
        <v>123</v>
      </c>
      <c r="H119" t="s">
        <v>59</v>
      </c>
      <c r="I119">
        <v>85.21</v>
      </c>
      <c r="J119">
        <v>83.8</v>
      </c>
      <c r="K119">
        <v>84.52</v>
      </c>
      <c r="L119">
        <v>37.770000000000003</v>
      </c>
      <c r="M119">
        <v>37.130000000000003</v>
      </c>
      <c r="N119">
        <v>37.729999999999997</v>
      </c>
    </row>
    <row r="120" spans="3:14" x14ac:dyDescent="0.15">
      <c r="C120" s="123">
        <v>42491</v>
      </c>
      <c r="D120" t="s">
        <v>37</v>
      </c>
      <c r="E120" t="s">
        <v>38</v>
      </c>
      <c r="F120" t="s">
        <v>40</v>
      </c>
      <c r="G120" t="s">
        <v>123</v>
      </c>
      <c r="H120" t="s">
        <v>60</v>
      </c>
      <c r="I120">
        <v>83.61</v>
      </c>
      <c r="J120">
        <v>82.2</v>
      </c>
      <c r="K120">
        <v>82.92</v>
      </c>
      <c r="L120">
        <v>36.17</v>
      </c>
      <c r="M120">
        <v>35.53</v>
      </c>
      <c r="N120">
        <v>36.130000000000003</v>
      </c>
    </row>
    <row r="121" spans="3:14" x14ac:dyDescent="0.15">
      <c r="C121" s="123">
        <v>42491</v>
      </c>
      <c r="D121" t="s">
        <v>37</v>
      </c>
      <c r="E121" t="s">
        <v>38</v>
      </c>
      <c r="F121" t="s">
        <v>40</v>
      </c>
      <c r="G121" t="s">
        <v>123</v>
      </c>
      <c r="H121" t="s">
        <v>648</v>
      </c>
      <c r="I121">
        <v>82.56</v>
      </c>
      <c r="J121">
        <v>81.150000000000006</v>
      </c>
      <c r="K121">
        <v>81.87</v>
      </c>
      <c r="L121">
        <v>35.119999999999997</v>
      </c>
      <c r="M121">
        <v>34.479999999999997</v>
      </c>
      <c r="N121">
        <v>35.08</v>
      </c>
    </row>
    <row r="122" spans="3:14" x14ac:dyDescent="0.15">
      <c r="C122" s="123">
        <v>42522</v>
      </c>
      <c r="D122" t="s">
        <v>37</v>
      </c>
      <c r="E122" t="s">
        <v>38</v>
      </c>
      <c r="F122" t="s">
        <v>40</v>
      </c>
      <c r="G122" t="s">
        <v>123</v>
      </c>
      <c r="H122" t="s">
        <v>59</v>
      </c>
      <c r="I122">
        <v>85.18</v>
      </c>
      <c r="J122">
        <v>83.49</v>
      </c>
      <c r="K122">
        <v>84.43</v>
      </c>
      <c r="L122">
        <v>37.74</v>
      </c>
      <c r="M122">
        <v>37.06</v>
      </c>
      <c r="N122">
        <v>37.72</v>
      </c>
    </row>
    <row r="123" spans="3:14" x14ac:dyDescent="0.15">
      <c r="C123" s="123">
        <v>42522</v>
      </c>
      <c r="D123" t="s">
        <v>37</v>
      </c>
      <c r="E123" t="s">
        <v>38</v>
      </c>
      <c r="F123" t="s">
        <v>40</v>
      </c>
      <c r="G123" t="s">
        <v>123</v>
      </c>
      <c r="H123" t="s">
        <v>60</v>
      </c>
      <c r="I123">
        <v>83.58</v>
      </c>
      <c r="J123">
        <v>81.89</v>
      </c>
      <c r="K123">
        <v>82.83</v>
      </c>
      <c r="L123">
        <v>36.14</v>
      </c>
      <c r="M123">
        <v>35.46</v>
      </c>
      <c r="N123">
        <v>36.119999999999997</v>
      </c>
    </row>
    <row r="124" spans="3:14" x14ac:dyDescent="0.15">
      <c r="C124" s="123">
        <v>42522</v>
      </c>
      <c r="D124" t="s">
        <v>37</v>
      </c>
      <c r="E124" t="s">
        <v>38</v>
      </c>
      <c r="F124" t="s">
        <v>40</v>
      </c>
      <c r="G124" t="s">
        <v>123</v>
      </c>
      <c r="H124" t="s">
        <v>648</v>
      </c>
      <c r="I124">
        <v>82.53</v>
      </c>
      <c r="J124">
        <v>80.84</v>
      </c>
      <c r="K124">
        <v>81.78</v>
      </c>
      <c r="L124">
        <v>35.090000000000003</v>
      </c>
      <c r="M124">
        <v>34.409999999999997</v>
      </c>
      <c r="N124">
        <v>35.07</v>
      </c>
    </row>
    <row r="125" spans="3:14" x14ac:dyDescent="0.15">
      <c r="C125" s="123">
        <v>42552</v>
      </c>
      <c r="D125" t="s">
        <v>37</v>
      </c>
      <c r="E125" t="s">
        <v>38</v>
      </c>
      <c r="F125" t="s">
        <v>40</v>
      </c>
      <c r="G125" t="s">
        <v>123</v>
      </c>
      <c r="H125" t="s">
        <v>59</v>
      </c>
      <c r="I125">
        <v>85.05</v>
      </c>
      <c r="J125">
        <v>83.38</v>
      </c>
      <c r="K125">
        <v>84.34</v>
      </c>
      <c r="L125">
        <v>37.729999999999997</v>
      </c>
      <c r="M125">
        <v>37.15</v>
      </c>
      <c r="N125">
        <v>37.79</v>
      </c>
    </row>
    <row r="126" spans="3:14" x14ac:dyDescent="0.15">
      <c r="C126" s="123">
        <v>42552</v>
      </c>
      <c r="D126" t="s">
        <v>37</v>
      </c>
      <c r="E126" t="s">
        <v>38</v>
      </c>
      <c r="F126" t="s">
        <v>40</v>
      </c>
      <c r="G126" t="s">
        <v>123</v>
      </c>
      <c r="H126" t="s">
        <v>60</v>
      </c>
      <c r="I126">
        <v>83.45</v>
      </c>
      <c r="J126">
        <v>81.78</v>
      </c>
      <c r="K126">
        <v>82.74</v>
      </c>
      <c r="L126">
        <v>36.130000000000003</v>
      </c>
      <c r="M126">
        <v>35.549999999999997</v>
      </c>
      <c r="N126">
        <v>36.19</v>
      </c>
    </row>
    <row r="127" spans="3:14" x14ac:dyDescent="0.15">
      <c r="C127" s="123">
        <v>42552</v>
      </c>
      <c r="D127" t="s">
        <v>37</v>
      </c>
      <c r="E127" t="s">
        <v>38</v>
      </c>
      <c r="F127" t="s">
        <v>40</v>
      </c>
      <c r="G127" t="s">
        <v>123</v>
      </c>
      <c r="H127" t="s">
        <v>648</v>
      </c>
      <c r="I127">
        <v>82.4</v>
      </c>
      <c r="J127">
        <v>80.73</v>
      </c>
      <c r="K127">
        <v>81.69</v>
      </c>
      <c r="L127">
        <v>35.08</v>
      </c>
      <c r="M127">
        <v>34.5</v>
      </c>
      <c r="N127">
        <v>35.14</v>
      </c>
    </row>
    <row r="128" spans="3:14" x14ac:dyDescent="0.15">
      <c r="C128" s="123">
        <v>42583</v>
      </c>
      <c r="D128" t="s">
        <v>37</v>
      </c>
      <c r="E128" t="s">
        <v>38</v>
      </c>
      <c r="F128" t="s">
        <v>40</v>
      </c>
      <c r="G128" t="s">
        <v>123</v>
      </c>
      <c r="H128" t="s">
        <v>59</v>
      </c>
      <c r="I128">
        <v>85.05</v>
      </c>
      <c r="J128">
        <v>83.99</v>
      </c>
      <c r="K128">
        <v>84.4</v>
      </c>
      <c r="L128">
        <v>37.75</v>
      </c>
      <c r="M128">
        <v>37.47</v>
      </c>
      <c r="N128">
        <v>37.85</v>
      </c>
    </row>
    <row r="129" spans="3:14" x14ac:dyDescent="0.15">
      <c r="C129" s="123">
        <v>42583</v>
      </c>
      <c r="D129" t="s">
        <v>37</v>
      </c>
      <c r="E129" t="s">
        <v>38</v>
      </c>
      <c r="F129" t="s">
        <v>40</v>
      </c>
      <c r="G129" t="s">
        <v>123</v>
      </c>
      <c r="H129" t="s">
        <v>60</v>
      </c>
      <c r="I129">
        <v>83.45</v>
      </c>
      <c r="J129">
        <v>82.39</v>
      </c>
      <c r="K129">
        <v>82.8</v>
      </c>
      <c r="L129">
        <v>36.15</v>
      </c>
      <c r="M129">
        <v>35.869999999999997</v>
      </c>
      <c r="N129">
        <v>36.25</v>
      </c>
    </row>
    <row r="130" spans="3:14" x14ac:dyDescent="0.15">
      <c r="C130" s="123">
        <v>42583</v>
      </c>
      <c r="D130" t="s">
        <v>37</v>
      </c>
      <c r="E130" t="s">
        <v>38</v>
      </c>
      <c r="F130" t="s">
        <v>40</v>
      </c>
      <c r="G130" t="s">
        <v>123</v>
      </c>
      <c r="H130" t="s">
        <v>648</v>
      </c>
      <c r="I130">
        <v>82.4</v>
      </c>
      <c r="J130">
        <v>81.34</v>
      </c>
      <c r="K130">
        <v>81.75</v>
      </c>
      <c r="L130">
        <v>35.1</v>
      </c>
      <c r="M130">
        <v>34.82</v>
      </c>
      <c r="N130">
        <v>35.200000000000003</v>
      </c>
    </row>
    <row r="131" spans="3:14" x14ac:dyDescent="0.15">
      <c r="C131" s="123">
        <v>42614</v>
      </c>
      <c r="D131" t="s">
        <v>37</v>
      </c>
      <c r="E131" t="s">
        <v>38</v>
      </c>
      <c r="F131" t="s">
        <v>40</v>
      </c>
      <c r="G131" t="s">
        <v>123</v>
      </c>
      <c r="H131" t="s">
        <v>59</v>
      </c>
      <c r="I131">
        <v>85.02</v>
      </c>
      <c r="J131">
        <v>84.62</v>
      </c>
      <c r="K131">
        <v>84.43</v>
      </c>
      <c r="L131">
        <v>37.75</v>
      </c>
      <c r="M131">
        <v>37.840000000000003</v>
      </c>
      <c r="N131">
        <v>37.92</v>
      </c>
    </row>
    <row r="132" spans="3:14" x14ac:dyDescent="0.15">
      <c r="C132" s="123">
        <v>42614</v>
      </c>
      <c r="D132" t="s">
        <v>37</v>
      </c>
      <c r="E132" t="s">
        <v>38</v>
      </c>
      <c r="F132" t="s">
        <v>40</v>
      </c>
      <c r="G132" t="s">
        <v>123</v>
      </c>
      <c r="H132" t="s">
        <v>60</v>
      </c>
      <c r="I132">
        <v>83.42</v>
      </c>
      <c r="J132">
        <v>83.02</v>
      </c>
      <c r="K132">
        <v>82.83</v>
      </c>
      <c r="L132">
        <v>36.15</v>
      </c>
      <c r="M132">
        <v>36.24</v>
      </c>
      <c r="N132">
        <v>36.32</v>
      </c>
    </row>
    <row r="133" spans="3:14" x14ac:dyDescent="0.15">
      <c r="C133" s="123">
        <v>42614</v>
      </c>
      <c r="D133" t="s">
        <v>37</v>
      </c>
      <c r="E133" t="s">
        <v>38</v>
      </c>
      <c r="F133" t="s">
        <v>40</v>
      </c>
      <c r="G133" t="s">
        <v>123</v>
      </c>
      <c r="H133" t="s">
        <v>648</v>
      </c>
      <c r="I133">
        <v>82.37</v>
      </c>
      <c r="J133">
        <v>81.97</v>
      </c>
      <c r="K133">
        <v>81.78</v>
      </c>
      <c r="L133">
        <v>35.1</v>
      </c>
      <c r="M133">
        <v>35.19</v>
      </c>
      <c r="N133">
        <v>35.270000000000003</v>
      </c>
    </row>
    <row r="134" spans="3:14" x14ac:dyDescent="0.15">
      <c r="C134" s="123">
        <v>42644</v>
      </c>
      <c r="D134" t="s">
        <v>37</v>
      </c>
      <c r="E134" t="s">
        <v>38</v>
      </c>
      <c r="F134" t="s">
        <v>40</v>
      </c>
      <c r="G134" t="s">
        <v>123</v>
      </c>
      <c r="H134" t="s">
        <v>59</v>
      </c>
      <c r="I134">
        <v>84.89</v>
      </c>
      <c r="J134">
        <v>85.14</v>
      </c>
      <c r="K134">
        <v>84.36</v>
      </c>
      <c r="L134">
        <v>37.75</v>
      </c>
      <c r="M134">
        <v>38.18</v>
      </c>
      <c r="N134">
        <v>38.01</v>
      </c>
    </row>
    <row r="135" spans="3:14" x14ac:dyDescent="0.15">
      <c r="C135" s="123">
        <v>42644</v>
      </c>
      <c r="D135" t="s">
        <v>37</v>
      </c>
      <c r="E135" t="s">
        <v>38</v>
      </c>
      <c r="F135" t="s">
        <v>40</v>
      </c>
      <c r="G135" t="s">
        <v>123</v>
      </c>
      <c r="H135" t="s">
        <v>60</v>
      </c>
      <c r="I135">
        <v>83.29</v>
      </c>
      <c r="J135">
        <v>83.54</v>
      </c>
      <c r="K135">
        <v>82.76</v>
      </c>
      <c r="L135">
        <v>36.15</v>
      </c>
      <c r="M135">
        <v>36.58</v>
      </c>
      <c r="N135">
        <v>36.409999999999997</v>
      </c>
    </row>
    <row r="136" spans="3:14" x14ac:dyDescent="0.15">
      <c r="C136" s="123">
        <v>42644</v>
      </c>
      <c r="D136" t="s">
        <v>37</v>
      </c>
      <c r="E136" t="s">
        <v>38</v>
      </c>
      <c r="F136" t="s">
        <v>40</v>
      </c>
      <c r="G136" t="s">
        <v>123</v>
      </c>
      <c r="H136" t="s">
        <v>648</v>
      </c>
      <c r="I136">
        <v>82.24</v>
      </c>
      <c r="J136">
        <v>82.49</v>
      </c>
      <c r="K136">
        <v>81.709999999999994</v>
      </c>
      <c r="L136">
        <v>35.1</v>
      </c>
      <c r="M136">
        <v>35.53</v>
      </c>
      <c r="N136">
        <v>35.36</v>
      </c>
    </row>
    <row r="137" spans="3:14" x14ac:dyDescent="0.15">
      <c r="C137" s="123">
        <v>42675</v>
      </c>
      <c r="D137" t="s">
        <v>37</v>
      </c>
      <c r="E137" t="s">
        <v>38</v>
      </c>
      <c r="F137" t="s">
        <v>40</v>
      </c>
      <c r="G137" t="s">
        <v>123</v>
      </c>
      <c r="H137" t="s">
        <v>59</v>
      </c>
      <c r="I137">
        <v>84.7</v>
      </c>
      <c r="J137">
        <v>85.41</v>
      </c>
      <c r="K137">
        <v>84.31</v>
      </c>
      <c r="L137">
        <v>37.72</v>
      </c>
      <c r="M137">
        <v>38.36</v>
      </c>
      <c r="N137">
        <v>38.06</v>
      </c>
    </row>
    <row r="138" spans="3:14" x14ac:dyDescent="0.15">
      <c r="C138" s="123">
        <v>42675</v>
      </c>
      <c r="D138" t="s">
        <v>37</v>
      </c>
      <c r="E138" t="s">
        <v>38</v>
      </c>
      <c r="F138" t="s">
        <v>40</v>
      </c>
      <c r="G138" t="s">
        <v>123</v>
      </c>
      <c r="H138" t="s">
        <v>60</v>
      </c>
      <c r="I138">
        <v>83.1</v>
      </c>
      <c r="J138">
        <v>83.81</v>
      </c>
      <c r="K138">
        <v>82.71</v>
      </c>
      <c r="L138">
        <v>36.119999999999997</v>
      </c>
      <c r="M138">
        <v>36.76</v>
      </c>
      <c r="N138">
        <v>36.46</v>
      </c>
    </row>
    <row r="139" spans="3:14" x14ac:dyDescent="0.15">
      <c r="C139" s="123">
        <v>42675</v>
      </c>
      <c r="D139" t="s">
        <v>37</v>
      </c>
      <c r="E139" t="s">
        <v>38</v>
      </c>
      <c r="F139" t="s">
        <v>40</v>
      </c>
      <c r="G139" t="s">
        <v>123</v>
      </c>
      <c r="H139" t="s">
        <v>648</v>
      </c>
      <c r="I139">
        <v>82.05</v>
      </c>
      <c r="J139">
        <v>82.76</v>
      </c>
      <c r="K139">
        <v>81.66</v>
      </c>
      <c r="L139">
        <v>35.07</v>
      </c>
      <c r="M139">
        <v>35.71</v>
      </c>
      <c r="N139">
        <v>35.409999999999997</v>
      </c>
    </row>
    <row r="140" spans="3:14" x14ac:dyDescent="0.15">
      <c r="C140" s="123">
        <v>42705</v>
      </c>
      <c r="D140" t="s">
        <v>37</v>
      </c>
      <c r="E140" t="s">
        <v>38</v>
      </c>
      <c r="F140" t="s">
        <v>40</v>
      </c>
      <c r="G140" t="s">
        <v>123</v>
      </c>
      <c r="H140" t="s">
        <v>59</v>
      </c>
      <c r="I140">
        <v>84.4</v>
      </c>
      <c r="J140">
        <v>85.39</v>
      </c>
      <c r="K140">
        <v>84.21</v>
      </c>
      <c r="L140">
        <v>37.64</v>
      </c>
      <c r="M140">
        <v>38.36</v>
      </c>
      <c r="N140">
        <v>38.08</v>
      </c>
    </row>
    <row r="141" spans="3:14" x14ac:dyDescent="0.15">
      <c r="C141" s="123">
        <v>42705</v>
      </c>
      <c r="D141" t="s">
        <v>37</v>
      </c>
      <c r="E141" t="s">
        <v>38</v>
      </c>
      <c r="F141" t="s">
        <v>40</v>
      </c>
      <c r="G141" t="s">
        <v>123</v>
      </c>
      <c r="H141" t="s">
        <v>60</v>
      </c>
      <c r="I141">
        <v>82.8</v>
      </c>
      <c r="J141">
        <v>83.79</v>
      </c>
      <c r="K141">
        <v>82.61</v>
      </c>
      <c r="L141">
        <v>36.04</v>
      </c>
      <c r="M141">
        <v>36.76</v>
      </c>
      <c r="N141">
        <v>36.479999999999997</v>
      </c>
    </row>
    <row r="142" spans="3:14" x14ac:dyDescent="0.15">
      <c r="C142" s="123">
        <v>42705</v>
      </c>
      <c r="D142" t="s">
        <v>37</v>
      </c>
      <c r="E142" t="s">
        <v>38</v>
      </c>
      <c r="F142" t="s">
        <v>40</v>
      </c>
      <c r="G142" t="s">
        <v>123</v>
      </c>
      <c r="H142" t="s">
        <v>648</v>
      </c>
      <c r="I142">
        <v>81.75</v>
      </c>
      <c r="J142">
        <v>82.74</v>
      </c>
      <c r="K142">
        <v>81.56</v>
      </c>
      <c r="L142">
        <v>34.99</v>
      </c>
      <c r="M142">
        <v>35.71</v>
      </c>
      <c r="N142">
        <v>35.43</v>
      </c>
    </row>
    <row r="143" spans="3:14" x14ac:dyDescent="0.15">
      <c r="C143" s="123">
        <v>42736</v>
      </c>
      <c r="D143" t="s">
        <v>37</v>
      </c>
      <c r="E143" t="s">
        <v>38</v>
      </c>
      <c r="F143" t="s">
        <v>40</v>
      </c>
      <c r="G143" t="s">
        <v>123</v>
      </c>
      <c r="H143" t="s">
        <v>59</v>
      </c>
      <c r="I143">
        <v>84.22</v>
      </c>
      <c r="J143">
        <v>85.25</v>
      </c>
      <c r="K143">
        <v>84.21</v>
      </c>
      <c r="L143">
        <v>37.61</v>
      </c>
      <c r="M143">
        <v>38.33</v>
      </c>
      <c r="N143">
        <v>38.14</v>
      </c>
    </row>
    <row r="144" spans="3:14" x14ac:dyDescent="0.15">
      <c r="C144" s="123">
        <v>42736</v>
      </c>
      <c r="D144" t="s">
        <v>37</v>
      </c>
      <c r="E144" t="s">
        <v>38</v>
      </c>
      <c r="F144" t="s">
        <v>40</v>
      </c>
      <c r="G144" t="s">
        <v>123</v>
      </c>
      <c r="H144" t="s">
        <v>60</v>
      </c>
      <c r="I144">
        <v>82.62</v>
      </c>
      <c r="J144">
        <v>83.65</v>
      </c>
      <c r="K144">
        <v>82.61</v>
      </c>
      <c r="L144">
        <v>36.01</v>
      </c>
      <c r="M144">
        <v>36.729999999999997</v>
      </c>
      <c r="N144">
        <v>36.54</v>
      </c>
    </row>
    <row r="145" spans="3:14" x14ac:dyDescent="0.15">
      <c r="C145" s="123">
        <v>42736</v>
      </c>
      <c r="D145" t="s">
        <v>37</v>
      </c>
      <c r="E145" t="s">
        <v>38</v>
      </c>
      <c r="F145" t="s">
        <v>40</v>
      </c>
      <c r="G145" t="s">
        <v>123</v>
      </c>
      <c r="H145" t="s">
        <v>648</v>
      </c>
      <c r="I145">
        <v>81.569999999999993</v>
      </c>
      <c r="J145">
        <v>82.6</v>
      </c>
      <c r="K145">
        <v>81.56</v>
      </c>
      <c r="L145">
        <v>34.96</v>
      </c>
      <c r="M145">
        <v>35.68</v>
      </c>
      <c r="N145">
        <v>35.49</v>
      </c>
    </row>
    <row r="146" spans="3:14" x14ac:dyDescent="0.15">
      <c r="C146" s="123">
        <v>42401</v>
      </c>
      <c r="D146" t="s">
        <v>37</v>
      </c>
      <c r="E146" t="s">
        <v>38</v>
      </c>
      <c r="F146" t="s">
        <v>6</v>
      </c>
      <c r="G146" t="s">
        <v>117</v>
      </c>
      <c r="H146" t="s">
        <v>59</v>
      </c>
      <c r="I146">
        <v>83.78</v>
      </c>
      <c r="J146">
        <v>84.51</v>
      </c>
      <c r="K146">
        <v>83.58</v>
      </c>
      <c r="L146">
        <v>38.729999999999997</v>
      </c>
      <c r="M146">
        <v>39</v>
      </c>
      <c r="N146">
        <v>38.64</v>
      </c>
    </row>
    <row r="147" spans="3:14" x14ac:dyDescent="0.15">
      <c r="C147" s="123">
        <v>42401</v>
      </c>
      <c r="D147" t="s">
        <v>37</v>
      </c>
      <c r="E147" t="s">
        <v>38</v>
      </c>
      <c r="F147" t="s">
        <v>6</v>
      </c>
      <c r="G147" t="s">
        <v>117</v>
      </c>
      <c r="H147" t="s">
        <v>60</v>
      </c>
      <c r="I147">
        <v>82.18</v>
      </c>
      <c r="J147">
        <v>82.91</v>
      </c>
      <c r="K147">
        <v>81.98</v>
      </c>
      <c r="L147">
        <v>37.130000000000003</v>
      </c>
      <c r="M147">
        <v>37.4</v>
      </c>
      <c r="N147">
        <v>37.04</v>
      </c>
    </row>
    <row r="148" spans="3:14" x14ac:dyDescent="0.15">
      <c r="C148" s="123">
        <v>42401</v>
      </c>
      <c r="D148" t="s">
        <v>37</v>
      </c>
      <c r="E148" t="s">
        <v>38</v>
      </c>
      <c r="F148" t="s">
        <v>6</v>
      </c>
      <c r="G148" t="s">
        <v>117</v>
      </c>
      <c r="H148" t="s">
        <v>648</v>
      </c>
      <c r="I148">
        <v>81.13</v>
      </c>
      <c r="J148">
        <v>81.86</v>
      </c>
      <c r="K148">
        <v>80.930000000000007</v>
      </c>
      <c r="L148">
        <v>36.08</v>
      </c>
      <c r="M148">
        <v>36.35</v>
      </c>
      <c r="N148">
        <v>35.99</v>
      </c>
    </row>
    <row r="149" spans="3:14" x14ac:dyDescent="0.15">
      <c r="C149" s="123">
        <v>42430</v>
      </c>
      <c r="D149" t="s">
        <v>37</v>
      </c>
      <c r="E149" t="s">
        <v>38</v>
      </c>
      <c r="F149" t="s">
        <v>6</v>
      </c>
      <c r="G149" t="s">
        <v>117</v>
      </c>
      <c r="H149" t="s">
        <v>59</v>
      </c>
      <c r="I149">
        <v>84.3</v>
      </c>
      <c r="J149">
        <v>84.16</v>
      </c>
      <c r="K149">
        <v>83.85</v>
      </c>
      <c r="L149">
        <v>38.76</v>
      </c>
      <c r="M149">
        <v>38.75</v>
      </c>
      <c r="N149">
        <v>38.67</v>
      </c>
    </row>
    <row r="150" spans="3:14" x14ac:dyDescent="0.15">
      <c r="C150" s="123">
        <v>42430</v>
      </c>
      <c r="D150" t="s">
        <v>37</v>
      </c>
      <c r="E150" t="s">
        <v>38</v>
      </c>
      <c r="F150" t="s">
        <v>6</v>
      </c>
      <c r="G150" t="s">
        <v>117</v>
      </c>
      <c r="H150" t="s">
        <v>60</v>
      </c>
      <c r="I150">
        <v>82.7</v>
      </c>
      <c r="J150">
        <v>82.56</v>
      </c>
      <c r="K150">
        <v>82.25</v>
      </c>
      <c r="L150">
        <v>37.159999999999997</v>
      </c>
      <c r="M150">
        <v>37.15</v>
      </c>
      <c r="N150">
        <v>37.07</v>
      </c>
    </row>
    <row r="151" spans="3:14" x14ac:dyDescent="0.15">
      <c r="C151" s="123">
        <v>42430</v>
      </c>
      <c r="D151" t="s">
        <v>37</v>
      </c>
      <c r="E151" t="s">
        <v>38</v>
      </c>
      <c r="F151" t="s">
        <v>6</v>
      </c>
      <c r="G151" t="s">
        <v>117</v>
      </c>
      <c r="H151" t="s">
        <v>648</v>
      </c>
      <c r="I151">
        <v>81.650000000000006</v>
      </c>
      <c r="J151">
        <v>81.510000000000005</v>
      </c>
      <c r="K151">
        <v>81.2</v>
      </c>
      <c r="L151">
        <v>36.11</v>
      </c>
      <c r="M151">
        <v>36.1</v>
      </c>
      <c r="N151">
        <v>36.020000000000003</v>
      </c>
    </row>
    <row r="152" spans="3:14" x14ac:dyDescent="0.15">
      <c r="C152" s="123">
        <v>42461</v>
      </c>
      <c r="D152" t="s">
        <v>37</v>
      </c>
      <c r="E152" t="s">
        <v>38</v>
      </c>
      <c r="F152" t="s">
        <v>6</v>
      </c>
      <c r="G152" t="s">
        <v>117</v>
      </c>
      <c r="H152" t="s">
        <v>59</v>
      </c>
      <c r="I152">
        <v>84.42</v>
      </c>
      <c r="J152">
        <v>83.55</v>
      </c>
      <c r="K152">
        <v>83.81</v>
      </c>
      <c r="L152">
        <v>38.770000000000003</v>
      </c>
      <c r="M152">
        <v>38.51</v>
      </c>
      <c r="N152">
        <v>38.68</v>
      </c>
    </row>
    <row r="153" spans="3:14" x14ac:dyDescent="0.15">
      <c r="C153" s="123">
        <v>42461</v>
      </c>
      <c r="D153" t="s">
        <v>37</v>
      </c>
      <c r="E153" t="s">
        <v>38</v>
      </c>
      <c r="F153" t="s">
        <v>6</v>
      </c>
      <c r="G153" t="s">
        <v>117</v>
      </c>
      <c r="H153" t="s">
        <v>60</v>
      </c>
      <c r="I153">
        <v>82.82</v>
      </c>
      <c r="J153">
        <v>81.95</v>
      </c>
      <c r="K153">
        <v>82.21</v>
      </c>
      <c r="L153">
        <v>37.17</v>
      </c>
      <c r="M153">
        <v>36.909999999999997</v>
      </c>
      <c r="N153">
        <v>37.08</v>
      </c>
    </row>
    <row r="154" spans="3:14" x14ac:dyDescent="0.15">
      <c r="C154" s="123">
        <v>42461</v>
      </c>
      <c r="D154" t="s">
        <v>37</v>
      </c>
      <c r="E154" t="s">
        <v>38</v>
      </c>
      <c r="F154" t="s">
        <v>6</v>
      </c>
      <c r="G154" t="s">
        <v>117</v>
      </c>
      <c r="H154" t="s">
        <v>648</v>
      </c>
      <c r="I154">
        <v>81.77</v>
      </c>
      <c r="J154">
        <v>80.900000000000006</v>
      </c>
      <c r="K154">
        <v>81.16</v>
      </c>
      <c r="L154">
        <v>36.119999999999997</v>
      </c>
      <c r="M154">
        <v>35.86</v>
      </c>
      <c r="N154">
        <v>36.03</v>
      </c>
    </row>
    <row r="155" spans="3:14" x14ac:dyDescent="0.15">
      <c r="C155" s="123">
        <v>42491</v>
      </c>
      <c r="D155" t="s">
        <v>37</v>
      </c>
      <c r="E155" t="s">
        <v>38</v>
      </c>
      <c r="F155" t="s">
        <v>6</v>
      </c>
      <c r="G155" t="s">
        <v>117</v>
      </c>
      <c r="H155" t="s">
        <v>59</v>
      </c>
      <c r="I155">
        <v>84.5</v>
      </c>
      <c r="J155">
        <v>83.13</v>
      </c>
      <c r="K155">
        <v>83.75</v>
      </c>
      <c r="L155">
        <v>38.78</v>
      </c>
      <c r="M155">
        <v>38.35</v>
      </c>
      <c r="N155">
        <v>38.69</v>
      </c>
    </row>
    <row r="156" spans="3:14" x14ac:dyDescent="0.15">
      <c r="C156" s="123">
        <v>42491</v>
      </c>
      <c r="D156" t="s">
        <v>37</v>
      </c>
      <c r="E156" t="s">
        <v>38</v>
      </c>
      <c r="F156" t="s">
        <v>6</v>
      </c>
      <c r="G156" t="s">
        <v>117</v>
      </c>
      <c r="H156" t="s">
        <v>60</v>
      </c>
      <c r="I156">
        <v>82.9</v>
      </c>
      <c r="J156">
        <v>81.53</v>
      </c>
      <c r="K156">
        <v>82.15</v>
      </c>
      <c r="L156">
        <v>37.18</v>
      </c>
      <c r="M156">
        <v>36.75</v>
      </c>
      <c r="N156">
        <v>37.090000000000003</v>
      </c>
    </row>
    <row r="157" spans="3:14" x14ac:dyDescent="0.15">
      <c r="C157" s="123">
        <v>42491</v>
      </c>
      <c r="D157" t="s">
        <v>37</v>
      </c>
      <c r="E157" t="s">
        <v>38</v>
      </c>
      <c r="F157" t="s">
        <v>6</v>
      </c>
      <c r="G157" t="s">
        <v>117</v>
      </c>
      <c r="H157" t="s">
        <v>648</v>
      </c>
      <c r="I157">
        <v>81.849999999999994</v>
      </c>
      <c r="J157">
        <v>80.48</v>
      </c>
      <c r="K157">
        <v>81.099999999999994</v>
      </c>
      <c r="L157">
        <v>36.130000000000003</v>
      </c>
      <c r="M157">
        <v>35.700000000000003</v>
      </c>
      <c r="N157">
        <v>36.04</v>
      </c>
    </row>
    <row r="158" spans="3:14" x14ac:dyDescent="0.15">
      <c r="C158" s="123">
        <v>42522</v>
      </c>
      <c r="D158" t="s">
        <v>37</v>
      </c>
      <c r="E158" t="s">
        <v>38</v>
      </c>
      <c r="F158" t="s">
        <v>6</v>
      </c>
      <c r="G158" t="s">
        <v>117</v>
      </c>
      <c r="H158" t="s">
        <v>59</v>
      </c>
      <c r="I158">
        <v>84.49</v>
      </c>
      <c r="J158">
        <v>82.71</v>
      </c>
      <c r="K158">
        <v>83.67</v>
      </c>
      <c r="L158">
        <v>38.770000000000003</v>
      </c>
      <c r="M158">
        <v>38.14</v>
      </c>
      <c r="N158">
        <v>38.69</v>
      </c>
    </row>
    <row r="159" spans="3:14" x14ac:dyDescent="0.15">
      <c r="C159" s="123">
        <v>42522</v>
      </c>
      <c r="D159" t="s">
        <v>37</v>
      </c>
      <c r="E159" t="s">
        <v>38</v>
      </c>
      <c r="F159" t="s">
        <v>6</v>
      </c>
      <c r="G159" t="s">
        <v>117</v>
      </c>
      <c r="H159" t="s">
        <v>60</v>
      </c>
      <c r="I159">
        <v>82.89</v>
      </c>
      <c r="J159">
        <v>81.11</v>
      </c>
      <c r="K159">
        <v>82.07</v>
      </c>
      <c r="L159">
        <v>37.17</v>
      </c>
      <c r="M159">
        <v>36.54</v>
      </c>
      <c r="N159">
        <v>37.090000000000003</v>
      </c>
    </row>
    <row r="160" spans="3:14" x14ac:dyDescent="0.15">
      <c r="C160" s="123">
        <v>42522</v>
      </c>
      <c r="D160" t="s">
        <v>37</v>
      </c>
      <c r="E160" t="s">
        <v>38</v>
      </c>
      <c r="F160" t="s">
        <v>6</v>
      </c>
      <c r="G160" t="s">
        <v>117</v>
      </c>
      <c r="H160" t="s">
        <v>648</v>
      </c>
      <c r="I160">
        <v>81.84</v>
      </c>
      <c r="J160">
        <v>80.06</v>
      </c>
      <c r="K160">
        <v>81.02</v>
      </c>
      <c r="L160">
        <v>36.119999999999997</v>
      </c>
      <c r="M160">
        <v>35.49</v>
      </c>
      <c r="N160">
        <v>36.04</v>
      </c>
    </row>
    <row r="161" spans="3:14" x14ac:dyDescent="0.15">
      <c r="C161" s="123">
        <v>42552</v>
      </c>
      <c r="D161" t="s">
        <v>37</v>
      </c>
      <c r="E161" t="s">
        <v>38</v>
      </c>
      <c r="F161" t="s">
        <v>6</v>
      </c>
      <c r="G161" t="s">
        <v>117</v>
      </c>
      <c r="H161" t="s">
        <v>59</v>
      </c>
      <c r="I161">
        <v>84.38</v>
      </c>
      <c r="J161">
        <v>82.49</v>
      </c>
      <c r="K161">
        <v>83.57</v>
      </c>
      <c r="L161">
        <v>38.75</v>
      </c>
      <c r="M161">
        <v>38.1</v>
      </c>
      <c r="N161">
        <v>38.75</v>
      </c>
    </row>
    <row r="162" spans="3:14" x14ac:dyDescent="0.15">
      <c r="C162" s="123">
        <v>42552</v>
      </c>
      <c r="D162" t="s">
        <v>37</v>
      </c>
      <c r="E162" t="s">
        <v>38</v>
      </c>
      <c r="F162" t="s">
        <v>6</v>
      </c>
      <c r="G162" t="s">
        <v>117</v>
      </c>
      <c r="H162" t="s">
        <v>60</v>
      </c>
      <c r="I162">
        <v>82.78</v>
      </c>
      <c r="J162">
        <v>80.89</v>
      </c>
      <c r="K162">
        <v>81.97</v>
      </c>
      <c r="L162">
        <v>37.15</v>
      </c>
      <c r="M162">
        <v>36.5</v>
      </c>
      <c r="N162">
        <v>37.15</v>
      </c>
    </row>
    <row r="163" spans="3:14" x14ac:dyDescent="0.15">
      <c r="C163" s="123">
        <v>42552</v>
      </c>
      <c r="D163" t="s">
        <v>37</v>
      </c>
      <c r="E163" t="s">
        <v>38</v>
      </c>
      <c r="F163" t="s">
        <v>6</v>
      </c>
      <c r="G163" t="s">
        <v>117</v>
      </c>
      <c r="H163" t="s">
        <v>648</v>
      </c>
      <c r="I163">
        <v>81.73</v>
      </c>
      <c r="J163">
        <v>79.84</v>
      </c>
      <c r="K163">
        <v>80.92</v>
      </c>
      <c r="L163">
        <v>36.1</v>
      </c>
      <c r="M163">
        <v>35.450000000000003</v>
      </c>
      <c r="N163">
        <v>36.1</v>
      </c>
    </row>
    <row r="164" spans="3:14" x14ac:dyDescent="0.15">
      <c r="C164" s="123">
        <v>42583</v>
      </c>
      <c r="D164" t="s">
        <v>37</v>
      </c>
      <c r="E164" t="s">
        <v>38</v>
      </c>
      <c r="F164" t="s">
        <v>6</v>
      </c>
      <c r="G164" t="s">
        <v>117</v>
      </c>
      <c r="H164" t="s">
        <v>59</v>
      </c>
      <c r="I164">
        <v>84.35</v>
      </c>
      <c r="J164">
        <v>83.18</v>
      </c>
      <c r="K164">
        <v>83.61</v>
      </c>
      <c r="L164">
        <v>38.770000000000003</v>
      </c>
      <c r="M164">
        <v>38.380000000000003</v>
      </c>
      <c r="N164">
        <v>38.82</v>
      </c>
    </row>
    <row r="165" spans="3:14" x14ac:dyDescent="0.15">
      <c r="C165" s="123">
        <v>42583</v>
      </c>
      <c r="D165" t="s">
        <v>37</v>
      </c>
      <c r="E165" t="s">
        <v>38</v>
      </c>
      <c r="F165" t="s">
        <v>6</v>
      </c>
      <c r="G165" t="s">
        <v>117</v>
      </c>
      <c r="H165" t="s">
        <v>60</v>
      </c>
      <c r="I165">
        <v>82.75</v>
      </c>
      <c r="J165">
        <v>81.58</v>
      </c>
      <c r="K165">
        <v>82.01</v>
      </c>
      <c r="L165">
        <v>37.17</v>
      </c>
      <c r="M165">
        <v>36.78</v>
      </c>
      <c r="N165">
        <v>37.22</v>
      </c>
    </row>
    <row r="166" spans="3:14" x14ac:dyDescent="0.15">
      <c r="C166" s="123">
        <v>42583</v>
      </c>
      <c r="D166" t="s">
        <v>37</v>
      </c>
      <c r="E166" t="s">
        <v>38</v>
      </c>
      <c r="F166" t="s">
        <v>6</v>
      </c>
      <c r="G166" t="s">
        <v>117</v>
      </c>
      <c r="H166" t="s">
        <v>648</v>
      </c>
      <c r="I166">
        <v>81.7</v>
      </c>
      <c r="J166">
        <v>80.53</v>
      </c>
      <c r="K166">
        <v>80.959999999999994</v>
      </c>
      <c r="L166">
        <v>36.119999999999997</v>
      </c>
      <c r="M166">
        <v>35.729999999999997</v>
      </c>
      <c r="N166">
        <v>36.17</v>
      </c>
    </row>
    <row r="167" spans="3:14" x14ac:dyDescent="0.15">
      <c r="C167" s="123">
        <v>42614</v>
      </c>
      <c r="D167" t="s">
        <v>37</v>
      </c>
      <c r="E167" t="s">
        <v>38</v>
      </c>
      <c r="F167" t="s">
        <v>6</v>
      </c>
      <c r="G167" t="s">
        <v>117</v>
      </c>
      <c r="H167" t="s">
        <v>59</v>
      </c>
      <c r="I167">
        <v>84.34</v>
      </c>
      <c r="J167">
        <v>83.86</v>
      </c>
      <c r="K167">
        <v>83.65</v>
      </c>
      <c r="L167">
        <v>38.770000000000003</v>
      </c>
      <c r="M167">
        <v>38.65</v>
      </c>
      <c r="N167">
        <v>38.89</v>
      </c>
    </row>
    <row r="168" spans="3:14" x14ac:dyDescent="0.15">
      <c r="C168" s="123">
        <v>42614</v>
      </c>
      <c r="D168" t="s">
        <v>37</v>
      </c>
      <c r="E168" t="s">
        <v>38</v>
      </c>
      <c r="F168" t="s">
        <v>6</v>
      </c>
      <c r="G168" t="s">
        <v>117</v>
      </c>
      <c r="H168" t="s">
        <v>60</v>
      </c>
      <c r="I168">
        <v>82.74</v>
      </c>
      <c r="J168">
        <v>82.26</v>
      </c>
      <c r="K168">
        <v>82.05</v>
      </c>
      <c r="L168">
        <v>37.17</v>
      </c>
      <c r="M168">
        <v>37.049999999999997</v>
      </c>
      <c r="N168">
        <v>37.29</v>
      </c>
    </row>
    <row r="169" spans="3:14" x14ac:dyDescent="0.15">
      <c r="C169" s="123">
        <v>42614</v>
      </c>
      <c r="D169" t="s">
        <v>37</v>
      </c>
      <c r="E169" t="s">
        <v>38</v>
      </c>
      <c r="F169" t="s">
        <v>6</v>
      </c>
      <c r="G169" t="s">
        <v>117</v>
      </c>
      <c r="H169" t="s">
        <v>648</v>
      </c>
      <c r="I169">
        <v>81.69</v>
      </c>
      <c r="J169">
        <v>81.209999999999994</v>
      </c>
      <c r="K169">
        <v>81</v>
      </c>
      <c r="L169">
        <v>36.119999999999997</v>
      </c>
      <c r="M169">
        <v>36</v>
      </c>
      <c r="N169">
        <v>36.24</v>
      </c>
    </row>
    <row r="170" spans="3:14" x14ac:dyDescent="0.15">
      <c r="C170" s="123">
        <v>42644</v>
      </c>
      <c r="D170" t="s">
        <v>37</v>
      </c>
      <c r="E170" t="s">
        <v>38</v>
      </c>
      <c r="F170" t="s">
        <v>6</v>
      </c>
      <c r="G170" t="s">
        <v>117</v>
      </c>
      <c r="H170" t="s">
        <v>59</v>
      </c>
      <c r="I170">
        <v>84.23</v>
      </c>
      <c r="J170">
        <v>84.34</v>
      </c>
      <c r="K170">
        <v>83.57</v>
      </c>
      <c r="L170">
        <v>38.76</v>
      </c>
      <c r="M170">
        <v>38.909999999999997</v>
      </c>
      <c r="N170">
        <v>38.96</v>
      </c>
    </row>
    <row r="171" spans="3:14" x14ac:dyDescent="0.15">
      <c r="C171" s="123">
        <v>42644</v>
      </c>
      <c r="D171" t="s">
        <v>37</v>
      </c>
      <c r="E171" t="s">
        <v>38</v>
      </c>
      <c r="F171" t="s">
        <v>6</v>
      </c>
      <c r="G171" t="s">
        <v>117</v>
      </c>
      <c r="H171" t="s">
        <v>60</v>
      </c>
      <c r="I171">
        <v>82.63</v>
      </c>
      <c r="J171">
        <v>82.74</v>
      </c>
      <c r="K171">
        <v>81.97</v>
      </c>
      <c r="L171">
        <v>37.159999999999997</v>
      </c>
      <c r="M171">
        <v>37.31</v>
      </c>
      <c r="N171">
        <v>37.36</v>
      </c>
    </row>
    <row r="172" spans="3:14" x14ac:dyDescent="0.15">
      <c r="C172" s="123">
        <v>42644</v>
      </c>
      <c r="D172" t="s">
        <v>37</v>
      </c>
      <c r="E172" t="s">
        <v>38</v>
      </c>
      <c r="F172" t="s">
        <v>6</v>
      </c>
      <c r="G172" t="s">
        <v>117</v>
      </c>
      <c r="H172" t="s">
        <v>648</v>
      </c>
      <c r="I172">
        <v>81.58</v>
      </c>
      <c r="J172">
        <v>81.69</v>
      </c>
      <c r="K172">
        <v>80.92</v>
      </c>
      <c r="L172">
        <v>36.11</v>
      </c>
      <c r="M172">
        <v>36.26</v>
      </c>
      <c r="N172">
        <v>36.31</v>
      </c>
    </row>
    <row r="173" spans="3:14" x14ac:dyDescent="0.15">
      <c r="C173" s="123">
        <v>42675</v>
      </c>
      <c r="D173" t="s">
        <v>37</v>
      </c>
      <c r="E173" t="s">
        <v>38</v>
      </c>
      <c r="F173" t="s">
        <v>6</v>
      </c>
      <c r="G173" t="s">
        <v>117</v>
      </c>
      <c r="H173" t="s">
        <v>59</v>
      </c>
      <c r="I173">
        <v>84.04</v>
      </c>
      <c r="J173">
        <v>84.59</v>
      </c>
      <c r="K173">
        <v>83.53</v>
      </c>
      <c r="L173">
        <v>38.729999999999997</v>
      </c>
      <c r="M173">
        <v>39.07</v>
      </c>
      <c r="N173">
        <v>39.01</v>
      </c>
    </row>
    <row r="174" spans="3:14" x14ac:dyDescent="0.15">
      <c r="C174" s="123">
        <v>42675</v>
      </c>
      <c r="D174" t="s">
        <v>37</v>
      </c>
      <c r="E174" t="s">
        <v>38</v>
      </c>
      <c r="F174" t="s">
        <v>6</v>
      </c>
      <c r="G174" t="s">
        <v>117</v>
      </c>
      <c r="H174" t="s">
        <v>60</v>
      </c>
      <c r="I174">
        <v>82.44</v>
      </c>
      <c r="J174">
        <v>82.99</v>
      </c>
      <c r="K174">
        <v>81.93</v>
      </c>
      <c r="L174">
        <v>37.130000000000003</v>
      </c>
      <c r="M174">
        <v>37.47</v>
      </c>
      <c r="N174">
        <v>37.409999999999997</v>
      </c>
    </row>
    <row r="175" spans="3:14" x14ac:dyDescent="0.15">
      <c r="C175" s="123">
        <v>42675</v>
      </c>
      <c r="D175" t="s">
        <v>37</v>
      </c>
      <c r="E175" t="s">
        <v>38</v>
      </c>
      <c r="F175" t="s">
        <v>6</v>
      </c>
      <c r="G175" t="s">
        <v>117</v>
      </c>
      <c r="H175" t="s">
        <v>648</v>
      </c>
      <c r="I175">
        <v>81.39</v>
      </c>
      <c r="J175">
        <v>81.94</v>
      </c>
      <c r="K175">
        <v>80.88</v>
      </c>
      <c r="L175">
        <v>36.08</v>
      </c>
      <c r="M175">
        <v>36.42</v>
      </c>
      <c r="N175">
        <v>36.36</v>
      </c>
    </row>
    <row r="176" spans="3:14" x14ac:dyDescent="0.15">
      <c r="C176" s="123">
        <v>42705</v>
      </c>
      <c r="D176" t="s">
        <v>37</v>
      </c>
      <c r="E176" t="s">
        <v>38</v>
      </c>
      <c r="F176" t="s">
        <v>6</v>
      </c>
      <c r="G176" t="s">
        <v>117</v>
      </c>
      <c r="H176" t="s">
        <v>59</v>
      </c>
      <c r="I176">
        <v>83.65</v>
      </c>
      <c r="J176">
        <v>84.65</v>
      </c>
      <c r="K176">
        <v>83.38</v>
      </c>
      <c r="L176">
        <v>38.6</v>
      </c>
      <c r="M176">
        <v>39.200000000000003</v>
      </c>
      <c r="N176">
        <v>39.01</v>
      </c>
    </row>
    <row r="177" spans="3:14" x14ac:dyDescent="0.15">
      <c r="C177" s="123">
        <v>42705</v>
      </c>
      <c r="D177" t="s">
        <v>37</v>
      </c>
      <c r="E177" t="s">
        <v>38</v>
      </c>
      <c r="F177" t="s">
        <v>6</v>
      </c>
      <c r="G177" t="s">
        <v>117</v>
      </c>
      <c r="H177" t="s">
        <v>60</v>
      </c>
      <c r="I177">
        <v>82.05</v>
      </c>
      <c r="J177">
        <v>83.05</v>
      </c>
      <c r="K177">
        <v>81.78</v>
      </c>
      <c r="L177">
        <v>37</v>
      </c>
      <c r="M177">
        <v>37.6</v>
      </c>
      <c r="N177">
        <v>37.409999999999997</v>
      </c>
    </row>
    <row r="178" spans="3:14" x14ac:dyDescent="0.15">
      <c r="C178" s="123">
        <v>42705</v>
      </c>
      <c r="D178" t="s">
        <v>37</v>
      </c>
      <c r="E178" t="s">
        <v>38</v>
      </c>
      <c r="F178" t="s">
        <v>6</v>
      </c>
      <c r="G178" t="s">
        <v>117</v>
      </c>
      <c r="H178" t="s">
        <v>648</v>
      </c>
      <c r="I178">
        <v>81</v>
      </c>
      <c r="J178">
        <v>82</v>
      </c>
      <c r="K178">
        <v>80.73</v>
      </c>
      <c r="L178">
        <v>35.950000000000003</v>
      </c>
      <c r="M178">
        <v>36.549999999999997</v>
      </c>
      <c r="N178">
        <v>36.36</v>
      </c>
    </row>
    <row r="179" spans="3:14" x14ac:dyDescent="0.15">
      <c r="C179" s="123">
        <v>42736</v>
      </c>
      <c r="D179" t="s">
        <v>37</v>
      </c>
      <c r="E179" t="s">
        <v>38</v>
      </c>
      <c r="F179" t="s">
        <v>6</v>
      </c>
      <c r="G179" t="s">
        <v>117</v>
      </c>
      <c r="H179" t="s">
        <v>59</v>
      </c>
      <c r="I179">
        <v>83.39</v>
      </c>
      <c r="J179">
        <v>84.57</v>
      </c>
      <c r="K179">
        <v>83.36</v>
      </c>
      <c r="L179">
        <v>38.51</v>
      </c>
      <c r="M179">
        <v>39.26</v>
      </c>
      <c r="N179">
        <v>39.04</v>
      </c>
    </row>
    <row r="180" spans="3:14" x14ac:dyDescent="0.15">
      <c r="C180" s="123">
        <v>42736</v>
      </c>
      <c r="D180" t="s">
        <v>37</v>
      </c>
      <c r="E180" t="s">
        <v>38</v>
      </c>
      <c r="F180" t="s">
        <v>6</v>
      </c>
      <c r="G180" t="s">
        <v>117</v>
      </c>
      <c r="H180" t="s">
        <v>60</v>
      </c>
      <c r="I180">
        <v>81.790000000000006</v>
      </c>
      <c r="J180">
        <v>82.97</v>
      </c>
      <c r="K180">
        <v>81.760000000000005</v>
      </c>
      <c r="L180">
        <v>36.909999999999997</v>
      </c>
      <c r="M180">
        <v>37.659999999999997</v>
      </c>
      <c r="N180">
        <v>37.44</v>
      </c>
    </row>
    <row r="181" spans="3:14" x14ac:dyDescent="0.15">
      <c r="C181" s="123">
        <v>42736</v>
      </c>
      <c r="D181" t="s">
        <v>37</v>
      </c>
      <c r="E181" t="s">
        <v>38</v>
      </c>
      <c r="F181" t="s">
        <v>6</v>
      </c>
      <c r="G181" t="s">
        <v>117</v>
      </c>
      <c r="H181" t="s">
        <v>648</v>
      </c>
      <c r="I181">
        <v>80.739999999999995</v>
      </c>
      <c r="J181">
        <v>81.92</v>
      </c>
      <c r="K181">
        <v>80.709999999999994</v>
      </c>
      <c r="L181">
        <v>35.86</v>
      </c>
      <c r="M181">
        <v>36.61</v>
      </c>
      <c r="N181">
        <v>36.39</v>
      </c>
    </row>
    <row r="182" spans="3:14" x14ac:dyDescent="0.15">
      <c r="C182" s="123">
        <v>42401</v>
      </c>
      <c r="D182" t="s">
        <v>37</v>
      </c>
      <c r="E182" t="s">
        <v>41</v>
      </c>
      <c r="F182" t="s">
        <v>6</v>
      </c>
      <c r="G182" t="s">
        <v>117</v>
      </c>
      <c r="H182" t="s">
        <v>59</v>
      </c>
      <c r="I182">
        <v>80.86</v>
      </c>
      <c r="J182">
        <v>80.66</v>
      </c>
      <c r="K182">
        <v>80.16</v>
      </c>
      <c r="L182">
        <v>39.58</v>
      </c>
      <c r="M182">
        <v>39.22</v>
      </c>
      <c r="N182">
        <v>39.17</v>
      </c>
    </row>
    <row r="183" spans="3:14" x14ac:dyDescent="0.15">
      <c r="C183" s="123">
        <v>42401</v>
      </c>
      <c r="D183" t="s">
        <v>37</v>
      </c>
      <c r="E183" t="s">
        <v>41</v>
      </c>
      <c r="F183" t="s">
        <v>6</v>
      </c>
      <c r="G183" t="s">
        <v>117</v>
      </c>
      <c r="H183" t="s">
        <v>60</v>
      </c>
      <c r="I183">
        <v>79.260000000000005</v>
      </c>
      <c r="J183">
        <v>79.06</v>
      </c>
      <c r="K183">
        <v>78.56</v>
      </c>
      <c r="L183">
        <v>37.979999999999997</v>
      </c>
      <c r="M183">
        <v>37.619999999999997</v>
      </c>
      <c r="N183">
        <v>37.57</v>
      </c>
    </row>
    <row r="184" spans="3:14" x14ac:dyDescent="0.15">
      <c r="C184" s="123">
        <v>42401</v>
      </c>
      <c r="D184" t="s">
        <v>37</v>
      </c>
      <c r="E184" t="s">
        <v>41</v>
      </c>
      <c r="F184" t="s">
        <v>6</v>
      </c>
      <c r="G184" t="s">
        <v>117</v>
      </c>
      <c r="H184" t="s">
        <v>648</v>
      </c>
      <c r="I184">
        <v>78.209999999999994</v>
      </c>
      <c r="J184">
        <v>78.010000000000005</v>
      </c>
      <c r="K184">
        <v>77.510000000000005</v>
      </c>
      <c r="L184">
        <v>36.93</v>
      </c>
      <c r="M184">
        <v>36.57</v>
      </c>
      <c r="N184">
        <v>36.520000000000003</v>
      </c>
    </row>
    <row r="185" spans="3:14" x14ac:dyDescent="0.15">
      <c r="C185" s="123">
        <v>42430</v>
      </c>
      <c r="D185" t="s">
        <v>37</v>
      </c>
      <c r="E185" t="s">
        <v>41</v>
      </c>
      <c r="F185" t="s">
        <v>6</v>
      </c>
      <c r="G185" t="s">
        <v>117</v>
      </c>
      <c r="H185" t="s">
        <v>59</v>
      </c>
      <c r="I185">
        <v>81.06</v>
      </c>
      <c r="J185">
        <v>79.680000000000007</v>
      </c>
      <c r="K185">
        <v>80.25</v>
      </c>
      <c r="L185">
        <v>39.47</v>
      </c>
      <c r="M185">
        <v>38.799999999999997</v>
      </c>
      <c r="N185">
        <v>39.130000000000003</v>
      </c>
    </row>
    <row r="186" spans="3:14" x14ac:dyDescent="0.15">
      <c r="C186" s="123">
        <v>42430</v>
      </c>
      <c r="D186" t="s">
        <v>37</v>
      </c>
      <c r="E186" t="s">
        <v>41</v>
      </c>
      <c r="F186" t="s">
        <v>6</v>
      </c>
      <c r="G186" t="s">
        <v>117</v>
      </c>
      <c r="H186" t="s">
        <v>60</v>
      </c>
      <c r="I186">
        <v>79.459999999999994</v>
      </c>
      <c r="J186">
        <v>78.08</v>
      </c>
      <c r="K186">
        <v>78.650000000000006</v>
      </c>
      <c r="L186">
        <v>37.869999999999997</v>
      </c>
      <c r="M186">
        <v>37.200000000000003</v>
      </c>
      <c r="N186">
        <v>37.53</v>
      </c>
    </row>
    <row r="187" spans="3:14" x14ac:dyDescent="0.15">
      <c r="C187" s="123">
        <v>42430</v>
      </c>
      <c r="D187" t="s">
        <v>37</v>
      </c>
      <c r="E187" t="s">
        <v>41</v>
      </c>
      <c r="F187" t="s">
        <v>6</v>
      </c>
      <c r="G187" t="s">
        <v>117</v>
      </c>
      <c r="H187" t="s">
        <v>648</v>
      </c>
      <c r="I187">
        <v>78.41</v>
      </c>
      <c r="J187">
        <v>77.03</v>
      </c>
      <c r="K187">
        <v>77.599999999999994</v>
      </c>
      <c r="L187">
        <v>36.82</v>
      </c>
      <c r="M187">
        <v>36.15</v>
      </c>
      <c r="N187">
        <v>36.479999999999997</v>
      </c>
    </row>
    <row r="188" spans="3:14" x14ac:dyDescent="0.15">
      <c r="C188" s="123">
        <v>42461</v>
      </c>
      <c r="D188" t="s">
        <v>37</v>
      </c>
      <c r="E188" t="s">
        <v>41</v>
      </c>
      <c r="F188" t="s">
        <v>6</v>
      </c>
      <c r="G188" t="s">
        <v>117</v>
      </c>
      <c r="H188" t="s">
        <v>59</v>
      </c>
      <c r="I188">
        <v>80.569999999999993</v>
      </c>
      <c r="J188">
        <v>78.81</v>
      </c>
      <c r="K188">
        <v>79.98</v>
      </c>
      <c r="L188">
        <v>39.33</v>
      </c>
      <c r="M188">
        <v>38.450000000000003</v>
      </c>
      <c r="N188">
        <v>39.07</v>
      </c>
    </row>
    <row r="189" spans="3:14" x14ac:dyDescent="0.15">
      <c r="C189" s="123">
        <v>42461</v>
      </c>
      <c r="D189" t="s">
        <v>37</v>
      </c>
      <c r="E189" t="s">
        <v>41</v>
      </c>
      <c r="F189" t="s">
        <v>6</v>
      </c>
      <c r="G189" t="s">
        <v>117</v>
      </c>
      <c r="H189" t="s">
        <v>60</v>
      </c>
      <c r="I189">
        <v>78.97</v>
      </c>
      <c r="J189">
        <v>77.209999999999994</v>
      </c>
      <c r="K189">
        <v>78.38</v>
      </c>
      <c r="L189">
        <v>37.729999999999997</v>
      </c>
      <c r="M189">
        <v>36.85</v>
      </c>
      <c r="N189">
        <v>37.47</v>
      </c>
    </row>
    <row r="190" spans="3:14" x14ac:dyDescent="0.15">
      <c r="C190" s="123">
        <v>42461</v>
      </c>
      <c r="D190" t="s">
        <v>37</v>
      </c>
      <c r="E190" t="s">
        <v>41</v>
      </c>
      <c r="F190" t="s">
        <v>6</v>
      </c>
      <c r="G190" t="s">
        <v>117</v>
      </c>
      <c r="H190" t="s">
        <v>648</v>
      </c>
      <c r="I190">
        <v>77.92</v>
      </c>
      <c r="J190">
        <v>76.16</v>
      </c>
      <c r="K190">
        <v>77.33</v>
      </c>
      <c r="L190">
        <v>36.68</v>
      </c>
      <c r="M190">
        <v>35.799999999999997</v>
      </c>
      <c r="N190">
        <v>36.42</v>
      </c>
    </row>
    <row r="191" spans="3:14" x14ac:dyDescent="0.15">
      <c r="C191" s="123">
        <v>42491</v>
      </c>
      <c r="D191" t="s">
        <v>37</v>
      </c>
      <c r="E191" t="s">
        <v>41</v>
      </c>
      <c r="F191" t="s">
        <v>6</v>
      </c>
      <c r="G191" t="s">
        <v>117</v>
      </c>
      <c r="H191" t="s">
        <v>59</v>
      </c>
      <c r="I191">
        <v>80.400000000000006</v>
      </c>
      <c r="J191">
        <v>78.459999999999994</v>
      </c>
      <c r="K191">
        <v>79.87</v>
      </c>
      <c r="L191">
        <v>39.08</v>
      </c>
      <c r="M191">
        <v>38.28</v>
      </c>
      <c r="N191">
        <v>38.96</v>
      </c>
    </row>
    <row r="192" spans="3:14" x14ac:dyDescent="0.15">
      <c r="C192" s="123">
        <v>42491</v>
      </c>
      <c r="D192" t="s">
        <v>37</v>
      </c>
      <c r="E192" t="s">
        <v>41</v>
      </c>
      <c r="F192" t="s">
        <v>6</v>
      </c>
      <c r="G192" t="s">
        <v>117</v>
      </c>
      <c r="H192" t="s">
        <v>60</v>
      </c>
      <c r="I192">
        <v>78.8</v>
      </c>
      <c r="J192">
        <v>76.86</v>
      </c>
      <c r="K192">
        <v>78.27</v>
      </c>
      <c r="L192">
        <v>37.479999999999997</v>
      </c>
      <c r="M192">
        <v>36.68</v>
      </c>
      <c r="N192">
        <v>37.36</v>
      </c>
    </row>
    <row r="193" spans="3:14" x14ac:dyDescent="0.15">
      <c r="C193" s="123">
        <v>42491</v>
      </c>
      <c r="D193" t="s">
        <v>37</v>
      </c>
      <c r="E193" t="s">
        <v>41</v>
      </c>
      <c r="F193" t="s">
        <v>6</v>
      </c>
      <c r="G193" t="s">
        <v>117</v>
      </c>
      <c r="H193" t="s">
        <v>648</v>
      </c>
      <c r="I193">
        <v>77.75</v>
      </c>
      <c r="J193">
        <v>75.81</v>
      </c>
      <c r="K193">
        <v>77.22</v>
      </c>
      <c r="L193">
        <v>36.43</v>
      </c>
      <c r="M193">
        <v>35.630000000000003</v>
      </c>
      <c r="N193">
        <v>36.31</v>
      </c>
    </row>
    <row r="194" spans="3:14" x14ac:dyDescent="0.15">
      <c r="C194" s="123">
        <v>42522</v>
      </c>
      <c r="D194" t="s">
        <v>37</v>
      </c>
      <c r="E194" t="s">
        <v>41</v>
      </c>
      <c r="F194" t="s">
        <v>6</v>
      </c>
      <c r="G194" t="s">
        <v>117</v>
      </c>
      <c r="H194" t="s">
        <v>59</v>
      </c>
      <c r="I194">
        <v>80.11</v>
      </c>
      <c r="J194">
        <v>78.239999999999995</v>
      </c>
      <c r="K194">
        <v>79.72</v>
      </c>
      <c r="L194">
        <v>38.75</v>
      </c>
      <c r="M194">
        <v>38.21</v>
      </c>
      <c r="N194">
        <v>38.799999999999997</v>
      </c>
    </row>
    <row r="195" spans="3:14" x14ac:dyDescent="0.15">
      <c r="C195" s="123">
        <v>42522</v>
      </c>
      <c r="D195" t="s">
        <v>37</v>
      </c>
      <c r="E195" t="s">
        <v>41</v>
      </c>
      <c r="F195" t="s">
        <v>6</v>
      </c>
      <c r="G195" t="s">
        <v>117</v>
      </c>
      <c r="H195" t="s">
        <v>60</v>
      </c>
      <c r="I195">
        <v>78.510000000000005</v>
      </c>
      <c r="J195">
        <v>76.64</v>
      </c>
      <c r="K195">
        <v>78.12</v>
      </c>
      <c r="L195">
        <v>37.15</v>
      </c>
      <c r="M195">
        <v>36.61</v>
      </c>
      <c r="N195">
        <v>37.200000000000003</v>
      </c>
    </row>
    <row r="196" spans="3:14" x14ac:dyDescent="0.15">
      <c r="C196" s="123">
        <v>42522</v>
      </c>
      <c r="D196" t="s">
        <v>37</v>
      </c>
      <c r="E196" t="s">
        <v>41</v>
      </c>
      <c r="F196" t="s">
        <v>6</v>
      </c>
      <c r="G196" t="s">
        <v>117</v>
      </c>
      <c r="H196" t="s">
        <v>648</v>
      </c>
      <c r="I196">
        <v>77.459999999999994</v>
      </c>
      <c r="J196">
        <v>75.59</v>
      </c>
      <c r="K196">
        <v>77.069999999999993</v>
      </c>
      <c r="L196">
        <v>36.1</v>
      </c>
      <c r="M196">
        <v>35.56</v>
      </c>
      <c r="N196">
        <v>36.15</v>
      </c>
    </row>
    <row r="197" spans="3:14" x14ac:dyDescent="0.15">
      <c r="C197" s="123">
        <v>42552</v>
      </c>
      <c r="D197" t="s">
        <v>37</v>
      </c>
      <c r="E197" t="s">
        <v>41</v>
      </c>
      <c r="F197" t="s">
        <v>6</v>
      </c>
      <c r="G197" t="s">
        <v>117</v>
      </c>
      <c r="H197" t="s">
        <v>59</v>
      </c>
      <c r="I197">
        <v>80.08</v>
      </c>
      <c r="J197">
        <v>78.41</v>
      </c>
      <c r="K197">
        <v>80.02</v>
      </c>
      <c r="L197">
        <v>38.729999999999997</v>
      </c>
      <c r="M197">
        <v>38.43</v>
      </c>
      <c r="N197">
        <v>39.159999999999997</v>
      </c>
    </row>
    <row r="198" spans="3:14" x14ac:dyDescent="0.15">
      <c r="C198" s="123">
        <v>42552</v>
      </c>
      <c r="D198" t="s">
        <v>37</v>
      </c>
      <c r="E198" t="s">
        <v>41</v>
      </c>
      <c r="F198" t="s">
        <v>6</v>
      </c>
      <c r="G198" t="s">
        <v>117</v>
      </c>
      <c r="H198" t="s">
        <v>60</v>
      </c>
      <c r="I198">
        <v>78.48</v>
      </c>
      <c r="J198">
        <v>76.81</v>
      </c>
      <c r="K198">
        <v>78.42</v>
      </c>
      <c r="L198">
        <v>37.130000000000003</v>
      </c>
      <c r="M198">
        <v>36.83</v>
      </c>
      <c r="N198">
        <v>37.56</v>
      </c>
    </row>
    <row r="199" spans="3:14" x14ac:dyDescent="0.15">
      <c r="C199" s="123">
        <v>42552</v>
      </c>
      <c r="D199" t="s">
        <v>37</v>
      </c>
      <c r="E199" t="s">
        <v>41</v>
      </c>
      <c r="F199" t="s">
        <v>6</v>
      </c>
      <c r="G199" t="s">
        <v>117</v>
      </c>
      <c r="H199" t="s">
        <v>648</v>
      </c>
      <c r="I199">
        <v>77.430000000000007</v>
      </c>
      <c r="J199">
        <v>75.760000000000005</v>
      </c>
      <c r="K199">
        <v>77.37</v>
      </c>
      <c r="L199">
        <v>36.08</v>
      </c>
      <c r="M199">
        <v>35.78</v>
      </c>
      <c r="N199">
        <v>36.51</v>
      </c>
    </row>
    <row r="200" spans="3:14" x14ac:dyDescent="0.15">
      <c r="C200" s="123">
        <v>42583</v>
      </c>
      <c r="D200" t="s">
        <v>37</v>
      </c>
      <c r="E200" t="s">
        <v>41</v>
      </c>
      <c r="F200" t="s">
        <v>6</v>
      </c>
      <c r="G200" t="s">
        <v>117</v>
      </c>
      <c r="H200" t="s">
        <v>59</v>
      </c>
      <c r="I200">
        <v>80.010000000000005</v>
      </c>
      <c r="J200">
        <v>79.55</v>
      </c>
      <c r="K200">
        <v>80.42</v>
      </c>
      <c r="L200">
        <v>38.75</v>
      </c>
      <c r="M200">
        <v>38.840000000000003</v>
      </c>
      <c r="N200">
        <v>39.54</v>
      </c>
    </row>
    <row r="201" spans="3:14" x14ac:dyDescent="0.15">
      <c r="C201" s="123">
        <v>42583</v>
      </c>
      <c r="D201" t="s">
        <v>37</v>
      </c>
      <c r="E201" t="s">
        <v>41</v>
      </c>
      <c r="F201" t="s">
        <v>6</v>
      </c>
      <c r="G201" t="s">
        <v>117</v>
      </c>
      <c r="H201" t="s">
        <v>60</v>
      </c>
      <c r="I201">
        <v>78.41</v>
      </c>
      <c r="J201">
        <v>77.95</v>
      </c>
      <c r="K201">
        <v>78.819999999999993</v>
      </c>
      <c r="L201">
        <v>37.15</v>
      </c>
      <c r="M201">
        <v>37.24</v>
      </c>
      <c r="N201">
        <v>37.94</v>
      </c>
    </row>
    <row r="202" spans="3:14" x14ac:dyDescent="0.15">
      <c r="C202" s="123">
        <v>42583</v>
      </c>
      <c r="D202" t="s">
        <v>37</v>
      </c>
      <c r="E202" t="s">
        <v>41</v>
      </c>
      <c r="F202" t="s">
        <v>6</v>
      </c>
      <c r="G202" t="s">
        <v>117</v>
      </c>
      <c r="H202" t="s">
        <v>648</v>
      </c>
      <c r="I202">
        <v>77.36</v>
      </c>
      <c r="J202">
        <v>76.900000000000006</v>
      </c>
      <c r="K202">
        <v>77.77</v>
      </c>
      <c r="L202">
        <v>36.1</v>
      </c>
      <c r="M202">
        <v>36.19</v>
      </c>
      <c r="N202">
        <v>36.89</v>
      </c>
    </row>
    <row r="203" spans="3:14" x14ac:dyDescent="0.15">
      <c r="C203" s="123">
        <v>42614</v>
      </c>
      <c r="D203" t="s">
        <v>37</v>
      </c>
      <c r="E203" t="s">
        <v>41</v>
      </c>
      <c r="F203" t="s">
        <v>6</v>
      </c>
      <c r="G203" t="s">
        <v>117</v>
      </c>
      <c r="H203" t="s">
        <v>59</v>
      </c>
      <c r="I203">
        <v>79.88</v>
      </c>
      <c r="J203">
        <v>80.59</v>
      </c>
      <c r="K203">
        <v>80.75</v>
      </c>
      <c r="L203">
        <v>38.74</v>
      </c>
      <c r="M203">
        <v>39.21</v>
      </c>
      <c r="N203">
        <v>39.92</v>
      </c>
    </row>
    <row r="204" spans="3:14" x14ac:dyDescent="0.15">
      <c r="C204" s="123">
        <v>42614</v>
      </c>
      <c r="D204" t="s">
        <v>37</v>
      </c>
      <c r="E204" t="s">
        <v>41</v>
      </c>
      <c r="F204" t="s">
        <v>6</v>
      </c>
      <c r="G204" t="s">
        <v>117</v>
      </c>
      <c r="H204" t="s">
        <v>60</v>
      </c>
      <c r="I204">
        <v>78.28</v>
      </c>
      <c r="J204">
        <v>78.989999999999995</v>
      </c>
      <c r="K204">
        <v>79.150000000000006</v>
      </c>
      <c r="L204">
        <v>37.14</v>
      </c>
      <c r="M204">
        <v>37.61</v>
      </c>
      <c r="N204">
        <v>38.32</v>
      </c>
    </row>
    <row r="205" spans="3:14" x14ac:dyDescent="0.15">
      <c r="C205" s="123">
        <v>42614</v>
      </c>
      <c r="D205" t="s">
        <v>37</v>
      </c>
      <c r="E205" t="s">
        <v>41</v>
      </c>
      <c r="F205" t="s">
        <v>6</v>
      </c>
      <c r="G205" t="s">
        <v>117</v>
      </c>
      <c r="H205" t="s">
        <v>648</v>
      </c>
      <c r="I205">
        <v>77.23</v>
      </c>
      <c r="J205">
        <v>77.94</v>
      </c>
      <c r="K205">
        <v>78.099999999999994</v>
      </c>
      <c r="L205">
        <v>36.090000000000003</v>
      </c>
      <c r="M205">
        <v>36.56</v>
      </c>
      <c r="N205">
        <v>37.270000000000003</v>
      </c>
    </row>
    <row r="206" spans="3:14" x14ac:dyDescent="0.15">
      <c r="C206" s="123">
        <v>42644</v>
      </c>
      <c r="D206" t="s">
        <v>37</v>
      </c>
      <c r="E206" t="s">
        <v>41</v>
      </c>
      <c r="F206" t="s">
        <v>6</v>
      </c>
      <c r="G206" t="s">
        <v>117</v>
      </c>
      <c r="H206" t="s">
        <v>59</v>
      </c>
      <c r="I206">
        <v>79.87</v>
      </c>
      <c r="J206">
        <v>81.13</v>
      </c>
      <c r="K206">
        <v>81.040000000000006</v>
      </c>
      <c r="L206">
        <v>38.75</v>
      </c>
      <c r="M206">
        <v>39.5</v>
      </c>
      <c r="N206">
        <v>40.299999999999997</v>
      </c>
    </row>
    <row r="207" spans="3:14" x14ac:dyDescent="0.15">
      <c r="C207" s="123">
        <v>42644</v>
      </c>
      <c r="D207" t="s">
        <v>37</v>
      </c>
      <c r="E207" t="s">
        <v>41</v>
      </c>
      <c r="F207" t="s">
        <v>6</v>
      </c>
      <c r="G207" t="s">
        <v>117</v>
      </c>
      <c r="H207" t="s">
        <v>60</v>
      </c>
      <c r="I207">
        <v>78.27</v>
      </c>
      <c r="J207">
        <v>79.53</v>
      </c>
      <c r="K207">
        <v>79.44</v>
      </c>
      <c r="L207">
        <v>37.15</v>
      </c>
      <c r="M207">
        <v>37.9</v>
      </c>
      <c r="N207">
        <v>38.700000000000003</v>
      </c>
    </row>
    <row r="208" spans="3:14" x14ac:dyDescent="0.15">
      <c r="C208" s="123">
        <v>42644</v>
      </c>
      <c r="D208" t="s">
        <v>37</v>
      </c>
      <c r="E208" t="s">
        <v>41</v>
      </c>
      <c r="F208" t="s">
        <v>6</v>
      </c>
      <c r="G208" t="s">
        <v>117</v>
      </c>
      <c r="H208" t="s">
        <v>648</v>
      </c>
      <c r="I208">
        <v>77.22</v>
      </c>
      <c r="J208">
        <v>78.48</v>
      </c>
      <c r="K208">
        <v>78.39</v>
      </c>
      <c r="L208">
        <v>36.1</v>
      </c>
      <c r="M208">
        <v>36.85</v>
      </c>
      <c r="N208">
        <v>37.65</v>
      </c>
    </row>
    <row r="209" spans="3:14" x14ac:dyDescent="0.15">
      <c r="C209" s="123">
        <v>42675</v>
      </c>
      <c r="D209" t="s">
        <v>37</v>
      </c>
      <c r="E209" t="s">
        <v>41</v>
      </c>
      <c r="F209" t="s">
        <v>6</v>
      </c>
      <c r="G209" t="s">
        <v>117</v>
      </c>
      <c r="H209" t="s">
        <v>59</v>
      </c>
      <c r="I209">
        <v>79.8</v>
      </c>
      <c r="J209">
        <v>81.31</v>
      </c>
      <c r="K209">
        <v>81.38</v>
      </c>
      <c r="L209">
        <v>38.770000000000003</v>
      </c>
      <c r="M209">
        <v>39.549999999999997</v>
      </c>
      <c r="N209">
        <v>40.69</v>
      </c>
    </row>
    <row r="210" spans="3:14" x14ac:dyDescent="0.15">
      <c r="C210" s="123">
        <v>42675</v>
      </c>
      <c r="D210" t="s">
        <v>37</v>
      </c>
      <c r="E210" t="s">
        <v>41</v>
      </c>
      <c r="F210" t="s">
        <v>6</v>
      </c>
      <c r="G210" t="s">
        <v>117</v>
      </c>
      <c r="H210" t="s">
        <v>60</v>
      </c>
      <c r="I210">
        <v>78.2</v>
      </c>
      <c r="J210">
        <v>79.709999999999994</v>
      </c>
      <c r="K210">
        <v>79.78</v>
      </c>
      <c r="L210">
        <v>37.17</v>
      </c>
      <c r="M210">
        <v>37.950000000000003</v>
      </c>
      <c r="N210">
        <v>39.090000000000003</v>
      </c>
    </row>
    <row r="211" spans="3:14" x14ac:dyDescent="0.15">
      <c r="C211" s="123">
        <v>42675</v>
      </c>
      <c r="D211" t="s">
        <v>37</v>
      </c>
      <c r="E211" t="s">
        <v>41</v>
      </c>
      <c r="F211" t="s">
        <v>6</v>
      </c>
      <c r="G211" t="s">
        <v>117</v>
      </c>
      <c r="H211" t="s">
        <v>648</v>
      </c>
      <c r="I211">
        <v>77.150000000000006</v>
      </c>
      <c r="J211">
        <v>78.66</v>
      </c>
      <c r="K211">
        <v>78.73</v>
      </c>
      <c r="L211">
        <v>36.119999999999997</v>
      </c>
      <c r="M211">
        <v>36.9</v>
      </c>
      <c r="N211">
        <v>38.04</v>
      </c>
    </row>
    <row r="212" spans="3:14" x14ac:dyDescent="0.15">
      <c r="C212" s="123">
        <v>42705</v>
      </c>
      <c r="D212" t="s">
        <v>37</v>
      </c>
      <c r="E212" t="s">
        <v>41</v>
      </c>
      <c r="F212" t="s">
        <v>6</v>
      </c>
      <c r="G212" t="s">
        <v>117</v>
      </c>
      <c r="H212" t="s">
        <v>59</v>
      </c>
      <c r="I212">
        <v>79.61</v>
      </c>
      <c r="J212">
        <v>81.180000000000007</v>
      </c>
      <c r="K212">
        <v>81.61</v>
      </c>
      <c r="L212">
        <v>38.74</v>
      </c>
      <c r="M212">
        <v>39.380000000000003</v>
      </c>
      <c r="N212">
        <v>41.02</v>
      </c>
    </row>
    <row r="213" spans="3:14" x14ac:dyDescent="0.15">
      <c r="C213" s="123">
        <v>42705</v>
      </c>
      <c r="D213" t="s">
        <v>37</v>
      </c>
      <c r="E213" t="s">
        <v>41</v>
      </c>
      <c r="F213" t="s">
        <v>6</v>
      </c>
      <c r="G213" t="s">
        <v>117</v>
      </c>
      <c r="H213" t="s">
        <v>60</v>
      </c>
      <c r="I213">
        <v>78.010000000000005</v>
      </c>
      <c r="J213">
        <v>79.58</v>
      </c>
      <c r="K213">
        <v>80.010000000000005</v>
      </c>
      <c r="L213">
        <v>37.14</v>
      </c>
      <c r="M213">
        <v>37.78</v>
      </c>
      <c r="N213">
        <v>39.42</v>
      </c>
    </row>
    <row r="214" spans="3:14" x14ac:dyDescent="0.15">
      <c r="C214" s="123">
        <v>42705</v>
      </c>
      <c r="D214" t="s">
        <v>37</v>
      </c>
      <c r="E214" t="s">
        <v>41</v>
      </c>
      <c r="F214" t="s">
        <v>6</v>
      </c>
      <c r="G214" t="s">
        <v>117</v>
      </c>
      <c r="H214" t="s">
        <v>648</v>
      </c>
      <c r="I214">
        <v>76.959999999999994</v>
      </c>
      <c r="J214">
        <v>78.53</v>
      </c>
      <c r="K214">
        <v>78.959999999999994</v>
      </c>
      <c r="L214">
        <v>36.090000000000003</v>
      </c>
      <c r="M214">
        <v>36.729999999999997</v>
      </c>
      <c r="N214">
        <v>38.369999999999997</v>
      </c>
    </row>
    <row r="215" spans="3:14" x14ac:dyDescent="0.15">
      <c r="C215" s="123">
        <v>42736</v>
      </c>
      <c r="D215" t="s">
        <v>37</v>
      </c>
      <c r="E215" t="s">
        <v>41</v>
      </c>
      <c r="F215" t="s">
        <v>6</v>
      </c>
      <c r="G215" t="s">
        <v>117</v>
      </c>
      <c r="H215" t="s">
        <v>59</v>
      </c>
      <c r="I215">
        <v>79.53</v>
      </c>
      <c r="J215">
        <v>81.349999999999994</v>
      </c>
      <c r="K215">
        <v>81.97</v>
      </c>
      <c r="L215">
        <v>38.729999999999997</v>
      </c>
      <c r="M215">
        <v>39.619999999999997</v>
      </c>
      <c r="N215">
        <v>41.39</v>
      </c>
    </row>
    <row r="216" spans="3:14" x14ac:dyDescent="0.15">
      <c r="C216" s="123">
        <v>42736</v>
      </c>
      <c r="D216" t="s">
        <v>37</v>
      </c>
      <c r="E216" t="s">
        <v>41</v>
      </c>
      <c r="F216" t="s">
        <v>6</v>
      </c>
      <c r="G216" t="s">
        <v>117</v>
      </c>
      <c r="H216" t="s">
        <v>60</v>
      </c>
      <c r="I216">
        <v>77.930000000000007</v>
      </c>
      <c r="J216">
        <v>79.75</v>
      </c>
      <c r="K216">
        <v>80.37</v>
      </c>
      <c r="L216">
        <v>37.130000000000003</v>
      </c>
      <c r="M216">
        <v>38.020000000000003</v>
      </c>
      <c r="N216">
        <v>39.79</v>
      </c>
    </row>
    <row r="217" spans="3:14" x14ac:dyDescent="0.15">
      <c r="C217" s="123">
        <v>42736</v>
      </c>
      <c r="D217" t="s">
        <v>37</v>
      </c>
      <c r="E217" t="s">
        <v>41</v>
      </c>
      <c r="F217" t="s">
        <v>6</v>
      </c>
      <c r="G217" t="s">
        <v>117</v>
      </c>
      <c r="H217" t="s">
        <v>648</v>
      </c>
      <c r="I217">
        <v>76.88</v>
      </c>
      <c r="J217">
        <v>78.7</v>
      </c>
      <c r="K217">
        <v>79.319999999999993</v>
      </c>
      <c r="L217">
        <v>36.08</v>
      </c>
      <c r="M217">
        <v>36.97</v>
      </c>
      <c r="N217">
        <v>38.74</v>
      </c>
    </row>
    <row r="218" spans="3:14" x14ac:dyDescent="0.15">
      <c r="C218" s="123">
        <v>42401</v>
      </c>
      <c r="D218" t="s">
        <v>37</v>
      </c>
      <c r="E218" t="s">
        <v>42</v>
      </c>
      <c r="F218" t="s">
        <v>6</v>
      </c>
      <c r="G218" t="s">
        <v>117</v>
      </c>
      <c r="H218" t="s">
        <v>59</v>
      </c>
      <c r="I218">
        <v>83.2</v>
      </c>
      <c r="J218">
        <v>83.38</v>
      </c>
      <c r="K218">
        <v>82.48</v>
      </c>
      <c r="L218">
        <v>38.450000000000003</v>
      </c>
      <c r="M218">
        <v>38.49</v>
      </c>
      <c r="N218">
        <v>38.270000000000003</v>
      </c>
    </row>
    <row r="219" spans="3:14" x14ac:dyDescent="0.15">
      <c r="C219" s="123">
        <v>42401</v>
      </c>
      <c r="D219" t="s">
        <v>37</v>
      </c>
      <c r="E219" t="s">
        <v>42</v>
      </c>
      <c r="F219" t="s">
        <v>6</v>
      </c>
      <c r="G219" t="s">
        <v>117</v>
      </c>
      <c r="H219" t="s">
        <v>60</v>
      </c>
      <c r="I219">
        <v>81.599999999999994</v>
      </c>
      <c r="J219">
        <v>81.78</v>
      </c>
      <c r="K219">
        <v>80.88</v>
      </c>
      <c r="L219">
        <v>36.85</v>
      </c>
      <c r="M219">
        <v>36.89</v>
      </c>
      <c r="N219">
        <v>36.67</v>
      </c>
    </row>
    <row r="220" spans="3:14" x14ac:dyDescent="0.15">
      <c r="C220" s="123">
        <v>42401</v>
      </c>
      <c r="D220" t="s">
        <v>37</v>
      </c>
      <c r="E220" t="s">
        <v>42</v>
      </c>
      <c r="F220" t="s">
        <v>6</v>
      </c>
      <c r="G220" t="s">
        <v>117</v>
      </c>
      <c r="H220" t="s">
        <v>648</v>
      </c>
      <c r="I220">
        <v>80.55</v>
      </c>
      <c r="J220">
        <v>80.73</v>
      </c>
      <c r="K220">
        <v>79.83</v>
      </c>
      <c r="L220">
        <v>35.799999999999997</v>
      </c>
      <c r="M220">
        <v>35.840000000000003</v>
      </c>
      <c r="N220">
        <v>35.619999999999997</v>
      </c>
    </row>
    <row r="221" spans="3:14" x14ac:dyDescent="0.15">
      <c r="C221" s="123">
        <v>42430</v>
      </c>
      <c r="D221" t="s">
        <v>37</v>
      </c>
      <c r="E221" t="s">
        <v>42</v>
      </c>
      <c r="F221" t="s">
        <v>6</v>
      </c>
      <c r="G221" t="s">
        <v>117</v>
      </c>
      <c r="H221" t="s">
        <v>59</v>
      </c>
      <c r="I221">
        <v>83.61</v>
      </c>
      <c r="J221">
        <v>83.26</v>
      </c>
      <c r="K221">
        <v>82.68</v>
      </c>
      <c r="L221">
        <v>38.39</v>
      </c>
      <c r="M221">
        <v>38.409999999999997</v>
      </c>
      <c r="N221">
        <v>38.24</v>
      </c>
    </row>
    <row r="222" spans="3:14" x14ac:dyDescent="0.15">
      <c r="C222" s="123">
        <v>42430</v>
      </c>
      <c r="D222" t="s">
        <v>37</v>
      </c>
      <c r="E222" t="s">
        <v>42</v>
      </c>
      <c r="F222" t="s">
        <v>6</v>
      </c>
      <c r="G222" t="s">
        <v>117</v>
      </c>
      <c r="H222" t="s">
        <v>60</v>
      </c>
      <c r="I222">
        <v>82.01</v>
      </c>
      <c r="J222">
        <v>81.66</v>
      </c>
      <c r="K222">
        <v>81.08</v>
      </c>
      <c r="L222">
        <v>36.79</v>
      </c>
      <c r="M222">
        <v>36.81</v>
      </c>
      <c r="N222">
        <v>36.64</v>
      </c>
    </row>
    <row r="223" spans="3:14" x14ac:dyDescent="0.15">
      <c r="C223" s="123">
        <v>42430</v>
      </c>
      <c r="D223" t="s">
        <v>37</v>
      </c>
      <c r="E223" t="s">
        <v>42</v>
      </c>
      <c r="F223" t="s">
        <v>6</v>
      </c>
      <c r="G223" t="s">
        <v>117</v>
      </c>
      <c r="H223" t="s">
        <v>648</v>
      </c>
      <c r="I223">
        <v>80.959999999999994</v>
      </c>
      <c r="J223">
        <v>80.61</v>
      </c>
      <c r="K223">
        <v>80.03</v>
      </c>
      <c r="L223">
        <v>35.74</v>
      </c>
      <c r="M223">
        <v>35.76</v>
      </c>
      <c r="N223">
        <v>35.590000000000003</v>
      </c>
    </row>
    <row r="224" spans="3:14" x14ac:dyDescent="0.15">
      <c r="C224" s="123">
        <v>42461</v>
      </c>
      <c r="D224" t="s">
        <v>37</v>
      </c>
      <c r="E224" t="s">
        <v>42</v>
      </c>
      <c r="F224" t="s">
        <v>6</v>
      </c>
      <c r="G224" t="s">
        <v>117</v>
      </c>
      <c r="H224" t="s">
        <v>59</v>
      </c>
      <c r="I224">
        <v>83.62</v>
      </c>
      <c r="J224">
        <v>82.89</v>
      </c>
      <c r="K224">
        <v>82.63</v>
      </c>
      <c r="L224">
        <v>38.36</v>
      </c>
      <c r="M224">
        <v>38.369999999999997</v>
      </c>
      <c r="N224">
        <v>38.24</v>
      </c>
    </row>
    <row r="225" spans="3:14" x14ac:dyDescent="0.15">
      <c r="C225" s="123">
        <v>42461</v>
      </c>
      <c r="D225" t="s">
        <v>37</v>
      </c>
      <c r="E225" t="s">
        <v>42</v>
      </c>
      <c r="F225" t="s">
        <v>6</v>
      </c>
      <c r="G225" t="s">
        <v>117</v>
      </c>
      <c r="H225" t="s">
        <v>60</v>
      </c>
      <c r="I225">
        <v>82.02</v>
      </c>
      <c r="J225">
        <v>81.290000000000006</v>
      </c>
      <c r="K225">
        <v>81.03</v>
      </c>
      <c r="L225">
        <v>36.76</v>
      </c>
      <c r="M225">
        <v>36.770000000000003</v>
      </c>
      <c r="N225">
        <v>36.64</v>
      </c>
    </row>
    <row r="226" spans="3:14" x14ac:dyDescent="0.15">
      <c r="C226" s="123">
        <v>42461</v>
      </c>
      <c r="D226" t="s">
        <v>37</v>
      </c>
      <c r="E226" t="s">
        <v>42</v>
      </c>
      <c r="F226" t="s">
        <v>6</v>
      </c>
      <c r="G226" t="s">
        <v>117</v>
      </c>
      <c r="H226" t="s">
        <v>648</v>
      </c>
      <c r="I226">
        <v>80.97</v>
      </c>
      <c r="J226">
        <v>80.239999999999995</v>
      </c>
      <c r="K226">
        <v>79.98</v>
      </c>
      <c r="L226">
        <v>35.71</v>
      </c>
      <c r="M226">
        <v>35.72</v>
      </c>
      <c r="N226">
        <v>35.590000000000003</v>
      </c>
    </row>
    <row r="227" spans="3:14" x14ac:dyDescent="0.15">
      <c r="C227" s="123">
        <v>42491</v>
      </c>
      <c r="D227" t="s">
        <v>37</v>
      </c>
      <c r="E227" t="s">
        <v>42</v>
      </c>
      <c r="F227" t="s">
        <v>6</v>
      </c>
      <c r="G227" t="s">
        <v>117</v>
      </c>
      <c r="H227" t="s">
        <v>59</v>
      </c>
      <c r="I227">
        <v>83.57</v>
      </c>
      <c r="J227">
        <v>82.61</v>
      </c>
      <c r="K227">
        <v>82.54</v>
      </c>
      <c r="L227">
        <v>38.33</v>
      </c>
      <c r="M227">
        <v>38.36</v>
      </c>
      <c r="N227">
        <v>38.229999999999997</v>
      </c>
    </row>
    <row r="228" spans="3:14" x14ac:dyDescent="0.15">
      <c r="C228" s="123">
        <v>42491</v>
      </c>
      <c r="D228" t="s">
        <v>37</v>
      </c>
      <c r="E228" t="s">
        <v>42</v>
      </c>
      <c r="F228" t="s">
        <v>6</v>
      </c>
      <c r="G228" t="s">
        <v>117</v>
      </c>
      <c r="H228" t="s">
        <v>60</v>
      </c>
      <c r="I228">
        <v>81.97</v>
      </c>
      <c r="J228">
        <v>81.010000000000005</v>
      </c>
      <c r="K228">
        <v>80.94</v>
      </c>
      <c r="L228">
        <v>36.729999999999997</v>
      </c>
      <c r="M228">
        <v>36.76</v>
      </c>
      <c r="N228">
        <v>36.630000000000003</v>
      </c>
    </row>
    <row r="229" spans="3:14" x14ac:dyDescent="0.15">
      <c r="C229" s="123">
        <v>42491</v>
      </c>
      <c r="D229" t="s">
        <v>37</v>
      </c>
      <c r="E229" t="s">
        <v>42</v>
      </c>
      <c r="F229" t="s">
        <v>6</v>
      </c>
      <c r="G229" t="s">
        <v>117</v>
      </c>
      <c r="H229" t="s">
        <v>648</v>
      </c>
      <c r="I229">
        <v>80.92</v>
      </c>
      <c r="J229">
        <v>79.959999999999994</v>
      </c>
      <c r="K229">
        <v>79.89</v>
      </c>
      <c r="L229">
        <v>35.68</v>
      </c>
      <c r="M229">
        <v>35.71</v>
      </c>
      <c r="N229">
        <v>35.58</v>
      </c>
    </row>
    <row r="230" spans="3:14" x14ac:dyDescent="0.15">
      <c r="C230" s="123">
        <v>42522</v>
      </c>
      <c r="D230" t="s">
        <v>37</v>
      </c>
      <c r="E230" t="s">
        <v>42</v>
      </c>
      <c r="F230" t="s">
        <v>6</v>
      </c>
      <c r="G230" t="s">
        <v>117</v>
      </c>
      <c r="H230" t="s">
        <v>59</v>
      </c>
      <c r="I230">
        <v>83.41</v>
      </c>
      <c r="J230">
        <v>81.98</v>
      </c>
      <c r="K230">
        <v>82.46</v>
      </c>
      <c r="L230">
        <v>38.270000000000003</v>
      </c>
      <c r="M230">
        <v>38.1</v>
      </c>
      <c r="N230">
        <v>38.200000000000003</v>
      </c>
    </row>
    <row r="231" spans="3:14" x14ac:dyDescent="0.15">
      <c r="C231" s="123">
        <v>42522</v>
      </c>
      <c r="D231" t="s">
        <v>37</v>
      </c>
      <c r="E231" t="s">
        <v>42</v>
      </c>
      <c r="F231" t="s">
        <v>6</v>
      </c>
      <c r="G231" t="s">
        <v>117</v>
      </c>
      <c r="H231" t="s">
        <v>60</v>
      </c>
      <c r="I231">
        <v>81.81</v>
      </c>
      <c r="J231">
        <v>80.38</v>
      </c>
      <c r="K231">
        <v>80.86</v>
      </c>
      <c r="L231">
        <v>36.67</v>
      </c>
      <c r="M231">
        <v>36.5</v>
      </c>
      <c r="N231">
        <v>36.6</v>
      </c>
    </row>
    <row r="232" spans="3:14" x14ac:dyDescent="0.15">
      <c r="C232" s="123">
        <v>42522</v>
      </c>
      <c r="D232" t="s">
        <v>37</v>
      </c>
      <c r="E232" t="s">
        <v>42</v>
      </c>
      <c r="F232" t="s">
        <v>6</v>
      </c>
      <c r="G232" t="s">
        <v>117</v>
      </c>
      <c r="H232" t="s">
        <v>648</v>
      </c>
      <c r="I232">
        <v>80.760000000000005</v>
      </c>
      <c r="J232">
        <v>79.33</v>
      </c>
      <c r="K232">
        <v>79.81</v>
      </c>
      <c r="L232">
        <v>35.619999999999997</v>
      </c>
      <c r="M232">
        <v>35.450000000000003</v>
      </c>
      <c r="N232">
        <v>35.549999999999997</v>
      </c>
    </row>
    <row r="233" spans="3:14" x14ac:dyDescent="0.15">
      <c r="C233" s="123">
        <v>42552</v>
      </c>
      <c r="D233" t="s">
        <v>37</v>
      </c>
      <c r="E233" t="s">
        <v>42</v>
      </c>
      <c r="F233" t="s">
        <v>6</v>
      </c>
      <c r="G233" t="s">
        <v>117</v>
      </c>
      <c r="H233" t="s">
        <v>59</v>
      </c>
      <c r="I233">
        <v>83.29</v>
      </c>
      <c r="J233">
        <v>81.650000000000006</v>
      </c>
      <c r="K233">
        <v>82.39</v>
      </c>
      <c r="L233">
        <v>38.22</v>
      </c>
      <c r="M233">
        <v>37.979999999999997</v>
      </c>
      <c r="N233">
        <v>38.24</v>
      </c>
    </row>
    <row r="234" spans="3:14" x14ac:dyDescent="0.15">
      <c r="C234" s="123">
        <v>42552</v>
      </c>
      <c r="D234" t="s">
        <v>37</v>
      </c>
      <c r="E234" t="s">
        <v>42</v>
      </c>
      <c r="F234" t="s">
        <v>6</v>
      </c>
      <c r="G234" t="s">
        <v>117</v>
      </c>
      <c r="H234" t="s">
        <v>60</v>
      </c>
      <c r="I234">
        <v>81.69</v>
      </c>
      <c r="J234">
        <v>80.05</v>
      </c>
      <c r="K234">
        <v>80.790000000000006</v>
      </c>
      <c r="L234">
        <v>36.619999999999997</v>
      </c>
      <c r="M234">
        <v>36.380000000000003</v>
      </c>
      <c r="N234">
        <v>36.64</v>
      </c>
    </row>
    <row r="235" spans="3:14" x14ac:dyDescent="0.15">
      <c r="C235" s="123">
        <v>42552</v>
      </c>
      <c r="D235" t="s">
        <v>37</v>
      </c>
      <c r="E235" t="s">
        <v>42</v>
      </c>
      <c r="F235" t="s">
        <v>6</v>
      </c>
      <c r="G235" t="s">
        <v>117</v>
      </c>
      <c r="H235" t="s">
        <v>648</v>
      </c>
      <c r="I235">
        <v>80.64</v>
      </c>
      <c r="J235">
        <v>79</v>
      </c>
      <c r="K235">
        <v>79.739999999999995</v>
      </c>
      <c r="L235">
        <v>35.57</v>
      </c>
      <c r="M235">
        <v>35.33</v>
      </c>
      <c r="N235">
        <v>35.590000000000003</v>
      </c>
    </row>
    <row r="236" spans="3:14" x14ac:dyDescent="0.15">
      <c r="C236" s="123">
        <v>42583</v>
      </c>
      <c r="D236" t="s">
        <v>37</v>
      </c>
      <c r="E236" t="s">
        <v>42</v>
      </c>
      <c r="F236" t="s">
        <v>6</v>
      </c>
      <c r="G236" t="s">
        <v>117</v>
      </c>
      <c r="H236" t="s">
        <v>59</v>
      </c>
      <c r="I236">
        <v>83.03</v>
      </c>
      <c r="J236">
        <v>81.96</v>
      </c>
      <c r="K236">
        <v>82.36</v>
      </c>
      <c r="L236">
        <v>38.22</v>
      </c>
      <c r="M236">
        <v>38.01</v>
      </c>
      <c r="N236">
        <v>38.28</v>
      </c>
    </row>
    <row r="237" spans="3:14" x14ac:dyDescent="0.15">
      <c r="C237" s="123">
        <v>42583</v>
      </c>
      <c r="D237" t="s">
        <v>37</v>
      </c>
      <c r="E237" t="s">
        <v>42</v>
      </c>
      <c r="F237" t="s">
        <v>6</v>
      </c>
      <c r="G237" t="s">
        <v>117</v>
      </c>
      <c r="H237" t="s">
        <v>60</v>
      </c>
      <c r="I237">
        <v>81.430000000000007</v>
      </c>
      <c r="J237">
        <v>80.36</v>
      </c>
      <c r="K237">
        <v>80.760000000000005</v>
      </c>
      <c r="L237">
        <v>36.619999999999997</v>
      </c>
      <c r="M237">
        <v>36.409999999999997</v>
      </c>
      <c r="N237">
        <v>36.68</v>
      </c>
    </row>
    <row r="238" spans="3:14" x14ac:dyDescent="0.15">
      <c r="C238" s="123">
        <v>42583</v>
      </c>
      <c r="D238" t="s">
        <v>37</v>
      </c>
      <c r="E238" t="s">
        <v>42</v>
      </c>
      <c r="F238" t="s">
        <v>6</v>
      </c>
      <c r="G238" t="s">
        <v>117</v>
      </c>
      <c r="H238" t="s">
        <v>648</v>
      </c>
      <c r="I238">
        <v>80.38</v>
      </c>
      <c r="J238">
        <v>79.31</v>
      </c>
      <c r="K238">
        <v>79.709999999999994</v>
      </c>
      <c r="L238">
        <v>35.57</v>
      </c>
      <c r="M238">
        <v>35.36</v>
      </c>
      <c r="N238">
        <v>35.630000000000003</v>
      </c>
    </row>
    <row r="239" spans="3:14" x14ac:dyDescent="0.15">
      <c r="C239" s="123">
        <v>42614</v>
      </c>
      <c r="D239" t="s">
        <v>37</v>
      </c>
      <c r="E239" t="s">
        <v>42</v>
      </c>
      <c r="F239" t="s">
        <v>6</v>
      </c>
      <c r="G239" t="s">
        <v>117</v>
      </c>
      <c r="H239" t="s">
        <v>59</v>
      </c>
      <c r="I239">
        <v>82.75</v>
      </c>
      <c r="J239">
        <v>82.16</v>
      </c>
      <c r="K239">
        <v>82.28</v>
      </c>
      <c r="L239">
        <v>38.17</v>
      </c>
      <c r="M239">
        <v>38.03</v>
      </c>
      <c r="N239">
        <v>38.299999999999997</v>
      </c>
    </row>
    <row r="240" spans="3:14" x14ac:dyDescent="0.15">
      <c r="C240" s="123">
        <v>42614</v>
      </c>
      <c r="D240" t="s">
        <v>37</v>
      </c>
      <c r="E240" t="s">
        <v>42</v>
      </c>
      <c r="F240" t="s">
        <v>6</v>
      </c>
      <c r="G240" t="s">
        <v>117</v>
      </c>
      <c r="H240" t="s">
        <v>60</v>
      </c>
      <c r="I240">
        <v>81.150000000000006</v>
      </c>
      <c r="J240">
        <v>80.56</v>
      </c>
      <c r="K240">
        <v>80.680000000000007</v>
      </c>
      <c r="L240">
        <v>36.57</v>
      </c>
      <c r="M240">
        <v>36.43</v>
      </c>
      <c r="N240">
        <v>36.700000000000003</v>
      </c>
    </row>
    <row r="241" spans="3:14" x14ac:dyDescent="0.15">
      <c r="C241" s="123">
        <v>42614</v>
      </c>
      <c r="D241" t="s">
        <v>37</v>
      </c>
      <c r="E241" t="s">
        <v>42</v>
      </c>
      <c r="F241" t="s">
        <v>6</v>
      </c>
      <c r="G241" t="s">
        <v>117</v>
      </c>
      <c r="H241" t="s">
        <v>648</v>
      </c>
      <c r="I241">
        <v>80.099999999999994</v>
      </c>
      <c r="J241">
        <v>79.510000000000005</v>
      </c>
      <c r="K241">
        <v>79.63</v>
      </c>
      <c r="L241">
        <v>35.520000000000003</v>
      </c>
      <c r="M241">
        <v>35.380000000000003</v>
      </c>
      <c r="N241">
        <v>35.65</v>
      </c>
    </row>
    <row r="242" spans="3:14" x14ac:dyDescent="0.15">
      <c r="C242" s="123">
        <v>42644</v>
      </c>
      <c r="D242" t="s">
        <v>37</v>
      </c>
      <c r="E242" t="s">
        <v>42</v>
      </c>
      <c r="F242" t="s">
        <v>6</v>
      </c>
      <c r="G242" t="s">
        <v>117</v>
      </c>
      <c r="H242" t="s">
        <v>59</v>
      </c>
      <c r="I242">
        <v>82.58</v>
      </c>
      <c r="J242">
        <v>82.35</v>
      </c>
      <c r="K242">
        <v>82.23</v>
      </c>
      <c r="L242">
        <v>38.17</v>
      </c>
      <c r="M242">
        <v>38.07</v>
      </c>
      <c r="N242">
        <v>38.369999999999997</v>
      </c>
    </row>
    <row r="243" spans="3:14" x14ac:dyDescent="0.15">
      <c r="C243" s="123">
        <v>42644</v>
      </c>
      <c r="D243" t="s">
        <v>37</v>
      </c>
      <c r="E243" t="s">
        <v>42</v>
      </c>
      <c r="F243" t="s">
        <v>6</v>
      </c>
      <c r="G243" t="s">
        <v>117</v>
      </c>
      <c r="H243" t="s">
        <v>60</v>
      </c>
      <c r="I243">
        <v>80.98</v>
      </c>
      <c r="J243">
        <v>80.75</v>
      </c>
      <c r="K243">
        <v>80.63</v>
      </c>
      <c r="L243">
        <v>36.57</v>
      </c>
      <c r="M243">
        <v>36.47</v>
      </c>
      <c r="N243">
        <v>36.770000000000003</v>
      </c>
    </row>
    <row r="244" spans="3:14" x14ac:dyDescent="0.15">
      <c r="C244" s="123">
        <v>42644</v>
      </c>
      <c r="D244" t="s">
        <v>37</v>
      </c>
      <c r="E244" t="s">
        <v>42</v>
      </c>
      <c r="F244" t="s">
        <v>6</v>
      </c>
      <c r="G244" t="s">
        <v>117</v>
      </c>
      <c r="H244" t="s">
        <v>648</v>
      </c>
      <c r="I244">
        <v>79.930000000000007</v>
      </c>
      <c r="J244">
        <v>79.7</v>
      </c>
      <c r="K244">
        <v>79.58</v>
      </c>
      <c r="L244">
        <v>35.520000000000003</v>
      </c>
      <c r="M244">
        <v>35.42</v>
      </c>
      <c r="N244">
        <v>35.72</v>
      </c>
    </row>
    <row r="245" spans="3:14" x14ac:dyDescent="0.15">
      <c r="C245" s="123">
        <v>42675</v>
      </c>
      <c r="D245" t="s">
        <v>37</v>
      </c>
      <c r="E245" t="s">
        <v>42</v>
      </c>
      <c r="F245" t="s">
        <v>6</v>
      </c>
      <c r="G245" t="s">
        <v>117</v>
      </c>
      <c r="H245" t="s">
        <v>59</v>
      </c>
      <c r="I245">
        <v>82.31</v>
      </c>
      <c r="J245">
        <v>82.32</v>
      </c>
      <c r="K245">
        <v>82.12</v>
      </c>
      <c r="L245">
        <v>38.1</v>
      </c>
      <c r="M245">
        <v>38.020000000000003</v>
      </c>
      <c r="N245">
        <v>38.380000000000003</v>
      </c>
    </row>
    <row r="246" spans="3:14" x14ac:dyDescent="0.15">
      <c r="C246" s="123">
        <v>42675</v>
      </c>
      <c r="D246" t="s">
        <v>37</v>
      </c>
      <c r="E246" t="s">
        <v>42</v>
      </c>
      <c r="F246" t="s">
        <v>6</v>
      </c>
      <c r="G246" t="s">
        <v>117</v>
      </c>
      <c r="H246" t="s">
        <v>60</v>
      </c>
      <c r="I246">
        <v>80.709999999999994</v>
      </c>
      <c r="J246">
        <v>80.72</v>
      </c>
      <c r="K246">
        <v>80.52</v>
      </c>
      <c r="L246">
        <v>36.5</v>
      </c>
      <c r="M246">
        <v>36.42</v>
      </c>
      <c r="N246">
        <v>36.78</v>
      </c>
    </row>
    <row r="247" spans="3:14" x14ac:dyDescent="0.15">
      <c r="C247" s="123">
        <v>42675</v>
      </c>
      <c r="D247" t="s">
        <v>37</v>
      </c>
      <c r="E247" t="s">
        <v>42</v>
      </c>
      <c r="F247" t="s">
        <v>6</v>
      </c>
      <c r="G247" t="s">
        <v>117</v>
      </c>
      <c r="H247" t="s">
        <v>648</v>
      </c>
      <c r="I247">
        <v>79.66</v>
      </c>
      <c r="J247">
        <v>79.67</v>
      </c>
      <c r="K247">
        <v>79.47</v>
      </c>
      <c r="L247">
        <v>35.450000000000003</v>
      </c>
      <c r="M247">
        <v>35.369999999999997</v>
      </c>
      <c r="N247">
        <v>35.729999999999997</v>
      </c>
    </row>
    <row r="248" spans="3:14" x14ac:dyDescent="0.15">
      <c r="C248" s="123">
        <v>42705</v>
      </c>
      <c r="D248" t="s">
        <v>37</v>
      </c>
      <c r="E248" t="s">
        <v>42</v>
      </c>
      <c r="F248" t="s">
        <v>6</v>
      </c>
      <c r="G248" t="s">
        <v>117</v>
      </c>
      <c r="H248" t="s">
        <v>59</v>
      </c>
      <c r="I248">
        <v>81.99</v>
      </c>
      <c r="J248">
        <v>82.63</v>
      </c>
      <c r="K248">
        <v>81.99</v>
      </c>
      <c r="L248">
        <v>38.07</v>
      </c>
      <c r="M248">
        <v>38.21</v>
      </c>
      <c r="N248">
        <v>38.42</v>
      </c>
    </row>
    <row r="249" spans="3:14" x14ac:dyDescent="0.15">
      <c r="C249" s="123">
        <v>42705</v>
      </c>
      <c r="D249" t="s">
        <v>37</v>
      </c>
      <c r="E249" t="s">
        <v>42</v>
      </c>
      <c r="F249" t="s">
        <v>6</v>
      </c>
      <c r="G249" t="s">
        <v>117</v>
      </c>
      <c r="H249" t="s">
        <v>60</v>
      </c>
      <c r="I249">
        <v>80.39</v>
      </c>
      <c r="J249">
        <v>81.03</v>
      </c>
      <c r="K249">
        <v>80.39</v>
      </c>
      <c r="L249">
        <v>36.47</v>
      </c>
      <c r="M249">
        <v>36.61</v>
      </c>
      <c r="N249">
        <v>36.82</v>
      </c>
    </row>
    <row r="250" spans="3:14" x14ac:dyDescent="0.15">
      <c r="C250" s="123">
        <v>42705</v>
      </c>
      <c r="D250" t="s">
        <v>37</v>
      </c>
      <c r="E250" t="s">
        <v>42</v>
      </c>
      <c r="F250" t="s">
        <v>6</v>
      </c>
      <c r="G250" t="s">
        <v>117</v>
      </c>
      <c r="H250" t="s">
        <v>648</v>
      </c>
      <c r="I250">
        <v>79.34</v>
      </c>
      <c r="J250">
        <v>79.98</v>
      </c>
      <c r="K250">
        <v>79.34</v>
      </c>
      <c r="L250">
        <v>35.42</v>
      </c>
      <c r="M250">
        <v>35.56</v>
      </c>
      <c r="N250">
        <v>35.770000000000003</v>
      </c>
    </row>
    <row r="251" spans="3:14" x14ac:dyDescent="0.15">
      <c r="C251" s="123">
        <v>42736</v>
      </c>
      <c r="D251" t="s">
        <v>37</v>
      </c>
      <c r="E251" t="s">
        <v>42</v>
      </c>
      <c r="F251" t="s">
        <v>6</v>
      </c>
      <c r="G251" t="s">
        <v>117</v>
      </c>
      <c r="H251" t="s">
        <v>59</v>
      </c>
      <c r="I251">
        <v>81.83</v>
      </c>
      <c r="J251">
        <v>82.76</v>
      </c>
      <c r="K251">
        <v>82.01</v>
      </c>
      <c r="L251">
        <v>38.07</v>
      </c>
      <c r="M251">
        <v>38.39</v>
      </c>
      <c r="N251">
        <v>38.479999999999997</v>
      </c>
    </row>
    <row r="252" spans="3:14" x14ac:dyDescent="0.15">
      <c r="C252" s="123">
        <v>42736</v>
      </c>
      <c r="D252" t="s">
        <v>37</v>
      </c>
      <c r="E252" t="s">
        <v>42</v>
      </c>
      <c r="F252" t="s">
        <v>6</v>
      </c>
      <c r="G252" t="s">
        <v>117</v>
      </c>
      <c r="H252" t="s">
        <v>60</v>
      </c>
      <c r="I252">
        <v>80.23</v>
      </c>
      <c r="J252">
        <v>81.16</v>
      </c>
      <c r="K252">
        <v>80.41</v>
      </c>
      <c r="L252">
        <v>36.47</v>
      </c>
      <c r="M252">
        <v>36.79</v>
      </c>
      <c r="N252">
        <v>36.880000000000003</v>
      </c>
    </row>
    <row r="253" spans="3:14" x14ac:dyDescent="0.15">
      <c r="C253" s="123">
        <v>42736</v>
      </c>
      <c r="D253" t="s">
        <v>37</v>
      </c>
      <c r="E253" t="s">
        <v>42</v>
      </c>
      <c r="F253" t="s">
        <v>6</v>
      </c>
      <c r="G253" t="s">
        <v>117</v>
      </c>
      <c r="H253" t="s">
        <v>648</v>
      </c>
      <c r="I253">
        <v>79.180000000000007</v>
      </c>
      <c r="J253">
        <v>80.11</v>
      </c>
      <c r="K253">
        <v>79.36</v>
      </c>
      <c r="L253">
        <v>35.42</v>
      </c>
      <c r="M253">
        <v>35.74</v>
      </c>
      <c r="N253">
        <v>35.83</v>
      </c>
    </row>
    <row r="254" spans="3:14" x14ac:dyDescent="0.15">
      <c r="C254" s="123">
        <v>42401</v>
      </c>
      <c r="D254" t="s">
        <v>37</v>
      </c>
      <c r="E254" t="s">
        <v>42</v>
      </c>
      <c r="F254" t="s">
        <v>43</v>
      </c>
      <c r="G254" t="s">
        <v>186</v>
      </c>
      <c r="H254" t="s">
        <v>59</v>
      </c>
      <c r="I254">
        <v>81.36</v>
      </c>
      <c r="J254">
        <v>81.349999999999994</v>
      </c>
      <c r="K254">
        <v>80.56</v>
      </c>
      <c r="L254">
        <v>37.380000000000003</v>
      </c>
      <c r="M254">
        <v>37.33</v>
      </c>
      <c r="N254">
        <v>37.21</v>
      </c>
    </row>
    <row r="255" spans="3:14" x14ac:dyDescent="0.15">
      <c r="C255" s="123">
        <v>42401</v>
      </c>
      <c r="D255" t="s">
        <v>37</v>
      </c>
      <c r="E255" t="s">
        <v>42</v>
      </c>
      <c r="F255" t="s">
        <v>43</v>
      </c>
      <c r="G255" t="s">
        <v>186</v>
      </c>
      <c r="H255" t="s">
        <v>60</v>
      </c>
      <c r="I255">
        <v>79.760000000000005</v>
      </c>
      <c r="J255">
        <v>79.75</v>
      </c>
      <c r="K255">
        <v>78.959999999999994</v>
      </c>
      <c r="L255">
        <v>35.78</v>
      </c>
      <c r="M255">
        <v>35.729999999999997</v>
      </c>
      <c r="N255">
        <v>35.61</v>
      </c>
    </row>
    <row r="256" spans="3:14" x14ac:dyDescent="0.15">
      <c r="C256" s="123">
        <v>42401</v>
      </c>
      <c r="D256" t="s">
        <v>37</v>
      </c>
      <c r="E256" t="s">
        <v>42</v>
      </c>
      <c r="F256" t="s">
        <v>43</v>
      </c>
      <c r="G256" t="s">
        <v>186</v>
      </c>
      <c r="H256" t="s">
        <v>648</v>
      </c>
      <c r="I256">
        <v>78.709999999999994</v>
      </c>
      <c r="J256">
        <v>78.7</v>
      </c>
      <c r="K256">
        <v>77.91</v>
      </c>
      <c r="L256">
        <v>34.729999999999997</v>
      </c>
      <c r="M256">
        <v>34.68</v>
      </c>
      <c r="N256">
        <v>34.56</v>
      </c>
    </row>
    <row r="257" spans="3:14" x14ac:dyDescent="0.15">
      <c r="C257" s="123">
        <v>42430</v>
      </c>
      <c r="D257" t="s">
        <v>37</v>
      </c>
      <c r="E257" t="s">
        <v>42</v>
      </c>
      <c r="F257" t="s">
        <v>43</v>
      </c>
      <c r="G257" t="s">
        <v>186</v>
      </c>
      <c r="H257" t="s">
        <v>59</v>
      </c>
      <c r="I257">
        <v>81.72</v>
      </c>
      <c r="J257">
        <v>80.87</v>
      </c>
      <c r="K257">
        <v>80.73</v>
      </c>
      <c r="L257">
        <v>37.36</v>
      </c>
      <c r="M257">
        <v>37.01</v>
      </c>
      <c r="N257">
        <v>37.200000000000003</v>
      </c>
    </row>
    <row r="258" spans="3:14" x14ac:dyDescent="0.15">
      <c r="C258" s="123">
        <v>42430</v>
      </c>
      <c r="D258" t="s">
        <v>37</v>
      </c>
      <c r="E258" t="s">
        <v>42</v>
      </c>
      <c r="F258" t="s">
        <v>43</v>
      </c>
      <c r="G258" t="s">
        <v>186</v>
      </c>
      <c r="H258" t="s">
        <v>60</v>
      </c>
      <c r="I258">
        <v>80.12</v>
      </c>
      <c r="J258">
        <v>79.27</v>
      </c>
      <c r="K258">
        <v>79.13</v>
      </c>
      <c r="L258">
        <v>35.76</v>
      </c>
      <c r="M258">
        <v>35.409999999999997</v>
      </c>
      <c r="N258">
        <v>35.6</v>
      </c>
    </row>
    <row r="259" spans="3:14" x14ac:dyDescent="0.15">
      <c r="C259" s="123">
        <v>42430</v>
      </c>
      <c r="D259" t="s">
        <v>37</v>
      </c>
      <c r="E259" t="s">
        <v>42</v>
      </c>
      <c r="F259" t="s">
        <v>43</v>
      </c>
      <c r="G259" t="s">
        <v>186</v>
      </c>
      <c r="H259" t="s">
        <v>648</v>
      </c>
      <c r="I259">
        <v>79.069999999999993</v>
      </c>
      <c r="J259">
        <v>78.22</v>
      </c>
      <c r="K259">
        <v>78.08</v>
      </c>
      <c r="L259">
        <v>34.71</v>
      </c>
      <c r="M259">
        <v>34.36</v>
      </c>
      <c r="N259">
        <v>34.549999999999997</v>
      </c>
    </row>
    <row r="260" spans="3:14" x14ac:dyDescent="0.15">
      <c r="C260" s="123">
        <v>42461</v>
      </c>
      <c r="D260" t="s">
        <v>37</v>
      </c>
      <c r="E260" t="s">
        <v>42</v>
      </c>
      <c r="F260" t="s">
        <v>43</v>
      </c>
      <c r="G260" t="s">
        <v>186</v>
      </c>
      <c r="H260" t="s">
        <v>59</v>
      </c>
      <c r="I260">
        <v>81.72</v>
      </c>
      <c r="J260">
        <v>80.23</v>
      </c>
      <c r="K260">
        <v>80.67</v>
      </c>
      <c r="L260">
        <v>37.32</v>
      </c>
      <c r="M260">
        <v>36.78</v>
      </c>
      <c r="N260">
        <v>37.19</v>
      </c>
    </row>
    <row r="261" spans="3:14" x14ac:dyDescent="0.15">
      <c r="C261" s="123">
        <v>42461</v>
      </c>
      <c r="D261" t="s">
        <v>37</v>
      </c>
      <c r="E261" t="s">
        <v>42</v>
      </c>
      <c r="F261" t="s">
        <v>43</v>
      </c>
      <c r="G261" t="s">
        <v>186</v>
      </c>
      <c r="H261" t="s">
        <v>60</v>
      </c>
      <c r="I261">
        <v>80.12</v>
      </c>
      <c r="J261">
        <v>78.63</v>
      </c>
      <c r="K261">
        <v>79.069999999999993</v>
      </c>
      <c r="L261">
        <v>35.72</v>
      </c>
      <c r="M261">
        <v>35.18</v>
      </c>
      <c r="N261">
        <v>35.590000000000003</v>
      </c>
    </row>
    <row r="262" spans="3:14" x14ac:dyDescent="0.15">
      <c r="C262" s="123">
        <v>42461</v>
      </c>
      <c r="D262" t="s">
        <v>37</v>
      </c>
      <c r="E262" t="s">
        <v>42</v>
      </c>
      <c r="F262" t="s">
        <v>43</v>
      </c>
      <c r="G262" t="s">
        <v>186</v>
      </c>
      <c r="H262" t="s">
        <v>648</v>
      </c>
      <c r="I262">
        <v>79.069999999999993</v>
      </c>
      <c r="J262">
        <v>77.58</v>
      </c>
      <c r="K262">
        <v>78.02</v>
      </c>
      <c r="L262">
        <v>34.67</v>
      </c>
      <c r="M262">
        <v>34.130000000000003</v>
      </c>
      <c r="N262">
        <v>34.54</v>
      </c>
    </row>
    <row r="263" spans="3:14" x14ac:dyDescent="0.15">
      <c r="C263" s="123">
        <v>42491</v>
      </c>
      <c r="D263" t="s">
        <v>37</v>
      </c>
      <c r="E263" t="s">
        <v>42</v>
      </c>
      <c r="F263" t="s">
        <v>43</v>
      </c>
      <c r="G263" t="s">
        <v>186</v>
      </c>
      <c r="H263" t="s">
        <v>59</v>
      </c>
      <c r="I263">
        <v>81.64</v>
      </c>
      <c r="J263">
        <v>79.92</v>
      </c>
      <c r="K263">
        <v>80.58</v>
      </c>
      <c r="L263">
        <v>37.29</v>
      </c>
      <c r="M263">
        <v>36.74</v>
      </c>
      <c r="N263">
        <v>37.17</v>
      </c>
    </row>
    <row r="264" spans="3:14" x14ac:dyDescent="0.15">
      <c r="C264" s="123">
        <v>42491</v>
      </c>
      <c r="D264" t="s">
        <v>37</v>
      </c>
      <c r="E264" t="s">
        <v>42</v>
      </c>
      <c r="F264" t="s">
        <v>43</v>
      </c>
      <c r="G264" t="s">
        <v>186</v>
      </c>
      <c r="H264" t="s">
        <v>60</v>
      </c>
      <c r="I264">
        <v>80.040000000000006</v>
      </c>
      <c r="J264">
        <v>78.319999999999993</v>
      </c>
      <c r="K264">
        <v>78.98</v>
      </c>
      <c r="L264">
        <v>35.69</v>
      </c>
      <c r="M264">
        <v>35.14</v>
      </c>
      <c r="N264">
        <v>35.57</v>
      </c>
    </row>
    <row r="265" spans="3:14" x14ac:dyDescent="0.15">
      <c r="C265" s="123">
        <v>42491</v>
      </c>
      <c r="D265" t="s">
        <v>37</v>
      </c>
      <c r="E265" t="s">
        <v>42</v>
      </c>
      <c r="F265" t="s">
        <v>43</v>
      </c>
      <c r="G265" t="s">
        <v>186</v>
      </c>
      <c r="H265" t="s">
        <v>648</v>
      </c>
      <c r="I265">
        <v>78.989999999999995</v>
      </c>
      <c r="J265">
        <v>77.27</v>
      </c>
      <c r="K265">
        <v>77.930000000000007</v>
      </c>
      <c r="L265">
        <v>34.64</v>
      </c>
      <c r="M265">
        <v>34.090000000000003</v>
      </c>
      <c r="N265">
        <v>34.520000000000003</v>
      </c>
    </row>
    <row r="266" spans="3:14" x14ac:dyDescent="0.15">
      <c r="C266" s="123">
        <v>42522</v>
      </c>
      <c r="D266" t="s">
        <v>37</v>
      </c>
      <c r="E266" t="s">
        <v>42</v>
      </c>
      <c r="F266" t="s">
        <v>43</v>
      </c>
      <c r="G266" t="s">
        <v>186</v>
      </c>
      <c r="H266" t="s">
        <v>59</v>
      </c>
      <c r="I266">
        <v>81.459999999999994</v>
      </c>
      <c r="J266">
        <v>79.650000000000006</v>
      </c>
      <c r="K266">
        <v>80.47</v>
      </c>
      <c r="L266">
        <v>37.22</v>
      </c>
      <c r="M266">
        <v>36.729999999999997</v>
      </c>
      <c r="N266">
        <v>37.14</v>
      </c>
    </row>
    <row r="267" spans="3:14" x14ac:dyDescent="0.15">
      <c r="C267" s="123">
        <v>42522</v>
      </c>
      <c r="D267" t="s">
        <v>37</v>
      </c>
      <c r="E267" t="s">
        <v>42</v>
      </c>
      <c r="F267" t="s">
        <v>43</v>
      </c>
      <c r="G267" t="s">
        <v>186</v>
      </c>
      <c r="H267" t="s">
        <v>60</v>
      </c>
      <c r="I267">
        <v>79.86</v>
      </c>
      <c r="J267">
        <v>78.05</v>
      </c>
      <c r="K267">
        <v>78.87</v>
      </c>
      <c r="L267">
        <v>35.619999999999997</v>
      </c>
      <c r="M267">
        <v>35.130000000000003</v>
      </c>
      <c r="N267">
        <v>35.54</v>
      </c>
    </row>
    <row r="268" spans="3:14" x14ac:dyDescent="0.15">
      <c r="C268" s="123">
        <v>42522</v>
      </c>
      <c r="D268" t="s">
        <v>37</v>
      </c>
      <c r="E268" t="s">
        <v>42</v>
      </c>
      <c r="F268" t="s">
        <v>43</v>
      </c>
      <c r="G268" t="s">
        <v>186</v>
      </c>
      <c r="H268" t="s">
        <v>648</v>
      </c>
      <c r="I268">
        <v>78.81</v>
      </c>
      <c r="J268">
        <v>77</v>
      </c>
      <c r="K268">
        <v>77.819999999999993</v>
      </c>
      <c r="L268">
        <v>34.57</v>
      </c>
      <c r="M268">
        <v>34.08</v>
      </c>
      <c r="N268">
        <v>34.49</v>
      </c>
    </row>
    <row r="269" spans="3:14" x14ac:dyDescent="0.15">
      <c r="C269" s="123">
        <v>42552</v>
      </c>
      <c r="D269" t="s">
        <v>37</v>
      </c>
      <c r="E269" t="s">
        <v>42</v>
      </c>
      <c r="F269" t="s">
        <v>43</v>
      </c>
      <c r="G269" t="s">
        <v>186</v>
      </c>
      <c r="H269" t="s">
        <v>59</v>
      </c>
      <c r="I269">
        <v>81.319999999999993</v>
      </c>
      <c r="J269">
        <v>79.56</v>
      </c>
      <c r="K269">
        <v>80.38</v>
      </c>
      <c r="L269">
        <v>37.17</v>
      </c>
      <c r="M269">
        <v>36.799999999999997</v>
      </c>
      <c r="N269">
        <v>37.18</v>
      </c>
    </row>
    <row r="270" spans="3:14" x14ac:dyDescent="0.15">
      <c r="C270" s="123">
        <v>42552</v>
      </c>
      <c r="D270" t="s">
        <v>37</v>
      </c>
      <c r="E270" t="s">
        <v>42</v>
      </c>
      <c r="F270" t="s">
        <v>43</v>
      </c>
      <c r="G270" t="s">
        <v>186</v>
      </c>
      <c r="H270" t="s">
        <v>60</v>
      </c>
      <c r="I270">
        <v>79.72</v>
      </c>
      <c r="J270">
        <v>77.959999999999994</v>
      </c>
      <c r="K270">
        <v>78.78</v>
      </c>
      <c r="L270">
        <v>35.57</v>
      </c>
      <c r="M270">
        <v>35.200000000000003</v>
      </c>
      <c r="N270">
        <v>35.58</v>
      </c>
    </row>
    <row r="271" spans="3:14" x14ac:dyDescent="0.15">
      <c r="C271" s="123">
        <v>42552</v>
      </c>
      <c r="D271" t="s">
        <v>37</v>
      </c>
      <c r="E271" t="s">
        <v>42</v>
      </c>
      <c r="F271" t="s">
        <v>43</v>
      </c>
      <c r="G271" t="s">
        <v>186</v>
      </c>
      <c r="H271" t="s">
        <v>648</v>
      </c>
      <c r="I271">
        <v>78.67</v>
      </c>
      <c r="J271">
        <v>76.91</v>
      </c>
      <c r="K271">
        <v>77.73</v>
      </c>
      <c r="L271">
        <v>34.520000000000003</v>
      </c>
      <c r="M271">
        <v>34.15</v>
      </c>
      <c r="N271">
        <v>34.53</v>
      </c>
    </row>
    <row r="272" spans="3:14" x14ac:dyDescent="0.15">
      <c r="C272" s="123">
        <v>42583</v>
      </c>
      <c r="D272" t="s">
        <v>37</v>
      </c>
      <c r="E272" t="s">
        <v>42</v>
      </c>
      <c r="F272" t="s">
        <v>43</v>
      </c>
      <c r="G272" t="s">
        <v>186</v>
      </c>
      <c r="H272" t="s">
        <v>59</v>
      </c>
      <c r="I272">
        <v>81.02</v>
      </c>
      <c r="J272">
        <v>80.08</v>
      </c>
      <c r="K272">
        <v>80.33</v>
      </c>
      <c r="L272">
        <v>37.17</v>
      </c>
      <c r="M272">
        <v>37.06</v>
      </c>
      <c r="N272">
        <v>37.229999999999997</v>
      </c>
    </row>
    <row r="273" spans="3:14" x14ac:dyDescent="0.15">
      <c r="C273" s="123">
        <v>42583</v>
      </c>
      <c r="D273" t="s">
        <v>37</v>
      </c>
      <c r="E273" t="s">
        <v>42</v>
      </c>
      <c r="F273" t="s">
        <v>43</v>
      </c>
      <c r="G273" t="s">
        <v>186</v>
      </c>
      <c r="H273" t="s">
        <v>60</v>
      </c>
      <c r="I273">
        <v>79.42</v>
      </c>
      <c r="J273">
        <v>78.48</v>
      </c>
      <c r="K273">
        <v>78.73</v>
      </c>
      <c r="L273">
        <v>35.57</v>
      </c>
      <c r="M273">
        <v>35.46</v>
      </c>
      <c r="N273">
        <v>35.630000000000003</v>
      </c>
    </row>
    <row r="274" spans="3:14" x14ac:dyDescent="0.15">
      <c r="C274" s="123">
        <v>42583</v>
      </c>
      <c r="D274" t="s">
        <v>37</v>
      </c>
      <c r="E274" t="s">
        <v>42</v>
      </c>
      <c r="F274" t="s">
        <v>43</v>
      </c>
      <c r="G274" t="s">
        <v>186</v>
      </c>
      <c r="H274" t="s">
        <v>648</v>
      </c>
      <c r="I274">
        <v>78.37</v>
      </c>
      <c r="J274">
        <v>77.430000000000007</v>
      </c>
      <c r="K274">
        <v>77.680000000000007</v>
      </c>
      <c r="L274">
        <v>34.520000000000003</v>
      </c>
      <c r="M274">
        <v>34.409999999999997</v>
      </c>
      <c r="N274">
        <v>34.58</v>
      </c>
    </row>
    <row r="275" spans="3:14" x14ac:dyDescent="0.15">
      <c r="C275" s="123">
        <v>42614</v>
      </c>
      <c r="D275" t="s">
        <v>37</v>
      </c>
      <c r="E275" t="s">
        <v>42</v>
      </c>
      <c r="F275" t="s">
        <v>43</v>
      </c>
      <c r="G275" t="s">
        <v>186</v>
      </c>
      <c r="H275" t="s">
        <v>59</v>
      </c>
      <c r="I275">
        <v>80.739999999999995</v>
      </c>
      <c r="J275">
        <v>80.599999999999994</v>
      </c>
      <c r="K275">
        <v>80.239999999999995</v>
      </c>
      <c r="L275">
        <v>37.14</v>
      </c>
      <c r="M275">
        <v>37.35</v>
      </c>
      <c r="N275">
        <v>37.270000000000003</v>
      </c>
    </row>
    <row r="276" spans="3:14" x14ac:dyDescent="0.15">
      <c r="C276" s="123">
        <v>42614</v>
      </c>
      <c r="D276" t="s">
        <v>37</v>
      </c>
      <c r="E276" t="s">
        <v>42</v>
      </c>
      <c r="F276" t="s">
        <v>43</v>
      </c>
      <c r="G276" t="s">
        <v>186</v>
      </c>
      <c r="H276" t="s">
        <v>60</v>
      </c>
      <c r="I276">
        <v>79.14</v>
      </c>
      <c r="J276">
        <v>79</v>
      </c>
      <c r="K276">
        <v>78.64</v>
      </c>
      <c r="L276">
        <v>35.54</v>
      </c>
      <c r="M276">
        <v>35.75</v>
      </c>
      <c r="N276">
        <v>35.67</v>
      </c>
    </row>
    <row r="277" spans="3:14" x14ac:dyDescent="0.15">
      <c r="C277" s="123">
        <v>42614</v>
      </c>
      <c r="D277" t="s">
        <v>37</v>
      </c>
      <c r="E277" t="s">
        <v>42</v>
      </c>
      <c r="F277" t="s">
        <v>43</v>
      </c>
      <c r="G277" t="s">
        <v>186</v>
      </c>
      <c r="H277" t="s">
        <v>648</v>
      </c>
      <c r="I277">
        <v>78.09</v>
      </c>
      <c r="J277">
        <v>77.95</v>
      </c>
      <c r="K277">
        <v>77.59</v>
      </c>
      <c r="L277">
        <v>34.49</v>
      </c>
      <c r="M277">
        <v>34.700000000000003</v>
      </c>
      <c r="N277">
        <v>34.619999999999997</v>
      </c>
    </row>
    <row r="278" spans="3:14" x14ac:dyDescent="0.15">
      <c r="C278" s="123">
        <v>42644</v>
      </c>
      <c r="D278" t="s">
        <v>37</v>
      </c>
      <c r="E278" t="s">
        <v>42</v>
      </c>
      <c r="F278" t="s">
        <v>43</v>
      </c>
      <c r="G278" t="s">
        <v>186</v>
      </c>
      <c r="H278" t="s">
        <v>59</v>
      </c>
      <c r="I278">
        <v>80.55</v>
      </c>
      <c r="J278">
        <v>81.05</v>
      </c>
      <c r="K278">
        <v>80.180000000000007</v>
      </c>
      <c r="L278">
        <v>37.130000000000003</v>
      </c>
      <c r="M278">
        <v>37.58</v>
      </c>
      <c r="N278">
        <v>37.33</v>
      </c>
    </row>
    <row r="279" spans="3:14" x14ac:dyDescent="0.15">
      <c r="C279" s="123">
        <v>42644</v>
      </c>
      <c r="D279" t="s">
        <v>37</v>
      </c>
      <c r="E279" t="s">
        <v>42</v>
      </c>
      <c r="F279" t="s">
        <v>43</v>
      </c>
      <c r="G279" t="s">
        <v>186</v>
      </c>
      <c r="H279" t="s">
        <v>60</v>
      </c>
      <c r="I279">
        <v>78.95</v>
      </c>
      <c r="J279">
        <v>79.45</v>
      </c>
      <c r="K279">
        <v>78.58</v>
      </c>
      <c r="L279">
        <v>35.53</v>
      </c>
      <c r="M279">
        <v>35.979999999999997</v>
      </c>
      <c r="N279">
        <v>35.729999999999997</v>
      </c>
    </row>
    <row r="280" spans="3:14" x14ac:dyDescent="0.15">
      <c r="C280" s="123">
        <v>42644</v>
      </c>
      <c r="D280" t="s">
        <v>37</v>
      </c>
      <c r="E280" t="s">
        <v>42</v>
      </c>
      <c r="F280" t="s">
        <v>43</v>
      </c>
      <c r="G280" t="s">
        <v>186</v>
      </c>
      <c r="H280" t="s">
        <v>648</v>
      </c>
      <c r="I280">
        <v>77.900000000000006</v>
      </c>
      <c r="J280">
        <v>78.400000000000006</v>
      </c>
      <c r="K280">
        <v>77.53</v>
      </c>
      <c r="L280">
        <v>34.479999999999997</v>
      </c>
      <c r="M280">
        <v>34.93</v>
      </c>
      <c r="N280">
        <v>34.68</v>
      </c>
    </row>
    <row r="281" spans="3:14" x14ac:dyDescent="0.15">
      <c r="C281" s="123">
        <v>42675</v>
      </c>
      <c r="D281" t="s">
        <v>37</v>
      </c>
      <c r="E281" t="s">
        <v>42</v>
      </c>
      <c r="F281" t="s">
        <v>43</v>
      </c>
      <c r="G281" t="s">
        <v>186</v>
      </c>
      <c r="H281" t="s">
        <v>59</v>
      </c>
      <c r="I281">
        <v>80.3</v>
      </c>
      <c r="J281">
        <v>81.069999999999993</v>
      </c>
      <c r="K281">
        <v>80.08</v>
      </c>
      <c r="L281">
        <v>37.090000000000003</v>
      </c>
      <c r="M281">
        <v>37.57</v>
      </c>
      <c r="N281">
        <v>37.36</v>
      </c>
    </row>
    <row r="282" spans="3:14" x14ac:dyDescent="0.15">
      <c r="C282" s="123">
        <v>42675</v>
      </c>
      <c r="D282" t="s">
        <v>37</v>
      </c>
      <c r="E282" t="s">
        <v>42</v>
      </c>
      <c r="F282" t="s">
        <v>43</v>
      </c>
      <c r="G282" t="s">
        <v>186</v>
      </c>
      <c r="H282" t="s">
        <v>60</v>
      </c>
      <c r="I282">
        <v>78.7</v>
      </c>
      <c r="J282">
        <v>79.47</v>
      </c>
      <c r="K282">
        <v>78.48</v>
      </c>
      <c r="L282">
        <v>35.49</v>
      </c>
      <c r="M282">
        <v>35.97</v>
      </c>
      <c r="N282">
        <v>35.76</v>
      </c>
    </row>
    <row r="283" spans="3:14" x14ac:dyDescent="0.15">
      <c r="C283" s="123">
        <v>42675</v>
      </c>
      <c r="D283" t="s">
        <v>37</v>
      </c>
      <c r="E283" t="s">
        <v>42</v>
      </c>
      <c r="F283" t="s">
        <v>43</v>
      </c>
      <c r="G283" t="s">
        <v>186</v>
      </c>
      <c r="H283" t="s">
        <v>648</v>
      </c>
      <c r="I283">
        <v>77.650000000000006</v>
      </c>
      <c r="J283">
        <v>78.42</v>
      </c>
      <c r="K283">
        <v>77.430000000000007</v>
      </c>
      <c r="L283">
        <v>34.44</v>
      </c>
      <c r="M283">
        <v>34.92</v>
      </c>
      <c r="N283">
        <v>34.71</v>
      </c>
    </row>
    <row r="284" spans="3:14" x14ac:dyDescent="0.15">
      <c r="C284" s="123">
        <v>42705</v>
      </c>
      <c r="D284" t="s">
        <v>37</v>
      </c>
      <c r="E284" t="s">
        <v>42</v>
      </c>
      <c r="F284" t="s">
        <v>43</v>
      </c>
      <c r="G284" t="s">
        <v>186</v>
      </c>
      <c r="H284" t="s">
        <v>59</v>
      </c>
      <c r="I284">
        <v>80.010000000000005</v>
      </c>
      <c r="J284">
        <v>81.010000000000005</v>
      </c>
      <c r="K284">
        <v>79.95</v>
      </c>
      <c r="L284">
        <v>37.04</v>
      </c>
      <c r="M284">
        <v>37.5</v>
      </c>
      <c r="N284">
        <v>37.380000000000003</v>
      </c>
    </row>
    <row r="285" spans="3:14" x14ac:dyDescent="0.15">
      <c r="C285" s="123">
        <v>42705</v>
      </c>
      <c r="D285" t="s">
        <v>37</v>
      </c>
      <c r="E285" t="s">
        <v>42</v>
      </c>
      <c r="F285" t="s">
        <v>43</v>
      </c>
      <c r="G285" t="s">
        <v>186</v>
      </c>
      <c r="H285" t="s">
        <v>60</v>
      </c>
      <c r="I285">
        <v>78.41</v>
      </c>
      <c r="J285">
        <v>79.41</v>
      </c>
      <c r="K285">
        <v>78.349999999999994</v>
      </c>
      <c r="L285">
        <v>35.44</v>
      </c>
      <c r="M285">
        <v>35.9</v>
      </c>
      <c r="N285">
        <v>35.78</v>
      </c>
    </row>
    <row r="286" spans="3:14" x14ac:dyDescent="0.15">
      <c r="C286" s="123">
        <v>42705</v>
      </c>
      <c r="D286" t="s">
        <v>37</v>
      </c>
      <c r="E286" t="s">
        <v>42</v>
      </c>
      <c r="F286" t="s">
        <v>43</v>
      </c>
      <c r="G286" t="s">
        <v>186</v>
      </c>
      <c r="H286" t="s">
        <v>648</v>
      </c>
      <c r="I286">
        <v>77.36</v>
      </c>
      <c r="J286">
        <v>78.36</v>
      </c>
      <c r="K286">
        <v>77.3</v>
      </c>
      <c r="L286">
        <v>34.39</v>
      </c>
      <c r="M286">
        <v>34.85</v>
      </c>
      <c r="N286">
        <v>34.729999999999997</v>
      </c>
    </row>
    <row r="287" spans="3:14" x14ac:dyDescent="0.15">
      <c r="C287" s="123">
        <v>42736</v>
      </c>
      <c r="D287" t="s">
        <v>37</v>
      </c>
      <c r="E287" t="s">
        <v>42</v>
      </c>
      <c r="F287" t="s">
        <v>43</v>
      </c>
      <c r="G287" t="s">
        <v>186</v>
      </c>
      <c r="H287" t="s">
        <v>59</v>
      </c>
      <c r="I287">
        <v>79.83</v>
      </c>
      <c r="J287">
        <v>80.84</v>
      </c>
      <c r="K287">
        <v>79.92</v>
      </c>
      <c r="L287">
        <v>37.01</v>
      </c>
      <c r="M287">
        <v>37.450000000000003</v>
      </c>
      <c r="N287">
        <v>37.39</v>
      </c>
    </row>
    <row r="288" spans="3:14" x14ac:dyDescent="0.15">
      <c r="C288" s="123">
        <v>42736</v>
      </c>
      <c r="D288" t="s">
        <v>37</v>
      </c>
      <c r="E288" t="s">
        <v>42</v>
      </c>
      <c r="F288" t="s">
        <v>43</v>
      </c>
      <c r="G288" t="s">
        <v>186</v>
      </c>
      <c r="H288" t="s">
        <v>60</v>
      </c>
      <c r="I288">
        <v>78.23</v>
      </c>
      <c r="J288">
        <v>79.239999999999995</v>
      </c>
      <c r="K288">
        <v>78.319999999999993</v>
      </c>
      <c r="L288">
        <v>35.409999999999997</v>
      </c>
      <c r="M288">
        <v>35.85</v>
      </c>
      <c r="N288">
        <v>35.79</v>
      </c>
    </row>
    <row r="289" spans="3:14" x14ac:dyDescent="0.15">
      <c r="C289" s="123">
        <v>42736</v>
      </c>
      <c r="D289" t="s">
        <v>37</v>
      </c>
      <c r="E289" t="s">
        <v>42</v>
      </c>
      <c r="F289" t="s">
        <v>43</v>
      </c>
      <c r="G289" t="s">
        <v>186</v>
      </c>
      <c r="H289" t="s">
        <v>648</v>
      </c>
      <c r="I289">
        <v>77.180000000000007</v>
      </c>
      <c r="J289">
        <v>78.19</v>
      </c>
      <c r="K289">
        <v>77.27</v>
      </c>
      <c r="L289">
        <v>34.36</v>
      </c>
      <c r="M289">
        <v>34.799999999999997</v>
      </c>
      <c r="N289">
        <v>34.74</v>
      </c>
    </row>
    <row r="290" spans="3:14" x14ac:dyDescent="0.15">
      <c r="C290" s="123">
        <v>42401</v>
      </c>
      <c r="D290" t="s">
        <v>37</v>
      </c>
      <c r="E290" t="s">
        <v>42</v>
      </c>
      <c r="F290" t="s">
        <v>44</v>
      </c>
      <c r="G290" t="s">
        <v>44</v>
      </c>
      <c r="H290" t="s">
        <v>59</v>
      </c>
      <c r="I290">
        <v>80.81</v>
      </c>
      <c r="J290">
        <v>81.2</v>
      </c>
      <c r="K290">
        <v>80.2</v>
      </c>
      <c r="L290">
        <v>38.18</v>
      </c>
      <c r="M290">
        <v>38.49</v>
      </c>
      <c r="N290">
        <v>38.130000000000003</v>
      </c>
    </row>
    <row r="291" spans="3:14" x14ac:dyDescent="0.15">
      <c r="C291" s="123">
        <v>42401</v>
      </c>
      <c r="D291" t="s">
        <v>37</v>
      </c>
      <c r="E291" t="s">
        <v>42</v>
      </c>
      <c r="F291" t="s">
        <v>44</v>
      </c>
      <c r="G291" t="s">
        <v>44</v>
      </c>
      <c r="H291" t="s">
        <v>60</v>
      </c>
      <c r="I291">
        <v>79.209999999999994</v>
      </c>
      <c r="J291">
        <v>79.599999999999994</v>
      </c>
      <c r="K291">
        <v>78.599999999999994</v>
      </c>
      <c r="L291">
        <v>36.58</v>
      </c>
      <c r="M291">
        <v>36.89</v>
      </c>
      <c r="N291">
        <v>36.53</v>
      </c>
    </row>
    <row r="292" spans="3:14" x14ac:dyDescent="0.15">
      <c r="C292" s="123">
        <v>42401</v>
      </c>
      <c r="D292" t="s">
        <v>37</v>
      </c>
      <c r="E292" t="s">
        <v>42</v>
      </c>
      <c r="F292" t="s">
        <v>44</v>
      </c>
      <c r="G292" t="s">
        <v>44</v>
      </c>
      <c r="H292" t="s">
        <v>648</v>
      </c>
      <c r="I292">
        <v>78.16</v>
      </c>
      <c r="J292">
        <v>78.55</v>
      </c>
      <c r="K292">
        <v>77.55</v>
      </c>
      <c r="L292">
        <v>35.53</v>
      </c>
      <c r="M292">
        <v>35.840000000000003</v>
      </c>
      <c r="N292">
        <v>35.479999999999997</v>
      </c>
    </row>
    <row r="293" spans="3:14" x14ac:dyDescent="0.15">
      <c r="C293" s="123">
        <v>42430</v>
      </c>
      <c r="D293" t="s">
        <v>37</v>
      </c>
      <c r="E293" t="s">
        <v>42</v>
      </c>
      <c r="F293" t="s">
        <v>44</v>
      </c>
      <c r="G293" t="s">
        <v>44</v>
      </c>
      <c r="H293" t="s">
        <v>59</v>
      </c>
      <c r="I293">
        <v>81.19</v>
      </c>
      <c r="J293">
        <v>80.91</v>
      </c>
      <c r="K293">
        <v>80.400000000000006</v>
      </c>
      <c r="L293">
        <v>38.17</v>
      </c>
      <c r="M293">
        <v>38.479999999999997</v>
      </c>
      <c r="N293">
        <v>38.14</v>
      </c>
    </row>
    <row r="294" spans="3:14" x14ac:dyDescent="0.15">
      <c r="C294" s="123">
        <v>42430</v>
      </c>
      <c r="D294" t="s">
        <v>37</v>
      </c>
      <c r="E294" t="s">
        <v>42</v>
      </c>
      <c r="F294" t="s">
        <v>44</v>
      </c>
      <c r="G294" t="s">
        <v>44</v>
      </c>
      <c r="H294" t="s">
        <v>60</v>
      </c>
      <c r="I294">
        <v>79.59</v>
      </c>
      <c r="J294">
        <v>79.31</v>
      </c>
      <c r="K294">
        <v>78.8</v>
      </c>
      <c r="L294">
        <v>36.57</v>
      </c>
      <c r="M294">
        <v>36.880000000000003</v>
      </c>
      <c r="N294">
        <v>36.54</v>
      </c>
    </row>
    <row r="295" spans="3:14" x14ac:dyDescent="0.15">
      <c r="C295" s="123">
        <v>42430</v>
      </c>
      <c r="D295" t="s">
        <v>37</v>
      </c>
      <c r="E295" t="s">
        <v>42</v>
      </c>
      <c r="F295" t="s">
        <v>44</v>
      </c>
      <c r="G295" t="s">
        <v>44</v>
      </c>
      <c r="H295" t="s">
        <v>648</v>
      </c>
      <c r="I295">
        <v>78.540000000000006</v>
      </c>
      <c r="J295">
        <v>78.260000000000005</v>
      </c>
      <c r="K295">
        <v>77.75</v>
      </c>
      <c r="L295">
        <v>35.520000000000003</v>
      </c>
      <c r="M295">
        <v>35.83</v>
      </c>
      <c r="N295">
        <v>35.49</v>
      </c>
    </row>
    <row r="296" spans="3:14" x14ac:dyDescent="0.15">
      <c r="C296" s="123">
        <v>42461</v>
      </c>
      <c r="D296" t="s">
        <v>37</v>
      </c>
      <c r="E296" t="s">
        <v>42</v>
      </c>
      <c r="F296" t="s">
        <v>44</v>
      </c>
      <c r="G296" t="s">
        <v>44</v>
      </c>
      <c r="H296" t="s">
        <v>59</v>
      </c>
      <c r="I296">
        <v>81.2</v>
      </c>
      <c r="J296">
        <v>80.34</v>
      </c>
      <c r="K296">
        <v>80.34</v>
      </c>
      <c r="L296">
        <v>38.130000000000003</v>
      </c>
      <c r="M296">
        <v>38.35</v>
      </c>
      <c r="N296">
        <v>38.130000000000003</v>
      </c>
    </row>
    <row r="297" spans="3:14" x14ac:dyDescent="0.15">
      <c r="C297" s="123">
        <v>42461</v>
      </c>
      <c r="D297" t="s">
        <v>37</v>
      </c>
      <c r="E297" t="s">
        <v>42</v>
      </c>
      <c r="F297" t="s">
        <v>44</v>
      </c>
      <c r="G297" t="s">
        <v>44</v>
      </c>
      <c r="H297" t="s">
        <v>60</v>
      </c>
      <c r="I297">
        <v>79.599999999999994</v>
      </c>
      <c r="J297">
        <v>78.739999999999995</v>
      </c>
      <c r="K297">
        <v>78.739999999999995</v>
      </c>
      <c r="L297">
        <v>36.53</v>
      </c>
      <c r="M297">
        <v>36.75</v>
      </c>
      <c r="N297">
        <v>36.53</v>
      </c>
    </row>
    <row r="298" spans="3:14" x14ac:dyDescent="0.15">
      <c r="C298" s="123">
        <v>42461</v>
      </c>
      <c r="D298" t="s">
        <v>37</v>
      </c>
      <c r="E298" t="s">
        <v>42</v>
      </c>
      <c r="F298" t="s">
        <v>44</v>
      </c>
      <c r="G298" t="s">
        <v>44</v>
      </c>
      <c r="H298" t="s">
        <v>648</v>
      </c>
      <c r="I298">
        <v>78.55</v>
      </c>
      <c r="J298">
        <v>77.69</v>
      </c>
      <c r="K298">
        <v>77.69</v>
      </c>
      <c r="L298">
        <v>35.479999999999997</v>
      </c>
      <c r="M298">
        <v>35.700000000000003</v>
      </c>
      <c r="N298">
        <v>35.479999999999997</v>
      </c>
    </row>
    <row r="299" spans="3:14" x14ac:dyDescent="0.15">
      <c r="C299" s="123">
        <v>42491</v>
      </c>
      <c r="D299" t="s">
        <v>37</v>
      </c>
      <c r="E299" t="s">
        <v>42</v>
      </c>
      <c r="F299" t="s">
        <v>44</v>
      </c>
      <c r="G299" t="s">
        <v>44</v>
      </c>
      <c r="H299" t="s">
        <v>59</v>
      </c>
      <c r="I299">
        <v>81.099999999999994</v>
      </c>
      <c r="J299">
        <v>79.760000000000005</v>
      </c>
      <c r="K299">
        <v>80.239999999999995</v>
      </c>
      <c r="L299">
        <v>38.090000000000003</v>
      </c>
      <c r="M299">
        <v>38.1</v>
      </c>
      <c r="N299">
        <v>38.11</v>
      </c>
    </row>
    <row r="300" spans="3:14" x14ac:dyDescent="0.15">
      <c r="C300" s="123">
        <v>42491</v>
      </c>
      <c r="D300" t="s">
        <v>37</v>
      </c>
      <c r="E300" t="s">
        <v>42</v>
      </c>
      <c r="F300" t="s">
        <v>44</v>
      </c>
      <c r="G300" t="s">
        <v>44</v>
      </c>
      <c r="H300" t="s">
        <v>60</v>
      </c>
      <c r="I300">
        <v>79.5</v>
      </c>
      <c r="J300">
        <v>78.16</v>
      </c>
      <c r="K300">
        <v>78.64</v>
      </c>
      <c r="L300">
        <v>36.49</v>
      </c>
      <c r="M300">
        <v>36.5</v>
      </c>
      <c r="N300">
        <v>36.51</v>
      </c>
    </row>
    <row r="301" spans="3:14" x14ac:dyDescent="0.15">
      <c r="C301" s="123">
        <v>42491</v>
      </c>
      <c r="D301" t="s">
        <v>37</v>
      </c>
      <c r="E301" t="s">
        <v>42</v>
      </c>
      <c r="F301" t="s">
        <v>44</v>
      </c>
      <c r="G301" t="s">
        <v>44</v>
      </c>
      <c r="H301" t="s">
        <v>648</v>
      </c>
      <c r="I301">
        <v>78.45</v>
      </c>
      <c r="J301">
        <v>77.11</v>
      </c>
      <c r="K301">
        <v>77.59</v>
      </c>
      <c r="L301">
        <v>35.44</v>
      </c>
      <c r="M301">
        <v>35.450000000000003</v>
      </c>
      <c r="N301">
        <v>35.46</v>
      </c>
    </row>
    <row r="302" spans="3:14" x14ac:dyDescent="0.15">
      <c r="C302" s="123">
        <v>42522</v>
      </c>
      <c r="D302" t="s">
        <v>37</v>
      </c>
      <c r="E302" t="s">
        <v>42</v>
      </c>
      <c r="F302" t="s">
        <v>44</v>
      </c>
      <c r="G302" t="s">
        <v>44</v>
      </c>
      <c r="H302" t="s">
        <v>59</v>
      </c>
      <c r="I302">
        <v>80.94</v>
      </c>
      <c r="J302">
        <v>79.489999999999995</v>
      </c>
      <c r="K302">
        <v>80.150000000000006</v>
      </c>
      <c r="L302">
        <v>38.04</v>
      </c>
      <c r="M302">
        <v>38.07</v>
      </c>
      <c r="N302">
        <v>38.090000000000003</v>
      </c>
    </row>
    <row r="303" spans="3:14" x14ac:dyDescent="0.15">
      <c r="C303" s="123">
        <v>42522</v>
      </c>
      <c r="D303" t="s">
        <v>37</v>
      </c>
      <c r="E303" t="s">
        <v>42</v>
      </c>
      <c r="F303" t="s">
        <v>44</v>
      </c>
      <c r="G303" t="s">
        <v>44</v>
      </c>
      <c r="H303" t="s">
        <v>60</v>
      </c>
      <c r="I303">
        <v>79.34</v>
      </c>
      <c r="J303">
        <v>77.89</v>
      </c>
      <c r="K303">
        <v>78.55</v>
      </c>
      <c r="L303">
        <v>36.44</v>
      </c>
      <c r="M303">
        <v>36.47</v>
      </c>
      <c r="N303">
        <v>36.49</v>
      </c>
    </row>
    <row r="304" spans="3:14" x14ac:dyDescent="0.15">
      <c r="C304" s="123">
        <v>42522</v>
      </c>
      <c r="D304" t="s">
        <v>37</v>
      </c>
      <c r="E304" t="s">
        <v>42</v>
      </c>
      <c r="F304" t="s">
        <v>44</v>
      </c>
      <c r="G304" t="s">
        <v>44</v>
      </c>
      <c r="H304" t="s">
        <v>648</v>
      </c>
      <c r="I304">
        <v>78.290000000000006</v>
      </c>
      <c r="J304">
        <v>76.84</v>
      </c>
      <c r="K304">
        <v>77.5</v>
      </c>
      <c r="L304">
        <v>35.39</v>
      </c>
      <c r="M304">
        <v>35.42</v>
      </c>
      <c r="N304">
        <v>35.44</v>
      </c>
    </row>
    <row r="305" spans="3:14" x14ac:dyDescent="0.15">
      <c r="C305" s="123">
        <v>42552</v>
      </c>
      <c r="D305" t="s">
        <v>37</v>
      </c>
      <c r="E305" t="s">
        <v>42</v>
      </c>
      <c r="F305" t="s">
        <v>44</v>
      </c>
      <c r="G305" t="s">
        <v>44</v>
      </c>
      <c r="H305" t="s">
        <v>59</v>
      </c>
      <c r="I305">
        <v>80.84</v>
      </c>
      <c r="J305">
        <v>79.14</v>
      </c>
      <c r="K305">
        <v>80.069999999999993</v>
      </c>
      <c r="L305">
        <v>38.01</v>
      </c>
      <c r="M305">
        <v>37.85</v>
      </c>
      <c r="N305">
        <v>38.130000000000003</v>
      </c>
    </row>
    <row r="306" spans="3:14" x14ac:dyDescent="0.15">
      <c r="C306" s="123">
        <v>42552</v>
      </c>
      <c r="D306" t="s">
        <v>37</v>
      </c>
      <c r="E306" t="s">
        <v>42</v>
      </c>
      <c r="F306" t="s">
        <v>44</v>
      </c>
      <c r="G306" t="s">
        <v>44</v>
      </c>
      <c r="H306" t="s">
        <v>60</v>
      </c>
      <c r="I306">
        <v>79.239999999999995</v>
      </c>
      <c r="J306">
        <v>77.540000000000006</v>
      </c>
      <c r="K306">
        <v>78.47</v>
      </c>
      <c r="L306">
        <v>36.409999999999997</v>
      </c>
      <c r="M306">
        <v>36.25</v>
      </c>
      <c r="N306">
        <v>36.53</v>
      </c>
    </row>
    <row r="307" spans="3:14" x14ac:dyDescent="0.15">
      <c r="C307" s="123">
        <v>42552</v>
      </c>
      <c r="D307" t="s">
        <v>37</v>
      </c>
      <c r="E307" t="s">
        <v>42</v>
      </c>
      <c r="F307" t="s">
        <v>44</v>
      </c>
      <c r="G307" t="s">
        <v>44</v>
      </c>
      <c r="H307" t="s">
        <v>648</v>
      </c>
      <c r="I307">
        <v>78.19</v>
      </c>
      <c r="J307">
        <v>76.489999999999995</v>
      </c>
      <c r="K307">
        <v>77.42</v>
      </c>
      <c r="L307">
        <v>35.36</v>
      </c>
      <c r="M307">
        <v>35.200000000000003</v>
      </c>
      <c r="N307">
        <v>35.479999999999997</v>
      </c>
    </row>
    <row r="308" spans="3:14" x14ac:dyDescent="0.15">
      <c r="C308" s="123">
        <v>42583</v>
      </c>
      <c r="D308" t="s">
        <v>37</v>
      </c>
      <c r="E308" t="s">
        <v>42</v>
      </c>
      <c r="F308" t="s">
        <v>44</v>
      </c>
      <c r="G308" t="s">
        <v>44</v>
      </c>
      <c r="H308" t="s">
        <v>59</v>
      </c>
      <c r="I308">
        <v>80.58</v>
      </c>
      <c r="J308">
        <v>79.48</v>
      </c>
      <c r="K308">
        <v>80.02</v>
      </c>
      <c r="L308">
        <v>38</v>
      </c>
      <c r="M308">
        <v>37.68</v>
      </c>
      <c r="N308">
        <v>38.17</v>
      </c>
    </row>
    <row r="309" spans="3:14" x14ac:dyDescent="0.15">
      <c r="C309" s="123">
        <v>42583</v>
      </c>
      <c r="D309" t="s">
        <v>37</v>
      </c>
      <c r="E309" t="s">
        <v>42</v>
      </c>
      <c r="F309" t="s">
        <v>44</v>
      </c>
      <c r="G309" t="s">
        <v>44</v>
      </c>
      <c r="H309" t="s">
        <v>60</v>
      </c>
      <c r="I309">
        <v>78.98</v>
      </c>
      <c r="J309">
        <v>77.88</v>
      </c>
      <c r="K309">
        <v>78.42</v>
      </c>
      <c r="L309">
        <v>36.4</v>
      </c>
      <c r="M309">
        <v>36.08</v>
      </c>
      <c r="N309">
        <v>36.57</v>
      </c>
    </row>
    <row r="310" spans="3:14" x14ac:dyDescent="0.15">
      <c r="C310" s="123">
        <v>42583</v>
      </c>
      <c r="D310" t="s">
        <v>37</v>
      </c>
      <c r="E310" t="s">
        <v>42</v>
      </c>
      <c r="F310" t="s">
        <v>44</v>
      </c>
      <c r="G310" t="s">
        <v>44</v>
      </c>
      <c r="H310" t="s">
        <v>648</v>
      </c>
      <c r="I310">
        <v>77.930000000000007</v>
      </c>
      <c r="J310">
        <v>76.83</v>
      </c>
      <c r="K310">
        <v>77.37</v>
      </c>
      <c r="L310">
        <v>35.35</v>
      </c>
      <c r="M310">
        <v>35.03</v>
      </c>
      <c r="N310">
        <v>35.520000000000003</v>
      </c>
    </row>
    <row r="311" spans="3:14" x14ac:dyDescent="0.15">
      <c r="C311" s="123">
        <v>42614</v>
      </c>
      <c r="D311" t="s">
        <v>37</v>
      </c>
      <c r="E311" t="s">
        <v>42</v>
      </c>
      <c r="F311" t="s">
        <v>44</v>
      </c>
      <c r="G311" t="s">
        <v>44</v>
      </c>
      <c r="H311" t="s">
        <v>59</v>
      </c>
      <c r="I311">
        <v>80.349999999999994</v>
      </c>
      <c r="J311">
        <v>79.86</v>
      </c>
      <c r="K311">
        <v>79.959999999999994</v>
      </c>
      <c r="L311">
        <v>37.97</v>
      </c>
      <c r="M311">
        <v>37.69</v>
      </c>
      <c r="N311">
        <v>38.21</v>
      </c>
    </row>
    <row r="312" spans="3:14" x14ac:dyDescent="0.15">
      <c r="C312" s="123">
        <v>42614</v>
      </c>
      <c r="D312" t="s">
        <v>37</v>
      </c>
      <c r="E312" t="s">
        <v>42</v>
      </c>
      <c r="F312" t="s">
        <v>44</v>
      </c>
      <c r="G312" t="s">
        <v>44</v>
      </c>
      <c r="H312" t="s">
        <v>60</v>
      </c>
      <c r="I312">
        <v>78.75</v>
      </c>
      <c r="J312">
        <v>78.260000000000005</v>
      </c>
      <c r="K312">
        <v>78.36</v>
      </c>
      <c r="L312">
        <v>36.369999999999997</v>
      </c>
      <c r="M312">
        <v>36.090000000000003</v>
      </c>
      <c r="N312">
        <v>36.61</v>
      </c>
    </row>
    <row r="313" spans="3:14" x14ac:dyDescent="0.15">
      <c r="C313" s="123">
        <v>42614</v>
      </c>
      <c r="D313" t="s">
        <v>37</v>
      </c>
      <c r="E313" t="s">
        <v>42</v>
      </c>
      <c r="F313" t="s">
        <v>44</v>
      </c>
      <c r="G313" t="s">
        <v>44</v>
      </c>
      <c r="H313" t="s">
        <v>648</v>
      </c>
      <c r="I313">
        <v>77.7</v>
      </c>
      <c r="J313">
        <v>77.209999999999994</v>
      </c>
      <c r="K313">
        <v>77.31</v>
      </c>
      <c r="L313">
        <v>35.32</v>
      </c>
      <c r="M313">
        <v>35.04</v>
      </c>
      <c r="N313">
        <v>35.56</v>
      </c>
    </row>
    <row r="314" spans="3:14" x14ac:dyDescent="0.15">
      <c r="C314" s="123">
        <v>42644</v>
      </c>
      <c r="D314" t="s">
        <v>37</v>
      </c>
      <c r="E314" t="s">
        <v>42</v>
      </c>
      <c r="F314" t="s">
        <v>44</v>
      </c>
      <c r="G314" t="s">
        <v>44</v>
      </c>
      <c r="H314" t="s">
        <v>59</v>
      </c>
      <c r="I314">
        <v>80.14</v>
      </c>
      <c r="J314">
        <v>80.2</v>
      </c>
      <c r="K314">
        <v>79.849999999999994</v>
      </c>
      <c r="L314">
        <v>37.93</v>
      </c>
      <c r="M314">
        <v>37.79</v>
      </c>
      <c r="N314">
        <v>38.24</v>
      </c>
    </row>
    <row r="315" spans="3:14" x14ac:dyDescent="0.15">
      <c r="C315" s="123">
        <v>42644</v>
      </c>
      <c r="D315" t="s">
        <v>37</v>
      </c>
      <c r="E315" t="s">
        <v>42</v>
      </c>
      <c r="F315" t="s">
        <v>44</v>
      </c>
      <c r="G315" t="s">
        <v>44</v>
      </c>
      <c r="H315" t="s">
        <v>60</v>
      </c>
      <c r="I315">
        <v>78.540000000000006</v>
      </c>
      <c r="J315">
        <v>78.599999999999994</v>
      </c>
      <c r="K315">
        <v>78.25</v>
      </c>
      <c r="L315">
        <v>36.33</v>
      </c>
      <c r="M315">
        <v>36.19</v>
      </c>
      <c r="N315">
        <v>36.64</v>
      </c>
    </row>
    <row r="316" spans="3:14" x14ac:dyDescent="0.15">
      <c r="C316" s="123">
        <v>42644</v>
      </c>
      <c r="D316" t="s">
        <v>37</v>
      </c>
      <c r="E316" t="s">
        <v>42</v>
      </c>
      <c r="F316" t="s">
        <v>44</v>
      </c>
      <c r="G316" t="s">
        <v>44</v>
      </c>
      <c r="H316" t="s">
        <v>648</v>
      </c>
      <c r="I316">
        <v>77.489999999999995</v>
      </c>
      <c r="J316">
        <v>77.55</v>
      </c>
      <c r="K316">
        <v>77.2</v>
      </c>
      <c r="L316">
        <v>35.28</v>
      </c>
      <c r="M316">
        <v>35.14</v>
      </c>
      <c r="N316">
        <v>35.590000000000003</v>
      </c>
    </row>
    <row r="317" spans="3:14" x14ac:dyDescent="0.15">
      <c r="C317" s="123">
        <v>42675</v>
      </c>
      <c r="D317" t="s">
        <v>37</v>
      </c>
      <c r="E317" t="s">
        <v>42</v>
      </c>
      <c r="F317" t="s">
        <v>44</v>
      </c>
      <c r="G317" t="s">
        <v>44</v>
      </c>
      <c r="H317" t="s">
        <v>59</v>
      </c>
      <c r="I317">
        <v>79.87</v>
      </c>
      <c r="J317">
        <v>80.47</v>
      </c>
      <c r="K317">
        <v>79.77</v>
      </c>
      <c r="L317">
        <v>37.89</v>
      </c>
      <c r="M317">
        <v>37.97</v>
      </c>
      <c r="N317">
        <v>38.29</v>
      </c>
    </row>
    <row r="318" spans="3:14" x14ac:dyDescent="0.15">
      <c r="C318" s="123">
        <v>42675</v>
      </c>
      <c r="D318" t="s">
        <v>37</v>
      </c>
      <c r="E318" t="s">
        <v>42</v>
      </c>
      <c r="F318" t="s">
        <v>44</v>
      </c>
      <c r="G318" t="s">
        <v>44</v>
      </c>
      <c r="H318" t="s">
        <v>60</v>
      </c>
      <c r="I318">
        <v>78.27</v>
      </c>
      <c r="J318">
        <v>78.87</v>
      </c>
      <c r="K318">
        <v>78.17</v>
      </c>
      <c r="L318">
        <v>36.29</v>
      </c>
      <c r="M318">
        <v>36.369999999999997</v>
      </c>
      <c r="N318">
        <v>36.69</v>
      </c>
    </row>
    <row r="319" spans="3:14" x14ac:dyDescent="0.15">
      <c r="C319" s="123">
        <v>42675</v>
      </c>
      <c r="D319" t="s">
        <v>37</v>
      </c>
      <c r="E319" t="s">
        <v>42</v>
      </c>
      <c r="F319" t="s">
        <v>44</v>
      </c>
      <c r="G319" t="s">
        <v>44</v>
      </c>
      <c r="H319" t="s">
        <v>648</v>
      </c>
      <c r="I319">
        <v>77.22</v>
      </c>
      <c r="J319">
        <v>77.819999999999993</v>
      </c>
      <c r="K319">
        <v>77.12</v>
      </c>
      <c r="L319">
        <v>35.24</v>
      </c>
      <c r="M319">
        <v>35.32</v>
      </c>
      <c r="N319">
        <v>35.64</v>
      </c>
    </row>
    <row r="320" spans="3:14" x14ac:dyDescent="0.15">
      <c r="C320" s="123">
        <v>42705</v>
      </c>
      <c r="D320" t="s">
        <v>37</v>
      </c>
      <c r="E320" t="s">
        <v>42</v>
      </c>
      <c r="F320" t="s">
        <v>44</v>
      </c>
      <c r="G320" t="s">
        <v>44</v>
      </c>
      <c r="H320" t="s">
        <v>59</v>
      </c>
      <c r="I320">
        <v>79.84</v>
      </c>
      <c r="J320">
        <v>80.59</v>
      </c>
      <c r="K320">
        <v>79.760000000000005</v>
      </c>
      <c r="L320">
        <v>38.06</v>
      </c>
      <c r="M320">
        <v>38.090000000000003</v>
      </c>
      <c r="N320">
        <v>38.409999999999997</v>
      </c>
    </row>
    <row r="321" spans="3:14" x14ac:dyDescent="0.15">
      <c r="C321" s="123">
        <v>42705</v>
      </c>
      <c r="D321" t="s">
        <v>37</v>
      </c>
      <c r="E321" t="s">
        <v>42</v>
      </c>
      <c r="F321" t="s">
        <v>44</v>
      </c>
      <c r="G321" t="s">
        <v>44</v>
      </c>
      <c r="H321" t="s">
        <v>60</v>
      </c>
      <c r="I321">
        <v>78.239999999999995</v>
      </c>
      <c r="J321">
        <v>78.989999999999995</v>
      </c>
      <c r="K321">
        <v>78.16</v>
      </c>
      <c r="L321">
        <v>36.46</v>
      </c>
      <c r="M321">
        <v>36.49</v>
      </c>
      <c r="N321">
        <v>36.81</v>
      </c>
    </row>
    <row r="322" spans="3:14" x14ac:dyDescent="0.15">
      <c r="C322" s="123">
        <v>42705</v>
      </c>
      <c r="D322" t="s">
        <v>37</v>
      </c>
      <c r="E322" t="s">
        <v>42</v>
      </c>
      <c r="F322" t="s">
        <v>44</v>
      </c>
      <c r="G322" t="s">
        <v>44</v>
      </c>
      <c r="H322" t="s">
        <v>648</v>
      </c>
      <c r="I322">
        <v>77.19</v>
      </c>
      <c r="J322">
        <v>77.94</v>
      </c>
      <c r="K322">
        <v>77.11</v>
      </c>
      <c r="L322">
        <v>35.409999999999997</v>
      </c>
      <c r="M322">
        <v>35.44</v>
      </c>
      <c r="N322">
        <v>35.76</v>
      </c>
    </row>
    <row r="323" spans="3:14" x14ac:dyDescent="0.15">
      <c r="C323" s="123">
        <v>42736</v>
      </c>
      <c r="D323" t="s">
        <v>37</v>
      </c>
      <c r="E323" t="s">
        <v>42</v>
      </c>
      <c r="F323" t="s">
        <v>44</v>
      </c>
      <c r="G323" t="s">
        <v>44</v>
      </c>
      <c r="H323" t="s">
        <v>59</v>
      </c>
      <c r="I323">
        <v>79.650000000000006</v>
      </c>
      <c r="J323">
        <v>80.73</v>
      </c>
      <c r="K323">
        <v>79.77</v>
      </c>
      <c r="L323">
        <v>38.04</v>
      </c>
      <c r="M323">
        <v>38.340000000000003</v>
      </c>
      <c r="N323">
        <v>38.47</v>
      </c>
    </row>
    <row r="324" spans="3:14" x14ac:dyDescent="0.15">
      <c r="C324" s="123">
        <v>42736</v>
      </c>
      <c r="D324" t="s">
        <v>37</v>
      </c>
      <c r="E324" t="s">
        <v>42</v>
      </c>
      <c r="F324" t="s">
        <v>44</v>
      </c>
      <c r="G324" t="s">
        <v>44</v>
      </c>
      <c r="H324" t="s">
        <v>60</v>
      </c>
      <c r="I324">
        <v>78.05</v>
      </c>
      <c r="J324">
        <v>79.13</v>
      </c>
      <c r="K324">
        <v>78.17</v>
      </c>
      <c r="L324">
        <v>36.44</v>
      </c>
      <c r="M324">
        <v>36.74</v>
      </c>
      <c r="N324">
        <v>36.869999999999997</v>
      </c>
    </row>
    <row r="325" spans="3:14" x14ac:dyDescent="0.15">
      <c r="C325" s="123">
        <v>42736</v>
      </c>
      <c r="D325" t="s">
        <v>37</v>
      </c>
      <c r="E325" t="s">
        <v>42</v>
      </c>
      <c r="F325" t="s">
        <v>44</v>
      </c>
      <c r="G325" t="s">
        <v>44</v>
      </c>
      <c r="H325" t="s">
        <v>648</v>
      </c>
      <c r="I325">
        <v>77</v>
      </c>
      <c r="J325">
        <v>78.08</v>
      </c>
      <c r="K325">
        <v>77.12</v>
      </c>
      <c r="L325">
        <v>35.39</v>
      </c>
      <c r="M325">
        <v>35.69</v>
      </c>
      <c r="N325">
        <v>35.82</v>
      </c>
    </row>
    <row r="326" spans="3:14" x14ac:dyDescent="0.15">
      <c r="C326" s="123">
        <v>42401</v>
      </c>
      <c r="D326" t="s">
        <v>37</v>
      </c>
      <c r="E326" t="s">
        <v>45</v>
      </c>
      <c r="F326" t="s">
        <v>6</v>
      </c>
      <c r="G326" t="s">
        <v>117</v>
      </c>
      <c r="H326" t="s">
        <v>59</v>
      </c>
      <c r="I326">
        <v>71</v>
      </c>
      <c r="J326">
        <v>71.36</v>
      </c>
      <c r="K326">
        <v>72.84</v>
      </c>
      <c r="L326">
        <v>30.55</v>
      </c>
      <c r="M326">
        <v>30.55</v>
      </c>
      <c r="N326">
        <v>32.369999999999997</v>
      </c>
    </row>
    <row r="327" spans="3:14" x14ac:dyDescent="0.15">
      <c r="C327" s="123">
        <v>42401</v>
      </c>
      <c r="D327" t="s">
        <v>37</v>
      </c>
      <c r="E327" t="s">
        <v>45</v>
      </c>
      <c r="F327" t="s">
        <v>6</v>
      </c>
      <c r="G327" t="s">
        <v>117</v>
      </c>
      <c r="H327" t="s">
        <v>60</v>
      </c>
      <c r="I327">
        <v>69.400000000000006</v>
      </c>
      <c r="J327">
        <v>69.760000000000005</v>
      </c>
      <c r="K327">
        <v>71.239999999999995</v>
      </c>
      <c r="L327">
        <v>28.95</v>
      </c>
      <c r="M327">
        <v>28.95</v>
      </c>
      <c r="N327">
        <v>30.77</v>
      </c>
    </row>
    <row r="328" spans="3:14" x14ac:dyDescent="0.15">
      <c r="C328" s="123">
        <v>42401</v>
      </c>
      <c r="D328" t="s">
        <v>37</v>
      </c>
      <c r="E328" t="s">
        <v>45</v>
      </c>
      <c r="F328" t="s">
        <v>6</v>
      </c>
      <c r="G328" t="s">
        <v>117</v>
      </c>
      <c r="H328" t="s">
        <v>648</v>
      </c>
      <c r="I328">
        <v>68.349999999999994</v>
      </c>
      <c r="J328">
        <v>68.709999999999994</v>
      </c>
      <c r="K328">
        <v>70.19</v>
      </c>
      <c r="L328">
        <v>27.9</v>
      </c>
      <c r="M328">
        <v>27.9</v>
      </c>
      <c r="N328">
        <v>29.72</v>
      </c>
    </row>
    <row r="329" spans="3:14" x14ac:dyDescent="0.15">
      <c r="C329" s="123">
        <v>42430</v>
      </c>
      <c r="D329" t="s">
        <v>37</v>
      </c>
      <c r="E329" t="s">
        <v>45</v>
      </c>
      <c r="F329" t="s">
        <v>6</v>
      </c>
      <c r="G329" t="s">
        <v>117</v>
      </c>
      <c r="H329" t="s">
        <v>59</v>
      </c>
      <c r="I329">
        <v>71.27</v>
      </c>
      <c r="J329">
        <v>71.63</v>
      </c>
      <c r="K329">
        <v>73.19</v>
      </c>
      <c r="L329">
        <v>30.39</v>
      </c>
      <c r="M329">
        <v>30.94</v>
      </c>
      <c r="N329">
        <v>32.58</v>
      </c>
    </row>
    <row r="330" spans="3:14" x14ac:dyDescent="0.15">
      <c r="C330" s="123">
        <v>42430</v>
      </c>
      <c r="D330" t="s">
        <v>37</v>
      </c>
      <c r="E330" t="s">
        <v>45</v>
      </c>
      <c r="F330" t="s">
        <v>6</v>
      </c>
      <c r="G330" t="s">
        <v>117</v>
      </c>
      <c r="H330" t="s">
        <v>60</v>
      </c>
      <c r="I330">
        <v>69.67</v>
      </c>
      <c r="J330">
        <v>70.03</v>
      </c>
      <c r="K330">
        <v>71.59</v>
      </c>
      <c r="L330">
        <v>28.79</v>
      </c>
      <c r="M330">
        <v>29.34</v>
      </c>
      <c r="N330">
        <v>30.98</v>
      </c>
    </row>
    <row r="331" spans="3:14" x14ac:dyDescent="0.15">
      <c r="C331" s="123">
        <v>42430</v>
      </c>
      <c r="D331" t="s">
        <v>37</v>
      </c>
      <c r="E331" t="s">
        <v>45</v>
      </c>
      <c r="F331" t="s">
        <v>6</v>
      </c>
      <c r="G331" t="s">
        <v>117</v>
      </c>
      <c r="H331" t="s">
        <v>648</v>
      </c>
      <c r="I331">
        <v>68.62</v>
      </c>
      <c r="J331">
        <v>68.98</v>
      </c>
      <c r="K331">
        <v>70.540000000000006</v>
      </c>
      <c r="L331">
        <v>27.74</v>
      </c>
      <c r="M331">
        <v>28.29</v>
      </c>
      <c r="N331">
        <v>29.93</v>
      </c>
    </row>
    <row r="332" spans="3:14" x14ac:dyDescent="0.15">
      <c r="C332" s="123">
        <v>42461</v>
      </c>
      <c r="D332" t="s">
        <v>37</v>
      </c>
      <c r="E332" t="s">
        <v>45</v>
      </c>
      <c r="F332" t="s">
        <v>6</v>
      </c>
      <c r="G332" t="s">
        <v>117</v>
      </c>
      <c r="H332" t="s">
        <v>59</v>
      </c>
      <c r="I332">
        <v>71.290000000000006</v>
      </c>
      <c r="J332">
        <v>72.02</v>
      </c>
      <c r="K332">
        <v>73.44</v>
      </c>
      <c r="L332">
        <v>30.17</v>
      </c>
      <c r="M332">
        <v>31.53</v>
      </c>
      <c r="N332">
        <v>32.79</v>
      </c>
    </row>
    <row r="333" spans="3:14" x14ac:dyDescent="0.15">
      <c r="C333" s="123">
        <v>42461</v>
      </c>
      <c r="D333" t="s">
        <v>37</v>
      </c>
      <c r="E333" t="s">
        <v>45</v>
      </c>
      <c r="F333" t="s">
        <v>6</v>
      </c>
      <c r="G333" t="s">
        <v>117</v>
      </c>
      <c r="H333" t="s">
        <v>60</v>
      </c>
      <c r="I333">
        <v>69.69</v>
      </c>
      <c r="J333">
        <v>70.42</v>
      </c>
      <c r="K333">
        <v>71.84</v>
      </c>
      <c r="L333">
        <v>28.57</v>
      </c>
      <c r="M333">
        <v>29.93</v>
      </c>
      <c r="N333">
        <v>31.19</v>
      </c>
    </row>
    <row r="334" spans="3:14" x14ac:dyDescent="0.15">
      <c r="C334" s="123">
        <v>42461</v>
      </c>
      <c r="D334" t="s">
        <v>37</v>
      </c>
      <c r="E334" t="s">
        <v>45</v>
      </c>
      <c r="F334" t="s">
        <v>6</v>
      </c>
      <c r="G334" t="s">
        <v>117</v>
      </c>
      <c r="H334" t="s">
        <v>648</v>
      </c>
      <c r="I334">
        <v>68.64</v>
      </c>
      <c r="J334">
        <v>69.37</v>
      </c>
      <c r="K334">
        <v>70.790000000000006</v>
      </c>
      <c r="L334">
        <v>27.52</v>
      </c>
      <c r="M334">
        <v>28.88</v>
      </c>
      <c r="N334">
        <v>30.14</v>
      </c>
    </row>
    <row r="335" spans="3:14" x14ac:dyDescent="0.15">
      <c r="C335" s="123">
        <v>42491</v>
      </c>
      <c r="D335" t="s">
        <v>37</v>
      </c>
      <c r="E335" t="s">
        <v>45</v>
      </c>
      <c r="F335" t="s">
        <v>6</v>
      </c>
      <c r="G335" t="s">
        <v>117</v>
      </c>
      <c r="H335" t="s">
        <v>59</v>
      </c>
      <c r="I335">
        <v>71.209999999999994</v>
      </c>
      <c r="J335">
        <v>72.62</v>
      </c>
      <c r="K335">
        <v>73.62</v>
      </c>
      <c r="L335">
        <v>29.98</v>
      </c>
      <c r="M335">
        <v>32.17</v>
      </c>
      <c r="N335">
        <v>32.979999999999997</v>
      </c>
    </row>
    <row r="336" spans="3:14" x14ac:dyDescent="0.15">
      <c r="C336" s="123">
        <v>42491</v>
      </c>
      <c r="D336" t="s">
        <v>37</v>
      </c>
      <c r="E336" t="s">
        <v>45</v>
      </c>
      <c r="F336" t="s">
        <v>6</v>
      </c>
      <c r="G336" t="s">
        <v>117</v>
      </c>
      <c r="H336" t="s">
        <v>60</v>
      </c>
      <c r="I336">
        <v>69.61</v>
      </c>
      <c r="J336">
        <v>71.02</v>
      </c>
      <c r="K336">
        <v>72.02</v>
      </c>
      <c r="L336">
        <v>28.38</v>
      </c>
      <c r="M336">
        <v>30.57</v>
      </c>
      <c r="N336">
        <v>31.38</v>
      </c>
    </row>
    <row r="337" spans="3:14" x14ac:dyDescent="0.15">
      <c r="C337" s="123">
        <v>42491</v>
      </c>
      <c r="D337" t="s">
        <v>37</v>
      </c>
      <c r="E337" t="s">
        <v>45</v>
      </c>
      <c r="F337" t="s">
        <v>6</v>
      </c>
      <c r="G337" t="s">
        <v>117</v>
      </c>
      <c r="H337" t="s">
        <v>648</v>
      </c>
      <c r="I337">
        <v>68.56</v>
      </c>
      <c r="J337">
        <v>69.97</v>
      </c>
      <c r="K337">
        <v>70.97</v>
      </c>
      <c r="L337">
        <v>27.33</v>
      </c>
      <c r="M337">
        <v>29.52</v>
      </c>
      <c r="N337">
        <v>30.33</v>
      </c>
    </row>
    <row r="338" spans="3:14" x14ac:dyDescent="0.15">
      <c r="C338" s="123">
        <v>42522</v>
      </c>
      <c r="D338" t="s">
        <v>37</v>
      </c>
      <c r="E338" t="s">
        <v>45</v>
      </c>
      <c r="F338" t="s">
        <v>6</v>
      </c>
      <c r="G338" t="s">
        <v>117</v>
      </c>
      <c r="H338" t="s">
        <v>59</v>
      </c>
      <c r="I338">
        <v>70.989999999999995</v>
      </c>
      <c r="J338">
        <v>73.23</v>
      </c>
      <c r="K338">
        <v>73.8</v>
      </c>
      <c r="L338">
        <v>29.73</v>
      </c>
      <c r="M338">
        <v>32.770000000000003</v>
      </c>
      <c r="N338">
        <v>33.15</v>
      </c>
    </row>
    <row r="339" spans="3:14" x14ac:dyDescent="0.15">
      <c r="C339" s="123">
        <v>42522</v>
      </c>
      <c r="D339" t="s">
        <v>37</v>
      </c>
      <c r="E339" t="s">
        <v>45</v>
      </c>
      <c r="F339" t="s">
        <v>6</v>
      </c>
      <c r="G339" t="s">
        <v>117</v>
      </c>
      <c r="H339" t="s">
        <v>60</v>
      </c>
      <c r="I339">
        <v>69.39</v>
      </c>
      <c r="J339">
        <v>71.63</v>
      </c>
      <c r="K339">
        <v>72.2</v>
      </c>
      <c r="L339">
        <v>28.13</v>
      </c>
      <c r="M339">
        <v>31.17</v>
      </c>
      <c r="N339">
        <v>31.55</v>
      </c>
    </row>
    <row r="340" spans="3:14" x14ac:dyDescent="0.15">
      <c r="C340" s="123">
        <v>42522</v>
      </c>
      <c r="D340" t="s">
        <v>37</v>
      </c>
      <c r="E340" t="s">
        <v>45</v>
      </c>
      <c r="F340" t="s">
        <v>6</v>
      </c>
      <c r="G340" t="s">
        <v>117</v>
      </c>
      <c r="H340" t="s">
        <v>648</v>
      </c>
      <c r="I340">
        <v>68.34</v>
      </c>
      <c r="J340">
        <v>70.58</v>
      </c>
      <c r="K340">
        <v>71.150000000000006</v>
      </c>
      <c r="L340">
        <v>27.08</v>
      </c>
      <c r="M340">
        <v>30.12</v>
      </c>
      <c r="N340">
        <v>30.5</v>
      </c>
    </row>
    <row r="341" spans="3:14" x14ac:dyDescent="0.15">
      <c r="C341" s="123">
        <v>42552</v>
      </c>
      <c r="D341" t="s">
        <v>37</v>
      </c>
      <c r="E341" t="s">
        <v>45</v>
      </c>
      <c r="F341" t="s">
        <v>6</v>
      </c>
      <c r="G341" t="s">
        <v>117</v>
      </c>
      <c r="H341" t="s">
        <v>59</v>
      </c>
      <c r="I341">
        <v>71.540000000000006</v>
      </c>
      <c r="J341">
        <v>73.31</v>
      </c>
      <c r="K341">
        <v>74.150000000000006</v>
      </c>
      <c r="L341">
        <v>30.29</v>
      </c>
      <c r="M341">
        <v>33.090000000000003</v>
      </c>
      <c r="N341">
        <v>33.56</v>
      </c>
    </row>
    <row r="342" spans="3:14" x14ac:dyDescent="0.15">
      <c r="C342" s="123">
        <v>42552</v>
      </c>
      <c r="D342" t="s">
        <v>37</v>
      </c>
      <c r="E342" t="s">
        <v>45</v>
      </c>
      <c r="F342" t="s">
        <v>6</v>
      </c>
      <c r="G342" t="s">
        <v>117</v>
      </c>
      <c r="H342" t="s">
        <v>60</v>
      </c>
      <c r="I342">
        <v>69.94</v>
      </c>
      <c r="J342">
        <v>71.709999999999994</v>
      </c>
      <c r="K342">
        <v>72.55</v>
      </c>
      <c r="L342">
        <v>28.69</v>
      </c>
      <c r="M342">
        <v>31.49</v>
      </c>
      <c r="N342">
        <v>31.96</v>
      </c>
    </row>
    <row r="343" spans="3:14" x14ac:dyDescent="0.15">
      <c r="C343" s="123">
        <v>42552</v>
      </c>
      <c r="D343" t="s">
        <v>37</v>
      </c>
      <c r="E343" t="s">
        <v>45</v>
      </c>
      <c r="F343" t="s">
        <v>6</v>
      </c>
      <c r="G343" t="s">
        <v>117</v>
      </c>
      <c r="H343" t="s">
        <v>648</v>
      </c>
      <c r="I343">
        <v>68.89</v>
      </c>
      <c r="J343">
        <v>70.66</v>
      </c>
      <c r="K343">
        <v>71.5</v>
      </c>
      <c r="L343">
        <v>27.64</v>
      </c>
      <c r="M343">
        <v>30.44</v>
      </c>
      <c r="N343">
        <v>30.91</v>
      </c>
    </row>
    <row r="344" spans="3:14" x14ac:dyDescent="0.15">
      <c r="C344" s="123">
        <v>42583</v>
      </c>
      <c r="D344" t="s">
        <v>37</v>
      </c>
      <c r="E344" t="s">
        <v>45</v>
      </c>
      <c r="F344" t="s">
        <v>6</v>
      </c>
      <c r="G344" t="s">
        <v>117</v>
      </c>
      <c r="H344" t="s">
        <v>59</v>
      </c>
      <c r="I344">
        <v>72.03</v>
      </c>
      <c r="J344">
        <v>73.86</v>
      </c>
      <c r="K344">
        <v>74.540000000000006</v>
      </c>
      <c r="L344">
        <v>30.87</v>
      </c>
      <c r="M344">
        <v>33.28</v>
      </c>
      <c r="N344">
        <v>33.96</v>
      </c>
    </row>
    <row r="345" spans="3:14" x14ac:dyDescent="0.15">
      <c r="C345" s="123">
        <v>42583</v>
      </c>
      <c r="D345" t="s">
        <v>37</v>
      </c>
      <c r="E345" t="s">
        <v>45</v>
      </c>
      <c r="F345" t="s">
        <v>6</v>
      </c>
      <c r="G345" t="s">
        <v>117</v>
      </c>
      <c r="H345" t="s">
        <v>60</v>
      </c>
      <c r="I345">
        <v>70.430000000000007</v>
      </c>
      <c r="J345">
        <v>72.260000000000005</v>
      </c>
      <c r="K345">
        <v>72.94</v>
      </c>
      <c r="L345">
        <v>29.27</v>
      </c>
      <c r="M345">
        <v>31.68</v>
      </c>
      <c r="N345">
        <v>32.36</v>
      </c>
    </row>
    <row r="346" spans="3:14" x14ac:dyDescent="0.15">
      <c r="C346" s="123">
        <v>42583</v>
      </c>
      <c r="D346" t="s">
        <v>37</v>
      </c>
      <c r="E346" t="s">
        <v>45</v>
      </c>
      <c r="F346" t="s">
        <v>6</v>
      </c>
      <c r="G346" t="s">
        <v>117</v>
      </c>
      <c r="H346" t="s">
        <v>648</v>
      </c>
      <c r="I346">
        <v>69.38</v>
      </c>
      <c r="J346">
        <v>71.209999999999994</v>
      </c>
      <c r="K346">
        <v>71.89</v>
      </c>
      <c r="L346">
        <v>28.22</v>
      </c>
      <c r="M346">
        <v>30.63</v>
      </c>
      <c r="N346">
        <v>31.31</v>
      </c>
    </row>
    <row r="347" spans="3:14" x14ac:dyDescent="0.15">
      <c r="C347" s="123">
        <v>42614</v>
      </c>
      <c r="D347" t="s">
        <v>37</v>
      </c>
      <c r="E347" t="s">
        <v>45</v>
      </c>
      <c r="F347" t="s">
        <v>6</v>
      </c>
      <c r="G347" t="s">
        <v>117</v>
      </c>
      <c r="H347" t="s">
        <v>59</v>
      </c>
      <c r="I347">
        <v>72.459999999999994</v>
      </c>
      <c r="J347">
        <v>74.34</v>
      </c>
      <c r="K347">
        <v>74.849999999999994</v>
      </c>
      <c r="L347">
        <v>31.42</v>
      </c>
      <c r="M347">
        <v>33.53</v>
      </c>
      <c r="N347">
        <v>34.35</v>
      </c>
    </row>
    <row r="348" spans="3:14" x14ac:dyDescent="0.15">
      <c r="C348" s="123">
        <v>42614</v>
      </c>
      <c r="D348" t="s">
        <v>37</v>
      </c>
      <c r="E348" t="s">
        <v>45</v>
      </c>
      <c r="F348" t="s">
        <v>6</v>
      </c>
      <c r="G348" t="s">
        <v>117</v>
      </c>
      <c r="H348" t="s">
        <v>60</v>
      </c>
      <c r="I348">
        <v>70.86</v>
      </c>
      <c r="J348">
        <v>72.739999999999995</v>
      </c>
      <c r="K348">
        <v>73.25</v>
      </c>
      <c r="L348">
        <v>29.82</v>
      </c>
      <c r="M348">
        <v>31.93</v>
      </c>
      <c r="N348">
        <v>32.75</v>
      </c>
    </row>
    <row r="349" spans="3:14" x14ac:dyDescent="0.15">
      <c r="C349" s="123">
        <v>42614</v>
      </c>
      <c r="D349" t="s">
        <v>37</v>
      </c>
      <c r="E349" t="s">
        <v>45</v>
      </c>
      <c r="F349" t="s">
        <v>6</v>
      </c>
      <c r="G349" t="s">
        <v>117</v>
      </c>
      <c r="H349" t="s">
        <v>648</v>
      </c>
      <c r="I349">
        <v>69.81</v>
      </c>
      <c r="J349">
        <v>71.69</v>
      </c>
      <c r="K349">
        <v>72.2</v>
      </c>
      <c r="L349">
        <v>28.77</v>
      </c>
      <c r="M349">
        <v>30.88</v>
      </c>
      <c r="N349">
        <v>31.7</v>
      </c>
    </row>
    <row r="350" spans="3:14" x14ac:dyDescent="0.15">
      <c r="C350" s="123">
        <v>42644</v>
      </c>
      <c r="D350" t="s">
        <v>37</v>
      </c>
      <c r="E350" t="s">
        <v>45</v>
      </c>
      <c r="F350" t="s">
        <v>6</v>
      </c>
      <c r="G350" t="s">
        <v>117</v>
      </c>
      <c r="H350" t="s">
        <v>59</v>
      </c>
      <c r="I350">
        <v>72.92</v>
      </c>
      <c r="J350">
        <v>74.540000000000006</v>
      </c>
      <c r="K350">
        <v>75.150000000000006</v>
      </c>
      <c r="L350">
        <v>31.95</v>
      </c>
      <c r="M350">
        <v>33.5</v>
      </c>
      <c r="N350">
        <v>34.74</v>
      </c>
    </row>
    <row r="351" spans="3:14" x14ac:dyDescent="0.15">
      <c r="C351" s="123">
        <v>42644</v>
      </c>
      <c r="D351" t="s">
        <v>37</v>
      </c>
      <c r="E351" t="s">
        <v>45</v>
      </c>
      <c r="F351" t="s">
        <v>6</v>
      </c>
      <c r="G351" t="s">
        <v>117</v>
      </c>
      <c r="H351" t="s">
        <v>60</v>
      </c>
      <c r="I351">
        <v>71.319999999999993</v>
      </c>
      <c r="J351">
        <v>72.94</v>
      </c>
      <c r="K351">
        <v>73.55</v>
      </c>
      <c r="L351">
        <v>30.35</v>
      </c>
      <c r="M351">
        <v>31.9</v>
      </c>
      <c r="N351">
        <v>33.14</v>
      </c>
    </row>
    <row r="352" spans="3:14" x14ac:dyDescent="0.15">
      <c r="C352" s="123">
        <v>42644</v>
      </c>
      <c r="D352" t="s">
        <v>37</v>
      </c>
      <c r="E352" t="s">
        <v>45</v>
      </c>
      <c r="F352" t="s">
        <v>6</v>
      </c>
      <c r="G352" t="s">
        <v>117</v>
      </c>
      <c r="H352" t="s">
        <v>648</v>
      </c>
      <c r="I352">
        <v>70.27</v>
      </c>
      <c r="J352">
        <v>71.89</v>
      </c>
      <c r="K352">
        <v>72.5</v>
      </c>
      <c r="L352">
        <v>29.3</v>
      </c>
      <c r="M352">
        <v>30.85</v>
      </c>
      <c r="N352">
        <v>32.090000000000003</v>
      </c>
    </row>
    <row r="353" spans="3:14" x14ac:dyDescent="0.15">
      <c r="C353" s="123">
        <v>42675</v>
      </c>
      <c r="D353" t="s">
        <v>37</v>
      </c>
      <c r="E353" t="s">
        <v>45</v>
      </c>
      <c r="F353" t="s">
        <v>6</v>
      </c>
      <c r="G353" t="s">
        <v>117</v>
      </c>
      <c r="H353" t="s">
        <v>59</v>
      </c>
      <c r="I353">
        <v>73.37</v>
      </c>
      <c r="J353">
        <v>74.430000000000007</v>
      </c>
      <c r="K353">
        <v>75.44</v>
      </c>
      <c r="L353">
        <v>32.479999999999997</v>
      </c>
      <c r="M353">
        <v>33.43</v>
      </c>
      <c r="N353">
        <v>35.08</v>
      </c>
    </row>
    <row r="354" spans="3:14" x14ac:dyDescent="0.15">
      <c r="C354" s="123">
        <v>42675</v>
      </c>
      <c r="D354" t="s">
        <v>37</v>
      </c>
      <c r="E354" t="s">
        <v>45</v>
      </c>
      <c r="F354" t="s">
        <v>6</v>
      </c>
      <c r="G354" t="s">
        <v>117</v>
      </c>
      <c r="H354" t="s">
        <v>60</v>
      </c>
      <c r="I354">
        <v>71.77</v>
      </c>
      <c r="J354">
        <v>72.83</v>
      </c>
      <c r="K354">
        <v>73.84</v>
      </c>
      <c r="L354">
        <v>30.88</v>
      </c>
      <c r="M354">
        <v>31.83</v>
      </c>
      <c r="N354">
        <v>33.479999999999997</v>
      </c>
    </row>
    <row r="355" spans="3:14" x14ac:dyDescent="0.15">
      <c r="C355" s="123">
        <v>42675</v>
      </c>
      <c r="D355" t="s">
        <v>37</v>
      </c>
      <c r="E355" t="s">
        <v>45</v>
      </c>
      <c r="F355" t="s">
        <v>6</v>
      </c>
      <c r="G355" t="s">
        <v>117</v>
      </c>
      <c r="H355" t="s">
        <v>648</v>
      </c>
      <c r="I355">
        <v>70.72</v>
      </c>
      <c r="J355">
        <v>71.78</v>
      </c>
      <c r="K355">
        <v>72.790000000000006</v>
      </c>
      <c r="L355">
        <v>29.83</v>
      </c>
      <c r="M355">
        <v>30.78</v>
      </c>
      <c r="N355">
        <v>32.43</v>
      </c>
    </row>
    <row r="356" spans="3:14" x14ac:dyDescent="0.15">
      <c r="C356" s="123">
        <v>42705</v>
      </c>
      <c r="D356" t="s">
        <v>37</v>
      </c>
      <c r="E356" t="s">
        <v>45</v>
      </c>
      <c r="F356" t="s">
        <v>6</v>
      </c>
      <c r="G356" t="s">
        <v>117</v>
      </c>
      <c r="H356" t="s">
        <v>59</v>
      </c>
      <c r="I356">
        <v>73.790000000000006</v>
      </c>
      <c r="J356">
        <v>74.31</v>
      </c>
      <c r="K356">
        <v>75.72</v>
      </c>
      <c r="L356">
        <v>32.99</v>
      </c>
      <c r="M356">
        <v>33.4</v>
      </c>
      <c r="N356">
        <v>35.43</v>
      </c>
    </row>
    <row r="357" spans="3:14" x14ac:dyDescent="0.15">
      <c r="C357" s="123">
        <v>42705</v>
      </c>
      <c r="D357" t="s">
        <v>37</v>
      </c>
      <c r="E357" t="s">
        <v>45</v>
      </c>
      <c r="F357" t="s">
        <v>6</v>
      </c>
      <c r="G357" t="s">
        <v>117</v>
      </c>
      <c r="H357" t="s">
        <v>60</v>
      </c>
      <c r="I357">
        <v>72.19</v>
      </c>
      <c r="J357">
        <v>72.709999999999994</v>
      </c>
      <c r="K357">
        <v>74.12</v>
      </c>
      <c r="L357">
        <v>31.39</v>
      </c>
      <c r="M357">
        <v>31.8</v>
      </c>
      <c r="N357">
        <v>33.83</v>
      </c>
    </row>
    <row r="358" spans="3:14" x14ac:dyDescent="0.15">
      <c r="C358" s="123">
        <v>42705</v>
      </c>
      <c r="D358" t="s">
        <v>37</v>
      </c>
      <c r="E358" t="s">
        <v>45</v>
      </c>
      <c r="F358" t="s">
        <v>6</v>
      </c>
      <c r="G358" t="s">
        <v>117</v>
      </c>
      <c r="H358" t="s">
        <v>648</v>
      </c>
      <c r="I358">
        <v>71.14</v>
      </c>
      <c r="J358">
        <v>71.66</v>
      </c>
      <c r="K358">
        <v>73.069999999999993</v>
      </c>
      <c r="L358">
        <v>30.34</v>
      </c>
      <c r="M358">
        <v>30.75</v>
      </c>
      <c r="N358">
        <v>32.78</v>
      </c>
    </row>
    <row r="359" spans="3:14" x14ac:dyDescent="0.15">
      <c r="C359" s="123">
        <v>42736</v>
      </c>
      <c r="D359" t="s">
        <v>37</v>
      </c>
      <c r="E359" t="s">
        <v>45</v>
      </c>
      <c r="F359" t="s">
        <v>6</v>
      </c>
      <c r="G359" t="s">
        <v>117</v>
      </c>
      <c r="H359" t="s">
        <v>59</v>
      </c>
      <c r="I359">
        <v>74.23</v>
      </c>
      <c r="J359">
        <v>74.97</v>
      </c>
      <c r="K359">
        <v>76.069999999999993</v>
      </c>
      <c r="L359">
        <v>33.58</v>
      </c>
      <c r="M359">
        <v>34.01</v>
      </c>
      <c r="N359">
        <v>35.83</v>
      </c>
    </row>
    <row r="360" spans="3:14" x14ac:dyDescent="0.15">
      <c r="C360" s="123">
        <v>42736</v>
      </c>
      <c r="D360" t="s">
        <v>37</v>
      </c>
      <c r="E360" t="s">
        <v>45</v>
      </c>
      <c r="F360" t="s">
        <v>6</v>
      </c>
      <c r="G360" t="s">
        <v>117</v>
      </c>
      <c r="H360" t="s">
        <v>60</v>
      </c>
      <c r="I360">
        <v>72.63</v>
      </c>
      <c r="J360">
        <v>73.37</v>
      </c>
      <c r="K360">
        <v>74.47</v>
      </c>
      <c r="L360">
        <v>31.98</v>
      </c>
      <c r="M360">
        <v>32.409999999999997</v>
      </c>
      <c r="N360">
        <v>34.229999999999997</v>
      </c>
    </row>
    <row r="361" spans="3:14" x14ac:dyDescent="0.15">
      <c r="C361" s="123">
        <v>42736</v>
      </c>
      <c r="D361" t="s">
        <v>37</v>
      </c>
      <c r="E361" t="s">
        <v>45</v>
      </c>
      <c r="F361" t="s">
        <v>6</v>
      </c>
      <c r="G361" t="s">
        <v>117</v>
      </c>
      <c r="H361" t="s">
        <v>648</v>
      </c>
      <c r="I361">
        <v>71.58</v>
      </c>
      <c r="J361">
        <v>72.319999999999993</v>
      </c>
      <c r="K361">
        <v>73.42</v>
      </c>
      <c r="L361">
        <v>30.93</v>
      </c>
      <c r="M361">
        <v>31.36</v>
      </c>
      <c r="N361">
        <v>33.18</v>
      </c>
    </row>
    <row r="362" spans="3:14" x14ac:dyDescent="0.15">
      <c r="C362" s="123">
        <v>42401</v>
      </c>
      <c r="D362" t="s">
        <v>29</v>
      </c>
      <c r="E362" t="s">
        <v>30</v>
      </c>
      <c r="F362" t="s">
        <v>32</v>
      </c>
      <c r="G362" t="s">
        <v>1104</v>
      </c>
      <c r="H362" t="s">
        <v>59</v>
      </c>
      <c r="I362">
        <v>93.18</v>
      </c>
      <c r="J362">
        <v>93.82</v>
      </c>
      <c r="K362">
        <v>93.12</v>
      </c>
      <c r="L362">
        <v>48.63</v>
      </c>
      <c r="M362">
        <v>49.18</v>
      </c>
      <c r="N362">
        <v>48.92</v>
      </c>
    </row>
    <row r="363" spans="3:14" x14ac:dyDescent="0.15">
      <c r="C363" s="123">
        <v>42401</v>
      </c>
      <c r="D363" t="s">
        <v>29</v>
      </c>
      <c r="E363" t="s">
        <v>30</v>
      </c>
      <c r="F363" t="s">
        <v>32</v>
      </c>
      <c r="G363" t="s">
        <v>1104</v>
      </c>
      <c r="H363" t="s">
        <v>60</v>
      </c>
      <c r="I363">
        <v>91.47</v>
      </c>
      <c r="J363">
        <v>92.11</v>
      </c>
      <c r="K363">
        <v>91.41</v>
      </c>
      <c r="L363">
        <v>46.92</v>
      </c>
      <c r="M363">
        <v>47.47</v>
      </c>
      <c r="N363">
        <v>47.21</v>
      </c>
    </row>
    <row r="364" spans="3:14" x14ac:dyDescent="0.15">
      <c r="C364" s="123">
        <v>42401</v>
      </c>
      <c r="D364" t="s">
        <v>29</v>
      </c>
      <c r="E364" t="s">
        <v>30</v>
      </c>
      <c r="F364" t="s">
        <v>32</v>
      </c>
      <c r="G364" t="s">
        <v>1104</v>
      </c>
      <c r="H364" t="s">
        <v>648</v>
      </c>
      <c r="I364">
        <v>90.35</v>
      </c>
      <c r="J364">
        <v>90.98</v>
      </c>
      <c r="K364">
        <v>90.29</v>
      </c>
      <c r="L364">
        <v>45.79</v>
      </c>
      <c r="M364">
        <v>46.34</v>
      </c>
      <c r="N364">
        <v>46.08</v>
      </c>
    </row>
    <row r="365" spans="3:14" x14ac:dyDescent="0.15">
      <c r="C365" s="123">
        <v>42430</v>
      </c>
      <c r="D365" t="s">
        <v>29</v>
      </c>
      <c r="E365" t="s">
        <v>30</v>
      </c>
      <c r="F365" t="s">
        <v>32</v>
      </c>
      <c r="G365" t="s">
        <v>1104</v>
      </c>
      <c r="H365" t="s">
        <v>59</v>
      </c>
      <c r="I365">
        <v>93.61</v>
      </c>
      <c r="J365">
        <v>92.77</v>
      </c>
      <c r="K365">
        <v>93.15</v>
      </c>
      <c r="L365">
        <v>48.47</v>
      </c>
      <c r="M365">
        <v>48.34</v>
      </c>
      <c r="N365">
        <v>48.62</v>
      </c>
    </row>
    <row r="366" spans="3:14" x14ac:dyDescent="0.15">
      <c r="C366" s="123">
        <v>42430</v>
      </c>
      <c r="D366" t="s">
        <v>29</v>
      </c>
      <c r="E366" t="s">
        <v>30</v>
      </c>
      <c r="F366" t="s">
        <v>32</v>
      </c>
      <c r="G366" t="s">
        <v>1104</v>
      </c>
      <c r="H366" t="s">
        <v>60</v>
      </c>
      <c r="I366">
        <v>91.9</v>
      </c>
      <c r="J366">
        <v>91.05</v>
      </c>
      <c r="K366">
        <v>91.44</v>
      </c>
      <c r="L366">
        <v>46.76</v>
      </c>
      <c r="M366">
        <v>46.63</v>
      </c>
      <c r="N366">
        <v>46.91</v>
      </c>
    </row>
    <row r="367" spans="3:14" x14ac:dyDescent="0.15">
      <c r="C367" s="123">
        <v>42430</v>
      </c>
      <c r="D367" t="s">
        <v>29</v>
      </c>
      <c r="E367" t="s">
        <v>30</v>
      </c>
      <c r="F367" t="s">
        <v>32</v>
      </c>
      <c r="G367" t="s">
        <v>1104</v>
      </c>
      <c r="H367" t="s">
        <v>648</v>
      </c>
      <c r="I367">
        <v>90.78</v>
      </c>
      <c r="J367">
        <v>89.93</v>
      </c>
      <c r="K367">
        <v>90.32</v>
      </c>
      <c r="L367">
        <v>45.63</v>
      </c>
      <c r="M367">
        <v>45.5</v>
      </c>
      <c r="N367">
        <v>45.78</v>
      </c>
    </row>
    <row r="368" spans="3:14" x14ac:dyDescent="0.15">
      <c r="C368" s="123">
        <v>42461</v>
      </c>
      <c r="D368" t="s">
        <v>29</v>
      </c>
      <c r="E368" t="s">
        <v>30</v>
      </c>
      <c r="F368" t="s">
        <v>32</v>
      </c>
      <c r="G368" t="s">
        <v>1104</v>
      </c>
      <c r="H368" t="s">
        <v>59</v>
      </c>
      <c r="I368">
        <v>93.9</v>
      </c>
      <c r="J368">
        <v>91.83</v>
      </c>
      <c r="K368">
        <v>93.08</v>
      </c>
      <c r="L368">
        <v>48.76</v>
      </c>
      <c r="M368">
        <v>47.59</v>
      </c>
      <c r="N368">
        <v>48.62</v>
      </c>
    </row>
    <row r="369" spans="3:14" x14ac:dyDescent="0.15">
      <c r="C369" s="123">
        <v>42461</v>
      </c>
      <c r="D369" t="s">
        <v>29</v>
      </c>
      <c r="E369" t="s">
        <v>30</v>
      </c>
      <c r="F369" t="s">
        <v>32</v>
      </c>
      <c r="G369" t="s">
        <v>1104</v>
      </c>
      <c r="H369" t="s">
        <v>60</v>
      </c>
      <c r="I369">
        <v>92.19</v>
      </c>
      <c r="J369">
        <v>90.12</v>
      </c>
      <c r="K369">
        <v>91.37</v>
      </c>
      <c r="L369">
        <v>47.05</v>
      </c>
      <c r="M369">
        <v>45.88</v>
      </c>
      <c r="N369">
        <v>46.91</v>
      </c>
    </row>
    <row r="370" spans="3:14" x14ac:dyDescent="0.15">
      <c r="C370" s="123">
        <v>42461</v>
      </c>
      <c r="D370" t="s">
        <v>29</v>
      </c>
      <c r="E370" t="s">
        <v>30</v>
      </c>
      <c r="F370" t="s">
        <v>32</v>
      </c>
      <c r="G370" t="s">
        <v>1104</v>
      </c>
      <c r="H370" t="s">
        <v>648</v>
      </c>
      <c r="I370">
        <v>91.06</v>
      </c>
      <c r="J370">
        <v>89</v>
      </c>
      <c r="K370">
        <v>90.25</v>
      </c>
      <c r="L370">
        <v>45.92</v>
      </c>
      <c r="M370">
        <v>44.75</v>
      </c>
      <c r="N370">
        <v>45.78</v>
      </c>
    </row>
    <row r="371" spans="3:14" x14ac:dyDescent="0.15">
      <c r="C371" s="123">
        <v>42491</v>
      </c>
      <c r="D371" t="s">
        <v>29</v>
      </c>
      <c r="E371" t="s">
        <v>30</v>
      </c>
      <c r="F371" t="s">
        <v>32</v>
      </c>
      <c r="G371" t="s">
        <v>1104</v>
      </c>
      <c r="H371" t="s">
        <v>59</v>
      </c>
      <c r="I371">
        <v>93.94</v>
      </c>
      <c r="J371">
        <v>91.49</v>
      </c>
      <c r="K371">
        <v>92.81</v>
      </c>
      <c r="L371">
        <v>48.82</v>
      </c>
      <c r="M371">
        <v>47.47</v>
      </c>
      <c r="N371">
        <v>48.44</v>
      </c>
    </row>
    <row r="372" spans="3:14" x14ac:dyDescent="0.15">
      <c r="C372" s="123">
        <v>42491</v>
      </c>
      <c r="D372" t="s">
        <v>29</v>
      </c>
      <c r="E372" t="s">
        <v>30</v>
      </c>
      <c r="F372" t="s">
        <v>32</v>
      </c>
      <c r="G372" t="s">
        <v>1104</v>
      </c>
      <c r="H372" t="s">
        <v>60</v>
      </c>
      <c r="I372">
        <v>92.23</v>
      </c>
      <c r="J372">
        <v>89.78</v>
      </c>
      <c r="K372">
        <v>91.09</v>
      </c>
      <c r="L372">
        <v>47.11</v>
      </c>
      <c r="M372">
        <v>45.76</v>
      </c>
      <c r="N372">
        <v>46.73</v>
      </c>
    </row>
    <row r="373" spans="3:14" x14ac:dyDescent="0.15">
      <c r="C373" s="123">
        <v>42491</v>
      </c>
      <c r="D373" t="s">
        <v>29</v>
      </c>
      <c r="E373" t="s">
        <v>30</v>
      </c>
      <c r="F373" t="s">
        <v>32</v>
      </c>
      <c r="G373" t="s">
        <v>1104</v>
      </c>
      <c r="H373" t="s">
        <v>648</v>
      </c>
      <c r="I373">
        <v>91.1</v>
      </c>
      <c r="J373">
        <v>88.66</v>
      </c>
      <c r="K373">
        <v>89.97</v>
      </c>
      <c r="L373">
        <v>45.98</v>
      </c>
      <c r="M373">
        <v>44.63</v>
      </c>
      <c r="N373">
        <v>45.6</v>
      </c>
    </row>
    <row r="374" spans="3:14" x14ac:dyDescent="0.15">
      <c r="C374" s="123">
        <v>42522</v>
      </c>
      <c r="D374" t="s">
        <v>29</v>
      </c>
      <c r="E374" t="s">
        <v>30</v>
      </c>
      <c r="F374" t="s">
        <v>32</v>
      </c>
      <c r="G374" t="s">
        <v>1104</v>
      </c>
      <c r="H374" t="s">
        <v>59</v>
      </c>
      <c r="I374">
        <v>93.89</v>
      </c>
      <c r="J374">
        <v>91.39</v>
      </c>
      <c r="K374">
        <v>92.62</v>
      </c>
      <c r="L374">
        <v>48.86</v>
      </c>
      <c r="M374">
        <v>47.55</v>
      </c>
      <c r="N374">
        <v>48.34</v>
      </c>
    </row>
    <row r="375" spans="3:14" x14ac:dyDescent="0.15">
      <c r="C375" s="123">
        <v>42522</v>
      </c>
      <c r="D375" t="s">
        <v>29</v>
      </c>
      <c r="E375" t="s">
        <v>30</v>
      </c>
      <c r="F375" t="s">
        <v>32</v>
      </c>
      <c r="G375" t="s">
        <v>1104</v>
      </c>
      <c r="H375" t="s">
        <v>60</v>
      </c>
      <c r="I375">
        <v>92.18</v>
      </c>
      <c r="J375">
        <v>89.68</v>
      </c>
      <c r="K375">
        <v>90.91</v>
      </c>
      <c r="L375">
        <v>47.15</v>
      </c>
      <c r="M375">
        <v>45.84</v>
      </c>
      <c r="N375">
        <v>46.63</v>
      </c>
    </row>
    <row r="376" spans="3:14" x14ac:dyDescent="0.15">
      <c r="C376" s="123">
        <v>42522</v>
      </c>
      <c r="D376" t="s">
        <v>29</v>
      </c>
      <c r="E376" t="s">
        <v>30</v>
      </c>
      <c r="F376" t="s">
        <v>32</v>
      </c>
      <c r="G376" t="s">
        <v>1104</v>
      </c>
      <c r="H376" t="s">
        <v>648</v>
      </c>
      <c r="I376">
        <v>91.05</v>
      </c>
      <c r="J376">
        <v>88.55</v>
      </c>
      <c r="K376">
        <v>89.78</v>
      </c>
      <c r="L376">
        <v>46.02</v>
      </c>
      <c r="M376">
        <v>44.71</v>
      </c>
      <c r="N376">
        <v>45.5</v>
      </c>
    </row>
    <row r="377" spans="3:14" x14ac:dyDescent="0.15">
      <c r="C377" s="123">
        <v>42552</v>
      </c>
      <c r="D377" t="s">
        <v>29</v>
      </c>
      <c r="E377" t="s">
        <v>30</v>
      </c>
      <c r="F377" t="s">
        <v>32</v>
      </c>
      <c r="G377" t="s">
        <v>1104</v>
      </c>
      <c r="H377" t="s">
        <v>59</v>
      </c>
      <c r="I377">
        <v>93.91</v>
      </c>
      <c r="J377">
        <v>91.83</v>
      </c>
      <c r="K377">
        <v>92.41</v>
      </c>
      <c r="L377">
        <v>48.98</v>
      </c>
      <c r="M377">
        <v>48.21</v>
      </c>
      <c r="N377">
        <v>48.28</v>
      </c>
    </row>
    <row r="378" spans="3:14" x14ac:dyDescent="0.15">
      <c r="C378" s="123">
        <v>42552</v>
      </c>
      <c r="D378" t="s">
        <v>29</v>
      </c>
      <c r="E378" t="s">
        <v>30</v>
      </c>
      <c r="F378" t="s">
        <v>32</v>
      </c>
      <c r="G378" t="s">
        <v>1104</v>
      </c>
      <c r="H378" t="s">
        <v>60</v>
      </c>
      <c r="I378">
        <v>92.19</v>
      </c>
      <c r="J378">
        <v>90.11</v>
      </c>
      <c r="K378">
        <v>90.7</v>
      </c>
      <c r="L378">
        <v>47.27</v>
      </c>
      <c r="M378">
        <v>46.5</v>
      </c>
      <c r="N378">
        <v>46.57</v>
      </c>
    </row>
    <row r="379" spans="3:14" x14ac:dyDescent="0.15">
      <c r="C379" s="123">
        <v>42552</v>
      </c>
      <c r="D379" t="s">
        <v>29</v>
      </c>
      <c r="E379" t="s">
        <v>30</v>
      </c>
      <c r="F379" t="s">
        <v>32</v>
      </c>
      <c r="G379" t="s">
        <v>1104</v>
      </c>
      <c r="H379" t="s">
        <v>648</v>
      </c>
      <c r="I379">
        <v>91.07</v>
      </c>
      <c r="J379">
        <v>88.99</v>
      </c>
      <c r="K379">
        <v>89.58</v>
      </c>
      <c r="L379">
        <v>46.14</v>
      </c>
      <c r="M379">
        <v>45.38</v>
      </c>
      <c r="N379">
        <v>45.45</v>
      </c>
    </row>
    <row r="380" spans="3:14" x14ac:dyDescent="0.15">
      <c r="C380" s="123">
        <v>42583</v>
      </c>
      <c r="D380" t="s">
        <v>29</v>
      </c>
      <c r="E380" t="s">
        <v>30</v>
      </c>
      <c r="F380" t="s">
        <v>32</v>
      </c>
      <c r="G380" t="s">
        <v>1104</v>
      </c>
      <c r="H380" t="s">
        <v>59</v>
      </c>
      <c r="I380">
        <v>93.85</v>
      </c>
      <c r="J380">
        <v>92.92</v>
      </c>
      <c r="K380">
        <v>92.38</v>
      </c>
      <c r="L380">
        <v>49.18</v>
      </c>
      <c r="M380">
        <v>48.84</v>
      </c>
      <c r="N380">
        <v>48.26</v>
      </c>
    </row>
    <row r="381" spans="3:14" x14ac:dyDescent="0.15">
      <c r="C381" s="123">
        <v>42583</v>
      </c>
      <c r="D381" t="s">
        <v>29</v>
      </c>
      <c r="E381" t="s">
        <v>30</v>
      </c>
      <c r="F381" t="s">
        <v>32</v>
      </c>
      <c r="G381" t="s">
        <v>1104</v>
      </c>
      <c r="H381" t="s">
        <v>60</v>
      </c>
      <c r="I381">
        <v>92.14</v>
      </c>
      <c r="J381">
        <v>91.2</v>
      </c>
      <c r="K381">
        <v>90.67</v>
      </c>
      <c r="L381">
        <v>47.47</v>
      </c>
      <c r="M381">
        <v>47.13</v>
      </c>
      <c r="N381">
        <v>46.55</v>
      </c>
    </row>
    <row r="382" spans="3:14" x14ac:dyDescent="0.15">
      <c r="C382" s="123">
        <v>42583</v>
      </c>
      <c r="D382" t="s">
        <v>29</v>
      </c>
      <c r="E382" t="s">
        <v>30</v>
      </c>
      <c r="F382" t="s">
        <v>32</v>
      </c>
      <c r="G382" t="s">
        <v>1104</v>
      </c>
      <c r="H382" t="s">
        <v>648</v>
      </c>
      <c r="I382">
        <v>91.02</v>
      </c>
      <c r="J382">
        <v>90.08</v>
      </c>
      <c r="K382">
        <v>89.54</v>
      </c>
      <c r="L382">
        <v>46.34</v>
      </c>
      <c r="M382">
        <v>46</v>
      </c>
      <c r="N382">
        <v>45.42</v>
      </c>
    </row>
    <row r="383" spans="3:14" x14ac:dyDescent="0.15">
      <c r="C383" s="123">
        <v>42614</v>
      </c>
      <c r="D383" t="s">
        <v>29</v>
      </c>
      <c r="E383" t="s">
        <v>30</v>
      </c>
      <c r="F383" t="s">
        <v>32</v>
      </c>
      <c r="G383" t="s">
        <v>1104</v>
      </c>
      <c r="H383" t="s">
        <v>59</v>
      </c>
      <c r="I383">
        <v>93.78</v>
      </c>
      <c r="J383">
        <v>93.96</v>
      </c>
      <c r="K383">
        <v>92.33</v>
      </c>
      <c r="L383">
        <v>49.37</v>
      </c>
      <c r="M383">
        <v>49.39</v>
      </c>
      <c r="N383">
        <v>48.37</v>
      </c>
    </row>
    <row r="384" spans="3:14" x14ac:dyDescent="0.15">
      <c r="C384" s="123">
        <v>42614</v>
      </c>
      <c r="D384" t="s">
        <v>29</v>
      </c>
      <c r="E384" t="s">
        <v>30</v>
      </c>
      <c r="F384" t="s">
        <v>32</v>
      </c>
      <c r="G384" t="s">
        <v>1104</v>
      </c>
      <c r="H384" t="s">
        <v>60</v>
      </c>
      <c r="I384">
        <v>92.07</v>
      </c>
      <c r="J384">
        <v>92.25</v>
      </c>
      <c r="K384">
        <v>90.62</v>
      </c>
      <c r="L384">
        <v>47.66</v>
      </c>
      <c r="M384">
        <v>47.68</v>
      </c>
      <c r="N384">
        <v>46.66</v>
      </c>
    </row>
    <row r="385" spans="3:14" x14ac:dyDescent="0.15">
      <c r="C385" s="123">
        <v>42614</v>
      </c>
      <c r="D385" t="s">
        <v>29</v>
      </c>
      <c r="E385" t="s">
        <v>30</v>
      </c>
      <c r="F385" t="s">
        <v>32</v>
      </c>
      <c r="G385" t="s">
        <v>1104</v>
      </c>
      <c r="H385" t="s">
        <v>648</v>
      </c>
      <c r="I385">
        <v>90.95</v>
      </c>
      <c r="J385">
        <v>91.12</v>
      </c>
      <c r="K385">
        <v>89.49</v>
      </c>
      <c r="L385">
        <v>46.53</v>
      </c>
      <c r="M385">
        <v>46.55</v>
      </c>
      <c r="N385">
        <v>45.53</v>
      </c>
    </row>
    <row r="386" spans="3:14" x14ac:dyDescent="0.15">
      <c r="C386" s="123">
        <v>42644</v>
      </c>
      <c r="D386" t="s">
        <v>29</v>
      </c>
      <c r="E386" t="s">
        <v>30</v>
      </c>
      <c r="F386" t="s">
        <v>32</v>
      </c>
      <c r="G386" t="s">
        <v>1104</v>
      </c>
      <c r="H386" t="s">
        <v>59</v>
      </c>
      <c r="I386">
        <v>93.82</v>
      </c>
      <c r="J386">
        <v>94.84</v>
      </c>
      <c r="K386">
        <v>92.06</v>
      </c>
      <c r="L386">
        <v>49.64</v>
      </c>
      <c r="M386">
        <v>50.35</v>
      </c>
      <c r="N386">
        <v>48.34</v>
      </c>
    </row>
    <row r="387" spans="3:14" x14ac:dyDescent="0.15">
      <c r="C387" s="123">
        <v>42644</v>
      </c>
      <c r="D387" t="s">
        <v>29</v>
      </c>
      <c r="E387" t="s">
        <v>30</v>
      </c>
      <c r="F387" t="s">
        <v>32</v>
      </c>
      <c r="G387" t="s">
        <v>1104</v>
      </c>
      <c r="H387" t="s">
        <v>60</v>
      </c>
      <c r="I387">
        <v>92.11</v>
      </c>
      <c r="J387">
        <v>93.12</v>
      </c>
      <c r="K387">
        <v>90.35</v>
      </c>
      <c r="L387">
        <v>47.93</v>
      </c>
      <c r="M387">
        <v>48.64</v>
      </c>
      <c r="N387">
        <v>46.63</v>
      </c>
    </row>
    <row r="388" spans="3:14" x14ac:dyDescent="0.15">
      <c r="C388" s="123">
        <v>42644</v>
      </c>
      <c r="D388" t="s">
        <v>29</v>
      </c>
      <c r="E388" t="s">
        <v>30</v>
      </c>
      <c r="F388" t="s">
        <v>32</v>
      </c>
      <c r="G388" t="s">
        <v>1104</v>
      </c>
      <c r="H388" t="s">
        <v>648</v>
      </c>
      <c r="I388">
        <v>90.99</v>
      </c>
      <c r="J388">
        <v>92</v>
      </c>
      <c r="K388">
        <v>89.23</v>
      </c>
      <c r="L388">
        <v>46.8</v>
      </c>
      <c r="M388">
        <v>47.51</v>
      </c>
      <c r="N388">
        <v>45.5</v>
      </c>
    </row>
    <row r="389" spans="3:14" x14ac:dyDescent="0.15">
      <c r="C389" s="123">
        <v>42675</v>
      </c>
      <c r="D389" t="s">
        <v>29</v>
      </c>
      <c r="E389" t="s">
        <v>30</v>
      </c>
      <c r="F389" t="s">
        <v>32</v>
      </c>
      <c r="G389" t="s">
        <v>1104</v>
      </c>
      <c r="H389" t="s">
        <v>59</v>
      </c>
      <c r="I389">
        <v>93.77</v>
      </c>
      <c r="J389">
        <v>94.77</v>
      </c>
      <c r="K389">
        <v>91.87</v>
      </c>
      <c r="L389">
        <v>49.78</v>
      </c>
      <c r="M389">
        <v>50.29</v>
      </c>
      <c r="N389">
        <v>48.32</v>
      </c>
    </row>
    <row r="390" spans="3:14" x14ac:dyDescent="0.15">
      <c r="C390" s="123">
        <v>42675</v>
      </c>
      <c r="D390" t="s">
        <v>29</v>
      </c>
      <c r="E390" t="s">
        <v>30</v>
      </c>
      <c r="F390" t="s">
        <v>32</v>
      </c>
      <c r="G390" t="s">
        <v>1104</v>
      </c>
      <c r="H390" t="s">
        <v>60</v>
      </c>
      <c r="I390">
        <v>92.06</v>
      </c>
      <c r="J390">
        <v>93.06</v>
      </c>
      <c r="K390">
        <v>90.16</v>
      </c>
      <c r="L390">
        <v>48.07</v>
      </c>
      <c r="M390">
        <v>48.58</v>
      </c>
      <c r="N390">
        <v>46.61</v>
      </c>
    </row>
    <row r="391" spans="3:14" x14ac:dyDescent="0.15">
      <c r="C391" s="123">
        <v>42675</v>
      </c>
      <c r="D391" t="s">
        <v>29</v>
      </c>
      <c r="E391" t="s">
        <v>30</v>
      </c>
      <c r="F391" t="s">
        <v>32</v>
      </c>
      <c r="G391" t="s">
        <v>1104</v>
      </c>
      <c r="H391" t="s">
        <v>648</v>
      </c>
      <c r="I391">
        <v>90.94</v>
      </c>
      <c r="J391">
        <v>91.93</v>
      </c>
      <c r="K391">
        <v>89.03</v>
      </c>
      <c r="L391">
        <v>46.95</v>
      </c>
      <c r="M391">
        <v>47.45</v>
      </c>
      <c r="N391">
        <v>45.48</v>
      </c>
    </row>
    <row r="392" spans="3:14" x14ac:dyDescent="0.15">
      <c r="C392" s="123">
        <v>42705</v>
      </c>
      <c r="D392" t="s">
        <v>29</v>
      </c>
      <c r="E392" t="s">
        <v>30</v>
      </c>
      <c r="F392" t="s">
        <v>32</v>
      </c>
      <c r="G392" t="s">
        <v>1104</v>
      </c>
      <c r="H392" t="s">
        <v>59</v>
      </c>
      <c r="I392">
        <v>93.49</v>
      </c>
      <c r="J392">
        <v>94.4</v>
      </c>
      <c r="K392">
        <v>91.67</v>
      </c>
      <c r="L392">
        <v>49.62</v>
      </c>
      <c r="M392">
        <v>49.95</v>
      </c>
      <c r="N392">
        <v>48.27</v>
      </c>
    </row>
    <row r="393" spans="3:14" x14ac:dyDescent="0.15">
      <c r="C393" s="123">
        <v>42705</v>
      </c>
      <c r="D393" t="s">
        <v>29</v>
      </c>
      <c r="E393" t="s">
        <v>30</v>
      </c>
      <c r="F393" t="s">
        <v>32</v>
      </c>
      <c r="G393" t="s">
        <v>1104</v>
      </c>
      <c r="H393" t="s">
        <v>60</v>
      </c>
      <c r="I393">
        <v>91.78</v>
      </c>
      <c r="J393">
        <v>92.69</v>
      </c>
      <c r="K393">
        <v>89.96</v>
      </c>
      <c r="L393">
        <v>47.91</v>
      </c>
      <c r="M393">
        <v>48.24</v>
      </c>
      <c r="N393">
        <v>46.56</v>
      </c>
    </row>
    <row r="394" spans="3:14" x14ac:dyDescent="0.15">
      <c r="C394" s="123">
        <v>42705</v>
      </c>
      <c r="D394" t="s">
        <v>29</v>
      </c>
      <c r="E394" t="s">
        <v>30</v>
      </c>
      <c r="F394" t="s">
        <v>32</v>
      </c>
      <c r="G394" t="s">
        <v>1104</v>
      </c>
      <c r="H394" t="s">
        <v>648</v>
      </c>
      <c r="I394">
        <v>90.65</v>
      </c>
      <c r="J394">
        <v>91.57</v>
      </c>
      <c r="K394">
        <v>88.83</v>
      </c>
      <c r="L394">
        <v>46.78</v>
      </c>
      <c r="M394">
        <v>47.11</v>
      </c>
      <c r="N394">
        <v>45.43</v>
      </c>
    </row>
    <row r="395" spans="3:14" x14ac:dyDescent="0.15">
      <c r="C395" s="123">
        <v>42736</v>
      </c>
      <c r="D395" t="s">
        <v>29</v>
      </c>
      <c r="E395" t="s">
        <v>30</v>
      </c>
      <c r="F395" t="s">
        <v>32</v>
      </c>
      <c r="G395" t="s">
        <v>1104</v>
      </c>
      <c r="H395" t="s">
        <v>59</v>
      </c>
      <c r="I395">
        <v>93.29</v>
      </c>
      <c r="J395">
        <v>93.55</v>
      </c>
      <c r="K395">
        <v>91.74</v>
      </c>
      <c r="L395">
        <v>49.49</v>
      </c>
      <c r="M395">
        <v>49.13</v>
      </c>
      <c r="N395">
        <v>48.33</v>
      </c>
    </row>
    <row r="396" spans="3:14" x14ac:dyDescent="0.15">
      <c r="C396" s="123">
        <v>42736</v>
      </c>
      <c r="D396" t="s">
        <v>29</v>
      </c>
      <c r="E396" t="s">
        <v>30</v>
      </c>
      <c r="F396" t="s">
        <v>32</v>
      </c>
      <c r="G396" t="s">
        <v>1104</v>
      </c>
      <c r="H396" t="s">
        <v>60</v>
      </c>
      <c r="I396">
        <v>91.58</v>
      </c>
      <c r="J396">
        <v>91.83</v>
      </c>
      <c r="K396">
        <v>90.03</v>
      </c>
      <c r="L396">
        <v>47.78</v>
      </c>
      <c r="M396">
        <v>47.42</v>
      </c>
      <c r="N396">
        <v>46.62</v>
      </c>
    </row>
    <row r="397" spans="3:14" x14ac:dyDescent="0.15">
      <c r="C397" s="123">
        <v>42736</v>
      </c>
      <c r="D397" t="s">
        <v>29</v>
      </c>
      <c r="E397" t="s">
        <v>30</v>
      </c>
      <c r="F397" t="s">
        <v>32</v>
      </c>
      <c r="G397" t="s">
        <v>1104</v>
      </c>
      <c r="H397" t="s">
        <v>648</v>
      </c>
      <c r="I397">
        <v>90.46</v>
      </c>
      <c r="J397">
        <v>90.71</v>
      </c>
      <c r="K397">
        <v>88.91</v>
      </c>
      <c r="L397">
        <v>46.65</v>
      </c>
      <c r="M397">
        <v>46.29</v>
      </c>
      <c r="N397">
        <v>45.49</v>
      </c>
    </row>
    <row r="398" spans="3:14" x14ac:dyDescent="0.15">
      <c r="C398" s="123">
        <v>42401</v>
      </c>
      <c r="D398" t="s">
        <v>29</v>
      </c>
      <c r="E398" t="s">
        <v>30</v>
      </c>
      <c r="F398" t="s">
        <v>31</v>
      </c>
      <c r="G398" t="s">
        <v>1105</v>
      </c>
      <c r="H398" t="s">
        <v>59</v>
      </c>
      <c r="I398">
        <v>93.61</v>
      </c>
      <c r="J398">
        <v>94.13</v>
      </c>
      <c r="K398">
        <v>93.62</v>
      </c>
      <c r="L398">
        <v>48.7</v>
      </c>
      <c r="M398">
        <v>49.14</v>
      </c>
      <c r="N398">
        <v>49.12</v>
      </c>
    </row>
    <row r="399" spans="3:14" x14ac:dyDescent="0.15">
      <c r="C399" s="123">
        <v>42401</v>
      </c>
      <c r="D399" t="s">
        <v>29</v>
      </c>
      <c r="E399" t="s">
        <v>30</v>
      </c>
      <c r="F399" t="s">
        <v>31</v>
      </c>
      <c r="G399" t="s">
        <v>1105</v>
      </c>
      <c r="H399" t="s">
        <v>60</v>
      </c>
      <c r="I399">
        <v>91.9</v>
      </c>
      <c r="J399">
        <v>92.42</v>
      </c>
      <c r="K399">
        <v>91.91</v>
      </c>
      <c r="L399">
        <v>46.99</v>
      </c>
      <c r="M399">
        <v>47.43</v>
      </c>
      <c r="N399">
        <v>47.41</v>
      </c>
    </row>
    <row r="400" spans="3:14" x14ac:dyDescent="0.15">
      <c r="C400" s="123">
        <v>42401</v>
      </c>
      <c r="D400" t="s">
        <v>29</v>
      </c>
      <c r="E400" t="s">
        <v>30</v>
      </c>
      <c r="F400" t="s">
        <v>31</v>
      </c>
      <c r="G400" t="s">
        <v>1105</v>
      </c>
      <c r="H400" t="s">
        <v>648</v>
      </c>
      <c r="I400">
        <v>90.78</v>
      </c>
      <c r="J400">
        <v>91.3</v>
      </c>
      <c r="K400">
        <v>90.79</v>
      </c>
      <c r="L400">
        <v>45.86</v>
      </c>
      <c r="M400">
        <v>46.3</v>
      </c>
      <c r="N400">
        <v>46.28</v>
      </c>
    </row>
    <row r="401" spans="3:14" x14ac:dyDescent="0.15">
      <c r="C401" s="123">
        <v>42430</v>
      </c>
      <c r="D401" t="s">
        <v>29</v>
      </c>
      <c r="E401" t="s">
        <v>30</v>
      </c>
      <c r="F401" t="s">
        <v>31</v>
      </c>
      <c r="G401" t="s">
        <v>1105</v>
      </c>
      <c r="H401" t="s">
        <v>59</v>
      </c>
      <c r="I401">
        <v>94.02</v>
      </c>
      <c r="J401">
        <v>92.82</v>
      </c>
      <c r="K401">
        <v>93.75</v>
      </c>
      <c r="L401">
        <v>48.54</v>
      </c>
      <c r="M401">
        <v>47.99</v>
      </c>
      <c r="N401">
        <v>48.97</v>
      </c>
    </row>
    <row r="402" spans="3:14" x14ac:dyDescent="0.15">
      <c r="C402" s="123">
        <v>42430</v>
      </c>
      <c r="D402" t="s">
        <v>29</v>
      </c>
      <c r="E402" t="s">
        <v>30</v>
      </c>
      <c r="F402" t="s">
        <v>31</v>
      </c>
      <c r="G402" t="s">
        <v>1105</v>
      </c>
      <c r="H402" t="s">
        <v>60</v>
      </c>
      <c r="I402">
        <v>92.31</v>
      </c>
      <c r="J402">
        <v>91.11</v>
      </c>
      <c r="K402">
        <v>92.04</v>
      </c>
      <c r="L402">
        <v>46.83</v>
      </c>
      <c r="M402">
        <v>46.28</v>
      </c>
      <c r="N402">
        <v>47.26</v>
      </c>
    </row>
    <row r="403" spans="3:14" x14ac:dyDescent="0.15">
      <c r="C403" s="123">
        <v>42430</v>
      </c>
      <c r="D403" t="s">
        <v>29</v>
      </c>
      <c r="E403" t="s">
        <v>30</v>
      </c>
      <c r="F403" t="s">
        <v>31</v>
      </c>
      <c r="G403" t="s">
        <v>1105</v>
      </c>
      <c r="H403" t="s">
        <v>648</v>
      </c>
      <c r="I403">
        <v>91.18</v>
      </c>
      <c r="J403">
        <v>89.99</v>
      </c>
      <c r="K403">
        <v>90.92</v>
      </c>
      <c r="L403">
        <v>45.7</v>
      </c>
      <c r="M403">
        <v>45.15</v>
      </c>
      <c r="N403">
        <v>46.13</v>
      </c>
    </row>
    <row r="404" spans="3:14" x14ac:dyDescent="0.15">
      <c r="C404" s="123">
        <v>42461</v>
      </c>
      <c r="D404" t="s">
        <v>29</v>
      </c>
      <c r="E404" t="s">
        <v>30</v>
      </c>
      <c r="F404" t="s">
        <v>31</v>
      </c>
      <c r="G404" t="s">
        <v>1105</v>
      </c>
      <c r="H404" t="s">
        <v>59</v>
      </c>
      <c r="I404">
        <v>94.26</v>
      </c>
      <c r="J404">
        <v>91.75</v>
      </c>
      <c r="K404">
        <v>93.77</v>
      </c>
      <c r="L404">
        <v>48.78</v>
      </c>
      <c r="M404">
        <v>47.12</v>
      </c>
      <c r="N404">
        <v>49.04</v>
      </c>
    </row>
    <row r="405" spans="3:14" x14ac:dyDescent="0.15">
      <c r="C405" s="123">
        <v>42461</v>
      </c>
      <c r="D405" t="s">
        <v>29</v>
      </c>
      <c r="E405" t="s">
        <v>30</v>
      </c>
      <c r="F405" t="s">
        <v>31</v>
      </c>
      <c r="G405" t="s">
        <v>1105</v>
      </c>
      <c r="H405" t="s">
        <v>60</v>
      </c>
      <c r="I405">
        <v>92.55</v>
      </c>
      <c r="J405">
        <v>90.04</v>
      </c>
      <c r="K405">
        <v>92.06</v>
      </c>
      <c r="L405">
        <v>47.07</v>
      </c>
      <c r="M405">
        <v>45.41</v>
      </c>
      <c r="N405">
        <v>47.33</v>
      </c>
    </row>
    <row r="406" spans="3:14" x14ac:dyDescent="0.15">
      <c r="C406" s="123">
        <v>42461</v>
      </c>
      <c r="D406" t="s">
        <v>29</v>
      </c>
      <c r="E406" t="s">
        <v>30</v>
      </c>
      <c r="F406" t="s">
        <v>31</v>
      </c>
      <c r="G406" t="s">
        <v>1105</v>
      </c>
      <c r="H406" t="s">
        <v>648</v>
      </c>
      <c r="I406">
        <v>91.43</v>
      </c>
      <c r="J406">
        <v>88.92</v>
      </c>
      <c r="K406">
        <v>90.94</v>
      </c>
      <c r="L406">
        <v>45.95</v>
      </c>
      <c r="M406">
        <v>44.28</v>
      </c>
      <c r="N406">
        <v>46.2</v>
      </c>
    </row>
    <row r="407" spans="3:14" x14ac:dyDescent="0.15">
      <c r="C407" s="123">
        <v>42491</v>
      </c>
      <c r="D407" t="s">
        <v>29</v>
      </c>
      <c r="E407" t="s">
        <v>30</v>
      </c>
      <c r="F407" t="s">
        <v>31</v>
      </c>
      <c r="G407" t="s">
        <v>1105</v>
      </c>
      <c r="H407" t="s">
        <v>59</v>
      </c>
      <c r="I407">
        <v>94.27</v>
      </c>
      <c r="J407">
        <v>91.37</v>
      </c>
      <c r="K407">
        <v>93.67</v>
      </c>
      <c r="L407">
        <v>48.8</v>
      </c>
      <c r="M407">
        <v>46.94</v>
      </c>
      <c r="N407">
        <v>48.99</v>
      </c>
    </row>
    <row r="408" spans="3:14" x14ac:dyDescent="0.15">
      <c r="C408" s="123">
        <v>42491</v>
      </c>
      <c r="D408" t="s">
        <v>29</v>
      </c>
      <c r="E408" t="s">
        <v>30</v>
      </c>
      <c r="F408" t="s">
        <v>31</v>
      </c>
      <c r="G408" t="s">
        <v>1105</v>
      </c>
      <c r="H408" t="s">
        <v>60</v>
      </c>
      <c r="I408">
        <v>92.56</v>
      </c>
      <c r="J408">
        <v>89.66</v>
      </c>
      <c r="K408">
        <v>91.96</v>
      </c>
      <c r="L408">
        <v>47.09</v>
      </c>
      <c r="M408">
        <v>45.23</v>
      </c>
      <c r="N408">
        <v>47.28</v>
      </c>
    </row>
    <row r="409" spans="3:14" x14ac:dyDescent="0.15">
      <c r="C409" s="123">
        <v>42491</v>
      </c>
      <c r="D409" t="s">
        <v>29</v>
      </c>
      <c r="E409" t="s">
        <v>30</v>
      </c>
      <c r="F409" t="s">
        <v>31</v>
      </c>
      <c r="G409" t="s">
        <v>1105</v>
      </c>
      <c r="H409" t="s">
        <v>648</v>
      </c>
      <c r="I409">
        <v>91.43</v>
      </c>
      <c r="J409">
        <v>88.53</v>
      </c>
      <c r="K409">
        <v>90.84</v>
      </c>
      <c r="L409">
        <v>45.96</v>
      </c>
      <c r="M409">
        <v>44.1</v>
      </c>
      <c r="N409">
        <v>46.15</v>
      </c>
    </row>
    <row r="410" spans="3:14" x14ac:dyDescent="0.15">
      <c r="C410" s="123">
        <v>42522</v>
      </c>
      <c r="D410" t="s">
        <v>29</v>
      </c>
      <c r="E410" t="s">
        <v>30</v>
      </c>
      <c r="F410" t="s">
        <v>31</v>
      </c>
      <c r="G410" t="s">
        <v>1105</v>
      </c>
      <c r="H410" t="s">
        <v>59</v>
      </c>
      <c r="I410">
        <v>94.2</v>
      </c>
      <c r="J410">
        <v>91.31</v>
      </c>
      <c r="K410">
        <v>93.84</v>
      </c>
      <c r="L410">
        <v>48.82</v>
      </c>
      <c r="M410">
        <v>47.02</v>
      </c>
      <c r="N410">
        <v>49.16</v>
      </c>
    </row>
    <row r="411" spans="3:14" x14ac:dyDescent="0.15">
      <c r="C411" s="123">
        <v>42522</v>
      </c>
      <c r="D411" t="s">
        <v>29</v>
      </c>
      <c r="E411" t="s">
        <v>30</v>
      </c>
      <c r="F411" t="s">
        <v>31</v>
      </c>
      <c r="G411" t="s">
        <v>1105</v>
      </c>
      <c r="H411" t="s">
        <v>60</v>
      </c>
      <c r="I411">
        <v>92.49</v>
      </c>
      <c r="J411">
        <v>89.59</v>
      </c>
      <c r="K411">
        <v>92.12</v>
      </c>
      <c r="L411">
        <v>47.11</v>
      </c>
      <c r="M411">
        <v>45.31</v>
      </c>
      <c r="N411">
        <v>47.45</v>
      </c>
    </row>
    <row r="412" spans="3:14" x14ac:dyDescent="0.15">
      <c r="C412" s="123">
        <v>42522</v>
      </c>
      <c r="D412" t="s">
        <v>29</v>
      </c>
      <c r="E412" t="s">
        <v>30</v>
      </c>
      <c r="F412" t="s">
        <v>31</v>
      </c>
      <c r="G412" t="s">
        <v>1105</v>
      </c>
      <c r="H412" t="s">
        <v>648</v>
      </c>
      <c r="I412">
        <v>91.36</v>
      </c>
      <c r="J412">
        <v>88.47</v>
      </c>
      <c r="K412">
        <v>91</v>
      </c>
      <c r="L412">
        <v>45.98</v>
      </c>
      <c r="M412">
        <v>44.18</v>
      </c>
      <c r="N412">
        <v>46.32</v>
      </c>
    </row>
    <row r="413" spans="3:14" x14ac:dyDescent="0.15">
      <c r="C413" s="123">
        <v>42552</v>
      </c>
      <c r="D413" t="s">
        <v>29</v>
      </c>
      <c r="E413" t="s">
        <v>30</v>
      </c>
      <c r="F413" t="s">
        <v>31</v>
      </c>
      <c r="G413" t="s">
        <v>1105</v>
      </c>
      <c r="H413" t="s">
        <v>59</v>
      </c>
      <c r="I413">
        <v>94.21</v>
      </c>
      <c r="J413">
        <v>92</v>
      </c>
      <c r="K413">
        <v>93.92</v>
      </c>
      <c r="L413">
        <v>48.92</v>
      </c>
      <c r="M413">
        <v>47.92</v>
      </c>
      <c r="N413">
        <v>49.37</v>
      </c>
    </row>
    <row r="414" spans="3:14" x14ac:dyDescent="0.15">
      <c r="C414" s="123">
        <v>42552</v>
      </c>
      <c r="D414" t="s">
        <v>29</v>
      </c>
      <c r="E414" t="s">
        <v>30</v>
      </c>
      <c r="F414" t="s">
        <v>31</v>
      </c>
      <c r="G414" t="s">
        <v>1105</v>
      </c>
      <c r="H414" t="s">
        <v>60</v>
      </c>
      <c r="I414">
        <v>92.49</v>
      </c>
      <c r="J414">
        <v>90.29</v>
      </c>
      <c r="K414">
        <v>92.21</v>
      </c>
      <c r="L414">
        <v>47.21</v>
      </c>
      <c r="M414">
        <v>46.21</v>
      </c>
      <c r="N414">
        <v>47.66</v>
      </c>
    </row>
    <row r="415" spans="3:14" x14ac:dyDescent="0.15">
      <c r="C415" s="123">
        <v>42552</v>
      </c>
      <c r="D415" t="s">
        <v>29</v>
      </c>
      <c r="E415" t="s">
        <v>30</v>
      </c>
      <c r="F415" t="s">
        <v>31</v>
      </c>
      <c r="G415" t="s">
        <v>1105</v>
      </c>
      <c r="H415" t="s">
        <v>648</v>
      </c>
      <c r="I415">
        <v>91.37</v>
      </c>
      <c r="J415">
        <v>89.17</v>
      </c>
      <c r="K415">
        <v>91.09</v>
      </c>
      <c r="L415">
        <v>46.08</v>
      </c>
      <c r="M415">
        <v>45.08</v>
      </c>
      <c r="N415">
        <v>46.53</v>
      </c>
    </row>
    <row r="416" spans="3:14" x14ac:dyDescent="0.15">
      <c r="C416" s="123">
        <v>42583</v>
      </c>
      <c r="D416" t="s">
        <v>29</v>
      </c>
      <c r="E416" t="s">
        <v>30</v>
      </c>
      <c r="F416" t="s">
        <v>31</v>
      </c>
      <c r="G416" t="s">
        <v>1105</v>
      </c>
      <c r="H416" t="s">
        <v>59</v>
      </c>
      <c r="I416">
        <v>94.14</v>
      </c>
      <c r="J416">
        <v>93.46</v>
      </c>
      <c r="K416">
        <v>94.14</v>
      </c>
      <c r="L416">
        <v>49.16</v>
      </c>
      <c r="M416">
        <v>49.12</v>
      </c>
      <c r="N416">
        <v>49.63</v>
      </c>
    </row>
    <row r="417" spans="3:14" x14ac:dyDescent="0.15">
      <c r="C417" s="123">
        <v>42583</v>
      </c>
      <c r="D417" t="s">
        <v>29</v>
      </c>
      <c r="E417" t="s">
        <v>30</v>
      </c>
      <c r="F417" t="s">
        <v>31</v>
      </c>
      <c r="G417" t="s">
        <v>1105</v>
      </c>
      <c r="H417" t="s">
        <v>60</v>
      </c>
      <c r="I417">
        <v>92.43</v>
      </c>
      <c r="J417">
        <v>91.75</v>
      </c>
      <c r="K417">
        <v>92.43</v>
      </c>
      <c r="L417">
        <v>47.45</v>
      </c>
      <c r="M417">
        <v>47.41</v>
      </c>
      <c r="N417">
        <v>47.92</v>
      </c>
    </row>
    <row r="418" spans="3:14" x14ac:dyDescent="0.15">
      <c r="C418" s="123">
        <v>42583</v>
      </c>
      <c r="D418" t="s">
        <v>29</v>
      </c>
      <c r="E418" t="s">
        <v>30</v>
      </c>
      <c r="F418" t="s">
        <v>31</v>
      </c>
      <c r="G418" t="s">
        <v>1105</v>
      </c>
      <c r="H418" t="s">
        <v>648</v>
      </c>
      <c r="I418">
        <v>91.31</v>
      </c>
      <c r="J418">
        <v>90.63</v>
      </c>
      <c r="K418">
        <v>91.31</v>
      </c>
      <c r="L418">
        <v>46.32</v>
      </c>
      <c r="M418">
        <v>46.28</v>
      </c>
      <c r="N418">
        <v>46.79</v>
      </c>
    </row>
    <row r="419" spans="3:14" x14ac:dyDescent="0.15">
      <c r="C419" s="123">
        <v>42614</v>
      </c>
      <c r="D419" t="s">
        <v>29</v>
      </c>
      <c r="E419" t="s">
        <v>30</v>
      </c>
      <c r="F419" t="s">
        <v>31</v>
      </c>
      <c r="G419" t="s">
        <v>1105</v>
      </c>
      <c r="H419" t="s">
        <v>59</v>
      </c>
      <c r="I419">
        <v>94.07</v>
      </c>
      <c r="J419">
        <v>94.95</v>
      </c>
      <c r="K419">
        <v>94.31</v>
      </c>
      <c r="L419">
        <v>49.39</v>
      </c>
      <c r="M419">
        <v>50.29</v>
      </c>
      <c r="N419">
        <v>49.96</v>
      </c>
    </row>
    <row r="420" spans="3:14" x14ac:dyDescent="0.15">
      <c r="C420" s="123">
        <v>42614</v>
      </c>
      <c r="D420" t="s">
        <v>29</v>
      </c>
      <c r="E420" t="s">
        <v>30</v>
      </c>
      <c r="F420" t="s">
        <v>31</v>
      </c>
      <c r="G420" t="s">
        <v>1105</v>
      </c>
      <c r="H420" t="s">
        <v>60</v>
      </c>
      <c r="I420">
        <v>92.36</v>
      </c>
      <c r="J420">
        <v>93.23</v>
      </c>
      <c r="K420">
        <v>92.6</v>
      </c>
      <c r="L420">
        <v>47.68</v>
      </c>
      <c r="M420">
        <v>48.58</v>
      </c>
      <c r="N420">
        <v>48.25</v>
      </c>
    </row>
    <row r="421" spans="3:14" x14ac:dyDescent="0.15">
      <c r="C421" s="123">
        <v>42614</v>
      </c>
      <c r="D421" t="s">
        <v>29</v>
      </c>
      <c r="E421" t="s">
        <v>30</v>
      </c>
      <c r="F421" t="s">
        <v>31</v>
      </c>
      <c r="G421" t="s">
        <v>1105</v>
      </c>
      <c r="H421" t="s">
        <v>648</v>
      </c>
      <c r="I421">
        <v>91.23</v>
      </c>
      <c r="J421">
        <v>92.11</v>
      </c>
      <c r="K421">
        <v>91.47</v>
      </c>
      <c r="L421">
        <v>46.55</v>
      </c>
      <c r="M421">
        <v>47.45</v>
      </c>
      <c r="N421">
        <v>47.13</v>
      </c>
    </row>
    <row r="422" spans="3:14" x14ac:dyDescent="0.15">
      <c r="C422" s="123">
        <v>42644</v>
      </c>
      <c r="D422" t="s">
        <v>29</v>
      </c>
      <c r="E422" t="s">
        <v>30</v>
      </c>
      <c r="F422" t="s">
        <v>31</v>
      </c>
      <c r="G422" t="s">
        <v>1105</v>
      </c>
      <c r="H422" t="s">
        <v>59</v>
      </c>
      <c r="I422">
        <v>94.14</v>
      </c>
      <c r="J422">
        <v>96.21</v>
      </c>
      <c r="K422">
        <v>94.18</v>
      </c>
      <c r="L422">
        <v>49.69</v>
      </c>
      <c r="M422">
        <v>51.57</v>
      </c>
      <c r="N422">
        <v>50.05</v>
      </c>
    </row>
    <row r="423" spans="3:14" x14ac:dyDescent="0.15">
      <c r="C423" s="123">
        <v>42644</v>
      </c>
      <c r="D423" t="s">
        <v>29</v>
      </c>
      <c r="E423" t="s">
        <v>30</v>
      </c>
      <c r="F423" t="s">
        <v>31</v>
      </c>
      <c r="G423" t="s">
        <v>1105</v>
      </c>
      <c r="H423" t="s">
        <v>60</v>
      </c>
      <c r="I423">
        <v>92.43</v>
      </c>
      <c r="J423">
        <v>94.5</v>
      </c>
      <c r="K423">
        <v>92.46</v>
      </c>
      <c r="L423">
        <v>47.98</v>
      </c>
      <c r="M423">
        <v>49.86</v>
      </c>
      <c r="N423">
        <v>48.34</v>
      </c>
    </row>
    <row r="424" spans="3:14" x14ac:dyDescent="0.15">
      <c r="C424" s="123">
        <v>42644</v>
      </c>
      <c r="D424" t="s">
        <v>29</v>
      </c>
      <c r="E424" t="s">
        <v>30</v>
      </c>
      <c r="F424" t="s">
        <v>31</v>
      </c>
      <c r="G424" t="s">
        <v>1105</v>
      </c>
      <c r="H424" t="s">
        <v>648</v>
      </c>
      <c r="I424">
        <v>91.31</v>
      </c>
      <c r="J424">
        <v>93.37</v>
      </c>
      <c r="K424">
        <v>91.34</v>
      </c>
      <c r="L424">
        <v>46.85</v>
      </c>
      <c r="M424">
        <v>48.73</v>
      </c>
      <c r="N424">
        <v>47.21</v>
      </c>
    </row>
    <row r="425" spans="3:14" x14ac:dyDescent="0.15">
      <c r="C425" s="123">
        <v>42675</v>
      </c>
      <c r="D425" t="s">
        <v>29</v>
      </c>
      <c r="E425" t="s">
        <v>30</v>
      </c>
      <c r="F425" t="s">
        <v>31</v>
      </c>
      <c r="G425" t="s">
        <v>1105</v>
      </c>
      <c r="H425" t="s">
        <v>59</v>
      </c>
      <c r="I425">
        <v>94.09</v>
      </c>
      <c r="J425">
        <v>96.48</v>
      </c>
      <c r="K425">
        <v>94.2</v>
      </c>
      <c r="L425">
        <v>49.82</v>
      </c>
      <c r="M425">
        <v>51.8</v>
      </c>
      <c r="N425">
        <v>50.19</v>
      </c>
    </row>
    <row r="426" spans="3:14" x14ac:dyDescent="0.15">
      <c r="C426" s="123">
        <v>42675</v>
      </c>
      <c r="D426" t="s">
        <v>29</v>
      </c>
      <c r="E426" t="s">
        <v>30</v>
      </c>
      <c r="F426" t="s">
        <v>31</v>
      </c>
      <c r="G426" t="s">
        <v>1105</v>
      </c>
      <c r="H426" t="s">
        <v>60</v>
      </c>
      <c r="I426">
        <v>92.38</v>
      </c>
      <c r="J426">
        <v>94.76</v>
      </c>
      <c r="K426">
        <v>92.48</v>
      </c>
      <c r="L426">
        <v>48.11</v>
      </c>
      <c r="M426">
        <v>50.09</v>
      </c>
      <c r="N426">
        <v>48.48</v>
      </c>
    </row>
    <row r="427" spans="3:14" x14ac:dyDescent="0.15">
      <c r="C427" s="123">
        <v>42675</v>
      </c>
      <c r="D427" t="s">
        <v>29</v>
      </c>
      <c r="E427" t="s">
        <v>30</v>
      </c>
      <c r="F427" t="s">
        <v>31</v>
      </c>
      <c r="G427" t="s">
        <v>1105</v>
      </c>
      <c r="H427" t="s">
        <v>648</v>
      </c>
      <c r="I427">
        <v>91.26</v>
      </c>
      <c r="J427">
        <v>93.64</v>
      </c>
      <c r="K427">
        <v>91.36</v>
      </c>
      <c r="L427">
        <v>46.98</v>
      </c>
      <c r="M427">
        <v>48.96</v>
      </c>
      <c r="N427">
        <v>47.35</v>
      </c>
    </row>
    <row r="428" spans="3:14" x14ac:dyDescent="0.15">
      <c r="C428" s="123">
        <v>42705</v>
      </c>
      <c r="D428" t="s">
        <v>29</v>
      </c>
      <c r="E428" t="s">
        <v>30</v>
      </c>
      <c r="F428" t="s">
        <v>31</v>
      </c>
      <c r="G428" t="s">
        <v>1105</v>
      </c>
      <c r="H428" t="s">
        <v>59</v>
      </c>
      <c r="I428">
        <v>93.79</v>
      </c>
      <c r="J428">
        <v>96.54</v>
      </c>
      <c r="K428">
        <v>94.32</v>
      </c>
      <c r="L428">
        <v>49.64</v>
      </c>
      <c r="M428">
        <v>51.81</v>
      </c>
      <c r="N428">
        <v>50.4</v>
      </c>
    </row>
    <row r="429" spans="3:14" x14ac:dyDescent="0.15">
      <c r="C429" s="123">
        <v>42705</v>
      </c>
      <c r="D429" t="s">
        <v>29</v>
      </c>
      <c r="E429" t="s">
        <v>30</v>
      </c>
      <c r="F429" t="s">
        <v>31</v>
      </c>
      <c r="G429" t="s">
        <v>1105</v>
      </c>
      <c r="H429" t="s">
        <v>60</v>
      </c>
      <c r="I429">
        <v>92.08</v>
      </c>
      <c r="J429">
        <v>94.83</v>
      </c>
      <c r="K429">
        <v>92.61</v>
      </c>
      <c r="L429">
        <v>47.93</v>
      </c>
      <c r="M429">
        <v>50.1</v>
      </c>
      <c r="N429">
        <v>48.69</v>
      </c>
    </row>
    <row r="430" spans="3:14" x14ac:dyDescent="0.15">
      <c r="C430" s="123">
        <v>42705</v>
      </c>
      <c r="D430" t="s">
        <v>29</v>
      </c>
      <c r="E430" t="s">
        <v>30</v>
      </c>
      <c r="F430" t="s">
        <v>31</v>
      </c>
      <c r="G430" t="s">
        <v>1105</v>
      </c>
      <c r="H430" t="s">
        <v>648</v>
      </c>
      <c r="I430">
        <v>90.96</v>
      </c>
      <c r="J430">
        <v>93.71</v>
      </c>
      <c r="K430">
        <v>91.49</v>
      </c>
      <c r="L430">
        <v>46.8</v>
      </c>
      <c r="M430">
        <v>48.97</v>
      </c>
      <c r="N430">
        <v>47.56</v>
      </c>
    </row>
    <row r="431" spans="3:14" x14ac:dyDescent="0.15">
      <c r="C431" s="123">
        <v>42736</v>
      </c>
      <c r="D431" t="s">
        <v>29</v>
      </c>
      <c r="E431" t="s">
        <v>30</v>
      </c>
      <c r="F431" t="s">
        <v>31</v>
      </c>
      <c r="G431" t="s">
        <v>1105</v>
      </c>
      <c r="H431" t="s">
        <v>59</v>
      </c>
      <c r="I431">
        <v>93.76</v>
      </c>
      <c r="J431">
        <v>95.83</v>
      </c>
      <c r="K431">
        <v>94.62</v>
      </c>
      <c r="L431">
        <v>49.63</v>
      </c>
      <c r="M431">
        <v>51.07</v>
      </c>
      <c r="N431">
        <v>50.66</v>
      </c>
    </row>
    <row r="432" spans="3:14" x14ac:dyDescent="0.15">
      <c r="C432" s="123">
        <v>42736</v>
      </c>
      <c r="D432" t="s">
        <v>29</v>
      </c>
      <c r="E432" t="s">
        <v>30</v>
      </c>
      <c r="F432" t="s">
        <v>31</v>
      </c>
      <c r="G432" t="s">
        <v>1105</v>
      </c>
      <c r="H432" t="s">
        <v>60</v>
      </c>
      <c r="I432">
        <v>92.05</v>
      </c>
      <c r="J432">
        <v>94.12</v>
      </c>
      <c r="K432">
        <v>92.91</v>
      </c>
      <c r="L432">
        <v>47.92</v>
      </c>
      <c r="M432">
        <v>49.36</v>
      </c>
      <c r="N432">
        <v>48.95</v>
      </c>
    </row>
    <row r="433" spans="3:14" x14ac:dyDescent="0.15">
      <c r="C433" s="123">
        <v>42736</v>
      </c>
      <c r="D433" t="s">
        <v>29</v>
      </c>
      <c r="E433" t="s">
        <v>30</v>
      </c>
      <c r="F433" t="s">
        <v>31</v>
      </c>
      <c r="G433" t="s">
        <v>1105</v>
      </c>
      <c r="H433" t="s">
        <v>648</v>
      </c>
      <c r="I433">
        <v>90.93</v>
      </c>
      <c r="J433">
        <v>93</v>
      </c>
      <c r="K433">
        <v>91.79</v>
      </c>
      <c r="L433">
        <v>46.79</v>
      </c>
      <c r="M433">
        <v>48.23</v>
      </c>
      <c r="N433">
        <v>47.82</v>
      </c>
    </row>
    <row r="434" spans="3:14" x14ac:dyDescent="0.15">
      <c r="C434" s="123">
        <v>42401</v>
      </c>
      <c r="D434" t="s">
        <v>29</v>
      </c>
      <c r="E434" t="s">
        <v>33</v>
      </c>
      <c r="F434" t="s">
        <v>7</v>
      </c>
      <c r="G434" t="s">
        <v>123</v>
      </c>
      <c r="H434" t="s">
        <v>59</v>
      </c>
      <c r="I434">
        <v>85.91</v>
      </c>
      <c r="J434">
        <v>87.08</v>
      </c>
      <c r="K434">
        <v>86.63</v>
      </c>
      <c r="L434">
        <v>40.32</v>
      </c>
      <c r="M434">
        <v>41.43</v>
      </c>
      <c r="N434">
        <v>41.53</v>
      </c>
    </row>
    <row r="435" spans="3:14" x14ac:dyDescent="0.15">
      <c r="C435" s="123">
        <v>42401</v>
      </c>
      <c r="D435" t="s">
        <v>29</v>
      </c>
      <c r="E435" t="s">
        <v>33</v>
      </c>
      <c r="F435" t="s">
        <v>7</v>
      </c>
      <c r="G435" t="s">
        <v>123</v>
      </c>
      <c r="H435" t="s">
        <v>60</v>
      </c>
      <c r="I435">
        <v>84.2</v>
      </c>
      <c r="J435">
        <v>85.37</v>
      </c>
      <c r="K435">
        <v>84.92</v>
      </c>
      <c r="L435">
        <v>38.61</v>
      </c>
      <c r="M435">
        <v>39.72</v>
      </c>
      <c r="N435">
        <v>39.82</v>
      </c>
    </row>
    <row r="436" spans="3:14" x14ac:dyDescent="0.15">
      <c r="C436" s="123">
        <v>42401</v>
      </c>
      <c r="D436" t="s">
        <v>29</v>
      </c>
      <c r="E436" t="s">
        <v>33</v>
      </c>
      <c r="F436" t="s">
        <v>7</v>
      </c>
      <c r="G436" t="s">
        <v>123</v>
      </c>
      <c r="H436" t="s">
        <v>648</v>
      </c>
      <c r="I436">
        <v>83.08</v>
      </c>
      <c r="J436">
        <v>84.24</v>
      </c>
      <c r="K436">
        <v>83.79</v>
      </c>
      <c r="L436">
        <v>37.479999999999997</v>
      </c>
      <c r="M436">
        <v>38.590000000000003</v>
      </c>
      <c r="N436">
        <v>38.700000000000003</v>
      </c>
    </row>
    <row r="437" spans="3:14" x14ac:dyDescent="0.15">
      <c r="C437" s="123">
        <v>42430</v>
      </c>
      <c r="D437" t="s">
        <v>29</v>
      </c>
      <c r="E437" t="s">
        <v>33</v>
      </c>
      <c r="F437" t="s">
        <v>7</v>
      </c>
      <c r="G437" t="s">
        <v>123</v>
      </c>
      <c r="H437" t="s">
        <v>59</v>
      </c>
      <c r="I437">
        <v>86.43</v>
      </c>
      <c r="J437">
        <v>86.23</v>
      </c>
      <c r="K437">
        <v>86.94</v>
      </c>
      <c r="L437">
        <v>40.369999999999997</v>
      </c>
      <c r="M437">
        <v>40.64</v>
      </c>
      <c r="N437">
        <v>41.55</v>
      </c>
    </row>
    <row r="438" spans="3:14" x14ac:dyDescent="0.15">
      <c r="C438" s="123">
        <v>42430</v>
      </c>
      <c r="D438" t="s">
        <v>29</v>
      </c>
      <c r="E438" t="s">
        <v>33</v>
      </c>
      <c r="F438" t="s">
        <v>7</v>
      </c>
      <c r="G438" t="s">
        <v>123</v>
      </c>
      <c r="H438" t="s">
        <v>60</v>
      </c>
      <c r="I438">
        <v>84.72</v>
      </c>
      <c r="J438">
        <v>84.52</v>
      </c>
      <c r="K438">
        <v>85.22</v>
      </c>
      <c r="L438">
        <v>38.659999999999997</v>
      </c>
      <c r="M438">
        <v>38.93</v>
      </c>
      <c r="N438">
        <v>39.840000000000003</v>
      </c>
    </row>
    <row r="439" spans="3:14" x14ac:dyDescent="0.15">
      <c r="C439" s="123">
        <v>42430</v>
      </c>
      <c r="D439" t="s">
        <v>29</v>
      </c>
      <c r="E439" t="s">
        <v>33</v>
      </c>
      <c r="F439" t="s">
        <v>7</v>
      </c>
      <c r="G439" t="s">
        <v>123</v>
      </c>
      <c r="H439" t="s">
        <v>648</v>
      </c>
      <c r="I439">
        <v>83.6</v>
      </c>
      <c r="J439">
        <v>83.39</v>
      </c>
      <c r="K439">
        <v>84.1</v>
      </c>
      <c r="L439">
        <v>37.53</v>
      </c>
      <c r="M439">
        <v>37.799999999999997</v>
      </c>
      <c r="N439">
        <v>38.71</v>
      </c>
    </row>
    <row r="440" spans="3:14" x14ac:dyDescent="0.15">
      <c r="C440" s="123">
        <v>42461</v>
      </c>
      <c r="D440" t="s">
        <v>29</v>
      </c>
      <c r="E440" t="s">
        <v>33</v>
      </c>
      <c r="F440" t="s">
        <v>7</v>
      </c>
      <c r="G440" t="s">
        <v>123</v>
      </c>
      <c r="H440" t="s">
        <v>59</v>
      </c>
      <c r="I440">
        <v>86.78</v>
      </c>
      <c r="J440">
        <v>85.64</v>
      </c>
      <c r="K440">
        <v>87.01</v>
      </c>
      <c r="L440">
        <v>40.630000000000003</v>
      </c>
      <c r="M440">
        <v>40.21</v>
      </c>
      <c r="N440">
        <v>41.6</v>
      </c>
    </row>
    <row r="441" spans="3:14" x14ac:dyDescent="0.15">
      <c r="C441" s="123">
        <v>42461</v>
      </c>
      <c r="D441" t="s">
        <v>29</v>
      </c>
      <c r="E441" t="s">
        <v>33</v>
      </c>
      <c r="F441" t="s">
        <v>7</v>
      </c>
      <c r="G441" t="s">
        <v>123</v>
      </c>
      <c r="H441" t="s">
        <v>60</v>
      </c>
      <c r="I441">
        <v>85.07</v>
      </c>
      <c r="J441">
        <v>83.93</v>
      </c>
      <c r="K441">
        <v>85.3</v>
      </c>
      <c r="L441">
        <v>38.92</v>
      </c>
      <c r="M441">
        <v>38.5</v>
      </c>
      <c r="N441">
        <v>39.89</v>
      </c>
    </row>
    <row r="442" spans="3:14" x14ac:dyDescent="0.15">
      <c r="C442" s="123">
        <v>42461</v>
      </c>
      <c r="D442" t="s">
        <v>29</v>
      </c>
      <c r="E442" t="s">
        <v>33</v>
      </c>
      <c r="F442" t="s">
        <v>7</v>
      </c>
      <c r="G442" t="s">
        <v>123</v>
      </c>
      <c r="H442" t="s">
        <v>648</v>
      </c>
      <c r="I442">
        <v>83.95</v>
      </c>
      <c r="J442">
        <v>82.81</v>
      </c>
      <c r="K442">
        <v>84.17</v>
      </c>
      <c r="L442">
        <v>37.79</v>
      </c>
      <c r="M442">
        <v>37.380000000000003</v>
      </c>
      <c r="N442">
        <v>38.76</v>
      </c>
    </row>
    <row r="443" spans="3:14" x14ac:dyDescent="0.15">
      <c r="C443" s="123">
        <v>42491</v>
      </c>
      <c r="D443" t="s">
        <v>29</v>
      </c>
      <c r="E443" t="s">
        <v>33</v>
      </c>
      <c r="F443" t="s">
        <v>7</v>
      </c>
      <c r="G443" t="s">
        <v>123</v>
      </c>
      <c r="H443" t="s">
        <v>59</v>
      </c>
      <c r="I443">
        <v>87.05</v>
      </c>
      <c r="J443">
        <v>85.4</v>
      </c>
      <c r="K443">
        <v>87.04</v>
      </c>
      <c r="L443">
        <v>40.92</v>
      </c>
      <c r="M443">
        <v>40.159999999999997</v>
      </c>
      <c r="N443">
        <v>41.67</v>
      </c>
    </row>
    <row r="444" spans="3:14" x14ac:dyDescent="0.15">
      <c r="C444" s="123">
        <v>42491</v>
      </c>
      <c r="D444" t="s">
        <v>29</v>
      </c>
      <c r="E444" t="s">
        <v>33</v>
      </c>
      <c r="F444" t="s">
        <v>7</v>
      </c>
      <c r="G444" t="s">
        <v>123</v>
      </c>
      <c r="H444" t="s">
        <v>60</v>
      </c>
      <c r="I444">
        <v>85.33</v>
      </c>
      <c r="J444">
        <v>83.69</v>
      </c>
      <c r="K444">
        <v>85.33</v>
      </c>
      <c r="L444">
        <v>39.21</v>
      </c>
      <c r="M444">
        <v>38.450000000000003</v>
      </c>
      <c r="N444">
        <v>39.96</v>
      </c>
    </row>
    <row r="445" spans="3:14" x14ac:dyDescent="0.15">
      <c r="C445" s="123">
        <v>42491</v>
      </c>
      <c r="D445" t="s">
        <v>29</v>
      </c>
      <c r="E445" t="s">
        <v>33</v>
      </c>
      <c r="F445" t="s">
        <v>7</v>
      </c>
      <c r="G445" t="s">
        <v>123</v>
      </c>
      <c r="H445" t="s">
        <v>648</v>
      </c>
      <c r="I445">
        <v>84.21</v>
      </c>
      <c r="J445">
        <v>82.56</v>
      </c>
      <c r="K445">
        <v>84.21</v>
      </c>
      <c r="L445">
        <v>38.08</v>
      </c>
      <c r="M445">
        <v>37.32</v>
      </c>
      <c r="N445">
        <v>38.83</v>
      </c>
    </row>
    <row r="446" spans="3:14" x14ac:dyDescent="0.15">
      <c r="C446" s="123">
        <v>42522</v>
      </c>
      <c r="D446" t="s">
        <v>29</v>
      </c>
      <c r="E446" t="s">
        <v>33</v>
      </c>
      <c r="F446" t="s">
        <v>7</v>
      </c>
      <c r="G446" t="s">
        <v>123</v>
      </c>
      <c r="H446" t="s">
        <v>59</v>
      </c>
      <c r="I446">
        <v>87.24</v>
      </c>
      <c r="J446">
        <v>85.42</v>
      </c>
      <c r="K446">
        <v>87.08</v>
      </c>
      <c r="L446">
        <v>41.2</v>
      </c>
      <c r="M446">
        <v>40.46</v>
      </c>
      <c r="N446">
        <v>41.75</v>
      </c>
    </row>
    <row r="447" spans="3:14" x14ac:dyDescent="0.15">
      <c r="C447" s="123">
        <v>42522</v>
      </c>
      <c r="D447" t="s">
        <v>29</v>
      </c>
      <c r="E447" t="s">
        <v>33</v>
      </c>
      <c r="F447" t="s">
        <v>7</v>
      </c>
      <c r="G447" t="s">
        <v>123</v>
      </c>
      <c r="H447" t="s">
        <v>60</v>
      </c>
      <c r="I447">
        <v>85.52</v>
      </c>
      <c r="J447">
        <v>83.71</v>
      </c>
      <c r="K447">
        <v>85.37</v>
      </c>
      <c r="L447">
        <v>39.49</v>
      </c>
      <c r="M447">
        <v>38.75</v>
      </c>
      <c r="N447">
        <v>40.04</v>
      </c>
    </row>
    <row r="448" spans="3:14" x14ac:dyDescent="0.15">
      <c r="C448" s="123">
        <v>42522</v>
      </c>
      <c r="D448" t="s">
        <v>29</v>
      </c>
      <c r="E448" t="s">
        <v>33</v>
      </c>
      <c r="F448" t="s">
        <v>7</v>
      </c>
      <c r="G448" t="s">
        <v>123</v>
      </c>
      <c r="H448" t="s">
        <v>648</v>
      </c>
      <c r="I448">
        <v>84.4</v>
      </c>
      <c r="J448">
        <v>82.59</v>
      </c>
      <c r="K448">
        <v>84.25</v>
      </c>
      <c r="L448">
        <v>38.36</v>
      </c>
      <c r="M448">
        <v>37.630000000000003</v>
      </c>
      <c r="N448">
        <v>38.909999999999997</v>
      </c>
    </row>
    <row r="449" spans="3:14" x14ac:dyDescent="0.15">
      <c r="C449" s="123">
        <v>42552</v>
      </c>
      <c r="D449" t="s">
        <v>29</v>
      </c>
      <c r="E449" t="s">
        <v>33</v>
      </c>
      <c r="F449" t="s">
        <v>7</v>
      </c>
      <c r="G449" t="s">
        <v>123</v>
      </c>
      <c r="H449" t="s">
        <v>59</v>
      </c>
      <c r="I449">
        <v>87.23</v>
      </c>
      <c r="J449">
        <v>85.66</v>
      </c>
      <c r="K449">
        <v>87.26</v>
      </c>
      <c r="L449">
        <v>41.37</v>
      </c>
      <c r="M449">
        <v>41.09</v>
      </c>
      <c r="N449">
        <v>42.09</v>
      </c>
    </row>
    <row r="450" spans="3:14" x14ac:dyDescent="0.15">
      <c r="C450" s="123">
        <v>42552</v>
      </c>
      <c r="D450" t="s">
        <v>29</v>
      </c>
      <c r="E450" t="s">
        <v>33</v>
      </c>
      <c r="F450" t="s">
        <v>7</v>
      </c>
      <c r="G450" t="s">
        <v>123</v>
      </c>
      <c r="H450" t="s">
        <v>60</v>
      </c>
      <c r="I450">
        <v>85.52</v>
      </c>
      <c r="J450">
        <v>83.95</v>
      </c>
      <c r="K450">
        <v>85.55</v>
      </c>
      <c r="L450">
        <v>39.659999999999997</v>
      </c>
      <c r="M450">
        <v>39.380000000000003</v>
      </c>
      <c r="N450">
        <v>40.380000000000003</v>
      </c>
    </row>
    <row r="451" spans="3:14" x14ac:dyDescent="0.15">
      <c r="C451" s="123">
        <v>42552</v>
      </c>
      <c r="D451" t="s">
        <v>29</v>
      </c>
      <c r="E451" t="s">
        <v>33</v>
      </c>
      <c r="F451" t="s">
        <v>7</v>
      </c>
      <c r="G451" t="s">
        <v>123</v>
      </c>
      <c r="H451" t="s">
        <v>648</v>
      </c>
      <c r="I451">
        <v>84.4</v>
      </c>
      <c r="J451">
        <v>82.82</v>
      </c>
      <c r="K451">
        <v>84.43</v>
      </c>
      <c r="L451">
        <v>38.53</v>
      </c>
      <c r="M451">
        <v>38.25</v>
      </c>
      <c r="N451">
        <v>39.25</v>
      </c>
    </row>
    <row r="452" spans="3:14" x14ac:dyDescent="0.15">
      <c r="C452" s="123">
        <v>42583</v>
      </c>
      <c r="D452" t="s">
        <v>29</v>
      </c>
      <c r="E452" t="s">
        <v>33</v>
      </c>
      <c r="F452" t="s">
        <v>7</v>
      </c>
      <c r="G452" t="s">
        <v>123</v>
      </c>
      <c r="H452" t="s">
        <v>59</v>
      </c>
      <c r="I452">
        <v>87.47</v>
      </c>
      <c r="J452">
        <v>86.74</v>
      </c>
      <c r="K452">
        <v>87.74</v>
      </c>
      <c r="L452">
        <v>42.05</v>
      </c>
      <c r="M452">
        <v>41.97</v>
      </c>
      <c r="N452">
        <v>42.8</v>
      </c>
    </row>
    <row r="453" spans="3:14" x14ac:dyDescent="0.15">
      <c r="C453" s="123">
        <v>42583</v>
      </c>
      <c r="D453" t="s">
        <v>29</v>
      </c>
      <c r="E453" t="s">
        <v>33</v>
      </c>
      <c r="F453" t="s">
        <v>7</v>
      </c>
      <c r="G453" t="s">
        <v>123</v>
      </c>
      <c r="H453" t="s">
        <v>60</v>
      </c>
      <c r="I453">
        <v>85.76</v>
      </c>
      <c r="J453">
        <v>85.03</v>
      </c>
      <c r="K453">
        <v>86.03</v>
      </c>
      <c r="L453">
        <v>40.340000000000003</v>
      </c>
      <c r="M453">
        <v>40.26</v>
      </c>
      <c r="N453">
        <v>41.09</v>
      </c>
    </row>
    <row r="454" spans="3:14" x14ac:dyDescent="0.15">
      <c r="C454" s="123">
        <v>42583</v>
      </c>
      <c r="D454" t="s">
        <v>29</v>
      </c>
      <c r="E454" t="s">
        <v>33</v>
      </c>
      <c r="F454" t="s">
        <v>7</v>
      </c>
      <c r="G454" t="s">
        <v>123</v>
      </c>
      <c r="H454" t="s">
        <v>648</v>
      </c>
      <c r="I454">
        <v>84.63</v>
      </c>
      <c r="J454">
        <v>83.9</v>
      </c>
      <c r="K454">
        <v>84.9</v>
      </c>
      <c r="L454">
        <v>39.21</v>
      </c>
      <c r="M454">
        <v>39.130000000000003</v>
      </c>
      <c r="N454">
        <v>39.96</v>
      </c>
    </row>
    <row r="455" spans="3:14" x14ac:dyDescent="0.15">
      <c r="C455" s="123">
        <v>42614</v>
      </c>
      <c r="D455" t="s">
        <v>29</v>
      </c>
      <c r="E455" t="s">
        <v>33</v>
      </c>
      <c r="F455" t="s">
        <v>7</v>
      </c>
      <c r="G455" t="s">
        <v>123</v>
      </c>
      <c r="H455" t="s">
        <v>59</v>
      </c>
      <c r="I455">
        <v>87.35</v>
      </c>
      <c r="J455">
        <v>87.95</v>
      </c>
      <c r="K455">
        <v>87.98</v>
      </c>
      <c r="L455">
        <v>42.18</v>
      </c>
      <c r="M455">
        <v>42.93</v>
      </c>
      <c r="N455">
        <v>43.23</v>
      </c>
    </row>
    <row r="456" spans="3:14" x14ac:dyDescent="0.15">
      <c r="C456" s="123">
        <v>42614</v>
      </c>
      <c r="D456" t="s">
        <v>29</v>
      </c>
      <c r="E456" t="s">
        <v>33</v>
      </c>
      <c r="F456" t="s">
        <v>7</v>
      </c>
      <c r="G456" t="s">
        <v>123</v>
      </c>
      <c r="H456" t="s">
        <v>60</v>
      </c>
      <c r="I456">
        <v>85.64</v>
      </c>
      <c r="J456">
        <v>86.24</v>
      </c>
      <c r="K456">
        <v>86.27</v>
      </c>
      <c r="L456">
        <v>40.47</v>
      </c>
      <c r="M456">
        <v>41.22</v>
      </c>
      <c r="N456">
        <v>41.52</v>
      </c>
    </row>
    <row r="457" spans="3:14" x14ac:dyDescent="0.15">
      <c r="C457" s="123">
        <v>42614</v>
      </c>
      <c r="D457" t="s">
        <v>29</v>
      </c>
      <c r="E457" t="s">
        <v>33</v>
      </c>
      <c r="F457" t="s">
        <v>7</v>
      </c>
      <c r="G457" t="s">
        <v>123</v>
      </c>
      <c r="H457" t="s">
        <v>648</v>
      </c>
      <c r="I457">
        <v>84.51</v>
      </c>
      <c r="J457">
        <v>85.11</v>
      </c>
      <c r="K457">
        <v>85.14</v>
      </c>
      <c r="L457">
        <v>39.340000000000003</v>
      </c>
      <c r="M457">
        <v>40.090000000000003</v>
      </c>
      <c r="N457">
        <v>40.39</v>
      </c>
    </row>
    <row r="458" spans="3:14" x14ac:dyDescent="0.15">
      <c r="C458" s="123">
        <v>42644</v>
      </c>
      <c r="D458" t="s">
        <v>29</v>
      </c>
      <c r="E458" t="s">
        <v>33</v>
      </c>
      <c r="F458" t="s">
        <v>7</v>
      </c>
      <c r="G458" t="s">
        <v>123</v>
      </c>
      <c r="H458" t="s">
        <v>59</v>
      </c>
      <c r="I458">
        <v>87.38</v>
      </c>
      <c r="J458">
        <v>88.69</v>
      </c>
      <c r="K458">
        <v>88.26</v>
      </c>
      <c r="L458">
        <v>42.38</v>
      </c>
      <c r="M458">
        <v>43.58</v>
      </c>
      <c r="N458">
        <v>43.71</v>
      </c>
    </row>
    <row r="459" spans="3:14" x14ac:dyDescent="0.15">
      <c r="C459" s="123">
        <v>42644</v>
      </c>
      <c r="D459" t="s">
        <v>29</v>
      </c>
      <c r="E459" t="s">
        <v>33</v>
      </c>
      <c r="F459" t="s">
        <v>7</v>
      </c>
      <c r="G459" t="s">
        <v>123</v>
      </c>
      <c r="H459" t="s">
        <v>60</v>
      </c>
      <c r="I459">
        <v>85.67</v>
      </c>
      <c r="J459">
        <v>86.97</v>
      </c>
      <c r="K459">
        <v>86.55</v>
      </c>
      <c r="L459">
        <v>40.67</v>
      </c>
      <c r="M459">
        <v>41.87</v>
      </c>
      <c r="N459">
        <v>42</v>
      </c>
    </row>
    <row r="460" spans="3:14" x14ac:dyDescent="0.15">
      <c r="C460" s="123">
        <v>42644</v>
      </c>
      <c r="D460" t="s">
        <v>29</v>
      </c>
      <c r="E460" t="s">
        <v>33</v>
      </c>
      <c r="F460" t="s">
        <v>7</v>
      </c>
      <c r="G460" t="s">
        <v>123</v>
      </c>
      <c r="H460" t="s">
        <v>648</v>
      </c>
      <c r="I460">
        <v>84.54</v>
      </c>
      <c r="J460">
        <v>85.85</v>
      </c>
      <c r="K460">
        <v>85.42</v>
      </c>
      <c r="L460">
        <v>39.54</v>
      </c>
      <c r="M460">
        <v>40.74</v>
      </c>
      <c r="N460">
        <v>40.880000000000003</v>
      </c>
    </row>
    <row r="461" spans="3:14" x14ac:dyDescent="0.15">
      <c r="C461" s="123">
        <v>42675</v>
      </c>
      <c r="D461" t="s">
        <v>29</v>
      </c>
      <c r="E461" t="s">
        <v>33</v>
      </c>
      <c r="F461" t="s">
        <v>7</v>
      </c>
      <c r="G461" t="s">
        <v>123</v>
      </c>
      <c r="H461" t="s">
        <v>59</v>
      </c>
      <c r="I461">
        <v>87.44</v>
      </c>
      <c r="J461">
        <v>89.04</v>
      </c>
      <c r="K461">
        <v>88.62</v>
      </c>
      <c r="L461">
        <v>42.54</v>
      </c>
      <c r="M461">
        <v>43.85</v>
      </c>
      <c r="N461">
        <v>44.23</v>
      </c>
    </row>
    <row r="462" spans="3:14" x14ac:dyDescent="0.15">
      <c r="C462" s="123">
        <v>42675</v>
      </c>
      <c r="D462" t="s">
        <v>29</v>
      </c>
      <c r="E462" t="s">
        <v>33</v>
      </c>
      <c r="F462" t="s">
        <v>7</v>
      </c>
      <c r="G462" t="s">
        <v>123</v>
      </c>
      <c r="H462" t="s">
        <v>60</v>
      </c>
      <c r="I462">
        <v>85.73</v>
      </c>
      <c r="J462">
        <v>87.33</v>
      </c>
      <c r="K462">
        <v>86.91</v>
      </c>
      <c r="L462">
        <v>40.83</v>
      </c>
      <c r="M462">
        <v>42.14</v>
      </c>
      <c r="N462">
        <v>42.52</v>
      </c>
    </row>
    <row r="463" spans="3:14" x14ac:dyDescent="0.15">
      <c r="C463" s="123">
        <v>42675</v>
      </c>
      <c r="D463" t="s">
        <v>29</v>
      </c>
      <c r="E463" t="s">
        <v>33</v>
      </c>
      <c r="F463" t="s">
        <v>7</v>
      </c>
      <c r="G463" t="s">
        <v>123</v>
      </c>
      <c r="H463" t="s">
        <v>648</v>
      </c>
      <c r="I463">
        <v>84.6</v>
      </c>
      <c r="J463">
        <v>86.2</v>
      </c>
      <c r="K463">
        <v>85.79</v>
      </c>
      <c r="L463">
        <v>39.700000000000003</v>
      </c>
      <c r="M463">
        <v>41.01</v>
      </c>
      <c r="N463">
        <v>41.39</v>
      </c>
    </row>
    <row r="464" spans="3:14" x14ac:dyDescent="0.15">
      <c r="C464" s="123">
        <v>42705</v>
      </c>
      <c r="D464" t="s">
        <v>29</v>
      </c>
      <c r="E464" t="s">
        <v>33</v>
      </c>
      <c r="F464" t="s">
        <v>7</v>
      </c>
      <c r="G464" t="s">
        <v>123</v>
      </c>
      <c r="H464" t="s">
        <v>59</v>
      </c>
      <c r="I464">
        <v>87.34</v>
      </c>
      <c r="J464">
        <v>88.99</v>
      </c>
      <c r="K464">
        <v>88.84</v>
      </c>
      <c r="L464">
        <v>42.69</v>
      </c>
      <c r="M464">
        <v>43.74</v>
      </c>
      <c r="N464">
        <v>44.63</v>
      </c>
    </row>
    <row r="465" spans="3:14" x14ac:dyDescent="0.15">
      <c r="C465" s="123">
        <v>42705</v>
      </c>
      <c r="D465" t="s">
        <v>29</v>
      </c>
      <c r="E465" t="s">
        <v>33</v>
      </c>
      <c r="F465" t="s">
        <v>7</v>
      </c>
      <c r="G465" t="s">
        <v>123</v>
      </c>
      <c r="H465" t="s">
        <v>60</v>
      </c>
      <c r="I465">
        <v>85.63</v>
      </c>
      <c r="J465">
        <v>87.28</v>
      </c>
      <c r="K465">
        <v>87.13</v>
      </c>
      <c r="L465">
        <v>40.98</v>
      </c>
      <c r="M465">
        <v>42.03</v>
      </c>
      <c r="N465">
        <v>42.92</v>
      </c>
    </row>
    <row r="466" spans="3:14" x14ac:dyDescent="0.15">
      <c r="C466" s="123">
        <v>42705</v>
      </c>
      <c r="D466" t="s">
        <v>29</v>
      </c>
      <c r="E466" t="s">
        <v>33</v>
      </c>
      <c r="F466" t="s">
        <v>7</v>
      </c>
      <c r="G466" t="s">
        <v>123</v>
      </c>
      <c r="H466" t="s">
        <v>648</v>
      </c>
      <c r="I466">
        <v>84.51</v>
      </c>
      <c r="J466">
        <v>86.15</v>
      </c>
      <c r="K466">
        <v>86</v>
      </c>
      <c r="L466">
        <v>39.85</v>
      </c>
      <c r="M466">
        <v>40.9</v>
      </c>
      <c r="N466">
        <v>41.79</v>
      </c>
    </row>
    <row r="467" spans="3:14" x14ac:dyDescent="0.15">
      <c r="C467" s="123">
        <v>42736</v>
      </c>
      <c r="D467" t="s">
        <v>29</v>
      </c>
      <c r="E467" t="s">
        <v>33</v>
      </c>
      <c r="F467" t="s">
        <v>7</v>
      </c>
      <c r="G467" t="s">
        <v>123</v>
      </c>
      <c r="H467" t="s">
        <v>59</v>
      </c>
      <c r="I467">
        <v>87.21</v>
      </c>
      <c r="J467">
        <v>88.87</v>
      </c>
      <c r="K467">
        <v>89.08</v>
      </c>
      <c r="L467">
        <v>42.76</v>
      </c>
      <c r="M467">
        <v>43.58</v>
      </c>
      <c r="N467">
        <v>44.96</v>
      </c>
    </row>
    <row r="468" spans="3:14" x14ac:dyDescent="0.15">
      <c r="C468" s="123">
        <v>42736</v>
      </c>
      <c r="D468" t="s">
        <v>29</v>
      </c>
      <c r="E468" t="s">
        <v>33</v>
      </c>
      <c r="F468" t="s">
        <v>7</v>
      </c>
      <c r="G468" t="s">
        <v>123</v>
      </c>
      <c r="H468" t="s">
        <v>60</v>
      </c>
      <c r="I468">
        <v>85.49</v>
      </c>
      <c r="J468">
        <v>87.16</v>
      </c>
      <c r="K468">
        <v>87.37</v>
      </c>
      <c r="L468">
        <v>41.05</v>
      </c>
      <c r="M468">
        <v>41.87</v>
      </c>
      <c r="N468">
        <v>43.25</v>
      </c>
    </row>
    <row r="469" spans="3:14" x14ac:dyDescent="0.15">
      <c r="C469" s="123">
        <v>42736</v>
      </c>
      <c r="D469" t="s">
        <v>29</v>
      </c>
      <c r="E469" t="s">
        <v>33</v>
      </c>
      <c r="F469" t="s">
        <v>7</v>
      </c>
      <c r="G469" t="s">
        <v>123</v>
      </c>
      <c r="H469" t="s">
        <v>648</v>
      </c>
      <c r="I469">
        <v>84.37</v>
      </c>
      <c r="J469">
        <v>86.04</v>
      </c>
      <c r="K469">
        <v>86.25</v>
      </c>
      <c r="L469">
        <v>39.92</v>
      </c>
      <c r="M469">
        <v>40.74</v>
      </c>
      <c r="N469">
        <v>42.13</v>
      </c>
    </row>
    <row r="470" spans="3:14" x14ac:dyDescent="0.15">
      <c r="C470" s="123">
        <v>42401</v>
      </c>
      <c r="D470" t="s">
        <v>29</v>
      </c>
      <c r="E470" t="s">
        <v>33</v>
      </c>
      <c r="F470" t="s">
        <v>8</v>
      </c>
      <c r="G470" t="s">
        <v>120</v>
      </c>
      <c r="H470" t="s">
        <v>59</v>
      </c>
      <c r="I470">
        <v>88.1</v>
      </c>
      <c r="J470">
        <v>88.51</v>
      </c>
      <c r="K470">
        <v>89.14</v>
      </c>
      <c r="L470">
        <v>41.35</v>
      </c>
      <c r="M470">
        <v>41.74</v>
      </c>
      <c r="N470">
        <v>42.58</v>
      </c>
    </row>
    <row r="471" spans="3:14" x14ac:dyDescent="0.15">
      <c r="C471" s="123">
        <v>42401</v>
      </c>
      <c r="D471" t="s">
        <v>29</v>
      </c>
      <c r="E471" t="s">
        <v>33</v>
      </c>
      <c r="F471" t="s">
        <v>8</v>
      </c>
      <c r="G471" t="s">
        <v>120</v>
      </c>
      <c r="H471" t="s">
        <v>60</v>
      </c>
      <c r="I471">
        <v>86.39</v>
      </c>
      <c r="J471">
        <v>86.8</v>
      </c>
      <c r="K471">
        <v>87.43</v>
      </c>
      <c r="L471">
        <v>39.64</v>
      </c>
      <c r="M471">
        <v>40.03</v>
      </c>
      <c r="N471">
        <v>40.869999999999997</v>
      </c>
    </row>
    <row r="472" spans="3:14" x14ac:dyDescent="0.15">
      <c r="C472" s="123">
        <v>42401</v>
      </c>
      <c r="D472" t="s">
        <v>29</v>
      </c>
      <c r="E472" t="s">
        <v>33</v>
      </c>
      <c r="F472" t="s">
        <v>8</v>
      </c>
      <c r="G472" t="s">
        <v>120</v>
      </c>
      <c r="H472" t="s">
        <v>648</v>
      </c>
      <c r="I472">
        <v>85.27</v>
      </c>
      <c r="J472">
        <v>85.67</v>
      </c>
      <c r="K472">
        <v>86.31</v>
      </c>
      <c r="L472">
        <v>38.51</v>
      </c>
      <c r="M472">
        <v>38.9</v>
      </c>
      <c r="N472">
        <v>39.74</v>
      </c>
    </row>
    <row r="473" spans="3:14" x14ac:dyDescent="0.15">
      <c r="C473" s="123">
        <v>42430</v>
      </c>
      <c r="D473" t="s">
        <v>29</v>
      </c>
      <c r="E473" t="s">
        <v>33</v>
      </c>
      <c r="F473" t="s">
        <v>8</v>
      </c>
      <c r="G473" t="s">
        <v>120</v>
      </c>
      <c r="H473" t="s">
        <v>59</v>
      </c>
      <c r="I473">
        <v>88.75</v>
      </c>
      <c r="J473">
        <v>88.21</v>
      </c>
      <c r="K473">
        <v>89.54</v>
      </c>
      <c r="L473">
        <v>41.42</v>
      </c>
      <c r="M473">
        <v>41.4</v>
      </c>
      <c r="N473">
        <v>42.62</v>
      </c>
    </row>
    <row r="474" spans="3:14" x14ac:dyDescent="0.15">
      <c r="C474" s="123">
        <v>42430</v>
      </c>
      <c r="D474" t="s">
        <v>29</v>
      </c>
      <c r="E474" t="s">
        <v>33</v>
      </c>
      <c r="F474" t="s">
        <v>8</v>
      </c>
      <c r="G474" t="s">
        <v>120</v>
      </c>
      <c r="H474" t="s">
        <v>60</v>
      </c>
      <c r="I474">
        <v>87.04</v>
      </c>
      <c r="J474">
        <v>86.49</v>
      </c>
      <c r="K474">
        <v>87.83</v>
      </c>
      <c r="L474">
        <v>39.71</v>
      </c>
      <c r="M474">
        <v>39.69</v>
      </c>
      <c r="N474">
        <v>40.909999999999997</v>
      </c>
    </row>
    <row r="475" spans="3:14" x14ac:dyDescent="0.15">
      <c r="C475" s="123">
        <v>42430</v>
      </c>
      <c r="D475" t="s">
        <v>29</v>
      </c>
      <c r="E475" t="s">
        <v>33</v>
      </c>
      <c r="F475" t="s">
        <v>8</v>
      </c>
      <c r="G475" t="s">
        <v>120</v>
      </c>
      <c r="H475" t="s">
        <v>648</v>
      </c>
      <c r="I475">
        <v>85.92</v>
      </c>
      <c r="J475">
        <v>85.37</v>
      </c>
      <c r="K475">
        <v>86.7</v>
      </c>
      <c r="L475">
        <v>38.58</v>
      </c>
      <c r="M475">
        <v>38.56</v>
      </c>
      <c r="N475">
        <v>39.78</v>
      </c>
    </row>
    <row r="476" spans="3:14" x14ac:dyDescent="0.15">
      <c r="C476" s="123">
        <v>42461</v>
      </c>
      <c r="D476" t="s">
        <v>29</v>
      </c>
      <c r="E476" t="s">
        <v>33</v>
      </c>
      <c r="F476" t="s">
        <v>8</v>
      </c>
      <c r="G476" t="s">
        <v>120</v>
      </c>
      <c r="H476" t="s">
        <v>59</v>
      </c>
      <c r="I476">
        <v>89.26</v>
      </c>
      <c r="J476">
        <v>88.41</v>
      </c>
      <c r="K476">
        <v>89.67</v>
      </c>
      <c r="L476">
        <v>41.81</v>
      </c>
      <c r="M476">
        <v>41.62</v>
      </c>
      <c r="N476">
        <v>42.7</v>
      </c>
    </row>
    <row r="477" spans="3:14" x14ac:dyDescent="0.15">
      <c r="C477" s="123">
        <v>42461</v>
      </c>
      <c r="D477" t="s">
        <v>29</v>
      </c>
      <c r="E477" t="s">
        <v>33</v>
      </c>
      <c r="F477" t="s">
        <v>8</v>
      </c>
      <c r="G477" t="s">
        <v>120</v>
      </c>
      <c r="H477" t="s">
        <v>60</v>
      </c>
      <c r="I477">
        <v>87.55</v>
      </c>
      <c r="J477">
        <v>86.7</v>
      </c>
      <c r="K477">
        <v>87.96</v>
      </c>
      <c r="L477">
        <v>40.1</v>
      </c>
      <c r="M477">
        <v>39.909999999999997</v>
      </c>
      <c r="N477">
        <v>40.99</v>
      </c>
    </row>
    <row r="478" spans="3:14" x14ac:dyDescent="0.15">
      <c r="C478" s="123">
        <v>42461</v>
      </c>
      <c r="D478" t="s">
        <v>29</v>
      </c>
      <c r="E478" t="s">
        <v>33</v>
      </c>
      <c r="F478" t="s">
        <v>8</v>
      </c>
      <c r="G478" t="s">
        <v>120</v>
      </c>
      <c r="H478" t="s">
        <v>648</v>
      </c>
      <c r="I478">
        <v>86.43</v>
      </c>
      <c r="J478">
        <v>85.58</v>
      </c>
      <c r="K478">
        <v>86.84</v>
      </c>
      <c r="L478">
        <v>38.97</v>
      </c>
      <c r="M478">
        <v>38.78</v>
      </c>
      <c r="N478">
        <v>39.86</v>
      </c>
    </row>
    <row r="479" spans="3:14" x14ac:dyDescent="0.15">
      <c r="C479" s="123">
        <v>42491</v>
      </c>
      <c r="D479" t="s">
        <v>29</v>
      </c>
      <c r="E479" t="s">
        <v>33</v>
      </c>
      <c r="F479" t="s">
        <v>8</v>
      </c>
      <c r="G479" t="s">
        <v>120</v>
      </c>
      <c r="H479" t="s">
        <v>59</v>
      </c>
      <c r="I479">
        <v>89.67</v>
      </c>
      <c r="J479">
        <v>89.1</v>
      </c>
      <c r="K479">
        <v>89.74</v>
      </c>
      <c r="L479">
        <v>42.23</v>
      </c>
      <c r="M479">
        <v>42.37</v>
      </c>
      <c r="N479">
        <v>42.83</v>
      </c>
    </row>
    <row r="480" spans="3:14" x14ac:dyDescent="0.15">
      <c r="C480" s="123">
        <v>42491</v>
      </c>
      <c r="D480" t="s">
        <v>29</v>
      </c>
      <c r="E480" t="s">
        <v>33</v>
      </c>
      <c r="F480" t="s">
        <v>8</v>
      </c>
      <c r="G480" t="s">
        <v>120</v>
      </c>
      <c r="H480" t="s">
        <v>60</v>
      </c>
      <c r="I480">
        <v>87.95</v>
      </c>
      <c r="J480">
        <v>87.39</v>
      </c>
      <c r="K480">
        <v>88.02</v>
      </c>
      <c r="L480">
        <v>40.520000000000003</v>
      </c>
      <c r="M480">
        <v>40.659999999999997</v>
      </c>
      <c r="N480">
        <v>41.12</v>
      </c>
    </row>
    <row r="481" spans="3:14" x14ac:dyDescent="0.15">
      <c r="C481" s="123">
        <v>42491</v>
      </c>
      <c r="D481" t="s">
        <v>29</v>
      </c>
      <c r="E481" t="s">
        <v>33</v>
      </c>
      <c r="F481" t="s">
        <v>8</v>
      </c>
      <c r="G481" t="s">
        <v>120</v>
      </c>
      <c r="H481" t="s">
        <v>648</v>
      </c>
      <c r="I481">
        <v>86.83</v>
      </c>
      <c r="J481">
        <v>86.27</v>
      </c>
      <c r="K481">
        <v>86.9</v>
      </c>
      <c r="L481">
        <v>39.39</v>
      </c>
      <c r="M481">
        <v>39.53</v>
      </c>
      <c r="N481">
        <v>39.99</v>
      </c>
    </row>
    <row r="482" spans="3:14" x14ac:dyDescent="0.15">
      <c r="C482" s="123">
        <v>42522</v>
      </c>
      <c r="D482" t="s">
        <v>29</v>
      </c>
      <c r="E482" t="s">
        <v>33</v>
      </c>
      <c r="F482" t="s">
        <v>8</v>
      </c>
      <c r="G482" t="s">
        <v>120</v>
      </c>
      <c r="H482" t="s">
        <v>59</v>
      </c>
      <c r="I482">
        <v>89.93</v>
      </c>
      <c r="J482">
        <v>90</v>
      </c>
      <c r="K482">
        <v>89.81</v>
      </c>
      <c r="L482">
        <v>42.6</v>
      </c>
      <c r="M482">
        <v>43.42</v>
      </c>
      <c r="N482">
        <v>42.95</v>
      </c>
    </row>
    <row r="483" spans="3:14" x14ac:dyDescent="0.15">
      <c r="C483" s="123">
        <v>42522</v>
      </c>
      <c r="D483" t="s">
        <v>29</v>
      </c>
      <c r="E483" t="s">
        <v>33</v>
      </c>
      <c r="F483" t="s">
        <v>8</v>
      </c>
      <c r="G483" t="s">
        <v>120</v>
      </c>
      <c r="H483" t="s">
        <v>60</v>
      </c>
      <c r="I483">
        <v>88.22</v>
      </c>
      <c r="J483">
        <v>88.29</v>
      </c>
      <c r="K483">
        <v>88.1</v>
      </c>
      <c r="L483">
        <v>40.89</v>
      </c>
      <c r="M483">
        <v>41.71</v>
      </c>
      <c r="N483">
        <v>41.24</v>
      </c>
    </row>
    <row r="484" spans="3:14" x14ac:dyDescent="0.15">
      <c r="C484" s="123">
        <v>42522</v>
      </c>
      <c r="D484" t="s">
        <v>29</v>
      </c>
      <c r="E484" t="s">
        <v>33</v>
      </c>
      <c r="F484" t="s">
        <v>8</v>
      </c>
      <c r="G484" t="s">
        <v>120</v>
      </c>
      <c r="H484" t="s">
        <v>648</v>
      </c>
      <c r="I484">
        <v>87.09</v>
      </c>
      <c r="J484">
        <v>87.17</v>
      </c>
      <c r="K484">
        <v>86.98</v>
      </c>
      <c r="L484">
        <v>39.76</v>
      </c>
      <c r="M484">
        <v>40.58</v>
      </c>
      <c r="N484">
        <v>40.11</v>
      </c>
    </row>
    <row r="485" spans="3:14" x14ac:dyDescent="0.15">
      <c r="C485" s="123">
        <v>42552</v>
      </c>
      <c r="D485" t="s">
        <v>29</v>
      </c>
      <c r="E485" t="s">
        <v>33</v>
      </c>
      <c r="F485" t="s">
        <v>8</v>
      </c>
      <c r="G485" t="s">
        <v>120</v>
      </c>
      <c r="H485" t="s">
        <v>59</v>
      </c>
      <c r="I485">
        <v>89.97</v>
      </c>
      <c r="J485">
        <v>89.73</v>
      </c>
      <c r="K485">
        <v>90.07</v>
      </c>
      <c r="L485">
        <v>42.76</v>
      </c>
      <c r="M485">
        <v>43.63</v>
      </c>
      <c r="N485">
        <v>43.32</v>
      </c>
    </row>
    <row r="486" spans="3:14" x14ac:dyDescent="0.15">
      <c r="C486" s="123">
        <v>42552</v>
      </c>
      <c r="D486" t="s">
        <v>29</v>
      </c>
      <c r="E486" t="s">
        <v>33</v>
      </c>
      <c r="F486" t="s">
        <v>8</v>
      </c>
      <c r="G486" t="s">
        <v>120</v>
      </c>
      <c r="H486" t="s">
        <v>60</v>
      </c>
      <c r="I486">
        <v>88.26</v>
      </c>
      <c r="J486">
        <v>88.02</v>
      </c>
      <c r="K486">
        <v>88.36</v>
      </c>
      <c r="L486">
        <v>41.05</v>
      </c>
      <c r="M486">
        <v>41.92</v>
      </c>
      <c r="N486">
        <v>41.61</v>
      </c>
    </row>
    <row r="487" spans="3:14" x14ac:dyDescent="0.15">
      <c r="C487" s="123">
        <v>42552</v>
      </c>
      <c r="D487" t="s">
        <v>29</v>
      </c>
      <c r="E487" t="s">
        <v>33</v>
      </c>
      <c r="F487" t="s">
        <v>8</v>
      </c>
      <c r="G487" t="s">
        <v>120</v>
      </c>
      <c r="H487" t="s">
        <v>648</v>
      </c>
      <c r="I487">
        <v>87.13</v>
      </c>
      <c r="J487">
        <v>86.89</v>
      </c>
      <c r="K487">
        <v>87.23</v>
      </c>
      <c r="L487">
        <v>39.92</v>
      </c>
      <c r="M487">
        <v>40.79</v>
      </c>
      <c r="N487">
        <v>40.479999999999997</v>
      </c>
    </row>
    <row r="488" spans="3:14" x14ac:dyDescent="0.15">
      <c r="C488" s="123">
        <v>42583</v>
      </c>
      <c r="D488" t="s">
        <v>29</v>
      </c>
      <c r="E488" t="s">
        <v>33</v>
      </c>
      <c r="F488" t="s">
        <v>8</v>
      </c>
      <c r="G488" t="s">
        <v>120</v>
      </c>
      <c r="H488" t="s">
        <v>59</v>
      </c>
      <c r="I488">
        <v>90.18</v>
      </c>
      <c r="J488">
        <v>90.53</v>
      </c>
      <c r="K488">
        <v>90.55</v>
      </c>
      <c r="L488">
        <v>43.28</v>
      </c>
      <c r="M488">
        <v>43.96</v>
      </c>
      <c r="N488">
        <v>43.95</v>
      </c>
    </row>
    <row r="489" spans="3:14" x14ac:dyDescent="0.15">
      <c r="C489" s="123">
        <v>42583</v>
      </c>
      <c r="D489" t="s">
        <v>29</v>
      </c>
      <c r="E489" t="s">
        <v>33</v>
      </c>
      <c r="F489" t="s">
        <v>8</v>
      </c>
      <c r="G489" t="s">
        <v>120</v>
      </c>
      <c r="H489" t="s">
        <v>60</v>
      </c>
      <c r="I489">
        <v>88.46</v>
      </c>
      <c r="J489">
        <v>88.82</v>
      </c>
      <c r="K489">
        <v>88.84</v>
      </c>
      <c r="L489">
        <v>41.57</v>
      </c>
      <c r="M489">
        <v>42.25</v>
      </c>
      <c r="N489">
        <v>42.24</v>
      </c>
    </row>
    <row r="490" spans="3:14" x14ac:dyDescent="0.15">
      <c r="C490" s="123">
        <v>42583</v>
      </c>
      <c r="D490" t="s">
        <v>29</v>
      </c>
      <c r="E490" t="s">
        <v>33</v>
      </c>
      <c r="F490" t="s">
        <v>8</v>
      </c>
      <c r="G490" t="s">
        <v>120</v>
      </c>
      <c r="H490" t="s">
        <v>648</v>
      </c>
      <c r="I490">
        <v>87.34</v>
      </c>
      <c r="J490">
        <v>87.7</v>
      </c>
      <c r="K490">
        <v>87.71</v>
      </c>
      <c r="L490">
        <v>40.450000000000003</v>
      </c>
      <c r="M490">
        <v>41.13</v>
      </c>
      <c r="N490">
        <v>41.11</v>
      </c>
    </row>
    <row r="491" spans="3:14" x14ac:dyDescent="0.15">
      <c r="C491" s="123">
        <v>42614</v>
      </c>
      <c r="D491" t="s">
        <v>29</v>
      </c>
      <c r="E491" t="s">
        <v>33</v>
      </c>
      <c r="F491" t="s">
        <v>8</v>
      </c>
      <c r="G491" t="s">
        <v>120</v>
      </c>
      <c r="H491" t="s">
        <v>59</v>
      </c>
      <c r="I491">
        <v>90.06</v>
      </c>
      <c r="J491">
        <v>91.31</v>
      </c>
      <c r="K491">
        <v>90.81</v>
      </c>
      <c r="L491">
        <v>43.35</v>
      </c>
      <c r="M491">
        <v>44.41</v>
      </c>
      <c r="N491">
        <v>44.35</v>
      </c>
    </row>
    <row r="492" spans="3:14" x14ac:dyDescent="0.15">
      <c r="C492" s="123">
        <v>42614</v>
      </c>
      <c r="D492" t="s">
        <v>29</v>
      </c>
      <c r="E492" t="s">
        <v>33</v>
      </c>
      <c r="F492" t="s">
        <v>8</v>
      </c>
      <c r="G492" t="s">
        <v>120</v>
      </c>
      <c r="H492" t="s">
        <v>60</v>
      </c>
      <c r="I492">
        <v>88.35</v>
      </c>
      <c r="J492">
        <v>89.6</v>
      </c>
      <c r="K492">
        <v>89.09</v>
      </c>
      <c r="L492">
        <v>41.64</v>
      </c>
      <c r="M492">
        <v>42.7</v>
      </c>
      <c r="N492">
        <v>42.64</v>
      </c>
    </row>
    <row r="493" spans="3:14" x14ac:dyDescent="0.15">
      <c r="C493" s="123">
        <v>42614</v>
      </c>
      <c r="D493" t="s">
        <v>29</v>
      </c>
      <c r="E493" t="s">
        <v>33</v>
      </c>
      <c r="F493" t="s">
        <v>8</v>
      </c>
      <c r="G493" t="s">
        <v>120</v>
      </c>
      <c r="H493" t="s">
        <v>648</v>
      </c>
      <c r="I493">
        <v>87.23</v>
      </c>
      <c r="J493">
        <v>88.47</v>
      </c>
      <c r="K493">
        <v>87.97</v>
      </c>
      <c r="L493">
        <v>40.51</v>
      </c>
      <c r="M493">
        <v>41.57</v>
      </c>
      <c r="N493">
        <v>41.51</v>
      </c>
    </row>
    <row r="494" spans="3:14" x14ac:dyDescent="0.15">
      <c r="C494" s="123">
        <v>42644</v>
      </c>
      <c r="D494" t="s">
        <v>29</v>
      </c>
      <c r="E494" t="s">
        <v>33</v>
      </c>
      <c r="F494" t="s">
        <v>8</v>
      </c>
      <c r="G494" t="s">
        <v>120</v>
      </c>
      <c r="H494" t="s">
        <v>59</v>
      </c>
      <c r="I494">
        <v>90.08</v>
      </c>
      <c r="J494">
        <v>91.21</v>
      </c>
      <c r="K494">
        <v>91.11</v>
      </c>
      <c r="L494">
        <v>43.5</v>
      </c>
      <c r="M494">
        <v>44.33</v>
      </c>
      <c r="N494">
        <v>44.81</v>
      </c>
    </row>
    <row r="495" spans="3:14" x14ac:dyDescent="0.15">
      <c r="C495" s="123">
        <v>42644</v>
      </c>
      <c r="D495" t="s">
        <v>29</v>
      </c>
      <c r="E495" t="s">
        <v>33</v>
      </c>
      <c r="F495" t="s">
        <v>8</v>
      </c>
      <c r="G495" t="s">
        <v>120</v>
      </c>
      <c r="H495" t="s">
        <v>60</v>
      </c>
      <c r="I495">
        <v>88.36</v>
      </c>
      <c r="J495">
        <v>89.5</v>
      </c>
      <c r="K495">
        <v>89.39</v>
      </c>
      <c r="L495">
        <v>41.79</v>
      </c>
      <c r="M495">
        <v>42.62</v>
      </c>
      <c r="N495">
        <v>43.1</v>
      </c>
    </row>
    <row r="496" spans="3:14" x14ac:dyDescent="0.15">
      <c r="C496" s="123">
        <v>42644</v>
      </c>
      <c r="D496" t="s">
        <v>29</v>
      </c>
      <c r="E496" t="s">
        <v>33</v>
      </c>
      <c r="F496" t="s">
        <v>8</v>
      </c>
      <c r="G496" t="s">
        <v>120</v>
      </c>
      <c r="H496" t="s">
        <v>648</v>
      </c>
      <c r="I496">
        <v>87.24</v>
      </c>
      <c r="J496">
        <v>88.38</v>
      </c>
      <c r="K496">
        <v>88.27</v>
      </c>
      <c r="L496">
        <v>40.659999999999997</v>
      </c>
      <c r="M496">
        <v>41.49</v>
      </c>
      <c r="N496">
        <v>41.97</v>
      </c>
    </row>
    <row r="497" spans="3:14" x14ac:dyDescent="0.15">
      <c r="C497" s="123">
        <v>42675</v>
      </c>
      <c r="D497" t="s">
        <v>29</v>
      </c>
      <c r="E497" t="s">
        <v>33</v>
      </c>
      <c r="F497" t="s">
        <v>8</v>
      </c>
      <c r="G497" t="s">
        <v>120</v>
      </c>
      <c r="H497" t="s">
        <v>59</v>
      </c>
      <c r="I497">
        <v>90.13</v>
      </c>
      <c r="J497">
        <v>90.6</v>
      </c>
      <c r="K497">
        <v>91.46</v>
      </c>
      <c r="L497">
        <v>43.61</v>
      </c>
      <c r="M497">
        <v>43.78</v>
      </c>
      <c r="N497">
        <v>45.29</v>
      </c>
    </row>
    <row r="498" spans="3:14" x14ac:dyDescent="0.15">
      <c r="C498" s="123">
        <v>42675</v>
      </c>
      <c r="D498" t="s">
        <v>29</v>
      </c>
      <c r="E498" t="s">
        <v>33</v>
      </c>
      <c r="F498" t="s">
        <v>8</v>
      </c>
      <c r="G498" t="s">
        <v>120</v>
      </c>
      <c r="H498" t="s">
        <v>60</v>
      </c>
      <c r="I498">
        <v>88.41</v>
      </c>
      <c r="J498">
        <v>88.89</v>
      </c>
      <c r="K498">
        <v>89.75</v>
      </c>
      <c r="L498">
        <v>41.9</v>
      </c>
      <c r="M498">
        <v>42.07</v>
      </c>
      <c r="N498">
        <v>43.58</v>
      </c>
    </row>
    <row r="499" spans="3:14" x14ac:dyDescent="0.15">
      <c r="C499" s="123">
        <v>42675</v>
      </c>
      <c r="D499" t="s">
        <v>29</v>
      </c>
      <c r="E499" t="s">
        <v>33</v>
      </c>
      <c r="F499" t="s">
        <v>8</v>
      </c>
      <c r="G499" t="s">
        <v>120</v>
      </c>
      <c r="H499" t="s">
        <v>648</v>
      </c>
      <c r="I499">
        <v>87.29</v>
      </c>
      <c r="J499">
        <v>87.76</v>
      </c>
      <c r="K499">
        <v>88.63</v>
      </c>
      <c r="L499">
        <v>40.770000000000003</v>
      </c>
      <c r="M499">
        <v>40.950000000000003</v>
      </c>
      <c r="N499">
        <v>42.45</v>
      </c>
    </row>
    <row r="500" spans="3:14" x14ac:dyDescent="0.15">
      <c r="C500" s="123">
        <v>42705</v>
      </c>
      <c r="D500" t="s">
        <v>29</v>
      </c>
      <c r="E500" t="s">
        <v>33</v>
      </c>
      <c r="F500" t="s">
        <v>8</v>
      </c>
      <c r="G500" t="s">
        <v>120</v>
      </c>
      <c r="H500" t="s">
        <v>59</v>
      </c>
      <c r="I500">
        <v>90.06</v>
      </c>
      <c r="J500">
        <v>89.8</v>
      </c>
      <c r="K500">
        <v>91.71</v>
      </c>
      <c r="L500">
        <v>43.73</v>
      </c>
      <c r="M500">
        <v>43.02</v>
      </c>
      <c r="N500">
        <v>45.68</v>
      </c>
    </row>
    <row r="501" spans="3:14" x14ac:dyDescent="0.15">
      <c r="C501" s="123">
        <v>42705</v>
      </c>
      <c r="D501" t="s">
        <v>29</v>
      </c>
      <c r="E501" t="s">
        <v>33</v>
      </c>
      <c r="F501" t="s">
        <v>8</v>
      </c>
      <c r="G501" t="s">
        <v>120</v>
      </c>
      <c r="H501" t="s">
        <v>60</v>
      </c>
      <c r="I501">
        <v>88.35</v>
      </c>
      <c r="J501">
        <v>88.08</v>
      </c>
      <c r="K501">
        <v>90</v>
      </c>
      <c r="L501">
        <v>42.02</v>
      </c>
      <c r="M501">
        <v>41.31</v>
      </c>
      <c r="N501">
        <v>43.97</v>
      </c>
    </row>
    <row r="502" spans="3:14" x14ac:dyDescent="0.15">
      <c r="C502" s="123">
        <v>42705</v>
      </c>
      <c r="D502" t="s">
        <v>29</v>
      </c>
      <c r="E502" t="s">
        <v>33</v>
      </c>
      <c r="F502" t="s">
        <v>8</v>
      </c>
      <c r="G502" t="s">
        <v>120</v>
      </c>
      <c r="H502" t="s">
        <v>648</v>
      </c>
      <c r="I502">
        <v>87.22</v>
      </c>
      <c r="J502">
        <v>86.96</v>
      </c>
      <c r="K502">
        <v>88.88</v>
      </c>
      <c r="L502">
        <v>40.89</v>
      </c>
      <c r="M502">
        <v>40.18</v>
      </c>
      <c r="N502">
        <v>42.84</v>
      </c>
    </row>
    <row r="503" spans="3:14" x14ac:dyDescent="0.15">
      <c r="C503" s="123">
        <v>42736</v>
      </c>
      <c r="D503" t="s">
        <v>29</v>
      </c>
      <c r="E503" t="s">
        <v>33</v>
      </c>
      <c r="F503" t="s">
        <v>8</v>
      </c>
      <c r="G503" t="s">
        <v>120</v>
      </c>
      <c r="H503" t="s">
        <v>59</v>
      </c>
      <c r="I503">
        <v>89.98</v>
      </c>
      <c r="J503">
        <v>90.33</v>
      </c>
      <c r="K503">
        <v>91.97</v>
      </c>
      <c r="L503">
        <v>43.87</v>
      </c>
      <c r="M503">
        <v>43.38</v>
      </c>
      <c r="N503">
        <v>46.02</v>
      </c>
    </row>
    <row r="504" spans="3:14" x14ac:dyDescent="0.15">
      <c r="C504" s="123">
        <v>42736</v>
      </c>
      <c r="D504" t="s">
        <v>29</v>
      </c>
      <c r="E504" t="s">
        <v>33</v>
      </c>
      <c r="F504" t="s">
        <v>8</v>
      </c>
      <c r="G504" t="s">
        <v>120</v>
      </c>
      <c r="H504" t="s">
        <v>60</v>
      </c>
      <c r="I504">
        <v>88.27</v>
      </c>
      <c r="J504">
        <v>88.62</v>
      </c>
      <c r="K504">
        <v>90.26</v>
      </c>
      <c r="L504">
        <v>42.16</v>
      </c>
      <c r="M504">
        <v>41.67</v>
      </c>
      <c r="N504">
        <v>44.31</v>
      </c>
    </row>
    <row r="505" spans="3:14" x14ac:dyDescent="0.15">
      <c r="C505" s="123">
        <v>42736</v>
      </c>
      <c r="D505" t="s">
        <v>29</v>
      </c>
      <c r="E505" t="s">
        <v>33</v>
      </c>
      <c r="F505" t="s">
        <v>8</v>
      </c>
      <c r="G505" t="s">
        <v>120</v>
      </c>
      <c r="H505" t="s">
        <v>648</v>
      </c>
      <c r="I505">
        <v>87.14</v>
      </c>
      <c r="J505">
        <v>87.49</v>
      </c>
      <c r="K505">
        <v>89.13</v>
      </c>
      <c r="L505">
        <v>41.03</v>
      </c>
      <c r="M505">
        <v>40.54</v>
      </c>
      <c r="N505">
        <v>43.18</v>
      </c>
    </row>
    <row r="506" spans="3:14" x14ac:dyDescent="0.15">
      <c r="C506" s="123">
        <v>42401</v>
      </c>
      <c r="D506" t="s">
        <v>29</v>
      </c>
      <c r="E506" t="s">
        <v>33</v>
      </c>
      <c r="F506" t="s">
        <v>9</v>
      </c>
      <c r="G506" t="s">
        <v>120</v>
      </c>
      <c r="H506" t="s">
        <v>59</v>
      </c>
      <c r="I506">
        <v>86.77</v>
      </c>
      <c r="J506">
        <v>87.87</v>
      </c>
      <c r="K506">
        <v>87.53</v>
      </c>
      <c r="L506">
        <v>41.91</v>
      </c>
      <c r="M506">
        <v>42.95</v>
      </c>
      <c r="N506">
        <v>43.03</v>
      </c>
    </row>
    <row r="507" spans="3:14" x14ac:dyDescent="0.15">
      <c r="C507" s="123">
        <v>42401</v>
      </c>
      <c r="D507" t="s">
        <v>29</v>
      </c>
      <c r="E507" t="s">
        <v>33</v>
      </c>
      <c r="F507" t="s">
        <v>9</v>
      </c>
      <c r="G507" t="s">
        <v>120</v>
      </c>
      <c r="H507" t="s">
        <v>60</v>
      </c>
      <c r="I507">
        <v>85.06</v>
      </c>
      <c r="J507">
        <v>86.16</v>
      </c>
      <c r="K507">
        <v>85.82</v>
      </c>
      <c r="L507">
        <v>40.200000000000003</v>
      </c>
      <c r="M507">
        <v>41.24</v>
      </c>
      <c r="N507">
        <v>41.32</v>
      </c>
    </row>
    <row r="508" spans="3:14" x14ac:dyDescent="0.15">
      <c r="C508" s="123">
        <v>42401</v>
      </c>
      <c r="D508" t="s">
        <v>29</v>
      </c>
      <c r="E508" t="s">
        <v>33</v>
      </c>
      <c r="F508" t="s">
        <v>9</v>
      </c>
      <c r="G508" t="s">
        <v>120</v>
      </c>
      <c r="H508" t="s">
        <v>648</v>
      </c>
      <c r="I508">
        <v>83.94</v>
      </c>
      <c r="J508">
        <v>85.04</v>
      </c>
      <c r="K508">
        <v>84.69</v>
      </c>
      <c r="L508">
        <v>39.07</v>
      </c>
      <c r="M508">
        <v>40.11</v>
      </c>
      <c r="N508">
        <v>40.200000000000003</v>
      </c>
    </row>
    <row r="509" spans="3:14" x14ac:dyDescent="0.15">
      <c r="C509" s="123">
        <v>42430</v>
      </c>
      <c r="D509" t="s">
        <v>29</v>
      </c>
      <c r="E509" t="s">
        <v>33</v>
      </c>
      <c r="F509" t="s">
        <v>9</v>
      </c>
      <c r="G509" t="s">
        <v>120</v>
      </c>
      <c r="H509" t="s">
        <v>59</v>
      </c>
      <c r="I509">
        <v>87.39</v>
      </c>
      <c r="J509">
        <v>87.42</v>
      </c>
      <c r="K509">
        <v>87.89</v>
      </c>
      <c r="L509">
        <v>41.96</v>
      </c>
      <c r="M509">
        <v>42.54</v>
      </c>
      <c r="N509">
        <v>43.06</v>
      </c>
    </row>
    <row r="510" spans="3:14" x14ac:dyDescent="0.15">
      <c r="C510" s="123">
        <v>42430</v>
      </c>
      <c r="D510" t="s">
        <v>29</v>
      </c>
      <c r="E510" t="s">
        <v>33</v>
      </c>
      <c r="F510" t="s">
        <v>9</v>
      </c>
      <c r="G510" t="s">
        <v>120</v>
      </c>
      <c r="H510" t="s">
        <v>60</v>
      </c>
      <c r="I510">
        <v>85.68</v>
      </c>
      <c r="J510">
        <v>85.71</v>
      </c>
      <c r="K510">
        <v>86.18</v>
      </c>
      <c r="L510">
        <v>40.25</v>
      </c>
      <c r="M510">
        <v>40.83</v>
      </c>
      <c r="N510">
        <v>41.35</v>
      </c>
    </row>
    <row r="511" spans="3:14" x14ac:dyDescent="0.15">
      <c r="C511" s="123">
        <v>42430</v>
      </c>
      <c r="D511" t="s">
        <v>29</v>
      </c>
      <c r="E511" t="s">
        <v>33</v>
      </c>
      <c r="F511" t="s">
        <v>9</v>
      </c>
      <c r="G511" t="s">
        <v>120</v>
      </c>
      <c r="H511" t="s">
        <v>648</v>
      </c>
      <c r="I511">
        <v>84.56</v>
      </c>
      <c r="J511">
        <v>84.59</v>
      </c>
      <c r="K511">
        <v>85.06</v>
      </c>
      <c r="L511">
        <v>39.130000000000003</v>
      </c>
      <c r="M511">
        <v>39.700000000000003</v>
      </c>
      <c r="N511">
        <v>40.22</v>
      </c>
    </row>
    <row r="512" spans="3:14" x14ac:dyDescent="0.15">
      <c r="C512" s="123">
        <v>42461</v>
      </c>
      <c r="D512" t="s">
        <v>29</v>
      </c>
      <c r="E512" t="s">
        <v>33</v>
      </c>
      <c r="F512" t="s">
        <v>9</v>
      </c>
      <c r="G512" t="s">
        <v>120</v>
      </c>
      <c r="H512" t="s">
        <v>59</v>
      </c>
      <c r="I512">
        <v>87.77</v>
      </c>
      <c r="J512">
        <v>87.15</v>
      </c>
      <c r="K512">
        <v>87.98</v>
      </c>
      <c r="L512">
        <v>42.23</v>
      </c>
      <c r="M512">
        <v>42.39</v>
      </c>
      <c r="N512">
        <v>43.1</v>
      </c>
    </row>
    <row r="513" spans="3:14" x14ac:dyDescent="0.15">
      <c r="C513" s="123">
        <v>42461</v>
      </c>
      <c r="D513" t="s">
        <v>29</v>
      </c>
      <c r="E513" t="s">
        <v>33</v>
      </c>
      <c r="F513" t="s">
        <v>9</v>
      </c>
      <c r="G513" t="s">
        <v>120</v>
      </c>
      <c r="H513" t="s">
        <v>60</v>
      </c>
      <c r="I513">
        <v>86.06</v>
      </c>
      <c r="J513">
        <v>85.44</v>
      </c>
      <c r="K513">
        <v>86.26</v>
      </c>
      <c r="L513">
        <v>40.520000000000003</v>
      </c>
      <c r="M513">
        <v>40.68</v>
      </c>
      <c r="N513">
        <v>41.39</v>
      </c>
    </row>
    <row r="514" spans="3:14" x14ac:dyDescent="0.15">
      <c r="C514" s="123">
        <v>42461</v>
      </c>
      <c r="D514" t="s">
        <v>29</v>
      </c>
      <c r="E514" t="s">
        <v>33</v>
      </c>
      <c r="F514" t="s">
        <v>9</v>
      </c>
      <c r="G514" t="s">
        <v>120</v>
      </c>
      <c r="H514" t="s">
        <v>648</v>
      </c>
      <c r="I514">
        <v>84.94</v>
      </c>
      <c r="J514">
        <v>84.32</v>
      </c>
      <c r="K514">
        <v>85.14</v>
      </c>
      <c r="L514">
        <v>39.39</v>
      </c>
      <c r="M514">
        <v>39.549999999999997</v>
      </c>
      <c r="N514">
        <v>40.26</v>
      </c>
    </row>
    <row r="515" spans="3:14" x14ac:dyDescent="0.15">
      <c r="C515" s="123">
        <v>42491</v>
      </c>
      <c r="D515" t="s">
        <v>29</v>
      </c>
      <c r="E515" t="s">
        <v>33</v>
      </c>
      <c r="F515" t="s">
        <v>9</v>
      </c>
      <c r="G515" t="s">
        <v>120</v>
      </c>
      <c r="H515" t="s">
        <v>59</v>
      </c>
      <c r="I515">
        <v>88.06</v>
      </c>
      <c r="J515">
        <v>87.1</v>
      </c>
      <c r="K515">
        <v>88.02</v>
      </c>
      <c r="L515">
        <v>42.53</v>
      </c>
      <c r="M515">
        <v>42.49</v>
      </c>
      <c r="N515">
        <v>43.17</v>
      </c>
    </row>
    <row r="516" spans="3:14" x14ac:dyDescent="0.15">
      <c r="C516" s="123">
        <v>42491</v>
      </c>
      <c r="D516" t="s">
        <v>29</v>
      </c>
      <c r="E516" t="s">
        <v>33</v>
      </c>
      <c r="F516" t="s">
        <v>9</v>
      </c>
      <c r="G516" t="s">
        <v>120</v>
      </c>
      <c r="H516" t="s">
        <v>60</v>
      </c>
      <c r="I516">
        <v>86.34</v>
      </c>
      <c r="J516">
        <v>85.38</v>
      </c>
      <c r="K516">
        <v>86.31</v>
      </c>
      <c r="L516">
        <v>40.82</v>
      </c>
      <c r="M516">
        <v>40.78</v>
      </c>
      <c r="N516">
        <v>41.46</v>
      </c>
    </row>
    <row r="517" spans="3:14" x14ac:dyDescent="0.15">
      <c r="C517" s="123">
        <v>42491</v>
      </c>
      <c r="D517" t="s">
        <v>29</v>
      </c>
      <c r="E517" t="s">
        <v>33</v>
      </c>
      <c r="F517" t="s">
        <v>9</v>
      </c>
      <c r="G517" t="s">
        <v>120</v>
      </c>
      <c r="H517" t="s">
        <v>648</v>
      </c>
      <c r="I517">
        <v>85.22</v>
      </c>
      <c r="J517">
        <v>84.26</v>
      </c>
      <c r="K517">
        <v>85.18</v>
      </c>
      <c r="L517">
        <v>39.700000000000003</v>
      </c>
      <c r="M517">
        <v>39.65</v>
      </c>
      <c r="N517">
        <v>40.33</v>
      </c>
    </row>
    <row r="518" spans="3:14" x14ac:dyDescent="0.15">
      <c r="C518" s="123">
        <v>42522</v>
      </c>
      <c r="D518" t="s">
        <v>29</v>
      </c>
      <c r="E518" t="s">
        <v>33</v>
      </c>
      <c r="F518" t="s">
        <v>9</v>
      </c>
      <c r="G518" t="s">
        <v>120</v>
      </c>
      <c r="H518" t="s">
        <v>59</v>
      </c>
      <c r="I518">
        <v>88.26</v>
      </c>
      <c r="J518">
        <v>87.07</v>
      </c>
      <c r="K518">
        <v>88.07</v>
      </c>
      <c r="L518">
        <v>42.82</v>
      </c>
      <c r="M518">
        <v>42.7</v>
      </c>
      <c r="N518">
        <v>43.27</v>
      </c>
    </row>
    <row r="519" spans="3:14" x14ac:dyDescent="0.15">
      <c r="C519" s="123">
        <v>42522</v>
      </c>
      <c r="D519" t="s">
        <v>29</v>
      </c>
      <c r="E519" t="s">
        <v>33</v>
      </c>
      <c r="F519" t="s">
        <v>9</v>
      </c>
      <c r="G519" t="s">
        <v>120</v>
      </c>
      <c r="H519" t="s">
        <v>60</v>
      </c>
      <c r="I519">
        <v>86.55</v>
      </c>
      <c r="J519">
        <v>85.36</v>
      </c>
      <c r="K519">
        <v>86.36</v>
      </c>
      <c r="L519">
        <v>41.11</v>
      </c>
      <c r="M519">
        <v>40.99</v>
      </c>
      <c r="N519">
        <v>41.56</v>
      </c>
    </row>
    <row r="520" spans="3:14" x14ac:dyDescent="0.15">
      <c r="C520" s="123">
        <v>42522</v>
      </c>
      <c r="D520" t="s">
        <v>29</v>
      </c>
      <c r="E520" t="s">
        <v>33</v>
      </c>
      <c r="F520" t="s">
        <v>9</v>
      </c>
      <c r="G520" t="s">
        <v>120</v>
      </c>
      <c r="H520" t="s">
        <v>648</v>
      </c>
      <c r="I520">
        <v>85.43</v>
      </c>
      <c r="J520">
        <v>84.24</v>
      </c>
      <c r="K520">
        <v>85.24</v>
      </c>
      <c r="L520">
        <v>39.979999999999997</v>
      </c>
      <c r="M520">
        <v>39.86</v>
      </c>
      <c r="N520">
        <v>40.43</v>
      </c>
    </row>
    <row r="521" spans="3:14" x14ac:dyDescent="0.15">
      <c r="C521" s="123">
        <v>42552</v>
      </c>
      <c r="D521" t="s">
        <v>29</v>
      </c>
      <c r="E521" t="s">
        <v>33</v>
      </c>
      <c r="F521" t="s">
        <v>9</v>
      </c>
      <c r="G521" t="s">
        <v>120</v>
      </c>
      <c r="H521" t="s">
        <v>59</v>
      </c>
      <c r="I521">
        <v>88.28</v>
      </c>
      <c r="J521">
        <v>86.91</v>
      </c>
      <c r="K521">
        <v>88.29</v>
      </c>
      <c r="L521">
        <v>42.99</v>
      </c>
      <c r="M521">
        <v>42.97</v>
      </c>
      <c r="N521">
        <v>43.62</v>
      </c>
    </row>
    <row r="522" spans="3:14" x14ac:dyDescent="0.15">
      <c r="C522" s="123">
        <v>42552</v>
      </c>
      <c r="D522" t="s">
        <v>29</v>
      </c>
      <c r="E522" t="s">
        <v>33</v>
      </c>
      <c r="F522" t="s">
        <v>9</v>
      </c>
      <c r="G522" t="s">
        <v>120</v>
      </c>
      <c r="H522" t="s">
        <v>60</v>
      </c>
      <c r="I522">
        <v>86.57</v>
      </c>
      <c r="J522">
        <v>85.2</v>
      </c>
      <c r="K522">
        <v>86.58</v>
      </c>
      <c r="L522">
        <v>41.28</v>
      </c>
      <c r="M522">
        <v>41.26</v>
      </c>
      <c r="N522">
        <v>41.91</v>
      </c>
    </row>
    <row r="523" spans="3:14" x14ac:dyDescent="0.15">
      <c r="C523" s="123">
        <v>42552</v>
      </c>
      <c r="D523" t="s">
        <v>29</v>
      </c>
      <c r="E523" t="s">
        <v>33</v>
      </c>
      <c r="F523" t="s">
        <v>9</v>
      </c>
      <c r="G523" t="s">
        <v>120</v>
      </c>
      <c r="H523" t="s">
        <v>648</v>
      </c>
      <c r="I523">
        <v>85.44</v>
      </c>
      <c r="J523">
        <v>84.08</v>
      </c>
      <c r="K523">
        <v>85.46</v>
      </c>
      <c r="L523">
        <v>40.15</v>
      </c>
      <c r="M523">
        <v>40.130000000000003</v>
      </c>
      <c r="N523">
        <v>40.78</v>
      </c>
    </row>
    <row r="524" spans="3:14" x14ac:dyDescent="0.15">
      <c r="C524" s="123">
        <v>42583</v>
      </c>
      <c r="D524" t="s">
        <v>29</v>
      </c>
      <c r="E524" t="s">
        <v>33</v>
      </c>
      <c r="F524" t="s">
        <v>9</v>
      </c>
      <c r="G524" t="s">
        <v>120</v>
      </c>
      <c r="H524" t="s">
        <v>59</v>
      </c>
      <c r="I524">
        <v>88.47</v>
      </c>
      <c r="J524">
        <v>87.81</v>
      </c>
      <c r="K524">
        <v>88.75</v>
      </c>
      <c r="L524">
        <v>43.55</v>
      </c>
      <c r="M524">
        <v>43.46</v>
      </c>
      <c r="N524">
        <v>44.26</v>
      </c>
    </row>
    <row r="525" spans="3:14" x14ac:dyDescent="0.15">
      <c r="C525" s="123">
        <v>42583</v>
      </c>
      <c r="D525" t="s">
        <v>29</v>
      </c>
      <c r="E525" t="s">
        <v>33</v>
      </c>
      <c r="F525" t="s">
        <v>9</v>
      </c>
      <c r="G525" t="s">
        <v>120</v>
      </c>
      <c r="H525" t="s">
        <v>60</v>
      </c>
      <c r="I525">
        <v>86.76</v>
      </c>
      <c r="J525">
        <v>86.1</v>
      </c>
      <c r="K525">
        <v>87.03</v>
      </c>
      <c r="L525">
        <v>41.84</v>
      </c>
      <c r="M525">
        <v>41.75</v>
      </c>
      <c r="N525">
        <v>42.55</v>
      </c>
    </row>
    <row r="526" spans="3:14" x14ac:dyDescent="0.15">
      <c r="C526" s="123">
        <v>42583</v>
      </c>
      <c r="D526" t="s">
        <v>29</v>
      </c>
      <c r="E526" t="s">
        <v>33</v>
      </c>
      <c r="F526" t="s">
        <v>9</v>
      </c>
      <c r="G526" t="s">
        <v>120</v>
      </c>
      <c r="H526" t="s">
        <v>648</v>
      </c>
      <c r="I526">
        <v>85.64</v>
      </c>
      <c r="J526">
        <v>84.98</v>
      </c>
      <c r="K526">
        <v>85.91</v>
      </c>
      <c r="L526">
        <v>40.71</v>
      </c>
      <c r="M526">
        <v>40.630000000000003</v>
      </c>
      <c r="N526">
        <v>41.42</v>
      </c>
    </row>
    <row r="527" spans="3:14" x14ac:dyDescent="0.15">
      <c r="C527" s="123">
        <v>42614</v>
      </c>
      <c r="D527" t="s">
        <v>29</v>
      </c>
      <c r="E527" t="s">
        <v>33</v>
      </c>
      <c r="F527" t="s">
        <v>9</v>
      </c>
      <c r="G527" t="s">
        <v>120</v>
      </c>
      <c r="H527" t="s">
        <v>59</v>
      </c>
      <c r="I527">
        <v>88.37</v>
      </c>
      <c r="J527">
        <v>88.68</v>
      </c>
      <c r="K527">
        <v>89.01</v>
      </c>
      <c r="L527">
        <v>43.66</v>
      </c>
      <c r="M527">
        <v>43.97</v>
      </c>
      <c r="N527">
        <v>44.67</v>
      </c>
    </row>
    <row r="528" spans="3:14" x14ac:dyDescent="0.15">
      <c r="C528" s="123">
        <v>42614</v>
      </c>
      <c r="D528" t="s">
        <v>29</v>
      </c>
      <c r="E528" t="s">
        <v>33</v>
      </c>
      <c r="F528" t="s">
        <v>9</v>
      </c>
      <c r="G528" t="s">
        <v>120</v>
      </c>
      <c r="H528" t="s">
        <v>60</v>
      </c>
      <c r="I528">
        <v>86.66</v>
      </c>
      <c r="J528">
        <v>86.97</v>
      </c>
      <c r="K528">
        <v>87.29</v>
      </c>
      <c r="L528">
        <v>41.95</v>
      </c>
      <c r="M528">
        <v>42.26</v>
      </c>
      <c r="N528">
        <v>42.96</v>
      </c>
    </row>
    <row r="529" spans="3:14" x14ac:dyDescent="0.15">
      <c r="C529" s="123">
        <v>42614</v>
      </c>
      <c r="D529" t="s">
        <v>29</v>
      </c>
      <c r="E529" t="s">
        <v>33</v>
      </c>
      <c r="F529" t="s">
        <v>9</v>
      </c>
      <c r="G529" t="s">
        <v>120</v>
      </c>
      <c r="H529" t="s">
        <v>648</v>
      </c>
      <c r="I529">
        <v>85.54</v>
      </c>
      <c r="J529">
        <v>85.85</v>
      </c>
      <c r="K529">
        <v>86.17</v>
      </c>
      <c r="L529">
        <v>40.82</v>
      </c>
      <c r="M529">
        <v>41.13</v>
      </c>
      <c r="N529">
        <v>41.83</v>
      </c>
    </row>
    <row r="530" spans="3:14" x14ac:dyDescent="0.15">
      <c r="C530" s="123">
        <v>42644</v>
      </c>
      <c r="D530" t="s">
        <v>29</v>
      </c>
      <c r="E530" t="s">
        <v>33</v>
      </c>
      <c r="F530" t="s">
        <v>9</v>
      </c>
      <c r="G530" t="s">
        <v>120</v>
      </c>
      <c r="H530" t="s">
        <v>59</v>
      </c>
      <c r="I530">
        <v>88.4</v>
      </c>
      <c r="J530">
        <v>89.06</v>
      </c>
      <c r="K530">
        <v>89.28</v>
      </c>
      <c r="L530">
        <v>43.84</v>
      </c>
      <c r="M530">
        <v>44.28</v>
      </c>
      <c r="N530">
        <v>45.11</v>
      </c>
    </row>
    <row r="531" spans="3:14" x14ac:dyDescent="0.15">
      <c r="C531" s="123">
        <v>42644</v>
      </c>
      <c r="D531" t="s">
        <v>29</v>
      </c>
      <c r="E531" t="s">
        <v>33</v>
      </c>
      <c r="F531" t="s">
        <v>9</v>
      </c>
      <c r="G531" t="s">
        <v>120</v>
      </c>
      <c r="H531" t="s">
        <v>60</v>
      </c>
      <c r="I531">
        <v>86.69</v>
      </c>
      <c r="J531">
        <v>87.35</v>
      </c>
      <c r="K531">
        <v>87.57</v>
      </c>
      <c r="L531">
        <v>42.13</v>
      </c>
      <c r="M531">
        <v>42.57</v>
      </c>
      <c r="N531">
        <v>43.4</v>
      </c>
    </row>
    <row r="532" spans="3:14" x14ac:dyDescent="0.15">
      <c r="C532" s="123">
        <v>42644</v>
      </c>
      <c r="D532" t="s">
        <v>29</v>
      </c>
      <c r="E532" t="s">
        <v>33</v>
      </c>
      <c r="F532" t="s">
        <v>9</v>
      </c>
      <c r="G532" t="s">
        <v>120</v>
      </c>
      <c r="H532" t="s">
        <v>648</v>
      </c>
      <c r="I532">
        <v>85.57</v>
      </c>
      <c r="J532">
        <v>86.23</v>
      </c>
      <c r="K532">
        <v>86.44</v>
      </c>
      <c r="L532">
        <v>41</v>
      </c>
      <c r="M532">
        <v>41.45</v>
      </c>
      <c r="N532">
        <v>42.27</v>
      </c>
    </row>
    <row r="533" spans="3:14" x14ac:dyDescent="0.15">
      <c r="C533" s="123">
        <v>42675</v>
      </c>
      <c r="D533" t="s">
        <v>29</v>
      </c>
      <c r="E533" t="s">
        <v>33</v>
      </c>
      <c r="F533" t="s">
        <v>9</v>
      </c>
      <c r="G533" t="s">
        <v>120</v>
      </c>
      <c r="H533" t="s">
        <v>59</v>
      </c>
      <c r="I533">
        <v>88.45</v>
      </c>
      <c r="J533">
        <v>89.2</v>
      </c>
      <c r="K533">
        <v>89.63</v>
      </c>
      <c r="L533">
        <v>43.98</v>
      </c>
      <c r="M533">
        <v>44.37</v>
      </c>
      <c r="N533">
        <v>45.6</v>
      </c>
    </row>
    <row r="534" spans="3:14" x14ac:dyDescent="0.15">
      <c r="C534" s="123">
        <v>42675</v>
      </c>
      <c r="D534" t="s">
        <v>29</v>
      </c>
      <c r="E534" t="s">
        <v>33</v>
      </c>
      <c r="F534" t="s">
        <v>9</v>
      </c>
      <c r="G534" t="s">
        <v>120</v>
      </c>
      <c r="H534" t="s">
        <v>60</v>
      </c>
      <c r="I534">
        <v>86.74</v>
      </c>
      <c r="J534">
        <v>87.49</v>
      </c>
      <c r="K534">
        <v>87.92</v>
      </c>
      <c r="L534">
        <v>42.27</v>
      </c>
      <c r="M534">
        <v>42.66</v>
      </c>
      <c r="N534">
        <v>43.89</v>
      </c>
    </row>
    <row r="535" spans="3:14" x14ac:dyDescent="0.15">
      <c r="C535" s="123">
        <v>42675</v>
      </c>
      <c r="D535" t="s">
        <v>29</v>
      </c>
      <c r="E535" t="s">
        <v>33</v>
      </c>
      <c r="F535" t="s">
        <v>9</v>
      </c>
      <c r="G535" t="s">
        <v>120</v>
      </c>
      <c r="H535" t="s">
        <v>648</v>
      </c>
      <c r="I535">
        <v>85.62</v>
      </c>
      <c r="J535">
        <v>86.37</v>
      </c>
      <c r="K535">
        <v>86.8</v>
      </c>
      <c r="L535">
        <v>41.14</v>
      </c>
      <c r="M535">
        <v>41.53</v>
      </c>
      <c r="N535">
        <v>42.76</v>
      </c>
    </row>
    <row r="536" spans="3:14" x14ac:dyDescent="0.15">
      <c r="C536" s="123">
        <v>42705</v>
      </c>
      <c r="D536" t="s">
        <v>29</v>
      </c>
      <c r="E536" t="s">
        <v>33</v>
      </c>
      <c r="F536" t="s">
        <v>9</v>
      </c>
      <c r="G536" t="s">
        <v>120</v>
      </c>
      <c r="H536" t="s">
        <v>59</v>
      </c>
      <c r="I536">
        <v>88.28</v>
      </c>
      <c r="J536">
        <v>89.18</v>
      </c>
      <c r="K536">
        <v>89.8</v>
      </c>
      <c r="L536">
        <v>44.09</v>
      </c>
      <c r="M536">
        <v>44.35</v>
      </c>
      <c r="N536">
        <v>45.97</v>
      </c>
    </row>
    <row r="537" spans="3:14" x14ac:dyDescent="0.15">
      <c r="C537" s="123">
        <v>42705</v>
      </c>
      <c r="D537" t="s">
        <v>29</v>
      </c>
      <c r="E537" t="s">
        <v>33</v>
      </c>
      <c r="F537" t="s">
        <v>9</v>
      </c>
      <c r="G537" t="s">
        <v>120</v>
      </c>
      <c r="H537" t="s">
        <v>60</v>
      </c>
      <c r="I537">
        <v>86.57</v>
      </c>
      <c r="J537">
        <v>87.47</v>
      </c>
      <c r="K537">
        <v>88.09</v>
      </c>
      <c r="L537">
        <v>42.38</v>
      </c>
      <c r="M537">
        <v>42.64</v>
      </c>
      <c r="N537">
        <v>44.26</v>
      </c>
    </row>
    <row r="538" spans="3:14" x14ac:dyDescent="0.15">
      <c r="C538" s="123">
        <v>42705</v>
      </c>
      <c r="D538" t="s">
        <v>29</v>
      </c>
      <c r="E538" t="s">
        <v>33</v>
      </c>
      <c r="F538" t="s">
        <v>9</v>
      </c>
      <c r="G538" t="s">
        <v>120</v>
      </c>
      <c r="H538" t="s">
        <v>648</v>
      </c>
      <c r="I538">
        <v>85.44</v>
      </c>
      <c r="J538">
        <v>86.35</v>
      </c>
      <c r="K538">
        <v>86.97</v>
      </c>
      <c r="L538">
        <v>41.25</v>
      </c>
      <c r="M538">
        <v>41.51</v>
      </c>
      <c r="N538">
        <v>43.13</v>
      </c>
    </row>
    <row r="539" spans="3:14" x14ac:dyDescent="0.15">
      <c r="C539" s="123">
        <v>42736</v>
      </c>
      <c r="D539" t="s">
        <v>29</v>
      </c>
      <c r="E539" t="s">
        <v>33</v>
      </c>
      <c r="F539" t="s">
        <v>9</v>
      </c>
      <c r="G539" t="s">
        <v>120</v>
      </c>
      <c r="H539" t="s">
        <v>59</v>
      </c>
      <c r="I539">
        <v>88.13</v>
      </c>
      <c r="J539">
        <v>89.55</v>
      </c>
      <c r="K539">
        <v>90.04</v>
      </c>
      <c r="L539">
        <v>44.17</v>
      </c>
      <c r="M539">
        <v>44.62</v>
      </c>
      <c r="N539">
        <v>46.31</v>
      </c>
    </row>
    <row r="540" spans="3:14" x14ac:dyDescent="0.15">
      <c r="C540" s="123">
        <v>42736</v>
      </c>
      <c r="D540" t="s">
        <v>29</v>
      </c>
      <c r="E540" t="s">
        <v>33</v>
      </c>
      <c r="F540" t="s">
        <v>9</v>
      </c>
      <c r="G540" t="s">
        <v>120</v>
      </c>
      <c r="H540" t="s">
        <v>60</v>
      </c>
      <c r="I540">
        <v>86.42</v>
      </c>
      <c r="J540">
        <v>87.84</v>
      </c>
      <c r="K540">
        <v>88.33</v>
      </c>
      <c r="L540">
        <v>42.46</v>
      </c>
      <c r="M540">
        <v>42.91</v>
      </c>
      <c r="N540">
        <v>44.6</v>
      </c>
    </row>
    <row r="541" spans="3:14" x14ac:dyDescent="0.15">
      <c r="C541" s="123">
        <v>42736</v>
      </c>
      <c r="D541" t="s">
        <v>29</v>
      </c>
      <c r="E541" t="s">
        <v>33</v>
      </c>
      <c r="F541" t="s">
        <v>9</v>
      </c>
      <c r="G541" t="s">
        <v>120</v>
      </c>
      <c r="H541" t="s">
        <v>648</v>
      </c>
      <c r="I541">
        <v>85.3</v>
      </c>
      <c r="J541">
        <v>86.72</v>
      </c>
      <c r="K541">
        <v>87.2</v>
      </c>
      <c r="L541">
        <v>41.33</v>
      </c>
      <c r="M541">
        <v>41.78</v>
      </c>
      <c r="N541">
        <v>43.47</v>
      </c>
    </row>
    <row r="542" spans="3:14" x14ac:dyDescent="0.15">
      <c r="C542" s="123">
        <v>42401</v>
      </c>
      <c r="D542" t="s">
        <v>29</v>
      </c>
      <c r="E542" t="s">
        <v>34</v>
      </c>
      <c r="F542" t="s">
        <v>35</v>
      </c>
      <c r="G542" t="s">
        <v>197</v>
      </c>
      <c r="H542" t="s">
        <v>59</v>
      </c>
      <c r="I542">
        <v>107.49</v>
      </c>
      <c r="J542">
        <v>109</v>
      </c>
      <c r="K542">
        <v>109.07</v>
      </c>
      <c r="L542">
        <v>62.58</v>
      </c>
      <c r="M542">
        <v>63.97</v>
      </c>
      <c r="N542">
        <v>64.56</v>
      </c>
    </row>
    <row r="543" spans="3:14" x14ac:dyDescent="0.15">
      <c r="C543" s="123">
        <v>42401</v>
      </c>
      <c r="D543" t="s">
        <v>29</v>
      </c>
      <c r="E543" t="s">
        <v>34</v>
      </c>
      <c r="F543" t="s">
        <v>35</v>
      </c>
      <c r="G543" t="s">
        <v>197</v>
      </c>
      <c r="H543" t="s">
        <v>60</v>
      </c>
      <c r="I543">
        <v>105.78</v>
      </c>
      <c r="J543">
        <v>107.29</v>
      </c>
      <c r="K543">
        <v>107.35</v>
      </c>
      <c r="L543">
        <v>60.87</v>
      </c>
      <c r="M543">
        <v>62.26</v>
      </c>
      <c r="N543">
        <v>62.85</v>
      </c>
    </row>
    <row r="544" spans="3:14" x14ac:dyDescent="0.15">
      <c r="C544" s="123">
        <v>42401</v>
      </c>
      <c r="D544" t="s">
        <v>29</v>
      </c>
      <c r="E544" t="s">
        <v>34</v>
      </c>
      <c r="F544" t="s">
        <v>35</v>
      </c>
      <c r="G544" t="s">
        <v>197</v>
      </c>
      <c r="H544" t="s">
        <v>648</v>
      </c>
      <c r="I544">
        <v>104.65</v>
      </c>
      <c r="J544">
        <v>106.16</v>
      </c>
      <c r="K544">
        <v>106.23</v>
      </c>
      <c r="L544">
        <v>59.74</v>
      </c>
      <c r="M544">
        <v>61.13</v>
      </c>
      <c r="N544">
        <v>61.72</v>
      </c>
    </row>
    <row r="545" spans="3:14" x14ac:dyDescent="0.15">
      <c r="C545" s="123">
        <v>42430</v>
      </c>
      <c r="D545" t="s">
        <v>29</v>
      </c>
      <c r="E545" t="s">
        <v>34</v>
      </c>
      <c r="F545" t="s">
        <v>35</v>
      </c>
      <c r="G545" t="s">
        <v>197</v>
      </c>
      <c r="H545" t="s">
        <v>59</v>
      </c>
      <c r="I545">
        <v>108.76</v>
      </c>
      <c r="J545">
        <v>108.49</v>
      </c>
      <c r="K545">
        <v>109.75</v>
      </c>
      <c r="L545">
        <v>63.23</v>
      </c>
      <c r="M545">
        <v>63.48</v>
      </c>
      <c r="N545">
        <v>64.88</v>
      </c>
    </row>
    <row r="546" spans="3:14" x14ac:dyDescent="0.15">
      <c r="C546" s="123">
        <v>42430</v>
      </c>
      <c r="D546" t="s">
        <v>29</v>
      </c>
      <c r="E546" t="s">
        <v>34</v>
      </c>
      <c r="F546" t="s">
        <v>35</v>
      </c>
      <c r="G546" t="s">
        <v>197</v>
      </c>
      <c r="H546" t="s">
        <v>60</v>
      </c>
      <c r="I546">
        <v>107.05</v>
      </c>
      <c r="J546">
        <v>106.78</v>
      </c>
      <c r="K546">
        <v>108.04</v>
      </c>
      <c r="L546">
        <v>61.52</v>
      </c>
      <c r="M546">
        <v>61.77</v>
      </c>
      <c r="N546">
        <v>63.17</v>
      </c>
    </row>
    <row r="547" spans="3:14" x14ac:dyDescent="0.15">
      <c r="C547" s="123">
        <v>42430</v>
      </c>
      <c r="D547" t="s">
        <v>29</v>
      </c>
      <c r="E547" t="s">
        <v>34</v>
      </c>
      <c r="F547" t="s">
        <v>35</v>
      </c>
      <c r="G547" t="s">
        <v>197</v>
      </c>
      <c r="H547" t="s">
        <v>648</v>
      </c>
      <c r="I547">
        <v>105.93</v>
      </c>
      <c r="J547">
        <v>105.66</v>
      </c>
      <c r="K547">
        <v>106.92</v>
      </c>
      <c r="L547">
        <v>60.39</v>
      </c>
      <c r="M547">
        <v>60.64</v>
      </c>
      <c r="N547">
        <v>62.04</v>
      </c>
    </row>
    <row r="548" spans="3:14" x14ac:dyDescent="0.15">
      <c r="C548" s="123">
        <v>42461</v>
      </c>
      <c r="D548" t="s">
        <v>29</v>
      </c>
      <c r="E548" t="s">
        <v>34</v>
      </c>
      <c r="F548" t="s">
        <v>35</v>
      </c>
      <c r="G548" t="s">
        <v>197</v>
      </c>
      <c r="H548" t="s">
        <v>59</v>
      </c>
      <c r="I548">
        <v>109.71</v>
      </c>
      <c r="J548">
        <v>108.09</v>
      </c>
      <c r="K548">
        <v>110.18</v>
      </c>
      <c r="L548">
        <v>64.06</v>
      </c>
      <c r="M548">
        <v>63.26</v>
      </c>
      <c r="N548">
        <v>65.28</v>
      </c>
    </row>
    <row r="549" spans="3:14" x14ac:dyDescent="0.15">
      <c r="C549" s="123">
        <v>42461</v>
      </c>
      <c r="D549" t="s">
        <v>29</v>
      </c>
      <c r="E549" t="s">
        <v>34</v>
      </c>
      <c r="F549" t="s">
        <v>35</v>
      </c>
      <c r="G549" t="s">
        <v>197</v>
      </c>
      <c r="H549" t="s">
        <v>60</v>
      </c>
      <c r="I549">
        <v>108</v>
      </c>
      <c r="J549">
        <v>106.37</v>
      </c>
      <c r="K549">
        <v>108.46</v>
      </c>
      <c r="L549">
        <v>62.35</v>
      </c>
      <c r="M549">
        <v>61.55</v>
      </c>
      <c r="N549">
        <v>63.57</v>
      </c>
    </row>
    <row r="550" spans="3:14" x14ac:dyDescent="0.15">
      <c r="C550" s="123">
        <v>42461</v>
      </c>
      <c r="D550" t="s">
        <v>29</v>
      </c>
      <c r="E550" t="s">
        <v>34</v>
      </c>
      <c r="F550" t="s">
        <v>35</v>
      </c>
      <c r="G550" t="s">
        <v>197</v>
      </c>
      <c r="H550" t="s">
        <v>648</v>
      </c>
      <c r="I550">
        <v>106.87</v>
      </c>
      <c r="J550">
        <v>105.25</v>
      </c>
      <c r="K550">
        <v>107.34</v>
      </c>
      <c r="L550">
        <v>61.22</v>
      </c>
      <c r="M550">
        <v>60.42</v>
      </c>
      <c r="N550">
        <v>62.45</v>
      </c>
    </row>
    <row r="551" spans="3:14" x14ac:dyDescent="0.15">
      <c r="C551" s="123">
        <v>42491</v>
      </c>
      <c r="D551" t="s">
        <v>29</v>
      </c>
      <c r="E551" t="s">
        <v>34</v>
      </c>
      <c r="F551" t="s">
        <v>35</v>
      </c>
      <c r="G551" t="s">
        <v>197</v>
      </c>
      <c r="H551" t="s">
        <v>59</v>
      </c>
      <c r="I551">
        <v>110.51</v>
      </c>
      <c r="J551">
        <v>108.24</v>
      </c>
      <c r="K551">
        <v>110.51</v>
      </c>
      <c r="L551">
        <v>64.83</v>
      </c>
      <c r="M551">
        <v>63.61</v>
      </c>
      <c r="N551">
        <v>65.64</v>
      </c>
    </row>
    <row r="552" spans="3:14" x14ac:dyDescent="0.15">
      <c r="C552" s="123">
        <v>42491</v>
      </c>
      <c r="D552" t="s">
        <v>29</v>
      </c>
      <c r="E552" t="s">
        <v>34</v>
      </c>
      <c r="F552" t="s">
        <v>35</v>
      </c>
      <c r="G552" t="s">
        <v>197</v>
      </c>
      <c r="H552" t="s">
        <v>60</v>
      </c>
      <c r="I552">
        <v>108.8</v>
      </c>
      <c r="J552">
        <v>106.53</v>
      </c>
      <c r="K552">
        <v>108.8</v>
      </c>
      <c r="L552">
        <v>63.12</v>
      </c>
      <c r="M552">
        <v>61.9</v>
      </c>
      <c r="N552">
        <v>63.93</v>
      </c>
    </row>
    <row r="553" spans="3:14" x14ac:dyDescent="0.15">
      <c r="C553" s="123">
        <v>42491</v>
      </c>
      <c r="D553" t="s">
        <v>29</v>
      </c>
      <c r="E553" t="s">
        <v>34</v>
      </c>
      <c r="F553" t="s">
        <v>35</v>
      </c>
      <c r="G553" t="s">
        <v>197</v>
      </c>
      <c r="H553" t="s">
        <v>648</v>
      </c>
      <c r="I553">
        <v>107.67</v>
      </c>
      <c r="J553">
        <v>105.41</v>
      </c>
      <c r="K553">
        <v>107.67</v>
      </c>
      <c r="L553">
        <v>61.99</v>
      </c>
      <c r="M553">
        <v>60.77</v>
      </c>
      <c r="N553">
        <v>62.8</v>
      </c>
    </row>
    <row r="554" spans="3:14" x14ac:dyDescent="0.15">
      <c r="C554" s="123">
        <v>42522</v>
      </c>
      <c r="D554" t="s">
        <v>29</v>
      </c>
      <c r="E554" t="s">
        <v>34</v>
      </c>
      <c r="F554" t="s">
        <v>35</v>
      </c>
      <c r="G554" t="s">
        <v>197</v>
      </c>
      <c r="H554" t="s">
        <v>59</v>
      </c>
      <c r="I554">
        <v>111.2</v>
      </c>
      <c r="J554">
        <v>108.63</v>
      </c>
      <c r="K554">
        <v>110.82</v>
      </c>
      <c r="L554">
        <v>65.59</v>
      </c>
      <c r="M554">
        <v>64.28</v>
      </c>
      <c r="N554">
        <v>65.98</v>
      </c>
    </row>
    <row r="555" spans="3:14" x14ac:dyDescent="0.15">
      <c r="C555" s="123">
        <v>42522</v>
      </c>
      <c r="D555" t="s">
        <v>29</v>
      </c>
      <c r="E555" t="s">
        <v>34</v>
      </c>
      <c r="F555" t="s">
        <v>35</v>
      </c>
      <c r="G555" t="s">
        <v>197</v>
      </c>
      <c r="H555" t="s">
        <v>60</v>
      </c>
      <c r="I555">
        <v>109.49</v>
      </c>
      <c r="J555">
        <v>106.91</v>
      </c>
      <c r="K555">
        <v>109.11</v>
      </c>
      <c r="L555">
        <v>63.88</v>
      </c>
      <c r="M555">
        <v>62.57</v>
      </c>
      <c r="N555">
        <v>64.27</v>
      </c>
    </row>
    <row r="556" spans="3:14" x14ac:dyDescent="0.15">
      <c r="C556" s="123">
        <v>42522</v>
      </c>
      <c r="D556" t="s">
        <v>29</v>
      </c>
      <c r="E556" t="s">
        <v>34</v>
      </c>
      <c r="F556" t="s">
        <v>35</v>
      </c>
      <c r="G556" t="s">
        <v>197</v>
      </c>
      <c r="H556" t="s">
        <v>648</v>
      </c>
      <c r="I556">
        <v>108.37</v>
      </c>
      <c r="J556">
        <v>105.79</v>
      </c>
      <c r="K556">
        <v>107.98</v>
      </c>
      <c r="L556">
        <v>62.75</v>
      </c>
      <c r="M556">
        <v>61.45</v>
      </c>
      <c r="N556">
        <v>63.14</v>
      </c>
    </row>
    <row r="557" spans="3:14" x14ac:dyDescent="0.15">
      <c r="C557" s="123">
        <v>42552</v>
      </c>
      <c r="D557" t="s">
        <v>29</v>
      </c>
      <c r="E557" t="s">
        <v>34</v>
      </c>
      <c r="F557" t="s">
        <v>35</v>
      </c>
      <c r="G557" t="s">
        <v>197</v>
      </c>
      <c r="H557" t="s">
        <v>59</v>
      </c>
      <c r="I557">
        <v>111.21</v>
      </c>
      <c r="J557">
        <v>109.08</v>
      </c>
      <c r="K557">
        <v>110.82</v>
      </c>
      <c r="L557">
        <v>65.75</v>
      </c>
      <c r="M557">
        <v>65.069999999999993</v>
      </c>
      <c r="N557">
        <v>66.14</v>
      </c>
    </row>
    <row r="558" spans="3:14" x14ac:dyDescent="0.15">
      <c r="C558" s="123">
        <v>42552</v>
      </c>
      <c r="D558" t="s">
        <v>29</v>
      </c>
      <c r="E558" t="s">
        <v>34</v>
      </c>
      <c r="F558" t="s">
        <v>35</v>
      </c>
      <c r="G558" t="s">
        <v>197</v>
      </c>
      <c r="H558" t="s">
        <v>60</v>
      </c>
      <c r="I558">
        <v>109.5</v>
      </c>
      <c r="J558">
        <v>107.37</v>
      </c>
      <c r="K558">
        <v>109.11</v>
      </c>
      <c r="L558">
        <v>64.040000000000006</v>
      </c>
      <c r="M558">
        <v>63.36</v>
      </c>
      <c r="N558">
        <v>64.430000000000007</v>
      </c>
    </row>
    <row r="559" spans="3:14" x14ac:dyDescent="0.15">
      <c r="C559" s="123">
        <v>42552</v>
      </c>
      <c r="D559" t="s">
        <v>29</v>
      </c>
      <c r="E559" t="s">
        <v>34</v>
      </c>
      <c r="F559" t="s">
        <v>35</v>
      </c>
      <c r="G559" t="s">
        <v>197</v>
      </c>
      <c r="H559" t="s">
        <v>648</v>
      </c>
      <c r="I559">
        <v>108.38</v>
      </c>
      <c r="J559">
        <v>106.25</v>
      </c>
      <c r="K559">
        <v>107.99</v>
      </c>
      <c r="L559">
        <v>62.91</v>
      </c>
      <c r="M559">
        <v>62.23</v>
      </c>
      <c r="N559">
        <v>63.3</v>
      </c>
    </row>
    <row r="560" spans="3:14" x14ac:dyDescent="0.15">
      <c r="C560" s="123">
        <v>42583</v>
      </c>
      <c r="D560" t="s">
        <v>29</v>
      </c>
      <c r="E560" t="s">
        <v>34</v>
      </c>
      <c r="F560" t="s">
        <v>35</v>
      </c>
      <c r="G560" t="s">
        <v>197</v>
      </c>
      <c r="H560" t="s">
        <v>59</v>
      </c>
      <c r="I560">
        <v>111.31</v>
      </c>
      <c r="J560">
        <v>110.62</v>
      </c>
      <c r="K560">
        <v>111.03</v>
      </c>
      <c r="L560">
        <v>66.27</v>
      </c>
      <c r="M560">
        <v>66.28</v>
      </c>
      <c r="N560">
        <v>66.569999999999993</v>
      </c>
    </row>
    <row r="561" spans="3:14" x14ac:dyDescent="0.15">
      <c r="C561" s="123">
        <v>42583</v>
      </c>
      <c r="D561" t="s">
        <v>29</v>
      </c>
      <c r="E561" t="s">
        <v>34</v>
      </c>
      <c r="F561" t="s">
        <v>35</v>
      </c>
      <c r="G561" t="s">
        <v>197</v>
      </c>
      <c r="H561" t="s">
        <v>60</v>
      </c>
      <c r="I561">
        <v>109.59</v>
      </c>
      <c r="J561">
        <v>108.91</v>
      </c>
      <c r="K561">
        <v>109.31</v>
      </c>
      <c r="L561">
        <v>64.56</v>
      </c>
      <c r="M561">
        <v>64.569999999999993</v>
      </c>
      <c r="N561">
        <v>64.86</v>
      </c>
    </row>
    <row r="562" spans="3:14" x14ac:dyDescent="0.15">
      <c r="C562" s="123">
        <v>42583</v>
      </c>
      <c r="D562" t="s">
        <v>29</v>
      </c>
      <c r="E562" t="s">
        <v>34</v>
      </c>
      <c r="F562" t="s">
        <v>35</v>
      </c>
      <c r="G562" t="s">
        <v>197</v>
      </c>
      <c r="H562" t="s">
        <v>648</v>
      </c>
      <c r="I562">
        <v>108.47</v>
      </c>
      <c r="J562">
        <v>107.79</v>
      </c>
      <c r="K562">
        <v>108.19</v>
      </c>
      <c r="L562">
        <v>63.43</v>
      </c>
      <c r="M562">
        <v>63.45</v>
      </c>
      <c r="N562">
        <v>63.73</v>
      </c>
    </row>
    <row r="563" spans="3:14" x14ac:dyDescent="0.15">
      <c r="C563" s="123">
        <v>42614</v>
      </c>
      <c r="D563" t="s">
        <v>29</v>
      </c>
      <c r="E563" t="s">
        <v>34</v>
      </c>
      <c r="F563" t="s">
        <v>35</v>
      </c>
      <c r="G563" t="s">
        <v>197</v>
      </c>
      <c r="H563" t="s">
        <v>59</v>
      </c>
      <c r="I563">
        <v>111.04</v>
      </c>
      <c r="J563">
        <v>111.93</v>
      </c>
      <c r="K563">
        <v>111.01</v>
      </c>
      <c r="L563">
        <v>66.260000000000005</v>
      </c>
      <c r="M563">
        <v>67.25</v>
      </c>
      <c r="N563">
        <v>66.739999999999995</v>
      </c>
    </row>
    <row r="564" spans="3:14" x14ac:dyDescent="0.15">
      <c r="C564" s="123">
        <v>42614</v>
      </c>
      <c r="D564" t="s">
        <v>29</v>
      </c>
      <c r="E564" t="s">
        <v>34</v>
      </c>
      <c r="F564" t="s">
        <v>35</v>
      </c>
      <c r="G564" t="s">
        <v>197</v>
      </c>
      <c r="H564" t="s">
        <v>60</v>
      </c>
      <c r="I564">
        <v>109.33</v>
      </c>
      <c r="J564">
        <v>110.21</v>
      </c>
      <c r="K564">
        <v>109.29</v>
      </c>
      <c r="L564">
        <v>64.55</v>
      </c>
      <c r="M564">
        <v>65.540000000000006</v>
      </c>
      <c r="N564">
        <v>65.03</v>
      </c>
    </row>
    <row r="565" spans="3:14" x14ac:dyDescent="0.15">
      <c r="C565" s="123">
        <v>42614</v>
      </c>
      <c r="D565" t="s">
        <v>29</v>
      </c>
      <c r="E565" t="s">
        <v>34</v>
      </c>
      <c r="F565" t="s">
        <v>35</v>
      </c>
      <c r="G565" t="s">
        <v>197</v>
      </c>
      <c r="H565" t="s">
        <v>648</v>
      </c>
      <c r="I565">
        <v>108.21</v>
      </c>
      <c r="J565">
        <v>109.09</v>
      </c>
      <c r="K565">
        <v>108.17</v>
      </c>
      <c r="L565">
        <v>63.42</v>
      </c>
      <c r="M565">
        <v>64.42</v>
      </c>
      <c r="N565">
        <v>63.9</v>
      </c>
    </row>
    <row r="566" spans="3:14" x14ac:dyDescent="0.15">
      <c r="C566" s="123">
        <v>42644</v>
      </c>
      <c r="D566" t="s">
        <v>29</v>
      </c>
      <c r="E566" t="s">
        <v>34</v>
      </c>
      <c r="F566" t="s">
        <v>35</v>
      </c>
      <c r="G566" t="s">
        <v>197</v>
      </c>
      <c r="H566" t="s">
        <v>59</v>
      </c>
      <c r="I566">
        <v>110.92</v>
      </c>
      <c r="J566">
        <v>112.85</v>
      </c>
      <c r="K566">
        <v>111</v>
      </c>
      <c r="L566">
        <v>66.34</v>
      </c>
      <c r="M566">
        <v>68.099999999999994</v>
      </c>
      <c r="N566">
        <v>66.94</v>
      </c>
    </row>
    <row r="567" spans="3:14" x14ac:dyDescent="0.15">
      <c r="C567" s="123">
        <v>42644</v>
      </c>
      <c r="D567" t="s">
        <v>29</v>
      </c>
      <c r="E567" t="s">
        <v>34</v>
      </c>
      <c r="F567" t="s">
        <v>35</v>
      </c>
      <c r="G567" t="s">
        <v>197</v>
      </c>
      <c r="H567" t="s">
        <v>60</v>
      </c>
      <c r="I567">
        <v>109.2</v>
      </c>
      <c r="J567">
        <v>111.14</v>
      </c>
      <c r="K567">
        <v>109.29</v>
      </c>
      <c r="L567">
        <v>64.63</v>
      </c>
      <c r="M567">
        <v>66.39</v>
      </c>
      <c r="N567">
        <v>65.23</v>
      </c>
    </row>
    <row r="568" spans="3:14" x14ac:dyDescent="0.15">
      <c r="C568" s="123">
        <v>42644</v>
      </c>
      <c r="D568" t="s">
        <v>29</v>
      </c>
      <c r="E568" t="s">
        <v>34</v>
      </c>
      <c r="F568" t="s">
        <v>35</v>
      </c>
      <c r="G568" t="s">
        <v>197</v>
      </c>
      <c r="H568" t="s">
        <v>648</v>
      </c>
      <c r="I568">
        <v>108.08</v>
      </c>
      <c r="J568">
        <v>110.02</v>
      </c>
      <c r="K568">
        <v>108.17</v>
      </c>
      <c r="L568">
        <v>63.5</v>
      </c>
      <c r="M568">
        <v>65.27</v>
      </c>
      <c r="N568">
        <v>64.11</v>
      </c>
    </row>
    <row r="569" spans="3:14" x14ac:dyDescent="0.15">
      <c r="C569" s="123">
        <v>42675</v>
      </c>
      <c r="D569" t="s">
        <v>29</v>
      </c>
      <c r="E569" t="s">
        <v>34</v>
      </c>
      <c r="F569" t="s">
        <v>35</v>
      </c>
      <c r="G569" t="s">
        <v>197</v>
      </c>
      <c r="H569" t="s">
        <v>59</v>
      </c>
      <c r="I569">
        <v>110.8</v>
      </c>
      <c r="J569">
        <v>113.08</v>
      </c>
      <c r="K569">
        <v>111.02</v>
      </c>
      <c r="L569">
        <v>66.44</v>
      </c>
      <c r="M569">
        <v>68.31</v>
      </c>
      <c r="N569">
        <v>67.14</v>
      </c>
    </row>
    <row r="570" spans="3:14" x14ac:dyDescent="0.15">
      <c r="C570" s="123">
        <v>42675</v>
      </c>
      <c r="D570" t="s">
        <v>29</v>
      </c>
      <c r="E570" t="s">
        <v>34</v>
      </c>
      <c r="F570" t="s">
        <v>35</v>
      </c>
      <c r="G570" t="s">
        <v>197</v>
      </c>
      <c r="H570" t="s">
        <v>60</v>
      </c>
      <c r="I570">
        <v>109.09</v>
      </c>
      <c r="J570">
        <v>111.37</v>
      </c>
      <c r="K570">
        <v>109.31</v>
      </c>
      <c r="L570">
        <v>64.73</v>
      </c>
      <c r="M570">
        <v>66.599999999999994</v>
      </c>
      <c r="N570">
        <v>65.430000000000007</v>
      </c>
    </row>
    <row r="571" spans="3:14" x14ac:dyDescent="0.15">
      <c r="C571" s="123">
        <v>42675</v>
      </c>
      <c r="D571" t="s">
        <v>29</v>
      </c>
      <c r="E571" t="s">
        <v>34</v>
      </c>
      <c r="F571" t="s">
        <v>35</v>
      </c>
      <c r="G571" t="s">
        <v>197</v>
      </c>
      <c r="H571" t="s">
        <v>648</v>
      </c>
      <c r="I571">
        <v>107.97</v>
      </c>
      <c r="J571">
        <v>110.24</v>
      </c>
      <c r="K571">
        <v>108.18</v>
      </c>
      <c r="L571">
        <v>63.6</v>
      </c>
      <c r="M571">
        <v>65.47</v>
      </c>
      <c r="N571">
        <v>64.31</v>
      </c>
    </row>
    <row r="572" spans="3:14" x14ac:dyDescent="0.15">
      <c r="C572" s="123">
        <v>42705</v>
      </c>
      <c r="D572" t="s">
        <v>29</v>
      </c>
      <c r="E572" t="s">
        <v>34</v>
      </c>
      <c r="F572" t="s">
        <v>35</v>
      </c>
      <c r="G572" t="s">
        <v>197</v>
      </c>
      <c r="H572" t="s">
        <v>59</v>
      </c>
      <c r="I572">
        <v>110.64</v>
      </c>
      <c r="J572">
        <v>112.97</v>
      </c>
      <c r="K572">
        <v>110.99</v>
      </c>
      <c r="L572">
        <v>66.489999999999995</v>
      </c>
      <c r="M572">
        <v>68.09</v>
      </c>
      <c r="N572">
        <v>67.239999999999995</v>
      </c>
    </row>
    <row r="573" spans="3:14" x14ac:dyDescent="0.15">
      <c r="C573" s="123">
        <v>42705</v>
      </c>
      <c r="D573" t="s">
        <v>29</v>
      </c>
      <c r="E573" t="s">
        <v>34</v>
      </c>
      <c r="F573" t="s">
        <v>35</v>
      </c>
      <c r="G573" t="s">
        <v>197</v>
      </c>
      <c r="H573" t="s">
        <v>60</v>
      </c>
      <c r="I573">
        <v>108.93</v>
      </c>
      <c r="J573">
        <v>111.25</v>
      </c>
      <c r="K573">
        <v>109.28</v>
      </c>
      <c r="L573">
        <v>64.78</v>
      </c>
      <c r="M573">
        <v>66.38</v>
      </c>
      <c r="N573">
        <v>65.53</v>
      </c>
    </row>
    <row r="574" spans="3:14" x14ac:dyDescent="0.15">
      <c r="C574" s="123">
        <v>42705</v>
      </c>
      <c r="D574" t="s">
        <v>29</v>
      </c>
      <c r="E574" t="s">
        <v>34</v>
      </c>
      <c r="F574" t="s">
        <v>35</v>
      </c>
      <c r="G574" t="s">
        <v>197</v>
      </c>
      <c r="H574" t="s">
        <v>648</v>
      </c>
      <c r="I574">
        <v>107.8</v>
      </c>
      <c r="J574">
        <v>110.13</v>
      </c>
      <c r="K574">
        <v>108.15</v>
      </c>
      <c r="L574">
        <v>63.65</v>
      </c>
      <c r="M574">
        <v>65.25</v>
      </c>
      <c r="N574">
        <v>64.41</v>
      </c>
    </row>
    <row r="575" spans="3:14" x14ac:dyDescent="0.15">
      <c r="C575" s="123">
        <v>42736</v>
      </c>
      <c r="D575" t="s">
        <v>29</v>
      </c>
      <c r="E575" t="s">
        <v>34</v>
      </c>
      <c r="F575" t="s">
        <v>35</v>
      </c>
      <c r="G575" t="s">
        <v>197</v>
      </c>
      <c r="H575" t="s">
        <v>59</v>
      </c>
      <c r="I575">
        <v>110.56</v>
      </c>
      <c r="J575">
        <v>112.43</v>
      </c>
      <c r="K575">
        <v>111.05</v>
      </c>
      <c r="L575">
        <v>66.58</v>
      </c>
      <c r="M575">
        <v>67.540000000000006</v>
      </c>
      <c r="N575">
        <v>67.33</v>
      </c>
    </row>
    <row r="576" spans="3:14" x14ac:dyDescent="0.15">
      <c r="C576" s="123">
        <v>42736</v>
      </c>
      <c r="D576" t="s">
        <v>29</v>
      </c>
      <c r="E576" t="s">
        <v>34</v>
      </c>
      <c r="F576" t="s">
        <v>35</v>
      </c>
      <c r="G576" t="s">
        <v>197</v>
      </c>
      <c r="H576" t="s">
        <v>60</v>
      </c>
      <c r="I576">
        <v>108.85</v>
      </c>
      <c r="J576">
        <v>110.72</v>
      </c>
      <c r="K576">
        <v>109.33</v>
      </c>
      <c r="L576">
        <v>64.87</v>
      </c>
      <c r="M576">
        <v>65.83</v>
      </c>
      <c r="N576">
        <v>65.62</v>
      </c>
    </row>
    <row r="577" spans="3:14" x14ac:dyDescent="0.15">
      <c r="C577" s="123">
        <v>42736</v>
      </c>
      <c r="D577" t="s">
        <v>29</v>
      </c>
      <c r="E577" t="s">
        <v>34</v>
      </c>
      <c r="F577" t="s">
        <v>35</v>
      </c>
      <c r="G577" t="s">
        <v>197</v>
      </c>
      <c r="H577" t="s">
        <v>648</v>
      </c>
      <c r="I577">
        <v>107.73</v>
      </c>
      <c r="J577">
        <v>109.59</v>
      </c>
      <c r="K577">
        <v>108.21</v>
      </c>
      <c r="L577">
        <v>63.74</v>
      </c>
      <c r="M577">
        <v>64.7</v>
      </c>
      <c r="N577">
        <v>64.5</v>
      </c>
    </row>
    <row r="578" spans="3:14" x14ac:dyDescent="0.15">
      <c r="C578" s="123">
        <v>42401</v>
      </c>
      <c r="D578" t="s">
        <v>29</v>
      </c>
      <c r="E578" t="s">
        <v>34</v>
      </c>
      <c r="F578" t="s">
        <v>36</v>
      </c>
      <c r="G578" t="s">
        <v>200</v>
      </c>
      <c r="H578" t="s">
        <v>59</v>
      </c>
      <c r="I578">
        <v>106.25</v>
      </c>
      <c r="J578">
        <v>107.61</v>
      </c>
      <c r="K578">
        <v>107.75</v>
      </c>
      <c r="L578">
        <v>61.98</v>
      </c>
      <c r="M578">
        <v>63.25</v>
      </c>
      <c r="N578">
        <v>63.89</v>
      </c>
    </row>
    <row r="579" spans="3:14" x14ac:dyDescent="0.15">
      <c r="C579" s="123">
        <v>42401</v>
      </c>
      <c r="D579" t="s">
        <v>29</v>
      </c>
      <c r="E579" t="s">
        <v>34</v>
      </c>
      <c r="F579" t="s">
        <v>36</v>
      </c>
      <c r="G579" t="s">
        <v>200</v>
      </c>
      <c r="H579" t="s">
        <v>60</v>
      </c>
      <c r="I579">
        <v>104.54</v>
      </c>
      <c r="J579">
        <v>105.9</v>
      </c>
      <c r="K579">
        <v>106.04</v>
      </c>
      <c r="L579">
        <v>60.27</v>
      </c>
      <c r="M579">
        <v>61.54</v>
      </c>
      <c r="N579">
        <v>62.18</v>
      </c>
    </row>
    <row r="580" spans="3:14" x14ac:dyDescent="0.15">
      <c r="C580" s="123">
        <v>42401</v>
      </c>
      <c r="D580" t="s">
        <v>29</v>
      </c>
      <c r="E580" t="s">
        <v>34</v>
      </c>
      <c r="F580" t="s">
        <v>36</v>
      </c>
      <c r="G580" t="s">
        <v>200</v>
      </c>
      <c r="H580" t="s">
        <v>648</v>
      </c>
      <c r="I580">
        <v>103.42</v>
      </c>
      <c r="J580">
        <v>104.77</v>
      </c>
      <c r="K580">
        <v>104.91</v>
      </c>
      <c r="L580">
        <v>59.14</v>
      </c>
      <c r="M580">
        <v>60.41</v>
      </c>
      <c r="N580">
        <v>61.05</v>
      </c>
    </row>
    <row r="581" spans="3:14" x14ac:dyDescent="0.15">
      <c r="C581" s="123">
        <v>42430</v>
      </c>
      <c r="D581" t="s">
        <v>29</v>
      </c>
      <c r="E581" t="s">
        <v>34</v>
      </c>
      <c r="F581" t="s">
        <v>36</v>
      </c>
      <c r="G581" t="s">
        <v>200</v>
      </c>
      <c r="H581" t="s">
        <v>59</v>
      </c>
      <c r="I581">
        <v>107.57</v>
      </c>
      <c r="J581">
        <v>107</v>
      </c>
      <c r="K581">
        <v>108.46</v>
      </c>
      <c r="L581">
        <v>62.64</v>
      </c>
      <c r="M581">
        <v>62.75</v>
      </c>
      <c r="N581">
        <v>64.22</v>
      </c>
    </row>
    <row r="582" spans="3:14" x14ac:dyDescent="0.15">
      <c r="C582" s="123">
        <v>42430</v>
      </c>
      <c r="D582" t="s">
        <v>29</v>
      </c>
      <c r="E582" t="s">
        <v>34</v>
      </c>
      <c r="F582" t="s">
        <v>36</v>
      </c>
      <c r="G582" t="s">
        <v>200</v>
      </c>
      <c r="H582" t="s">
        <v>60</v>
      </c>
      <c r="I582">
        <v>105.86</v>
      </c>
      <c r="J582">
        <v>105.29</v>
      </c>
      <c r="K582">
        <v>106.75</v>
      </c>
      <c r="L582">
        <v>60.93</v>
      </c>
      <c r="M582">
        <v>61.04</v>
      </c>
      <c r="N582">
        <v>62.51</v>
      </c>
    </row>
    <row r="583" spans="3:14" x14ac:dyDescent="0.15">
      <c r="C583" s="123">
        <v>42430</v>
      </c>
      <c r="D583" t="s">
        <v>29</v>
      </c>
      <c r="E583" t="s">
        <v>34</v>
      </c>
      <c r="F583" t="s">
        <v>36</v>
      </c>
      <c r="G583" t="s">
        <v>200</v>
      </c>
      <c r="H583" t="s">
        <v>648</v>
      </c>
      <c r="I583">
        <v>104.73</v>
      </c>
      <c r="J583">
        <v>104.16</v>
      </c>
      <c r="K583">
        <v>105.62</v>
      </c>
      <c r="L583">
        <v>59.8</v>
      </c>
      <c r="M583">
        <v>59.91</v>
      </c>
      <c r="N583">
        <v>61.38</v>
      </c>
    </row>
    <row r="584" spans="3:14" x14ac:dyDescent="0.15">
      <c r="C584" s="123">
        <v>42461</v>
      </c>
      <c r="D584" t="s">
        <v>29</v>
      </c>
      <c r="E584" t="s">
        <v>34</v>
      </c>
      <c r="F584" t="s">
        <v>36</v>
      </c>
      <c r="G584" t="s">
        <v>200</v>
      </c>
      <c r="H584" t="s">
        <v>59</v>
      </c>
      <c r="I584">
        <v>108.53</v>
      </c>
      <c r="J584">
        <v>106.65</v>
      </c>
      <c r="K584">
        <v>108.89</v>
      </c>
      <c r="L584">
        <v>63.49</v>
      </c>
      <c r="M584">
        <v>62.61</v>
      </c>
      <c r="N584">
        <v>64.63</v>
      </c>
    </row>
    <row r="585" spans="3:14" x14ac:dyDescent="0.15">
      <c r="C585" s="123">
        <v>42461</v>
      </c>
      <c r="D585" t="s">
        <v>29</v>
      </c>
      <c r="E585" t="s">
        <v>34</v>
      </c>
      <c r="F585" t="s">
        <v>36</v>
      </c>
      <c r="G585" t="s">
        <v>200</v>
      </c>
      <c r="H585" t="s">
        <v>60</v>
      </c>
      <c r="I585">
        <v>106.82</v>
      </c>
      <c r="J585">
        <v>104.94</v>
      </c>
      <c r="K585">
        <v>107.18</v>
      </c>
      <c r="L585">
        <v>61.78</v>
      </c>
      <c r="M585">
        <v>60.9</v>
      </c>
      <c r="N585">
        <v>62.92</v>
      </c>
    </row>
    <row r="586" spans="3:14" x14ac:dyDescent="0.15">
      <c r="C586" s="123">
        <v>42461</v>
      </c>
      <c r="D586" t="s">
        <v>29</v>
      </c>
      <c r="E586" t="s">
        <v>34</v>
      </c>
      <c r="F586" t="s">
        <v>36</v>
      </c>
      <c r="G586" t="s">
        <v>200</v>
      </c>
      <c r="H586" t="s">
        <v>648</v>
      </c>
      <c r="I586">
        <v>105.69</v>
      </c>
      <c r="J586">
        <v>103.82</v>
      </c>
      <c r="K586">
        <v>106.05</v>
      </c>
      <c r="L586">
        <v>60.65</v>
      </c>
      <c r="M586">
        <v>59.77</v>
      </c>
      <c r="N586">
        <v>61.79</v>
      </c>
    </row>
    <row r="587" spans="3:14" x14ac:dyDescent="0.15">
      <c r="C587" s="123">
        <v>42491</v>
      </c>
      <c r="D587" t="s">
        <v>29</v>
      </c>
      <c r="E587" t="s">
        <v>34</v>
      </c>
      <c r="F587" t="s">
        <v>36</v>
      </c>
      <c r="G587" t="s">
        <v>200</v>
      </c>
      <c r="H587" t="s">
        <v>59</v>
      </c>
      <c r="I587">
        <v>109.34</v>
      </c>
      <c r="J587">
        <v>106.87</v>
      </c>
      <c r="K587">
        <v>109.21</v>
      </c>
      <c r="L587">
        <v>64.27</v>
      </c>
      <c r="M587">
        <v>63.01</v>
      </c>
      <c r="N587">
        <v>64.989999999999995</v>
      </c>
    </row>
    <row r="588" spans="3:14" x14ac:dyDescent="0.15">
      <c r="C588" s="123">
        <v>42491</v>
      </c>
      <c r="D588" t="s">
        <v>29</v>
      </c>
      <c r="E588" t="s">
        <v>34</v>
      </c>
      <c r="F588" t="s">
        <v>36</v>
      </c>
      <c r="G588" t="s">
        <v>200</v>
      </c>
      <c r="H588" t="s">
        <v>60</v>
      </c>
      <c r="I588">
        <v>107.63</v>
      </c>
      <c r="J588">
        <v>105.16</v>
      </c>
      <c r="K588">
        <v>107.5</v>
      </c>
      <c r="L588">
        <v>62.56</v>
      </c>
      <c r="M588">
        <v>61.3</v>
      </c>
      <c r="N588">
        <v>63.28</v>
      </c>
    </row>
    <row r="589" spans="3:14" x14ac:dyDescent="0.15">
      <c r="C589" s="123">
        <v>42491</v>
      </c>
      <c r="D589" t="s">
        <v>29</v>
      </c>
      <c r="E589" t="s">
        <v>34</v>
      </c>
      <c r="F589" t="s">
        <v>36</v>
      </c>
      <c r="G589" t="s">
        <v>200</v>
      </c>
      <c r="H589" t="s">
        <v>648</v>
      </c>
      <c r="I589">
        <v>106.5</v>
      </c>
      <c r="J589">
        <v>104.03</v>
      </c>
      <c r="K589">
        <v>106.38</v>
      </c>
      <c r="L589">
        <v>61.43</v>
      </c>
      <c r="M589">
        <v>60.17</v>
      </c>
      <c r="N589">
        <v>62.15</v>
      </c>
    </row>
    <row r="590" spans="3:14" x14ac:dyDescent="0.15">
      <c r="C590" s="123">
        <v>42522</v>
      </c>
      <c r="D590" t="s">
        <v>29</v>
      </c>
      <c r="E590" t="s">
        <v>34</v>
      </c>
      <c r="F590" t="s">
        <v>36</v>
      </c>
      <c r="G590" t="s">
        <v>200</v>
      </c>
      <c r="H590" t="s">
        <v>59</v>
      </c>
      <c r="I590">
        <v>110.04</v>
      </c>
      <c r="J590">
        <v>107.31</v>
      </c>
      <c r="K590">
        <v>109.53</v>
      </c>
      <c r="L590">
        <v>65.040000000000006</v>
      </c>
      <c r="M590">
        <v>63.73</v>
      </c>
      <c r="N590">
        <v>65.34</v>
      </c>
    </row>
    <row r="591" spans="3:14" x14ac:dyDescent="0.15">
      <c r="C591" s="123">
        <v>42522</v>
      </c>
      <c r="D591" t="s">
        <v>29</v>
      </c>
      <c r="E591" t="s">
        <v>34</v>
      </c>
      <c r="F591" t="s">
        <v>36</v>
      </c>
      <c r="G591" t="s">
        <v>200</v>
      </c>
      <c r="H591" t="s">
        <v>60</v>
      </c>
      <c r="I591">
        <v>108.33</v>
      </c>
      <c r="J591">
        <v>105.6</v>
      </c>
      <c r="K591">
        <v>107.81</v>
      </c>
      <c r="L591">
        <v>63.33</v>
      </c>
      <c r="M591">
        <v>62.02</v>
      </c>
      <c r="N591">
        <v>63.63</v>
      </c>
    </row>
    <row r="592" spans="3:14" x14ac:dyDescent="0.15">
      <c r="C592" s="123">
        <v>42522</v>
      </c>
      <c r="D592" t="s">
        <v>29</v>
      </c>
      <c r="E592" t="s">
        <v>34</v>
      </c>
      <c r="F592" t="s">
        <v>36</v>
      </c>
      <c r="G592" t="s">
        <v>200</v>
      </c>
      <c r="H592" t="s">
        <v>648</v>
      </c>
      <c r="I592">
        <v>107.2</v>
      </c>
      <c r="J592">
        <v>104.48</v>
      </c>
      <c r="K592">
        <v>106.69</v>
      </c>
      <c r="L592">
        <v>62.2</v>
      </c>
      <c r="M592">
        <v>60.89</v>
      </c>
      <c r="N592">
        <v>62.5</v>
      </c>
    </row>
    <row r="593" spans="3:14" x14ac:dyDescent="0.15">
      <c r="C593" s="123">
        <v>42552</v>
      </c>
      <c r="D593" t="s">
        <v>29</v>
      </c>
      <c r="E593" t="s">
        <v>34</v>
      </c>
      <c r="F593" t="s">
        <v>36</v>
      </c>
      <c r="G593" t="s">
        <v>200</v>
      </c>
      <c r="H593" t="s">
        <v>59</v>
      </c>
      <c r="I593">
        <v>110.05</v>
      </c>
      <c r="J593">
        <v>107.87</v>
      </c>
      <c r="K593">
        <v>109.54</v>
      </c>
      <c r="L593">
        <v>65.23</v>
      </c>
      <c r="M593">
        <v>64.58</v>
      </c>
      <c r="N593">
        <v>65.52</v>
      </c>
    </row>
    <row r="594" spans="3:14" x14ac:dyDescent="0.15">
      <c r="C594" s="123">
        <v>42552</v>
      </c>
      <c r="D594" t="s">
        <v>29</v>
      </c>
      <c r="E594" t="s">
        <v>34</v>
      </c>
      <c r="F594" t="s">
        <v>36</v>
      </c>
      <c r="G594" t="s">
        <v>200</v>
      </c>
      <c r="H594" t="s">
        <v>60</v>
      </c>
      <c r="I594">
        <v>108.34</v>
      </c>
      <c r="J594">
        <v>106.16</v>
      </c>
      <c r="K594">
        <v>107.83</v>
      </c>
      <c r="L594">
        <v>63.52</v>
      </c>
      <c r="M594">
        <v>62.87</v>
      </c>
      <c r="N594">
        <v>63.81</v>
      </c>
    </row>
    <row r="595" spans="3:14" x14ac:dyDescent="0.15">
      <c r="C595" s="123">
        <v>42552</v>
      </c>
      <c r="D595" t="s">
        <v>29</v>
      </c>
      <c r="E595" t="s">
        <v>34</v>
      </c>
      <c r="F595" t="s">
        <v>36</v>
      </c>
      <c r="G595" t="s">
        <v>200</v>
      </c>
      <c r="H595" t="s">
        <v>648</v>
      </c>
      <c r="I595">
        <v>107.22</v>
      </c>
      <c r="J595">
        <v>105.04</v>
      </c>
      <c r="K595">
        <v>106.71</v>
      </c>
      <c r="L595">
        <v>62.39</v>
      </c>
      <c r="M595">
        <v>61.74</v>
      </c>
      <c r="N595">
        <v>62.68</v>
      </c>
    </row>
    <row r="596" spans="3:14" x14ac:dyDescent="0.15">
      <c r="C596" s="123">
        <v>42583</v>
      </c>
      <c r="D596" t="s">
        <v>29</v>
      </c>
      <c r="E596" t="s">
        <v>34</v>
      </c>
      <c r="F596" t="s">
        <v>36</v>
      </c>
      <c r="G596" t="s">
        <v>200</v>
      </c>
      <c r="H596" t="s">
        <v>59</v>
      </c>
      <c r="I596">
        <v>110.12</v>
      </c>
      <c r="J596">
        <v>109.47</v>
      </c>
      <c r="K596">
        <v>109.72</v>
      </c>
      <c r="L596">
        <v>65.72</v>
      </c>
      <c r="M596">
        <v>65.75</v>
      </c>
      <c r="N596">
        <v>65.930000000000007</v>
      </c>
    </row>
    <row r="597" spans="3:14" x14ac:dyDescent="0.15">
      <c r="C597" s="123">
        <v>42583</v>
      </c>
      <c r="D597" t="s">
        <v>29</v>
      </c>
      <c r="E597" t="s">
        <v>34</v>
      </c>
      <c r="F597" t="s">
        <v>36</v>
      </c>
      <c r="G597" t="s">
        <v>200</v>
      </c>
      <c r="H597" t="s">
        <v>60</v>
      </c>
      <c r="I597">
        <v>108.41</v>
      </c>
      <c r="J597">
        <v>107.76</v>
      </c>
      <c r="K597">
        <v>108</v>
      </c>
      <c r="L597">
        <v>64.010000000000005</v>
      </c>
      <c r="M597">
        <v>64.040000000000006</v>
      </c>
      <c r="N597">
        <v>64.22</v>
      </c>
    </row>
    <row r="598" spans="3:14" x14ac:dyDescent="0.15">
      <c r="C598" s="123">
        <v>42583</v>
      </c>
      <c r="D598" t="s">
        <v>29</v>
      </c>
      <c r="E598" t="s">
        <v>34</v>
      </c>
      <c r="F598" t="s">
        <v>36</v>
      </c>
      <c r="G598" t="s">
        <v>200</v>
      </c>
      <c r="H598" t="s">
        <v>648</v>
      </c>
      <c r="I598">
        <v>107.29</v>
      </c>
      <c r="J598">
        <v>106.63</v>
      </c>
      <c r="K598">
        <v>106.88</v>
      </c>
      <c r="L598">
        <v>62.88</v>
      </c>
      <c r="M598">
        <v>62.91</v>
      </c>
      <c r="N598">
        <v>63.09</v>
      </c>
    </row>
    <row r="599" spans="3:14" x14ac:dyDescent="0.15">
      <c r="C599" s="123">
        <v>42614</v>
      </c>
      <c r="D599" t="s">
        <v>29</v>
      </c>
      <c r="E599" t="s">
        <v>34</v>
      </c>
      <c r="F599" t="s">
        <v>36</v>
      </c>
      <c r="G599" t="s">
        <v>200</v>
      </c>
      <c r="H599" t="s">
        <v>59</v>
      </c>
      <c r="I599">
        <v>109.65</v>
      </c>
      <c r="J599">
        <v>110.76</v>
      </c>
      <c r="K599">
        <v>109.59</v>
      </c>
      <c r="L599">
        <v>65.53</v>
      </c>
      <c r="M599">
        <v>66.62</v>
      </c>
      <c r="N599">
        <v>66.010000000000005</v>
      </c>
    </row>
    <row r="600" spans="3:14" x14ac:dyDescent="0.15">
      <c r="C600" s="123">
        <v>42614</v>
      </c>
      <c r="D600" t="s">
        <v>29</v>
      </c>
      <c r="E600" t="s">
        <v>34</v>
      </c>
      <c r="F600" t="s">
        <v>36</v>
      </c>
      <c r="G600" t="s">
        <v>200</v>
      </c>
      <c r="H600" t="s">
        <v>60</v>
      </c>
      <c r="I600">
        <v>107.93</v>
      </c>
      <c r="J600">
        <v>109.05</v>
      </c>
      <c r="K600">
        <v>107.87</v>
      </c>
      <c r="L600">
        <v>63.82</v>
      </c>
      <c r="M600">
        <v>64.91</v>
      </c>
      <c r="N600">
        <v>64.3</v>
      </c>
    </row>
    <row r="601" spans="3:14" x14ac:dyDescent="0.15">
      <c r="C601" s="123">
        <v>42614</v>
      </c>
      <c r="D601" t="s">
        <v>29</v>
      </c>
      <c r="E601" t="s">
        <v>34</v>
      </c>
      <c r="F601" t="s">
        <v>36</v>
      </c>
      <c r="G601" t="s">
        <v>200</v>
      </c>
      <c r="H601" t="s">
        <v>648</v>
      </c>
      <c r="I601">
        <v>106.81</v>
      </c>
      <c r="J601">
        <v>107.93</v>
      </c>
      <c r="K601">
        <v>106.75</v>
      </c>
      <c r="L601">
        <v>62.7</v>
      </c>
      <c r="M601">
        <v>63.78</v>
      </c>
      <c r="N601">
        <v>63.17</v>
      </c>
    </row>
    <row r="602" spans="3:14" x14ac:dyDescent="0.15">
      <c r="C602" s="123">
        <v>42644</v>
      </c>
      <c r="D602" t="s">
        <v>29</v>
      </c>
      <c r="E602" t="s">
        <v>34</v>
      </c>
      <c r="F602" t="s">
        <v>36</v>
      </c>
      <c r="G602" t="s">
        <v>200</v>
      </c>
      <c r="H602" t="s">
        <v>59</v>
      </c>
      <c r="I602">
        <v>109.53</v>
      </c>
      <c r="J602">
        <v>111.65</v>
      </c>
      <c r="K602">
        <v>109.59</v>
      </c>
      <c r="L602">
        <v>65.63</v>
      </c>
      <c r="M602">
        <v>67.41</v>
      </c>
      <c r="N602">
        <v>66.22</v>
      </c>
    </row>
    <row r="603" spans="3:14" x14ac:dyDescent="0.15">
      <c r="C603" s="123">
        <v>42644</v>
      </c>
      <c r="D603" t="s">
        <v>29</v>
      </c>
      <c r="E603" t="s">
        <v>34</v>
      </c>
      <c r="F603" t="s">
        <v>36</v>
      </c>
      <c r="G603" t="s">
        <v>200</v>
      </c>
      <c r="H603" t="s">
        <v>60</v>
      </c>
      <c r="I603">
        <v>107.82</v>
      </c>
      <c r="J603">
        <v>109.93</v>
      </c>
      <c r="K603">
        <v>107.88</v>
      </c>
      <c r="L603">
        <v>63.92</v>
      </c>
      <c r="M603">
        <v>65.7</v>
      </c>
      <c r="N603">
        <v>64.510000000000005</v>
      </c>
    </row>
    <row r="604" spans="3:14" x14ac:dyDescent="0.15">
      <c r="C604" s="123">
        <v>42644</v>
      </c>
      <c r="D604" t="s">
        <v>29</v>
      </c>
      <c r="E604" t="s">
        <v>34</v>
      </c>
      <c r="F604" t="s">
        <v>36</v>
      </c>
      <c r="G604" t="s">
        <v>200</v>
      </c>
      <c r="H604" t="s">
        <v>648</v>
      </c>
      <c r="I604">
        <v>106.7</v>
      </c>
      <c r="J604">
        <v>108.81</v>
      </c>
      <c r="K604">
        <v>106.76</v>
      </c>
      <c r="L604">
        <v>62.79</v>
      </c>
      <c r="M604">
        <v>64.58</v>
      </c>
      <c r="N604">
        <v>63.38</v>
      </c>
    </row>
    <row r="605" spans="3:14" x14ac:dyDescent="0.15">
      <c r="C605" s="123">
        <v>42675</v>
      </c>
      <c r="D605" t="s">
        <v>29</v>
      </c>
      <c r="E605" t="s">
        <v>34</v>
      </c>
      <c r="F605" t="s">
        <v>36</v>
      </c>
      <c r="G605" t="s">
        <v>200</v>
      </c>
      <c r="H605" t="s">
        <v>59</v>
      </c>
      <c r="I605">
        <v>109.41</v>
      </c>
      <c r="J605">
        <v>111.79</v>
      </c>
      <c r="K605">
        <v>109.6</v>
      </c>
      <c r="L605">
        <v>65.709999999999994</v>
      </c>
      <c r="M605">
        <v>67.540000000000006</v>
      </c>
      <c r="N605">
        <v>66.41</v>
      </c>
    </row>
    <row r="606" spans="3:14" x14ac:dyDescent="0.15">
      <c r="C606" s="123">
        <v>42675</v>
      </c>
      <c r="D606" t="s">
        <v>29</v>
      </c>
      <c r="E606" t="s">
        <v>34</v>
      </c>
      <c r="F606" t="s">
        <v>36</v>
      </c>
      <c r="G606" t="s">
        <v>200</v>
      </c>
      <c r="H606" t="s">
        <v>60</v>
      </c>
      <c r="I606">
        <v>107.7</v>
      </c>
      <c r="J606">
        <v>110.08</v>
      </c>
      <c r="K606">
        <v>107.89</v>
      </c>
      <c r="L606">
        <v>64</v>
      </c>
      <c r="M606">
        <v>65.83</v>
      </c>
      <c r="N606">
        <v>64.7</v>
      </c>
    </row>
    <row r="607" spans="3:14" x14ac:dyDescent="0.15">
      <c r="C607" s="123">
        <v>42675</v>
      </c>
      <c r="D607" t="s">
        <v>29</v>
      </c>
      <c r="E607" t="s">
        <v>34</v>
      </c>
      <c r="F607" t="s">
        <v>36</v>
      </c>
      <c r="G607" t="s">
        <v>200</v>
      </c>
      <c r="H607" t="s">
        <v>648</v>
      </c>
      <c r="I607">
        <v>106.57</v>
      </c>
      <c r="J607">
        <v>108.95</v>
      </c>
      <c r="K607">
        <v>106.77</v>
      </c>
      <c r="L607">
        <v>62.88</v>
      </c>
      <c r="M607">
        <v>64.7</v>
      </c>
      <c r="N607">
        <v>63.57</v>
      </c>
    </row>
    <row r="608" spans="3:14" x14ac:dyDescent="0.15">
      <c r="C608" s="123">
        <v>42705</v>
      </c>
      <c r="D608" t="s">
        <v>29</v>
      </c>
      <c r="E608" t="s">
        <v>34</v>
      </c>
      <c r="F608" t="s">
        <v>36</v>
      </c>
      <c r="G608" t="s">
        <v>200</v>
      </c>
      <c r="H608" t="s">
        <v>59</v>
      </c>
      <c r="I608">
        <v>109.24</v>
      </c>
      <c r="J608">
        <v>111.61</v>
      </c>
      <c r="K608">
        <v>109.57</v>
      </c>
      <c r="L608">
        <v>65.760000000000005</v>
      </c>
      <c r="M608">
        <v>67.28</v>
      </c>
      <c r="N608">
        <v>66.510000000000005</v>
      </c>
    </row>
    <row r="609" spans="3:14" x14ac:dyDescent="0.15">
      <c r="C609" s="123">
        <v>42705</v>
      </c>
      <c r="D609" t="s">
        <v>29</v>
      </c>
      <c r="E609" t="s">
        <v>34</v>
      </c>
      <c r="F609" t="s">
        <v>36</v>
      </c>
      <c r="G609" t="s">
        <v>200</v>
      </c>
      <c r="H609" t="s">
        <v>60</v>
      </c>
      <c r="I609">
        <v>107.53</v>
      </c>
      <c r="J609">
        <v>109.9</v>
      </c>
      <c r="K609">
        <v>107.86</v>
      </c>
      <c r="L609">
        <v>64.05</v>
      </c>
      <c r="M609">
        <v>65.569999999999993</v>
      </c>
      <c r="N609">
        <v>64.8</v>
      </c>
    </row>
    <row r="610" spans="3:14" x14ac:dyDescent="0.15">
      <c r="C610" s="123">
        <v>42705</v>
      </c>
      <c r="D610" t="s">
        <v>29</v>
      </c>
      <c r="E610" t="s">
        <v>34</v>
      </c>
      <c r="F610" t="s">
        <v>36</v>
      </c>
      <c r="G610" t="s">
        <v>200</v>
      </c>
      <c r="H610" t="s">
        <v>648</v>
      </c>
      <c r="I610">
        <v>106.4</v>
      </c>
      <c r="J610">
        <v>108.78</v>
      </c>
      <c r="K610">
        <v>106.73</v>
      </c>
      <c r="L610">
        <v>62.92</v>
      </c>
      <c r="M610">
        <v>64.45</v>
      </c>
      <c r="N610">
        <v>63.67</v>
      </c>
    </row>
    <row r="611" spans="3:14" x14ac:dyDescent="0.15">
      <c r="C611" s="123">
        <v>42736</v>
      </c>
      <c r="D611" t="s">
        <v>29</v>
      </c>
      <c r="E611" t="s">
        <v>34</v>
      </c>
      <c r="F611" t="s">
        <v>36</v>
      </c>
      <c r="G611" t="s">
        <v>200</v>
      </c>
      <c r="H611" t="s">
        <v>59</v>
      </c>
      <c r="I611">
        <v>109.17</v>
      </c>
      <c r="J611">
        <v>110.99</v>
      </c>
      <c r="K611">
        <v>109.62</v>
      </c>
      <c r="L611">
        <v>65.849999999999994</v>
      </c>
      <c r="M611">
        <v>66.7</v>
      </c>
      <c r="N611">
        <v>66.59</v>
      </c>
    </row>
    <row r="612" spans="3:14" x14ac:dyDescent="0.15">
      <c r="C612" s="123">
        <v>42736</v>
      </c>
      <c r="D612" t="s">
        <v>29</v>
      </c>
      <c r="E612" t="s">
        <v>34</v>
      </c>
      <c r="F612" t="s">
        <v>36</v>
      </c>
      <c r="G612" t="s">
        <v>200</v>
      </c>
      <c r="H612" t="s">
        <v>60</v>
      </c>
      <c r="I612">
        <v>107.45</v>
      </c>
      <c r="J612">
        <v>109.28</v>
      </c>
      <c r="K612">
        <v>107.91</v>
      </c>
      <c r="L612">
        <v>64.14</v>
      </c>
      <c r="M612">
        <v>64.989999999999995</v>
      </c>
      <c r="N612">
        <v>64.88</v>
      </c>
    </row>
    <row r="613" spans="3:14" x14ac:dyDescent="0.15">
      <c r="C613" s="123">
        <v>42736</v>
      </c>
      <c r="D613" t="s">
        <v>29</v>
      </c>
      <c r="E613" t="s">
        <v>34</v>
      </c>
      <c r="F613" t="s">
        <v>36</v>
      </c>
      <c r="G613" t="s">
        <v>200</v>
      </c>
      <c r="H613" t="s">
        <v>648</v>
      </c>
      <c r="I613">
        <v>106.33</v>
      </c>
      <c r="J613">
        <v>108.15</v>
      </c>
      <c r="K613">
        <v>106.78</v>
      </c>
      <c r="L613">
        <v>63.01</v>
      </c>
      <c r="M613">
        <v>63.86</v>
      </c>
      <c r="N613">
        <v>63.75</v>
      </c>
    </row>
    <row r="614" spans="3:14" x14ac:dyDescent="0.15">
      <c r="C614" s="123">
        <v>42401</v>
      </c>
      <c r="D614" t="s">
        <v>18</v>
      </c>
      <c r="E614" t="s">
        <v>61</v>
      </c>
      <c r="F614" t="s">
        <v>13</v>
      </c>
      <c r="G614" t="s">
        <v>117</v>
      </c>
      <c r="H614" t="s">
        <v>59</v>
      </c>
      <c r="I614">
        <v>57.91</v>
      </c>
      <c r="J614">
        <v>58.75</v>
      </c>
      <c r="K614">
        <v>59.25</v>
      </c>
      <c r="L614">
        <v>23.1</v>
      </c>
      <c r="M614">
        <v>23.52</v>
      </c>
      <c r="N614">
        <v>24.39</v>
      </c>
    </row>
    <row r="615" spans="3:14" x14ac:dyDescent="0.15">
      <c r="C615" s="123">
        <v>42401</v>
      </c>
      <c r="D615" t="s">
        <v>18</v>
      </c>
      <c r="E615" t="s">
        <v>61</v>
      </c>
      <c r="F615" t="s">
        <v>13</v>
      </c>
      <c r="G615" t="s">
        <v>117</v>
      </c>
      <c r="H615" t="s">
        <v>60</v>
      </c>
      <c r="I615">
        <v>56.31</v>
      </c>
      <c r="J615">
        <v>57.15</v>
      </c>
      <c r="K615">
        <v>57.65</v>
      </c>
      <c r="L615">
        <v>21.5</v>
      </c>
      <c r="M615">
        <v>21.92</v>
      </c>
      <c r="N615">
        <v>22.79</v>
      </c>
    </row>
    <row r="616" spans="3:14" x14ac:dyDescent="0.15">
      <c r="C616" s="123">
        <v>42401</v>
      </c>
      <c r="D616" t="s">
        <v>18</v>
      </c>
      <c r="E616" t="s">
        <v>61</v>
      </c>
      <c r="F616" t="s">
        <v>13</v>
      </c>
      <c r="G616" t="s">
        <v>117</v>
      </c>
      <c r="H616" t="s">
        <v>648</v>
      </c>
      <c r="I616">
        <v>55.26</v>
      </c>
      <c r="J616">
        <v>56.1</v>
      </c>
      <c r="K616">
        <v>56.6</v>
      </c>
      <c r="L616">
        <v>20.45</v>
      </c>
      <c r="M616">
        <v>20.87</v>
      </c>
      <c r="N616">
        <v>21.74</v>
      </c>
    </row>
    <row r="617" spans="3:14" x14ac:dyDescent="0.15">
      <c r="C617" s="123">
        <v>42430</v>
      </c>
      <c r="D617" t="s">
        <v>18</v>
      </c>
      <c r="E617" t="s">
        <v>61</v>
      </c>
      <c r="F617" t="s">
        <v>13</v>
      </c>
      <c r="G617" t="s">
        <v>117</v>
      </c>
      <c r="H617" t="s">
        <v>59</v>
      </c>
      <c r="I617">
        <v>57.79</v>
      </c>
      <c r="J617">
        <v>58.67</v>
      </c>
      <c r="K617">
        <v>59.39</v>
      </c>
      <c r="L617">
        <v>22.8</v>
      </c>
      <c r="M617">
        <v>23.5</v>
      </c>
      <c r="N617">
        <v>24.47</v>
      </c>
    </row>
    <row r="618" spans="3:14" x14ac:dyDescent="0.15">
      <c r="C618" s="123">
        <v>42430</v>
      </c>
      <c r="D618" t="s">
        <v>18</v>
      </c>
      <c r="E618" t="s">
        <v>61</v>
      </c>
      <c r="F618" t="s">
        <v>13</v>
      </c>
      <c r="G618" t="s">
        <v>117</v>
      </c>
      <c r="H618" t="s">
        <v>60</v>
      </c>
      <c r="I618">
        <v>56.19</v>
      </c>
      <c r="J618">
        <v>57.07</v>
      </c>
      <c r="K618">
        <v>57.79</v>
      </c>
      <c r="L618">
        <v>21.2</v>
      </c>
      <c r="M618">
        <v>21.9</v>
      </c>
      <c r="N618">
        <v>22.87</v>
      </c>
    </row>
    <row r="619" spans="3:14" x14ac:dyDescent="0.15">
      <c r="C619" s="123">
        <v>42430</v>
      </c>
      <c r="D619" t="s">
        <v>18</v>
      </c>
      <c r="E619" t="s">
        <v>61</v>
      </c>
      <c r="F619" t="s">
        <v>13</v>
      </c>
      <c r="G619" t="s">
        <v>117</v>
      </c>
      <c r="H619" t="s">
        <v>648</v>
      </c>
      <c r="I619">
        <v>55.14</v>
      </c>
      <c r="J619">
        <v>56.02</v>
      </c>
      <c r="K619">
        <v>56.74</v>
      </c>
      <c r="L619">
        <v>20.149999999999999</v>
      </c>
      <c r="M619">
        <v>20.85</v>
      </c>
      <c r="N619">
        <v>21.82</v>
      </c>
    </row>
    <row r="620" spans="3:14" x14ac:dyDescent="0.15">
      <c r="C620" s="123">
        <v>42461</v>
      </c>
      <c r="D620" t="s">
        <v>18</v>
      </c>
      <c r="E620" t="s">
        <v>61</v>
      </c>
      <c r="F620" t="s">
        <v>13</v>
      </c>
      <c r="G620" t="s">
        <v>117</v>
      </c>
      <c r="H620" t="s">
        <v>59</v>
      </c>
      <c r="I620">
        <v>57.66</v>
      </c>
      <c r="J620">
        <v>58.45</v>
      </c>
      <c r="K620">
        <v>59.54</v>
      </c>
      <c r="L620">
        <v>22.48</v>
      </c>
      <c r="M620">
        <v>23.44</v>
      </c>
      <c r="N620">
        <v>24.56</v>
      </c>
    </row>
    <row r="621" spans="3:14" x14ac:dyDescent="0.15">
      <c r="C621" s="123">
        <v>42461</v>
      </c>
      <c r="D621" t="s">
        <v>18</v>
      </c>
      <c r="E621" t="s">
        <v>61</v>
      </c>
      <c r="F621" t="s">
        <v>13</v>
      </c>
      <c r="G621" t="s">
        <v>117</v>
      </c>
      <c r="H621" t="s">
        <v>60</v>
      </c>
      <c r="I621">
        <v>56.06</v>
      </c>
      <c r="J621">
        <v>56.85</v>
      </c>
      <c r="K621">
        <v>57.94</v>
      </c>
      <c r="L621">
        <v>20.88</v>
      </c>
      <c r="M621">
        <v>21.84</v>
      </c>
      <c r="N621">
        <v>22.96</v>
      </c>
    </row>
    <row r="622" spans="3:14" x14ac:dyDescent="0.15">
      <c r="C622" s="123">
        <v>42461</v>
      </c>
      <c r="D622" t="s">
        <v>18</v>
      </c>
      <c r="E622" t="s">
        <v>61</v>
      </c>
      <c r="F622" t="s">
        <v>13</v>
      </c>
      <c r="G622" t="s">
        <v>117</v>
      </c>
      <c r="H622" t="s">
        <v>648</v>
      </c>
      <c r="I622">
        <v>55.01</v>
      </c>
      <c r="J622">
        <v>55.8</v>
      </c>
      <c r="K622">
        <v>56.89</v>
      </c>
      <c r="L622">
        <v>19.829999999999998</v>
      </c>
      <c r="M622">
        <v>20.79</v>
      </c>
      <c r="N622">
        <v>21.91</v>
      </c>
    </row>
    <row r="623" spans="3:14" x14ac:dyDescent="0.15">
      <c r="C623" s="123">
        <v>42491</v>
      </c>
      <c r="D623" t="s">
        <v>18</v>
      </c>
      <c r="E623" t="s">
        <v>61</v>
      </c>
      <c r="F623" t="s">
        <v>13</v>
      </c>
      <c r="G623" t="s">
        <v>117</v>
      </c>
      <c r="H623" t="s">
        <v>59</v>
      </c>
      <c r="I623">
        <v>57.39</v>
      </c>
      <c r="J623">
        <v>58.34</v>
      </c>
      <c r="K623">
        <v>59.62</v>
      </c>
      <c r="L623">
        <v>22.14</v>
      </c>
      <c r="M623">
        <v>23.45</v>
      </c>
      <c r="N623">
        <v>24.62</v>
      </c>
    </row>
    <row r="624" spans="3:14" x14ac:dyDescent="0.15">
      <c r="C624" s="123">
        <v>42491</v>
      </c>
      <c r="D624" t="s">
        <v>18</v>
      </c>
      <c r="E624" t="s">
        <v>61</v>
      </c>
      <c r="F624" t="s">
        <v>13</v>
      </c>
      <c r="G624" t="s">
        <v>117</v>
      </c>
      <c r="H624" t="s">
        <v>60</v>
      </c>
      <c r="I624">
        <v>55.79</v>
      </c>
      <c r="J624">
        <v>56.74</v>
      </c>
      <c r="K624">
        <v>58.02</v>
      </c>
      <c r="L624">
        <v>20.54</v>
      </c>
      <c r="M624">
        <v>21.85</v>
      </c>
      <c r="N624">
        <v>23.02</v>
      </c>
    </row>
    <row r="625" spans="3:14" x14ac:dyDescent="0.15">
      <c r="C625" s="123">
        <v>42491</v>
      </c>
      <c r="D625" t="s">
        <v>18</v>
      </c>
      <c r="E625" t="s">
        <v>61</v>
      </c>
      <c r="F625" t="s">
        <v>13</v>
      </c>
      <c r="G625" t="s">
        <v>117</v>
      </c>
      <c r="H625" t="s">
        <v>648</v>
      </c>
      <c r="I625">
        <v>54.74</v>
      </c>
      <c r="J625">
        <v>55.69</v>
      </c>
      <c r="K625">
        <v>56.97</v>
      </c>
      <c r="L625">
        <v>19.489999999999998</v>
      </c>
      <c r="M625">
        <v>20.8</v>
      </c>
      <c r="N625">
        <v>21.97</v>
      </c>
    </row>
    <row r="626" spans="3:14" x14ac:dyDescent="0.15">
      <c r="C626" s="123">
        <v>42522</v>
      </c>
      <c r="D626" t="s">
        <v>18</v>
      </c>
      <c r="E626" t="s">
        <v>61</v>
      </c>
      <c r="F626" t="s">
        <v>13</v>
      </c>
      <c r="G626" t="s">
        <v>117</v>
      </c>
      <c r="H626" t="s">
        <v>59</v>
      </c>
      <c r="I626">
        <v>57.07</v>
      </c>
      <c r="J626">
        <v>58.19</v>
      </c>
      <c r="K626">
        <v>59.7</v>
      </c>
      <c r="L626">
        <v>21.76</v>
      </c>
      <c r="M626">
        <v>23.4</v>
      </c>
      <c r="N626">
        <v>24.68</v>
      </c>
    </row>
    <row r="627" spans="3:14" x14ac:dyDescent="0.15">
      <c r="C627" s="123">
        <v>42522</v>
      </c>
      <c r="D627" t="s">
        <v>18</v>
      </c>
      <c r="E627" t="s">
        <v>61</v>
      </c>
      <c r="F627" t="s">
        <v>13</v>
      </c>
      <c r="G627" t="s">
        <v>117</v>
      </c>
      <c r="H627" t="s">
        <v>60</v>
      </c>
      <c r="I627">
        <v>55.47</v>
      </c>
      <c r="J627">
        <v>56.59</v>
      </c>
      <c r="K627">
        <v>58.1</v>
      </c>
      <c r="L627">
        <v>20.16</v>
      </c>
      <c r="M627">
        <v>21.8</v>
      </c>
      <c r="N627">
        <v>23.08</v>
      </c>
    </row>
    <row r="628" spans="3:14" x14ac:dyDescent="0.15">
      <c r="C628" s="123">
        <v>42522</v>
      </c>
      <c r="D628" t="s">
        <v>18</v>
      </c>
      <c r="E628" t="s">
        <v>61</v>
      </c>
      <c r="F628" t="s">
        <v>13</v>
      </c>
      <c r="G628" t="s">
        <v>117</v>
      </c>
      <c r="H628" t="s">
        <v>648</v>
      </c>
      <c r="I628">
        <v>54.42</v>
      </c>
      <c r="J628">
        <v>55.54</v>
      </c>
      <c r="K628">
        <v>57.05</v>
      </c>
      <c r="L628">
        <v>19.11</v>
      </c>
      <c r="M628">
        <v>20.75</v>
      </c>
      <c r="N628">
        <v>22.03</v>
      </c>
    </row>
    <row r="629" spans="3:14" x14ac:dyDescent="0.15">
      <c r="C629" s="123">
        <v>42552</v>
      </c>
      <c r="D629" t="s">
        <v>18</v>
      </c>
      <c r="E629" t="s">
        <v>61</v>
      </c>
      <c r="F629" t="s">
        <v>13</v>
      </c>
      <c r="G629" t="s">
        <v>117</v>
      </c>
      <c r="H629" t="s">
        <v>59</v>
      </c>
      <c r="I629">
        <v>57.59</v>
      </c>
      <c r="J629">
        <v>58.4</v>
      </c>
      <c r="K629">
        <v>59.99</v>
      </c>
      <c r="L629">
        <v>22.24</v>
      </c>
      <c r="M629">
        <v>23.68</v>
      </c>
      <c r="N629">
        <v>25</v>
      </c>
    </row>
    <row r="630" spans="3:14" x14ac:dyDescent="0.15">
      <c r="C630" s="123">
        <v>42552</v>
      </c>
      <c r="D630" t="s">
        <v>18</v>
      </c>
      <c r="E630" t="s">
        <v>61</v>
      </c>
      <c r="F630" t="s">
        <v>13</v>
      </c>
      <c r="G630" t="s">
        <v>117</v>
      </c>
      <c r="H630" t="s">
        <v>60</v>
      </c>
      <c r="I630">
        <v>55.99</v>
      </c>
      <c r="J630">
        <v>56.8</v>
      </c>
      <c r="K630">
        <v>58.39</v>
      </c>
      <c r="L630">
        <v>20.64</v>
      </c>
      <c r="M630">
        <v>22.08</v>
      </c>
      <c r="N630">
        <v>23.4</v>
      </c>
    </row>
    <row r="631" spans="3:14" x14ac:dyDescent="0.15">
      <c r="C631" s="123">
        <v>42552</v>
      </c>
      <c r="D631" t="s">
        <v>18</v>
      </c>
      <c r="E631" t="s">
        <v>61</v>
      </c>
      <c r="F631" t="s">
        <v>13</v>
      </c>
      <c r="G631" t="s">
        <v>117</v>
      </c>
      <c r="H631" t="s">
        <v>648</v>
      </c>
      <c r="I631">
        <v>54.94</v>
      </c>
      <c r="J631">
        <v>55.75</v>
      </c>
      <c r="K631">
        <v>57.34</v>
      </c>
      <c r="L631">
        <v>19.59</v>
      </c>
      <c r="M631">
        <v>21.03</v>
      </c>
      <c r="N631">
        <v>22.35</v>
      </c>
    </row>
    <row r="632" spans="3:14" x14ac:dyDescent="0.15">
      <c r="C632" s="123">
        <v>42583</v>
      </c>
      <c r="D632" t="s">
        <v>18</v>
      </c>
      <c r="E632" t="s">
        <v>61</v>
      </c>
      <c r="F632" t="s">
        <v>13</v>
      </c>
      <c r="G632" t="s">
        <v>117</v>
      </c>
      <c r="H632" t="s">
        <v>59</v>
      </c>
      <c r="I632">
        <v>58.04</v>
      </c>
      <c r="J632">
        <v>58.94</v>
      </c>
      <c r="K632">
        <v>60.32</v>
      </c>
      <c r="L632">
        <v>22.76</v>
      </c>
      <c r="M632">
        <v>24.16</v>
      </c>
      <c r="N632">
        <v>25.34</v>
      </c>
    </row>
    <row r="633" spans="3:14" x14ac:dyDescent="0.15">
      <c r="C633" s="123">
        <v>42583</v>
      </c>
      <c r="D633" t="s">
        <v>18</v>
      </c>
      <c r="E633" t="s">
        <v>61</v>
      </c>
      <c r="F633" t="s">
        <v>13</v>
      </c>
      <c r="G633" t="s">
        <v>117</v>
      </c>
      <c r="H633" t="s">
        <v>60</v>
      </c>
      <c r="I633">
        <v>56.44</v>
      </c>
      <c r="J633">
        <v>57.34</v>
      </c>
      <c r="K633">
        <v>58.72</v>
      </c>
      <c r="L633">
        <v>21.16</v>
      </c>
      <c r="M633">
        <v>22.56</v>
      </c>
      <c r="N633">
        <v>23.74</v>
      </c>
    </row>
    <row r="634" spans="3:14" x14ac:dyDescent="0.15">
      <c r="C634" s="123">
        <v>42583</v>
      </c>
      <c r="D634" t="s">
        <v>18</v>
      </c>
      <c r="E634" t="s">
        <v>61</v>
      </c>
      <c r="F634" t="s">
        <v>13</v>
      </c>
      <c r="G634" t="s">
        <v>117</v>
      </c>
      <c r="H634" t="s">
        <v>648</v>
      </c>
      <c r="I634">
        <v>55.39</v>
      </c>
      <c r="J634">
        <v>56.29</v>
      </c>
      <c r="K634">
        <v>57.67</v>
      </c>
      <c r="L634">
        <v>20.11</v>
      </c>
      <c r="M634">
        <v>21.51</v>
      </c>
      <c r="N634">
        <v>22.69</v>
      </c>
    </row>
    <row r="635" spans="3:14" x14ac:dyDescent="0.15">
      <c r="C635" s="123">
        <v>42614</v>
      </c>
      <c r="D635" t="s">
        <v>18</v>
      </c>
      <c r="E635" t="s">
        <v>61</v>
      </c>
      <c r="F635" t="s">
        <v>13</v>
      </c>
      <c r="G635" t="s">
        <v>117</v>
      </c>
      <c r="H635" t="s">
        <v>59</v>
      </c>
      <c r="I635">
        <v>58.47</v>
      </c>
      <c r="J635">
        <v>59.5</v>
      </c>
      <c r="K635">
        <v>60.62</v>
      </c>
      <c r="L635">
        <v>23.26</v>
      </c>
      <c r="M635">
        <v>24.63</v>
      </c>
      <c r="N635">
        <v>25.68</v>
      </c>
    </row>
    <row r="636" spans="3:14" x14ac:dyDescent="0.15">
      <c r="C636" s="123">
        <v>42614</v>
      </c>
      <c r="D636" t="s">
        <v>18</v>
      </c>
      <c r="E636" t="s">
        <v>61</v>
      </c>
      <c r="F636" t="s">
        <v>13</v>
      </c>
      <c r="G636" t="s">
        <v>117</v>
      </c>
      <c r="H636" t="s">
        <v>60</v>
      </c>
      <c r="I636">
        <v>56.87</v>
      </c>
      <c r="J636">
        <v>57.9</v>
      </c>
      <c r="K636">
        <v>59.02</v>
      </c>
      <c r="L636">
        <v>21.66</v>
      </c>
      <c r="M636">
        <v>23.03</v>
      </c>
      <c r="N636">
        <v>24.08</v>
      </c>
    </row>
    <row r="637" spans="3:14" x14ac:dyDescent="0.15">
      <c r="C637" s="123">
        <v>42614</v>
      </c>
      <c r="D637" t="s">
        <v>18</v>
      </c>
      <c r="E637" t="s">
        <v>61</v>
      </c>
      <c r="F637" t="s">
        <v>13</v>
      </c>
      <c r="G637" t="s">
        <v>117</v>
      </c>
      <c r="H637" t="s">
        <v>648</v>
      </c>
      <c r="I637">
        <v>55.82</v>
      </c>
      <c r="J637">
        <v>56.85</v>
      </c>
      <c r="K637">
        <v>57.97</v>
      </c>
      <c r="L637">
        <v>20.61</v>
      </c>
      <c r="M637">
        <v>21.98</v>
      </c>
      <c r="N637">
        <v>23.03</v>
      </c>
    </row>
    <row r="638" spans="3:14" x14ac:dyDescent="0.15">
      <c r="C638" s="123">
        <v>42644</v>
      </c>
      <c r="D638" t="s">
        <v>18</v>
      </c>
      <c r="E638" t="s">
        <v>61</v>
      </c>
      <c r="F638" t="s">
        <v>13</v>
      </c>
      <c r="G638" t="s">
        <v>117</v>
      </c>
      <c r="H638" t="s">
        <v>59</v>
      </c>
      <c r="I638">
        <v>58.91</v>
      </c>
      <c r="J638">
        <v>60.22</v>
      </c>
      <c r="K638">
        <v>60.86</v>
      </c>
      <c r="L638">
        <v>23.74</v>
      </c>
      <c r="M638">
        <v>25.13</v>
      </c>
      <c r="N638">
        <v>26.01</v>
      </c>
    </row>
    <row r="639" spans="3:14" x14ac:dyDescent="0.15">
      <c r="C639" s="123">
        <v>42644</v>
      </c>
      <c r="D639" t="s">
        <v>18</v>
      </c>
      <c r="E639" t="s">
        <v>61</v>
      </c>
      <c r="F639" t="s">
        <v>13</v>
      </c>
      <c r="G639" t="s">
        <v>117</v>
      </c>
      <c r="H639" t="s">
        <v>60</v>
      </c>
      <c r="I639">
        <v>57.31</v>
      </c>
      <c r="J639">
        <v>58.62</v>
      </c>
      <c r="K639">
        <v>59.26</v>
      </c>
      <c r="L639">
        <v>22.14</v>
      </c>
      <c r="M639">
        <v>23.53</v>
      </c>
      <c r="N639">
        <v>24.41</v>
      </c>
    </row>
    <row r="640" spans="3:14" x14ac:dyDescent="0.15">
      <c r="C640" s="123">
        <v>42644</v>
      </c>
      <c r="D640" t="s">
        <v>18</v>
      </c>
      <c r="E640" t="s">
        <v>61</v>
      </c>
      <c r="F640" t="s">
        <v>13</v>
      </c>
      <c r="G640" t="s">
        <v>117</v>
      </c>
      <c r="H640" t="s">
        <v>648</v>
      </c>
      <c r="I640">
        <v>56.26</v>
      </c>
      <c r="J640">
        <v>57.57</v>
      </c>
      <c r="K640">
        <v>58.21</v>
      </c>
      <c r="L640">
        <v>21.09</v>
      </c>
      <c r="M640">
        <v>22.48</v>
      </c>
      <c r="N640">
        <v>23.36</v>
      </c>
    </row>
    <row r="641" spans="3:14" x14ac:dyDescent="0.15">
      <c r="C641" s="123">
        <v>42675</v>
      </c>
      <c r="D641" t="s">
        <v>18</v>
      </c>
      <c r="E641" t="s">
        <v>61</v>
      </c>
      <c r="F641" t="s">
        <v>13</v>
      </c>
      <c r="G641" t="s">
        <v>117</v>
      </c>
      <c r="H641" t="s">
        <v>59</v>
      </c>
      <c r="I641">
        <v>59.37</v>
      </c>
      <c r="J641">
        <v>60.76</v>
      </c>
      <c r="K641">
        <v>61.16</v>
      </c>
      <c r="L641">
        <v>24.21</v>
      </c>
      <c r="M641">
        <v>25.55</v>
      </c>
      <c r="N641">
        <v>26.33</v>
      </c>
    </row>
    <row r="642" spans="3:14" x14ac:dyDescent="0.15">
      <c r="C642" s="123">
        <v>42675</v>
      </c>
      <c r="D642" t="s">
        <v>18</v>
      </c>
      <c r="E642" t="s">
        <v>61</v>
      </c>
      <c r="F642" t="s">
        <v>13</v>
      </c>
      <c r="G642" t="s">
        <v>117</v>
      </c>
      <c r="H642" t="s">
        <v>60</v>
      </c>
      <c r="I642">
        <v>57.77</v>
      </c>
      <c r="J642">
        <v>59.16</v>
      </c>
      <c r="K642">
        <v>59.56</v>
      </c>
      <c r="L642">
        <v>22.61</v>
      </c>
      <c r="M642">
        <v>23.95</v>
      </c>
      <c r="N642">
        <v>24.73</v>
      </c>
    </row>
    <row r="643" spans="3:14" x14ac:dyDescent="0.15">
      <c r="C643" s="123">
        <v>42675</v>
      </c>
      <c r="D643" t="s">
        <v>18</v>
      </c>
      <c r="E643" t="s">
        <v>61</v>
      </c>
      <c r="F643" t="s">
        <v>13</v>
      </c>
      <c r="G643" t="s">
        <v>117</v>
      </c>
      <c r="H643" t="s">
        <v>648</v>
      </c>
      <c r="I643">
        <v>56.72</v>
      </c>
      <c r="J643">
        <v>58.11</v>
      </c>
      <c r="K643">
        <v>58.51</v>
      </c>
      <c r="L643">
        <v>21.56</v>
      </c>
      <c r="M643">
        <v>22.9</v>
      </c>
      <c r="N643">
        <v>23.68</v>
      </c>
    </row>
    <row r="644" spans="3:14" x14ac:dyDescent="0.15">
      <c r="C644" s="123">
        <v>42705</v>
      </c>
      <c r="D644" t="s">
        <v>18</v>
      </c>
      <c r="E644" t="s">
        <v>61</v>
      </c>
      <c r="F644" t="s">
        <v>13</v>
      </c>
      <c r="G644" t="s">
        <v>117</v>
      </c>
      <c r="H644" t="s">
        <v>59</v>
      </c>
      <c r="I644">
        <v>59.75</v>
      </c>
      <c r="J644">
        <v>61.3</v>
      </c>
      <c r="K644">
        <v>61.42</v>
      </c>
      <c r="L644">
        <v>24.67</v>
      </c>
      <c r="M644">
        <v>26</v>
      </c>
      <c r="N644">
        <v>26.64</v>
      </c>
    </row>
    <row r="645" spans="3:14" x14ac:dyDescent="0.15">
      <c r="C645" s="123">
        <v>42705</v>
      </c>
      <c r="D645" t="s">
        <v>18</v>
      </c>
      <c r="E645" t="s">
        <v>61</v>
      </c>
      <c r="F645" t="s">
        <v>13</v>
      </c>
      <c r="G645" t="s">
        <v>117</v>
      </c>
      <c r="H645" t="s">
        <v>60</v>
      </c>
      <c r="I645">
        <v>58.15</v>
      </c>
      <c r="J645">
        <v>59.7</v>
      </c>
      <c r="K645">
        <v>59.82</v>
      </c>
      <c r="L645">
        <v>23.07</v>
      </c>
      <c r="M645">
        <v>24.4</v>
      </c>
      <c r="N645">
        <v>25.04</v>
      </c>
    </row>
    <row r="646" spans="3:14" x14ac:dyDescent="0.15">
      <c r="C646" s="123">
        <v>42705</v>
      </c>
      <c r="D646" t="s">
        <v>18</v>
      </c>
      <c r="E646" t="s">
        <v>61</v>
      </c>
      <c r="F646" t="s">
        <v>13</v>
      </c>
      <c r="G646" t="s">
        <v>117</v>
      </c>
      <c r="H646" t="s">
        <v>648</v>
      </c>
      <c r="I646">
        <v>57.1</v>
      </c>
      <c r="J646">
        <v>58.65</v>
      </c>
      <c r="K646">
        <v>58.77</v>
      </c>
      <c r="L646">
        <v>22.02</v>
      </c>
      <c r="M646">
        <v>23.35</v>
      </c>
      <c r="N646">
        <v>23.99</v>
      </c>
    </row>
    <row r="647" spans="3:14" x14ac:dyDescent="0.15">
      <c r="C647" s="123">
        <v>42736</v>
      </c>
      <c r="D647" t="s">
        <v>18</v>
      </c>
      <c r="E647" t="s">
        <v>61</v>
      </c>
      <c r="F647" t="s">
        <v>13</v>
      </c>
      <c r="G647" t="s">
        <v>117</v>
      </c>
      <c r="H647" t="s">
        <v>59</v>
      </c>
      <c r="I647">
        <v>60.19</v>
      </c>
      <c r="J647">
        <v>61.8</v>
      </c>
      <c r="K647">
        <v>61.76</v>
      </c>
      <c r="L647">
        <v>25.19</v>
      </c>
      <c r="M647">
        <v>26.5</v>
      </c>
      <c r="N647">
        <v>26.99</v>
      </c>
    </row>
    <row r="648" spans="3:14" x14ac:dyDescent="0.15">
      <c r="C648" s="123">
        <v>42736</v>
      </c>
      <c r="D648" t="s">
        <v>18</v>
      </c>
      <c r="E648" t="s">
        <v>61</v>
      </c>
      <c r="F648" t="s">
        <v>13</v>
      </c>
      <c r="G648" t="s">
        <v>117</v>
      </c>
      <c r="H648" t="s">
        <v>60</v>
      </c>
      <c r="I648">
        <v>58.59</v>
      </c>
      <c r="J648">
        <v>60.2</v>
      </c>
      <c r="K648">
        <v>60.16</v>
      </c>
      <c r="L648">
        <v>23.59</v>
      </c>
      <c r="M648">
        <v>24.9</v>
      </c>
      <c r="N648">
        <v>25.39</v>
      </c>
    </row>
    <row r="649" spans="3:14" x14ac:dyDescent="0.15">
      <c r="C649" s="123">
        <v>42736</v>
      </c>
      <c r="D649" t="s">
        <v>18</v>
      </c>
      <c r="E649" t="s">
        <v>61</v>
      </c>
      <c r="F649" t="s">
        <v>13</v>
      </c>
      <c r="G649" t="s">
        <v>117</v>
      </c>
      <c r="H649" t="s">
        <v>648</v>
      </c>
      <c r="I649">
        <v>57.54</v>
      </c>
      <c r="J649">
        <v>59.15</v>
      </c>
      <c r="K649">
        <v>59.11</v>
      </c>
      <c r="L649">
        <v>22.54</v>
      </c>
      <c r="M649">
        <v>23.85</v>
      </c>
      <c r="N649">
        <v>24.34</v>
      </c>
    </row>
    <row r="650" spans="3:14" x14ac:dyDescent="0.15">
      <c r="C650" s="123">
        <v>42401</v>
      </c>
      <c r="D650" t="s">
        <v>18</v>
      </c>
      <c r="E650" t="s">
        <v>61</v>
      </c>
      <c r="F650" t="s">
        <v>19</v>
      </c>
      <c r="G650" t="s">
        <v>120</v>
      </c>
      <c r="H650" t="s">
        <v>59</v>
      </c>
      <c r="I650">
        <v>59.49</v>
      </c>
      <c r="J650">
        <v>60.14</v>
      </c>
      <c r="K650">
        <v>60.85</v>
      </c>
      <c r="L650">
        <v>23.18</v>
      </c>
      <c r="M650">
        <v>23.34</v>
      </c>
      <c r="N650">
        <v>24.46</v>
      </c>
    </row>
    <row r="651" spans="3:14" x14ac:dyDescent="0.15">
      <c r="C651" s="123">
        <v>42401</v>
      </c>
      <c r="D651" t="s">
        <v>18</v>
      </c>
      <c r="E651" t="s">
        <v>61</v>
      </c>
      <c r="F651" t="s">
        <v>19</v>
      </c>
      <c r="G651" t="s">
        <v>120</v>
      </c>
      <c r="H651" t="s">
        <v>60</v>
      </c>
      <c r="I651">
        <v>57.89</v>
      </c>
      <c r="J651">
        <v>58.54</v>
      </c>
      <c r="K651">
        <v>59.25</v>
      </c>
      <c r="L651">
        <v>21.58</v>
      </c>
      <c r="M651">
        <v>21.74</v>
      </c>
      <c r="N651">
        <v>22.86</v>
      </c>
    </row>
    <row r="652" spans="3:14" x14ac:dyDescent="0.15">
      <c r="C652" s="123">
        <v>42401</v>
      </c>
      <c r="D652" t="s">
        <v>18</v>
      </c>
      <c r="E652" t="s">
        <v>61</v>
      </c>
      <c r="F652" t="s">
        <v>19</v>
      </c>
      <c r="G652" t="s">
        <v>120</v>
      </c>
      <c r="H652" t="s">
        <v>648</v>
      </c>
      <c r="I652">
        <v>56.84</v>
      </c>
      <c r="J652">
        <v>57.49</v>
      </c>
      <c r="K652">
        <v>58.2</v>
      </c>
      <c r="L652">
        <v>20.53</v>
      </c>
      <c r="M652">
        <v>20.69</v>
      </c>
      <c r="N652">
        <v>21.81</v>
      </c>
    </row>
    <row r="653" spans="3:14" x14ac:dyDescent="0.15">
      <c r="C653" s="123">
        <v>42430</v>
      </c>
      <c r="D653" t="s">
        <v>18</v>
      </c>
      <c r="E653" t="s">
        <v>61</v>
      </c>
      <c r="F653" t="s">
        <v>19</v>
      </c>
      <c r="G653" t="s">
        <v>120</v>
      </c>
      <c r="H653" t="s">
        <v>59</v>
      </c>
      <c r="I653">
        <v>59.37</v>
      </c>
      <c r="J653">
        <v>60.14</v>
      </c>
      <c r="K653">
        <v>60.99</v>
      </c>
      <c r="L653">
        <v>22.86</v>
      </c>
      <c r="M653">
        <v>23.3</v>
      </c>
      <c r="N653">
        <v>24.53</v>
      </c>
    </row>
    <row r="654" spans="3:14" x14ac:dyDescent="0.15">
      <c r="C654" s="123">
        <v>42430</v>
      </c>
      <c r="D654" t="s">
        <v>18</v>
      </c>
      <c r="E654" t="s">
        <v>61</v>
      </c>
      <c r="F654" t="s">
        <v>19</v>
      </c>
      <c r="G654" t="s">
        <v>120</v>
      </c>
      <c r="H654" t="s">
        <v>60</v>
      </c>
      <c r="I654">
        <v>57.77</v>
      </c>
      <c r="J654">
        <v>58.54</v>
      </c>
      <c r="K654">
        <v>59.39</v>
      </c>
      <c r="L654">
        <v>21.26</v>
      </c>
      <c r="M654">
        <v>21.7</v>
      </c>
      <c r="N654">
        <v>22.93</v>
      </c>
    </row>
    <row r="655" spans="3:14" x14ac:dyDescent="0.15">
      <c r="C655" s="123">
        <v>42430</v>
      </c>
      <c r="D655" t="s">
        <v>18</v>
      </c>
      <c r="E655" t="s">
        <v>61</v>
      </c>
      <c r="F655" t="s">
        <v>19</v>
      </c>
      <c r="G655" t="s">
        <v>120</v>
      </c>
      <c r="H655" t="s">
        <v>648</v>
      </c>
      <c r="I655">
        <v>56.72</v>
      </c>
      <c r="J655">
        <v>57.49</v>
      </c>
      <c r="K655">
        <v>58.34</v>
      </c>
      <c r="L655">
        <v>20.21</v>
      </c>
      <c r="M655">
        <v>20.65</v>
      </c>
      <c r="N655">
        <v>21.88</v>
      </c>
    </row>
    <row r="656" spans="3:14" x14ac:dyDescent="0.15">
      <c r="C656" s="123">
        <v>42461</v>
      </c>
      <c r="D656" t="s">
        <v>18</v>
      </c>
      <c r="E656" t="s">
        <v>61</v>
      </c>
      <c r="F656" t="s">
        <v>19</v>
      </c>
      <c r="G656" t="s">
        <v>120</v>
      </c>
      <c r="H656" t="s">
        <v>59</v>
      </c>
      <c r="I656">
        <v>59.25</v>
      </c>
      <c r="J656">
        <v>60.04</v>
      </c>
      <c r="K656">
        <v>61.15</v>
      </c>
      <c r="L656">
        <v>22.54</v>
      </c>
      <c r="M656">
        <v>23.31</v>
      </c>
      <c r="N656">
        <v>24.62</v>
      </c>
    </row>
    <row r="657" spans="3:14" x14ac:dyDescent="0.15">
      <c r="C657" s="123">
        <v>42461</v>
      </c>
      <c r="D657" t="s">
        <v>18</v>
      </c>
      <c r="E657" t="s">
        <v>61</v>
      </c>
      <c r="F657" t="s">
        <v>19</v>
      </c>
      <c r="G657" t="s">
        <v>120</v>
      </c>
      <c r="H657" t="s">
        <v>60</v>
      </c>
      <c r="I657">
        <v>57.65</v>
      </c>
      <c r="J657">
        <v>58.44</v>
      </c>
      <c r="K657">
        <v>59.55</v>
      </c>
      <c r="L657">
        <v>20.94</v>
      </c>
      <c r="M657">
        <v>21.71</v>
      </c>
      <c r="N657">
        <v>23.02</v>
      </c>
    </row>
    <row r="658" spans="3:14" x14ac:dyDescent="0.15">
      <c r="C658" s="123">
        <v>42461</v>
      </c>
      <c r="D658" t="s">
        <v>18</v>
      </c>
      <c r="E658" t="s">
        <v>61</v>
      </c>
      <c r="F658" t="s">
        <v>19</v>
      </c>
      <c r="G658" t="s">
        <v>120</v>
      </c>
      <c r="H658" t="s">
        <v>648</v>
      </c>
      <c r="I658">
        <v>56.6</v>
      </c>
      <c r="J658">
        <v>57.39</v>
      </c>
      <c r="K658">
        <v>58.5</v>
      </c>
      <c r="L658">
        <v>19.89</v>
      </c>
      <c r="M658">
        <v>20.66</v>
      </c>
      <c r="N658">
        <v>21.97</v>
      </c>
    </row>
    <row r="659" spans="3:14" x14ac:dyDescent="0.15">
      <c r="C659" s="123">
        <v>42491</v>
      </c>
      <c r="D659" t="s">
        <v>18</v>
      </c>
      <c r="E659" t="s">
        <v>61</v>
      </c>
      <c r="F659" t="s">
        <v>19</v>
      </c>
      <c r="G659" t="s">
        <v>120</v>
      </c>
      <c r="H659" t="s">
        <v>59</v>
      </c>
      <c r="I659">
        <v>59</v>
      </c>
      <c r="J659">
        <v>60.06</v>
      </c>
      <c r="K659">
        <v>61.22</v>
      </c>
      <c r="L659">
        <v>22.2</v>
      </c>
      <c r="M659">
        <v>23.42</v>
      </c>
      <c r="N659">
        <v>24.69</v>
      </c>
    </row>
    <row r="660" spans="3:14" x14ac:dyDescent="0.15">
      <c r="C660" s="123">
        <v>42491</v>
      </c>
      <c r="D660" t="s">
        <v>18</v>
      </c>
      <c r="E660" t="s">
        <v>61</v>
      </c>
      <c r="F660" t="s">
        <v>19</v>
      </c>
      <c r="G660" t="s">
        <v>120</v>
      </c>
      <c r="H660" t="s">
        <v>60</v>
      </c>
      <c r="I660">
        <v>57.4</v>
      </c>
      <c r="J660">
        <v>58.46</v>
      </c>
      <c r="K660">
        <v>59.62</v>
      </c>
      <c r="L660">
        <v>20.6</v>
      </c>
      <c r="M660">
        <v>21.82</v>
      </c>
      <c r="N660">
        <v>23.09</v>
      </c>
    </row>
    <row r="661" spans="3:14" x14ac:dyDescent="0.15">
      <c r="C661" s="123">
        <v>42491</v>
      </c>
      <c r="D661" t="s">
        <v>18</v>
      </c>
      <c r="E661" t="s">
        <v>61</v>
      </c>
      <c r="F661" t="s">
        <v>19</v>
      </c>
      <c r="G661" t="s">
        <v>120</v>
      </c>
      <c r="H661" t="s">
        <v>648</v>
      </c>
      <c r="I661">
        <v>56.35</v>
      </c>
      <c r="J661">
        <v>57.41</v>
      </c>
      <c r="K661">
        <v>58.57</v>
      </c>
      <c r="L661">
        <v>19.55</v>
      </c>
      <c r="M661">
        <v>20.77</v>
      </c>
      <c r="N661">
        <v>22.04</v>
      </c>
    </row>
    <row r="662" spans="3:14" x14ac:dyDescent="0.15">
      <c r="C662" s="123">
        <v>42522</v>
      </c>
      <c r="D662" t="s">
        <v>18</v>
      </c>
      <c r="E662" t="s">
        <v>61</v>
      </c>
      <c r="F662" t="s">
        <v>19</v>
      </c>
      <c r="G662" t="s">
        <v>120</v>
      </c>
      <c r="H662" t="s">
        <v>59</v>
      </c>
      <c r="I662">
        <v>58.69</v>
      </c>
      <c r="J662">
        <v>60.01</v>
      </c>
      <c r="K662">
        <v>61.31</v>
      </c>
      <c r="L662">
        <v>21.82</v>
      </c>
      <c r="M662">
        <v>23.53</v>
      </c>
      <c r="N662">
        <v>24.74</v>
      </c>
    </row>
    <row r="663" spans="3:14" x14ac:dyDescent="0.15">
      <c r="C663" s="123">
        <v>42522</v>
      </c>
      <c r="D663" t="s">
        <v>18</v>
      </c>
      <c r="E663" t="s">
        <v>61</v>
      </c>
      <c r="F663" t="s">
        <v>19</v>
      </c>
      <c r="G663" t="s">
        <v>120</v>
      </c>
      <c r="H663" t="s">
        <v>60</v>
      </c>
      <c r="I663">
        <v>57.09</v>
      </c>
      <c r="J663">
        <v>58.41</v>
      </c>
      <c r="K663">
        <v>59.71</v>
      </c>
      <c r="L663">
        <v>20.22</v>
      </c>
      <c r="M663">
        <v>21.93</v>
      </c>
      <c r="N663">
        <v>23.14</v>
      </c>
    </row>
    <row r="664" spans="3:14" x14ac:dyDescent="0.15">
      <c r="C664" s="123">
        <v>42522</v>
      </c>
      <c r="D664" t="s">
        <v>18</v>
      </c>
      <c r="E664" t="s">
        <v>61</v>
      </c>
      <c r="F664" t="s">
        <v>19</v>
      </c>
      <c r="G664" t="s">
        <v>120</v>
      </c>
      <c r="H664" t="s">
        <v>648</v>
      </c>
      <c r="I664">
        <v>56.04</v>
      </c>
      <c r="J664">
        <v>57.36</v>
      </c>
      <c r="K664">
        <v>58.66</v>
      </c>
      <c r="L664">
        <v>19.170000000000002</v>
      </c>
      <c r="M664">
        <v>20.88</v>
      </c>
      <c r="N664">
        <v>22.09</v>
      </c>
    </row>
    <row r="665" spans="3:14" x14ac:dyDescent="0.15">
      <c r="C665" s="123">
        <v>42552</v>
      </c>
      <c r="D665" t="s">
        <v>18</v>
      </c>
      <c r="E665" t="s">
        <v>61</v>
      </c>
      <c r="F665" t="s">
        <v>19</v>
      </c>
      <c r="G665" t="s">
        <v>120</v>
      </c>
      <c r="H665" t="s">
        <v>59</v>
      </c>
      <c r="I665">
        <v>59.22</v>
      </c>
      <c r="J665">
        <v>60.29</v>
      </c>
      <c r="K665">
        <v>61.6</v>
      </c>
      <c r="L665">
        <v>22.3</v>
      </c>
      <c r="M665">
        <v>23.95</v>
      </c>
      <c r="N665">
        <v>25.07</v>
      </c>
    </row>
    <row r="666" spans="3:14" x14ac:dyDescent="0.15">
      <c r="C666" s="123">
        <v>42552</v>
      </c>
      <c r="D666" t="s">
        <v>18</v>
      </c>
      <c r="E666" t="s">
        <v>61</v>
      </c>
      <c r="F666" t="s">
        <v>19</v>
      </c>
      <c r="G666" t="s">
        <v>120</v>
      </c>
      <c r="H666" t="s">
        <v>60</v>
      </c>
      <c r="I666">
        <v>57.62</v>
      </c>
      <c r="J666">
        <v>58.69</v>
      </c>
      <c r="K666">
        <v>60</v>
      </c>
      <c r="L666">
        <v>20.7</v>
      </c>
      <c r="M666">
        <v>22.35</v>
      </c>
      <c r="N666">
        <v>23.47</v>
      </c>
    </row>
    <row r="667" spans="3:14" x14ac:dyDescent="0.15">
      <c r="C667" s="123">
        <v>42552</v>
      </c>
      <c r="D667" t="s">
        <v>18</v>
      </c>
      <c r="E667" t="s">
        <v>61</v>
      </c>
      <c r="F667" t="s">
        <v>19</v>
      </c>
      <c r="G667" t="s">
        <v>120</v>
      </c>
      <c r="H667" t="s">
        <v>648</v>
      </c>
      <c r="I667">
        <v>56.57</v>
      </c>
      <c r="J667">
        <v>57.64</v>
      </c>
      <c r="K667">
        <v>58.95</v>
      </c>
      <c r="L667">
        <v>19.649999999999999</v>
      </c>
      <c r="M667">
        <v>21.3</v>
      </c>
      <c r="N667">
        <v>22.42</v>
      </c>
    </row>
    <row r="668" spans="3:14" x14ac:dyDescent="0.15">
      <c r="C668" s="123">
        <v>42583</v>
      </c>
      <c r="D668" t="s">
        <v>18</v>
      </c>
      <c r="E668" t="s">
        <v>61</v>
      </c>
      <c r="F668" t="s">
        <v>19</v>
      </c>
      <c r="G668" t="s">
        <v>120</v>
      </c>
      <c r="H668" t="s">
        <v>59</v>
      </c>
      <c r="I668">
        <v>59.68</v>
      </c>
      <c r="J668">
        <v>60.79</v>
      </c>
      <c r="K668">
        <v>61.94</v>
      </c>
      <c r="L668">
        <v>22.83</v>
      </c>
      <c r="M668">
        <v>24.51</v>
      </c>
      <c r="N668">
        <v>25.41</v>
      </c>
    </row>
    <row r="669" spans="3:14" x14ac:dyDescent="0.15">
      <c r="C669" s="123">
        <v>42583</v>
      </c>
      <c r="D669" t="s">
        <v>18</v>
      </c>
      <c r="E669" t="s">
        <v>61</v>
      </c>
      <c r="F669" t="s">
        <v>19</v>
      </c>
      <c r="G669" t="s">
        <v>120</v>
      </c>
      <c r="H669" t="s">
        <v>60</v>
      </c>
      <c r="I669">
        <v>58.08</v>
      </c>
      <c r="J669">
        <v>59.19</v>
      </c>
      <c r="K669">
        <v>60.34</v>
      </c>
      <c r="L669">
        <v>21.23</v>
      </c>
      <c r="M669">
        <v>22.91</v>
      </c>
      <c r="N669">
        <v>23.81</v>
      </c>
    </row>
    <row r="670" spans="3:14" x14ac:dyDescent="0.15">
      <c r="C670" s="123">
        <v>42583</v>
      </c>
      <c r="D670" t="s">
        <v>18</v>
      </c>
      <c r="E670" t="s">
        <v>61</v>
      </c>
      <c r="F670" t="s">
        <v>19</v>
      </c>
      <c r="G670" t="s">
        <v>120</v>
      </c>
      <c r="H670" t="s">
        <v>648</v>
      </c>
      <c r="I670">
        <v>57.03</v>
      </c>
      <c r="J670">
        <v>58.14</v>
      </c>
      <c r="K670">
        <v>59.29</v>
      </c>
      <c r="L670">
        <v>20.18</v>
      </c>
      <c r="M670">
        <v>21.86</v>
      </c>
      <c r="N670">
        <v>22.76</v>
      </c>
    </row>
    <row r="671" spans="3:14" x14ac:dyDescent="0.15">
      <c r="C671" s="123">
        <v>42614</v>
      </c>
      <c r="D671" t="s">
        <v>18</v>
      </c>
      <c r="E671" t="s">
        <v>61</v>
      </c>
      <c r="F671" t="s">
        <v>19</v>
      </c>
      <c r="G671" t="s">
        <v>120</v>
      </c>
      <c r="H671" t="s">
        <v>59</v>
      </c>
      <c r="I671">
        <v>60.08</v>
      </c>
      <c r="J671">
        <v>61.26</v>
      </c>
      <c r="K671">
        <v>62.22</v>
      </c>
      <c r="L671">
        <v>23.33</v>
      </c>
      <c r="M671">
        <v>25</v>
      </c>
      <c r="N671">
        <v>25.75</v>
      </c>
    </row>
    <row r="672" spans="3:14" x14ac:dyDescent="0.15">
      <c r="C672" s="123">
        <v>42614</v>
      </c>
      <c r="D672" t="s">
        <v>18</v>
      </c>
      <c r="E672" t="s">
        <v>61</v>
      </c>
      <c r="F672" t="s">
        <v>19</v>
      </c>
      <c r="G672" t="s">
        <v>120</v>
      </c>
      <c r="H672" t="s">
        <v>60</v>
      </c>
      <c r="I672">
        <v>58.48</v>
      </c>
      <c r="J672">
        <v>59.66</v>
      </c>
      <c r="K672">
        <v>60.62</v>
      </c>
      <c r="L672">
        <v>21.73</v>
      </c>
      <c r="M672">
        <v>23.4</v>
      </c>
      <c r="N672">
        <v>24.15</v>
      </c>
    </row>
    <row r="673" spans="3:14" x14ac:dyDescent="0.15">
      <c r="C673" s="123">
        <v>42614</v>
      </c>
      <c r="D673" t="s">
        <v>18</v>
      </c>
      <c r="E673" t="s">
        <v>61</v>
      </c>
      <c r="F673" t="s">
        <v>19</v>
      </c>
      <c r="G673" t="s">
        <v>120</v>
      </c>
      <c r="H673" t="s">
        <v>648</v>
      </c>
      <c r="I673">
        <v>57.43</v>
      </c>
      <c r="J673">
        <v>58.61</v>
      </c>
      <c r="K673">
        <v>59.57</v>
      </c>
      <c r="L673">
        <v>20.68</v>
      </c>
      <c r="M673">
        <v>22.35</v>
      </c>
      <c r="N673">
        <v>23.1</v>
      </c>
    </row>
    <row r="674" spans="3:14" x14ac:dyDescent="0.15">
      <c r="C674" s="123">
        <v>42644</v>
      </c>
      <c r="D674" t="s">
        <v>18</v>
      </c>
      <c r="E674" t="s">
        <v>61</v>
      </c>
      <c r="F674" t="s">
        <v>19</v>
      </c>
      <c r="G674" t="s">
        <v>120</v>
      </c>
      <c r="H674" t="s">
        <v>59</v>
      </c>
      <c r="I674">
        <v>60.51</v>
      </c>
      <c r="J674">
        <v>61.89</v>
      </c>
      <c r="K674">
        <v>62.47</v>
      </c>
      <c r="L674">
        <v>23.81</v>
      </c>
      <c r="M674">
        <v>25.44</v>
      </c>
      <c r="N674">
        <v>26.08</v>
      </c>
    </row>
    <row r="675" spans="3:14" x14ac:dyDescent="0.15">
      <c r="C675" s="123">
        <v>42644</v>
      </c>
      <c r="D675" t="s">
        <v>18</v>
      </c>
      <c r="E675" t="s">
        <v>61</v>
      </c>
      <c r="F675" t="s">
        <v>19</v>
      </c>
      <c r="G675" t="s">
        <v>120</v>
      </c>
      <c r="H675" t="s">
        <v>60</v>
      </c>
      <c r="I675">
        <v>58.91</v>
      </c>
      <c r="J675">
        <v>60.29</v>
      </c>
      <c r="K675">
        <v>60.87</v>
      </c>
      <c r="L675">
        <v>22.21</v>
      </c>
      <c r="M675">
        <v>23.84</v>
      </c>
      <c r="N675">
        <v>24.48</v>
      </c>
    </row>
    <row r="676" spans="3:14" x14ac:dyDescent="0.15">
      <c r="C676" s="123">
        <v>42644</v>
      </c>
      <c r="D676" t="s">
        <v>18</v>
      </c>
      <c r="E676" t="s">
        <v>61</v>
      </c>
      <c r="F676" t="s">
        <v>19</v>
      </c>
      <c r="G676" t="s">
        <v>120</v>
      </c>
      <c r="H676" t="s">
        <v>648</v>
      </c>
      <c r="I676">
        <v>57.86</v>
      </c>
      <c r="J676">
        <v>59.24</v>
      </c>
      <c r="K676">
        <v>59.82</v>
      </c>
      <c r="L676">
        <v>21.16</v>
      </c>
      <c r="M676">
        <v>22.79</v>
      </c>
      <c r="N676">
        <v>23.43</v>
      </c>
    </row>
    <row r="677" spans="3:14" x14ac:dyDescent="0.15">
      <c r="C677" s="123">
        <v>42675</v>
      </c>
      <c r="D677" t="s">
        <v>18</v>
      </c>
      <c r="E677" t="s">
        <v>61</v>
      </c>
      <c r="F677" t="s">
        <v>19</v>
      </c>
      <c r="G677" t="s">
        <v>120</v>
      </c>
      <c r="H677" t="s">
        <v>59</v>
      </c>
      <c r="I677">
        <v>60.98</v>
      </c>
      <c r="J677">
        <v>62.28</v>
      </c>
      <c r="K677">
        <v>62.79</v>
      </c>
      <c r="L677">
        <v>24.3</v>
      </c>
      <c r="M677">
        <v>25.76</v>
      </c>
      <c r="N677">
        <v>26.41</v>
      </c>
    </row>
    <row r="678" spans="3:14" x14ac:dyDescent="0.15">
      <c r="C678" s="123">
        <v>42675</v>
      </c>
      <c r="D678" t="s">
        <v>18</v>
      </c>
      <c r="E678" t="s">
        <v>61</v>
      </c>
      <c r="F678" t="s">
        <v>19</v>
      </c>
      <c r="G678" t="s">
        <v>120</v>
      </c>
      <c r="H678" t="s">
        <v>60</v>
      </c>
      <c r="I678">
        <v>59.38</v>
      </c>
      <c r="J678">
        <v>60.68</v>
      </c>
      <c r="K678">
        <v>61.19</v>
      </c>
      <c r="L678">
        <v>22.7</v>
      </c>
      <c r="M678">
        <v>24.16</v>
      </c>
      <c r="N678">
        <v>24.81</v>
      </c>
    </row>
    <row r="679" spans="3:14" x14ac:dyDescent="0.15">
      <c r="C679" s="123">
        <v>42675</v>
      </c>
      <c r="D679" t="s">
        <v>18</v>
      </c>
      <c r="E679" t="s">
        <v>61</v>
      </c>
      <c r="F679" t="s">
        <v>19</v>
      </c>
      <c r="G679" t="s">
        <v>120</v>
      </c>
      <c r="H679" t="s">
        <v>648</v>
      </c>
      <c r="I679">
        <v>58.33</v>
      </c>
      <c r="J679">
        <v>59.63</v>
      </c>
      <c r="K679">
        <v>60.14</v>
      </c>
      <c r="L679">
        <v>21.65</v>
      </c>
      <c r="M679">
        <v>23.11</v>
      </c>
      <c r="N679">
        <v>23.76</v>
      </c>
    </row>
    <row r="680" spans="3:14" x14ac:dyDescent="0.15">
      <c r="C680" s="123">
        <v>42705</v>
      </c>
      <c r="D680" t="s">
        <v>18</v>
      </c>
      <c r="E680" t="s">
        <v>61</v>
      </c>
      <c r="F680" t="s">
        <v>19</v>
      </c>
      <c r="G680" t="s">
        <v>120</v>
      </c>
      <c r="H680" t="s">
        <v>59</v>
      </c>
      <c r="I680">
        <v>61.37</v>
      </c>
      <c r="J680">
        <v>62.68</v>
      </c>
      <c r="K680">
        <v>63.04</v>
      </c>
      <c r="L680">
        <v>24.75</v>
      </c>
      <c r="M680">
        <v>25.99</v>
      </c>
      <c r="N680">
        <v>26.72</v>
      </c>
    </row>
    <row r="681" spans="3:14" x14ac:dyDescent="0.15">
      <c r="C681" s="123">
        <v>42705</v>
      </c>
      <c r="D681" t="s">
        <v>18</v>
      </c>
      <c r="E681" t="s">
        <v>61</v>
      </c>
      <c r="F681" t="s">
        <v>19</v>
      </c>
      <c r="G681" t="s">
        <v>120</v>
      </c>
      <c r="H681" t="s">
        <v>60</v>
      </c>
      <c r="I681">
        <v>59.77</v>
      </c>
      <c r="J681">
        <v>61.08</v>
      </c>
      <c r="K681">
        <v>61.44</v>
      </c>
      <c r="L681">
        <v>23.15</v>
      </c>
      <c r="M681">
        <v>24.39</v>
      </c>
      <c r="N681">
        <v>25.12</v>
      </c>
    </row>
    <row r="682" spans="3:14" x14ac:dyDescent="0.15">
      <c r="C682" s="123">
        <v>42705</v>
      </c>
      <c r="D682" t="s">
        <v>18</v>
      </c>
      <c r="E682" t="s">
        <v>61</v>
      </c>
      <c r="F682" t="s">
        <v>19</v>
      </c>
      <c r="G682" t="s">
        <v>120</v>
      </c>
      <c r="H682" t="s">
        <v>648</v>
      </c>
      <c r="I682">
        <v>58.72</v>
      </c>
      <c r="J682">
        <v>60.03</v>
      </c>
      <c r="K682">
        <v>60.39</v>
      </c>
      <c r="L682">
        <v>22.1</v>
      </c>
      <c r="M682">
        <v>23.34</v>
      </c>
      <c r="N682">
        <v>24.07</v>
      </c>
    </row>
    <row r="683" spans="3:14" x14ac:dyDescent="0.15">
      <c r="C683" s="123">
        <v>42736</v>
      </c>
      <c r="D683" t="s">
        <v>18</v>
      </c>
      <c r="E683" t="s">
        <v>61</v>
      </c>
      <c r="F683" t="s">
        <v>19</v>
      </c>
      <c r="G683" t="s">
        <v>120</v>
      </c>
      <c r="H683" t="s">
        <v>59</v>
      </c>
      <c r="I683">
        <v>61.8</v>
      </c>
      <c r="J683">
        <v>63.07</v>
      </c>
      <c r="K683">
        <v>63.38</v>
      </c>
      <c r="L683">
        <v>25.26</v>
      </c>
      <c r="M683">
        <v>26.33</v>
      </c>
      <c r="N683">
        <v>27.07</v>
      </c>
    </row>
    <row r="684" spans="3:14" x14ac:dyDescent="0.15">
      <c r="C684" s="123">
        <v>42736</v>
      </c>
      <c r="D684" t="s">
        <v>18</v>
      </c>
      <c r="E684" t="s">
        <v>61</v>
      </c>
      <c r="F684" t="s">
        <v>19</v>
      </c>
      <c r="G684" t="s">
        <v>120</v>
      </c>
      <c r="H684" t="s">
        <v>60</v>
      </c>
      <c r="I684">
        <v>60.2</v>
      </c>
      <c r="J684">
        <v>61.47</v>
      </c>
      <c r="K684">
        <v>61.78</v>
      </c>
      <c r="L684">
        <v>23.66</v>
      </c>
      <c r="M684">
        <v>24.73</v>
      </c>
      <c r="N684">
        <v>25.47</v>
      </c>
    </row>
    <row r="685" spans="3:14" x14ac:dyDescent="0.15">
      <c r="C685" s="123">
        <v>42736</v>
      </c>
      <c r="D685" t="s">
        <v>18</v>
      </c>
      <c r="E685" t="s">
        <v>61</v>
      </c>
      <c r="F685" t="s">
        <v>19</v>
      </c>
      <c r="G685" t="s">
        <v>120</v>
      </c>
      <c r="H685" t="s">
        <v>648</v>
      </c>
      <c r="I685">
        <v>59.15</v>
      </c>
      <c r="J685">
        <v>60.42</v>
      </c>
      <c r="K685">
        <v>60.73</v>
      </c>
      <c r="L685">
        <v>22.61</v>
      </c>
      <c r="M685">
        <v>23.68</v>
      </c>
      <c r="N685">
        <v>24.42</v>
      </c>
    </row>
    <row r="686" spans="3:14" x14ac:dyDescent="0.15">
      <c r="C686" s="123">
        <v>42401</v>
      </c>
      <c r="D686" t="s">
        <v>18</v>
      </c>
      <c r="E686" t="s">
        <v>61</v>
      </c>
      <c r="F686" t="s">
        <v>14</v>
      </c>
      <c r="G686" t="s">
        <v>123</v>
      </c>
      <c r="H686" t="s">
        <v>59</v>
      </c>
      <c r="I686">
        <v>58.75</v>
      </c>
      <c r="J686">
        <v>59.38</v>
      </c>
      <c r="K686">
        <v>60.07</v>
      </c>
      <c r="L686">
        <v>23.14</v>
      </c>
      <c r="M686">
        <v>23.34</v>
      </c>
      <c r="N686">
        <v>24.42</v>
      </c>
    </row>
    <row r="687" spans="3:14" x14ac:dyDescent="0.15">
      <c r="C687" s="123">
        <v>42401</v>
      </c>
      <c r="D687" t="s">
        <v>18</v>
      </c>
      <c r="E687" t="s">
        <v>61</v>
      </c>
      <c r="F687" t="s">
        <v>14</v>
      </c>
      <c r="G687" t="s">
        <v>123</v>
      </c>
      <c r="H687" t="s">
        <v>60</v>
      </c>
      <c r="I687">
        <v>57.15</v>
      </c>
      <c r="J687">
        <v>57.78</v>
      </c>
      <c r="K687">
        <v>58.47</v>
      </c>
      <c r="L687">
        <v>21.54</v>
      </c>
      <c r="M687">
        <v>21.74</v>
      </c>
      <c r="N687">
        <v>22.82</v>
      </c>
    </row>
    <row r="688" spans="3:14" x14ac:dyDescent="0.15">
      <c r="C688" s="123">
        <v>42401</v>
      </c>
      <c r="D688" t="s">
        <v>18</v>
      </c>
      <c r="E688" t="s">
        <v>61</v>
      </c>
      <c r="F688" t="s">
        <v>14</v>
      </c>
      <c r="G688" t="s">
        <v>123</v>
      </c>
      <c r="H688" t="s">
        <v>648</v>
      </c>
      <c r="I688">
        <v>56.1</v>
      </c>
      <c r="J688">
        <v>56.73</v>
      </c>
      <c r="K688">
        <v>57.42</v>
      </c>
      <c r="L688">
        <v>20.49</v>
      </c>
      <c r="M688">
        <v>20.69</v>
      </c>
      <c r="N688">
        <v>21.77</v>
      </c>
    </row>
    <row r="689" spans="3:14" x14ac:dyDescent="0.15">
      <c r="C689" s="123">
        <v>42430</v>
      </c>
      <c r="D689" t="s">
        <v>18</v>
      </c>
      <c r="E689" t="s">
        <v>61</v>
      </c>
      <c r="F689" t="s">
        <v>14</v>
      </c>
      <c r="G689" t="s">
        <v>123</v>
      </c>
      <c r="H689" t="s">
        <v>59</v>
      </c>
      <c r="I689">
        <v>58.6</v>
      </c>
      <c r="J689">
        <v>59.24</v>
      </c>
      <c r="K689">
        <v>60.2</v>
      </c>
      <c r="L689">
        <v>22.83</v>
      </c>
      <c r="M689">
        <v>23.22</v>
      </c>
      <c r="N689">
        <v>24.49</v>
      </c>
    </row>
    <row r="690" spans="3:14" x14ac:dyDescent="0.15">
      <c r="C690" s="123">
        <v>42430</v>
      </c>
      <c r="D690" t="s">
        <v>18</v>
      </c>
      <c r="E690" t="s">
        <v>61</v>
      </c>
      <c r="F690" t="s">
        <v>14</v>
      </c>
      <c r="G690" t="s">
        <v>123</v>
      </c>
      <c r="H690" t="s">
        <v>60</v>
      </c>
      <c r="I690">
        <v>57</v>
      </c>
      <c r="J690">
        <v>57.64</v>
      </c>
      <c r="K690">
        <v>58.6</v>
      </c>
      <c r="L690">
        <v>21.23</v>
      </c>
      <c r="M690">
        <v>21.62</v>
      </c>
      <c r="N690">
        <v>22.89</v>
      </c>
    </row>
    <row r="691" spans="3:14" x14ac:dyDescent="0.15">
      <c r="C691" s="123">
        <v>42430</v>
      </c>
      <c r="D691" t="s">
        <v>18</v>
      </c>
      <c r="E691" t="s">
        <v>61</v>
      </c>
      <c r="F691" t="s">
        <v>14</v>
      </c>
      <c r="G691" t="s">
        <v>123</v>
      </c>
      <c r="H691" t="s">
        <v>648</v>
      </c>
      <c r="I691">
        <v>55.95</v>
      </c>
      <c r="J691">
        <v>56.59</v>
      </c>
      <c r="K691">
        <v>57.55</v>
      </c>
      <c r="L691">
        <v>20.18</v>
      </c>
      <c r="M691">
        <v>20.57</v>
      </c>
      <c r="N691">
        <v>21.84</v>
      </c>
    </row>
    <row r="692" spans="3:14" x14ac:dyDescent="0.15">
      <c r="C692" s="123">
        <v>42461</v>
      </c>
      <c r="D692" t="s">
        <v>18</v>
      </c>
      <c r="E692" t="s">
        <v>61</v>
      </c>
      <c r="F692" t="s">
        <v>14</v>
      </c>
      <c r="G692" t="s">
        <v>123</v>
      </c>
      <c r="H692" t="s">
        <v>59</v>
      </c>
      <c r="I692">
        <v>58.46</v>
      </c>
      <c r="J692">
        <v>59.03</v>
      </c>
      <c r="K692">
        <v>60.35</v>
      </c>
      <c r="L692">
        <v>22.51</v>
      </c>
      <c r="M692">
        <v>23.15</v>
      </c>
      <c r="N692">
        <v>24.58</v>
      </c>
    </row>
    <row r="693" spans="3:14" x14ac:dyDescent="0.15">
      <c r="C693" s="123">
        <v>42461</v>
      </c>
      <c r="D693" t="s">
        <v>18</v>
      </c>
      <c r="E693" t="s">
        <v>61</v>
      </c>
      <c r="F693" t="s">
        <v>14</v>
      </c>
      <c r="G693" t="s">
        <v>123</v>
      </c>
      <c r="H693" t="s">
        <v>60</v>
      </c>
      <c r="I693">
        <v>56.86</v>
      </c>
      <c r="J693">
        <v>57.43</v>
      </c>
      <c r="K693">
        <v>58.75</v>
      </c>
      <c r="L693">
        <v>20.91</v>
      </c>
      <c r="M693">
        <v>21.55</v>
      </c>
      <c r="N693">
        <v>22.98</v>
      </c>
    </row>
    <row r="694" spans="3:14" x14ac:dyDescent="0.15">
      <c r="C694" s="123">
        <v>42461</v>
      </c>
      <c r="D694" t="s">
        <v>18</v>
      </c>
      <c r="E694" t="s">
        <v>61</v>
      </c>
      <c r="F694" t="s">
        <v>14</v>
      </c>
      <c r="G694" t="s">
        <v>123</v>
      </c>
      <c r="H694" t="s">
        <v>648</v>
      </c>
      <c r="I694">
        <v>55.81</v>
      </c>
      <c r="J694">
        <v>56.38</v>
      </c>
      <c r="K694">
        <v>57.7</v>
      </c>
      <c r="L694">
        <v>19.86</v>
      </c>
      <c r="M694">
        <v>20.5</v>
      </c>
      <c r="N694">
        <v>21.93</v>
      </c>
    </row>
    <row r="695" spans="3:14" x14ac:dyDescent="0.15">
      <c r="C695" s="123">
        <v>42491</v>
      </c>
      <c r="D695" t="s">
        <v>18</v>
      </c>
      <c r="E695" t="s">
        <v>61</v>
      </c>
      <c r="F695" t="s">
        <v>14</v>
      </c>
      <c r="G695" t="s">
        <v>123</v>
      </c>
      <c r="H695" t="s">
        <v>59</v>
      </c>
      <c r="I695">
        <v>58.2</v>
      </c>
      <c r="J695">
        <v>58.98</v>
      </c>
      <c r="K695">
        <v>60.41</v>
      </c>
      <c r="L695">
        <v>22.17</v>
      </c>
      <c r="M695">
        <v>23.2</v>
      </c>
      <c r="N695">
        <v>24.64</v>
      </c>
    </row>
    <row r="696" spans="3:14" x14ac:dyDescent="0.15">
      <c r="C696" s="123">
        <v>42491</v>
      </c>
      <c r="D696" t="s">
        <v>18</v>
      </c>
      <c r="E696" t="s">
        <v>61</v>
      </c>
      <c r="F696" t="s">
        <v>14</v>
      </c>
      <c r="G696" t="s">
        <v>123</v>
      </c>
      <c r="H696" t="s">
        <v>60</v>
      </c>
      <c r="I696">
        <v>56.6</v>
      </c>
      <c r="J696">
        <v>57.38</v>
      </c>
      <c r="K696">
        <v>58.81</v>
      </c>
      <c r="L696">
        <v>20.57</v>
      </c>
      <c r="M696">
        <v>21.6</v>
      </c>
      <c r="N696">
        <v>23.04</v>
      </c>
    </row>
    <row r="697" spans="3:14" x14ac:dyDescent="0.15">
      <c r="C697" s="123">
        <v>42491</v>
      </c>
      <c r="D697" t="s">
        <v>18</v>
      </c>
      <c r="E697" t="s">
        <v>61</v>
      </c>
      <c r="F697" t="s">
        <v>14</v>
      </c>
      <c r="G697" t="s">
        <v>123</v>
      </c>
      <c r="H697" t="s">
        <v>648</v>
      </c>
      <c r="I697">
        <v>55.55</v>
      </c>
      <c r="J697">
        <v>56.33</v>
      </c>
      <c r="K697">
        <v>57.76</v>
      </c>
      <c r="L697">
        <v>19.52</v>
      </c>
      <c r="M697">
        <v>20.55</v>
      </c>
      <c r="N697">
        <v>21.99</v>
      </c>
    </row>
    <row r="698" spans="3:14" x14ac:dyDescent="0.15">
      <c r="C698" s="123">
        <v>42522</v>
      </c>
      <c r="D698" t="s">
        <v>18</v>
      </c>
      <c r="E698" t="s">
        <v>61</v>
      </c>
      <c r="F698" t="s">
        <v>14</v>
      </c>
      <c r="G698" t="s">
        <v>123</v>
      </c>
      <c r="H698" t="s">
        <v>59</v>
      </c>
      <c r="I698">
        <v>57.88</v>
      </c>
      <c r="J698">
        <v>58.98</v>
      </c>
      <c r="K698">
        <v>60.49</v>
      </c>
      <c r="L698">
        <v>21.78</v>
      </c>
      <c r="M698">
        <v>23.31</v>
      </c>
      <c r="N698">
        <v>24.69</v>
      </c>
    </row>
    <row r="699" spans="3:14" x14ac:dyDescent="0.15">
      <c r="C699" s="123">
        <v>42522</v>
      </c>
      <c r="D699" t="s">
        <v>18</v>
      </c>
      <c r="E699" t="s">
        <v>61</v>
      </c>
      <c r="F699" t="s">
        <v>14</v>
      </c>
      <c r="G699" t="s">
        <v>123</v>
      </c>
      <c r="H699" t="s">
        <v>60</v>
      </c>
      <c r="I699">
        <v>56.28</v>
      </c>
      <c r="J699">
        <v>57.38</v>
      </c>
      <c r="K699">
        <v>58.89</v>
      </c>
      <c r="L699">
        <v>20.18</v>
      </c>
      <c r="M699">
        <v>21.71</v>
      </c>
      <c r="N699">
        <v>23.09</v>
      </c>
    </row>
    <row r="700" spans="3:14" x14ac:dyDescent="0.15">
      <c r="C700" s="123">
        <v>42522</v>
      </c>
      <c r="D700" t="s">
        <v>18</v>
      </c>
      <c r="E700" t="s">
        <v>61</v>
      </c>
      <c r="F700" t="s">
        <v>14</v>
      </c>
      <c r="G700" t="s">
        <v>123</v>
      </c>
      <c r="H700" t="s">
        <v>648</v>
      </c>
      <c r="I700">
        <v>55.23</v>
      </c>
      <c r="J700">
        <v>56.33</v>
      </c>
      <c r="K700">
        <v>57.84</v>
      </c>
      <c r="L700">
        <v>19.13</v>
      </c>
      <c r="M700">
        <v>20.66</v>
      </c>
      <c r="N700">
        <v>22.04</v>
      </c>
    </row>
    <row r="701" spans="3:14" x14ac:dyDescent="0.15">
      <c r="C701" s="123">
        <v>42552</v>
      </c>
      <c r="D701" t="s">
        <v>18</v>
      </c>
      <c r="E701" t="s">
        <v>61</v>
      </c>
      <c r="F701" t="s">
        <v>14</v>
      </c>
      <c r="G701" t="s">
        <v>123</v>
      </c>
      <c r="H701" t="s">
        <v>59</v>
      </c>
      <c r="I701">
        <v>58.4</v>
      </c>
      <c r="J701">
        <v>59.35</v>
      </c>
      <c r="K701">
        <v>60.78</v>
      </c>
      <c r="L701">
        <v>22.26</v>
      </c>
      <c r="M701">
        <v>23.77</v>
      </c>
      <c r="N701">
        <v>25.02</v>
      </c>
    </row>
    <row r="702" spans="3:14" x14ac:dyDescent="0.15">
      <c r="C702" s="123">
        <v>42552</v>
      </c>
      <c r="D702" t="s">
        <v>18</v>
      </c>
      <c r="E702" t="s">
        <v>61</v>
      </c>
      <c r="F702" t="s">
        <v>14</v>
      </c>
      <c r="G702" t="s">
        <v>123</v>
      </c>
      <c r="H702" t="s">
        <v>60</v>
      </c>
      <c r="I702">
        <v>56.8</v>
      </c>
      <c r="J702">
        <v>57.75</v>
      </c>
      <c r="K702">
        <v>59.18</v>
      </c>
      <c r="L702">
        <v>20.66</v>
      </c>
      <c r="M702">
        <v>22.17</v>
      </c>
      <c r="N702">
        <v>23.42</v>
      </c>
    </row>
    <row r="703" spans="3:14" x14ac:dyDescent="0.15">
      <c r="C703" s="123">
        <v>42552</v>
      </c>
      <c r="D703" t="s">
        <v>18</v>
      </c>
      <c r="E703" t="s">
        <v>61</v>
      </c>
      <c r="F703" t="s">
        <v>14</v>
      </c>
      <c r="G703" t="s">
        <v>123</v>
      </c>
      <c r="H703" t="s">
        <v>648</v>
      </c>
      <c r="I703">
        <v>55.75</v>
      </c>
      <c r="J703">
        <v>56.7</v>
      </c>
      <c r="K703">
        <v>58.13</v>
      </c>
      <c r="L703">
        <v>19.61</v>
      </c>
      <c r="M703">
        <v>21.12</v>
      </c>
      <c r="N703">
        <v>22.37</v>
      </c>
    </row>
    <row r="704" spans="3:14" x14ac:dyDescent="0.15">
      <c r="C704" s="123">
        <v>42583</v>
      </c>
      <c r="D704" t="s">
        <v>18</v>
      </c>
      <c r="E704" t="s">
        <v>61</v>
      </c>
      <c r="F704" t="s">
        <v>14</v>
      </c>
      <c r="G704" t="s">
        <v>123</v>
      </c>
      <c r="H704" t="s">
        <v>59</v>
      </c>
      <c r="I704">
        <v>58.86</v>
      </c>
      <c r="J704">
        <v>59.96</v>
      </c>
      <c r="K704">
        <v>61.12</v>
      </c>
      <c r="L704">
        <v>22.79</v>
      </c>
      <c r="M704">
        <v>24.42</v>
      </c>
      <c r="N704">
        <v>25.36</v>
      </c>
    </row>
    <row r="705" spans="3:14" x14ac:dyDescent="0.15">
      <c r="C705" s="123">
        <v>42583</v>
      </c>
      <c r="D705" t="s">
        <v>18</v>
      </c>
      <c r="E705" t="s">
        <v>61</v>
      </c>
      <c r="F705" t="s">
        <v>14</v>
      </c>
      <c r="G705" t="s">
        <v>123</v>
      </c>
      <c r="H705" t="s">
        <v>60</v>
      </c>
      <c r="I705">
        <v>57.26</v>
      </c>
      <c r="J705">
        <v>58.36</v>
      </c>
      <c r="K705">
        <v>59.52</v>
      </c>
      <c r="L705">
        <v>21.19</v>
      </c>
      <c r="M705">
        <v>22.82</v>
      </c>
      <c r="N705">
        <v>23.76</v>
      </c>
    </row>
    <row r="706" spans="3:14" x14ac:dyDescent="0.15">
      <c r="C706" s="123">
        <v>42583</v>
      </c>
      <c r="D706" t="s">
        <v>18</v>
      </c>
      <c r="E706" t="s">
        <v>61</v>
      </c>
      <c r="F706" t="s">
        <v>14</v>
      </c>
      <c r="G706" t="s">
        <v>123</v>
      </c>
      <c r="H706" t="s">
        <v>648</v>
      </c>
      <c r="I706">
        <v>56.21</v>
      </c>
      <c r="J706">
        <v>57.31</v>
      </c>
      <c r="K706">
        <v>58.47</v>
      </c>
      <c r="L706">
        <v>20.14</v>
      </c>
      <c r="M706">
        <v>21.77</v>
      </c>
      <c r="N706">
        <v>22.71</v>
      </c>
    </row>
    <row r="707" spans="3:14" x14ac:dyDescent="0.15">
      <c r="C707" s="123">
        <v>42614</v>
      </c>
      <c r="D707" t="s">
        <v>18</v>
      </c>
      <c r="E707" t="s">
        <v>61</v>
      </c>
      <c r="F707" t="s">
        <v>14</v>
      </c>
      <c r="G707" t="s">
        <v>123</v>
      </c>
      <c r="H707" t="s">
        <v>59</v>
      </c>
      <c r="I707">
        <v>59.26</v>
      </c>
      <c r="J707">
        <v>60.56</v>
      </c>
      <c r="K707">
        <v>61.39</v>
      </c>
      <c r="L707">
        <v>23.29</v>
      </c>
      <c r="M707">
        <v>25.01</v>
      </c>
      <c r="N707">
        <v>25.7</v>
      </c>
    </row>
    <row r="708" spans="3:14" x14ac:dyDescent="0.15">
      <c r="C708" s="123">
        <v>42614</v>
      </c>
      <c r="D708" t="s">
        <v>18</v>
      </c>
      <c r="E708" t="s">
        <v>61</v>
      </c>
      <c r="F708" t="s">
        <v>14</v>
      </c>
      <c r="G708" t="s">
        <v>123</v>
      </c>
      <c r="H708" t="s">
        <v>60</v>
      </c>
      <c r="I708">
        <v>57.66</v>
      </c>
      <c r="J708">
        <v>58.96</v>
      </c>
      <c r="K708">
        <v>59.79</v>
      </c>
      <c r="L708">
        <v>21.69</v>
      </c>
      <c r="M708">
        <v>23.41</v>
      </c>
      <c r="N708">
        <v>24.1</v>
      </c>
    </row>
    <row r="709" spans="3:14" x14ac:dyDescent="0.15">
      <c r="C709" s="123">
        <v>42614</v>
      </c>
      <c r="D709" t="s">
        <v>18</v>
      </c>
      <c r="E709" t="s">
        <v>61</v>
      </c>
      <c r="F709" t="s">
        <v>14</v>
      </c>
      <c r="G709" t="s">
        <v>123</v>
      </c>
      <c r="H709" t="s">
        <v>648</v>
      </c>
      <c r="I709">
        <v>56.61</v>
      </c>
      <c r="J709">
        <v>57.91</v>
      </c>
      <c r="K709">
        <v>58.74</v>
      </c>
      <c r="L709">
        <v>20.64</v>
      </c>
      <c r="M709">
        <v>22.36</v>
      </c>
      <c r="N709">
        <v>23.05</v>
      </c>
    </row>
    <row r="710" spans="3:14" x14ac:dyDescent="0.15">
      <c r="C710" s="123">
        <v>42644</v>
      </c>
      <c r="D710" t="s">
        <v>18</v>
      </c>
      <c r="E710" t="s">
        <v>61</v>
      </c>
      <c r="F710" t="s">
        <v>14</v>
      </c>
      <c r="G710" t="s">
        <v>123</v>
      </c>
      <c r="H710" t="s">
        <v>59</v>
      </c>
      <c r="I710">
        <v>59.69</v>
      </c>
      <c r="J710">
        <v>61.3</v>
      </c>
      <c r="K710">
        <v>61.64</v>
      </c>
      <c r="L710">
        <v>23.76</v>
      </c>
      <c r="M710">
        <v>25.54</v>
      </c>
      <c r="N710">
        <v>26.03</v>
      </c>
    </row>
    <row r="711" spans="3:14" x14ac:dyDescent="0.15">
      <c r="C711" s="123">
        <v>42644</v>
      </c>
      <c r="D711" t="s">
        <v>18</v>
      </c>
      <c r="E711" t="s">
        <v>61</v>
      </c>
      <c r="F711" t="s">
        <v>14</v>
      </c>
      <c r="G711" t="s">
        <v>123</v>
      </c>
      <c r="H711" t="s">
        <v>60</v>
      </c>
      <c r="I711">
        <v>58.09</v>
      </c>
      <c r="J711">
        <v>59.7</v>
      </c>
      <c r="K711">
        <v>60.04</v>
      </c>
      <c r="L711">
        <v>22.16</v>
      </c>
      <c r="M711">
        <v>23.94</v>
      </c>
      <c r="N711">
        <v>24.43</v>
      </c>
    </row>
    <row r="712" spans="3:14" x14ac:dyDescent="0.15">
      <c r="C712" s="123">
        <v>42644</v>
      </c>
      <c r="D712" t="s">
        <v>18</v>
      </c>
      <c r="E712" t="s">
        <v>61</v>
      </c>
      <c r="F712" t="s">
        <v>14</v>
      </c>
      <c r="G712" t="s">
        <v>123</v>
      </c>
      <c r="H712" t="s">
        <v>648</v>
      </c>
      <c r="I712">
        <v>57.04</v>
      </c>
      <c r="J712">
        <v>58.65</v>
      </c>
      <c r="K712">
        <v>58.99</v>
      </c>
      <c r="L712">
        <v>21.11</v>
      </c>
      <c r="M712">
        <v>22.89</v>
      </c>
      <c r="N712">
        <v>23.38</v>
      </c>
    </row>
    <row r="713" spans="3:14" x14ac:dyDescent="0.15">
      <c r="C713" s="123">
        <v>42675</v>
      </c>
      <c r="D713" t="s">
        <v>18</v>
      </c>
      <c r="E713" t="s">
        <v>61</v>
      </c>
      <c r="F713" t="s">
        <v>14</v>
      </c>
      <c r="G713" t="s">
        <v>123</v>
      </c>
      <c r="H713" t="s">
        <v>59</v>
      </c>
      <c r="I713">
        <v>60.15</v>
      </c>
      <c r="J713">
        <v>61.78</v>
      </c>
      <c r="K713">
        <v>61.94</v>
      </c>
      <c r="L713">
        <v>24.25</v>
      </c>
      <c r="M713">
        <v>25.93</v>
      </c>
      <c r="N713">
        <v>26.36</v>
      </c>
    </row>
    <row r="714" spans="3:14" x14ac:dyDescent="0.15">
      <c r="C714" s="123">
        <v>42675</v>
      </c>
      <c r="D714" t="s">
        <v>18</v>
      </c>
      <c r="E714" t="s">
        <v>61</v>
      </c>
      <c r="F714" t="s">
        <v>14</v>
      </c>
      <c r="G714" t="s">
        <v>123</v>
      </c>
      <c r="H714" t="s">
        <v>60</v>
      </c>
      <c r="I714">
        <v>58.55</v>
      </c>
      <c r="J714">
        <v>60.18</v>
      </c>
      <c r="K714">
        <v>60.34</v>
      </c>
      <c r="L714">
        <v>22.65</v>
      </c>
      <c r="M714">
        <v>24.33</v>
      </c>
      <c r="N714">
        <v>24.76</v>
      </c>
    </row>
    <row r="715" spans="3:14" x14ac:dyDescent="0.15">
      <c r="C715" s="123">
        <v>42675</v>
      </c>
      <c r="D715" t="s">
        <v>18</v>
      </c>
      <c r="E715" t="s">
        <v>61</v>
      </c>
      <c r="F715" t="s">
        <v>14</v>
      </c>
      <c r="G715" t="s">
        <v>123</v>
      </c>
      <c r="H715" t="s">
        <v>648</v>
      </c>
      <c r="I715">
        <v>57.5</v>
      </c>
      <c r="J715">
        <v>59.13</v>
      </c>
      <c r="K715">
        <v>59.29</v>
      </c>
      <c r="L715">
        <v>21.6</v>
      </c>
      <c r="M715">
        <v>23.28</v>
      </c>
      <c r="N715">
        <v>23.71</v>
      </c>
    </row>
    <row r="716" spans="3:14" x14ac:dyDescent="0.15">
      <c r="C716" s="123">
        <v>42705</v>
      </c>
      <c r="D716" t="s">
        <v>18</v>
      </c>
      <c r="E716" t="s">
        <v>61</v>
      </c>
      <c r="F716" t="s">
        <v>14</v>
      </c>
      <c r="G716" t="s">
        <v>123</v>
      </c>
      <c r="H716" t="s">
        <v>59</v>
      </c>
      <c r="I716">
        <v>60.53</v>
      </c>
      <c r="J716">
        <v>62.13</v>
      </c>
      <c r="K716">
        <v>62.2</v>
      </c>
      <c r="L716">
        <v>24.7</v>
      </c>
      <c r="M716">
        <v>26.17</v>
      </c>
      <c r="N716">
        <v>26.67</v>
      </c>
    </row>
    <row r="717" spans="3:14" x14ac:dyDescent="0.15">
      <c r="C717" s="123">
        <v>42705</v>
      </c>
      <c r="D717" t="s">
        <v>18</v>
      </c>
      <c r="E717" t="s">
        <v>61</v>
      </c>
      <c r="F717" t="s">
        <v>14</v>
      </c>
      <c r="G717" t="s">
        <v>123</v>
      </c>
      <c r="H717" t="s">
        <v>60</v>
      </c>
      <c r="I717">
        <v>58.93</v>
      </c>
      <c r="J717">
        <v>60.53</v>
      </c>
      <c r="K717">
        <v>60.6</v>
      </c>
      <c r="L717">
        <v>23.1</v>
      </c>
      <c r="M717">
        <v>24.57</v>
      </c>
      <c r="N717">
        <v>25.07</v>
      </c>
    </row>
    <row r="718" spans="3:14" x14ac:dyDescent="0.15">
      <c r="C718" s="123">
        <v>42705</v>
      </c>
      <c r="D718" t="s">
        <v>18</v>
      </c>
      <c r="E718" t="s">
        <v>61</v>
      </c>
      <c r="F718" t="s">
        <v>14</v>
      </c>
      <c r="G718" t="s">
        <v>123</v>
      </c>
      <c r="H718" t="s">
        <v>648</v>
      </c>
      <c r="I718">
        <v>57.88</v>
      </c>
      <c r="J718">
        <v>59.48</v>
      </c>
      <c r="K718">
        <v>59.55</v>
      </c>
      <c r="L718">
        <v>22.05</v>
      </c>
      <c r="M718">
        <v>23.52</v>
      </c>
      <c r="N718">
        <v>24.02</v>
      </c>
    </row>
    <row r="719" spans="3:14" x14ac:dyDescent="0.15">
      <c r="C719" s="123">
        <v>42736</v>
      </c>
      <c r="D719" t="s">
        <v>18</v>
      </c>
      <c r="E719" t="s">
        <v>61</v>
      </c>
      <c r="F719" t="s">
        <v>14</v>
      </c>
      <c r="G719" t="s">
        <v>123</v>
      </c>
      <c r="H719" t="s">
        <v>59</v>
      </c>
      <c r="I719">
        <v>60.97</v>
      </c>
      <c r="J719">
        <v>62.4</v>
      </c>
      <c r="K719">
        <v>62.53</v>
      </c>
      <c r="L719">
        <v>25.21</v>
      </c>
      <c r="M719">
        <v>26.45</v>
      </c>
      <c r="N719">
        <v>27.02</v>
      </c>
    </row>
    <row r="720" spans="3:14" x14ac:dyDescent="0.15">
      <c r="C720" s="123">
        <v>42736</v>
      </c>
      <c r="D720" t="s">
        <v>18</v>
      </c>
      <c r="E720" t="s">
        <v>61</v>
      </c>
      <c r="F720" t="s">
        <v>14</v>
      </c>
      <c r="G720" t="s">
        <v>123</v>
      </c>
      <c r="H720" t="s">
        <v>60</v>
      </c>
      <c r="I720">
        <v>59.37</v>
      </c>
      <c r="J720">
        <v>60.8</v>
      </c>
      <c r="K720">
        <v>60.93</v>
      </c>
      <c r="L720">
        <v>23.61</v>
      </c>
      <c r="M720">
        <v>24.85</v>
      </c>
      <c r="N720">
        <v>25.42</v>
      </c>
    </row>
    <row r="721" spans="3:14" x14ac:dyDescent="0.15">
      <c r="C721" s="123">
        <v>42736</v>
      </c>
      <c r="D721" t="s">
        <v>18</v>
      </c>
      <c r="E721" t="s">
        <v>61</v>
      </c>
      <c r="F721" t="s">
        <v>14</v>
      </c>
      <c r="G721" t="s">
        <v>123</v>
      </c>
      <c r="H721" t="s">
        <v>648</v>
      </c>
      <c r="I721">
        <v>58.32</v>
      </c>
      <c r="J721">
        <v>59.75</v>
      </c>
      <c r="K721">
        <v>59.88</v>
      </c>
      <c r="L721">
        <v>22.56</v>
      </c>
      <c r="M721">
        <v>23.8</v>
      </c>
      <c r="N721">
        <v>24.37</v>
      </c>
    </row>
    <row r="722" spans="3:14" x14ac:dyDescent="0.15">
      <c r="C722" s="123">
        <v>42401</v>
      </c>
      <c r="D722" t="s">
        <v>18</v>
      </c>
      <c r="E722" t="s">
        <v>94</v>
      </c>
      <c r="F722" t="s">
        <v>20</v>
      </c>
      <c r="G722" t="s">
        <v>145</v>
      </c>
      <c r="H722" t="s">
        <v>59</v>
      </c>
      <c r="I722">
        <v>59.48</v>
      </c>
      <c r="J722">
        <v>60.53</v>
      </c>
      <c r="K722">
        <v>60.91</v>
      </c>
      <c r="L722">
        <v>22.37</v>
      </c>
      <c r="M722">
        <v>22.8</v>
      </c>
      <c r="N722">
        <v>23.63</v>
      </c>
    </row>
    <row r="723" spans="3:14" x14ac:dyDescent="0.15">
      <c r="C723" s="123">
        <v>42401</v>
      </c>
      <c r="D723" t="s">
        <v>18</v>
      </c>
      <c r="E723" t="s">
        <v>94</v>
      </c>
      <c r="F723" t="s">
        <v>20</v>
      </c>
      <c r="G723" t="s">
        <v>145</v>
      </c>
      <c r="H723" t="s">
        <v>60</v>
      </c>
      <c r="I723">
        <v>57.88</v>
      </c>
      <c r="J723">
        <v>58.93</v>
      </c>
      <c r="K723">
        <v>59.31</v>
      </c>
      <c r="L723">
        <v>20.77</v>
      </c>
      <c r="M723">
        <v>21.2</v>
      </c>
      <c r="N723">
        <v>22.03</v>
      </c>
    </row>
    <row r="724" spans="3:14" x14ac:dyDescent="0.15">
      <c r="C724" s="123">
        <v>42401</v>
      </c>
      <c r="D724" t="s">
        <v>18</v>
      </c>
      <c r="E724" t="s">
        <v>94</v>
      </c>
      <c r="F724" t="s">
        <v>20</v>
      </c>
      <c r="G724" t="s">
        <v>145</v>
      </c>
      <c r="H724" t="s">
        <v>648</v>
      </c>
      <c r="I724">
        <v>56.83</v>
      </c>
      <c r="J724">
        <v>57.88</v>
      </c>
      <c r="K724">
        <v>58.26</v>
      </c>
      <c r="L724">
        <v>19.72</v>
      </c>
      <c r="M724">
        <v>20.149999999999999</v>
      </c>
      <c r="N724">
        <v>20.98</v>
      </c>
    </row>
    <row r="725" spans="3:14" x14ac:dyDescent="0.15">
      <c r="C725" s="123">
        <v>42430</v>
      </c>
      <c r="D725" t="s">
        <v>18</v>
      </c>
      <c r="E725" t="s">
        <v>94</v>
      </c>
      <c r="F725" t="s">
        <v>20</v>
      </c>
      <c r="G725" t="s">
        <v>145</v>
      </c>
      <c r="H725" t="s">
        <v>59</v>
      </c>
      <c r="I725">
        <v>59.41</v>
      </c>
      <c r="J725">
        <v>60.82</v>
      </c>
      <c r="K725">
        <v>61.08</v>
      </c>
      <c r="L725">
        <v>22.06</v>
      </c>
      <c r="M725">
        <v>22.99</v>
      </c>
      <c r="N725">
        <v>23.7</v>
      </c>
    </row>
    <row r="726" spans="3:14" x14ac:dyDescent="0.15">
      <c r="C726" s="123">
        <v>42430</v>
      </c>
      <c r="D726" t="s">
        <v>18</v>
      </c>
      <c r="E726" t="s">
        <v>94</v>
      </c>
      <c r="F726" t="s">
        <v>20</v>
      </c>
      <c r="G726" t="s">
        <v>145</v>
      </c>
      <c r="H726" t="s">
        <v>60</v>
      </c>
      <c r="I726">
        <v>57.81</v>
      </c>
      <c r="J726">
        <v>59.22</v>
      </c>
      <c r="K726">
        <v>59.48</v>
      </c>
      <c r="L726">
        <v>20.46</v>
      </c>
      <c r="M726">
        <v>21.39</v>
      </c>
      <c r="N726">
        <v>22.1</v>
      </c>
    </row>
    <row r="727" spans="3:14" x14ac:dyDescent="0.15">
      <c r="C727" s="123">
        <v>42430</v>
      </c>
      <c r="D727" t="s">
        <v>18</v>
      </c>
      <c r="E727" t="s">
        <v>94</v>
      </c>
      <c r="F727" t="s">
        <v>20</v>
      </c>
      <c r="G727" t="s">
        <v>145</v>
      </c>
      <c r="H727" t="s">
        <v>648</v>
      </c>
      <c r="I727">
        <v>56.76</v>
      </c>
      <c r="J727">
        <v>58.17</v>
      </c>
      <c r="K727">
        <v>58.43</v>
      </c>
      <c r="L727">
        <v>19.41</v>
      </c>
      <c r="M727">
        <v>20.34</v>
      </c>
      <c r="N727">
        <v>21.05</v>
      </c>
    </row>
    <row r="728" spans="3:14" x14ac:dyDescent="0.15">
      <c r="C728" s="123">
        <v>42461</v>
      </c>
      <c r="D728" t="s">
        <v>18</v>
      </c>
      <c r="E728" t="s">
        <v>94</v>
      </c>
      <c r="F728" t="s">
        <v>20</v>
      </c>
      <c r="G728" t="s">
        <v>145</v>
      </c>
      <c r="H728" t="s">
        <v>59</v>
      </c>
      <c r="I728">
        <v>59.4</v>
      </c>
      <c r="J728">
        <v>61.3</v>
      </c>
      <c r="K728">
        <v>61.27</v>
      </c>
      <c r="L728">
        <v>21.72</v>
      </c>
      <c r="M728">
        <v>23.48</v>
      </c>
      <c r="N728">
        <v>23.78</v>
      </c>
    </row>
    <row r="729" spans="3:14" x14ac:dyDescent="0.15">
      <c r="C729" s="123">
        <v>42461</v>
      </c>
      <c r="D729" t="s">
        <v>18</v>
      </c>
      <c r="E729" t="s">
        <v>94</v>
      </c>
      <c r="F729" t="s">
        <v>20</v>
      </c>
      <c r="G729" t="s">
        <v>145</v>
      </c>
      <c r="H729" t="s">
        <v>60</v>
      </c>
      <c r="I729">
        <v>57.8</v>
      </c>
      <c r="J729">
        <v>59.7</v>
      </c>
      <c r="K729">
        <v>59.67</v>
      </c>
      <c r="L729">
        <v>20.12</v>
      </c>
      <c r="M729">
        <v>21.88</v>
      </c>
      <c r="N729">
        <v>22.18</v>
      </c>
    </row>
    <row r="730" spans="3:14" x14ac:dyDescent="0.15">
      <c r="C730" s="123">
        <v>42461</v>
      </c>
      <c r="D730" t="s">
        <v>18</v>
      </c>
      <c r="E730" t="s">
        <v>94</v>
      </c>
      <c r="F730" t="s">
        <v>20</v>
      </c>
      <c r="G730" t="s">
        <v>145</v>
      </c>
      <c r="H730" t="s">
        <v>648</v>
      </c>
      <c r="I730">
        <v>56.75</v>
      </c>
      <c r="J730">
        <v>58.65</v>
      </c>
      <c r="K730">
        <v>58.62</v>
      </c>
      <c r="L730">
        <v>19.07</v>
      </c>
      <c r="M730">
        <v>20.83</v>
      </c>
      <c r="N730">
        <v>21.13</v>
      </c>
    </row>
    <row r="731" spans="3:14" x14ac:dyDescent="0.15">
      <c r="C731" s="123">
        <v>42491</v>
      </c>
      <c r="D731" t="s">
        <v>18</v>
      </c>
      <c r="E731" t="s">
        <v>94</v>
      </c>
      <c r="F731" t="s">
        <v>20</v>
      </c>
      <c r="G731" t="s">
        <v>145</v>
      </c>
      <c r="H731" t="s">
        <v>59</v>
      </c>
      <c r="I731">
        <v>59.19</v>
      </c>
      <c r="J731">
        <v>60.84</v>
      </c>
      <c r="K731">
        <v>61.38</v>
      </c>
      <c r="L731">
        <v>21.44</v>
      </c>
      <c r="M731">
        <v>23.27</v>
      </c>
      <c r="N731">
        <v>23.89</v>
      </c>
    </row>
    <row r="732" spans="3:14" x14ac:dyDescent="0.15">
      <c r="C732" s="123">
        <v>42491</v>
      </c>
      <c r="D732" t="s">
        <v>18</v>
      </c>
      <c r="E732" t="s">
        <v>94</v>
      </c>
      <c r="F732" t="s">
        <v>20</v>
      </c>
      <c r="G732" t="s">
        <v>145</v>
      </c>
      <c r="H732" t="s">
        <v>60</v>
      </c>
      <c r="I732">
        <v>57.59</v>
      </c>
      <c r="J732">
        <v>59.24</v>
      </c>
      <c r="K732">
        <v>59.78</v>
      </c>
      <c r="L732">
        <v>19.84</v>
      </c>
      <c r="M732">
        <v>21.67</v>
      </c>
      <c r="N732">
        <v>22.29</v>
      </c>
    </row>
    <row r="733" spans="3:14" x14ac:dyDescent="0.15">
      <c r="C733" s="123">
        <v>42491</v>
      </c>
      <c r="D733" t="s">
        <v>18</v>
      </c>
      <c r="E733" t="s">
        <v>94</v>
      </c>
      <c r="F733" t="s">
        <v>20</v>
      </c>
      <c r="G733" t="s">
        <v>145</v>
      </c>
      <c r="H733" t="s">
        <v>648</v>
      </c>
      <c r="I733">
        <v>56.54</v>
      </c>
      <c r="J733">
        <v>58.19</v>
      </c>
      <c r="K733">
        <v>58.73</v>
      </c>
      <c r="L733">
        <v>18.79</v>
      </c>
      <c r="M733">
        <v>20.62</v>
      </c>
      <c r="N733">
        <v>21.24</v>
      </c>
    </row>
    <row r="734" spans="3:14" x14ac:dyDescent="0.15">
      <c r="C734" s="123">
        <v>42522</v>
      </c>
      <c r="D734" t="s">
        <v>18</v>
      </c>
      <c r="E734" t="s">
        <v>94</v>
      </c>
      <c r="F734" t="s">
        <v>20</v>
      </c>
      <c r="G734" t="s">
        <v>145</v>
      </c>
      <c r="H734" t="s">
        <v>59</v>
      </c>
      <c r="I734">
        <v>58.94</v>
      </c>
      <c r="J734">
        <v>60.43</v>
      </c>
      <c r="K734">
        <v>61.5</v>
      </c>
      <c r="L734">
        <v>21.11</v>
      </c>
      <c r="M734">
        <v>23.09</v>
      </c>
      <c r="N734">
        <v>23.96</v>
      </c>
    </row>
    <row r="735" spans="3:14" x14ac:dyDescent="0.15">
      <c r="C735" s="123">
        <v>42522</v>
      </c>
      <c r="D735" t="s">
        <v>18</v>
      </c>
      <c r="E735" t="s">
        <v>94</v>
      </c>
      <c r="F735" t="s">
        <v>20</v>
      </c>
      <c r="G735" t="s">
        <v>145</v>
      </c>
      <c r="H735" t="s">
        <v>60</v>
      </c>
      <c r="I735">
        <v>57.34</v>
      </c>
      <c r="J735">
        <v>58.83</v>
      </c>
      <c r="K735">
        <v>59.9</v>
      </c>
      <c r="L735">
        <v>19.510000000000002</v>
      </c>
      <c r="M735">
        <v>21.49</v>
      </c>
      <c r="N735">
        <v>22.36</v>
      </c>
    </row>
    <row r="736" spans="3:14" x14ac:dyDescent="0.15">
      <c r="C736" s="123">
        <v>42522</v>
      </c>
      <c r="D736" t="s">
        <v>18</v>
      </c>
      <c r="E736" t="s">
        <v>94</v>
      </c>
      <c r="F736" t="s">
        <v>20</v>
      </c>
      <c r="G736" t="s">
        <v>145</v>
      </c>
      <c r="H736" t="s">
        <v>648</v>
      </c>
      <c r="I736">
        <v>56.29</v>
      </c>
      <c r="J736">
        <v>57.78</v>
      </c>
      <c r="K736">
        <v>58.85</v>
      </c>
      <c r="L736">
        <v>18.46</v>
      </c>
      <c r="M736">
        <v>20.440000000000001</v>
      </c>
      <c r="N736">
        <v>21.31</v>
      </c>
    </row>
    <row r="737" spans="3:14" x14ac:dyDescent="0.15">
      <c r="C737" s="123">
        <v>42552</v>
      </c>
      <c r="D737" t="s">
        <v>18</v>
      </c>
      <c r="E737" t="s">
        <v>94</v>
      </c>
      <c r="F737" t="s">
        <v>20</v>
      </c>
      <c r="G737" t="s">
        <v>145</v>
      </c>
      <c r="H737" t="s">
        <v>59</v>
      </c>
      <c r="I737">
        <v>59.46</v>
      </c>
      <c r="J737">
        <v>60.58</v>
      </c>
      <c r="K737">
        <v>61.8</v>
      </c>
      <c r="L737">
        <v>21.59</v>
      </c>
      <c r="M737">
        <v>23.41</v>
      </c>
      <c r="N737">
        <v>24.29</v>
      </c>
    </row>
    <row r="738" spans="3:14" x14ac:dyDescent="0.15">
      <c r="C738" s="123">
        <v>42552</v>
      </c>
      <c r="D738" t="s">
        <v>18</v>
      </c>
      <c r="E738" t="s">
        <v>94</v>
      </c>
      <c r="F738" t="s">
        <v>20</v>
      </c>
      <c r="G738" t="s">
        <v>145</v>
      </c>
      <c r="H738" t="s">
        <v>60</v>
      </c>
      <c r="I738">
        <v>57.86</v>
      </c>
      <c r="J738">
        <v>58.98</v>
      </c>
      <c r="K738">
        <v>60.2</v>
      </c>
      <c r="L738">
        <v>19.989999999999998</v>
      </c>
      <c r="M738">
        <v>21.81</v>
      </c>
      <c r="N738">
        <v>22.69</v>
      </c>
    </row>
    <row r="739" spans="3:14" x14ac:dyDescent="0.15">
      <c r="C739" s="123">
        <v>42552</v>
      </c>
      <c r="D739" t="s">
        <v>18</v>
      </c>
      <c r="E739" t="s">
        <v>94</v>
      </c>
      <c r="F739" t="s">
        <v>20</v>
      </c>
      <c r="G739" t="s">
        <v>145</v>
      </c>
      <c r="H739" t="s">
        <v>648</v>
      </c>
      <c r="I739">
        <v>56.81</v>
      </c>
      <c r="J739">
        <v>57.93</v>
      </c>
      <c r="K739">
        <v>59.15</v>
      </c>
      <c r="L739">
        <v>18.940000000000001</v>
      </c>
      <c r="M739">
        <v>20.76</v>
      </c>
      <c r="N739">
        <v>21.64</v>
      </c>
    </row>
    <row r="740" spans="3:14" x14ac:dyDescent="0.15">
      <c r="C740" s="123">
        <v>42583</v>
      </c>
      <c r="D740" t="s">
        <v>18</v>
      </c>
      <c r="E740" t="s">
        <v>94</v>
      </c>
      <c r="F740" t="s">
        <v>20</v>
      </c>
      <c r="G740" t="s">
        <v>145</v>
      </c>
      <c r="H740" t="s">
        <v>59</v>
      </c>
      <c r="I740">
        <v>59.9</v>
      </c>
      <c r="J740">
        <v>60.61</v>
      </c>
      <c r="K740">
        <v>62.16</v>
      </c>
      <c r="L740">
        <v>22.07</v>
      </c>
      <c r="M740">
        <v>23.42</v>
      </c>
      <c r="N740">
        <v>24.62</v>
      </c>
    </row>
    <row r="741" spans="3:14" x14ac:dyDescent="0.15">
      <c r="C741" s="123">
        <v>42583</v>
      </c>
      <c r="D741" t="s">
        <v>18</v>
      </c>
      <c r="E741" t="s">
        <v>94</v>
      </c>
      <c r="F741" t="s">
        <v>20</v>
      </c>
      <c r="G741" t="s">
        <v>145</v>
      </c>
      <c r="H741" t="s">
        <v>60</v>
      </c>
      <c r="I741">
        <v>58.3</v>
      </c>
      <c r="J741">
        <v>59.01</v>
      </c>
      <c r="K741">
        <v>60.56</v>
      </c>
      <c r="L741">
        <v>20.47</v>
      </c>
      <c r="M741">
        <v>21.82</v>
      </c>
      <c r="N741">
        <v>23.02</v>
      </c>
    </row>
    <row r="742" spans="3:14" x14ac:dyDescent="0.15">
      <c r="C742" s="123">
        <v>42583</v>
      </c>
      <c r="D742" t="s">
        <v>18</v>
      </c>
      <c r="E742" t="s">
        <v>94</v>
      </c>
      <c r="F742" t="s">
        <v>20</v>
      </c>
      <c r="G742" t="s">
        <v>145</v>
      </c>
      <c r="H742" t="s">
        <v>648</v>
      </c>
      <c r="I742">
        <v>57.25</v>
      </c>
      <c r="J742">
        <v>57.96</v>
      </c>
      <c r="K742">
        <v>59.51</v>
      </c>
      <c r="L742">
        <v>19.420000000000002</v>
      </c>
      <c r="M742">
        <v>20.77</v>
      </c>
      <c r="N742">
        <v>21.97</v>
      </c>
    </row>
    <row r="743" spans="3:14" x14ac:dyDescent="0.15">
      <c r="C743" s="123">
        <v>42614</v>
      </c>
      <c r="D743" t="s">
        <v>18</v>
      </c>
      <c r="E743" t="s">
        <v>94</v>
      </c>
      <c r="F743" t="s">
        <v>20</v>
      </c>
      <c r="G743" t="s">
        <v>145</v>
      </c>
      <c r="H743" t="s">
        <v>59</v>
      </c>
      <c r="I743">
        <v>60.29</v>
      </c>
      <c r="J743">
        <v>60.82</v>
      </c>
      <c r="K743">
        <v>62.42</v>
      </c>
      <c r="L743">
        <v>22.54</v>
      </c>
      <c r="M743">
        <v>23.63</v>
      </c>
      <c r="N743">
        <v>24.94</v>
      </c>
    </row>
    <row r="744" spans="3:14" x14ac:dyDescent="0.15">
      <c r="C744" s="123">
        <v>42614</v>
      </c>
      <c r="D744" t="s">
        <v>18</v>
      </c>
      <c r="E744" t="s">
        <v>94</v>
      </c>
      <c r="F744" t="s">
        <v>20</v>
      </c>
      <c r="G744" t="s">
        <v>145</v>
      </c>
      <c r="H744" t="s">
        <v>60</v>
      </c>
      <c r="I744">
        <v>58.69</v>
      </c>
      <c r="J744">
        <v>59.22</v>
      </c>
      <c r="K744">
        <v>60.82</v>
      </c>
      <c r="L744">
        <v>20.94</v>
      </c>
      <c r="M744">
        <v>22.03</v>
      </c>
      <c r="N744">
        <v>23.34</v>
      </c>
    </row>
    <row r="745" spans="3:14" x14ac:dyDescent="0.15">
      <c r="C745" s="123">
        <v>42614</v>
      </c>
      <c r="D745" t="s">
        <v>18</v>
      </c>
      <c r="E745" t="s">
        <v>94</v>
      </c>
      <c r="F745" t="s">
        <v>20</v>
      </c>
      <c r="G745" t="s">
        <v>145</v>
      </c>
      <c r="H745" t="s">
        <v>648</v>
      </c>
      <c r="I745">
        <v>57.64</v>
      </c>
      <c r="J745">
        <v>58.17</v>
      </c>
      <c r="K745">
        <v>59.77</v>
      </c>
      <c r="L745">
        <v>19.89</v>
      </c>
      <c r="M745">
        <v>20.98</v>
      </c>
      <c r="N745">
        <v>22.29</v>
      </c>
    </row>
    <row r="746" spans="3:14" x14ac:dyDescent="0.15">
      <c r="C746" s="123">
        <v>42644</v>
      </c>
      <c r="D746" t="s">
        <v>18</v>
      </c>
      <c r="E746" t="s">
        <v>94</v>
      </c>
      <c r="F746" t="s">
        <v>20</v>
      </c>
      <c r="G746" t="s">
        <v>145</v>
      </c>
      <c r="H746" t="s">
        <v>59</v>
      </c>
      <c r="I746">
        <v>60.74</v>
      </c>
      <c r="J746">
        <v>60.9</v>
      </c>
      <c r="K746">
        <v>62.69</v>
      </c>
      <c r="L746">
        <v>23.02</v>
      </c>
      <c r="M746">
        <v>23.57</v>
      </c>
      <c r="N746">
        <v>25.27</v>
      </c>
    </row>
    <row r="747" spans="3:14" x14ac:dyDescent="0.15">
      <c r="C747" s="123">
        <v>42644</v>
      </c>
      <c r="D747" t="s">
        <v>18</v>
      </c>
      <c r="E747" t="s">
        <v>94</v>
      </c>
      <c r="F747" t="s">
        <v>20</v>
      </c>
      <c r="G747" t="s">
        <v>145</v>
      </c>
      <c r="H747" t="s">
        <v>60</v>
      </c>
      <c r="I747">
        <v>59.14</v>
      </c>
      <c r="J747">
        <v>59.3</v>
      </c>
      <c r="K747">
        <v>61.09</v>
      </c>
      <c r="L747">
        <v>21.42</v>
      </c>
      <c r="M747">
        <v>21.97</v>
      </c>
      <c r="N747">
        <v>23.67</v>
      </c>
    </row>
    <row r="748" spans="3:14" x14ac:dyDescent="0.15">
      <c r="C748" s="123">
        <v>42644</v>
      </c>
      <c r="D748" t="s">
        <v>18</v>
      </c>
      <c r="E748" t="s">
        <v>94</v>
      </c>
      <c r="F748" t="s">
        <v>20</v>
      </c>
      <c r="G748" t="s">
        <v>145</v>
      </c>
      <c r="H748" t="s">
        <v>648</v>
      </c>
      <c r="I748">
        <v>58.09</v>
      </c>
      <c r="J748">
        <v>58.25</v>
      </c>
      <c r="K748">
        <v>60.04</v>
      </c>
      <c r="L748">
        <v>20.37</v>
      </c>
      <c r="M748">
        <v>20.92</v>
      </c>
      <c r="N748">
        <v>22.62</v>
      </c>
    </row>
    <row r="749" spans="3:14" x14ac:dyDescent="0.15">
      <c r="C749" s="123">
        <v>42675</v>
      </c>
      <c r="D749" t="s">
        <v>18</v>
      </c>
      <c r="E749" t="s">
        <v>94</v>
      </c>
      <c r="F749" t="s">
        <v>20</v>
      </c>
      <c r="G749" t="s">
        <v>145</v>
      </c>
      <c r="H749" t="s">
        <v>59</v>
      </c>
      <c r="I749">
        <v>61.14</v>
      </c>
      <c r="J749">
        <v>61.73</v>
      </c>
      <c r="K749">
        <v>62.92</v>
      </c>
      <c r="L749">
        <v>23.46</v>
      </c>
      <c r="M749">
        <v>24.19</v>
      </c>
      <c r="N749">
        <v>25.55</v>
      </c>
    </row>
    <row r="750" spans="3:14" x14ac:dyDescent="0.15">
      <c r="C750" s="123">
        <v>42675</v>
      </c>
      <c r="D750" t="s">
        <v>18</v>
      </c>
      <c r="E750" t="s">
        <v>94</v>
      </c>
      <c r="F750" t="s">
        <v>20</v>
      </c>
      <c r="G750" t="s">
        <v>145</v>
      </c>
      <c r="H750" t="s">
        <v>60</v>
      </c>
      <c r="I750">
        <v>59.54</v>
      </c>
      <c r="J750">
        <v>60.13</v>
      </c>
      <c r="K750">
        <v>61.32</v>
      </c>
      <c r="L750">
        <v>21.86</v>
      </c>
      <c r="M750">
        <v>22.59</v>
      </c>
      <c r="N750">
        <v>23.95</v>
      </c>
    </row>
    <row r="751" spans="3:14" x14ac:dyDescent="0.15">
      <c r="C751" s="123">
        <v>42675</v>
      </c>
      <c r="D751" t="s">
        <v>18</v>
      </c>
      <c r="E751" t="s">
        <v>94</v>
      </c>
      <c r="F751" t="s">
        <v>20</v>
      </c>
      <c r="G751" t="s">
        <v>145</v>
      </c>
      <c r="H751" t="s">
        <v>648</v>
      </c>
      <c r="I751">
        <v>58.49</v>
      </c>
      <c r="J751">
        <v>59.08</v>
      </c>
      <c r="K751">
        <v>60.27</v>
      </c>
      <c r="L751">
        <v>20.81</v>
      </c>
      <c r="M751">
        <v>21.54</v>
      </c>
      <c r="N751">
        <v>22.9</v>
      </c>
    </row>
    <row r="752" spans="3:14" x14ac:dyDescent="0.15">
      <c r="C752" s="123">
        <v>42705</v>
      </c>
      <c r="D752" t="s">
        <v>18</v>
      </c>
      <c r="E752" t="s">
        <v>94</v>
      </c>
      <c r="F752" t="s">
        <v>20</v>
      </c>
      <c r="G752" t="s">
        <v>145</v>
      </c>
      <c r="H752" t="s">
        <v>59</v>
      </c>
      <c r="I752">
        <v>61.54</v>
      </c>
      <c r="J752">
        <v>62.57</v>
      </c>
      <c r="K752">
        <v>63.18</v>
      </c>
      <c r="L752">
        <v>23.93</v>
      </c>
      <c r="M752">
        <v>24.8</v>
      </c>
      <c r="N752">
        <v>25.87</v>
      </c>
    </row>
    <row r="753" spans="3:14" x14ac:dyDescent="0.15">
      <c r="C753" s="123">
        <v>42705</v>
      </c>
      <c r="D753" t="s">
        <v>18</v>
      </c>
      <c r="E753" t="s">
        <v>94</v>
      </c>
      <c r="F753" t="s">
        <v>20</v>
      </c>
      <c r="G753" t="s">
        <v>145</v>
      </c>
      <c r="H753" t="s">
        <v>60</v>
      </c>
      <c r="I753">
        <v>59.94</v>
      </c>
      <c r="J753">
        <v>60.97</v>
      </c>
      <c r="K753">
        <v>61.58</v>
      </c>
      <c r="L753">
        <v>22.33</v>
      </c>
      <c r="M753">
        <v>23.2</v>
      </c>
      <c r="N753">
        <v>24.27</v>
      </c>
    </row>
    <row r="754" spans="3:14" x14ac:dyDescent="0.15">
      <c r="C754" s="123">
        <v>42705</v>
      </c>
      <c r="D754" t="s">
        <v>18</v>
      </c>
      <c r="E754" t="s">
        <v>94</v>
      </c>
      <c r="F754" t="s">
        <v>20</v>
      </c>
      <c r="G754" t="s">
        <v>145</v>
      </c>
      <c r="H754" t="s">
        <v>648</v>
      </c>
      <c r="I754">
        <v>58.89</v>
      </c>
      <c r="J754">
        <v>59.92</v>
      </c>
      <c r="K754">
        <v>60.53</v>
      </c>
      <c r="L754">
        <v>21.28</v>
      </c>
      <c r="M754">
        <v>22.15</v>
      </c>
      <c r="N754">
        <v>23.22</v>
      </c>
    </row>
    <row r="755" spans="3:14" x14ac:dyDescent="0.15">
      <c r="C755" s="123">
        <v>42736</v>
      </c>
      <c r="D755" t="s">
        <v>18</v>
      </c>
      <c r="E755" t="s">
        <v>94</v>
      </c>
      <c r="F755" t="s">
        <v>20</v>
      </c>
      <c r="G755" t="s">
        <v>145</v>
      </c>
      <c r="H755" t="s">
        <v>59</v>
      </c>
      <c r="I755">
        <v>61.97</v>
      </c>
      <c r="J755">
        <v>63.14</v>
      </c>
      <c r="K755">
        <v>63.52</v>
      </c>
      <c r="L755">
        <v>24.44</v>
      </c>
      <c r="M755">
        <v>25.27</v>
      </c>
      <c r="N755">
        <v>26.21</v>
      </c>
    </row>
    <row r="756" spans="3:14" x14ac:dyDescent="0.15">
      <c r="C756" s="123">
        <v>42736</v>
      </c>
      <c r="D756" t="s">
        <v>18</v>
      </c>
      <c r="E756" t="s">
        <v>94</v>
      </c>
      <c r="F756" t="s">
        <v>20</v>
      </c>
      <c r="G756" t="s">
        <v>145</v>
      </c>
      <c r="H756" t="s">
        <v>60</v>
      </c>
      <c r="I756">
        <v>60.37</v>
      </c>
      <c r="J756">
        <v>61.54</v>
      </c>
      <c r="K756">
        <v>61.92</v>
      </c>
      <c r="L756">
        <v>22.84</v>
      </c>
      <c r="M756">
        <v>23.67</v>
      </c>
      <c r="N756">
        <v>24.61</v>
      </c>
    </row>
    <row r="757" spans="3:14" x14ac:dyDescent="0.15">
      <c r="C757" s="123">
        <v>42736</v>
      </c>
      <c r="D757" t="s">
        <v>18</v>
      </c>
      <c r="E757" t="s">
        <v>94</v>
      </c>
      <c r="F757" t="s">
        <v>20</v>
      </c>
      <c r="G757" t="s">
        <v>145</v>
      </c>
      <c r="H757" t="s">
        <v>648</v>
      </c>
      <c r="I757">
        <v>59.32</v>
      </c>
      <c r="J757">
        <v>60.49</v>
      </c>
      <c r="K757">
        <v>60.87</v>
      </c>
      <c r="L757">
        <v>21.79</v>
      </c>
      <c r="M757">
        <v>22.62</v>
      </c>
      <c r="N757">
        <v>23.56</v>
      </c>
    </row>
    <row r="758" spans="3:14" x14ac:dyDescent="0.15">
      <c r="C758" s="123">
        <v>42401</v>
      </c>
      <c r="D758" t="s">
        <v>18</v>
      </c>
      <c r="E758" t="s">
        <v>21</v>
      </c>
      <c r="F758" t="s">
        <v>22</v>
      </c>
      <c r="G758" t="s">
        <v>128</v>
      </c>
      <c r="H758" t="s">
        <v>59</v>
      </c>
      <c r="I758">
        <v>59.32</v>
      </c>
      <c r="J758">
        <v>59.98</v>
      </c>
      <c r="K758">
        <v>60.68</v>
      </c>
      <c r="L758">
        <v>22.91</v>
      </c>
      <c r="M758">
        <v>23.08</v>
      </c>
      <c r="N758">
        <v>24.16</v>
      </c>
    </row>
    <row r="759" spans="3:14" x14ac:dyDescent="0.15">
      <c r="C759" s="123">
        <v>42401</v>
      </c>
      <c r="D759" t="s">
        <v>18</v>
      </c>
      <c r="E759" t="s">
        <v>21</v>
      </c>
      <c r="F759" t="s">
        <v>22</v>
      </c>
      <c r="G759" t="s">
        <v>128</v>
      </c>
      <c r="H759" t="s">
        <v>60</v>
      </c>
      <c r="I759">
        <v>57.72</v>
      </c>
      <c r="J759">
        <v>58.38</v>
      </c>
      <c r="K759">
        <v>59.08</v>
      </c>
      <c r="L759">
        <v>21.31</v>
      </c>
      <c r="M759">
        <v>21.48</v>
      </c>
      <c r="N759">
        <v>22.56</v>
      </c>
    </row>
    <row r="760" spans="3:14" x14ac:dyDescent="0.15">
      <c r="C760" s="123">
        <v>42401</v>
      </c>
      <c r="D760" t="s">
        <v>18</v>
      </c>
      <c r="E760" t="s">
        <v>21</v>
      </c>
      <c r="F760" t="s">
        <v>22</v>
      </c>
      <c r="G760" t="s">
        <v>128</v>
      </c>
      <c r="H760" t="s">
        <v>648</v>
      </c>
      <c r="I760">
        <v>56.67</v>
      </c>
      <c r="J760">
        <v>57.33</v>
      </c>
      <c r="K760">
        <v>58.03</v>
      </c>
      <c r="L760">
        <v>20.260000000000002</v>
      </c>
      <c r="M760">
        <v>20.43</v>
      </c>
      <c r="N760">
        <v>21.51</v>
      </c>
    </row>
    <row r="761" spans="3:14" x14ac:dyDescent="0.15">
      <c r="C761" s="123">
        <v>42430</v>
      </c>
      <c r="D761" t="s">
        <v>18</v>
      </c>
      <c r="E761" t="s">
        <v>21</v>
      </c>
      <c r="F761" t="s">
        <v>22</v>
      </c>
      <c r="G761" t="s">
        <v>128</v>
      </c>
      <c r="H761" t="s">
        <v>59</v>
      </c>
      <c r="I761">
        <v>59.21</v>
      </c>
      <c r="J761">
        <v>60.04</v>
      </c>
      <c r="K761">
        <v>60.82</v>
      </c>
      <c r="L761">
        <v>22.61</v>
      </c>
      <c r="M761">
        <v>23.01</v>
      </c>
      <c r="N761">
        <v>24.23</v>
      </c>
    </row>
    <row r="762" spans="3:14" x14ac:dyDescent="0.15">
      <c r="C762" s="123">
        <v>42430</v>
      </c>
      <c r="D762" t="s">
        <v>18</v>
      </c>
      <c r="E762" t="s">
        <v>21</v>
      </c>
      <c r="F762" t="s">
        <v>22</v>
      </c>
      <c r="G762" t="s">
        <v>128</v>
      </c>
      <c r="H762" t="s">
        <v>60</v>
      </c>
      <c r="I762">
        <v>57.61</v>
      </c>
      <c r="J762">
        <v>58.44</v>
      </c>
      <c r="K762">
        <v>59.22</v>
      </c>
      <c r="L762">
        <v>21.01</v>
      </c>
      <c r="M762">
        <v>21.41</v>
      </c>
      <c r="N762">
        <v>22.63</v>
      </c>
    </row>
    <row r="763" spans="3:14" x14ac:dyDescent="0.15">
      <c r="C763" s="123">
        <v>42430</v>
      </c>
      <c r="D763" t="s">
        <v>18</v>
      </c>
      <c r="E763" t="s">
        <v>21</v>
      </c>
      <c r="F763" t="s">
        <v>22</v>
      </c>
      <c r="G763" t="s">
        <v>128</v>
      </c>
      <c r="H763" t="s">
        <v>648</v>
      </c>
      <c r="I763">
        <v>56.56</v>
      </c>
      <c r="J763">
        <v>57.39</v>
      </c>
      <c r="K763">
        <v>58.17</v>
      </c>
      <c r="L763">
        <v>19.96</v>
      </c>
      <c r="M763">
        <v>20.36</v>
      </c>
      <c r="N763">
        <v>21.58</v>
      </c>
    </row>
    <row r="764" spans="3:14" x14ac:dyDescent="0.15">
      <c r="C764" s="123">
        <v>42461</v>
      </c>
      <c r="D764" t="s">
        <v>18</v>
      </c>
      <c r="E764" t="s">
        <v>21</v>
      </c>
      <c r="F764" t="s">
        <v>22</v>
      </c>
      <c r="G764" t="s">
        <v>128</v>
      </c>
      <c r="H764" t="s">
        <v>59</v>
      </c>
      <c r="I764">
        <v>59.1</v>
      </c>
      <c r="J764">
        <v>59.94</v>
      </c>
      <c r="K764">
        <v>60.97</v>
      </c>
      <c r="L764">
        <v>22.28</v>
      </c>
      <c r="M764">
        <v>23.03</v>
      </c>
      <c r="N764">
        <v>24.31</v>
      </c>
    </row>
    <row r="765" spans="3:14" x14ac:dyDescent="0.15">
      <c r="C765" s="123">
        <v>42461</v>
      </c>
      <c r="D765" t="s">
        <v>18</v>
      </c>
      <c r="E765" t="s">
        <v>21</v>
      </c>
      <c r="F765" t="s">
        <v>22</v>
      </c>
      <c r="G765" t="s">
        <v>128</v>
      </c>
      <c r="H765" t="s">
        <v>60</v>
      </c>
      <c r="I765">
        <v>57.5</v>
      </c>
      <c r="J765">
        <v>58.34</v>
      </c>
      <c r="K765">
        <v>59.37</v>
      </c>
      <c r="L765">
        <v>20.68</v>
      </c>
      <c r="M765">
        <v>21.43</v>
      </c>
      <c r="N765">
        <v>22.71</v>
      </c>
    </row>
    <row r="766" spans="3:14" x14ac:dyDescent="0.15">
      <c r="C766" s="123">
        <v>42461</v>
      </c>
      <c r="D766" t="s">
        <v>18</v>
      </c>
      <c r="E766" t="s">
        <v>21</v>
      </c>
      <c r="F766" t="s">
        <v>22</v>
      </c>
      <c r="G766" t="s">
        <v>128</v>
      </c>
      <c r="H766" t="s">
        <v>648</v>
      </c>
      <c r="I766">
        <v>56.45</v>
      </c>
      <c r="J766">
        <v>57.29</v>
      </c>
      <c r="K766">
        <v>58.32</v>
      </c>
      <c r="L766">
        <v>19.63</v>
      </c>
      <c r="M766">
        <v>20.38</v>
      </c>
      <c r="N766">
        <v>21.66</v>
      </c>
    </row>
    <row r="767" spans="3:14" x14ac:dyDescent="0.15">
      <c r="C767" s="123">
        <v>42491</v>
      </c>
      <c r="D767" t="s">
        <v>18</v>
      </c>
      <c r="E767" t="s">
        <v>21</v>
      </c>
      <c r="F767" t="s">
        <v>22</v>
      </c>
      <c r="G767" t="s">
        <v>128</v>
      </c>
      <c r="H767" t="s">
        <v>59</v>
      </c>
      <c r="I767">
        <v>58.86</v>
      </c>
      <c r="J767">
        <v>59.95</v>
      </c>
      <c r="K767">
        <v>61.04</v>
      </c>
      <c r="L767">
        <v>21.97</v>
      </c>
      <c r="M767">
        <v>23.11</v>
      </c>
      <c r="N767">
        <v>24.37</v>
      </c>
    </row>
    <row r="768" spans="3:14" x14ac:dyDescent="0.15">
      <c r="C768" s="123">
        <v>42491</v>
      </c>
      <c r="D768" t="s">
        <v>18</v>
      </c>
      <c r="E768" t="s">
        <v>21</v>
      </c>
      <c r="F768" t="s">
        <v>22</v>
      </c>
      <c r="G768" t="s">
        <v>128</v>
      </c>
      <c r="H768" t="s">
        <v>60</v>
      </c>
      <c r="I768">
        <v>57.26</v>
      </c>
      <c r="J768">
        <v>58.35</v>
      </c>
      <c r="K768">
        <v>59.44</v>
      </c>
      <c r="L768">
        <v>20.37</v>
      </c>
      <c r="M768">
        <v>21.51</v>
      </c>
      <c r="N768">
        <v>22.77</v>
      </c>
    </row>
    <row r="769" spans="3:14" x14ac:dyDescent="0.15">
      <c r="C769" s="123">
        <v>42491</v>
      </c>
      <c r="D769" t="s">
        <v>18</v>
      </c>
      <c r="E769" t="s">
        <v>21</v>
      </c>
      <c r="F769" t="s">
        <v>22</v>
      </c>
      <c r="G769" t="s">
        <v>128</v>
      </c>
      <c r="H769" t="s">
        <v>648</v>
      </c>
      <c r="I769">
        <v>56.21</v>
      </c>
      <c r="J769">
        <v>57.3</v>
      </c>
      <c r="K769">
        <v>58.39</v>
      </c>
      <c r="L769">
        <v>19.32</v>
      </c>
      <c r="M769">
        <v>20.46</v>
      </c>
      <c r="N769">
        <v>21.72</v>
      </c>
    </row>
    <row r="770" spans="3:14" x14ac:dyDescent="0.15">
      <c r="C770" s="123">
        <v>42522</v>
      </c>
      <c r="D770" t="s">
        <v>18</v>
      </c>
      <c r="E770" t="s">
        <v>21</v>
      </c>
      <c r="F770" t="s">
        <v>22</v>
      </c>
      <c r="G770" t="s">
        <v>128</v>
      </c>
      <c r="H770" t="s">
        <v>59</v>
      </c>
      <c r="I770">
        <v>58.6</v>
      </c>
      <c r="J770">
        <v>59.96</v>
      </c>
      <c r="K770">
        <v>61.15</v>
      </c>
      <c r="L770">
        <v>21.62</v>
      </c>
      <c r="M770">
        <v>23.23</v>
      </c>
      <c r="N770">
        <v>24.44</v>
      </c>
    </row>
    <row r="771" spans="3:14" x14ac:dyDescent="0.15">
      <c r="C771" s="123">
        <v>42522</v>
      </c>
      <c r="D771" t="s">
        <v>18</v>
      </c>
      <c r="E771" t="s">
        <v>21</v>
      </c>
      <c r="F771" t="s">
        <v>22</v>
      </c>
      <c r="G771" t="s">
        <v>128</v>
      </c>
      <c r="H771" t="s">
        <v>60</v>
      </c>
      <c r="I771">
        <v>57</v>
      </c>
      <c r="J771">
        <v>58.36</v>
      </c>
      <c r="K771">
        <v>59.55</v>
      </c>
      <c r="L771">
        <v>20.02</v>
      </c>
      <c r="M771">
        <v>21.63</v>
      </c>
      <c r="N771">
        <v>22.84</v>
      </c>
    </row>
    <row r="772" spans="3:14" x14ac:dyDescent="0.15">
      <c r="C772" s="123">
        <v>42522</v>
      </c>
      <c r="D772" t="s">
        <v>18</v>
      </c>
      <c r="E772" t="s">
        <v>21</v>
      </c>
      <c r="F772" t="s">
        <v>22</v>
      </c>
      <c r="G772" t="s">
        <v>128</v>
      </c>
      <c r="H772" t="s">
        <v>648</v>
      </c>
      <c r="I772">
        <v>55.95</v>
      </c>
      <c r="J772">
        <v>57.31</v>
      </c>
      <c r="K772">
        <v>58.5</v>
      </c>
      <c r="L772">
        <v>18.97</v>
      </c>
      <c r="M772">
        <v>20.58</v>
      </c>
      <c r="N772">
        <v>21.79</v>
      </c>
    </row>
    <row r="773" spans="3:14" x14ac:dyDescent="0.15">
      <c r="C773" s="123">
        <v>42552</v>
      </c>
      <c r="D773" t="s">
        <v>18</v>
      </c>
      <c r="E773" t="s">
        <v>21</v>
      </c>
      <c r="F773" t="s">
        <v>22</v>
      </c>
      <c r="G773" t="s">
        <v>128</v>
      </c>
      <c r="H773" t="s">
        <v>59</v>
      </c>
      <c r="I773">
        <v>59.11</v>
      </c>
      <c r="J773">
        <v>60.28</v>
      </c>
      <c r="K773">
        <v>61.4</v>
      </c>
      <c r="L773">
        <v>22.08</v>
      </c>
      <c r="M773">
        <v>23.66</v>
      </c>
      <c r="N773">
        <v>24.72</v>
      </c>
    </row>
    <row r="774" spans="3:14" x14ac:dyDescent="0.15">
      <c r="C774" s="123">
        <v>42552</v>
      </c>
      <c r="D774" t="s">
        <v>18</v>
      </c>
      <c r="E774" t="s">
        <v>21</v>
      </c>
      <c r="F774" t="s">
        <v>22</v>
      </c>
      <c r="G774" t="s">
        <v>128</v>
      </c>
      <c r="H774" t="s">
        <v>60</v>
      </c>
      <c r="I774">
        <v>57.51</v>
      </c>
      <c r="J774">
        <v>58.68</v>
      </c>
      <c r="K774">
        <v>59.8</v>
      </c>
      <c r="L774">
        <v>20.48</v>
      </c>
      <c r="M774">
        <v>22.06</v>
      </c>
      <c r="N774">
        <v>23.12</v>
      </c>
    </row>
    <row r="775" spans="3:14" x14ac:dyDescent="0.15">
      <c r="C775" s="123">
        <v>42552</v>
      </c>
      <c r="D775" t="s">
        <v>18</v>
      </c>
      <c r="E775" t="s">
        <v>21</v>
      </c>
      <c r="F775" t="s">
        <v>22</v>
      </c>
      <c r="G775" t="s">
        <v>128</v>
      </c>
      <c r="H775" t="s">
        <v>648</v>
      </c>
      <c r="I775">
        <v>56.46</v>
      </c>
      <c r="J775">
        <v>57.63</v>
      </c>
      <c r="K775">
        <v>58.75</v>
      </c>
      <c r="L775">
        <v>19.43</v>
      </c>
      <c r="M775">
        <v>21.01</v>
      </c>
      <c r="N775">
        <v>22.07</v>
      </c>
    </row>
    <row r="776" spans="3:14" x14ac:dyDescent="0.15">
      <c r="C776" s="123">
        <v>42583</v>
      </c>
      <c r="D776" t="s">
        <v>18</v>
      </c>
      <c r="E776" t="s">
        <v>21</v>
      </c>
      <c r="F776" t="s">
        <v>22</v>
      </c>
      <c r="G776" t="s">
        <v>128</v>
      </c>
      <c r="H776" t="s">
        <v>59</v>
      </c>
      <c r="I776">
        <v>59.54</v>
      </c>
      <c r="J776">
        <v>60.62</v>
      </c>
      <c r="K776">
        <v>61.71</v>
      </c>
      <c r="L776">
        <v>22.57</v>
      </c>
      <c r="M776">
        <v>24.19</v>
      </c>
      <c r="N776">
        <v>25.03</v>
      </c>
    </row>
    <row r="777" spans="3:14" x14ac:dyDescent="0.15">
      <c r="C777" s="123">
        <v>42583</v>
      </c>
      <c r="D777" t="s">
        <v>18</v>
      </c>
      <c r="E777" t="s">
        <v>21</v>
      </c>
      <c r="F777" t="s">
        <v>22</v>
      </c>
      <c r="G777" t="s">
        <v>128</v>
      </c>
      <c r="H777" t="s">
        <v>60</v>
      </c>
      <c r="I777">
        <v>57.94</v>
      </c>
      <c r="J777">
        <v>59.02</v>
      </c>
      <c r="K777">
        <v>60.11</v>
      </c>
      <c r="L777">
        <v>20.97</v>
      </c>
      <c r="M777">
        <v>22.59</v>
      </c>
      <c r="N777">
        <v>23.43</v>
      </c>
    </row>
    <row r="778" spans="3:14" x14ac:dyDescent="0.15">
      <c r="C778" s="123">
        <v>42583</v>
      </c>
      <c r="D778" t="s">
        <v>18</v>
      </c>
      <c r="E778" t="s">
        <v>21</v>
      </c>
      <c r="F778" t="s">
        <v>22</v>
      </c>
      <c r="G778" t="s">
        <v>128</v>
      </c>
      <c r="H778" t="s">
        <v>648</v>
      </c>
      <c r="I778">
        <v>56.89</v>
      </c>
      <c r="J778">
        <v>57.97</v>
      </c>
      <c r="K778">
        <v>59.06</v>
      </c>
      <c r="L778">
        <v>19.920000000000002</v>
      </c>
      <c r="M778">
        <v>21.54</v>
      </c>
      <c r="N778">
        <v>22.38</v>
      </c>
    </row>
    <row r="779" spans="3:14" x14ac:dyDescent="0.15">
      <c r="C779" s="123">
        <v>42614</v>
      </c>
      <c r="D779" t="s">
        <v>18</v>
      </c>
      <c r="E779" t="s">
        <v>21</v>
      </c>
      <c r="F779" t="s">
        <v>22</v>
      </c>
      <c r="G779" t="s">
        <v>128</v>
      </c>
      <c r="H779" t="s">
        <v>59</v>
      </c>
      <c r="I779">
        <v>59.92</v>
      </c>
      <c r="J779">
        <v>61.03</v>
      </c>
      <c r="K779">
        <v>61.96</v>
      </c>
      <c r="L779">
        <v>23.05</v>
      </c>
      <c r="M779">
        <v>24.7</v>
      </c>
      <c r="N779">
        <v>25.33</v>
      </c>
    </row>
    <row r="780" spans="3:14" x14ac:dyDescent="0.15">
      <c r="C780" s="123">
        <v>42614</v>
      </c>
      <c r="D780" t="s">
        <v>18</v>
      </c>
      <c r="E780" t="s">
        <v>21</v>
      </c>
      <c r="F780" t="s">
        <v>22</v>
      </c>
      <c r="G780" t="s">
        <v>128</v>
      </c>
      <c r="H780" t="s">
        <v>60</v>
      </c>
      <c r="I780">
        <v>58.32</v>
      </c>
      <c r="J780">
        <v>59.43</v>
      </c>
      <c r="K780">
        <v>60.36</v>
      </c>
      <c r="L780">
        <v>21.45</v>
      </c>
      <c r="M780">
        <v>23.1</v>
      </c>
      <c r="N780">
        <v>23.73</v>
      </c>
    </row>
    <row r="781" spans="3:14" x14ac:dyDescent="0.15">
      <c r="C781" s="123">
        <v>42614</v>
      </c>
      <c r="D781" t="s">
        <v>18</v>
      </c>
      <c r="E781" t="s">
        <v>21</v>
      </c>
      <c r="F781" t="s">
        <v>22</v>
      </c>
      <c r="G781" t="s">
        <v>128</v>
      </c>
      <c r="H781" t="s">
        <v>648</v>
      </c>
      <c r="I781">
        <v>57.27</v>
      </c>
      <c r="J781">
        <v>58.38</v>
      </c>
      <c r="K781">
        <v>59.31</v>
      </c>
      <c r="L781">
        <v>20.399999999999999</v>
      </c>
      <c r="M781">
        <v>22.05</v>
      </c>
      <c r="N781">
        <v>22.68</v>
      </c>
    </row>
    <row r="782" spans="3:14" x14ac:dyDescent="0.15">
      <c r="C782" s="123">
        <v>42644</v>
      </c>
      <c r="D782" t="s">
        <v>18</v>
      </c>
      <c r="E782" t="s">
        <v>21</v>
      </c>
      <c r="F782" t="s">
        <v>22</v>
      </c>
      <c r="G782" t="s">
        <v>128</v>
      </c>
      <c r="H782" t="s">
        <v>59</v>
      </c>
      <c r="I782">
        <v>60.36</v>
      </c>
      <c r="J782">
        <v>61.65</v>
      </c>
      <c r="K782">
        <v>62.19</v>
      </c>
      <c r="L782">
        <v>23.52</v>
      </c>
      <c r="M782">
        <v>25.12</v>
      </c>
      <c r="N782">
        <v>25.64</v>
      </c>
    </row>
    <row r="783" spans="3:14" x14ac:dyDescent="0.15">
      <c r="C783" s="123">
        <v>42644</v>
      </c>
      <c r="D783" t="s">
        <v>18</v>
      </c>
      <c r="E783" t="s">
        <v>21</v>
      </c>
      <c r="F783" t="s">
        <v>22</v>
      </c>
      <c r="G783" t="s">
        <v>128</v>
      </c>
      <c r="H783" t="s">
        <v>60</v>
      </c>
      <c r="I783">
        <v>58.76</v>
      </c>
      <c r="J783">
        <v>60.05</v>
      </c>
      <c r="K783">
        <v>60.59</v>
      </c>
      <c r="L783">
        <v>21.92</v>
      </c>
      <c r="M783">
        <v>23.52</v>
      </c>
      <c r="N783">
        <v>24.04</v>
      </c>
    </row>
    <row r="784" spans="3:14" x14ac:dyDescent="0.15">
      <c r="C784" s="123">
        <v>42644</v>
      </c>
      <c r="D784" t="s">
        <v>18</v>
      </c>
      <c r="E784" t="s">
        <v>21</v>
      </c>
      <c r="F784" t="s">
        <v>22</v>
      </c>
      <c r="G784" t="s">
        <v>128</v>
      </c>
      <c r="H784" t="s">
        <v>648</v>
      </c>
      <c r="I784">
        <v>57.71</v>
      </c>
      <c r="J784">
        <v>59</v>
      </c>
      <c r="K784">
        <v>59.54</v>
      </c>
      <c r="L784">
        <v>20.87</v>
      </c>
      <c r="M784">
        <v>22.47</v>
      </c>
      <c r="N784">
        <v>22.99</v>
      </c>
    </row>
    <row r="785" spans="3:14" x14ac:dyDescent="0.15">
      <c r="C785" s="123">
        <v>42675</v>
      </c>
      <c r="D785" t="s">
        <v>18</v>
      </c>
      <c r="E785" t="s">
        <v>21</v>
      </c>
      <c r="F785" t="s">
        <v>22</v>
      </c>
      <c r="G785" t="s">
        <v>128</v>
      </c>
      <c r="H785" t="s">
        <v>59</v>
      </c>
      <c r="I785">
        <v>60.82</v>
      </c>
      <c r="J785">
        <v>62.05</v>
      </c>
      <c r="K785">
        <v>62.47</v>
      </c>
      <c r="L785">
        <v>23.99</v>
      </c>
      <c r="M785">
        <v>25.45</v>
      </c>
      <c r="N785">
        <v>25.93</v>
      </c>
    </row>
    <row r="786" spans="3:14" x14ac:dyDescent="0.15">
      <c r="C786" s="123">
        <v>42675</v>
      </c>
      <c r="D786" t="s">
        <v>18</v>
      </c>
      <c r="E786" t="s">
        <v>21</v>
      </c>
      <c r="F786" t="s">
        <v>22</v>
      </c>
      <c r="G786" t="s">
        <v>128</v>
      </c>
      <c r="H786" t="s">
        <v>60</v>
      </c>
      <c r="I786">
        <v>59.22</v>
      </c>
      <c r="J786">
        <v>60.45</v>
      </c>
      <c r="K786">
        <v>60.87</v>
      </c>
      <c r="L786">
        <v>22.39</v>
      </c>
      <c r="M786">
        <v>23.85</v>
      </c>
      <c r="N786">
        <v>24.33</v>
      </c>
    </row>
    <row r="787" spans="3:14" x14ac:dyDescent="0.15">
      <c r="C787" s="123">
        <v>42675</v>
      </c>
      <c r="D787" t="s">
        <v>18</v>
      </c>
      <c r="E787" t="s">
        <v>21</v>
      </c>
      <c r="F787" t="s">
        <v>22</v>
      </c>
      <c r="G787" t="s">
        <v>128</v>
      </c>
      <c r="H787" t="s">
        <v>648</v>
      </c>
      <c r="I787">
        <v>58.17</v>
      </c>
      <c r="J787">
        <v>59.4</v>
      </c>
      <c r="K787">
        <v>59.82</v>
      </c>
      <c r="L787">
        <v>21.34</v>
      </c>
      <c r="M787">
        <v>22.8</v>
      </c>
      <c r="N787">
        <v>23.28</v>
      </c>
    </row>
    <row r="788" spans="3:14" x14ac:dyDescent="0.15">
      <c r="C788" s="123">
        <v>42705</v>
      </c>
      <c r="D788" t="s">
        <v>18</v>
      </c>
      <c r="E788" t="s">
        <v>21</v>
      </c>
      <c r="F788" t="s">
        <v>22</v>
      </c>
      <c r="G788" t="s">
        <v>128</v>
      </c>
      <c r="H788" t="s">
        <v>59</v>
      </c>
      <c r="I788">
        <v>61.22</v>
      </c>
      <c r="J788">
        <v>62.43</v>
      </c>
      <c r="K788">
        <v>62.71</v>
      </c>
      <c r="L788">
        <v>24.45</v>
      </c>
      <c r="M788">
        <v>25.7</v>
      </c>
      <c r="N788">
        <v>26.21</v>
      </c>
    </row>
    <row r="789" spans="3:14" x14ac:dyDescent="0.15">
      <c r="C789" s="123">
        <v>42705</v>
      </c>
      <c r="D789" t="s">
        <v>18</v>
      </c>
      <c r="E789" t="s">
        <v>21</v>
      </c>
      <c r="F789" t="s">
        <v>22</v>
      </c>
      <c r="G789" t="s">
        <v>128</v>
      </c>
      <c r="H789" t="s">
        <v>60</v>
      </c>
      <c r="I789">
        <v>59.62</v>
      </c>
      <c r="J789">
        <v>60.83</v>
      </c>
      <c r="K789">
        <v>61.11</v>
      </c>
      <c r="L789">
        <v>22.85</v>
      </c>
      <c r="M789">
        <v>24.1</v>
      </c>
      <c r="N789">
        <v>24.61</v>
      </c>
    </row>
    <row r="790" spans="3:14" x14ac:dyDescent="0.15">
      <c r="C790" s="123">
        <v>42705</v>
      </c>
      <c r="D790" t="s">
        <v>18</v>
      </c>
      <c r="E790" t="s">
        <v>21</v>
      </c>
      <c r="F790" t="s">
        <v>22</v>
      </c>
      <c r="G790" t="s">
        <v>128</v>
      </c>
      <c r="H790" t="s">
        <v>648</v>
      </c>
      <c r="I790">
        <v>58.57</v>
      </c>
      <c r="J790">
        <v>59.78</v>
      </c>
      <c r="K790">
        <v>60.06</v>
      </c>
      <c r="L790">
        <v>21.8</v>
      </c>
      <c r="M790">
        <v>23.05</v>
      </c>
      <c r="N790">
        <v>23.56</v>
      </c>
    </row>
    <row r="791" spans="3:14" x14ac:dyDescent="0.15">
      <c r="C791" s="123">
        <v>42736</v>
      </c>
      <c r="D791" t="s">
        <v>18</v>
      </c>
      <c r="E791" t="s">
        <v>21</v>
      </c>
      <c r="F791" t="s">
        <v>22</v>
      </c>
      <c r="G791" t="s">
        <v>128</v>
      </c>
      <c r="H791" t="s">
        <v>59</v>
      </c>
      <c r="I791">
        <v>61.64</v>
      </c>
      <c r="J791">
        <v>62.71</v>
      </c>
      <c r="K791">
        <v>63.01</v>
      </c>
      <c r="L791">
        <v>24.94</v>
      </c>
      <c r="M791">
        <v>25.95</v>
      </c>
      <c r="N791">
        <v>26.52</v>
      </c>
    </row>
    <row r="792" spans="3:14" x14ac:dyDescent="0.15">
      <c r="C792" s="123">
        <v>42736</v>
      </c>
      <c r="D792" t="s">
        <v>18</v>
      </c>
      <c r="E792" t="s">
        <v>21</v>
      </c>
      <c r="F792" t="s">
        <v>22</v>
      </c>
      <c r="G792" t="s">
        <v>128</v>
      </c>
      <c r="H792" t="s">
        <v>60</v>
      </c>
      <c r="I792">
        <v>60.04</v>
      </c>
      <c r="J792">
        <v>61.11</v>
      </c>
      <c r="K792">
        <v>61.41</v>
      </c>
      <c r="L792">
        <v>23.34</v>
      </c>
      <c r="M792">
        <v>24.35</v>
      </c>
      <c r="N792">
        <v>24.92</v>
      </c>
    </row>
    <row r="793" spans="3:14" x14ac:dyDescent="0.15">
      <c r="C793" s="123">
        <v>42736</v>
      </c>
      <c r="D793" t="s">
        <v>18</v>
      </c>
      <c r="E793" t="s">
        <v>21</v>
      </c>
      <c r="F793" t="s">
        <v>22</v>
      </c>
      <c r="G793" t="s">
        <v>128</v>
      </c>
      <c r="H793" t="s">
        <v>648</v>
      </c>
      <c r="I793">
        <v>58.99</v>
      </c>
      <c r="J793">
        <v>60.06</v>
      </c>
      <c r="K793">
        <v>60.36</v>
      </c>
      <c r="L793">
        <v>22.29</v>
      </c>
      <c r="M793">
        <v>23.3</v>
      </c>
      <c r="N793">
        <v>23.87</v>
      </c>
    </row>
    <row r="794" spans="3:14" x14ac:dyDescent="0.15">
      <c r="C794" s="123">
        <v>42401</v>
      </c>
      <c r="D794" t="s">
        <v>18</v>
      </c>
      <c r="E794" t="s">
        <v>62</v>
      </c>
      <c r="F794" t="s">
        <v>6</v>
      </c>
      <c r="G794" t="s">
        <v>128</v>
      </c>
      <c r="H794" t="s">
        <v>59</v>
      </c>
      <c r="I794">
        <v>67.58</v>
      </c>
      <c r="J794">
        <v>66.63</v>
      </c>
      <c r="K794">
        <v>65.64</v>
      </c>
      <c r="L794">
        <v>30.7</v>
      </c>
      <c r="M794">
        <v>29.25</v>
      </c>
      <c r="N794">
        <v>28.64</v>
      </c>
    </row>
    <row r="795" spans="3:14" x14ac:dyDescent="0.15">
      <c r="C795" s="123">
        <v>42401</v>
      </c>
      <c r="D795" t="s">
        <v>18</v>
      </c>
      <c r="E795" t="s">
        <v>62</v>
      </c>
      <c r="F795" t="s">
        <v>6</v>
      </c>
      <c r="G795" t="s">
        <v>128</v>
      </c>
      <c r="H795" t="s">
        <v>60</v>
      </c>
      <c r="I795">
        <v>65.98</v>
      </c>
      <c r="J795">
        <v>65.03</v>
      </c>
      <c r="K795">
        <v>64.040000000000006</v>
      </c>
      <c r="L795">
        <v>29.1</v>
      </c>
      <c r="M795">
        <v>27.65</v>
      </c>
      <c r="N795">
        <v>27.04</v>
      </c>
    </row>
    <row r="796" spans="3:14" x14ac:dyDescent="0.15">
      <c r="C796" s="123">
        <v>42401</v>
      </c>
      <c r="D796" t="s">
        <v>18</v>
      </c>
      <c r="E796" t="s">
        <v>62</v>
      </c>
      <c r="F796" t="s">
        <v>6</v>
      </c>
      <c r="G796" t="s">
        <v>128</v>
      </c>
      <c r="H796" t="s">
        <v>648</v>
      </c>
      <c r="I796">
        <v>64.930000000000007</v>
      </c>
      <c r="J796">
        <v>63.98</v>
      </c>
      <c r="K796">
        <v>62.99</v>
      </c>
      <c r="L796">
        <v>28.05</v>
      </c>
      <c r="M796">
        <v>26.6</v>
      </c>
      <c r="N796">
        <v>25.99</v>
      </c>
    </row>
    <row r="797" spans="3:14" x14ac:dyDescent="0.15">
      <c r="C797" s="123">
        <v>42430</v>
      </c>
      <c r="D797" t="s">
        <v>18</v>
      </c>
      <c r="E797" t="s">
        <v>62</v>
      </c>
      <c r="F797" t="s">
        <v>6</v>
      </c>
      <c r="G797" t="s">
        <v>128</v>
      </c>
      <c r="H797" t="s">
        <v>59</v>
      </c>
      <c r="I797">
        <v>66.459999999999994</v>
      </c>
      <c r="J797">
        <v>66</v>
      </c>
      <c r="K797">
        <v>65.150000000000006</v>
      </c>
      <c r="L797">
        <v>29.36</v>
      </c>
      <c r="M797">
        <v>28.52</v>
      </c>
      <c r="N797">
        <v>28.06</v>
      </c>
    </row>
    <row r="798" spans="3:14" x14ac:dyDescent="0.15">
      <c r="C798" s="123">
        <v>42430</v>
      </c>
      <c r="D798" t="s">
        <v>18</v>
      </c>
      <c r="E798" t="s">
        <v>62</v>
      </c>
      <c r="F798" t="s">
        <v>6</v>
      </c>
      <c r="G798" t="s">
        <v>128</v>
      </c>
      <c r="H798" t="s">
        <v>60</v>
      </c>
      <c r="I798">
        <v>64.86</v>
      </c>
      <c r="J798">
        <v>64.400000000000006</v>
      </c>
      <c r="K798">
        <v>63.55</v>
      </c>
      <c r="L798">
        <v>27.76</v>
      </c>
      <c r="M798">
        <v>26.92</v>
      </c>
      <c r="N798">
        <v>26.46</v>
      </c>
    </row>
    <row r="799" spans="3:14" x14ac:dyDescent="0.15">
      <c r="C799" s="123">
        <v>42430</v>
      </c>
      <c r="D799" t="s">
        <v>18</v>
      </c>
      <c r="E799" t="s">
        <v>62</v>
      </c>
      <c r="F799" t="s">
        <v>6</v>
      </c>
      <c r="G799" t="s">
        <v>128</v>
      </c>
      <c r="H799" t="s">
        <v>648</v>
      </c>
      <c r="I799">
        <v>63.81</v>
      </c>
      <c r="J799">
        <v>63.35</v>
      </c>
      <c r="K799">
        <v>62.5</v>
      </c>
      <c r="L799">
        <v>26.71</v>
      </c>
      <c r="M799">
        <v>25.87</v>
      </c>
      <c r="N799">
        <v>25.41</v>
      </c>
    </row>
    <row r="800" spans="3:14" x14ac:dyDescent="0.15">
      <c r="C800" s="123">
        <v>42461</v>
      </c>
      <c r="D800" t="s">
        <v>18</v>
      </c>
      <c r="E800" t="s">
        <v>62</v>
      </c>
      <c r="F800" t="s">
        <v>6</v>
      </c>
      <c r="G800" t="s">
        <v>128</v>
      </c>
      <c r="H800" t="s">
        <v>59</v>
      </c>
      <c r="I800">
        <v>65.22</v>
      </c>
      <c r="J800">
        <v>65.06</v>
      </c>
      <c r="K800">
        <v>64.59</v>
      </c>
      <c r="L800">
        <v>27.9</v>
      </c>
      <c r="M800">
        <v>27.69</v>
      </c>
      <c r="N800">
        <v>27.42</v>
      </c>
    </row>
    <row r="801" spans="3:14" x14ac:dyDescent="0.15">
      <c r="C801" s="123">
        <v>42461</v>
      </c>
      <c r="D801" t="s">
        <v>18</v>
      </c>
      <c r="E801" t="s">
        <v>62</v>
      </c>
      <c r="F801" t="s">
        <v>6</v>
      </c>
      <c r="G801" t="s">
        <v>128</v>
      </c>
      <c r="H801" t="s">
        <v>60</v>
      </c>
      <c r="I801">
        <v>63.62</v>
      </c>
      <c r="J801">
        <v>63.46</v>
      </c>
      <c r="K801">
        <v>62.99</v>
      </c>
      <c r="L801">
        <v>26.3</v>
      </c>
      <c r="M801">
        <v>26.09</v>
      </c>
      <c r="N801">
        <v>25.82</v>
      </c>
    </row>
    <row r="802" spans="3:14" x14ac:dyDescent="0.15">
      <c r="C802" s="123">
        <v>42461</v>
      </c>
      <c r="D802" t="s">
        <v>18</v>
      </c>
      <c r="E802" t="s">
        <v>62</v>
      </c>
      <c r="F802" t="s">
        <v>6</v>
      </c>
      <c r="G802" t="s">
        <v>128</v>
      </c>
      <c r="H802" t="s">
        <v>648</v>
      </c>
      <c r="I802">
        <v>62.57</v>
      </c>
      <c r="J802">
        <v>62.41</v>
      </c>
      <c r="K802">
        <v>61.94</v>
      </c>
      <c r="L802">
        <v>25.25</v>
      </c>
      <c r="M802">
        <v>25.04</v>
      </c>
      <c r="N802">
        <v>24.77</v>
      </c>
    </row>
    <row r="803" spans="3:14" x14ac:dyDescent="0.15">
      <c r="C803" s="123">
        <v>42491</v>
      </c>
      <c r="D803" t="s">
        <v>18</v>
      </c>
      <c r="E803" t="s">
        <v>62</v>
      </c>
      <c r="F803" t="s">
        <v>6</v>
      </c>
      <c r="G803" t="s">
        <v>128</v>
      </c>
      <c r="H803" t="s">
        <v>59</v>
      </c>
      <c r="I803">
        <v>63.89</v>
      </c>
      <c r="J803">
        <v>64.06</v>
      </c>
      <c r="K803">
        <v>63.98</v>
      </c>
      <c r="L803">
        <v>26.49</v>
      </c>
      <c r="M803">
        <v>26.76</v>
      </c>
      <c r="N803">
        <v>26.81</v>
      </c>
    </row>
    <row r="804" spans="3:14" x14ac:dyDescent="0.15">
      <c r="C804" s="123">
        <v>42491</v>
      </c>
      <c r="D804" t="s">
        <v>18</v>
      </c>
      <c r="E804" t="s">
        <v>62</v>
      </c>
      <c r="F804" t="s">
        <v>6</v>
      </c>
      <c r="G804" t="s">
        <v>128</v>
      </c>
      <c r="H804" t="s">
        <v>60</v>
      </c>
      <c r="I804">
        <v>62.29</v>
      </c>
      <c r="J804">
        <v>62.46</v>
      </c>
      <c r="K804">
        <v>62.38</v>
      </c>
      <c r="L804">
        <v>24.89</v>
      </c>
      <c r="M804">
        <v>25.16</v>
      </c>
      <c r="N804">
        <v>25.21</v>
      </c>
    </row>
    <row r="805" spans="3:14" x14ac:dyDescent="0.15">
      <c r="C805" s="123">
        <v>42491</v>
      </c>
      <c r="D805" t="s">
        <v>18</v>
      </c>
      <c r="E805" t="s">
        <v>62</v>
      </c>
      <c r="F805" t="s">
        <v>6</v>
      </c>
      <c r="G805" t="s">
        <v>128</v>
      </c>
      <c r="H805" t="s">
        <v>648</v>
      </c>
      <c r="I805">
        <v>61.24</v>
      </c>
      <c r="J805">
        <v>61.41</v>
      </c>
      <c r="K805">
        <v>61.33</v>
      </c>
      <c r="L805">
        <v>23.84</v>
      </c>
      <c r="M805">
        <v>24.11</v>
      </c>
      <c r="N805">
        <v>24.16</v>
      </c>
    </row>
    <row r="806" spans="3:14" x14ac:dyDescent="0.15">
      <c r="C806" s="123">
        <v>42522</v>
      </c>
      <c r="D806" t="s">
        <v>18</v>
      </c>
      <c r="E806" t="s">
        <v>62</v>
      </c>
      <c r="F806" t="s">
        <v>6</v>
      </c>
      <c r="G806" t="s">
        <v>128</v>
      </c>
      <c r="H806" t="s">
        <v>59</v>
      </c>
      <c r="I806">
        <v>62.48</v>
      </c>
      <c r="J806">
        <v>63.04</v>
      </c>
      <c r="K806">
        <v>63.36</v>
      </c>
      <c r="L806">
        <v>25</v>
      </c>
      <c r="M806">
        <v>25.81</v>
      </c>
      <c r="N806">
        <v>26.16</v>
      </c>
    </row>
    <row r="807" spans="3:14" x14ac:dyDescent="0.15">
      <c r="C807" s="123">
        <v>42522</v>
      </c>
      <c r="D807" t="s">
        <v>18</v>
      </c>
      <c r="E807" t="s">
        <v>62</v>
      </c>
      <c r="F807" t="s">
        <v>6</v>
      </c>
      <c r="G807" t="s">
        <v>128</v>
      </c>
      <c r="H807" t="s">
        <v>60</v>
      </c>
      <c r="I807">
        <v>60.88</v>
      </c>
      <c r="J807">
        <v>61.44</v>
      </c>
      <c r="K807">
        <v>61.76</v>
      </c>
      <c r="L807">
        <v>23.4</v>
      </c>
      <c r="M807">
        <v>24.21</v>
      </c>
      <c r="N807">
        <v>24.56</v>
      </c>
    </row>
    <row r="808" spans="3:14" x14ac:dyDescent="0.15">
      <c r="C808" s="123">
        <v>42522</v>
      </c>
      <c r="D808" t="s">
        <v>18</v>
      </c>
      <c r="E808" t="s">
        <v>62</v>
      </c>
      <c r="F808" t="s">
        <v>6</v>
      </c>
      <c r="G808" t="s">
        <v>128</v>
      </c>
      <c r="H808" t="s">
        <v>648</v>
      </c>
      <c r="I808">
        <v>59.83</v>
      </c>
      <c r="J808">
        <v>60.39</v>
      </c>
      <c r="K808">
        <v>60.71</v>
      </c>
      <c r="L808">
        <v>22.35</v>
      </c>
      <c r="M808">
        <v>23.16</v>
      </c>
      <c r="N808">
        <v>23.51</v>
      </c>
    </row>
    <row r="809" spans="3:14" x14ac:dyDescent="0.15">
      <c r="C809" s="123">
        <v>42552</v>
      </c>
      <c r="D809" t="s">
        <v>18</v>
      </c>
      <c r="E809" t="s">
        <v>62</v>
      </c>
      <c r="F809" t="s">
        <v>6</v>
      </c>
      <c r="G809" t="s">
        <v>128</v>
      </c>
      <c r="H809" t="s">
        <v>59</v>
      </c>
      <c r="I809">
        <v>62.73</v>
      </c>
      <c r="J809">
        <v>62.94</v>
      </c>
      <c r="K809">
        <v>63.52</v>
      </c>
      <c r="L809">
        <v>25.2</v>
      </c>
      <c r="M809">
        <v>25.87</v>
      </c>
      <c r="N809">
        <v>26.33</v>
      </c>
    </row>
    <row r="810" spans="3:14" x14ac:dyDescent="0.15">
      <c r="C810" s="123">
        <v>42552</v>
      </c>
      <c r="D810" t="s">
        <v>18</v>
      </c>
      <c r="E810" t="s">
        <v>62</v>
      </c>
      <c r="F810" t="s">
        <v>6</v>
      </c>
      <c r="G810" t="s">
        <v>128</v>
      </c>
      <c r="H810" t="s">
        <v>60</v>
      </c>
      <c r="I810">
        <v>61.13</v>
      </c>
      <c r="J810">
        <v>61.34</v>
      </c>
      <c r="K810">
        <v>61.92</v>
      </c>
      <c r="L810">
        <v>23.6</v>
      </c>
      <c r="M810">
        <v>24.27</v>
      </c>
      <c r="N810">
        <v>24.73</v>
      </c>
    </row>
    <row r="811" spans="3:14" x14ac:dyDescent="0.15">
      <c r="C811" s="123">
        <v>42552</v>
      </c>
      <c r="D811" t="s">
        <v>18</v>
      </c>
      <c r="E811" t="s">
        <v>62</v>
      </c>
      <c r="F811" t="s">
        <v>6</v>
      </c>
      <c r="G811" t="s">
        <v>128</v>
      </c>
      <c r="H811" t="s">
        <v>648</v>
      </c>
      <c r="I811">
        <v>60.08</v>
      </c>
      <c r="J811">
        <v>60.29</v>
      </c>
      <c r="K811">
        <v>60.87</v>
      </c>
      <c r="L811">
        <v>22.55</v>
      </c>
      <c r="M811">
        <v>23.22</v>
      </c>
      <c r="N811">
        <v>23.68</v>
      </c>
    </row>
    <row r="812" spans="3:14" x14ac:dyDescent="0.15">
      <c r="C812" s="123">
        <v>42583</v>
      </c>
      <c r="D812" t="s">
        <v>18</v>
      </c>
      <c r="E812" t="s">
        <v>62</v>
      </c>
      <c r="F812" t="s">
        <v>6</v>
      </c>
      <c r="G812" t="s">
        <v>128</v>
      </c>
      <c r="H812" t="s">
        <v>59</v>
      </c>
      <c r="I812">
        <v>62.87</v>
      </c>
      <c r="J812">
        <v>62.83</v>
      </c>
      <c r="K812">
        <v>63.7</v>
      </c>
      <c r="L812">
        <v>25.38</v>
      </c>
      <c r="M812">
        <v>25.87</v>
      </c>
      <c r="N812">
        <v>26.5</v>
      </c>
    </row>
    <row r="813" spans="3:14" x14ac:dyDescent="0.15">
      <c r="C813" s="123">
        <v>42583</v>
      </c>
      <c r="D813" t="s">
        <v>18</v>
      </c>
      <c r="E813" t="s">
        <v>62</v>
      </c>
      <c r="F813" t="s">
        <v>6</v>
      </c>
      <c r="G813" t="s">
        <v>128</v>
      </c>
      <c r="H813" t="s">
        <v>60</v>
      </c>
      <c r="I813">
        <v>61.27</v>
      </c>
      <c r="J813">
        <v>61.23</v>
      </c>
      <c r="K813">
        <v>62.1</v>
      </c>
      <c r="L813">
        <v>23.78</v>
      </c>
      <c r="M813">
        <v>24.27</v>
      </c>
      <c r="N813">
        <v>24.9</v>
      </c>
    </row>
    <row r="814" spans="3:14" x14ac:dyDescent="0.15">
      <c r="C814" s="123">
        <v>42583</v>
      </c>
      <c r="D814" t="s">
        <v>18</v>
      </c>
      <c r="E814" t="s">
        <v>62</v>
      </c>
      <c r="F814" t="s">
        <v>6</v>
      </c>
      <c r="G814" t="s">
        <v>128</v>
      </c>
      <c r="H814" t="s">
        <v>648</v>
      </c>
      <c r="I814">
        <v>60.22</v>
      </c>
      <c r="J814">
        <v>60.18</v>
      </c>
      <c r="K814">
        <v>61.05</v>
      </c>
      <c r="L814">
        <v>22.73</v>
      </c>
      <c r="M814">
        <v>23.22</v>
      </c>
      <c r="N814">
        <v>23.85</v>
      </c>
    </row>
    <row r="815" spans="3:14" x14ac:dyDescent="0.15">
      <c r="C815" s="123">
        <v>42614</v>
      </c>
      <c r="D815" t="s">
        <v>18</v>
      </c>
      <c r="E815" t="s">
        <v>62</v>
      </c>
      <c r="F815" t="s">
        <v>6</v>
      </c>
      <c r="G815" t="s">
        <v>128</v>
      </c>
      <c r="H815" t="s">
        <v>59</v>
      </c>
      <c r="I815">
        <v>62.98</v>
      </c>
      <c r="J815">
        <v>62.87</v>
      </c>
      <c r="K815">
        <v>63.82</v>
      </c>
      <c r="L815">
        <v>25.57</v>
      </c>
      <c r="M815">
        <v>25.96</v>
      </c>
      <c r="N815">
        <v>26.66</v>
      </c>
    </row>
    <row r="816" spans="3:14" x14ac:dyDescent="0.15">
      <c r="C816" s="123">
        <v>42614</v>
      </c>
      <c r="D816" t="s">
        <v>18</v>
      </c>
      <c r="E816" t="s">
        <v>62</v>
      </c>
      <c r="F816" t="s">
        <v>6</v>
      </c>
      <c r="G816" t="s">
        <v>128</v>
      </c>
      <c r="H816" t="s">
        <v>60</v>
      </c>
      <c r="I816">
        <v>61.38</v>
      </c>
      <c r="J816">
        <v>61.27</v>
      </c>
      <c r="K816">
        <v>62.22</v>
      </c>
      <c r="L816">
        <v>23.97</v>
      </c>
      <c r="M816">
        <v>24.36</v>
      </c>
      <c r="N816">
        <v>25.06</v>
      </c>
    </row>
    <row r="817" spans="3:14" x14ac:dyDescent="0.15">
      <c r="C817" s="123">
        <v>42614</v>
      </c>
      <c r="D817" t="s">
        <v>18</v>
      </c>
      <c r="E817" t="s">
        <v>62</v>
      </c>
      <c r="F817" t="s">
        <v>6</v>
      </c>
      <c r="G817" t="s">
        <v>128</v>
      </c>
      <c r="H817" t="s">
        <v>648</v>
      </c>
      <c r="I817">
        <v>60.33</v>
      </c>
      <c r="J817">
        <v>60.22</v>
      </c>
      <c r="K817">
        <v>61.17</v>
      </c>
      <c r="L817">
        <v>22.92</v>
      </c>
      <c r="M817">
        <v>23.31</v>
      </c>
      <c r="N817">
        <v>24.01</v>
      </c>
    </row>
    <row r="818" spans="3:14" x14ac:dyDescent="0.15">
      <c r="C818" s="123">
        <v>42644</v>
      </c>
      <c r="D818" t="s">
        <v>18</v>
      </c>
      <c r="E818" t="s">
        <v>62</v>
      </c>
      <c r="F818" t="s">
        <v>6</v>
      </c>
      <c r="G818" t="s">
        <v>128</v>
      </c>
      <c r="H818" t="s">
        <v>59</v>
      </c>
      <c r="I818">
        <v>63.13</v>
      </c>
      <c r="J818">
        <v>63.16</v>
      </c>
      <c r="K818">
        <v>63.92</v>
      </c>
      <c r="L818">
        <v>25.76</v>
      </c>
      <c r="M818">
        <v>26.06</v>
      </c>
      <c r="N818">
        <v>26.83</v>
      </c>
    </row>
    <row r="819" spans="3:14" x14ac:dyDescent="0.15">
      <c r="C819" s="123">
        <v>42644</v>
      </c>
      <c r="D819" t="s">
        <v>18</v>
      </c>
      <c r="E819" t="s">
        <v>62</v>
      </c>
      <c r="F819" t="s">
        <v>6</v>
      </c>
      <c r="G819" t="s">
        <v>128</v>
      </c>
      <c r="H819" t="s">
        <v>60</v>
      </c>
      <c r="I819">
        <v>61.53</v>
      </c>
      <c r="J819">
        <v>61.56</v>
      </c>
      <c r="K819">
        <v>62.32</v>
      </c>
      <c r="L819">
        <v>24.16</v>
      </c>
      <c r="M819">
        <v>24.46</v>
      </c>
      <c r="N819">
        <v>25.23</v>
      </c>
    </row>
    <row r="820" spans="3:14" x14ac:dyDescent="0.15">
      <c r="C820" s="123">
        <v>42644</v>
      </c>
      <c r="D820" t="s">
        <v>18</v>
      </c>
      <c r="E820" t="s">
        <v>62</v>
      </c>
      <c r="F820" t="s">
        <v>6</v>
      </c>
      <c r="G820" t="s">
        <v>128</v>
      </c>
      <c r="H820" t="s">
        <v>648</v>
      </c>
      <c r="I820">
        <v>60.48</v>
      </c>
      <c r="J820">
        <v>60.51</v>
      </c>
      <c r="K820">
        <v>61.27</v>
      </c>
      <c r="L820">
        <v>23.11</v>
      </c>
      <c r="M820">
        <v>23.41</v>
      </c>
      <c r="N820">
        <v>24.18</v>
      </c>
    </row>
    <row r="821" spans="3:14" x14ac:dyDescent="0.15">
      <c r="C821" s="123">
        <v>42675</v>
      </c>
      <c r="D821" t="s">
        <v>18</v>
      </c>
      <c r="E821" t="s">
        <v>62</v>
      </c>
      <c r="F821" t="s">
        <v>6</v>
      </c>
      <c r="G821" t="s">
        <v>128</v>
      </c>
      <c r="H821" t="s">
        <v>59</v>
      </c>
      <c r="I821">
        <v>63.3</v>
      </c>
      <c r="J821">
        <v>63.44</v>
      </c>
      <c r="K821">
        <v>64.05</v>
      </c>
      <c r="L821">
        <v>25.94</v>
      </c>
      <c r="M821">
        <v>26.28</v>
      </c>
      <c r="N821">
        <v>26.99</v>
      </c>
    </row>
    <row r="822" spans="3:14" x14ac:dyDescent="0.15">
      <c r="C822" s="123">
        <v>42675</v>
      </c>
      <c r="D822" t="s">
        <v>18</v>
      </c>
      <c r="E822" t="s">
        <v>62</v>
      </c>
      <c r="F822" t="s">
        <v>6</v>
      </c>
      <c r="G822" t="s">
        <v>128</v>
      </c>
      <c r="H822" t="s">
        <v>60</v>
      </c>
      <c r="I822">
        <v>61.7</v>
      </c>
      <c r="J822">
        <v>61.84</v>
      </c>
      <c r="K822">
        <v>62.45</v>
      </c>
      <c r="L822">
        <v>24.34</v>
      </c>
      <c r="M822">
        <v>24.68</v>
      </c>
      <c r="N822">
        <v>25.39</v>
      </c>
    </row>
    <row r="823" spans="3:14" x14ac:dyDescent="0.15">
      <c r="C823" s="123">
        <v>42675</v>
      </c>
      <c r="D823" t="s">
        <v>18</v>
      </c>
      <c r="E823" t="s">
        <v>62</v>
      </c>
      <c r="F823" t="s">
        <v>6</v>
      </c>
      <c r="G823" t="s">
        <v>128</v>
      </c>
      <c r="H823" t="s">
        <v>648</v>
      </c>
      <c r="I823">
        <v>60.65</v>
      </c>
      <c r="J823">
        <v>60.79</v>
      </c>
      <c r="K823">
        <v>61.4</v>
      </c>
      <c r="L823">
        <v>23.29</v>
      </c>
      <c r="M823">
        <v>23.63</v>
      </c>
      <c r="N823">
        <v>24.34</v>
      </c>
    </row>
    <row r="824" spans="3:14" x14ac:dyDescent="0.15">
      <c r="C824" s="123">
        <v>42705</v>
      </c>
      <c r="D824" t="s">
        <v>18</v>
      </c>
      <c r="E824" t="s">
        <v>62</v>
      </c>
      <c r="F824" t="s">
        <v>6</v>
      </c>
      <c r="G824" t="s">
        <v>128</v>
      </c>
      <c r="H824" t="s">
        <v>59</v>
      </c>
      <c r="I824">
        <v>63.47</v>
      </c>
      <c r="J824">
        <v>63.75</v>
      </c>
      <c r="K824">
        <v>64.19</v>
      </c>
      <c r="L824">
        <v>26.18</v>
      </c>
      <c r="M824">
        <v>26.51</v>
      </c>
      <c r="N824">
        <v>27.18</v>
      </c>
    </row>
    <row r="825" spans="3:14" x14ac:dyDescent="0.15">
      <c r="C825" s="123">
        <v>42705</v>
      </c>
      <c r="D825" t="s">
        <v>18</v>
      </c>
      <c r="E825" t="s">
        <v>62</v>
      </c>
      <c r="F825" t="s">
        <v>6</v>
      </c>
      <c r="G825" t="s">
        <v>128</v>
      </c>
      <c r="H825" t="s">
        <v>60</v>
      </c>
      <c r="I825">
        <v>61.87</v>
      </c>
      <c r="J825">
        <v>62.15</v>
      </c>
      <c r="K825">
        <v>62.59</v>
      </c>
      <c r="L825">
        <v>24.58</v>
      </c>
      <c r="M825">
        <v>24.91</v>
      </c>
      <c r="N825">
        <v>25.58</v>
      </c>
    </row>
    <row r="826" spans="3:14" x14ac:dyDescent="0.15">
      <c r="C826" s="123">
        <v>42705</v>
      </c>
      <c r="D826" t="s">
        <v>18</v>
      </c>
      <c r="E826" t="s">
        <v>62</v>
      </c>
      <c r="F826" t="s">
        <v>6</v>
      </c>
      <c r="G826" t="s">
        <v>128</v>
      </c>
      <c r="H826" t="s">
        <v>648</v>
      </c>
      <c r="I826">
        <v>60.82</v>
      </c>
      <c r="J826">
        <v>61.1</v>
      </c>
      <c r="K826">
        <v>61.54</v>
      </c>
      <c r="L826">
        <v>23.53</v>
      </c>
      <c r="M826">
        <v>23.86</v>
      </c>
      <c r="N826">
        <v>24.53</v>
      </c>
    </row>
    <row r="827" spans="3:14" x14ac:dyDescent="0.15">
      <c r="C827" s="123">
        <v>42736</v>
      </c>
      <c r="D827" t="s">
        <v>18</v>
      </c>
      <c r="E827" t="s">
        <v>62</v>
      </c>
      <c r="F827" t="s">
        <v>6</v>
      </c>
      <c r="G827" t="s">
        <v>128</v>
      </c>
      <c r="H827" t="s">
        <v>59</v>
      </c>
      <c r="I827">
        <v>63.6</v>
      </c>
      <c r="J827">
        <v>64.14</v>
      </c>
      <c r="K827">
        <v>64.36</v>
      </c>
      <c r="L827">
        <v>26.39</v>
      </c>
      <c r="M827">
        <v>26.83</v>
      </c>
      <c r="N827">
        <v>27.37</v>
      </c>
    </row>
    <row r="828" spans="3:14" x14ac:dyDescent="0.15">
      <c r="C828" s="123">
        <v>42736</v>
      </c>
      <c r="D828" t="s">
        <v>18</v>
      </c>
      <c r="E828" t="s">
        <v>62</v>
      </c>
      <c r="F828" t="s">
        <v>6</v>
      </c>
      <c r="G828" t="s">
        <v>128</v>
      </c>
      <c r="H828" t="s">
        <v>60</v>
      </c>
      <c r="I828">
        <v>62</v>
      </c>
      <c r="J828">
        <v>62.54</v>
      </c>
      <c r="K828">
        <v>62.76</v>
      </c>
      <c r="L828">
        <v>24.79</v>
      </c>
      <c r="M828">
        <v>25.23</v>
      </c>
      <c r="N828">
        <v>25.77</v>
      </c>
    </row>
    <row r="829" spans="3:14" x14ac:dyDescent="0.15">
      <c r="C829" s="123">
        <v>42736</v>
      </c>
      <c r="D829" t="s">
        <v>18</v>
      </c>
      <c r="E829" t="s">
        <v>62</v>
      </c>
      <c r="F829" t="s">
        <v>6</v>
      </c>
      <c r="G829" t="s">
        <v>128</v>
      </c>
      <c r="H829" t="s">
        <v>648</v>
      </c>
      <c r="I829">
        <v>60.95</v>
      </c>
      <c r="J829">
        <v>61.49</v>
      </c>
      <c r="K829">
        <v>61.71</v>
      </c>
      <c r="L829">
        <v>23.74</v>
      </c>
      <c r="M829">
        <v>24.18</v>
      </c>
      <c r="N829">
        <v>24.72</v>
      </c>
    </row>
    <row r="830" spans="3:14" x14ac:dyDescent="0.15">
      <c r="C830" s="123">
        <v>42401</v>
      </c>
      <c r="D830" t="s">
        <v>5</v>
      </c>
      <c r="E830" t="s">
        <v>46</v>
      </c>
      <c r="F830" t="s">
        <v>6</v>
      </c>
      <c r="G830" t="s">
        <v>1106</v>
      </c>
      <c r="H830" t="s">
        <v>59</v>
      </c>
      <c r="I830">
        <v>70.08</v>
      </c>
      <c r="J830">
        <v>70.92</v>
      </c>
      <c r="K830">
        <v>71.53</v>
      </c>
      <c r="L830">
        <v>35.270000000000003</v>
      </c>
      <c r="M830">
        <v>35.67</v>
      </c>
      <c r="N830">
        <v>36.65</v>
      </c>
    </row>
    <row r="831" spans="3:14" x14ac:dyDescent="0.15">
      <c r="C831" s="123">
        <v>42401</v>
      </c>
      <c r="D831" t="s">
        <v>5</v>
      </c>
      <c r="E831" t="s">
        <v>46</v>
      </c>
      <c r="F831" t="s">
        <v>6</v>
      </c>
      <c r="G831" t="s">
        <v>1106</v>
      </c>
      <c r="H831" t="s">
        <v>60</v>
      </c>
      <c r="I831">
        <v>68.48</v>
      </c>
      <c r="J831">
        <v>69.319999999999993</v>
      </c>
      <c r="K831">
        <v>69.930000000000007</v>
      </c>
      <c r="L831">
        <v>33.67</v>
      </c>
      <c r="M831">
        <v>34.07</v>
      </c>
      <c r="N831">
        <v>35.049999999999997</v>
      </c>
    </row>
    <row r="832" spans="3:14" x14ac:dyDescent="0.15">
      <c r="C832" s="123">
        <v>42401</v>
      </c>
      <c r="D832" t="s">
        <v>5</v>
      </c>
      <c r="E832" t="s">
        <v>46</v>
      </c>
      <c r="F832" t="s">
        <v>6</v>
      </c>
      <c r="G832" t="s">
        <v>1106</v>
      </c>
      <c r="H832" t="s">
        <v>648</v>
      </c>
      <c r="I832">
        <v>67.430000000000007</v>
      </c>
      <c r="J832">
        <v>68.27</v>
      </c>
      <c r="K832">
        <v>68.88</v>
      </c>
      <c r="L832">
        <v>32.619999999999997</v>
      </c>
      <c r="M832">
        <v>33.020000000000003</v>
      </c>
      <c r="N832">
        <v>34</v>
      </c>
    </row>
    <row r="833" spans="3:14" x14ac:dyDescent="0.15">
      <c r="C833" s="123">
        <v>42430</v>
      </c>
      <c r="D833" t="s">
        <v>5</v>
      </c>
      <c r="E833" t="s">
        <v>46</v>
      </c>
      <c r="F833" t="s">
        <v>6</v>
      </c>
      <c r="G833" t="s">
        <v>1106</v>
      </c>
      <c r="H833" t="s">
        <v>59</v>
      </c>
      <c r="I833">
        <v>69.959999999999994</v>
      </c>
      <c r="J833">
        <v>70.86</v>
      </c>
      <c r="K833">
        <v>71.680000000000007</v>
      </c>
      <c r="L833">
        <v>34.950000000000003</v>
      </c>
      <c r="M833">
        <v>35.61</v>
      </c>
      <c r="N833">
        <v>36.729999999999997</v>
      </c>
    </row>
    <row r="834" spans="3:14" x14ac:dyDescent="0.15">
      <c r="C834" s="123">
        <v>42430</v>
      </c>
      <c r="D834" t="s">
        <v>5</v>
      </c>
      <c r="E834" t="s">
        <v>46</v>
      </c>
      <c r="F834" t="s">
        <v>6</v>
      </c>
      <c r="G834" t="s">
        <v>1106</v>
      </c>
      <c r="H834" t="s">
        <v>60</v>
      </c>
      <c r="I834">
        <v>68.36</v>
      </c>
      <c r="J834">
        <v>69.260000000000005</v>
      </c>
      <c r="K834">
        <v>70.08</v>
      </c>
      <c r="L834">
        <v>33.35</v>
      </c>
      <c r="M834">
        <v>34.01</v>
      </c>
      <c r="N834">
        <v>35.130000000000003</v>
      </c>
    </row>
    <row r="835" spans="3:14" x14ac:dyDescent="0.15">
      <c r="C835" s="123">
        <v>42430</v>
      </c>
      <c r="D835" t="s">
        <v>5</v>
      </c>
      <c r="E835" t="s">
        <v>46</v>
      </c>
      <c r="F835" t="s">
        <v>6</v>
      </c>
      <c r="G835" t="s">
        <v>1106</v>
      </c>
      <c r="H835" t="s">
        <v>648</v>
      </c>
      <c r="I835">
        <v>67.31</v>
      </c>
      <c r="J835">
        <v>68.209999999999994</v>
      </c>
      <c r="K835">
        <v>69.03</v>
      </c>
      <c r="L835">
        <v>32.299999999999997</v>
      </c>
      <c r="M835">
        <v>32.96</v>
      </c>
      <c r="N835">
        <v>34.08</v>
      </c>
    </row>
    <row r="836" spans="3:14" x14ac:dyDescent="0.15">
      <c r="C836" s="123">
        <v>42461</v>
      </c>
      <c r="D836" t="s">
        <v>5</v>
      </c>
      <c r="E836" t="s">
        <v>46</v>
      </c>
      <c r="F836" t="s">
        <v>6</v>
      </c>
      <c r="G836" t="s">
        <v>1106</v>
      </c>
      <c r="H836" t="s">
        <v>59</v>
      </c>
      <c r="I836">
        <v>69.819999999999993</v>
      </c>
      <c r="J836">
        <v>70.760000000000005</v>
      </c>
      <c r="K836">
        <v>71.849999999999994</v>
      </c>
      <c r="L836">
        <v>34.6</v>
      </c>
      <c r="M836">
        <v>35.65</v>
      </c>
      <c r="N836">
        <v>36.82</v>
      </c>
    </row>
    <row r="837" spans="3:14" x14ac:dyDescent="0.15">
      <c r="C837" s="123">
        <v>42461</v>
      </c>
      <c r="D837" t="s">
        <v>5</v>
      </c>
      <c r="E837" t="s">
        <v>46</v>
      </c>
      <c r="F837" t="s">
        <v>6</v>
      </c>
      <c r="G837" t="s">
        <v>1106</v>
      </c>
      <c r="H837" t="s">
        <v>60</v>
      </c>
      <c r="I837">
        <v>68.22</v>
      </c>
      <c r="J837">
        <v>69.16</v>
      </c>
      <c r="K837">
        <v>70.25</v>
      </c>
      <c r="L837">
        <v>33</v>
      </c>
      <c r="M837">
        <v>34.049999999999997</v>
      </c>
      <c r="N837">
        <v>35.22</v>
      </c>
    </row>
    <row r="838" spans="3:14" x14ac:dyDescent="0.15">
      <c r="C838" s="123">
        <v>42461</v>
      </c>
      <c r="D838" t="s">
        <v>5</v>
      </c>
      <c r="E838" t="s">
        <v>46</v>
      </c>
      <c r="F838" t="s">
        <v>6</v>
      </c>
      <c r="G838" t="s">
        <v>1106</v>
      </c>
      <c r="H838" t="s">
        <v>648</v>
      </c>
      <c r="I838">
        <v>67.17</v>
      </c>
      <c r="J838">
        <v>68.11</v>
      </c>
      <c r="K838">
        <v>69.2</v>
      </c>
      <c r="L838">
        <v>31.95</v>
      </c>
      <c r="M838">
        <v>33</v>
      </c>
      <c r="N838">
        <v>34.17</v>
      </c>
    </row>
    <row r="839" spans="3:14" x14ac:dyDescent="0.15">
      <c r="C839" s="123">
        <v>42491</v>
      </c>
      <c r="D839" t="s">
        <v>5</v>
      </c>
      <c r="E839" t="s">
        <v>46</v>
      </c>
      <c r="F839" t="s">
        <v>6</v>
      </c>
      <c r="G839" t="s">
        <v>1106</v>
      </c>
      <c r="H839" t="s">
        <v>59</v>
      </c>
      <c r="I839">
        <v>69.56</v>
      </c>
      <c r="J839">
        <v>70.72</v>
      </c>
      <c r="K839">
        <v>71.92</v>
      </c>
      <c r="L839">
        <v>34.270000000000003</v>
      </c>
      <c r="M839">
        <v>35.700000000000003</v>
      </c>
      <c r="N839">
        <v>36.9</v>
      </c>
    </row>
    <row r="840" spans="3:14" x14ac:dyDescent="0.15">
      <c r="C840" s="123">
        <v>42491</v>
      </c>
      <c r="D840" t="s">
        <v>5</v>
      </c>
      <c r="E840" t="s">
        <v>46</v>
      </c>
      <c r="F840" t="s">
        <v>6</v>
      </c>
      <c r="G840" t="s">
        <v>1106</v>
      </c>
      <c r="H840" t="s">
        <v>60</v>
      </c>
      <c r="I840">
        <v>67.959999999999994</v>
      </c>
      <c r="J840">
        <v>69.12</v>
      </c>
      <c r="K840">
        <v>70.319999999999993</v>
      </c>
      <c r="L840">
        <v>32.67</v>
      </c>
      <c r="M840">
        <v>34.1</v>
      </c>
      <c r="N840">
        <v>35.299999999999997</v>
      </c>
    </row>
    <row r="841" spans="3:14" x14ac:dyDescent="0.15">
      <c r="C841" s="123">
        <v>42491</v>
      </c>
      <c r="D841" t="s">
        <v>5</v>
      </c>
      <c r="E841" t="s">
        <v>46</v>
      </c>
      <c r="F841" t="s">
        <v>6</v>
      </c>
      <c r="G841" t="s">
        <v>1106</v>
      </c>
      <c r="H841" t="s">
        <v>648</v>
      </c>
      <c r="I841">
        <v>66.91</v>
      </c>
      <c r="J841">
        <v>68.069999999999993</v>
      </c>
      <c r="K841">
        <v>69.27</v>
      </c>
      <c r="L841">
        <v>31.62</v>
      </c>
      <c r="M841">
        <v>33.049999999999997</v>
      </c>
      <c r="N841">
        <v>34.25</v>
      </c>
    </row>
    <row r="842" spans="3:14" x14ac:dyDescent="0.15">
      <c r="C842" s="123">
        <v>42522</v>
      </c>
      <c r="D842" t="s">
        <v>5</v>
      </c>
      <c r="E842" t="s">
        <v>46</v>
      </c>
      <c r="F842" t="s">
        <v>6</v>
      </c>
      <c r="G842" t="s">
        <v>1106</v>
      </c>
      <c r="H842" t="s">
        <v>59</v>
      </c>
      <c r="I842">
        <v>69.239999999999995</v>
      </c>
      <c r="J842">
        <v>70.63</v>
      </c>
      <c r="K842">
        <v>72.02</v>
      </c>
      <c r="L842">
        <v>33.880000000000003</v>
      </c>
      <c r="M842">
        <v>35.72</v>
      </c>
      <c r="N842">
        <v>36.96</v>
      </c>
    </row>
    <row r="843" spans="3:14" x14ac:dyDescent="0.15">
      <c r="C843" s="123">
        <v>42522</v>
      </c>
      <c r="D843" t="s">
        <v>5</v>
      </c>
      <c r="E843" t="s">
        <v>46</v>
      </c>
      <c r="F843" t="s">
        <v>6</v>
      </c>
      <c r="G843" t="s">
        <v>1106</v>
      </c>
      <c r="H843" t="s">
        <v>60</v>
      </c>
      <c r="I843">
        <v>67.64</v>
      </c>
      <c r="J843">
        <v>69.03</v>
      </c>
      <c r="K843">
        <v>70.42</v>
      </c>
      <c r="L843">
        <v>32.28</v>
      </c>
      <c r="M843">
        <v>34.119999999999997</v>
      </c>
      <c r="N843">
        <v>35.36</v>
      </c>
    </row>
    <row r="844" spans="3:14" x14ac:dyDescent="0.15">
      <c r="C844" s="123">
        <v>42522</v>
      </c>
      <c r="D844" t="s">
        <v>5</v>
      </c>
      <c r="E844" t="s">
        <v>46</v>
      </c>
      <c r="F844" t="s">
        <v>6</v>
      </c>
      <c r="G844" t="s">
        <v>1106</v>
      </c>
      <c r="H844" t="s">
        <v>648</v>
      </c>
      <c r="I844">
        <v>66.59</v>
      </c>
      <c r="J844">
        <v>67.98</v>
      </c>
      <c r="K844">
        <v>69.37</v>
      </c>
      <c r="L844">
        <v>31.23</v>
      </c>
      <c r="M844">
        <v>33.07</v>
      </c>
      <c r="N844">
        <v>34.31</v>
      </c>
    </row>
    <row r="845" spans="3:14" x14ac:dyDescent="0.15">
      <c r="C845" s="123">
        <v>42552</v>
      </c>
      <c r="D845" t="s">
        <v>5</v>
      </c>
      <c r="E845" t="s">
        <v>46</v>
      </c>
      <c r="F845" t="s">
        <v>6</v>
      </c>
      <c r="G845" t="s">
        <v>1106</v>
      </c>
      <c r="H845" t="s">
        <v>59</v>
      </c>
      <c r="I845">
        <v>69.8</v>
      </c>
      <c r="J845">
        <v>70.84</v>
      </c>
      <c r="K845">
        <v>72.319999999999993</v>
      </c>
      <c r="L845">
        <v>34.4</v>
      </c>
      <c r="M845">
        <v>36.020000000000003</v>
      </c>
      <c r="N845">
        <v>37.299999999999997</v>
      </c>
    </row>
    <row r="846" spans="3:14" x14ac:dyDescent="0.15">
      <c r="C846" s="123">
        <v>42552</v>
      </c>
      <c r="D846" t="s">
        <v>5</v>
      </c>
      <c r="E846" t="s">
        <v>46</v>
      </c>
      <c r="F846" t="s">
        <v>6</v>
      </c>
      <c r="G846" t="s">
        <v>1106</v>
      </c>
      <c r="H846" t="s">
        <v>60</v>
      </c>
      <c r="I846">
        <v>68.2</v>
      </c>
      <c r="J846">
        <v>69.239999999999995</v>
      </c>
      <c r="K846">
        <v>70.72</v>
      </c>
      <c r="L846">
        <v>32.799999999999997</v>
      </c>
      <c r="M846">
        <v>34.42</v>
      </c>
      <c r="N846">
        <v>35.700000000000003</v>
      </c>
    </row>
    <row r="847" spans="3:14" x14ac:dyDescent="0.15">
      <c r="C847" s="123">
        <v>42552</v>
      </c>
      <c r="D847" t="s">
        <v>5</v>
      </c>
      <c r="E847" t="s">
        <v>46</v>
      </c>
      <c r="F847" t="s">
        <v>6</v>
      </c>
      <c r="G847" t="s">
        <v>1106</v>
      </c>
      <c r="H847" t="s">
        <v>648</v>
      </c>
      <c r="I847">
        <v>67.150000000000006</v>
      </c>
      <c r="J847">
        <v>68.19</v>
      </c>
      <c r="K847">
        <v>69.67</v>
      </c>
      <c r="L847">
        <v>31.75</v>
      </c>
      <c r="M847">
        <v>33.369999999999997</v>
      </c>
      <c r="N847">
        <v>34.65</v>
      </c>
    </row>
    <row r="848" spans="3:14" x14ac:dyDescent="0.15">
      <c r="C848" s="123">
        <v>42583</v>
      </c>
      <c r="D848" t="s">
        <v>5</v>
      </c>
      <c r="E848" t="s">
        <v>46</v>
      </c>
      <c r="F848" t="s">
        <v>6</v>
      </c>
      <c r="G848" t="s">
        <v>1106</v>
      </c>
      <c r="H848" t="s">
        <v>59</v>
      </c>
      <c r="I848">
        <v>70.27</v>
      </c>
      <c r="J848">
        <v>71.3</v>
      </c>
      <c r="K848">
        <v>72.650000000000006</v>
      </c>
      <c r="L848">
        <v>34.93</v>
      </c>
      <c r="M848">
        <v>36.47</v>
      </c>
      <c r="N848">
        <v>37.630000000000003</v>
      </c>
    </row>
    <row r="849" spans="3:14" x14ac:dyDescent="0.15">
      <c r="C849" s="123">
        <v>42583</v>
      </c>
      <c r="D849" t="s">
        <v>5</v>
      </c>
      <c r="E849" t="s">
        <v>46</v>
      </c>
      <c r="F849" t="s">
        <v>6</v>
      </c>
      <c r="G849" t="s">
        <v>1106</v>
      </c>
      <c r="H849" t="s">
        <v>60</v>
      </c>
      <c r="I849">
        <v>68.67</v>
      </c>
      <c r="J849">
        <v>69.7</v>
      </c>
      <c r="K849">
        <v>71.05</v>
      </c>
      <c r="L849">
        <v>33.33</v>
      </c>
      <c r="M849">
        <v>34.869999999999997</v>
      </c>
      <c r="N849">
        <v>36.03</v>
      </c>
    </row>
    <row r="850" spans="3:14" x14ac:dyDescent="0.15">
      <c r="C850" s="123">
        <v>42583</v>
      </c>
      <c r="D850" t="s">
        <v>5</v>
      </c>
      <c r="E850" t="s">
        <v>46</v>
      </c>
      <c r="F850" t="s">
        <v>6</v>
      </c>
      <c r="G850" t="s">
        <v>1106</v>
      </c>
      <c r="H850" t="s">
        <v>648</v>
      </c>
      <c r="I850">
        <v>67.62</v>
      </c>
      <c r="J850">
        <v>68.650000000000006</v>
      </c>
      <c r="K850">
        <v>70</v>
      </c>
      <c r="L850">
        <v>32.28</v>
      </c>
      <c r="M850">
        <v>33.82</v>
      </c>
      <c r="N850">
        <v>34.979999999999997</v>
      </c>
    </row>
    <row r="851" spans="3:14" x14ac:dyDescent="0.15">
      <c r="C851" s="123">
        <v>42614</v>
      </c>
      <c r="D851" t="s">
        <v>5</v>
      </c>
      <c r="E851" t="s">
        <v>46</v>
      </c>
      <c r="F851" t="s">
        <v>6</v>
      </c>
      <c r="G851" t="s">
        <v>1106</v>
      </c>
      <c r="H851" t="s">
        <v>59</v>
      </c>
      <c r="I851">
        <v>70.7</v>
      </c>
      <c r="J851">
        <v>71.86</v>
      </c>
      <c r="K851">
        <v>72.930000000000007</v>
      </c>
      <c r="L851">
        <v>35.46</v>
      </c>
      <c r="M851">
        <v>37</v>
      </c>
      <c r="N851">
        <v>37.97</v>
      </c>
    </row>
    <row r="852" spans="3:14" x14ac:dyDescent="0.15">
      <c r="C852" s="123">
        <v>42614</v>
      </c>
      <c r="D852" t="s">
        <v>5</v>
      </c>
      <c r="E852" t="s">
        <v>46</v>
      </c>
      <c r="F852" t="s">
        <v>6</v>
      </c>
      <c r="G852" t="s">
        <v>1106</v>
      </c>
      <c r="H852" t="s">
        <v>60</v>
      </c>
      <c r="I852">
        <v>69.099999999999994</v>
      </c>
      <c r="J852">
        <v>70.260000000000005</v>
      </c>
      <c r="K852">
        <v>71.33</v>
      </c>
      <c r="L852">
        <v>33.86</v>
      </c>
      <c r="M852">
        <v>35.4</v>
      </c>
      <c r="N852">
        <v>36.369999999999997</v>
      </c>
    </row>
    <row r="853" spans="3:14" x14ac:dyDescent="0.15">
      <c r="C853" s="123">
        <v>42614</v>
      </c>
      <c r="D853" t="s">
        <v>5</v>
      </c>
      <c r="E853" t="s">
        <v>46</v>
      </c>
      <c r="F853" t="s">
        <v>6</v>
      </c>
      <c r="G853" t="s">
        <v>1106</v>
      </c>
      <c r="H853" t="s">
        <v>648</v>
      </c>
      <c r="I853">
        <v>68.05</v>
      </c>
      <c r="J853">
        <v>69.209999999999994</v>
      </c>
      <c r="K853">
        <v>70.28</v>
      </c>
      <c r="L853">
        <v>32.81</v>
      </c>
      <c r="M853">
        <v>34.35</v>
      </c>
      <c r="N853">
        <v>35.32</v>
      </c>
    </row>
    <row r="854" spans="3:14" x14ac:dyDescent="0.15">
      <c r="C854" s="123">
        <v>42644</v>
      </c>
      <c r="D854" t="s">
        <v>5</v>
      </c>
      <c r="E854" t="s">
        <v>46</v>
      </c>
      <c r="F854" t="s">
        <v>6</v>
      </c>
      <c r="G854" t="s">
        <v>1106</v>
      </c>
      <c r="H854" t="s">
        <v>59</v>
      </c>
      <c r="I854">
        <v>71.19</v>
      </c>
      <c r="J854">
        <v>72.5</v>
      </c>
      <c r="K854">
        <v>73.209999999999994</v>
      </c>
      <c r="L854">
        <v>35.979999999999997</v>
      </c>
      <c r="M854">
        <v>37.450000000000003</v>
      </c>
      <c r="N854">
        <v>38.33</v>
      </c>
    </row>
    <row r="855" spans="3:14" x14ac:dyDescent="0.15">
      <c r="C855" s="123">
        <v>42644</v>
      </c>
      <c r="D855" t="s">
        <v>5</v>
      </c>
      <c r="E855" t="s">
        <v>46</v>
      </c>
      <c r="F855" t="s">
        <v>6</v>
      </c>
      <c r="G855" t="s">
        <v>1106</v>
      </c>
      <c r="H855" t="s">
        <v>60</v>
      </c>
      <c r="I855">
        <v>69.59</v>
      </c>
      <c r="J855">
        <v>70.900000000000006</v>
      </c>
      <c r="K855">
        <v>71.61</v>
      </c>
      <c r="L855">
        <v>34.380000000000003</v>
      </c>
      <c r="M855">
        <v>35.85</v>
      </c>
      <c r="N855">
        <v>36.729999999999997</v>
      </c>
    </row>
    <row r="856" spans="3:14" x14ac:dyDescent="0.15">
      <c r="C856" s="123">
        <v>42644</v>
      </c>
      <c r="D856" t="s">
        <v>5</v>
      </c>
      <c r="E856" t="s">
        <v>46</v>
      </c>
      <c r="F856" t="s">
        <v>6</v>
      </c>
      <c r="G856" t="s">
        <v>1106</v>
      </c>
      <c r="H856" t="s">
        <v>648</v>
      </c>
      <c r="I856">
        <v>68.540000000000006</v>
      </c>
      <c r="J856">
        <v>69.849999999999994</v>
      </c>
      <c r="K856">
        <v>70.56</v>
      </c>
      <c r="L856">
        <v>33.33</v>
      </c>
      <c r="M856">
        <v>34.799999999999997</v>
      </c>
      <c r="N856">
        <v>35.68</v>
      </c>
    </row>
    <row r="857" spans="3:14" x14ac:dyDescent="0.15">
      <c r="C857" s="123">
        <v>42675</v>
      </c>
      <c r="D857" t="s">
        <v>5</v>
      </c>
      <c r="E857" t="s">
        <v>46</v>
      </c>
      <c r="F857" t="s">
        <v>6</v>
      </c>
      <c r="G857" t="s">
        <v>1106</v>
      </c>
      <c r="H857" t="s">
        <v>59</v>
      </c>
      <c r="I857">
        <v>71.67</v>
      </c>
      <c r="J857">
        <v>72.98</v>
      </c>
      <c r="K857">
        <v>73.5</v>
      </c>
      <c r="L857">
        <v>36.479999999999997</v>
      </c>
      <c r="M857">
        <v>37.83</v>
      </c>
      <c r="N857">
        <v>38.65</v>
      </c>
    </row>
    <row r="858" spans="3:14" x14ac:dyDescent="0.15">
      <c r="C858" s="123">
        <v>42675</v>
      </c>
      <c r="D858" t="s">
        <v>5</v>
      </c>
      <c r="E858" t="s">
        <v>46</v>
      </c>
      <c r="F858" t="s">
        <v>6</v>
      </c>
      <c r="G858" t="s">
        <v>1106</v>
      </c>
      <c r="H858" t="s">
        <v>60</v>
      </c>
      <c r="I858">
        <v>70.069999999999993</v>
      </c>
      <c r="J858">
        <v>71.38</v>
      </c>
      <c r="K858">
        <v>71.900000000000006</v>
      </c>
      <c r="L858">
        <v>34.880000000000003</v>
      </c>
      <c r="M858">
        <v>36.229999999999997</v>
      </c>
      <c r="N858">
        <v>37.049999999999997</v>
      </c>
    </row>
    <row r="859" spans="3:14" x14ac:dyDescent="0.15">
      <c r="C859" s="123">
        <v>42675</v>
      </c>
      <c r="D859" t="s">
        <v>5</v>
      </c>
      <c r="E859" t="s">
        <v>46</v>
      </c>
      <c r="F859" t="s">
        <v>6</v>
      </c>
      <c r="G859" t="s">
        <v>1106</v>
      </c>
      <c r="H859" t="s">
        <v>648</v>
      </c>
      <c r="I859">
        <v>69.02</v>
      </c>
      <c r="J859">
        <v>70.33</v>
      </c>
      <c r="K859">
        <v>70.849999999999994</v>
      </c>
      <c r="L859">
        <v>33.83</v>
      </c>
      <c r="M859">
        <v>35.18</v>
      </c>
      <c r="N859">
        <v>36</v>
      </c>
    </row>
    <row r="860" spans="3:14" x14ac:dyDescent="0.15">
      <c r="C860" s="123">
        <v>42705</v>
      </c>
      <c r="D860" t="s">
        <v>5</v>
      </c>
      <c r="E860" t="s">
        <v>46</v>
      </c>
      <c r="F860" t="s">
        <v>6</v>
      </c>
      <c r="G860" t="s">
        <v>1106</v>
      </c>
      <c r="H860" t="s">
        <v>59</v>
      </c>
      <c r="I860">
        <v>72.099999999999994</v>
      </c>
      <c r="J860">
        <v>73.48</v>
      </c>
      <c r="K860">
        <v>73.77</v>
      </c>
      <c r="L860">
        <v>36.97</v>
      </c>
      <c r="M860">
        <v>38.229999999999997</v>
      </c>
      <c r="N860">
        <v>38.97</v>
      </c>
    </row>
    <row r="861" spans="3:14" x14ac:dyDescent="0.15">
      <c r="C861" s="123">
        <v>42705</v>
      </c>
      <c r="D861" t="s">
        <v>5</v>
      </c>
      <c r="E861" t="s">
        <v>46</v>
      </c>
      <c r="F861" t="s">
        <v>6</v>
      </c>
      <c r="G861" t="s">
        <v>1106</v>
      </c>
      <c r="H861" t="s">
        <v>60</v>
      </c>
      <c r="I861">
        <v>70.5</v>
      </c>
      <c r="J861">
        <v>71.88</v>
      </c>
      <c r="K861">
        <v>72.17</v>
      </c>
      <c r="L861">
        <v>35.369999999999997</v>
      </c>
      <c r="M861">
        <v>36.630000000000003</v>
      </c>
      <c r="N861">
        <v>37.369999999999997</v>
      </c>
    </row>
    <row r="862" spans="3:14" x14ac:dyDescent="0.15">
      <c r="C862" s="123">
        <v>42705</v>
      </c>
      <c r="D862" t="s">
        <v>5</v>
      </c>
      <c r="E862" t="s">
        <v>46</v>
      </c>
      <c r="F862" t="s">
        <v>6</v>
      </c>
      <c r="G862" t="s">
        <v>1106</v>
      </c>
      <c r="H862" t="s">
        <v>648</v>
      </c>
      <c r="I862">
        <v>69.45</v>
      </c>
      <c r="J862">
        <v>70.83</v>
      </c>
      <c r="K862">
        <v>71.12</v>
      </c>
      <c r="L862">
        <v>34.32</v>
      </c>
      <c r="M862">
        <v>35.58</v>
      </c>
      <c r="N862">
        <v>36.32</v>
      </c>
    </row>
    <row r="863" spans="3:14" x14ac:dyDescent="0.15">
      <c r="C863" s="123">
        <v>42736</v>
      </c>
      <c r="D863" t="s">
        <v>5</v>
      </c>
      <c r="E863" t="s">
        <v>46</v>
      </c>
      <c r="F863" t="s">
        <v>6</v>
      </c>
      <c r="G863" t="s">
        <v>1106</v>
      </c>
      <c r="H863" t="s">
        <v>59</v>
      </c>
      <c r="I863">
        <v>72.55</v>
      </c>
      <c r="J863">
        <v>73.989999999999995</v>
      </c>
      <c r="K863">
        <v>74.11</v>
      </c>
      <c r="L863">
        <v>37.51</v>
      </c>
      <c r="M863">
        <v>38.75</v>
      </c>
      <c r="N863">
        <v>39.32</v>
      </c>
    </row>
    <row r="864" spans="3:14" x14ac:dyDescent="0.15">
      <c r="C864" s="123">
        <v>42736</v>
      </c>
      <c r="D864" t="s">
        <v>5</v>
      </c>
      <c r="E864" t="s">
        <v>46</v>
      </c>
      <c r="F864" t="s">
        <v>6</v>
      </c>
      <c r="G864" t="s">
        <v>1106</v>
      </c>
      <c r="H864" t="s">
        <v>60</v>
      </c>
      <c r="I864">
        <v>70.95</v>
      </c>
      <c r="J864">
        <v>72.39</v>
      </c>
      <c r="K864">
        <v>72.510000000000005</v>
      </c>
      <c r="L864">
        <v>35.909999999999997</v>
      </c>
      <c r="M864">
        <v>37.15</v>
      </c>
      <c r="N864">
        <v>37.72</v>
      </c>
    </row>
    <row r="865" spans="3:14" x14ac:dyDescent="0.15">
      <c r="C865" s="123">
        <v>42736</v>
      </c>
      <c r="D865" t="s">
        <v>5</v>
      </c>
      <c r="E865" t="s">
        <v>46</v>
      </c>
      <c r="F865" t="s">
        <v>6</v>
      </c>
      <c r="G865" t="s">
        <v>1106</v>
      </c>
      <c r="H865" t="s">
        <v>648</v>
      </c>
      <c r="I865">
        <v>69.900000000000006</v>
      </c>
      <c r="J865">
        <v>71.34</v>
      </c>
      <c r="K865">
        <v>71.459999999999994</v>
      </c>
      <c r="L865">
        <v>34.86</v>
      </c>
      <c r="M865">
        <v>36.1</v>
      </c>
      <c r="N865">
        <v>36.67</v>
      </c>
    </row>
    <row r="866" spans="3:14" x14ac:dyDescent="0.15">
      <c r="C866" s="123">
        <v>42401</v>
      </c>
      <c r="D866" t="s">
        <v>5</v>
      </c>
      <c r="E866" t="s">
        <v>164</v>
      </c>
      <c r="F866" t="s">
        <v>7</v>
      </c>
      <c r="G866" t="s">
        <v>123</v>
      </c>
      <c r="H866" t="s">
        <v>59</v>
      </c>
      <c r="I866">
        <v>65.95</v>
      </c>
      <c r="J866">
        <v>66.62</v>
      </c>
      <c r="K866">
        <v>66.14</v>
      </c>
      <c r="L866">
        <v>23.53</v>
      </c>
      <c r="M866">
        <v>23.67</v>
      </c>
      <c r="N866">
        <v>23.83</v>
      </c>
    </row>
    <row r="867" spans="3:14" x14ac:dyDescent="0.15">
      <c r="C867" s="123">
        <v>42401</v>
      </c>
      <c r="D867" t="s">
        <v>5</v>
      </c>
      <c r="E867" t="s">
        <v>164</v>
      </c>
      <c r="F867" t="s">
        <v>7</v>
      </c>
      <c r="G867" t="s">
        <v>123</v>
      </c>
      <c r="H867" t="s">
        <v>60</v>
      </c>
      <c r="I867">
        <v>64.349999999999994</v>
      </c>
      <c r="J867">
        <v>65.02</v>
      </c>
      <c r="K867">
        <v>64.540000000000006</v>
      </c>
      <c r="L867">
        <v>21.93</v>
      </c>
      <c r="M867">
        <v>22.07</v>
      </c>
      <c r="N867">
        <v>22.23</v>
      </c>
    </row>
    <row r="868" spans="3:14" x14ac:dyDescent="0.15">
      <c r="C868" s="123">
        <v>42401</v>
      </c>
      <c r="D868" t="s">
        <v>5</v>
      </c>
      <c r="E868" t="s">
        <v>164</v>
      </c>
      <c r="F868" t="s">
        <v>7</v>
      </c>
      <c r="G868" t="s">
        <v>123</v>
      </c>
      <c r="H868" t="s">
        <v>648</v>
      </c>
      <c r="I868">
        <v>63.3</v>
      </c>
      <c r="J868">
        <v>63.97</v>
      </c>
      <c r="K868">
        <v>63.49</v>
      </c>
      <c r="L868">
        <v>20.88</v>
      </c>
      <c r="M868">
        <v>21.02</v>
      </c>
      <c r="N868">
        <v>21.18</v>
      </c>
    </row>
    <row r="869" spans="3:14" x14ac:dyDescent="0.15">
      <c r="C869" s="123">
        <v>42430</v>
      </c>
      <c r="D869" t="s">
        <v>5</v>
      </c>
      <c r="E869" t="s">
        <v>164</v>
      </c>
      <c r="F869" t="s">
        <v>7</v>
      </c>
      <c r="G869" t="s">
        <v>123</v>
      </c>
      <c r="H869" t="s">
        <v>59</v>
      </c>
      <c r="I869">
        <v>66.83</v>
      </c>
      <c r="J869">
        <v>65.97</v>
      </c>
      <c r="K869">
        <v>66.45</v>
      </c>
      <c r="L869">
        <v>23.49</v>
      </c>
      <c r="M869">
        <v>22.7</v>
      </c>
      <c r="N869">
        <v>23.8</v>
      </c>
    </row>
    <row r="870" spans="3:14" x14ac:dyDescent="0.15">
      <c r="C870" s="123">
        <v>42430</v>
      </c>
      <c r="D870" t="s">
        <v>5</v>
      </c>
      <c r="E870" t="s">
        <v>164</v>
      </c>
      <c r="F870" t="s">
        <v>7</v>
      </c>
      <c r="G870" t="s">
        <v>123</v>
      </c>
      <c r="H870" t="s">
        <v>60</v>
      </c>
      <c r="I870">
        <v>65.23</v>
      </c>
      <c r="J870">
        <v>64.37</v>
      </c>
      <c r="K870">
        <v>64.849999999999994</v>
      </c>
      <c r="L870">
        <v>21.89</v>
      </c>
      <c r="M870">
        <v>21.1</v>
      </c>
      <c r="N870">
        <v>22.2</v>
      </c>
    </row>
    <row r="871" spans="3:14" x14ac:dyDescent="0.15">
      <c r="C871" s="123">
        <v>42430</v>
      </c>
      <c r="D871" t="s">
        <v>5</v>
      </c>
      <c r="E871" t="s">
        <v>164</v>
      </c>
      <c r="F871" t="s">
        <v>7</v>
      </c>
      <c r="G871" t="s">
        <v>123</v>
      </c>
      <c r="H871" t="s">
        <v>648</v>
      </c>
      <c r="I871">
        <v>64.180000000000007</v>
      </c>
      <c r="J871">
        <v>63.32</v>
      </c>
      <c r="K871">
        <v>63.8</v>
      </c>
      <c r="L871">
        <v>20.84</v>
      </c>
      <c r="M871">
        <v>20.05</v>
      </c>
      <c r="N871">
        <v>21.15</v>
      </c>
    </row>
    <row r="872" spans="3:14" x14ac:dyDescent="0.15">
      <c r="C872" s="123">
        <v>42461</v>
      </c>
      <c r="D872" t="s">
        <v>5</v>
      </c>
      <c r="E872" t="s">
        <v>164</v>
      </c>
      <c r="F872" t="s">
        <v>7</v>
      </c>
      <c r="G872" t="s">
        <v>123</v>
      </c>
      <c r="H872" t="s">
        <v>59</v>
      </c>
      <c r="I872">
        <v>67.22</v>
      </c>
      <c r="J872">
        <v>65.5</v>
      </c>
      <c r="K872">
        <v>66.66</v>
      </c>
      <c r="L872">
        <v>23.91</v>
      </c>
      <c r="M872">
        <v>22.46</v>
      </c>
      <c r="N872">
        <v>24.12</v>
      </c>
    </row>
    <row r="873" spans="3:14" x14ac:dyDescent="0.15">
      <c r="C873" s="123">
        <v>42461</v>
      </c>
      <c r="D873" t="s">
        <v>5</v>
      </c>
      <c r="E873" t="s">
        <v>164</v>
      </c>
      <c r="F873" t="s">
        <v>7</v>
      </c>
      <c r="G873" t="s">
        <v>123</v>
      </c>
      <c r="H873" t="s">
        <v>60</v>
      </c>
      <c r="I873">
        <v>65.62</v>
      </c>
      <c r="J873">
        <v>63.9</v>
      </c>
      <c r="K873">
        <v>65.06</v>
      </c>
      <c r="L873">
        <v>22.31</v>
      </c>
      <c r="M873">
        <v>20.86</v>
      </c>
      <c r="N873">
        <v>22.52</v>
      </c>
    </row>
    <row r="874" spans="3:14" x14ac:dyDescent="0.15">
      <c r="C874" s="123">
        <v>42461</v>
      </c>
      <c r="D874" t="s">
        <v>5</v>
      </c>
      <c r="E874" t="s">
        <v>164</v>
      </c>
      <c r="F874" t="s">
        <v>7</v>
      </c>
      <c r="G874" t="s">
        <v>123</v>
      </c>
      <c r="H874" t="s">
        <v>648</v>
      </c>
      <c r="I874">
        <v>64.569999999999993</v>
      </c>
      <c r="J874">
        <v>62.85</v>
      </c>
      <c r="K874">
        <v>64.010000000000005</v>
      </c>
      <c r="L874">
        <v>21.26</v>
      </c>
      <c r="M874">
        <v>19.809999999999999</v>
      </c>
      <c r="N874">
        <v>21.47</v>
      </c>
    </row>
    <row r="875" spans="3:14" x14ac:dyDescent="0.15">
      <c r="C875" s="123">
        <v>42491</v>
      </c>
      <c r="D875" t="s">
        <v>5</v>
      </c>
      <c r="E875" t="s">
        <v>164</v>
      </c>
      <c r="F875" t="s">
        <v>7</v>
      </c>
      <c r="G875" t="s">
        <v>123</v>
      </c>
      <c r="H875" t="s">
        <v>59</v>
      </c>
      <c r="I875">
        <v>67.36</v>
      </c>
      <c r="J875">
        <v>65.28</v>
      </c>
      <c r="K875">
        <v>66.680000000000007</v>
      </c>
      <c r="L875">
        <v>24.01</v>
      </c>
      <c r="M875">
        <v>22.49</v>
      </c>
      <c r="N875">
        <v>24.18</v>
      </c>
    </row>
    <row r="876" spans="3:14" x14ac:dyDescent="0.15">
      <c r="C876" s="123">
        <v>42491</v>
      </c>
      <c r="D876" t="s">
        <v>5</v>
      </c>
      <c r="E876" t="s">
        <v>164</v>
      </c>
      <c r="F876" t="s">
        <v>7</v>
      </c>
      <c r="G876" t="s">
        <v>123</v>
      </c>
      <c r="H876" t="s">
        <v>60</v>
      </c>
      <c r="I876">
        <v>65.760000000000005</v>
      </c>
      <c r="J876">
        <v>63.68</v>
      </c>
      <c r="K876">
        <v>65.08</v>
      </c>
      <c r="L876">
        <v>22.41</v>
      </c>
      <c r="M876">
        <v>20.89</v>
      </c>
      <c r="N876">
        <v>22.58</v>
      </c>
    </row>
    <row r="877" spans="3:14" x14ac:dyDescent="0.15">
      <c r="C877" s="123">
        <v>42491</v>
      </c>
      <c r="D877" t="s">
        <v>5</v>
      </c>
      <c r="E877" t="s">
        <v>164</v>
      </c>
      <c r="F877" t="s">
        <v>7</v>
      </c>
      <c r="G877" t="s">
        <v>123</v>
      </c>
      <c r="H877" t="s">
        <v>648</v>
      </c>
      <c r="I877">
        <v>64.709999999999994</v>
      </c>
      <c r="J877">
        <v>62.63</v>
      </c>
      <c r="K877">
        <v>64.03</v>
      </c>
      <c r="L877">
        <v>21.36</v>
      </c>
      <c r="M877">
        <v>19.84</v>
      </c>
      <c r="N877">
        <v>21.53</v>
      </c>
    </row>
    <row r="878" spans="3:14" x14ac:dyDescent="0.15">
      <c r="C878" s="123">
        <v>42522</v>
      </c>
      <c r="D878" t="s">
        <v>5</v>
      </c>
      <c r="E878" t="s">
        <v>164</v>
      </c>
      <c r="F878" t="s">
        <v>7</v>
      </c>
      <c r="G878" t="s">
        <v>123</v>
      </c>
      <c r="H878" t="s">
        <v>59</v>
      </c>
      <c r="I878">
        <v>67.349999999999994</v>
      </c>
      <c r="J878">
        <v>65.14</v>
      </c>
      <c r="K878">
        <v>66.67</v>
      </c>
      <c r="L878">
        <v>23.98</v>
      </c>
      <c r="M878">
        <v>22.55</v>
      </c>
      <c r="N878">
        <v>24.18</v>
      </c>
    </row>
    <row r="879" spans="3:14" x14ac:dyDescent="0.15">
      <c r="C879" s="123">
        <v>42522</v>
      </c>
      <c r="D879" t="s">
        <v>5</v>
      </c>
      <c r="E879" t="s">
        <v>164</v>
      </c>
      <c r="F879" t="s">
        <v>7</v>
      </c>
      <c r="G879" t="s">
        <v>123</v>
      </c>
      <c r="H879" t="s">
        <v>60</v>
      </c>
      <c r="I879">
        <v>65.75</v>
      </c>
      <c r="J879">
        <v>63.54</v>
      </c>
      <c r="K879">
        <v>65.069999999999993</v>
      </c>
      <c r="L879">
        <v>22.38</v>
      </c>
      <c r="M879">
        <v>20.95</v>
      </c>
      <c r="N879">
        <v>22.58</v>
      </c>
    </row>
    <row r="880" spans="3:14" x14ac:dyDescent="0.15">
      <c r="C880" s="123">
        <v>42522</v>
      </c>
      <c r="D880" t="s">
        <v>5</v>
      </c>
      <c r="E880" t="s">
        <v>164</v>
      </c>
      <c r="F880" t="s">
        <v>7</v>
      </c>
      <c r="G880" t="s">
        <v>123</v>
      </c>
      <c r="H880" t="s">
        <v>648</v>
      </c>
      <c r="I880">
        <v>64.7</v>
      </c>
      <c r="J880">
        <v>62.49</v>
      </c>
      <c r="K880">
        <v>64.02</v>
      </c>
      <c r="L880">
        <v>21.33</v>
      </c>
      <c r="M880">
        <v>19.899999999999999</v>
      </c>
      <c r="N880">
        <v>21.53</v>
      </c>
    </row>
    <row r="881" spans="3:14" x14ac:dyDescent="0.15">
      <c r="C881" s="123">
        <v>42552</v>
      </c>
      <c r="D881" t="s">
        <v>5</v>
      </c>
      <c r="E881" t="s">
        <v>164</v>
      </c>
      <c r="F881" t="s">
        <v>7</v>
      </c>
      <c r="G881" t="s">
        <v>123</v>
      </c>
      <c r="H881" t="s">
        <v>59</v>
      </c>
      <c r="I881">
        <v>67.31</v>
      </c>
      <c r="J881">
        <v>65.42</v>
      </c>
      <c r="K881">
        <v>66.739999999999995</v>
      </c>
      <c r="L881">
        <v>23.97</v>
      </c>
      <c r="M881">
        <v>23.2</v>
      </c>
      <c r="N881">
        <v>24.41</v>
      </c>
    </row>
    <row r="882" spans="3:14" x14ac:dyDescent="0.15">
      <c r="C882" s="123">
        <v>42552</v>
      </c>
      <c r="D882" t="s">
        <v>5</v>
      </c>
      <c r="E882" t="s">
        <v>164</v>
      </c>
      <c r="F882" t="s">
        <v>7</v>
      </c>
      <c r="G882" t="s">
        <v>123</v>
      </c>
      <c r="H882" t="s">
        <v>60</v>
      </c>
      <c r="I882">
        <v>65.709999999999994</v>
      </c>
      <c r="J882">
        <v>63.82</v>
      </c>
      <c r="K882">
        <v>65.14</v>
      </c>
      <c r="L882">
        <v>22.37</v>
      </c>
      <c r="M882">
        <v>21.6</v>
      </c>
      <c r="N882">
        <v>22.81</v>
      </c>
    </row>
    <row r="883" spans="3:14" x14ac:dyDescent="0.15">
      <c r="C883" s="123">
        <v>42552</v>
      </c>
      <c r="D883" t="s">
        <v>5</v>
      </c>
      <c r="E883" t="s">
        <v>164</v>
      </c>
      <c r="F883" t="s">
        <v>7</v>
      </c>
      <c r="G883" t="s">
        <v>123</v>
      </c>
      <c r="H883" t="s">
        <v>648</v>
      </c>
      <c r="I883">
        <v>64.66</v>
      </c>
      <c r="J883">
        <v>62.77</v>
      </c>
      <c r="K883">
        <v>64.09</v>
      </c>
      <c r="L883">
        <v>21.32</v>
      </c>
      <c r="M883">
        <v>20.55</v>
      </c>
      <c r="N883">
        <v>21.76</v>
      </c>
    </row>
    <row r="884" spans="3:14" x14ac:dyDescent="0.15">
      <c r="C884" s="123">
        <v>42583</v>
      </c>
      <c r="D884" t="s">
        <v>5</v>
      </c>
      <c r="E884" t="s">
        <v>164</v>
      </c>
      <c r="F884" t="s">
        <v>7</v>
      </c>
      <c r="G884" t="s">
        <v>123</v>
      </c>
      <c r="H884" t="s">
        <v>59</v>
      </c>
      <c r="I884">
        <v>67.209999999999994</v>
      </c>
      <c r="J884">
        <v>66.37</v>
      </c>
      <c r="K884">
        <v>66.959999999999994</v>
      </c>
      <c r="L884">
        <v>24.01</v>
      </c>
      <c r="M884">
        <v>24.11</v>
      </c>
      <c r="N884">
        <v>24.82</v>
      </c>
    </row>
    <row r="885" spans="3:14" x14ac:dyDescent="0.15">
      <c r="C885" s="123">
        <v>42583</v>
      </c>
      <c r="D885" t="s">
        <v>5</v>
      </c>
      <c r="E885" t="s">
        <v>164</v>
      </c>
      <c r="F885" t="s">
        <v>7</v>
      </c>
      <c r="G885" t="s">
        <v>123</v>
      </c>
      <c r="H885" t="s">
        <v>60</v>
      </c>
      <c r="I885">
        <v>65.61</v>
      </c>
      <c r="J885">
        <v>64.77</v>
      </c>
      <c r="K885">
        <v>65.36</v>
      </c>
      <c r="L885">
        <v>22.41</v>
      </c>
      <c r="M885">
        <v>22.51</v>
      </c>
      <c r="N885">
        <v>23.22</v>
      </c>
    </row>
    <row r="886" spans="3:14" x14ac:dyDescent="0.15">
      <c r="C886" s="123">
        <v>42583</v>
      </c>
      <c r="D886" t="s">
        <v>5</v>
      </c>
      <c r="E886" t="s">
        <v>164</v>
      </c>
      <c r="F886" t="s">
        <v>7</v>
      </c>
      <c r="G886" t="s">
        <v>123</v>
      </c>
      <c r="H886" t="s">
        <v>648</v>
      </c>
      <c r="I886">
        <v>64.56</v>
      </c>
      <c r="J886">
        <v>63.72</v>
      </c>
      <c r="K886">
        <v>64.31</v>
      </c>
      <c r="L886">
        <v>21.36</v>
      </c>
      <c r="M886">
        <v>21.46</v>
      </c>
      <c r="N886">
        <v>22.17</v>
      </c>
    </row>
    <row r="887" spans="3:14" x14ac:dyDescent="0.15">
      <c r="C887" s="123">
        <v>42614</v>
      </c>
      <c r="D887" t="s">
        <v>5</v>
      </c>
      <c r="E887" t="s">
        <v>164</v>
      </c>
      <c r="F887" t="s">
        <v>7</v>
      </c>
      <c r="G887" t="s">
        <v>123</v>
      </c>
      <c r="H887" t="s">
        <v>59</v>
      </c>
      <c r="I887">
        <v>66.91</v>
      </c>
      <c r="J887">
        <v>67.239999999999995</v>
      </c>
      <c r="K887">
        <v>67.069999999999993</v>
      </c>
      <c r="L887">
        <v>23.72</v>
      </c>
      <c r="M887">
        <v>24.87</v>
      </c>
      <c r="N887">
        <v>25.15</v>
      </c>
    </row>
    <row r="888" spans="3:14" x14ac:dyDescent="0.15">
      <c r="C888" s="123">
        <v>42614</v>
      </c>
      <c r="D888" t="s">
        <v>5</v>
      </c>
      <c r="E888" t="s">
        <v>164</v>
      </c>
      <c r="F888" t="s">
        <v>7</v>
      </c>
      <c r="G888" t="s">
        <v>123</v>
      </c>
      <c r="H888" t="s">
        <v>60</v>
      </c>
      <c r="I888">
        <v>65.31</v>
      </c>
      <c r="J888">
        <v>65.64</v>
      </c>
      <c r="K888">
        <v>65.47</v>
      </c>
      <c r="L888">
        <v>22.12</v>
      </c>
      <c r="M888">
        <v>23.27</v>
      </c>
      <c r="N888">
        <v>23.55</v>
      </c>
    </row>
    <row r="889" spans="3:14" x14ac:dyDescent="0.15">
      <c r="C889" s="123">
        <v>42614</v>
      </c>
      <c r="D889" t="s">
        <v>5</v>
      </c>
      <c r="E889" t="s">
        <v>164</v>
      </c>
      <c r="F889" t="s">
        <v>7</v>
      </c>
      <c r="G889" t="s">
        <v>123</v>
      </c>
      <c r="H889" t="s">
        <v>648</v>
      </c>
      <c r="I889">
        <v>64.260000000000005</v>
      </c>
      <c r="J889">
        <v>64.59</v>
      </c>
      <c r="K889">
        <v>64.42</v>
      </c>
      <c r="L889">
        <v>21.07</v>
      </c>
      <c r="M889">
        <v>22.22</v>
      </c>
      <c r="N889">
        <v>22.5</v>
      </c>
    </row>
    <row r="890" spans="3:14" x14ac:dyDescent="0.15">
      <c r="C890" s="123">
        <v>42644</v>
      </c>
      <c r="D890" t="s">
        <v>5</v>
      </c>
      <c r="E890" t="s">
        <v>164</v>
      </c>
      <c r="F890" t="s">
        <v>7</v>
      </c>
      <c r="G890" t="s">
        <v>123</v>
      </c>
      <c r="H890" t="s">
        <v>59</v>
      </c>
      <c r="I890">
        <v>66.94</v>
      </c>
      <c r="J890">
        <v>68.040000000000006</v>
      </c>
      <c r="K890">
        <v>67.13</v>
      </c>
      <c r="L890">
        <v>23.96</v>
      </c>
      <c r="M890">
        <v>25.73</v>
      </c>
      <c r="N890">
        <v>25.41</v>
      </c>
    </row>
    <row r="891" spans="3:14" x14ac:dyDescent="0.15">
      <c r="C891" s="123">
        <v>42644</v>
      </c>
      <c r="D891" t="s">
        <v>5</v>
      </c>
      <c r="E891" t="s">
        <v>164</v>
      </c>
      <c r="F891" t="s">
        <v>7</v>
      </c>
      <c r="G891" t="s">
        <v>123</v>
      </c>
      <c r="H891" t="s">
        <v>60</v>
      </c>
      <c r="I891">
        <v>65.34</v>
      </c>
      <c r="J891">
        <v>66.44</v>
      </c>
      <c r="K891">
        <v>65.53</v>
      </c>
      <c r="L891">
        <v>22.36</v>
      </c>
      <c r="M891">
        <v>24.13</v>
      </c>
      <c r="N891">
        <v>23.81</v>
      </c>
    </row>
    <row r="892" spans="3:14" x14ac:dyDescent="0.15">
      <c r="C892" s="123">
        <v>42644</v>
      </c>
      <c r="D892" t="s">
        <v>5</v>
      </c>
      <c r="E892" t="s">
        <v>164</v>
      </c>
      <c r="F892" t="s">
        <v>7</v>
      </c>
      <c r="G892" t="s">
        <v>123</v>
      </c>
      <c r="H892" t="s">
        <v>648</v>
      </c>
      <c r="I892">
        <v>64.290000000000006</v>
      </c>
      <c r="J892">
        <v>65.39</v>
      </c>
      <c r="K892">
        <v>64.48</v>
      </c>
      <c r="L892">
        <v>21.31</v>
      </c>
      <c r="M892">
        <v>23.08</v>
      </c>
      <c r="N892">
        <v>22.76</v>
      </c>
    </row>
    <row r="893" spans="3:14" x14ac:dyDescent="0.15">
      <c r="C893" s="123">
        <v>42675</v>
      </c>
      <c r="D893" t="s">
        <v>5</v>
      </c>
      <c r="E893" t="s">
        <v>164</v>
      </c>
      <c r="F893" t="s">
        <v>7</v>
      </c>
      <c r="G893" t="s">
        <v>123</v>
      </c>
      <c r="H893" t="s">
        <v>59</v>
      </c>
      <c r="I893">
        <v>66.91</v>
      </c>
      <c r="J893">
        <v>68.290000000000006</v>
      </c>
      <c r="K893">
        <v>67.17</v>
      </c>
      <c r="L893">
        <v>24.11</v>
      </c>
      <c r="M893">
        <v>25.9</v>
      </c>
      <c r="N893">
        <v>25.57</v>
      </c>
    </row>
    <row r="894" spans="3:14" x14ac:dyDescent="0.15">
      <c r="C894" s="123">
        <v>42675</v>
      </c>
      <c r="D894" t="s">
        <v>5</v>
      </c>
      <c r="E894" t="s">
        <v>164</v>
      </c>
      <c r="F894" t="s">
        <v>7</v>
      </c>
      <c r="G894" t="s">
        <v>123</v>
      </c>
      <c r="H894" t="s">
        <v>60</v>
      </c>
      <c r="I894">
        <v>65.31</v>
      </c>
      <c r="J894">
        <v>66.69</v>
      </c>
      <c r="K894">
        <v>65.569999999999993</v>
      </c>
      <c r="L894">
        <v>22.51</v>
      </c>
      <c r="M894">
        <v>24.3</v>
      </c>
      <c r="N894">
        <v>23.97</v>
      </c>
    </row>
    <row r="895" spans="3:14" x14ac:dyDescent="0.15">
      <c r="C895" s="123">
        <v>42675</v>
      </c>
      <c r="D895" t="s">
        <v>5</v>
      </c>
      <c r="E895" t="s">
        <v>164</v>
      </c>
      <c r="F895" t="s">
        <v>7</v>
      </c>
      <c r="G895" t="s">
        <v>123</v>
      </c>
      <c r="H895" t="s">
        <v>648</v>
      </c>
      <c r="I895">
        <v>64.260000000000005</v>
      </c>
      <c r="J895">
        <v>65.64</v>
      </c>
      <c r="K895">
        <v>64.52</v>
      </c>
      <c r="L895">
        <v>21.46</v>
      </c>
      <c r="M895">
        <v>23.25</v>
      </c>
      <c r="N895">
        <v>22.92</v>
      </c>
    </row>
    <row r="896" spans="3:14" x14ac:dyDescent="0.15">
      <c r="C896" s="123">
        <v>42705</v>
      </c>
      <c r="D896" t="s">
        <v>5</v>
      </c>
      <c r="E896" t="s">
        <v>164</v>
      </c>
      <c r="F896" t="s">
        <v>7</v>
      </c>
      <c r="G896" t="s">
        <v>123</v>
      </c>
      <c r="H896" t="s">
        <v>59</v>
      </c>
      <c r="I896">
        <v>66.650000000000006</v>
      </c>
      <c r="J896">
        <v>68.239999999999995</v>
      </c>
      <c r="K896">
        <v>67.150000000000006</v>
      </c>
      <c r="L896">
        <v>23.91</v>
      </c>
      <c r="M896">
        <v>25.68</v>
      </c>
      <c r="N896">
        <v>25.68</v>
      </c>
    </row>
    <row r="897" spans="3:14" x14ac:dyDescent="0.15">
      <c r="C897" s="123">
        <v>42705</v>
      </c>
      <c r="D897" t="s">
        <v>5</v>
      </c>
      <c r="E897" t="s">
        <v>164</v>
      </c>
      <c r="F897" t="s">
        <v>7</v>
      </c>
      <c r="G897" t="s">
        <v>123</v>
      </c>
      <c r="H897" t="s">
        <v>60</v>
      </c>
      <c r="I897">
        <v>65.05</v>
      </c>
      <c r="J897">
        <v>66.64</v>
      </c>
      <c r="K897">
        <v>65.55</v>
      </c>
      <c r="L897">
        <v>22.31</v>
      </c>
      <c r="M897">
        <v>24.08</v>
      </c>
      <c r="N897">
        <v>24.08</v>
      </c>
    </row>
    <row r="898" spans="3:14" x14ac:dyDescent="0.15">
      <c r="C898" s="123">
        <v>42705</v>
      </c>
      <c r="D898" t="s">
        <v>5</v>
      </c>
      <c r="E898" t="s">
        <v>164</v>
      </c>
      <c r="F898" t="s">
        <v>7</v>
      </c>
      <c r="G898" t="s">
        <v>123</v>
      </c>
      <c r="H898" t="s">
        <v>648</v>
      </c>
      <c r="I898">
        <v>64</v>
      </c>
      <c r="J898">
        <v>65.59</v>
      </c>
      <c r="K898">
        <v>64.5</v>
      </c>
      <c r="L898">
        <v>21.26</v>
      </c>
      <c r="M898">
        <v>23.03</v>
      </c>
      <c r="N898">
        <v>23.03</v>
      </c>
    </row>
    <row r="899" spans="3:14" x14ac:dyDescent="0.15">
      <c r="C899" s="123">
        <v>42736</v>
      </c>
      <c r="D899" t="s">
        <v>5</v>
      </c>
      <c r="E899" t="s">
        <v>164</v>
      </c>
      <c r="F899" t="s">
        <v>7</v>
      </c>
      <c r="G899" t="s">
        <v>123</v>
      </c>
      <c r="H899" t="s">
        <v>59</v>
      </c>
      <c r="I899">
        <v>66.63</v>
      </c>
      <c r="J899">
        <v>68.02</v>
      </c>
      <c r="K899">
        <v>67.34</v>
      </c>
      <c r="L899">
        <v>24.15</v>
      </c>
      <c r="M899">
        <v>25.47</v>
      </c>
      <c r="N899">
        <v>25.96</v>
      </c>
    </row>
    <row r="900" spans="3:14" x14ac:dyDescent="0.15">
      <c r="C900" s="123">
        <v>42736</v>
      </c>
      <c r="D900" t="s">
        <v>5</v>
      </c>
      <c r="E900" t="s">
        <v>164</v>
      </c>
      <c r="F900" t="s">
        <v>7</v>
      </c>
      <c r="G900" t="s">
        <v>123</v>
      </c>
      <c r="H900" t="s">
        <v>60</v>
      </c>
      <c r="I900">
        <v>65.03</v>
      </c>
      <c r="J900">
        <v>66.42</v>
      </c>
      <c r="K900">
        <v>65.739999999999995</v>
      </c>
      <c r="L900">
        <v>22.55</v>
      </c>
      <c r="M900">
        <v>23.87</v>
      </c>
      <c r="N900">
        <v>24.36</v>
      </c>
    </row>
    <row r="901" spans="3:14" x14ac:dyDescent="0.15">
      <c r="C901" s="123">
        <v>42736</v>
      </c>
      <c r="D901" t="s">
        <v>5</v>
      </c>
      <c r="E901" t="s">
        <v>164</v>
      </c>
      <c r="F901" t="s">
        <v>7</v>
      </c>
      <c r="G901" t="s">
        <v>123</v>
      </c>
      <c r="H901" t="s">
        <v>648</v>
      </c>
      <c r="I901">
        <v>63.98</v>
      </c>
      <c r="J901">
        <v>65.37</v>
      </c>
      <c r="K901">
        <v>64.69</v>
      </c>
      <c r="L901">
        <v>21.5</v>
      </c>
      <c r="M901">
        <v>22.82</v>
      </c>
      <c r="N901">
        <v>23.31</v>
      </c>
    </row>
    <row r="902" spans="3:14" x14ac:dyDescent="0.15">
      <c r="C902" s="123">
        <v>42401</v>
      </c>
      <c r="D902" t="s">
        <v>5</v>
      </c>
      <c r="E902" t="s">
        <v>164</v>
      </c>
      <c r="F902" t="s">
        <v>8</v>
      </c>
      <c r="G902" t="s">
        <v>120</v>
      </c>
      <c r="H902" t="s">
        <v>59</v>
      </c>
      <c r="I902">
        <v>67.010000000000005</v>
      </c>
      <c r="J902">
        <v>67.650000000000006</v>
      </c>
      <c r="K902">
        <v>67.2</v>
      </c>
      <c r="L902">
        <v>24.68</v>
      </c>
      <c r="M902">
        <v>24.79</v>
      </c>
      <c r="N902">
        <v>24.99</v>
      </c>
    </row>
    <row r="903" spans="3:14" x14ac:dyDescent="0.15">
      <c r="C903" s="123">
        <v>42401</v>
      </c>
      <c r="D903" t="s">
        <v>5</v>
      </c>
      <c r="E903" t="s">
        <v>164</v>
      </c>
      <c r="F903" t="s">
        <v>8</v>
      </c>
      <c r="G903" t="s">
        <v>120</v>
      </c>
      <c r="H903" t="s">
        <v>60</v>
      </c>
      <c r="I903">
        <v>65.41</v>
      </c>
      <c r="J903">
        <v>66.05</v>
      </c>
      <c r="K903">
        <v>65.599999999999994</v>
      </c>
      <c r="L903">
        <v>23.08</v>
      </c>
      <c r="M903">
        <v>23.19</v>
      </c>
      <c r="N903">
        <v>23.39</v>
      </c>
    </row>
    <row r="904" spans="3:14" x14ac:dyDescent="0.15">
      <c r="C904" s="123">
        <v>42401</v>
      </c>
      <c r="D904" t="s">
        <v>5</v>
      </c>
      <c r="E904" t="s">
        <v>164</v>
      </c>
      <c r="F904" t="s">
        <v>8</v>
      </c>
      <c r="G904" t="s">
        <v>120</v>
      </c>
      <c r="H904" t="s">
        <v>648</v>
      </c>
      <c r="I904">
        <v>64.36</v>
      </c>
      <c r="J904">
        <v>65</v>
      </c>
      <c r="K904">
        <v>64.55</v>
      </c>
      <c r="L904">
        <v>22.03</v>
      </c>
      <c r="M904">
        <v>22.14</v>
      </c>
      <c r="N904">
        <v>22.34</v>
      </c>
    </row>
    <row r="905" spans="3:14" x14ac:dyDescent="0.15">
      <c r="C905" s="123">
        <v>42430</v>
      </c>
      <c r="D905" t="s">
        <v>5</v>
      </c>
      <c r="E905" t="s">
        <v>164</v>
      </c>
      <c r="F905" t="s">
        <v>8</v>
      </c>
      <c r="G905" t="s">
        <v>120</v>
      </c>
      <c r="H905" t="s">
        <v>59</v>
      </c>
      <c r="I905">
        <v>67.88</v>
      </c>
      <c r="J905">
        <v>67.06</v>
      </c>
      <c r="K905">
        <v>67.5</v>
      </c>
      <c r="L905">
        <v>24.64</v>
      </c>
      <c r="M905">
        <v>23.84</v>
      </c>
      <c r="N905">
        <v>24.97</v>
      </c>
    </row>
    <row r="906" spans="3:14" x14ac:dyDescent="0.15">
      <c r="C906" s="123">
        <v>42430</v>
      </c>
      <c r="D906" t="s">
        <v>5</v>
      </c>
      <c r="E906" t="s">
        <v>164</v>
      </c>
      <c r="F906" t="s">
        <v>8</v>
      </c>
      <c r="G906" t="s">
        <v>120</v>
      </c>
      <c r="H906" t="s">
        <v>60</v>
      </c>
      <c r="I906">
        <v>66.28</v>
      </c>
      <c r="J906">
        <v>65.459999999999994</v>
      </c>
      <c r="K906">
        <v>65.900000000000006</v>
      </c>
      <c r="L906">
        <v>23.04</v>
      </c>
      <c r="M906">
        <v>22.24</v>
      </c>
      <c r="N906">
        <v>23.37</v>
      </c>
    </row>
    <row r="907" spans="3:14" x14ac:dyDescent="0.15">
      <c r="C907" s="123">
        <v>42430</v>
      </c>
      <c r="D907" t="s">
        <v>5</v>
      </c>
      <c r="E907" t="s">
        <v>164</v>
      </c>
      <c r="F907" t="s">
        <v>8</v>
      </c>
      <c r="G907" t="s">
        <v>120</v>
      </c>
      <c r="H907" t="s">
        <v>648</v>
      </c>
      <c r="I907">
        <v>65.23</v>
      </c>
      <c r="J907">
        <v>64.41</v>
      </c>
      <c r="K907">
        <v>64.849999999999994</v>
      </c>
      <c r="L907">
        <v>21.99</v>
      </c>
      <c r="M907">
        <v>21.19</v>
      </c>
      <c r="N907">
        <v>22.32</v>
      </c>
    </row>
    <row r="908" spans="3:14" x14ac:dyDescent="0.15">
      <c r="C908" s="123">
        <v>42461</v>
      </c>
      <c r="D908" t="s">
        <v>5</v>
      </c>
      <c r="E908" t="s">
        <v>164</v>
      </c>
      <c r="F908" t="s">
        <v>8</v>
      </c>
      <c r="G908" t="s">
        <v>120</v>
      </c>
      <c r="H908" t="s">
        <v>59</v>
      </c>
      <c r="I908">
        <v>68.27</v>
      </c>
      <c r="J908">
        <v>66.650000000000006</v>
      </c>
      <c r="K908">
        <v>67.72</v>
      </c>
      <c r="L908">
        <v>25.06</v>
      </c>
      <c r="M908">
        <v>23.63</v>
      </c>
      <c r="N908">
        <v>25.29</v>
      </c>
    </row>
    <row r="909" spans="3:14" x14ac:dyDescent="0.15">
      <c r="C909" s="123">
        <v>42461</v>
      </c>
      <c r="D909" t="s">
        <v>5</v>
      </c>
      <c r="E909" t="s">
        <v>164</v>
      </c>
      <c r="F909" t="s">
        <v>8</v>
      </c>
      <c r="G909" t="s">
        <v>120</v>
      </c>
      <c r="H909" t="s">
        <v>60</v>
      </c>
      <c r="I909">
        <v>66.67</v>
      </c>
      <c r="J909">
        <v>65.05</v>
      </c>
      <c r="K909">
        <v>66.12</v>
      </c>
      <c r="L909">
        <v>23.46</v>
      </c>
      <c r="M909">
        <v>22.03</v>
      </c>
      <c r="N909">
        <v>23.69</v>
      </c>
    </row>
    <row r="910" spans="3:14" x14ac:dyDescent="0.15">
      <c r="C910" s="123">
        <v>42461</v>
      </c>
      <c r="D910" t="s">
        <v>5</v>
      </c>
      <c r="E910" t="s">
        <v>164</v>
      </c>
      <c r="F910" t="s">
        <v>8</v>
      </c>
      <c r="G910" t="s">
        <v>120</v>
      </c>
      <c r="H910" t="s">
        <v>648</v>
      </c>
      <c r="I910">
        <v>65.62</v>
      </c>
      <c r="J910">
        <v>64</v>
      </c>
      <c r="K910">
        <v>65.069999999999993</v>
      </c>
      <c r="L910">
        <v>22.41</v>
      </c>
      <c r="M910">
        <v>20.98</v>
      </c>
      <c r="N910">
        <v>22.64</v>
      </c>
    </row>
    <row r="911" spans="3:14" x14ac:dyDescent="0.15">
      <c r="C911" s="123">
        <v>42491</v>
      </c>
      <c r="D911" t="s">
        <v>5</v>
      </c>
      <c r="E911" t="s">
        <v>164</v>
      </c>
      <c r="F911" t="s">
        <v>8</v>
      </c>
      <c r="G911" t="s">
        <v>120</v>
      </c>
      <c r="H911" t="s">
        <v>59</v>
      </c>
      <c r="I911">
        <v>68.400000000000006</v>
      </c>
      <c r="J911">
        <v>66.48</v>
      </c>
      <c r="K911">
        <v>67.739999999999995</v>
      </c>
      <c r="L911">
        <v>25.16</v>
      </c>
      <c r="M911">
        <v>23.69</v>
      </c>
      <c r="N911">
        <v>25.34</v>
      </c>
    </row>
    <row r="912" spans="3:14" x14ac:dyDescent="0.15">
      <c r="C912" s="123">
        <v>42491</v>
      </c>
      <c r="D912" t="s">
        <v>5</v>
      </c>
      <c r="E912" t="s">
        <v>164</v>
      </c>
      <c r="F912" t="s">
        <v>8</v>
      </c>
      <c r="G912" t="s">
        <v>120</v>
      </c>
      <c r="H912" t="s">
        <v>60</v>
      </c>
      <c r="I912">
        <v>66.8</v>
      </c>
      <c r="J912">
        <v>64.88</v>
      </c>
      <c r="K912">
        <v>66.14</v>
      </c>
      <c r="L912">
        <v>23.56</v>
      </c>
      <c r="M912">
        <v>22.09</v>
      </c>
      <c r="N912">
        <v>23.74</v>
      </c>
    </row>
    <row r="913" spans="3:14" x14ac:dyDescent="0.15">
      <c r="C913" s="123">
        <v>42491</v>
      </c>
      <c r="D913" t="s">
        <v>5</v>
      </c>
      <c r="E913" t="s">
        <v>164</v>
      </c>
      <c r="F913" t="s">
        <v>8</v>
      </c>
      <c r="G913" t="s">
        <v>120</v>
      </c>
      <c r="H913" t="s">
        <v>648</v>
      </c>
      <c r="I913">
        <v>65.75</v>
      </c>
      <c r="J913">
        <v>63.83</v>
      </c>
      <c r="K913">
        <v>65.09</v>
      </c>
      <c r="L913">
        <v>22.51</v>
      </c>
      <c r="M913">
        <v>21.04</v>
      </c>
      <c r="N913">
        <v>22.69</v>
      </c>
    </row>
    <row r="914" spans="3:14" x14ac:dyDescent="0.15">
      <c r="C914" s="123">
        <v>42522</v>
      </c>
      <c r="D914" t="s">
        <v>5</v>
      </c>
      <c r="E914" t="s">
        <v>164</v>
      </c>
      <c r="F914" t="s">
        <v>8</v>
      </c>
      <c r="G914" t="s">
        <v>120</v>
      </c>
      <c r="H914" t="s">
        <v>59</v>
      </c>
      <c r="I914">
        <v>68.400000000000006</v>
      </c>
      <c r="J914">
        <v>66.319999999999993</v>
      </c>
      <c r="K914">
        <v>67.739999999999995</v>
      </c>
      <c r="L914">
        <v>25.14</v>
      </c>
      <c r="M914">
        <v>23.73</v>
      </c>
      <c r="N914">
        <v>25.34</v>
      </c>
    </row>
    <row r="915" spans="3:14" x14ac:dyDescent="0.15">
      <c r="C915" s="123">
        <v>42522</v>
      </c>
      <c r="D915" t="s">
        <v>5</v>
      </c>
      <c r="E915" t="s">
        <v>164</v>
      </c>
      <c r="F915" t="s">
        <v>8</v>
      </c>
      <c r="G915" t="s">
        <v>120</v>
      </c>
      <c r="H915" t="s">
        <v>60</v>
      </c>
      <c r="I915">
        <v>66.8</v>
      </c>
      <c r="J915">
        <v>64.72</v>
      </c>
      <c r="K915">
        <v>66.14</v>
      </c>
      <c r="L915">
        <v>23.54</v>
      </c>
      <c r="M915">
        <v>22.13</v>
      </c>
      <c r="N915">
        <v>23.74</v>
      </c>
    </row>
    <row r="916" spans="3:14" x14ac:dyDescent="0.15">
      <c r="C916" s="123">
        <v>42522</v>
      </c>
      <c r="D916" t="s">
        <v>5</v>
      </c>
      <c r="E916" t="s">
        <v>164</v>
      </c>
      <c r="F916" t="s">
        <v>8</v>
      </c>
      <c r="G916" t="s">
        <v>120</v>
      </c>
      <c r="H916" t="s">
        <v>648</v>
      </c>
      <c r="I916">
        <v>65.75</v>
      </c>
      <c r="J916">
        <v>63.67</v>
      </c>
      <c r="K916">
        <v>65.09</v>
      </c>
      <c r="L916">
        <v>22.49</v>
      </c>
      <c r="M916">
        <v>21.08</v>
      </c>
      <c r="N916">
        <v>22.69</v>
      </c>
    </row>
    <row r="917" spans="3:14" x14ac:dyDescent="0.15">
      <c r="C917" s="123">
        <v>42552</v>
      </c>
      <c r="D917" t="s">
        <v>5</v>
      </c>
      <c r="E917" t="s">
        <v>164</v>
      </c>
      <c r="F917" t="s">
        <v>8</v>
      </c>
      <c r="G917" t="s">
        <v>120</v>
      </c>
      <c r="H917" t="s">
        <v>59</v>
      </c>
      <c r="I917">
        <v>68.37</v>
      </c>
      <c r="J917">
        <v>66.53</v>
      </c>
      <c r="K917">
        <v>67.8</v>
      </c>
      <c r="L917">
        <v>25.12</v>
      </c>
      <c r="M917">
        <v>24.37</v>
      </c>
      <c r="N917">
        <v>25.56</v>
      </c>
    </row>
    <row r="918" spans="3:14" x14ac:dyDescent="0.15">
      <c r="C918" s="123">
        <v>42552</v>
      </c>
      <c r="D918" t="s">
        <v>5</v>
      </c>
      <c r="E918" t="s">
        <v>164</v>
      </c>
      <c r="F918" t="s">
        <v>8</v>
      </c>
      <c r="G918" t="s">
        <v>120</v>
      </c>
      <c r="H918" t="s">
        <v>60</v>
      </c>
      <c r="I918">
        <v>66.77</v>
      </c>
      <c r="J918">
        <v>64.930000000000007</v>
      </c>
      <c r="K918">
        <v>66.2</v>
      </c>
      <c r="L918">
        <v>23.52</v>
      </c>
      <c r="M918">
        <v>22.77</v>
      </c>
      <c r="N918">
        <v>23.96</v>
      </c>
    </row>
    <row r="919" spans="3:14" x14ac:dyDescent="0.15">
      <c r="C919" s="123">
        <v>42552</v>
      </c>
      <c r="D919" t="s">
        <v>5</v>
      </c>
      <c r="E919" t="s">
        <v>164</v>
      </c>
      <c r="F919" t="s">
        <v>8</v>
      </c>
      <c r="G919" t="s">
        <v>120</v>
      </c>
      <c r="H919" t="s">
        <v>648</v>
      </c>
      <c r="I919">
        <v>65.72</v>
      </c>
      <c r="J919">
        <v>63.88</v>
      </c>
      <c r="K919">
        <v>65.150000000000006</v>
      </c>
      <c r="L919">
        <v>22.47</v>
      </c>
      <c r="M919">
        <v>21.72</v>
      </c>
      <c r="N919">
        <v>22.91</v>
      </c>
    </row>
    <row r="920" spans="3:14" x14ac:dyDescent="0.15">
      <c r="C920" s="123">
        <v>42583</v>
      </c>
      <c r="D920" t="s">
        <v>5</v>
      </c>
      <c r="E920" t="s">
        <v>164</v>
      </c>
      <c r="F920" t="s">
        <v>8</v>
      </c>
      <c r="G920" t="s">
        <v>120</v>
      </c>
      <c r="H920" t="s">
        <v>59</v>
      </c>
      <c r="I920">
        <v>68.27</v>
      </c>
      <c r="J920">
        <v>67.47</v>
      </c>
      <c r="K920">
        <v>68.03</v>
      </c>
      <c r="L920">
        <v>25.19</v>
      </c>
      <c r="M920">
        <v>25.32</v>
      </c>
      <c r="N920">
        <v>25.98</v>
      </c>
    </row>
    <row r="921" spans="3:14" x14ac:dyDescent="0.15">
      <c r="C921" s="123">
        <v>42583</v>
      </c>
      <c r="D921" t="s">
        <v>5</v>
      </c>
      <c r="E921" t="s">
        <v>164</v>
      </c>
      <c r="F921" t="s">
        <v>8</v>
      </c>
      <c r="G921" t="s">
        <v>120</v>
      </c>
      <c r="H921" t="s">
        <v>60</v>
      </c>
      <c r="I921">
        <v>66.67</v>
      </c>
      <c r="J921">
        <v>65.87</v>
      </c>
      <c r="K921">
        <v>66.430000000000007</v>
      </c>
      <c r="L921">
        <v>23.59</v>
      </c>
      <c r="M921">
        <v>23.72</v>
      </c>
      <c r="N921">
        <v>24.38</v>
      </c>
    </row>
    <row r="922" spans="3:14" x14ac:dyDescent="0.15">
      <c r="C922" s="123">
        <v>42583</v>
      </c>
      <c r="D922" t="s">
        <v>5</v>
      </c>
      <c r="E922" t="s">
        <v>164</v>
      </c>
      <c r="F922" t="s">
        <v>8</v>
      </c>
      <c r="G922" t="s">
        <v>120</v>
      </c>
      <c r="H922" t="s">
        <v>648</v>
      </c>
      <c r="I922">
        <v>65.62</v>
      </c>
      <c r="J922">
        <v>64.819999999999993</v>
      </c>
      <c r="K922">
        <v>65.38</v>
      </c>
      <c r="L922">
        <v>22.54</v>
      </c>
      <c r="M922">
        <v>22.67</v>
      </c>
      <c r="N922">
        <v>23.33</v>
      </c>
    </row>
    <row r="923" spans="3:14" x14ac:dyDescent="0.15">
      <c r="C923" s="123">
        <v>42614</v>
      </c>
      <c r="D923" t="s">
        <v>5</v>
      </c>
      <c r="E923" t="s">
        <v>164</v>
      </c>
      <c r="F923" t="s">
        <v>8</v>
      </c>
      <c r="G923" t="s">
        <v>120</v>
      </c>
      <c r="H923" t="s">
        <v>59</v>
      </c>
      <c r="I923">
        <v>67.98</v>
      </c>
      <c r="J923">
        <v>68.290000000000006</v>
      </c>
      <c r="K923">
        <v>68.150000000000006</v>
      </c>
      <c r="L923">
        <v>24.91</v>
      </c>
      <c r="M923">
        <v>26.08</v>
      </c>
      <c r="N923">
        <v>26.31</v>
      </c>
    </row>
    <row r="924" spans="3:14" x14ac:dyDescent="0.15">
      <c r="C924" s="123">
        <v>42614</v>
      </c>
      <c r="D924" t="s">
        <v>5</v>
      </c>
      <c r="E924" t="s">
        <v>164</v>
      </c>
      <c r="F924" t="s">
        <v>8</v>
      </c>
      <c r="G924" t="s">
        <v>120</v>
      </c>
      <c r="H924" t="s">
        <v>60</v>
      </c>
      <c r="I924">
        <v>66.38</v>
      </c>
      <c r="J924">
        <v>66.69</v>
      </c>
      <c r="K924">
        <v>66.55</v>
      </c>
      <c r="L924">
        <v>23.31</v>
      </c>
      <c r="M924">
        <v>24.48</v>
      </c>
      <c r="N924">
        <v>24.71</v>
      </c>
    </row>
    <row r="925" spans="3:14" x14ac:dyDescent="0.15">
      <c r="C925" s="123">
        <v>42614</v>
      </c>
      <c r="D925" t="s">
        <v>5</v>
      </c>
      <c r="E925" t="s">
        <v>164</v>
      </c>
      <c r="F925" t="s">
        <v>8</v>
      </c>
      <c r="G925" t="s">
        <v>120</v>
      </c>
      <c r="H925" t="s">
        <v>648</v>
      </c>
      <c r="I925">
        <v>65.33</v>
      </c>
      <c r="J925">
        <v>65.64</v>
      </c>
      <c r="K925">
        <v>65.5</v>
      </c>
      <c r="L925">
        <v>22.26</v>
      </c>
      <c r="M925">
        <v>23.43</v>
      </c>
      <c r="N925">
        <v>23.66</v>
      </c>
    </row>
    <row r="926" spans="3:14" x14ac:dyDescent="0.15">
      <c r="C926" s="123">
        <v>42644</v>
      </c>
      <c r="D926" t="s">
        <v>5</v>
      </c>
      <c r="E926" t="s">
        <v>164</v>
      </c>
      <c r="F926" t="s">
        <v>8</v>
      </c>
      <c r="G926" t="s">
        <v>120</v>
      </c>
      <c r="H926" t="s">
        <v>59</v>
      </c>
      <c r="I926">
        <v>68.02</v>
      </c>
      <c r="J926">
        <v>69.02</v>
      </c>
      <c r="K926">
        <v>68.209999999999994</v>
      </c>
      <c r="L926">
        <v>25.13</v>
      </c>
      <c r="M926">
        <v>26.89</v>
      </c>
      <c r="N926">
        <v>26.55</v>
      </c>
    </row>
    <row r="927" spans="3:14" x14ac:dyDescent="0.15">
      <c r="C927" s="123">
        <v>42644</v>
      </c>
      <c r="D927" t="s">
        <v>5</v>
      </c>
      <c r="E927" t="s">
        <v>164</v>
      </c>
      <c r="F927" t="s">
        <v>8</v>
      </c>
      <c r="G927" t="s">
        <v>120</v>
      </c>
      <c r="H927" t="s">
        <v>60</v>
      </c>
      <c r="I927">
        <v>66.42</v>
      </c>
      <c r="J927">
        <v>67.42</v>
      </c>
      <c r="K927">
        <v>66.61</v>
      </c>
      <c r="L927">
        <v>23.53</v>
      </c>
      <c r="M927">
        <v>25.29</v>
      </c>
      <c r="N927">
        <v>24.95</v>
      </c>
    </row>
    <row r="928" spans="3:14" x14ac:dyDescent="0.15">
      <c r="C928" s="123">
        <v>42644</v>
      </c>
      <c r="D928" t="s">
        <v>5</v>
      </c>
      <c r="E928" t="s">
        <v>164</v>
      </c>
      <c r="F928" t="s">
        <v>8</v>
      </c>
      <c r="G928" t="s">
        <v>120</v>
      </c>
      <c r="H928" t="s">
        <v>648</v>
      </c>
      <c r="I928">
        <v>65.37</v>
      </c>
      <c r="J928">
        <v>66.37</v>
      </c>
      <c r="K928">
        <v>65.56</v>
      </c>
      <c r="L928">
        <v>22.48</v>
      </c>
      <c r="M928">
        <v>24.24</v>
      </c>
      <c r="N928">
        <v>23.9</v>
      </c>
    </row>
    <row r="929" spans="3:14" x14ac:dyDescent="0.15">
      <c r="C929" s="123">
        <v>42675</v>
      </c>
      <c r="D929" t="s">
        <v>5</v>
      </c>
      <c r="E929" t="s">
        <v>164</v>
      </c>
      <c r="F929" t="s">
        <v>8</v>
      </c>
      <c r="G929" t="s">
        <v>120</v>
      </c>
      <c r="H929" t="s">
        <v>59</v>
      </c>
      <c r="I929">
        <v>67.989999999999995</v>
      </c>
      <c r="J929">
        <v>69.22</v>
      </c>
      <c r="K929">
        <v>68.25</v>
      </c>
      <c r="L929">
        <v>25.29</v>
      </c>
      <c r="M929">
        <v>27.02</v>
      </c>
      <c r="N929">
        <v>26.72</v>
      </c>
    </row>
    <row r="930" spans="3:14" x14ac:dyDescent="0.15">
      <c r="C930" s="123">
        <v>42675</v>
      </c>
      <c r="D930" t="s">
        <v>5</v>
      </c>
      <c r="E930" t="s">
        <v>164</v>
      </c>
      <c r="F930" t="s">
        <v>8</v>
      </c>
      <c r="G930" t="s">
        <v>120</v>
      </c>
      <c r="H930" t="s">
        <v>60</v>
      </c>
      <c r="I930">
        <v>66.39</v>
      </c>
      <c r="J930">
        <v>67.62</v>
      </c>
      <c r="K930">
        <v>66.650000000000006</v>
      </c>
      <c r="L930">
        <v>23.69</v>
      </c>
      <c r="M930">
        <v>25.42</v>
      </c>
      <c r="N930">
        <v>25.12</v>
      </c>
    </row>
    <row r="931" spans="3:14" x14ac:dyDescent="0.15">
      <c r="C931" s="123">
        <v>42675</v>
      </c>
      <c r="D931" t="s">
        <v>5</v>
      </c>
      <c r="E931" t="s">
        <v>164</v>
      </c>
      <c r="F931" t="s">
        <v>8</v>
      </c>
      <c r="G931" t="s">
        <v>120</v>
      </c>
      <c r="H931" t="s">
        <v>648</v>
      </c>
      <c r="I931">
        <v>65.34</v>
      </c>
      <c r="J931">
        <v>66.569999999999993</v>
      </c>
      <c r="K931">
        <v>65.599999999999994</v>
      </c>
      <c r="L931">
        <v>22.64</v>
      </c>
      <c r="M931">
        <v>24.37</v>
      </c>
      <c r="N931">
        <v>24.07</v>
      </c>
    </row>
    <row r="932" spans="3:14" x14ac:dyDescent="0.15">
      <c r="C932" s="123">
        <v>42705</v>
      </c>
      <c r="D932" t="s">
        <v>5</v>
      </c>
      <c r="E932" t="s">
        <v>164</v>
      </c>
      <c r="F932" t="s">
        <v>8</v>
      </c>
      <c r="G932" t="s">
        <v>120</v>
      </c>
      <c r="H932" t="s">
        <v>59</v>
      </c>
      <c r="I932">
        <v>67.72</v>
      </c>
      <c r="J932">
        <v>69.19</v>
      </c>
      <c r="K932">
        <v>68.23</v>
      </c>
      <c r="L932">
        <v>25.08</v>
      </c>
      <c r="M932">
        <v>26.82</v>
      </c>
      <c r="N932">
        <v>26.82</v>
      </c>
    </row>
    <row r="933" spans="3:14" x14ac:dyDescent="0.15">
      <c r="C933" s="123">
        <v>42705</v>
      </c>
      <c r="D933" t="s">
        <v>5</v>
      </c>
      <c r="E933" t="s">
        <v>164</v>
      </c>
      <c r="F933" t="s">
        <v>8</v>
      </c>
      <c r="G933" t="s">
        <v>120</v>
      </c>
      <c r="H933" t="s">
        <v>60</v>
      </c>
      <c r="I933">
        <v>66.12</v>
      </c>
      <c r="J933">
        <v>67.59</v>
      </c>
      <c r="K933">
        <v>66.63</v>
      </c>
      <c r="L933">
        <v>23.48</v>
      </c>
      <c r="M933">
        <v>25.22</v>
      </c>
      <c r="N933">
        <v>25.22</v>
      </c>
    </row>
    <row r="934" spans="3:14" x14ac:dyDescent="0.15">
      <c r="C934" s="123">
        <v>42705</v>
      </c>
      <c r="D934" t="s">
        <v>5</v>
      </c>
      <c r="E934" t="s">
        <v>164</v>
      </c>
      <c r="F934" t="s">
        <v>8</v>
      </c>
      <c r="G934" t="s">
        <v>120</v>
      </c>
      <c r="H934" t="s">
        <v>648</v>
      </c>
      <c r="I934">
        <v>65.069999999999993</v>
      </c>
      <c r="J934">
        <v>66.540000000000006</v>
      </c>
      <c r="K934">
        <v>65.58</v>
      </c>
      <c r="L934">
        <v>22.43</v>
      </c>
      <c r="M934">
        <v>24.17</v>
      </c>
      <c r="N934">
        <v>24.17</v>
      </c>
    </row>
    <row r="935" spans="3:14" x14ac:dyDescent="0.15">
      <c r="C935" s="123">
        <v>42736</v>
      </c>
      <c r="D935" t="s">
        <v>5</v>
      </c>
      <c r="E935" t="s">
        <v>164</v>
      </c>
      <c r="F935" t="s">
        <v>8</v>
      </c>
      <c r="G935" t="s">
        <v>120</v>
      </c>
      <c r="H935" t="s">
        <v>59</v>
      </c>
      <c r="I935">
        <v>67.709999999999994</v>
      </c>
      <c r="J935">
        <v>69.040000000000006</v>
      </c>
      <c r="K935">
        <v>68.41</v>
      </c>
      <c r="L935">
        <v>25.34</v>
      </c>
      <c r="M935">
        <v>26.62</v>
      </c>
      <c r="N935">
        <v>27.1</v>
      </c>
    </row>
    <row r="936" spans="3:14" x14ac:dyDescent="0.15">
      <c r="C936" s="123">
        <v>42736</v>
      </c>
      <c r="D936" t="s">
        <v>5</v>
      </c>
      <c r="E936" t="s">
        <v>164</v>
      </c>
      <c r="F936" t="s">
        <v>8</v>
      </c>
      <c r="G936" t="s">
        <v>120</v>
      </c>
      <c r="H936" t="s">
        <v>60</v>
      </c>
      <c r="I936">
        <v>66.11</v>
      </c>
      <c r="J936">
        <v>67.44</v>
      </c>
      <c r="K936">
        <v>66.81</v>
      </c>
      <c r="L936">
        <v>23.74</v>
      </c>
      <c r="M936">
        <v>25.02</v>
      </c>
      <c r="N936">
        <v>25.5</v>
      </c>
    </row>
    <row r="937" spans="3:14" x14ac:dyDescent="0.15">
      <c r="C937" s="123">
        <v>42736</v>
      </c>
      <c r="D937" t="s">
        <v>5</v>
      </c>
      <c r="E937" t="s">
        <v>164</v>
      </c>
      <c r="F937" t="s">
        <v>8</v>
      </c>
      <c r="G937" t="s">
        <v>120</v>
      </c>
      <c r="H937" t="s">
        <v>648</v>
      </c>
      <c r="I937">
        <v>65.06</v>
      </c>
      <c r="J937">
        <v>66.39</v>
      </c>
      <c r="K937">
        <v>65.760000000000005</v>
      </c>
      <c r="L937">
        <v>22.69</v>
      </c>
      <c r="M937">
        <v>23.97</v>
      </c>
      <c r="N937">
        <v>24.45</v>
      </c>
    </row>
    <row r="938" spans="3:14" x14ac:dyDescent="0.15">
      <c r="C938" s="123">
        <v>42401</v>
      </c>
      <c r="D938" t="s">
        <v>5</v>
      </c>
      <c r="E938" t="s">
        <v>164</v>
      </c>
      <c r="F938" t="s">
        <v>9</v>
      </c>
      <c r="G938" t="s">
        <v>117</v>
      </c>
      <c r="H938" t="s">
        <v>59</v>
      </c>
      <c r="I938">
        <v>66.38</v>
      </c>
      <c r="J938">
        <v>67.510000000000005</v>
      </c>
      <c r="K938">
        <v>66.62</v>
      </c>
      <c r="L938">
        <v>24.73</v>
      </c>
      <c r="M938">
        <v>25.3</v>
      </c>
      <c r="N938">
        <v>25.08</v>
      </c>
    </row>
    <row r="939" spans="3:14" x14ac:dyDescent="0.15">
      <c r="C939" s="123">
        <v>42401</v>
      </c>
      <c r="D939" t="s">
        <v>5</v>
      </c>
      <c r="E939" t="s">
        <v>164</v>
      </c>
      <c r="F939" t="s">
        <v>9</v>
      </c>
      <c r="G939" t="s">
        <v>117</v>
      </c>
      <c r="H939" t="s">
        <v>60</v>
      </c>
      <c r="I939">
        <v>64.78</v>
      </c>
      <c r="J939">
        <v>65.91</v>
      </c>
      <c r="K939">
        <v>65.02</v>
      </c>
      <c r="L939">
        <v>23.13</v>
      </c>
      <c r="M939">
        <v>23.7</v>
      </c>
      <c r="N939">
        <v>23.48</v>
      </c>
    </row>
    <row r="940" spans="3:14" x14ac:dyDescent="0.15">
      <c r="C940" s="123">
        <v>42401</v>
      </c>
      <c r="D940" t="s">
        <v>5</v>
      </c>
      <c r="E940" t="s">
        <v>164</v>
      </c>
      <c r="F940" t="s">
        <v>9</v>
      </c>
      <c r="G940" t="s">
        <v>117</v>
      </c>
      <c r="H940" t="s">
        <v>648</v>
      </c>
      <c r="I940">
        <v>63.73</v>
      </c>
      <c r="J940">
        <v>64.86</v>
      </c>
      <c r="K940">
        <v>63.97</v>
      </c>
      <c r="L940">
        <v>22.08</v>
      </c>
      <c r="M940">
        <v>22.65</v>
      </c>
      <c r="N940">
        <v>22.43</v>
      </c>
    </row>
    <row r="941" spans="3:14" x14ac:dyDescent="0.15">
      <c r="C941" s="123">
        <v>42430</v>
      </c>
      <c r="D941" t="s">
        <v>5</v>
      </c>
      <c r="E941" t="s">
        <v>164</v>
      </c>
      <c r="F941" t="s">
        <v>9</v>
      </c>
      <c r="G941" t="s">
        <v>117</v>
      </c>
      <c r="H941" t="s">
        <v>59</v>
      </c>
      <c r="I941">
        <v>67.28</v>
      </c>
      <c r="J941">
        <v>67.010000000000005</v>
      </c>
      <c r="K941">
        <v>66.94</v>
      </c>
      <c r="L941">
        <v>24.7</v>
      </c>
      <c r="M941">
        <v>24.49</v>
      </c>
      <c r="N941">
        <v>25.06</v>
      </c>
    </row>
    <row r="942" spans="3:14" x14ac:dyDescent="0.15">
      <c r="C942" s="123">
        <v>42430</v>
      </c>
      <c r="D942" t="s">
        <v>5</v>
      </c>
      <c r="E942" t="s">
        <v>164</v>
      </c>
      <c r="F942" t="s">
        <v>9</v>
      </c>
      <c r="G942" t="s">
        <v>117</v>
      </c>
      <c r="H942" t="s">
        <v>60</v>
      </c>
      <c r="I942">
        <v>65.680000000000007</v>
      </c>
      <c r="J942">
        <v>65.41</v>
      </c>
      <c r="K942">
        <v>65.34</v>
      </c>
      <c r="L942">
        <v>23.1</v>
      </c>
      <c r="M942">
        <v>22.89</v>
      </c>
      <c r="N942">
        <v>23.46</v>
      </c>
    </row>
    <row r="943" spans="3:14" x14ac:dyDescent="0.15">
      <c r="C943" s="123">
        <v>42430</v>
      </c>
      <c r="D943" t="s">
        <v>5</v>
      </c>
      <c r="E943" t="s">
        <v>164</v>
      </c>
      <c r="F943" t="s">
        <v>9</v>
      </c>
      <c r="G943" t="s">
        <v>117</v>
      </c>
      <c r="H943" t="s">
        <v>648</v>
      </c>
      <c r="I943">
        <v>64.63</v>
      </c>
      <c r="J943">
        <v>64.36</v>
      </c>
      <c r="K943">
        <v>64.290000000000006</v>
      </c>
      <c r="L943">
        <v>22.05</v>
      </c>
      <c r="M943">
        <v>21.84</v>
      </c>
      <c r="N943">
        <v>22.41</v>
      </c>
    </row>
    <row r="944" spans="3:14" x14ac:dyDescent="0.15">
      <c r="C944" s="123">
        <v>42461</v>
      </c>
      <c r="D944" t="s">
        <v>5</v>
      </c>
      <c r="E944" t="s">
        <v>164</v>
      </c>
      <c r="F944" t="s">
        <v>9</v>
      </c>
      <c r="G944" t="s">
        <v>117</v>
      </c>
      <c r="H944" t="s">
        <v>59</v>
      </c>
      <c r="I944">
        <v>67.67</v>
      </c>
      <c r="J944">
        <v>66.319999999999993</v>
      </c>
      <c r="K944">
        <v>67.150000000000006</v>
      </c>
      <c r="L944">
        <v>25.11</v>
      </c>
      <c r="M944">
        <v>24.06</v>
      </c>
      <c r="N944">
        <v>25.37</v>
      </c>
    </row>
    <row r="945" spans="3:14" x14ac:dyDescent="0.15">
      <c r="C945" s="123">
        <v>42461</v>
      </c>
      <c r="D945" t="s">
        <v>5</v>
      </c>
      <c r="E945" t="s">
        <v>164</v>
      </c>
      <c r="F945" t="s">
        <v>9</v>
      </c>
      <c r="G945" t="s">
        <v>117</v>
      </c>
      <c r="H945" t="s">
        <v>60</v>
      </c>
      <c r="I945">
        <v>66.069999999999993</v>
      </c>
      <c r="J945">
        <v>64.72</v>
      </c>
      <c r="K945">
        <v>65.55</v>
      </c>
      <c r="L945">
        <v>23.51</v>
      </c>
      <c r="M945">
        <v>22.46</v>
      </c>
      <c r="N945">
        <v>23.77</v>
      </c>
    </row>
    <row r="946" spans="3:14" x14ac:dyDescent="0.15">
      <c r="C946" s="123">
        <v>42461</v>
      </c>
      <c r="D946" t="s">
        <v>5</v>
      </c>
      <c r="E946" t="s">
        <v>164</v>
      </c>
      <c r="F946" t="s">
        <v>9</v>
      </c>
      <c r="G946" t="s">
        <v>117</v>
      </c>
      <c r="H946" t="s">
        <v>648</v>
      </c>
      <c r="I946">
        <v>65.02</v>
      </c>
      <c r="J946">
        <v>63.67</v>
      </c>
      <c r="K946">
        <v>64.5</v>
      </c>
      <c r="L946">
        <v>22.46</v>
      </c>
      <c r="M946">
        <v>21.41</v>
      </c>
      <c r="N946">
        <v>22.72</v>
      </c>
    </row>
    <row r="947" spans="3:14" x14ac:dyDescent="0.15">
      <c r="C947" s="123">
        <v>42491</v>
      </c>
      <c r="D947" t="s">
        <v>5</v>
      </c>
      <c r="E947" t="s">
        <v>164</v>
      </c>
      <c r="F947" t="s">
        <v>9</v>
      </c>
      <c r="G947" t="s">
        <v>117</v>
      </c>
      <c r="H947" t="s">
        <v>59</v>
      </c>
      <c r="I947">
        <v>67.8</v>
      </c>
      <c r="J947">
        <v>65.88</v>
      </c>
      <c r="K947">
        <v>67.180000000000007</v>
      </c>
      <c r="L947">
        <v>25.21</v>
      </c>
      <c r="M947">
        <v>23.92</v>
      </c>
      <c r="N947">
        <v>25.43</v>
      </c>
    </row>
    <row r="948" spans="3:14" x14ac:dyDescent="0.15">
      <c r="C948" s="123">
        <v>42491</v>
      </c>
      <c r="D948" t="s">
        <v>5</v>
      </c>
      <c r="E948" t="s">
        <v>164</v>
      </c>
      <c r="F948" t="s">
        <v>9</v>
      </c>
      <c r="G948" t="s">
        <v>117</v>
      </c>
      <c r="H948" t="s">
        <v>60</v>
      </c>
      <c r="I948">
        <v>66.2</v>
      </c>
      <c r="J948">
        <v>64.28</v>
      </c>
      <c r="K948">
        <v>65.58</v>
      </c>
      <c r="L948">
        <v>23.61</v>
      </c>
      <c r="M948">
        <v>22.32</v>
      </c>
      <c r="N948">
        <v>23.83</v>
      </c>
    </row>
    <row r="949" spans="3:14" x14ac:dyDescent="0.15">
      <c r="C949" s="123">
        <v>42491</v>
      </c>
      <c r="D949" t="s">
        <v>5</v>
      </c>
      <c r="E949" t="s">
        <v>164</v>
      </c>
      <c r="F949" t="s">
        <v>9</v>
      </c>
      <c r="G949" t="s">
        <v>117</v>
      </c>
      <c r="H949" t="s">
        <v>648</v>
      </c>
      <c r="I949">
        <v>65.150000000000006</v>
      </c>
      <c r="J949">
        <v>63.23</v>
      </c>
      <c r="K949">
        <v>64.53</v>
      </c>
      <c r="L949">
        <v>22.56</v>
      </c>
      <c r="M949">
        <v>21.27</v>
      </c>
      <c r="N949">
        <v>22.78</v>
      </c>
    </row>
    <row r="950" spans="3:14" x14ac:dyDescent="0.15">
      <c r="C950" s="123">
        <v>42522</v>
      </c>
      <c r="D950" t="s">
        <v>5</v>
      </c>
      <c r="E950" t="s">
        <v>164</v>
      </c>
      <c r="F950" t="s">
        <v>9</v>
      </c>
      <c r="G950" t="s">
        <v>117</v>
      </c>
      <c r="H950" t="s">
        <v>59</v>
      </c>
      <c r="I950">
        <v>67.81</v>
      </c>
      <c r="J950">
        <v>65.489999999999995</v>
      </c>
      <c r="K950">
        <v>67.180000000000007</v>
      </c>
      <c r="L950">
        <v>25.19</v>
      </c>
      <c r="M950">
        <v>23.74</v>
      </c>
      <c r="N950">
        <v>25.43</v>
      </c>
    </row>
    <row r="951" spans="3:14" x14ac:dyDescent="0.15">
      <c r="C951" s="123">
        <v>42522</v>
      </c>
      <c r="D951" t="s">
        <v>5</v>
      </c>
      <c r="E951" t="s">
        <v>164</v>
      </c>
      <c r="F951" t="s">
        <v>9</v>
      </c>
      <c r="G951" t="s">
        <v>117</v>
      </c>
      <c r="H951" t="s">
        <v>60</v>
      </c>
      <c r="I951">
        <v>66.209999999999994</v>
      </c>
      <c r="J951">
        <v>63.89</v>
      </c>
      <c r="K951">
        <v>65.58</v>
      </c>
      <c r="L951">
        <v>23.59</v>
      </c>
      <c r="M951">
        <v>22.14</v>
      </c>
      <c r="N951">
        <v>23.83</v>
      </c>
    </row>
    <row r="952" spans="3:14" x14ac:dyDescent="0.15">
      <c r="C952" s="123">
        <v>42522</v>
      </c>
      <c r="D952" t="s">
        <v>5</v>
      </c>
      <c r="E952" t="s">
        <v>164</v>
      </c>
      <c r="F952" t="s">
        <v>9</v>
      </c>
      <c r="G952" t="s">
        <v>117</v>
      </c>
      <c r="H952" t="s">
        <v>648</v>
      </c>
      <c r="I952">
        <v>65.16</v>
      </c>
      <c r="J952">
        <v>62.84</v>
      </c>
      <c r="K952">
        <v>64.53</v>
      </c>
      <c r="L952">
        <v>22.54</v>
      </c>
      <c r="M952">
        <v>21.09</v>
      </c>
      <c r="N952">
        <v>22.78</v>
      </c>
    </row>
    <row r="953" spans="3:14" x14ac:dyDescent="0.15">
      <c r="C953" s="123">
        <v>42552</v>
      </c>
      <c r="D953" t="s">
        <v>5</v>
      </c>
      <c r="E953" t="s">
        <v>164</v>
      </c>
      <c r="F953" t="s">
        <v>9</v>
      </c>
      <c r="G953" t="s">
        <v>117</v>
      </c>
      <c r="H953" t="s">
        <v>59</v>
      </c>
      <c r="I953">
        <v>67.78</v>
      </c>
      <c r="J953">
        <v>65.62</v>
      </c>
      <c r="K953">
        <v>67.25</v>
      </c>
      <c r="L953">
        <v>25.17</v>
      </c>
      <c r="M953">
        <v>24.26</v>
      </c>
      <c r="N953">
        <v>25.63</v>
      </c>
    </row>
    <row r="954" spans="3:14" x14ac:dyDescent="0.15">
      <c r="C954" s="123">
        <v>42552</v>
      </c>
      <c r="D954" t="s">
        <v>5</v>
      </c>
      <c r="E954" t="s">
        <v>164</v>
      </c>
      <c r="F954" t="s">
        <v>9</v>
      </c>
      <c r="G954" t="s">
        <v>117</v>
      </c>
      <c r="H954" t="s">
        <v>60</v>
      </c>
      <c r="I954">
        <v>66.180000000000007</v>
      </c>
      <c r="J954">
        <v>64.02</v>
      </c>
      <c r="K954">
        <v>65.650000000000006</v>
      </c>
      <c r="L954">
        <v>23.57</v>
      </c>
      <c r="M954">
        <v>22.66</v>
      </c>
      <c r="N954">
        <v>24.03</v>
      </c>
    </row>
    <row r="955" spans="3:14" x14ac:dyDescent="0.15">
      <c r="C955" s="123">
        <v>42552</v>
      </c>
      <c r="D955" t="s">
        <v>5</v>
      </c>
      <c r="E955" t="s">
        <v>164</v>
      </c>
      <c r="F955" t="s">
        <v>9</v>
      </c>
      <c r="G955" t="s">
        <v>117</v>
      </c>
      <c r="H955" t="s">
        <v>648</v>
      </c>
      <c r="I955">
        <v>65.13</v>
      </c>
      <c r="J955">
        <v>62.97</v>
      </c>
      <c r="K955">
        <v>64.599999999999994</v>
      </c>
      <c r="L955">
        <v>22.52</v>
      </c>
      <c r="M955">
        <v>21.61</v>
      </c>
      <c r="N955">
        <v>22.98</v>
      </c>
    </row>
    <row r="956" spans="3:14" x14ac:dyDescent="0.15">
      <c r="C956" s="123">
        <v>42583</v>
      </c>
      <c r="D956" t="s">
        <v>5</v>
      </c>
      <c r="E956" t="s">
        <v>164</v>
      </c>
      <c r="F956" t="s">
        <v>9</v>
      </c>
      <c r="G956" t="s">
        <v>117</v>
      </c>
      <c r="H956" t="s">
        <v>59</v>
      </c>
      <c r="I956">
        <v>67.69</v>
      </c>
      <c r="J956">
        <v>66.47</v>
      </c>
      <c r="K956">
        <v>67.459999999999994</v>
      </c>
      <c r="L956">
        <v>25.21</v>
      </c>
      <c r="M956">
        <v>24.96</v>
      </c>
      <c r="N956">
        <v>26</v>
      </c>
    </row>
    <row r="957" spans="3:14" x14ac:dyDescent="0.15">
      <c r="C957" s="123">
        <v>42583</v>
      </c>
      <c r="D957" t="s">
        <v>5</v>
      </c>
      <c r="E957" t="s">
        <v>164</v>
      </c>
      <c r="F957" t="s">
        <v>9</v>
      </c>
      <c r="G957" t="s">
        <v>117</v>
      </c>
      <c r="H957" t="s">
        <v>60</v>
      </c>
      <c r="I957">
        <v>66.09</v>
      </c>
      <c r="J957">
        <v>64.87</v>
      </c>
      <c r="K957">
        <v>65.86</v>
      </c>
      <c r="L957">
        <v>23.61</v>
      </c>
      <c r="M957">
        <v>23.36</v>
      </c>
      <c r="N957">
        <v>24.4</v>
      </c>
    </row>
    <row r="958" spans="3:14" x14ac:dyDescent="0.15">
      <c r="C958" s="123">
        <v>42583</v>
      </c>
      <c r="D958" t="s">
        <v>5</v>
      </c>
      <c r="E958" t="s">
        <v>164</v>
      </c>
      <c r="F958" t="s">
        <v>9</v>
      </c>
      <c r="G958" t="s">
        <v>117</v>
      </c>
      <c r="H958" t="s">
        <v>648</v>
      </c>
      <c r="I958">
        <v>65.040000000000006</v>
      </c>
      <c r="J958">
        <v>63.82</v>
      </c>
      <c r="K958">
        <v>64.81</v>
      </c>
      <c r="L958">
        <v>22.56</v>
      </c>
      <c r="M958">
        <v>22.31</v>
      </c>
      <c r="N958">
        <v>23.35</v>
      </c>
    </row>
    <row r="959" spans="3:14" x14ac:dyDescent="0.15">
      <c r="C959" s="123">
        <v>42614</v>
      </c>
      <c r="D959" t="s">
        <v>5</v>
      </c>
      <c r="E959" t="s">
        <v>164</v>
      </c>
      <c r="F959" t="s">
        <v>9</v>
      </c>
      <c r="G959" t="s">
        <v>117</v>
      </c>
      <c r="H959" t="s">
        <v>59</v>
      </c>
      <c r="I959">
        <v>67.430000000000007</v>
      </c>
      <c r="J959">
        <v>67.19</v>
      </c>
      <c r="K959">
        <v>67.569999999999993</v>
      </c>
      <c r="L959">
        <v>24.96</v>
      </c>
      <c r="M959">
        <v>25.55</v>
      </c>
      <c r="N959">
        <v>26.3</v>
      </c>
    </row>
    <row r="960" spans="3:14" x14ac:dyDescent="0.15">
      <c r="C960" s="123">
        <v>42614</v>
      </c>
      <c r="D960" t="s">
        <v>5</v>
      </c>
      <c r="E960" t="s">
        <v>164</v>
      </c>
      <c r="F960" t="s">
        <v>9</v>
      </c>
      <c r="G960" t="s">
        <v>117</v>
      </c>
      <c r="H960" t="s">
        <v>60</v>
      </c>
      <c r="I960">
        <v>65.83</v>
      </c>
      <c r="J960">
        <v>65.59</v>
      </c>
      <c r="K960">
        <v>65.97</v>
      </c>
      <c r="L960">
        <v>23.36</v>
      </c>
      <c r="M960">
        <v>23.95</v>
      </c>
      <c r="N960">
        <v>24.7</v>
      </c>
    </row>
    <row r="961" spans="3:14" x14ac:dyDescent="0.15">
      <c r="C961" s="123">
        <v>42614</v>
      </c>
      <c r="D961" t="s">
        <v>5</v>
      </c>
      <c r="E961" t="s">
        <v>164</v>
      </c>
      <c r="F961" t="s">
        <v>9</v>
      </c>
      <c r="G961" t="s">
        <v>117</v>
      </c>
      <c r="H961" t="s">
        <v>648</v>
      </c>
      <c r="I961">
        <v>64.78</v>
      </c>
      <c r="J961">
        <v>64.540000000000006</v>
      </c>
      <c r="K961">
        <v>64.92</v>
      </c>
      <c r="L961">
        <v>22.31</v>
      </c>
      <c r="M961">
        <v>22.9</v>
      </c>
      <c r="N961">
        <v>23.65</v>
      </c>
    </row>
    <row r="962" spans="3:14" x14ac:dyDescent="0.15">
      <c r="C962" s="123">
        <v>42644</v>
      </c>
      <c r="D962" t="s">
        <v>5</v>
      </c>
      <c r="E962" t="s">
        <v>164</v>
      </c>
      <c r="F962" t="s">
        <v>9</v>
      </c>
      <c r="G962" t="s">
        <v>117</v>
      </c>
      <c r="H962" t="s">
        <v>59</v>
      </c>
      <c r="I962">
        <v>67.459999999999994</v>
      </c>
      <c r="J962">
        <v>68.180000000000007</v>
      </c>
      <c r="K962">
        <v>67.61</v>
      </c>
      <c r="L962">
        <v>25.19</v>
      </c>
      <c r="M962">
        <v>26.55</v>
      </c>
      <c r="N962">
        <v>26.54</v>
      </c>
    </row>
    <row r="963" spans="3:14" x14ac:dyDescent="0.15">
      <c r="C963" s="123">
        <v>42644</v>
      </c>
      <c r="D963" t="s">
        <v>5</v>
      </c>
      <c r="E963" t="s">
        <v>164</v>
      </c>
      <c r="F963" t="s">
        <v>9</v>
      </c>
      <c r="G963" t="s">
        <v>117</v>
      </c>
      <c r="H963" t="s">
        <v>60</v>
      </c>
      <c r="I963">
        <v>65.86</v>
      </c>
      <c r="J963">
        <v>66.58</v>
      </c>
      <c r="K963">
        <v>66.010000000000005</v>
      </c>
      <c r="L963">
        <v>23.59</v>
      </c>
      <c r="M963">
        <v>24.95</v>
      </c>
      <c r="N963">
        <v>24.94</v>
      </c>
    </row>
    <row r="964" spans="3:14" x14ac:dyDescent="0.15">
      <c r="C964" s="123">
        <v>42644</v>
      </c>
      <c r="D964" t="s">
        <v>5</v>
      </c>
      <c r="E964" t="s">
        <v>164</v>
      </c>
      <c r="F964" t="s">
        <v>9</v>
      </c>
      <c r="G964" t="s">
        <v>117</v>
      </c>
      <c r="H964" t="s">
        <v>648</v>
      </c>
      <c r="I964">
        <v>64.81</v>
      </c>
      <c r="J964">
        <v>65.53</v>
      </c>
      <c r="K964">
        <v>64.959999999999994</v>
      </c>
      <c r="L964">
        <v>22.54</v>
      </c>
      <c r="M964">
        <v>23.9</v>
      </c>
      <c r="N964">
        <v>23.89</v>
      </c>
    </row>
    <row r="965" spans="3:14" x14ac:dyDescent="0.15">
      <c r="C965" s="123">
        <v>42675</v>
      </c>
      <c r="D965" t="s">
        <v>5</v>
      </c>
      <c r="E965" t="s">
        <v>164</v>
      </c>
      <c r="F965" t="s">
        <v>9</v>
      </c>
      <c r="G965" t="s">
        <v>117</v>
      </c>
      <c r="H965" t="s">
        <v>59</v>
      </c>
      <c r="I965">
        <v>67.45</v>
      </c>
      <c r="J965">
        <v>68.680000000000007</v>
      </c>
      <c r="K965">
        <v>67.66</v>
      </c>
      <c r="L965">
        <v>25.39</v>
      </c>
      <c r="M965">
        <v>26.93</v>
      </c>
      <c r="N965">
        <v>26.73</v>
      </c>
    </row>
    <row r="966" spans="3:14" x14ac:dyDescent="0.15">
      <c r="C966" s="123">
        <v>42675</v>
      </c>
      <c r="D966" t="s">
        <v>5</v>
      </c>
      <c r="E966" t="s">
        <v>164</v>
      </c>
      <c r="F966" t="s">
        <v>9</v>
      </c>
      <c r="G966" t="s">
        <v>117</v>
      </c>
      <c r="H966" t="s">
        <v>60</v>
      </c>
      <c r="I966">
        <v>65.849999999999994</v>
      </c>
      <c r="J966">
        <v>67.08</v>
      </c>
      <c r="K966">
        <v>66.06</v>
      </c>
      <c r="L966">
        <v>23.79</v>
      </c>
      <c r="M966">
        <v>25.33</v>
      </c>
      <c r="N966">
        <v>25.13</v>
      </c>
    </row>
    <row r="967" spans="3:14" x14ac:dyDescent="0.15">
      <c r="C967" s="123">
        <v>42675</v>
      </c>
      <c r="D967" t="s">
        <v>5</v>
      </c>
      <c r="E967" t="s">
        <v>164</v>
      </c>
      <c r="F967" t="s">
        <v>9</v>
      </c>
      <c r="G967" t="s">
        <v>117</v>
      </c>
      <c r="H967" t="s">
        <v>648</v>
      </c>
      <c r="I967">
        <v>64.8</v>
      </c>
      <c r="J967">
        <v>66.03</v>
      </c>
      <c r="K967">
        <v>65.010000000000005</v>
      </c>
      <c r="L967">
        <v>22.74</v>
      </c>
      <c r="M967">
        <v>24.28</v>
      </c>
      <c r="N967">
        <v>24.08</v>
      </c>
    </row>
    <row r="968" spans="3:14" x14ac:dyDescent="0.15">
      <c r="C968" s="123">
        <v>42705</v>
      </c>
      <c r="D968" t="s">
        <v>5</v>
      </c>
      <c r="E968" t="s">
        <v>164</v>
      </c>
      <c r="F968" t="s">
        <v>9</v>
      </c>
      <c r="G968" t="s">
        <v>117</v>
      </c>
      <c r="H968" t="s">
        <v>59</v>
      </c>
      <c r="I968">
        <v>67.2</v>
      </c>
      <c r="J968">
        <v>68.94</v>
      </c>
      <c r="K968">
        <v>67.650000000000006</v>
      </c>
      <c r="L968">
        <v>25.19</v>
      </c>
      <c r="M968">
        <v>27.01</v>
      </c>
      <c r="N968">
        <v>26.85</v>
      </c>
    </row>
    <row r="969" spans="3:14" x14ac:dyDescent="0.15">
      <c r="C969" s="123">
        <v>42705</v>
      </c>
      <c r="D969" t="s">
        <v>5</v>
      </c>
      <c r="E969" t="s">
        <v>164</v>
      </c>
      <c r="F969" t="s">
        <v>9</v>
      </c>
      <c r="G969" t="s">
        <v>117</v>
      </c>
      <c r="H969" t="s">
        <v>60</v>
      </c>
      <c r="I969">
        <v>65.599999999999994</v>
      </c>
      <c r="J969">
        <v>67.34</v>
      </c>
      <c r="K969">
        <v>66.05</v>
      </c>
      <c r="L969">
        <v>23.59</v>
      </c>
      <c r="M969">
        <v>25.41</v>
      </c>
      <c r="N969">
        <v>25.25</v>
      </c>
    </row>
    <row r="970" spans="3:14" x14ac:dyDescent="0.15">
      <c r="C970" s="123">
        <v>42705</v>
      </c>
      <c r="D970" t="s">
        <v>5</v>
      </c>
      <c r="E970" t="s">
        <v>164</v>
      </c>
      <c r="F970" t="s">
        <v>9</v>
      </c>
      <c r="G970" t="s">
        <v>117</v>
      </c>
      <c r="H970" t="s">
        <v>648</v>
      </c>
      <c r="I970">
        <v>64.55</v>
      </c>
      <c r="J970">
        <v>66.290000000000006</v>
      </c>
      <c r="K970">
        <v>65</v>
      </c>
      <c r="L970">
        <v>22.54</v>
      </c>
      <c r="M970">
        <v>24.36</v>
      </c>
      <c r="N970">
        <v>24.2</v>
      </c>
    </row>
    <row r="971" spans="3:14" x14ac:dyDescent="0.15">
      <c r="C971" s="123">
        <v>42736</v>
      </c>
      <c r="D971" t="s">
        <v>5</v>
      </c>
      <c r="E971" t="s">
        <v>164</v>
      </c>
      <c r="F971" t="s">
        <v>9</v>
      </c>
      <c r="G971" t="s">
        <v>117</v>
      </c>
      <c r="H971" t="s">
        <v>59</v>
      </c>
      <c r="I971">
        <v>67.180000000000007</v>
      </c>
      <c r="J971">
        <v>68.900000000000006</v>
      </c>
      <c r="K971">
        <v>67.84</v>
      </c>
      <c r="L971">
        <v>25.46</v>
      </c>
      <c r="M971">
        <v>26.94</v>
      </c>
      <c r="N971">
        <v>27.14</v>
      </c>
    </row>
    <row r="972" spans="3:14" x14ac:dyDescent="0.15">
      <c r="C972" s="123">
        <v>42736</v>
      </c>
      <c r="D972" t="s">
        <v>5</v>
      </c>
      <c r="E972" t="s">
        <v>164</v>
      </c>
      <c r="F972" t="s">
        <v>9</v>
      </c>
      <c r="G972" t="s">
        <v>117</v>
      </c>
      <c r="H972" t="s">
        <v>60</v>
      </c>
      <c r="I972">
        <v>65.58</v>
      </c>
      <c r="J972">
        <v>67.3</v>
      </c>
      <c r="K972">
        <v>66.239999999999995</v>
      </c>
      <c r="L972">
        <v>23.86</v>
      </c>
      <c r="M972">
        <v>25.34</v>
      </c>
      <c r="N972">
        <v>25.54</v>
      </c>
    </row>
    <row r="973" spans="3:14" x14ac:dyDescent="0.15">
      <c r="C973" s="123">
        <v>42736</v>
      </c>
      <c r="D973" t="s">
        <v>5</v>
      </c>
      <c r="E973" t="s">
        <v>164</v>
      </c>
      <c r="F973" t="s">
        <v>9</v>
      </c>
      <c r="G973" t="s">
        <v>117</v>
      </c>
      <c r="H973" t="s">
        <v>648</v>
      </c>
      <c r="I973">
        <v>64.53</v>
      </c>
      <c r="J973">
        <v>66.25</v>
      </c>
      <c r="K973">
        <v>65.19</v>
      </c>
      <c r="L973">
        <v>22.81</v>
      </c>
      <c r="M973">
        <v>24.29</v>
      </c>
      <c r="N973">
        <v>24.49</v>
      </c>
    </row>
    <row r="974" spans="3:14" x14ac:dyDescent="0.15">
      <c r="C974" s="123">
        <v>42401</v>
      </c>
      <c r="D974" t="s">
        <v>5</v>
      </c>
      <c r="E974" t="s">
        <v>11</v>
      </c>
      <c r="F974" t="s">
        <v>6</v>
      </c>
      <c r="G974" t="s">
        <v>1106</v>
      </c>
      <c r="H974" t="s">
        <v>59</v>
      </c>
      <c r="I974">
        <v>69.61</v>
      </c>
      <c r="J974">
        <v>70.319999999999993</v>
      </c>
      <c r="K974">
        <v>69.94</v>
      </c>
      <c r="L974">
        <v>26.98</v>
      </c>
      <c r="M974">
        <v>27.46</v>
      </c>
      <c r="N974">
        <v>27.69</v>
      </c>
    </row>
    <row r="975" spans="3:14" x14ac:dyDescent="0.15">
      <c r="C975" s="123">
        <v>42401</v>
      </c>
      <c r="D975" t="s">
        <v>5</v>
      </c>
      <c r="E975" t="s">
        <v>11</v>
      </c>
      <c r="F975" t="s">
        <v>6</v>
      </c>
      <c r="G975" t="s">
        <v>1106</v>
      </c>
      <c r="H975" t="s">
        <v>60</v>
      </c>
      <c r="I975">
        <v>68.010000000000005</v>
      </c>
      <c r="J975">
        <v>68.72</v>
      </c>
      <c r="K975">
        <v>68.34</v>
      </c>
      <c r="L975">
        <v>25.38</v>
      </c>
      <c r="M975">
        <v>25.86</v>
      </c>
      <c r="N975">
        <v>26.09</v>
      </c>
    </row>
    <row r="976" spans="3:14" x14ac:dyDescent="0.15">
      <c r="C976" s="123">
        <v>42401</v>
      </c>
      <c r="D976" t="s">
        <v>5</v>
      </c>
      <c r="E976" t="s">
        <v>11</v>
      </c>
      <c r="F976" t="s">
        <v>6</v>
      </c>
      <c r="G976" t="s">
        <v>1106</v>
      </c>
      <c r="H976" t="s">
        <v>648</v>
      </c>
      <c r="I976">
        <v>66.959999999999994</v>
      </c>
      <c r="J976">
        <v>67.67</v>
      </c>
      <c r="K976">
        <v>67.290000000000006</v>
      </c>
      <c r="L976">
        <v>24.33</v>
      </c>
      <c r="M976">
        <v>24.81</v>
      </c>
      <c r="N976">
        <v>25.04</v>
      </c>
    </row>
    <row r="977" spans="3:14" x14ac:dyDescent="0.15">
      <c r="C977" s="123">
        <v>42430</v>
      </c>
      <c r="D977" t="s">
        <v>5</v>
      </c>
      <c r="E977" t="s">
        <v>11</v>
      </c>
      <c r="F977" t="s">
        <v>6</v>
      </c>
      <c r="G977" t="s">
        <v>1106</v>
      </c>
      <c r="H977" t="s">
        <v>59</v>
      </c>
      <c r="I977">
        <v>70.3</v>
      </c>
      <c r="J977">
        <v>69.59</v>
      </c>
      <c r="K977">
        <v>70.209999999999994</v>
      </c>
      <c r="L977">
        <v>26.95</v>
      </c>
      <c r="M977">
        <v>26.55</v>
      </c>
      <c r="N977">
        <v>27.67</v>
      </c>
    </row>
    <row r="978" spans="3:14" x14ac:dyDescent="0.15">
      <c r="C978" s="123">
        <v>42430</v>
      </c>
      <c r="D978" t="s">
        <v>5</v>
      </c>
      <c r="E978" t="s">
        <v>11</v>
      </c>
      <c r="F978" t="s">
        <v>6</v>
      </c>
      <c r="G978" t="s">
        <v>1106</v>
      </c>
      <c r="H978" t="s">
        <v>60</v>
      </c>
      <c r="I978">
        <v>68.7</v>
      </c>
      <c r="J978">
        <v>67.989999999999995</v>
      </c>
      <c r="K978">
        <v>68.61</v>
      </c>
      <c r="L978">
        <v>25.35</v>
      </c>
      <c r="M978">
        <v>24.95</v>
      </c>
      <c r="N978">
        <v>26.07</v>
      </c>
    </row>
    <row r="979" spans="3:14" x14ac:dyDescent="0.15">
      <c r="C979" s="123">
        <v>42430</v>
      </c>
      <c r="D979" t="s">
        <v>5</v>
      </c>
      <c r="E979" t="s">
        <v>11</v>
      </c>
      <c r="F979" t="s">
        <v>6</v>
      </c>
      <c r="G979" t="s">
        <v>1106</v>
      </c>
      <c r="H979" t="s">
        <v>648</v>
      </c>
      <c r="I979">
        <v>67.650000000000006</v>
      </c>
      <c r="J979">
        <v>66.94</v>
      </c>
      <c r="K979">
        <v>67.56</v>
      </c>
      <c r="L979">
        <v>24.3</v>
      </c>
      <c r="M979">
        <v>23.9</v>
      </c>
      <c r="N979">
        <v>25.02</v>
      </c>
    </row>
    <row r="980" spans="3:14" x14ac:dyDescent="0.15">
      <c r="C980" s="123">
        <v>42461</v>
      </c>
      <c r="D980" t="s">
        <v>5</v>
      </c>
      <c r="E980" t="s">
        <v>11</v>
      </c>
      <c r="F980" t="s">
        <v>6</v>
      </c>
      <c r="G980" t="s">
        <v>1106</v>
      </c>
      <c r="H980" t="s">
        <v>59</v>
      </c>
      <c r="I980">
        <v>70.760000000000005</v>
      </c>
      <c r="J980">
        <v>69.099999999999994</v>
      </c>
      <c r="K980">
        <v>70.430000000000007</v>
      </c>
      <c r="L980">
        <v>27.49</v>
      </c>
      <c r="M980">
        <v>26.35</v>
      </c>
      <c r="N980">
        <v>28</v>
      </c>
    </row>
    <row r="981" spans="3:14" x14ac:dyDescent="0.15">
      <c r="C981" s="123">
        <v>42461</v>
      </c>
      <c r="D981" t="s">
        <v>5</v>
      </c>
      <c r="E981" t="s">
        <v>11</v>
      </c>
      <c r="F981" t="s">
        <v>6</v>
      </c>
      <c r="G981" t="s">
        <v>1106</v>
      </c>
      <c r="H981" t="s">
        <v>60</v>
      </c>
      <c r="I981">
        <v>69.16</v>
      </c>
      <c r="J981">
        <v>67.5</v>
      </c>
      <c r="K981">
        <v>68.83</v>
      </c>
      <c r="L981">
        <v>25.89</v>
      </c>
      <c r="M981">
        <v>24.75</v>
      </c>
      <c r="N981">
        <v>26.4</v>
      </c>
    </row>
    <row r="982" spans="3:14" x14ac:dyDescent="0.15">
      <c r="C982" s="123">
        <v>42461</v>
      </c>
      <c r="D982" t="s">
        <v>5</v>
      </c>
      <c r="E982" t="s">
        <v>11</v>
      </c>
      <c r="F982" t="s">
        <v>6</v>
      </c>
      <c r="G982" t="s">
        <v>1106</v>
      </c>
      <c r="H982" t="s">
        <v>648</v>
      </c>
      <c r="I982">
        <v>68.11</v>
      </c>
      <c r="J982">
        <v>66.45</v>
      </c>
      <c r="K982">
        <v>67.78</v>
      </c>
      <c r="L982">
        <v>24.84</v>
      </c>
      <c r="M982">
        <v>23.7</v>
      </c>
      <c r="N982">
        <v>25.35</v>
      </c>
    </row>
    <row r="983" spans="3:14" x14ac:dyDescent="0.15">
      <c r="C983" s="123">
        <v>42491</v>
      </c>
      <c r="D983" t="s">
        <v>5</v>
      </c>
      <c r="E983" t="s">
        <v>11</v>
      </c>
      <c r="F983" t="s">
        <v>6</v>
      </c>
      <c r="G983" t="s">
        <v>1106</v>
      </c>
      <c r="H983" t="s">
        <v>59</v>
      </c>
      <c r="I983">
        <v>70.83</v>
      </c>
      <c r="J983">
        <v>68.83</v>
      </c>
      <c r="K983">
        <v>70.430000000000007</v>
      </c>
      <c r="L983">
        <v>27.47</v>
      </c>
      <c r="M983">
        <v>26.22</v>
      </c>
      <c r="N983">
        <v>28.03</v>
      </c>
    </row>
    <row r="984" spans="3:14" x14ac:dyDescent="0.15">
      <c r="C984" s="123">
        <v>42491</v>
      </c>
      <c r="D984" t="s">
        <v>5</v>
      </c>
      <c r="E984" t="s">
        <v>11</v>
      </c>
      <c r="F984" t="s">
        <v>6</v>
      </c>
      <c r="G984" t="s">
        <v>1106</v>
      </c>
      <c r="H984" t="s">
        <v>60</v>
      </c>
      <c r="I984">
        <v>69.23</v>
      </c>
      <c r="J984">
        <v>67.23</v>
      </c>
      <c r="K984">
        <v>68.83</v>
      </c>
      <c r="L984">
        <v>25.87</v>
      </c>
      <c r="M984">
        <v>24.62</v>
      </c>
      <c r="N984">
        <v>26.43</v>
      </c>
    </row>
    <row r="985" spans="3:14" x14ac:dyDescent="0.15">
      <c r="C985" s="123">
        <v>42491</v>
      </c>
      <c r="D985" t="s">
        <v>5</v>
      </c>
      <c r="E985" t="s">
        <v>11</v>
      </c>
      <c r="F985" t="s">
        <v>6</v>
      </c>
      <c r="G985" t="s">
        <v>1106</v>
      </c>
      <c r="H985" t="s">
        <v>648</v>
      </c>
      <c r="I985">
        <v>68.180000000000007</v>
      </c>
      <c r="J985">
        <v>66.180000000000007</v>
      </c>
      <c r="K985">
        <v>67.78</v>
      </c>
      <c r="L985">
        <v>24.82</v>
      </c>
      <c r="M985">
        <v>23.57</v>
      </c>
      <c r="N985">
        <v>25.38</v>
      </c>
    </row>
    <row r="986" spans="3:14" x14ac:dyDescent="0.15">
      <c r="C986" s="123">
        <v>42522</v>
      </c>
      <c r="D986" t="s">
        <v>5</v>
      </c>
      <c r="E986" t="s">
        <v>11</v>
      </c>
      <c r="F986" t="s">
        <v>6</v>
      </c>
      <c r="G986" t="s">
        <v>1106</v>
      </c>
      <c r="H986" t="s">
        <v>59</v>
      </c>
      <c r="I986">
        <v>70.790000000000006</v>
      </c>
      <c r="J986">
        <v>68.7</v>
      </c>
      <c r="K986">
        <v>70.42</v>
      </c>
      <c r="L986">
        <v>27.39</v>
      </c>
      <c r="M986">
        <v>26.21</v>
      </c>
      <c r="N986">
        <v>28.04</v>
      </c>
    </row>
    <row r="987" spans="3:14" x14ac:dyDescent="0.15">
      <c r="C987" s="123">
        <v>42522</v>
      </c>
      <c r="D987" t="s">
        <v>5</v>
      </c>
      <c r="E987" t="s">
        <v>11</v>
      </c>
      <c r="F987" t="s">
        <v>6</v>
      </c>
      <c r="G987" t="s">
        <v>1106</v>
      </c>
      <c r="H987" t="s">
        <v>60</v>
      </c>
      <c r="I987">
        <v>69.19</v>
      </c>
      <c r="J987">
        <v>67.099999999999994</v>
      </c>
      <c r="K987">
        <v>68.819999999999993</v>
      </c>
      <c r="L987">
        <v>25.79</v>
      </c>
      <c r="M987">
        <v>24.61</v>
      </c>
      <c r="N987">
        <v>26.44</v>
      </c>
    </row>
    <row r="988" spans="3:14" x14ac:dyDescent="0.15">
      <c r="C988" s="123">
        <v>42522</v>
      </c>
      <c r="D988" t="s">
        <v>5</v>
      </c>
      <c r="E988" t="s">
        <v>11</v>
      </c>
      <c r="F988" t="s">
        <v>6</v>
      </c>
      <c r="G988" t="s">
        <v>1106</v>
      </c>
      <c r="H988" t="s">
        <v>648</v>
      </c>
      <c r="I988">
        <v>68.14</v>
      </c>
      <c r="J988">
        <v>66.05</v>
      </c>
      <c r="K988">
        <v>67.77</v>
      </c>
      <c r="L988">
        <v>24.74</v>
      </c>
      <c r="M988">
        <v>23.56</v>
      </c>
      <c r="N988">
        <v>25.39</v>
      </c>
    </row>
    <row r="989" spans="3:14" x14ac:dyDescent="0.15">
      <c r="C989" s="123">
        <v>42552</v>
      </c>
      <c r="D989" t="s">
        <v>5</v>
      </c>
      <c r="E989" t="s">
        <v>11</v>
      </c>
      <c r="F989" t="s">
        <v>6</v>
      </c>
      <c r="G989" t="s">
        <v>1106</v>
      </c>
      <c r="H989" t="s">
        <v>59</v>
      </c>
      <c r="I989">
        <v>70.87</v>
      </c>
      <c r="J989">
        <v>69.09</v>
      </c>
      <c r="K989">
        <v>70.73</v>
      </c>
      <c r="L989">
        <v>27.6</v>
      </c>
      <c r="M989">
        <v>26.97</v>
      </c>
      <c r="N989">
        <v>28.51</v>
      </c>
    </row>
    <row r="990" spans="3:14" x14ac:dyDescent="0.15">
      <c r="C990" s="123">
        <v>42552</v>
      </c>
      <c r="D990" t="s">
        <v>5</v>
      </c>
      <c r="E990" t="s">
        <v>11</v>
      </c>
      <c r="F990" t="s">
        <v>6</v>
      </c>
      <c r="G990" t="s">
        <v>1106</v>
      </c>
      <c r="H990" t="s">
        <v>60</v>
      </c>
      <c r="I990">
        <v>69.27</v>
      </c>
      <c r="J990">
        <v>67.489999999999995</v>
      </c>
      <c r="K990">
        <v>69.13</v>
      </c>
      <c r="L990">
        <v>26</v>
      </c>
      <c r="M990">
        <v>25.37</v>
      </c>
      <c r="N990">
        <v>26.91</v>
      </c>
    </row>
    <row r="991" spans="3:14" x14ac:dyDescent="0.15">
      <c r="C991" s="123">
        <v>42552</v>
      </c>
      <c r="D991" t="s">
        <v>5</v>
      </c>
      <c r="E991" t="s">
        <v>11</v>
      </c>
      <c r="F991" t="s">
        <v>6</v>
      </c>
      <c r="G991" t="s">
        <v>1106</v>
      </c>
      <c r="H991" t="s">
        <v>648</v>
      </c>
      <c r="I991">
        <v>68.22</v>
      </c>
      <c r="J991">
        <v>66.44</v>
      </c>
      <c r="K991">
        <v>68.08</v>
      </c>
      <c r="L991">
        <v>24.95</v>
      </c>
      <c r="M991">
        <v>24.32</v>
      </c>
      <c r="N991">
        <v>25.86</v>
      </c>
    </row>
    <row r="992" spans="3:14" x14ac:dyDescent="0.15">
      <c r="C992" s="123">
        <v>42583</v>
      </c>
      <c r="D992" t="s">
        <v>5</v>
      </c>
      <c r="E992" t="s">
        <v>11</v>
      </c>
      <c r="F992" t="s">
        <v>6</v>
      </c>
      <c r="G992" t="s">
        <v>1106</v>
      </c>
      <c r="H992" t="s">
        <v>59</v>
      </c>
      <c r="I992">
        <v>70.8</v>
      </c>
      <c r="J992">
        <v>70.13</v>
      </c>
      <c r="K992">
        <v>71.12</v>
      </c>
      <c r="L992">
        <v>27.76</v>
      </c>
      <c r="M992">
        <v>27.97</v>
      </c>
      <c r="N992">
        <v>29.05</v>
      </c>
    </row>
    <row r="993" spans="3:14" x14ac:dyDescent="0.15">
      <c r="C993" s="123">
        <v>42583</v>
      </c>
      <c r="D993" t="s">
        <v>5</v>
      </c>
      <c r="E993" t="s">
        <v>11</v>
      </c>
      <c r="F993" t="s">
        <v>6</v>
      </c>
      <c r="G993" t="s">
        <v>1106</v>
      </c>
      <c r="H993" t="s">
        <v>60</v>
      </c>
      <c r="I993">
        <v>69.2</v>
      </c>
      <c r="J993">
        <v>68.53</v>
      </c>
      <c r="K993">
        <v>69.52</v>
      </c>
      <c r="L993">
        <v>26.16</v>
      </c>
      <c r="M993">
        <v>26.37</v>
      </c>
      <c r="N993">
        <v>27.45</v>
      </c>
    </row>
    <row r="994" spans="3:14" x14ac:dyDescent="0.15">
      <c r="C994" s="123">
        <v>42583</v>
      </c>
      <c r="D994" t="s">
        <v>5</v>
      </c>
      <c r="E994" t="s">
        <v>11</v>
      </c>
      <c r="F994" t="s">
        <v>6</v>
      </c>
      <c r="G994" t="s">
        <v>1106</v>
      </c>
      <c r="H994" t="s">
        <v>648</v>
      </c>
      <c r="I994">
        <v>68.150000000000006</v>
      </c>
      <c r="J994">
        <v>67.48</v>
      </c>
      <c r="K994">
        <v>68.47</v>
      </c>
      <c r="L994">
        <v>25.11</v>
      </c>
      <c r="M994">
        <v>25.32</v>
      </c>
      <c r="N994">
        <v>26.4</v>
      </c>
    </row>
    <row r="995" spans="3:14" x14ac:dyDescent="0.15">
      <c r="C995" s="123">
        <v>42614</v>
      </c>
      <c r="D995" t="s">
        <v>5</v>
      </c>
      <c r="E995" t="s">
        <v>11</v>
      </c>
      <c r="F995" t="s">
        <v>6</v>
      </c>
      <c r="G995" t="s">
        <v>1106</v>
      </c>
      <c r="H995" t="s">
        <v>59</v>
      </c>
      <c r="I995">
        <v>70.760000000000005</v>
      </c>
      <c r="J995">
        <v>71.23</v>
      </c>
      <c r="K995">
        <v>71.489999999999995</v>
      </c>
      <c r="L995">
        <v>27.98</v>
      </c>
      <c r="M995">
        <v>29.05</v>
      </c>
      <c r="N995">
        <v>29.65</v>
      </c>
    </row>
    <row r="996" spans="3:14" x14ac:dyDescent="0.15">
      <c r="C996" s="123">
        <v>42614</v>
      </c>
      <c r="D996" t="s">
        <v>5</v>
      </c>
      <c r="E996" t="s">
        <v>11</v>
      </c>
      <c r="F996" t="s">
        <v>6</v>
      </c>
      <c r="G996" t="s">
        <v>1106</v>
      </c>
      <c r="H996" t="s">
        <v>60</v>
      </c>
      <c r="I996">
        <v>69.16</v>
      </c>
      <c r="J996">
        <v>69.63</v>
      </c>
      <c r="K996">
        <v>69.89</v>
      </c>
      <c r="L996">
        <v>26.38</v>
      </c>
      <c r="M996">
        <v>27.45</v>
      </c>
      <c r="N996">
        <v>28.05</v>
      </c>
    </row>
    <row r="997" spans="3:14" x14ac:dyDescent="0.15">
      <c r="C997" s="123">
        <v>42614</v>
      </c>
      <c r="D997" t="s">
        <v>5</v>
      </c>
      <c r="E997" t="s">
        <v>11</v>
      </c>
      <c r="F997" t="s">
        <v>6</v>
      </c>
      <c r="G997" t="s">
        <v>1106</v>
      </c>
      <c r="H997" t="s">
        <v>648</v>
      </c>
      <c r="I997">
        <v>68.11</v>
      </c>
      <c r="J997">
        <v>68.58</v>
      </c>
      <c r="K997">
        <v>68.84</v>
      </c>
      <c r="L997">
        <v>25.33</v>
      </c>
      <c r="M997">
        <v>26.4</v>
      </c>
      <c r="N997">
        <v>27</v>
      </c>
    </row>
    <row r="998" spans="3:14" x14ac:dyDescent="0.15">
      <c r="C998" s="123">
        <v>42644</v>
      </c>
      <c r="D998" t="s">
        <v>5</v>
      </c>
      <c r="E998" t="s">
        <v>11</v>
      </c>
      <c r="F998" t="s">
        <v>6</v>
      </c>
      <c r="G998" t="s">
        <v>1106</v>
      </c>
      <c r="H998" t="s">
        <v>59</v>
      </c>
      <c r="I998">
        <v>70.849999999999994</v>
      </c>
      <c r="J998">
        <v>72.11</v>
      </c>
      <c r="K998">
        <v>71.83</v>
      </c>
      <c r="L998">
        <v>28.33</v>
      </c>
      <c r="M998">
        <v>29.95</v>
      </c>
      <c r="N998">
        <v>30.22</v>
      </c>
    </row>
    <row r="999" spans="3:14" x14ac:dyDescent="0.15">
      <c r="C999" s="123">
        <v>42644</v>
      </c>
      <c r="D999" t="s">
        <v>5</v>
      </c>
      <c r="E999" t="s">
        <v>11</v>
      </c>
      <c r="F999" t="s">
        <v>6</v>
      </c>
      <c r="G999" t="s">
        <v>1106</v>
      </c>
      <c r="H999" t="s">
        <v>60</v>
      </c>
      <c r="I999">
        <v>69.25</v>
      </c>
      <c r="J999">
        <v>70.510000000000005</v>
      </c>
      <c r="K999">
        <v>70.23</v>
      </c>
      <c r="L999">
        <v>26.73</v>
      </c>
      <c r="M999">
        <v>28.35</v>
      </c>
      <c r="N999">
        <v>28.62</v>
      </c>
    </row>
    <row r="1000" spans="3:14" x14ac:dyDescent="0.15">
      <c r="C1000" s="123">
        <v>42644</v>
      </c>
      <c r="D1000" t="s">
        <v>5</v>
      </c>
      <c r="E1000" t="s">
        <v>11</v>
      </c>
      <c r="F1000" t="s">
        <v>6</v>
      </c>
      <c r="G1000" t="s">
        <v>1106</v>
      </c>
      <c r="H1000" t="s">
        <v>648</v>
      </c>
      <c r="I1000">
        <v>68.2</v>
      </c>
      <c r="J1000">
        <v>69.459999999999994</v>
      </c>
      <c r="K1000">
        <v>69.180000000000007</v>
      </c>
      <c r="L1000">
        <v>25.68</v>
      </c>
      <c r="M1000">
        <v>27.3</v>
      </c>
      <c r="N1000">
        <v>27.57</v>
      </c>
    </row>
    <row r="1001" spans="3:14" x14ac:dyDescent="0.15">
      <c r="C1001" s="123">
        <v>42675</v>
      </c>
      <c r="D1001" t="s">
        <v>5</v>
      </c>
      <c r="E1001" t="s">
        <v>11</v>
      </c>
      <c r="F1001" t="s">
        <v>6</v>
      </c>
      <c r="G1001" t="s">
        <v>1106</v>
      </c>
      <c r="H1001" t="s">
        <v>59</v>
      </c>
      <c r="I1001">
        <v>70.78</v>
      </c>
      <c r="J1001">
        <v>72.349999999999994</v>
      </c>
      <c r="K1001">
        <v>72.13</v>
      </c>
      <c r="L1001">
        <v>28.41</v>
      </c>
      <c r="M1001">
        <v>30.2</v>
      </c>
      <c r="N1001">
        <v>30.68</v>
      </c>
    </row>
    <row r="1002" spans="3:14" x14ac:dyDescent="0.15">
      <c r="C1002" s="123">
        <v>42675</v>
      </c>
      <c r="D1002" t="s">
        <v>5</v>
      </c>
      <c r="E1002" t="s">
        <v>11</v>
      </c>
      <c r="F1002" t="s">
        <v>6</v>
      </c>
      <c r="G1002" t="s">
        <v>1106</v>
      </c>
      <c r="H1002" t="s">
        <v>60</v>
      </c>
      <c r="I1002">
        <v>69.180000000000007</v>
      </c>
      <c r="J1002">
        <v>70.75</v>
      </c>
      <c r="K1002">
        <v>70.53</v>
      </c>
      <c r="L1002">
        <v>26.81</v>
      </c>
      <c r="M1002">
        <v>28.6</v>
      </c>
      <c r="N1002">
        <v>29.08</v>
      </c>
    </row>
    <row r="1003" spans="3:14" x14ac:dyDescent="0.15">
      <c r="C1003" s="123">
        <v>42675</v>
      </c>
      <c r="D1003" t="s">
        <v>5</v>
      </c>
      <c r="E1003" t="s">
        <v>11</v>
      </c>
      <c r="F1003" t="s">
        <v>6</v>
      </c>
      <c r="G1003" t="s">
        <v>1106</v>
      </c>
      <c r="H1003" t="s">
        <v>648</v>
      </c>
      <c r="I1003">
        <v>68.13</v>
      </c>
      <c r="J1003">
        <v>69.7</v>
      </c>
      <c r="K1003">
        <v>69.48</v>
      </c>
      <c r="L1003">
        <v>25.76</v>
      </c>
      <c r="M1003">
        <v>27.55</v>
      </c>
      <c r="N1003">
        <v>28.03</v>
      </c>
    </row>
    <row r="1004" spans="3:14" x14ac:dyDescent="0.15">
      <c r="C1004" s="123">
        <v>42705</v>
      </c>
      <c r="D1004" t="s">
        <v>5</v>
      </c>
      <c r="E1004" t="s">
        <v>11</v>
      </c>
      <c r="F1004" t="s">
        <v>6</v>
      </c>
      <c r="G1004" t="s">
        <v>1106</v>
      </c>
      <c r="H1004" t="s">
        <v>59</v>
      </c>
      <c r="I1004">
        <v>70.569999999999993</v>
      </c>
      <c r="J1004">
        <v>72.31</v>
      </c>
      <c r="K1004">
        <v>72.39</v>
      </c>
      <c r="L1004">
        <v>28.32</v>
      </c>
      <c r="M1004">
        <v>30.13</v>
      </c>
      <c r="N1004">
        <v>31.11</v>
      </c>
    </row>
    <row r="1005" spans="3:14" x14ac:dyDescent="0.15">
      <c r="C1005" s="123">
        <v>42705</v>
      </c>
      <c r="D1005" t="s">
        <v>5</v>
      </c>
      <c r="E1005" t="s">
        <v>11</v>
      </c>
      <c r="F1005" t="s">
        <v>6</v>
      </c>
      <c r="G1005" t="s">
        <v>1106</v>
      </c>
      <c r="H1005" t="s">
        <v>60</v>
      </c>
      <c r="I1005">
        <v>68.97</v>
      </c>
      <c r="J1005">
        <v>70.709999999999994</v>
      </c>
      <c r="K1005">
        <v>70.790000000000006</v>
      </c>
      <c r="L1005">
        <v>26.72</v>
      </c>
      <c r="M1005">
        <v>28.53</v>
      </c>
      <c r="N1005">
        <v>29.51</v>
      </c>
    </row>
    <row r="1006" spans="3:14" x14ac:dyDescent="0.15">
      <c r="C1006" s="123">
        <v>42705</v>
      </c>
      <c r="D1006" t="s">
        <v>5</v>
      </c>
      <c r="E1006" t="s">
        <v>11</v>
      </c>
      <c r="F1006" t="s">
        <v>6</v>
      </c>
      <c r="G1006" t="s">
        <v>1106</v>
      </c>
      <c r="H1006" t="s">
        <v>648</v>
      </c>
      <c r="I1006">
        <v>67.92</v>
      </c>
      <c r="J1006">
        <v>69.66</v>
      </c>
      <c r="K1006">
        <v>69.739999999999995</v>
      </c>
      <c r="L1006">
        <v>25.67</v>
      </c>
      <c r="M1006">
        <v>27.48</v>
      </c>
      <c r="N1006">
        <v>28.46</v>
      </c>
    </row>
    <row r="1007" spans="3:14" x14ac:dyDescent="0.15">
      <c r="C1007" s="123">
        <v>42736</v>
      </c>
      <c r="D1007" t="s">
        <v>5</v>
      </c>
      <c r="E1007" t="s">
        <v>11</v>
      </c>
      <c r="F1007" t="s">
        <v>6</v>
      </c>
      <c r="G1007" t="s">
        <v>1106</v>
      </c>
      <c r="H1007" t="s">
        <v>59</v>
      </c>
      <c r="I1007">
        <v>70.48</v>
      </c>
      <c r="J1007">
        <v>72.239999999999995</v>
      </c>
      <c r="K1007">
        <v>72.69</v>
      </c>
      <c r="L1007">
        <v>28.45</v>
      </c>
      <c r="M1007">
        <v>30.05</v>
      </c>
      <c r="N1007">
        <v>31.5</v>
      </c>
    </row>
    <row r="1008" spans="3:14" x14ac:dyDescent="0.15">
      <c r="C1008" s="123">
        <v>42736</v>
      </c>
      <c r="D1008" t="s">
        <v>5</v>
      </c>
      <c r="E1008" t="s">
        <v>11</v>
      </c>
      <c r="F1008" t="s">
        <v>6</v>
      </c>
      <c r="G1008" t="s">
        <v>1106</v>
      </c>
      <c r="H1008" t="s">
        <v>60</v>
      </c>
      <c r="I1008">
        <v>68.88</v>
      </c>
      <c r="J1008">
        <v>70.64</v>
      </c>
      <c r="K1008">
        <v>71.09</v>
      </c>
      <c r="L1008">
        <v>26.85</v>
      </c>
      <c r="M1008">
        <v>28.45</v>
      </c>
      <c r="N1008">
        <v>29.9</v>
      </c>
    </row>
    <row r="1009" spans="3:14" x14ac:dyDescent="0.15">
      <c r="C1009" s="123">
        <v>42736</v>
      </c>
      <c r="D1009" t="s">
        <v>5</v>
      </c>
      <c r="E1009" t="s">
        <v>11</v>
      </c>
      <c r="F1009" t="s">
        <v>6</v>
      </c>
      <c r="G1009" t="s">
        <v>1106</v>
      </c>
      <c r="H1009" t="s">
        <v>648</v>
      </c>
      <c r="I1009">
        <v>67.83</v>
      </c>
      <c r="J1009">
        <v>69.59</v>
      </c>
      <c r="K1009">
        <v>70.040000000000006</v>
      </c>
      <c r="L1009">
        <v>25.8</v>
      </c>
      <c r="M1009">
        <v>27.4</v>
      </c>
      <c r="N1009">
        <v>28.85</v>
      </c>
    </row>
    <row r="1010" spans="3:14" x14ac:dyDescent="0.15">
      <c r="C1010" s="123">
        <v>42401</v>
      </c>
      <c r="D1010" t="s">
        <v>5</v>
      </c>
      <c r="E1010" t="s">
        <v>10</v>
      </c>
      <c r="F1010" t="s">
        <v>7</v>
      </c>
      <c r="G1010" t="s">
        <v>123</v>
      </c>
      <c r="H1010" t="s">
        <v>59</v>
      </c>
      <c r="I1010">
        <v>69.16</v>
      </c>
      <c r="J1010">
        <v>69.61</v>
      </c>
      <c r="K1010">
        <v>69.08</v>
      </c>
      <c r="L1010">
        <v>29.35</v>
      </c>
      <c r="M1010">
        <v>29.45</v>
      </c>
      <c r="N1010">
        <v>29.42</v>
      </c>
    </row>
    <row r="1011" spans="3:14" x14ac:dyDescent="0.15">
      <c r="C1011" s="123">
        <v>42401</v>
      </c>
      <c r="D1011" t="s">
        <v>5</v>
      </c>
      <c r="E1011" t="s">
        <v>10</v>
      </c>
      <c r="F1011" t="s">
        <v>7</v>
      </c>
      <c r="G1011" t="s">
        <v>123</v>
      </c>
      <c r="H1011" t="s">
        <v>60</v>
      </c>
      <c r="I1011">
        <v>67.56</v>
      </c>
      <c r="J1011">
        <v>68.010000000000005</v>
      </c>
      <c r="K1011">
        <v>67.48</v>
      </c>
      <c r="L1011">
        <v>27.75</v>
      </c>
      <c r="M1011">
        <v>27.85</v>
      </c>
      <c r="N1011">
        <v>27.82</v>
      </c>
    </row>
    <row r="1012" spans="3:14" x14ac:dyDescent="0.15">
      <c r="C1012" s="123">
        <v>42401</v>
      </c>
      <c r="D1012" t="s">
        <v>5</v>
      </c>
      <c r="E1012" t="s">
        <v>10</v>
      </c>
      <c r="F1012" t="s">
        <v>7</v>
      </c>
      <c r="G1012" t="s">
        <v>123</v>
      </c>
      <c r="H1012" t="s">
        <v>648</v>
      </c>
      <c r="I1012">
        <v>66.510000000000005</v>
      </c>
      <c r="J1012">
        <v>66.959999999999994</v>
      </c>
      <c r="K1012">
        <v>66.430000000000007</v>
      </c>
      <c r="L1012">
        <v>26.7</v>
      </c>
      <c r="M1012">
        <v>26.8</v>
      </c>
      <c r="N1012">
        <v>26.77</v>
      </c>
    </row>
    <row r="1013" spans="3:14" x14ac:dyDescent="0.15">
      <c r="C1013" s="123">
        <v>42430</v>
      </c>
      <c r="D1013" t="s">
        <v>5</v>
      </c>
      <c r="E1013" t="s">
        <v>10</v>
      </c>
      <c r="F1013" t="s">
        <v>7</v>
      </c>
      <c r="G1013" t="s">
        <v>123</v>
      </c>
      <c r="H1013" t="s">
        <v>59</v>
      </c>
      <c r="I1013">
        <v>69.59</v>
      </c>
      <c r="J1013">
        <v>69.349999999999994</v>
      </c>
      <c r="K1013">
        <v>69.239999999999995</v>
      </c>
      <c r="L1013">
        <v>29.37</v>
      </c>
      <c r="M1013">
        <v>29.35</v>
      </c>
      <c r="N1013">
        <v>29.44</v>
      </c>
    </row>
    <row r="1014" spans="3:14" x14ac:dyDescent="0.15">
      <c r="C1014" s="123">
        <v>42430</v>
      </c>
      <c r="D1014" t="s">
        <v>5</v>
      </c>
      <c r="E1014" t="s">
        <v>10</v>
      </c>
      <c r="F1014" t="s">
        <v>7</v>
      </c>
      <c r="G1014" t="s">
        <v>123</v>
      </c>
      <c r="H1014" t="s">
        <v>60</v>
      </c>
      <c r="I1014">
        <v>67.989999999999995</v>
      </c>
      <c r="J1014">
        <v>67.75</v>
      </c>
      <c r="K1014">
        <v>67.64</v>
      </c>
      <c r="L1014">
        <v>27.77</v>
      </c>
      <c r="M1014">
        <v>27.75</v>
      </c>
      <c r="N1014">
        <v>27.84</v>
      </c>
    </row>
    <row r="1015" spans="3:14" x14ac:dyDescent="0.15">
      <c r="C1015" s="123">
        <v>42430</v>
      </c>
      <c r="D1015" t="s">
        <v>5</v>
      </c>
      <c r="E1015" t="s">
        <v>10</v>
      </c>
      <c r="F1015" t="s">
        <v>7</v>
      </c>
      <c r="G1015" t="s">
        <v>123</v>
      </c>
      <c r="H1015" t="s">
        <v>648</v>
      </c>
      <c r="I1015">
        <v>66.94</v>
      </c>
      <c r="J1015">
        <v>66.7</v>
      </c>
      <c r="K1015">
        <v>66.59</v>
      </c>
      <c r="L1015">
        <v>26.72</v>
      </c>
      <c r="M1015">
        <v>26.7</v>
      </c>
      <c r="N1015">
        <v>26.79</v>
      </c>
    </row>
    <row r="1016" spans="3:14" x14ac:dyDescent="0.15">
      <c r="C1016" s="123">
        <v>42461</v>
      </c>
      <c r="D1016" t="s">
        <v>5</v>
      </c>
      <c r="E1016" t="s">
        <v>10</v>
      </c>
      <c r="F1016" t="s">
        <v>7</v>
      </c>
      <c r="G1016" t="s">
        <v>123</v>
      </c>
      <c r="H1016" t="s">
        <v>59</v>
      </c>
      <c r="I1016">
        <v>69.78</v>
      </c>
      <c r="J1016">
        <v>69.040000000000006</v>
      </c>
      <c r="K1016">
        <v>69.290000000000006</v>
      </c>
      <c r="L1016">
        <v>29.38</v>
      </c>
      <c r="M1016">
        <v>29.31</v>
      </c>
      <c r="N1016">
        <v>29.46</v>
      </c>
    </row>
    <row r="1017" spans="3:14" x14ac:dyDescent="0.15">
      <c r="C1017" s="123">
        <v>42461</v>
      </c>
      <c r="D1017" t="s">
        <v>5</v>
      </c>
      <c r="E1017" t="s">
        <v>10</v>
      </c>
      <c r="F1017" t="s">
        <v>7</v>
      </c>
      <c r="G1017" t="s">
        <v>123</v>
      </c>
      <c r="H1017" t="s">
        <v>60</v>
      </c>
      <c r="I1017">
        <v>68.180000000000007</v>
      </c>
      <c r="J1017">
        <v>67.44</v>
      </c>
      <c r="K1017">
        <v>67.69</v>
      </c>
      <c r="L1017">
        <v>27.78</v>
      </c>
      <c r="M1017">
        <v>27.71</v>
      </c>
      <c r="N1017">
        <v>27.86</v>
      </c>
    </row>
    <row r="1018" spans="3:14" x14ac:dyDescent="0.15">
      <c r="C1018" s="123">
        <v>42461</v>
      </c>
      <c r="D1018" t="s">
        <v>5</v>
      </c>
      <c r="E1018" t="s">
        <v>10</v>
      </c>
      <c r="F1018" t="s">
        <v>7</v>
      </c>
      <c r="G1018" t="s">
        <v>123</v>
      </c>
      <c r="H1018" t="s">
        <v>648</v>
      </c>
      <c r="I1018">
        <v>67.13</v>
      </c>
      <c r="J1018">
        <v>66.39</v>
      </c>
      <c r="K1018">
        <v>66.64</v>
      </c>
      <c r="L1018">
        <v>26.73</v>
      </c>
      <c r="M1018">
        <v>26.66</v>
      </c>
      <c r="N1018">
        <v>26.81</v>
      </c>
    </row>
    <row r="1019" spans="3:14" x14ac:dyDescent="0.15">
      <c r="C1019" s="123">
        <v>42491</v>
      </c>
      <c r="D1019" t="s">
        <v>5</v>
      </c>
      <c r="E1019" t="s">
        <v>10</v>
      </c>
      <c r="F1019" t="s">
        <v>7</v>
      </c>
      <c r="G1019" t="s">
        <v>123</v>
      </c>
      <c r="H1019" t="s">
        <v>59</v>
      </c>
      <c r="I1019">
        <v>69.87</v>
      </c>
      <c r="J1019">
        <v>68.83</v>
      </c>
      <c r="K1019">
        <v>69.28</v>
      </c>
      <c r="L1019">
        <v>29.4</v>
      </c>
      <c r="M1019">
        <v>29.27</v>
      </c>
      <c r="N1019">
        <v>29.46</v>
      </c>
    </row>
    <row r="1020" spans="3:14" x14ac:dyDescent="0.15">
      <c r="C1020" s="123">
        <v>42491</v>
      </c>
      <c r="D1020" t="s">
        <v>5</v>
      </c>
      <c r="E1020" t="s">
        <v>10</v>
      </c>
      <c r="F1020" t="s">
        <v>7</v>
      </c>
      <c r="G1020" t="s">
        <v>123</v>
      </c>
      <c r="H1020" t="s">
        <v>60</v>
      </c>
      <c r="I1020">
        <v>68.27</v>
      </c>
      <c r="J1020">
        <v>67.23</v>
      </c>
      <c r="K1020">
        <v>67.680000000000007</v>
      </c>
      <c r="L1020">
        <v>27.8</v>
      </c>
      <c r="M1020">
        <v>27.67</v>
      </c>
      <c r="N1020">
        <v>27.86</v>
      </c>
    </row>
    <row r="1021" spans="3:14" x14ac:dyDescent="0.15">
      <c r="C1021" s="123">
        <v>42491</v>
      </c>
      <c r="D1021" t="s">
        <v>5</v>
      </c>
      <c r="E1021" t="s">
        <v>10</v>
      </c>
      <c r="F1021" t="s">
        <v>7</v>
      </c>
      <c r="G1021" t="s">
        <v>123</v>
      </c>
      <c r="H1021" t="s">
        <v>648</v>
      </c>
      <c r="I1021">
        <v>67.22</v>
      </c>
      <c r="J1021">
        <v>66.180000000000007</v>
      </c>
      <c r="K1021">
        <v>66.63</v>
      </c>
      <c r="L1021">
        <v>26.75</v>
      </c>
      <c r="M1021">
        <v>26.62</v>
      </c>
      <c r="N1021">
        <v>26.81</v>
      </c>
    </row>
    <row r="1022" spans="3:14" x14ac:dyDescent="0.15">
      <c r="C1022" s="123">
        <v>42522</v>
      </c>
      <c r="D1022" t="s">
        <v>5</v>
      </c>
      <c r="E1022" t="s">
        <v>10</v>
      </c>
      <c r="F1022" t="s">
        <v>7</v>
      </c>
      <c r="G1022" t="s">
        <v>123</v>
      </c>
      <c r="H1022" t="s">
        <v>59</v>
      </c>
      <c r="I1022">
        <v>69.86</v>
      </c>
      <c r="J1022">
        <v>68.650000000000006</v>
      </c>
      <c r="K1022">
        <v>69.260000000000005</v>
      </c>
      <c r="L1022">
        <v>29.38</v>
      </c>
      <c r="M1022">
        <v>29.23</v>
      </c>
      <c r="N1022">
        <v>29.45</v>
      </c>
    </row>
    <row r="1023" spans="3:14" x14ac:dyDescent="0.15">
      <c r="C1023" s="123">
        <v>42522</v>
      </c>
      <c r="D1023" t="s">
        <v>5</v>
      </c>
      <c r="E1023" t="s">
        <v>10</v>
      </c>
      <c r="F1023" t="s">
        <v>7</v>
      </c>
      <c r="G1023" t="s">
        <v>123</v>
      </c>
      <c r="H1023" t="s">
        <v>60</v>
      </c>
      <c r="I1023">
        <v>68.260000000000005</v>
      </c>
      <c r="J1023">
        <v>67.05</v>
      </c>
      <c r="K1023">
        <v>67.66</v>
      </c>
      <c r="L1023">
        <v>27.78</v>
      </c>
      <c r="M1023">
        <v>27.63</v>
      </c>
      <c r="N1023">
        <v>27.85</v>
      </c>
    </row>
    <row r="1024" spans="3:14" x14ac:dyDescent="0.15">
      <c r="C1024" s="123">
        <v>42522</v>
      </c>
      <c r="D1024" t="s">
        <v>5</v>
      </c>
      <c r="E1024" t="s">
        <v>10</v>
      </c>
      <c r="F1024" t="s">
        <v>7</v>
      </c>
      <c r="G1024" t="s">
        <v>123</v>
      </c>
      <c r="H1024" t="s">
        <v>648</v>
      </c>
      <c r="I1024">
        <v>67.209999999999994</v>
      </c>
      <c r="J1024">
        <v>66</v>
      </c>
      <c r="K1024">
        <v>66.61</v>
      </c>
      <c r="L1024">
        <v>26.73</v>
      </c>
      <c r="M1024">
        <v>26.58</v>
      </c>
      <c r="N1024">
        <v>26.8</v>
      </c>
    </row>
    <row r="1025" spans="3:14" x14ac:dyDescent="0.15">
      <c r="C1025" s="123">
        <v>42552</v>
      </c>
      <c r="D1025" t="s">
        <v>5</v>
      </c>
      <c r="E1025" t="s">
        <v>10</v>
      </c>
      <c r="F1025" t="s">
        <v>7</v>
      </c>
      <c r="G1025" t="s">
        <v>123</v>
      </c>
      <c r="H1025" t="s">
        <v>59</v>
      </c>
      <c r="I1025">
        <v>69.86</v>
      </c>
      <c r="J1025">
        <v>68.61</v>
      </c>
      <c r="K1025">
        <v>69.28</v>
      </c>
      <c r="L1025">
        <v>29.41</v>
      </c>
      <c r="M1025">
        <v>29.3</v>
      </c>
      <c r="N1025">
        <v>29.55</v>
      </c>
    </row>
    <row r="1026" spans="3:14" x14ac:dyDescent="0.15">
      <c r="C1026" s="123">
        <v>42552</v>
      </c>
      <c r="D1026" t="s">
        <v>5</v>
      </c>
      <c r="E1026" t="s">
        <v>10</v>
      </c>
      <c r="F1026" t="s">
        <v>7</v>
      </c>
      <c r="G1026" t="s">
        <v>123</v>
      </c>
      <c r="H1026" t="s">
        <v>60</v>
      </c>
      <c r="I1026">
        <v>68.260000000000005</v>
      </c>
      <c r="J1026">
        <v>67.010000000000005</v>
      </c>
      <c r="K1026">
        <v>67.680000000000007</v>
      </c>
      <c r="L1026">
        <v>27.81</v>
      </c>
      <c r="M1026">
        <v>27.7</v>
      </c>
      <c r="N1026">
        <v>27.95</v>
      </c>
    </row>
    <row r="1027" spans="3:14" x14ac:dyDescent="0.15">
      <c r="C1027" s="123">
        <v>42552</v>
      </c>
      <c r="D1027" t="s">
        <v>5</v>
      </c>
      <c r="E1027" t="s">
        <v>10</v>
      </c>
      <c r="F1027" t="s">
        <v>7</v>
      </c>
      <c r="G1027" t="s">
        <v>123</v>
      </c>
      <c r="H1027" t="s">
        <v>648</v>
      </c>
      <c r="I1027">
        <v>67.209999999999994</v>
      </c>
      <c r="J1027">
        <v>65.959999999999994</v>
      </c>
      <c r="K1027">
        <v>66.63</v>
      </c>
      <c r="L1027">
        <v>26.76</v>
      </c>
      <c r="M1027">
        <v>26.65</v>
      </c>
      <c r="N1027">
        <v>26.9</v>
      </c>
    </row>
    <row r="1028" spans="3:14" x14ac:dyDescent="0.15">
      <c r="C1028" s="123">
        <v>42583</v>
      </c>
      <c r="D1028" t="s">
        <v>5</v>
      </c>
      <c r="E1028" t="s">
        <v>10</v>
      </c>
      <c r="F1028" t="s">
        <v>7</v>
      </c>
      <c r="G1028" t="s">
        <v>123</v>
      </c>
      <c r="H1028" t="s">
        <v>59</v>
      </c>
      <c r="I1028">
        <v>69.760000000000005</v>
      </c>
      <c r="J1028">
        <v>68.989999999999995</v>
      </c>
      <c r="K1028">
        <v>69.33</v>
      </c>
      <c r="L1028">
        <v>29.44</v>
      </c>
      <c r="M1028">
        <v>29.4</v>
      </c>
      <c r="N1028">
        <v>29.64</v>
      </c>
    </row>
    <row r="1029" spans="3:14" x14ac:dyDescent="0.15">
      <c r="C1029" s="123">
        <v>42583</v>
      </c>
      <c r="D1029" t="s">
        <v>5</v>
      </c>
      <c r="E1029" t="s">
        <v>10</v>
      </c>
      <c r="F1029" t="s">
        <v>7</v>
      </c>
      <c r="G1029" t="s">
        <v>123</v>
      </c>
      <c r="H1029" t="s">
        <v>60</v>
      </c>
      <c r="I1029">
        <v>68.16</v>
      </c>
      <c r="J1029">
        <v>67.39</v>
      </c>
      <c r="K1029">
        <v>67.73</v>
      </c>
      <c r="L1029">
        <v>27.84</v>
      </c>
      <c r="M1029">
        <v>27.8</v>
      </c>
      <c r="N1029">
        <v>28.04</v>
      </c>
    </row>
    <row r="1030" spans="3:14" x14ac:dyDescent="0.15">
      <c r="C1030" s="123">
        <v>42583</v>
      </c>
      <c r="D1030" t="s">
        <v>5</v>
      </c>
      <c r="E1030" t="s">
        <v>10</v>
      </c>
      <c r="F1030" t="s">
        <v>7</v>
      </c>
      <c r="G1030" t="s">
        <v>123</v>
      </c>
      <c r="H1030" t="s">
        <v>648</v>
      </c>
      <c r="I1030">
        <v>67.11</v>
      </c>
      <c r="J1030">
        <v>66.34</v>
      </c>
      <c r="K1030">
        <v>66.680000000000007</v>
      </c>
      <c r="L1030">
        <v>26.79</v>
      </c>
      <c r="M1030">
        <v>26.75</v>
      </c>
      <c r="N1030">
        <v>26.99</v>
      </c>
    </row>
    <row r="1031" spans="3:14" x14ac:dyDescent="0.15">
      <c r="C1031" s="123">
        <v>42614</v>
      </c>
      <c r="D1031" t="s">
        <v>5</v>
      </c>
      <c r="E1031" t="s">
        <v>10</v>
      </c>
      <c r="F1031" t="s">
        <v>7</v>
      </c>
      <c r="G1031" t="s">
        <v>123</v>
      </c>
      <c r="H1031" t="s">
        <v>59</v>
      </c>
      <c r="I1031">
        <v>69.62</v>
      </c>
      <c r="J1031">
        <v>69.37</v>
      </c>
      <c r="K1031">
        <v>69.319999999999993</v>
      </c>
      <c r="L1031">
        <v>29.45</v>
      </c>
      <c r="M1031">
        <v>29.53</v>
      </c>
      <c r="N1031">
        <v>29.73</v>
      </c>
    </row>
    <row r="1032" spans="3:14" x14ac:dyDescent="0.15">
      <c r="C1032" s="123">
        <v>42614</v>
      </c>
      <c r="D1032" t="s">
        <v>5</v>
      </c>
      <c r="E1032" t="s">
        <v>10</v>
      </c>
      <c r="F1032" t="s">
        <v>7</v>
      </c>
      <c r="G1032" t="s">
        <v>123</v>
      </c>
      <c r="H1032" t="s">
        <v>60</v>
      </c>
      <c r="I1032">
        <v>68.02</v>
      </c>
      <c r="J1032">
        <v>67.77</v>
      </c>
      <c r="K1032">
        <v>67.72</v>
      </c>
      <c r="L1032">
        <v>27.85</v>
      </c>
      <c r="M1032">
        <v>27.93</v>
      </c>
      <c r="N1032">
        <v>28.13</v>
      </c>
    </row>
    <row r="1033" spans="3:14" x14ac:dyDescent="0.15">
      <c r="C1033" s="123">
        <v>42614</v>
      </c>
      <c r="D1033" t="s">
        <v>5</v>
      </c>
      <c r="E1033" t="s">
        <v>10</v>
      </c>
      <c r="F1033" t="s">
        <v>7</v>
      </c>
      <c r="G1033" t="s">
        <v>123</v>
      </c>
      <c r="H1033" t="s">
        <v>648</v>
      </c>
      <c r="I1033">
        <v>66.97</v>
      </c>
      <c r="J1033">
        <v>66.72</v>
      </c>
      <c r="K1033">
        <v>66.67</v>
      </c>
      <c r="L1033">
        <v>26.8</v>
      </c>
      <c r="M1033">
        <v>26.88</v>
      </c>
      <c r="N1033">
        <v>27.08</v>
      </c>
    </row>
    <row r="1034" spans="3:14" x14ac:dyDescent="0.15">
      <c r="C1034" s="123">
        <v>42644</v>
      </c>
      <c r="D1034" t="s">
        <v>5</v>
      </c>
      <c r="E1034" t="s">
        <v>10</v>
      </c>
      <c r="F1034" t="s">
        <v>7</v>
      </c>
      <c r="G1034" t="s">
        <v>123</v>
      </c>
      <c r="H1034" t="s">
        <v>59</v>
      </c>
      <c r="I1034">
        <v>69.55</v>
      </c>
      <c r="J1034">
        <v>69.709999999999994</v>
      </c>
      <c r="K1034">
        <v>69.31</v>
      </c>
      <c r="L1034">
        <v>29.47</v>
      </c>
      <c r="M1034">
        <v>29.62</v>
      </c>
      <c r="N1034">
        <v>29.83</v>
      </c>
    </row>
    <row r="1035" spans="3:14" x14ac:dyDescent="0.15">
      <c r="C1035" s="123">
        <v>42644</v>
      </c>
      <c r="D1035" t="s">
        <v>5</v>
      </c>
      <c r="E1035" t="s">
        <v>10</v>
      </c>
      <c r="F1035" t="s">
        <v>7</v>
      </c>
      <c r="G1035" t="s">
        <v>123</v>
      </c>
      <c r="H1035" t="s">
        <v>60</v>
      </c>
      <c r="I1035">
        <v>67.95</v>
      </c>
      <c r="J1035">
        <v>68.11</v>
      </c>
      <c r="K1035">
        <v>67.709999999999994</v>
      </c>
      <c r="L1035">
        <v>27.87</v>
      </c>
      <c r="M1035">
        <v>28.02</v>
      </c>
      <c r="N1035">
        <v>28.23</v>
      </c>
    </row>
    <row r="1036" spans="3:14" x14ac:dyDescent="0.15">
      <c r="C1036" s="123">
        <v>42644</v>
      </c>
      <c r="D1036" t="s">
        <v>5</v>
      </c>
      <c r="E1036" t="s">
        <v>10</v>
      </c>
      <c r="F1036" t="s">
        <v>7</v>
      </c>
      <c r="G1036" t="s">
        <v>123</v>
      </c>
      <c r="H1036" t="s">
        <v>648</v>
      </c>
      <c r="I1036">
        <v>66.900000000000006</v>
      </c>
      <c r="J1036">
        <v>67.06</v>
      </c>
      <c r="K1036">
        <v>66.66</v>
      </c>
      <c r="L1036">
        <v>26.82</v>
      </c>
      <c r="M1036">
        <v>26.97</v>
      </c>
      <c r="N1036">
        <v>27.18</v>
      </c>
    </row>
    <row r="1037" spans="3:14" x14ac:dyDescent="0.15">
      <c r="C1037" s="123">
        <v>42675</v>
      </c>
      <c r="D1037" t="s">
        <v>5</v>
      </c>
      <c r="E1037" t="s">
        <v>10</v>
      </c>
      <c r="F1037" t="s">
        <v>7</v>
      </c>
      <c r="G1037" t="s">
        <v>123</v>
      </c>
      <c r="H1037" t="s">
        <v>59</v>
      </c>
      <c r="I1037">
        <v>69.430000000000007</v>
      </c>
      <c r="J1037">
        <v>69.84</v>
      </c>
      <c r="K1037">
        <v>69.28</v>
      </c>
      <c r="L1037">
        <v>29.46</v>
      </c>
      <c r="M1037">
        <v>29.66</v>
      </c>
      <c r="N1037">
        <v>29.9</v>
      </c>
    </row>
    <row r="1038" spans="3:14" x14ac:dyDescent="0.15">
      <c r="C1038" s="123">
        <v>42675</v>
      </c>
      <c r="D1038" t="s">
        <v>5</v>
      </c>
      <c r="E1038" t="s">
        <v>10</v>
      </c>
      <c r="F1038" t="s">
        <v>7</v>
      </c>
      <c r="G1038" t="s">
        <v>123</v>
      </c>
      <c r="H1038" t="s">
        <v>60</v>
      </c>
      <c r="I1038">
        <v>67.83</v>
      </c>
      <c r="J1038">
        <v>68.239999999999995</v>
      </c>
      <c r="K1038">
        <v>67.680000000000007</v>
      </c>
      <c r="L1038">
        <v>27.86</v>
      </c>
      <c r="M1038">
        <v>28.06</v>
      </c>
      <c r="N1038">
        <v>28.3</v>
      </c>
    </row>
    <row r="1039" spans="3:14" x14ac:dyDescent="0.15">
      <c r="C1039" s="123">
        <v>42675</v>
      </c>
      <c r="D1039" t="s">
        <v>5</v>
      </c>
      <c r="E1039" t="s">
        <v>10</v>
      </c>
      <c r="F1039" t="s">
        <v>7</v>
      </c>
      <c r="G1039" t="s">
        <v>123</v>
      </c>
      <c r="H1039" t="s">
        <v>648</v>
      </c>
      <c r="I1039">
        <v>66.78</v>
      </c>
      <c r="J1039">
        <v>67.19</v>
      </c>
      <c r="K1039">
        <v>66.63</v>
      </c>
      <c r="L1039">
        <v>26.81</v>
      </c>
      <c r="M1039">
        <v>27.01</v>
      </c>
      <c r="N1039">
        <v>27.25</v>
      </c>
    </row>
    <row r="1040" spans="3:14" x14ac:dyDescent="0.15">
      <c r="C1040" s="123">
        <v>42705</v>
      </c>
      <c r="D1040" t="s">
        <v>5</v>
      </c>
      <c r="E1040" t="s">
        <v>10</v>
      </c>
      <c r="F1040" t="s">
        <v>7</v>
      </c>
      <c r="G1040" t="s">
        <v>123</v>
      </c>
      <c r="H1040" t="s">
        <v>59</v>
      </c>
      <c r="I1040">
        <v>69.28</v>
      </c>
      <c r="J1040">
        <v>69.89</v>
      </c>
      <c r="K1040">
        <v>69.260000000000005</v>
      </c>
      <c r="L1040">
        <v>29.46</v>
      </c>
      <c r="M1040">
        <v>29.68</v>
      </c>
      <c r="N1040">
        <v>29.97</v>
      </c>
    </row>
    <row r="1041" spans="3:14" x14ac:dyDescent="0.15">
      <c r="C1041" s="123">
        <v>42705</v>
      </c>
      <c r="D1041" t="s">
        <v>5</v>
      </c>
      <c r="E1041" t="s">
        <v>10</v>
      </c>
      <c r="F1041" t="s">
        <v>7</v>
      </c>
      <c r="G1041" t="s">
        <v>123</v>
      </c>
      <c r="H1041" t="s">
        <v>60</v>
      </c>
      <c r="I1041">
        <v>67.680000000000007</v>
      </c>
      <c r="J1041">
        <v>68.290000000000006</v>
      </c>
      <c r="K1041">
        <v>67.66</v>
      </c>
      <c r="L1041">
        <v>27.86</v>
      </c>
      <c r="M1041">
        <v>28.08</v>
      </c>
      <c r="N1041">
        <v>28.37</v>
      </c>
    </row>
    <row r="1042" spans="3:14" x14ac:dyDescent="0.15">
      <c r="C1042" s="123">
        <v>42705</v>
      </c>
      <c r="D1042" t="s">
        <v>5</v>
      </c>
      <c r="E1042" t="s">
        <v>10</v>
      </c>
      <c r="F1042" t="s">
        <v>7</v>
      </c>
      <c r="G1042" t="s">
        <v>123</v>
      </c>
      <c r="H1042" t="s">
        <v>648</v>
      </c>
      <c r="I1042">
        <v>66.63</v>
      </c>
      <c r="J1042">
        <v>67.239999999999995</v>
      </c>
      <c r="K1042">
        <v>66.61</v>
      </c>
      <c r="L1042">
        <v>26.81</v>
      </c>
      <c r="M1042">
        <v>27.03</v>
      </c>
      <c r="N1042">
        <v>27.32</v>
      </c>
    </row>
    <row r="1043" spans="3:14" x14ac:dyDescent="0.15">
      <c r="C1043" s="123">
        <v>42736</v>
      </c>
      <c r="D1043" t="s">
        <v>5</v>
      </c>
      <c r="E1043" t="s">
        <v>10</v>
      </c>
      <c r="F1043" t="s">
        <v>7</v>
      </c>
      <c r="G1043" t="s">
        <v>123</v>
      </c>
      <c r="H1043" t="s">
        <v>59</v>
      </c>
      <c r="I1043">
        <v>69.14</v>
      </c>
      <c r="J1043">
        <v>69.86</v>
      </c>
      <c r="K1043">
        <v>69.290000000000006</v>
      </c>
      <c r="L1043">
        <v>29.49</v>
      </c>
      <c r="M1043">
        <v>29.76</v>
      </c>
      <c r="N1043">
        <v>30.07</v>
      </c>
    </row>
    <row r="1044" spans="3:14" x14ac:dyDescent="0.15">
      <c r="C1044" s="123">
        <v>42736</v>
      </c>
      <c r="D1044" t="s">
        <v>5</v>
      </c>
      <c r="E1044" t="s">
        <v>10</v>
      </c>
      <c r="F1044" t="s">
        <v>7</v>
      </c>
      <c r="G1044" t="s">
        <v>123</v>
      </c>
      <c r="H1044" t="s">
        <v>60</v>
      </c>
      <c r="I1044">
        <v>67.540000000000006</v>
      </c>
      <c r="J1044">
        <v>68.260000000000005</v>
      </c>
      <c r="K1044">
        <v>67.69</v>
      </c>
      <c r="L1044">
        <v>27.89</v>
      </c>
      <c r="M1044">
        <v>28.16</v>
      </c>
      <c r="N1044">
        <v>28.47</v>
      </c>
    </row>
    <row r="1045" spans="3:14" x14ac:dyDescent="0.15">
      <c r="C1045" s="123">
        <v>42736</v>
      </c>
      <c r="D1045" t="s">
        <v>5</v>
      </c>
      <c r="E1045" t="s">
        <v>10</v>
      </c>
      <c r="F1045" t="s">
        <v>7</v>
      </c>
      <c r="G1045" t="s">
        <v>123</v>
      </c>
      <c r="H1045" t="s">
        <v>648</v>
      </c>
      <c r="I1045">
        <v>66.489999999999995</v>
      </c>
      <c r="J1045">
        <v>67.209999999999994</v>
      </c>
      <c r="K1045">
        <v>66.64</v>
      </c>
      <c r="L1045">
        <v>26.84</v>
      </c>
      <c r="M1045">
        <v>27.11</v>
      </c>
      <c r="N1045">
        <v>27.42</v>
      </c>
    </row>
    <row r="1046" spans="3:14" x14ac:dyDescent="0.15">
      <c r="C1046" s="123">
        <v>42401</v>
      </c>
      <c r="D1046" t="s">
        <v>5</v>
      </c>
      <c r="E1046" t="s">
        <v>10</v>
      </c>
      <c r="F1046" t="s">
        <v>8</v>
      </c>
      <c r="G1046" t="s">
        <v>120</v>
      </c>
      <c r="H1046" t="s">
        <v>59</v>
      </c>
      <c r="I1046">
        <v>70.34</v>
      </c>
      <c r="J1046">
        <v>70.849999999999994</v>
      </c>
      <c r="K1046">
        <v>70.25</v>
      </c>
      <c r="L1046">
        <v>30.47</v>
      </c>
      <c r="M1046">
        <v>30.59</v>
      </c>
      <c r="N1046">
        <v>30.53</v>
      </c>
    </row>
    <row r="1047" spans="3:14" x14ac:dyDescent="0.15">
      <c r="C1047" s="123">
        <v>42401</v>
      </c>
      <c r="D1047" t="s">
        <v>5</v>
      </c>
      <c r="E1047" t="s">
        <v>10</v>
      </c>
      <c r="F1047" t="s">
        <v>8</v>
      </c>
      <c r="G1047" t="s">
        <v>120</v>
      </c>
      <c r="H1047" t="s">
        <v>60</v>
      </c>
      <c r="I1047">
        <v>68.739999999999995</v>
      </c>
      <c r="J1047">
        <v>69.25</v>
      </c>
      <c r="K1047">
        <v>68.650000000000006</v>
      </c>
      <c r="L1047">
        <v>28.87</v>
      </c>
      <c r="M1047">
        <v>28.99</v>
      </c>
      <c r="N1047">
        <v>28.93</v>
      </c>
    </row>
    <row r="1048" spans="3:14" x14ac:dyDescent="0.15">
      <c r="C1048" s="123">
        <v>42401</v>
      </c>
      <c r="D1048" t="s">
        <v>5</v>
      </c>
      <c r="E1048" t="s">
        <v>10</v>
      </c>
      <c r="F1048" t="s">
        <v>8</v>
      </c>
      <c r="G1048" t="s">
        <v>120</v>
      </c>
      <c r="H1048" t="s">
        <v>648</v>
      </c>
      <c r="I1048">
        <v>67.69</v>
      </c>
      <c r="J1048">
        <v>68.2</v>
      </c>
      <c r="K1048">
        <v>67.599999999999994</v>
      </c>
      <c r="L1048">
        <v>27.82</v>
      </c>
      <c r="M1048">
        <v>27.94</v>
      </c>
      <c r="N1048">
        <v>27.88</v>
      </c>
    </row>
    <row r="1049" spans="3:14" x14ac:dyDescent="0.15">
      <c r="C1049" s="123">
        <v>42430</v>
      </c>
      <c r="D1049" t="s">
        <v>5</v>
      </c>
      <c r="E1049" t="s">
        <v>10</v>
      </c>
      <c r="F1049" t="s">
        <v>8</v>
      </c>
      <c r="G1049" t="s">
        <v>120</v>
      </c>
      <c r="H1049" t="s">
        <v>59</v>
      </c>
      <c r="I1049">
        <v>70.77</v>
      </c>
      <c r="J1049">
        <v>70.67</v>
      </c>
      <c r="K1049">
        <v>70.41</v>
      </c>
      <c r="L1049">
        <v>30.49</v>
      </c>
      <c r="M1049">
        <v>30.52</v>
      </c>
      <c r="N1049">
        <v>30.55</v>
      </c>
    </row>
    <row r="1050" spans="3:14" x14ac:dyDescent="0.15">
      <c r="C1050" s="123">
        <v>42430</v>
      </c>
      <c r="D1050" t="s">
        <v>5</v>
      </c>
      <c r="E1050" t="s">
        <v>10</v>
      </c>
      <c r="F1050" t="s">
        <v>8</v>
      </c>
      <c r="G1050" t="s">
        <v>120</v>
      </c>
      <c r="H1050" t="s">
        <v>60</v>
      </c>
      <c r="I1050">
        <v>69.17</v>
      </c>
      <c r="J1050">
        <v>69.069999999999993</v>
      </c>
      <c r="K1050">
        <v>68.81</v>
      </c>
      <c r="L1050">
        <v>28.89</v>
      </c>
      <c r="M1050">
        <v>28.92</v>
      </c>
      <c r="N1050">
        <v>28.95</v>
      </c>
    </row>
    <row r="1051" spans="3:14" x14ac:dyDescent="0.15">
      <c r="C1051" s="123">
        <v>42430</v>
      </c>
      <c r="D1051" t="s">
        <v>5</v>
      </c>
      <c r="E1051" t="s">
        <v>10</v>
      </c>
      <c r="F1051" t="s">
        <v>8</v>
      </c>
      <c r="G1051" t="s">
        <v>120</v>
      </c>
      <c r="H1051" t="s">
        <v>648</v>
      </c>
      <c r="I1051">
        <v>68.12</v>
      </c>
      <c r="J1051">
        <v>68.02</v>
      </c>
      <c r="K1051">
        <v>67.760000000000005</v>
      </c>
      <c r="L1051">
        <v>27.84</v>
      </c>
      <c r="M1051">
        <v>27.87</v>
      </c>
      <c r="N1051">
        <v>27.9</v>
      </c>
    </row>
    <row r="1052" spans="3:14" x14ac:dyDescent="0.15">
      <c r="C1052" s="123">
        <v>42461</v>
      </c>
      <c r="D1052" t="s">
        <v>5</v>
      </c>
      <c r="E1052" t="s">
        <v>10</v>
      </c>
      <c r="F1052" t="s">
        <v>8</v>
      </c>
      <c r="G1052" t="s">
        <v>120</v>
      </c>
      <c r="H1052" t="s">
        <v>59</v>
      </c>
      <c r="I1052">
        <v>70.959999999999994</v>
      </c>
      <c r="J1052">
        <v>70.41</v>
      </c>
      <c r="K1052">
        <v>70.459999999999994</v>
      </c>
      <c r="L1052">
        <v>30.5</v>
      </c>
      <c r="M1052">
        <v>30.5</v>
      </c>
      <c r="N1052">
        <v>30.56</v>
      </c>
    </row>
    <row r="1053" spans="3:14" x14ac:dyDescent="0.15">
      <c r="C1053" s="123">
        <v>42461</v>
      </c>
      <c r="D1053" t="s">
        <v>5</v>
      </c>
      <c r="E1053" t="s">
        <v>10</v>
      </c>
      <c r="F1053" t="s">
        <v>8</v>
      </c>
      <c r="G1053" t="s">
        <v>120</v>
      </c>
      <c r="H1053" t="s">
        <v>60</v>
      </c>
      <c r="I1053">
        <v>69.36</v>
      </c>
      <c r="J1053">
        <v>68.81</v>
      </c>
      <c r="K1053">
        <v>68.86</v>
      </c>
      <c r="L1053">
        <v>28.9</v>
      </c>
      <c r="M1053">
        <v>28.9</v>
      </c>
      <c r="N1053">
        <v>28.96</v>
      </c>
    </row>
    <row r="1054" spans="3:14" x14ac:dyDescent="0.15">
      <c r="C1054" s="123">
        <v>42461</v>
      </c>
      <c r="D1054" t="s">
        <v>5</v>
      </c>
      <c r="E1054" t="s">
        <v>10</v>
      </c>
      <c r="F1054" t="s">
        <v>8</v>
      </c>
      <c r="G1054" t="s">
        <v>120</v>
      </c>
      <c r="H1054" t="s">
        <v>648</v>
      </c>
      <c r="I1054">
        <v>68.31</v>
      </c>
      <c r="J1054">
        <v>67.760000000000005</v>
      </c>
      <c r="K1054">
        <v>67.81</v>
      </c>
      <c r="L1054">
        <v>27.85</v>
      </c>
      <c r="M1054">
        <v>27.85</v>
      </c>
      <c r="N1054">
        <v>27.91</v>
      </c>
    </row>
    <row r="1055" spans="3:14" x14ac:dyDescent="0.15">
      <c r="C1055" s="123">
        <v>42491</v>
      </c>
      <c r="D1055" t="s">
        <v>5</v>
      </c>
      <c r="E1055" t="s">
        <v>10</v>
      </c>
      <c r="F1055" t="s">
        <v>8</v>
      </c>
      <c r="G1055" t="s">
        <v>120</v>
      </c>
      <c r="H1055" t="s">
        <v>59</v>
      </c>
      <c r="I1055">
        <v>71.06</v>
      </c>
      <c r="J1055">
        <v>70.23</v>
      </c>
      <c r="K1055">
        <v>70.459999999999994</v>
      </c>
      <c r="L1055">
        <v>30.52</v>
      </c>
      <c r="M1055">
        <v>30.5</v>
      </c>
      <c r="N1055">
        <v>30.57</v>
      </c>
    </row>
    <row r="1056" spans="3:14" x14ac:dyDescent="0.15">
      <c r="C1056" s="123">
        <v>42491</v>
      </c>
      <c r="D1056" t="s">
        <v>5</v>
      </c>
      <c r="E1056" t="s">
        <v>10</v>
      </c>
      <c r="F1056" t="s">
        <v>8</v>
      </c>
      <c r="G1056" t="s">
        <v>120</v>
      </c>
      <c r="H1056" t="s">
        <v>60</v>
      </c>
      <c r="I1056">
        <v>69.459999999999994</v>
      </c>
      <c r="J1056">
        <v>68.63</v>
      </c>
      <c r="K1056">
        <v>68.86</v>
      </c>
      <c r="L1056">
        <v>28.92</v>
      </c>
      <c r="M1056">
        <v>28.9</v>
      </c>
      <c r="N1056">
        <v>28.97</v>
      </c>
    </row>
    <row r="1057" spans="3:14" x14ac:dyDescent="0.15">
      <c r="C1057" s="123">
        <v>42491</v>
      </c>
      <c r="D1057" t="s">
        <v>5</v>
      </c>
      <c r="E1057" t="s">
        <v>10</v>
      </c>
      <c r="F1057" t="s">
        <v>8</v>
      </c>
      <c r="G1057" t="s">
        <v>120</v>
      </c>
      <c r="H1057" t="s">
        <v>648</v>
      </c>
      <c r="I1057">
        <v>68.41</v>
      </c>
      <c r="J1057">
        <v>67.58</v>
      </c>
      <c r="K1057">
        <v>67.81</v>
      </c>
      <c r="L1057">
        <v>27.87</v>
      </c>
      <c r="M1057">
        <v>27.85</v>
      </c>
      <c r="N1057">
        <v>27.92</v>
      </c>
    </row>
    <row r="1058" spans="3:14" x14ac:dyDescent="0.15">
      <c r="C1058" s="123">
        <v>42522</v>
      </c>
      <c r="D1058" t="s">
        <v>5</v>
      </c>
      <c r="E1058" t="s">
        <v>10</v>
      </c>
      <c r="F1058" t="s">
        <v>8</v>
      </c>
      <c r="G1058" t="s">
        <v>120</v>
      </c>
      <c r="H1058" t="s">
        <v>59</v>
      </c>
      <c r="I1058">
        <v>71.06</v>
      </c>
      <c r="J1058">
        <v>69.930000000000007</v>
      </c>
      <c r="K1058">
        <v>70.45</v>
      </c>
      <c r="L1058">
        <v>30.5</v>
      </c>
      <c r="M1058">
        <v>30.37</v>
      </c>
      <c r="N1058">
        <v>30.56</v>
      </c>
    </row>
    <row r="1059" spans="3:14" x14ac:dyDescent="0.15">
      <c r="C1059" s="123">
        <v>42522</v>
      </c>
      <c r="D1059" t="s">
        <v>5</v>
      </c>
      <c r="E1059" t="s">
        <v>10</v>
      </c>
      <c r="F1059" t="s">
        <v>8</v>
      </c>
      <c r="G1059" t="s">
        <v>120</v>
      </c>
      <c r="H1059" t="s">
        <v>60</v>
      </c>
      <c r="I1059">
        <v>69.459999999999994</v>
      </c>
      <c r="J1059">
        <v>68.33</v>
      </c>
      <c r="K1059">
        <v>68.849999999999994</v>
      </c>
      <c r="L1059">
        <v>28.9</v>
      </c>
      <c r="M1059">
        <v>28.77</v>
      </c>
      <c r="N1059">
        <v>28.96</v>
      </c>
    </row>
    <row r="1060" spans="3:14" x14ac:dyDescent="0.15">
      <c r="C1060" s="123">
        <v>42522</v>
      </c>
      <c r="D1060" t="s">
        <v>5</v>
      </c>
      <c r="E1060" t="s">
        <v>10</v>
      </c>
      <c r="F1060" t="s">
        <v>8</v>
      </c>
      <c r="G1060" t="s">
        <v>120</v>
      </c>
      <c r="H1060" t="s">
        <v>648</v>
      </c>
      <c r="I1060">
        <v>68.41</v>
      </c>
      <c r="J1060">
        <v>67.28</v>
      </c>
      <c r="K1060">
        <v>67.8</v>
      </c>
      <c r="L1060">
        <v>27.85</v>
      </c>
      <c r="M1060">
        <v>27.72</v>
      </c>
      <c r="N1060">
        <v>27.91</v>
      </c>
    </row>
    <row r="1061" spans="3:14" x14ac:dyDescent="0.15">
      <c r="C1061" s="123">
        <v>42552</v>
      </c>
      <c r="D1061" t="s">
        <v>5</v>
      </c>
      <c r="E1061" t="s">
        <v>10</v>
      </c>
      <c r="F1061" t="s">
        <v>8</v>
      </c>
      <c r="G1061" t="s">
        <v>120</v>
      </c>
      <c r="H1061" t="s">
        <v>59</v>
      </c>
      <c r="I1061">
        <v>71.040000000000006</v>
      </c>
      <c r="J1061">
        <v>69.81</v>
      </c>
      <c r="K1061">
        <v>70.459999999999994</v>
      </c>
      <c r="L1061">
        <v>30.52</v>
      </c>
      <c r="M1061">
        <v>30.41</v>
      </c>
      <c r="N1061">
        <v>30.65</v>
      </c>
    </row>
    <row r="1062" spans="3:14" x14ac:dyDescent="0.15">
      <c r="C1062" s="123">
        <v>42552</v>
      </c>
      <c r="D1062" t="s">
        <v>5</v>
      </c>
      <c r="E1062" t="s">
        <v>10</v>
      </c>
      <c r="F1062" t="s">
        <v>8</v>
      </c>
      <c r="G1062" t="s">
        <v>120</v>
      </c>
      <c r="H1062" t="s">
        <v>60</v>
      </c>
      <c r="I1062">
        <v>69.44</v>
      </c>
      <c r="J1062">
        <v>68.209999999999994</v>
      </c>
      <c r="K1062">
        <v>68.86</v>
      </c>
      <c r="L1062">
        <v>28.92</v>
      </c>
      <c r="M1062">
        <v>28.81</v>
      </c>
      <c r="N1062">
        <v>29.05</v>
      </c>
    </row>
    <row r="1063" spans="3:14" x14ac:dyDescent="0.15">
      <c r="C1063" s="123">
        <v>42552</v>
      </c>
      <c r="D1063" t="s">
        <v>5</v>
      </c>
      <c r="E1063" t="s">
        <v>10</v>
      </c>
      <c r="F1063" t="s">
        <v>8</v>
      </c>
      <c r="G1063" t="s">
        <v>120</v>
      </c>
      <c r="H1063" t="s">
        <v>648</v>
      </c>
      <c r="I1063">
        <v>68.39</v>
      </c>
      <c r="J1063">
        <v>67.16</v>
      </c>
      <c r="K1063">
        <v>67.81</v>
      </c>
      <c r="L1063">
        <v>27.87</v>
      </c>
      <c r="M1063">
        <v>27.76</v>
      </c>
      <c r="N1063">
        <v>28</v>
      </c>
    </row>
    <row r="1064" spans="3:14" x14ac:dyDescent="0.15">
      <c r="C1064" s="123">
        <v>42583</v>
      </c>
      <c r="D1064" t="s">
        <v>5</v>
      </c>
      <c r="E1064" t="s">
        <v>10</v>
      </c>
      <c r="F1064" t="s">
        <v>8</v>
      </c>
      <c r="G1064" t="s">
        <v>120</v>
      </c>
      <c r="H1064" t="s">
        <v>59</v>
      </c>
      <c r="I1064">
        <v>70.959999999999994</v>
      </c>
      <c r="J1064">
        <v>70.12</v>
      </c>
      <c r="K1064">
        <v>70.52</v>
      </c>
      <c r="L1064">
        <v>30.56</v>
      </c>
      <c r="M1064">
        <v>30.49</v>
      </c>
      <c r="N1064">
        <v>30.75</v>
      </c>
    </row>
    <row r="1065" spans="3:14" x14ac:dyDescent="0.15">
      <c r="C1065" s="123">
        <v>42583</v>
      </c>
      <c r="D1065" t="s">
        <v>5</v>
      </c>
      <c r="E1065" t="s">
        <v>10</v>
      </c>
      <c r="F1065" t="s">
        <v>8</v>
      </c>
      <c r="G1065" t="s">
        <v>120</v>
      </c>
      <c r="H1065" t="s">
        <v>60</v>
      </c>
      <c r="I1065">
        <v>69.36</v>
      </c>
      <c r="J1065">
        <v>68.52</v>
      </c>
      <c r="K1065">
        <v>68.92</v>
      </c>
      <c r="L1065">
        <v>28.96</v>
      </c>
      <c r="M1065">
        <v>28.89</v>
      </c>
      <c r="N1065">
        <v>29.15</v>
      </c>
    </row>
    <row r="1066" spans="3:14" x14ac:dyDescent="0.15">
      <c r="C1066" s="123">
        <v>42583</v>
      </c>
      <c r="D1066" t="s">
        <v>5</v>
      </c>
      <c r="E1066" t="s">
        <v>10</v>
      </c>
      <c r="F1066" t="s">
        <v>8</v>
      </c>
      <c r="G1066" t="s">
        <v>120</v>
      </c>
      <c r="H1066" t="s">
        <v>648</v>
      </c>
      <c r="I1066">
        <v>68.31</v>
      </c>
      <c r="J1066">
        <v>67.47</v>
      </c>
      <c r="K1066">
        <v>67.87</v>
      </c>
      <c r="L1066">
        <v>27.91</v>
      </c>
      <c r="M1066">
        <v>27.84</v>
      </c>
      <c r="N1066">
        <v>28.1</v>
      </c>
    </row>
    <row r="1067" spans="3:14" x14ac:dyDescent="0.15">
      <c r="C1067" s="123">
        <v>42614</v>
      </c>
      <c r="D1067" t="s">
        <v>5</v>
      </c>
      <c r="E1067" t="s">
        <v>10</v>
      </c>
      <c r="F1067" t="s">
        <v>8</v>
      </c>
      <c r="G1067" t="s">
        <v>120</v>
      </c>
      <c r="H1067" t="s">
        <v>59</v>
      </c>
      <c r="I1067">
        <v>70.819999999999993</v>
      </c>
      <c r="J1067">
        <v>70.41</v>
      </c>
      <c r="K1067">
        <v>70.510000000000005</v>
      </c>
      <c r="L1067">
        <v>30.57</v>
      </c>
      <c r="M1067">
        <v>30.59</v>
      </c>
      <c r="N1067">
        <v>30.84</v>
      </c>
    </row>
    <row r="1068" spans="3:14" x14ac:dyDescent="0.15">
      <c r="C1068" s="123">
        <v>42614</v>
      </c>
      <c r="D1068" t="s">
        <v>5</v>
      </c>
      <c r="E1068" t="s">
        <v>10</v>
      </c>
      <c r="F1068" t="s">
        <v>8</v>
      </c>
      <c r="G1068" t="s">
        <v>120</v>
      </c>
      <c r="H1068" t="s">
        <v>60</v>
      </c>
      <c r="I1068">
        <v>69.22</v>
      </c>
      <c r="J1068">
        <v>68.81</v>
      </c>
      <c r="K1068">
        <v>68.91</v>
      </c>
      <c r="L1068">
        <v>28.97</v>
      </c>
      <c r="M1068">
        <v>28.99</v>
      </c>
      <c r="N1068">
        <v>29.24</v>
      </c>
    </row>
    <row r="1069" spans="3:14" x14ac:dyDescent="0.15">
      <c r="C1069" s="123">
        <v>42614</v>
      </c>
      <c r="D1069" t="s">
        <v>5</v>
      </c>
      <c r="E1069" t="s">
        <v>10</v>
      </c>
      <c r="F1069" t="s">
        <v>8</v>
      </c>
      <c r="G1069" t="s">
        <v>120</v>
      </c>
      <c r="H1069" t="s">
        <v>648</v>
      </c>
      <c r="I1069">
        <v>68.17</v>
      </c>
      <c r="J1069">
        <v>67.760000000000005</v>
      </c>
      <c r="K1069">
        <v>67.86</v>
      </c>
      <c r="L1069">
        <v>27.92</v>
      </c>
      <c r="M1069">
        <v>27.94</v>
      </c>
      <c r="N1069">
        <v>28.19</v>
      </c>
    </row>
    <row r="1070" spans="3:14" x14ac:dyDescent="0.15">
      <c r="C1070" s="123">
        <v>42644</v>
      </c>
      <c r="D1070" t="s">
        <v>5</v>
      </c>
      <c r="E1070" t="s">
        <v>10</v>
      </c>
      <c r="F1070" t="s">
        <v>8</v>
      </c>
      <c r="G1070" t="s">
        <v>120</v>
      </c>
      <c r="H1070" t="s">
        <v>59</v>
      </c>
      <c r="I1070">
        <v>70.75</v>
      </c>
      <c r="J1070">
        <v>70.7</v>
      </c>
      <c r="K1070">
        <v>70.5</v>
      </c>
      <c r="L1070">
        <v>30.59</v>
      </c>
      <c r="M1070">
        <v>30.64</v>
      </c>
      <c r="N1070">
        <v>30.94</v>
      </c>
    </row>
    <row r="1071" spans="3:14" x14ac:dyDescent="0.15">
      <c r="C1071" s="123">
        <v>42644</v>
      </c>
      <c r="D1071" t="s">
        <v>5</v>
      </c>
      <c r="E1071" t="s">
        <v>10</v>
      </c>
      <c r="F1071" t="s">
        <v>8</v>
      </c>
      <c r="G1071" t="s">
        <v>120</v>
      </c>
      <c r="H1071" t="s">
        <v>60</v>
      </c>
      <c r="I1071">
        <v>69.150000000000006</v>
      </c>
      <c r="J1071">
        <v>69.099999999999994</v>
      </c>
      <c r="K1071">
        <v>68.900000000000006</v>
      </c>
      <c r="L1071">
        <v>28.99</v>
      </c>
      <c r="M1071">
        <v>29.04</v>
      </c>
      <c r="N1071">
        <v>29.34</v>
      </c>
    </row>
    <row r="1072" spans="3:14" x14ac:dyDescent="0.15">
      <c r="C1072" s="123">
        <v>42644</v>
      </c>
      <c r="D1072" t="s">
        <v>5</v>
      </c>
      <c r="E1072" t="s">
        <v>10</v>
      </c>
      <c r="F1072" t="s">
        <v>8</v>
      </c>
      <c r="G1072" t="s">
        <v>120</v>
      </c>
      <c r="H1072" t="s">
        <v>648</v>
      </c>
      <c r="I1072">
        <v>68.099999999999994</v>
      </c>
      <c r="J1072">
        <v>68.05</v>
      </c>
      <c r="K1072">
        <v>67.849999999999994</v>
      </c>
      <c r="L1072">
        <v>27.94</v>
      </c>
      <c r="M1072">
        <v>27.99</v>
      </c>
      <c r="N1072">
        <v>28.29</v>
      </c>
    </row>
    <row r="1073" spans="3:14" x14ac:dyDescent="0.15">
      <c r="C1073" s="123">
        <v>42675</v>
      </c>
      <c r="D1073" t="s">
        <v>5</v>
      </c>
      <c r="E1073" t="s">
        <v>10</v>
      </c>
      <c r="F1073" t="s">
        <v>8</v>
      </c>
      <c r="G1073" t="s">
        <v>120</v>
      </c>
      <c r="H1073" t="s">
        <v>59</v>
      </c>
      <c r="I1073">
        <v>70.63</v>
      </c>
      <c r="J1073">
        <v>70.8</v>
      </c>
      <c r="K1073">
        <v>70.48</v>
      </c>
      <c r="L1073">
        <v>30.59</v>
      </c>
      <c r="M1073">
        <v>30.65</v>
      </c>
      <c r="N1073">
        <v>31</v>
      </c>
    </row>
    <row r="1074" spans="3:14" x14ac:dyDescent="0.15">
      <c r="C1074" s="123">
        <v>42675</v>
      </c>
      <c r="D1074" t="s">
        <v>5</v>
      </c>
      <c r="E1074" t="s">
        <v>10</v>
      </c>
      <c r="F1074" t="s">
        <v>8</v>
      </c>
      <c r="G1074" t="s">
        <v>120</v>
      </c>
      <c r="H1074" t="s">
        <v>60</v>
      </c>
      <c r="I1074">
        <v>69.03</v>
      </c>
      <c r="J1074">
        <v>69.2</v>
      </c>
      <c r="K1074">
        <v>68.88</v>
      </c>
      <c r="L1074">
        <v>28.99</v>
      </c>
      <c r="M1074">
        <v>29.05</v>
      </c>
      <c r="N1074">
        <v>29.4</v>
      </c>
    </row>
    <row r="1075" spans="3:14" x14ac:dyDescent="0.15">
      <c r="C1075" s="123">
        <v>42675</v>
      </c>
      <c r="D1075" t="s">
        <v>5</v>
      </c>
      <c r="E1075" t="s">
        <v>10</v>
      </c>
      <c r="F1075" t="s">
        <v>8</v>
      </c>
      <c r="G1075" t="s">
        <v>120</v>
      </c>
      <c r="H1075" t="s">
        <v>648</v>
      </c>
      <c r="I1075">
        <v>67.98</v>
      </c>
      <c r="J1075">
        <v>68.150000000000006</v>
      </c>
      <c r="K1075">
        <v>67.83</v>
      </c>
      <c r="L1075">
        <v>27.94</v>
      </c>
      <c r="M1075">
        <v>28</v>
      </c>
      <c r="N1075">
        <v>28.35</v>
      </c>
    </row>
    <row r="1076" spans="3:14" x14ac:dyDescent="0.15">
      <c r="C1076" s="123">
        <v>42705</v>
      </c>
      <c r="D1076" t="s">
        <v>5</v>
      </c>
      <c r="E1076" t="s">
        <v>10</v>
      </c>
      <c r="F1076" t="s">
        <v>8</v>
      </c>
      <c r="G1076" t="s">
        <v>120</v>
      </c>
      <c r="H1076" t="s">
        <v>59</v>
      </c>
      <c r="I1076">
        <v>70.44</v>
      </c>
      <c r="J1076">
        <v>70.97</v>
      </c>
      <c r="K1076">
        <v>70.430000000000007</v>
      </c>
      <c r="L1076">
        <v>30.56</v>
      </c>
      <c r="M1076">
        <v>30.75</v>
      </c>
      <c r="N1076">
        <v>31.07</v>
      </c>
    </row>
    <row r="1077" spans="3:14" x14ac:dyDescent="0.15">
      <c r="C1077" s="123">
        <v>42705</v>
      </c>
      <c r="D1077" t="s">
        <v>5</v>
      </c>
      <c r="E1077" t="s">
        <v>10</v>
      </c>
      <c r="F1077" t="s">
        <v>8</v>
      </c>
      <c r="G1077" t="s">
        <v>120</v>
      </c>
      <c r="H1077" t="s">
        <v>60</v>
      </c>
      <c r="I1077">
        <v>68.84</v>
      </c>
      <c r="J1077">
        <v>69.37</v>
      </c>
      <c r="K1077">
        <v>68.83</v>
      </c>
      <c r="L1077">
        <v>28.96</v>
      </c>
      <c r="M1077">
        <v>29.15</v>
      </c>
      <c r="N1077">
        <v>29.47</v>
      </c>
    </row>
    <row r="1078" spans="3:14" x14ac:dyDescent="0.15">
      <c r="C1078" s="123">
        <v>42705</v>
      </c>
      <c r="D1078" t="s">
        <v>5</v>
      </c>
      <c r="E1078" t="s">
        <v>10</v>
      </c>
      <c r="F1078" t="s">
        <v>8</v>
      </c>
      <c r="G1078" t="s">
        <v>120</v>
      </c>
      <c r="H1078" t="s">
        <v>648</v>
      </c>
      <c r="I1078">
        <v>67.790000000000006</v>
      </c>
      <c r="J1078">
        <v>68.319999999999993</v>
      </c>
      <c r="K1078">
        <v>67.78</v>
      </c>
      <c r="L1078">
        <v>27.91</v>
      </c>
      <c r="M1078">
        <v>28.1</v>
      </c>
      <c r="N1078">
        <v>28.42</v>
      </c>
    </row>
    <row r="1079" spans="3:14" x14ac:dyDescent="0.15">
      <c r="C1079" s="123">
        <v>42736</v>
      </c>
      <c r="D1079" t="s">
        <v>5</v>
      </c>
      <c r="E1079" t="s">
        <v>10</v>
      </c>
      <c r="F1079" t="s">
        <v>8</v>
      </c>
      <c r="G1079" t="s">
        <v>120</v>
      </c>
      <c r="H1079" t="s">
        <v>59</v>
      </c>
      <c r="I1079">
        <v>70.31</v>
      </c>
      <c r="J1079">
        <v>71.010000000000005</v>
      </c>
      <c r="K1079">
        <v>70.47</v>
      </c>
      <c r="L1079">
        <v>30.59</v>
      </c>
      <c r="M1079">
        <v>30.86</v>
      </c>
      <c r="N1079">
        <v>31.17</v>
      </c>
    </row>
    <row r="1080" spans="3:14" x14ac:dyDescent="0.15">
      <c r="C1080" s="123">
        <v>42736</v>
      </c>
      <c r="D1080" t="s">
        <v>5</v>
      </c>
      <c r="E1080" t="s">
        <v>10</v>
      </c>
      <c r="F1080" t="s">
        <v>8</v>
      </c>
      <c r="G1080" t="s">
        <v>120</v>
      </c>
      <c r="H1080" t="s">
        <v>60</v>
      </c>
      <c r="I1080">
        <v>68.709999999999994</v>
      </c>
      <c r="J1080">
        <v>69.41</v>
      </c>
      <c r="K1080">
        <v>68.87</v>
      </c>
      <c r="L1080">
        <v>28.99</v>
      </c>
      <c r="M1080">
        <v>29.26</v>
      </c>
      <c r="N1080">
        <v>29.57</v>
      </c>
    </row>
    <row r="1081" spans="3:14" x14ac:dyDescent="0.15">
      <c r="C1081" s="123">
        <v>42736</v>
      </c>
      <c r="D1081" t="s">
        <v>5</v>
      </c>
      <c r="E1081" t="s">
        <v>10</v>
      </c>
      <c r="F1081" t="s">
        <v>8</v>
      </c>
      <c r="G1081" t="s">
        <v>120</v>
      </c>
      <c r="H1081" t="s">
        <v>648</v>
      </c>
      <c r="I1081">
        <v>67.66</v>
      </c>
      <c r="J1081">
        <v>68.36</v>
      </c>
      <c r="K1081">
        <v>67.819999999999993</v>
      </c>
      <c r="L1081">
        <v>27.94</v>
      </c>
      <c r="M1081">
        <v>28.21</v>
      </c>
      <c r="N1081">
        <v>28.52</v>
      </c>
    </row>
    <row r="1082" spans="3:14" x14ac:dyDescent="0.15">
      <c r="C1082" s="123">
        <v>42401</v>
      </c>
      <c r="D1082" t="s">
        <v>5</v>
      </c>
      <c r="E1082" t="s">
        <v>10</v>
      </c>
      <c r="F1082" t="s">
        <v>9</v>
      </c>
      <c r="G1082" t="s">
        <v>117</v>
      </c>
      <c r="H1082" t="s">
        <v>59</v>
      </c>
      <c r="I1082">
        <v>69.64</v>
      </c>
      <c r="J1082">
        <v>70.650000000000006</v>
      </c>
      <c r="K1082">
        <v>69.63</v>
      </c>
      <c r="L1082">
        <v>30.55</v>
      </c>
      <c r="M1082">
        <v>31.14</v>
      </c>
      <c r="N1082">
        <v>30.61</v>
      </c>
    </row>
    <row r="1083" spans="3:14" x14ac:dyDescent="0.15">
      <c r="C1083" s="123">
        <v>42401</v>
      </c>
      <c r="D1083" t="s">
        <v>5</v>
      </c>
      <c r="E1083" t="s">
        <v>10</v>
      </c>
      <c r="F1083" t="s">
        <v>9</v>
      </c>
      <c r="G1083" t="s">
        <v>117</v>
      </c>
      <c r="H1083" t="s">
        <v>60</v>
      </c>
      <c r="I1083">
        <v>68.040000000000006</v>
      </c>
      <c r="J1083">
        <v>69.05</v>
      </c>
      <c r="K1083">
        <v>68.03</v>
      </c>
      <c r="L1083">
        <v>28.95</v>
      </c>
      <c r="M1083">
        <v>29.54</v>
      </c>
      <c r="N1083">
        <v>29.01</v>
      </c>
    </row>
    <row r="1084" spans="3:14" x14ac:dyDescent="0.15">
      <c r="C1084" s="123">
        <v>42401</v>
      </c>
      <c r="D1084" t="s">
        <v>5</v>
      </c>
      <c r="E1084" t="s">
        <v>10</v>
      </c>
      <c r="F1084" t="s">
        <v>9</v>
      </c>
      <c r="G1084" t="s">
        <v>117</v>
      </c>
      <c r="H1084" t="s">
        <v>648</v>
      </c>
      <c r="I1084">
        <v>66.989999999999995</v>
      </c>
      <c r="J1084">
        <v>68</v>
      </c>
      <c r="K1084">
        <v>66.98</v>
      </c>
      <c r="L1084">
        <v>27.9</v>
      </c>
      <c r="M1084">
        <v>28.49</v>
      </c>
      <c r="N1084">
        <v>27.96</v>
      </c>
    </row>
    <row r="1085" spans="3:14" x14ac:dyDescent="0.15">
      <c r="C1085" s="123">
        <v>42430</v>
      </c>
      <c r="D1085" t="s">
        <v>5</v>
      </c>
      <c r="E1085" t="s">
        <v>10</v>
      </c>
      <c r="F1085" t="s">
        <v>9</v>
      </c>
      <c r="G1085" t="s">
        <v>117</v>
      </c>
      <c r="H1085" t="s">
        <v>59</v>
      </c>
      <c r="I1085">
        <v>70.25</v>
      </c>
      <c r="J1085">
        <v>71.14</v>
      </c>
      <c r="K1085">
        <v>69.87</v>
      </c>
      <c r="L1085">
        <v>30.61</v>
      </c>
      <c r="M1085">
        <v>31.82</v>
      </c>
      <c r="N1085">
        <v>30.65</v>
      </c>
    </row>
    <row r="1086" spans="3:14" x14ac:dyDescent="0.15">
      <c r="C1086" s="123">
        <v>42430</v>
      </c>
      <c r="D1086" t="s">
        <v>5</v>
      </c>
      <c r="E1086" t="s">
        <v>10</v>
      </c>
      <c r="F1086" t="s">
        <v>9</v>
      </c>
      <c r="G1086" t="s">
        <v>117</v>
      </c>
      <c r="H1086" t="s">
        <v>60</v>
      </c>
      <c r="I1086">
        <v>68.650000000000006</v>
      </c>
      <c r="J1086">
        <v>69.540000000000006</v>
      </c>
      <c r="K1086">
        <v>68.27</v>
      </c>
      <c r="L1086">
        <v>29.01</v>
      </c>
      <c r="M1086">
        <v>30.22</v>
      </c>
      <c r="N1086">
        <v>29.05</v>
      </c>
    </row>
    <row r="1087" spans="3:14" x14ac:dyDescent="0.15">
      <c r="C1087" s="123">
        <v>42430</v>
      </c>
      <c r="D1087" t="s">
        <v>5</v>
      </c>
      <c r="E1087" t="s">
        <v>10</v>
      </c>
      <c r="F1087" t="s">
        <v>9</v>
      </c>
      <c r="G1087" t="s">
        <v>117</v>
      </c>
      <c r="H1087" t="s">
        <v>648</v>
      </c>
      <c r="I1087">
        <v>67.599999999999994</v>
      </c>
      <c r="J1087">
        <v>68.489999999999995</v>
      </c>
      <c r="K1087">
        <v>67.22</v>
      </c>
      <c r="L1087">
        <v>27.96</v>
      </c>
      <c r="M1087">
        <v>29.17</v>
      </c>
      <c r="N1087">
        <v>28</v>
      </c>
    </row>
    <row r="1088" spans="3:14" x14ac:dyDescent="0.15">
      <c r="C1088" s="123">
        <v>42461</v>
      </c>
      <c r="D1088" t="s">
        <v>5</v>
      </c>
      <c r="E1088" t="s">
        <v>10</v>
      </c>
      <c r="F1088" t="s">
        <v>9</v>
      </c>
      <c r="G1088" t="s">
        <v>117</v>
      </c>
      <c r="H1088" t="s">
        <v>59</v>
      </c>
      <c r="I1088">
        <v>70.459999999999994</v>
      </c>
      <c r="J1088">
        <v>71.12</v>
      </c>
      <c r="K1088">
        <v>69.94</v>
      </c>
      <c r="L1088">
        <v>30.64</v>
      </c>
      <c r="M1088">
        <v>32.020000000000003</v>
      </c>
      <c r="N1088">
        <v>30.68</v>
      </c>
    </row>
    <row r="1089" spans="3:14" x14ac:dyDescent="0.15">
      <c r="C1089" s="123">
        <v>42461</v>
      </c>
      <c r="D1089" t="s">
        <v>5</v>
      </c>
      <c r="E1089" t="s">
        <v>10</v>
      </c>
      <c r="F1089" t="s">
        <v>9</v>
      </c>
      <c r="G1089" t="s">
        <v>117</v>
      </c>
      <c r="H1089" t="s">
        <v>60</v>
      </c>
      <c r="I1089">
        <v>68.86</v>
      </c>
      <c r="J1089">
        <v>69.52</v>
      </c>
      <c r="K1089">
        <v>68.34</v>
      </c>
      <c r="L1089">
        <v>29.04</v>
      </c>
      <c r="M1089">
        <v>30.42</v>
      </c>
      <c r="N1089">
        <v>29.08</v>
      </c>
    </row>
    <row r="1090" spans="3:14" x14ac:dyDescent="0.15">
      <c r="C1090" s="123">
        <v>42461</v>
      </c>
      <c r="D1090" t="s">
        <v>5</v>
      </c>
      <c r="E1090" t="s">
        <v>10</v>
      </c>
      <c r="F1090" t="s">
        <v>9</v>
      </c>
      <c r="G1090" t="s">
        <v>117</v>
      </c>
      <c r="H1090" t="s">
        <v>648</v>
      </c>
      <c r="I1090">
        <v>67.81</v>
      </c>
      <c r="J1090">
        <v>68.47</v>
      </c>
      <c r="K1090">
        <v>67.290000000000006</v>
      </c>
      <c r="L1090">
        <v>27.99</v>
      </c>
      <c r="M1090">
        <v>29.37</v>
      </c>
      <c r="N1090">
        <v>28.03</v>
      </c>
    </row>
    <row r="1091" spans="3:14" x14ac:dyDescent="0.15">
      <c r="C1091" s="123">
        <v>42491</v>
      </c>
      <c r="D1091" t="s">
        <v>5</v>
      </c>
      <c r="E1091" t="s">
        <v>10</v>
      </c>
      <c r="F1091" t="s">
        <v>9</v>
      </c>
      <c r="G1091" t="s">
        <v>117</v>
      </c>
      <c r="H1091" t="s">
        <v>59</v>
      </c>
      <c r="I1091">
        <v>70.56</v>
      </c>
      <c r="J1091">
        <v>71.02</v>
      </c>
      <c r="K1091">
        <v>69.95</v>
      </c>
      <c r="L1091">
        <v>30.65</v>
      </c>
      <c r="M1091">
        <v>32.08</v>
      </c>
      <c r="N1091">
        <v>30.69</v>
      </c>
    </row>
    <row r="1092" spans="3:14" x14ac:dyDescent="0.15">
      <c r="C1092" s="123">
        <v>42491</v>
      </c>
      <c r="D1092" t="s">
        <v>5</v>
      </c>
      <c r="E1092" t="s">
        <v>10</v>
      </c>
      <c r="F1092" t="s">
        <v>9</v>
      </c>
      <c r="G1092" t="s">
        <v>117</v>
      </c>
      <c r="H1092" t="s">
        <v>60</v>
      </c>
      <c r="I1092">
        <v>68.959999999999994</v>
      </c>
      <c r="J1092">
        <v>69.42</v>
      </c>
      <c r="K1092">
        <v>68.349999999999994</v>
      </c>
      <c r="L1092">
        <v>29.05</v>
      </c>
      <c r="M1092">
        <v>30.48</v>
      </c>
      <c r="N1092">
        <v>29.09</v>
      </c>
    </row>
    <row r="1093" spans="3:14" x14ac:dyDescent="0.15">
      <c r="C1093" s="123">
        <v>42491</v>
      </c>
      <c r="D1093" t="s">
        <v>5</v>
      </c>
      <c r="E1093" t="s">
        <v>10</v>
      </c>
      <c r="F1093" t="s">
        <v>9</v>
      </c>
      <c r="G1093" t="s">
        <v>117</v>
      </c>
      <c r="H1093" t="s">
        <v>648</v>
      </c>
      <c r="I1093">
        <v>67.91</v>
      </c>
      <c r="J1093">
        <v>68.37</v>
      </c>
      <c r="K1093">
        <v>67.3</v>
      </c>
      <c r="L1093">
        <v>28</v>
      </c>
      <c r="M1093">
        <v>29.43</v>
      </c>
      <c r="N1093">
        <v>28.04</v>
      </c>
    </row>
    <row r="1094" spans="3:14" x14ac:dyDescent="0.15">
      <c r="C1094" s="123">
        <v>42522</v>
      </c>
      <c r="D1094" t="s">
        <v>5</v>
      </c>
      <c r="E1094" t="s">
        <v>10</v>
      </c>
      <c r="F1094" t="s">
        <v>9</v>
      </c>
      <c r="G1094" t="s">
        <v>117</v>
      </c>
      <c r="H1094" t="s">
        <v>59</v>
      </c>
      <c r="I1094">
        <v>70.58</v>
      </c>
      <c r="J1094">
        <v>70.2</v>
      </c>
      <c r="K1094">
        <v>69.97</v>
      </c>
      <c r="L1094">
        <v>30.64</v>
      </c>
      <c r="M1094">
        <v>31.48</v>
      </c>
      <c r="N1094">
        <v>30.69</v>
      </c>
    </row>
    <row r="1095" spans="3:14" x14ac:dyDescent="0.15">
      <c r="C1095" s="123">
        <v>42522</v>
      </c>
      <c r="D1095" t="s">
        <v>5</v>
      </c>
      <c r="E1095" t="s">
        <v>10</v>
      </c>
      <c r="F1095" t="s">
        <v>9</v>
      </c>
      <c r="G1095" t="s">
        <v>117</v>
      </c>
      <c r="H1095" t="s">
        <v>60</v>
      </c>
      <c r="I1095">
        <v>68.98</v>
      </c>
      <c r="J1095">
        <v>68.599999999999994</v>
      </c>
      <c r="K1095">
        <v>68.37</v>
      </c>
      <c r="L1095">
        <v>29.04</v>
      </c>
      <c r="M1095">
        <v>29.88</v>
      </c>
      <c r="N1095">
        <v>29.09</v>
      </c>
    </row>
    <row r="1096" spans="3:14" x14ac:dyDescent="0.15">
      <c r="C1096" s="123">
        <v>42522</v>
      </c>
      <c r="D1096" t="s">
        <v>5</v>
      </c>
      <c r="E1096" t="s">
        <v>10</v>
      </c>
      <c r="F1096" t="s">
        <v>9</v>
      </c>
      <c r="G1096" t="s">
        <v>117</v>
      </c>
      <c r="H1096" t="s">
        <v>648</v>
      </c>
      <c r="I1096">
        <v>67.930000000000007</v>
      </c>
      <c r="J1096">
        <v>67.55</v>
      </c>
      <c r="K1096">
        <v>67.319999999999993</v>
      </c>
      <c r="L1096">
        <v>27.99</v>
      </c>
      <c r="M1096">
        <v>28.83</v>
      </c>
      <c r="N1096">
        <v>28.04</v>
      </c>
    </row>
    <row r="1097" spans="3:14" x14ac:dyDescent="0.15">
      <c r="C1097" s="123">
        <v>42552</v>
      </c>
      <c r="D1097" t="s">
        <v>5</v>
      </c>
      <c r="E1097" t="s">
        <v>10</v>
      </c>
      <c r="F1097" t="s">
        <v>9</v>
      </c>
      <c r="G1097" t="s">
        <v>117</v>
      </c>
      <c r="H1097" t="s">
        <v>59</v>
      </c>
      <c r="I1097">
        <v>70.58</v>
      </c>
      <c r="J1097">
        <v>69.31</v>
      </c>
      <c r="K1097">
        <v>69.989999999999995</v>
      </c>
      <c r="L1097">
        <v>30.65</v>
      </c>
      <c r="M1097">
        <v>30.8</v>
      </c>
      <c r="N1097">
        <v>30.77</v>
      </c>
    </row>
    <row r="1098" spans="3:14" x14ac:dyDescent="0.15">
      <c r="C1098" s="123">
        <v>42552</v>
      </c>
      <c r="D1098" t="s">
        <v>5</v>
      </c>
      <c r="E1098" t="s">
        <v>10</v>
      </c>
      <c r="F1098" t="s">
        <v>9</v>
      </c>
      <c r="G1098" t="s">
        <v>117</v>
      </c>
      <c r="H1098" t="s">
        <v>60</v>
      </c>
      <c r="I1098">
        <v>68.98</v>
      </c>
      <c r="J1098">
        <v>67.709999999999994</v>
      </c>
      <c r="K1098">
        <v>68.39</v>
      </c>
      <c r="L1098">
        <v>29.05</v>
      </c>
      <c r="M1098">
        <v>29.2</v>
      </c>
      <c r="N1098">
        <v>29.17</v>
      </c>
    </row>
    <row r="1099" spans="3:14" x14ac:dyDescent="0.15">
      <c r="C1099" s="123">
        <v>42552</v>
      </c>
      <c r="D1099" t="s">
        <v>5</v>
      </c>
      <c r="E1099" t="s">
        <v>10</v>
      </c>
      <c r="F1099" t="s">
        <v>9</v>
      </c>
      <c r="G1099" t="s">
        <v>117</v>
      </c>
      <c r="H1099" t="s">
        <v>648</v>
      </c>
      <c r="I1099">
        <v>67.930000000000007</v>
      </c>
      <c r="J1099">
        <v>66.66</v>
      </c>
      <c r="K1099">
        <v>67.34</v>
      </c>
      <c r="L1099">
        <v>28</v>
      </c>
      <c r="M1099">
        <v>28.15</v>
      </c>
      <c r="N1099">
        <v>28.12</v>
      </c>
    </row>
    <row r="1100" spans="3:14" x14ac:dyDescent="0.15">
      <c r="C1100" s="123">
        <v>42583</v>
      </c>
      <c r="D1100" t="s">
        <v>5</v>
      </c>
      <c r="E1100" t="s">
        <v>10</v>
      </c>
      <c r="F1100" t="s">
        <v>9</v>
      </c>
      <c r="G1100" t="s">
        <v>117</v>
      </c>
      <c r="H1100" t="s">
        <v>59</v>
      </c>
      <c r="I1100">
        <v>70.5</v>
      </c>
      <c r="J1100">
        <v>69.23</v>
      </c>
      <c r="K1100">
        <v>70.05</v>
      </c>
      <c r="L1100">
        <v>30.67</v>
      </c>
      <c r="M1100">
        <v>30.15</v>
      </c>
      <c r="N1100">
        <v>30.86</v>
      </c>
    </row>
    <row r="1101" spans="3:14" x14ac:dyDescent="0.15">
      <c r="C1101" s="123">
        <v>42583</v>
      </c>
      <c r="D1101" t="s">
        <v>5</v>
      </c>
      <c r="E1101" t="s">
        <v>10</v>
      </c>
      <c r="F1101" t="s">
        <v>9</v>
      </c>
      <c r="G1101" t="s">
        <v>117</v>
      </c>
      <c r="H1101" t="s">
        <v>60</v>
      </c>
      <c r="I1101">
        <v>68.900000000000006</v>
      </c>
      <c r="J1101">
        <v>67.63</v>
      </c>
      <c r="K1101">
        <v>68.45</v>
      </c>
      <c r="L1101">
        <v>29.07</v>
      </c>
      <c r="M1101">
        <v>28.55</v>
      </c>
      <c r="N1101">
        <v>29.26</v>
      </c>
    </row>
    <row r="1102" spans="3:14" x14ac:dyDescent="0.15">
      <c r="C1102" s="123">
        <v>42583</v>
      </c>
      <c r="D1102" t="s">
        <v>5</v>
      </c>
      <c r="E1102" t="s">
        <v>10</v>
      </c>
      <c r="F1102" t="s">
        <v>9</v>
      </c>
      <c r="G1102" t="s">
        <v>117</v>
      </c>
      <c r="H1102" t="s">
        <v>648</v>
      </c>
      <c r="I1102">
        <v>67.849999999999994</v>
      </c>
      <c r="J1102">
        <v>66.58</v>
      </c>
      <c r="K1102">
        <v>67.400000000000006</v>
      </c>
      <c r="L1102">
        <v>28.02</v>
      </c>
      <c r="M1102">
        <v>27.5</v>
      </c>
      <c r="N1102">
        <v>28.21</v>
      </c>
    </row>
    <row r="1103" spans="3:14" x14ac:dyDescent="0.15">
      <c r="C1103" s="123">
        <v>42614</v>
      </c>
      <c r="D1103" t="s">
        <v>5</v>
      </c>
      <c r="E1103" t="s">
        <v>10</v>
      </c>
      <c r="F1103" t="s">
        <v>9</v>
      </c>
      <c r="G1103" t="s">
        <v>117</v>
      </c>
      <c r="H1103" t="s">
        <v>59</v>
      </c>
      <c r="I1103">
        <v>70.41</v>
      </c>
      <c r="J1103">
        <v>69.069999999999993</v>
      </c>
      <c r="K1103">
        <v>70.069999999999993</v>
      </c>
      <c r="L1103">
        <v>30.67</v>
      </c>
      <c r="M1103">
        <v>29.62</v>
      </c>
      <c r="N1103">
        <v>30.94</v>
      </c>
    </row>
    <row r="1104" spans="3:14" x14ac:dyDescent="0.15">
      <c r="C1104" s="123">
        <v>42614</v>
      </c>
      <c r="D1104" t="s">
        <v>5</v>
      </c>
      <c r="E1104" t="s">
        <v>10</v>
      </c>
      <c r="F1104" t="s">
        <v>9</v>
      </c>
      <c r="G1104" t="s">
        <v>117</v>
      </c>
      <c r="H1104" t="s">
        <v>60</v>
      </c>
      <c r="I1104">
        <v>68.81</v>
      </c>
      <c r="J1104">
        <v>67.47</v>
      </c>
      <c r="K1104">
        <v>68.47</v>
      </c>
      <c r="L1104">
        <v>29.07</v>
      </c>
      <c r="M1104">
        <v>28.02</v>
      </c>
      <c r="N1104">
        <v>29.34</v>
      </c>
    </row>
    <row r="1105" spans="3:14" x14ac:dyDescent="0.15">
      <c r="C1105" s="123">
        <v>42614</v>
      </c>
      <c r="D1105" t="s">
        <v>5</v>
      </c>
      <c r="E1105" t="s">
        <v>10</v>
      </c>
      <c r="F1105" t="s">
        <v>9</v>
      </c>
      <c r="G1105" t="s">
        <v>117</v>
      </c>
      <c r="H1105" t="s">
        <v>648</v>
      </c>
      <c r="I1105">
        <v>67.760000000000005</v>
      </c>
      <c r="J1105">
        <v>66.42</v>
      </c>
      <c r="K1105">
        <v>67.42</v>
      </c>
      <c r="L1105">
        <v>28.02</v>
      </c>
      <c r="M1105">
        <v>26.97</v>
      </c>
      <c r="N1105">
        <v>28.29</v>
      </c>
    </row>
    <row r="1106" spans="3:14" x14ac:dyDescent="0.15">
      <c r="C1106" s="123">
        <v>42644</v>
      </c>
      <c r="D1106" t="s">
        <v>5</v>
      </c>
      <c r="E1106" t="s">
        <v>10</v>
      </c>
      <c r="F1106" t="s">
        <v>9</v>
      </c>
      <c r="G1106" t="s">
        <v>117</v>
      </c>
      <c r="H1106" t="s">
        <v>59</v>
      </c>
      <c r="I1106">
        <v>70.34</v>
      </c>
      <c r="J1106">
        <v>69.16</v>
      </c>
      <c r="K1106">
        <v>70.05</v>
      </c>
      <c r="L1106">
        <v>30.67</v>
      </c>
      <c r="M1106">
        <v>29.5</v>
      </c>
      <c r="N1106">
        <v>31.01</v>
      </c>
    </row>
    <row r="1107" spans="3:14" x14ac:dyDescent="0.15">
      <c r="C1107" s="123">
        <v>42644</v>
      </c>
      <c r="D1107" t="s">
        <v>5</v>
      </c>
      <c r="E1107" t="s">
        <v>10</v>
      </c>
      <c r="F1107" t="s">
        <v>9</v>
      </c>
      <c r="G1107" t="s">
        <v>117</v>
      </c>
      <c r="H1107" t="s">
        <v>60</v>
      </c>
      <c r="I1107">
        <v>68.739999999999995</v>
      </c>
      <c r="J1107">
        <v>67.56</v>
      </c>
      <c r="K1107">
        <v>68.45</v>
      </c>
      <c r="L1107">
        <v>29.07</v>
      </c>
      <c r="M1107">
        <v>27.9</v>
      </c>
      <c r="N1107">
        <v>29.41</v>
      </c>
    </row>
    <row r="1108" spans="3:14" x14ac:dyDescent="0.15">
      <c r="C1108" s="123">
        <v>42644</v>
      </c>
      <c r="D1108" t="s">
        <v>5</v>
      </c>
      <c r="E1108" t="s">
        <v>10</v>
      </c>
      <c r="F1108" t="s">
        <v>9</v>
      </c>
      <c r="G1108" t="s">
        <v>117</v>
      </c>
      <c r="H1108" t="s">
        <v>648</v>
      </c>
      <c r="I1108">
        <v>67.69</v>
      </c>
      <c r="J1108">
        <v>66.510000000000005</v>
      </c>
      <c r="K1108">
        <v>67.400000000000006</v>
      </c>
      <c r="L1108">
        <v>28.02</v>
      </c>
      <c r="M1108">
        <v>26.85</v>
      </c>
      <c r="N1108">
        <v>28.36</v>
      </c>
    </row>
    <row r="1109" spans="3:14" x14ac:dyDescent="0.15">
      <c r="C1109" s="123">
        <v>42675</v>
      </c>
      <c r="D1109" t="s">
        <v>5</v>
      </c>
      <c r="E1109" t="s">
        <v>10</v>
      </c>
      <c r="F1109" t="s">
        <v>9</v>
      </c>
      <c r="G1109" t="s">
        <v>117</v>
      </c>
      <c r="H1109" t="s">
        <v>59</v>
      </c>
      <c r="I1109">
        <v>70.23</v>
      </c>
      <c r="J1109">
        <v>69.2</v>
      </c>
      <c r="K1109">
        <v>70.05</v>
      </c>
      <c r="L1109">
        <v>30.66</v>
      </c>
      <c r="M1109">
        <v>29.46</v>
      </c>
      <c r="N1109">
        <v>31.07</v>
      </c>
    </row>
    <row r="1110" spans="3:14" x14ac:dyDescent="0.15">
      <c r="C1110" s="123">
        <v>42675</v>
      </c>
      <c r="D1110" t="s">
        <v>5</v>
      </c>
      <c r="E1110" t="s">
        <v>10</v>
      </c>
      <c r="F1110" t="s">
        <v>9</v>
      </c>
      <c r="G1110" t="s">
        <v>117</v>
      </c>
      <c r="H1110" t="s">
        <v>60</v>
      </c>
      <c r="I1110">
        <v>68.63</v>
      </c>
      <c r="J1110">
        <v>67.599999999999994</v>
      </c>
      <c r="K1110">
        <v>68.45</v>
      </c>
      <c r="L1110">
        <v>29.06</v>
      </c>
      <c r="M1110">
        <v>27.86</v>
      </c>
      <c r="N1110">
        <v>29.47</v>
      </c>
    </row>
    <row r="1111" spans="3:14" x14ac:dyDescent="0.15">
      <c r="C1111" s="123">
        <v>42675</v>
      </c>
      <c r="D1111" t="s">
        <v>5</v>
      </c>
      <c r="E1111" t="s">
        <v>10</v>
      </c>
      <c r="F1111" t="s">
        <v>9</v>
      </c>
      <c r="G1111" t="s">
        <v>117</v>
      </c>
      <c r="H1111" t="s">
        <v>648</v>
      </c>
      <c r="I1111">
        <v>67.58</v>
      </c>
      <c r="J1111">
        <v>66.55</v>
      </c>
      <c r="K1111">
        <v>67.400000000000006</v>
      </c>
      <c r="L1111">
        <v>28.01</v>
      </c>
      <c r="M1111">
        <v>26.81</v>
      </c>
      <c r="N1111">
        <v>28.42</v>
      </c>
    </row>
    <row r="1112" spans="3:14" x14ac:dyDescent="0.15">
      <c r="C1112" s="123">
        <v>42705</v>
      </c>
      <c r="D1112" t="s">
        <v>5</v>
      </c>
      <c r="E1112" t="s">
        <v>10</v>
      </c>
      <c r="F1112" t="s">
        <v>9</v>
      </c>
      <c r="G1112" t="s">
        <v>117</v>
      </c>
      <c r="H1112" t="s">
        <v>59</v>
      </c>
      <c r="I1112">
        <v>69.92</v>
      </c>
      <c r="J1112">
        <v>69.72</v>
      </c>
      <c r="K1112">
        <v>69.930000000000007</v>
      </c>
      <c r="L1112">
        <v>30.55</v>
      </c>
      <c r="M1112">
        <v>29.89</v>
      </c>
      <c r="N1112">
        <v>31.1</v>
      </c>
    </row>
    <row r="1113" spans="3:14" x14ac:dyDescent="0.15">
      <c r="C1113" s="123">
        <v>42705</v>
      </c>
      <c r="D1113" t="s">
        <v>5</v>
      </c>
      <c r="E1113" t="s">
        <v>10</v>
      </c>
      <c r="F1113" t="s">
        <v>9</v>
      </c>
      <c r="G1113" t="s">
        <v>117</v>
      </c>
      <c r="H1113" t="s">
        <v>60</v>
      </c>
      <c r="I1113">
        <v>68.319999999999993</v>
      </c>
      <c r="J1113">
        <v>68.12</v>
      </c>
      <c r="K1113">
        <v>68.33</v>
      </c>
      <c r="L1113">
        <v>28.95</v>
      </c>
      <c r="M1113">
        <v>28.29</v>
      </c>
      <c r="N1113">
        <v>29.5</v>
      </c>
    </row>
    <row r="1114" spans="3:14" x14ac:dyDescent="0.15">
      <c r="C1114" s="123">
        <v>42705</v>
      </c>
      <c r="D1114" t="s">
        <v>5</v>
      </c>
      <c r="E1114" t="s">
        <v>10</v>
      </c>
      <c r="F1114" t="s">
        <v>9</v>
      </c>
      <c r="G1114" t="s">
        <v>117</v>
      </c>
      <c r="H1114" t="s">
        <v>648</v>
      </c>
      <c r="I1114">
        <v>67.27</v>
      </c>
      <c r="J1114">
        <v>67.069999999999993</v>
      </c>
      <c r="K1114">
        <v>67.28</v>
      </c>
      <c r="L1114">
        <v>27.9</v>
      </c>
      <c r="M1114">
        <v>27.24</v>
      </c>
      <c r="N1114">
        <v>28.45</v>
      </c>
    </row>
    <row r="1115" spans="3:14" x14ac:dyDescent="0.15">
      <c r="C1115" s="123">
        <v>42736</v>
      </c>
      <c r="D1115" t="s">
        <v>5</v>
      </c>
      <c r="E1115" t="s">
        <v>10</v>
      </c>
      <c r="F1115" t="s">
        <v>9</v>
      </c>
      <c r="G1115" t="s">
        <v>117</v>
      </c>
      <c r="H1115" t="s">
        <v>59</v>
      </c>
      <c r="I1115">
        <v>69.81</v>
      </c>
      <c r="J1115">
        <v>70.53</v>
      </c>
      <c r="K1115">
        <v>69.98</v>
      </c>
      <c r="L1115">
        <v>30.64</v>
      </c>
      <c r="M1115">
        <v>30.66</v>
      </c>
      <c r="N1115">
        <v>31.22</v>
      </c>
    </row>
    <row r="1116" spans="3:14" x14ac:dyDescent="0.15">
      <c r="C1116" s="123">
        <v>42736</v>
      </c>
      <c r="D1116" t="s">
        <v>5</v>
      </c>
      <c r="E1116" t="s">
        <v>10</v>
      </c>
      <c r="F1116" t="s">
        <v>9</v>
      </c>
      <c r="G1116" t="s">
        <v>117</v>
      </c>
      <c r="H1116" t="s">
        <v>60</v>
      </c>
      <c r="I1116">
        <v>68.209999999999994</v>
      </c>
      <c r="J1116">
        <v>68.930000000000007</v>
      </c>
      <c r="K1116">
        <v>68.38</v>
      </c>
      <c r="L1116">
        <v>29.04</v>
      </c>
      <c r="M1116">
        <v>29.06</v>
      </c>
      <c r="N1116">
        <v>29.62</v>
      </c>
    </row>
    <row r="1117" spans="3:14" x14ac:dyDescent="0.15">
      <c r="C1117" s="123">
        <v>42736</v>
      </c>
      <c r="D1117" t="s">
        <v>5</v>
      </c>
      <c r="E1117" t="s">
        <v>10</v>
      </c>
      <c r="F1117" t="s">
        <v>9</v>
      </c>
      <c r="G1117" t="s">
        <v>117</v>
      </c>
      <c r="H1117" t="s">
        <v>648</v>
      </c>
      <c r="I1117">
        <v>67.16</v>
      </c>
      <c r="J1117">
        <v>67.88</v>
      </c>
      <c r="K1117">
        <v>67.33</v>
      </c>
      <c r="L1117">
        <v>27.99</v>
      </c>
      <c r="M1117">
        <v>28.01</v>
      </c>
      <c r="N1117">
        <v>28.57</v>
      </c>
    </row>
    <row r="1118" spans="3:14" x14ac:dyDescent="0.15">
      <c r="C1118" s="123">
        <v>42401</v>
      </c>
      <c r="D1118" t="s">
        <v>5</v>
      </c>
      <c r="E1118" t="s">
        <v>91</v>
      </c>
      <c r="F1118" t="s">
        <v>6</v>
      </c>
      <c r="G1118" t="s">
        <v>1106</v>
      </c>
      <c r="H1118" t="s">
        <v>59</v>
      </c>
      <c r="I1118">
        <v>79.989999999999995</v>
      </c>
      <c r="J1118">
        <v>79.11</v>
      </c>
      <c r="K1118">
        <v>78.150000000000006</v>
      </c>
      <c r="L1118">
        <v>43.22</v>
      </c>
      <c r="M1118">
        <v>41.85</v>
      </c>
      <c r="N1118">
        <v>41.25</v>
      </c>
    </row>
    <row r="1119" spans="3:14" x14ac:dyDescent="0.15">
      <c r="C1119" s="123">
        <v>42401</v>
      </c>
      <c r="D1119" t="s">
        <v>5</v>
      </c>
      <c r="E1119" t="s">
        <v>91</v>
      </c>
      <c r="F1119" t="s">
        <v>6</v>
      </c>
      <c r="G1119" t="s">
        <v>1106</v>
      </c>
      <c r="H1119" t="s">
        <v>60</v>
      </c>
      <c r="I1119">
        <v>78.39</v>
      </c>
      <c r="J1119">
        <v>77.510000000000005</v>
      </c>
      <c r="K1119">
        <v>76.55</v>
      </c>
      <c r="L1119">
        <v>41.62</v>
      </c>
      <c r="M1119">
        <v>40.25</v>
      </c>
      <c r="N1119">
        <v>39.65</v>
      </c>
    </row>
    <row r="1120" spans="3:14" x14ac:dyDescent="0.15">
      <c r="C1120" s="123">
        <v>42401</v>
      </c>
      <c r="D1120" t="s">
        <v>5</v>
      </c>
      <c r="E1120" t="s">
        <v>91</v>
      </c>
      <c r="F1120" t="s">
        <v>6</v>
      </c>
      <c r="G1120" t="s">
        <v>1106</v>
      </c>
      <c r="H1120" t="s">
        <v>648</v>
      </c>
      <c r="I1120">
        <v>77.34</v>
      </c>
      <c r="J1120">
        <v>76.459999999999994</v>
      </c>
      <c r="K1120">
        <v>75.5</v>
      </c>
      <c r="L1120">
        <v>40.57</v>
      </c>
      <c r="M1120">
        <v>39.200000000000003</v>
      </c>
      <c r="N1120">
        <v>38.6</v>
      </c>
    </row>
    <row r="1121" spans="3:14" x14ac:dyDescent="0.15">
      <c r="C1121" s="123">
        <v>42430</v>
      </c>
      <c r="D1121" t="s">
        <v>5</v>
      </c>
      <c r="E1121" t="s">
        <v>91</v>
      </c>
      <c r="F1121" t="s">
        <v>6</v>
      </c>
      <c r="G1121" t="s">
        <v>1106</v>
      </c>
      <c r="H1121" t="s">
        <v>59</v>
      </c>
      <c r="I1121">
        <v>78.91</v>
      </c>
      <c r="J1121">
        <v>78.599999999999994</v>
      </c>
      <c r="K1121">
        <v>77.67</v>
      </c>
      <c r="L1121">
        <v>41.91</v>
      </c>
      <c r="M1121">
        <v>41.23</v>
      </c>
      <c r="N1121">
        <v>40.68</v>
      </c>
    </row>
    <row r="1122" spans="3:14" x14ac:dyDescent="0.15">
      <c r="C1122" s="123">
        <v>42430</v>
      </c>
      <c r="D1122" t="s">
        <v>5</v>
      </c>
      <c r="E1122" t="s">
        <v>91</v>
      </c>
      <c r="F1122" t="s">
        <v>6</v>
      </c>
      <c r="G1122" t="s">
        <v>1106</v>
      </c>
      <c r="H1122" t="s">
        <v>60</v>
      </c>
      <c r="I1122">
        <v>77.31</v>
      </c>
      <c r="J1122">
        <v>77</v>
      </c>
      <c r="K1122">
        <v>76.069999999999993</v>
      </c>
      <c r="L1122">
        <v>40.31</v>
      </c>
      <c r="M1122">
        <v>39.630000000000003</v>
      </c>
      <c r="N1122">
        <v>39.08</v>
      </c>
    </row>
    <row r="1123" spans="3:14" x14ac:dyDescent="0.15">
      <c r="C1123" s="123">
        <v>42430</v>
      </c>
      <c r="D1123" t="s">
        <v>5</v>
      </c>
      <c r="E1123" t="s">
        <v>91</v>
      </c>
      <c r="F1123" t="s">
        <v>6</v>
      </c>
      <c r="G1123" t="s">
        <v>1106</v>
      </c>
      <c r="H1123" t="s">
        <v>648</v>
      </c>
      <c r="I1123">
        <v>76.260000000000005</v>
      </c>
      <c r="J1123">
        <v>75.95</v>
      </c>
      <c r="K1123">
        <v>75.02</v>
      </c>
      <c r="L1123">
        <v>39.26</v>
      </c>
      <c r="M1123">
        <v>38.58</v>
      </c>
      <c r="N1123">
        <v>38.03</v>
      </c>
    </row>
    <row r="1124" spans="3:14" x14ac:dyDescent="0.15">
      <c r="C1124" s="123">
        <v>42461</v>
      </c>
      <c r="D1124" t="s">
        <v>5</v>
      </c>
      <c r="E1124" t="s">
        <v>91</v>
      </c>
      <c r="F1124" t="s">
        <v>6</v>
      </c>
      <c r="G1124" t="s">
        <v>1106</v>
      </c>
      <c r="H1124" t="s">
        <v>59</v>
      </c>
      <c r="I1124">
        <v>77.709999999999994</v>
      </c>
      <c r="J1124">
        <v>77.67</v>
      </c>
      <c r="K1124">
        <v>77.14</v>
      </c>
      <c r="L1124">
        <v>40.49</v>
      </c>
      <c r="M1124">
        <v>40.409999999999997</v>
      </c>
      <c r="N1124">
        <v>40.08</v>
      </c>
    </row>
    <row r="1125" spans="3:14" x14ac:dyDescent="0.15">
      <c r="C1125" s="123">
        <v>42461</v>
      </c>
      <c r="D1125" t="s">
        <v>5</v>
      </c>
      <c r="E1125" t="s">
        <v>91</v>
      </c>
      <c r="F1125" t="s">
        <v>6</v>
      </c>
      <c r="G1125" t="s">
        <v>1106</v>
      </c>
      <c r="H1125" t="s">
        <v>60</v>
      </c>
      <c r="I1125">
        <v>76.11</v>
      </c>
      <c r="J1125">
        <v>76.069999999999993</v>
      </c>
      <c r="K1125">
        <v>75.540000000000006</v>
      </c>
      <c r="L1125">
        <v>38.89</v>
      </c>
      <c r="M1125">
        <v>38.81</v>
      </c>
      <c r="N1125">
        <v>38.479999999999997</v>
      </c>
    </row>
    <row r="1126" spans="3:14" x14ac:dyDescent="0.15">
      <c r="C1126" s="123">
        <v>42461</v>
      </c>
      <c r="D1126" t="s">
        <v>5</v>
      </c>
      <c r="E1126" t="s">
        <v>91</v>
      </c>
      <c r="F1126" t="s">
        <v>6</v>
      </c>
      <c r="G1126" t="s">
        <v>1106</v>
      </c>
      <c r="H1126" t="s">
        <v>648</v>
      </c>
      <c r="I1126">
        <v>75.06</v>
      </c>
      <c r="J1126">
        <v>75.02</v>
      </c>
      <c r="K1126">
        <v>74.489999999999995</v>
      </c>
      <c r="L1126">
        <v>37.840000000000003</v>
      </c>
      <c r="M1126">
        <v>37.76</v>
      </c>
      <c r="N1126">
        <v>37.43</v>
      </c>
    </row>
    <row r="1127" spans="3:14" x14ac:dyDescent="0.15">
      <c r="C1127" s="123">
        <v>42491</v>
      </c>
      <c r="D1127" t="s">
        <v>5</v>
      </c>
      <c r="E1127" t="s">
        <v>91</v>
      </c>
      <c r="F1127" t="s">
        <v>6</v>
      </c>
      <c r="G1127" t="s">
        <v>1106</v>
      </c>
      <c r="H1127" t="s">
        <v>59</v>
      </c>
      <c r="I1127">
        <v>76.41</v>
      </c>
      <c r="J1127">
        <v>76.77</v>
      </c>
      <c r="K1127">
        <v>76.55</v>
      </c>
      <c r="L1127">
        <v>39.11</v>
      </c>
      <c r="M1127">
        <v>39.58</v>
      </c>
      <c r="N1127">
        <v>39.49</v>
      </c>
    </row>
    <row r="1128" spans="3:14" x14ac:dyDescent="0.15">
      <c r="C1128" s="123">
        <v>42491</v>
      </c>
      <c r="D1128" t="s">
        <v>5</v>
      </c>
      <c r="E1128" t="s">
        <v>91</v>
      </c>
      <c r="F1128" t="s">
        <v>6</v>
      </c>
      <c r="G1128" t="s">
        <v>1106</v>
      </c>
      <c r="H1128" t="s">
        <v>60</v>
      </c>
      <c r="I1128">
        <v>74.81</v>
      </c>
      <c r="J1128">
        <v>75.17</v>
      </c>
      <c r="K1128">
        <v>74.95</v>
      </c>
      <c r="L1128">
        <v>37.51</v>
      </c>
      <c r="M1128">
        <v>37.979999999999997</v>
      </c>
      <c r="N1128">
        <v>37.89</v>
      </c>
    </row>
    <row r="1129" spans="3:14" x14ac:dyDescent="0.15">
      <c r="C1129" s="123">
        <v>42491</v>
      </c>
      <c r="D1129" t="s">
        <v>5</v>
      </c>
      <c r="E1129" t="s">
        <v>91</v>
      </c>
      <c r="F1129" t="s">
        <v>6</v>
      </c>
      <c r="G1129" t="s">
        <v>1106</v>
      </c>
      <c r="H1129" t="s">
        <v>648</v>
      </c>
      <c r="I1129">
        <v>73.760000000000005</v>
      </c>
      <c r="J1129">
        <v>74.12</v>
      </c>
      <c r="K1129">
        <v>73.900000000000006</v>
      </c>
      <c r="L1129">
        <v>36.46</v>
      </c>
      <c r="M1129">
        <v>36.93</v>
      </c>
      <c r="N1129">
        <v>36.840000000000003</v>
      </c>
    </row>
    <row r="1130" spans="3:14" x14ac:dyDescent="0.15">
      <c r="C1130" s="123">
        <v>42522</v>
      </c>
      <c r="D1130" t="s">
        <v>5</v>
      </c>
      <c r="E1130" t="s">
        <v>91</v>
      </c>
      <c r="F1130" t="s">
        <v>6</v>
      </c>
      <c r="G1130" t="s">
        <v>1106</v>
      </c>
      <c r="H1130" t="s">
        <v>59</v>
      </c>
      <c r="I1130">
        <v>75.03</v>
      </c>
      <c r="J1130">
        <v>75.72</v>
      </c>
      <c r="K1130">
        <v>75.959999999999994</v>
      </c>
      <c r="L1130">
        <v>37.659999999999997</v>
      </c>
      <c r="M1130">
        <v>38.6</v>
      </c>
      <c r="N1130">
        <v>38.86</v>
      </c>
    </row>
    <row r="1131" spans="3:14" x14ac:dyDescent="0.15">
      <c r="C1131" s="123">
        <v>42522</v>
      </c>
      <c r="D1131" t="s">
        <v>5</v>
      </c>
      <c r="E1131" t="s">
        <v>91</v>
      </c>
      <c r="F1131" t="s">
        <v>6</v>
      </c>
      <c r="G1131" t="s">
        <v>1106</v>
      </c>
      <c r="H1131" t="s">
        <v>60</v>
      </c>
      <c r="I1131">
        <v>73.430000000000007</v>
      </c>
      <c r="J1131">
        <v>74.12</v>
      </c>
      <c r="K1131">
        <v>74.36</v>
      </c>
      <c r="L1131">
        <v>36.06</v>
      </c>
      <c r="M1131">
        <v>37</v>
      </c>
      <c r="N1131">
        <v>37.26</v>
      </c>
    </row>
    <row r="1132" spans="3:14" x14ac:dyDescent="0.15">
      <c r="C1132" s="123">
        <v>42522</v>
      </c>
      <c r="D1132" t="s">
        <v>5</v>
      </c>
      <c r="E1132" t="s">
        <v>91</v>
      </c>
      <c r="F1132" t="s">
        <v>6</v>
      </c>
      <c r="G1132" t="s">
        <v>1106</v>
      </c>
      <c r="H1132" t="s">
        <v>648</v>
      </c>
      <c r="I1132">
        <v>72.38</v>
      </c>
      <c r="J1132">
        <v>73.069999999999993</v>
      </c>
      <c r="K1132">
        <v>73.31</v>
      </c>
      <c r="L1132">
        <v>35.01</v>
      </c>
      <c r="M1132">
        <v>35.950000000000003</v>
      </c>
      <c r="N1132">
        <v>36.21</v>
      </c>
    </row>
    <row r="1133" spans="3:14" x14ac:dyDescent="0.15">
      <c r="C1133" s="123">
        <v>42552</v>
      </c>
      <c r="D1133" t="s">
        <v>5</v>
      </c>
      <c r="E1133" t="s">
        <v>91</v>
      </c>
      <c r="F1133" t="s">
        <v>6</v>
      </c>
      <c r="G1133" t="s">
        <v>1106</v>
      </c>
      <c r="H1133" t="s">
        <v>59</v>
      </c>
      <c r="I1133">
        <v>75.27</v>
      </c>
      <c r="J1133">
        <v>75.53</v>
      </c>
      <c r="K1133">
        <v>76.099999999999994</v>
      </c>
      <c r="L1133">
        <v>37.840000000000003</v>
      </c>
      <c r="M1133">
        <v>38.57</v>
      </c>
      <c r="N1133">
        <v>39.03</v>
      </c>
    </row>
    <row r="1134" spans="3:14" x14ac:dyDescent="0.15">
      <c r="C1134" s="123">
        <v>42552</v>
      </c>
      <c r="D1134" t="s">
        <v>5</v>
      </c>
      <c r="E1134" t="s">
        <v>91</v>
      </c>
      <c r="F1134" t="s">
        <v>6</v>
      </c>
      <c r="G1134" t="s">
        <v>1106</v>
      </c>
      <c r="H1134" t="s">
        <v>60</v>
      </c>
      <c r="I1134">
        <v>73.67</v>
      </c>
      <c r="J1134">
        <v>73.930000000000007</v>
      </c>
      <c r="K1134">
        <v>74.5</v>
      </c>
      <c r="L1134">
        <v>36.24</v>
      </c>
      <c r="M1134">
        <v>36.97</v>
      </c>
      <c r="N1134">
        <v>37.43</v>
      </c>
    </row>
    <row r="1135" spans="3:14" x14ac:dyDescent="0.15">
      <c r="C1135" s="123">
        <v>42552</v>
      </c>
      <c r="D1135" t="s">
        <v>5</v>
      </c>
      <c r="E1135" t="s">
        <v>91</v>
      </c>
      <c r="F1135" t="s">
        <v>6</v>
      </c>
      <c r="G1135" t="s">
        <v>1106</v>
      </c>
      <c r="H1135" t="s">
        <v>648</v>
      </c>
      <c r="I1135">
        <v>72.62</v>
      </c>
      <c r="J1135">
        <v>72.88</v>
      </c>
      <c r="K1135">
        <v>73.45</v>
      </c>
      <c r="L1135">
        <v>35.19</v>
      </c>
      <c r="M1135">
        <v>35.92</v>
      </c>
      <c r="N1135">
        <v>36.380000000000003</v>
      </c>
    </row>
    <row r="1136" spans="3:14" x14ac:dyDescent="0.15">
      <c r="C1136" s="123">
        <v>42583</v>
      </c>
      <c r="D1136" t="s">
        <v>5</v>
      </c>
      <c r="E1136" t="s">
        <v>91</v>
      </c>
      <c r="F1136" t="s">
        <v>6</v>
      </c>
      <c r="G1136" t="s">
        <v>1106</v>
      </c>
      <c r="H1136" t="s">
        <v>59</v>
      </c>
      <c r="I1136">
        <v>75.45</v>
      </c>
      <c r="J1136">
        <v>75.400000000000006</v>
      </c>
      <c r="K1136">
        <v>76.31</v>
      </c>
      <c r="L1136">
        <v>38.06</v>
      </c>
      <c r="M1136">
        <v>38.54</v>
      </c>
      <c r="N1136">
        <v>39.21</v>
      </c>
    </row>
    <row r="1137" spans="3:14" x14ac:dyDescent="0.15">
      <c r="C1137" s="123">
        <v>42583</v>
      </c>
      <c r="D1137" t="s">
        <v>5</v>
      </c>
      <c r="E1137" t="s">
        <v>91</v>
      </c>
      <c r="F1137" t="s">
        <v>6</v>
      </c>
      <c r="G1137" t="s">
        <v>1106</v>
      </c>
      <c r="H1137" t="s">
        <v>60</v>
      </c>
      <c r="I1137">
        <v>73.849999999999994</v>
      </c>
      <c r="J1137">
        <v>73.8</v>
      </c>
      <c r="K1137">
        <v>74.709999999999994</v>
      </c>
      <c r="L1137">
        <v>36.46</v>
      </c>
      <c r="M1137">
        <v>36.94</v>
      </c>
      <c r="N1137">
        <v>37.61</v>
      </c>
    </row>
    <row r="1138" spans="3:14" x14ac:dyDescent="0.15">
      <c r="C1138" s="123">
        <v>42583</v>
      </c>
      <c r="D1138" t="s">
        <v>5</v>
      </c>
      <c r="E1138" t="s">
        <v>91</v>
      </c>
      <c r="F1138" t="s">
        <v>6</v>
      </c>
      <c r="G1138" t="s">
        <v>1106</v>
      </c>
      <c r="H1138" t="s">
        <v>648</v>
      </c>
      <c r="I1138">
        <v>72.8</v>
      </c>
      <c r="J1138">
        <v>72.75</v>
      </c>
      <c r="K1138">
        <v>73.66</v>
      </c>
      <c r="L1138">
        <v>35.409999999999997</v>
      </c>
      <c r="M1138">
        <v>35.89</v>
      </c>
      <c r="N1138">
        <v>36.56</v>
      </c>
    </row>
    <row r="1139" spans="3:14" x14ac:dyDescent="0.15">
      <c r="C1139" s="123">
        <v>42614</v>
      </c>
      <c r="D1139" t="s">
        <v>5</v>
      </c>
      <c r="E1139" t="s">
        <v>91</v>
      </c>
      <c r="F1139" t="s">
        <v>6</v>
      </c>
      <c r="G1139" t="s">
        <v>1106</v>
      </c>
      <c r="H1139" t="s">
        <v>59</v>
      </c>
      <c r="I1139">
        <v>75.569999999999993</v>
      </c>
      <c r="J1139">
        <v>75.349999999999994</v>
      </c>
      <c r="K1139">
        <v>76.44</v>
      </c>
      <c r="L1139">
        <v>38.26</v>
      </c>
      <c r="M1139">
        <v>38.54</v>
      </c>
      <c r="N1139">
        <v>39.39</v>
      </c>
    </row>
    <row r="1140" spans="3:14" x14ac:dyDescent="0.15">
      <c r="C1140" s="123">
        <v>42614</v>
      </c>
      <c r="D1140" t="s">
        <v>5</v>
      </c>
      <c r="E1140" t="s">
        <v>91</v>
      </c>
      <c r="F1140" t="s">
        <v>6</v>
      </c>
      <c r="G1140" t="s">
        <v>1106</v>
      </c>
      <c r="H1140" t="s">
        <v>60</v>
      </c>
      <c r="I1140">
        <v>73.97</v>
      </c>
      <c r="J1140">
        <v>73.75</v>
      </c>
      <c r="K1140">
        <v>74.84</v>
      </c>
      <c r="L1140">
        <v>36.659999999999997</v>
      </c>
      <c r="M1140">
        <v>36.94</v>
      </c>
      <c r="N1140">
        <v>37.79</v>
      </c>
    </row>
    <row r="1141" spans="3:14" x14ac:dyDescent="0.15">
      <c r="C1141" s="123">
        <v>42614</v>
      </c>
      <c r="D1141" t="s">
        <v>5</v>
      </c>
      <c r="E1141" t="s">
        <v>91</v>
      </c>
      <c r="F1141" t="s">
        <v>6</v>
      </c>
      <c r="G1141" t="s">
        <v>1106</v>
      </c>
      <c r="H1141" t="s">
        <v>648</v>
      </c>
      <c r="I1141">
        <v>72.92</v>
      </c>
      <c r="J1141">
        <v>72.7</v>
      </c>
      <c r="K1141">
        <v>73.790000000000006</v>
      </c>
      <c r="L1141">
        <v>35.61</v>
      </c>
      <c r="M1141">
        <v>35.89</v>
      </c>
      <c r="N1141">
        <v>36.74</v>
      </c>
    </row>
    <row r="1142" spans="3:14" x14ac:dyDescent="0.15">
      <c r="C1142" s="123">
        <v>42644</v>
      </c>
      <c r="D1142" t="s">
        <v>5</v>
      </c>
      <c r="E1142" t="s">
        <v>91</v>
      </c>
      <c r="F1142" t="s">
        <v>6</v>
      </c>
      <c r="G1142" t="s">
        <v>1106</v>
      </c>
      <c r="H1142" t="s">
        <v>59</v>
      </c>
      <c r="I1142">
        <v>75.739999999999995</v>
      </c>
      <c r="J1142">
        <v>75.69</v>
      </c>
      <c r="K1142">
        <v>76.56</v>
      </c>
      <c r="L1142">
        <v>38.47</v>
      </c>
      <c r="M1142">
        <v>38.700000000000003</v>
      </c>
      <c r="N1142">
        <v>39.590000000000003</v>
      </c>
    </row>
    <row r="1143" spans="3:14" x14ac:dyDescent="0.15">
      <c r="C1143" s="123">
        <v>42644</v>
      </c>
      <c r="D1143" t="s">
        <v>5</v>
      </c>
      <c r="E1143" t="s">
        <v>91</v>
      </c>
      <c r="F1143" t="s">
        <v>6</v>
      </c>
      <c r="G1143" t="s">
        <v>1106</v>
      </c>
      <c r="H1143" t="s">
        <v>60</v>
      </c>
      <c r="I1143">
        <v>74.14</v>
      </c>
      <c r="J1143">
        <v>74.09</v>
      </c>
      <c r="K1143">
        <v>74.959999999999994</v>
      </c>
      <c r="L1143">
        <v>36.869999999999997</v>
      </c>
      <c r="M1143">
        <v>37.1</v>
      </c>
      <c r="N1143">
        <v>37.99</v>
      </c>
    </row>
    <row r="1144" spans="3:14" x14ac:dyDescent="0.15">
      <c r="C1144" s="123">
        <v>42644</v>
      </c>
      <c r="D1144" t="s">
        <v>5</v>
      </c>
      <c r="E1144" t="s">
        <v>91</v>
      </c>
      <c r="F1144" t="s">
        <v>6</v>
      </c>
      <c r="G1144" t="s">
        <v>1106</v>
      </c>
      <c r="H1144" t="s">
        <v>648</v>
      </c>
      <c r="I1144">
        <v>73.09</v>
      </c>
      <c r="J1144">
        <v>73.040000000000006</v>
      </c>
      <c r="K1144">
        <v>73.91</v>
      </c>
      <c r="L1144">
        <v>35.82</v>
      </c>
      <c r="M1144">
        <v>36.049999999999997</v>
      </c>
      <c r="N1144">
        <v>36.94</v>
      </c>
    </row>
    <row r="1145" spans="3:14" x14ac:dyDescent="0.15">
      <c r="C1145" s="123">
        <v>42675</v>
      </c>
      <c r="D1145" t="s">
        <v>5</v>
      </c>
      <c r="E1145" t="s">
        <v>91</v>
      </c>
      <c r="F1145" t="s">
        <v>6</v>
      </c>
      <c r="G1145" t="s">
        <v>1106</v>
      </c>
      <c r="H1145" t="s">
        <v>59</v>
      </c>
      <c r="I1145">
        <v>75.91</v>
      </c>
      <c r="J1145">
        <v>75.900000000000006</v>
      </c>
      <c r="K1145">
        <v>76.7</v>
      </c>
      <c r="L1145">
        <v>38.659999999999997</v>
      </c>
      <c r="M1145">
        <v>38.840000000000003</v>
      </c>
      <c r="N1145">
        <v>39.75</v>
      </c>
    </row>
    <row r="1146" spans="3:14" x14ac:dyDescent="0.15">
      <c r="C1146" s="123">
        <v>42675</v>
      </c>
      <c r="D1146" t="s">
        <v>5</v>
      </c>
      <c r="E1146" t="s">
        <v>91</v>
      </c>
      <c r="F1146" t="s">
        <v>6</v>
      </c>
      <c r="G1146" t="s">
        <v>1106</v>
      </c>
      <c r="H1146" t="s">
        <v>60</v>
      </c>
      <c r="I1146">
        <v>74.31</v>
      </c>
      <c r="J1146">
        <v>74.3</v>
      </c>
      <c r="K1146">
        <v>75.099999999999994</v>
      </c>
      <c r="L1146">
        <v>37.06</v>
      </c>
      <c r="M1146">
        <v>37.24</v>
      </c>
      <c r="N1146">
        <v>38.15</v>
      </c>
    </row>
    <row r="1147" spans="3:14" x14ac:dyDescent="0.15">
      <c r="C1147" s="123">
        <v>42675</v>
      </c>
      <c r="D1147" t="s">
        <v>5</v>
      </c>
      <c r="E1147" t="s">
        <v>91</v>
      </c>
      <c r="F1147" t="s">
        <v>6</v>
      </c>
      <c r="G1147" t="s">
        <v>1106</v>
      </c>
      <c r="H1147" t="s">
        <v>648</v>
      </c>
      <c r="I1147">
        <v>73.260000000000005</v>
      </c>
      <c r="J1147">
        <v>73.25</v>
      </c>
      <c r="K1147">
        <v>74.05</v>
      </c>
      <c r="L1147">
        <v>36.01</v>
      </c>
      <c r="M1147">
        <v>36.19</v>
      </c>
      <c r="N1147">
        <v>37.1</v>
      </c>
    </row>
    <row r="1148" spans="3:14" x14ac:dyDescent="0.15">
      <c r="C1148" s="123">
        <v>42705</v>
      </c>
      <c r="D1148" t="s">
        <v>5</v>
      </c>
      <c r="E1148" t="s">
        <v>91</v>
      </c>
      <c r="F1148" t="s">
        <v>6</v>
      </c>
      <c r="G1148" t="s">
        <v>1106</v>
      </c>
      <c r="H1148" t="s">
        <v>59</v>
      </c>
      <c r="I1148">
        <v>76</v>
      </c>
      <c r="J1148">
        <v>76.22</v>
      </c>
      <c r="K1148">
        <v>76.8</v>
      </c>
      <c r="L1148">
        <v>38.82</v>
      </c>
      <c r="M1148">
        <v>39.090000000000003</v>
      </c>
      <c r="N1148">
        <v>39.9</v>
      </c>
    </row>
    <row r="1149" spans="3:14" x14ac:dyDescent="0.15">
      <c r="C1149" s="123">
        <v>42705</v>
      </c>
      <c r="D1149" t="s">
        <v>5</v>
      </c>
      <c r="E1149" t="s">
        <v>91</v>
      </c>
      <c r="F1149" t="s">
        <v>6</v>
      </c>
      <c r="G1149" t="s">
        <v>1106</v>
      </c>
      <c r="H1149" t="s">
        <v>60</v>
      </c>
      <c r="I1149">
        <v>74.400000000000006</v>
      </c>
      <c r="J1149">
        <v>74.62</v>
      </c>
      <c r="K1149">
        <v>75.2</v>
      </c>
      <c r="L1149">
        <v>37.22</v>
      </c>
      <c r="M1149">
        <v>37.49</v>
      </c>
      <c r="N1149">
        <v>38.299999999999997</v>
      </c>
    </row>
    <row r="1150" spans="3:14" x14ac:dyDescent="0.15">
      <c r="C1150" s="123">
        <v>42705</v>
      </c>
      <c r="D1150" t="s">
        <v>5</v>
      </c>
      <c r="E1150" t="s">
        <v>91</v>
      </c>
      <c r="F1150" t="s">
        <v>6</v>
      </c>
      <c r="G1150" t="s">
        <v>1106</v>
      </c>
      <c r="H1150" t="s">
        <v>648</v>
      </c>
      <c r="I1150">
        <v>73.349999999999994</v>
      </c>
      <c r="J1150">
        <v>73.569999999999993</v>
      </c>
      <c r="K1150">
        <v>74.150000000000006</v>
      </c>
      <c r="L1150">
        <v>36.17</v>
      </c>
      <c r="M1150">
        <v>36.44</v>
      </c>
      <c r="N1150">
        <v>37.25</v>
      </c>
    </row>
    <row r="1151" spans="3:14" x14ac:dyDescent="0.15">
      <c r="C1151" s="123">
        <v>42736</v>
      </c>
      <c r="D1151" t="s">
        <v>5</v>
      </c>
      <c r="E1151" t="s">
        <v>91</v>
      </c>
      <c r="F1151" t="s">
        <v>6</v>
      </c>
      <c r="G1151" t="s">
        <v>1106</v>
      </c>
      <c r="H1151" t="s">
        <v>59</v>
      </c>
      <c r="I1151">
        <v>76.180000000000007</v>
      </c>
      <c r="J1151">
        <v>76.73</v>
      </c>
      <c r="K1151">
        <v>77</v>
      </c>
      <c r="L1151">
        <v>39.07</v>
      </c>
      <c r="M1151">
        <v>39.520000000000003</v>
      </c>
      <c r="N1151">
        <v>40.11</v>
      </c>
    </row>
    <row r="1152" spans="3:14" x14ac:dyDescent="0.15">
      <c r="C1152" s="123">
        <v>42736</v>
      </c>
      <c r="D1152" t="s">
        <v>5</v>
      </c>
      <c r="E1152" t="s">
        <v>91</v>
      </c>
      <c r="F1152" t="s">
        <v>6</v>
      </c>
      <c r="G1152" t="s">
        <v>1106</v>
      </c>
      <c r="H1152" t="s">
        <v>60</v>
      </c>
      <c r="I1152">
        <v>74.58</v>
      </c>
      <c r="J1152">
        <v>75.13</v>
      </c>
      <c r="K1152">
        <v>75.400000000000006</v>
      </c>
      <c r="L1152">
        <v>37.47</v>
      </c>
      <c r="M1152">
        <v>37.92</v>
      </c>
      <c r="N1152">
        <v>38.51</v>
      </c>
    </row>
    <row r="1153" spans="3:14" x14ac:dyDescent="0.15">
      <c r="C1153" s="123">
        <v>42736</v>
      </c>
      <c r="D1153" t="s">
        <v>5</v>
      </c>
      <c r="E1153" t="s">
        <v>91</v>
      </c>
      <c r="F1153" t="s">
        <v>6</v>
      </c>
      <c r="G1153" t="s">
        <v>1106</v>
      </c>
      <c r="H1153" t="s">
        <v>648</v>
      </c>
      <c r="I1153">
        <v>73.53</v>
      </c>
      <c r="J1153">
        <v>74.08</v>
      </c>
      <c r="K1153">
        <v>74.349999999999994</v>
      </c>
      <c r="L1153">
        <v>36.42</v>
      </c>
      <c r="M1153">
        <v>36.869999999999997</v>
      </c>
      <c r="N1153">
        <v>37.46</v>
      </c>
    </row>
    <row r="1154" spans="3:14" x14ac:dyDescent="0.15">
      <c r="C1154" s="123">
        <v>42401</v>
      </c>
      <c r="D1154" t="s">
        <v>5</v>
      </c>
      <c r="E1154" t="s">
        <v>12</v>
      </c>
      <c r="F1154" t="s">
        <v>13</v>
      </c>
      <c r="G1154" t="s">
        <v>117</v>
      </c>
      <c r="H1154" t="s">
        <v>59</v>
      </c>
      <c r="I1154">
        <v>72.56</v>
      </c>
      <c r="J1154">
        <v>73.39</v>
      </c>
      <c r="K1154">
        <v>72.89</v>
      </c>
      <c r="L1154">
        <v>30.96</v>
      </c>
      <c r="M1154">
        <v>31.45</v>
      </c>
      <c r="N1154">
        <v>31.44</v>
      </c>
    </row>
    <row r="1155" spans="3:14" x14ac:dyDescent="0.15">
      <c r="C1155" s="123">
        <v>42401</v>
      </c>
      <c r="D1155" t="s">
        <v>5</v>
      </c>
      <c r="E1155" t="s">
        <v>12</v>
      </c>
      <c r="F1155" t="s">
        <v>13</v>
      </c>
      <c r="G1155" t="s">
        <v>117</v>
      </c>
      <c r="H1155" t="s">
        <v>60</v>
      </c>
      <c r="I1155">
        <v>70.959999999999994</v>
      </c>
      <c r="J1155">
        <v>71.790000000000006</v>
      </c>
      <c r="K1155">
        <v>71.290000000000006</v>
      </c>
      <c r="L1155">
        <v>29.36</v>
      </c>
      <c r="M1155">
        <v>29.85</v>
      </c>
      <c r="N1155">
        <v>29.84</v>
      </c>
    </row>
    <row r="1156" spans="3:14" x14ac:dyDescent="0.15">
      <c r="C1156" s="123">
        <v>42401</v>
      </c>
      <c r="D1156" t="s">
        <v>5</v>
      </c>
      <c r="E1156" t="s">
        <v>12</v>
      </c>
      <c r="F1156" t="s">
        <v>13</v>
      </c>
      <c r="G1156" t="s">
        <v>117</v>
      </c>
      <c r="H1156" t="s">
        <v>648</v>
      </c>
      <c r="I1156">
        <v>69.91</v>
      </c>
      <c r="J1156">
        <v>70.739999999999995</v>
      </c>
      <c r="K1156">
        <v>70.239999999999995</v>
      </c>
      <c r="L1156">
        <v>28.31</v>
      </c>
      <c r="M1156">
        <v>28.8</v>
      </c>
      <c r="N1156">
        <v>28.79</v>
      </c>
    </row>
    <row r="1157" spans="3:14" x14ac:dyDescent="0.15">
      <c r="C1157" s="123">
        <v>42430</v>
      </c>
      <c r="D1157" t="s">
        <v>5</v>
      </c>
      <c r="E1157" t="s">
        <v>12</v>
      </c>
      <c r="F1157" t="s">
        <v>13</v>
      </c>
      <c r="G1157" t="s">
        <v>117</v>
      </c>
      <c r="H1157" t="s">
        <v>59</v>
      </c>
      <c r="I1157">
        <v>73.459999999999994</v>
      </c>
      <c r="J1157">
        <v>73</v>
      </c>
      <c r="K1157">
        <v>73.290000000000006</v>
      </c>
      <c r="L1157">
        <v>30.95</v>
      </c>
      <c r="M1157">
        <v>30.83</v>
      </c>
      <c r="N1157">
        <v>31.42</v>
      </c>
    </row>
    <row r="1158" spans="3:14" x14ac:dyDescent="0.15">
      <c r="C1158" s="123">
        <v>42430</v>
      </c>
      <c r="D1158" t="s">
        <v>5</v>
      </c>
      <c r="E1158" t="s">
        <v>12</v>
      </c>
      <c r="F1158" t="s">
        <v>13</v>
      </c>
      <c r="G1158" t="s">
        <v>117</v>
      </c>
      <c r="H1158" t="s">
        <v>60</v>
      </c>
      <c r="I1158">
        <v>71.86</v>
      </c>
      <c r="J1158">
        <v>71.400000000000006</v>
      </c>
      <c r="K1158">
        <v>71.69</v>
      </c>
      <c r="L1158">
        <v>29.35</v>
      </c>
      <c r="M1158">
        <v>29.23</v>
      </c>
      <c r="N1158">
        <v>29.82</v>
      </c>
    </row>
    <row r="1159" spans="3:14" x14ac:dyDescent="0.15">
      <c r="C1159" s="123">
        <v>42430</v>
      </c>
      <c r="D1159" t="s">
        <v>5</v>
      </c>
      <c r="E1159" t="s">
        <v>12</v>
      </c>
      <c r="F1159" t="s">
        <v>13</v>
      </c>
      <c r="G1159" t="s">
        <v>117</v>
      </c>
      <c r="H1159" t="s">
        <v>648</v>
      </c>
      <c r="I1159">
        <v>70.81</v>
      </c>
      <c r="J1159">
        <v>70.349999999999994</v>
      </c>
      <c r="K1159">
        <v>70.64</v>
      </c>
      <c r="L1159">
        <v>28.3</v>
      </c>
      <c r="M1159">
        <v>28.18</v>
      </c>
      <c r="N1159">
        <v>28.77</v>
      </c>
    </row>
    <row r="1160" spans="3:14" x14ac:dyDescent="0.15">
      <c r="C1160" s="123">
        <v>42461</v>
      </c>
      <c r="D1160" t="s">
        <v>5</v>
      </c>
      <c r="E1160" t="s">
        <v>12</v>
      </c>
      <c r="F1160" t="s">
        <v>13</v>
      </c>
      <c r="G1160" t="s">
        <v>117</v>
      </c>
      <c r="H1160" t="s">
        <v>59</v>
      </c>
      <c r="I1160">
        <v>73.94</v>
      </c>
      <c r="J1160">
        <v>72.62</v>
      </c>
      <c r="K1160">
        <v>73.510000000000005</v>
      </c>
      <c r="L1160">
        <v>31.53</v>
      </c>
      <c r="M1160">
        <v>30.66</v>
      </c>
      <c r="N1160">
        <v>31.77</v>
      </c>
    </row>
    <row r="1161" spans="3:14" x14ac:dyDescent="0.15">
      <c r="C1161" s="123">
        <v>42461</v>
      </c>
      <c r="D1161" t="s">
        <v>5</v>
      </c>
      <c r="E1161" t="s">
        <v>12</v>
      </c>
      <c r="F1161" t="s">
        <v>13</v>
      </c>
      <c r="G1161" t="s">
        <v>117</v>
      </c>
      <c r="H1161" t="s">
        <v>60</v>
      </c>
      <c r="I1161">
        <v>72.34</v>
      </c>
      <c r="J1161">
        <v>71.02</v>
      </c>
      <c r="K1161">
        <v>71.91</v>
      </c>
      <c r="L1161">
        <v>29.93</v>
      </c>
      <c r="M1161">
        <v>29.06</v>
      </c>
      <c r="N1161">
        <v>30.17</v>
      </c>
    </row>
    <row r="1162" spans="3:14" x14ac:dyDescent="0.15">
      <c r="C1162" s="123">
        <v>42461</v>
      </c>
      <c r="D1162" t="s">
        <v>5</v>
      </c>
      <c r="E1162" t="s">
        <v>12</v>
      </c>
      <c r="F1162" t="s">
        <v>13</v>
      </c>
      <c r="G1162" t="s">
        <v>117</v>
      </c>
      <c r="H1162" t="s">
        <v>648</v>
      </c>
      <c r="I1162">
        <v>71.290000000000006</v>
      </c>
      <c r="J1162">
        <v>69.97</v>
      </c>
      <c r="K1162">
        <v>70.86</v>
      </c>
      <c r="L1162">
        <v>28.88</v>
      </c>
      <c r="M1162">
        <v>28.01</v>
      </c>
      <c r="N1162">
        <v>29.12</v>
      </c>
    </row>
    <row r="1163" spans="3:14" x14ac:dyDescent="0.15">
      <c r="C1163" s="123">
        <v>42491</v>
      </c>
      <c r="D1163" t="s">
        <v>5</v>
      </c>
      <c r="E1163" t="s">
        <v>12</v>
      </c>
      <c r="F1163" t="s">
        <v>13</v>
      </c>
      <c r="G1163" t="s">
        <v>117</v>
      </c>
      <c r="H1163" t="s">
        <v>59</v>
      </c>
      <c r="I1163">
        <v>73.959999999999994</v>
      </c>
      <c r="J1163">
        <v>72.37</v>
      </c>
      <c r="K1163">
        <v>73.5</v>
      </c>
      <c r="L1163">
        <v>31.41</v>
      </c>
      <c r="M1163">
        <v>30.57</v>
      </c>
      <c r="N1163">
        <v>31.77</v>
      </c>
    </row>
    <row r="1164" spans="3:14" x14ac:dyDescent="0.15">
      <c r="C1164" s="123">
        <v>42491</v>
      </c>
      <c r="D1164" t="s">
        <v>5</v>
      </c>
      <c r="E1164" t="s">
        <v>12</v>
      </c>
      <c r="F1164" t="s">
        <v>13</v>
      </c>
      <c r="G1164" t="s">
        <v>117</v>
      </c>
      <c r="H1164" t="s">
        <v>60</v>
      </c>
      <c r="I1164">
        <v>72.36</v>
      </c>
      <c r="J1164">
        <v>70.77</v>
      </c>
      <c r="K1164">
        <v>71.900000000000006</v>
      </c>
      <c r="L1164">
        <v>29.81</v>
      </c>
      <c r="M1164">
        <v>28.97</v>
      </c>
      <c r="N1164">
        <v>30.17</v>
      </c>
    </row>
    <row r="1165" spans="3:14" x14ac:dyDescent="0.15">
      <c r="C1165" s="123">
        <v>42491</v>
      </c>
      <c r="D1165" t="s">
        <v>5</v>
      </c>
      <c r="E1165" t="s">
        <v>12</v>
      </c>
      <c r="F1165" t="s">
        <v>13</v>
      </c>
      <c r="G1165" t="s">
        <v>117</v>
      </c>
      <c r="H1165" t="s">
        <v>648</v>
      </c>
      <c r="I1165">
        <v>71.31</v>
      </c>
      <c r="J1165">
        <v>69.72</v>
      </c>
      <c r="K1165">
        <v>70.849999999999994</v>
      </c>
      <c r="L1165">
        <v>28.76</v>
      </c>
      <c r="M1165">
        <v>27.92</v>
      </c>
      <c r="N1165">
        <v>29.12</v>
      </c>
    </row>
    <row r="1166" spans="3:14" x14ac:dyDescent="0.15">
      <c r="C1166" s="123">
        <v>42522</v>
      </c>
      <c r="D1166" t="s">
        <v>5</v>
      </c>
      <c r="E1166" t="s">
        <v>12</v>
      </c>
      <c r="F1166" t="s">
        <v>13</v>
      </c>
      <c r="G1166" t="s">
        <v>117</v>
      </c>
      <c r="H1166" t="s">
        <v>59</v>
      </c>
      <c r="I1166">
        <v>73.92</v>
      </c>
      <c r="J1166">
        <v>72.06</v>
      </c>
      <c r="K1166">
        <v>73.48</v>
      </c>
      <c r="L1166">
        <v>31.34</v>
      </c>
      <c r="M1166">
        <v>30.48</v>
      </c>
      <c r="N1166">
        <v>31.78</v>
      </c>
    </row>
    <row r="1167" spans="3:14" x14ac:dyDescent="0.15">
      <c r="C1167" s="123">
        <v>42522</v>
      </c>
      <c r="D1167" t="s">
        <v>5</v>
      </c>
      <c r="E1167" t="s">
        <v>12</v>
      </c>
      <c r="F1167" t="s">
        <v>13</v>
      </c>
      <c r="G1167" t="s">
        <v>117</v>
      </c>
      <c r="H1167" t="s">
        <v>60</v>
      </c>
      <c r="I1167">
        <v>72.319999999999993</v>
      </c>
      <c r="J1167">
        <v>70.459999999999994</v>
      </c>
      <c r="K1167">
        <v>71.88</v>
      </c>
      <c r="L1167">
        <v>29.74</v>
      </c>
      <c r="M1167">
        <v>28.88</v>
      </c>
      <c r="N1167">
        <v>30.18</v>
      </c>
    </row>
    <row r="1168" spans="3:14" x14ac:dyDescent="0.15">
      <c r="C1168" s="123">
        <v>42522</v>
      </c>
      <c r="D1168" t="s">
        <v>5</v>
      </c>
      <c r="E1168" t="s">
        <v>12</v>
      </c>
      <c r="F1168" t="s">
        <v>13</v>
      </c>
      <c r="G1168" t="s">
        <v>117</v>
      </c>
      <c r="H1168" t="s">
        <v>648</v>
      </c>
      <c r="I1168">
        <v>71.27</v>
      </c>
      <c r="J1168">
        <v>69.41</v>
      </c>
      <c r="K1168">
        <v>70.83</v>
      </c>
      <c r="L1168">
        <v>28.69</v>
      </c>
      <c r="M1168">
        <v>27.83</v>
      </c>
      <c r="N1168">
        <v>29.13</v>
      </c>
    </row>
    <row r="1169" spans="3:14" x14ac:dyDescent="0.15">
      <c r="C1169" s="123">
        <v>42552</v>
      </c>
      <c r="D1169" t="s">
        <v>5</v>
      </c>
      <c r="E1169" t="s">
        <v>12</v>
      </c>
      <c r="F1169" t="s">
        <v>13</v>
      </c>
      <c r="G1169" t="s">
        <v>117</v>
      </c>
      <c r="H1169" t="s">
        <v>59</v>
      </c>
      <c r="I1169">
        <v>73.94</v>
      </c>
      <c r="J1169">
        <v>72.040000000000006</v>
      </c>
      <c r="K1169">
        <v>73.55</v>
      </c>
      <c r="L1169">
        <v>31.45</v>
      </c>
      <c r="M1169">
        <v>30.87</v>
      </c>
      <c r="N1169">
        <v>32.03</v>
      </c>
    </row>
    <row r="1170" spans="3:14" x14ac:dyDescent="0.15">
      <c r="C1170" s="123">
        <v>42552</v>
      </c>
      <c r="D1170" t="s">
        <v>5</v>
      </c>
      <c r="E1170" t="s">
        <v>12</v>
      </c>
      <c r="F1170" t="s">
        <v>13</v>
      </c>
      <c r="G1170" t="s">
        <v>117</v>
      </c>
      <c r="H1170" t="s">
        <v>60</v>
      </c>
      <c r="I1170">
        <v>72.34</v>
      </c>
      <c r="J1170">
        <v>70.44</v>
      </c>
      <c r="K1170">
        <v>71.95</v>
      </c>
      <c r="L1170">
        <v>29.85</v>
      </c>
      <c r="M1170">
        <v>29.27</v>
      </c>
      <c r="N1170">
        <v>30.43</v>
      </c>
    </row>
    <row r="1171" spans="3:14" x14ac:dyDescent="0.15">
      <c r="C1171" s="123">
        <v>42552</v>
      </c>
      <c r="D1171" t="s">
        <v>5</v>
      </c>
      <c r="E1171" t="s">
        <v>12</v>
      </c>
      <c r="F1171" t="s">
        <v>13</v>
      </c>
      <c r="G1171" t="s">
        <v>117</v>
      </c>
      <c r="H1171" t="s">
        <v>648</v>
      </c>
      <c r="I1171">
        <v>71.290000000000006</v>
      </c>
      <c r="J1171">
        <v>69.39</v>
      </c>
      <c r="K1171">
        <v>70.900000000000006</v>
      </c>
      <c r="L1171">
        <v>28.8</v>
      </c>
      <c r="M1171">
        <v>28.22</v>
      </c>
      <c r="N1171">
        <v>29.38</v>
      </c>
    </row>
    <row r="1172" spans="3:14" x14ac:dyDescent="0.15">
      <c r="C1172" s="123">
        <v>42583</v>
      </c>
      <c r="D1172" t="s">
        <v>5</v>
      </c>
      <c r="E1172" t="s">
        <v>12</v>
      </c>
      <c r="F1172" t="s">
        <v>13</v>
      </c>
      <c r="G1172" t="s">
        <v>117</v>
      </c>
      <c r="H1172" t="s">
        <v>59</v>
      </c>
      <c r="I1172">
        <v>73.87</v>
      </c>
      <c r="J1172">
        <v>73.040000000000006</v>
      </c>
      <c r="K1172">
        <v>73.599999999999994</v>
      </c>
      <c r="L1172">
        <v>31.59</v>
      </c>
      <c r="M1172">
        <v>31.53</v>
      </c>
      <c r="N1172">
        <v>32.200000000000003</v>
      </c>
    </row>
    <row r="1173" spans="3:14" x14ac:dyDescent="0.15">
      <c r="C1173" s="123">
        <v>42583</v>
      </c>
      <c r="D1173" t="s">
        <v>5</v>
      </c>
      <c r="E1173" t="s">
        <v>12</v>
      </c>
      <c r="F1173" t="s">
        <v>13</v>
      </c>
      <c r="G1173" t="s">
        <v>117</v>
      </c>
      <c r="H1173" t="s">
        <v>60</v>
      </c>
      <c r="I1173">
        <v>72.27</v>
      </c>
      <c r="J1173">
        <v>71.44</v>
      </c>
      <c r="K1173">
        <v>72</v>
      </c>
      <c r="L1173">
        <v>29.99</v>
      </c>
      <c r="M1173">
        <v>29.93</v>
      </c>
      <c r="N1173">
        <v>30.6</v>
      </c>
    </row>
    <row r="1174" spans="3:14" x14ac:dyDescent="0.15">
      <c r="C1174" s="123">
        <v>42583</v>
      </c>
      <c r="D1174" t="s">
        <v>5</v>
      </c>
      <c r="E1174" t="s">
        <v>12</v>
      </c>
      <c r="F1174" t="s">
        <v>13</v>
      </c>
      <c r="G1174" t="s">
        <v>117</v>
      </c>
      <c r="H1174" t="s">
        <v>648</v>
      </c>
      <c r="I1174">
        <v>71.22</v>
      </c>
      <c r="J1174">
        <v>70.39</v>
      </c>
      <c r="K1174">
        <v>70.95</v>
      </c>
      <c r="L1174">
        <v>28.94</v>
      </c>
      <c r="M1174">
        <v>28.88</v>
      </c>
      <c r="N1174">
        <v>29.55</v>
      </c>
    </row>
    <row r="1175" spans="3:14" x14ac:dyDescent="0.15">
      <c r="C1175" s="123">
        <v>42614</v>
      </c>
      <c r="D1175" t="s">
        <v>5</v>
      </c>
      <c r="E1175" t="s">
        <v>12</v>
      </c>
      <c r="F1175" t="s">
        <v>13</v>
      </c>
      <c r="G1175" t="s">
        <v>117</v>
      </c>
      <c r="H1175" t="s">
        <v>59</v>
      </c>
      <c r="I1175">
        <v>73.790000000000006</v>
      </c>
      <c r="J1175">
        <v>73.91</v>
      </c>
      <c r="K1175">
        <v>73.64</v>
      </c>
      <c r="L1175">
        <v>31.7</v>
      </c>
      <c r="M1175">
        <v>32.19</v>
      </c>
      <c r="N1175">
        <v>32.39</v>
      </c>
    </row>
    <row r="1176" spans="3:14" x14ac:dyDescent="0.15">
      <c r="C1176" s="123">
        <v>42614</v>
      </c>
      <c r="D1176" t="s">
        <v>5</v>
      </c>
      <c r="E1176" t="s">
        <v>12</v>
      </c>
      <c r="F1176" t="s">
        <v>13</v>
      </c>
      <c r="G1176" t="s">
        <v>117</v>
      </c>
      <c r="H1176" t="s">
        <v>60</v>
      </c>
      <c r="I1176">
        <v>72.19</v>
      </c>
      <c r="J1176">
        <v>72.31</v>
      </c>
      <c r="K1176">
        <v>72.040000000000006</v>
      </c>
      <c r="L1176">
        <v>30.1</v>
      </c>
      <c r="M1176">
        <v>30.59</v>
      </c>
      <c r="N1176">
        <v>30.79</v>
      </c>
    </row>
    <row r="1177" spans="3:14" x14ac:dyDescent="0.15">
      <c r="C1177" s="123">
        <v>42614</v>
      </c>
      <c r="D1177" t="s">
        <v>5</v>
      </c>
      <c r="E1177" t="s">
        <v>12</v>
      </c>
      <c r="F1177" t="s">
        <v>13</v>
      </c>
      <c r="G1177" t="s">
        <v>117</v>
      </c>
      <c r="H1177" t="s">
        <v>648</v>
      </c>
      <c r="I1177">
        <v>71.14</v>
      </c>
      <c r="J1177">
        <v>71.260000000000005</v>
      </c>
      <c r="K1177">
        <v>70.989999999999995</v>
      </c>
      <c r="L1177">
        <v>29.05</v>
      </c>
      <c r="M1177">
        <v>29.54</v>
      </c>
      <c r="N1177">
        <v>29.74</v>
      </c>
    </row>
    <row r="1178" spans="3:14" x14ac:dyDescent="0.15">
      <c r="C1178" s="123">
        <v>42644</v>
      </c>
      <c r="D1178" t="s">
        <v>5</v>
      </c>
      <c r="E1178" t="s">
        <v>12</v>
      </c>
      <c r="F1178" t="s">
        <v>13</v>
      </c>
      <c r="G1178" t="s">
        <v>117</v>
      </c>
      <c r="H1178" t="s">
        <v>59</v>
      </c>
      <c r="I1178">
        <v>73.69</v>
      </c>
      <c r="J1178">
        <v>74.5</v>
      </c>
      <c r="K1178">
        <v>73.599999999999994</v>
      </c>
      <c r="L1178">
        <v>31.68</v>
      </c>
      <c r="M1178">
        <v>32.79</v>
      </c>
      <c r="N1178">
        <v>32.49</v>
      </c>
    </row>
    <row r="1179" spans="3:14" x14ac:dyDescent="0.15">
      <c r="C1179" s="123">
        <v>42644</v>
      </c>
      <c r="D1179" t="s">
        <v>5</v>
      </c>
      <c r="E1179" t="s">
        <v>12</v>
      </c>
      <c r="F1179" t="s">
        <v>13</v>
      </c>
      <c r="G1179" t="s">
        <v>117</v>
      </c>
      <c r="H1179" t="s">
        <v>60</v>
      </c>
      <c r="I1179">
        <v>72.09</v>
      </c>
      <c r="J1179">
        <v>72.900000000000006</v>
      </c>
      <c r="K1179">
        <v>72</v>
      </c>
      <c r="L1179">
        <v>30.08</v>
      </c>
      <c r="M1179">
        <v>31.19</v>
      </c>
      <c r="N1179">
        <v>30.89</v>
      </c>
    </row>
    <row r="1180" spans="3:14" x14ac:dyDescent="0.15">
      <c r="C1180" s="123">
        <v>42644</v>
      </c>
      <c r="D1180" t="s">
        <v>5</v>
      </c>
      <c r="E1180" t="s">
        <v>12</v>
      </c>
      <c r="F1180" t="s">
        <v>13</v>
      </c>
      <c r="G1180" t="s">
        <v>117</v>
      </c>
      <c r="H1180" t="s">
        <v>648</v>
      </c>
      <c r="I1180">
        <v>71.040000000000006</v>
      </c>
      <c r="J1180">
        <v>71.849999999999994</v>
      </c>
      <c r="K1180">
        <v>70.95</v>
      </c>
      <c r="L1180">
        <v>29.03</v>
      </c>
      <c r="M1180">
        <v>30.14</v>
      </c>
      <c r="N1180">
        <v>29.84</v>
      </c>
    </row>
    <row r="1181" spans="3:14" x14ac:dyDescent="0.15">
      <c r="C1181" s="123">
        <v>42675</v>
      </c>
      <c r="D1181" t="s">
        <v>5</v>
      </c>
      <c r="E1181" t="s">
        <v>12</v>
      </c>
      <c r="F1181" t="s">
        <v>13</v>
      </c>
      <c r="G1181" t="s">
        <v>117</v>
      </c>
      <c r="H1181" t="s">
        <v>59</v>
      </c>
      <c r="I1181">
        <v>73.569999999999993</v>
      </c>
      <c r="J1181">
        <v>74.650000000000006</v>
      </c>
      <c r="K1181">
        <v>73.569999999999993</v>
      </c>
      <c r="L1181">
        <v>31.69</v>
      </c>
      <c r="M1181">
        <v>32.880000000000003</v>
      </c>
      <c r="N1181">
        <v>32.57</v>
      </c>
    </row>
    <row r="1182" spans="3:14" x14ac:dyDescent="0.15">
      <c r="C1182" s="123">
        <v>42675</v>
      </c>
      <c r="D1182" t="s">
        <v>5</v>
      </c>
      <c r="E1182" t="s">
        <v>12</v>
      </c>
      <c r="F1182" t="s">
        <v>13</v>
      </c>
      <c r="G1182" t="s">
        <v>117</v>
      </c>
      <c r="H1182" t="s">
        <v>60</v>
      </c>
      <c r="I1182">
        <v>71.97</v>
      </c>
      <c r="J1182">
        <v>73.05</v>
      </c>
      <c r="K1182">
        <v>71.97</v>
      </c>
      <c r="L1182">
        <v>30.09</v>
      </c>
      <c r="M1182">
        <v>31.28</v>
      </c>
      <c r="N1182">
        <v>30.97</v>
      </c>
    </row>
    <row r="1183" spans="3:14" x14ac:dyDescent="0.15">
      <c r="C1183" s="123">
        <v>42675</v>
      </c>
      <c r="D1183" t="s">
        <v>5</v>
      </c>
      <c r="E1183" t="s">
        <v>12</v>
      </c>
      <c r="F1183" t="s">
        <v>13</v>
      </c>
      <c r="G1183" t="s">
        <v>117</v>
      </c>
      <c r="H1183" t="s">
        <v>648</v>
      </c>
      <c r="I1183">
        <v>70.92</v>
      </c>
      <c r="J1183">
        <v>72</v>
      </c>
      <c r="K1183">
        <v>70.92</v>
      </c>
      <c r="L1183">
        <v>29.04</v>
      </c>
      <c r="M1183">
        <v>30.23</v>
      </c>
      <c r="N1183">
        <v>29.92</v>
      </c>
    </row>
    <row r="1184" spans="3:14" x14ac:dyDescent="0.15">
      <c r="C1184" s="123">
        <v>42705</v>
      </c>
      <c r="D1184" t="s">
        <v>5</v>
      </c>
      <c r="E1184" t="s">
        <v>12</v>
      </c>
      <c r="F1184" t="s">
        <v>13</v>
      </c>
      <c r="G1184" t="s">
        <v>117</v>
      </c>
      <c r="H1184" t="s">
        <v>59</v>
      </c>
      <c r="I1184">
        <v>73.3</v>
      </c>
      <c r="J1184">
        <v>74.77</v>
      </c>
      <c r="K1184">
        <v>73.48</v>
      </c>
      <c r="L1184">
        <v>31.59</v>
      </c>
      <c r="M1184">
        <v>32.93</v>
      </c>
      <c r="N1184">
        <v>32.630000000000003</v>
      </c>
    </row>
    <row r="1185" spans="3:14" x14ac:dyDescent="0.15">
      <c r="C1185" s="123">
        <v>42705</v>
      </c>
      <c r="D1185" t="s">
        <v>5</v>
      </c>
      <c r="E1185" t="s">
        <v>12</v>
      </c>
      <c r="F1185" t="s">
        <v>13</v>
      </c>
      <c r="G1185" t="s">
        <v>117</v>
      </c>
      <c r="H1185" t="s">
        <v>60</v>
      </c>
      <c r="I1185">
        <v>71.7</v>
      </c>
      <c r="J1185">
        <v>73.17</v>
      </c>
      <c r="K1185">
        <v>71.88</v>
      </c>
      <c r="L1185">
        <v>29.99</v>
      </c>
      <c r="M1185">
        <v>31.33</v>
      </c>
      <c r="N1185">
        <v>31.03</v>
      </c>
    </row>
    <row r="1186" spans="3:14" x14ac:dyDescent="0.15">
      <c r="C1186" s="123">
        <v>42705</v>
      </c>
      <c r="D1186" t="s">
        <v>5</v>
      </c>
      <c r="E1186" t="s">
        <v>12</v>
      </c>
      <c r="F1186" t="s">
        <v>13</v>
      </c>
      <c r="G1186" t="s">
        <v>117</v>
      </c>
      <c r="H1186" t="s">
        <v>648</v>
      </c>
      <c r="I1186">
        <v>70.650000000000006</v>
      </c>
      <c r="J1186">
        <v>72.12</v>
      </c>
      <c r="K1186">
        <v>70.83</v>
      </c>
      <c r="L1186">
        <v>28.94</v>
      </c>
      <c r="M1186">
        <v>30.28</v>
      </c>
      <c r="N1186">
        <v>29.98</v>
      </c>
    </row>
    <row r="1187" spans="3:14" x14ac:dyDescent="0.15">
      <c r="C1187" s="123">
        <v>42736</v>
      </c>
      <c r="D1187" t="s">
        <v>5</v>
      </c>
      <c r="E1187" t="s">
        <v>12</v>
      </c>
      <c r="F1187" t="s">
        <v>13</v>
      </c>
      <c r="G1187" t="s">
        <v>117</v>
      </c>
      <c r="H1187" t="s">
        <v>59</v>
      </c>
      <c r="I1187">
        <v>73.31</v>
      </c>
      <c r="J1187">
        <v>74.91</v>
      </c>
      <c r="K1187">
        <v>73.62</v>
      </c>
      <c r="L1187">
        <v>31.96</v>
      </c>
      <c r="M1187">
        <v>33.15</v>
      </c>
      <c r="N1187">
        <v>32.92</v>
      </c>
    </row>
    <row r="1188" spans="3:14" x14ac:dyDescent="0.15">
      <c r="C1188" s="123">
        <v>42736</v>
      </c>
      <c r="D1188" t="s">
        <v>5</v>
      </c>
      <c r="E1188" t="s">
        <v>12</v>
      </c>
      <c r="F1188" t="s">
        <v>13</v>
      </c>
      <c r="G1188" t="s">
        <v>117</v>
      </c>
      <c r="H1188" t="s">
        <v>60</v>
      </c>
      <c r="I1188">
        <v>71.709999999999994</v>
      </c>
      <c r="J1188">
        <v>73.31</v>
      </c>
      <c r="K1188">
        <v>72.02</v>
      </c>
      <c r="L1188">
        <v>30.36</v>
      </c>
      <c r="M1188">
        <v>31.55</v>
      </c>
      <c r="N1188">
        <v>31.32</v>
      </c>
    </row>
    <row r="1189" spans="3:14" x14ac:dyDescent="0.15">
      <c r="C1189" s="123">
        <v>42736</v>
      </c>
      <c r="D1189" t="s">
        <v>5</v>
      </c>
      <c r="E1189" t="s">
        <v>12</v>
      </c>
      <c r="F1189" t="s">
        <v>13</v>
      </c>
      <c r="G1189" t="s">
        <v>117</v>
      </c>
      <c r="H1189" t="s">
        <v>648</v>
      </c>
      <c r="I1189">
        <v>70.66</v>
      </c>
      <c r="J1189">
        <v>72.260000000000005</v>
      </c>
      <c r="K1189">
        <v>70.97</v>
      </c>
      <c r="L1189">
        <v>29.31</v>
      </c>
      <c r="M1189">
        <v>30.5</v>
      </c>
      <c r="N1189">
        <v>30.27</v>
      </c>
    </row>
    <row r="1190" spans="3:14" x14ac:dyDescent="0.15">
      <c r="C1190" s="123">
        <v>42401</v>
      </c>
      <c r="D1190" t="s">
        <v>5</v>
      </c>
      <c r="E1190" t="s">
        <v>12</v>
      </c>
      <c r="F1190" t="s">
        <v>14</v>
      </c>
      <c r="G1190" t="s">
        <v>123</v>
      </c>
      <c r="H1190" t="s">
        <v>59</v>
      </c>
      <c r="I1190">
        <v>73.48</v>
      </c>
      <c r="J1190">
        <v>74.16</v>
      </c>
      <c r="K1190">
        <v>73.819999999999993</v>
      </c>
      <c r="L1190">
        <v>30.83</v>
      </c>
      <c r="M1190">
        <v>31.17</v>
      </c>
      <c r="N1190">
        <v>31.33</v>
      </c>
    </row>
    <row r="1191" spans="3:14" x14ac:dyDescent="0.15">
      <c r="C1191" s="123">
        <v>42401</v>
      </c>
      <c r="D1191" t="s">
        <v>5</v>
      </c>
      <c r="E1191" t="s">
        <v>12</v>
      </c>
      <c r="F1191" t="s">
        <v>14</v>
      </c>
      <c r="G1191" t="s">
        <v>123</v>
      </c>
      <c r="H1191" t="s">
        <v>60</v>
      </c>
      <c r="I1191">
        <v>71.88</v>
      </c>
      <c r="J1191">
        <v>72.56</v>
      </c>
      <c r="K1191">
        <v>72.22</v>
      </c>
      <c r="L1191">
        <v>29.23</v>
      </c>
      <c r="M1191">
        <v>29.57</v>
      </c>
      <c r="N1191">
        <v>29.73</v>
      </c>
    </row>
    <row r="1192" spans="3:14" x14ac:dyDescent="0.15">
      <c r="C1192" s="123">
        <v>42401</v>
      </c>
      <c r="D1192" t="s">
        <v>5</v>
      </c>
      <c r="E1192" t="s">
        <v>12</v>
      </c>
      <c r="F1192" t="s">
        <v>14</v>
      </c>
      <c r="G1192" t="s">
        <v>123</v>
      </c>
      <c r="H1192" t="s">
        <v>648</v>
      </c>
      <c r="I1192">
        <v>70.83</v>
      </c>
      <c r="J1192">
        <v>71.510000000000005</v>
      </c>
      <c r="K1192">
        <v>71.17</v>
      </c>
      <c r="L1192">
        <v>28.18</v>
      </c>
      <c r="M1192">
        <v>28.52</v>
      </c>
      <c r="N1192">
        <v>28.68</v>
      </c>
    </row>
    <row r="1193" spans="3:14" x14ac:dyDescent="0.15">
      <c r="C1193" s="123">
        <v>42430</v>
      </c>
      <c r="D1193" t="s">
        <v>5</v>
      </c>
      <c r="E1193" t="s">
        <v>12</v>
      </c>
      <c r="F1193" t="s">
        <v>14</v>
      </c>
      <c r="G1193" t="s">
        <v>123</v>
      </c>
      <c r="H1193" t="s">
        <v>59</v>
      </c>
      <c r="I1193">
        <v>74.37</v>
      </c>
      <c r="J1193">
        <v>73.63</v>
      </c>
      <c r="K1193">
        <v>74.22</v>
      </c>
      <c r="L1193">
        <v>30.81</v>
      </c>
      <c r="M1193">
        <v>30.37</v>
      </c>
      <c r="N1193">
        <v>31.31</v>
      </c>
    </row>
    <row r="1194" spans="3:14" x14ac:dyDescent="0.15">
      <c r="C1194" s="123">
        <v>42430</v>
      </c>
      <c r="D1194" t="s">
        <v>5</v>
      </c>
      <c r="E1194" t="s">
        <v>12</v>
      </c>
      <c r="F1194" t="s">
        <v>14</v>
      </c>
      <c r="G1194" t="s">
        <v>123</v>
      </c>
      <c r="H1194" t="s">
        <v>60</v>
      </c>
      <c r="I1194">
        <v>72.77</v>
      </c>
      <c r="J1194">
        <v>72.03</v>
      </c>
      <c r="K1194">
        <v>72.62</v>
      </c>
      <c r="L1194">
        <v>29.21</v>
      </c>
      <c r="M1194">
        <v>28.77</v>
      </c>
      <c r="N1194">
        <v>29.71</v>
      </c>
    </row>
    <row r="1195" spans="3:14" x14ac:dyDescent="0.15">
      <c r="C1195" s="123">
        <v>42430</v>
      </c>
      <c r="D1195" t="s">
        <v>5</v>
      </c>
      <c r="E1195" t="s">
        <v>12</v>
      </c>
      <c r="F1195" t="s">
        <v>14</v>
      </c>
      <c r="G1195" t="s">
        <v>123</v>
      </c>
      <c r="H1195" t="s">
        <v>648</v>
      </c>
      <c r="I1195">
        <v>71.72</v>
      </c>
      <c r="J1195">
        <v>70.98</v>
      </c>
      <c r="K1195">
        <v>71.569999999999993</v>
      </c>
      <c r="L1195">
        <v>28.16</v>
      </c>
      <c r="M1195">
        <v>27.72</v>
      </c>
      <c r="N1195">
        <v>28.66</v>
      </c>
    </row>
    <row r="1196" spans="3:14" x14ac:dyDescent="0.15">
      <c r="C1196" s="123">
        <v>42461</v>
      </c>
      <c r="D1196" t="s">
        <v>5</v>
      </c>
      <c r="E1196" t="s">
        <v>12</v>
      </c>
      <c r="F1196" t="s">
        <v>14</v>
      </c>
      <c r="G1196" t="s">
        <v>123</v>
      </c>
      <c r="H1196" t="s">
        <v>59</v>
      </c>
      <c r="I1196">
        <v>74.84</v>
      </c>
      <c r="J1196">
        <v>73.180000000000007</v>
      </c>
      <c r="K1196">
        <v>74.44</v>
      </c>
      <c r="L1196">
        <v>31.37</v>
      </c>
      <c r="M1196">
        <v>30.13</v>
      </c>
      <c r="N1196">
        <v>31.65</v>
      </c>
    </row>
    <row r="1197" spans="3:14" x14ac:dyDescent="0.15">
      <c r="C1197" s="123">
        <v>42461</v>
      </c>
      <c r="D1197" t="s">
        <v>5</v>
      </c>
      <c r="E1197" t="s">
        <v>12</v>
      </c>
      <c r="F1197" t="s">
        <v>14</v>
      </c>
      <c r="G1197" t="s">
        <v>123</v>
      </c>
      <c r="H1197" t="s">
        <v>60</v>
      </c>
      <c r="I1197">
        <v>73.239999999999995</v>
      </c>
      <c r="J1197">
        <v>71.58</v>
      </c>
      <c r="K1197">
        <v>72.84</v>
      </c>
      <c r="L1197">
        <v>29.77</v>
      </c>
      <c r="M1197">
        <v>28.53</v>
      </c>
      <c r="N1197">
        <v>30.05</v>
      </c>
    </row>
    <row r="1198" spans="3:14" x14ac:dyDescent="0.15">
      <c r="C1198" s="123">
        <v>42461</v>
      </c>
      <c r="D1198" t="s">
        <v>5</v>
      </c>
      <c r="E1198" t="s">
        <v>12</v>
      </c>
      <c r="F1198" t="s">
        <v>14</v>
      </c>
      <c r="G1198" t="s">
        <v>123</v>
      </c>
      <c r="H1198" t="s">
        <v>648</v>
      </c>
      <c r="I1198">
        <v>72.19</v>
      </c>
      <c r="J1198">
        <v>70.53</v>
      </c>
      <c r="K1198">
        <v>71.790000000000006</v>
      </c>
      <c r="L1198">
        <v>28.72</v>
      </c>
      <c r="M1198">
        <v>27.48</v>
      </c>
      <c r="N1198">
        <v>29</v>
      </c>
    </row>
    <row r="1199" spans="3:14" x14ac:dyDescent="0.15">
      <c r="C1199" s="123">
        <v>42491</v>
      </c>
      <c r="D1199" t="s">
        <v>5</v>
      </c>
      <c r="E1199" t="s">
        <v>12</v>
      </c>
      <c r="F1199" t="s">
        <v>14</v>
      </c>
      <c r="G1199" t="s">
        <v>123</v>
      </c>
      <c r="H1199" t="s">
        <v>59</v>
      </c>
      <c r="I1199">
        <v>74.86</v>
      </c>
      <c r="J1199">
        <v>72.98</v>
      </c>
      <c r="K1199">
        <v>74.42</v>
      </c>
      <c r="L1199">
        <v>31.26</v>
      </c>
      <c r="M1199">
        <v>30.07</v>
      </c>
      <c r="N1199">
        <v>31.65</v>
      </c>
    </row>
    <row r="1200" spans="3:14" x14ac:dyDescent="0.15">
      <c r="C1200" s="123">
        <v>42491</v>
      </c>
      <c r="D1200" t="s">
        <v>5</v>
      </c>
      <c r="E1200" t="s">
        <v>12</v>
      </c>
      <c r="F1200" t="s">
        <v>14</v>
      </c>
      <c r="G1200" t="s">
        <v>123</v>
      </c>
      <c r="H1200" t="s">
        <v>60</v>
      </c>
      <c r="I1200">
        <v>73.260000000000005</v>
      </c>
      <c r="J1200">
        <v>71.38</v>
      </c>
      <c r="K1200">
        <v>72.819999999999993</v>
      </c>
      <c r="L1200">
        <v>29.66</v>
      </c>
      <c r="M1200">
        <v>28.47</v>
      </c>
      <c r="N1200">
        <v>30.05</v>
      </c>
    </row>
    <row r="1201" spans="3:14" x14ac:dyDescent="0.15">
      <c r="C1201" s="123">
        <v>42491</v>
      </c>
      <c r="D1201" t="s">
        <v>5</v>
      </c>
      <c r="E1201" t="s">
        <v>12</v>
      </c>
      <c r="F1201" t="s">
        <v>14</v>
      </c>
      <c r="G1201" t="s">
        <v>123</v>
      </c>
      <c r="H1201" t="s">
        <v>648</v>
      </c>
      <c r="I1201">
        <v>72.209999999999994</v>
      </c>
      <c r="J1201">
        <v>70.33</v>
      </c>
      <c r="K1201">
        <v>71.77</v>
      </c>
      <c r="L1201">
        <v>28.61</v>
      </c>
      <c r="M1201">
        <v>27.42</v>
      </c>
      <c r="N1201">
        <v>29</v>
      </c>
    </row>
    <row r="1202" spans="3:14" x14ac:dyDescent="0.15">
      <c r="C1202" s="123">
        <v>42522</v>
      </c>
      <c r="D1202" t="s">
        <v>5</v>
      </c>
      <c r="E1202" t="s">
        <v>12</v>
      </c>
      <c r="F1202" t="s">
        <v>14</v>
      </c>
      <c r="G1202" t="s">
        <v>123</v>
      </c>
      <c r="H1202" t="s">
        <v>59</v>
      </c>
      <c r="I1202">
        <v>74.8</v>
      </c>
      <c r="J1202">
        <v>72.86</v>
      </c>
      <c r="K1202">
        <v>74.400000000000006</v>
      </c>
      <c r="L1202">
        <v>31.16</v>
      </c>
      <c r="M1202">
        <v>30.16</v>
      </c>
      <c r="N1202">
        <v>31.65</v>
      </c>
    </row>
    <row r="1203" spans="3:14" x14ac:dyDescent="0.15">
      <c r="C1203" s="123">
        <v>42522</v>
      </c>
      <c r="D1203" t="s">
        <v>5</v>
      </c>
      <c r="E1203" t="s">
        <v>12</v>
      </c>
      <c r="F1203" t="s">
        <v>14</v>
      </c>
      <c r="G1203" t="s">
        <v>123</v>
      </c>
      <c r="H1203" t="s">
        <v>60</v>
      </c>
      <c r="I1203">
        <v>73.2</v>
      </c>
      <c r="J1203">
        <v>71.260000000000005</v>
      </c>
      <c r="K1203">
        <v>72.8</v>
      </c>
      <c r="L1203">
        <v>29.56</v>
      </c>
      <c r="M1203">
        <v>28.56</v>
      </c>
      <c r="N1203">
        <v>30.05</v>
      </c>
    </row>
    <row r="1204" spans="3:14" x14ac:dyDescent="0.15">
      <c r="C1204" s="123">
        <v>42522</v>
      </c>
      <c r="D1204" t="s">
        <v>5</v>
      </c>
      <c r="E1204" t="s">
        <v>12</v>
      </c>
      <c r="F1204" t="s">
        <v>14</v>
      </c>
      <c r="G1204" t="s">
        <v>123</v>
      </c>
      <c r="H1204" t="s">
        <v>648</v>
      </c>
      <c r="I1204">
        <v>72.150000000000006</v>
      </c>
      <c r="J1204">
        <v>70.209999999999994</v>
      </c>
      <c r="K1204">
        <v>71.75</v>
      </c>
      <c r="L1204">
        <v>28.51</v>
      </c>
      <c r="M1204">
        <v>27.51</v>
      </c>
      <c r="N1204">
        <v>29</v>
      </c>
    </row>
    <row r="1205" spans="3:14" x14ac:dyDescent="0.15">
      <c r="C1205" s="123">
        <v>42552</v>
      </c>
      <c r="D1205" t="s">
        <v>5</v>
      </c>
      <c r="E1205" t="s">
        <v>12</v>
      </c>
      <c r="F1205" t="s">
        <v>14</v>
      </c>
      <c r="G1205" t="s">
        <v>123</v>
      </c>
      <c r="H1205" t="s">
        <v>59</v>
      </c>
      <c r="I1205">
        <v>74.83</v>
      </c>
      <c r="J1205">
        <v>73</v>
      </c>
      <c r="K1205">
        <v>74.489999999999995</v>
      </c>
      <c r="L1205">
        <v>31.29</v>
      </c>
      <c r="M1205">
        <v>30.71</v>
      </c>
      <c r="N1205">
        <v>31.94</v>
      </c>
    </row>
    <row r="1206" spans="3:14" x14ac:dyDescent="0.15">
      <c r="C1206" s="123">
        <v>42552</v>
      </c>
      <c r="D1206" t="s">
        <v>5</v>
      </c>
      <c r="E1206" t="s">
        <v>12</v>
      </c>
      <c r="F1206" t="s">
        <v>14</v>
      </c>
      <c r="G1206" t="s">
        <v>123</v>
      </c>
      <c r="H1206" t="s">
        <v>60</v>
      </c>
      <c r="I1206">
        <v>73.23</v>
      </c>
      <c r="J1206">
        <v>71.400000000000006</v>
      </c>
      <c r="K1206">
        <v>72.89</v>
      </c>
      <c r="L1206">
        <v>29.69</v>
      </c>
      <c r="M1206">
        <v>29.11</v>
      </c>
      <c r="N1206">
        <v>30.34</v>
      </c>
    </row>
    <row r="1207" spans="3:14" x14ac:dyDescent="0.15">
      <c r="C1207" s="123">
        <v>42552</v>
      </c>
      <c r="D1207" t="s">
        <v>5</v>
      </c>
      <c r="E1207" t="s">
        <v>12</v>
      </c>
      <c r="F1207" t="s">
        <v>14</v>
      </c>
      <c r="G1207" t="s">
        <v>123</v>
      </c>
      <c r="H1207" t="s">
        <v>648</v>
      </c>
      <c r="I1207">
        <v>72.180000000000007</v>
      </c>
      <c r="J1207">
        <v>70.349999999999994</v>
      </c>
      <c r="K1207">
        <v>71.84</v>
      </c>
      <c r="L1207">
        <v>28.64</v>
      </c>
      <c r="M1207">
        <v>28.06</v>
      </c>
      <c r="N1207">
        <v>29.29</v>
      </c>
    </row>
    <row r="1208" spans="3:14" x14ac:dyDescent="0.15">
      <c r="C1208" s="123">
        <v>42583</v>
      </c>
      <c r="D1208" t="s">
        <v>5</v>
      </c>
      <c r="E1208" t="s">
        <v>12</v>
      </c>
      <c r="F1208" t="s">
        <v>14</v>
      </c>
      <c r="G1208" t="s">
        <v>123</v>
      </c>
      <c r="H1208" t="s">
        <v>59</v>
      </c>
      <c r="I1208">
        <v>74.77</v>
      </c>
      <c r="J1208">
        <v>74.11</v>
      </c>
      <c r="K1208">
        <v>74.56</v>
      </c>
      <c r="L1208">
        <v>31.45</v>
      </c>
      <c r="M1208">
        <v>31.57</v>
      </c>
      <c r="N1208">
        <v>32.14</v>
      </c>
    </row>
    <row r="1209" spans="3:14" x14ac:dyDescent="0.15">
      <c r="C1209" s="123">
        <v>42583</v>
      </c>
      <c r="D1209" t="s">
        <v>5</v>
      </c>
      <c r="E1209" t="s">
        <v>12</v>
      </c>
      <c r="F1209" t="s">
        <v>14</v>
      </c>
      <c r="G1209" t="s">
        <v>123</v>
      </c>
      <c r="H1209" t="s">
        <v>60</v>
      </c>
      <c r="I1209">
        <v>73.17</v>
      </c>
      <c r="J1209">
        <v>72.510000000000005</v>
      </c>
      <c r="K1209">
        <v>72.959999999999994</v>
      </c>
      <c r="L1209">
        <v>29.85</v>
      </c>
      <c r="M1209">
        <v>29.97</v>
      </c>
      <c r="N1209">
        <v>30.54</v>
      </c>
    </row>
    <row r="1210" spans="3:14" x14ac:dyDescent="0.15">
      <c r="C1210" s="123">
        <v>42583</v>
      </c>
      <c r="D1210" t="s">
        <v>5</v>
      </c>
      <c r="E1210" t="s">
        <v>12</v>
      </c>
      <c r="F1210" t="s">
        <v>14</v>
      </c>
      <c r="G1210" t="s">
        <v>123</v>
      </c>
      <c r="H1210" t="s">
        <v>648</v>
      </c>
      <c r="I1210">
        <v>72.12</v>
      </c>
      <c r="J1210">
        <v>71.459999999999994</v>
      </c>
      <c r="K1210">
        <v>71.91</v>
      </c>
      <c r="L1210">
        <v>28.8</v>
      </c>
      <c r="M1210">
        <v>28.92</v>
      </c>
      <c r="N1210">
        <v>29.49</v>
      </c>
    </row>
    <row r="1211" spans="3:14" x14ac:dyDescent="0.15">
      <c r="C1211" s="123">
        <v>42614</v>
      </c>
      <c r="D1211" t="s">
        <v>5</v>
      </c>
      <c r="E1211" t="s">
        <v>12</v>
      </c>
      <c r="F1211" t="s">
        <v>14</v>
      </c>
      <c r="G1211" t="s">
        <v>123</v>
      </c>
      <c r="H1211" t="s">
        <v>59</v>
      </c>
      <c r="I1211">
        <v>74.69</v>
      </c>
      <c r="J1211">
        <v>75.13</v>
      </c>
      <c r="K1211">
        <v>74.599999999999994</v>
      </c>
      <c r="L1211">
        <v>31.59</v>
      </c>
      <c r="M1211">
        <v>32.44</v>
      </c>
      <c r="N1211">
        <v>32.35</v>
      </c>
    </row>
    <row r="1212" spans="3:14" x14ac:dyDescent="0.15">
      <c r="C1212" s="123">
        <v>42614</v>
      </c>
      <c r="D1212" t="s">
        <v>5</v>
      </c>
      <c r="E1212" t="s">
        <v>12</v>
      </c>
      <c r="F1212" t="s">
        <v>14</v>
      </c>
      <c r="G1212" t="s">
        <v>123</v>
      </c>
      <c r="H1212" t="s">
        <v>60</v>
      </c>
      <c r="I1212">
        <v>73.09</v>
      </c>
      <c r="J1212">
        <v>73.53</v>
      </c>
      <c r="K1212">
        <v>73</v>
      </c>
      <c r="L1212">
        <v>29.99</v>
      </c>
      <c r="M1212">
        <v>30.84</v>
      </c>
      <c r="N1212">
        <v>30.75</v>
      </c>
    </row>
    <row r="1213" spans="3:14" x14ac:dyDescent="0.15">
      <c r="C1213" s="123">
        <v>42614</v>
      </c>
      <c r="D1213" t="s">
        <v>5</v>
      </c>
      <c r="E1213" t="s">
        <v>12</v>
      </c>
      <c r="F1213" t="s">
        <v>14</v>
      </c>
      <c r="G1213" t="s">
        <v>123</v>
      </c>
      <c r="H1213" t="s">
        <v>648</v>
      </c>
      <c r="I1213">
        <v>72.040000000000006</v>
      </c>
      <c r="J1213">
        <v>72.48</v>
      </c>
      <c r="K1213">
        <v>71.95</v>
      </c>
      <c r="L1213">
        <v>28.94</v>
      </c>
      <c r="M1213">
        <v>29.79</v>
      </c>
      <c r="N1213">
        <v>29.7</v>
      </c>
    </row>
    <row r="1214" spans="3:14" x14ac:dyDescent="0.15">
      <c r="C1214" s="123">
        <v>42644</v>
      </c>
      <c r="D1214" t="s">
        <v>5</v>
      </c>
      <c r="E1214" t="s">
        <v>12</v>
      </c>
      <c r="F1214" t="s">
        <v>14</v>
      </c>
      <c r="G1214" t="s">
        <v>123</v>
      </c>
      <c r="H1214" t="s">
        <v>59</v>
      </c>
      <c r="I1214">
        <v>74.599999999999994</v>
      </c>
      <c r="J1214">
        <v>75.81</v>
      </c>
      <c r="K1214">
        <v>74.58</v>
      </c>
      <c r="L1214">
        <v>31.58</v>
      </c>
      <c r="M1214">
        <v>33.14</v>
      </c>
      <c r="N1214">
        <v>32.49</v>
      </c>
    </row>
    <row r="1215" spans="3:14" x14ac:dyDescent="0.15">
      <c r="C1215" s="123">
        <v>42644</v>
      </c>
      <c r="D1215" t="s">
        <v>5</v>
      </c>
      <c r="E1215" t="s">
        <v>12</v>
      </c>
      <c r="F1215" t="s">
        <v>14</v>
      </c>
      <c r="G1215" t="s">
        <v>123</v>
      </c>
      <c r="H1215" t="s">
        <v>60</v>
      </c>
      <c r="I1215">
        <v>73</v>
      </c>
      <c r="J1215">
        <v>74.209999999999994</v>
      </c>
      <c r="K1215">
        <v>72.98</v>
      </c>
      <c r="L1215">
        <v>29.98</v>
      </c>
      <c r="M1215">
        <v>31.54</v>
      </c>
      <c r="N1215">
        <v>30.89</v>
      </c>
    </row>
    <row r="1216" spans="3:14" x14ac:dyDescent="0.15">
      <c r="C1216" s="123">
        <v>42644</v>
      </c>
      <c r="D1216" t="s">
        <v>5</v>
      </c>
      <c r="E1216" t="s">
        <v>12</v>
      </c>
      <c r="F1216" t="s">
        <v>14</v>
      </c>
      <c r="G1216" t="s">
        <v>123</v>
      </c>
      <c r="H1216" t="s">
        <v>648</v>
      </c>
      <c r="I1216">
        <v>71.95</v>
      </c>
      <c r="J1216">
        <v>73.16</v>
      </c>
      <c r="K1216">
        <v>71.930000000000007</v>
      </c>
      <c r="L1216">
        <v>28.93</v>
      </c>
      <c r="M1216">
        <v>30.49</v>
      </c>
      <c r="N1216">
        <v>29.84</v>
      </c>
    </row>
    <row r="1217" spans="3:14" x14ac:dyDescent="0.15">
      <c r="C1217" s="123">
        <v>42675</v>
      </c>
      <c r="D1217" t="s">
        <v>5</v>
      </c>
      <c r="E1217" t="s">
        <v>12</v>
      </c>
      <c r="F1217" t="s">
        <v>14</v>
      </c>
      <c r="G1217" t="s">
        <v>123</v>
      </c>
      <c r="H1217" t="s">
        <v>59</v>
      </c>
      <c r="I1217">
        <v>74.47</v>
      </c>
      <c r="J1217">
        <v>75.92</v>
      </c>
      <c r="K1217">
        <v>74.56</v>
      </c>
      <c r="L1217">
        <v>31.58</v>
      </c>
      <c r="M1217">
        <v>33.200000000000003</v>
      </c>
      <c r="N1217">
        <v>32.58</v>
      </c>
    </row>
    <row r="1218" spans="3:14" x14ac:dyDescent="0.15">
      <c r="C1218" s="123">
        <v>42675</v>
      </c>
      <c r="D1218" t="s">
        <v>5</v>
      </c>
      <c r="E1218" t="s">
        <v>12</v>
      </c>
      <c r="F1218" t="s">
        <v>14</v>
      </c>
      <c r="G1218" t="s">
        <v>123</v>
      </c>
      <c r="H1218" t="s">
        <v>60</v>
      </c>
      <c r="I1218">
        <v>72.87</v>
      </c>
      <c r="J1218">
        <v>74.319999999999993</v>
      </c>
      <c r="K1218">
        <v>72.959999999999994</v>
      </c>
      <c r="L1218">
        <v>29.98</v>
      </c>
      <c r="M1218">
        <v>31.6</v>
      </c>
      <c r="N1218">
        <v>30.98</v>
      </c>
    </row>
    <row r="1219" spans="3:14" x14ac:dyDescent="0.15">
      <c r="C1219" s="123">
        <v>42675</v>
      </c>
      <c r="D1219" t="s">
        <v>5</v>
      </c>
      <c r="E1219" t="s">
        <v>12</v>
      </c>
      <c r="F1219" t="s">
        <v>14</v>
      </c>
      <c r="G1219" t="s">
        <v>123</v>
      </c>
      <c r="H1219" t="s">
        <v>648</v>
      </c>
      <c r="I1219">
        <v>71.819999999999993</v>
      </c>
      <c r="J1219">
        <v>73.27</v>
      </c>
      <c r="K1219">
        <v>71.91</v>
      </c>
      <c r="L1219">
        <v>28.93</v>
      </c>
      <c r="M1219">
        <v>30.55</v>
      </c>
      <c r="N1219">
        <v>29.93</v>
      </c>
    </row>
    <row r="1220" spans="3:14" x14ac:dyDescent="0.15">
      <c r="C1220" s="123">
        <v>42705</v>
      </c>
      <c r="D1220" t="s">
        <v>5</v>
      </c>
      <c r="E1220" t="s">
        <v>12</v>
      </c>
      <c r="F1220" t="s">
        <v>14</v>
      </c>
      <c r="G1220" t="s">
        <v>123</v>
      </c>
      <c r="H1220" t="s">
        <v>59</v>
      </c>
      <c r="I1220">
        <v>74.239999999999995</v>
      </c>
      <c r="J1220">
        <v>75.849999999999994</v>
      </c>
      <c r="K1220">
        <v>74.48</v>
      </c>
      <c r="L1220">
        <v>31.51</v>
      </c>
      <c r="M1220">
        <v>33.06</v>
      </c>
      <c r="N1220">
        <v>32.65</v>
      </c>
    </row>
    <row r="1221" spans="3:14" x14ac:dyDescent="0.15">
      <c r="C1221" s="123">
        <v>42705</v>
      </c>
      <c r="D1221" t="s">
        <v>5</v>
      </c>
      <c r="E1221" t="s">
        <v>12</v>
      </c>
      <c r="F1221" t="s">
        <v>14</v>
      </c>
      <c r="G1221" t="s">
        <v>123</v>
      </c>
      <c r="H1221" t="s">
        <v>60</v>
      </c>
      <c r="I1221">
        <v>72.64</v>
      </c>
      <c r="J1221">
        <v>74.25</v>
      </c>
      <c r="K1221">
        <v>72.88</v>
      </c>
      <c r="L1221">
        <v>29.91</v>
      </c>
      <c r="M1221">
        <v>31.46</v>
      </c>
      <c r="N1221">
        <v>31.05</v>
      </c>
    </row>
    <row r="1222" spans="3:14" x14ac:dyDescent="0.15">
      <c r="C1222" s="123">
        <v>42705</v>
      </c>
      <c r="D1222" t="s">
        <v>5</v>
      </c>
      <c r="E1222" t="s">
        <v>12</v>
      </c>
      <c r="F1222" t="s">
        <v>14</v>
      </c>
      <c r="G1222" t="s">
        <v>123</v>
      </c>
      <c r="H1222" t="s">
        <v>648</v>
      </c>
      <c r="I1222">
        <v>71.59</v>
      </c>
      <c r="J1222">
        <v>73.2</v>
      </c>
      <c r="K1222">
        <v>71.83</v>
      </c>
      <c r="L1222">
        <v>28.86</v>
      </c>
      <c r="M1222">
        <v>30.41</v>
      </c>
      <c r="N1222">
        <v>30</v>
      </c>
    </row>
    <row r="1223" spans="3:14" x14ac:dyDescent="0.15">
      <c r="C1223" s="123">
        <v>42736</v>
      </c>
      <c r="D1223" t="s">
        <v>5</v>
      </c>
      <c r="E1223" t="s">
        <v>12</v>
      </c>
      <c r="F1223" t="s">
        <v>14</v>
      </c>
      <c r="G1223" t="s">
        <v>123</v>
      </c>
      <c r="H1223" t="s">
        <v>59</v>
      </c>
      <c r="I1223">
        <v>74.260000000000005</v>
      </c>
      <c r="J1223">
        <v>75.84</v>
      </c>
      <c r="K1223">
        <v>74.63</v>
      </c>
      <c r="L1223">
        <v>31.87</v>
      </c>
      <c r="M1223">
        <v>33.14</v>
      </c>
      <c r="N1223">
        <v>32.93</v>
      </c>
    </row>
    <row r="1224" spans="3:14" x14ac:dyDescent="0.15">
      <c r="C1224" s="123">
        <v>42736</v>
      </c>
      <c r="D1224" t="s">
        <v>5</v>
      </c>
      <c r="E1224" t="s">
        <v>12</v>
      </c>
      <c r="F1224" t="s">
        <v>14</v>
      </c>
      <c r="G1224" t="s">
        <v>123</v>
      </c>
      <c r="H1224" t="s">
        <v>60</v>
      </c>
      <c r="I1224">
        <v>72.66</v>
      </c>
      <c r="J1224">
        <v>74.239999999999995</v>
      </c>
      <c r="K1224">
        <v>73.03</v>
      </c>
      <c r="L1224">
        <v>30.27</v>
      </c>
      <c r="M1224">
        <v>31.54</v>
      </c>
      <c r="N1224">
        <v>31.33</v>
      </c>
    </row>
    <row r="1225" spans="3:14" x14ac:dyDescent="0.15">
      <c r="C1225" s="123">
        <v>42736</v>
      </c>
      <c r="D1225" t="s">
        <v>5</v>
      </c>
      <c r="E1225" t="s">
        <v>12</v>
      </c>
      <c r="F1225" t="s">
        <v>14</v>
      </c>
      <c r="G1225" t="s">
        <v>123</v>
      </c>
      <c r="H1225" t="s">
        <v>648</v>
      </c>
      <c r="I1225">
        <v>71.61</v>
      </c>
      <c r="J1225">
        <v>73.19</v>
      </c>
      <c r="K1225">
        <v>71.98</v>
      </c>
      <c r="L1225">
        <v>29.22</v>
      </c>
      <c r="M1225">
        <v>30.49</v>
      </c>
      <c r="N1225">
        <v>30.28</v>
      </c>
    </row>
    <row r="1226" spans="3:14" x14ac:dyDescent="0.15">
      <c r="C1226" s="123">
        <v>42401</v>
      </c>
      <c r="D1226" t="s">
        <v>5</v>
      </c>
      <c r="E1226" t="s">
        <v>15</v>
      </c>
      <c r="F1226" t="s">
        <v>16</v>
      </c>
      <c r="G1226" t="s">
        <v>128</v>
      </c>
      <c r="H1226" t="s">
        <v>59</v>
      </c>
      <c r="I1226">
        <v>69.87</v>
      </c>
      <c r="J1226">
        <v>70.680000000000007</v>
      </c>
      <c r="K1226">
        <v>71.430000000000007</v>
      </c>
      <c r="L1226">
        <v>30.46</v>
      </c>
      <c r="M1226">
        <v>30.86</v>
      </c>
      <c r="N1226">
        <v>32.19</v>
      </c>
    </row>
    <row r="1227" spans="3:14" x14ac:dyDescent="0.15">
      <c r="C1227" s="123">
        <v>42401</v>
      </c>
      <c r="D1227" t="s">
        <v>5</v>
      </c>
      <c r="E1227" t="s">
        <v>15</v>
      </c>
      <c r="F1227" t="s">
        <v>16</v>
      </c>
      <c r="G1227" t="s">
        <v>128</v>
      </c>
      <c r="H1227" t="s">
        <v>60</v>
      </c>
      <c r="I1227">
        <v>68.27</v>
      </c>
      <c r="J1227">
        <v>69.08</v>
      </c>
      <c r="K1227">
        <v>69.83</v>
      </c>
      <c r="L1227">
        <v>28.86</v>
      </c>
      <c r="M1227">
        <v>29.26</v>
      </c>
      <c r="N1227">
        <v>30.59</v>
      </c>
    </row>
    <row r="1228" spans="3:14" x14ac:dyDescent="0.15">
      <c r="C1228" s="123">
        <v>42401</v>
      </c>
      <c r="D1228" t="s">
        <v>5</v>
      </c>
      <c r="E1228" t="s">
        <v>15</v>
      </c>
      <c r="F1228" t="s">
        <v>16</v>
      </c>
      <c r="G1228" t="s">
        <v>128</v>
      </c>
      <c r="H1228" t="s">
        <v>648</v>
      </c>
      <c r="I1228">
        <v>67.22</v>
      </c>
      <c r="J1228">
        <v>68.03</v>
      </c>
      <c r="K1228">
        <v>68.78</v>
      </c>
      <c r="L1228">
        <v>27.81</v>
      </c>
      <c r="M1228">
        <v>28.21</v>
      </c>
      <c r="N1228">
        <v>29.54</v>
      </c>
    </row>
    <row r="1229" spans="3:14" x14ac:dyDescent="0.15">
      <c r="C1229" s="123">
        <v>42430</v>
      </c>
      <c r="D1229" t="s">
        <v>5</v>
      </c>
      <c r="E1229" t="s">
        <v>15</v>
      </c>
      <c r="F1229" t="s">
        <v>16</v>
      </c>
      <c r="G1229" t="s">
        <v>128</v>
      </c>
      <c r="H1229" t="s">
        <v>59</v>
      </c>
      <c r="I1229">
        <v>70.069999999999993</v>
      </c>
      <c r="J1229">
        <v>70.77</v>
      </c>
      <c r="K1229">
        <v>71.72</v>
      </c>
      <c r="L1229">
        <v>30.29</v>
      </c>
      <c r="M1229">
        <v>31.13</v>
      </c>
      <c r="N1229">
        <v>32.380000000000003</v>
      </c>
    </row>
    <row r="1230" spans="3:14" x14ac:dyDescent="0.15">
      <c r="C1230" s="123">
        <v>42430</v>
      </c>
      <c r="D1230" t="s">
        <v>5</v>
      </c>
      <c r="E1230" t="s">
        <v>15</v>
      </c>
      <c r="F1230" t="s">
        <v>16</v>
      </c>
      <c r="G1230" t="s">
        <v>128</v>
      </c>
      <c r="H1230" t="s">
        <v>60</v>
      </c>
      <c r="I1230">
        <v>68.47</v>
      </c>
      <c r="J1230">
        <v>69.17</v>
      </c>
      <c r="K1230">
        <v>70.12</v>
      </c>
      <c r="L1230">
        <v>28.69</v>
      </c>
      <c r="M1230">
        <v>29.53</v>
      </c>
      <c r="N1230">
        <v>30.78</v>
      </c>
    </row>
    <row r="1231" spans="3:14" x14ac:dyDescent="0.15">
      <c r="C1231" s="123">
        <v>42430</v>
      </c>
      <c r="D1231" t="s">
        <v>5</v>
      </c>
      <c r="E1231" t="s">
        <v>15</v>
      </c>
      <c r="F1231" t="s">
        <v>16</v>
      </c>
      <c r="G1231" t="s">
        <v>128</v>
      </c>
      <c r="H1231" t="s">
        <v>648</v>
      </c>
      <c r="I1231">
        <v>67.42</v>
      </c>
      <c r="J1231">
        <v>68.12</v>
      </c>
      <c r="K1231">
        <v>69.069999999999993</v>
      </c>
      <c r="L1231">
        <v>27.64</v>
      </c>
      <c r="M1231">
        <v>28.48</v>
      </c>
      <c r="N1231">
        <v>29.73</v>
      </c>
    </row>
    <row r="1232" spans="3:14" x14ac:dyDescent="0.15">
      <c r="C1232" s="123">
        <v>42461</v>
      </c>
      <c r="D1232" t="s">
        <v>5</v>
      </c>
      <c r="E1232" t="s">
        <v>15</v>
      </c>
      <c r="F1232" t="s">
        <v>16</v>
      </c>
      <c r="G1232" t="s">
        <v>128</v>
      </c>
      <c r="H1232" t="s">
        <v>59</v>
      </c>
      <c r="I1232">
        <v>70.02</v>
      </c>
      <c r="J1232">
        <v>70.72</v>
      </c>
      <c r="K1232">
        <v>71.92</v>
      </c>
      <c r="L1232">
        <v>30.06</v>
      </c>
      <c r="M1232">
        <v>31.35</v>
      </c>
      <c r="N1232">
        <v>32.54</v>
      </c>
    </row>
    <row r="1233" spans="3:14" x14ac:dyDescent="0.15">
      <c r="C1233" s="123">
        <v>42461</v>
      </c>
      <c r="D1233" t="s">
        <v>5</v>
      </c>
      <c r="E1233" t="s">
        <v>15</v>
      </c>
      <c r="F1233" t="s">
        <v>16</v>
      </c>
      <c r="G1233" t="s">
        <v>128</v>
      </c>
      <c r="H1233" t="s">
        <v>60</v>
      </c>
      <c r="I1233">
        <v>68.42</v>
      </c>
      <c r="J1233">
        <v>69.12</v>
      </c>
      <c r="K1233">
        <v>70.319999999999993</v>
      </c>
      <c r="L1233">
        <v>28.46</v>
      </c>
      <c r="M1233">
        <v>29.75</v>
      </c>
      <c r="N1233">
        <v>30.94</v>
      </c>
    </row>
    <row r="1234" spans="3:14" x14ac:dyDescent="0.15">
      <c r="C1234" s="123">
        <v>42461</v>
      </c>
      <c r="D1234" t="s">
        <v>5</v>
      </c>
      <c r="E1234" t="s">
        <v>15</v>
      </c>
      <c r="F1234" t="s">
        <v>16</v>
      </c>
      <c r="G1234" t="s">
        <v>128</v>
      </c>
      <c r="H1234" t="s">
        <v>648</v>
      </c>
      <c r="I1234">
        <v>67.37</v>
      </c>
      <c r="J1234">
        <v>68.069999999999993</v>
      </c>
      <c r="K1234">
        <v>69.27</v>
      </c>
      <c r="L1234">
        <v>27.41</v>
      </c>
      <c r="M1234">
        <v>28.7</v>
      </c>
      <c r="N1234">
        <v>29.89</v>
      </c>
    </row>
    <row r="1235" spans="3:14" x14ac:dyDescent="0.15">
      <c r="C1235" s="123">
        <v>42491</v>
      </c>
      <c r="D1235" t="s">
        <v>5</v>
      </c>
      <c r="E1235" t="s">
        <v>15</v>
      </c>
      <c r="F1235" t="s">
        <v>16</v>
      </c>
      <c r="G1235" t="s">
        <v>128</v>
      </c>
      <c r="H1235" t="s">
        <v>59</v>
      </c>
      <c r="I1235">
        <v>69.87</v>
      </c>
      <c r="J1235">
        <v>70.72</v>
      </c>
      <c r="K1235">
        <v>72.06</v>
      </c>
      <c r="L1235">
        <v>29.84</v>
      </c>
      <c r="M1235">
        <v>31.57</v>
      </c>
      <c r="N1235">
        <v>32.69</v>
      </c>
    </row>
    <row r="1236" spans="3:14" x14ac:dyDescent="0.15">
      <c r="C1236" s="123">
        <v>42491</v>
      </c>
      <c r="D1236" t="s">
        <v>5</v>
      </c>
      <c r="E1236" t="s">
        <v>15</v>
      </c>
      <c r="F1236" t="s">
        <v>16</v>
      </c>
      <c r="G1236" t="s">
        <v>128</v>
      </c>
      <c r="H1236" t="s">
        <v>60</v>
      </c>
      <c r="I1236">
        <v>68.27</v>
      </c>
      <c r="J1236">
        <v>69.12</v>
      </c>
      <c r="K1236">
        <v>70.459999999999994</v>
      </c>
      <c r="L1236">
        <v>28.24</v>
      </c>
      <c r="M1236">
        <v>29.97</v>
      </c>
      <c r="N1236">
        <v>31.09</v>
      </c>
    </row>
    <row r="1237" spans="3:14" x14ac:dyDescent="0.15">
      <c r="C1237" s="123">
        <v>42491</v>
      </c>
      <c r="D1237" t="s">
        <v>5</v>
      </c>
      <c r="E1237" t="s">
        <v>15</v>
      </c>
      <c r="F1237" t="s">
        <v>16</v>
      </c>
      <c r="G1237" t="s">
        <v>128</v>
      </c>
      <c r="H1237" t="s">
        <v>648</v>
      </c>
      <c r="I1237">
        <v>67.22</v>
      </c>
      <c r="J1237">
        <v>68.069999999999993</v>
      </c>
      <c r="K1237">
        <v>69.41</v>
      </c>
      <c r="L1237">
        <v>27.19</v>
      </c>
      <c r="M1237">
        <v>28.92</v>
      </c>
      <c r="N1237">
        <v>30.04</v>
      </c>
    </row>
    <row r="1238" spans="3:14" x14ac:dyDescent="0.15">
      <c r="C1238" s="123">
        <v>42522</v>
      </c>
      <c r="D1238" t="s">
        <v>5</v>
      </c>
      <c r="E1238" t="s">
        <v>15</v>
      </c>
      <c r="F1238" t="s">
        <v>16</v>
      </c>
      <c r="G1238" t="s">
        <v>128</v>
      </c>
      <c r="H1238" t="s">
        <v>59</v>
      </c>
      <c r="I1238">
        <v>69.62</v>
      </c>
      <c r="J1238">
        <v>70.680000000000007</v>
      </c>
      <c r="K1238">
        <v>72.2</v>
      </c>
      <c r="L1238">
        <v>29.57</v>
      </c>
      <c r="M1238">
        <v>31.69</v>
      </c>
      <c r="N1238">
        <v>32.83</v>
      </c>
    </row>
    <row r="1239" spans="3:14" x14ac:dyDescent="0.15">
      <c r="C1239" s="123">
        <v>42522</v>
      </c>
      <c r="D1239" t="s">
        <v>5</v>
      </c>
      <c r="E1239" t="s">
        <v>15</v>
      </c>
      <c r="F1239" t="s">
        <v>16</v>
      </c>
      <c r="G1239" t="s">
        <v>128</v>
      </c>
      <c r="H1239" t="s">
        <v>60</v>
      </c>
      <c r="I1239">
        <v>68.02</v>
      </c>
      <c r="J1239">
        <v>69.08</v>
      </c>
      <c r="K1239">
        <v>70.599999999999994</v>
      </c>
      <c r="L1239">
        <v>27.97</v>
      </c>
      <c r="M1239">
        <v>30.09</v>
      </c>
      <c r="N1239">
        <v>31.23</v>
      </c>
    </row>
    <row r="1240" spans="3:14" x14ac:dyDescent="0.15">
      <c r="C1240" s="123">
        <v>42522</v>
      </c>
      <c r="D1240" t="s">
        <v>5</v>
      </c>
      <c r="E1240" t="s">
        <v>15</v>
      </c>
      <c r="F1240" t="s">
        <v>16</v>
      </c>
      <c r="G1240" t="s">
        <v>128</v>
      </c>
      <c r="H1240" t="s">
        <v>648</v>
      </c>
      <c r="I1240">
        <v>66.97</v>
      </c>
      <c r="J1240">
        <v>68.03</v>
      </c>
      <c r="K1240">
        <v>69.55</v>
      </c>
      <c r="L1240">
        <v>26.92</v>
      </c>
      <c r="M1240">
        <v>29.04</v>
      </c>
      <c r="N1240">
        <v>30.18</v>
      </c>
    </row>
    <row r="1241" spans="3:14" x14ac:dyDescent="0.15">
      <c r="C1241" s="123">
        <v>42552</v>
      </c>
      <c r="D1241" t="s">
        <v>5</v>
      </c>
      <c r="E1241" t="s">
        <v>15</v>
      </c>
      <c r="F1241" t="s">
        <v>16</v>
      </c>
      <c r="G1241" t="s">
        <v>128</v>
      </c>
      <c r="H1241" t="s">
        <v>59</v>
      </c>
      <c r="I1241">
        <v>70.11</v>
      </c>
      <c r="J1241">
        <v>70.95</v>
      </c>
      <c r="K1241">
        <v>72.459999999999994</v>
      </c>
      <c r="L1241">
        <v>30.11</v>
      </c>
      <c r="M1241">
        <v>32.14</v>
      </c>
      <c r="N1241">
        <v>33.19</v>
      </c>
    </row>
    <row r="1242" spans="3:14" x14ac:dyDescent="0.15">
      <c r="C1242" s="123">
        <v>42552</v>
      </c>
      <c r="D1242" t="s">
        <v>5</v>
      </c>
      <c r="E1242" t="s">
        <v>15</v>
      </c>
      <c r="F1242" t="s">
        <v>16</v>
      </c>
      <c r="G1242" t="s">
        <v>128</v>
      </c>
      <c r="H1242" t="s">
        <v>60</v>
      </c>
      <c r="I1242">
        <v>68.510000000000005</v>
      </c>
      <c r="J1242">
        <v>69.349999999999994</v>
      </c>
      <c r="K1242">
        <v>70.86</v>
      </c>
      <c r="L1242">
        <v>28.51</v>
      </c>
      <c r="M1242">
        <v>30.54</v>
      </c>
      <c r="N1242">
        <v>31.59</v>
      </c>
    </row>
    <row r="1243" spans="3:14" x14ac:dyDescent="0.15">
      <c r="C1243" s="123">
        <v>42552</v>
      </c>
      <c r="D1243" t="s">
        <v>5</v>
      </c>
      <c r="E1243" t="s">
        <v>15</v>
      </c>
      <c r="F1243" t="s">
        <v>16</v>
      </c>
      <c r="G1243" t="s">
        <v>128</v>
      </c>
      <c r="H1243" t="s">
        <v>648</v>
      </c>
      <c r="I1243">
        <v>67.459999999999994</v>
      </c>
      <c r="J1243">
        <v>68.3</v>
      </c>
      <c r="K1243">
        <v>69.81</v>
      </c>
      <c r="L1243">
        <v>27.46</v>
      </c>
      <c r="M1243">
        <v>29.49</v>
      </c>
      <c r="N1243">
        <v>30.54</v>
      </c>
    </row>
    <row r="1244" spans="3:14" x14ac:dyDescent="0.15">
      <c r="C1244" s="123">
        <v>42583</v>
      </c>
      <c r="D1244" t="s">
        <v>5</v>
      </c>
      <c r="E1244" t="s">
        <v>15</v>
      </c>
      <c r="F1244" t="s">
        <v>16</v>
      </c>
      <c r="G1244" t="s">
        <v>128</v>
      </c>
      <c r="H1244" t="s">
        <v>59</v>
      </c>
      <c r="I1244">
        <v>70.59</v>
      </c>
      <c r="J1244">
        <v>71.61</v>
      </c>
      <c r="K1244">
        <v>72.819999999999993</v>
      </c>
      <c r="L1244">
        <v>30.7</v>
      </c>
      <c r="M1244">
        <v>32.53</v>
      </c>
      <c r="N1244">
        <v>33.58</v>
      </c>
    </row>
    <row r="1245" spans="3:14" x14ac:dyDescent="0.15">
      <c r="C1245" s="123">
        <v>42583</v>
      </c>
      <c r="D1245" t="s">
        <v>5</v>
      </c>
      <c r="E1245" t="s">
        <v>15</v>
      </c>
      <c r="F1245" t="s">
        <v>16</v>
      </c>
      <c r="G1245" t="s">
        <v>128</v>
      </c>
      <c r="H1245" t="s">
        <v>60</v>
      </c>
      <c r="I1245">
        <v>68.989999999999995</v>
      </c>
      <c r="J1245">
        <v>70.010000000000005</v>
      </c>
      <c r="K1245">
        <v>71.22</v>
      </c>
      <c r="L1245">
        <v>29.1</v>
      </c>
      <c r="M1245">
        <v>30.93</v>
      </c>
      <c r="N1245">
        <v>31.98</v>
      </c>
    </row>
    <row r="1246" spans="3:14" x14ac:dyDescent="0.15">
      <c r="C1246" s="123">
        <v>42583</v>
      </c>
      <c r="D1246" t="s">
        <v>5</v>
      </c>
      <c r="E1246" t="s">
        <v>15</v>
      </c>
      <c r="F1246" t="s">
        <v>16</v>
      </c>
      <c r="G1246" t="s">
        <v>128</v>
      </c>
      <c r="H1246" t="s">
        <v>648</v>
      </c>
      <c r="I1246">
        <v>67.94</v>
      </c>
      <c r="J1246">
        <v>68.959999999999994</v>
      </c>
      <c r="K1246">
        <v>70.17</v>
      </c>
      <c r="L1246">
        <v>28.05</v>
      </c>
      <c r="M1246">
        <v>29.88</v>
      </c>
      <c r="N1246">
        <v>30.93</v>
      </c>
    </row>
    <row r="1247" spans="3:14" x14ac:dyDescent="0.15">
      <c r="C1247" s="123">
        <v>42614</v>
      </c>
      <c r="D1247" t="s">
        <v>5</v>
      </c>
      <c r="E1247" t="s">
        <v>15</v>
      </c>
      <c r="F1247" t="s">
        <v>16</v>
      </c>
      <c r="G1247" t="s">
        <v>128</v>
      </c>
      <c r="H1247" t="s">
        <v>59</v>
      </c>
      <c r="I1247">
        <v>70.989999999999995</v>
      </c>
      <c r="J1247">
        <v>72.19</v>
      </c>
      <c r="K1247">
        <v>73.099999999999994</v>
      </c>
      <c r="L1247">
        <v>31.25</v>
      </c>
      <c r="M1247">
        <v>32.89</v>
      </c>
      <c r="N1247">
        <v>33.950000000000003</v>
      </c>
    </row>
    <row r="1248" spans="3:14" x14ac:dyDescent="0.15">
      <c r="C1248" s="123">
        <v>42614</v>
      </c>
      <c r="D1248" t="s">
        <v>5</v>
      </c>
      <c r="E1248" t="s">
        <v>15</v>
      </c>
      <c r="F1248" t="s">
        <v>16</v>
      </c>
      <c r="G1248" t="s">
        <v>128</v>
      </c>
      <c r="H1248" t="s">
        <v>60</v>
      </c>
      <c r="I1248">
        <v>69.39</v>
      </c>
      <c r="J1248">
        <v>70.59</v>
      </c>
      <c r="K1248">
        <v>71.5</v>
      </c>
      <c r="L1248">
        <v>29.65</v>
      </c>
      <c r="M1248">
        <v>31.29</v>
      </c>
      <c r="N1248">
        <v>32.35</v>
      </c>
    </row>
    <row r="1249" spans="3:14" x14ac:dyDescent="0.15">
      <c r="C1249" s="123">
        <v>42614</v>
      </c>
      <c r="D1249" t="s">
        <v>5</v>
      </c>
      <c r="E1249" t="s">
        <v>15</v>
      </c>
      <c r="F1249" t="s">
        <v>16</v>
      </c>
      <c r="G1249" t="s">
        <v>128</v>
      </c>
      <c r="H1249" t="s">
        <v>648</v>
      </c>
      <c r="I1249">
        <v>68.34</v>
      </c>
      <c r="J1249">
        <v>69.540000000000006</v>
      </c>
      <c r="K1249">
        <v>70.45</v>
      </c>
      <c r="L1249">
        <v>28.6</v>
      </c>
      <c r="M1249">
        <v>30.24</v>
      </c>
      <c r="N1249">
        <v>31.3</v>
      </c>
    </row>
    <row r="1250" spans="3:14" x14ac:dyDescent="0.15">
      <c r="C1250" s="123">
        <v>42644</v>
      </c>
      <c r="D1250" t="s">
        <v>5</v>
      </c>
      <c r="E1250" t="s">
        <v>15</v>
      </c>
      <c r="F1250" t="s">
        <v>16</v>
      </c>
      <c r="G1250" t="s">
        <v>128</v>
      </c>
      <c r="H1250" t="s">
        <v>59</v>
      </c>
      <c r="I1250">
        <v>71.430000000000007</v>
      </c>
      <c r="J1250">
        <v>72.819999999999993</v>
      </c>
      <c r="K1250">
        <v>73.36</v>
      </c>
      <c r="L1250">
        <v>31.79</v>
      </c>
      <c r="M1250">
        <v>33.24</v>
      </c>
      <c r="N1250">
        <v>34.32</v>
      </c>
    </row>
    <row r="1251" spans="3:14" x14ac:dyDescent="0.15">
      <c r="C1251" s="123">
        <v>42644</v>
      </c>
      <c r="D1251" t="s">
        <v>5</v>
      </c>
      <c r="E1251" t="s">
        <v>15</v>
      </c>
      <c r="F1251" t="s">
        <v>16</v>
      </c>
      <c r="G1251" t="s">
        <v>128</v>
      </c>
      <c r="H1251" t="s">
        <v>60</v>
      </c>
      <c r="I1251">
        <v>69.83</v>
      </c>
      <c r="J1251">
        <v>71.22</v>
      </c>
      <c r="K1251">
        <v>71.760000000000005</v>
      </c>
      <c r="L1251">
        <v>30.19</v>
      </c>
      <c r="M1251">
        <v>31.64</v>
      </c>
      <c r="N1251">
        <v>32.72</v>
      </c>
    </row>
    <row r="1252" spans="3:14" x14ac:dyDescent="0.15">
      <c r="C1252" s="123">
        <v>42644</v>
      </c>
      <c r="D1252" t="s">
        <v>5</v>
      </c>
      <c r="E1252" t="s">
        <v>15</v>
      </c>
      <c r="F1252" t="s">
        <v>16</v>
      </c>
      <c r="G1252" t="s">
        <v>128</v>
      </c>
      <c r="H1252" t="s">
        <v>648</v>
      </c>
      <c r="I1252">
        <v>68.78</v>
      </c>
      <c r="J1252">
        <v>70.17</v>
      </c>
      <c r="K1252">
        <v>70.709999999999994</v>
      </c>
      <c r="L1252">
        <v>29.14</v>
      </c>
      <c r="M1252">
        <v>30.59</v>
      </c>
      <c r="N1252">
        <v>31.67</v>
      </c>
    </row>
    <row r="1253" spans="3:14" x14ac:dyDescent="0.15">
      <c r="C1253" s="123">
        <v>42675</v>
      </c>
      <c r="D1253" t="s">
        <v>5</v>
      </c>
      <c r="E1253" t="s">
        <v>15</v>
      </c>
      <c r="F1253" t="s">
        <v>16</v>
      </c>
      <c r="G1253" t="s">
        <v>128</v>
      </c>
      <c r="H1253" t="s">
        <v>59</v>
      </c>
      <c r="I1253">
        <v>71.849999999999994</v>
      </c>
      <c r="J1253">
        <v>73.27</v>
      </c>
      <c r="K1253">
        <v>73.61</v>
      </c>
      <c r="L1253">
        <v>32.31</v>
      </c>
      <c r="M1253">
        <v>33.58</v>
      </c>
      <c r="N1253">
        <v>34.65</v>
      </c>
    </row>
    <row r="1254" spans="3:14" x14ac:dyDescent="0.15">
      <c r="C1254" s="123">
        <v>42675</v>
      </c>
      <c r="D1254" t="s">
        <v>5</v>
      </c>
      <c r="E1254" t="s">
        <v>15</v>
      </c>
      <c r="F1254" t="s">
        <v>16</v>
      </c>
      <c r="G1254" t="s">
        <v>128</v>
      </c>
      <c r="H1254" t="s">
        <v>60</v>
      </c>
      <c r="I1254">
        <v>70.25</v>
      </c>
      <c r="J1254">
        <v>71.67</v>
      </c>
      <c r="K1254">
        <v>72.010000000000005</v>
      </c>
      <c r="L1254">
        <v>30.71</v>
      </c>
      <c r="M1254">
        <v>31.98</v>
      </c>
      <c r="N1254">
        <v>33.049999999999997</v>
      </c>
    </row>
    <row r="1255" spans="3:14" x14ac:dyDescent="0.15">
      <c r="C1255" s="123">
        <v>42675</v>
      </c>
      <c r="D1255" t="s">
        <v>5</v>
      </c>
      <c r="E1255" t="s">
        <v>15</v>
      </c>
      <c r="F1255" t="s">
        <v>16</v>
      </c>
      <c r="G1255" t="s">
        <v>128</v>
      </c>
      <c r="H1255" t="s">
        <v>648</v>
      </c>
      <c r="I1255">
        <v>69.2</v>
      </c>
      <c r="J1255">
        <v>70.62</v>
      </c>
      <c r="K1255">
        <v>70.959999999999994</v>
      </c>
      <c r="L1255">
        <v>29.66</v>
      </c>
      <c r="M1255">
        <v>30.93</v>
      </c>
      <c r="N1255">
        <v>32</v>
      </c>
    </row>
    <row r="1256" spans="3:14" x14ac:dyDescent="0.15">
      <c r="C1256" s="123">
        <v>42705</v>
      </c>
      <c r="D1256" t="s">
        <v>5</v>
      </c>
      <c r="E1256" t="s">
        <v>15</v>
      </c>
      <c r="F1256" t="s">
        <v>16</v>
      </c>
      <c r="G1256" t="s">
        <v>128</v>
      </c>
      <c r="H1256" t="s">
        <v>59</v>
      </c>
      <c r="I1256">
        <v>72.19</v>
      </c>
      <c r="J1256">
        <v>73.72</v>
      </c>
      <c r="K1256">
        <v>73.83</v>
      </c>
      <c r="L1256">
        <v>32.799999999999997</v>
      </c>
      <c r="M1256">
        <v>33.96</v>
      </c>
      <c r="N1256">
        <v>34.97</v>
      </c>
    </row>
    <row r="1257" spans="3:14" x14ac:dyDescent="0.15">
      <c r="C1257" s="123">
        <v>42705</v>
      </c>
      <c r="D1257" t="s">
        <v>5</v>
      </c>
      <c r="E1257" t="s">
        <v>15</v>
      </c>
      <c r="F1257" t="s">
        <v>16</v>
      </c>
      <c r="G1257" t="s">
        <v>128</v>
      </c>
      <c r="H1257" t="s">
        <v>60</v>
      </c>
      <c r="I1257">
        <v>70.59</v>
      </c>
      <c r="J1257">
        <v>72.12</v>
      </c>
      <c r="K1257">
        <v>72.23</v>
      </c>
      <c r="L1257">
        <v>31.2</v>
      </c>
      <c r="M1257">
        <v>32.36</v>
      </c>
      <c r="N1257">
        <v>33.369999999999997</v>
      </c>
    </row>
    <row r="1258" spans="3:14" x14ac:dyDescent="0.15">
      <c r="C1258" s="123">
        <v>42705</v>
      </c>
      <c r="D1258" t="s">
        <v>5</v>
      </c>
      <c r="E1258" t="s">
        <v>15</v>
      </c>
      <c r="F1258" t="s">
        <v>16</v>
      </c>
      <c r="G1258" t="s">
        <v>128</v>
      </c>
      <c r="H1258" t="s">
        <v>648</v>
      </c>
      <c r="I1258">
        <v>69.540000000000006</v>
      </c>
      <c r="J1258">
        <v>71.069999999999993</v>
      </c>
      <c r="K1258">
        <v>71.180000000000007</v>
      </c>
      <c r="L1258">
        <v>30.15</v>
      </c>
      <c r="M1258">
        <v>31.31</v>
      </c>
      <c r="N1258">
        <v>32.32</v>
      </c>
    </row>
    <row r="1259" spans="3:14" x14ac:dyDescent="0.15">
      <c r="C1259" s="123">
        <v>42736</v>
      </c>
      <c r="D1259" t="s">
        <v>5</v>
      </c>
      <c r="E1259" t="s">
        <v>15</v>
      </c>
      <c r="F1259" t="s">
        <v>16</v>
      </c>
      <c r="G1259" t="s">
        <v>128</v>
      </c>
      <c r="H1259" t="s">
        <v>59</v>
      </c>
      <c r="I1259">
        <v>72.58</v>
      </c>
      <c r="J1259">
        <v>74.06</v>
      </c>
      <c r="K1259">
        <v>74.13</v>
      </c>
      <c r="L1259">
        <v>33.36</v>
      </c>
      <c r="M1259">
        <v>34.35</v>
      </c>
      <c r="N1259">
        <v>35.33</v>
      </c>
    </row>
    <row r="1260" spans="3:14" x14ac:dyDescent="0.15">
      <c r="C1260" s="123">
        <v>42736</v>
      </c>
      <c r="D1260" t="s">
        <v>5</v>
      </c>
      <c r="E1260" t="s">
        <v>15</v>
      </c>
      <c r="F1260" t="s">
        <v>16</v>
      </c>
      <c r="G1260" t="s">
        <v>128</v>
      </c>
      <c r="H1260" t="s">
        <v>60</v>
      </c>
      <c r="I1260">
        <v>70.98</v>
      </c>
      <c r="J1260">
        <v>72.459999999999994</v>
      </c>
      <c r="K1260">
        <v>72.53</v>
      </c>
      <c r="L1260">
        <v>31.76</v>
      </c>
      <c r="M1260">
        <v>32.75</v>
      </c>
      <c r="N1260">
        <v>33.729999999999997</v>
      </c>
    </row>
    <row r="1261" spans="3:14" x14ac:dyDescent="0.15">
      <c r="C1261" s="123">
        <v>42736</v>
      </c>
      <c r="D1261" t="s">
        <v>5</v>
      </c>
      <c r="E1261" t="s">
        <v>15</v>
      </c>
      <c r="F1261" t="s">
        <v>16</v>
      </c>
      <c r="G1261" t="s">
        <v>128</v>
      </c>
      <c r="H1261" t="s">
        <v>648</v>
      </c>
      <c r="I1261">
        <v>69.930000000000007</v>
      </c>
      <c r="J1261">
        <v>71.41</v>
      </c>
      <c r="K1261">
        <v>71.48</v>
      </c>
      <c r="L1261">
        <v>30.71</v>
      </c>
      <c r="M1261">
        <v>31.7</v>
      </c>
      <c r="N1261">
        <v>32.68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433"/>
  <sheetViews>
    <sheetView workbookViewId="0">
      <selection activeCell="C1" sqref="C1:C1048576"/>
    </sheetView>
  </sheetViews>
  <sheetFormatPr defaultRowHeight="10.5" x14ac:dyDescent="0.15"/>
  <cols>
    <col min="3" max="3" width="9.83203125" style="154" bestFit="1" customWidth="1"/>
  </cols>
  <sheetData>
    <row r="1" spans="1:14" x14ac:dyDescent="0.15">
      <c r="C1" s="154" t="s">
        <v>1093</v>
      </c>
      <c r="D1" t="s">
        <v>2</v>
      </c>
      <c r="E1" t="s">
        <v>3</v>
      </c>
      <c r="F1" t="s">
        <v>1094</v>
      </c>
      <c r="G1" t="s">
        <v>89</v>
      </c>
      <c r="H1" t="s">
        <v>1095</v>
      </c>
      <c r="I1" t="s">
        <v>1096</v>
      </c>
      <c r="J1" t="s">
        <v>1097</v>
      </c>
      <c r="K1" t="s">
        <v>1098</v>
      </c>
      <c r="L1" t="s">
        <v>1099</v>
      </c>
      <c r="M1" t="s">
        <v>1100</v>
      </c>
      <c r="N1" t="s">
        <v>1101</v>
      </c>
    </row>
    <row r="2" spans="1:14" x14ac:dyDescent="0.15">
      <c r="A2" s="123">
        <v>42374</v>
      </c>
      <c r="C2" s="154" t="s">
        <v>1107</v>
      </c>
      <c r="D2" t="s">
        <v>5</v>
      </c>
      <c r="E2" t="s">
        <v>46</v>
      </c>
      <c r="F2" t="s">
        <v>6</v>
      </c>
      <c r="G2" t="s">
        <v>1106</v>
      </c>
      <c r="H2" t="s">
        <v>59</v>
      </c>
      <c r="I2">
        <v>70.08</v>
      </c>
      <c r="J2">
        <v>70.92</v>
      </c>
      <c r="K2">
        <v>71.53</v>
      </c>
      <c r="L2">
        <v>35.270000000000003</v>
      </c>
      <c r="M2">
        <v>35.67</v>
      </c>
      <c r="N2">
        <v>36.65</v>
      </c>
    </row>
    <row r="3" spans="1:14" x14ac:dyDescent="0.15">
      <c r="C3" s="154" t="s">
        <v>1107</v>
      </c>
      <c r="D3" t="s">
        <v>5</v>
      </c>
      <c r="E3" t="s">
        <v>46</v>
      </c>
      <c r="F3" t="s">
        <v>6</v>
      </c>
      <c r="G3" t="s">
        <v>1106</v>
      </c>
      <c r="H3" t="s">
        <v>60</v>
      </c>
      <c r="I3">
        <v>68.48</v>
      </c>
      <c r="J3">
        <v>69.319999999999993</v>
      </c>
      <c r="K3">
        <v>69.930000000000007</v>
      </c>
      <c r="L3">
        <v>33.67</v>
      </c>
      <c r="M3">
        <v>34.07</v>
      </c>
      <c r="N3">
        <v>35.049999999999997</v>
      </c>
    </row>
    <row r="4" spans="1:14" x14ac:dyDescent="0.15">
      <c r="C4" s="154" t="s">
        <v>1107</v>
      </c>
      <c r="D4" t="s">
        <v>5</v>
      </c>
      <c r="E4" t="s">
        <v>46</v>
      </c>
      <c r="F4" t="s">
        <v>6</v>
      </c>
      <c r="G4" t="s">
        <v>1106</v>
      </c>
      <c r="H4" t="s">
        <v>648</v>
      </c>
      <c r="I4">
        <v>67.430000000000007</v>
      </c>
      <c r="J4">
        <v>68.27</v>
      </c>
      <c r="K4">
        <v>68.88</v>
      </c>
      <c r="L4">
        <v>32.619999999999997</v>
      </c>
      <c r="M4">
        <v>33.020000000000003</v>
      </c>
      <c r="N4">
        <v>34</v>
      </c>
    </row>
    <row r="5" spans="1:14" x14ac:dyDescent="0.15">
      <c r="C5" s="154" t="s">
        <v>1108</v>
      </c>
      <c r="D5" t="s">
        <v>5</v>
      </c>
      <c r="E5" t="s">
        <v>46</v>
      </c>
      <c r="F5" t="s">
        <v>6</v>
      </c>
      <c r="G5" t="s">
        <v>1106</v>
      </c>
      <c r="H5" t="s">
        <v>59</v>
      </c>
      <c r="I5">
        <v>69.959999999999994</v>
      </c>
      <c r="J5">
        <v>70.86</v>
      </c>
      <c r="K5">
        <v>71.680000000000007</v>
      </c>
      <c r="L5">
        <v>34.950000000000003</v>
      </c>
      <c r="M5">
        <v>35.61</v>
      </c>
      <c r="N5">
        <v>36.729999999999997</v>
      </c>
    </row>
    <row r="6" spans="1:14" x14ac:dyDescent="0.15">
      <c r="C6" s="154" t="s">
        <v>1108</v>
      </c>
      <c r="D6" t="s">
        <v>5</v>
      </c>
      <c r="E6" t="s">
        <v>46</v>
      </c>
      <c r="F6" t="s">
        <v>6</v>
      </c>
      <c r="G6" t="s">
        <v>1106</v>
      </c>
      <c r="H6" t="s">
        <v>60</v>
      </c>
      <c r="I6">
        <v>68.36</v>
      </c>
      <c r="J6">
        <v>69.260000000000005</v>
      </c>
      <c r="K6">
        <v>70.08</v>
      </c>
      <c r="L6">
        <v>33.35</v>
      </c>
      <c r="M6">
        <v>34.01</v>
      </c>
      <c r="N6">
        <v>35.130000000000003</v>
      </c>
    </row>
    <row r="7" spans="1:14" x14ac:dyDescent="0.15">
      <c r="C7" s="154" t="s">
        <v>1108</v>
      </c>
      <c r="D7" t="s">
        <v>5</v>
      </c>
      <c r="E7" t="s">
        <v>46</v>
      </c>
      <c r="F7" t="s">
        <v>6</v>
      </c>
      <c r="G7" t="s">
        <v>1106</v>
      </c>
      <c r="H7" t="s">
        <v>648</v>
      </c>
      <c r="I7">
        <v>67.31</v>
      </c>
      <c r="J7">
        <v>68.209999999999994</v>
      </c>
      <c r="K7">
        <v>69.03</v>
      </c>
      <c r="L7">
        <v>32.299999999999997</v>
      </c>
      <c r="M7">
        <v>32.96</v>
      </c>
      <c r="N7">
        <v>34.08</v>
      </c>
    </row>
    <row r="8" spans="1:14" x14ac:dyDescent="0.15">
      <c r="C8" s="154" t="s">
        <v>1109</v>
      </c>
      <c r="D8" t="s">
        <v>5</v>
      </c>
      <c r="E8" t="s">
        <v>46</v>
      </c>
      <c r="F8" t="s">
        <v>6</v>
      </c>
      <c r="G8" t="s">
        <v>1106</v>
      </c>
      <c r="H8" t="s">
        <v>59</v>
      </c>
      <c r="I8">
        <v>69.819999999999993</v>
      </c>
      <c r="J8">
        <v>70.760000000000005</v>
      </c>
      <c r="K8">
        <v>71.849999999999994</v>
      </c>
      <c r="L8">
        <v>34.6</v>
      </c>
      <c r="M8">
        <v>35.65</v>
      </c>
      <c r="N8">
        <v>36.82</v>
      </c>
    </row>
    <row r="9" spans="1:14" x14ac:dyDescent="0.15">
      <c r="C9" s="154" t="s">
        <v>1109</v>
      </c>
      <c r="D9" t="s">
        <v>5</v>
      </c>
      <c r="E9" t="s">
        <v>46</v>
      </c>
      <c r="F9" t="s">
        <v>6</v>
      </c>
      <c r="G9" t="s">
        <v>1106</v>
      </c>
      <c r="H9" t="s">
        <v>60</v>
      </c>
      <c r="I9">
        <v>68.22</v>
      </c>
      <c r="J9">
        <v>69.16</v>
      </c>
      <c r="K9">
        <v>70.25</v>
      </c>
      <c r="L9">
        <v>33</v>
      </c>
      <c r="M9">
        <v>34.049999999999997</v>
      </c>
      <c r="N9">
        <v>35.22</v>
      </c>
    </row>
    <row r="10" spans="1:14" x14ac:dyDescent="0.15">
      <c r="C10" s="154" t="s">
        <v>1109</v>
      </c>
      <c r="D10" t="s">
        <v>5</v>
      </c>
      <c r="E10" t="s">
        <v>46</v>
      </c>
      <c r="F10" t="s">
        <v>6</v>
      </c>
      <c r="G10" t="s">
        <v>1106</v>
      </c>
      <c r="H10" t="s">
        <v>648</v>
      </c>
      <c r="I10">
        <v>67.17</v>
      </c>
      <c r="J10">
        <v>68.11</v>
      </c>
      <c r="K10">
        <v>69.2</v>
      </c>
      <c r="L10">
        <v>31.95</v>
      </c>
      <c r="M10">
        <v>33</v>
      </c>
      <c r="N10">
        <v>34.17</v>
      </c>
    </row>
    <row r="11" spans="1:14" x14ac:dyDescent="0.15">
      <c r="C11" s="154" t="s">
        <v>1110</v>
      </c>
      <c r="D11" t="s">
        <v>5</v>
      </c>
      <c r="E11" t="s">
        <v>46</v>
      </c>
      <c r="F11" t="s">
        <v>6</v>
      </c>
      <c r="G11" t="s">
        <v>1106</v>
      </c>
      <c r="H11" t="s">
        <v>59</v>
      </c>
      <c r="I11">
        <v>69.56</v>
      </c>
      <c r="J11">
        <v>70.72</v>
      </c>
      <c r="K11">
        <v>71.92</v>
      </c>
      <c r="L11">
        <v>34.270000000000003</v>
      </c>
      <c r="M11">
        <v>35.700000000000003</v>
      </c>
      <c r="N11">
        <v>36.9</v>
      </c>
    </row>
    <row r="12" spans="1:14" x14ac:dyDescent="0.15">
      <c r="C12" s="154" t="s">
        <v>1110</v>
      </c>
      <c r="D12" t="s">
        <v>5</v>
      </c>
      <c r="E12" t="s">
        <v>46</v>
      </c>
      <c r="F12" t="s">
        <v>6</v>
      </c>
      <c r="G12" t="s">
        <v>1106</v>
      </c>
      <c r="H12" t="s">
        <v>60</v>
      </c>
      <c r="I12">
        <v>67.959999999999994</v>
      </c>
      <c r="J12">
        <v>69.12</v>
      </c>
      <c r="K12">
        <v>70.319999999999993</v>
      </c>
      <c r="L12">
        <v>32.67</v>
      </c>
      <c r="M12">
        <v>34.1</v>
      </c>
      <c r="N12">
        <v>35.299999999999997</v>
      </c>
    </row>
    <row r="13" spans="1:14" x14ac:dyDescent="0.15">
      <c r="C13" s="154" t="s">
        <v>1110</v>
      </c>
      <c r="D13" t="s">
        <v>5</v>
      </c>
      <c r="E13" t="s">
        <v>46</v>
      </c>
      <c r="F13" t="s">
        <v>6</v>
      </c>
      <c r="G13" t="s">
        <v>1106</v>
      </c>
      <c r="H13" t="s">
        <v>648</v>
      </c>
      <c r="I13">
        <v>66.91</v>
      </c>
      <c r="J13">
        <v>68.069999999999993</v>
      </c>
      <c r="K13">
        <v>69.27</v>
      </c>
      <c r="L13">
        <v>31.62</v>
      </c>
      <c r="M13">
        <v>33.049999999999997</v>
      </c>
      <c r="N13">
        <v>34.25</v>
      </c>
    </row>
    <row r="14" spans="1:14" x14ac:dyDescent="0.15">
      <c r="C14" s="154" t="s">
        <v>1111</v>
      </c>
      <c r="D14" t="s">
        <v>5</v>
      </c>
      <c r="E14" t="s">
        <v>46</v>
      </c>
      <c r="F14" t="s">
        <v>6</v>
      </c>
      <c r="G14" t="s">
        <v>1106</v>
      </c>
      <c r="H14" t="s">
        <v>59</v>
      </c>
      <c r="I14">
        <v>69.239999999999995</v>
      </c>
      <c r="J14">
        <v>70.63</v>
      </c>
      <c r="K14">
        <v>72.02</v>
      </c>
      <c r="L14">
        <v>33.880000000000003</v>
      </c>
      <c r="M14">
        <v>35.72</v>
      </c>
      <c r="N14">
        <v>36.96</v>
      </c>
    </row>
    <row r="15" spans="1:14" x14ac:dyDescent="0.15">
      <c r="C15" s="154" t="s">
        <v>1111</v>
      </c>
      <c r="D15" t="s">
        <v>5</v>
      </c>
      <c r="E15" t="s">
        <v>46</v>
      </c>
      <c r="F15" t="s">
        <v>6</v>
      </c>
      <c r="G15" t="s">
        <v>1106</v>
      </c>
      <c r="H15" t="s">
        <v>60</v>
      </c>
      <c r="I15">
        <v>67.64</v>
      </c>
      <c r="J15">
        <v>69.03</v>
      </c>
      <c r="K15">
        <v>70.42</v>
      </c>
      <c r="L15">
        <v>32.28</v>
      </c>
      <c r="M15">
        <v>34.119999999999997</v>
      </c>
      <c r="N15">
        <v>35.36</v>
      </c>
    </row>
    <row r="16" spans="1:14" x14ac:dyDescent="0.15">
      <c r="C16" s="154" t="s">
        <v>1111</v>
      </c>
      <c r="D16" t="s">
        <v>5</v>
      </c>
      <c r="E16" t="s">
        <v>46</v>
      </c>
      <c r="F16" t="s">
        <v>6</v>
      </c>
      <c r="G16" t="s">
        <v>1106</v>
      </c>
      <c r="H16" t="s">
        <v>648</v>
      </c>
      <c r="I16">
        <v>66.59</v>
      </c>
      <c r="J16">
        <v>67.98</v>
      </c>
      <c r="K16">
        <v>69.37</v>
      </c>
      <c r="L16">
        <v>31.23</v>
      </c>
      <c r="M16">
        <v>33.07</v>
      </c>
      <c r="N16">
        <v>34.31</v>
      </c>
    </row>
    <row r="17" spans="3:14" x14ac:dyDescent="0.15">
      <c r="C17" s="154" t="s">
        <v>1112</v>
      </c>
      <c r="D17" t="s">
        <v>5</v>
      </c>
      <c r="E17" t="s">
        <v>46</v>
      </c>
      <c r="F17" t="s">
        <v>6</v>
      </c>
      <c r="G17" t="s">
        <v>1106</v>
      </c>
      <c r="H17" t="s">
        <v>59</v>
      </c>
      <c r="I17">
        <v>69.8</v>
      </c>
      <c r="J17">
        <v>70.84</v>
      </c>
      <c r="K17">
        <v>72.319999999999993</v>
      </c>
      <c r="L17">
        <v>34.4</v>
      </c>
      <c r="M17">
        <v>36.020000000000003</v>
      </c>
      <c r="N17">
        <v>37.299999999999997</v>
      </c>
    </row>
    <row r="18" spans="3:14" x14ac:dyDescent="0.15">
      <c r="C18" s="154" t="s">
        <v>1112</v>
      </c>
      <c r="D18" t="s">
        <v>5</v>
      </c>
      <c r="E18" t="s">
        <v>46</v>
      </c>
      <c r="F18" t="s">
        <v>6</v>
      </c>
      <c r="G18" t="s">
        <v>1106</v>
      </c>
      <c r="H18" t="s">
        <v>60</v>
      </c>
      <c r="I18">
        <v>68.2</v>
      </c>
      <c r="J18">
        <v>69.239999999999995</v>
      </c>
      <c r="K18">
        <v>70.72</v>
      </c>
      <c r="L18">
        <v>32.799999999999997</v>
      </c>
      <c r="M18">
        <v>34.42</v>
      </c>
      <c r="N18">
        <v>35.700000000000003</v>
      </c>
    </row>
    <row r="19" spans="3:14" x14ac:dyDescent="0.15">
      <c r="C19" s="154" t="s">
        <v>1112</v>
      </c>
      <c r="D19" t="s">
        <v>5</v>
      </c>
      <c r="E19" t="s">
        <v>46</v>
      </c>
      <c r="F19" t="s">
        <v>6</v>
      </c>
      <c r="G19" t="s">
        <v>1106</v>
      </c>
      <c r="H19" t="s">
        <v>648</v>
      </c>
      <c r="I19">
        <v>67.150000000000006</v>
      </c>
      <c r="J19">
        <v>68.19</v>
      </c>
      <c r="K19">
        <v>69.67</v>
      </c>
      <c r="L19">
        <v>31.75</v>
      </c>
      <c r="M19">
        <v>33.369999999999997</v>
      </c>
      <c r="N19">
        <v>34.65</v>
      </c>
    </row>
    <row r="20" spans="3:14" x14ac:dyDescent="0.15">
      <c r="C20" s="154" t="s">
        <v>1113</v>
      </c>
      <c r="D20" t="s">
        <v>5</v>
      </c>
      <c r="E20" t="s">
        <v>46</v>
      </c>
      <c r="F20" t="s">
        <v>6</v>
      </c>
      <c r="G20" t="s">
        <v>1106</v>
      </c>
      <c r="H20" t="s">
        <v>59</v>
      </c>
      <c r="I20">
        <v>70.27</v>
      </c>
      <c r="J20">
        <v>71.3</v>
      </c>
      <c r="K20">
        <v>72.650000000000006</v>
      </c>
      <c r="L20">
        <v>34.93</v>
      </c>
      <c r="M20">
        <v>36.47</v>
      </c>
      <c r="N20">
        <v>37.630000000000003</v>
      </c>
    </row>
    <row r="21" spans="3:14" x14ac:dyDescent="0.15">
      <c r="C21" s="154" t="s">
        <v>1113</v>
      </c>
      <c r="D21" t="s">
        <v>5</v>
      </c>
      <c r="E21" t="s">
        <v>46</v>
      </c>
      <c r="F21" t="s">
        <v>6</v>
      </c>
      <c r="G21" t="s">
        <v>1106</v>
      </c>
      <c r="H21" t="s">
        <v>60</v>
      </c>
      <c r="I21">
        <v>68.67</v>
      </c>
      <c r="J21">
        <v>69.7</v>
      </c>
      <c r="K21">
        <v>71.05</v>
      </c>
      <c r="L21">
        <v>33.33</v>
      </c>
      <c r="M21">
        <v>34.869999999999997</v>
      </c>
      <c r="N21">
        <v>36.03</v>
      </c>
    </row>
    <row r="22" spans="3:14" x14ac:dyDescent="0.15">
      <c r="C22" s="154" t="s">
        <v>1113</v>
      </c>
      <c r="D22" t="s">
        <v>5</v>
      </c>
      <c r="E22" t="s">
        <v>46</v>
      </c>
      <c r="F22" t="s">
        <v>6</v>
      </c>
      <c r="G22" t="s">
        <v>1106</v>
      </c>
      <c r="H22" t="s">
        <v>648</v>
      </c>
      <c r="I22">
        <v>67.62</v>
      </c>
      <c r="J22">
        <v>68.650000000000006</v>
      </c>
      <c r="K22">
        <v>70</v>
      </c>
      <c r="L22">
        <v>32.28</v>
      </c>
      <c r="M22">
        <v>33.82</v>
      </c>
      <c r="N22">
        <v>34.979999999999997</v>
      </c>
    </row>
    <row r="23" spans="3:14" x14ac:dyDescent="0.15">
      <c r="C23" s="154" t="s">
        <v>1114</v>
      </c>
      <c r="D23" t="s">
        <v>5</v>
      </c>
      <c r="E23" t="s">
        <v>46</v>
      </c>
      <c r="F23" t="s">
        <v>6</v>
      </c>
      <c r="G23" t="s">
        <v>1106</v>
      </c>
      <c r="H23" t="s">
        <v>59</v>
      </c>
      <c r="I23">
        <v>70.7</v>
      </c>
      <c r="J23">
        <v>71.86</v>
      </c>
      <c r="K23">
        <v>72.930000000000007</v>
      </c>
      <c r="L23">
        <v>35.46</v>
      </c>
      <c r="M23">
        <v>37</v>
      </c>
      <c r="N23">
        <v>37.97</v>
      </c>
    </row>
    <row r="24" spans="3:14" x14ac:dyDescent="0.15">
      <c r="C24" s="154" t="s">
        <v>1114</v>
      </c>
      <c r="D24" t="s">
        <v>5</v>
      </c>
      <c r="E24" t="s">
        <v>46</v>
      </c>
      <c r="F24" t="s">
        <v>6</v>
      </c>
      <c r="G24" t="s">
        <v>1106</v>
      </c>
      <c r="H24" t="s">
        <v>60</v>
      </c>
      <c r="I24">
        <v>69.099999999999994</v>
      </c>
      <c r="J24">
        <v>70.260000000000005</v>
      </c>
      <c r="K24">
        <v>71.33</v>
      </c>
      <c r="L24">
        <v>33.86</v>
      </c>
      <c r="M24">
        <v>35.4</v>
      </c>
      <c r="N24">
        <v>36.369999999999997</v>
      </c>
    </row>
    <row r="25" spans="3:14" x14ac:dyDescent="0.15">
      <c r="C25" s="154" t="s">
        <v>1114</v>
      </c>
      <c r="D25" t="s">
        <v>5</v>
      </c>
      <c r="E25" t="s">
        <v>46</v>
      </c>
      <c r="F25" t="s">
        <v>6</v>
      </c>
      <c r="G25" t="s">
        <v>1106</v>
      </c>
      <c r="H25" t="s">
        <v>648</v>
      </c>
      <c r="I25">
        <v>68.05</v>
      </c>
      <c r="J25">
        <v>69.209999999999994</v>
      </c>
      <c r="K25">
        <v>70.28</v>
      </c>
      <c r="L25">
        <v>32.81</v>
      </c>
      <c r="M25">
        <v>34.35</v>
      </c>
      <c r="N25">
        <v>35.32</v>
      </c>
    </row>
    <row r="26" spans="3:14" x14ac:dyDescent="0.15">
      <c r="C26" s="154" t="s">
        <v>1115</v>
      </c>
      <c r="D26" t="s">
        <v>5</v>
      </c>
      <c r="E26" t="s">
        <v>46</v>
      </c>
      <c r="F26" t="s">
        <v>6</v>
      </c>
      <c r="G26" t="s">
        <v>1106</v>
      </c>
      <c r="H26" t="s">
        <v>59</v>
      </c>
      <c r="I26">
        <v>71.19</v>
      </c>
      <c r="J26">
        <v>72.5</v>
      </c>
      <c r="K26">
        <v>73.209999999999994</v>
      </c>
      <c r="L26">
        <v>35.979999999999997</v>
      </c>
      <c r="M26">
        <v>37.450000000000003</v>
      </c>
      <c r="N26">
        <v>38.33</v>
      </c>
    </row>
    <row r="27" spans="3:14" x14ac:dyDescent="0.15">
      <c r="C27" s="154" t="s">
        <v>1115</v>
      </c>
      <c r="D27" t="s">
        <v>5</v>
      </c>
      <c r="E27" t="s">
        <v>46</v>
      </c>
      <c r="F27" t="s">
        <v>6</v>
      </c>
      <c r="G27" t="s">
        <v>1106</v>
      </c>
      <c r="H27" t="s">
        <v>60</v>
      </c>
      <c r="I27">
        <v>69.59</v>
      </c>
      <c r="J27">
        <v>70.900000000000006</v>
      </c>
      <c r="K27">
        <v>71.61</v>
      </c>
      <c r="L27">
        <v>34.380000000000003</v>
      </c>
      <c r="M27">
        <v>35.85</v>
      </c>
      <c r="N27">
        <v>36.729999999999997</v>
      </c>
    </row>
    <row r="28" spans="3:14" x14ac:dyDescent="0.15">
      <c r="C28" s="154" t="s">
        <v>1115</v>
      </c>
      <c r="D28" t="s">
        <v>5</v>
      </c>
      <c r="E28" t="s">
        <v>46</v>
      </c>
      <c r="F28" t="s">
        <v>6</v>
      </c>
      <c r="G28" t="s">
        <v>1106</v>
      </c>
      <c r="H28" t="s">
        <v>648</v>
      </c>
      <c r="I28">
        <v>68.540000000000006</v>
      </c>
      <c r="J28">
        <v>69.849999999999994</v>
      </c>
      <c r="K28">
        <v>70.56</v>
      </c>
      <c r="L28">
        <v>33.33</v>
      </c>
      <c r="M28">
        <v>34.799999999999997</v>
      </c>
      <c r="N28">
        <v>35.68</v>
      </c>
    </row>
    <row r="29" spans="3:14" x14ac:dyDescent="0.15">
      <c r="C29" s="154" t="s">
        <v>1117</v>
      </c>
      <c r="D29" t="s">
        <v>5</v>
      </c>
      <c r="E29" t="s">
        <v>46</v>
      </c>
      <c r="F29" t="s">
        <v>6</v>
      </c>
      <c r="G29" t="s">
        <v>1106</v>
      </c>
      <c r="H29" t="s">
        <v>59</v>
      </c>
      <c r="I29">
        <v>71.67</v>
      </c>
      <c r="J29">
        <v>72.98</v>
      </c>
      <c r="K29">
        <v>73.5</v>
      </c>
      <c r="L29">
        <v>36.479999999999997</v>
      </c>
      <c r="M29">
        <v>37.83</v>
      </c>
      <c r="N29">
        <v>38.65</v>
      </c>
    </row>
    <row r="30" spans="3:14" x14ac:dyDescent="0.15">
      <c r="C30" s="154" t="s">
        <v>1117</v>
      </c>
      <c r="D30" t="s">
        <v>5</v>
      </c>
      <c r="E30" t="s">
        <v>46</v>
      </c>
      <c r="F30" t="s">
        <v>6</v>
      </c>
      <c r="G30" t="s">
        <v>1106</v>
      </c>
      <c r="H30" t="s">
        <v>60</v>
      </c>
      <c r="I30">
        <v>70.069999999999993</v>
      </c>
      <c r="J30">
        <v>71.38</v>
      </c>
      <c r="K30">
        <v>71.900000000000006</v>
      </c>
      <c r="L30">
        <v>34.880000000000003</v>
      </c>
      <c r="M30">
        <v>36.229999999999997</v>
      </c>
      <c r="N30">
        <v>37.049999999999997</v>
      </c>
    </row>
    <row r="31" spans="3:14" x14ac:dyDescent="0.15">
      <c r="C31" s="154" t="s">
        <v>1117</v>
      </c>
      <c r="D31" t="s">
        <v>5</v>
      </c>
      <c r="E31" t="s">
        <v>46</v>
      </c>
      <c r="F31" t="s">
        <v>6</v>
      </c>
      <c r="G31" t="s">
        <v>1106</v>
      </c>
      <c r="H31" t="s">
        <v>648</v>
      </c>
      <c r="I31">
        <v>69.02</v>
      </c>
      <c r="J31">
        <v>70.33</v>
      </c>
      <c r="K31">
        <v>70.849999999999994</v>
      </c>
      <c r="L31">
        <v>33.83</v>
      </c>
      <c r="M31">
        <v>35.18</v>
      </c>
      <c r="N31">
        <v>36</v>
      </c>
    </row>
    <row r="32" spans="3:14" x14ac:dyDescent="0.15">
      <c r="C32" s="154" t="s">
        <v>1118</v>
      </c>
      <c r="D32" t="s">
        <v>5</v>
      </c>
      <c r="E32" t="s">
        <v>46</v>
      </c>
      <c r="F32" t="s">
        <v>6</v>
      </c>
      <c r="G32" t="s">
        <v>1106</v>
      </c>
      <c r="H32" t="s">
        <v>59</v>
      </c>
      <c r="I32">
        <v>72.099999999999994</v>
      </c>
      <c r="J32">
        <v>73.48</v>
      </c>
      <c r="K32">
        <v>73.77</v>
      </c>
      <c r="L32">
        <v>36.97</v>
      </c>
      <c r="M32">
        <v>38.229999999999997</v>
      </c>
      <c r="N32">
        <v>38.97</v>
      </c>
    </row>
    <row r="33" spans="3:14" x14ac:dyDescent="0.15">
      <c r="C33" s="154" t="s">
        <v>1118</v>
      </c>
      <c r="D33" t="s">
        <v>5</v>
      </c>
      <c r="E33" t="s">
        <v>46</v>
      </c>
      <c r="F33" t="s">
        <v>6</v>
      </c>
      <c r="G33" t="s">
        <v>1106</v>
      </c>
      <c r="H33" t="s">
        <v>60</v>
      </c>
      <c r="I33">
        <v>70.5</v>
      </c>
      <c r="J33">
        <v>71.88</v>
      </c>
      <c r="K33">
        <v>72.17</v>
      </c>
      <c r="L33">
        <v>35.369999999999997</v>
      </c>
      <c r="M33">
        <v>36.630000000000003</v>
      </c>
      <c r="N33">
        <v>37.369999999999997</v>
      </c>
    </row>
    <row r="34" spans="3:14" x14ac:dyDescent="0.15">
      <c r="C34" s="154" t="s">
        <v>1118</v>
      </c>
      <c r="D34" t="s">
        <v>5</v>
      </c>
      <c r="E34" t="s">
        <v>46</v>
      </c>
      <c r="F34" t="s">
        <v>6</v>
      </c>
      <c r="G34" t="s">
        <v>1106</v>
      </c>
      <c r="H34" t="s">
        <v>648</v>
      </c>
      <c r="I34">
        <v>69.45</v>
      </c>
      <c r="J34">
        <v>70.83</v>
      </c>
      <c r="K34">
        <v>71.12</v>
      </c>
      <c r="L34">
        <v>34.32</v>
      </c>
      <c r="M34">
        <v>35.58</v>
      </c>
      <c r="N34">
        <v>36.32</v>
      </c>
    </row>
    <row r="35" spans="3:14" x14ac:dyDescent="0.15">
      <c r="C35" s="154" t="s">
        <v>1119</v>
      </c>
      <c r="D35" t="s">
        <v>5</v>
      </c>
      <c r="E35" t="s">
        <v>46</v>
      </c>
      <c r="F35" t="s">
        <v>6</v>
      </c>
      <c r="G35" t="s">
        <v>1106</v>
      </c>
      <c r="H35" t="s">
        <v>59</v>
      </c>
      <c r="I35">
        <v>72.55</v>
      </c>
      <c r="J35">
        <v>73.989999999999995</v>
      </c>
      <c r="K35">
        <v>74.11</v>
      </c>
      <c r="L35">
        <v>37.51</v>
      </c>
      <c r="M35">
        <v>38.75</v>
      </c>
      <c r="N35">
        <v>39.32</v>
      </c>
    </row>
    <row r="36" spans="3:14" x14ac:dyDescent="0.15">
      <c r="C36" s="154" t="s">
        <v>1119</v>
      </c>
      <c r="D36" t="s">
        <v>5</v>
      </c>
      <c r="E36" t="s">
        <v>46</v>
      </c>
      <c r="F36" t="s">
        <v>6</v>
      </c>
      <c r="G36" t="s">
        <v>1106</v>
      </c>
      <c r="H36" t="s">
        <v>60</v>
      </c>
      <c r="I36">
        <v>70.95</v>
      </c>
      <c r="J36">
        <v>72.39</v>
      </c>
      <c r="K36">
        <v>72.510000000000005</v>
      </c>
      <c r="L36">
        <v>35.909999999999997</v>
      </c>
      <c r="M36">
        <v>37.15</v>
      </c>
      <c r="N36">
        <v>37.72</v>
      </c>
    </row>
    <row r="37" spans="3:14" x14ac:dyDescent="0.15">
      <c r="C37" s="154" t="s">
        <v>1119</v>
      </c>
      <c r="D37" t="s">
        <v>5</v>
      </c>
      <c r="E37" t="s">
        <v>46</v>
      </c>
      <c r="F37" t="s">
        <v>6</v>
      </c>
      <c r="G37" t="s">
        <v>1106</v>
      </c>
      <c r="H37" t="s">
        <v>648</v>
      </c>
      <c r="I37">
        <v>69.900000000000006</v>
      </c>
      <c r="J37">
        <v>71.34</v>
      </c>
      <c r="K37">
        <v>71.459999999999994</v>
      </c>
      <c r="L37">
        <v>34.86</v>
      </c>
      <c r="M37">
        <v>36.1</v>
      </c>
      <c r="N37">
        <v>36.67</v>
      </c>
    </row>
    <row r="38" spans="3:14" x14ac:dyDescent="0.15">
      <c r="C38" s="154" t="s">
        <v>1107</v>
      </c>
      <c r="D38" t="s">
        <v>5</v>
      </c>
      <c r="E38" t="s">
        <v>164</v>
      </c>
      <c r="F38" t="s">
        <v>7</v>
      </c>
      <c r="G38" t="s">
        <v>123</v>
      </c>
      <c r="H38" t="s">
        <v>59</v>
      </c>
      <c r="I38">
        <v>65.95</v>
      </c>
      <c r="J38">
        <v>66.62</v>
      </c>
      <c r="K38">
        <v>66.14</v>
      </c>
      <c r="L38">
        <v>23.53</v>
      </c>
      <c r="M38">
        <v>23.67</v>
      </c>
      <c r="N38">
        <v>23.83</v>
      </c>
    </row>
    <row r="39" spans="3:14" x14ac:dyDescent="0.15">
      <c r="C39" s="154" t="s">
        <v>1107</v>
      </c>
      <c r="D39" t="s">
        <v>5</v>
      </c>
      <c r="E39" t="s">
        <v>164</v>
      </c>
      <c r="F39" t="s">
        <v>7</v>
      </c>
      <c r="G39" t="s">
        <v>123</v>
      </c>
      <c r="H39" t="s">
        <v>60</v>
      </c>
      <c r="I39">
        <v>64.349999999999994</v>
      </c>
      <c r="J39">
        <v>65.02</v>
      </c>
      <c r="K39">
        <v>64.540000000000006</v>
      </c>
      <c r="L39">
        <v>21.93</v>
      </c>
      <c r="M39">
        <v>22.07</v>
      </c>
      <c r="N39">
        <v>22.23</v>
      </c>
    </row>
    <row r="40" spans="3:14" x14ac:dyDescent="0.15">
      <c r="C40" s="154" t="s">
        <v>1107</v>
      </c>
      <c r="D40" t="s">
        <v>5</v>
      </c>
      <c r="E40" t="s">
        <v>164</v>
      </c>
      <c r="F40" t="s">
        <v>7</v>
      </c>
      <c r="G40" t="s">
        <v>123</v>
      </c>
      <c r="H40" t="s">
        <v>648</v>
      </c>
      <c r="I40">
        <v>63.3</v>
      </c>
      <c r="J40">
        <v>63.97</v>
      </c>
      <c r="K40">
        <v>63.49</v>
      </c>
      <c r="L40">
        <v>20.88</v>
      </c>
      <c r="M40">
        <v>21.02</v>
      </c>
      <c r="N40">
        <v>21.18</v>
      </c>
    </row>
    <row r="41" spans="3:14" x14ac:dyDescent="0.15">
      <c r="C41" s="154" t="s">
        <v>1108</v>
      </c>
      <c r="D41" t="s">
        <v>5</v>
      </c>
      <c r="E41" t="s">
        <v>164</v>
      </c>
      <c r="F41" t="s">
        <v>7</v>
      </c>
      <c r="G41" t="s">
        <v>123</v>
      </c>
      <c r="H41" t="s">
        <v>59</v>
      </c>
      <c r="I41">
        <v>66.83</v>
      </c>
      <c r="J41">
        <v>65.97</v>
      </c>
      <c r="K41">
        <v>66.45</v>
      </c>
      <c r="L41">
        <v>23.49</v>
      </c>
      <c r="M41">
        <v>22.7</v>
      </c>
      <c r="N41">
        <v>23.8</v>
      </c>
    </row>
    <row r="42" spans="3:14" x14ac:dyDescent="0.15">
      <c r="C42" s="154" t="s">
        <v>1108</v>
      </c>
      <c r="D42" t="s">
        <v>5</v>
      </c>
      <c r="E42" t="s">
        <v>164</v>
      </c>
      <c r="F42" t="s">
        <v>7</v>
      </c>
      <c r="G42" t="s">
        <v>123</v>
      </c>
      <c r="H42" t="s">
        <v>60</v>
      </c>
      <c r="I42">
        <v>65.23</v>
      </c>
      <c r="J42">
        <v>64.37</v>
      </c>
      <c r="K42">
        <v>64.849999999999994</v>
      </c>
      <c r="L42">
        <v>21.89</v>
      </c>
      <c r="M42">
        <v>21.1</v>
      </c>
      <c r="N42">
        <v>22.2</v>
      </c>
    </row>
    <row r="43" spans="3:14" x14ac:dyDescent="0.15">
      <c r="C43" s="154" t="s">
        <v>1108</v>
      </c>
      <c r="D43" t="s">
        <v>5</v>
      </c>
      <c r="E43" t="s">
        <v>164</v>
      </c>
      <c r="F43" t="s">
        <v>7</v>
      </c>
      <c r="G43" t="s">
        <v>123</v>
      </c>
      <c r="H43" t="s">
        <v>648</v>
      </c>
      <c r="I43">
        <v>64.180000000000007</v>
      </c>
      <c r="J43">
        <v>63.32</v>
      </c>
      <c r="K43">
        <v>63.8</v>
      </c>
      <c r="L43">
        <v>20.84</v>
      </c>
      <c r="M43">
        <v>20.05</v>
      </c>
      <c r="N43">
        <v>21.15</v>
      </c>
    </row>
    <row r="44" spans="3:14" x14ac:dyDescent="0.15">
      <c r="C44" s="154" t="s">
        <v>1109</v>
      </c>
      <c r="D44" t="s">
        <v>5</v>
      </c>
      <c r="E44" t="s">
        <v>164</v>
      </c>
      <c r="F44" t="s">
        <v>7</v>
      </c>
      <c r="G44" t="s">
        <v>123</v>
      </c>
      <c r="H44" t="s">
        <v>59</v>
      </c>
      <c r="I44">
        <v>67.22</v>
      </c>
      <c r="J44">
        <v>65.5</v>
      </c>
      <c r="K44">
        <v>66.66</v>
      </c>
      <c r="L44">
        <v>23.91</v>
      </c>
      <c r="M44">
        <v>22.46</v>
      </c>
      <c r="N44">
        <v>24.12</v>
      </c>
    </row>
    <row r="45" spans="3:14" x14ac:dyDescent="0.15">
      <c r="C45" s="154" t="s">
        <v>1109</v>
      </c>
      <c r="D45" t="s">
        <v>5</v>
      </c>
      <c r="E45" t="s">
        <v>164</v>
      </c>
      <c r="F45" t="s">
        <v>7</v>
      </c>
      <c r="G45" t="s">
        <v>123</v>
      </c>
      <c r="H45" t="s">
        <v>60</v>
      </c>
      <c r="I45">
        <v>65.62</v>
      </c>
      <c r="J45">
        <v>63.9</v>
      </c>
      <c r="K45">
        <v>65.06</v>
      </c>
      <c r="L45">
        <v>22.31</v>
      </c>
      <c r="M45">
        <v>20.86</v>
      </c>
      <c r="N45">
        <v>22.52</v>
      </c>
    </row>
    <row r="46" spans="3:14" x14ac:dyDescent="0.15">
      <c r="C46" s="154" t="s">
        <v>1109</v>
      </c>
      <c r="D46" t="s">
        <v>5</v>
      </c>
      <c r="E46" t="s">
        <v>164</v>
      </c>
      <c r="F46" t="s">
        <v>7</v>
      </c>
      <c r="G46" t="s">
        <v>123</v>
      </c>
      <c r="H46" t="s">
        <v>648</v>
      </c>
      <c r="I46">
        <v>64.569999999999993</v>
      </c>
      <c r="J46">
        <v>62.85</v>
      </c>
      <c r="K46">
        <v>64.010000000000005</v>
      </c>
      <c r="L46">
        <v>21.26</v>
      </c>
      <c r="M46">
        <v>19.809999999999999</v>
      </c>
      <c r="N46">
        <v>21.47</v>
      </c>
    </row>
    <row r="47" spans="3:14" x14ac:dyDescent="0.15">
      <c r="C47" s="154" t="s">
        <v>1110</v>
      </c>
      <c r="D47" t="s">
        <v>5</v>
      </c>
      <c r="E47" t="s">
        <v>164</v>
      </c>
      <c r="F47" t="s">
        <v>7</v>
      </c>
      <c r="G47" t="s">
        <v>123</v>
      </c>
      <c r="H47" t="s">
        <v>59</v>
      </c>
      <c r="I47">
        <v>67.36</v>
      </c>
      <c r="J47">
        <v>65.28</v>
      </c>
      <c r="K47">
        <v>66.680000000000007</v>
      </c>
      <c r="L47">
        <v>24.01</v>
      </c>
      <c r="M47">
        <v>22.49</v>
      </c>
      <c r="N47">
        <v>24.18</v>
      </c>
    </row>
    <row r="48" spans="3:14" x14ac:dyDescent="0.15">
      <c r="C48" s="154" t="s">
        <v>1110</v>
      </c>
      <c r="D48" t="s">
        <v>5</v>
      </c>
      <c r="E48" t="s">
        <v>164</v>
      </c>
      <c r="F48" t="s">
        <v>7</v>
      </c>
      <c r="G48" t="s">
        <v>123</v>
      </c>
      <c r="H48" t="s">
        <v>60</v>
      </c>
      <c r="I48">
        <v>65.760000000000005</v>
      </c>
      <c r="J48">
        <v>63.68</v>
      </c>
      <c r="K48">
        <v>65.08</v>
      </c>
      <c r="L48">
        <v>22.41</v>
      </c>
      <c r="M48">
        <v>20.89</v>
      </c>
      <c r="N48">
        <v>22.58</v>
      </c>
    </row>
    <row r="49" spans="3:14" x14ac:dyDescent="0.15">
      <c r="C49" s="154" t="s">
        <v>1110</v>
      </c>
      <c r="D49" t="s">
        <v>5</v>
      </c>
      <c r="E49" t="s">
        <v>164</v>
      </c>
      <c r="F49" t="s">
        <v>7</v>
      </c>
      <c r="G49" t="s">
        <v>123</v>
      </c>
      <c r="H49" t="s">
        <v>648</v>
      </c>
      <c r="I49">
        <v>64.709999999999994</v>
      </c>
      <c r="J49">
        <v>62.63</v>
      </c>
      <c r="K49">
        <v>64.03</v>
      </c>
      <c r="L49">
        <v>21.36</v>
      </c>
      <c r="M49">
        <v>19.84</v>
      </c>
      <c r="N49">
        <v>21.53</v>
      </c>
    </row>
    <row r="50" spans="3:14" x14ac:dyDescent="0.15">
      <c r="C50" s="154" t="s">
        <v>1111</v>
      </c>
      <c r="D50" t="s">
        <v>5</v>
      </c>
      <c r="E50" t="s">
        <v>164</v>
      </c>
      <c r="F50" t="s">
        <v>7</v>
      </c>
      <c r="G50" t="s">
        <v>123</v>
      </c>
      <c r="H50" t="s">
        <v>59</v>
      </c>
      <c r="I50">
        <v>67.349999999999994</v>
      </c>
      <c r="J50">
        <v>65.14</v>
      </c>
      <c r="K50">
        <v>66.67</v>
      </c>
      <c r="L50">
        <v>23.98</v>
      </c>
      <c r="M50">
        <v>22.55</v>
      </c>
      <c r="N50">
        <v>24.18</v>
      </c>
    </row>
    <row r="51" spans="3:14" x14ac:dyDescent="0.15">
      <c r="C51" s="154" t="s">
        <v>1111</v>
      </c>
      <c r="D51" t="s">
        <v>5</v>
      </c>
      <c r="E51" t="s">
        <v>164</v>
      </c>
      <c r="F51" t="s">
        <v>7</v>
      </c>
      <c r="G51" t="s">
        <v>123</v>
      </c>
      <c r="H51" t="s">
        <v>60</v>
      </c>
      <c r="I51">
        <v>65.75</v>
      </c>
      <c r="J51">
        <v>63.54</v>
      </c>
      <c r="K51">
        <v>65.069999999999993</v>
      </c>
      <c r="L51">
        <v>22.38</v>
      </c>
      <c r="M51">
        <v>20.95</v>
      </c>
      <c r="N51">
        <v>22.58</v>
      </c>
    </row>
    <row r="52" spans="3:14" x14ac:dyDescent="0.15">
      <c r="C52" s="154" t="s">
        <v>1111</v>
      </c>
      <c r="D52" t="s">
        <v>5</v>
      </c>
      <c r="E52" t="s">
        <v>164</v>
      </c>
      <c r="F52" t="s">
        <v>7</v>
      </c>
      <c r="G52" t="s">
        <v>123</v>
      </c>
      <c r="H52" t="s">
        <v>648</v>
      </c>
      <c r="I52">
        <v>64.7</v>
      </c>
      <c r="J52">
        <v>62.49</v>
      </c>
      <c r="K52">
        <v>64.02</v>
      </c>
      <c r="L52">
        <v>21.33</v>
      </c>
      <c r="M52">
        <v>19.899999999999999</v>
      </c>
      <c r="N52">
        <v>21.53</v>
      </c>
    </row>
    <row r="53" spans="3:14" x14ac:dyDescent="0.15">
      <c r="C53" s="154" t="s">
        <v>1112</v>
      </c>
      <c r="D53" t="s">
        <v>5</v>
      </c>
      <c r="E53" t="s">
        <v>164</v>
      </c>
      <c r="F53" t="s">
        <v>7</v>
      </c>
      <c r="G53" t="s">
        <v>123</v>
      </c>
      <c r="H53" t="s">
        <v>59</v>
      </c>
      <c r="I53">
        <v>67.31</v>
      </c>
      <c r="J53">
        <v>65.42</v>
      </c>
      <c r="K53">
        <v>66.739999999999995</v>
      </c>
      <c r="L53">
        <v>23.97</v>
      </c>
      <c r="M53">
        <v>23.2</v>
      </c>
      <c r="N53">
        <v>24.41</v>
      </c>
    </row>
    <row r="54" spans="3:14" x14ac:dyDescent="0.15">
      <c r="C54" s="154" t="s">
        <v>1112</v>
      </c>
      <c r="D54" t="s">
        <v>5</v>
      </c>
      <c r="E54" t="s">
        <v>164</v>
      </c>
      <c r="F54" t="s">
        <v>7</v>
      </c>
      <c r="G54" t="s">
        <v>123</v>
      </c>
      <c r="H54" t="s">
        <v>60</v>
      </c>
      <c r="I54">
        <v>65.709999999999994</v>
      </c>
      <c r="J54">
        <v>63.82</v>
      </c>
      <c r="K54">
        <v>65.14</v>
      </c>
      <c r="L54">
        <v>22.37</v>
      </c>
      <c r="M54">
        <v>21.6</v>
      </c>
      <c r="N54">
        <v>22.81</v>
      </c>
    </row>
    <row r="55" spans="3:14" x14ac:dyDescent="0.15">
      <c r="C55" s="154" t="s">
        <v>1112</v>
      </c>
      <c r="D55" t="s">
        <v>5</v>
      </c>
      <c r="E55" t="s">
        <v>164</v>
      </c>
      <c r="F55" t="s">
        <v>7</v>
      </c>
      <c r="G55" t="s">
        <v>123</v>
      </c>
      <c r="H55" t="s">
        <v>648</v>
      </c>
      <c r="I55">
        <v>64.66</v>
      </c>
      <c r="J55">
        <v>62.77</v>
      </c>
      <c r="K55">
        <v>64.09</v>
      </c>
      <c r="L55">
        <v>21.32</v>
      </c>
      <c r="M55">
        <v>20.55</v>
      </c>
      <c r="N55">
        <v>21.76</v>
      </c>
    </row>
    <row r="56" spans="3:14" x14ac:dyDescent="0.15">
      <c r="C56" s="154" t="s">
        <v>1113</v>
      </c>
      <c r="D56" t="s">
        <v>5</v>
      </c>
      <c r="E56" t="s">
        <v>164</v>
      </c>
      <c r="F56" t="s">
        <v>7</v>
      </c>
      <c r="G56" t="s">
        <v>123</v>
      </c>
      <c r="H56" t="s">
        <v>59</v>
      </c>
      <c r="I56">
        <v>67.209999999999994</v>
      </c>
      <c r="J56">
        <v>66.37</v>
      </c>
      <c r="K56">
        <v>66.959999999999994</v>
      </c>
      <c r="L56">
        <v>24.01</v>
      </c>
      <c r="M56">
        <v>24.11</v>
      </c>
      <c r="N56">
        <v>24.82</v>
      </c>
    </row>
    <row r="57" spans="3:14" x14ac:dyDescent="0.15">
      <c r="C57" s="154" t="s">
        <v>1113</v>
      </c>
      <c r="D57" t="s">
        <v>5</v>
      </c>
      <c r="E57" t="s">
        <v>164</v>
      </c>
      <c r="F57" t="s">
        <v>7</v>
      </c>
      <c r="G57" t="s">
        <v>123</v>
      </c>
      <c r="H57" t="s">
        <v>60</v>
      </c>
      <c r="I57">
        <v>65.61</v>
      </c>
      <c r="J57">
        <v>64.77</v>
      </c>
      <c r="K57">
        <v>65.36</v>
      </c>
      <c r="L57">
        <v>22.41</v>
      </c>
      <c r="M57">
        <v>22.51</v>
      </c>
      <c r="N57">
        <v>23.22</v>
      </c>
    </row>
    <row r="58" spans="3:14" x14ac:dyDescent="0.15">
      <c r="C58" s="154" t="s">
        <v>1113</v>
      </c>
      <c r="D58" t="s">
        <v>5</v>
      </c>
      <c r="E58" t="s">
        <v>164</v>
      </c>
      <c r="F58" t="s">
        <v>7</v>
      </c>
      <c r="G58" t="s">
        <v>123</v>
      </c>
      <c r="H58" t="s">
        <v>648</v>
      </c>
      <c r="I58">
        <v>64.56</v>
      </c>
      <c r="J58">
        <v>63.72</v>
      </c>
      <c r="K58">
        <v>64.31</v>
      </c>
      <c r="L58">
        <v>21.36</v>
      </c>
      <c r="M58">
        <v>21.46</v>
      </c>
      <c r="N58">
        <v>22.17</v>
      </c>
    </row>
    <row r="59" spans="3:14" x14ac:dyDescent="0.15">
      <c r="C59" s="154" t="s">
        <v>1114</v>
      </c>
      <c r="D59" t="s">
        <v>5</v>
      </c>
      <c r="E59" t="s">
        <v>164</v>
      </c>
      <c r="F59" t="s">
        <v>7</v>
      </c>
      <c r="G59" t="s">
        <v>123</v>
      </c>
      <c r="H59" t="s">
        <v>59</v>
      </c>
      <c r="I59">
        <v>66.91</v>
      </c>
      <c r="J59">
        <v>67.239999999999995</v>
      </c>
      <c r="K59">
        <v>67.069999999999993</v>
      </c>
      <c r="L59">
        <v>23.72</v>
      </c>
      <c r="M59">
        <v>24.87</v>
      </c>
      <c r="N59">
        <v>25.15</v>
      </c>
    </row>
    <row r="60" spans="3:14" x14ac:dyDescent="0.15">
      <c r="C60" s="154" t="s">
        <v>1114</v>
      </c>
      <c r="D60" t="s">
        <v>5</v>
      </c>
      <c r="E60" t="s">
        <v>164</v>
      </c>
      <c r="F60" t="s">
        <v>7</v>
      </c>
      <c r="G60" t="s">
        <v>123</v>
      </c>
      <c r="H60" t="s">
        <v>60</v>
      </c>
      <c r="I60">
        <v>65.31</v>
      </c>
      <c r="J60">
        <v>65.64</v>
      </c>
      <c r="K60">
        <v>65.47</v>
      </c>
      <c r="L60">
        <v>22.12</v>
      </c>
      <c r="M60">
        <v>23.27</v>
      </c>
      <c r="N60">
        <v>23.55</v>
      </c>
    </row>
    <row r="61" spans="3:14" x14ac:dyDescent="0.15">
      <c r="C61" s="154" t="s">
        <v>1114</v>
      </c>
      <c r="D61" t="s">
        <v>5</v>
      </c>
      <c r="E61" t="s">
        <v>164</v>
      </c>
      <c r="F61" t="s">
        <v>7</v>
      </c>
      <c r="G61" t="s">
        <v>123</v>
      </c>
      <c r="H61" t="s">
        <v>648</v>
      </c>
      <c r="I61">
        <v>64.260000000000005</v>
      </c>
      <c r="J61">
        <v>64.59</v>
      </c>
      <c r="K61">
        <v>64.42</v>
      </c>
      <c r="L61">
        <v>21.07</v>
      </c>
      <c r="M61">
        <v>22.22</v>
      </c>
      <c r="N61">
        <v>22.5</v>
      </c>
    </row>
    <row r="62" spans="3:14" x14ac:dyDescent="0.15">
      <c r="C62" s="154" t="s">
        <v>1115</v>
      </c>
      <c r="D62" t="s">
        <v>5</v>
      </c>
      <c r="E62" t="s">
        <v>164</v>
      </c>
      <c r="F62" t="s">
        <v>7</v>
      </c>
      <c r="G62" t="s">
        <v>123</v>
      </c>
      <c r="H62" t="s">
        <v>59</v>
      </c>
      <c r="I62">
        <v>66.94</v>
      </c>
      <c r="J62">
        <v>68.040000000000006</v>
      </c>
      <c r="K62">
        <v>67.13</v>
      </c>
      <c r="L62">
        <v>23.96</v>
      </c>
      <c r="M62">
        <v>25.73</v>
      </c>
      <c r="N62">
        <v>25.41</v>
      </c>
    </row>
    <row r="63" spans="3:14" x14ac:dyDescent="0.15">
      <c r="C63" s="154" t="s">
        <v>1115</v>
      </c>
      <c r="D63" t="s">
        <v>5</v>
      </c>
      <c r="E63" t="s">
        <v>164</v>
      </c>
      <c r="F63" t="s">
        <v>7</v>
      </c>
      <c r="G63" t="s">
        <v>123</v>
      </c>
      <c r="H63" t="s">
        <v>60</v>
      </c>
      <c r="I63">
        <v>65.34</v>
      </c>
      <c r="J63">
        <v>66.44</v>
      </c>
      <c r="K63">
        <v>65.53</v>
      </c>
      <c r="L63">
        <v>22.36</v>
      </c>
      <c r="M63">
        <v>24.13</v>
      </c>
      <c r="N63">
        <v>23.81</v>
      </c>
    </row>
    <row r="64" spans="3:14" x14ac:dyDescent="0.15">
      <c r="C64" s="154" t="s">
        <v>1115</v>
      </c>
      <c r="D64" t="s">
        <v>5</v>
      </c>
      <c r="E64" t="s">
        <v>164</v>
      </c>
      <c r="F64" t="s">
        <v>7</v>
      </c>
      <c r="G64" t="s">
        <v>123</v>
      </c>
      <c r="H64" t="s">
        <v>648</v>
      </c>
      <c r="I64">
        <v>64.290000000000006</v>
      </c>
      <c r="J64">
        <v>65.39</v>
      </c>
      <c r="K64">
        <v>64.48</v>
      </c>
      <c r="L64">
        <v>21.31</v>
      </c>
      <c r="M64">
        <v>23.08</v>
      </c>
      <c r="N64">
        <v>22.76</v>
      </c>
    </row>
    <row r="65" spans="3:14" x14ac:dyDescent="0.15">
      <c r="C65" s="154" t="s">
        <v>1117</v>
      </c>
      <c r="D65" t="s">
        <v>5</v>
      </c>
      <c r="E65" t="s">
        <v>164</v>
      </c>
      <c r="F65" t="s">
        <v>7</v>
      </c>
      <c r="G65" t="s">
        <v>123</v>
      </c>
      <c r="H65" t="s">
        <v>59</v>
      </c>
      <c r="I65">
        <v>66.91</v>
      </c>
      <c r="J65">
        <v>68.290000000000006</v>
      </c>
      <c r="K65">
        <v>67.17</v>
      </c>
      <c r="L65">
        <v>24.11</v>
      </c>
      <c r="M65">
        <v>25.9</v>
      </c>
      <c r="N65">
        <v>25.57</v>
      </c>
    </row>
    <row r="66" spans="3:14" x14ac:dyDescent="0.15">
      <c r="C66" s="154" t="s">
        <v>1117</v>
      </c>
      <c r="D66" t="s">
        <v>5</v>
      </c>
      <c r="E66" t="s">
        <v>164</v>
      </c>
      <c r="F66" t="s">
        <v>7</v>
      </c>
      <c r="G66" t="s">
        <v>123</v>
      </c>
      <c r="H66" t="s">
        <v>60</v>
      </c>
      <c r="I66">
        <v>65.31</v>
      </c>
      <c r="J66">
        <v>66.69</v>
      </c>
      <c r="K66">
        <v>65.569999999999993</v>
      </c>
      <c r="L66">
        <v>22.51</v>
      </c>
      <c r="M66">
        <v>24.3</v>
      </c>
      <c r="N66">
        <v>23.97</v>
      </c>
    </row>
    <row r="67" spans="3:14" x14ac:dyDescent="0.15">
      <c r="C67" s="154" t="s">
        <v>1117</v>
      </c>
      <c r="D67" t="s">
        <v>5</v>
      </c>
      <c r="E67" t="s">
        <v>164</v>
      </c>
      <c r="F67" t="s">
        <v>7</v>
      </c>
      <c r="G67" t="s">
        <v>123</v>
      </c>
      <c r="H67" t="s">
        <v>648</v>
      </c>
      <c r="I67">
        <v>64.260000000000005</v>
      </c>
      <c r="J67">
        <v>65.64</v>
      </c>
      <c r="K67">
        <v>64.52</v>
      </c>
      <c r="L67">
        <v>21.46</v>
      </c>
      <c r="M67">
        <v>23.25</v>
      </c>
      <c r="N67">
        <v>22.92</v>
      </c>
    </row>
    <row r="68" spans="3:14" x14ac:dyDescent="0.15">
      <c r="C68" s="154" t="s">
        <v>1118</v>
      </c>
      <c r="D68" t="s">
        <v>5</v>
      </c>
      <c r="E68" t="s">
        <v>164</v>
      </c>
      <c r="F68" t="s">
        <v>7</v>
      </c>
      <c r="G68" t="s">
        <v>123</v>
      </c>
      <c r="H68" t="s">
        <v>59</v>
      </c>
      <c r="I68">
        <v>66.650000000000006</v>
      </c>
      <c r="J68">
        <v>68.239999999999995</v>
      </c>
      <c r="K68">
        <v>67.150000000000006</v>
      </c>
      <c r="L68">
        <v>23.91</v>
      </c>
      <c r="M68">
        <v>25.68</v>
      </c>
      <c r="N68">
        <v>25.68</v>
      </c>
    </row>
    <row r="69" spans="3:14" x14ac:dyDescent="0.15">
      <c r="C69" s="154" t="s">
        <v>1118</v>
      </c>
      <c r="D69" t="s">
        <v>5</v>
      </c>
      <c r="E69" t="s">
        <v>164</v>
      </c>
      <c r="F69" t="s">
        <v>7</v>
      </c>
      <c r="G69" t="s">
        <v>123</v>
      </c>
      <c r="H69" t="s">
        <v>60</v>
      </c>
      <c r="I69">
        <v>65.05</v>
      </c>
      <c r="J69">
        <v>66.64</v>
      </c>
      <c r="K69">
        <v>65.55</v>
      </c>
      <c r="L69">
        <v>22.31</v>
      </c>
      <c r="M69">
        <v>24.08</v>
      </c>
      <c r="N69">
        <v>24.08</v>
      </c>
    </row>
    <row r="70" spans="3:14" x14ac:dyDescent="0.15">
      <c r="C70" s="154" t="s">
        <v>1118</v>
      </c>
      <c r="D70" t="s">
        <v>5</v>
      </c>
      <c r="E70" t="s">
        <v>164</v>
      </c>
      <c r="F70" t="s">
        <v>7</v>
      </c>
      <c r="G70" t="s">
        <v>123</v>
      </c>
      <c r="H70" t="s">
        <v>648</v>
      </c>
      <c r="I70">
        <v>64</v>
      </c>
      <c r="J70">
        <v>65.59</v>
      </c>
      <c r="K70">
        <v>64.5</v>
      </c>
      <c r="L70">
        <v>21.26</v>
      </c>
      <c r="M70">
        <v>23.03</v>
      </c>
      <c r="N70">
        <v>23.03</v>
      </c>
    </row>
    <row r="71" spans="3:14" x14ac:dyDescent="0.15">
      <c r="C71" s="154" t="s">
        <v>1119</v>
      </c>
      <c r="D71" t="s">
        <v>5</v>
      </c>
      <c r="E71" t="s">
        <v>164</v>
      </c>
      <c r="F71" t="s">
        <v>7</v>
      </c>
      <c r="G71" t="s">
        <v>123</v>
      </c>
      <c r="H71" t="s">
        <v>59</v>
      </c>
      <c r="I71">
        <v>66.63</v>
      </c>
      <c r="J71">
        <v>68.02</v>
      </c>
      <c r="K71">
        <v>67.34</v>
      </c>
      <c r="L71">
        <v>24.15</v>
      </c>
      <c r="M71">
        <v>25.47</v>
      </c>
      <c r="N71">
        <v>25.96</v>
      </c>
    </row>
    <row r="72" spans="3:14" x14ac:dyDescent="0.15">
      <c r="C72" s="154" t="s">
        <v>1119</v>
      </c>
      <c r="D72" t="s">
        <v>5</v>
      </c>
      <c r="E72" t="s">
        <v>164</v>
      </c>
      <c r="F72" t="s">
        <v>7</v>
      </c>
      <c r="G72" t="s">
        <v>123</v>
      </c>
      <c r="H72" t="s">
        <v>60</v>
      </c>
      <c r="I72">
        <v>65.03</v>
      </c>
      <c r="J72">
        <v>66.42</v>
      </c>
      <c r="K72">
        <v>65.739999999999995</v>
      </c>
      <c r="L72">
        <v>22.55</v>
      </c>
      <c r="M72">
        <v>23.87</v>
      </c>
      <c r="N72">
        <v>24.36</v>
      </c>
    </row>
    <row r="73" spans="3:14" x14ac:dyDescent="0.15">
      <c r="C73" s="154" t="s">
        <v>1119</v>
      </c>
      <c r="D73" t="s">
        <v>5</v>
      </c>
      <c r="E73" t="s">
        <v>164</v>
      </c>
      <c r="F73" t="s">
        <v>7</v>
      </c>
      <c r="G73" t="s">
        <v>123</v>
      </c>
      <c r="H73" t="s">
        <v>648</v>
      </c>
      <c r="I73">
        <v>63.98</v>
      </c>
      <c r="J73">
        <v>65.37</v>
      </c>
      <c r="K73">
        <v>64.69</v>
      </c>
      <c r="L73">
        <v>21.5</v>
      </c>
      <c r="M73">
        <v>22.82</v>
      </c>
      <c r="N73">
        <v>23.31</v>
      </c>
    </row>
    <row r="74" spans="3:14" x14ac:dyDescent="0.15">
      <c r="C74" s="154" t="s">
        <v>1107</v>
      </c>
      <c r="D74" t="s">
        <v>5</v>
      </c>
      <c r="E74" t="s">
        <v>164</v>
      </c>
      <c r="F74" t="s">
        <v>8</v>
      </c>
      <c r="G74" t="s">
        <v>120</v>
      </c>
      <c r="H74" t="s">
        <v>59</v>
      </c>
      <c r="I74">
        <v>67.010000000000005</v>
      </c>
      <c r="J74">
        <v>67.650000000000006</v>
      </c>
      <c r="K74">
        <v>67.2</v>
      </c>
      <c r="L74">
        <v>24.68</v>
      </c>
      <c r="M74">
        <v>24.79</v>
      </c>
      <c r="N74">
        <v>24.99</v>
      </c>
    </row>
    <row r="75" spans="3:14" x14ac:dyDescent="0.15">
      <c r="C75" s="154" t="s">
        <v>1107</v>
      </c>
      <c r="D75" t="s">
        <v>5</v>
      </c>
      <c r="E75" t="s">
        <v>164</v>
      </c>
      <c r="F75" t="s">
        <v>8</v>
      </c>
      <c r="G75" t="s">
        <v>120</v>
      </c>
      <c r="H75" t="s">
        <v>60</v>
      </c>
      <c r="I75">
        <v>65.41</v>
      </c>
      <c r="J75">
        <v>66.05</v>
      </c>
      <c r="K75">
        <v>65.599999999999994</v>
      </c>
      <c r="L75">
        <v>23.08</v>
      </c>
      <c r="M75">
        <v>23.19</v>
      </c>
      <c r="N75">
        <v>23.39</v>
      </c>
    </row>
    <row r="76" spans="3:14" x14ac:dyDescent="0.15">
      <c r="C76" s="154" t="s">
        <v>1107</v>
      </c>
      <c r="D76" t="s">
        <v>5</v>
      </c>
      <c r="E76" t="s">
        <v>164</v>
      </c>
      <c r="F76" t="s">
        <v>8</v>
      </c>
      <c r="G76" t="s">
        <v>120</v>
      </c>
      <c r="H76" t="s">
        <v>648</v>
      </c>
      <c r="I76">
        <v>64.36</v>
      </c>
      <c r="J76">
        <v>65</v>
      </c>
      <c r="K76">
        <v>64.55</v>
      </c>
      <c r="L76">
        <v>22.03</v>
      </c>
      <c r="M76">
        <v>22.14</v>
      </c>
      <c r="N76">
        <v>22.34</v>
      </c>
    </row>
    <row r="77" spans="3:14" x14ac:dyDescent="0.15">
      <c r="C77" s="154" t="s">
        <v>1108</v>
      </c>
      <c r="D77" t="s">
        <v>5</v>
      </c>
      <c r="E77" t="s">
        <v>164</v>
      </c>
      <c r="F77" t="s">
        <v>8</v>
      </c>
      <c r="G77" t="s">
        <v>120</v>
      </c>
      <c r="H77" t="s">
        <v>59</v>
      </c>
      <c r="I77">
        <v>67.88</v>
      </c>
      <c r="J77">
        <v>67.06</v>
      </c>
      <c r="K77">
        <v>67.5</v>
      </c>
      <c r="L77">
        <v>24.64</v>
      </c>
      <c r="M77">
        <v>23.84</v>
      </c>
      <c r="N77">
        <v>24.97</v>
      </c>
    </row>
    <row r="78" spans="3:14" x14ac:dyDescent="0.15">
      <c r="C78" s="154" t="s">
        <v>1108</v>
      </c>
      <c r="D78" t="s">
        <v>5</v>
      </c>
      <c r="E78" t="s">
        <v>164</v>
      </c>
      <c r="F78" t="s">
        <v>8</v>
      </c>
      <c r="G78" t="s">
        <v>120</v>
      </c>
      <c r="H78" t="s">
        <v>60</v>
      </c>
      <c r="I78">
        <v>66.28</v>
      </c>
      <c r="J78">
        <v>65.459999999999994</v>
      </c>
      <c r="K78">
        <v>65.900000000000006</v>
      </c>
      <c r="L78">
        <v>23.04</v>
      </c>
      <c r="M78">
        <v>22.24</v>
      </c>
      <c r="N78">
        <v>23.37</v>
      </c>
    </row>
    <row r="79" spans="3:14" x14ac:dyDescent="0.15">
      <c r="C79" s="154" t="s">
        <v>1108</v>
      </c>
      <c r="D79" t="s">
        <v>5</v>
      </c>
      <c r="E79" t="s">
        <v>164</v>
      </c>
      <c r="F79" t="s">
        <v>8</v>
      </c>
      <c r="G79" t="s">
        <v>120</v>
      </c>
      <c r="H79" t="s">
        <v>648</v>
      </c>
      <c r="I79">
        <v>65.23</v>
      </c>
      <c r="J79">
        <v>64.41</v>
      </c>
      <c r="K79">
        <v>64.849999999999994</v>
      </c>
      <c r="L79">
        <v>21.99</v>
      </c>
      <c r="M79">
        <v>21.19</v>
      </c>
      <c r="N79">
        <v>22.32</v>
      </c>
    </row>
    <row r="80" spans="3:14" x14ac:dyDescent="0.15">
      <c r="C80" s="154" t="s">
        <v>1109</v>
      </c>
      <c r="D80" t="s">
        <v>5</v>
      </c>
      <c r="E80" t="s">
        <v>164</v>
      </c>
      <c r="F80" t="s">
        <v>8</v>
      </c>
      <c r="G80" t="s">
        <v>120</v>
      </c>
      <c r="H80" t="s">
        <v>59</v>
      </c>
      <c r="I80">
        <v>68.27</v>
      </c>
      <c r="J80">
        <v>66.650000000000006</v>
      </c>
      <c r="K80">
        <v>67.72</v>
      </c>
      <c r="L80">
        <v>25.06</v>
      </c>
      <c r="M80">
        <v>23.63</v>
      </c>
      <c r="N80">
        <v>25.29</v>
      </c>
    </row>
    <row r="81" spans="3:14" x14ac:dyDescent="0.15">
      <c r="C81" s="154" t="s">
        <v>1109</v>
      </c>
      <c r="D81" t="s">
        <v>5</v>
      </c>
      <c r="E81" t="s">
        <v>164</v>
      </c>
      <c r="F81" t="s">
        <v>8</v>
      </c>
      <c r="G81" t="s">
        <v>120</v>
      </c>
      <c r="H81" t="s">
        <v>60</v>
      </c>
      <c r="I81">
        <v>66.67</v>
      </c>
      <c r="J81">
        <v>65.05</v>
      </c>
      <c r="K81">
        <v>66.12</v>
      </c>
      <c r="L81">
        <v>23.46</v>
      </c>
      <c r="M81">
        <v>22.03</v>
      </c>
      <c r="N81">
        <v>23.69</v>
      </c>
    </row>
    <row r="82" spans="3:14" x14ac:dyDescent="0.15">
      <c r="C82" s="154" t="s">
        <v>1109</v>
      </c>
      <c r="D82" t="s">
        <v>5</v>
      </c>
      <c r="E82" t="s">
        <v>164</v>
      </c>
      <c r="F82" t="s">
        <v>8</v>
      </c>
      <c r="G82" t="s">
        <v>120</v>
      </c>
      <c r="H82" t="s">
        <v>648</v>
      </c>
      <c r="I82">
        <v>65.62</v>
      </c>
      <c r="J82">
        <v>64</v>
      </c>
      <c r="K82">
        <v>65.069999999999993</v>
      </c>
      <c r="L82">
        <v>22.41</v>
      </c>
      <c r="M82">
        <v>20.98</v>
      </c>
      <c r="N82">
        <v>22.64</v>
      </c>
    </row>
    <row r="83" spans="3:14" x14ac:dyDescent="0.15">
      <c r="C83" s="154" t="s">
        <v>1110</v>
      </c>
      <c r="D83" t="s">
        <v>5</v>
      </c>
      <c r="E83" t="s">
        <v>164</v>
      </c>
      <c r="F83" t="s">
        <v>8</v>
      </c>
      <c r="G83" t="s">
        <v>120</v>
      </c>
      <c r="H83" t="s">
        <v>59</v>
      </c>
      <c r="I83">
        <v>68.400000000000006</v>
      </c>
      <c r="J83">
        <v>66.48</v>
      </c>
      <c r="K83">
        <v>67.739999999999995</v>
      </c>
      <c r="L83">
        <v>25.16</v>
      </c>
      <c r="M83">
        <v>23.69</v>
      </c>
      <c r="N83">
        <v>25.34</v>
      </c>
    </row>
    <row r="84" spans="3:14" x14ac:dyDescent="0.15">
      <c r="C84" s="154" t="s">
        <v>1110</v>
      </c>
      <c r="D84" t="s">
        <v>5</v>
      </c>
      <c r="E84" t="s">
        <v>164</v>
      </c>
      <c r="F84" t="s">
        <v>8</v>
      </c>
      <c r="G84" t="s">
        <v>120</v>
      </c>
      <c r="H84" t="s">
        <v>60</v>
      </c>
      <c r="I84">
        <v>66.8</v>
      </c>
      <c r="J84">
        <v>64.88</v>
      </c>
      <c r="K84">
        <v>66.14</v>
      </c>
      <c r="L84">
        <v>23.56</v>
      </c>
      <c r="M84">
        <v>22.09</v>
      </c>
      <c r="N84">
        <v>23.74</v>
      </c>
    </row>
    <row r="85" spans="3:14" x14ac:dyDescent="0.15">
      <c r="C85" s="154" t="s">
        <v>1110</v>
      </c>
      <c r="D85" t="s">
        <v>5</v>
      </c>
      <c r="E85" t="s">
        <v>164</v>
      </c>
      <c r="F85" t="s">
        <v>8</v>
      </c>
      <c r="G85" t="s">
        <v>120</v>
      </c>
      <c r="H85" t="s">
        <v>648</v>
      </c>
      <c r="I85">
        <v>65.75</v>
      </c>
      <c r="J85">
        <v>63.83</v>
      </c>
      <c r="K85">
        <v>65.09</v>
      </c>
      <c r="L85">
        <v>22.51</v>
      </c>
      <c r="M85">
        <v>21.04</v>
      </c>
      <c r="N85">
        <v>22.69</v>
      </c>
    </row>
    <row r="86" spans="3:14" x14ac:dyDescent="0.15">
      <c r="C86" s="154" t="s">
        <v>1111</v>
      </c>
      <c r="D86" t="s">
        <v>5</v>
      </c>
      <c r="E86" t="s">
        <v>164</v>
      </c>
      <c r="F86" t="s">
        <v>8</v>
      </c>
      <c r="G86" t="s">
        <v>120</v>
      </c>
      <c r="H86" t="s">
        <v>59</v>
      </c>
      <c r="I86">
        <v>68.400000000000006</v>
      </c>
      <c r="J86">
        <v>66.319999999999993</v>
      </c>
      <c r="K86">
        <v>67.739999999999995</v>
      </c>
      <c r="L86">
        <v>25.14</v>
      </c>
      <c r="M86">
        <v>23.73</v>
      </c>
      <c r="N86">
        <v>25.34</v>
      </c>
    </row>
    <row r="87" spans="3:14" x14ac:dyDescent="0.15">
      <c r="C87" s="154" t="s">
        <v>1111</v>
      </c>
      <c r="D87" t="s">
        <v>5</v>
      </c>
      <c r="E87" t="s">
        <v>164</v>
      </c>
      <c r="F87" t="s">
        <v>8</v>
      </c>
      <c r="G87" t="s">
        <v>120</v>
      </c>
      <c r="H87" t="s">
        <v>60</v>
      </c>
      <c r="I87">
        <v>66.8</v>
      </c>
      <c r="J87">
        <v>64.72</v>
      </c>
      <c r="K87">
        <v>66.14</v>
      </c>
      <c r="L87">
        <v>23.54</v>
      </c>
      <c r="M87">
        <v>22.13</v>
      </c>
      <c r="N87">
        <v>23.74</v>
      </c>
    </row>
    <row r="88" spans="3:14" x14ac:dyDescent="0.15">
      <c r="C88" s="154" t="s">
        <v>1111</v>
      </c>
      <c r="D88" t="s">
        <v>5</v>
      </c>
      <c r="E88" t="s">
        <v>164</v>
      </c>
      <c r="F88" t="s">
        <v>8</v>
      </c>
      <c r="G88" t="s">
        <v>120</v>
      </c>
      <c r="H88" t="s">
        <v>648</v>
      </c>
      <c r="I88">
        <v>65.75</v>
      </c>
      <c r="J88">
        <v>63.67</v>
      </c>
      <c r="K88">
        <v>65.09</v>
      </c>
      <c r="L88">
        <v>22.49</v>
      </c>
      <c r="M88">
        <v>21.08</v>
      </c>
      <c r="N88">
        <v>22.69</v>
      </c>
    </row>
    <row r="89" spans="3:14" x14ac:dyDescent="0.15">
      <c r="C89" s="154" t="s">
        <v>1112</v>
      </c>
      <c r="D89" t="s">
        <v>5</v>
      </c>
      <c r="E89" t="s">
        <v>164</v>
      </c>
      <c r="F89" t="s">
        <v>8</v>
      </c>
      <c r="G89" t="s">
        <v>120</v>
      </c>
      <c r="H89" t="s">
        <v>59</v>
      </c>
      <c r="I89">
        <v>68.37</v>
      </c>
      <c r="J89">
        <v>66.53</v>
      </c>
      <c r="K89">
        <v>67.8</v>
      </c>
      <c r="L89">
        <v>25.12</v>
      </c>
      <c r="M89">
        <v>24.37</v>
      </c>
      <c r="N89">
        <v>25.56</v>
      </c>
    </row>
    <row r="90" spans="3:14" x14ac:dyDescent="0.15">
      <c r="C90" s="154" t="s">
        <v>1112</v>
      </c>
      <c r="D90" t="s">
        <v>5</v>
      </c>
      <c r="E90" t="s">
        <v>164</v>
      </c>
      <c r="F90" t="s">
        <v>8</v>
      </c>
      <c r="G90" t="s">
        <v>120</v>
      </c>
      <c r="H90" t="s">
        <v>60</v>
      </c>
      <c r="I90">
        <v>66.77</v>
      </c>
      <c r="J90">
        <v>64.930000000000007</v>
      </c>
      <c r="K90">
        <v>66.2</v>
      </c>
      <c r="L90">
        <v>23.52</v>
      </c>
      <c r="M90">
        <v>22.77</v>
      </c>
      <c r="N90">
        <v>23.96</v>
      </c>
    </row>
    <row r="91" spans="3:14" x14ac:dyDescent="0.15">
      <c r="C91" s="154" t="s">
        <v>1112</v>
      </c>
      <c r="D91" t="s">
        <v>5</v>
      </c>
      <c r="E91" t="s">
        <v>164</v>
      </c>
      <c r="F91" t="s">
        <v>8</v>
      </c>
      <c r="G91" t="s">
        <v>120</v>
      </c>
      <c r="H91" t="s">
        <v>648</v>
      </c>
      <c r="I91">
        <v>65.72</v>
      </c>
      <c r="J91">
        <v>63.88</v>
      </c>
      <c r="K91">
        <v>65.150000000000006</v>
      </c>
      <c r="L91">
        <v>22.47</v>
      </c>
      <c r="M91">
        <v>21.72</v>
      </c>
      <c r="N91">
        <v>22.91</v>
      </c>
    </row>
    <row r="92" spans="3:14" x14ac:dyDescent="0.15">
      <c r="C92" s="154" t="s">
        <v>1113</v>
      </c>
      <c r="D92" t="s">
        <v>5</v>
      </c>
      <c r="E92" t="s">
        <v>164</v>
      </c>
      <c r="F92" t="s">
        <v>8</v>
      </c>
      <c r="G92" t="s">
        <v>120</v>
      </c>
      <c r="H92" t="s">
        <v>59</v>
      </c>
      <c r="I92">
        <v>68.27</v>
      </c>
      <c r="J92">
        <v>67.47</v>
      </c>
      <c r="K92">
        <v>68.03</v>
      </c>
      <c r="L92">
        <v>25.19</v>
      </c>
      <c r="M92">
        <v>25.32</v>
      </c>
      <c r="N92">
        <v>25.98</v>
      </c>
    </row>
    <row r="93" spans="3:14" x14ac:dyDescent="0.15">
      <c r="C93" s="154" t="s">
        <v>1113</v>
      </c>
      <c r="D93" t="s">
        <v>5</v>
      </c>
      <c r="E93" t="s">
        <v>164</v>
      </c>
      <c r="F93" t="s">
        <v>8</v>
      </c>
      <c r="G93" t="s">
        <v>120</v>
      </c>
      <c r="H93" t="s">
        <v>60</v>
      </c>
      <c r="I93">
        <v>66.67</v>
      </c>
      <c r="J93">
        <v>65.87</v>
      </c>
      <c r="K93">
        <v>66.430000000000007</v>
      </c>
      <c r="L93">
        <v>23.59</v>
      </c>
      <c r="M93">
        <v>23.72</v>
      </c>
      <c r="N93">
        <v>24.38</v>
      </c>
    </row>
    <row r="94" spans="3:14" x14ac:dyDescent="0.15">
      <c r="C94" s="154" t="s">
        <v>1113</v>
      </c>
      <c r="D94" t="s">
        <v>5</v>
      </c>
      <c r="E94" t="s">
        <v>164</v>
      </c>
      <c r="F94" t="s">
        <v>8</v>
      </c>
      <c r="G94" t="s">
        <v>120</v>
      </c>
      <c r="H94" t="s">
        <v>648</v>
      </c>
      <c r="I94">
        <v>65.62</v>
      </c>
      <c r="J94">
        <v>64.819999999999993</v>
      </c>
      <c r="K94">
        <v>65.38</v>
      </c>
      <c r="L94">
        <v>22.54</v>
      </c>
      <c r="M94">
        <v>22.67</v>
      </c>
      <c r="N94">
        <v>23.33</v>
      </c>
    </row>
    <row r="95" spans="3:14" x14ac:dyDescent="0.15">
      <c r="C95" s="154" t="s">
        <v>1114</v>
      </c>
      <c r="D95" t="s">
        <v>5</v>
      </c>
      <c r="E95" t="s">
        <v>164</v>
      </c>
      <c r="F95" t="s">
        <v>8</v>
      </c>
      <c r="G95" t="s">
        <v>120</v>
      </c>
      <c r="H95" t="s">
        <v>59</v>
      </c>
      <c r="I95">
        <v>67.98</v>
      </c>
      <c r="J95">
        <v>68.290000000000006</v>
      </c>
      <c r="K95">
        <v>68.150000000000006</v>
      </c>
      <c r="L95">
        <v>24.91</v>
      </c>
      <c r="M95">
        <v>26.08</v>
      </c>
      <c r="N95">
        <v>26.31</v>
      </c>
    </row>
    <row r="96" spans="3:14" x14ac:dyDescent="0.15">
      <c r="C96" s="154" t="s">
        <v>1114</v>
      </c>
      <c r="D96" t="s">
        <v>5</v>
      </c>
      <c r="E96" t="s">
        <v>164</v>
      </c>
      <c r="F96" t="s">
        <v>8</v>
      </c>
      <c r="G96" t="s">
        <v>120</v>
      </c>
      <c r="H96" t="s">
        <v>60</v>
      </c>
      <c r="I96">
        <v>66.38</v>
      </c>
      <c r="J96">
        <v>66.69</v>
      </c>
      <c r="K96">
        <v>66.55</v>
      </c>
      <c r="L96">
        <v>23.31</v>
      </c>
      <c r="M96">
        <v>24.48</v>
      </c>
      <c r="N96">
        <v>24.71</v>
      </c>
    </row>
    <row r="97" spans="3:14" x14ac:dyDescent="0.15">
      <c r="C97" s="154" t="s">
        <v>1114</v>
      </c>
      <c r="D97" t="s">
        <v>5</v>
      </c>
      <c r="E97" t="s">
        <v>164</v>
      </c>
      <c r="F97" t="s">
        <v>8</v>
      </c>
      <c r="G97" t="s">
        <v>120</v>
      </c>
      <c r="H97" t="s">
        <v>648</v>
      </c>
      <c r="I97">
        <v>65.33</v>
      </c>
      <c r="J97">
        <v>65.64</v>
      </c>
      <c r="K97">
        <v>65.5</v>
      </c>
      <c r="L97">
        <v>22.26</v>
      </c>
      <c r="M97">
        <v>23.43</v>
      </c>
      <c r="N97">
        <v>23.66</v>
      </c>
    </row>
    <row r="98" spans="3:14" x14ac:dyDescent="0.15">
      <c r="C98" s="154" t="s">
        <v>1115</v>
      </c>
      <c r="D98" t="s">
        <v>5</v>
      </c>
      <c r="E98" t="s">
        <v>164</v>
      </c>
      <c r="F98" t="s">
        <v>8</v>
      </c>
      <c r="G98" t="s">
        <v>120</v>
      </c>
      <c r="H98" t="s">
        <v>59</v>
      </c>
      <c r="I98">
        <v>68.02</v>
      </c>
      <c r="J98">
        <v>69.02</v>
      </c>
      <c r="K98">
        <v>68.209999999999994</v>
      </c>
      <c r="L98">
        <v>25.13</v>
      </c>
      <c r="M98">
        <v>26.89</v>
      </c>
      <c r="N98">
        <v>26.55</v>
      </c>
    </row>
    <row r="99" spans="3:14" x14ac:dyDescent="0.15">
      <c r="C99" s="154" t="s">
        <v>1115</v>
      </c>
      <c r="D99" t="s">
        <v>5</v>
      </c>
      <c r="E99" t="s">
        <v>164</v>
      </c>
      <c r="F99" t="s">
        <v>8</v>
      </c>
      <c r="G99" t="s">
        <v>120</v>
      </c>
      <c r="H99" t="s">
        <v>60</v>
      </c>
      <c r="I99">
        <v>66.42</v>
      </c>
      <c r="J99">
        <v>67.42</v>
      </c>
      <c r="K99">
        <v>66.61</v>
      </c>
      <c r="L99">
        <v>23.53</v>
      </c>
      <c r="M99">
        <v>25.29</v>
      </c>
      <c r="N99">
        <v>24.95</v>
      </c>
    </row>
    <row r="100" spans="3:14" x14ac:dyDescent="0.15">
      <c r="C100" s="154" t="s">
        <v>1115</v>
      </c>
      <c r="D100" t="s">
        <v>5</v>
      </c>
      <c r="E100" t="s">
        <v>164</v>
      </c>
      <c r="F100" t="s">
        <v>8</v>
      </c>
      <c r="G100" t="s">
        <v>120</v>
      </c>
      <c r="H100" t="s">
        <v>648</v>
      </c>
      <c r="I100">
        <v>65.37</v>
      </c>
      <c r="J100">
        <v>66.37</v>
      </c>
      <c r="K100">
        <v>65.56</v>
      </c>
      <c r="L100">
        <v>22.48</v>
      </c>
      <c r="M100">
        <v>24.24</v>
      </c>
      <c r="N100">
        <v>23.9</v>
      </c>
    </row>
    <row r="101" spans="3:14" x14ac:dyDescent="0.15">
      <c r="C101" s="154" t="s">
        <v>1117</v>
      </c>
      <c r="D101" t="s">
        <v>5</v>
      </c>
      <c r="E101" t="s">
        <v>164</v>
      </c>
      <c r="F101" t="s">
        <v>8</v>
      </c>
      <c r="G101" t="s">
        <v>120</v>
      </c>
      <c r="H101" t="s">
        <v>59</v>
      </c>
      <c r="I101">
        <v>67.989999999999995</v>
      </c>
      <c r="J101">
        <v>69.22</v>
      </c>
      <c r="K101">
        <v>68.25</v>
      </c>
      <c r="L101">
        <v>25.29</v>
      </c>
      <c r="M101">
        <v>27.02</v>
      </c>
      <c r="N101">
        <v>26.72</v>
      </c>
    </row>
    <row r="102" spans="3:14" x14ac:dyDescent="0.15">
      <c r="C102" s="154" t="s">
        <v>1117</v>
      </c>
      <c r="D102" t="s">
        <v>5</v>
      </c>
      <c r="E102" t="s">
        <v>164</v>
      </c>
      <c r="F102" t="s">
        <v>8</v>
      </c>
      <c r="G102" t="s">
        <v>120</v>
      </c>
      <c r="H102" t="s">
        <v>60</v>
      </c>
      <c r="I102">
        <v>66.39</v>
      </c>
      <c r="J102">
        <v>67.62</v>
      </c>
      <c r="K102">
        <v>66.650000000000006</v>
      </c>
      <c r="L102">
        <v>23.69</v>
      </c>
      <c r="M102">
        <v>25.42</v>
      </c>
      <c r="N102">
        <v>25.12</v>
      </c>
    </row>
    <row r="103" spans="3:14" x14ac:dyDescent="0.15">
      <c r="C103" s="154" t="s">
        <v>1117</v>
      </c>
      <c r="D103" t="s">
        <v>5</v>
      </c>
      <c r="E103" t="s">
        <v>164</v>
      </c>
      <c r="F103" t="s">
        <v>8</v>
      </c>
      <c r="G103" t="s">
        <v>120</v>
      </c>
      <c r="H103" t="s">
        <v>648</v>
      </c>
      <c r="I103">
        <v>65.34</v>
      </c>
      <c r="J103">
        <v>66.569999999999993</v>
      </c>
      <c r="K103">
        <v>65.599999999999994</v>
      </c>
      <c r="L103">
        <v>22.64</v>
      </c>
      <c r="M103">
        <v>24.37</v>
      </c>
      <c r="N103">
        <v>24.07</v>
      </c>
    </row>
    <row r="104" spans="3:14" x14ac:dyDescent="0.15">
      <c r="C104" s="154" t="s">
        <v>1118</v>
      </c>
      <c r="D104" t="s">
        <v>5</v>
      </c>
      <c r="E104" t="s">
        <v>164</v>
      </c>
      <c r="F104" t="s">
        <v>8</v>
      </c>
      <c r="G104" t="s">
        <v>120</v>
      </c>
      <c r="H104" t="s">
        <v>59</v>
      </c>
      <c r="I104">
        <v>67.72</v>
      </c>
      <c r="J104">
        <v>69.19</v>
      </c>
      <c r="K104">
        <v>68.23</v>
      </c>
      <c r="L104">
        <v>25.08</v>
      </c>
      <c r="M104">
        <v>26.82</v>
      </c>
      <c r="N104">
        <v>26.82</v>
      </c>
    </row>
    <row r="105" spans="3:14" x14ac:dyDescent="0.15">
      <c r="C105" s="154" t="s">
        <v>1118</v>
      </c>
      <c r="D105" t="s">
        <v>5</v>
      </c>
      <c r="E105" t="s">
        <v>164</v>
      </c>
      <c r="F105" t="s">
        <v>8</v>
      </c>
      <c r="G105" t="s">
        <v>120</v>
      </c>
      <c r="H105" t="s">
        <v>60</v>
      </c>
      <c r="I105">
        <v>66.12</v>
      </c>
      <c r="J105">
        <v>67.59</v>
      </c>
      <c r="K105">
        <v>66.63</v>
      </c>
      <c r="L105">
        <v>23.48</v>
      </c>
      <c r="M105">
        <v>25.22</v>
      </c>
      <c r="N105">
        <v>25.22</v>
      </c>
    </row>
    <row r="106" spans="3:14" x14ac:dyDescent="0.15">
      <c r="C106" s="154" t="s">
        <v>1118</v>
      </c>
      <c r="D106" t="s">
        <v>5</v>
      </c>
      <c r="E106" t="s">
        <v>164</v>
      </c>
      <c r="F106" t="s">
        <v>8</v>
      </c>
      <c r="G106" t="s">
        <v>120</v>
      </c>
      <c r="H106" t="s">
        <v>648</v>
      </c>
      <c r="I106">
        <v>65.069999999999993</v>
      </c>
      <c r="J106">
        <v>66.540000000000006</v>
      </c>
      <c r="K106">
        <v>65.58</v>
      </c>
      <c r="L106">
        <v>22.43</v>
      </c>
      <c r="M106">
        <v>24.17</v>
      </c>
      <c r="N106">
        <v>24.17</v>
      </c>
    </row>
    <row r="107" spans="3:14" x14ac:dyDescent="0.15">
      <c r="C107" s="154" t="s">
        <v>1119</v>
      </c>
      <c r="D107" t="s">
        <v>5</v>
      </c>
      <c r="E107" t="s">
        <v>164</v>
      </c>
      <c r="F107" t="s">
        <v>8</v>
      </c>
      <c r="G107" t="s">
        <v>120</v>
      </c>
      <c r="H107" t="s">
        <v>59</v>
      </c>
      <c r="I107">
        <v>67.709999999999994</v>
      </c>
      <c r="J107">
        <v>69.040000000000006</v>
      </c>
      <c r="K107">
        <v>68.41</v>
      </c>
      <c r="L107">
        <v>25.34</v>
      </c>
      <c r="M107">
        <v>26.62</v>
      </c>
      <c r="N107">
        <v>27.1</v>
      </c>
    </row>
    <row r="108" spans="3:14" x14ac:dyDescent="0.15">
      <c r="C108" s="154" t="s">
        <v>1119</v>
      </c>
      <c r="D108" t="s">
        <v>5</v>
      </c>
      <c r="E108" t="s">
        <v>164</v>
      </c>
      <c r="F108" t="s">
        <v>8</v>
      </c>
      <c r="G108" t="s">
        <v>120</v>
      </c>
      <c r="H108" t="s">
        <v>60</v>
      </c>
      <c r="I108">
        <v>66.11</v>
      </c>
      <c r="J108">
        <v>67.44</v>
      </c>
      <c r="K108">
        <v>66.81</v>
      </c>
      <c r="L108">
        <v>23.74</v>
      </c>
      <c r="M108">
        <v>25.02</v>
      </c>
      <c r="N108">
        <v>25.5</v>
      </c>
    </row>
    <row r="109" spans="3:14" x14ac:dyDescent="0.15">
      <c r="C109" s="154" t="s">
        <v>1119</v>
      </c>
      <c r="D109" t="s">
        <v>5</v>
      </c>
      <c r="E109" t="s">
        <v>164</v>
      </c>
      <c r="F109" t="s">
        <v>8</v>
      </c>
      <c r="G109" t="s">
        <v>120</v>
      </c>
      <c r="H109" t="s">
        <v>648</v>
      </c>
      <c r="I109">
        <v>65.06</v>
      </c>
      <c r="J109">
        <v>66.39</v>
      </c>
      <c r="K109">
        <v>65.760000000000005</v>
      </c>
      <c r="L109">
        <v>22.69</v>
      </c>
      <c r="M109">
        <v>23.97</v>
      </c>
      <c r="N109">
        <v>24.45</v>
      </c>
    </row>
    <row r="110" spans="3:14" x14ac:dyDescent="0.15">
      <c r="C110" s="154" t="s">
        <v>1107</v>
      </c>
      <c r="D110" t="s">
        <v>5</v>
      </c>
      <c r="E110" t="s">
        <v>164</v>
      </c>
      <c r="F110" t="s">
        <v>9</v>
      </c>
      <c r="G110" t="s">
        <v>117</v>
      </c>
      <c r="H110" t="s">
        <v>59</v>
      </c>
      <c r="I110">
        <v>66.38</v>
      </c>
      <c r="J110">
        <v>67.510000000000005</v>
      </c>
      <c r="K110">
        <v>66.62</v>
      </c>
      <c r="L110">
        <v>24.73</v>
      </c>
      <c r="M110">
        <v>25.3</v>
      </c>
      <c r="N110">
        <v>25.08</v>
      </c>
    </row>
    <row r="111" spans="3:14" x14ac:dyDescent="0.15">
      <c r="C111" s="154" t="s">
        <v>1107</v>
      </c>
      <c r="D111" t="s">
        <v>5</v>
      </c>
      <c r="E111" t="s">
        <v>164</v>
      </c>
      <c r="F111" t="s">
        <v>9</v>
      </c>
      <c r="G111" t="s">
        <v>117</v>
      </c>
      <c r="H111" t="s">
        <v>60</v>
      </c>
      <c r="I111">
        <v>64.78</v>
      </c>
      <c r="J111">
        <v>65.91</v>
      </c>
      <c r="K111">
        <v>65.02</v>
      </c>
      <c r="L111">
        <v>23.13</v>
      </c>
      <c r="M111">
        <v>23.7</v>
      </c>
      <c r="N111">
        <v>23.48</v>
      </c>
    </row>
    <row r="112" spans="3:14" x14ac:dyDescent="0.15">
      <c r="C112" s="154" t="s">
        <v>1107</v>
      </c>
      <c r="D112" t="s">
        <v>5</v>
      </c>
      <c r="E112" t="s">
        <v>164</v>
      </c>
      <c r="F112" t="s">
        <v>9</v>
      </c>
      <c r="G112" t="s">
        <v>117</v>
      </c>
      <c r="H112" t="s">
        <v>648</v>
      </c>
      <c r="I112">
        <v>63.73</v>
      </c>
      <c r="J112">
        <v>64.86</v>
      </c>
      <c r="K112">
        <v>63.97</v>
      </c>
      <c r="L112">
        <v>22.08</v>
      </c>
      <c r="M112">
        <v>22.65</v>
      </c>
      <c r="N112">
        <v>22.43</v>
      </c>
    </row>
    <row r="113" spans="3:14" x14ac:dyDescent="0.15">
      <c r="C113" s="154" t="s">
        <v>1108</v>
      </c>
      <c r="D113" t="s">
        <v>5</v>
      </c>
      <c r="E113" t="s">
        <v>164</v>
      </c>
      <c r="F113" t="s">
        <v>9</v>
      </c>
      <c r="G113" t="s">
        <v>117</v>
      </c>
      <c r="H113" t="s">
        <v>59</v>
      </c>
      <c r="I113">
        <v>67.28</v>
      </c>
      <c r="J113">
        <v>67.010000000000005</v>
      </c>
      <c r="K113">
        <v>66.94</v>
      </c>
      <c r="L113">
        <v>24.7</v>
      </c>
      <c r="M113">
        <v>24.49</v>
      </c>
      <c r="N113">
        <v>25.06</v>
      </c>
    </row>
    <row r="114" spans="3:14" x14ac:dyDescent="0.15">
      <c r="C114" s="154" t="s">
        <v>1108</v>
      </c>
      <c r="D114" t="s">
        <v>5</v>
      </c>
      <c r="E114" t="s">
        <v>164</v>
      </c>
      <c r="F114" t="s">
        <v>9</v>
      </c>
      <c r="G114" t="s">
        <v>117</v>
      </c>
      <c r="H114" t="s">
        <v>60</v>
      </c>
      <c r="I114">
        <v>65.680000000000007</v>
      </c>
      <c r="J114">
        <v>65.41</v>
      </c>
      <c r="K114">
        <v>65.34</v>
      </c>
      <c r="L114">
        <v>23.1</v>
      </c>
      <c r="M114">
        <v>22.89</v>
      </c>
      <c r="N114">
        <v>23.46</v>
      </c>
    </row>
    <row r="115" spans="3:14" x14ac:dyDescent="0.15">
      <c r="C115" s="154" t="s">
        <v>1108</v>
      </c>
      <c r="D115" t="s">
        <v>5</v>
      </c>
      <c r="E115" t="s">
        <v>164</v>
      </c>
      <c r="F115" t="s">
        <v>9</v>
      </c>
      <c r="G115" t="s">
        <v>117</v>
      </c>
      <c r="H115" t="s">
        <v>648</v>
      </c>
      <c r="I115">
        <v>64.63</v>
      </c>
      <c r="J115">
        <v>64.36</v>
      </c>
      <c r="K115">
        <v>64.290000000000006</v>
      </c>
      <c r="L115">
        <v>22.05</v>
      </c>
      <c r="M115">
        <v>21.84</v>
      </c>
      <c r="N115">
        <v>22.41</v>
      </c>
    </row>
    <row r="116" spans="3:14" x14ac:dyDescent="0.15">
      <c r="C116" s="154" t="s">
        <v>1109</v>
      </c>
      <c r="D116" t="s">
        <v>5</v>
      </c>
      <c r="E116" t="s">
        <v>164</v>
      </c>
      <c r="F116" t="s">
        <v>9</v>
      </c>
      <c r="G116" t="s">
        <v>117</v>
      </c>
      <c r="H116" t="s">
        <v>59</v>
      </c>
      <c r="I116">
        <v>67.67</v>
      </c>
      <c r="J116">
        <v>66.319999999999993</v>
      </c>
      <c r="K116">
        <v>67.150000000000006</v>
      </c>
      <c r="L116">
        <v>25.11</v>
      </c>
      <c r="M116">
        <v>24.06</v>
      </c>
      <c r="N116">
        <v>25.37</v>
      </c>
    </row>
    <row r="117" spans="3:14" x14ac:dyDescent="0.15">
      <c r="C117" s="154" t="s">
        <v>1109</v>
      </c>
      <c r="D117" t="s">
        <v>5</v>
      </c>
      <c r="E117" t="s">
        <v>164</v>
      </c>
      <c r="F117" t="s">
        <v>9</v>
      </c>
      <c r="G117" t="s">
        <v>117</v>
      </c>
      <c r="H117" t="s">
        <v>60</v>
      </c>
      <c r="I117">
        <v>66.069999999999993</v>
      </c>
      <c r="J117">
        <v>64.72</v>
      </c>
      <c r="K117">
        <v>65.55</v>
      </c>
      <c r="L117">
        <v>23.51</v>
      </c>
      <c r="M117">
        <v>22.46</v>
      </c>
      <c r="N117">
        <v>23.77</v>
      </c>
    </row>
    <row r="118" spans="3:14" x14ac:dyDescent="0.15">
      <c r="C118" s="154" t="s">
        <v>1109</v>
      </c>
      <c r="D118" t="s">
        <v>5</v>
      </c>
      <c r="E118" t="s">
        <v>164</v>
      </c>
      <c r="F118" t="s">
        <v>9</v>
      </c>
      <c r="G118" t="s">
        <v>117</v>
      </c>
      <c r="H118" t="s">
        <v>648</v>
      </c>
      <c r="I118">
        <v>65.02</v>
      </c>
      <c r="J118">
        <v>63.67</v>
      </c>
      <c r="K118">
        <v>64.5</v>
      </c>
      <c r="L118">
        <v>22.46</v>
      </c>
      <c r="M118">
        <v>21.41</v>
      </c>
      <c r="N118">
        <v>22.72</v>
      </c>
    </row>
    <row r="119" spans="3:14" x14ac:dyDescent="0.15">
      <c r="C119" s="154" t="s">
        <v>1110</v>
      </c>
      <c r="D119" t="s">
        <v>5</v>
      </c>
      <c r="E119" t="s">
        <v>164</v>
      </c>
      <c r="F119" t="s">
        <v>9</v>
      </c>
      <c r="G119" t="s">
        <v>117</v>
      </c>
      <c r="H119" t="s">
        <v>59</v>
      </c>
      <c r="I119">
        <v>67.8</v>
      </c>
      <c r="J119">
        <v>65.88</v>
      </c>
      <c r="K119">
        <v>67.180000000000007</v>
      </c>
      <c r="L119">
        <v>25.21</v>
      </c>
      <c r="M119">
        <v>23.92</v>
      </c>
      <c r="N119">
        <v>25.43</v>
      </c>
    </row>
    <row r="120" spans="3:14" x14ac:dyDescent="0.15">
      <c r="C120" s="154" t="s">
        <v>1110</v>
      </c>
      <c r="D120" t="s">
        <v>5</v>
      </c>
      <c r="E120" t="s">
        <v>164</v>
      </c>
      <c r="F120" t="s">
        <v>9</v>
      </c>
      <c r="G120" t="s">
        <v>117</v>
      </c>
      <c r="H120" t="s">
        <v>60</v>
      </c>
      <c r="I120">
        <v>66.2</v>
      </c>
      <c r="J120">
        <v>64.28</v>
      </c>
      <c r="K120">
        <v>65.58</v>
      </c>
      <c r="L120">
        <v>23.61</v>
      </c>
      <c r="M120">
        <v>22.32</v>
      </c>
      <c r="N120">
        <v>23.83</v>
      </c>
    </row>
    <row r="121" spans="3:14" x14ac:dyDescent="0.15">
      <c r="C121" s="154" t="s">
        <v>1110</v>
      </c>
      <c r="D121" t="s">
        <v>5</v>
      </c>
      <c r="E121" t="s">
        <v>164</v>
      </c>
      <c r="F121" t="s">
        <v>9</v>
      </c>
      <c r="G121" t="s">
        <v>117</v>
      </c>
      <c r="H121" t="s">
        <v>648</v>
      </c>
      <c r="I121">
        <v>65.150000000000006</v>
      </c>
      <c r="J121">
        <v>63.23</v>
      </c>
      <c r="K121">
        <v>64.53</v>
      </c>
      <c r="L121">
        <v>22.56</v>
      </c>
      <c r="M121">
        <v>21.27</v>
      </c>
      <c r="N121">
        <v>22.78</v>
      </c>
    </row>
    <row r="122" spans="3:14" x14ac:dyDescent="0.15">
      <c r="C122" s="154" t="s">
        <v>1111</v>
      </c>
      <c r="D122" t="s">
        <v>5</v>
      </c>
      <c r="E122" t="s">
        <v>164</v>
      </c>
      <c r="F122" t="s">
        <v>9</v>
      </c>
      <c r="G122" t="s">
        <v>117</v>
      </c>
      <c r="H122" t="s">
        <v>59</v>
      </c>
      <c r="I122">
        <v>67.81</v>
      </c>
      <c r="J122">
        <v>65.489999999999995</v>
      </c>
      <c r="K122">
        <v>67.180000000000007</v>
      </c>
      <c r="L122">
        <v>25.19</v>
      </c>
      <c r="M122">
        <v>23.74</v>
      </c>
      <c r="N122">
        <v>25.43</v>
      </c>
    </row>
    <row r="123" spans="3:14" x14ac:dyDescent="0.15">
      <c r="C123" s="154" t="s">
        <v>1111</v>
      </c>
      <c r="D123" t="s">
        <v>5</v>
      </c>
      <c r="E123" t="s">
        <v>164</v>
      </c>
      <c r="F123" t="s">
        <v>9</v>
      </c>
      <c r="G123" t="s">
        <v>117</v>
      </c>
      <c r="H123" t="s">
        <v>60</v>
      </c>
      <c r="I123">
        <v>66.209999999999994</v>
      </c>
      <c r="J123">
        <v>63.89</v>
      </c>
      <c r="K123">
        <v>65.58</v>
      </c>
      <c r="L123">
        <v>23.59</v>
      </c>
      <c r="M123">
        <v>22.14</v>
      </c>
      <c r="N123">
        <v>23.83</v>
      </c>
    </row>
    <row r="124" spans="3:14" x14ac:dyDescent="0.15">
      <c r="C124" s="154" t="s">
        <v>1111</v>
      </c>
      <c r="D124" t="s">
        <v>5</v>
      </c>
      <c r="E124" t="s">
        <v>164</v>
      </c>
      <c r="F124" t="s">
        <v>9</v>
      </c>
      <c r="G124" t="s">
        <v>117</v>
      </c>
      <c r="H124" t="s">
        <v>648</v>
      </c>
      <c r="I124">
        <v>65.16</v>
      </c>
      <c r="J124">
        <v>62.84</v>
      </c>
      <c r="K124">
        <v>64.53</v>
      </c>
      <c r="L124">
        <v>22.54</v>
      </c>
      <c r="M124">
        <v>21.09</v>
      </c>
      <c r="N124">
        <v>22.78</v>
      </c>
    </row>
    <row r="125" spans="3:14" x14ac:dyDescent="0.15">
      <c r="C125" s="154" t="s">
        <v>1112</v>
      </c>
      <c r="D125" t="s">
        <v>5</v>
      </c>
      <c r="E125" t="s">
        <v>164</v>
      </c>
      <c r="F125" t="s">
        <v>9</v>
      </c>
      <c r="G125" t="s">
        <v>117</v>
      </c>
      <c r="H125" t="s">
        <v>59</v>
      </c>
      <c r="I125">
        <v>67.78</v>
      </c>
      <c r="J125">
        <v>65.62</v>
      </c>
      <c r="K125">
        <v>67.25</v>
      </c>
      <c r="L125">
        <v>25.17</v>
      </c>
      <c r="M125">
        <v>24.26</v>
      </c>
      <c r="N125">
        <v>25.63</v>
      </c>
    </row>
    <row r="126" spans="3:14" x14ac:dyDescent="0.15">
      <c r="C126" s="154" t="s">
        <v>1112</v>
      </c>
      <c r="D126" t="s">
        <v>5</v>
      </c>
      <c r="E126" t="s">
        <v>164</v>
      </c>
      <c r="F126" t="s">
        <v>9</v>
      </c>
      <c r="G126" t="s">
        <v>117</v>
      </c>
      <c r="H126" t="s">
        <v>60</v>
      </c>
      <c r="I126">
        <v>66.180000000000007</v>
      </c>
      <c r="J126">
        <v>64.02</v>
      </c>
      <c r="K126">
        <v>65.650000000000006</v>
      </c>
      <c r="L126">
        <v>23.57</v>
      </c>
      <c r="M126">
        <v>22.66</v>
      </c>
      <c r="N126">
        <v>24.03</v>
      </c>
    </row>
    <row r="127" spans="3:14" x14ac:dyDescent="0.15">
      <c r="C127" s="154" t="s">
        <v>1112</v>
      </c>
      <c r="D127" t="s">
        <v>5</v>
      </c>
      <c r="E127" t="s">
        <v>164</v>
      </c>
      <c r="F127" t="s">
        <v>9</v>
      </c>
      <c r="G127" t="s">
        <v>117</v>
      </c>
      <c r="H127" t="s">
        <v>648</v>
      </c>
      <c r="I127">
        <v>65.13</v>
      </c>
      <c r="J127">
        <v>62.97</v>
      </c>
      <c r="K127">
        <v>64.599999999999994</v>
      </c>
      <c r="L127">
        <v>22.52</v>
      </c>
      <c r="M127">
        <v>21.61</v>
      </c>
      <c r="N127">
        <v>22.98</v>
      </c>
    </row>
    <row r="128" spans="3:14" x14ac:dyDescent="0.15">
      <c r="C128" s="154" t="s">
        <v>1113</v>
      </c>
      <c r="D128" t="s">
        <v>5</v>
      </c>
      <c r="E128" t="s">
        <v>164</v>
      </c>
      <c r="F128" t="s">
        <v>9</v>
      </c>
      <c r="G128" t="s">
        <v>117</v>
      </c>
      <c r="H128" t="s">
        <v>59</v>
      </c>
      <c r="I128">
        <v>67.69</v>
      </c>
      <c r="J128">
        <v>66.47</v>
      </c>
      <c r="K128">
        <v>67.459999999999994</v>
      </c>
      <c r="L128">
        <v>25.21</v>
      </c>
      <c r="M128">
        <v>24.96</v>
      </c>
      <c r="N128">
        <v>26</v>
      </c>
    </row>
    <row r="129" spans="3:14" x14ac:dyDescent="0.15">
      <c r="C129" s="154" t="s">
        <v>1113</v>
      </c>
      <c r="D129" t="s">
        <v>5</v>
      </c>
      <c r="E129" t="s">
        <v>164</v>
      </c>
      <c r="F129" t="s">
        <v>9</v>
      </c>
      <c r="G129" t="s">
        <v>117</v>
      </c>
      <c r="H129" t="s">
        <v>60</v>
      </c>
      <c r="I129">
        <v>66.09</v>
      </c>
      <c r="J129">
        <v>64.87</v>
      </c>
      <c r="K129">
        <v>65.86</v>
      </c>
      <c r="L129">
        <v>23.61</v>
      </c>
      <c r="M129">
        <v>23.36</v>
      </c>
      <c r="N129">
        <v>24.4</v>
      </c>
    </row>
    <row r="130" spans="3:14" x14ac:dyDescent="0.15">
      <c r="C130" s="154" t="s">
        <v>1113</v>
      </c>
      <c r="D130" t="s">
        <v>5</v>
      </c>
      <c r="E130" t="s">
        <v>164</v>
      </c>
      <c r="F130" t="s">
        <v>9</v>
      </c>
      <c r="G130" t="s">
        <v>117</v>
      </c>
      <c r="H130" t="s">
        <v>648</v>
      </c>
      <c r="I130">
        <v>65.040000000000006</v>
      </c>
      <c r="J130">
        <v>63.82</v>
      </c>
      <c r="K130">
        <v>64.81</v>
      </c>
      <c r="L130">
        <v>22.56</v>
      </c>
      <c r="M130">
        <v>22.31</v>
      </c>
      <c r="N130">
        <v>23.35</v>
      </c>
    </row>
    <row r="131" spans="3:14" x14ac:dyDescent="0.15">
      <c r="C131" s="154" t="s">
        <v>1114</v>
      </c>
      <c r="D131" t="s">
        <v>5</v>
      </c>
      <c r="E131" t="s">
        <v>164</v>
      </c>
      <c r="F131" t="s">
        <v>9</v>
      </c>
      <c r="G131" t="s">
        <v>117</v>
      </c>
      <c r="H131" t="s">
        <v>59</v>
      </c>
      <c r="I131">
        <v>67.430000000000007</v>
      </c>
      <c r="J131">
        <v>67.19</v>
      </c>
      <c r="K131">
        <v>67.569999999999993</v>
      </c>
      <c r="L131">
        <v>24.96</v>
      </c>
      <c r="M131">
        <v>25.55</v>
      </c>
      <c r="N131">
        <v>26.3</v>
      </c>
    </row>
    <row r="132" spans="3:14" x14ac:dyDescent="0.15">
      <c r="C132" s="154" t="s">
        <v>1114</v>
      </c>
      <c r="D132" t="s">
        <v>5</v>
      </c>
      <c r="E132" t="s">
        <v>164</v>
      </c>
      <c r="F132" t="s">
        <v>9</v>
      </c>
      <c r="G132" t="s">
        <v>117</v>
      </c>
      <c r="H132" t="s">
        <v>60</v>
      </c>
      <c r="I132">
        <v>65.83</v>
      </c>
      <c r="J132">
        <v>65.59</v>
      </c>
      <c r="K132">
        <v>65.97</v>
      </c>
      <c r="L132">
        <v>23.36</v>
      </c>
      <c r="M132">
        <v>23.95</v>
      </c>
      <c r="N132">
        <v>24.7</v>
      </c>
    </row>
    <row r="133" spans="3:14" x14ac:dyDescent="0.15">
      <c r="C133" s="154" t="s">
        <v>1114</v>
      </c>
      <c r="D133" t="s">
        <v>5</v>
      </c>
      <c r="E133" t="s">
        <v>164</v>
      </c>
      <c r="F133" t="s">
        <v>9</v>
      </c>
      <c r="G133" t="s">
        <v>117</v>
      </c>
      <c r="H133" t="s">
        <v>648</v>
      </c>
      <c r="I133">
        <v>64.78</v>
      </c>
      <c r="J133">
        <v>64.540000000000006</v>
      </c>
      <c r="K133">
        <v>64.92</v>
      </c>
      <c r="L133">
        <v>22.31</v>
      </c>
      <c r="M133">
        <v>22.9</v>
      </c>
      <c r="N133">
        <v>23.65</v>
      </c>
    </row>
    <row r="134" spans="3:14" x14ac:dyDescent="0.15">
      <c r="C134" s="154" t="s">
        <v>1115</v>
      </c>
      <c r="D134" t="s">
        <v>5</v>
      </c>
      <c r="E134" t="s">
        <v>164</v>
      </c>
      <c r="F134" t="s">
        <v>9</v>
      </c>
      <c r="G134" t="s">
        <v>117</v>
      </c>
      <c r="H134" t="s">
        <v>59</v>
      </c>
      <c r="I134">
        <v>67.459999999999994</v>
      </c>
      <c r="J134">
        <v>68.180000000000007</v>
      </c>
      <c r="K134">
        <v>67.61</v>
      </c>
      <c r="L134">
        <v>25.19</v>
      </c>
      <c r="M134">
        <v>26.55</v>
      </c>
      <c r="N134">
        <v>26.54</v>
      </c>
    </row>
    <row r="135" spans="3:14" x14ac:dyDescent="0.15">
      <c r="C135" s="154" t="s">
        <v>1115</v>
      </c>
      <c r="D135" t="s">
        <v>5</v>
      </c>
      <c r="E135" t="s">
        <v>164</v>
      </c>
      <c r="F135" t="s">
        <v>9</v>
      </c>
      <c r="G135" t="s">
        <v>117</v>
      </c>
      <c r="H135" t="s">
        <v>60</v>
      </c>
      <c r="I135">
        <v>65.86</v>
      </c>
      <c r="J135">
        <v>66.58</v>
      </c>
      <c r="K135">
        <v>66.010000000000005</v>
      </c>
      <c r="L135">
        <v>23.59</v>
      </c>
      <c r="M135">
        <v>24.95</v>
      </c>
      <c r="N135">
        <v>24.94</v>
      </c>
    </row>
    <row r="136" spans="3:14" x14ac:dyDescent="0.15">
      <c r="C136" s="154" t="s">
        <v>1115</v>
      </c>
      <c r="D136" t="s">
        <v>5</v>
      </c>
      <c r="E136" t="s">
        <v>164</v>
      </c>
      <c r="F136" t="s">
        <v>9</v>
      </c>
      <c r="G136" t="s">
        <v>117</v>
      </c>
      <c r="H136" t="s">
        <v>648</v>
      </c>
      <c r="I136">
        <v>64.81</v>
      </c>
      <c r="J136">
        <v>65.53</v>
      </c>
      <c r="K136">
        <v>64.959999999999994</v>
      </c>
      <c r="L136">
        <v>22.54</v>
      </c>
      <c r="M136">
        <v>23.9</v>
      </c>
      <c r="N136">
        <v>23.89</v>
      </c>
    </row>
    <row r="137" spans="3:14" x14ac:dyDescent="0.15">
      <c r="C137" s="154" t="s">
        <v>1117</v>
      </c>
      <c r="D137" t="s">
        <v>5</v>
      </c>
      <c r="E137" t="s">
        <v>164</v>
      </c>
      <c r="F137" t="s">
        <v>9</v>
      </c>
      <c r="G137" t="s">
        <v>117</v>
      </c>
      <c r="H137" t="s">
        <v>59</v>
      </c>
      <c r="I137">
        <v>67.45</v>
      </c>
      <c r="J137">
        <v>68.680000000000007</v>
      </c>
      <c r="K137">
        <v>67.66</v>
      </c>
      <c r="L137">
        <v>25.39</v>
      </c>
      <c r="M137">
        <v>26.93</v>
      </c>
      <c r="N137">
        <v>26.73</v>
      </c>
    </row>
    <row r="138" spans="3:14" x14ac:dyDescent="0.15">
      <c r="C138" s="154" t="s">
        <v>1117</v>
      </c>
      <c r="D138" t="s">
        <v>5</v>
      </c>
      <c r="E138" t="s">
        <v>164</v>
      </c>
      <c r="F138" t="s">
        <v>9</v>
      </c>
      <c r="G138" t="s">
        <v>117</v>
      </c>
      <c r="H138" t="s">
        <v>60</v>
      </c>
      <c r="I138">
        <v>65.849999999999994</v>
      </c>
      <c r="J138">
        <v>67.08</v>
      </c>
      <c r="K138">
        <v>66.06</v>
      </c>
      <c r="L138">
        <v>23.79</v>
      </c>
      <c r="M138">
        <v>25.33</v>
      </c>
      <c r="N138">
        <v>25.13</v>
      </c>
    </row>
    <row r="139" spans="3:14" x14ac:dyDescent="0.15">
      <c r="C139" s="154" t="s">
        <v>1117</v>
      </c>
      <c r="D139" t="s">
        <v>5</v>
      </c>
      <c r="E139" t="s">
        <v>164</v>
      </c>
      <c r="F139" t="s">
        <v>9</v>
      </c>
      <c r="G139" t="s">
        <v>117</v>
      </c>
      <c r="H139" t="s">
        <v>648</v>
      </c>
      <c r="I139">
        <v>64.8</v>
      </c>
      <c r="J139">
        <v>66.03</v>
      </c>
      <c r="K139">
        <v>65.010000000000005</v>
      </c>
      <c r="L139">
        <v>22.74</v>
      </c>
      <c r="M139">
        <v>24.28</v>
      </c>
      <c r="N139">
        <v>24.08</v>
      </c>
    </row>
    <row r="140" spans="3:14" x14ac:dyDescent="0.15">
      <c r="C140" s="154" t="s">
        <v>1118</v>
      </c>
      <c r="D140" t="s">
        <v>5</v>
      </c>
      <c r="E140" t="s">
        <v>164</v>
      </c>
      <c r="F140" t="s">
        <v>9</v>
      </c>
      <c r="G140" t="s">
        <v>117</v>
      </c>
      <c r="H140" t="s">
        <v>59</v>
      </c>
      <c r="I140">
        <v>67.2</v>
      </c>
      <c r="J140">
        <v>68.94</v>
      </c>
      <c r="K140">
        <v>67.650000000000006</v>
      </c>
      <c r="L140">
        <v>25.19</v>
      </c>
      <c r="M140">
        <v>27.01</v>
      </c>
      <c r="N140">
        <v>26.85</v>
      </c>
    </row>
    <row r="141" spans="3:14" x14ac:dyDescent="0.15">
      <c r="C141" s="154" t="s">
        <v>1118</v>
      </c>
      <c r="D141" t="s">
        <v>5</v>
      </c>
      <c r="E141" t="s">
        <v>164</v>
      </c>
      <c r="F141" t="s">
        <v>9</v>
      </c>
      <c r="G141" t="s">
        <v>117</v>
      </c>
      <c r="H141" t="s">
        <v>60</v>
      </c>
      <c r="I141">
        <v>65.599999999999994</v>
      </c>
      <c r="J141">
        <v>67.34</v>
      </c>
      <c r="K141">
        <v>66.05</v>
      </c>
      <c r="L141">
        <v>23.59</v>
      </c>
      <c r="M141">
        <v>25.41</v>
      </c>
      <c r="N141">
        <v>25.25</v>
      </c>
    </row>
    <row r="142" spans="3:14" x14ac:dyDescent="0.15">
      <c r="C142" s="154" t="s">
        <v>1118</v>
      </c>
      <c r="D142" t="s">
        <v>5</v>
      </c>
      <c r="E142" t="s">
        <v>164</v>
      </c>
      <c r="F142" t="s">
        <v>9</v>
      </c>
      <c r="G142" t="s">
        <v>117</v>
      </c>
      <c r="H142" t="s">
        <v>648</v>
      </c>
      <c r="I142">
        <v>64.55</v>
      </c>
      <c r="J142">
        <v>66.290000000000006</v>
      </c>
      <c r="K142">
        <v>65</v>
      </c>
      <c r="L142">
        <v>22.54</v>
      </c>
      <c r="M142">
        <v>24.36</v>
      </c>
      <c r="N142">
        <v>24.2</v>
      </c>
    </row>
    <row r="143" spans="3:14" x14ac:dyDescent="0.15">
      <c r="C143" s="154" t="s">
        <v>1119</v>
      </c>
      <c r="D143" t="s">
        <v>5</v>
      </c>
      <c r="E143" t="s">
        <v>164</v>
      </c>
      <c r="F143" t="s">
        <v>9</v>
      </c>
      <c r="G143" t="s">
        <v>117</v>
      </c>
      <c r="H143" t="s">
        <v>59</v>
      </c>
      <c r="I143">
        <v>67.180000000000007</v>
      </c>
      <c r="J143">
        <v>68.900000000000006</v>
      </c>
      <c r="K143">
        <v>67.84</v>
      </c>
      <c r="L143">
        <v>25.46</v>
      </c>
      <c r="M143">
        <v>26.94</v>
      </c>
      <c r="N143">
        <v>27.14</v>
      </c>
    </row>
    <row r="144" spans="3:14" x14ac:dyDescent="0.15">
      <c r="C144" s="154" t="s">
        <v>1119</v>
      </c>
      <c r="D144" t="s">
        <v>5</v>
      </c>
      <c r="E144" t="s">
        <v>164</v>
      </c>
      <c r="F144" t="s">
        <v>9</v>
      </c>
      <c r="G144" t="s">
        <v>117</v>
      </c>
      <c r="H144" t="s">
        <v>60</v>
      </c>
      <c r="I144">
        <v>65.58</v>
      </c>
      <c r="J144">
        <v>67.3</v>
      </c>
      <c r="K144">
        <v>66.239999999999995</v>
      </c>
      <c r="L144">
        <v>23.86</v>
      </c>
      <c r="M144">
        <v>25.34</v>
      </c>
      <c r="N144">
        <v>25.54</v>
      </c>
    </row>
    <row r="145" spans="3:14" x14ac:dyDescent="0.15">
      <c r="C145" s="154" t="s">
        <v>1119</v>
      </c>
      <c r="D145" t="s">
        <v>5</v>
      </c>
      <c r="E145" t="s">
        <v>164</v>
      </c>
      <c r="F145" t="s">
        <v>9</v>
      </c>
      <c r="G145" t="s">
        <v>117</v>
      </c>
      <c r="H145" t="s">
        <v>648</v>
      </c>
      <c r="I145">
        <v>64.53</v>
      </c>
      <c r="J145">
        <v>66.25</v>
      </c>
      <c r="K145">
        <v>65.19</v>
      </c>
      <c r="L145">
        <v>22.81</v>
      </c>
      <c r="M145">
        <v>24.29</v>
      </c>
      <c r="N145">
        <v>24.49</v>
      </c>
    </row>
    <row r="146" spans="3:14" x14ac:dyDescent="0.15">
      <c r="C146" s="154" t="s">
        <v>1107</v>
      </c>
      <c r="D146" t="s">
        <v>5</v>
      </c>
      <c r="E146" t="s">
        <v>11</v>
      </c>
      <c r="F146" t="s">
        <v>6</v>
      </c>
      <c r="G146" t="s">
        <v>1106</v>
      </c>
      <c r="H146" t="s">
        <v>59</v>
      </c>
      <c r="I146">
        <v>69.61</v>
      </c>
      <c r="J146">
        <v>70.319999999999993</v>
      </c>
      <c r="K146">
        <v>69.94</v>
      </c>
      <c r="L146">
        <v>26.98</v>
      </c>
      <c r="M146">
        <v>27.46</v>
      </c>
      <c r="N146">
        <v>27.69</v>
      </c>
    </row>
    <row r="147" spans="3:14" x14ac:dyDescent="0.15">
      <c r="C147" s="154" t="s">
        <v>1107</v>
      </c>
      <c r="D147" t="s">
        <v>5</v>
      </c>
      <c r="E147" t="s">
        <v>11</v>
      </c>
      <c r="F147" t="s">
        <v>6</v>
      </c>
      <c r="G147" t="s">
        <v>1106</v>
      </c>
      <c r="H147" t="s">
        <v>60</v>
      </c>
      <c r="I147">
        <v>68.010000000000005</v>
      </c>
      <c r="J147">
        <v>68.72</v>
      </c>
      <c r="K147">
        <v>68.34</v>
      </c>
      <c r="L147">
        <v>25.38</v>
      </c>
      <c r="M147">
        <v>25.86</v>
      </c>
      <c r="N147">
        <v>26.09</v>
      </c>
    </row>
    <row r="148" spans="3:14" x14ac:dyDescent="0.15">
      <c r="C148" s="154" t="s">
        <v>1107</v>
      </c>
      <c r="D148" t="s">
        <v>5</v>
      </c>
      <c r="E148" t="s">
        <v>11</v>
      </c>
      <c r="F148" t="s">
        <v>6</v>
      </c>
      <c r="G148" t="s">
        <v>1106</v>
      </c>
      <c r="H148" t="s">
        <v>648</v>
      </c>
      <c r="I148">
        <v>66.959999999999994</v>
      </c>
      <c r="J148">
        <v>67.67</v>
      </c>
      <c r="K148">
        <v>67.290000000000006</v>
      </c>
      <c r="L148">
        <v>24.33</v>
      </c>
      <c r="M148">
        <v>24.81</v>
      </c>
      <c r="N148">
        <v>25.04</v>
      </c>
    </row>
    <row r="149" spans="3:14" x14ac:dyDescent="0.15">
      <c r="C149" s="154" t="s">
        <v>1108</v>
      </c>
      <c r="D149" t="s">
        <v>5</v>
      </c>
      <c r="E149" t="s">
        <v>11</v>
      </c>
      <c r="F149" t="s">
        <v>6</v>
      </c>
      <c r="G149" t="s">
        <v>1106</v>
      </c>
      <c r="H149" t="s">
        <v>59</v>
      </c>
      <c r="I149">
        <v>70.3</v>
      </c>
      <c r="J149">
        <v>69.59</v>
      </c>
      <c r="K149">
        <v>70.209999999999994</v>
      </c>
      <c r="L149">
        <v>26.95</v>
      </c>
      <c r="M149">
        <v>26.55</v>
      </c>
      <c r="N149">
        <v>27.67</v>
      </c>
    </row>
    <row r="150" spans="3:14" x14ac:dyDescent="0.15">
      <c r="C150" s="154" t="s">
        <v>1108</v>
      </c>
      <c r="D150" t="s">
        <v>5</v>
      </c>
      <c r="E150" t="s">
        <v>11</v>
      </c>
      <c r="F150" t="s">
        <v>6</v>
      </c>
      <c r="G150" t="s">
        <v>1106</v>
      </c>
      <c r="H150" t="s">
        <v>60</v>
      </c>
      <c r="I150">
        <v>68.7</v>
      </c>
      <c r="J150">
        <v>67.989999999999995</v>
      </c>
      <c r="K150">
        <v>68.61</v>
      </c>
      <c r="L150">
        <v>25.35</v>
      </c>
      <c r="M150">
        <v>24.95</v>
      </c>
      <c r="N150">
        <v>26.07</v>
      </c>
    </row>
    <row r="151" spans="3:14" x14ac:dyDescent="0.15">
      <c r="C151" s="154" t="s">
        <v>1108</v>
      </c>
      <c r="D151" t="s">
        <v>5</v>
      </c>
      <c r="E151" t="s">
        <v>11</v>
      </c>
      <c r="F151" t="s">
        <v>6</v>
      </c>
      <c r="G151" t="s">
        <v>1106</v>
      </c>
      <c r="H151" t="s">
        <v>648</v>
      </c>
      <c r="I151">
        <v>67.650000000000006</v>
      </c>
      <c r="J151">
        <v>66.94</v>
      </c>
      <c r="K151">
        <v>67.56</v>
      </c>
      <c r="L151">
        <v>24.3</v>
      </c>
      <c r="M151">
        <v>23.9</v>
      </c>
      <c r="N151">
        <v>25.02</v>
      </c>
    </row>
    <row r="152" spans="3:14" x14ac:dyDescent="0.15">
      <c r="C152" s="154" t="s">
        <v>1109</v>
      </c>
      <c r="D152" t="s">
        <v>5</v>
      </c>
      <c r="E152" t="s">
        <v>11</v>
      </c>
      <c r="F152" t="s">
        <v>6</v>
      </c>
      <c r="G152" t="s">
        <v>1106</v>
      </c>
      <c r="H152" t="s">
        <v>59</v>
      </c>
      <c r="I152">
        <v>70.760000000000005</v>
      </c>
      <c r="J152">
        <v>69.099999999999994</v>
      </c>
      <c r="K152">
        <v>70.430000000000007</v>
      </c>
      <c r="L152">
        <v>27.49</v>
      </c>
      <c r="M152">
        <v>26.35</v>
      </c>
      <c r="N152">
        <v>28</v>
      </c>
    </row>
    <row r="153" spans="3:14" x14ac:dyDescent="0.15">
      <c r="C153" s="154" t="s">
        <v>1109</v>
      </c>
      <c r="D153" t="s">
        <v>5</v>
      </c>
      <c r="E153" t="s">
        <v>11</v>
      </c>
      <c r="F153" t="s">
        <v>6</v>
      </c>
      <c r="G153" t="s">
        <v>1106</v>
      </c>
      <c r="H153" t="s">
        <v>60</v>
      </c>
      <c r="I153">
        <v>69.16</v>
      </c>
      <c r="J153">
        <v>67.5</v>
      </c>
      <c r="K153">
        <v>68.83</v>
      </c>
      <c r="L153">
        <v>25.89</v>
      </c>
      <c r="M153">
        <v>24.75</v>
      </c>
      <c r="N153">
        <v>26.4</v>
      </c>
    </row>
    <row r="154" spans="3:14" x14ac:dyDescent="0.15">
      <c r="C154" s="154" t="s">
        <v>1109</v>
      </c>
      <c r="D154" t="s">
        <v>5</v>
      </c>
      <c r="E154" t="s">
        <v>11</v>
      </c>
      <c r="F154" t="s">
        <v>6</v>
      </c>
      <c r="G154" t="s">
        <v>1106</v>
      </c>
      <c r="H154" t="s">
        <v>648</v>
      </c>
      <c r="I154">
        <v>68.11</v>
      </c>
      <c r="J154">
        <v>66.45</v>
      </c>
      <c r="K154">
        <v>67.78</v>
      </c>
      <c r="L154">
        <v>24.84</v>
      </c>
      <c r="M154">
        <v>23.7</v>
      </c>
      <c r="N154">
        <v>25.35</v>
      </c>
    </row>
    <row r="155" spans="3:14" x14ac:dyDescent="0.15">
      <c r="C155" s="154" t="s">
        <v>1110</v>
      </c>
      <c r="D155" t="s">
        <v>5</v>
      </c>
      <c r="E155" t="s">
        <v>11</v>
      </c>
      <c r="F155" t="s">
        <v>6</v>
      </c>
      <c r="G155" t="s">
        <v>1106</v>
      </c>
      <c r="H155" t="s">
        <v>59</v>
      </c>
      <c r="I155">
        <v>70.83</v>
      </c>
      <c r="J155">
        <v>68.83</v>
      </c>
      <c r="K155">
        <v>70.430000000000007</v>
      </c>
      <c r="L155">
        <v>27.47</v>
      </c>
      <c r="M155">
        <v>26.22</v>
      </c>
      <c r="N155">
        <v>28.03</v>
      </c>
    </row>
    <row r="156" spans="3:14" x14ac:dyDescent="0.15">
      <c r="C156" s="154" t="s">
        <v>1110</v>
      </c>
      <c r="D156" t="s">
        <v>5</v>
      </c>
      <c r="E156" t="s">
        <v>11</v>
      </c>
      <c r="F156" t="s">
        <v>6</v>
      </c>
      <c r="G156" t="s">
        <v>1106</v>
      </c>
      <c r="H156" t="s">
        <v>60</v>
      </c>
      <c r="I156">
        <v>69.23</v>
      </c>
      <c r="J156">
        <v>67.23</v>
      </c>
      <c r="K156">
        <v>68.83</v>
      </c>
      <c r="L156">
        <v>25.87</v>
      </c>
      <c r="M156">
        <v>24.62</v>
      </c>
      <c r="N156">
        <v>26.43</v>
      </c>
    </row>
    <row r="157" spans="3:14" x14ac:dyDescent="0.15">
      <c r="C157" s="154" t="s">
        <v>1110</v>
      </c>
      <c r="D157" t="s">
        <v>5</v>
      </c>
      <c r="E157" t="s">
        <v>11</v>
      </c>
      <c r="F157" t="s">
        <v>6</v>
      </c>
      <c r="G157" t="s">
        <v>1106</v>
      </c>
      <c r="H157" t="s">
        <v>648</v>
      </c>
      <c r="I157">
        <v>68.180000000000007</v>
      </c>
      <c r="J157">
        <v>66.180000000000007</v>
      </c>
      <c r="K157">
        <v>67.78</v>
      </c>
      <c r="L157">
        <v>24.82</v>
      </c>
      <c r="M157">
        <v>23.57</v>
      </c>
      <c r="N157">
        <v>25.38</v>
      </c>
    </row>
    <row r="158" spans="3:14" x14ac:dyDescent="0.15">
      <c r="C158" s="154" t="s">
        <v>1111</v>
      </c>
      <c r="D158" t="s">
        <v>5</v>
      </c>
      <c r="E158" t="s">
        <v>11</v>
      </c>
      <c r="F158" t="s">
        <v>6</v>
      </c>
      <c r="G158" t="s">
        <v>1106</v>
      </c>
      <c r="H158" t="s">
        <v>59</v>
      </c>
      <c r="I158">
        <v>70.790000000000006</v>
      </c>
      <c r="J158">
        <v>68.7</v>
      </c>
      <c r="K158">
        <v>70.42</v>
      </c>
      <c r="L158">
        <v>27.39</v>
      </c>
      <c r="M158">
        <v>26.21</v>
      </c>
      <c r="N158">
        <v>28.04</v>
      </c>
    </row>
    <row r="159" spans="3:14" x14ac:dyDescent="0.15">
      <c r="C159" s="154" t="s">
        <v>1111</v>
      </c>
      <c r="D159" t="s">
        <v>5</v>
      </c>
      <c r="E159" t="s">
        <v>11</v>
      </c>
      <c r="F159" t="s">
        <v>6</v>
      </c>
      <c r="G159" t="s">
        <v>1106</v>
      </c>
      <c r="H159" t="s">
        <v>60</v>
      </c>
      <c r="I159">
        <v>69.19</v>
      </c>
      <c r="J159">
        <v>67.099999999999994</v>
      </c>
      <c r="K159">
        <v>68.819999999999993</v>
      </c>
      <c r="L159">
        <v>25.79</v>
      </c>
      <c r="M159">
        <v>24.61</v>
      </c>
      <c r="N159">
        <v>26.44</v>
      </c>
    </row>
    <row r="160" spans="3:14" x14ac:dyDescent="0.15">
      <c r="C160" s="154" t="s">
        <v>1111</v>
      </c>
      <c r="D160" t="s">
        <v>5</v>
      </c>
      <c r="E160" t="s">
        <v>11</v>
      </c>
      <c r="F160" t="s">
        <v>6</v>
      </c>
      <c r="G160" t="s">
        <v>1106</v>
      </c>
      <c r="H160" t="s">
        <v>648</v>
      </c>
      <c r="I160">
        <v>68.14</v>
      </c>
      <c r="J160">
        <v>66.05</v>
      </c>
      <c r="K160">
        <v>67.77</v>
      </c>
      <c r="L160">
        <v>24.74</v>
      </c>
      <c r="M160">
        <v>23.56</v>
      </c>
      <c r="N160">
        <v>25.39</v>
      </c>
    </row>
    <row r="161" spans="3:14" x14ac:dyDescent="0.15">
      <c r="C161" s="154" t="s">
        <v>1112</v>
      </c>
      <c r="D161" t="s">
        <v>5</v>
      </c>
      <c r="E161" t="s">
        <v>11</v>
      </c>
      <c r="F161" t="s">
        <v>6</v>
      </c>
      <c r="G161" t="s">
        <v>1106</v>
      </c>
      <c r="H161" t="s">
        <v>59</v>
      </c>
      <c r="I161">
        <v>70.87</v>
      </c>
      <c r="J161">
        <v>69.09</v>
      </c>
      <c r="K161">
        <v>70.73</v>
      </c>
      <c r="L161">
        <v>27.6</v>
      </c>
      <c r="M161">
        <v>26.97</v>
      </c>
      <c r="N161">
        <v>28.51</v>
      </c>
    </row>
    <row r="162" spans="3:14" x14ac:dyDescent="0.15">
      <c r="C162" s="154" t="s">
        <v>1112</v>
      </c>
      <c r="D162" t="s">
        <v>5</v>
      </c>
      <c r="E162" t="s">
        <v>11</v>
      </c>
      <c r="F162" t="s">
        <v>6</v>
      </c>
      <c r="G162" t="s">
        <v>1106</v>
      </c>
      <c r="H162" t="s">
        <v>60</v>
      </c>
      <c r="I162">
        <v>69.27</v>
      </c>
      <c r="J162">
        <v>67.489999999999995</v>
      </c>
      <c r="K162">
        <v>69.13</v>
      </c>
      <c r="L162">
        <v>26</v>
      </c>
      <c r="M162">
        <v>25.37</v>
      </c>
      <c r="N162">
        <v>26.91</v>
      </c>
    </row>
    <row r="163" spans="3:14" x14ac:dyDescent="0.15">
      <c r="C163" s="154" t="s">
        <v>1112</v>
      </c>
      <c r="D163" t="s">
        <v>5</v>
      </c>
      <c r="E163" t="s">
        <v>11</v>
      </c>
      <c r="F163" t="s">
        <v>6</v>
      </c>
      <c r="G163" t="s">
        <v>1106</v>
      </c>
      <c r="H163" t="s">
        <v>648</v>
      </c>
      <c r="I163">
        <v>68.22</v>
      </c>
      <c r="J163">
        <v>66.44</v>
      </c>
      <c r="K163">
        <v>68.08</v>
      </c>
      <c r="L163">
        <v>24.95</v>
      </c>
      <c r="M163">
        <v>24.32</v>
      </c>
      <c r="N163">
        <v>25.86</v>
      </c>
    </row>
    <row r="164" spans="3:14" x14ac:dyDescent="0.15">
      <c r="C164" s="154" t="s">
        <v>1113</v>
      </c>
      <c r="D164" t="s">
        <v>5</v>
      </c>
      <c r="E164" t="s">
        <v>11</v>
      </c>
      <c r="F164" t="s">
        <v>6</v>
      </c>
      <c r="G164" t="s">
        <v>1106</v>
      </c>
      <c r="H164" t="s">
        <v>59</v>
      </c>
      <c r="I164">
        <v>70.8</v>
      </c>
      <c r="J164">
        <v>70.13</v>
      </c>
      <c r="K164">
        <v>71.12</v>
      </c>
      <c r="L164">
        <v>27.76</v>
      </c>
      <c r="M164">
        <v>27.97</v>
      </c>
      <c r="N164">
        <v>29.05</v>
      </c>
    </row>
    <row r="165" spans="3:14" x14ac:dyDescent="0.15">
      <c r="C165" s="154" t="s">
        <v>1113</v>
      </c>
      <c r="D165" t="s">
        <v>5</v>
      </c>
      <c r="E165" t="s">
        <v>11</v>
      </c>
      <c r="F165" t="s">
        <v>6</v>
      </c>
      <c r="G165" t="s">
        <v>1106</v>
      </c>
      <c r="H165" t="s">
        <v>60</v>
      </c>
      <c r="I165">
        <v>69.2</v>
      </c>
      <c r="J165">
        <v>68.53</v>
      </c>
      <c r="K165">
        <v>69.52</v>
      </c>
      <c r="L165">
        <v>26.16</v>
      </c>
      <c r="M165">
        <v>26.37</v>
      </c>
      <c r="N165">
        <v>27.45</v>
      </c>
    </row>
    <row r="166" spans="3:14" x14ac:dyDescent="0.15">
      <c r="C166" s="154" t="s">
        <v>1113</v>
      </c>
      <c r="D166" t="s">
        <v>5</v>
      </c>
      <c r="E166" t="s">
        <v>11</v>
      </c>
      <c r="F166" t="s">
        <v>6</v>
      </c>
      <c r="G166" t="s">
        <v>1106</v>
      </c>
      <c r="H166" t="s">
        <v>648</v>
      </c>
      <c r="I166">
        <v>68.150000000000006</v>
      </c>
      <c r="J166">
        <v>67.48</v>
      </c>
      <c r="K166">
        <v>68.47</v>
      </c>
      <c r="L166">
        <v>25.11</v>
      </c>
      <c r="M166">
        <v>25.32</v>
      </c>
      <c r="N166">
        <v>26.4</v>
      </c>
    </row>
    <row r="167" spans="3:14" x14ac:dyDescent="0.15">
      <c r="C167" s="154" t="s">
        <v>1114</v>
      </c>
      <c r="D167" t="s">
        <v>5</v>
      </c>
      <c r="E167" t="s">
        <v>11</v>
      </c>
      <c r="F167" t="s">
        <v>6</v>
      </c>
      <c r="G167" t="s">
        <v>1106</v>
      </c>
      <c r="H167" t="s">
        <v>59</v>
      </c>
      <c r="I167">
        <v>70.760000000000005</v>
      </c>
      <c r="J167">
        <v>71.23</v>
      </c>
      <c r="K167">
        <v>71.489999999999995</v>
      </c>
      <c r="L167">
        <v>27.98</v>
      </c>
      <c r="M167">
        <v>29.05</v>
      </c>
      <c r="N167">
        <v>29.65</v>
      </c>
    </row>
    <row r="168" spans="3:14" x14ac:dyDescent="0.15">
      <c r="C168" s="154" t="s">
        <v>1114</v>
      </c>
      <c r="D168" t="s">
        <v>5</v>
      </c>
      <c r="E168" t="s">
        <v>11</v>
      </c>
      <c r="F168" t="s">
        <v>6</v>
      </c>
      <c r="G168" t="s">
        <v>1106</v>
      </c>
      <c r="H168" t="s">
        <v>60</v>
      </c>
      <c r="I168">
        <v>69.16</v>
      </c>
      <c r="J168">
        <v>69.63</v>
      </c>
      <c r="K168">
        <v>69.89</v>
      </c>
      <c r="L168">
        <v>26.38</v>
      </c>
      <c r="M168">
        <v>27.45</v>
      </c>
      <c r="N168">
        <v>28.05</v>
      </c>
    </row>
    <row r="169" spans="3:14" x14ac:dyDescent="0.15">
      <c r="C169" s="154" t="s">
        <v>1114</v>
      </c>
      <c r="D169" t="s">
        <v>5</v>
      </c>
      <c r="E169" t="s">
        <v>11</v>
      </c>
      <c r="F169" t="s">
        <v>6</v>
      </c>
      <c r="G169" t="s">
        <v>1106</v>
      </c>
      <c r="H169" t="s">
        <v>648</v>
      </c>
      <c r="I169">
        <v>68.11</v>
      </c>
      <c r="J169">
        <v>68.58</v>
      </c>
      <c r="K169">
        <v>68.84</v>
      </c>
      <c r="L169">
        <v>25.33</v>
      </c>
      <c r="M169">
        <v>26.4</v>
      </c>
      <c r="N169">
        <v>27</v>
      </c>
    </row>
    <row r="170" spans="3:14" x14ac:dyDescent="0.15">
      <c r="C170" s="154" t="s">
        <v>1115</v>
      </c>
      <c r="D170" t="s">
        <v>5</v>
      </c>
      <c r="E170" t="s">
        <v>11</v>
      </c>
      <c r="F170" t="s">
        <v>6</v>
      </c>
      <c r="G170" t="s">
        <v>1106</v>
      </c>
      <c r="H170" t="s">
        <v>59</v>
      </c>
      <c r="I170">
        <v>70.849999999999994</v>
      </c>
      <c r="J170">
        <v>72.11</v>
      </c>
      <c r="K170">
        <v>71.83</v>
      </c>
      <c r="L170">
        <v>28.33</v>
      </c>
      <c r="M170">
        <v>29.95</v>
      </c>
      <c r="N170">
        <v>30.22</v>
      </c>
    </row>
    <row r="171" spans="3:14" x14ac:dyDescent="0.15">
      <c r="C171" s="154" t="s">
        <v>1115</v>
      </c>
      <c r="D171" t="s">
        <v>5</v>
      </c>
      <c r="E171" t="s">
        <v>11</v>
      </c>
      <c r="F171" t="s">
        <v>6</v>
      </c>
      <c r="G171" t="s">
        <v>1106</v>
      </c>
      <c r="H171" t="s">
        <v>60</v>
      </c>
      <c r="I171">
        <v>69.25</v>
      </c>
      <c r="J171">
        <v>70.510000000000005</v>
      </c>
      <c r="K171">
        <v>70.23</v>
      </c>
      <c r="L171">
        <v>26.73</v>
      </c>
      <c r="M171">
        <v>28.35</v>
      </c>
      <c r="N171">
        <v>28.62</v>
      </c>
    </row>
    <row r="172" spans="3:14" x14ac:dyDescent="0.15">
      <c r="C172" s="154" t="s">
        <v>1115</v>
      </c>
      <c r="D172" t="s">
        <v>5</v>
      </c>
      <c r="E172" t="s">
        <v>11</v>
      </c>
      <c r="F172" t="s">
        <v>6</v>
      </c>
      <c r="G172" t="s">
        <v>1106</v>
      </c>
      <c r="H172" t="s">
        <v>648</v>
      </c>
      <c r="I172">
        <v>68.2</v>
      </c>
      <c r="J172">
        <v>69.459999999999994</v>
      </c>
      <c r="K172">
        <v>69.180000000000007</v>
      </c>
      <c r="L172">
        <v>25.68</v>
      </c>
      <c r="M172">
        <v>27.3</v>
      </c>
      <c r="N172">
        <v>27.57</v>
      </c>
    </row>
    <row r="173" spans="3:14" x14ac:dyDescent="0.15">
      <c r="C173" s="154" t="s">
        <v>1117</v>
      </c>
      <c r="D173" t="s">
        <v>5</v>
      </c>
      <c r="E173" t="s">
        <v>11</v>
      </c>
      <c r="F173" t="s">
        <v>6</v>
      </c>
      <c r="G173" t="s">
        <v>1106</v>
      </c>
      <c r="H173" t="s">
        <v>59</v>
      </c>
      <c r="I173">
        <v>70.78</v>
      </c>
      <c r="J173">
        <v>72.349999999999994</v>
      </c>
      <c r="K173">
        <v>72.13</v>
      </c>
      <c r="L173">
        <v>28.41</v>
      </c>
      <c r="M173">
        <v>30.2</v>
      </c>
      <c r="N173">
        <v>30.68</v>
      </c>
    </row>
    <row r="174" spans="3:14" x14ac:dyDescent="0.15">
      <c r="C174" s="154" t="s">
        <v>1117</v>
      </c>
      <c r="D174" t="s">
        <v>5</v>
      </c>
      <c r="E174" t="s">
        <v>11</v>
      </c>
      <c r="F174" t="s">
        <v>6</v>
      </c>
      <c r="G174" t="s">
        <v>1106</v>
      </c>
      <c r="H174" t="s">
        <v>60</v>
      </c>
      <c r="I174">
        <v>69.180000000000007</v>
      </c>
      <c r="J174">
        <v>70.75</v>
      </c>
      <c r="K174">
        <v>70.53</v>
      </c>
      <c r="L174">
        <v>26.81</v>
      </c>
      <c r="M174">
        <v>28.6</v>
      </c>
      <c r="N174">
        <v>29.08</v>
      </c>
    </row>
    <row r="175" spans="3:14" x14ac:dyDescent="0.15">
      <c r="C175" s="154" t="s">
        <v>1117</v>
      </c>
      <c r="D175" t="s">
        <v>5</v>
      </c>
      <c r="E175" t="s">
        <v>11</v>
      </c>
      <c r="F175" t="s">
        <v>6</v>
      </c>
      <c r="G175" t="s">
        <v>1106</v>
      </c>
      <c r="H175" t="s">
        <v>648</v>
      </c>
      <c r="I175">
        <v>68.13</v>
      </c>
      <c r="J175">
        <v>69.7</v>
      </c>
      <c r="K175">
        <v>69.48</v>
      </c>
      <c r="L175">
        <v>25.76</v>
      </c>
      <c r="M175">
        <v>27.55</v>
      </c>
      <c r="N175">
        <v>28.03</v>
      </c>
    </row>
    <row r="176" spans="3:14" x14ac:dyDescent="0.15">
      <c r="C176" s="154" t="s">
        <v>1118</v>
      </c>
      <c r="D176" t="s">
        <v>5</v>
      </c>
      <c r="E176" t="s">
        <v>11</v>
      </c>
      <c r="F176" t="s">
        <v>6</v>
      </c>
      <c r="G176" t="s">
        <v>1106</v>
      </c>
      <c r="H176" t="s">
        <v>59</v>
      </c>
      <c r="I176">
        <v>70.569999999999993</v>
      </c>
      <c r="J176">
        <v>72.31</v>
      </c>
      <c r="K176">
        <v>72.39</v>
      </c>
      <c r="L176">
        <v>28.32</v>
      </c>
      <c r="M176">
        <v>30.13</v>
      </c>
      <c r="N176">
        <v>31.11</v>
      </c>
    </row>
    <row r="177" spans="3:14" x14ac:dyDescent="0.15">
      <c r="C177" s="154" t="s">
        <v>1118</v>
      </c>
      <c r="D177" t="s">
        <v>5</v>
      </c>
      <c r="E177" t="s">
        <v>11</v>
      </c>
      <c r="F177" t="s">
        <v>6</v>
      </c>
      <c r="G177" t="s">
        <v>1106</v>
      </c>
      <c r="H177" t="s">
        <v>60</v>
      </c>
      <c r="I177">
        <v>68.97</v>
      </c>
      <c r="J177">
        <v>70.709999999999994</v>
      </c>
      <c r="K177">
        <v>70.790000000000006</v>
      </c>
      <c r="L177">
        <v>26.72</v>
      </c>
      <c r="M177">
        <v>28.53</v>
      </c>
      <c r="N177">
        <v>29.51</v>
      </c>
    </row>
    <row r="178" spans="3:14" x14ac:dyDescent="0.15">
      <c r="C178" s="154" t="s">
        <v>1118</v>
      </c>
      <c r="D178" t="s">
        <v>5</v>
      </c>
      <c r="E178" t="s">
        <v>11</v>
      </c>
      <c r="F178" t="s">
        <v>6</v>
      </c>
      <c r="G178" t="s">
        <v>1106</v>
      </c>
      <c r="H178" t="s">
        <v>648</v>
      </c>
      <c r="I178">
        <v>67.92</v>
      </c>
      <c r="J178">
        <v>69.66</v>
      </c>
      <c r="K178">
        <v>69.739999999999995</v>
      </c>
      <c r="L178">
        <v>25.67</v>
      </c>
      <c r="M178">
        <v>27.48</v>
      </c>
      <c r="N178">
        <v>28.46</v>
      </c>
    </row>
    <row r="179" spans="3:14" x14ac:dyDescent="0.15">
      <c r="C179" s="154" t="s">
        <v>1119</v>
      </c>
      <c r="D179" t="s">
        <v>5</v>
      </c>
      <c r="E179" t="s">
        <v>11</v>
      </c>
      <c r="F179" t="s">
        <v>6</v>
      </c>
      <c r="G179" t="s">
        <v>1106</v>
      </c>
      <c r="H179" t="s">
        <v>59</v>
      </c>
      <c r="I179">
        <v>70.48</v>
      </c>
      <c r="J179">
        <v>72.239999999999995</v>
      </c>
      <c r="K179">
        <v>72.69</v>
      </c>
      <c r="L179">
        <v>28.45</v>
      </c>
      <c r="M179">
        <v>30.05</v>
      </c>
      <c r="N179">
        <v>31.5</v>
      </c>
    </row>
    <row r="180" spans="3:14" x14ac:dyDescent="0.15">
      <c r="C180" s="154" t="s">
        <v>1119</v>
      </c>
      <c r="D180" t="s">
        <v>5</v>
      </c>
      <c r="E180" t="s">
        <v>11</v>
      </c>
      <c r="F180" t="s">
        <v>6</v>
      </c>
      <c r="G180" t="s">
        <v>1106</v>
      </c>
      <c r="H180" t="s">
        <v>60</v>
      </c>
      <c r="I180">
        <v>68.88</v>
      </c>
      <c r="J180">
        <v>70.64</v>
      </c>
      <c r="K180">
        <v>71.09</v>
      </c>
      <c r="L180">
        <v>26.85</v>
      </c>
      <c r="M180">
        <v>28.45</v>
      </c>
      <c r="N180">
        <v>29.9</v>
      </c>
    </row>
    <row r="181" spans="3:14" x14ac:dyDescent="0.15">
      <c r="C181" s="154" t="s">
        <v>1119</v>
      </c>
      <c r="D181" t="s">
        <v>5</v>
      </c>
      <c r="E181" t="s">
        <v>11</v>
      </c>
      <c r="F181" t="s">
        <v>6</v>
      </c>
      <c r="G181" t="s">
        <v>1106</v>
      </c>
      <c r="H181" t="s">
        <v>648</v>
      </c>
      <c r="I181">
        <v>67.83</v>
      </c>
      <c r="J181">
        <v>69.59</v>
      </c>
      <c r="K181">
        <v>70.040000000000006</v>
      </c>
      <c r="L181">
        <v>25.8</v>
      </c>
      <c r="M181">
        <v>27.4</v>
      </c>
      <c r="N181">
        <v>28.85</v>
      </c>
    </row>
    <row r="182" spans="3:14" x14ac:dyDescent="0.15">
      <c r="C182" s="154" t="s">
        <v>1107</v>
      </c>
      <c r="D182" t="s">
        <v>5</v>
      </c>
      <c r="E182" t="s">
        <v>10</v>
      </c>
      <c r="F182" t="s">
        <v>7</v>
      </c>
      <c r="G182" t="s">
        <v>123</v>
      </c>
      <c r="H182" t="s">
        <v>59</v>
      </c>
      <c r="I182">
        <v>69.16</v>
      </c>
      <c r="J182">
        <v>69.61</v>
      </c>
      <c r="K182">
        <v>69.08</v>
      </c>
      <c r="L182">
        <v>29.35</v>
      </c>
      <c r="M182">
        <v>29.45</v>
      </c>
      <c r="N182">
        <v>29.42</v>
      </c>
    </row>
    <row r="183" spans="3:14" x14ac:dyDescent="0.15">
      <c r="C183" s="154" t="s">
        <v>1107</v>
      </c>
      <c r="D183" t="s">
        <v>5</v>
      </c>
      <c r="E183" t="s">
        <v>10</v>
      </c>
      <c r="F183" t="s">
        <v>7</v>
      </c>
      <c r="G183" t="s">
        <v>123</v>
      </c>
      <c r="H183" t="s">
        <v>60</v>
      </c>
      <c r="I183">
        <v>67.56</v>
      </c>
      <c r="J183">
        <v>68.010000000000005</v>
      </c>
      <c r="K183">
        <v>67.48</v>
      </c>
      <c r="L183">
        <v>27.75</v>
      </c>
      <c r="M183">
        <v>27.85</v>
      </c>
      <c r="N183">
        <v>27.82</v>
      </c>
    </row>
    <row r="184" spans="3:14" x14ac:dyDescent="0.15">
      <c r="C184" s="154" t="s">
        <v>1107</v>
      </c>
      <c r="D184" t="s">
        <v>5</v>
      </c>
      <c r="E184" t="s">
        <v>10</v>
      </c>
      <c r="F184" t="s">
        <v>7</v>
      </c>
      <c r="G184" t="s">
        <v>123</v>
      </c>
      <c r="H184" t="s">
        <v>648</v>
      </c>
      <c r="I184">
        <v>66.510000000000005</v>
      </c>
      <c r="J184">
        <v>66.959999999999994</v>
      </c>
      <c r="K184">
        <v>66.430000000000007</v>
      </c>
      <c r="L184">
        <v>26.7</v>
      </c>
      <c r="M184">
        <v>26.8</v>
      </c>
      <c r="N184">
        <v>26.77</v>
      </c>
    </row>
    <row r="185" spans="3:14" x14ac:dyDescent="0.15">
      <c r="C185" s="154" t="s">
        <v>1108</v>
      </c>
      <c r="D185" t="s">
        <v>5</v>
      </c>
      <c r="E185" t="s">
        <v>10</v>
      </c>
      <c r="F185" t="s">
        <v>7</v>
      </c>
      <c r="G185" t="s">
        <v>123</v>
      </c>
      <c r="H185" t="s">
        <v>59</v>
      </c>
      <c r="I185">
        <v>69.59</v>
      </c>
      <c r="J185">
        <v>69.349999999999994</v>
      </c>
      <c r="K185">
        <v>69.239999999999995</v>
      </c>
      <c r="L185">
        <v>29.37</v>
      </c>
      <c r="M185">
        <v>29.35</v>
      </c>
      <c r="N185">
        <v>29.44</v>
      </c>
    </row>
    <row r="186" spans="3:14" x14ac:dyDescent="0.15">
      <c r="C186" s="154" t="s">
        <v>1108</v>
      </c>
      <c r="D186" t="s">
        <v>5</v>
      </c>
      <c r="E186" t="s">
        <v>10</v>
      </c>
      <c r="F186" t="s">
        <v>7</v>
      </c>
      <c r="G186" t="s">
        <v>123</v>
      </c>
      <c r="H186" t="s">
        <v>60</v>
      </c>
      <c r="I186">
        <v>67.989999999999995</v>
      </c>
      <c r="J186">
        <v>67.75</v>
      </c>
      <c r="K186">
        <v>67.64</v>
      </c>
      <c r="L186">
        <v>27.77</v>
      </c>
      <c r="M186">
        <v>27.75</v>
      </c>
      <c r="N186">
        <v>27.84</v>
      </c>
    </row>
    <row r="187" spans="3:14" x14ac:dyDescent="0.15">
      <c r="C187" s="154" t="s">
        <v>1108</v>
      </c>
      <c r="D187" t="s">
        <v>5</v>
      </c>
      <c r="E187" t="s">
        <v>10</v>
      </c>
      <c r="F187" t="s">
        <v>7</v>
      </c>
      <c r="G187" t="s">
        <v>123</v>
      </c>
      <c r="H187" t="s">
        <v>648</v>
      </c>
      <c r="I187">
        <v>66.94</v>
      </c>
      <c r="J187">
        <v>66.7</v>
      </c>
      <c r="K187">
        <v>66.59</v>
      </c>
      <c r="L187">
        <v>26.72</v>
      </c>
      <c r="M187">
        <v>26.7</v>
      </c>
      <c r="N187">
        <v>26.79</v>
      </c>
    </row>
    <row r="188" spans="3:14" x14ac:dyDescent="0.15">
      <c r="C188" s="154" t="s">
        <v>1109</v>
      </c>
      <c r="D188" t="s">
        <v>5</v>
      </c>
      <c r="E188" t="s">
        <v>10</v>
      </c>
      <c r="F188" t="s">
        <v>7</v>
      </c>
      <c r="G188" t="s">
        <v>123</v>
      </c>
      <c r="H188" t="s">
        <v>59</v>
      </c>
      <c r="I188">
        <v>69.78</v>
      </c>
      <c r="J188">
        <v>69.040000000000006</v>
      </c>
      <c r="K188">
        <v>69.290000000000006</v>
      </c>
      <c r="L188">
        <v>29.38</v>
      </c>
      <c r="M188">
        <v>29.31</v>
      </c>
      <c r="N188">
        <v>29.46</v>
      </c>
    </row>
    <row r="189" spans="3:14" x14ac:dyDescent="0.15">
      <c r="C189" s="154" t="s">
        <v>1109</v>
      </c>
      <c r="D189" t="s">
        <v>5</v>
      </c>
      <c r="E189" t="s">
        <v>10</v>
      </c>
      <c r="F189" t="s">
        <v>7</v>
      </c>
      <c r="G189" t="s">
        <v>123</v>
      </c>
      <c r="H189" t="s">
        <v>60</v>
      </c>
      <c r="I189">
        <v>68.180000000000007</v>
      </c>
      <c r="J189">
        <v>67.44</v>
      </c>
      <c r="K189">
        <v>67.69</v>
      </c>
      <c r="L189">
        <v>27.78</v>
      </c>
      <c r="M189">
        <v>27.71</v>
      </c>
      <c r="N189">
        <v>27.86</v>
      </c>
    </row>
    <row r="190" spans="3:14" x14ac:dyDescent="0.15">
      <c r="C190" s="154" t="s">
        <v>1109</v>
      </c>
      <c r="D190" t="s">
        <v>5</v>
      </c>
      <c r="E190" t="s">
        <v>10</v>
      </c>
      <c r="F190" t="s">
        <v>7</v>
      </c>
      <c r="G190" t="s">
        <v>123</v>
      </c>
      <c r="H190" t="s">
        <v>648</v>
      </c>
      <c r="I190">
        <v>67.13</v>
      </c>
      <c r="J190">
        <v>66.39</v>
      </c>
      <c r="K190">
        <v>66.64</v>
      </c>
      <c r="L190">
        <v>26.73</v>
      </c>
      <c r="M190">
        <v>26.66</v>
      </c>
      <c r="N190">
        <v>26.81</v>
      </c>
    </row>
    <row r="191" spans="3:14" x14ac:dyDescent="0.15">
      <c r="C191" s="154" t="s">
        <v>1110</v>
      </c>
      <c r="D191" t="s">
        <v>5</v>
      </c>
      <c r="E191" t="s">
        <v>10</v>
      </c>
      <c r="F191" t="s">
        <v>7</v>
      </c>
      <c r="G191" t="s">
        <v>123</v>
      </c>
      <c r="H191" t="s">
        <v>59</v>
      </c>
      <c r="I191">
        <v>69.87</v>
      </c>
      <c r="J191">
        <v>68.83</v>
      </c>
      <c r="K191">
        <v>69.28</v>
      </c>
      <c r="L191">
        <v>29.4</v>
      </c>
      <c r="M191">
        <v>29.27</v>
      </c>
      <c r="N191">
        <v>29.46</v>
      </c>
    </row>
    <row r="192" spans="3:14" x14ac:dyDescent="0.15">
      <c r="C192" s="154" t="s">
        <v>1110</v>
      </c>
      <c r="D192" t="s">
        <v>5</v>
      </c>
      <c r="E192" t="s">
        <v>10</v>
      </c>
      <c r="F192" t="s">
        <v>7</v>
      </c>
      <c r="G192" t="s">
        <v>123</v>
      </c>
      <c r="H192" t="s">
        <v>60</v>
      </c>
      <c r="I192">
        <v>68.27</v>
      </c>
      <c r="J192">
        <v>67.23</v>
      </c>
      <c r="K192">
        <v>67.680000000000007</v>
      </c>
      <c r="L192">
        <v>27.8</v>
      </c>
      <c r="M192">
        <v>27.67</v>
      </c>
      <c r="N192">
        <v>27.86</v>
      </c>
    </row>
    <row r="193" spans="3:14" x14ac:dyDescent="0.15">
      <c r="C193" s="154" t="s">
        <v>1110</v>
      </c>
      <c r="D193" t="s">
        <v>5</v>
      </c>
      <c r="E193" t="s">
        <v>10</v>
      </c>
      <c r="F193" t="s">
        <v>7</v>
      </c>
      <c r="G193" t="s">
        <v>123</v>
      </c>
      <c r="H193" t="s">
        <v>648</v>
      </c>
      <c r="I193">
        <v>67.22</v>
      </c>
      <c r="J193">
        <v>66.180000000000007</v>
      </c>
      <c r="K193">
        <v>66.63</v>
      </c>
      <c r="L193">
        <v>26.75</v>
      </c>
      <c r="M193">
        <v>26.62</v>
      </c>
      <c r="N193">
        <v>26.81</v>
      </c>
    </row>
    <row r="194" spans="3:14" x14ac:dyDescent="0.15">
      <c r="C194" s="154" t="s">
        <v>1111</v>
      </c>
      <c r="D194" t="s">
        <v>5</v>
      </c>
      <c r="E194" t="s">
        <v>10</v>
      </c>
      <c r="F194" t="s">
        <v>7</v>
      </c>
      <c r="G194" t="s">
        <v>123</v>
      </c>
      <c r="H194" t="s">
        <v>59</v>
      </c>
      <c r="I194">
        <v>69.86</v>
      </c>
      <c r="J194">
        <v>68.650000000000006</v>
      </c>
      <c r="K194">
        <v>69.260000000000005</v>
      </c>
      <c r="L194">
        <v>29.38</v>
      </c>
      <c r="M194">
        <v>29.23</v>
      </c>
      <c r="N194">
        <v>29.45</v>
      </c>
    </row>
    <row r="195" spans="3:14" x14ac:dyDescent="0.15">
      <c r="C195" s="154" t="s">
        <v>1111</v>
      </c>
      <c r="D195" t="s">
        <v>5</v>
      </c>
      <c r="E195" t="s">
        <v>10</v>
      </c>
      <c r="F195" t="s">
        <v>7</v>
      </c>
      <c r="G195" t="s">
        <v>123</v>
      </c>
      <c r="H195" t="s">
        <v>60</v>
      </c>
      <c r="I195">
        <v>68.260000000000005</v>
      </c>
      <c r="J195">
        <v>67.05</v>
      </c>
      <c r="K195">
        <v>67.66</v>
      </c>
      <c r="L195">
        <v>27.78</v>
      </c>
      <c r="M195">
        <v>27.63</v>
      </c>
      <c r="N195">
        <v>27.85</v>
      </c>
    </row>
    <row r="196" spans="3:14" x14ac:dyDescent="0.15">
      <c r="C196" s="154" t="s">
        <v>1111</v>
      </c>
      <c r="D196" t="s">
        <v>5</v>
      </c>
      <c r="E196" t="s">
        <v>10</v>
      </c>
      <c r="F196" t="s">
        <v>7</v>
      </c>
      <c r="G196" t="s">
        <v>123</v>
      </c>
      <c r="H196" t="s">
        <v>648</v>
      </c>
      <c r="I196">
        <v>67.209999999999994</v>
      </c>
      <c r="J196">
        <v>66</v>
      </c>
      <c r="K196">
        <v>66.61</v>
      </c>
      <c r="L196">
        <v>26.73</v>
      </c>
      <c r="M196">
        <v>26.58</v>
      </c>
      <c r="N196">
        <v>26.8</v>
      </c>
    </row>
    <row r="197" spans="3:14" x14ac:dyDescent="0.15">
      <c r="C197" s="154" t="s">
        <v>1112</v>
      </c>
      <c r="D197" t="s">
        <v>5</v>
      </c>
      <c r="E197" t="s">
        <v>10</v>
      </c>
      <c r="F197" t="s">
        <v>7</v>
      </c>
      <c r="G197" t="s">
        <v>123</v>
      </c>
      <c r="H197" t="s">
        <v>59</v>
      </c>
      <c r="I197">
        <v>69.86</v>
      </c>
      <c r="J197">
        <v>68.61</v>
      </c>
      <c r="K197">
        <v>69.28</v>
      </c>
      <c r="L197">
        <v>29.41</v>
      </c>
      <c r="M197">
        <v>29.3</v>
      </c>
      <c r="N197">
        <v>29.55</v>
      </c>
    </row>
    <row r="198" spans="3:14" x14ac:dyDescent="0.15">
      <c r="C198" s="154" t="s">
        <v>1112</v>
      </c>
      <c r="D198" t="s">
        <v>5</v>
      </c>
      <c r="E198" t="s">
        <v>10</v>
      </c>
      <c r="F198" t="s">
        <v>7</v>
      </c>
      <c r="G198" t="s">
        <v>123</v>
      </c>
      <c r="H198" t="s">
        <v>60</v>
      </c>
      <c r="I198">
        <v>68.260000000000005</v>
      </c>
      <c r="J198">
        <v>67.010000000000005</v>
      </c>
      <c r="K198">
        <v>67.680000000000007</v>
      </c>
      <c r="L198">
        <v>27.81</v>
      </c>
      <c r="M198">
        <v>27.7</v>
      </c>
      <c r="N198">
        <v>27.95</v>
      </c>
    </row>
    <row r="199" spans="3:14" x14ac:dyDescent="0.15">
      <c r="C199" s="154" t="s">
        <v>1112</v>
      </c>
      <c r="D199" t="s">
        <v>5</v>
      </c>
      <c r="E199" t="s">
        <v>10</v>
      </c>
      <c r="F199" t="s">
        <v>7</v>
      </c>
      <c r="G199" t="s">
        <v>123</v>
      </c>
      <c r="H199" t="s">
        <v>648</v>
      </c>
      <c r="I199">
        <v>67.209999999999994</v>
      </c>
      <c r="J199">
        <v>65.959999999999994</v>
      </c>
      <c r="K199">
        <v>66.63</v>
      </c>
      <c r="L199">
        <v>26.76</v>
      </c>
      <c r="M199">
        <v>26.65</v>
      </c>
      <c r="N199">
        <v>26.9</v>
      </c>
    </row>
    <row r="200" spans="3:14" x14ac:dyDescent="0.15">
      <c r="C200" s="154" t="s">
        <v>1113</v>
      </c>
      <c r="D200" t="s">
        <v>5</v>
      </c>
      <c r="E200" t="s">
        <v>10</v>
      </c>
      <c r="F200" t="s">
        <v>7</v>
      </c>
      <c r="G200" t="s">
        <v>123</v>
      </c>
      <c r="H200" t="s">
        <v>59</v>
      </c>
      <c r="I200">
        <v>69.760000000000005</v>
      </c>
      <c r="J200">
        <v>68.989999999999995</v>
      </c>
      <c r="K200">
        <v>69.33</v>
      </c>
      <c r="L200">
        <v>29.44</v>
      </c>
      <c r="M200">
        <v>29.4</v>
      </c>
      <c r="N200">
        <v>29.64</v>
      </c>
    </row>
    <row r="201" spans="3:14" x14ac:dyDescent="0.15">
      <c r="C201" s="154" t="s">
        <v>1113</v>
      </c>
      <c r="D201" t="s">
        <v>5</v>
      </c>
      <c r="E201" t="s">
        <v>10</v>
      </c>
      <c r="F201" t="s">
        <v>7</v>
      </c>
      <c r="G201" t="s">
        <v>123</v>
      </c>
      <c r="H201" t="s">
        <v>60</v>
      </c>
      <c r="I201">
        <v>68.16</v>
      </c>
      <c r="J201">
        <v>67.39</v>
      </c>
      <c r="K201">
        <v>67.73</v>
      </c>
      <c r="L201">
        <v>27.84</v>
      </c>
      <c r="M201">
        <v>27.8</v>
      </c>
      <c r="N201">
        <v>28.04</v>
      </c>
    </row>
    <row r="202" spans="3:14" x14ac:dyDescent="0.15">
      <c r="C202" s="154" t="s">
        <v>1113</v>
      </c>
      <c r="D202" t="s">
        <v>5</v>
      </c>
      <c r="E202" t="s">
        <v>10</v>
      </c>
      <c r="F202" t="s">
        <v>7</v>
      </c>
      <c r="G202" t="s">
        <v>123</v>
      </c>
      <c r="H202" t="s">
        <v>648</v>
      </c>
      <c r="I202">
        <v>67.11</v>
      </c>
      <c r="J202">
        <v>66.34</v>
      </c>
      <c r="K202">
        <v>66.680000000000007</v>
      </c>
      <c r="L202">
        <v>26.79</v>
      </c>
      <c r="M202">
        <v>26.75</v>
      </c>
      <c r="N202">
        <v>26.99</v>
      </c>
    </row>
    <row r="203" spans="3:14" x14ac:dyDescent="0.15">
      <c r="C203" s="154" t="s">
        <v>1114</v>
      </c>
      <c r="D203" t="s">
        <v>5</v>
      </c>
      <c r="E203" t="s">
        <v>10</v>
      </c>
      <c r="F203" t="s">
        <v>7</v>
      </c>
      <c r="G203" t="s">
        <v>123</v>
      </c>
      <c r="H203" t="s">
        <v>59</v>
      </c>
      <c r="I203">
        <v>69.62</v>
      </c>
      <c r="J203">
        <v>69.37</v>
      </c>
      <c r="K203">
        <v>69.319999999999993</v>
      </c>
      <c r="L203">
        <v>29.45</v>
      </c>
      <c r="M203">
        <v>29.53</v>
      </c>
      <c r="N203">
        <v>29.73</v>
      </c>
    </row>
    <row r="204" spans="3:14" x14ac:dyDescent="0.15">
      <c r="C204" s="154" t="s">
        <v>1114</v>
      </c>
      <c r="D204" t="s">
        <v>5</v>
      </c>
      <c r="E204" t="s">
        <v>10</v>
      </c>
      <c r="F204" t="s">
        <v>7</v>
      </c>
      <c r="G204" t="s">
        <v>123</v>
      </c>
      <c r="H204" t="s">
        <v>60</v>
      </c>
      <c r="I204">
        <v>68.02</v>
      </c>
      <c r="J204">
        <v>67.77</v>
      </c>
      <c r="K204">
        <v>67.72</v>
      </c>
      <c r="L204">
        <v>27.85</v>
      </c>
      <c r="M204">
        <v>27.93</v>
      </c>
      <c r="N204">
        <v>28.13</v>
      </c>
    </row>
    <row r="205" spans="3:14" x14ac:dyDescent="0.15">
      <c r="C205" s="154" t="s">
        <v>1114</v>
      </c>
      <c r="D205" t="s">
        <v>5</v>
      </c>
      <c r="E205" t="s">
        <v>10</v>
      </c>
      <c r="F205" t="s">
        <v>7</v>
      </c>
      <c r="G205" t="s">
        <v>123</v>
      </c>
      <c r="H205" t="s">
        <v>648</v>
      </c>
      <c r="I205">
        <v>66.97</v>
      </c>
      <c r="J205">
        <v>66.72</v>
      </c>
      <c r="K205">
        <v>66.67</v>
      </c>
      <c r="L205">
        <v>26.8</v>
      </c>
      <c r="M205">
        <v>26.88</v>
      </c>
      <c r="N205">
        <v>27.08</v>
      </c>
    </row>
    <row r="206" spans="3:14" x14ac:dyDescent="0.15">
      <c r="C206" s="154" t="s">
        <v>1115</v>
      </c>
      <c r="D206" t="s">
        <v>5</v>
      </c>
      <c r="E206" t="s">
        <v>10</v>
      </c>
      <c r="F206" t="s">
        <v>7</v>
      </c>
      <c r="G206" t="s">
        <v>123</v>
      </c>
      <c r="H206" t="s">
        <v>59</v>
      </c>
      <c r="I206">
        <v>69.55</v>
      </c>
      <c r="J206">
        <v>69.709999999999994</v>
      </c>
      <c r="K206">
        <v>69.31</v>
      </c>
      <c r="L206">
        <v>29.47</v>
      </c>
      <c r="M206">
        <v>29.62</v>
      </c>
      <c r="N206">
        <v>29.83</v>
      </c>
    </row>
    <row r="207" spans="3:14" x14ac:dyDescent="0.15">
      <c r="C207" s="154" t="s">
        <v>1115</v>
      </c>
      <c r="D207" t="s">
        <v>5</v>
      </c>
      <c r="E207" t="s">
        <v>10</v>
      </c>
      <c r="F207" t="s">
        <v>7</v>
      </c>
      <c r="G207" t="s">
        <v>123</v>
      </c>
      <c r="H207" t="s">
        <v>60</v>
      </c>
      <c r="I207">
        <v>67.95</v>
      </c>
      <c r="J207">
        <v>68.11</v>
      </c>
      <c r="K207">
        <v>67.709999999999994</v>
      </c>
      <c r="L207">
        <v>27.87</v>
      </c>
      <c r="M207">
        <v>28.02</v>
      </c>
      <c r="N207">
        <v>28.23</v>
      </c>
    </row>
    <row r="208" spans="3:14" x14ac:dyDescent="0.15">
      <c r="C208" s="154" t="s">
        <v>1115</v>
      </c>
      <c r="D208" t="s">
        <v>5</v>
      </c>
      <c r="E208" t="s">
        <v>10</v>
      </c>
      <c r="F208" t="s">
        <v>7</v>
      </c>
      <c r="G208" t="s">
        <v>123</v>
      </c>
      <c r="H208" t="s">
        <v>648</v>
      </c>
      <c r="I208">
        <v>66.900000000000006</v>
      </c>
      <c r="J208">
        <v>67.06</v>
      </c>
      <c r="K208">
        <v>66.66</v>
      </c>
      <c r="L208">
        <v>26.82</v>
      </c>
      <c r="M208">
        <v>26.97</v>
      </c>
      <c r="N208">
        <v>27.18</v>
      </c>
    </row>
    <row r="209" spans="3:14" x14ac:dyDescent="0.15">
      <c r="C209" s="154" t="s">
        <v>1117</v>
      </c>
      <c r="D209" t="s">
        <v>5</v>
      </c>
      <c r="E209" t="s">
        <v>10</v>
      </c>
      <c r="F209" t="s">
        <v>7</v>
      </c>
      <c r="G209" t="s">
        <v>123</v>
      </c>
      <c r="H209" t="s">
        <v>59</v>
      </c>
      <c r="I209">
        <v>69.430000000000007</v>
      </c>
      <c r="J209">
        <v>69.84</v>
      </c>
      <c r="K209">
        <v>69.28</v>
      </c>
      <c r="L209">
        <v>29.46</v>
      </c>
      <c r="M209">
        <v>29.66</v>
      </c>
      <c r="N209">
        <v>29.9</v>
      </c>
    </row>
    <row r="210" spans="3:14" x14ac:dyDescent="0.15">
      <c r="C210" s="154" t="s">
        <v>1117</v>
      </c>
      <c r="D210" t="s">
        <v>5</v>
      </c>
      <c r="E210" t="s">
        <v>10</v>
      </c>
      <c r="F210" t="s">
        <v>7</v>
      </c>
      <c r="G210" t="s">
        <v>123</v>
      </c>
      <c r="H210" t="s">
        <v>60</v>
      </c>
      <c r="I210">
        <v>67.83</v>
      </c>
      <c r="J210">
        <v>68.239999999999995</v>
      </c>
      <c r="K210">
        <v>67.680000000000007</v>
      </c>
      <c r="L210">
        <v>27.86</v>
      </c>
      <c r="M210">
        <v>28.06</v>
      </c>
      <c r="N210">
        <v>28.3</v>
      </c>
    </row>
    <row r="211" spans="3:14" x14ac:dyDescent="0.15">
      <c r="C211" s="154" t="s">
        <v>1117</v>
      </c>
      <c r="D211" t="s">
        <v>5</v>
      </c>
      <c r="E211" t="s">
        <v>10</v>
      </c>
      <c r="F211" t="s">
        <v>7</v>
      </c>
      <c r="G211" t="s">
        <v>123</v>
      </c>
      <c r="H211" t="s">
        <v>648</v>
      </c>
      <c r="I211">
        <v>66.78</v>
      </c>
      <c r="J211">
        <v>67.19</v>
      </c>
      <c r="K211">
        <v>66.63</v>
      </c>
      <c r="L211">
        <v>26.81</v>
      </c>
      <c r="M211">
        <v>27.01</v>
      </c>
      <c r="N211">
        <v>27.25</v>
      </c>
    </row>
    <row r="212" spans="3:14" x14ac:dyDescent="0.15">
      <c r="C212" s="154" t="s">
        <v>1118</v>
      </c>
      <c r="D212" t="s">
        <v>5</v>
      </c>
      <c r="E212" t="s">
        <v>10</v>
      </c>
      <c r="F212" t="s">
        <v>7</v>
      </c>
      <c r="G212" t="s">
        <v>123</v>
      </c>
      <c r="H212" t="s">
        <v>59</v>
      </c>
      <c r="I212">
        <v>69.28</v>
      </c>
      <c r="J212">
        <v>69.89</v>
      </c>
      <c r="K212">
        <v>69.260000000000005</v>
      </c>
      <c r="L212">
        <v>29.46</v>
      </c>
      <c r="M212">
        <v>29.68</v>
      </c>
      <c r="N212">
        <v>29.97</v>
      </c>
    </row>
    <row r="213" spans="3:14" x14ac:dyDescent="0.15">
      <c r="C213" s="154" t="s">
        <v>1118</v>
      </c>
      <c r="D213" t="s">
        <v>5</v>
      </c>
      <c r="E213" t="s">
        <v>10</v>
      </c>
      <c r="F213" t="s">
        <v>7</v>
      </c>
      <c r="G213" t="s">
        <v>123</v>
      </c>
      <c r="H213" t="s">
        <v>60</v>
      </c>
      <c r="I213">
        <v>67.680000000000007</v>
      </c>
      <c r="J213">
        <v>68.290000000000006</v>
      </c>
      <c r="K213">
        <v>67.66</v>
      </c>
      <c r="L213">
        <v>27.86</v>
      </c>
      <c r="M213">
        <v>28.08</v>
      </c>
      <c r="N213">
        <v>28.37</v>
      </c>
    </row>
    <row r="214" spans="3:14" x14ac:dyDescent="0.15">
      <c r="C214" s="154" t="s">
        <v>1118</v>
      </c>
      <c r="D214" t="s">
        <v>5</v>
      </c>
      <c r="E214" t="s">
        <v>10</v>
      </c>
      <c r="F214" t="s">
        <v>7</v>
      </c>
      <c r="G214" t="s">
        <v>123</v>
      </c>
      <c r="H214" t="s">
        <v>648</v>
      </c>
      <c r="I214">
        <v>66.63</v>
      </c>
      <c r="J214">
        <v>67.239999999999995</v>
      </c>
      <c r="K214">
        <v>66.61</v>
      </c>
      <c r="L214">
        <v>26.81</v>
      </c>
      <c r="M214">
        <v>27.03</v>
      </c>
      <c r="N214">
        <v>27.32</v>
      </c>
    </row>
    <row r="215" spans="3:14" x14ac:dyDescent="0.15">
      <c r="C215" s="154" t="s">
        <v>1119</v>
      </c>
      <c r="D215" t="s">
        <v>5</v>
      </c>
      <c r="E215" t="s">
        <v>10</v>
      </c>
      <c r="F215" t="s">
        <v>7</v>
      </c>
      <c r="G215" t="s">
        <v>123</v>
      </c>
      <c r="H215" t="s">
        <v>59</v>
      </c>
      <c r="I215">
        <v>69.14</v>
      </c>
      <c r="J215">
        <v>69.86</v>
      </c>
      <c r="K215">
        <v>69.290000000000006</v>
      </c>
      <c r="L215">
        <v>29.49</v>
      </c>
      <c r="M215">
        <v>29.76</v>
      </c>
      <c r="N215">
        <v>30.07</v>
      </c>
    </row>
    <row r="216" spans="3:14" x14ac:dyDescent="0.15">
      <c r="C216" s="154" t="s">
        <v>1119</v>
      </c>
      <c r="D216" t="s">
        <v>5</v>
      </c>
      <c r="E216" t="s">
        <v>10</v>
      </c>
      <c r="F216" t="s">
        <v>7</v>
      </c>
      <c r="G216" t="s">
        <v>123</v>
      </c>
      <c r="H216" t="s">
        <v>60</v>
      </c>
      <c r="I216">
        <v>67.540000000000006</v>
      </c>
      <c r="J216">
        <v>68.260000000000005</v>
      </c>
      <c r="K216">
        <v>67.69</v>
      </c>
      <c r="L216">
        <v>27.89</v>
      </c>
      <c r="M216">
        <v>28.16</v>
      </c>
      <c r="N216">
        <v>28.47</v>
      </c>
    </row>
    <row r="217" spans="3:14" x14ac:dyDescent="0.15">
      <c r="C217" s="154" t="s">
        <v>1119</v>
      </c>
      <c r="D217" t="s">
        <v>5</v>
      </c>
      <c r="E217" t="s">
        <v>10</v>
      </c>
      <c r="F217" t="s">
        <v>7</v>
      </c>
      <c r="G217" t="s">
        <v>123</v>
      </c>
      <c r="H217" t="s">
        <v>648</v>
      </c>
      <c r="I217">
        <v>66.489999999999995</v>
      </c>
      <c r="J217">
        <v>67.209999999999994</v>
      </c>
      <c r="K217">
        <v>66.64</v>
      </c>
      <c r="L217">
        <v>26.84</v>
      </c>
      <c r="M217">
        <v>27.11</v>
      </c>
      <c r="N217">
        <v>27.42</v>
      </c>
    </row>
    <row r="218" spans="3:14" x14ac:dyDescent="0.15">
      <c r="C218" s="154" t="s">
        <v>1107</v>
      </c>
      <c r="D218" t="s">
        <v>5</v>
      </c>
      <c r="E218" t="s">
        <v>10</v>
      </c>
      <c r="F218" t="s">
        <v>8</v>
      </c>
      <c r="G218" t="s">
        <v>120</v>
      </c>
      <c r="H218" t="s">
        <v>59</v>
      </c>
      <c r="I218">
        <v>70.34</v>
      </c>
      <c r="J218">
        <v>70.849999999999994</v>
      </c>
      <c r="K218">
        <v>70.25</v>
      </c>
      <c r="L218">
        <v>30.47</v>
      </c>
      <c r="M218">
        <v>30.59</v>
      </c>
      <c r="N218">
        <v>30.53</v>
      </c>
    </row>
    <row r="219" spans="3:14" x14ac:dyDescent="0.15">
      <c r="C219" s="154" t="s">
        <v>1107</v>
      </c>
      <c r="D219" t="s">
        <v>5</v>
      </c>
      <c r="E219" t="s">
        <v>10</v>
      </c>
      <c r="F219" t="s">
        <v>8</v>
      </c>
      <c r="G219" t="s">
        <v>120</v>
      </c>
      <c r="H219" t="s">
        <v>60</v>
      </c>
      <c r="I219">
        <v>68.739999999999995</v>
      </c>
      <c r="J219">
        <v>69.25</v>
      </c>
      <c r="K219">
        <v>68.650000000000006</v>
      </c>
      <c r="L219">
        <v>28.87</v>
      </c>
      <c r="M219">
        <v>28.99</v>
      </c>
      <c r="N219">
        <v>28.93</v>
      </c>
    </row>
    <row r="220" spans="3:14" x14ac:dyDescent="0.15">
      <c r="C220" s="154" t="s">
        <v>1107</v>
      </c>
      <c r="D220" t="s">
        <v>5</v>
      </c>
      <c r="E220" t="s">
        <v>10</v>
      </c>
      <c r="F220" t="s">
        <v>8</v>
      </c>
      <c r="G220" t="s">
        <v>120</v>
      </c>
      <c r="H220" t="s">
        <v>648</v>
      </c>
      <c r="I220">
        <v>67.69</v>
      </c>
      <c r="J220">
        <v>68.2</v>
      </c>
      <c r="K220">
        <v>67.599999999999994</v>
      </c>
      <c r="L220">
        <v>27.82</v>
      </c>
      <c r="M220">
        <v>27.94</v>
      </c>
      <c r="N220">
        <v>27.88</v>
      </c>
    </row>
    <row r="221" spans="3:14" x14ac:dyDescent="0.15">
      <c r="C221" s="154" t="s">
        <v>1108</v>
      </c>
      <c r="D221" t="s">
        <v>5</v>
      </c>
      <c r="E221" t="s">
        <v>10</v>
      </c>
      <c r="F221" t="s">
        <v>8</v>
      </c>
      <c r="G221" t="s">
        <v>120</v>
      </c>
      <c r="H221" t="s">
        <v>59</v>
      </c>
      <c r="I221">
        <v>70.77</v>
      </c>
      <c r="J221">
        <v>70.67</v>
      </c>
      <c r="K221">
        <v>70.41</v>
      </c>
      <c r="L221">
        <v>30.49</v>
      </c>
      <c r="M221">
        <v>30.52</v>
      </c>
      <c r="N221">
        <v>30.55</v>
      </c>
    </row>
    <row r="222" spans="3:14" x14ac:dyDescent="0.15">
      <c r="C222" s="154" t="s">
        <v>1108</v>
      </c>
      <c r="D222" t="s">
        <v>5</v>
      </c>
      <c r="E222" t="s">
        <v>10</v>
      </c>
      <c r="F222" t="s">
        <v>8</v>
      </c>
      <c r="G222" t="s">
        <v>120</v>
      </c>
      <c r="H222" t="s">
        <v>60</v>
      </c>
      <c r="I222">
        <v>69.17</v>
      </c>
      <c r="J222">
        <v>69.069999999999993</v>
      </c>
      <c r="K222">
        <v>68.81</v>
      </c>
      <c r="L222">
        <v>28.89</v>
      </c>
      <c r="M222">
        <v>28.92</v>
      </c>
      <c r="N222">
        <v>28.95</v>
      </c>
    </row>
    <row r="223" spans="3:14" x14ac:dyDescent="0.15">
      <c r="C223" s="154" t="s">
        <v>1108</v>
      </c>
      <c r="D223" t="s">
        <v>5</v>
      </c>
      <c r="E223" t="s">
        <v>10</v>
      </c>
      <c r="F223" t="s">
        <v>8</v>
      </c>
      <c r="G223" t="s">
        <v>120</v>
      </c>
      <c r="H223" t="s">
        <v>648</v>
      </c>
      <c r="I223">
        <v>68.12</v>
      </c>
      <c r="J223">
        <v>68.02</v>
      </c>
      <c r="K223">
        <v>67.760000000000005</v>
      </c>
      <c r="L223">
        <v>27.84</v>
      </c>
      <c r="M223">
        <v>27.87</v>
      </c>
      <c r="N223">
        <v>27.9</v>
      </c>
    </row>
    <row r="224" spans="3:14" x14ac:dyDescent="0.15">
      <c r="C224" s="154" t="s">
        <v>1109</v>
      </c>
      <c r="D224" t="s">
        <v>5</v>
      </c>
      <c r="E224" t="s">
        <v>10</v>
      </c>
      <c r="F224" t="s">
        <v>8</v>
      </c>
      <c r="G224" t="s">
        <v>120</v>
      </c>
      <c r="H224" t="s">
        <v>59</v>
      </c>
      <c r="I224">
        <v>70.959999999999994</v>
      </c>
      <c r="J224">
        <v>70.41</v>
      </c>
      <c r="K224">
        <v>70.459999999999994</v>
      </c>
      <c r="L224">
        <v>30.5</v>
      </c>
      <c r="M224">
        <v>30.5</v>
      </c>
      <c r="N224">
        <v>30.56</v>
      </c>
    </row>
    <row r="225" spans="3:14" x14ac:dyDescent="0.15">
      <c r="C225" s="154" t="s">
        <v>1109</v>
      </c>
      <c r="D225" t="s">
        <v>5</v>
      </c>
      <c r="E225" t="s">
        <v>10</v>
      </c>
      <c r="F225" t="s">
        <v>8</v>
      </c>
      <c r="G225" t="s">
        <v>120</v>
      </c>
      <c r="H225" t="s">
        <v>60</v>
      </c>
      <c r="I225">
        <v>69.36</v>
      </c>
      <c r="J225">
        <v>68.81</v>
      </c>
      <c r="K225">
        <v>68.86</v>
      </c>
      <c r="L225">
        <v>28.9</v>
      </c>
      <c r="M225">
        <v>28.9</v>
      </c>
      <c r="N225">
        <v>28.96</v>
      </c>
    </row>
    <row r="226" spans="3:14" x14ac:dyDescent="0.15">
      <c r="C226" s="154" t="s">
        <v>1109</v>
      </c>
      <c r="D226" t="s">
        <v>5</v>
      </c>
      <c r="E226" t="s">
        <v>10</v>
      </c>
      <c r="F226" t="s">
        <v>8</v>
      </c>
      <c r="G226" t="s">
        <v>120</v>
      </c>
      <c r="H226" t="s">
        <v>648</v>
      </c>
      <c r="I226">
        <v>68.31</v>
      </c>
      <c r="J226">
        <v>67.760000000000005</v>
      </c>
      <c r="K226">
        <v>67.81</v>
      </c>
      <c r="L226">
        <v>27.85</v>
      </c>
      <c r="M226">
        <v>27.85</v>
      </c>
      <c r="N226">
        <v>27.91</v>
      </c>
    </row>
    <row r="227" spans="3:14" x14ac:dyDescent="0.15">
      <c r="C227" s="154" t="s">
        <v>1110</v>
      </c>
      <c r="D227" t="s">
        <v>5</v>
      </c>
      <c r="E227" t="s">
        <v>10</v>
      </c>
      <c r="F227" t="s">
        <v>8</v>
      </c>
      <c r="G227" t="s">
        <v>120</v>
      </c>
      <c r="H227" t="s">
        <v>59</v>
      </c>
      <c r="I227">
        <v>71.06</v>
      </c>
      <c r="J227">
        <v>70.23</v>
      </c>
      <c r="K227">
        <v>70.459999999999994</v>
      </c>
      <c r="L227">
        <v>30.52</v>
      </c>
      <c r="M227">
        <v>30.5</v>
      </c>
      <c r="N227">
        <v>30.57</v>
      </c>
    </row>
    <row r="228" spans="3:14" x14ac:dyDescent="0.15">
      <c r="C228" s="154" t="s">
        <v>1110</v>
      </c>
      <c r="D228" t="s">
        <v>5</v>
      </c>
      <c r="E228" t="s">
        <v>10</v>
      </c>
      <c r="F228" t="s">
        <v>8</v>
      </c>
      <c r="G228" t="s">
        <v>120</v>
      </c>
      <c r="H228" t="s">
        <v>60</v>
      </c>
      <c r="I228">
        <v>69.459999999999994</v>
      </c>
      <c r="J228">
        <v>68.63</v>
      </c>
      <c r="K228">
        <v>68.86</v>
      </c>
      <c r="L228">
        <v>28.92</v>
      </c>
      <c r="M228">
        <v>28.9</v>
      </c>
      <c r="N228">
        <v>28.97</v>
      </c>
    </row>
    <row r="229" spans="3:14" x14ac:dyDescent="0.15">
      <c r="C229" s="154" t="s">
        <v>1110</v>
      </c>
      <c r="D229" t="s">
        <v>5</v>
      </c>
      <c r="E229" t="s">
        <v>10</v>
      </c>
      <c r="F229" t="s">
        <v>8</v>
      </c>
      <c r="G229" t="s">
        <v>120</v>
      </c>
      <c r="H229" t="s">
        <v>648</v>
      </c>
      <c r="I229">
        <v>68.41</v>
      </c>
      <c r="J229">
        <v>67.58</v>
      </c>
      <c r="K229">
        <v>67.81</v>
      </c>
      <c r="L229">
        <v>27.87</v>
      </c>
      <c r="M229">
        <v>27.85</v>
      </c>
      <c r="N229">
        <v>27.92</v>
      </c>
    </row>
    <row r="230" spans="3:14" x14ac:dyDescent="0.15">
      <c r="C230" s="154" t="s">
        <v>1111</v>
      </c>
      <c r="D230" t="s">
        <v>5</v>
      </c>
      <c r="E230" t="s">
        <v>10</v>
      </c>
      <c r="F230" t="s">
        <v>8</v>
      </c>
      <c r="G230" t="s">
        <v>120</v>
      </c>
      <c r="H230" t="s">
        <v>59</v>
      </c>
      <c r="I230">
        <v>71.06</v>
      </c>
      <c r="J230">
        <v>69.930000000000007</v>
      </c>
      <c r="K230">
        <v>70.45</v>
      </c>
      <c r="L230">
        <v>30.5</v>
      </c>
      <c r="M230">
        <v>30.37</v>
      </c>
      <c r="N230">
        <v>30.56</v>
      </c>
    </row>
    <row r="231" spans="3:14" x14ac:dyDescent="0.15">
      <c r="C231" s="154" t="s">
        <v>1111</v>
      </c>
      <c r="D231" t="s">
        <v>5</v>
      </c>
      <c r="E231" t="s">
        <v>10</v>
      </c>
      <c r="F231" t="s">
        <v>8</v>
      </c>
      <c r="G231" t="s">
        <v>120</v>
      </c>
      <c r="H231" t="s">
        <v>60</v>
      </c>
      <c r="I231">
        <v>69.459999999999994</v>
      </c>
      <c r="J231">
        <v>68.33</v>
      </c>
      <c r="K231">
        <v>68.849999999999994</v>
      </c>
      <c r="L231">
        <v>28.9</v>
      </c>
      <c r="M231">
        <v>28.77</v>
      </c>
      <c r="N231">
        <v>28.96</v>
      </c>
    </row>
    <row r="232" spans="3:14" x14ac:dyDescent="0.15">
      <c r="C232" s="154" t="s">
        <v>1111</v>
      </c>
      <c r="D232" t="s">
        <v>5</v>
      </c>
      <c r="E232" t="s">
        <v>10</v>
      </c>
      <c r="F232" t="s">
        <v>8</v>
      </c>
      <c r="G232" t="s">
        <v>120</v>
      </c>
      <c r="H232" t="s">
        <v>648</v>
      </c>
      <c r="I232">
        <v>68.41</v>
      </c>
      <c r="J232">
        <v>67.28</v>
      </c>
      <c r="K232">
        <v>67.8</v>
      </c>
      <c r="L232">
        <v>27.85</v>
      </c>
      <c r="M232">
        <v>27.72</v>
      </c>
      <c r="N232">
        <v>27.91</v>
      </c>
    </row>
    <row r="233" spans="3:14" x14ac:dyDescent="0.15">
      <c r="C233" s="154" t="s">
        <v>1112</v>
      </c>
      <c r="D233" t="s">
        <v>5</v>
      </c>
      <c r="E233" t="s">
        <v>10</v>
      </c>
      <c r="F233" t="s">
        <v>8</v>
      </c>
      <c r="G233" t="s">
        <v>120</v>
      </c>
      <c r="H233" t="s">
        <v>59</v>
      </c>
      <c r="I233">
        <v>71.040000000000006</v>
      </c>
      <c r="J233">
        <v>69.81</v>
      </c>
      <c r="K233">
        <v>70.459999999999994</v>
      </c>
      <c r="L233">
        <v>30.52</v>
      </c>
      <c r="M233">
        <v>30.41</v>
      </c>
      <c r="N233">
        <v>30.65</v>
      </c>
    </row>
    <row r="234" spans="3:14" x14ac:dyDescent="0.15">
      <c r="C234" s="154" t="s">
        <v>1112</v>
      </c>
      <c r="D234" t="s">
        <v>5</v>
      </c>
      <c r="E234" t="s">
        <v>10</v>
      </c>
      <c r="F234" t="s">
        <v>8</v>
      </c>
      <c r="G234" t="s">
        <v>120</v>
      </c>
      <c r="H234" t="s">
        <v>60</v>
      </c>
      <c r="I234">
        <v>69.44</v>
      </c>
      <c r="J234">
        <v>68.209999999999994</v>
      </c>
      <c r="K234">
        <v>68.86</v>
      </c>
      <c r="L234">
        <v>28.92</v>
      </c>
      <c r="M234">
        <v>28.81</v>
      </c>
      <c r="N234">
        <v>29.05</v>
      </c>
    </row>
    <row r="235" spans="3:14" x14ac:dyDescent="0.15">
      <c r="C235" s="154" t="s">
        <v>1112</v>
      </c>
      <c r="D235" t="s">
        <v>5</v>
      </c>
      <c r="E235" t="s">
        <v>10</v>
      </c>
      <c r="F235" t="s">
        <v>8</v>
      </c>
      <c r="G235" t="s">
        <v>120</v>
      </c>
      <c r="H235" t="s">
        <v>648</v>
      </c>
      <c r="I235">
        <v>68.39</v>
      </c>
      <c r="J235">
        <v>67.16</v>
      </c>
      <c r="K235">
        <v>67.81</v>
      </c>
      <c r="L235">
        <v>27.87</v>
      </c>
      <c r="M235">
        <v>27.76</v>
      </c>
      <c r="N235">
        <v>28</v>
      </c>
    </row>
    <row r="236" spans="3:14" x14ac:dyDescent="0.15">
      <c r="C236" s="154" t="s">
        <v>1113</v>
      </c>
      <c r="D236" t="s">
        <v>5</v>
      </c>
      <c r="E236" t="s">
        <v>10</v>
      </c>
      <c r="F236" t="s">
        <v>8</v>
      </c>
      <c r="G236" t="s">
        <v>120</v>
      </c>
      <c r="H236" t="s">
        <v>59</v>
      </c>
      <c r="I236">
        <v>70.959999999999994</v>
      </c>
      <c r="J236">
        <v>70.12</v>
      </c>
      <c r="K236">
        <v>70.52</v>
      </c>
      <c r="L236">
        <v>30.56</v>
      </c>
      <c r="M236">
        <v>30.49</v>
      </c>
      <c r="N236">
        <v>30.75</v>
      </c>
    </row>
    <row r="237" spans="3:14" x14ac:dyDescent="0.15">
      <c r="C237" s="154" t="s">
        <v>1113</v>
      </c>
      <c r="D237" t="s">
        <v>5</v>
      </c>
      <c r="E237" t="s">
        <v>10</v>
      </c>
      <c r="F237" t="s">
        <v>8</v>
      </c>
      <c r="G237" t="s">
        <v>120</v>
      </c>
      <c r="H237" t="s">
        <v>60</v>
      </c>
      <c r="I237">
        <v>69.36</v>
      </c>
      <c r="J237">
        <v>68.52</v>
      </c>
      <c r="K237">
        <v>68.92</v>
      </c>
      <c r="L237">
        <v>28.96</v>
      </c>
      <c r="M237">
        <v>28.89</v>
      </c>
      <c r="N237">
        <v>29.15</v>
      </c>
    </row>
    <row r="238" spans="3:14" x14ac:dyDescent="0.15">
      <c r="C238" s="154" t="s">
        <v>1113</v>
      </c>
      <c r="D238" t="s">
        <v>5</v>
      </c>
      <c r="E238" t="s">
        <v>10</v>
      </c>
      <c r="F238" t="s">
        <v>8</v>
      </c>
      <c r="G238" t="s">
        <v>120</v>
      </c>
      <c r="H238" t="s">
        <v>648</v>
      </c>
      <c r="I238">
        <v>68.31</v>
      </c>
      <c r="J238">
        <v>67.47</v>
      </c>
      <c r="K238">
        <v>67.87</v>
      </c>
      <c r="L238">
        <v>27.91</v>
      </c>
      <c r="M238">
        <v>27.84</v>
      </c>
      <c r="N238">
        <v>28.1</v>
      </c>
    </row>
    <row r="239" spans="3:14" x14ac:dyDescent="0.15">
      <c r="C239" s="154" t="s">
        <v>1114</v>
      </c>
      <c r="D239" t="s">
        <v>5</v>
      </c>
      <c r="E239" t="s">
        <v>10</v>
      </c>
      <c r="F239" t="s">
        <v>8</v>
      </c>
      <c r="G239" t="s">
        <v>120</v>
      </c>
      <c r="H239" t="s">
        <v>59</v>
      </c>
      <c r="I239">
        <v>70.819999999999993</v>
      </c>
      <c r="J239">
        <v>70.41</v>
      </c>
      <c r="K239">
        <v>70.510000000000005</v>
      </c>
      <c r="L239">
        <v>30.57</v>
      </c>
      <c r="M239">
        <v>30.59</v>
      </c>
      <c r="N239">
        <v>30.84</v>
      </c>
    </row>
    <row r="240" spans="3:14" x14ac:dyDescent="0.15">
      <c r="C240" s="154" t="s">
        <v>1114</v>
      </c>
      <c r="D240" t="s">
        <v>5</v>
      </c>
      <c r="E240" t="s">
        <v>10</v>
      </c>
      <c r="F240" t="s">
        <v>8</v>
      </c>
      <c r="G240" t="s">
        <v>120</v>
      </c>
      <c r="H240" t="s">
        <v>60</v>
      </c>
      <c r="I240">
        <v>69.22</v>
      </c>
      <c r="J240">
        <v>68.81</v>
      </c>
      <c r="K240">
        <v>68.91</v>
      </c>
      <c r="L240">
        <v>28.97</v>
      </c>
      <c r="M240">
        <v>28.99</v>
      </c>
      <c r="N240">
        <v>29.24</v>
      </c>
    </row>
    <row r="241" spans="3:14" x14ac:dyDescent="0.15">
      <c r="C241" s="154" t="s">
        <v>1114</v>
      </c>
      <c r="D241" t="s">
        <v>5</v>
      </c>
      <c r="E241" t="s">
        <v>10</v>
      </c>
      <c r="F241" t="s">
        <v>8</v>
      </c>
      <c r="G241" t="s">
        <v>120</v>
      </c>
      <c r="H241" t="s">
        <v>648</v>
      </c>
      <c r="I241">
        <v>68.17</v>
      </c>
      <c r="J241">
        <v>67.760000000000005</v>
      </c>
      <c r="K241">
        <v>67.86</v>
      </c>
      <c r="L241">
        <v>27.92</v>
      </c>
      <c r="M241">
        <v>27.94</v>
      </c>
      <c r="N241">
        <v>28.19</v>
      </c>
    </row>
    <row r="242" spans="3:14" x14ac:dyDescent="0.15">
      <c r="C242" s="154" t="s">
        <v>1115</v>
      </c>
      <c r="D242" t="s">
        <v>5</v>
      </c>
      <c r="E242" t="s">
        <v>10</v>
      </c>
      <c r="F242" t="s">
        <v>8</v>
      </c>
      <c r="G242" t="s">
        <v>120</v>
      </c>
      <c r="H242" t="s">
        <v>59</v>
      </c>
      <c r="I242">
        <v>70.75</v>
      </c>
      <c r="J242">
        <v>70.7</v>
      </c>
      <c r="K242">
        <v>70.5</v>
      </c>
      <c r="L242">
        <v>30.59</v>
      </c>
      <c r="M242">
        <v>30.64</v>
      </c>
      <c r="N242">
        <v>30.94</v>
      </c>
    </row>
    <row r="243" spans="3:14" x14ac:dyDescent="0.15">
      <c r="C243" s="154" t="s">
        <v>1115</v>
      </c>
      <c r="D243" t="s">
        <v>5</v>
      </c>
      <c r="E243" t="s">
        <v>10</v>
      </c>
      <c r="F243" t="s">
        <v>8</v>
      </c>
      <c r="G243" t="s">
        <v>120</v>
      </c>
      <c r="H243" t="s">
        <v>60</v>
      </c>
      <c r="I243">
        <v>69.150000000000006</v>
      </c>
      <c r="J243">
        <v>69.099999999999994</v>
      </c>
      <c r="K243">
        <v>68.900000000000006</v>
      </c>
      <c r="L243">
        <v>28.99</v>
      </c>
      <c r="M243">
        <v>29.04</v>
      </c>
      <c r="N243">
        <v>29.34</v>
      </c>
    </row>
    <row r="244" spans="3:14" x14ac:dyDescent="0.15">
      <c r="C244" s="154" t="s">
        <v>1115</v>
      </c>
      <c r="D244" t="s">
        <v>5</v>
      </c>
      <c r="E244" t="s">
        <v>10</v>
      </c>
      <c r="F244" t="s">
        <v>8</v>
      </c>
      <c r="G244" t="s">
        <v>120</v>
      </c>
      <c r="H244" t="s">
        <v>648</v>
      </c>
      <c r="I244">
        <v>68.099999999999994</v>
      </c>
      <c r="J244">
        <v>68.05</v>
      </c>
      <c r="K244">
        <v>67.849999999999994</v>
      </c>
      <c r="L244">
        <v>27.94</v>
      </c>
      <c r="M244">
        <v>27.99</v>
      </c>
      <c r="N244">
        <v>28.29</v>
      </c>
    </row>
    <row r="245" spans="3:14" x14ac:dyDescent="0.15">
      <c r="C245" s="154" t="s">
        <v>1117</v>
      </c>
      <c r="D245" t="s">
        <v>5</v>
      </c>
      <c r="E245" t="s">
        <v>10</v>
      </c>
      <c r="F245" t="s">
        <v>8</v>
      </c>
      <c r="G245" t="s">
        <v>120</v>
      </c>
      <c r="H245" t="s">
        <v>59</v>
      </c>
      <c r="I245">
        <v>70.63</v>
      </c>
      <c r="J245">
        <v>70.8</v>
      </c>
      <c r="K245">
        <v>70.48</v>
      </c>
      <c r="L245">
        <v>30.59</v>
      </c>
      <c r="M245">
        <v>30.65</v>
      </c>
      <c r="N245">
        <v>31</v>
      </c>
    </row>
    <row r="246" spans="3:14" x14ac:dyDescent="0.15">
      <c r="C246" s="154" t="s">
        <v>1117</v>
      </c>
      <c r="D246" t="s">
        <v>5</v>
      </c>
      <c r="E246" t="s">
        <v>10</v>
      </c>
      <c r="F246" t="s">
        <v>8</v>
      </c>
      <c r="G246" t="s">
        <v>120</v>
      </c>
      <c r="H246" t="s">
        <v>60</v>
      </c>
      <c r="I246">
        <v>69.03</v>
      </c>
      <c r="J246">
        <v>69.2</v>
      </c>
      <c r="K246">
        <v>68.88</v>
      </c>
      <c r="L246">
        <v>28.99</v>
      </c>
      <c r="M246">
        <v>29.05</v>
      </c>
      <c r="N246">
        <v>29.4</v>
      </c>
    </row>
    <row r="247" spans="3:14" x14ac:dyDescent="0.15">
      <c r="C247" s="154" t="s">
        <v>1117</v>
      </c>
      <c r="D247" t="s">
        <v>5</v>
      </c>
      <c r="E247" t="s">
        <v>10</v>
      </c>
      <c r="F247" t="s">
        <v>8</v>
      </c>
      <c r="G247" t="s">
        <v>120</v>
      </c>
      <c r="H247" t="s">
        <v>648</v>
      </c>
      <c r="I247">
        <v>67.98</v>
      </c>
      <c r="J247">
        <v>68.150000000000006</v>
      </c>
      <c r="K247">
        <v>67.83</v>
      </c>
      <c r="L247">
        <v>27.94</v>
      </c>
      <c r="M247">
        <v>28</v>
      </c>
      <c r="N247">
        <v>28.35</v>
      </c>
    </row>
    <row r="248" spans="3:14" x14ac:dyDescent="0.15">
      <c r="C248" s="154" t="s">
        <v>1118</v>
      </c>
      <c r="D248" t="s">
        <v>5</v>
      </c>
      <c r="E248" t="s">
        <v>10</v>
      </c>
      <c r="F248" t="s">
        <v>8</v>
      </c>
      <c r="G248" t="s">
        <v>120</v>
      </c>
      <c r="H248" t="s">
        <v>59</v>
      </c>
      <c r="I248">
        <v>70.44</v>
      </c>
      <c r="J248">
        <v>70.97</v>
      </c>
      <c r="K248">
        <v>70.430000000000007</v>
      </c>
      <c r="L248">
        <v>30.56</v>
      </c>
      <c r="M248">
        <v>30.75</v>
      </c>
      <c r="N248">
        <v>31.07</v>
      </c>
    </row>
    <row r="249" spans="3:14" x14ac:dyDescent="0.15">
      <c r="C249" s="154" t="s">
        <v>1118</v>
      </c>
      <c r="D249" t="s">
        <v>5</v>
      </c>
      <c r="E249" t="s">
        <v>10</v>
      </c>
      <c r="F249" t="s">
        <v>8</v>
      </c>
      <c r="G249" t="s">
        <v>120</v>
      </c>
      <c r="H249" t="s">
        <v>60</v>
      </c>
      <c r="I249">
        <v>68.84</v>
      </c>
      <c r="J249">
        <v>69.37</v>
      </c>
      <c r="K249">
        <v>68.83</v>
      </c>
      <c r="L249">
        <v>28.96</v>
      </c>
      <c r="M249">
        <v>29.15</v>
      </c>
      <c r="N249">
        <v>29.47</v>
      </c>
    </row>
    <row r="250" spans="3:14" x14ac:dyDescent="0.15">
      <c r="C250" s="154" t="s">
        <v>1118</v>
      </c>
      <c r="D250" t="s">
        <v>5</v>
      </c>
      <c r="E250" t="s">
        <v>10</v>
      </c>
      <c r="F250" t="s">
        <v>8</v>
      </c>
      <c r="G250" t="s">
        <v>120</v>
      </c>
      <c r="H250" t="s">
        <v>648</v>
      </c>
      <c r="I250">
        <v>67.790000000000006</v>
      </c>
      <c r="J250">
        <v>68.319999999999993</v>
      </c>
      <c r="K250">
        <v>67.78</v>
      </c>
      <c r="L250">
        <v>27.91</v>
      </c>
      <c r="M250">
        <v>28.1</v>
      </c>
      <c r="N250">
        <v>28.42</v>
      </c>
    </row>
    <row r="251" spans="3:14" x14ac:dyDescent="0.15">
      <c r="C251" s="154" t="s">
        <v>1119</v>
      </c>
      <c r="D251" t="s">
        <v>5</v>
      </c>
      <c r="E251" t="s">
        <v>10</v>
      </c>
      <c r="F251" t="s">
        <v>8</v>
      </c>
      <c r="G251" t="s">
        <v>120</v>
      </c>
      <c r="H251" t="s">
        <v>59</v>
      </c>
      <c r="I251">
        <v>70.31</v>
      </c>
      <c r="J251">
        <v>71.010000000000005</v>
      </c>
      <c r="K251">
        <v>70.47</v>
      </c>
      <c r="L251">
        <v>30.59</v>
      </c>
      <c r="M251">
        <v>30.86</v>
      </c>
      <c r="N251">
        <v>31.17</v>
      </c>
    </row>
    <row r="252" spans="3:14" x14ac:dyDescent="0.15">
      <c r="C252" s="154" t="s">
        <v>1119</v>
      </c>
      <c r="D252" t="s">
        <v>5</v>
      </c>
      <c r="E252" t="s">
        <v>10</v>
      </c>
      <c r="F252" t="s">
        <v>8</v>
      </c>
      <c r="G252" t="s">
        <v>120</v>
      </c>
      <c r="H252" t="s">
        <v>60</v>
      </c>
      <c r="I252">
        <v>68.709999999999994</v>
      </c>
      <c r="J252">
        <v>69.41</v>
      </c>
      <c r="K252">
        <v>68.87</v>
      </c>
      <c r="L252">
        <v>28.99</v>
      </c>
      <c r="M252">
        <v>29.26</v>
      </c>
      <c r="N252">
        <v>29.57</v>
      </c>
    </row>
    <row r="253" spans="3:14" x14ac:dyDescent="0.15">
      <c r="C253" s="154" t="s">
        <v>1119</v>
      </c>
      <c r="D253" t="s">
        <v>5</v>
      </c>
      <c r="E253" t="s">
        <v>10</v>
      </c>
      <c r="F253" t="s">
        <v>8</v>
      </c>
      <c r="G253" t="s">
        <v>120</v>
      </c>
      <c r="H253" t="s">
        <v>648</v>
      </c>
      <c r="I253">
        <v>67.66</v>
      </c>
      <c r="J253">
        <v>68.36</v>
      </c>
      <c r="K253">
        <v>67.819999999999993</v>
      </c>
      <c r="L253">
        <v>27.94</v>
      </c>
      <c r="M253">
        <v>28.21</v>
      </c>
      <c r="N253">
        <v>28.52</v>
      </c>
    </row>
    <row r="254" spans="3:14" x14ac:dyDescent="0.15">
      <c r="C254" s="154" t="s">
        <v>1107</v>
      </c>
      <c r="D254" t="s">
        <v>5</v>
      </c>
      <c r="E254" t="s">
        <v>10</v>
      </c>
      <c r="F254" t="s">
        <v>9</v>
      </c>
      <c r="G254" t="s">
        <v>117</v>
      </c>
      <c r="H254" t="s">
        <v>59</v>
      </c>
      <c r="I254">
        <v>69.64</v>
      </c>
      <c r="J254">
        <v>70.650000000000006</v>
      </c>
      <c r="K254">
        <v>69.63</v>
      </c>
      <c r="L254">
        <v>30.55</v>
      </c>
      <c r="M254">
        <v>31.14</v>
      </c>
      <c r="N254">
        <v>30.61</v>
      </c>
    </row>
    <row r="255" spans="3:14" x14ac:dyDescent="0.15">
      <c r="C255" s="154" t="s">
        <v>1107</v>
      </c>
      <c r="D255" t="s">
        <v>5</v>
      </c>
      <c r="E255" t="s">
        <v>10</v>
      </c>
      <c r="F255" t="s">
        <v>9</v>
      </c>
      <c r="G255" t="s">
        <v>117</v>
      </c>
      <c r="H255" t="s">
        <v>60</v>
      </c>
      <c r="I255">
        <v>68.040000000000006</v>
      </c>
      <c r="J255">
        <v>69.05</v>
      </c>
      <c r="K255">
        <v>68.03</v>
      </c>
      <c r="L255">
        <v>28.95</v>
      </c>
      <c r="M255">
        <v>29.54</v>
      </c>
      <c r="N255">
        <v>29.01</v>
      </c>
    </row>
    <row r="256" spans="3:14" x14ac:dyDescent="0.15">
      <c r="C256" s="154" t="s">
        <v>1107</v>
      </c>
      <c r="D256" t="s">
        <v>5</v>
      </c>
      <c r="E256" t="s">
        <v>10</v>
      </c>
      <c r="F256" t="s">
        <v>9</v>
      </c>
      <c r="G256" t="s">
        <v>117</v>
      </c>
      <c r="H256" t="s">
        <v>648</v>
      </c>
      <c r="I256">
        <v>66.989999999999995</v>
      </c>
      <c r="J256">
        <v>68</v>
      </c>
      <c r="K256">
        <v>66.98</v>
      </c>
      <c r="L256">
        <v>27.9</v>
      </c>
      <c r="M256">
        <v>28.49</v>
      </c>
      <c r="N256">
        <v>27.96</v>
      </c>
    </row>
    <row r="257" spans="3:14" x14ac:dyDescent="0.15">
      <c r="C257" s="154" t="s">
        <v>1108</v>
      </c>
      <c r="D257" t="s">
        <v>5</v>
      </c>
      <c r="E257" t="s">
        <v>10</v>
      </c>
      <c r="F257" t="s">
        <v>9</v>
      </c>
      <c r="G257" t="s">
        <v>117</v>
      </c>
      <c r="H257" t="s">
        <v>59</v>
      </c>
      <c r="I257">
        <v>70.25</v>
      </c>
      <c r="J257">
        <v>71.14</v>
      </c>
      <c r="K257">
        <v>69.87</v>
      </c>
      <c r="L257">
        <v>30.61</v>
      </c>
      <c r="M257">
        <v>31.82</v>
      </c>
      <c r="N257">
        <v>30.65</v>
      </c>
    </row>
    <row r="258" spans="3:14" x14ac:dyDescent="0.15">
      <c r="C258" s="154" t="s">
        <v>1108</v>
      </c>
      <c r="D258" t="s">
        <v>5</v>
      </c>
      <c r="E258" t="s">
        <v>10</v>
      </c>
      <c r="F258" t="s">
        <v>9</v>
      </c>
      <c r="G258" t="s">
        <v>117</v>
      </c>
      <c r="H258" t="s">
        <v>60</v>
      </c>
      <c r="I258">
        <v>68.650000000000006</v>
      </c>
      <c r="J258">
        <v>69.540000000000006</v>
      </c>
      <c r="K258">
        <v>68.27</v>
      </c>
      <c r="L258">
        <v>29.01</v>
      </c>
      <c r="M258">
        <v>30.22</v>
      </c>
      <c r="N258">
        <v>29.05</v>
      </c>
    </row>
    <row r="259" spans="3:14" x14ac:dyDescent="0.15">
      <c r="C259" s="154" t="s">
        <v>1108</v>
      </c>
      <c r="D259" t="s">
        <v>5</v>
      </c>
      <c r="E259" t="s">
        <v>10</v>
      </c>
      <c r="F259" t="s">
        <v>9</v>
      </c>
      <c r="G259" t="s">
        <v>117</v>
      </c>
      <c r="H259" t="s">
        <v>648</v>
      </c>
      <c r="I259">
        <v>67.599999999999994</v>
      </c>
      <c r="J259">
        <v>68.489999999999995</v>
      </c>
      <c r="K259">
        <v>67.22</v>
      </c>
      <c r="L259">
        <v>27.96</v>
      </c>
      <c r="M259">
        <v>29.17</v>
      </c>
      <c r="N259">
        <v>28</v>
      </c>
    </row>
    <row r="260" spans="3:14" x14ac:dyDescent="0.15">
      <c r="C260" s="154" t="s">
        <v>1109</v>
      </c>
      <c r="D260" t="s">
        <v>5</v>
      </c>
      <c r="E260" t="s">
        <v>10</v>
      </c>
      <c r="F260" t="s">
        <v>9</v>
      </c>
      <c r="G260" t="s">
        <v>117</v>
      </c>
      <c r="H260" t="s">
        <v>59</v>
      </c>
      <c r="I260">
        <v>70.459999999999994</v>
      </c>
      <c r="J260">
        <v>71.12</v>
      </c>
      <c r="K260">
        <v>69.94</v>
      </c>
      <c r="L260">
        <v>30.64</v>
      </c>
      <c r="M260">
        <v>32.020000000000003</v>
      </c>
      <c r="N260">
        <v>30.68</v>
      </c>
    </row>
    <row r="261" spans="3:14" x14ac:dyDescent="0.15">
      <c r="C261" s="154" t="s">
        <v>1109</v>
      </c>
      <c r="D261" t="s">
        <v>5</v>
      </c>
      <c r="E261" t="s">
        <v>10</v>
      </c>
      <c r="F261" t="s">
        <v>9</v>
      </c>
      <c r="G261" t="s">
        <v>117</v>
      </c>
      <c r="H261" t="s">
        <v>60</v>
      </c>
      <c r="I261">
        <v>68.86</v>
      </c>
      <c r="J261">
        <v>69.52</v>
      </c>
      <c r="K261">
        <v>68.34</v>
      </c>
      <c r="L261">
        <v>29.04</v>
      </c>
      <c r="M261">
        <v>30.42</v>
      </c>
      <c r="N261">
        <v>29.08</v>
      </c>
    </row>
    <row r="262" spans="3:14" x14ac:dyDescent="0.15">
      <c r="C262" s="154" t="s">
        <v>1109</v>
      </c>
      <c r="D262" t="s">
        <v>5</v>
      </c>
      <c r="E262" t="s">
        <v>10</v>
      </c>
      <c r="F262" t="s">
        <v>9</v>
      </c>
      <c r="G262" t="s">
        <v>117</v>
      </c>
      <c r="H262" t="s">
        <v>648</v>
      </c>
      <c r="I262">
        <v>67.81</v>
      </c>
      <c r="J262">
        <v>68.47</v>
      </c>
      <c r="K262">
        <v>67.290000000000006</v>
      </c>
      <c r="L262">
        <v>27.99</v>
      </c>
      <c r="M262">
        <v>29.37</v>
      </c>
      <c r="N262">
        <v>28.03</v>
      </c>
    </row>
    <row r="263" spans="3:14" x14ac:dyDescent="0.15">
      <c r="C263" s="154" t="s">
        <v>1110</v>
      </c>
      <c r="D263" t="s">
        <v>5</v>
      </c>
      <c r="E263" t="s">
        <v>10</v>
      </c>
      <c r="F263" t="s">
        <v>9</v>
      </c>
      <c r="G263" t="s">
        <v>117</v>
      </c>
      <c r="H263" t="s">
        <v>59</v>
      </c>
      <c r="I263">
        <v>70.56</v>
      </c>
      <c r="J263">
        <v>71.02</v>
      </c>
      <c r="K263">
        <v>69.95</v>
      </c>
      <c r="L263">
        <v>30.65</v>
      </c>
      <c r="M263">
        <v>32.08</v>
      </c>
      <c r="N263">
        <v>30.69</v>
      </c>
    </row>
    <row r="264" spans="3:14" x14ac:dyDescent="0.15">
      <c r="C264" s="154" t="s">
        <v>1110</v>
      </c>
      <c r="D264" t="s">
        <v>5</v>
      </c>
      <c r="E264" t="s">
        <v>10</v>
      </c>
      <c r="F264" t="s">
        <v>9</v>
      </c>
      <c r="G264" t="s">
        <v>117</v>
      </c>
      <c r="H264" t="s">
        <v>60</v>
      </c>
      <c r="I264">
        <v>68.959999999999994</v>
      </c>
      <c r="J264">
        <v>69.42</v>
      </c>
      <c r="K264">
        <v>68.349999999999994</v>
      </c>
      <c r="L264">
        <v>29.05</v>
      </c>
      <c r="M264">
        <v>30.48</v>
      </c>
      <c r="N264">
        <v>29.09</v>
      </c>
    </row>
    <row r="265" spans="3:14" x14ac:dyDescent="0.15">
      <c r="C265" s="154" t="s">
        <v>1110</v>
      </c>
      <c r="D265" t="s">
        <v>5</v>
      </c>
      <c r="E265" t="s">
        <v>10</v>
      </c>
      <c r="F265" t="s">
        <v>9</v>
      </c>
      <c r="G265" t="s">
        <v>117</v>
      </c>
      <c r="H265" t="s">
        <v>648</v>
      </c>
      <c r="I265">
        <v>67.91</v>
      </c>
      <c r="J265">
        <v>68.37</v>
      </c>
      <c r="K265">
        <v>67.3</v>
      </c>
      <c r="L265">
        <v>28</v>
      </c>
      <c r="M265">
        <v>29.43</v>
      </c>
      <c r="N265">
        <v>28.04</v>
      </c>
    </row>
    <row r="266" spans="3:14" x14ac:dyDescent="0.15">
      <c r="C266" s="154" t="s">
        <v>1111</v>
      </c>
      <c r="D266" t="s">
        <v>5</v>
      </c>
      <c r="E266" t="s">
        <v>10</v>
      </c>
      <c r="F266" t="s">
        <v>9</v>
      </c>
      <c r="G266" t="s">
        <v>117</v>
      </c>
      <c r="H266" t="s">
        <v>59</v>
      </c>
      <c r="I266">
        <v>70.58</v>
      </c>
      <c r="J266">
        <v>70.2</v>
      </c>
      <c r="K266">
        <v>69.97</v>
      </c>
      <c r="L266">
        <v>30.64</v>
      </c>
      <c r="M266">
        <v>31.48</v>
      </c>
      <c r="N266">
        <v>30.69</v>
      </c>
    </row>
    <row r="267" spans="3:14" x14ac:dyDescent="0.15">
      <c r="C267" s="154" t="s">
        <v>1111</v>
      </c>
      <c r="D267" t="s">
        <v>5</v>
      </c>
      <c r="E267" t="s">
        <v>10</v>
      </c>
      <c r="F267" t="s">
        <v>9</v>
      </c>
      <c r="G267" t="s">
        <v>117</v>
      </c>
      <c r="H267" t="s">
        <v>60</v>
      </c>
      <c r="I267">
        <v>68.98</v>
      </c>
      <c r="J267">
        <v>68.599999999999994</v>
      </c>
      <c r="K267">
        <v>68.37</v>
      </c>
      <c r="L267">
        <v>29.04</v>
      </c>
      <c r="M267">
        <v>29.88</v>
      </c>
      <c r="N267">
        <v>29.09</v>
      </c>
    </row>
    <row r="268" spans="3:14" x14ac:dyDescent="0.15">
      <c r="C268" s="154" t="s">
        <v>1111</v>
      </c>
      <c r="D268" t="s">
        <v>5</v>
      </c>
      <c r="E268" t="s">
        <v>10</v>
      </c>
      <c r="F268" t="s">
        <v>9</v>
      </c>
      <c r="G268" t="s">
        <v>117</v>
      </c>
      <c r="H268" t="s">
        <v>648</v>
      </c>
      <c r="I268">
        <v>67.930000000000007</v>
      </c>
      <c r="J268">
        <v>67.55</v>
      </c>
      <c r="K268">
        <v>67.319999999999993</v>
      </c>
      <c r="L268">
        <v>27.99</v>
      </c>
      <c r="M268">
        <v>28.83</v>
      </c>
      <c r="N268">
        <v>28.04</v>
      </c>
    </row>
    <row r="269" spans="3:14" x14ac:dyDescent="0.15">
      <c r="C269" s="154" t="s">
        <v>1112</v>
      </c>
      <c r="D269" t="s">
        <v>5</v>
      </c>
      <c r="E269" t="s">
        <v>10</v>
      </c>
      <c r="F269" t="s">
        <v>9</v>
      </c>
      <c r="G269" t="s">
        <v>117</v>
      </c>
      <c r="H269" t="s">
        <v>59</v>
      </c>
      <c r="I269">
        <v>70.58</v>
      </c>
      <c r="J269">
        <v>69.31</v>
      </c>
      <c r="K269">
        <v>69.989999999999995</v>
      </c>
      <c r="L269">
        <v>30.65</v>
      </c>
      <c r="M269">
        <v>30.8</v>
      </c>
      <c r="N269">
        <v>30.77</v>
      </c>
    </row>
    <row r="270" spans="3:14" x14ac:dyDescent="0.15">
      <c r="C270" s="154" t="s">
        <v>1112</v>
      </c>
      <c r="D270" t="s">
        <v>5</v>
      </c>
      <c r="E270" t="s">
        <v>10</v>
      </c>
      <c r="F270" t="s">
        <v>9</v>
      </c>
      <c r="G270" t="s">
        <v>117</v>
      </c>
      <c r="H270" t="s">
        <v>60</v>
      </c>
      <c r="I270">
        <v>68.98</v>
      </c>
      <c r="J270">
        <v>67.709999999999994</v>
      </c>
      <c r="K270">
        <v>68.39</v>
      </c>
      <c r="L270">
        <v>29.05</v>
      </c>
      <c r="M270">
        <v>29.2</v>
      </c>
      <c r="N270">
        <v>29.17</v>
      </c>
    </row>
    <row r="271" spans="3:14" x14ac:dyDescent="0.15">
      <c r="C271" s="154" t="s">
        <v>1112</v>
      </c>
      <c r="D271" t="s">
        <v>5</v>
      </c>
      <c r="E271" t="s">
        <v>10</v>
      </c>
      <c r="F271" t="s">
        <v>9</v>
      </c>
      <c r="G271" t="s">
        <v>117</v>
      </c>
      <c r="H271" t="s">
        <v>648</v>
      </c>
      <c r="I271">
        <v>67.930000000000007</v>
      </c>
      <c r="J271">
        <v>66.66</v>
      </c>
      <c r="K271">
        <v>67.34</v>
      </c>
      <c r="L271">
        <v>28</v>
      </c>
      <c r="M271">
        <v>28.15</v>
      </c>
      <c r="N271">
        <v>28.12</v>
      </c>
    </row>
    <row r="272" spans="3:14" x14ac:dyDescent="0.15">
      <c r="C272" s="154" t="s">
        <v>1113</v>
      </c>
      <c r="D272" t="s">
        <v>5</v>
      </c>
      <c r="E272" t="s">
        <v>10</v>
      </c>
      <c r="F272" t="s">
        <v>9</v>
      </c>
      <c r="G272" t="s">
        <v>117</v>
      </c>
      <c r="H272" t="s">
        <v>59</v>
      </c>
      <c r="I272">
        <v>70.5</v>
      </c>
      <c r="J272">
        <v>69.23</v>
      </c>
      <c r="K272">
        <v>70.05</v>
      </c>
      <c r="L272">
        <v>30.67</v>
      </c>
      <c r="M272">
        <v>30.15</v>
      </c>
      <c r="N272">
        <v>30.86</v>
      </c>
    </row>
    <row r="273" spans="3:14" x14ac:dyDescent="0.15">
      <c r="C273" s="154" t="s">
        <v>1113</v>
      </c>
      <c r="D273" t="s">
        <v>5</v>
      </c>
      <c r="E273" t="s">
        <v>10</v>
      </c>
      <c r="F273" t="s">
        <v>9</v>
      </c>
      <c r="G273" t="s">
        <v>117</v>
      </c>
      <c r="H273" t="s">
        <v>60</v>
      </c>
      <c r="I273">
        <v>68.900000000000006</v>
      </c>
      <c r="J273">
        <v>67.63</v>
      </c>
      <c r="K273">
        <v>68.45</v>
      </c>
      <c r="L273">
        <v>29.07</v>
      </c>
      <c r="M273">
        <v>28.55</v>
      </c>
      <c r="N273">
        <v>29.26</v>
      </c>
    </row>
    <row r="274" spans="3:14" x14ac:dyDescent="0.15">
      <c r="C274" s="154" t="s">
        <v>1113</v>
      </c>
      <c r="D274" t="s">
        <v>5</v>
      </c>
      <c r="E274" t="s">
        <v>10</v>
      </c>
      <c r="F274" t="s">
        <v>9</v>
      </c>
      <c r="G274" t="s">
        <v>117</v>
      </c>
      <c r="H274" t="s">
        <v>648</v>
      </c>
      <c r="I274">
        <v>67.849999999999994</v>
      </c>
      <c r="J274">
        <v>66.58</v>
      </c>
      <c r="K274">
        <v>67.400000000000006</v>
      </c>
      <c r="L274">
        <v>28.02</v>
      </c>
      <c r="M274">
        <v>27.5</v>
      </c>
      <c r="N274">
        <v>28.21</v>
      </c>
    </row>
    <row r="275" spans="3:14" x14ac:dyDescent="0.15">
      <c r="C275" s="154" t="s">
        <v>1114</v>
      </c>
      <c r="D275" t="s">
        <v>5</v>
      </c>
      <c r="E275" t="s">
        <v>10</v>
      </c>
      <c r="F275" t="s">
        <v>9</v>
      </c>
      <c r="G275" t="s">
        <v>117</v>
      </c>
      <c r="H275" t="s">
        <v>59</v>
      </c>
      <c r="I275">
        <v>70.41</v>
      </c>
      <c r="J275">
        <v>69.069999999999993</v>
      </c>
      <c r="K275">
        <v>70.069999999999993</v>
      </c>
      <c r="L275">
        <v>30.67</v>
      </c>
      <c r="M275">
        <v>29.62</v>
      </c>
      <c r="N275">
        <v>30.94</v>
      </c>
    </row>
    <row r="276" spans="3:14" x14ac:dyDescent="0.15">
      <c r="C276" s="154" t="s">
        <v>1114</v>
      </c>
      <c r="D276" t="s">
        <v>5</v>
      </c>
      <c r="E276" t="s">
        <v>10</v>
      </c>
      <c r="F276" t="s">
        <v>9</v>
      </c>
      <c r="G276" t="s">
        <v>117</v>
      </c>
      <c r="H276" t="s">
        <v>60</v>
      </c>
      <c r="I276">
        <v>68.81</v>
      </c>
      <c r="J276">
        <v>67.47</v>
      </c>
      <c r="K276">
        <v>68.47</v>
      </c>
      <c r="L276">
        <v>29.07</v>
      </c>
      <c r="M276">
        <v>28.02</v>
      </c>
      <c r="N276">
        <v>29.34</v>
      </c>
    </row>
    <row r="277" spans="3:14" x14ac:dyDescent="0.15">
      <c r="C277" s="154" t="s">
        <v>1114</v>
      </c>
      <c r="D277" t="s">
        <v>5</v>
      </c>
      <c r="E277" t="s">
        <v>10</v>
      </c>
      <c r="F277" t="s">
        <v>9</v>
      </c>
      <c r="G277" t="s">
        <v>117</v>
      </c>
      <c r="H277" t="s">
        <v>648</v>
      </c>
      <c r="I277">
        <v>67.760000000000005</v>
      </c>
      <c r="J277">
        <v>66.42</v>
      </c>
      <c r="K277">
        <v>67.42</v>
      </c>
      <c r="L277">
        <v>28.02</v>
      </c>
      <c r="M277">
        <v>26.97</v>
      </c>
      <c r="N277">
        <v>28.29</v>
      </c>
    </row>
    <row r="278" spans="3:14" x14ac:dyDescent="0.15">
      <c r="C278" s="154" t="s">
        <v>1115</v>
      </c>
      <c r="D278" t="s">
        <v>5</v>
      </c>
      <c r="E278" t="s">
        <v>10</v>
      </c>
      <c r="F278" t="s">
        <v>9</v>
      </c>
      <c r="G278" t="s">
        <v>117</v>
      </c>
      <c r="H278" t="s">
        <v>59</v>
      </c>
      <c r="I278">
        <v>70.34</v>
      </c>
      <c r="J278">
        <v>69.16</v>
      </c>
      <c r="K278">
        <v>70.05</v>
      </c>
      <c r="L278">
        <v>30.67</v>
      </c>
      <c r="M278">
        <v>29.5</v>
      </c>
      <c r="N278">
        <v>31.01</v>
      </c>
    </row>
    <row r="279" spans="3:14" x14ac:dyDescent="0.15">
      <c r="C279" s="154" t="s">
        <v>1115</v>
      </c>
      <c r="D279" t="s">
        <v>5</v>
      </c>
      <c r="E279" t="s">
        <v>10</v>
      </c>
      <c r="F279" t="s">
        <v>9</v>
      </c>
      <c r="G279" t="s">
        <v>117</v>
      </c>
      <c r="H279" t="s">
        <v>60</v>
      </c>
      <c r="I279">
        <v>68.739999999999995</v>
      </c>
      <c r="J279">
        <v>67.56</v>
      </c>
      <c r="K279">
        <v>68.45</v>
      </c>
      <c r="L279">
        <v>29.07</v>
      </c>
      <c r="M279">
        <v>27.9</v>
      </c>
      <c r="N279">
        <v>29.41</v>
      </c>
    </row>
    <row r="280" spans="3:14" x14ac:dyDescent="0.15">
      <c r="C280" s="154" t="s">
        <v>1115</v>
      </c>
      <c r="D280" t="s">
        <v>5</v>
      </c>
      <c r="E280" t="s">
        <v>10</v>
      </c>
      <c r="F280" t="s">
        <v>9</v>
      </c>
      <c r="G280" t="s">
        <v>117</v>
      </c>
      <c r="H280" t="s">
        <v>648</v>
      </c>
      <c r="I280">
        <v>67.69</v>
      </c>
      <c r="J280">
        <v>66.510000000000005</v>
      </c>
      <c r="K280">
        <v>67.400000000000006</v>
      </c>
      <c r="L280">
        <v>28.02</v>
      </c>
      <c r="M280">
        <v>26.85</v>
      </c>
      <c r="N280">
        <v>28.36</v>
      </c>
    </row>
    <row r="281" spans="3:14" x14ac:dyDescent="0.15">
      <c r="C281" s="154" t="s">
        <v>1117</v>
      </c>
      <c r="D281" t="s">
        <v>5</v>
      </c>
      <c r="E281" t="s">
        <v>10</v>
      </c>
      <c r="F281" t="s">
        <v>9</v>
      </c>
      <c r="G281" t="s">
        <v>117</v>
      </c>
      <c r="H281" t="s">
        <v>59</v>
      </c>
      <c r="I281">
        <v>70.23</v>
      </c>
      <c r="J281">
        <v>69.2</v>
      </c>
      <c r="K281">
        <v>70.05</v>
      </c>
      <c r="L281">
        <v>30.66</v>
      </c>
      <c r="M281">
        <v>29.46</v>
      </c>
      <c r="N281">
        <v>31.07</v>
      </c>
    </row>
    <row r="282" spans="3:14" x14ac:dyDescent="0.15">
      <c r="C282" s="154" t="s">
        <v>1117</v>
      </c>
      <c r="D282" t="s">
        <v>5</v>
      </c>
      <c r="E282" t="s">
        <v>10</v>
      </c>
      <c r="F282" t="s">
        <v>9</v>
      </c>
      <c r="G282" t="s">
        <v>117</v>
      </c>
      <c r="H282" t="s">
        <v>60</v>
      </c>
      <c r="I282">
        <v>68.63</v>
      </c>
      <c r="J282">
        <v>67.599999999999994</v>
      </c>
      <c r="K282">
        <v>68.45</v>
      </c>
      <c r="L282">
        <v>29.06</v>
      </c>
      <c r="M282">
        <v>27.86</v>
      </c>
      <c r="N282">
        <v>29.47</v>
      </c>
    </row>
    <row r="283" spans="3:14" x14ac:dyDescent="0.15">
      <c r="C283" s="154" t="s">
        <v>1117</v>
      </c>
      <c r="D283" t="s">
        <v>5</v>
      </c>
      <c r="E283" t="s">
        <v>10</v>
      </c>
      <c r="F283" t="s">
        <v>9</v>
      </c>
      <c r="G283" t="s">
        <v>117</v>
      </c>
      <c r="H283" t="s">
        <v>648</v>
      </c>
      <c r="I283">
        <v>67.58</v>
      </c>
      <c r="J283">
        <v>66.55</v>
      </c>
      <c r="K283">
        <v>67.400000000000006</v>
      </c>
      <c r="L283">
        <v>28.01</v>
      </c>
      <c r="M283">
        <v>26.81</v>
      </c>
      <c r="N283">
        <v>28.42</v>
      </c>
    </row>
    <row r="284" spans="3:14" x14ac:dyDescent="0.15">
      <c r="C284" s="154" t="s">
        <v>1118</v>
      </c>
      <c r="D284" t="s">
        <v>5</v>
      </c>
      <c r="E284" t="s">
        <v>10</v>
      </c>
      <c r="F284" t="s">
        <v>9</v>
      </c>
      <c r="G284" t="s">
        <v>117</v>
      </c>
      <c r="H284" t="s">
        <v>59</v>
      </c>
      <c r="I284">
        <v>69.92</v>
      </c>
      <c r="J284">
        <v>69.72</v>
      </c>
      <c r="K284">
        <v>69.930000000000007</v>
      </c>
      <c r="L284">
        <v>30.55</v>
      </c>
      <c r="M284">
        <v>29.89</v>
      </c>
      <c r="N284">
        <v>31.1</v>
      </c>
    </row>
    <row r="285" spans="3:14" x14ac:dyDescent="0.15">
      <c r="C285" s="154" t="s">
        <v>1118</v>
      </c>
      <c r="D285" t="s">
        <v>5</v>
      </c>
      <c r="E285" t="s">
        <v>10</v>
      </c>
      <c r="F285" t="s">
        <v>9</v>
      </c>
      <c r="G285" t="s">
        <v>117</v>
      </c>
      <c r="H285" t="s">
        <v>60</v>
      </c>
      <c r="I285">
        <v>68.319999999999993</v>
      </c>
      <c r="J285">
        <v>68.12</v>
      </c>
      <c r="K285">
        <v>68.33</v>
      </c>
      <c r="L285">
        <v>28.95</v>
      </c>
      <c r="M285">
        <v>28.29</v>
      </c>
      <c r="N285">
        <v>29.5</v>
      </c>
    </row>
    <row r="286" spans="3:14" x14ac:dyDescent="0.15">
      <c r="C286" s="154" t="s">
        <v>1118</v>
      </c>
      <c r="D286" t="s">
        <v>5</v>
      </c>
      <c r="E286" t="s">
        <v>10</v>
      </c>
      <c r="F286" t="s">
        <v>9</v>
      </c>
      <c r="G286" t="s">
        <v>117</v>
      </c>
      <c r="H286" t="s">
        <v>648</v>
      </c>
      <c r="I286">
        <v>67.27</v>
      </c>
      <c r="J286">
        <v>67.069999999999993</v>
      </c>
      <c r="K286">
        <v>67.28</v>
      </c>
      <c r="L286">
        <v>27.9</v>
      </c>
      <c r="M286">
        <v>27.24</v>
      </c>
      <c r="N286">
        <v>28.45</v>
      </c>
    </row>
    <row r="287" spans="3:14" x14ac:dyDescent="0.15">
      <c r="C287" s="154" t="s">
        <v>1119</v>
      </c>
      <c r="D287" t="s">
        <v>5</v>
      </c>
      <c r="E287" t="s">
        <v>10</v>
      </c>
      <c r="F287" t="s">
        <v>9</v>
      </c>
      <c r="G287" t="s">
        <v>117</v>
      </c>
      <c r="H287" t="s">
        <v>59</v>
      </c>
      <c r="I287">
        <v>69.81</v>
      </c>
      <c r="J287">
        <v>70.53</v>
      </c>
      <c r="K287">
        <v>69.98</v>
      </c>
      <c r="L287">
        <v>30.64</v>
      </c>
      <c r="M287">
        <v>30.66</v>
      </c>
      <c r="N287">
        <v>31.22</v>
      </c>
    </row>
    <row r="288" spans="3:14" x14ac:dyDescent="0.15">
      <c r="C288" s="154" t="s">
        <v>1119</v>
      </c>
      <c r="D288" t="s">
        <v>5</v>
      </c>
      <c r="E288" t="s">
        <v>10</v>
      </c>
      <c r="F288" t="s">
        <v>9</v>
      </c>
      <c r="G288" t="s">
        <v>117</v>
      </c>
      <c r="H288" t="s">
        <v>60</v>
      </c>
      <c r="I288">
        <v>68.209999999999994</v>
      </c>
      <c r="J288">
        <v>68.930000000000007</v>
      </c>
      <c r="K288">
        <v>68.38</v>
      </c>
      <c r="L288">
        <v>29.04</v>
      </c>
      <c r="M288">
        <v>29.06</v>
      </c>
      <c r="N288">
        <v>29.62</v>
      </c>
    </row>
    <row r="289" spans="3:14" x14ac:dyDescent="0.15">
      <c r="C289" s="154" t="s">
        <v>1119</v>
      </c>
      <c r="D289" t="s">
        <v>5</v>
      </c>
      <c r="E289" t="s">
        <v>10</v>
      </c>
      <c r="F289" t="s">
        <v>9</v>
      </c>
      <c r="G289" t="s">
        <v>117</v>
      </c>
      <c r="H289" t="s">
        <v>648</v>
      </c>
      <c r="I289">
        <v>67.16</v>
      </c>
      <c r="J289">
        <v>67.88</v>
      </c>
      <c r="K289">
        <v>67.33</v>
      </c>
      <c r="L289">
        <v>27.99</v>
      </c>
      <c r="M289">
        <v>28.01</v>
      </c>
      <c r="N289">
        <v>28.57</v>
      </c>
    </row>
    <row r="290" spans="3:14" x14ac:dyDescent="0.15">
      <c r="C290" s="154" t="s">
        <v>1107</v>
      </c>
      <c r="D290" t="s">
        <v>5</v>
      </c>
      <c r="E290" t="s">
        <v>91</v>
      </c>
      <c r="F290" t="s">
        <v>6</v>
      </c>
      <c r="G290" t="s">
        <v>1106</v>
      </c>
      <c r="H290" t="s">
        <v>59</v>
      </c>
      <c r="I290">
        <v>79.989999999999995</v>
      </c>
      <c r="J290">
        <v>79.11</v>
      </c>
      <c r="K290">
        <v>78.150000000000006</v>
      </c>
      <c r="L290">
        <v>43.22</v>
      </c>
      <c r="M290">
        <v>41.85</v>
      </c>
      <c r="N290">
        <v>41.25</v>
      </c>
    </row>
    <row r="291" spans="3:14" x14ac:dyDescent="0.15">
      <c r="C291" s="154" t="s">
        <v>1107</v>
      </c>
      <c r="D291" t="s">
        <v>5</v>
      </c>
      <c r="E291" t="s">
        <v>91</v>
      </c>
      <c r="F291" t="s">
        <v>6</v>
      </c>
      <c r="G291" t="s">
        <v>1106</v>
      </c>
      <c r="H291" t="s">
        <v>60</v>
      </c>
      <c r="I291">
        <v>78.39</v>
      </c>
      <c r="J291">
        <v>77.510000000000005</v>
      </c>
      <c r="K291">
        <v>76.55</v>
      </c>
      <c r="L291">
        <v>41.62</v>
      </c>
      <c r="M291">
        <v>40.25</v>
      </c>
      <c r="N291">
        <v>39.65</v>
      </c>
    </row>
    <row r="292" spans="3:14" x14ac:dyDescent="0.15">
      <c r="C292" s="154" t="s">
        <v>1107</v>
      </c>
      <c r="D292" t="s">
        <v>5</v>
      </c>
      <c r="E292" t="s">
        <v>91</v>
      </c>
      <c r="F292" t="s">
        <v>6</v>
      </c>
      <c r="G292" t="s">
        <v>1106</v>
      </c>
      <c r="H292" t="s">
        <v>648</v>
      </c>
      <c r="I292">
        <v>77.34</v>
      </c>
      <c r="J292">
        <v>76.459999999999994</v>
      </c>
      <c r="K292">
        <v>75.5</v>
      </c>
      <c r="L292">
        <v>40.57</v>
      </c>
      <c r="M292">
        <v>39.200000000000003</v>
      </c>
      <c r="N292">
        <v>38.6</v>
      </c>
    </row>
    <row r="293" spans="3:14" x14ac:dyDescent="0.15">
      <c r="C293" s="154" t="s">
        <v>1108</v>
      </c>
      <c r="D293" t="s">
        <v>5</v>
      </c>
      <c r="E293" t="s">
        <v>91</v>
      </c>
      <c r="F293" t="s">
        <v>6</v>
      </c>
      <c r="G293" t="s">
        <v>1106</v>
      </c>
      <c r="H293" t="s">
        <v>59</v>
      </c>
      <c r="I293">
        <v>78.91</v>
      </c>
      <c r="J293">
        <v>78.599999999999994</v>
      </c>
      <c r="K293">
        <v>77.67</v>
      </c>
      <c r="L293">
        <v>41.91</v>
      </c>
      <c r="M293">
        <v>41.23</v>
      </c>
      <c r="N293">
        <v>40.68</v>
      </c>
    </row>
    <row r="294" spans="3:14" x14ac:dyDescent="0.15">
      <c r="C294" s="154" t="s">
        <v>1108</v>
      </c>
      <c r="D294" t="s">
        <v>5</v>
      </c>
      <c r="E294" t="s">
        <v>91</v>
      </c>
      <c r="F294" t="s">
        <v>6</v>
      </c>
      <c r="G294" t="s">
        <v>1106</v>
      </c>
      <c r="H294" t="s">
        <v>60</v>
      </c>
      <c r="I294">
        <v>77.31</v>
      </c>
      <c r="J294">
        <v>77</v>
      </c>
      <c r="K294">
        <v>76.069999999999993</v>
      </c>
      <c r="L294">
        <v>40.31</v>
      </c>
      <c r="M294">
        <v>39.630000000000003</v>
      </c>
      <c r="N294">
        <v>39.08</v>
      </c>
    </row>
    <row r="295" spans="3:14" x14ac:dyDescent="0.15">
      <c r="C295" s="154" t="s">
        <v>1108</v>
      </c>
      <c r="D295" t="s">
        <v>5</v>
      </c>
      <c r="E295" t="s">
        <v>91</v>
      </c>
      <c r="F295" t="s">
        <v>6</v>
      </c>
      <c r="G295" t="s">
        <v>1106</v>
      </c>
      <c r="H295" t="s">
        <v>648</v>
      </c>
      <c r="I295">
        <v>76.260000000000005</v>
      </c>
      <c r="J295">
        <v>75.95</v>
      </c>
      <c r="K295">
        <v>75.02</v>
      </c>
      <c r="L295">
        <v>39.26</v>
      </c>
      <c r="M295">
        <v>38.58</v>
      </c>
      <c r="N295">
        <v>38.03</v>
      </c>
    </row>
    <row r="296" spans="3:14" x14ac:dyDescent="0.15">
      <c r="C296" s="154" t="s">
        <v>1109</v>
      </c>
      <c r="D296" t="s">
        <v>5</v>
      </c>
      <c r="E296" t="s">
        <v>91</v>
      </c>
      <c r="F296" t="s">
        <v>6</v>
      </c>
      <c r="G296" t="s">
        <v>1106</v>
      </c>
      <c r="H296" t="s">
        <v>59</v>
      </c>
      <c r="I296">
        <v>77.709999999999994</v>
      </c>
      <c r="J296">
        <v>77.67</v>
      </c>
      <c r="K296">
        <v>77.14</v>
      </c>
      <c r="L296">
        <v>40.49</v>
      </c>
      <c r="M296">
        <v>40.409999999999997</v>
      </c>
      <c r="N296">
        <v>40.08</v>
      </c>
    </row>
    <row r="297" spans="3:14" x14ac:dyDescent="0.15">
      <c r="C297" s="154" t="s">
        <v>1109</v>
      </c>
      <c r="D297" t="s">
        <v>5</v>
      </c>
      <c r="E297" t="s">
        <v>91</v>
      </c>
      <c r="F297" t="s">
        <v>6</v>
      </c>
      <c r="G297" t="s">
        <v>1106</v>
      </c>
      <c r="H297" t="s">
        <v>60</v>
      </c>
      <c r="I297">
        <v>76.11</v>
      </c>
      <c r="J297">
        <v>76.069999999999993</v>
      </c>
      <c r="K297">
        <v>75.540000000000006</v>
      </c>
      <c r="L297">
        <v>38.89</v>
      </c>
      <c r="M297">
        <v>38.81</v>
      </c>
      <c r="N297">
        <v>38.479999999999997</v>
      </c>
    </row>
    <row r="298" spans="3:14" x14ac:dyDescent="0.15">
      <c r="C298" s="154" t="s">
        <v>1109</v>
      </c>
      <c r="D298" t="s">
        <v>5</v>
      </c>
      <c r="E298" t="s">
        <v>91</v>
      </c>
      <c r="F298" t="s">
        <v>6</v>
      </c>
      <c r="G298" t="s">
        <v>1106</v>
      </c>
      <c r="H298" t="s">
        <v>648</v>
      </c>
      <c r="I298">
        <v>75.06</v>
      </c>
      <c r="J298">
        <v>75.02</v>
      </c>
      <c r="K298">
        <v>74.489999999999995</v>
      </c>
      <c r="L298">
        <v>37.840000000000003</v>
      </c>
      <c r="M298">
        <v>37.76</v>
      </c>
      <c r="N298">
        <v>37.43</v>
      </c>
    </row>
    <row r="299" spans="3:14" x14ac:dyDescent="0.15">
      <c r="C299" s="154" t="s">
        <v>1110</v>
      </c>
      <c r="D299" t="s">
        <v>5</v>
      </c>
      <c r="E299" t="s">
        <v>91</v>
      </c>
      <c r="F299" t="s">
        <v>6</v>
      </c>
      <c r="G299" t="s">
        <v>1106</v>
      </c>
      <c r="H299" t="s">
        <v>59</v>
      </c>
      <c r="I299">
        <v>76.41</v>
      </c>
      <c r="J299">
        <v>76.77</v>
      </c>
      <c r="K299">
        <v>76.55</v>
      </c>
      <c r="L299">
        <v>39.11</v>
      </c>
      <c r="M299">
        <v>39.58</v>
      </c>
      <c r="N299">
        <v>39.49</v>
      </c>
    </row>
    <row r="300" spans="3:14" x14ac:dyDescent="0.15">
      <c r="C300" s="154" t="s">
        <v>1110</v>
      </c>
      <c r="D300" t="s">
        <v>5</v>
      </c>
      <c r="E300" t="s">
        <v>91</v>
      </c>
      <c r="F300" t="s">
        <v>6</v>
      </c>
      <c r="G300" t="s">
        <v>1106</v>
      </c>
      <c r="H300" t="s">
        <v>60</v>
      </c>
      <c r="I300">
        <v>74.81</v>
      </c>
      <c r="J300">
        <v>75.17</v>
      </c>
      <c r="K300">
        <v>74.95</v>
      </c>
      <c r="L300">
        <v>37.51</v>
      </c>
      <c r="M300">
        <v>37.979999999999997</v>
      </c>
      <c r="N300">
        <v>37.89</v>
      </c>
    </row>
    <row r="301" spans="3:14" x14ac:dyDescent="0.15">
      <c r="C301" s="154" t="s">
        <v>1110</v>
      </c>
      <c r="D301" t="s">
        <v>5</v>
      </c>
      <c r="E301" t="s">
        <v>91</v>
      </c>
      <c r="F301" t="s">
        <v>6</v>
      </c>
      <c r="G301" t="s">
        <v>1106</v>
      </c>
      <c r="H301" t="s">
        <v>648</v>
      </c>
      <c r="I301">
        <v>73.760000000000005</v>
      </c>
      <c r="J301">
        <v>74.12</v>
      </c>
      <c r="K301">
        <v>73.900000000000006</v>
      </c>
      <c r="L301">
        <v>36.46</v>
      </c>
      <c r="M301">
        <v>36.93</v>
      </c>
      <c r="N301">
        <v>36.840000000000003</v>
      </c>
    </row>
    <row r="302" spans="3:14" x14ac:dyDescent="0.15">
      <c r="C302" s="154" t="s">
        <v>1111</v>
      </c>
      <c r="D302" t="s">
        <v>5</v>
      </c>
      <c r="E302" t="s">
        <v>91</v>
      </c>
      <c r="F302" t="s">
        <v>6</v>
      </c>
      <c r="G302" t="s">
        <v>1106</v>
      </c>
      <c r="H302" t="s">
        <v>59</v>
      </c>
      <c r="I302">
        <v>75.03</v>
      </c>
      <c r="J302">
        <v>75.72</v>
      </c>
      <c r="K302">
        <v>75.959999999999994</v>
      </c>
      <c r="L302">
        <v>37.659999999999997</v>
      </c>
      <c r="M302">
        <v>38.6</v>
      </c>
      <c r="N302">
        <v>38.86</v>
      </c>
    </row>
    <row r="303" spans="3:14" x14ac:dyDescent="0.15">
      <c r="C303" s="154" t="s">
        <v>1111</v>
      </c>
      <c r="D303" t="s">
        <v>5</v>
      </c>
      <c r="E303" t="s">
        <v>91</v>
      </c>
      <c r="F303" t="s">
        <v>6</v>
      </c>
      <c r="G303" t="s">
        <v>1106</v>
      </c>
      <c r="H303" t="s">
        <v>60</v>
      </c>
      <c r="I303">
        <v>73.430000000000007</v>
      </c>
      <c r="J303">
        <v>74.12</v>
      </c>
      <c r="K303">
        <v>74.36</v>
      </c>
      <c r="L303">
        <v>36.06</v>
      </c>
      <c r="M303">
        <v>37</v>
      </c>
      <c r="N303">
        <v>37.26</v>
      </c>
    </row>
    <row r="304" spans="3:14" x14ac:dyDescent="0.15">
      <c r="C304" s="154" t="s">
        <v>1111</v>
      </c>
      <c r="D304" t="s">
        <v>5</v>
      </c>
      <c r="E304" t="s">
        <v>91</v>
      </c>
      <c r="F304" t="s">
        <v>6</v>
      </c>
      <c r="G304" t="s">
        <v>1106</v>
      </c>
      <c r="H304" t="s">
        <v>648</v>
      </c>
      <c r="I304">
        <v>72.38</v>
      </c>
      <c r="J304">
        <v>73.069999999999993</v>
      </c>
      <c r="K304">
        <v>73.31</v>
      </c>
      <c r="L304">
        <v>35.01</v>
      </c>
      <c r="M304">
        <v>35.950000000000003</v>
      </c>
      <c r="N304">
        <v>36.21</v>
      </c>
    </row>
    <row r="305" spans="3:14" x14ac:dyDescent="0.15">
      <c r="C305" s="154" t="s">
        <v>1112</v>
      </c>
      <c r="D305" t="s">
        <v>5</v>
      </c>
      <c r="E305" t="s">
        <v>91</v>
      </c>
      <c r="F305" t="s">
        <v>6</v>
      </c>
      <c r="G305" t="s">
        <v>1106</v>
      </c>
      <c r="H305" t="s">
        <v>59</v>
      </c>
      <c r="I305">
        <v>75.27</v>
      </c>
      <c r="J305">
        <v>75.53</v>
      </c>
      <c r="K305">
        <v>76.099999999999994</v>
      </c>
      <c r="L305">
        <v>37.840000000000003</v>
      </c>
      <c r="M305">
        <v>38.57</v>
      </c>
      <c r="N305">
        <v>39.03</v>
      </c>
    </row>
    <row r="306" spans="3:14" x14ac:dyDescent="0.15">
      <c r="C306" s="154" t="s">
        <v>1112</v>
      </c>
      <c r="D306" t="s">
        <v>5</v>
      </c>
      <c r="E306" t="s">
        <v>91</v>
      </c>
      <c r="F306" t="s">
        <v>6</v>
      </c>
      <c r="G306" t="s">
        <v>1106</v>
      </c>
      <c r="H306" t="s">
        <v>60</v>
      </c>
      <c r="I306">
        <v>73.67</v>
      </c>
      <c r="J306">
        <v>73.930000000000007</v>
      </c>
      <c r="K306">
        <v>74.5</v>
      </c>
      <c r="L306">
        <v>36.24</v>
      </c>
      <c r="M306">
        <v>36.97</v>
      </c>
      <c r="N306">
        <v>37.43</v>
      </c>
    </row>
    <row r="307" spans="3:14" x14ac:dyDescent="0.15">
      <c r="C307" s="154" t="s">
        <v>1112</v>
      </c>
      <c r="D307" t="s">
        <v>5</v>
      </c>
      <c r="E307" t="s">
        <v>91</v>
      </c>
      <c r="F307" t="s">
        <v>6</v>
      </c>
      <c r="G307" t="s">
        <v>1106</v>
      </c>
      <c r="H307" t="s">
        <v>648</v>
      </c>
      <c r="I307">
        <v>72.62</v>
      </c>
      <c r="J307">
        <v>72.88</v>
      </c>
      <c r="K307">
        <v>73.45</v>
      </c>
      <c r="L307">
        <v>35.19</v>
      </c>
      <c r="M307">
        <v>35.92</v>
      </c>
      <c r="N307">
        <v>36.380000000000003</v>
      </c>
    </row>
    <row r="308" spans="3:14" x14ac:dyDescent="0.15">
      <c r="C308" s="154" t="s">
        <v>1113</v>
      </c>
      <c r="D308" t="s">
        <v>5</v>
      </c>
      <c r="E308" t="s">
        <v>91</v>
      </c>
      <c r="F308" t="s">
        <v>6</v>
      </c>
      <c r="G308" t="s">
        <v>1106</v>
      </c>
      <c r="H308" t="s">
        <v>59</v>
      </c>
      <c r="I308">
        <v>75.45</v>
      </c>
      <c r="J308">
        <v>75.400000000000006</v>
      </c>
      <c r="K308">
        <v>76.31</v>
      </c>
      <c r="L308">
        <v>38.06</v>
      </c>
      <c r="M308">
        <v>38.54</v>
      </c>
      <c r="N308">
        <v>39.21</v>
      </c>
    </row>
    <row r="309" spans="3:14" x14ac:dyDescent="0.15">
      <c r="C309" s="154" t="s">
        <v>1113</v>
      </c>
      <c r="D309" t="s">
        <v>5</v>
      </c>
      <c r="E309" t="s">
        <v>91</v>
      </c>
      <c r="F309" t="s">
        <v>6</v>
      </c>
      <c r="G309" t="s">
        <v>1106</v>
      </c>
      <c r="H309" t="s">
        <v>60</v>
      </c>
      <c r="I309">
        <v>73.849999999999994</v>
      </c>
      <c r="J309">
        <v>73.8</v>
      </c>
      <c r="K309">
        <v>74.709999999999994</v>
      </c>
      <c r="L309">
        <v>36.46</v>
      </c>
      <c r="M309">
        <v>36.94</v>
      </c>
      <c r="N309">
        <v>37.61</v>
      </c>
    </row>
    <row r="310" spans="3:14" x14ac:dyDescent="0.15">
      <c r="C310" s="154" t="s">
        <v>1113</v>
      </c>
      <c r="D310" t="s">
        <v>5</v>
      </c>
      <c r="E310" t="s">
        <v>91</v>
      </c>
      <c r="F310" t="s">
        <v>6</v>
      </c>
      <c r="G310" t="s">
        <v>1106</v>
      </c>
      <c r="H310" t="s">
        <v>648</v>
      </c>
      <c r="I310">
        <v>72.8</v>
      </c>
      <c r="J310">
        <v>72.75</v>
      </c>
      <c r="K310">
        <v>73.66</v>
      </c>
      <c r="L310">
        <v>35.409999999999997</v>
      </c>
      <c r="M310">
        <v>35.89</v>
      </c>
      <c r="N310">
        <v>36.56</v>
      </c>
    </row>
    <row r="311" spans="3:14" x14ac:dyDescent="0.15">
      <c r="C311" s="154" t="s">
        <v>1114</v>
      </c>
      <c r="D311" t="s">
        <v>5</v>
      </c>
      <c r="E311" t="s">
        <v>91</v>
      </c>
      <c r="F311" t="s">
        <v>6</v>
      </c>
      <c r="G311" t="s">
        <v>1106</v>
      </c>
      <c r="H311" t="s">
        <v>59</v>
      </c>
      <c r="I311">
        <v>75.569999999999993</v>
      </c>
      <c r="J311">
        <v>75.349999999999994</v>
      </c>
      <c r="K311">
        <v>76.44</v>
      </c>
      <c r="L311">
        <v>38.26</v>
      </c>
      <c r="M311">
        <v>38.54</v>
      </c>
      <c r="N311">
        <v>39.39</v>
      </c>
    </row>
    <row r="312" spans="3:14" x14ac:dyDescent="0.15">
      <c r="C312" s="154" t="s">
        <v>1114</v>
      </c>
      <c r="D312" t="s">
        <v>5</v>
      </c>
      <c r="E312" t="s">
        <v>91</v>
      </c>
      <c r="F312" t="s">
        <v>6</v>
      </c>
      <c r="G312" t="s">
        <v>1106</v>
      </c>
      <c r="H312" t="s">
        <v>60</v>
      </c>
      <c r="I312">
        <v>73.97</v>
      </c>
      <c r="J312">
        <v>73.75</v>
      </c>
      <c r="K312">
        <v>74.84</v>
      </c>
      <c r="L312">
        <v>36.659999999999997</v>
      </c>
      <c r="M312">
        <v>36.94</v>
      </c>
      <c r="N312">
        <v>37.79</v>
      </c>
    </row>
    <row r="313" spans="3:14" x14ac:dyDescent="0.15">
      <c r="C313" s="154" t="s">
        <v>1114</v>
      </c>
      <c r="D313" t="s">
        <v>5</v>
      </c>
      <c r="E313" t="s">
        <v>91</v>
      </c>
      <c r="F313" t="s">
        <v>6</v>
      </c>
      <c r="G313" t="s">
        <v>1106</v>
      </c>
      <c r="H313" t="s">
        <v>648</v>
      </c>
      <c r="I313">
        <v>72.92</v>
      </c>
      <c r="J313">
        <v>72.7</v>
      </c>
      <c r="K313">
        <v>73.790000000000006</v>
      </c>
      <c r="L313">
        <v>35.61</v>
      </c>
      <c r="M313">
        <v>35.89</v>
      </c>
      <c r="N313">
        <v>36.74</v>
      </c>
    </row>
    <row r="314" spans="3:14" x14ac:dyDescent="0.15">
      <c r="C314" s="154" t="s">
        <v>1115</v>
      </c>
      <c r="D314" t="s">
        <v>5</v>
      </c>
      <c r="E314" t="s">
        <v>91</v>
      </c>
      <c r="F314" t="s">
        <v>6</v>
      </c>
      <c r="G314" t="s">
        <v>1106</v>
      </c>
      <c r="H314" t="s">
        <v>59</v>
      </c>
      <c r="I314">
        <v>75.739999999999995</v>
      </c>
      <c r="J314">
        <v>75.69</v>
      </c>
      <c r="K314">
        <v>76.56</v>
      </c>
      <c r="L314">
        <v>38.47</v>
      </c>
      <c r="M314">
        <v>38.700000000000003</v>
      </c>
      <c r="N314">
        <v>39.590000000000003</v>
      </c>
    </row>
    <row r="315" spans="3:14" x14ac:dyDescent="0.15">
      <c r="C315" s="154" t="s">
        <v>1115</v>
      </c>
      <c r="D315" t="s">
        <v>5</v>
      </c>
      <c r="E315" t="s">
        <v>91</v>
      </c>
      <c r="F315" t="s">
        <v>6</v>
      </c>
      <c r="G315" t="s">
        <v>1106</v>
      </c>
      <c r="H315" t="s">
        <v>60</v>
      </c>
      <c r="I315">
        <v>74.14</v>
      </c>
      <c r="J315">
        <v>74.09</v>
      </c>
      <c r="K315">
        <v>74.959999999999994</v>
      </c>
      <c r="L315">
        <v>36.869999999999997</v>
      </c>
      <c r="M315">
        <v>37.1</v>
      </c>
      <c r="N315">
        <v>37.99</v>
      </c>
    </row>
    <row r="316" spans="3:14" x14ac:dyDescent="0.15">
      <c r="C316" s="154" t="s">
        <v>1115</v>
      </c>
      <c r="D316" t="s">
        <v>5</v>
      </c>
      <c r="E316" t="s">
        <v>91</v>
      </c>
      <c r="F316" t="s">
        <v>6</v>
      </c>
      <c r="G316" t="s">
        <v>1106</v>
      </c>
      <c r="H316" t="s">
        <v>648</v>
      </c>
      <c r="I316">
        <v>73.09</v>
      </c>
      <c r="J316">
        <v>73.040000000000006</v>
      </c>
      <c r="K316">
        <v>73.91</v>
      </c>
      <c r="L316">
        <v>35.82</v>
      </c>
      <c r="M316">
        <v>36.049999999999997</v>
      </c>
      <c r="N316">
        <v>36.94</v>
      </c>
    </row>
    <row r="317" spans="3:14" x14ac:dyDescent="0.15">
      <c r="C317" s="154" t="s">
        <v>1117</v>
      </c>
      <c r="D317" t="s">
        <v>5</v>
      </c>
      <c r="E317" t="s">
        <v>91</v>
      </c>
      <c r="F317" t="s">
        <v>6</v>
      </c>
      <c r="G317" t="s">
        <v>1106</v>
      </c>
      <c r="H317" t="s">
        <v>59</v>
      </c>
      <c r="I317">
        <v>75.91</v>
      </c>
      <c r="J317">
        <v>75.900000000000006</v>
      </c>
      <c r="K317">
        <v>76.7</v>
      </c>
      <c r="L317">
        <v>38.659999999999997</v>
      </c>
      <c r="M317">
        <v>38.840000000000003</v>
      </c>
      <c r="N317">
        <v>39.75</v>
      </c>
    </row>
    <row r="318" spans="3:14" x14ac:dyDescent="0.15">
      <c r="C318" s="154" t="s">
        <v>1117</v>
      </c>
      <c r="D318" t="s">
        <v>5</v>
      </c>
      <c r="E318" t="s">
        <v>91</v>
      </c>
      <c r="F318" t="s">
        <v>6</v>
      </c>
      <c r="G318" t="s">
        <v>1106</v>
      </c>
      <c r="H318" t="s">
        <v>60</v>
      </c>
      <c r="I318">
        <v>74.31</v>
      </c>
      <c r="J318">
        <v>74.3</v>
      </c>
      <c r="K318">
        <v>75.099999999999994</v>
      </c>
      <c r="L318">
        <v>37.06</v>
      </c>
      <c r="M318">
        <v>37.24</v>
      </c>
      <c r="N318">
        <v>38.15</v>
      </c>
    </row>
    <row r="319" spans="3:14" x14ac:dyDescent="0.15">
      <c r="C319" s="154" t="s">
        <v>1117</v>
      </c>
      <c r="D319" t="s">
        <v>5</v>
      </c>
      <c r="E319" t="s">
        <v>91</v>
      </c>
      <c r="F319" t="s">
        <v>6</v>
      </c>
      <c r="G319" t="s">
        <v>1106</v>
      </c>
      <c r="H319" t="s">
        <v>648</v>
      </c>
      <c r="I319">
        <v>73.260000000000005</v>
      </c>
      <c r="J319">
        <v>73.25</v>
      </c>
      <c r="K319">
        <v>74.05</v>
      </c>
      <c r="L319">
        <v>36.01</v>
      </c>
      <c r="M319">
        <v>36.19</v>
      </c>
      <c r="N319">
        <v>37.1</v>
      </c>
    </row>
    <row r="320" spans="3:14" x14ac:dyDescent="0.15">
      <c r="C320" s="154" t="s">
        <v>1118</v>
      </c>
      <c r="D320" t="s">
        <v>5</v>
      </c>
      <c r="E320" t="s">
        <v>91</v>
      </c>
      <c r="F320" t="s">
        <v>6</v>
      </c>
      <c r="G320" t="s">
        <v>1106</v>
      </c>
      <c r="H320" t="s">
        <v>59</v>
      </c>
      <c r="I320">
        <v>76</v>
      </c>
      <c r="J320">
        <v>76.22</v>
      </c>
      <c r="K320">
        <v>76.8</v>
      </c>
      <c r="L320">
        <v>38.82</v>
      </c>
      <c r="M320">
        <v>39.090000000000003</v>
      </c>
      <c r="N320">
        <v>39.9</v>
      </c>
    </row>
    <row r="321" spans="3:14" x14ac:dyDescent="0.15">
      <c r="C321" s="154" t="s">
        <v>1118</v>
      </c>
      <c r="D321" t="s">
        <v>5</v>
      </c>
      <c r="E321" t="s">
        <v>91</v>
      </c>
      <c r="F321" t="s">
        <v>6</v>
      </c>
      <c r="G321" t="s">
        <v>1106</v>
      </c>
      <c r="H321" t="s">
        <v>60</v>
      </c>
      <c r="I321">
        <v>74.400000000000006</v>
      </c>
      <c r="J321">
        <v>74.62</v>
      </c>
      <c r="K321">
        <v>75.2</v>
      </c>
      <c r="L321">
        <v>37.22</v>
      </c>
      <c r="M321">
        <v>37.49</v>
      </c>
      <c r="N321">
        <v>38.299999999999997</v>
      </c>
    </row>
    <row r="322" spans="3:14" x14ac:dyDescent="0.15">
      <c r="C322" s="154" t="s">
        <v>1118</v>
      </c>
      <c r="D322" t="s">
        <v>5</v>
      </c>
      <c r="E322" t="s">
        <v>91</v>
      </c>
      <c r="F322" t="s">
        <v>6</v>
      </c>
      <c r="G322" t="s">
        <v>1106</v>
      </c>
      <c r="H322" t="s">
        <v>648</v>
      </c>
      <c r="I322">
        <v>73.349999999999994</v>
      </c>
      <c r="J322">
        <v>73.569999999999993</v>
      </c>
      <c r="K322">
        <v>74.150000000000006</v>
      </c>
      <c r="L322">
        <v>36.17</v>
      </c>
      <c r="M322">
        <v>36.44</v>
      </c>
      <c r="N322">
        <v>37.25</v>
      </c>
    </row>
    <row r="323" spans="3:14" x14ac:dyDescent="0.15">
      <c r="C323" s="154" t="s">
        <v>1119</v>
      </c>
      <c r="D323" t="s">
        <v>5</v>
      </c>
      <c r="E323" t="s">
        <v>91</v>
      </c>
      <c r="F323" t="s">
        <v>6</v>
      </c>
      <c r="G323" t="s">
        <v>1106</v>
      </c>
      <c r="H323" t="s">
        <v>59</v>
      </c>
      <c r="I323">
        <v>76.180000000000007</v>
      </c>
      <c r="J323">
        <v>76.73</v>
      </c>
      <c r="K323">
        <v>77</v>
      </c>
      <c r="L323">
        <v>39.07</v>
      </c>
      <c r="M323">
        <v>39.520000000000003</v>
      </c>
      <c r="N323">
        <v>40.11</v>
      </c>
    </row>
    <row r="324" spans="3:14" x14ac:dyDescent="0.15">
      <c r="C324" s="154" t="s">
        <v>1119</v>
      </c>
      <c r="D324" t="s">
        <v>5</v>
      </c>
      <c r="E324" t="s">
        <v>91</v>
      </c>
      <c r="F324" t="s">
        <v>6</v>
      </c>
      <c r="G324" t="s">
        <v>1106</v>
      </c>
      <c r="H324" t="s">
        <v>60</v>
      </c>
      <c r="I324">
        <v>74.58</v>
      </c>
      <c r="J324">
        <v>75.13</v>
      </c>
      <c r="K324">
        <v>75.400000000000006</v>
      </c>
      <c r="L324">
        <v>37.47</v>
      </c>
      <c r="M324">
        <v>37.92</v>
      </c>
      <c r="N324">
        <v>38.51</v>
      </c>
    </row>
    <row r="325" spans="3:14" x14ac:dyDescent="0.15">
      <c r="C325" s="154" t="s">
        <v>1119</v>
      </c>
      <c r="D325" t="s">
        <v>5</v>
      </c>
      <c r="E325" t="s">
        <v>91</v>
      </c>
      <c r="F325" t="s">
        <v>6</v>
      </c>
      <c r="G325" t="s">
        <v>1106</v>
      </c>
      <c r="H325" t="s">
        <v>648</v>
      </c>
      <c r="I325">
        <v>73.53</v>
      </c>
      <c r="J325">
        <v>74.08</v>
      </c>
      <c r="K325">
        <v>74.349999999999994</v>
      </c>
      <c r="L325">
        <v>36.42</v>
      </c>
      <c r="M325">
        <v>36.869999999999997</v>
      </c>
      <c r="N325">
        <v>37.46</v>
      </c>
    </row>
    <row r="326" spans="3:14" x14ac:dyDescent="0.15">
      <c r="C326" s="154" t="s">
        <v>1107</v>
      </c>
      <c r="D326" t="s">
        <v>5</v>
      </c>
      <c r="E326" t="s">
        <v>12</v>
      </c>
      <c r="F326" t="s">
        <v>13</v>
      </c>
      <c r="G326" t="s">
        <v>117</v>
      </c>
      <c r="H326" t="s">
        <v>59</v>
      </c>
      <c r="I326">
        <v>72.56</v>
      </c>
      <c r="J326">
        <v>73.39</v>
      </c>
      <c r="K326">
        <v>72.89</v>
      </c>
      <c r="L326">
        <v>30.96</v>
      </c>
      <c r="M326">
        <v>31.45</v>
      </c>
      <c r="N326">
        <v>31.44</v>
      </c>
    </row>
    <row r="327" spans="3:14" x14ac:dyDescent="0.15">
      <c r="C327" s="154" t="s">
        <v>1107</v>
      </c>
      <c r="D327" t="s">
        <v>5</v>
      </c>
      <c r="E327" t="s">
        <v>12</v>
      </c>
      <c r="F327" t="s">
        <v>13</v>
      </c>
      <c r="G327" t="s">
        <v>117</v>
      </c>
      <c r="H327" t="s">
        <v>60</v>
      </c>
      <c r="I327">
        <v>70.959999999999994</v>
      </c>
      <c r="J327">
        <v>71.790000000000006</v>
      </c>
      <c r="K327">
        <v>71.290000000000006</v>
      </c>
      <c r="L327">
        <v>29.36</v>
      </c>
      <c r="M327">
        <v>29.85</v>
      </c>
      <c r="N327">
        <v>29.84</v>
      </c>
    </row>
    <row r="328" spans="3:14" x14ac:dyDescent="0.15">
      <c r="C328" s="154" t="s">
        <v>1107</v>
      </c>
      <c r="D328" t="s">
        <v>5</v>
      </c>
      <c r="E328" t="s">
        <v>12</v>
      </c>
      <c r="F328" t="s">
        <v>13</v>
      </c>
      <c r="G328" t="s">
        <v>117</v>
      </c>
      <c r="H328" t="s">
        <v>648</v>
      </c>
      <c r="I328">
        <v>69.91</v>
      </c>
      <c r="J328">
        <v>70.739999999999995</v>
      </c>
      <c r="K328">
        <v>70.239999999999995</v>
      </c>
      <c r="L328">
        <v>28.31</v>
      </c>
      <c r="M328">
        <v>28.8</v>
      </c>
      <c r="N328">
        <v>28.79</v>
      </c>
    </row>
    <row r="329" spans="3:14" x14ac:dyDescent="0.15">
      <c r="C329" s="154" t="s">
        <v>1108</v>
      </c>
      <c r="D329" t="s">
        <v>5</v>
      </c>
      <c r="E329" t="s">
        <v>12</v>
      </c>
      <c r="F329" t="s">
        <v>13</v>
      </c>
      <c r="G329" t="s">
        <v>117</v>
      </c>
      <c r="H329" t="s">
        <v>59</v>
      </c>
      <c r="I329">
        <v>73.459999999999994</v>
      </c>
      <c r="J329">
        <v>73</v>
      </c>
      <c r="K329">
        <v>73.290000000000006</v>
      </c>
      <c r="L329">
        <v>30.95</v>
      </c>
      <c r="M329">
        <v>30.83</v>
      </c>
      <c r="N329">
        <v>31.42</v>
      </c>
    </row>
    <row r="330" spans="3:14" x14ac:dyDescent="0.15">
      <c r="C330" s="154" t="s">
        <v>1108</v>
      </c>
      <c r="D330" t="s">
        <v>5</v>
      </c>
      <c r="E330" t="s">
        <v>12</v>
      </c>
      <c r="F330" t="s">
        <v>13</v>
      </c>
      <c r="G330" t="s">
        <v>117</v>
      </c>
      <c r="H330" t="s">
        <v>60</v>
      </c>
      <c r="I330">
        <v>71.86</v>
      </c>
      <c r="J330">
        <v>71.400000000000006</v>
      </c>
      <c r="K330">
        <v>71.69</v>
      </c>
      <c r="L330">
        <v>29.35</v>
      </c>
      <c r="M330">
        <v>29.23</v>
      </c>
      <c r="N330">
        <v>29.82</v>
      </c>
    </row>
    <row r="331" spans="3:14" x14ac:dyDescent="0.15">
      <c r="C331" s="154" t="s">
        <v>1108</v>
      </c>
      <c r="D331" t="s">
        <v>5</v>
      </c>
      <c r="E331" t="s">
        <v>12</v>
      </c>
      <c r="F331" t="s">
        <v>13</v>
      </c>
      <c r="G331" t="s">
        <v>117</v>
      </c>
      <c r="H331" t="s">
        <v>648</v>
      </c>
      <c r="I331">
        <v>70.81</v>
      </c>
      <c r="J331">
        <v>70.349999999999994</v>
      </c>
      <c r="K331">
        <v>70.64</v>
      </c>
      <c r="L331">
        <v>28.3</v>
      </c>
      <c r="M331">
        <v>28.18</v>
      </c>
      <c r="N331">
        <v>28.77</v>
      </c>
    </row>
    <row r="332" spans="3:14" x14ac:dyDescent="0.15">
      <c r="C332" s="154" t="s">
        <v>1109</v>
      </c>
      <c r="D332" t="s">
        <v>5</v>
      </c>
      <c r="E332" t="s">
        <v>12</v>
      </c>
      <c r="F332" t="s">
        <v>13</v>
      </c>
      <c r="G332" t="s">
        <v>117</v>
      </c>
      <c r="H332" t="s">
        <v>59</v>
      </c>
      <c r="I332">
        <v>73.94</v>
      </c>
      <c r="J332">
        <v>72.62</v>
      </c>
      <c r="K332">
        <v>73.510000000000005</v>
      </c>
      <c r="L332">
        <v>31.53</v>
      </c>
      <c r="M332">
        <v>30.66</v>
      </c>
      <c r="N332">
        <v>31.77</v>
      </c>
    </row>
    <row r="333" spans="3:14" x14ac:dyDescent="0.15">
      <c r="C333" s="154" t="s">
        <v>1109</v>
      </c>
      <c r="D333" t="s">
        <v>5</v>
      </c>
      <c r="E333" t="s">
        <v>12</v>
      </c>
      <c r="F333" t="s">
        <v>13</v>
      </c>
      <c r="G333" t="s">
        <v>117</v>
      </c>
      <c r="H333" t="s">
        <v>60</v>
      </c>
      <c r="I333">
        <v>72.34</v>
      </c>
      <c r="J333">
        <v>71.02</v>
      </c>
      <c r="K333">
        <v>71.91</v>
      </c>
      <c r="L333">
        <v>29.93</v>
      </c>
      <c r="M333">
        <v>29.06</v>
      </c>
      <c r="N333">
        <v>30.17</v>
      </c>
    </row>
    <row r="334" spans="3:14" x14ac:dyDescent="0.15">
      <c r="C334" s="154" t="s">
        <v>1109</v>
      </c>
      <c r="D334" t="s">
        <v>5</v>
      </c>
      <c r="E334" t="s">
        <v>12</v>
      </c>
      <c r="F334" t="s">
        <v>13</v>
      </c>
      <c r="G334" t="s">
        <v>117</v>
      </c>
      <c r="H334" t="s">
        <v>648</v>
      </c>
      <c r="I334">
        <v>71.290000000000006</v>
      </c>
      <c r="J334">
        <v>69.97</v>
      </c>
      <c r="K334">
        <v>70.86</v>
      </c>
      <c r="L334">
        <v>28.88</v>
      </c>
      <c r="M334">
        <v>28.01</v>
      </c>
      <c r="N334">
        <v>29.12</v>
      </c>
    </row>
    <row r="335" spans="3:14" x14ac:dyDescent="0.15">
      <c r="C335" s="154" t="s">
        <v>1110</v>
      </c>
      <c r="D335" t="s">
        <v>5</v>
      </c>
      <c r="E335" t="s">
        <v>12</v>
      </c>
      <c r="F335" t="s">
        <v>13</v>
      </c>
      <c r="G335" t="s">
        <v>117</v>
      </c>
      <c r="H335" t="s">
        <v>59</v>
      </c>
      <c r="I335">
        <v>73.959999999999994</v>
      </c>
      <c r="J335">
        <v>72.37</v>
      </c>
      <c r="K335">
        <v>73.5</v>
      </c>
      <c r="L335">
        <v>31.41</v>
      </c>
      <c r="M335">
        <v>30.57</v>
      </c>
      <c r="N335">
        <v>31.77</v>
      </c>
    </row>
    <row r="336" spans="3:14" x14ac:dyDescent="0.15">
      <c r="C336" s="154" t="s">
        <v>1110</v>
      </c>
      <c r="D336" t="s">
        <v>5</v>
      </c>
      <c r="E336" t="s">
        <v>12</v>
      </c>
      <c r="F336" t="s">
        <v>13</v>
      </c>
      <c r="G336" t="s">
        <v>117</v>
      </c>
      <c r="H336" t="s">
        <v>60</v>
      </c>
      <c r="I336">
        <v>72.36</v>
      </c>
      <c r="J336">
        <v>70.77</v>
      </c>
      <c r="K336">
        <v>71.900000000000006</v>
      </c>
      <c r="L336">
        <v>29.81</v>
      </c>
      <c r="M336">
        <v>28.97</v>
      </c>
      <c r="N336">
        <v>30.17</v>
      </c>
    </row>
    <row r="337" spans="3:14" x14ac:dyDescent="0.15">
      <c r="C337" s="154" t="s">
        <v>1110</v>
      </c>
      <c r="D337" t="s">
        <v>5</v>
      </c>
      <c r="E337" t="s">
        <v>12</v>
      </c>
      <c r="F337" t="s">
        <v>13</v>
      </c>
      <c r="G337" t="s">
        <v>117</v>
      </c>
      <c r="H337" t="s">
        <v>648</v>
      </c>
      <c r="I337">
        <v>71.31</v>
      </c>
      <c r="J337">
        <v>69.72</v>
      </c>
      <c r="K337">
        <v>70.849999999999994</v>
      </c>
      <c r="L337">
        <v>28.76</v>
      </c>
      <c r="M337">
        <v>27.92</v>
      </c>
      <c r="N337">
        <v>29.12</v>
      </c>
    </row>
    <row r="338" spans="3:14" x14ac:dyDescent="0.15">
      <c r="C338" s="154" t="s">
        <v>1111</v>
      </c>
      <c r="D338" t="s">
        <v>5</v>
      </c>
      <c r="E338" t="s">
        <v>12</v>
      </c>
      <c r="F338" t="s">
        <v>13</v>
      </c>
      <c r="G338" t="s">
        <v>117</v>
      </c>
      <c r="H338" t="s">
        <v>59</v>
      </c>
      <c r="I338">
        <v>73.92</v>
      </c>
      <c r="J338">
        <v>72.06</v>
      </c>
      <c r="K338">
        <v>73.48</v>
      </c>
      <c r="L338">
        <v>31.34</v>
      </c>
      <c r="M338">
        <v>30.48</v>
      </c>
      <c r="N338">
        <v>31.78</v>
      </c>
    </row>
    <row r="339" spans="3:14" x14ac:dyDescent="0.15">
      <c r="C339" s="154" t="s">
        <v>1111</v>
      </c>
      <c r="D339" t="s">
        <v>5</v>
      </c>
      <c r="E339" t="s">
        <v>12</v>
      </c>
      <c r="F339" t="s">
        <v>13</v>
      </c>
      <c r="G339" t="s">
        <v>117</v>
      </c>
      <c r="H339" t="s">
        <v>60</v>
      </c>
      <c r="I339">
        <v>72.319999999999993</v>
      </c>
      <c r="J339">
        <v>70.459999999999994</v>
      </c>
      <c r="K339">
        <v>71.88</v>
      </c>
      <c r="L339">
        <v>29.74</v>
      </c>
      <c r="M339">
        <v>28.88</v>
      </c>
      <c r="N339">
        <v>30.18</v>
      </c>
    </row>
    <row r="340" spans="3:14" x14ac:dyDescent="0.15">
      <c r="C340" s="154" t="s">
        <v>1111</v>
      </c>
      <c r="D340" t="s">
        <v>5</v>
      </c>
      <c r="E340" t="s">
        <v>12</v>
      </c>
      <c r="F340" t="s">
        <v>13</v>
      </c>
      <c r="G340" t="s">
        <v>117</v>
      </c>
      <c r="H340" t="s">
        <v>648</v>
      </c>
      <c r="I340">
        <v>71.27</v>
      </c>
      <c r="J340">
        <v>69.41</v>
      </c>
      <c r="K340">
        <v>70.83</v>
      </c>
      <c r="L340">
        <v>28.69</v>
      </c>
      <c r="M340">
        <v>27.83</v>
      </c>
      <c r="N340">
        <v>29.13</v>
      </c>
    </row>
    <row r="341" spans="3:14" x14ac:dyDescent="0.15">
      <c r="C341" s="154" t="s">
        <v>1112</v>
      </c>
      <c r="D341" t="s">
        <v>5</v>
      </c>
      <c r="E341" t="s">
        <v>12</v>
      </c>
      <c r="F341" t="s">
        <v>13</v>
      </c>
      <c r="G341" t="s">
        <v>117</v>
      </c>
      <c r="H341" t="s">
        <v>59</v>
      </c>
      <c r="I341">
        <v>73.94</v>
      </c>
      <c r="J341">
        <v>72.040000000000006</v>
      </c>
      <c r="K341">
        <v>73.55</v>
      </c>
      <c r="L341">
        <v>31.45</v>
      </c>
      <c r="M341">
        <v>30.87</v>
      </c>
      <c r="N341">
        <v>32.03</v>
      </c>
    </row>
    <row r="342" spans="3:14" x14ac:dyDescent="0.15">
      <c r="C342" s="154" t="s">
        <v>1112</v>
      </c>
      <c r="D342" t="s">
        <v>5</v>
      </c>
      <c r="E342" t="s">
        <v>12</v>
      </c>
      <c r="F342" t="s">
        <v>13</v>
      </c>
      <c r="G342" t="s">
        <v>117</v>
      </c>
      <c r="H342" t="s">
        <v>60</v>
      </c>
      <c r="I342">
        <v>72.34</v>
      </c>
      <c r="J342">
        <v>70.44</v>
      </c>
      <c r="K342">
        <v>71.95</v>
      </c>
      <c r="L342">
        <v>29.85</v>
      </c>
      <c r="M342">
        <v>29.27</v>
      </c>
      <c r="N342">
        <v>30.43</v>
      </c>
    </row>
    <row r="343" spans="3:14" x14ac:dyDescent="0.15">
      <c r="C343" s="154" t="s">
        <v>1112</v>
      </c>
      <c r="D343" t="s">
        <v>5</v>
      </c>
      <c r="E343" t="s">
        <v>12</v>
      </c>
      <c r="F343" t="s">
        <v>13</v>
      </c>
      <c r="G343" t="s">
        <v>117</v>
      </c>
      <c r="H343" t="s">
        <v>648</v>
      </c>
      <c r="I343">
        <v>71.290000000000006</v>
      </c>
      <c r="J343">
        <v>69.39</v>
      </c>
      <c r="K343">
        <v>70.900000000000006</v>
      </c>
      <c r="L343">
        <v>28.8</v>
      </c>
      <c r="M343">
        <v>28.22</v>
      </c>
      <c r="N343">
        <v>29.38</v>
      </c>
    </row>
    <row r="344" spans="3:14" x14ac:dyDescent="0.15">
      <c r="C344" s="154" t="s">
        <v>1113</v>
      </c>
      <c r="D344" t="s">
        <v>5</v>
      </c>
      <c r="E344" t="s">
        <v>12</v>
      </c>
      <c r="F344" t="s">
        <v>13</v>
      </c>
      <c r="G344" t="s">
        <v>117</v>
      </c>
      <c r="H344" t="s">
        <v>59</v>
      </c>
      <c r="I344">
        <v>73.87</v>
      </c>
      <c r="J344">
        <v>73.040000000000006</v>
      </c>
      <c r="K344">
        <v>73.599999999999994</v>
      </c>
      <c r="L344">
        <v>31.59</v>
      </c>
      <c r="M344">
        <v>31.53</v>
      </c>
      <c r="N344">
        <v>32.200000000000003</v>
      </c>
    </row>
    <row r="345" spans="3:14" x14ac:dyDescent="0.15">
      <c r="C345" s="154" t="s">
        <v>1113</v>
      </c>
      <c r="D345" t="s">
        <v>5</v>
      </c>
      <c r="E345" t="s">
        <v>12</v>
      </c>
      <c r="F345" t="s">
        <v>13</v>
      </c>
      <c r="G345" t="s">
        <v>117</v>
      </c>
      <c r="H345" t="s">
        <v>60</v>
      </c>
      <c r="I345">
        <v>72.27</v>
      </c>
      <c r="J345">
        <v>71.44</v>
      </c>
      <c r="K345">
        <v>72</v>
      </c>
      <c r="L345">
        <v>29.99</v>
      </c>
      <c r="M345">
        <v>29.93</v>
      </c>
      <c r="N345">
        <v>30.6</v>
      </c>
    </row>
    <row r="346" spans="3:14" x14ac:dyDescent="0.15">
      <c r="C346" s="154" t="s">
        <v>1113</v>
      </c>
      <c r="D346" t="s">
        <v>5</v>
      </c>
      <c r="E346" t="s">
        <v>12</v>
      </c>
      <c r="F346" t="s">
        <v>13</v>
      </c>
      <c r="G346" t="s">
        <v>117</v>
      </c>
      <c r="H346" t="s">
        <v>648</v>
      </c>
      <c r="I346">
        <v>71.22</v>
      </c>
      <c r="J346">
        <v>70.39</v>
      </c>
      <c r="K346">
        <v>70.95</v>
      </c>
      <c r="L346">
        <v>28.94</v>
      </c>
      <c r="M346">
        <v>28.88</v>
      </c>
      <c r="N346">
        <v>29.55</v>
      </c>
    </row>
    <row r="347" spans="3:14" x14ac:dyDescent="0.15">
      <c r="C347" s="154" t="s">
        <v>1114</v>
      </c>
      <c r="D347" t="s">
        <v>5</v>
      </c>
      <c r="E347" t="s">
        <v>12</v>
      </c>
      <c r="F347" t="s">
        <v>13</v>
      </c>
      <c r="G347" t="s">
        <v>117</v>
      </c>
      <c r="H347" t="s">
        <v>59</v>
      </c>
      <c r="I347">
        <v>73.790000000000006</v>
      </c>
      <c r="J347">
        <v>73.91</v>
      </c>
      <c r="K347">
        <v>73.64</v>
      </c>
      <c r="L347">
        <v>31.7</v>
      </c>
      <c r="M347">
        <v>32.19</v>
      </c>
      <c r="N347">
        <v>32.39</v>
      </c>
    </row>
    <row r="348" spans="3:14" x14ac:dyDescent="0.15">
      <c r="C348" s="154" t="s">
        <v>1114</v>
      </c>
      <c r="D348" t="s">
        <v>5</v>
      </c>
      <c r="E348" t="s">
        <v>12</v>
      </c>
      <c r="F348" t="s">
        <v>13</v>
      </c>
      <c r="G348" t="s">
        <v>117</v>
      </c>
      <c r="H348" t="s">
        <v>60</v>
      </c>
      <c r="I348">
        <v>72.19</v>
      </c>
      <c r="J348">
        <v>72.31</v>
      </c>
      <c r="K348">
        <v>72.040000000000006</v>
      </c>
      <c r="L348">
        <v>30.1</v>
      </c>
      <c r="M348">
        <v>30.59</v>
      </c>
      <c r="N348">
        <v>30.79</v>
      </c>
    </row>
    <row r="349" spans="3:14" x14ac:dyDescent="0.15">
      <c r="C349" s="154" t="s">
        <v>1114</v>
      </c>
      <c r="D349" t="s">
        <v>5</v>
      </c>
      <c r="E349" t="s">
        <v>12</v>
      </c>
      <c r="F349" t="s">
        <v>13</v>
      </c>
      <c r="G349" t="s">
        <v>117</v>
      </c>
      <c r="H349" t="s">
        <v>648</v>
      </c>
      <c r="I349">
        <v>71.14</v>
      </c>
      <c r="J349">
        <v>71.260000000000005</v>
      </c>
      <c r="K349">
        <v>70.989999999999995</v>
      </c>
      <c r="L349">
        <v>29.05</v>
      </c>
      <c r="M349">
        <v>29.54</v>
      </c>
      <c r="N349">
        <v>29.74</v>
      </c>
    </row>
    <row r="350" spans="3:14" x14ac:dyDescent="0.15">
      <c r="C350" s="154" t="s">
        <v>1115</v>
      </c>
      <c r="D350" t="s">
        <v>5</v>
      </c>
      <c r="E350" t="s">
        <v>12</v>
      </c>
      <c r="F350" t="s">
        <v>13</v>
      </c>
      <c r="G350" t="s">
        <v>117</v>
      </c>
      <c r="H350" t="s">
        <v>59</v>
      </c>
      <c r="I350">
        <v>73.69</v>
      </c>
      <c r="J350">
        <v>74.5</v>
      </c>
      <c r="K350">
        <v>73.599999999999994</v>
      </c>
      <c r="L350">
        <v>31.68</v>
      </c>
      <c r="M350">
        <v>32.79</v>
      </c>
      <c r="N350">
        <v>32.49</v>
      </c>
    </row>
    <row r="351" spans="3:14" x14ac:dyDescent="0.15">
      <c r="C351" s="154" t="s">
        <v>1115</v>
      </c>
      <c r="D351" t="s">
        <v>5</v>
      </c>
      <c r="E351" t="s">
        <v>12</v>
      </c>
      <c r="F351" t="s">
        <v>13</v>
      </c>
      <c r="G351" t="s">
        <v>117</v>
      </c>
      <c r="H351" t="s">
        <v>60</v>
      </c>
      <c r="I351">
        <v>72.09</v>
      </c>
      <c r="J351">
        <v>72.900000000000006</v>
      </c>
      <c r="K351">
        <v>72</v>
      </c>
      <c r="L351">
        <v>30.08</v>
      </c>
      <c r="M351">
        <v>31.19</v>
      </c>
      <c r="N351">
        <v>30.89</v>
      </c>
    </row>
    <row r="352" spans="3:14" x14ac:dyDescent="0.15">
      <c r="C352" s="154" t="s">
        <v>1115</v>
      </c>
      <c r="D352" t="s">
        <v>5</v>
      </c>
      <c r="E352" t="s">
        <v>12</v>
      </c>
      <c r="F352" t="s">
        <v>13</v>
      </c>
      <c r="G352" t="s">
        <v>117</v>
      </c>
      <c r="H352" t="s">
        <v>648</v>
      </c>
      <c r="I352">
        <v>71.040000000000006</v>
      </c>
      <c r="J352">
        <v>71.849999999999994</v>
      </c>
      <c r="K352">
        <v>70.95</v>
      </c>
      <c r="L352">
        <v>29.03</v>
      </c>
      <c r="M352">
        <v>30.14</v>
      </c>
      <c r="N352">
        <v>29.84</v>
      </c>
    </row>
    <row r="353" spans="3:14" x14ac:dyDescent="0.15">
      <c r="C353" s="154" t="s">
        <v>1117</v>
      </c>
      <c r="D353" t="s">
        <v>5</v>
      </c>
      <c r="E353" t="s">
        <v>12</v>
      </c>
      <c r="F353" t="s">
        <v>13</v>
      </c>
      <c r="G353" t="s">
        <v>117</v>
      </c>
      <c r="H353" t="s">
        <v>59</v>
      </c>
      <c r="I353">
        <v>73.569999999999993</v>
      </c>
      <c r="J353">
        <v>74.650000000000006</v>
      </c>
      <c r="K353">
        <v>73.569999999999993</v>
      </c>
      <c r="L353">
        <v>31.69</v>
      </c>
      <c r="M353">
        <v>32.880000000000003</v>
      </c>
      <c r="N353">
        <v>32.57</v>
      </c>
    </row>
    <row r="354" spans="3:14" x14ac:dyDescent="0.15">
      <c r="C354" s="154" t="s">
        <v>1117</v>
      </c>
      <c r="D354" t="s">
        <v>5</v>
      </c>
      <c r="E354" t="s">
        <v>12</v>
      </c>
      <c r="F354" t="s">
        <v>13</v>
      </c>
      <c r="G354" t="s">
        <v>117</v>
      </c>
      <c r="H354" t="s">
        <v>60</v>
      </c>
      <c r="I354">
        <v>71.97</v>
      </c>
      <c r="J354">
        <v>73.05</v>
      </c>
      <c r="K354">
        <v>71.97</v>
      </c>
      <c r="L354">
        <v>30.09</v>
      </c>
      <c r="M354">
        <v>31.28</v>
      </c>
      <c r="N354">
        <v>30.97</v>
      </c>
    </row>
    <row r="355" spans="3:14" x14ac:dyDescent="0.15">
      <c r="C355" s="154" t="s">
        <v>1117</v>
      </c>
      <c r="D355" t="s">
        <v>5</v>
      </c>
      <c r="E355" t="s">
        <v>12</v>
      </c>
      <c r="F355" t="s">
        <v>13</v>
      </c>
      <c r="G355" t="s">
        <v>117</v>
      </c>
      <c r="H355" t="s">
        <v>648</v>
      </c>
      <c r="I355">
        <v>70.92</v>
      </c>
      <c r="J355">
        <v>72</v>
      </c>
      <c r="K355">
        <v>70.92</v>
      </c>
      <c r="L355">
        <v>29.04</v>
      </c>
      <c r="M355">
        <v>30.23</v>
      </c>
      <c r="N355">
        <v>29.92</v>
      </c>
    </row>
    <row r="356" spans="3:14" x14ac:dyDescent="0.15">
      <c r="C356" s="154" t="s">
        <v>1118</v>
      </c>
      <c r="D356" t="s">
        <v>5</v>
      </c>
      <c r="E356" t="s">
        <v>12</v>
      </c>
      <c r="F356" t="s">
        <v>13</v>
      </c>
      <c r="G356" t="s">
        <v>117</v>
      </c>
      <c r="H356" t="s">
        <v>59</v>
      </c>
      <c r="I356">
        <v>73.3</v>
      </c>
      <c r="J356">
        <v>74.77</v>
      </c>
      <c r="K356">
        <v>73.48</v>
      </c>
      <c r="L356">
        <v>31.59</v>
      </c>
      <c r="M356">
        <v>32.93</v>
      </c>
      <c r="N356">
        <v>32.630000000000003</v>
      </c>
    </row>
    <row r="357" spans="3:14" x14ac:dyDescent="0.15">
      <c r="C357" s="154" t="s">
        <v>1118</v>
      </c>
      <c r="D357" t="s">
        <v>5</v>
      </c>
      <c r="E357" t="s">
        <v>12</v>
      </c>
      <c r="F357" t="s">
        <v>13</v>
      </c>
      <c r="G357" t="s">
        <v>117</v>
      </c>
      <c r="H357" t="s">
        <v>60</v>
      </c>
      <c r="I357">
        <v>71.7</v>
      </c>
      <c r="J357">
        <v>73.17</v>
      </c>
      <c r="K357">
        <v>71.88</v>
      </c>
      <c r="L357">
        <v>29.99</v>
      </c>
      <c r="M357">
        <v>31.33</v>
      </c>
      <c r="N357">
        <v>31.03</v>
      </c>
    </row>
    <row r="358" spans="3:14" x14ac:dyDescent="0.15">
      <c r="C358" s="154" t="s">
        <v>1118</v>
      </c>
      <c r="D358" t="s">
        <v>5</v>
      </c>
      <c r="E358" t="s">
        <v>12</v>
      </c>
      <c r="F358" t="s">
        <v>13</v>
      </c>
      <c r="G358" t="s">
        <v>117</v>
      </c>
      <c r="H358" t="s">
        <v>648</v>
      </c>
      <c r="I358">
        <v>70.650000000000006</v>
      </c>
      <c r="J358">
        <v>72.12</v>
      </c>
      <c r="K358">
        <v>70.83</v>
      </c>
      <c r="L358">
        <v>28.94</v>
      </c>
      <c r="M358">
        <v>30.28</v>
      </c>
      <c r="N358">
        <v>29.98</v>
      </c>
    </row>
    <row r="359" spans="3:14" x14ac:dyDescent="0.15">
      <c r="C359" s="154" t="s">
        <v>1119</v>
      </c>
      <c r="D359" t="s">
        <v>5</v>
      </c>
      <c r="E359" t="s">
        <v>12</v>
      </c>
      <c r="F359" t="s">
        <v>13</v>
      </c>
      <c r="G359" t="s">
        <v>117</v>
      </c>
      <c r="H359" t="s">
        <v>59</v>
      </c>
      <c r="I359">
        <v>73.31</v>
      </c>
      <c r="J359">
        <v>74.91</v>
      </c>
      <c r="K359">
        <v>73.62</v>
      </c>
      <c r="L359">
        <v>31.96</v>
      </c>
      <c r="M359">
        <v>33.15</v>
      </c>
      <c r="N359">
        <v>32.92</v>
      </c>
    </row>
    <row r="360" spans="3:14" x14ac:dyDescent="0.15">
      <c r="C360" s="154" t="s">
        <v>1119</v>
      </c>
      <c r="D360" t="s">
        <v>5</v>
      </c>
      <c r="E360" t="s">
        <v>12</v>
      </c>
      <c r="F360" t="s">
        <v>13</v>
      </c>
      <c r="G360" t="s">
        <v>117</v>
      </c>
      <c r="H360" t="s">
        <v>60</v>
      </c>
      <c r="I360">
        <v>71.709999999999994</v>
      </c>
      <c r="J360">
        <v>73.31</v>
      </c>
      <c r="K360">
        <v>72.02</v>
      </c>
      <c r="L360">
        <v>30.36</v>
      </c>
      <c r="M360">
        <v>31.55</v>
      </c>
      <c r="N360">
        <v>31.32</v>
      </c>
    </row>
    <row r="361" spans="3:14" x14ac:dyDescent="0.15">
      <c r="C361" s="154" t="s">
        <v>1119</v>
      </c>
      <c r="D361" t="s">
        <v>5</v>
      </c>
      <c r="E361" t="s">
        <v>12</v>
      </c>
      <c r="F361" t="s">
        <v>13</v>
      </c>
      <c r="G361" t="s">
        <v>117</v>
      </c>
      <c r="H361" t="s">
        <v>648</v>
      </c>
      <c r="I361">
        <v>70.66</v>
      </c>
      <c r="J361">
        <v>72.260000000000005</v>
      </c>
      <c r="K361">
        <v>70.97</v>
      </c>
      <c r="L361">
        <v>29.31</v>
      </c>
      <c r="M361">
        <v>30.5</v>
      </c>
      <c r="N361">
        <v>30.27</v>
      </c>
    </row>
    <row r="362" spans="3:14" x14ac:dyDescent="0.15">
      <c r="C362" s="154" t="s">
        <v>1107</v>
      </c>
      <c r="D362" t="s">
        <v>5</v>
      </c>
      <c r="E362" t="s">
        <v>12</v>
      </c>
      <c r="F362" t="s">
        <v>14</v>
      </c>
      <c r="G362" t="s">
        <v>123</v>
      </c>
      <c r="H362" t="s">
        <v>59</v>
      </c>
      <c r="I362">
        <v>73.48</v>
      </c>
      <c r="J362">
        <v>74.16</v>
      </c>
      <c r="K362">
        <v>73.819999999999993</v>
      </c>
      <c r="L362">
        <v>30.83</v>
      </c>
      <c r="M362">
        <v>31.17</v>
      </c>
      <c r="N362">
        <v>31.33</v>
      </c>
    </row>
    <row r="363" spans="3:14" x14ac:dyDescent="0.15">
      <c r="C363" s="154" t="s">
        <v>1107</v>
      </c>
      <c r="D363" t="s">
        <v>5</v>
      </c>
      <c r="E363" t="s">
        <v>12</v>
      </c>
      <c r="F363" t="s">
        <v>14</v>
      </c>
      <c r="G363" t="s">
        <v>123</v>
      </c>
      <c r="H363" t="s">
        <v>60</v>
      </c>
      <c r="I363">
        <v>71.88</v>
      </c>
      <c r="J363">
        <v>72.56</v>
      </c>
      <c r="K363">
        <v>72.22</v>
      </c>
      <c r="L363">
        <v>29.23</v>
      </c>
      <c r="M363">
        <v>29.57</v>
      </c>
      <c r="N363">
        <v>29.73</v>
      </c>
    </row>
    <row r="364" spans="3:14" x14ac:dyDescent="0.15">
      <c r="C364" s="154" t="s">
        <v>1107</v>
      </c>
      <c r="D364" t="s">
        <v>5</v>
      </c>
      <c r="E364" t="s">
        <v>12</v>
      </c>
      <c r="F364" t="s">
        <v>14</v>
      </c>
      <c r="G364" t="s">
        <v>123</v>
      </c>
      <c r="H364" t="s">
        <v>648</v>
      </c>
      <c r="I364">
        <v>70.83</v>
      </c>
      <c r="J364">
        <v>71.510000000000005</v>
      </c>
      <c r="K364">
        <v>71.17</v>
      </c>
      <c r="L364">
        <v>28.18</v>
      </c>
      <c r="M364">
        <v>28.52</v>
      </c>
      <c r="N364">
        <v>28.68</v>
      </c>
    </row>
    <row r="365" spans="3:14" x14ac:dyDescent="0.15">
      <c r="C365" s="154" t="s">
        <v>1108</v>
      </c>
      <c r="D365" t="s">
        <v>5</v>
      </c>
      <c r="E365" t="s">
        <v>12</v>
      </c>
      <c r="F365" t="s">
        <v>14</v>
      </c>
      <c r="G365" t="s">
        <v>123</v>
      </c>
      <c r="H365" t="s">
        <v>59</v>
      </c>
      <c r="I365">
        <v>74.37</v>
      </c>
      <c r="J365">
        <v>73.63</v>
      </c>
      <c r="K365">
        <v>74.22</v>
      </c>
      <c r="L365">
        <v>30.81</v>
      </c>
      <c r="M365">
        <v>30.37</v>
      </c>
      <c r="N365">
        <v>31.31</v>
      </c>
    </row>
    <row r="366" spans="3:14" x14ac:dyDescent="0.15">
      <c r="C366" s="154" t="s">
        <v>1108</v>
      </c>
      <c r="D366" t="s">
        <v>5</v>
      </c>
      <c r="E366" t="s">
        <v>12</v>
      </c>
      <c r="F366" t="s">
        <v>14</v>
      </c>
      <c r="G366" t="s">
        <v>123</v>
      </c>
      <c r="H366" t="s">
        <v>60</v>
      </c>
      <c r="I366">
        <v>72.77</v>
      </c>
      <c r="J366">
        <v>72.03</v>
      </c>
      <c r="K366">
        <v>72.62</v>
      </c>
      <c r="L366">
        <v>29.21</v>
      </c>
      <c r="M366">
        <v>28.77</v>
      </c>
      <c r="N366">
        <v>29.71</v>
      </c>
    </row>
    <row r="367" spans="3:14" x14ac:dyDescent="0.15">
      <c r="C367" s="154" t="s">
        <v>1108</v>
      </c>
      <c r="D367" t="s">
        <v>5</v>
      </c>
      <c r="E367" t="s">
        <v>12</v>
      </c>
      <c r="F367" t="s">
        <v>14</v>
      </c>
      <c r="G367" t="s">
        <v>123</v>
      </c>
      <c r="H367" t="s">
        <v>648</v>
      </c>
      <c r="I367">
        <v>71.72</v>
      </c>
      <c r="J367">
        <v>70.98</v>
      </c>
      <c r="K367">
        <v>71.569999999999993</v>
      </c>
      <c r="L367">
        <v>28.16</v>
      </c>
      <c r="M367">
        <v>27.72</v>
      </c>
      <c r="N367">
        <v>28.66</v>
      </c>
    </row>
    <row r="368" spans="3:14" x14ac:dyDescent="0.15">
      <c r="C368" s="154" t="s">
        <v>1109</v>
      </c>
      <c r="D368" t="s">
        <v>5</v>
      </c>
      <c r="E368" t="s">
        <v>12</v>
      </c>
      <c r="F368" t="s">
        <v>14</v>
      </c>
      <c r="G368" t="s">
        <v>123</v>
      </c>
      <c r="H368" t="s">
        <v>59</v>
      </c>
      <c r="I368">
        <v>74.84</v>
      </c>
      <c r="J368">
        <v>73.180000000000007</v>
      </c>
      <c r="K368">
        <v>74.44</v>
      </c>
      <c r="L368">
        <v>31.37</v>
      </c>
      <c r="M368">
        <v>30.13</v>
      </c>
      <c r="N368">
        <v>31.65</v>
      </c>
    </row>
    <row r="369" spans="3:14" x14ac:dyDescent="0.15">
      <c r="C369" s="154" t="s">
        <v>1109</v>
      </c>
      <c r="D369" t="s">
        <v>5</v>
      </c>
      <c r="E369" t="s">
        <v>12</v>
      </c>
      <c r="F369" t="s">
        <v>14</v>
      </c>
      <c r="G369" t="s">
        <v>123</v>
      </c>
      <c r="H369" t="s">
        <v>60</v>
      </c>
      <c r="I369">
        <v>73.239999999999995</v>
      </c>
      <c r="J369">
        <v>71.58</v>
      </c>
      <c r="K369">
        <v>72.84</v>
      </c>
      <c r="L369">
        <v>29.77</v>
      </c>
      <c r="M369">
        <v>28.53</v>
      </c>
      <c r="N369">
        <v>30.05</v>
      </c>
    </row>
    <row r="370" spans="3:14" x14ac:dyDescent="0.15">
      <c r="C370" s="154" t="s">
        <v>1109</v>
      </c>
      <c r="D370" t="s">
        <v>5</v>
      </c>
      <c r="E370" t="s">
        <v>12</v>
      </c>
      <c r="F370" t="s">
        <v>14</v>
      </c>
      <c r="G370" t="s">
        <v>123</v>
      </c>
      <c r="H370" t="s">
        <v>648</v>
      </c>
      <c r="I370">
        <v>72.19</v>
      </c>
      <c r="J370">
        <v>70.53</v>
      </c>
      <c r="K370">
        <v>71.790000000000006</v>
      </c>
      <c r="L370">
        <v>28.72</v>
      </c>
      <c r="M370">
        <v>27.48</v>
      </c>
      <c r="N370">
        <v>29</v>
      </c>
    </row>
    <row r="371" spans="3:14" x14ac:dyDescent="0.15">
      <c r="C371" s="154" t="s">
        <v>1110</v>
      </c>
      <c r="D371" t="s">
        <v>5</v>
      </c>
      <c r="E371" t="s">
        <v>12</v>
      </c>
      <c r="F371" t="s">
        <v>14</v>
      </c>
      <c r="G371" t="s">
        <v>123</v>
      </c>
      <c r="H371" t="s">
        <v>59</v>
      </c>
      <c r="I371">
        <v>74.86</v>
      </c>
      <c r="J371">
        <v>72.98</v>
      </c>
      <c r="K371">
        <v>74.42</v>
      </c>
      <c r="L371">
        <v>31.26</v>
      </c>
      <c r="M371">
        <v>30.07</v>
      </c>
      <c r="N371">
        <v>31.65</v>
      </c>
    </row>
    <row r="372" spans="3:14" x14ac:dyDescent="0.15">
      <c r="C372" s="154" t="s">
        <v>1110</v>
      </c>
      <c r="D372" t="s">
        <v>5</v>
      </c>
      <c r="E372" t="s">
        <v>12</v>
      </c>
      <c r="F372" t="s">
        <v>14</v>
      </c>
      <c r="G372" t="s">
        <v>123</v>
      </c>
      <c r="H372" t="s">
        <v>60</v>
      </c>
      <c r="I372">
        <v>73.260000000000005</v>
      </c>
      <c r="J372">
        <v>71.38</v>
      </c>
      <c r="K372">
        <v>72.819999999999993</v>
      </c>
      <c r="L372">
        <v>29.66</v>
      </c>
      <c r="M372">
        <v>28.47</v>
      </c>
      <c r="N372">
        <v>30.05</v>
      </c>
    </row>
    <row r="373" spans="3:14" x14ac:dyDescent="0.15">
      <c r="C373" s="154" t="s">
        <v>1110</v>
      </c>
      <c r="D373" t="s">
        <v>5</v>
      </c>
      <c r="E373" t="s">
        <v>12</v>
      </c>
      <c r="F373" t="s">
        <v>14</v>
      </c>
      <c r="G373" t="s">
        <v>123</v>
      </c>
      <c r="H373" t="s">
        <v>648</v>
      </c>
      <c r="I373">
        <v>72.209999999999994</v>
      </c>
      <c r="J373">
        <v>70.33</v>
      </c>
      <c r="K373">
        <v>71.77</v>
      </c>
      <c r="L373">
        <v>28.61</v>
      </c>
      <c r="M373">
        <v>27.42</v>
      </c>
      <c r="N373">
        <v>29</v>
      </c>
    </row>
    <row r="374" spans="3:14" x14ac:dyDescent="0.15">
      <c r="C374" s="154" t="s">
        <v>1111</v>
      </c>
      <c r="D374" t="s">
        <v>5</v>
      </c>
      <c r="E374" t="s">
        <v>12</v>
      </c>
      <c r="F374" t="s">
        <v>14</v>
      </c>
      <c r="G374" t="s">
        <v>123</v>
      </c>
      <c r="H374" t="s">
        <v>59</v>
      </c>
      <c r="I374">
        <v>74.8</v>
      </c>
      <c r="J374">
        <v>72.86</v>
      </c>
      <c r="K374">
        <v>74.400000000000006</v>
      </c>
      <c r="L374">
        <v>31.16</v>
      </c>
      <c r="M374">
        <v>30.16</v>
      </c>
      <c r="N374">
        <v>31.65</v>
      </c>
    </row>
    <row r="375" spans="3:14" x14ac:dyDescent="0.15">
      <c r="C375" s="154" t="s">
        <v>1111</v>
      </c>
      <c r="D375" t="s">
        <v>5</v>
      </c>
      <c r="E375" t="s">
        <v>12</v>
      </c>
      <c r="F375" t="s">
        <v>14</v>
      </c>
      <c r="G375" t="s">
        <v>123</v>
      </c>
      <c r="H375" t="s">
        <v>60</v>
      </c>
      <c r="I375">
        <v>73.2</v>
      </c>
      <c r="J375">
        <v>71.260000000000005</v>
      </c>
      <c r="K375">
        <v>72.8</v>
      </c>
      <c r="L375">
        <v>29.56</v>
      </c>
      <c r="M375">
        <v>28.56</v>
      </c>
      <c r="N375">
        <v>30.05</v>
      </c>
    </row>
    <row r="376" spans="3:14" x14ac:dyDescent="0.15">
      <c r="C376" s="154" t="s">
        <v>1111</v>
      </c>
      <c r="D376" t="s">
        <v>5</v>
      </c>
      <c r="E376" t="s">
        <v>12</v>
      </c>
      <c r="F376" t="s">
        <v>14</v>
      </c>
      <c r="G376" t="s">
        <v>123</v>
      </c>
      <c r="H376" t="s">
        <v>648</v>
      </c>
      <c r="I376">
        <v>72.150000000000006</v>
      </c>
      <c r="J376">
        <v>70.209999999999994</v>
      </c>
      <c r="K376">
        <v>71.75</v>
      </c>
      <c r="L376">
        <v>28.51</v>
      </c>
      <c r="M376">
        <v>27.51</v>
      </c>
      <c r="N376">
        <v>29</v>
      </c>
    </row>
    <row r="377" spans="3:14" x14ac:dyDescent="0.15">
      <c r="C377" s="154" t="s">
        <v>1112</v>
      </c>
      <c r="D377" t="s">
        <v>5</v>
      </c>
      <c r="E377" t="s">
        <v>12</v>
      </c>
      <c r="F377" t="s">
        <v>14</v>
      </c>
      <c r="G377" t="s">
        <v>123</v>
      </c>
      <c r="H377" t="s">
        <v>59</v>
      </c>
      <c r="I377">
        <v>74.83</v>
      </c>
      <c r="J377">
        <v>73</v>
      </c>
      <c r="K377">
        <v>74.489999999999995</v>
      </c>
      <c r="L377">
        <v>31.29</v>
      </c>
      <c r="M377">
        <v>30.71</v>
      </c>
      <c r="N377">
        <v>31.94</v>
      </c>
    </row>
    <row r="378" spans="3:14" x14ac:dyDescent="0.15">
      <c r="C378" s="154" t="s">
        <v>1112</v>
      </c>
      <c r="D378" t="s">
        <v>5</v>
      </c>
      <c r="E378" t="s">
        <v>12</v>
      </c>
      <c r="F378" t="s">
        <v>14</v>
      </c>
      <c r="G378" t="s">
        <v>123</v>
      </c>
      <c r="H378" t="s">
        <v>60</v>
      </c>
      <c r="I378">
        <v>73.23</v>
      </c>
      <c r="J378">
        <v>71.400000000000006</v>
      </c>
      <c r="K378">
        <v>72.89</v>
      </c>
      <c r="L378">
        <v>29.69</v>
      </c>
      <c r="M378">
        <v>29.11</v>
      </c>
      <c r="N378">
        <v>30.34</v>
      </c>
    </row>
    <row r="379" spans="3:14" x14ac:dyDescent="0.15">
      <c r="C379" s="154" t="s">
        <v>1112</v>
      </c>
      <c r="D379" t="s">
        <v>5</v>
      </c>
      <c r="E379" t="s">
        <v>12</v>
      </c>
      <c r="F379" t="s">
        <v>14</v>
      </c>
      <c r="G379" t="s">
        <v>123</v>
      </c>
      <c r="H379" t="s">
        <v>648</v>
      </c>
      <c r="I379">
        <v>72.180000000000007</v>
      </c>
      <c r="J379">
        <v>70.349999999999994</v>
      </c>
      <c r="K379">
        <v>71.84</v>
      </c>
      <c r="L379">
        <v>28.64</v>
      </c>
      <c r="M379">
        <v>28.06</v>
      </c>
      <c r="N379">
        <v>29.29</v>
      </c>
    </row>
    <row r="380" spans="3:14" x14ac:dyDescent="0.15">
      <c r="C380" s="154" t="s">
        <v>1113</v>
      </c>
      <c r="D380" t="s">
        <v>5</v>
      </c>
      <c r="E380" t="s">
        <v>12</v>
      </c>
      <c r="F380" t="s">
        <v>14</v>
      </c>
      <c r="G380" t="s">
        <v>123</v>
      </c>
      <c r="H380" t="s">
        <v>59</v>
      </c>
      <c r="I380">
        <v>74.77</v>
      </c>
      <c r="J380">
        <v>74.11</v>
      </c>
      <c r="K380">
        <v>74.56</v>
      </c>
      <c r="L380">
        <v>31.45</v>
      </c>
      <c r="M380">
        <v>31.57</v>
      </c>
      <c r="N380">
        <v>32.14</v>
      </c>
    </row>
    <row r="381" spans="3:14" x14ac:dyDescent="0.15">
      <c r="C381" s="154" t="s">
        <v>1113</v>
      </c>
      <c r="D381" t="s">
        <v>5</v>
      </c>
      <c r="E381" t="s">
        <v>12</v>
      </c>
      <c r="F381" t="s">
        <v>14</v>
      </c>
      <c r="G381" t="s">
        <v>123</v>
      </c>
      <c r="H381" t="s">
        <v>60</v>
      </c>
      <c r="I381">
        <v>73.17</v>
      </c>
      <c r="J381">
        <v>72.510000000000005</v>
      </c>
      <c r="K381">
        <v>72.959999999999994</v>
      </c>
      <c r="L381">
        <v>29.85</v>
      </c>
      <c r="M381">
        <v>29.97</v>
      </c>
      <c r="N381">
        <v>30.54</v>
      </c>
    </row>
    <row r="382" spans="3:14" x14ac:dyDescent="0.15">
      <c r="C382" s="154" t="s">
        <v>1113</v>
      </c>
      <c r="D382" t="s">
        <v>5</v>
      </c>
      <c r="E382" t="s">
        <v>12</v>
      </c>
      <c r="F382" t="s">
        <v>14</v>
      </c>
      <c r="G382" t="s">
        <v>123</v>
      </c>
      <c r="H382" t="s">
        <v>648</v>
      </c>
      <c r="I382">
        <v>72.12</v>
      </c>
      <c r="J382">
        <v>71.459999999999994</v>
      </c>
      <c r="K382">
        <v>71.91</v>
      </c>
      <c r="L382">
        <v>28.8</v>
      </c>
      <c r="M382">
        <v>28.92</v>
      </c>
      <c r="N382">
        <v>29.49</v>
      </c>
    </row>
    <row r="383" spans="3:14" x14ac:dyDescent="0.15">
      <c r="C383" s="154" t="s">
        <v>1114</v>
      </c>
      <c r="D383" t="s">
        <v>5</v>
      </c>
      <c r="E383" t="s">
        <v>12</v>
      </c>
      <c r="F383" t="s">
        <v>14</v>
      </c>
      <c r="G383" t="s">
        <v>123</v>
      </c>
      <c r="H383" t="s">
        <v>59</v>
      </c>
      <c r="I383">
        <v>74.69</v>
      </c>
      <c r="J383">
        <v>75.13</v>
      </c>
      <c r="K383">
        <v>74.599999999999994</v>
      </c>
      <c r="L383">
        <v>31.59</v>
      </c>
      <c r="M383">
        <v>32.44</v>
      </c>
      <c r="N383">
        <v>32.35</v>
      </c>
    </row>
    <row r="384" spans="3:14" x14ac:dyDescent="0.15">
      <c r="C384" s="154" t="s">
        <v>1114</v>
      </c>
      <c r="D384" t="s">
        <v>5</v>
      </c>
      <c r="E384" t="s">
        <v>12</v>
      </c>
      <c r="F384" t="s">
        <v>14</v>
      </c>
      <c r="G384" t="s">
        <v>123</v>
      </c>
      <c r="H384" t="s">
        <v>60</v>
      </c>
      <c r="I384">
        <v>73.09</v>
      </c>
      <c r="J384">
        <v>73.53</v>
      </c>
      <c r="K384">
        <v>73</v>
      </c>
      <c r="L384">
        <v>29.99</v>
      </c>
      <c r="M384">
        <v>30.84</v>
      </c>
      <c r="N384">
        <v>30.75</v>
      </c>
    </row>
    <row r="385" spans="3:14" x14ac:dyDescent="0.15">
      <c r="C385" s="154" t="s">
        <v>1114</v>
      </c>
      <c r="D385" t="s">
        <v>5</v>
      </c>
      <c r="E385" t="s">
        <v>12</v>
      </c>
      <c r="F385" t="s">
        <v>14</v>
      </c>
      <c r="G385" t="s">
        <v>123</v>
      </c>
      <c r="H385" t="s">
        <v>648</v>
      </c>
      <c r="I385">
        <v>72.040000000000006</v>
      </c>
      <c r="J385">
        <v>72.48</v>
      </c>
      <c r="K385">
        <v>71.95</v>
      </c>
      <c r="L385">
        <v>28.94</v>
      </c>
      <c r="M385">
        <v>29.79</v>
      </c>
      <c r="N385">
        <v>29.7</v>
      </c>
    </row>
    <row r="386" spans="3:14" x14ac:dyDescent="0.15">
      <c r="C386" s="154" t="s">
        <v>1115</v>
      </c>
      <c r="D386" t="s">
        <v>5</v>
      </c>
      <c r="E386" t="s">
        <v>12</v>
      </c>
      <c r="F386" t="s">
        <v>14</v>
      </c>
      <c r="G386" t="s">
        <v>123</v>
      </c>
      <c r="H386" t="s">
        <v>59</v>
      </c>
      <c r="I386">
        <v>74.599999999999994</v>
      </c>
      <c r="J386">
        <v>75.81</v>
      </c>
      <c r="K386">
        <v>74.58</v>
      </c>
      <c r="L386">
        <v>31.58</v>
      </c>
      <c r="M386">
        <v>33.14</v>
      </c>
      <c r="N386">
        <v>32.49</v>
      </c>
    </row>
    <row r="387" spans="3:14" x14ac:dyDescent="0.15">
      <c r="C387" s="154" t="s">
        <v>1115</v>
      </c>
      <c r="D387" t="s">
        <v>5</v>
      </c>
      <c r="E387" t="s">
        <v>12</v>
      </c>
      <c r="F387" t="s">
        <v>14</v>
      </c>
      <c r="G387" t="s">
        <v>123</v>
      </c>
      <c r="H387" t="s">
        <v>60</v>
      </c>
      <c r="I387">
        <v>73</v>
      </c>
      <c r="J387">
        <v>74.209999999999994</v>
      </c>
      <c r="K387">
        <v>72.98</v>
      </c>
      <c r="L387">
        <v>29.98</v>
      </c>
      <c r="M387">
        <v>31.54</v>
      </c>
      <c r="N387">
        <v>30.89</v>
      </c>
    </row>
    <row r="388" spans="3:14" x14ac:dyDescent="0.15">
      <c r="C388" s="154" t="s">
        <v>1115</v>
      </c>
      <c r="D388" t="s">
        <v>5</v>
      </c>
      <c r="E388" t="s">
        <v>12</v>
      </c>
      <c r="F388" t="s">
        <v>14</v>
      </c>
      <c r="G388" t="s">
        <v>123</v>
      </c>
      <c r="H388" t="s">
        <v>648</v>
      </c>
      <c r="I388">
        <v>71.95</v>
      </c>
      <c r="J388">
        <v>73.16</v>
      </c>
      <c r="K388">
        <v>71.930000000000007</v>
      </c>
      <c r="L388">
        <v>28.93</v>
      </c>
      <c r="M388">
        <v>30.49</v>
      </c>
      <c r="N388">
        <v>29.84</v>
      </c>
    </row>
    <row r="389" spans="3:14" x14ac:dyDescent="0.15">
      <c r="C389" s="154" t="s">
        <v>1117</v>
      </c>
      <c r="D389" t="s">
        <v>5</v>
      </c>
      <c r="E389" t="s">
        <v>12</v>
      </c>
      <c r="F389" t="s">
        <v>14</v>
      </c>
      <c r="G389" t="s">
        <v>123</v>
      </c>
      <c r="H389" t="s">
        <v>59</v>
      </c>
      <c r="I389">
        <v>74.47</v>
      </c>
      <c r="J389">
        <v>75.92</v>
      </c>
      <c r="K389">
        <v>74.56</v>
      </c>
      <c r="L389">
        <v>31.58</v>
      </c>
      <c r="M389">
        <v>33.200000000000003</v>
      </c>
      <c r="N389">
        <v>32.58</v>
      </c>
    </row>
    <row r="390" spans="3:14" x14ac:dyDescent="0.15">
      <c r="C390" s="154" t="s">
        <v>1117</v>
      </c>
      <c r="D390" t="s">
        <v>5</v>
      </c>
      <c r="E390" t="s">
        <v>12</v>
      </c>
      <c r="F390" t="s">
        <v>14</v>
      </c>
      <c r="G390" t="s">
        <v>123</v>
      </c>
      <c r="H390" t="s">
        <v>60</v>
      </c>
      <c r="I390">
        <v>72.87</v>
      </c>
      <c r="J390">
        <v>74.319999999999993</v>
      </c>
      <c r="K390">
        <v>72.959999999999994</v>
      </c>
      <c r="L390">
        <v>29.98</v>
      </c>
      <c r="M390">
        <v>31.6</v>
      </c>
      <c r="N390">
        <v>30.98</v>
      </c>
    </row>
    <row r="391" spans="3:14" x14ac:dyDescent="0.15">
      <c r="C391" s="154" t="s">
        <v>1117</v>
      </c>
      <c r="D391" t="s">
        <v>5</v>
      </c>
      <c r="E391" t="s">
        <v>12</v>
      </c>
      <c r="F391" t="s">
        <v>14</v>
      </c>
      <c r="G391" t="s">
        <v>123</v>
      </c>
      <c r="H391" t="s">
        <v>648</v>
      </c>
      <c r="I391">
        <v>71.819999999999993</v>
      </c>
      <c r="J391">
        <v>73.27</v>
      </c>
      <c r="K391">
        <v>71.91</v>
      </c>
      <c r="L391">
        <v>28.93</v>
      </c>
      <c r="M391">
        <v>30.55</v>
      </c>
      <c r="N391">
        <v>29.93</v>
      </c>
    </row>
    <row r="392" spans="3:14" x14ac:dyDescent="0.15">
      <c r="C392" s="154" t="s">
        <v>1118</v>
      </c>
      <c r="D392" t="s">
        <v>5</v>
      </c>
      <c r="E392" t="s">
        <v>12</v>
      </c>
      <c r="F392" t="s">
        <v>14</v>
      </c>
      <c r="G392" t="s">
        <v>123</v>
      </c>
      <c r="H392" t="s">
        <v>59</v>
      </c>
      <c r="I392">
        <v>74.239999999999995</v>
      </c>
      <c r="J392">
        <v>75.849999999999994</v>
      </c>
      <c r="K392">
        <v>74.48</v>
      </c>
      <c r="L392">
        <v>31.51</v>
      </c>
      <c r="M392">
        <v>33.06</v>
      </c>
      <c r="N392">
        <v>32.65</v>
      </c>
    </row>
    <row r="393" spans="3:14" x14ac:dyDescent="0.15">
      <c r="C393" s="154" t="s">
        <v>1118</v>
      </c>
      <c r="D393" t="s">
        <v>5</v>
      </c>
      <c r="E393" t="s">
        <v>12</v>
      </c>
      <c r="F393" t="s">
        <v>14</v>
      </c>
      <c r="G393" t="s">
        <v>123</v>
      </c>
      <c r="H393" t="s">
        <v>60</v>
      </c>
      <c r="I393">
        <v>72.64</v>
      </c>
      <c r="J393">
        <v>74.25</v>
      </c>
      <c r="K393">
        <v>72.88</v>
      </c>
      <c r="L393">
        <v>29.91</v>
      </c>
      <c r="M393">
        <v>31.46</v>
      </c>
      <c r="N393">
        <v>31.05</v>
      </c>
    </row>
    <row r="394" spans="3:14" x14ac:dyDescent="0.15">
      <c r="C394" s="154" t="s">
        <v>1118</v>
      </c>
      <c r="D394" t="s">
        <v>5</v>
      </c>
      <c r="E394" t="s">
        <v>12</v>
      </c>
      <c r="F394" t="s">
        <v>14</v>
      </c>
      <c r="G394" t="s">
        <v>123</v>
      </c>
      <c r="H394" t="s">
        <v>648</v>
      </c>
      <c r="I394">
        <v>71.59</v>
      </c>
      <c r="J394">
        <v>73.2</v>
      </c>
      <c r="K394">
        <v>71.83</v>
      </c>
      <c r="L394">
        <v>28.86</v>
      </c>
      <c r="M394">
        <v>30.41</v>
      </c>
      <c r="N394">
        <v>30</v>
      </c>
    </row>
    <row r="395" spans="3:14" x14ac:dyDescent="0.15">
      <c r="C395" s="154" t="s">
        <v>1119</v>
      </c>
      <c r="D395" t="s">
        <v>5</v>
      </c>
      <c r="E395" t="s">
        <v>12</v>
      </c>
      <c r="F395" t="s">
        <v>14</v>
      </c>
      <c r="G395" t="s">
        <v>123</v>
      </c>
      <c r="H395" t="s">
        <v>59</v>
      </c>
      <c r="I395">
        <v>74.260000000000005</v>
      </c>
      <c r="J395">
        <v>75.84</v>
      </c>
      <c r="K395">
        <v>74.63</v>
      </c>
      <c r="L395">
        <v>31.87</v>
      </c>
      <c r="M395">
        <v>33.14</v>
      </c>
      <c r="N395">
        <v>32.93</v>
      </c>
    </row>
    <row r="396" spans="3:14" x14ac:dyDescent="0.15">
      <c r="C396" s="154" t="s">
        <v>1119</v>
      </c>
      <c r="D396" t="s">
        <v>5</v>
      </c>
      <c r="E396" t="s">
        <v>12</v>
      </c>
      <c r="F396" t="s">
        <v>14</v>
      </c>
      <c r="G396" t="s">
        <v>123</v>
      </c>
      <c r="H396" t="s">
        <v>60</v>
      </c>
      <c r="I396">
        <v>72.66</v>
      </c>
      <c r="J396">
        <v>74.239999999999995</v>
      </c>
      <c r="K396">
        <v>73.03</v>
      </c>
      <c r="L396">
        <v>30.27</v>
      </c>
      <c r="M396">
        <v>31.54</v>
      </c>
      <c r="N396">
        <v>31.33</v>
      </c>
    </row>
    <row r="397" spans="3:14" x14ac:dyDescent="0.15">
      <c r="C397" s="154" t="s">
        <v>1119</v>
      </c>
      <c r="D397" t="s">
        <v>5</v>
      </c>
      <c r="E397" t="s">
        <v>12</v>
      </c>
      <c r="F397" t="s">
        <v>14</v>
      </c>
      <c r="G397" t="s">
        <v>123</v>
      </c>
      <c r="H397" t="s">
        <v>648</v>
      </c>
      <c r="I397">
        <v>71.61</v>
      </c>
      <c r="J397">
        <v>73.19</v>
      </c>
      <c r="K397">
        <v>71.98</v>
      </c>
      <c r="L397">
        <v>29.22</v>
      </c>
      <c r="M397">
        <v>30.49</v>
      </c>
      <c r="N397">
        <v>30.28</v>
      </c>
    </row>
    <row r="398" spans="3:14" x14ac:dyDescent="0.15">
      <c r="C398" s="154" t="s">
        <v>1107</v>
      </c>
      <c r="D398" t="s">
        <v>5</v>
      </c>
      <c r="E398" t="s">
        <v>15</v>
      </c>
      <c r="F398" t="s">
        <v>16</v>
      </c>
      <c r="G398" t="s">
        <v>128</v>
      </c>
      <c r="H398" t="s">
        <v>59</v>
      </c>
      <c r="I398">
        <v>69.87</v>
      </c>
      <c r="J398">
        <v>70.680000000000007</v>
      </c>
      <c r="K398">
        <v>71.430000000000007</v>
      </c>
      <c r="L398">
        <v>30.46</v>
      </c>
      <c r="M398">
        <v>30.86</v>
      </c>
      <c r="N398">
        <v>32.19</v>
      </c>
    </row>
    <row r="399" spans="3:14" x14ac:dyDescent="0.15">
      <c r="C399" s="154" t="s">
        <v>1107</v>
      </c>
      <c r="D399" t="s">
        <v>5</v>
      </c>
      <c r="E399" t="s">
        <v>15</v>
      </c>
      <c r="F399" t="s">
        <v>16</v>
      </c>
      <c r="G399" t="s">
        <v>128</v>
      </c>
      <c r="H399" t="s">
        <v>60</v>
      </c>
      <c r="I399">
        <v>68.27</v>
      </c>
      <c r="J399">
        <v>69.08</v>
      </c>
      <c r="K399">
        <v>69.83</v>
      </c>
      <c r="L399">
        <v>28.86</v>
      </c>
      <c r="M399">
        <v>29.26</v>
      </c>
      <c r="N399">
        <v>30.59</v>
      </c>
    </row>
    <row r="400" spans="3:14" x14ac:dyDescent="0.15">
      <c r="C400" s="154" t="s">
        <v>1107</v>
      </c>
      <c r="D400" t="s">
        <v>5</v>
      </c>
      <c r="E400" t="s">
        <v>15</v>
      </c>
      <c r="F400" t="s">
        <v>16</v>
      </c>
      <c r="G400" t="s">
        <v>128</v>
      </c>
      <c r="H400" t="s">
        <v>648</v>
      </c>
      <c r="I400">
        <v>67.22</v>
      </c>
      <c r="J400">
        <v>68.03</v>
      </c>
      <c r="K400">
        <v>68.78</v>
      </c>
      <c r="L400">
        <v>27.81</v>
      </c>
      <c r="M400">
        <v>28.21</v>
      </c>
      <c r="N400">
        <v>29.54</v>
      </c>
    </row>
    <row r="401" spans="3:14" x14ac:dyDescent="0.15">
      <c r="C401" s="154" t="s">
        <v>1108</v>
      </c>
      <c r="D401" t="s">
        <v>5</v>
      </c>
      <c r="E401" t="s">
        <v>15</v>
      </c>
      <c r="F401" t="s">
        <v>16</v>
      </c>
      <c r="G401" t="s">
        <v>128</v>
      </c>
      <c r="H401" t="s">
        <v>59</v>
      </c>
      <c r="I401">
        <v>70.069999999999993</v>
      </c>
      <c r="J401">
        <v>70.77</v>
      </c>
      <c r="K401">
        <v>71.72</v>
      </c>
      <c r="L401">
        <v>30.29</v>
      </c>
      <c r="M401">
        <v>31.13</v>
      </c>
      <c r="N401">
        <v>32.380000000000003</v>
      </c>
    </row>
    <row r="402" spans="3:14" x14ac:dyDescent="0.15">
      <c r="C402" s="154" t="s">
        <v>1108</v>
      </c>
      <c r="D402" t="s">
        <v>5</v>
      </c>
      <c r="E402" t="s">
        <v>15</v>
      </c>
      <c r="F402" t="s">
        <v>16</v>
      </c>
      <c r="G402" t="s">
        <v>128</v>
      </c>
      <c r="H402" t="s">
        <v>60</v>
      </c>
      <c r="I402">
        <v>68.47</v>
      </c>
      <c r="J402">
        <v>69.17</v>
      </c>
      <c r="K402">
        <v>70.12</v>
      </c>
      <c r="L402">
        <v>28.69</v>
      </c>
      <c r="M402">
        <v>29.53</v>
      </c>
      <c r="N402">
        <v>30.78</v>
      </c>
    </row>
    <row r="403" spans="3:14" x14ac:dyDescent="0.15">
      <c r="C403" s="154" t="s">
        <v>1108</v>
      </c>
      <c r="D403" t="s">
        <v>5</v>
      </c>
      <c r="E403" t="s">
        <v>15</v>
      </c>
      <c r="F403" t="s">
        <v>16</v>
      </c>
      <c r="G403" t="s">
        <v>128</v>
      </c>
      <c r="H403" t="s">
        <v>648</v>
      </c>
      <c r="I403">
        <v>67.42</v>
      </c>
      <c r="J403">
        <v>68.12</v>
      </c>
      <c r="K403">
        <v>69.069999999999993</v>
      </c>
      <c r="L403">
        <v>27.64</v>
      </c>
      <c r="M403">
        <v>28.48</v>
      </c>
      <c r="N403">
        <v>29.73</v>
      </c>
    </row>
    <row r="404" spans="3:14" x14ac:dyDescent="0.15">
      <c r="C404" s="154" t="s">
        <v>1109</v>
      </c>
      <c r="D404" t="s">
        <v>5</v>
      </c>
      <c r="E404" t="s">
        <v>15</v>
      </c>
      <c r="F404" t="s">
        <v>16</v>
      </c>
      <c r="G404" t="s">
        <v>128</v>
      </c>
      <c r="H404" t="s">
        <v>59</v>
      </c>
      <c r="I404">
        <v>70.02</v>
      </c>
      <c r="J404">
        <v>70.72</v>
      </c>
      <c r="K404">
        <v>71.92</v>
      </c>
      <c r="L404">
        <v>30.06</v>
      </c>
      <c r="M404">
        <v>31.35</v>
      </c>
      <c r="N404">
        <v>32.54</v>
      </c>
    </row>
    <row r="405" spans="3:14" x14ac:dyDescent="0.15">
      <c r="C405" s="154" t="s">
        <v>1109</v>
      </c>
      <c r="D405" t="s">
        <v>5</v>
      </c>
      <c r="E405" t="s">
        <v>15</v>
      </c>
      <c r="F405" t="s">
        <v>16</v>
      </c>
      <c r="G405" t="s">
        <v>128</v>
      </c>
      <c r="H405" t="s">
        <v>60</v>
      </c>
      <c r="I405">
        <v>68.42</v>
      </c>
      <c r="J405">
        <v>69.12</v>
      </c>
      <c r="K405">
        <v>70.319999999999993</v>
      </c>
      <c r="L405">
        <v>28.46</v>
      </c>
      <c r="M405">
        <v>29.75</v>
      </c>
      <c r="N405">
        <v>30.94</v>
      </c>
    </row>
    <row r="406" spans="3:14" x14ac:dyDescent="0.15">
      <c r="C406" s="154" t="s">
        <v>1109</v>
      </c>
      <c r="D406" t="s">
        <v>5</v>
      </c>
      <c r="E406" t="s">
        <v>15</v>
      </c>
      <c r="F406" t="s">
        <v>16</v>
      </c>
      <c r="G406" t="s">
        <v>128</v>
      </c>
      <c r="H406" t="s">
        <v>648</v>
      </c>
      <c r="I406">
        <v>67.37</v>
      </c>
      <c r="J406">
        <v>68.069999999999993</v>
      </c>
      <c r="K406">
        <v>69.27</v>
      </c>
      <c r="L406">
        <v>27.41</v>
      </c>
      <c r="M406">
        <v>28.7</v>
      </c>
      <c r="N406">
        <v>29.89</v>
      </c>
    </row>
    <row r="407" spans="3:14" x14ac:dyDescent="0.15">
      <c r="C407" s="154" t="s">
        <v>1110</v>
      </c>
      <c r="D407" t="s">
        <v>5</v>
      </c>
      <c r="E407" t="s">
        <v>15</v>
      </c>
      <c r="F407" t="s">
        <v>16</v>
      </c>
      <c r="G407" t="s">
        <v>128</v>
      </c>
      <c r="H407" t="s">
        <v>59</v>
      </c>
      <c r="I407">
        <v>69.87</v>
      </c>
      <c r="J407">
        <v>70.72</v>
      </c>
      <c r="K407">
        <v>72.06</v>
      </c>
      <c r="L407">
        <v>29.84</v>
      </c>
      <c r="M407">
        <v>31.57</v>
      </c>
      <c r="N407">
        <v>32.69</v>
      </c>
    </row>
    <row r="408" spans="3:14" x14ac:dyDescent="0.15">
      <c r="C408" s="154" t="s">
        <v>1110</v>
      </c>
      <c r="D408" t="s">
        <v>5</v>
      </c>
      <c r="E408" t="s">
        <v>15</v>
      </c>
      <c r="F408" t="s">
        <v>16</v>
      </c>
      <c r="G408" t="s">
        <v>128</v>
      </c>
      <c r="H408" t="s">
        <v>60</v>
      </c>
      <c r="I408">
        <v>68.27</v>
      </c>
      <c r="J408">
        <v>69.12</v>
      </c>
      <c r="K408">
        <v>70.459999999999994</v>
      </c>
      <c r="L408">
        <v>28.24</v>
      </c>
      <c r="M408">
        <v>29.97</v>
      </c>
      <c r="N408">
        <v>31.09</v>
      </c>
    </row>
    <row r="409" spans="3:14" x14ac:dyDescent="0.15">
      <c r="C409" s="154" t="s">
        <v>1110</v>
      </c>
      <c r="D409" t="s">
        <v>5</v>
      </c>
      <c r="E409" t="s">
        <v>15</v>
      </c>
      <c r="F409" t="s">
        <v>16</v>
      </c>
      <c r="G409" t="s">
        <v>128</v>
      </c>
      <c r="H409" t="s">
        <v>648</v>
      </c>
      <c r="I409">
        <v>67.22</v>
      </c>
      <c r="J409">
        <v>68.069999999999993</v>
      </c>
      <c r="K409">
        <v>69.41</v>
      </c>
      <c r="L409">
        <v>27.19</v>
      </c>
      <c r="M409">
        <v>28.92</v>
      </c>
      <c r="N409">
        <v>30.04</v>
      </c>
    </row>
    <row r="410" spans="3:14" x14ac:dyDescent="0.15">
      <c r="C410" s="154" t="s">
        <v>1111</v>
      </c>
      <c r="D410" t="s">
        <v>5</v>
      </c>
      <c r="E410" t="s">
        <v>15</v>
      </c>
      <c r="F410" t="s">
        <v>16</v>
      </c>
      <c r="G410" t="s">
        <v>128</v>
      </c>
      <c r="H410" t="s">
        <v>59</v>
      </c>
      <c r="I410">
        <v>69.62</v>
      </c>
      <c r="J410">
        <v>70.680000000000007</v>
      </c>
      <c r="K410">
        <v>72.2</v>
      </c>
      <c r="L410">
        <v>29.57</v>
      </c>
      <c r="M410">
        <v>31.69</v>
      </c>
      <c r="N410">
        <v>32.83</v>
      </c>
    </row>
    <row r="411" spans="3:14" x14ac:dyDescent="0.15">
      <c r="C411" s="154" t="s">
        <v>1111</v>
      </c>
      <c r="D411" t="s">
        <v>5</v>
      </c>
      <c r="E411" t="s">
        <v>15</v>
      </c>
      <c r="F411" t="s">
        <v>16</v>
      </c>
      <c r="G411" t="s">
        <v>128</v>
      </c>
      <c r="H411" t="s">
        <v>60</v>
      </c>
      <c r="I411">
        <v>68.02</v>
      </c>
      <c r="J411">
        <v>69.08</v>
      </c>
      <c r="K411">
        <v>70.599999999999994</v>
      </c>
      <c r="L411">
        <v>27.97</v>
      </c>
      <c r="M411">
        <v>30.09</v>
      </c>
      <c r="N411">
        <v>31.23</v>
      </c>
    </row>
    <row r="412" spans="3:14" x14ac:dyDescent="0.15">
      <c r="C412" s="154" t="s">
        <v>1111</v>
      </c>
      <c r="D412" t="s">
        <v>5</v>
      </c>
      <c r="E412" t="s">
        <v>15</v>
      </c>
      <c r="F412" t="s">
        <v>16</v>
      </c>
      <c r="G412" t="s">
        <v>128</v>
      </c>
      <c r="H412" t="s">
        <v>648</v>
      </c>
      <c r="I412">
        <v>66.97</v>
      </c>
      <c r="J412">
        <v>68.03</v>
      </c>
      <c r="K412">
        <v>69.55</v>
      </c>
      <c r="L412">
        <v>26.92</v>
      </c>
      <c r="M412">
        <v>29.04</v>
      </c>
      <c r="N412">
        <v>30.18</v>
      </c>
    </row>
    <row r="413" spans="3:14" x14ac:dyDescent="0.15">
      <c r="C413" s="154" t="s">
        <v>1112</v>
      </c>
      <c r="D413" t="s">
        <v>5</v>
      </c>
      <c r="E413" t="s">
        <v>15</v>
      </c>
      <c r="F413" t="s">
        <v>16</v>
      </c>
      <c r="G413" t="s">
        <v>128</v>
      </c>
      <c r="H413" t="s">
        <v>59</v>
      </c>
      <c r="I413">
        <v>70.11</v>
      </c>
      <c r="J413">
        <v>70.95</v>
      </c>
      <c r="K413">
        <v>72.459999999999994</v>
      </c>
      <c r="L413">
        <v>30.11</v>
      </c>
      <c r="M413">
        <v>32.14</v>
      </c>
      <c r="N413">
        <v>33.19</v>
      </c>
    </row>
    <row r="414" spans="3:14" x14ac:dyDescent="0.15">
      <c r="C414" s="154" t="s">
        <v>1112</v>
      </c>
      <c r="D414" t="s">
        <v>5</v>
      </c>
      <c r="E414" t="s">
        <v>15</v>
      </c>
      <c r="F414" t="s">
        <v>16</v>
      </c>
      <c r="G414" t="s">
        <v>128</v>
      </c>
      <c r="H414" t="s">
        <v>60</v>
      </c>
      <c r="I414">
        <v>68.510000000000005</v>
      </c>
      <c r="J414">
        <v>69.349999999999994</v>
      </c>
      <c r="K414">
        <v>70.86</v>
      </c>
      <c r="L414">
        <v>28.51</v>
      </c>
      <c r="M414">
        <v>30.54</v>
      </c>
      <c r="N414">
        <v>31.59</v>
      </c>
    </row>
    <row r="415" spans="3:14" x14ac:dyDescent="0.15">
      <c r="C415" s="154" t="s">
        <v>1112</v>
      </c>
      <c r="D415" t="s">
        <v>5</v>
      </c>
      <c r="E415" t="s">
        <v>15</v>
      </c>
      <c r="F415" t="s">
        <v>16</v>
      </c>
      <c r="G415" t="s">
        <v>128</v>
      </c>
      <c r="H415" t="s">
        <v>648</v>
      </c>
      <c r="I415">
        <v>67.459999999999994</v>
      </c>
      <c r="J415">
        <v>68.3</v>
      </c>
      <c r="K415">
        <v>69.81</v>
      </c>
      <c r="L415">
        <v>27.46</v>
      </c>
      <c r="M415">
        <v>29.49</v>
      </c>
      <c r="N415">
        <v>30.54</v>
      </c>
    </row>
    <row r="416" spans="3:14" x14ac:dyDescent="0.15">
      <c r="C416" s="154" t="s">
        <v>1113</v>
      </c>
      <c r="D416" t="s">
        <v>5</v>
      </c>
      <c r="E416" t="s">
        <v>15</v>
      </c>
      <c r="F416" t="s">
        <v>16</v>
      </c>
      <c r="G416" t="s">
        <v>128</v>
      </c>
      <c r="H416" t="s">
        <v>59</v>
      </c>
      <c r="I416">
        <v>70.59</v>
      </c>
      <c r="J416">
        <v>71.61</v>
      </c>
      <c r="K416">
        <v>72.819999999999993</v>
      </c>
      <c r="L416">
        <v>30.7</v>
      </c>
      <c r="M416">
        <v>32.53</v>
      </c>
      <c r="N416">
        <v>33.58</v>
      </c>
    </row>
    <row r="417" spans="3:14" x14ac:dyDescent="0.15">
      <c r="C417" s="154" t="s">
        <v>1113</v>
      </c>
      <c r="D417" t="s">
        <v>5</v>
      </c>
      <c r="E417" t="s">
        <v>15</v>
      </c>
      <c r="F417" t="s">
        <v>16</v>
      </c>
      <c r="G417" t="s">
        <v>128</v>
      </c>
      <c r="H417" t="s">
        <v>60</v>
      </c>
      <c r="I417">
        <v>68.989999999999995</v>
      </c>
      <c r="J417">
        <v>70.010000000000005</v>
      </c>
      <c r="K417">
        <v>71.22</v>
      </c>
      <c r="L417">
        <v>29.1</v>
      </c>
      <c r="M417">
        <v>30.93</v>
      </c>
      <c r="N417">
        <v>31.98</v>
      </c>
    </row>
    <row r="418" spans="3:14" x14ac:dyDescent="0.15">
      <c r="C418" s="154" t="s">
        <v>1113</v>
      </c>
      <c r="D418" t="s">
        <v>5</v>
      </c>
      <c r="E418" t="s">
        <v>15</v>
      </c>
      <c r="F418" t="s">
        <v>16</v>
      </c>
      <c r="G418" t="s">
        <v>128</v>
      </c>
      <c r="H418" t="s">
        <v>648</v>
      </c>
      <c r="I418">
        <v>67.94</v>
      </c>
      <c r="J418">
        <v>68.959999999999994</v>
      </c>
      <c r="K418">
        <v>70.17</v>
      </c>
      <c r="L418">
        <v>28.05</v>
      </c>
      <c r="M418">
        <v>29.88</v>
      </c>
      <c r="N418">
        <v>30.93</v>
      </c>
    </row>
    <row r="419" spans="3:14" x14ac:dyDescent="0.15">
      <c r="C419" s="154" t="s">
        <v>1114</v>
      </c>
      <c r="D419" t="s">
        <v>5</v>
      </c>
      <c r="E419" t="s">
        <v>15</v>
      </c>
      <c r="F419" t="s">
        <v>16</v>
      </c>
      <c r="G419" t="s">
        <v>128</v>
      </c>
      <c r="H419" t="s">
        <v>59</v>
      </c>
      <c r="I419">
        <v>70.989999999999995</v>
      </c>
      <c r="J419">
        <v>72.19</v>
      </c>
      <c r="K419">
        <v>73.099999999999994</v>
      </c>
      <c r="L419">
        <v>31.25</v>
      </c>
      <c r="M419">
        <v>32.89</v>
      </c>
      <c r="N419">
        <v>33.950000000000003</v>
      </c>
    </row>
    <row r="420" spans="3:14" x14ac:dyDescent="0.15">
      <c r="C420" s="154" t="s">
        <v>1114</v>
      </c>
      <c r="D420" t="s">
        <v>5</v>
      </c>
      <c r="E420" t="s">
        <v>15</v>
      </c>
      <c r="F420" t="s">
        <v>16</v>
      </c>
      <c r="G420" t="s">
        <v>128</v>
      </c>
      <c r="H420" t="s">
        <v>60</v>
      </c>
      <c r="I420">
        <v>69.39</v>
      </c>
      <c r="J420">
        <v>70.59</v>
      </c>
      <c r="K420">
        <v>71.5</v>
      </c>
      <c r="L420">
        <v>29.65</v>
      </c>
      <c r="M420">
        <v>31.29</v>
      </c>
      <c r="N420">
        <v>32.35</v>
      </c>
    </row>
    <row r="421" spans="3:14" x14ac:dyDescent="0.15">
      <c r="C421" s="154" t="s">
        <v>1114</v>
      </c>
      <c r="D421" t="s">
        <v>5</v>
      </c>
      <c r="E421" t="s">
        <v>15</v>
      </c>
      <c r="F421" t="s">
        <v>16</v>
      </c>
      <c r="G421" t="s">
        <v>128</v>
      </c>
      <c r="H421" t="s">
        <v>648</v>
      </c>
      <c r="I421">
        <v>68.34</v>
      </c>
      <c r="J421">
        <v>69.540000000000006</v>
      </c>
      <c r="K421">
        <v>70.45</v>
      </c>
      <c r="L421">
        <v>28.6</v>
      </c>
      <c r="M421">
        <v>30.24</v>
      </c>
      <c r="N421">
        <v>31.3</v>
      </c>
    </row>
    <row r="422" spans="3:14" x14ac:dyDescent="0.15">
      <c r="C422" s="154" t="s">
        <v>1115</v>
      </c>
      <c r="D422" t="s">
        <v>5</v>
      </c>
      <c r="E422" t="s">
        <v>15</v>
      </c>
      <c r="F422" t="s">
        <v>16</v>
      </c>
      <c r="G422" t="s">
        <v>128</v>
      </c>
      <c r="H422" t="s">
        <v>59</v>
      </c>
      <c r="I422">
        <v>71.430000000000007</v>
      </c>
      <c r="J422">
        <v>72.819999999999993</v>
      </c>
      <c r="K422">
        <v>73.36</v>
      </c>
      <c r="L422">
        <v>31.79</v>
      </c>
      <c r="M422">
        <v>33.24</v>
      </c>
      <c r="N422">
        <v>34.32</v>
      </c>
    </row>
    <row r="423" spans="3:14" x14ac:dyDescent="0.15">
      <c r="C423" s="154" t="s">
        <v>1115</v>
      </c>
      <c r="D423" t="s">
        <v>5</v>
      </c>
      <c r="E423" t="s">
        <v>15</v>
      </c>
      <c r="F423" t="s">
        <v>16</v>
      </c>
      <c r="G423" t="s">
        <v>128</v>
      </c>
      <c r="H423" t="s">
        <v>60</v>
      </c>
      <c r="I423">
        <v>69.83</v>
      </c>
      <c r="J423">
        <v>71.22</v>
      </c>
      <c r="K423">
        <v>71.760000000000005</v>
      </c>
      <c r="L423">
        <v>30.19</v>
      </c>
      <c r="M423">
        <v>31.64</v>
      </c>
      <c r="N423">
        <v>32.72</v>
      </c>
    </row>
    <row r="424" spans="3:14" x14ac:dyDescent="0.15">
      <c r="C424" s="154" t="s">
        <v>1115</v>
      </c>
      <c r="D424" t="s">
        <v>5</v>
      </c>
      <c r="E424" t="s">
        <v>15</v>
      </c>
      <c r="F424" t="s">
        <v>16</v>
      </c>
      <c r="G424" t="s">
        <v>128</v>
      </c>
      <c r="H424" t="s">
        <v>648</v>
      </c>
      <c r="I424">
        <v>68.78</v>
      </c>
      <c r="J424">
        <v>70.17</v>
      </c>
      <c r="K424">
        <v>70.709999999999994</v>
      </c>
      <c r="L424">
        <v>29.14</v>
      </c>
      <c r="M424">
        <v>30.59</v>
      </c>
      <c r="N424">
        <v>31.67</v>
      </c>
    </row>
    <row r="425" spans="3:14" x14ac:dyDescent="0.15">
      <c r="C425" s="154" t="s">
        <v>1117</v>
      </c>
      <c r="D425" t="s">
        <v>5</v>
      </c>
      <c r="E425" t="s">
        <v>15</v>
      </c>
      <c r="F425" t="s">
        <v>16</v>
      </c>
      <c r="G425" t="s">
        <v>128</v>
      </c>
      <c r="H425" t="s">
        <v>59</v>
      </c>
      <c r="I425">
        <v>71.849999999999994</v>
      </c>
      <c r="J425">
        <v>73.27</v>
      </c>
      <c r="K425">
        <v>73.61</v>
      </c>
      <c r="L425">
        <v>32.31</v>
      </c>
      <c r="M425">
        <v>33.58</v>
      </c>
      <c r="N425">
        <v>34.65</v>
      </c>
    </row>
    <row r="426" spans="3:14" x14ac:dyDescent="0.15">
      <c r="C426" s="154" t="s">
        <v>1117</v>
      </c>
      <c r="D426" t="s">
        <v>5</v>
      </c>
      <c r="E426" t="s">
        <v>15</v>
      </c>
      <c r="F426" t="s">
        <v>16</v>
      </c>
      <c r="G426" t="s">
        <v>128</v>
      </c>
      <c r="H426" t="s">
        <v>60</v>
      </c>
      <c r="I426">
        <v>70.25</v>
      </c>
      <c r="J426">
        <v>71.67</v>
      </c>
      <c r="K426">
        <v>72.010000000000005</v>
      </c>
      <c r="L426">
        <v>30.71</v>
      </c>
      <c r="M426">
        <v>31.98</v>
      </c>
      <c r="N426">
        <v>33.049999999999997</v>
      </c>
    </row>
    <row r="427" spans="3:14" x14ac:dyDescent="0.15">
      <c r="C427" s="154" t="s">
        <v>1117</v>
      </c>
      <c r="D427" t="s">
        <v>5</v>
      </c>
      <c r="E427" t="s">
        <v>15</v>
      </c>
      <c r="F427" t="s">
        <v>16</v>
      </c>
      <c r="G427" t="s">
        <v>128</v>
      </c>
      <c r="H427" t="s">
        <v>648</v>
      </c>
      <c r="I427">
        <v>69.2</v>
      </c>
      <c r="J427">
        <v>70.62</v>
      </c>
      <c r="K427">
        <v>70.959999999999994</v>
      </c>
      <c r="L427">
        <v>29.66</v>
      </c>
      <c r="M427">
        <v>30.93</v>
      </c>
      <c r="N427">
        <v>32</v>
      </c>
    </row>
    <row r="428" spans="3:14" x14ac:dyDescent="0.15">
      <c r="C428" s="154" t="s">
        <v>1118</v>
      </c>
      <c r="D428" t="s">
        <v>5</v>
      </c>
      <c r="E428" t="s">
        <v>15</v>
      </c>
      <c r="F428" t="s">
        <v>16</v>
      </c>
      <c r="G428" t="s">
        <v>128</v>
      </c>
      <c r="H428" t="s">
        <v>59</v>
      </c>
      <c r="I428">
        <v>72.19</v>
      </c>
      <c r="J428">
        <v>73.72</v>
      </c>
      <c r="K428">
        <v>73.83</v>
      </c>
      <c r="L428">
        <v>32.799999999999997</v>
      </c>
      <c r="M428">
        <v>33.96</v>
      </c>
      <c r="N428">
        <v>34.97</v>
      </c>
    </row>
    <row r="429" spans="3:14" x14ac:dyDescent="0.15">
      <c r="C429" s="154" t="s">
        <v>1118</v>
      </c>
      <c r="D429" t="s">
        <v>5</v>
      </c>
      <c r="E429" t="s">
        <v>15</v>
      </c>
      <c r="F429" t="s">
        <v>16</v>
      </c>
      <c r="G429" t="s">
        <v>128</v>
      </c>
      <c r="H429" t="s">
        <v>60</v>
      </c>
      <c r="I429">
        <v>70.59</v>
      </c>
      <c r="J429">
        <v>72.12</v>
      </c>
      <c r="K429">
        <v>72.23</v>
      </c>
      <c r="L429">
        <v>31.2</v>
      </c>
      <c r="M429">
        <v>32.36</v>
      </c>
      <c r="N429">
        <v>33.369999999999997</v>
      </c>
    </row>
    <row r="430" spans="3:14" x14ac:dyDescent="0.15">
      <c r="C430" s="154" t="s">
        <v>1118</v>
      </c>
      <c r="D430" t="s">
        <v>5</v>
      </c>
      <c r="E430" t="s">
        <v>15</v>
      </c>
      <c r="F430" t="s">
        <v>16</v>
      </c>
      <c r="G430" t="s">
        <v>128</v>
      </c>
      <c r="H430" t="s">
        <v>648</v>
      </c>
      <c r="I430">
        <v>69.540000000000006</v>
      </c>
      <c r="J430">
        <v>71.069999999999993</v>
      </c>
      <c r="K430">
        <v>71.180000000000007</v>
      </c>
      <c r="L430">
        <v>30.15</v>
      </c>
      <c r="M430">
        <v>31.31</v>
      </c>
      <c r="N430">
        <v>32.32</v>
      </c>
    </row>
    <row r="431" spans="3:14" x14ac:dyDescent="0.15">
      <c r="C431" s="154" t="s">
        <v>1119</v>
      </c>
      <c r="D431" t="s">
        <v>5</v>
      </c>
      <c r="E431" t="s">
        <v>15</v>
      </c>
      <c r="F431" t="s">
        <v>16</v>
      </c>
      <c r="G431" t="s">
        <v>128</v>
      </c>
      <c r="H431" t="s">
        <v>59</v>
      </c>
      <c r="I431">
        <v>72.58</v>
      </c>
      <c r="J431">
        <v>74.06</v>
      </c>
      <c r="K431">
        <v>74.13</v>
      </c>
      <c r="L431">
        <v>33.36</v>
      </c>
      <c r="M431">
        <v>34.35</v>
      </c>
      <c r="N431">
        <v>35.33</v>
      </c>
    </row>
    <row r="432" spans="3:14" x14ac:dyDescent="0.15">
      <c r="C432" s="154" t="s">
        <v>1119</v>
      </c>
      <c r="D432" t="s">
        <v>5</v>
      </c>
      <c r="E432" t="s">
        <v>15</v>
      </c>
      <c r="F432" t="s">
        <v>16</v>
      </c>
      <c r="G432" t="s">
        <v>128</v>
      </c>
      <c r="H432" t="s">
        <v>60</v>
      </c>
      <c r="I432">
        <v>70.98</v>
      </c>
      <c r="J432">
        <v>72.459999999999994</v>
      </c>
      <c r="K432">
        <v>72.53</v>
      </c>
      <c r="L432">
        <v>31.76</v>
      </c>
      <c r="M432">
        <v>32.75</v>
      </c>
      <c r="N432">
        <v>33.729999999999997</v>
      </c>
    </row>
    <row r="433" spans="3:14" x14ac:dyDescent="0.15">
      <c r="C433" s="154" t="s">
        <v>1119</v>
      </c>
      <c r="D433" t="s">
        <v>5</v>
      </c>
      <c r="E433" t="s">
        <v>15</v>
      </c>
      <c r="F433" t="s">
        <v>16</v>
      </c>
      <c r="G433" t="s">
        <v>128</v>
      </c>
      <c r="H433" t="s">
        <v>648</v>
      </c>
      <c r="I433">
        <v>69.930000000000007</v>
      </c>
      <c r="J433">
        <v>71.41</v>
      </c>
      <c r="K433">
        <v>71.48</v>
      </c>
      <c r="L433">
        <v>30.71</v>
      </c>
      <c r="M433">
        <v>31.7</v>
      </c>
      <c r="N433">
        <v>32.68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17"/>
  <sheetViews>
    <sheetView workbookViewId="0">
      <selection activeCell="C1" sqref="C1:C1048576"/>
    </sheetView>
  </sheetViews>
  <sheetFormatPr defaultRowHeight="10.5" x14ac:dyDescent="0.15"/>
  <cols>
    <col min="3" max="3" width="9.83203125" style="154" bestFit="1" customWidth="1"/>
  </cols>
  <sheetData>
    <row r="1" spans="1:14" x14ac:dyDescent="0.15">
      <c r="C1" s="154" t="s">
        <v>1093</v>
      </c>
      <c r="D1" t="s">
        <v>2</v>
      </c>
      <c r="E1" t="s">
        <v>3</v>
      </c>
      <c r="F1" t="s">
        <v>1094</v>
      </c>
      <c r="G1" t="s">
        <v>89</v>
      </c>
      <c r="H1" t="s">
        <v>1095</v>
      </c>
      <c r="I1" t="s">
        <v>1096</v>
      </c>
      <c r="J1" t="s">
        <v>1097</v>
      </c>
      <c r="K1" t="s">
        <v>1098</v>
      </c>
      <c r="L1" t="s">
        <v>1099</v>
      </c>
      <c r="M1" t="s">
        <v>1100</v>
      </c>
      <c r="N1" t="s">
        <v>1101</v>
      </c>
    </row>
    <row r="2" spans="1:14" x14ac:dyDescent="0.15">
      <c r="A2" s="123">
        <v>42374</v>
      </c>
      <c r="C2" s="154" t="s">
        <v>1107</v>
      </c>
      <c r="D2" t="s">
        <v>18</v>
      </c>
      <c r="E2" t="s">
        <v>61</v>
      </c>
      <c r="F2" t="s">
        <v>13</v>
      </c>
      <c r="G2" t="s">
        <v>117</v>
      </c>
      <c r="H2" t="s">
        <v>59</v>
      </c>
      <c r="I2">
        <v>57.91</v>
      </c>
      <c r="J2">
        <v>58.75</v>
      </c>
      <c r="K2">
        <v>59.25</v>
      </c>
      <c r="L2">
        <v>23.1</v>
      </c>
      <c r="M2">
        <v>23.52</v>
      </c>
      <c r="N2">
        <v>24.39</v>
      </c>
    </row>
    <row r="3" spans="1:14" x14ac:dyDescent="0.15">
      <c r="C3" s="154" t="s">
        <v>1107</v>
      </c>
      <c r="D3" t="s">
        <v>18</v>
      </c>
      <c r="E3" t="s">
        <v>61</v>
      </c>
      <c r="F3" t="s">
        <v>13</v>
      </c>
      <c r="G3" t="s">
        <v>117</v>
      </c>
      <c r="H3" t="s">
        <v>60</v>
      </c>
      <c r="I3">
        <v>56.31</v>
      </c>
      <c r="J3">
        <v>57.15</v>
      </c>
      <c r="K3">
        <v>57.65</v>
      </c>
      <c r="L3">
        <v>21.5</v>
      </c>
      <c r="M3">
        <v>21.92</v>
      </c>
      <c r="N3">
        <v>22.79</v>
      </c>
    </row>
    <row r="4" spans="1:14" x14ac:dyDescent="0.15">
      <c r="C4" s="154" t="s">
        <v>1107</v>
      </c>
      <c r="D4" t="s">
        <v>18</v>
      </c>
      <c r="E4" t="s">
        <v>61</v>
      </c>
      <c r="F4" t="s">
        <v>13</v>
      </c>
      <c r="G4" t="s">
        <v>117</v>
      </c>
      <c r="H4" t="s">
        <v>648</v>
      </c>
      <c r="I4">
        <v>55.26</v>
      </c>
      <c r="J4">
        <v>56.1</v>
      </c>
      <c r="K4">
        <v>56.6</v>
      </c>
      <c r="L4">
        <v>20.45</v>
      </c>
      <c r="M4">
        <v>20.87</v>
      </c>
      <c r="N4">
        <v>21.74</v>
      </c>
    </row>
    <row r="5" spans="1:14" x14ac:dyDescent="0.15">
      <c r="C5" s="154" t="s">
        <v>1108</v>
      </c>
      <c r="D5" t="s">
        <v>18</v>
      </c>
      <c r="E5" t="s">
        <v>61</v>
      </c>
      <c r="F5" t="s">
        <v>13</v>
      </c>
      <c r="G5" t="s">
        <v>117</v>
      </c>
      <c r="H5" t="s">
        <v>59</v>
      </c>
      <c r="I5">
        <v>57.79</v>
      </c>
      <c r="J5">
        <v>58.67</v>
      </c>
      <c r="K5">
        <v>59.39</v>
      </c>
      <c r="L5">
        <v>22.8</v>
      </c>
      <c r="M5">
        <v>23.5</v>
      </c>
      <c r="N5">
        <v>24.47</v>
      </c>
    </row>
    <row r="6" spans="1:14" x14ac:dyDescent="0.15">
      <c r="C6" s="154" t="s">
        <v>1108</v>
      </c>
      <c r="D6" t="s">
        <v>18</v>
      </c>
      <c r="E6" t="s">
        <v>61</v>
      </c>
      <c r="F6" t="s">
        <v>13</v>
      </c>
      <c r="G6" t="s">
        <v>117</v>
      </c>
      <c r="H6" t="s">
        <v>60</v>
      </c>
      <c r="I6">
        <v>56.19</v>
      </c>
      <c r="J6">
        <v>57.07</v>
      </c>
      <c r="K6">
        <v>57.79</v>
      </c>
      <c r="L6">
        <v>21.2</v>
      </c>
      <c r="M6">
        <v>21.9</v>
      </c>
      <c r="N6">
        <v>22.87</v>
      </c>
    </row>
    <row r="7" spans="1:14" x14ac:dyDescent="0.15">
      <c r="C7" s="154" t="s">
        <v>1108</v>
      </c>
      <c r="D7" t="s">
        <v>18</v>
      </c>
      <c r="E7" t="s">
        <v>61</v>
      </c>
      <c r="F7" t="s">
        <v>13</v>
      </c>
      <c r="G7" t="s">
        <v>117</v>
      </c>
      <c r="H7" t="s">
        <v>648</v>
      </c>
      <c r="I7">
        <v>55.14</v>
      </c>
      <c r="J7">
        <v>56.02</v>
      </c>
      <c r="K7">
        <v>56.74</v>
      </c>
      <c r="L7">
        <v>20.149999999999999</v>
      </c>
      <c r="M7">
        <v>20.85</v>
      </c>
      <c r="N7">
        <v>21.82</v>
      </c>
    </row>
    <row r="8" spans="1:14" x14ac:dyDescent="0.15">
      <c r="C8" s="154" t="s">
        <v>1109</v>
      </c>
      <c r="D8" t="s">
        <v>18</v>
      </c>
      <c r="E8" t="s">
        <v>61</v>
      </c>
      <c r="F8" t="s">
        <v>13</v>
      </c>
      <c r="G8" t="s">
        <v>117</v>
      </c>
      <c r="H8" t="s">
        <v>59</v>
      </c>
      <c r="I8">
        <v>57.66</v>
      </c>
      <c r="J8">
        <v>58.45</v>
      </c>
      <c r="K8">
        <v>59.54</v>
      </c>
      <c r="L8">
        <v>22.48</v>
      </c>
      <c r="M8">
        <v>23.44</v>
      </c>
      <c r="N8">
        <v>24.56</v>
      </c>
    </row>
    <row r="9" spans="1:14" x14ac:dyDescent="0.15">
      <c r="C9" s="154" t="s">
        <v>1109</v>
      </c>
      <c r="D9" t="s">
        <v>18</v>
      </c>
      <c r="E9" t="s">
        <v>61</v>
      </c>
      <c r="F9" t="s">
        <v>13</v>
      </c>
      <c r="G9" t="s">
        <v>117</v>
      </c>
      <c r="H9" t="s">
        <v>60</v>
      </c>
      <c r="I9">
        <v>56.06</v>
      </c>
      <c r="J9">
        <v>56.85</v>
      </c>
      <c r="K9">
        <v>57.94</v>
      </c>
      <c r="L9">
        <v>20.88</v>
      </c>
      <c r="M9">
        <v>21.84</v>
      </c>
      <c r="N9">
        <v>22.96</v>
      </c>
    </row>
    <row r="10" spans="1:14" x14ac:dyDescent="0.15">
      <c r="C10" s="154" t="s">
        <v>1109</v>
      </c>
      <c r="D10" t="s">
        <v>18</v>
      </c>
      <c r="E10" t="s">
        <v>61</v>
      </c>
      <c r="F10" t="s">
        <v>13</v>
      </c>
      <c r="G10" t="s">
        <v>117</v>
      </c>
      <c r="H10" t="s">
        <v>648</v>
      </c>
      <c r="I10">
        <v>55.01</v>
      </c>
      <c r="J10">
        <v>55.8</v>
      </c>
      <c r="K10">
        <v>56.89</v>
      </c>
      <c r="L10">
        <v>19.829999999999998</v>
      </c>
      <c r="M10">
        <v>20.79</v>
      </c>
      <c r="N10">
        <v>21.91</v>
      </c>
    </row>
    <row r="11" spans="1:14" x14ac:dyDescent="0.15">
      <c r="C11" s="154" t="s">
        <v>1110</v>
      </c>
      <c r="D11" t="s">
        <v>18</v>
      </c>
      <c r="E11" t="s">
        <v>61</v>
      </c>
      <c r="F11" t="s">
        <v>13</v>
      </c>
      <c r="G11" t="s">
        <v>117</v>
      </c>
      <c r="H11" t="s">
        <v>59</v>
      </c>
      <c r="I11">
        <v>57.39</v>
      </c>
      <c r="J11">
        <v>58.34</v>
      </c>
      <c r="K11">
        <v>59.62</v>
      </c>
      <c r="L11">
        <v>22.14</v>
      </c>
      <c r="M11">
        <v>23.45</v>
      </c>
      <c r="N11">
        <v>24.62</v>
      </c>
    </row>
    <row r="12" spans="1:14" x14ac:dyDescent="0.15">
      <c r="C12" s="154" t="s">
        <v>1110</v>
      </c>
      <c r="D12" t="s">
        <v>18</v>
      </c>
      <c r="E12" t="s">
        <v>61</v>
      </c>
      <c r="F12" t="s">
        <v>13</v>
      </c>
      <c r="G12" t="s">
        <v>117</v>
      </c>
      <c r="H12" t="s">
        <v>60</v>
      </c>
      <c r="I12">
        <v>55.79</v>
      </c>
      <c r="J12">
        <v>56.74</v>
      </c>
      <c r="K12">
        <v>58.02</v>
      </c>
      <c r="L12">
        <v>20.54</v>
      </c>
      <c r="M12">
        <v>21.85</v>
      </c>
      <c r="N12">
        <v>23.02</v>
      </c>
    </row>
    <row r="13" spans="1:14" x14ac:dyDescent="0.15">
      <c r="C13" s="154" t="s">
        <v>1110</v>
      </c>
      <c r="D13" t="s">
        <v>18</v>
      </c>
      <c r="E13" t="s">
        <v>61</v>
      </c>
      <c r="F13" t="s">
        <v>13</v>
      </c>
      <c r="G13" t="s">
        <v>117</v>
      </c>
      <c r="H13" t="s">
        <v>648</v>
      </c>
      <c r="I13">
        <v>54.74</v>
      </c>
      <c r="J13">
        <v>55.69</v>
      </c>
      <c r="K13">
        <v>56.97</v>
      </c>
      <c r="L13">
        <v>19.489999999999998</v>
      </c>
      <c r="M13">
        <v>20.8</v>
      </c>
      <c r="N13">
        <v>21.97</v>
      </c>
    </row>
    <row r="14" spans="1:14" x14ac:dyDescent="0.15">
      <c r="C14" s="154" t="s">
        <v>1111</v>
      </c>
      <c r="D14" t="s">
        <v>18</v>
      </c>
      <c r="E14" t="s">
        <v>61</v>
      </c>
      <c r="F14" t="s">
        <v>13</v>
      </c>
      <c r="G14" t="s">
        <v>117</v>
      </c>
      <c r="H14" t="s">
        <v>59</v>
      </c>
      <c r="I14">
        <v>57.07</v>
      </c>
      <c r="J14">
        <v>58.19</v>
      </c>
      <c r="K14">
        <v>59.7</v>
      </c>
      <c r="L14">
        <v>21.76</v>
      </c>
      <c r="M14">
        <v>23.4</v>
      </c>
      <c r="N14">
        <v>24.68</v>
      </c>
    </row>
    <row r="15" spans="1:14" x14ac:dyDescent="0.15">
      <c r="C15" s="154" t="s">
        <v>1111</v>
      </c>
      <c r="D15" t="s">
        <v>18</v>
      </c>
      <c r="E15" t="s">
        <v>61</v>
      </c>
      <c r="F15" t="s">
        <v>13</v>
      </c>
      <c r="G15" t="s">
        <v>117</v>
      </c>
      <c r="H15" t="s">
        <v>60</v>
      </c>
      <c r="I15">
        <v>55.47</v>
      </c>
      <c r="J15">
        <v>56.59</v>
      </c>
      <c r="K15">
        <v>58.1</v>
      </c>
      <c r="L15">
        <v>20.16</v>
      </c>
      <c r="M15">
        <v>21.8</v>
      </c>
      <c r="N15">
        <v>23.08</v>
      </c>
    </row>
    <row r="16" spans="1:14" x14ac:dyDescent="0.15">
      <c r="C16" s="154" t="s">
        <v>1111</v>
      </c>
      <c r="D16" t="s">
        <v>18</v>
      </c>
      <c r="E16" t="s">
        <v>61</v>
      </c>
      <c r="F16" t="s">
        <v>13</v>
      </c>
      <c r="G16" t="s">
        <v>117</v>
      </c>
      <c r="H16" t="s">
        <v>648</v>
      </c>
      <c r="I16">
        <v>54.42</v>
      </c>
      <c r="J16">
        <v>55.54</v>
      </c>
      <c r="K16">
        <v>57.05</v>
      </c>
      <c r="L16">
        <v>19.11</v>
      </c>
      <c r="M16">
        <v>20.75</v>
      </c>
      <c r="N16">
        <v>22.03</v>
      </c>
    </row>
    <row r="17" spans="3:14" x14ac:dyDescent="0.15">
      <c r="C17" s="154" t="s">
        <v>1112</v>
      </c>
      <c r="D17" t="s">
        <v>18</v>
      </c>
      <c r="E17" t="s">
        <v>61</v>
      </c>
      <c r="F17" t="s">
        <v>13</v>
      </c>
      <c r="G17" t="s">
        <v>117</v>
      </c>
      <c r="H17" t="s">
        <v>59</v>
      </c>
      <c r="I17">
        <v>57.59</v>
      </c>
      <c r="J17">
        <v>58.4</v>
      </c>
      <c r="K17">
        <v>59.99</v>
      </c>
      <c r="L17">
        <v>22.24</v>
      </c>
      <c r="M17">
        <v>23.68</v>
      </c>
      <c r="N17">
        <v>25</v>
      </c>
    </row>
    <row r="18" spans="3:14" x14ac:dyDescent="0.15">
      <c r="C18" s="154" t="s">
        <v>1112</v>
      </c>
      <c r="D18" t="s">
        <v>18</v>
      </c>
      <c r="E18" t="s">
        <v>61</v>
      </c>
      <c r="F18" t="s">
        <v>13</v>
      </c>
      <c r="G18" t="s">
        <v>117</v>
      </c>
      <c r="H18" t="s">
        <v>60</v>
      </c>
      <c r="I18">
        <v>55.99</v>
      </c>
      <c r="J18">
        <v>56.8</v>
      </c>
      <c r="K18">
        <v>58.39</v>
      </c>
      <c r="L18">
        <v>20.64</v>
      </c>
      <c r="M18">
        <v>22.08</v>
      </c>
      <c r="N18">
        <v>23.4</v>
      </c>
    </row>
    <row r="19" spans="3:14" x14ac:dyDescent="0.15">
      <c r="C19" s="154" t="s">
        <v>1112</v>
      </c>
      <c r="D19" t="s">
        <v>18</v>
      </c>
      <c r="E19" t="s">
        <v>61</v>
      </c>
      <c r="F19" t="s">
        <v>13</v>
      </c>
      <c r="G19" t="s">
        <v>117</v>
      </c>
      <c r="H19" t="s">
        <v>648</v>
      </c>
      <c r="I19">
        <v>54.94</v>
      </c>
      <c r="J19">
        <v>55.75</v>
      </c>
      <c r="K19">
        <v>57.34</v>
      </c>
      <c r="L19">
        <v>19.59</v>
      </c>
      <c r="M19">
        <v>21.03</v>
      </c>
      <c r="N19">
        <v>22.35</v>
      </c>
    </row>
    <row r="20" spans="3:14" x14ac:dyDescent="0.15">
      <c r="C20" s="154" t="s">
        <v>1113</v>
      </c>
      <c r="D20" t="s">
        <v>18</v>
      </c>
      <c r="E20" t="s">
        <v>61</v>
      </c>
      <c r="F20" t="s">
        <v>13</v>
      </c>
      <c r="G20" t="s">
        <v>117</v>
      </c>
      <c r="H20" t="s">
        <v>59</v>
      </c>
      <c r="I20">
        <v>58.04</v>
      </c>
      <c r="J20">
        <v>58.94</v>
      </c>
      <c r="K20">
        <v>60.32</v>
      </c>
      <c r="L20">
        <v>22.76</v>
      </c>
      <c r="M20">
        <v>24.16</v>
      </c>
      <c r="N20">
        <v>25.34</v>
      </c>
    </row>
    <row r="21" spans="3:14" x14ac:dyDescent="0.15">
      <c r="C21" s="154" t="s">
        <v>1113</v>
      </c>
      <c r="D21" t="s">
        <v>18</v>
      </c>
      <c r="E21" t="s">
        <v>61</v>
      </c>
      <c r="F21" t="s">
        <v>13</v>
      </c>
      <c r="G21" t="s">
        <v>117</v>
      </c>
      <c r="H21" t="s">
        <v>60</v>
      </c>
      <c r="I21">
        <v>56.44</v>
      </c>
      <c r="J21">
        <v>57.34</v>
      </c>
      <c r="K21">
        <v>58.72</v>
      </c>
      <c r="L21">
        <v>21.16</v>
      </c>
      <c r="M21">
        <v>22.56</v>
      </c>
      <c r="N21">
        <v>23.74</v>
      </c>
    </row>
    <row r="22" spans="3:14" x14ac:dyDescent="0.15">
      <c r="C22" s="154" t="s">
        <v>1113</v>
      </c>
      <c r="D22" t="s">
        <v>18</v>
      </c>
      <c r="E22" t="s">
        <v>61</v>
      </c>
      <c r="F22" t="s">
        <v>13</v>
      </c>
      <c r="G22" t="s">
        <v>117</v>
      </c>
      <c r="H22" t="s">
        <v>648</v>
      </c>
      <c r="I22">
        <v>55.39</v>
      </c>
      <c r="J22">
        <v>56.29</v>
      </c>
      <c r="K22">
        <v>57.67</v>
      </c>
      <c r="L22">
        <v>20.11</v>
      </c>
      <c r="M22">
        <v>21.51</v>
      </c>
      <c r="N22">
        <v>22.69</v>
      </c>
    </row>
    <row r="23" spans="3:14" x14ac:dyDescent="0.15">
      <c r="C23" s="154" t="s">
        <v>1114</v>
      </c>
      <c r="D23" t="s">
        <v>18</v>
      </c>
      <c r="E23" t="s">
        <v>61</v>
      </c>
      <c r="F23" t="s">
        <v>13</v>
      </c>
      <c r="G23" t="s">
        <v>117</v>
      </c>
      <c r="H23" t="s">
        <v>59</v>
      </c>
      <c r="I23">
        <v>58.47</v>
      </c>
      <c r="J23">
        <v>59.5</v>
      </c>
      <c r="K23">
        <v>60.62</v>
      </c>
      <c r="L23">
        <v>23.26</v>
      </c>
      <c r="M23">
        <v>24.63</v>
      </c>
      <c r="N23">
        <v>25.68</v>
      </c>
    </row>
    <row r="24" spans="3:14" x14ac:dyDescent="0.15">
      <c r="C24" s="154" t="s">
        <v>1114</v>
      </c>
      <c r="D24" t="s">
        <v>18</v>
      </c>
      <c r="E24" t="s">
        <v>61</v>
      </c>
      <c r="F24" t="s">
        <v>13</v>
      </c>
      <c r="G24" t="s">
        <v>117</v>
      </c>
      <c r="H24" t="s">
        <v>60</v>
      </c>
      <c r="I24">
        <v>56.87</v>
      </c>
      <c r="J24">
        <v>57.9</v>
      </c>
      <c r="K24">
        <v>59.02</v>
      </c>
      <c r="L24">
        <v>21.66</v>
      </c>
      <c r="M24">
        <v>23.03</v>
      </c>
      <c r="N24">
        <v>24.08</v>
      </c>
    </row>
    <row r="25" spans="3:14" x14ac:dyDescent="0.15">
      <c r="C25" s="154" t="s">
        <v>1114</v>
      </c>
      <c r="D25" t="s">
        <v>18</v>
      </c>
      <c r="E25" t="s">
        <v>61</v>
      </c>
      <c r="F25" t="s">
        <v>13</v>
      </c>
      <c r="G25" t="s">
        <v>117</v>
      </c>
      <c r="H25" t="s">
        <v>648</v>
      </c>
      <c r="I25">
        <v>55.82</v>
      </c>
      <c r="J25">
        <v>56.85</v>
      </c>
      <c r="K25">
        <v>57.97</v>
      </c>
      <c r="L25">
        <v>20.61</v>
      </c>
      <c r="M25">
        <v>21.98</v>
      </c>
      <c r="N25">
        <v>23.03</v>
      </c>
    </row>
    <row r="26" spans="3:14" x14ac:dyDescent="0.15">
      <c r="C26" s="154" t="s">
        <v>1115</v>
      </c>
      <c r="D26" t="s">
        <v>18</v>
      </c>
      <c r="E26" t="s">
        <v>61</v>
      </c>
      <c r="F26" t="s">
        <v>13</v>
      </c>
      <c r="G26" t="s">
        <v>117</v>
      </c>
      <c r="H26" t="s">
        <v>59</v>
      </c>
      <c r="I26">
        <v>58.91</v>
      </c>
      <c r="J26">
        <v>60.22</v>
      </c>
      <c r="K26">
        <v>60.86</v>
      </c>
      <c r="L26">
        <v>23.74</v>
      </c>
      <c r="M26">
        <v>25.13</v>
      </c>
      <c r="N26">
        <v>26.01</v>
      </c>
    </row>
    <row r="27" spans="3:14" x14ac:dyDescent="0.15">
      <c r="C27" s="154" t="s">
        <v>1115</v>
      </c>
      <c r="D27" t="s">
        <v>18</v>
      </c>
      <c r="E27" t="s">
        <v>61</v>
      </c>
      <c r="F27" t="s">
        <v>13</v>
      </c>
      <c r="G27" t="s">
        <v>117</v>
      </c>
      <c r="H27" t="s">
        <v>60</v>
      </c>
      <c r="I27">
        <v>57.31</v>
      </c>
      <c r="J27">
        <v>58.62</v>
      </c>
      <c r="K27">
        <v>59.26</v>
      </c>
      <c r="L27">
        <v>22.14</v>
      </c>
      <c r="M27">
        <v>23.53</v>
      </c>
      <c r="N27">
        <v>24.41</v>
      </c>
    </row>
    <row r="28" spans="3:14" x14ac:dyDescent="0.15">
      <c r="C28" s="154" t="s">
        <v>1115</v>
      </c>
      <c r="D28" t="s">
        <v>18</v>
      </c>
      <c r="E28" t="s">
        <v>61</v>
      </c>
      <c r="F28" t="s">
        <v>13</v>
      </c>
      <c r="G28" t="s">
        <v>117</v>
      </c>
      <c r="H28" t="s">
        <v>648</v>
      </c>
      <c r="I28">
        <v>56.26</v>
      </c>
      <c r="J28">
        <v>57.57</v>
      </c>
      <c r="K28">
        <v>58.21</v>
      </c>
      <c r="L28">
        <v>21.09</v>
      </c>
      <c r="M28">
        <v>22.48</v>
      </c>
      <c r="N28">
        <v>23.36</v>
      </c>
    </row>
    <row r="29" spans="3:14" x14ac:dyDescent="0.15">
      <c r="C29" s="154" t="s">
        <v>1117</v>
      </c>
      <c r="D29" t="s">
        <v>18</v>
      </c>
      <c r="E29" t="s">
        <v>61</v>
      </c>
      <c r="F29" t="s">
        <v>13</v>
      </c>
      <c r="G29" t="s">
        <v>117</v>
      </c>
      <c r="H29" t="s">
        <v>59</v>
      </c>
      <c r="I29">
        <v>59.37</v>
      </c>
      <c r="J29">
        <v>60.76</v>
      </c>
      <c r="K29">
        <v>61.16</v>
      </c>
      <c r="L29">
        <v>24.21</v>
      </c>
      <c r="M29">
        <v>25.55</v>
      </c>
      <c r="N29">
        <v>26.33</v>
      </c>
    </row>
    <row r="30" spans="3:14" x14ac:dyDescent="0.15">
      <c r="C30" s="154" t="s">
        <v>1117</v>
      </c>
      <c r="D30" t="s">
        <v>18</v>
      </c>
      <c r="E30" t="s">
        <v>61</v>
      </c>
      <c r="F30" t="s">
        <v>13</v>
      </c>
      <c r="G30" t="s">
        <v>117</v>
      </c>
      <c r="H30" t="s">
        <v>60</v>
      </c>
      <c r="I30">
        <v>57.77</v>
      </c>
      <c r="J30">
        <v>59.16</v>
      </c>
      <c r="K30">
        <v>59.56</v>
      </c>
      <c r="L30">
        <v>22.61</v>
      </c>
      <c r="M30">
        <v>23.95</v>
      </c>
      <c r="N30">
        <v>24.73</v>
      </c>
    </row>
    <row r="31" spans="3:14" x14ac:dyDescent="0.15">
      <c r="C31" s="154" t="s">
        <v>1117</v>
      </c>
      <c r="D31" t="s">
        <v>18</v>
      </c>
      <c r="E31" t="s">
        <v>61</v>
      </c>
      <c r="F31" t="s">
        <v>13</v>
      </c>
      <c r="G31" t="s">
        <v>117</v>
      </c>
      <c r="H31" t="s">
        <v>648</v>
      </c>
      <c r="I31">
        <v>56.72</v>
      </c>
      <c r="J31">
        <v>58.11</v>
      </c>
      <c r="K31">
        <v>58.51</v>
      </c>
      <c r="L31">
        <v>21.56</v>
      </c>
      <c r="M31">
        <v>22.9</v>
      </c>
      <c r="N31">
        <v>23.68</v>
      </c>
    </row>
    <row r="32" spans="3:14" x14ac:dyDescent="0.15">
      <c r="C32" s="154" t="s">
        <v>1118</v>
      </c>
      <c r="D32" t="s">
        <v>18</v>
      </c>
      <c r="E32" t="s">
        <v>61</v>
      </c>
      <c r="F32" t="s">
        <v>13</v>
      </c>
      <c r="G32" t="s">
        <v>117</v>
      </c>
      <c r="H32" t="s">
        <v>59</v>
      </c>
      <c r="I32">
        <v>59.75</v>
      </c>
      <c r="J32">
        <v>61.3</v>
      </c>
      <c r="K32">
        <v>61.42</v>
      </c>
      <c r="L32">
        <v>24.67</v>
      </c>
      <c r="M32">
        <v>26</v>
      </c>
      <c r="N32">
        <v>26.64</v>
      </c>
    </row>
    <row r="33" spans="3:14" x14ac:dyDescent="0.15">
      <c r="C33" s="154" t="s">
        <v>1118</v>
      </c>
      <c r="D33" t="s">
        <v>18</v>
      </c>
      <c r="E33" t="s">
        <v>61</v>
      </c>
      <c r="F33" t="s">
        <v>13</v>
      </c>
      <c r="G33" t="s">
        <v>117</v>
      </c>
      <c r="H33" t="s">
        <v>60</v>
      </c>
      <c r="I33">
        <v>58.15</v>
      </c>
      <c r="J33">
        <v>59.7</v>
      </c>
      <c r="K33">
        <v>59.82</v>
      </c>
      <c r="L33">
        <v>23.07</v>
      </c>
      <c r="M33">
        <v>24.4</v>
      </c>
      <c r="N33">
        <v>25.04</v>
      </c>
    </row>
    <row r="34" spans="3:14" x14ac:dyDescent="0.15">
      <c r="C34" s="154" t="s">
        <v>1118</v>
      </c>
      <c r="D34" t="s">
        <v>18</v>
      </c>
      <c r="E34" t="s">
        <v>61</v>
      </c>
      <c r="F34" t="s">
        <v>13</v>
      </c>
      <c r="G34" t="s">
        <v>117</v>
      </c>
      <c r="H34" t="s">
        <v>648</v>
      </c>
      <c r="I34">
        <v>57.1</v>
      </c>
      <c r="J34">
        <v>58.65</v>
      </c>
      <c r="K34">
        <v>58.77</v>
      </c>
      <c r="L34">
        <v>22.02</v>
      </c>
      <c r="M34">
        <v>23.35</v>
      </c>
      <c r="N34">
        <v>23.99</v>
      </c>
    </row>
    <row r="35" spans="3:14" x14ac:dyDescent="0.15">
      <c r="C35" s="154" t="s">
        <v>1119</v>
      </c>
      <c r="D35" t="s">
        <v>18</v>
      </c>
      <c r="E35" t="s">
        <v>61</v>
      </c>
      <c r="F35" t="s">
        <v>13</v>
      </c>
      <c r="G35" t="s">
        <v>117</v>
      </c>
      <c r="H35" t="s">
        <v>59</v>
      </c>
      <c r="I35">
        <v>60.19</v>
      </c>
      <c r="J35">
        <v>61.8</v>
      </c>
      <c r="K35">
        <v>61.76</v>
      </c>
      <c r="L35">
        <v>25.19</v>
      </c>
      <c r="M35">
        <v>26.5</v>
      </c>
      <c r="N35">
        <v>26.99</v>
      </c>
    </row>
    <row r="36" spans="3:14" x14ac:dyDescent="0.15">
      <c r="C36" s="154" t="s">
        <v>1119</v>
      </c>
      <c r="D36" t="s">
        <v>18</v>
      </c>
      <c r="E36" t="s">
        <v>61</v>
      </c>
      <c r="F36" t="s">
        <v>13</v>
      </c>
      <c r="G36" t="s">
        <v>117</v>
      </c>
      <c r="H36" t="s">
        <v>60</v>
      </c>
      <c r="I36">
        <v>58.59</v>
      </c>
      <c r="J36">
        <v>60.2</v>
      </c>
      <c r="K36">
        <v>60.16</v>
      </c>
      <c r="L36">
        <v>23.59</v>
      </c>
      <c r="M36">
        <v>24.9</v>
      </c>
      <c r="N36">
        <v>25.39</v>
      </c>
    </row>
    <row r="37" spans="3:14" x14ac:dyDescent="0.15">
      <c r="C37" s="154" t="s">
        <v>1119</v>
      </c>
      <c r="D37" t="s">
        <v>18</v>
      </c>
      <c r="E37" t="s">
        <v>61</v>
      </c>
      <c r="F37" t="s">
        <v>13</v>
      </c>
      <c r="G37" t="s">
        <v>117</v>
      </c>
      <c r="H37" t="s">
        <v>648</v>
      </c>
      <c r="I37">
        <v>57.54</v>
      </c>
      <c r="J37">
        <v>59.15</v>
      </c>
      <c r="K37">
        <v>59.11</v>
      </c>
      <c r="L37">
        <v>22.54</v>
      </c>
      <c r="M37">
        <v>23.85</v>
      </c>
      <c r="N37">
        <v>24.34</v>
      </c>
    </row>
    <row r="38" spans="3:14" x14ac:dyDescent="0.15">
      <c r="C38" s="154" t="s">
        <v>1107</v>
      </c>
      <c r="D38" t="s">
        <v>18</v>
      </c>
      <c r="E38" t="s">
        <v>61</v>
      </c>
      <c r="F38" t="s">
        <v>19</v>
      </c>
      <c r="G38" t="s">
        <v>120</v>
      </c>
      <c r="H38" t="s">
        <v>59</v>
      </c>
      <c r="I38">
        <v>59.49</v>
      </c>
      <c r="J38">
        <v>60.14</v>
      </c>
      <c r="K38">
        <v>60.85</v>
      </c>
      <c r="L38">
        <v>23.18</v>
      </c>
      <c r="M38">
        <v>23.34</v>
      </c>
      <c r="N38">
        <v>24.46</v>
      </c>
    </row>
    <row r="39" spans="3:14" x14ac:dyDescent="0.15">
      <c r="C39" s="154" t="s">
        <v>1107</v>
      </c>
      <c r="D39" t="s">
        <v>18</v>
      </c>
      <c r="E39" t="s">
        <v>61</v>
      </c>
      <c r="F39" t="s">
        <v>19</v>
      </c>
      <c r="G39" t="s">
        <v>120</v>
      </c>
      <c r="H39" t="s">
        <v>60</v>
      </c>
      <c r="I39">
        <v>57.89</v>
      </c>
      <c r="J39">
        <v>58.54</v>
      </c>
      <c r="K39">
        <v>59.25</v>
      </c>
      <c r="L39">
        <v>21.58</v>
      </c>
      <c r="M39">
        <v>21.74</v>
      </c>
      <c r="N39">
        <v>22.86</v>
      </c>
    </row>
    <row r="40" spans="3:14" x14ac:dyDescent="0.15">
      <c r="C40" s="154" t="s">
        <v>1107</v>
      </c>
      <c r="D40" t="s">
        <v>18</v>
      </c>
      <c r="E40" t="s">
        <v>61</v>
      </c>
      <c r="F40" t="s">
        <v>19</v>
      </c>
      <c r="G40" t="s">
        <v>120</v>
      </c>
      <c r="H40" t="s">
        <v>648</v>
      </c>
      <c r="I40">
        <v>56.84</v>
      </c>
      <c r="J40">
        <v>57.49</v>
      </c>
      <c r="K40">
        <v>58.2</v>
      </c>
      <c r="L40">
        <v>20.53</v>
      </c>
      <c r="M40">
        <v>20.69</v>
      </c>
      <c r="N40">
        <v>21.81</v>
      </c>
    </row>
    <row r="41" spans="3:14" x14ac:dyDescent="0.15">
      <c r="C41" s="154" t="s">
        <v>1108</v>
      </c>
      <c r="D41" t="s">
        <v>18</v>
      </c>
      <c r="E41" t="s">
        <v>61</v>
      </c>
      <c r="F41" t="s">
        <v>19</v>
      </c>
      <c r="G41" t="s">
        <v>120</v>
      </c>
      <c r="H41" t="s">
        <v>59</v>
      </c>
      <c r="I41">
        <v>59.37</v>
      </c>
      <c r="J41">
        <v>60.14</v>
      </c>
      <c r="K41">
        <v>60.99</v>
      </c>
      <c r="L41">
        <v>22.86</v>
      </c>
      <c r="M41">
        <v>23.3</v>
      </c>
      <c r="N41">
        <v>24.53</v>
      </c>
    </row>
    <row r="42" spans="3:14" x14ac:dyDescent="0.15">
      <c r="C42" s="154" t="s">
        <v>1108</v>
      </c>
      <c r="D42" t="s">
        <v>18</v>
      </c>
      <c r="E42" t="s">
        <v>61</v>
      </c>
      <c r="F42" t="s">
        <v>19</v>
      </c>
      <c r="G42" t="s">
        <v>120</v>
      </c>
      <c r="H42" t="s">
        <v>60</v>
      </c>
      <c r="I42">
        <v>57.77</v>
      </c>
      <c r="J42">
        <v>58.54</v>
      </c>
      <c r="K42">
        <v>59.39</v>
      </c>
      <c r="L42">
        <v>21.26</v>
      </c>
      <c r="M42">
        <v>21.7</v>
      </c>
      <c r="N42">
        <v>22.93</v>
      </c>
    </row>
    <row r="43" spans="3:14" x14ac:dyDescent="0.15">
      <c r="C43" s="154" t="s">
        <v>1108</v>
      </c>
      <c r="D43" t="s">
        <v>18</v>
      </c>
      <c r="E43" t="s">
        <v>61</v>
      </c>
      <c r="F43" t="s">
        <v>19</v>
      </c>
      <c r="G43" t="s">
        <v>120</v>
      </c>
      <c r="H43" t="s">
        <v>648</v>
      </c>
      <c r="I43">
        <v>56.72</v>
      </c>
      <c r="J43">
        <v>57.49</v>
      </c>
      <c r="K43">
        <v>58.34</v>
      </c>
      <c r="L43">
        <v>20.21</v>
      </c>
      <c r="M43">
        <v>20.65</v>
      </c>
      <c r="N43">
        <v>21.88</v>
      </c>
    </row>
    <row r="44" spans="3:14" x14ac:dyDescent="0.15">
      <c r="C44" s="154" t="s">
        <v>1109</v>
      </c>
      <c r="D44" t="s">
        <v>18</v>
      </c>
      <c r="E44" t="s">
        <v>61</v>
      </c>
      <c r="F44" t="s">
        <v>19</v>
      </c>
      <c r="G44" t="s">
        <v>120</v>
      </c>
      <c r="H44" t="s">
        <v>59</v>
      </c>
      <c r="I44">
        <v>59.25</v>
      </c>
      <c r="J44">
        <v>60.04</v>
      </c>
      <c r="K44">
        <v>61.15</v>
      </c>
      <c r="L44">
        <v>22.54</v>
      </c>
      <c r="M44">
        <v>23.31</v>
      </c>
      <c r="N44">
        <v>24.62</v>
      </c>
    </row>
    <row r="45" spans="3:14" x14ac:dyDescent="0.15">
      <c r="C45" s="154" t="s">
        <v>1109</v>
      </c>
      <c r="D45" t="s">
        <v>18</v>
      </c>
      <c r="E45" t="s">
        <v>61</v>
      </c>
      <c r="F45" t="s">
        <v>19</v>
      </c>
      <c r="G45" t="s">
        <v>120</v>
      </c>
      <c r="H45" t="s">
        <v>60</v>
      </c>
      <c r="I45">
        <v>57.65</v>
      </c>
      <c r="J45">
        <v>58.44</v>
      </c>
      <c r="K45">
        <v>59.55</v>
      </c>
      <c r="L45">
        <v>20.94</v>
      </c>
      <c r="M45">
        <v>21.71</v>
      </c>
      <c r="N45">
        <v>23.02</v>
      </c>
    </row>
    <row r="46" spans="3:14" x14ac:dyDescent="0.15">
      <c r="C46" s="154" t="s">
        <v>1109</v>
      </c>
      <c r="D46" t="s">
        <v>18</v>
      </c>
      <c r="E46" t="s">
        <v>61</v>
      </c>
      <c r="F46" t="s">
        <v>19</v>
      </c>
      <c r="G46" t="s">
        <v>120</v>
      </c>
      <c r="H46" t="s">
        <v>648</v>
      </c>
      <c r="I46">
        <v>56.6</v>
      </c>
      <c r="J46">
        <v>57.39</v>
      </c>
      <c r="K46">
        <v>58.5</v>
      </c>
      <c r="L46">
        <v>19.89</v>
      </c>
      <c r="M46">
        <v>20.66</v>
      </c>
      <c r="N46">
        <v>21.97</v>
      </c>
    </row>
    <row r="47" spans="3:14" x14ac:dyDescent="0.15">
      <c r="C47" s="154" t="s">
        <v>1110</v>
      </c>
      <c r="D47" t="s">
        <v>18</v>
      </c>
      <c r="E47" t="s">
        <v>61</v>
      </c>
      <c r="F47" t="s">
        <v>19</v>
      </c>
      <c r="G47" t="s">
        <v>120</v>
      </c>
      <c r="H47" t="s">
        <v>59</v>
      </c>
      <c r="I47">
        <v>59</v>
      </c>
      <c r="J47">
        <v>60.06</v>
      </c>
      <c r="K47">
        <v>61.22</v>
      </c>
      <c r="L47">
        <v>22.2</v>
      </c>
      <c r="M47">
        <v>23.42</v>
      </c>
      <c r="N47">
        <v>24.69</v>
      </c>
    </row>
    <row r="48" spans="3:14" x14ac:dyDescent="0.15">
      <c r="C48" s="154" t="s">
        <v>1110</v>
      </c>
      <c r="D48" t="s">
        <v>18</v>
      </c>
      <c r="E48" t="s">
        <v>61</v>
      </c>
      <c r="F48" t="s">
        <v>19</v>
      </c>
      <c r="G48" t="s">
        <v>120</v>
      </c>
      <c r="H48" t="s">
        <v>60</v>
      </c>
      <c r="I48">
        <v>57.4</v>
      </c>
      <c r="J48">
        <v>58.46</v>
      </c>
      <c r="K48">
        <v>59.62</v>
      </c>
      <c r="L48">
        <v>20.6</v>
      </c>
      <c r="M48">
        <v>21.82</v>
      </c>
      <c r="N48">
        <v>23.09</v>
      </c>
    </row>
    <row r="49" spans="3:14" x14ac:dyDescent="0.15">
      <c r="C49" s="154" t="s">
        <v>1110</v>
      </c>
      <c r="D49" t="s">
        <v>18</v>
      </c>
      <c r="E49" t="s">
        <v>61</v>
      </c>
      <c r="F49" t="s">
        <v>19</v>
      </c>
      <c r="G49" t="s">
        <v>120</v>
      </c>
      <c r="H49" t="s">
        <v>648</v>
      </c>
      <c r="I49">
        <v>56.35</v>
      </c>
      <c r="J49">
        <v>57.41</v>
      </c>
      <c r="K49">
        <v>58.57</v>
      </c>
      <c r="L49">
        <v>19.55</v>
      </c>
      <c r="M49">
        <v>20.77</v>
      </c>
      <c r="N49">
        <v>22.04</v>
      </c>
    </row>
    <row r="50" spans="3:14" x14ac:dyDescent="0.15">
      <c r="C50" s="154" t="s">
        <v>1111</v>
      </c>
      <c r="D50" t="s">
        <v>18</v>
      </c>
      <c r="E50" t="s">
        <v>61</v>
      </c>
      <c r="F50" t="s">
        <v>19</v>
      </c>
      <c r="G50" t="s">
        <v>120</v>
      </c>
      <c r="H50" t="s">
        <v>59</v>
      </c>
      <c r="I50">
        <v>58.69</v>
      </c>
      <c r="J50">
        <v>60.01</v>
      </c>
      <c r="K50">
        <v>61.31</v>
      </c>
      <c r="L50">
        <v>21.82</v>
      </c>
      <c r="M50">
        <v>23.53</v>
      </c>
      <c r="N50">
        <v>24.74</v>
      </c>
    </row>
    <row r="51" spans="3:14" x14ac:dyDescent="0.15">
      <c r="C51" s="154" t="s">
        <v>1111</v>
      </c>
      <c r="D51" t="s">
        <v>18</v>
      </c>
      <c r="E51" t="s">
        <v>61</v>
      </c>
      <c r="F51" t="s">
        <v>19</v>
      </c>
      <c r="G51" t="s">
        <v>120</v>
      </c>
      <c r="H51" t="s">
        <v>60</v>
      </c>
      <c r="I51">
        <v>57.09</v>
      </c>
      <c r="J51">
        <v>58.41</v>
      </c>
      <c r="K51">
        <v>59.71</v>
      </c>
      <c r="L51">
        <v>20.22</v>
      </c>
      <c r="M51">
        <v>21.93</v>
      </c>
      <c r="N51">
        <v>23.14</v>
      </c>
    </row>
    <row r="52" spans="3:14" x14ac:dyDescent="0.15">
      <c r="C52" s="154" t="s">
        <v>1111</v>
      </c>
      <c r="D52" t="s">
        <v>18</v>
      </c>
      <c r="E52" t="s">
        <v>61</v>
      </c>
      <c r="F52" t="s">
        <v>19</v>
      </c>
      <c r="G52" t="s">
        <v>120</v>
      </c>
      <c r="H52" t="s">
        <v>648</v>
      </c>
      <c r="I52">
        <v>56.04</v>
      </c>
      <c r="J52">
        <v>57.36</v>
      </c>
      <c r="K52">
        <v>58.66</v>
      </c>
      <c r="L52">
        <v>19.170000000000002</v>
      </c>
      <c r="M52">
        <v>20.88</v>
      </c>
      <c r="N52">
        <v>22.09</v>
      </c>
    </row>
    <row r="53" spans="3:14" x14ac:dyDescent="0.15">
      <c r="C53" s="154" t="s">
        <v>1112</v>
      </c>
      <c r="D53" t="s">
        <v>18</v>
      </c>
      <c r="E53" t="s">
        <v>61</v>
      </c>
      <c r="F53" t="s">
        <v>19</v>
      </c>
      <c r="G53" t="s">
        <v>120</v>
      </c>
      <c r="H53" t="s">
        <v>59</v>
      </c>
      <c r="I53">
        <v>59.22</v>
      </c>
      <c r="J53">
        <v>60.29</v>
      </c>
      <c r="K53">
        <v>61.6</v>
      </c>
      <c r="L53">
        <v>22.3</v>
      </c>
      <c r="M53">
        <v>23.95</v>
      </c>
      <c r="N53">
        <v>25.07</v>
      </c>
    </row>
    <row r="54" spans="3:14" x14ac:dyDescent="0.15">
      <c r="C54" s="154" t="s">
        <v>1112</v>
      </c>
      <c r="D54" t="s">
        <v>18</v>
      </c>
      <c r="E54" t="s">
        <v>61</v>
      </c>
      <c r="F54" t="s">
        <v>19</v>
      </c>
      <c r="G54" t="s">
        <v>120</v>
      </c>
      <c r="H54" t="s">
        <v>60</v>
      </c>
      <c r="I54">
        <v>57.62</v>
      </c>
      <c r="J54">
        <v>58.69</v>
      </c>
      <c r="K54">
        <v>60</v>
      </c>
      <c r="L54">
        <v>20.7</v>
      </c>
      <c r="M54">
        <v>22.35</v>
      </c>
      <c r="N54">
        <v>23.47</v>
      </c>
    </row>
    <row r="55" spans="3:14" x14ac:dyDescent="0.15">
      <c r="C55" s="154" t="s">
        <v>1112</v>
      </c>
      <c r="D55" t="s">
        <v>18</v>
      </c>
      <c r="E55" t="s">
        <v>61</v>
      </c>
      <c r="F55" t="s">
        <v>19</v>
      </c>
      <c r="G55" t="s">
        <v>120</v>
      </c>
      <c r="H55" t="s">
        <v>648</v>
      </c>
      <c r="I55">
        <v>56.57</v>
      </c>
      <c r="J55">
        <v>57.64</v>
      </c>
      <c r="K55">
        <v>58.95</v>
      </c>
      <c r="L55">
        <v>19.649999999999999</v>
      </c>
      <c r="M55">
        <v>21.3</v>
      </c>
      <c r="N55">
        <v>22.42</v>
      </c>
    </row>
    <row r="56" spans="3:14" x14ac:dyDescent="0.15">
      <c r="C56" s="154" t="s">
        <v>1113</v>
      </c>
      <c r="D56" t="s">
        <v>18</v>
      </c>
      <c r="E56" t="s">
        <v>61</v>
      </c>
      <c r="F56" t="s">
        <v>19</v>
      </c>
      <c r="G56" t="s">
        <v>120</v>
      </c>
      <c r="H56" t="s">
        <v>59</v>
      </c>
      <c r="I56">
        <v>59.68</v>
      </c>
      <c r="J56">
        <v>60.79</v>
      </c>
      <c r="K56">
        <v>61.94</v>
      </c>
      <c r="L56">
        <v>22.83</v>
      </c>
      <c r="M56">
        <v>24.51</v>
      </c>
      <c r="N56">
        <v>25.41</v>
      </c>
    </row>
    <row r="57" spans="3:14" x14ac:dyDescent="0.15">
      <c r="C57" s="154" t="s">
        <v>1113</v>
      </c>
      <c r="D57" t="s">
        <v>18</v>
      </c>
      <c r="E57" t="s">
        <v>61</v>
      </c>
      <c r="F57" t="s">
        <v>19</v>
      </c>
      <c r="G57" t="s">
        <v>120</v>
      </c>
      <c r="H57" t="s">
        <v>60</v>
      </c>
      <c r="I57">
        <v>58.08</v>
      </c>
      <c r="J57">
        <v>59.19</v>
      </c>
      <c r="K57">
        <v>60.34</v>
      </c>
      <c r="L57">
        <v>21.23</v>
      </c>
      <c r="M57">
        <v>22.91</v>
      </c>
      <c r="N57">
        <v>23.81</v>
      </c>
    </row>
    <row r="58" spans="3:14" x14ac:dyDescent="0.15">
      <c r="C58" s="154" t="s">
        <v>1113</v>
      </c>
      <c r="D58" t="s">
        <v>18</v>
      </c>
      <c r="E58" t="s">
        <v>61</v>
      </c>
      <c r="F58" t="s">
        <v>19</v>
      </c>
      <c r="G58" t="s">
        <v>120</v>
      </c>
      <c r="H58" t="s">
        <v>648</v>
      </c>
      <c r="I58">
        <v>57.03</v>
      </c>
      <c r="J58">
        <v>58.14</v>
      </c>
      <c r="K58">
        <v>59.29</v>
      </c>
      <c r="L58">
        <v>20.18</v>
      </c>
      <c r="M58">
        <v>21.86</v>
      </c>
      <c r="N58">
        <v>22.76</v>
      </c>
    </row>
    <row r="59" spans="3:14" x14ac:dyDescent="0.15">
      <c r="C59" s="154" t="s">
        <v>1114</v>
      </c>
      <c r="D59" t="s">
        <v>18</v>
      </c>
      <c r="E59" t="s">
        <v>61</v>
      </c>
      <c r="F59" t="s">
        <v>19</v>
      </c>
      <c r="G59" t="s">
        <v>120</v>
      </c>
      <c r="H59" t="s">
        <v>59</v>
      </c>
      <c r="I59">
        <v>60.08</v>
      </c>
      <c r="J59">
        <v>61.26</v>
      </c>
      <c r="K59">
        <v>62.22</v>
      </c>
      <c r="L59">
        <v>23.33</v>
      </c>
      <c r="M59">
        <v>25</v>
      </c>
      <c r="N59">
        <v>25.75</v>
      </c>
    </row>
    <row r="60" spans="3:14" x14ac:dyDescent="0.15">
      <c r="C60" s="154" t="s">
        <v>1114</v>
      </c>
      <c r="D60" t="s">
        <v>18</v>
      </c>
      <c r="E60" t="s">
        <v>61</v>
      </c>
      <c r="F60" t="s">
        <v>19</v>
      </c>
      <c r="G60" t="s">
        <v>120</v>
      </c>
      <c r="H60" t="s">
        <v>60</v>
      </c>
      <c r="I60">
        <v>58.48</v>
      </c>
      <c r="J60">
        <v>59.66</v>
      </c>
      <c r="K60">
        <v>60.62</v>
      </c>
      <c r="L60">
        <v>21.73</v>
      </c>
      <c r="M60">
        <v>23.4</v>
      </c>
      <c r="N60">
        <v>24.15</v>
      </c>
    </row>
    <row r="61" spans="3:14" x14ac:dyDescent="0.15">
      <c r="C61" s="154" t="s">
        <v>1114</v>
      </c>
      <c r="D61" t="s">
        <v>18</v>
      </c>
      <c r="E61" t="s">
        <v>61</v>
      </c>
      <c r="F61" t="s">
        <v>19</v>
      </c>
      <c r="G61" t="s">
        <v>120</v>
      </c>
      <c r="H61" t="s">
        <v>648</v>
      </c>
      <c r="I61">
        <v>57.43</v>
      </c>
      <c r="J61">
        <v>58.61</v>
      </c>
      <c r="K61">
        <v>59.57</v>
      </c>
      <c r="L61">
        <v>20.68</v>
      </c>
      <c r="M61">
        <v>22.35</v>
      </c>
      <c r="N61">
        <v>23.1</v>
      </c>
    </row>
    <row r="62" spans="3:14" x14ac:dyDescent="0.15">
      <c r="C62" s="154" t="s">
        <v>1115</v>
      </c>
      <c r="D62" t="s">
        <v>18</v>
      </c>
      <c r="E62" t="s">
        <v>61</v>
      </c>
      <c r="F62" t="s">
        <v>19</v>
      </c>
      <c r="G62" t="s">
        <v>120</v>
      </c>
      <c r="H62" t="s">
        <v>59</v>
      </c>
      <c r="I62">
        <v>60.51</v>
      </c>
      <c r="J62">
        <v>61.89</v>
      </c>
      <c r="K62">
        <v>62.47</v>
      </c>
      <c r="L62">
        <v>23.81</v>
      </c>
      <c r="M62">
        <v>25.44</v>
      </c>
      <c r="N62">
        <v>26.08</v>
      </c>
    </row>
    <row r="63" spans="3:14" x14ac:dyDescent="0.15">
      <c r="C63" s="154" t="s">
        <v>1115</v>
      </c>
      <c r="D63" t="s">
        <v>18</v>
      </c>
      <c r="E63" t="s">
        <v>61</v>
      </c>
      <c r="F63" t="s">
        <v>19</v>
      </c>
      <c r="G63" t="s">
        <v>120</v>
      </c>
      <c r="H63" t="s">
        <v>60</v>
      </c>
      <c r="I63">
        <v>58.91</v>
      </c>
      <c r="J63">
        <v>60.29</v>
      </c>
      <c r="K63">
        <v>60.87</v>
      </c>
      <c r="L63">
        <v>22.21</v>
      </c>
      <c r="M63">
        <v>23.84</v>
      </c>
      <c r="N63">
        <v>24.48</v>
      </c>
    </row>
    <row r="64" spans="3:14" x14ac:dyDescent="0.15">
      <c r="C64" s="154" t="s">
        <v>1115</v>
      </c>
      <c r="D64" t="s">
        <v>18</v>
      </c>
      <c r="E64" t="s">
        <v>61</v>
      </c>
      <c r="F64" t="s">
        <v>19</v>
      </c>
      <c r="G64" t="s">
        <v>120</v>
      </c>
      <c r="H64" t="s">
        <v>648</v>
      </c>
      <c r="I64">
        <v>57.86</v>
      </c>
      <c r="J64">
        <v>59.24</v>
      </c>
      <c r="K64">
        <v>59.82</v>
      </c>
      <c r="L64">
        <v>21.16</v>
      </c>
      <c r="M64">
        <v>22.79</v>
      </c>
      <c r="N64">
        <v>23.43</v>
      </c>
    </row>
    <row r="65" spans="3:14" x14ac:dyDescent="0.15">
      <c r="C65" s="154" t="s">
        <v>1117</v>
      </c>
      <c r="D65" t="s">
        <v>18</v>
      </c>
      <c r="E65" t="s">
        <v>61</v>
      </c>
      <c r="F65" t="s">
        <v>19</v>
      </c>
      <c r="G65" t="s">
        <v>120</v>
      </c>
      <c r="H65" t="s">
        <v>59</v>
      </c>
      <c r="I65">
        <v>60.98</v>
      </c>
      <c r="J65">
        <v>62.28</v>
      </c>
      <c r="K65">
        <v>62.79</v>
      </c>
      <c r="L65">
        <v>24.3</v>
      </c>
      <c r="M65">
        <v>25.76</v>
      </c>
      <c r="N65">
        <v>26.41</v>
      </c>
    </row>
    <row r="66" spans="3:14" x14ac:dyDescent="0.15">
      <c r="C66" s="154" t="s">
        <v>1117</v>
      </c>
      <c r="D66" t="s">
        <v>18</v>
      </c>
      <c r="E66" t="s">
        <v>61</v>
      </c>
      <c r="F66" t="s">
        <v>19</v>
      </c>
      <c r="G66" t="s">
        <v>120</v>
      </c>
      <c r="H66" t="s">
        <v>60</v>
      </c>
      <c r="I66">
        <v>59.38</v>
      </c>
      <c r="J66">
        <v>60.68</v>
      </c>
      <c r="K66">
        <v>61.19</v>
      </c>
      <c r="L66">
        <v>22.7</v>
      </c>
      <c r="M66">
        <v>24.16</v>
      </c>
      <c r="N66">
        <v>24.81</v>
      </c>
    </row>
    <row r="67" spans="3:14" x14ac:dyDescent="0.15">
      <c r="C67" s="154" t="s">
        <v>1117</v>
      </c>
      <c r="D67" t="s">
        <v>18</v>
      </c>
      <c r="E67" t="s">
        <v>61</v>
      </c>
      <c r="F67" t="s">
        <v>19</v>
      </c>
      <c r="G67" t="s">
        <v>120</v>
      </c>
      <c r="H67" t="s">
        <v>648</v>
      </c>
      <c r="I67">
        <v>58.33</v>
      </c>
      <c r="J67">
        <v>59.63</v>
      </c>
      <c r="K67">
        <v>60.14</v>
      </c>
      <c r="L67">
        <v>21.65</v>
      </c>
      <c r="M67">
        <v>23.11</v>
      </c>
      <c r="N67">
        <v>23.76</v>
      </c>
    </row>
    <row r="68" spans="3:14" x14ac:dyDescent="0.15">
      <c r="C68" s="154" t="s">
        <v>1118</v>
      </c>
      <c r="D68" t="s">
        <v>18</v>
      </c>
      <c r="E68" t="s">
        <v>61</v>
      </c>
      <c r="F68" t="s">
        <v>19</v>
      </c>
      <c r="G68" t="s">
        <v>120</v>
      </c>
      <c r="H68" t="s">
        <v>59</v>
      </c>
      <c r="I68">
        <v>61.37</v>
      </c>
      <c r="J68">
        <v>62.68</v>
      </c>
      <c r="K68">
        <v>63.04</v>
      </c>
      <c r="L68">
        <v>24.75</v>
      </c>
      <c r="M68">
        <v>25.99</v>
      </c>
      <c r="N68">
        <v>26.72</v>
      </c>
    </row>
    <row r="69" spans="3:14" x14ac:dyDescent="0.15">
      <c r="C69" s="154" t="s">
        <v>1118</v>
      </c>
      <c r="D69" t="s">
        <v>18</v>
      </c>
      <c r="E69" t="s">
        <v>61</v>
      </c>
      <c r="F69" t="s">
        <v>19</v>
      </c>
      <c r="G69" t="s">
        <v>120</v>
      </c>
      <c r="H69" t="s">
        <v>60</v>
      </c>
      <c r="I69">
        <v>59.77</v>
      </c>
      <c r="J69">
        <v>61.08</v>
      </c>
      <c r="K69">
        <v>61.44</v>
      </c>
      <c r="L69">
        <v>23.15</v>
      </c>
      <c r="M69">
        <v>24.39</v>
      </c>
      <c r="N69">
        <v>25.12</v>
      </c>
    </row>
    <row r="70" spans="3:14" x14ac:dyDescent="0.15">
      <c r="C70" s="154" t="s">
        <v>1118</v>
      </c>
      <c r="D70" t="s">
        <v>18</v>
      </c>
      <c r="E70" t="s">
        <v>61</v>
      </c>
      <c r="F70" t="s">
        <v>19</v>
      </c>
      <c r="G70" t="s">
        <v>120</v>
      </c>
      <c r="H70" t="s">
        <v>648</v>
      </c>
      <c r="I70">
        <v>58.72</v>
      </c>
      <c r="J70">
        <v>60.03</v>
      </c>
      <c r="K70">
        <v>60.39</v>
      </c>
      <c r="L70">
        <v>22.1</v>
      </c>
      <c r="M70">
        <v>23.34</v>
      </c>
      <c r="N70">
        <v>24.07</v>
      </c>
    </row>
    <row r="71" spans="3:14" x14ac:dyDescent="0.15">
      <c r="C71" s="154" t="s">
        <v>1119</v>
      </c>
      <c r="D71" t="s">
        <v>18</v>
      </c>
      <c r="E71" t="s">
        <v>61</v>
      </c>
      <c r="F71" t="s">
        <v>19</v>
      </c>
      <c r="G71" t="s">
        <v>120</v>
      </c>
      <c r="H71" t="s">
        <v>59</v>
      </c>
      <c r="I71">
        <v>61.8</v>
      </c>
      <c r="J71">
        <v>63.07</v>
      </c>
      <c r="K71">
        <v>63.38</v>
      </c>
      <c r="L71">
        <v>25.26</v>
      </c>
      <c r="M71">
        <v>26.33</v>
      </c>
      <c r="N71">
        <v>27.07</v>
      </c>
    </row>
    <row r="72" spans="3:14" x14ac:dyDescent="0.15">
      <c r="C72" s="154" t="s">
        <v>1119</v>
      </c>
      <c r="D72" t="s">
        <v>18</v>
      </c>
      <c r="E72" t="s">
        <v>61</v>
      </c>
      <c r="F72" t="s">
        <v>19</v>
      </c>
      <c r="G72" t="s">
        <v>120</v>
      </c>
      <c r="H72" t="s">
        <v>60</v>
      </c>
      <c r="I72">
        <v>60.2</v>
      </c>
      <c r="J72">
        <v>61.47</v>
      </c>
      <c r="K72">
        <v>61.78</v>
      </c>
      <c r="L72">
        <v>23.66</v>
      </c>
      <c r="M72">
        <v>24.73</v>
      </c>
      <c r="N72">
        <v>25.47</v>
      </c>
    </row>
    <row r="73" spans="3:14" x14ac:dyDescent="0.15">
      <c r="C73" s="154" t="s">
        <v>1119</v>
      </c>
      <c r="D73" t="s">
        <v>18</v>
      </c>
      <c r="E73" t="s">
        <v>61</v>
      </c>
      <c r="F73" t="s">
        <v>19</v>
      </c>
      <c r="G73" t="s">
        <v>120</v>
      </c>
      <c r="H73" t="s">
        <v>648</v>
      </c>
      <c r="I73">
        <v>59.15</v>
      </c>
      <c r="J73">
        <v>60.42</v>
      </c>
      <c r="K73">
        <v>60.73</v>
      </c>
      <c r="L73">
        <v>22.61</v>
      </c>
      <c r="M73">
        <v>23.68</v>
      </c>
      <c r="N73">
        <v>24.42</v>
      </c>
    </row>
    <row r="74" spans="3:14" x14ac:dyDescent="0.15">
      <c r="C74" s="154" t="s">
        <v>1107</v>
      </c>
      <c r="D74" t="s">
        <v>18</v>
      </c>
      <c r="E74" t="s">
        <v>61</v>
      </c>
      <c r="F74" t="s">
        <v>14</v>
      </c>
      <c r="G74" t="s">
        <v>123</v>
      </c>
      <c r="H74" t="s">
        <v>59</v>
      </c>
      <c r="I74">
        <v>58.75</v>
      </c>
      <c r="J74">
        <v>59.38</v>
      </c>
      <c r="K74">
        <v>60.07</v>
      </c>
      <c r="L74">
        <v>23.14</v>
      </c>
      <c r="M74">
        <v>23.34</v>
      </c>
      <c r="N74">
        <v>24.42</v>
      </c>
    </row>
    <row r="75" spans="3:14" x14ac:dyDescent="0.15">
      <c r="C75" s="154" t="s">
        <v>1107</v>
      </c>
      <c r="D75" t="s">
        <v>18</v>
      </c>
      <c r="E75" t="s">
        <v>61</v>
      </c>
      <c r="F75" t="s">
        <v>14</v>
      </c>
      <c r="G75" t="s">
        <v>123</v>
      </c>
      <c r="H75" t="s">
        <v>60</v>
      </c>
      <c r="I75">
        <v>57.15</v>
      </c>
      <c r="J75">
        <v>57.78</v>
      </c>
      <c r="K75">
        <v>58.47</v>
      </c>
      <c r="L75">
        <v>21.54</v>
      </c>
      <c r="M75">
        <v>21.74</v>
      </c>
      <c r="N75">
        <v>22.82</v>
      </c>
    </row>
    <row r="76" spans="3:14" x14ac:dyDescent="0.15">
      <c r="C76" s="154" t="s">
        <v>1107</v>
      </c>
      <c r="D76" t="s">
        <v>18</v>
      </c>
      <c r="E76" t="s">
        <v>61</v>
      </c>
      <c r="F76" t="s">
        <v>14</v>
      </c>
      <c r="G76" t="s">
        <v>123</v>
      </c>
      <c r="H76" t="s">
        <v>648</v>
      </c>
      <c r="I76">
        <v>56.1</v>
      </c>
      <c r="J76">
        <v>56.73</v>
      </c>
      <c r="K76">
        <v>57.42</v>
      </c>
      <c r="L76">
        <v>20.49</v>
      </c>
      <c r="M76">
        <v>20.69</v>
      </c>
      <c r="N76">
        <v>21.77</v>
      </c>
    </row>
    <row r="77" spans="3:14" x14ac:dyDescent="0.15">
      <c r="C77" s="154" t="s">
        <v>1108</v>
      </c>
      <c r="D77" t="s">
        <v>18</v>
      </c>
      <c r="E77" t="s">
        <v>61</v>
      </c>
      <c r="F77" t="s">
        <v>14</v>
      </c>
      <c r="G77" t="s">
        <v>123</v>
      </c>
      <c r="H77" t="s">
        <v>59</v>
      </c>
      <c r="I77">
        <v>58.6</v>
      </c>
      <c r="J77">
        <v>59.24</v>
      </c>
      <c r="K77">
        <v>60.2</v>
      </c>
      <c r="L77">
        <v>22.83</v>
      </c>
      <c r="M77">
        <v>23.22</v>
      </c>
      <c r="N77">
        <v>24.49</v>
      </c>
    </row>
    <row r="78" spans="3:14" x14ac:dyDescent="0.15">
      <c r="C78" s="154" t="s">
        <v>1108</v>
      </c>
      <c r="D78" t="s">
        <v>18</v>
      </c>
      <c r="E78" t="s">
        <v>61</v>
      </c>
      <c r="F78" t="s">
        <v>14</v>
      </c>
      <c r="G78" t="s">
        <v>123</v>
      </c>
      <c r="H78" t="s">
        <v>60</v>
      </c>
      <c r="I78">
        <v>57</v>
      </c>
      <c r="J78">
        <v>57.64</v>
      </c>
      <c r="K78">
        <v>58.6</v>
      </c>
      <c r="L78">
        <v>21.23</v>
      </c>
      <c r="M78">
        <v>21.62</v>
      </c>
      <c r="N78">
        <v>22.89</v>
      </c>
    </row>
    <row r="79" spans="3:14" x14ac:dyDescent="0.15">
      <c r="C79" s="154" t="s">
        <v>1108</v>
      </c>
      <c r="D79" t="s">
        <v>18</v>
      </c>
      <c r="E79" t="s">
        <v>61</v>
      </c>
      <c r="F79" t="s">
        <v>14</v>
      </c>
      <c r="G79" t="s">
        <v>123</v>
      </c>
      <c r="H79" t="s">
        <v>648</v>
      </c>
      <c r="I79">
        <v>55.95</v>
      </c>
      <c r="J79">
        <v>56.59</v>
      </c>
      <c r="K79">
        <v>57.55</v>
      </c>
      <c r="L79">
        <v>20.18</v>
      </c>
      <c r="M79">
        <v>20.57</v>
      </c>
      <c r="N79">
        <v>21.84</v>
      </c>
    </row>
    <row r="80" spans="3:14" x14ac:dyDescent="0.15">
      <c r="C80" s="154" t="s">
        <v>1109</v>
      </c>
      <c r="D80" t="s">
        <v>18</v>
      </c>
      <c r="E80" t="s">
        <v>61</v>
      </c>
      <c r="F80" t="s">
        <v>14</v>
      </c>
      <c r="G80" t="s">
        <v>123</v>
      </c>
      <c r="H80" t="s">
        <v>59</v>
      </c>
      <c r="I80">
        <v>58.46</v>
      </c>
      <c r="J80">
        <v>59.03</v>
      </c>
      <c r="K80">
        <v>60.35</v>
      </c>
      <c r="L80">
        <v>22.51</v>
      </c>
      <c r="M80">
        <v>23.15</v>
      </c>
      <c r="N80">
        <v>24.58</v>
      </c>
    </row>
    <row r="81" spans="3:14" x14ac:dyDescent="0.15">
      <c r="C81" s="154" t="s">
        <v>1109</v>
      </c>
      <c r="D81" t="s">
        <v>18</v>
      </c>
      <c r="E81" t="s">
        <v>61</v>
      </c>
      <c r="F81" t="s">
        <v>14</v>
      </c>
      <c r="G81" t="s">
        <v>123</v>
      </c>
      <c r="H81" t="s">
        <v>60</v>
      </c>
      <c r="I81">
        <v>56.86</v>
      </c>
      <c r="J81">
        <v>57.43</v>
      </c>
      <c r="K81">
        <v>58.75</v>
      </c>
      <c r="L81">
        <v>20.91</v>
      </c>
      <c r="M81">
        <v>21.55</v>
      </c>
      <c r="N81">
        <v>22.98</v>
      </c>
    </row>
    <row r="82" spans="3:14" x14ac:dyDescent="0.15">
      <c r="C82" s="154" t="s">
        <v>1109</v>
      </c>
      <c r="D82" t="s">
        <v>18</v>
      </c>
      <c r="E82" t="s">
        <v>61</v>
      </c>
      <c r="F82" t="s">
        <v>14</v>
      </c>
      <c r="G82" t="s">
        <v>123</v>
      </c>
      <c r="H82" t="s">
        <v>648</v>
      </c>
      <c r="I82">
        <v>55.81</v>
      </c>
      <c r="J82">
        <v>56.38</v>
      </c>
      <c r="K82">
        <v>57.7</v>
      </c>
      <c r="L82">
        <v>19.86</v>
      </c>
      <c r="M82">
        <v>20.5</v>
      </c>
      <c r="N82">
        <v>21.93</v>
      </c>
    </row>
    <row r="83" spans="3:14" x14ac:dyDescent="0.15">
      <c r="C83" s="154" t="s">
        <v>1110</v>
      </c>
      <c r="D83" t="s">
        <v>18</v>
      </c>
      <c r="E83" t="s">
        <v>61</v>
      </c>
      <c r="F83" t="s">
        <v>14</v>
      </c>
      <c r="G83" t="s">
        <v>123</v>
      </c>
      <c r="H83" t="s">
        <v>59</v>
      </c>
      <c r="I83">
        <v>58.2</v>
      </c>
      <c r="J83">
        <v>58.98</v>
      </c>
      <c r="K83">
        <v>60.41</v>
      </c>
      <c r="L83">
        <v>22.17</v>
      </c>
      <c r="M83">
        <v>23.2</v>
      </c>
      <c r="N83">
        <v>24.64</v>
      </c>
    </row>
    <row r="84" spans="3:14" x14ac:dyDescent="0.15">
      <c r="C84" s="154" t="s">
        <v>1110</v>
      </c>
      <c r="D84" t="s">
        <v>18</v>
      </c>
      <c r="E84" t="s">
        <v>61</v>
      </c>
      <c r="F84" t="s">
        <v>14</v>
      </c>
      <c r="G84" t="s">
        <v>123</v>
      </c>
      <c r="H84" t="s">
        <v>60</v>
      </c>
      <c r="I84">
        <v>56.6</v>
      </c>
      <c r="J84">
        <v>57.38</v>
      </c>
      <c r="K84">
        <v>58.81</v>
      </c>
      <c r="L84">
        <v>20.57</v>
      </c>
      <c r="M84">
        <v>21.6</v>
      </c>
      <c r="N84">
        <v>23.04</v>
      </c>
    </row>
    <row r="85" spans="3:14" x14ac:dyDescent="0.15">
      <c r="C85" s="154" t="s">
        <v>1110</v>
      </c>
      <c r="D85" t="s">
        <v>18</v>
      </c>
      <c r="E85" t="s">
        <v>61</v>
      </c>
      <c r="F85" t="s">
        <v>14</v>
      </c>
      <c r="G85" t="s">
        <v>123</v>
      </c>
      <c r="H85" t="s">
        <v>648</v>
      </c>
      <c r="I85">
        <v>55.55</v>
      </c>
      <c r="J85">
        <v>56.33</v>
      </c>
      <c r="K85">
        <v>57.76</v>
      </c>
      <c r="L85">
        <v>19.52</v>
      </c>
      <c r="M85">
        <v>20.55</v>
      </c>
      <c r="N85">
        <v>21.99</v>
      </c>
    </row>
    <row r="86" spans="3:14" x14ac:dyDescent="0.15">
      <c r="C86" s="154" t="s">
        <v>1111</v>
      </c>
      <c r="D86" t="s">
        <v>18</v>
      </c>
      <c r="E86" t="s">
        <v>61</v>
      </c>
      <c r="F86" t="s">
        <v>14</v>
      </c>
      <c r="G86" t="s">
        <v>123</v>
      </c>
      <c r="H86" t="s">
        <v>59</v>
      </c>
      <c r="I86">
        <v>57.88</v>
      </c>
      <c r="J86">
        <v>58.98</v>
      </c>
      <c r="K86">
        <v>60.49</v>
      </c>
      <c r="L86">
        <v>21.78</v>
      </c>
      <c r="M86">
        <v>23.31</v>
      </c>
      <c r="N86">
        <v>24.69</v>
      </c>
    </row>
    <row r="87" spans="3:14" x14ac:dyDescent="0.15">
      <c r="C87" s="154" t="s">
        <v>1111</v>
      </c>
      <c r="D87" t="s">
        <v>18</v>
      </c>
      <c r="E87" t="s">
        <v>61</v>
      </c>
      <c r="F87" t="s">
        <v>14</v>
      </c>
      <c r="G87" t="s">
        <v>123</v>
      </c>
      <c r="H87" t="s">
        <v>60</v>
      </c>
      <c r="I87">
        <v>56.28</v>
      </c>
      <c r="J87">
        <v>57.38</v>
      </c>
      <c r="K87">
        <v>58.89</v>
      </c>
      <c r="L87">
        <v>20.18</v>
      </c>
      <c r="M87">
        <v>21.71</v>
      </c>
      <c r="N87">
        <v>23.09</v>
      </c>
    </row>
    <row r="88" spans="3:14" x14ac:dyDescent="0.15">
      <c r="C88" s="154" t="s">
        <v>1111</v>
      </c>
      <c r="D88" t="s">
        <v>18</v>
      </c>
      <c r="E88" t="s">
        <v>61</v>
      </c>
      <c r="F88" t="s">
        <v>14</v>
      </c>
      <c r="G88" t="s">
        <v>123</v>
      </c>
      <c r="H88" t="s">
        <v>648</v>
      </c>
      <c r="I88">
        <v>55.23</v>
      </c>
      <c r="J88">
        <v>56.33</v>
      </c>
      <c r="K88">
        <v>57.84</v>
      </c>
      <c r="L88">
        <v>19.13</v>
      </c>
      <c r="M88">
        <v>20.66</v>
      </c>
      <c r="N88">
        <v>22.04</v>
      </c>
    </row>
    <row r="89" spans="3:14" x14ac:dyDescent="0.15">
      <c r="C89" s="154" t="s">
        <v>1112</v>
      </c>
      <c r="D89" t="s">
        <v>18</v>
      </c>
      <c r="E89" t="s">
        <v>61</v>
      </c>
      <c r="F89" t="s">
        <v>14</v>
      </c>
      <c r="G89" t="s">
        <v>123</v>
      </c>
      <c r="H89" t="s">
        <v>59</v>
      </c>
      <c r="I89">
        <v>58.4</v>
      </c>
      <c r="J89">
        <v>59.35</v>
      </c>
      <c r="K89">
        <v>60.78</v>
      </c>
      <c r="L89">
        <v>22.26</v>
      </c>
      <c r="M89">
        <v>23.77</v>
      </c>
      <c r="N89">
        <v>25.02</v>
      </c>
    </row>
    <row r="90" spans="3:14" x14ac:dyDescent="0.15">
      <c r="C90" s="154" t="s">
        <v>1112</v>
      </c>
      <c r="D90" t="s">
        <v>18</v>
      </c>
      <c r="E90" t="s">
        <v>61</v>
      </c>
      <c r="F90" t="s">
        <v>14</v>
      </c>
      <c r="G90" t="s">
        <v>123</v>
      </c>
      <c r="H90" t="s">
        <v>60</v>
      </c>
      <c r="I90">
        <v>56.8</v>
      </c>
      <c r="J90">
        <v>57.75</v>
      </c>
      <c r="K90">
        <v>59.18</v>
      </c>
      <c r="L90">
        <v>20.66</v>
      </c>
      <c r="M90">
        <v>22.17</v>
      </c>
      <c r="N90">
        <v>23.42</v>
      </c>
    </row>
    <row r="91" spans="3:14" x14ac:dyDescent="0.15">
      <c r="C91" s="154" t="s">
        <v>1112</v>
      </c>
      <c r="D91" t="s">
        <v>18</v>
      </c>
      <c r="E91" t="s">
        <v>61</v>
      </c>
      <c r="F91" t="s">
        <v>14</v>
      </c>
      <c r="G91" t="s">
        <v>123</v>
      </c>
      <c r="H91" t="s">
        <v>648</v>
      </c>
      <c r="I91">
        <v>55.75</v>
      </c>
      <c r="J91">
        <v>56.7</v>
      </c>
      <c r="K91">
        <v>58.13</v>
      </c>
      <c r="L91">
        <v>19.61</v>
      </c>
      <c r="M91">
        <v>21.12</v>
      </c>
      <c r="N91">
        <v>22.37</v>
      </c>
    </row>
    <row r="92" spans="3:14" x14ac:dyDescent="0.15">
      <c r="C92" s="154" t="s">
        <v>1113</v>
      </c>
      <c r="D92" t="s">
        <v>18</v>
      </c>
      <c r="E92" t="s">
        <v>61</v>
      </c>
      <c r="F92" t="s">
        <v>14</v>
      </c>
      <c r="G92" t="s">
        <v>123</v>
      </c>
      <c r="H92" t="s">
        <v>59</v>
      </c>
      <c r="I92">
        <v>58.86</v>
      </c>
      <c r="J92">
        <v>59.96</v>
      </c>
      <c r="K92">
        <v>61.12</v>
      </c>
      <c r="L92">
        <v>22.79</v>
      </c>
      <c r="M92">
        <v>24.42</v>
      </c>
      <c r="N92">
        <v>25.36</v>
      </c>
    </row>
    <row r="93" spans="3:14" x14ac:dyDescent="0.15">
      <c r="C93" s="154" t="s">
        <v>1113</v>
      </c>
      <c r="D93" t="s">
        <v>18</v>
      </c>
      <c r="E93" t="s">
        <v>61</v>
      </c>
      <c r="F93" t="s">
        <v>14</v>
      </c>
      <c r="G93" t="s">
        <v>123</v>
      </c>
      <c r="H93" t="s">
        <v>60</v>
      </c>
      <c r="I93">
        <v>57.26</v>
      </c>
      <c r="J93">
        <v>58.36</v>
      </c>
      <c r="K93">
        <v>59.52</v>
      </c>
      <c r="L93">
        <v>21.19</v>
      </c>
      <c r="M93">
        <v>22.82</v>
      </c>
      <c r="N93">
        <v>23.76</v>
      </c>
    </row>
    <row r="94" spans="3:14" x14ac:dyDescent="0.15">
      <c r="C94" s="154" t="s">
        <v>1113</v>
      </c>
      <c r="D94" t="s">
        <v>18</v>
      </c>
      <c r="E94" t="s">
        <v>61</v>
      </c>
      <c r="F94" t="s">
        <v>14</v>
      </c>
      <c r="G94" t="s">
        <v>123</v>
      </c>
      <c r="H94" t="s">
        <v>648</v>
      </c>
      <c r="I94">
        <v>56.21</v>
      </c>
      <c r="J94">
        <v>57.31</v>
      </c>
      <c r="K94">
        <v>58.47</v>
      </c>
      <c r="L94">
        <v>20.14</v>
      </c>
      <c r="M94">
        <v>21.77</v>
      </c>
      <c r="N94">
        <v>22.71</v>
      </c>
    </row>
    <row r="95" spans="3:14" x14ac:dyDescent="0.15">
      <c r="C95" s="154" t="s">
        <v>1114</v>
      </c>
      <c r="D95" t="s">
        <v>18</v>
      </c>
      <c r="E95" t="s">
        <v>61</v>
      </c>
      <c r="F95" t="s">
        <v>14</v>
      </c>
      <c r="G95" t="s">
        <v>123</v>
      </c>
      <c r="H95" t="s">
        <v>59</v>
      </c>
      <c r="I95">
        <v>59.26</v>
      </c>
      <c r="J95">
        <v>60.56</v>
      </c>
      <c r="K95">
        <v>61.39</v>
      </c>
      <c r="L95">
        <v>23.29</v>
      </c>
      <c r="M95">
        <v>25.01</v>
      </c>
      <c r="N95">
        <v>25.7</v>
      </c>
    </row>
    <row r="96" spans="3:14" x14ac:dyDescent="0.15">
      <c r="C96" s="154" t="s">
        <v>1114</v>
      </c>
      <c r="D96" t="s">
        <v>18</v>
      </c>
      <c r="E96" t="s">
        <v>61</v>
      </c>
      <c r="F96" t="s">
        <v>14</v>
      </c>
      <c r="G96" t="s">
        <v>123</v>
      </c>
      <c r="H96" t="s">
        <v>60</v>
      </c>
      <c r="I96">
        <v>57.66</v>
      </c>
      <c r="J96">
        <v>58.96</v>
      </c>
      <c r="K96">
        <v>59.79</v>
      </c>
      <c r="L96">
        <v>21.69</v>
      </c>
      <c r="M96">
        <v>23.41</v>
      </c>
      <c r="N96">
        <v>24.1</v>
      </c>
    </row>
    <row r="97" spans="3:14" x14ac:dyDescent="0.15">
      <c r="C97" s="154" t="s">
        <v>1114</v>
      </c>
      <c r="D97" t="s">
        <v>18</v>
      </c>
      <c r="E97" t="s">
        <v>61</v>
      </c>
      <c r="F97" t="s">
        <v>14</v>
      </c>
      <c r="G97" t="s">
        <v>123</v>
      </c>
      <c r="H97" t="s">
        <v>648</v>
      </c>
      <c r="I97">
        <v>56.61</v>
      </c>
      <c r="J97">
        <v>57.91</v>
      </c>
      <c r="K97">
        <v>58.74</v>
      </c>
      <c r="L97">
        <v>20.64</v>
      </c>
      <c r="M97">
        <v>22.36</v>
      </c>
      <c r="N97">
        <v>23.05</v>
      </c>
    </row>
    <row r="98" spans="3:14" x14ac:dyDescent="0.15">
      <c r="C98" s="154" t="s">
        <v>1115</v>
      </c>
      <c r="D98" t="s">
        <v>18</v>
      </c>
      <c r="E98" t="s">
        <v>61</v>
      </c>
      <c r="F98" t="s">
        <v>14</v>
      </c>
      <c r="G98" t="s">
        <v>123</v>
      </c>
      <c r="H98" t="s">
        <v>59</v>
      </c>
      <c r="I98">
        <v>59.69</v>
      </c>
      <c r="J98">
        <v>61.3</v>
      </c>
      <c r="K98">
        <v>61.64</v>
      </c>
      <c r="L98">
        <v>23.76</v>
      </c>
      <c r="M98">
        <v>25.54</v>
      </c>
      <c r="N98">
        <v>26.03</v>
      </c>
    </row>
    <row r="99" spans="3:14" x14ac:dyDescent="0.15">
      <c r="C99" s="154" t="s">
        <v>1115</v>
      </c>
      <c r="D99" t="s">
        <v>18</v>
      </c>
      <c r="E99" t="s">
        <v>61</v>
      </c>
      <c r="F99" t="s">
        <v>14</v>
      </c>
      <c r="G99" t="s">
        <v>123</v>
      </c>
      <c r="H99" t="s">
        <v>60</v>
      </c>
      <c r="I99">
        <v>58.09</v>
      </c>
      <c r="J99">
        <v>59.7</v>
      </c>
      <c r="K99">
        <v>60.04</v>
      </c>
      <c r="L99">
        <v>22.16</v>
      </c>
      <c r="M99">
        <v>23.94</v>
      </c>
      <c r="N99">
        <v>24.43</v>
      </c>
    </row>
    <row r="100" spans="3:14" x14ac:dyDescent="0.15">
      <c r="C100" s="154" t="s">
        <v>1115</v>
      </c>
      <c r="D100" t="s">
        <v>18</v>
      </c>
      <c r="E100" t="s">
        <v>61</v>
      </c>
      <c r="F100" t="s">
        <v>14</v>
      </c>
      <c r="G100" t="s">
        <v>123</v>
      </c>
      <c r="H100" t="s">
        <v>648</v>
      </c>
      <c r="I100">
        <v>57.04</v>
      </c>
      <c r="J100">
        <v>58.65</v>
      </c>
      <c r="K100">
        <v>58.99</v>
      </c>
      <c r="L100">
        <v>21.11</v>
      </c>
      <c r="M100">
        <v>22.89</v>
      </c>
      <c r="N100">
        <v>23.38</v>
      </c>
    </row>
    <row r="101" spans="3:14" x14ac:dyDescent="0.15">
      <c r="C101" s="154" t="s">
        <v>1117</v>
      </c>
      <c r="D101" t="s">
        <v>18</v>
      </c>
      <c r="E101" t="s">
        <v>61</v>
      </c>
      <c r="F101" t="s">
        <v>14</v>
      </c>
      <c r="G101" t="s">
        <v>123</v>
      </c>
      <c r="H101" t="s">
        <v>59</v>
      </c>
      <c r="I101">
        <v>60.15</v>
      </c>
      <c r="J101">
        <v>61.78</v>
      </c>
      <c r="K101">
        <v>61.94</v>
      </c>
      <c r="L101">
        <v>24.25</v>
      </c>
      <c r="M101">
        <v>25.93</v>
      </c>
      <c r="N101">
        <v>26.36</v>
      </c>
    </row>
    <row r="102" spans="3:14" x14ac:dyDescent="0.15">
      <c r="C102" s="154" t="s">
        <v>1117</v>
      </c>
      <c r="D102" t="s">
        <v>18</v>
      </c>
      <c r="E102" t="s">
        <v>61</v>
      </c>
      <c r="F102" t="s">
        <v>14</v>
      </c>
      <c r="G102" t="s">
        <v>123</v>
      </c>
      <c r="H102" t="s">
        <v>60</v>
      </c>
      <c r="I102">
        <v>58.55</v>
      </c>
      <c r="J102">
        <v>60.18</v>
      </c>
      <c r="K102">
        <v>60.34</v>
      </c>
      <c r="L102">
        <v>22.65</v>
      </c>
      <c r="M102">
        <v>24.33</v>
      </c>
      <c r="N102">
        <v>24.76</v>
      </c>
    </row>
    <row r="103" spans="3:14" x14ac:dyDescent="0.15">
      <c r="C103" s="154" t="s">
        <v>1117</v>
      </c>
      <c r="D103" t="s">
        <v>18</v>
      </c>
      <c r="E103" t="s">
        <v>61</v>
      </c>
      <c r="F103" t="s">
        <v>14</v>
      </c>
      <c r="G103" t="s">
        <v>123</v>
      </c>
      <c r="H103" t="s">
        <v>648</v>
      </c>
      <c r="I103">
        <v>57.5</v>
      </c>
      <c r="J103">
        <v>59.13</v>
      </c>
      <c r="K103">
        <v>59.29</v>
      </c>
      <c r="L103">
        <v>21.6</v>
      </c>
      <c r="M103">
        <v>23.28</v>
      </c>
      <c r="N103">
        <v>23.71</v>
      </c>
    </row>
    <row r="104" spans="3:14" x14ac:dyDescent="0.15">
      <c r="C104" s="154" t="s">
        <v>1118</v>
      </c>
      <c r="D104" t="s">
        <v>18</v>
      </c>
      <c r="E104" t="s">
        <v>61</v>
      </c>
      <c r="F104" t="s">
        <v>14</v>
      </c>
      <c r="G104" t="s">
        <v>123</v>
      </c>
      <c r="H104" t="s">
        <v>59</v>
      </c>
      <c r="I104">
        <v>60.53</v>
      </c>
      <c r="J104">
        <v>62.13</v>
      </c>
      <c r="K104">
        <v>62.2</v>
      </c>
      <c r="L104">
        <v>24.7</v>
      </c>
      <c r="M104">
        <v>26.17</v>
      </c>
      <c r="N104">
        <v>26.67</v>
      </c>
    </row>
    <row r="105" spans="3:14" x14ac:dyDescent="0.15">
      <c r="C105" s="154" t="s">
        <v>1118</v>
      </c>
      <c r="D105" t="s">
        <v>18</v>
      </c>
      <c r="E105" t="s">
        <v>61</v>
      </c>
      <c r="F105" t="s">
        <v>14</v>
      </c>
      <c r="G105" t="s">
        <v>123</v>
      </c>
      <c r="H105" t="s">
        <v>60</v>
      </c>
      <c r="I105">
        <v>58.93</v>
      </c>
      <c r="J105">
        <v>60.53</v>
      </c>
      <c r="K105">
        <v>60.6</v>
      </c>
      <c r="L105">
        <v>23.1</v>
      </c>
      <c r="M105">
        <v>24.57</v>
      </c>
      <c r="N105">
        <v>25.07</v>
      </c>
    </row>
    <row r="106" spans="3:14" x14ac:dyDescent="0.15">
      <c r="C106" s="154" t="s">
        <v>1118</v>
      </c>
      <c r="D106" t="s">
        <v>18</v>
      </c>
      <c r="E106" t="s">
        <v>61</v>
      </c>
      <c r="F106" t="s">
        <v>14</v>
      </c>
      <c r="G106" t="s">
        <v>123</v>
      </c>
      <c r="H106" t="s">
        <v>648</v>
      </c>
      <c r="I106">
        <v>57.88</v>
      </c>
      <c r="J106">
        <v>59.48</v>
      </c>
      <c r="K106">
        <v>59.55</v>
      </c>
      <c r="L106">
        <v>22.05</v>
      </c>
      <c r="M106">
        <v>23.52</v>
      </c>
      <c r="N106">
        <v>24.02</v>
      </c>
    </row>
    <row r="107" spans="3:14" x14ac:dyDescent="0.15">
      <c r="C107" s="154" t="s">
        <v>1119</v>
      </c>
      <c r="D107" t="s">
        <v>18</v>
      </c>
      <c r="E107" t="s">
        <v>61</v>
      </c>
      <c r="F107" t="s">
        <v>14</v>
      </c>
      <c r="G107" t="s">
        <v>123</v>
      </c>
      <c r="H107" t="s">
        <v>59</v>
      </c>
      <c r="I107">
        <v>60.97</v>
      </c>
      <c r="J107">
        <v>62.4</v>
      </c>
      <c r="K107">
        <v>62.53</v>
      </c>
      <c r="L107">
        <v>25.21</v>
      </c>
      <c r="M107">
        <v>26.45</v>
      </c>
      <c r="N107">
        <v>27.02</v>
      </c>
    </row>
    <row r="108" spans="3:14" x14ac:dyDescent="0.15">
      <c r="C108" s="154" t="s">
        <v>1119</v>
      </c>
      <c r="D108" t="s">
        <v>18</v>
      </c>
      <c r="E108" t="s">
        <v>61</v>
      </c>
      <c r="F108" t="s">
        <v>14</v>
      </c>
      <c r="G108" t="s">
        <v>123</v>
      </c>
      <c r="H108" t="s">
        <v>60</v>
      </c>
      <c r="I108">
        <v>59.37</v>
      </c>
      <c r="J108">
        <v>60.8</v>
      </c>
      <c r="K108">
        <v>60.93</v>
      </c>
      <c r="L108">
        <v>23.61</v>
      </c>
      <c r="M108">
        <v>24.85</v>
      </c>
      <c r="N108">
        <v>25.42</v>
      </c>
    </row>
    <row r="109" spans="3:14" x14ac:dyDescent="0.15">
      <c r="C109" s="154" t="s">
        <v>1119</v>
      </c>
      <c r="D109" t="s">
        <v>18</v>
      </c>
      <c r="E109" t="s">
        <v>61</v>
      </c>
      <c r="F109" t="s">
        <v>14</v>
      </c>
      <c r="G109" t="s">
        <v>123</v>
      </c>
      <c r="H109" t="s">
        <v>648</v>
      </c>
      <c r="I109">
        <v>58.32</v>
      </c>
      <c r="J109">
        <v>59.75</v>
      </c>
      <c r="K109">
        <v>59.88</v>
      </c>
      <c r="L109">
        <v>22.56</v>
      </c>
      <c r="M109">
        <v>23.8</v>
      </c>
      <c r="N109">
        <v>24.37</v>
      </c>
    </row>
    <row r="110" spans="3:14" x14ac:dyDescent="0.15">
      <c r="C110" s="154" t="s">
        <v>1107</v>
      </c>
      <c r="D110" t="s">
        <v>18</v>
      </c>
      <c r="E110" t="s">
        <v>94</v>
      </c>
      <c r="F110" t="s">
        <v>20</v>
      </c>
      <c r="G110" t="s">
        <v>145</v>
      </c>
      <c r="H110" t="s">
        <v>59</v>
      </c>
      <c r="I110">
        <v>59.48</v>
      </c>
      <c r="J110">
        <v>60.53</v>
      </c>
      <c r="K110">
        <v>60.91</v>
      </c>
      <c r="L110">
        <v>22.37</v>
      </c>
      <c r="M110">
        <v>22.8</v>
      </c>
      <c r="N110">
        <v>23.63</v>
      </c>
    </row>
    <row r="111" spans="3:14" x14ac:dyDescent="0.15">
      <c r="C111" s="154" t="s">
        <v>1107</v>
      </c>
      <c r="D111" t="s">
        <v>18</v>
      </c>
      <c r="E111" t="s">
        <v>94</v>
      </c>
      <c r="F111" t="s">
        <v>20</v>
      </c>
      <c r="G111" t="s">
        <v>145</v>
      </c>
      <c r="H111" t="s">
        <v>60</v>
      </c>
      <c r="I111">
        <v>57.88</v>
      </c>
      <c r="J111">
        <v>58.93</v>
      </c>
      <c r="K111">
        <v>59.31</v>
      </c>
      <c r="L111">
        <v>20.77</v>
      </c>
      <c r="M111">
        <v>21.2</v>
      </c>
      <c r="N111">
        <v>22.03</v>
      </c>
    </row>
    <row r="112" spans="3:14" x14ac:dyDescent="0.15">
      <c r="C112" s="154" t="s">
        <v>1107</v>
      </c>
      <c r="D112" t="s">
        <v>18</v>
      </c>
      <c r="E112" t="s">
        <v>94</v>
      </c>
      <c r="F112" t="s">
        <v>20</v>
      </c>
      <c r="G112" t="s">
        <v>145</v>
      </c>
      <c r="H112" t="s">
        <v>648</v>
      </c>
      <c r="I112">
        <v>56.83</v>
      </c>
      <c r="J112">
        <v>57.88</v>
      </c>
      <c r="K112">
        <v>58.26</v>
      </c>
      <c r="L112">
        <v>19.72</v>
      </c>
      <c r="M112">
        <v>20.149999999999999</v>
      </c>
      <c r="N112">
        <v>20.98</v>
      </c>
    </row>
    <row r="113" spans="3:14" x14ac:dyDescent="0.15">
      <c r="C113" s="154" t="s">
        <v>1108</v>
      </c>
      <c r="D113" t="s">
        <v>18</v>
      </c>
      <c r="E113" t="s">
        <v>94</v>
      </c>
      <c r="F113" t="s">
        <v>20</v>
      </c>
      <c r="G113" t="s">
        <v>145</v>
      </c>
      <c r="H113" t="s">
        <v>59</v>
      </c>
      <c r="I113">
        <v>59.41</v>
      </c>
      <c r="J113">
        <v>60.82</v>
      </c>
      <c r="K113">
        <v>61.08</v>
      </c>
      <c r="L113">
        <v>22.06</v>
      </c>
      <c r="M113">
        <v>22.99</v>
      </c>
      <c r="N113">
        <v>23.7</v>
      </c>
    </row>
    <row r="114" spans="3:14" x14ac:dyDescent="0.15">
      <c r="C114" s="154" t="s">
        <v>1108</v>
      </c>
      <c r="D114" t="s">
        <v>18</v>
      </c>
      <c r="E114" t="s">
        <v>94</v>
      </c>
      <c r="F114" t="s">
        <v>20</v>
      </c>
      <c r="G114" t="s">
        <v>145</v>
      </c>
      <c r="H114" t="s">
        <v>60</v>
      </c>
      <c r="I114">
        <v>57.81</v>
      </c>
      <c r="J114">
        <v>59.22</v>
      </c>
      <c r="K114">
        <v>59.48</v>
      </c>
      <c r="L114">
        <v>20.46</v>
      </c>
      <c r="M114">
        <v>21.39</v>
      </c>
      <c r="N114">
        <v>22.1</v>
      </c>
    </row>
    <row r="115" spans="3:14" x14ac:dyDescent="0.15">
      <c r="C115" s="154" t="s">
        <v>1108</v>
      </c>
      <c r="D115" t="s">
        <v>18</v>
      </c>
      <c r="E115" t="s">
        <v>94</v>
      </c>
      <c r="F115" t="s">
        <v>20</v>
      </c>
      <c r="G115" t="s">
        <v>145</v>
      </c>
      <c r="H115" t="s">
        <v>648</v>
      </c>
      <c r="I115">
        <v>56.76</v>
      </c>
      <c r="J115">
        <v>58.17</v>
      </c>
      <c r="K115">
        <v>58.43</v>
      </c>
      <c r="L115">
        <v>19.41</v>
      </c>
      <c r="M115">
        <v>20.34</v>
      </c>
      <c r="N115">
        <v>21.05</v>
      </c>
    </row>
    <row r="116" spans="3:14" x14ac:dyDescent="0.15">
      <c r="C116" s="154" t="s">
        <v>1109</v>
      </c>
      <c r="D116" t="s">
        <v>18</v>
      </c>
      <c r="E116" t="s">
        <v>94</v>
      </c>
      <c r="F116" t="s">
        <v>20</v>
      </c>
      <c r="G116" t="s">
        <v>145</v>
      </c>
      <c r="H116" t="s">
        <v>59</v>
      </c>
      <c r="I116">
        <v>59.4</v>
      </c>
      <c r="J116">
        <v>61.3</v>
      </c>
      <c r="K116">
        <v>61.27</v>
      </c>
      <c r="L116">
        <v>21.72</v>
      </c>
      <c r="M116">
        <v>23.48</v>
      </c>
      <c r="N116">
        <v>23.78</v>
      </c>
    </row>
    <row r="117" spans="3:14" x14ac:dyDescent="0.15">
      <c r="C117" s="154" t="s">
        <v>1109</v>
      </c>
      <c r="D117" t="s">
        <v>18</v>
      </c>
      <c r="E117" t="s">
        <v>94</v>
      </c>
      <c r="F117" t="s">
        <v>20</v>
      </c>
      <c r="G117" t="s">
        <v>145</v>
      </c>
      <c r="H117" t="s">
        <v>60</v>
      </c>
      <c r="I117">
        <v>57.8</v>
      </c>
      <c r="J117">
        <v>59.7</v>
      </c>
      <c r="K117">
        <v>59.67</v>
      </c>
      <c r="L117">
        <v>20.12</v>
      </c>
      <c r="M117">
        <v>21.88</v>
      </c>
      <c r="N117">
        <v>22.18</v>
      </c>
    </row>
    <row r="118" spans="3:14" x14ac:dyDescent="0.15">
      <c r="C118" s="154" t="s">
        <v>1109</v>
      </c>
      <c r="D118" t="s">
        <v>18</v>
      </c>
      <c r="E118" t="s">
        <v>94</v>
      </c>
      <c r="F118" t="s">
        <v>20</v>
      </c>
      <c r="G118" t="s">
        <v>145</v>
      </c>
      <c r="H118" t="s">
        <v>648</v>
      </c>
      <c r="I118">
        <v>56.75</v>
      </c>
      <c r="J118">
        <v>58.65</v>
      </c>
      <c r="K118">
        <v>58.62</v>
      </c>
      <c r="L118">
        <v>19.07</v>
      </c>
      <c r="M118">
        <v>20.83</v>
      </c>
      <c r="N118">
        <v>21.13</v>
      </c>
    </row>
    <row r="119" spans="3:14" x14ac:dyDescent="0.15">
      <c r="C119" s="154" t="s">
        <v>1110</v>
      </c>
      <c r="D119" t="s">
        <v>18</v>
      </c>
      <c r="E119" t="s">
        <v>94</v>
      </c>
      <c r="F119" t="s">
        <v>20</v>
      </c>
      <c r="G119" t="s">
        <v>145</v>
      </c>
      <c r="H119" t="s">
        <v>59</v>
      </c>
      <c r="I119">
        <v>59.19</v>
      </c>
      <c r="J119">
        <v>60.84</v>
      </c>
      <c r="K119">
        <v>61.38</v>
      </c>
      <c r="L119">
        <v>21.44</v>
      </c>
      <c r="M119">
        <v>23.27</v>
      </c>
      <c r="N119">
        <v>23.89</v>
      </c>
    </row>
    <row r="120" spans="3:14" x14ac:dyDescent="0.15">
      <c r="C120" s="154" t="s">
        <v>1110</v>
      </c>
      <c r="D120" t="s">
        <v>18</v>
      </c>
      <c r="E120" t="s">
        <v>94</v>
      </c>
      <c r="F120" t="s">
        <v>20</v>
      </c>
      <c r="G120" t="s">
        <v>145</v>
      </c>
      <c r="H120" t="s">
        <v>60</v>
      </c>
      <c r="I120">
        <v>57.59</v>
      </c>
      <c r="J120">
        <v>59.24</v>
      </c>
      <c r="K120">
        <v>59.78</v>
      </c>
      <c r="L120">
        <v>19.84</v>
      </c>
      <c r="M120">
        <v>21.67</v>
      </c>
      <c r="N120">
        <v>22.29</v>
      </c>
    </row>
    <row r="121" spans="3:14" x14ac:dyDescent="0.15">
      <c r="C121" s="154" t="s">
        <v>1110</v>
      </c>
      <c r="D121" t="s">
        <v>18</v>
      </c>
      <c r="E121" t="s">
        <v>94</v>
      </c>
      <c r="F121" t="s">
        <v>20</v>
      </c>
      <c r="G121" t="s">
        <v>145</v>
      </c>
      <c r="H121" t="s">
        <v>648</v>
      </c>
      <c r="I121">
        <v>56.54</v>
      </c>
      <c r="J121">
        <v>58.19</v>
      </c>
      <c r="K121">
        <v>58.73</v>
      </c>
      <c r="L121">
        <v>18.79</v>
      </c>
      <c r="M121">
        <v>20.62</v>
      </c>
      <c r="N121">
        <v>21.24</v>
      </c>
    </row>
    <row r="122" spans="3:14" x14ac:dyDescent="0.15">
      <c r="C122" s="154" t="s">
        <v>1111</v>
      </c>
      <c r="D122" t="s">
        <v>18</v>
      </c>
      <c r="E122" t="s">
        <v>94</v>
      </c>
      <c r="F122" t="s">
        <v>20</v>
      </c>
      <c r="G122" t="s">
        <v>145</v>
      </c>
      <c r="H122" t="s">
        <v>59</v>
      </c>
      <c r="I122">
        <v>58.94</v>
      </c>
      <c r="J122">
        <v>60.43</v>
      </c>
      <c r="K122">
        <v>61.5</v>
      </c>
      <c r="L122">
        <v>21.11</v>
      </c>
      <c r="M122">
        <v>23.09</v>
      </c>
      <c r="N122">
        <v>23.96</v>
      </c>
    </row>
    <row r="123" spans="3:14" x14ac:dyDescent="0.15">
      <c r="C123" s="154" t="s">
        <v>1111</v>
      </c>
      <c r="D123" t="s">
        <v>18</v>
      </c>
      <c r="E123" t="s">
        <v>94</v>
      </c>
      <c r="F123" t="s">
        <v>20</v>
      </c>
      <c r="G123" t="s">
        <v>145</v>
      </c>
      <c r="H123" t="s">
        <v>60</v>
      </c>
      <c r="I123">
        <v>57.34</v>
      </c>
      <c r="J123">
        <v>58.83</v>
      </c>
      <c r="K123">
        <v>59.9</v>
      </c>
      <c r="L123">
        <v>19.510000000000002</v>
      </c>
      <c r="M123">
        <v>21.49</v>
      </c>
      <c r="N123">
        <v>22.36</v>
      </c>
    </row>
    <row r="124" spans="3:14" x14ac:dyDescent="0.15">
      <c r="C124" s="154" t="s">
        <v>1111</v>
      </c>
      <c r="D124" t="s">
        <v>18</v>
      </c>
      <c r="E124" t="s">
        <v>94</v>
      </c>
      <c r="F124" t="s">
        <v>20</v>
      </c>
      <c r="G124" t="s">
        <v>145</v>
      </c>
      <c r="H124" t="s">
        <v>648</v>
      </c>
      <c r="I124">
        <v>56.29</v>
      </c>
      <c r="J124">
        <v>57.78</v>
      </c>
      <c r="K124">
        <v>58.85</v>
      </c>
      <c r="L124">
        <v>18.46</v>
      </c>
      <c r="M124">
        <v>20.440000000000001</v>
      </c>
      <c r="N124">
        <v>21.31</v>
      </c>
    </row>
    <row r="125" spans="3:14" x14ac:dyDescent="0.15">
      <c r="C125" s="154" t="s">
        <v>1112</v>
      </c>
      <c r="D125" t="s">
        <v>18</v>
      </c>
      <c r="E125" t="s">
        <v>94</v>
      </c>
      <c r="F125" t="s">
        <v>20</v>
      </c>
      <c r="G125" t="s">
        <v>145</v>
      </c>
      <c r="H125" t="s">
        <v>59</v>
      </c>
      <c r="I125">
        <v>59.46</v>
      </c>
      <c r="J125">
        <v>60.58</v>
      </c>
      <c r="K125">
        <v>61.8</v>
      </c>
      <c r="L125">
        <v>21.59</v>
      </c>
      <c r="M125">
        <v>23.41</v>
      </c>
      <c r="N125">
        <v>24.29</v>
      </c>
    </row>
    <row r="126" spans="3:14" x14ac:dyDescent="0.15">
      <c r="C126" s="154" t="s">
        <v>1112</v>
      </c>
      <c r="D126" t="s">
        <v>18</v>
      </c>
      <c r="E126" t="s">
        <v>94</v>
      </c>
      <c r="F126" t="s">
        <v>20</v>
      </c>
      <c r="G126" t="s">
        <v>145</v>
      </c>
      <c r="H126" t="s">
        <v>60</v>
      </c>
      <c r="I126">
        <v>57.86</v>
      </c>
      <c r="J126">
        <v>58.98</v>
      </c>
      <c r="K126">
        <v>60.2</v>
      </c>
      <c r="L126">
        <v>19.989999999999998</v>
      </c>
      <c r="M126">
        <v>21.81</v>
      </c>
      <c r="N126">
        <v>22.69</v>
      </c>
    </row>
    <row r="127" spans="3:14" x14ac:dyDescent="0.15">
      <c r="C127" s="154" t="s">
        <v>1112</v>
      </c>
      <c r="D127" t="s">
        <v>18</v>
      </c>
      <c r="E127" t="s">
        <v>94</v>
      </c>
      <c r="F127" t="s">
        <v>20</v>
      </c>
      <c r="G127" t="s">
        <v>145</v>
      </c>
      <c r="H127" t="s">
        <v>648</v>
      </c>
      <c r="I127">
        <v>56.81</v>
      </c>
      <c r="J127">
        <v>57.93</v>
      </c>
      <c r="K127">
        <v>59.15</v>
      </c>
      <c r="L127">
        <v>18.940000000000001</v>
      </c>
      <c r="M127">
        <v>20.76</v>
      </c>
      <c r="N127">
        <v>21.64</v>
      </c>
    </row>
    <row r="128" spans="3:14" x14ac:dyDescent="0.15">
      <c r="C128" s="154" t="s">
        <v>1113</v>
      </c>
      <c r="D128" t="s">
        <v>18</v>
      </c>
      <c r="E128" t="s">
        <v>94</v>
      </c>
      <c r="F128" t="s">
        <v>20</v>
      </c>
      <c r="G128" t="s">
        <v>145</v>
      </c>
      <c r="H128" t="s">
        <v>59</v>
      </c>
      <c r="I128">
        <v>59.9</v>
      </c>
      <c r="J128">
        <v>60.61</v>
      </c>
      <c r="K128">
        <v>62.16</v>
      </c>
      <c r="L128">
        <v>22.07</v>
      </c>
      <c r="M128">
        <v>23.42</v>
      </c>
      <c r="N128">
        <v>24.62</v>
      </c>
    </row>
    <row r="129" spans="3:14" x14ac:dyDescent="0.15">
      <c r="C129" s="154" t="s">
        <v>1113</v>
      </c>
      <c r="D129" t="s">
        <v>18</v>
      </c>
      <c r="E129" t="s">
        <v>94</v>
      </c>
      <c r="F129" t="s">
        <v>20</v>
      </c>
      <c r="G129" t="s">
        <v>145</v>
      </c>
      <c r="H129" t="s">
        <v>60</v>
      </c>
      <c r="I129">
        <v>58.3</v>
      </c>
      <c r="J129">
        <v>59.01</v>
      </c>
      <c r="K129">
        <v>60.56</v>
      </c>
      <c r="L129">
        <v>20.47</v>
      </c>
      <c r="M129">
        <v>21.82</v>
      </c>
      <c r="N129">
        <v>23.02</v>
      </c>
    </row>
    <row r="130" spans="3:14" x14ac:dyDescent="0.15">
      <c r="C130" s="154" t="s">
        <v>1113</v>
      </c>
      <c r="D130" t="s">
        <v>18</v>
      </c>
      <c r="E130" t="s">
        <v>94</v>
      </c>
      <c r="F130" t="s">
        <v>20</v>
      </c>
      <c r="G130" t="s">
        <v>145</v>
      </c>
      <c r="H130" t="s">
        <v>648</v>
      </c>
      <c r="I130">
        <v>57.25</v>
      </c>
      <c r="J130">
        <v>57.96</v>
      </c>
      <c r="K130">
        <v>59.51</v>
      </c>
      <c r="L130">
        <v>19.420000000000002</v>
      </c>
      <c r="M130">
        <v>20.77</v>
      </c>
      <c r="N130">
        <v>21.97</v>
      </c>
    </row>
    <row r="131" spans="3:14" x14ac:dyDescent="0.15">
      <c r="C131" s="154" t="s">
        <v>1114</v>
      </c>
      <c r="D131" t="s">
        <v>18</v>
      </c>
      <c r="E131" t="s">
        <v>94</v>
      </c>
      <c r="F131" t="s">
        <v>20</v>
      </c>
      <c r="G131" t="s">
        <v>145</v>
      </c>
      <c r="H131" t="s">
        <v>59</v>
      </c>
      <c r="I131">
        <v>60.29</v>
      </c>
      <c r="J131">
        <v>60.82</v>
      </c>
      <c r="K131">
        <v>62.42</v>
      </c>
      <c r="L131">
        <v>22.54</v>
      </c>
      <c r="M131">
        <v>23.63</v>
      </c>
      <c r="N131">
        <v>24.94</v>
      </c>
    </row>
    <row r="132" spans="3:14" x14ac:dyDescent="0.15">
      <c r="C132" s="154" t="s">
        <v>1114</v>
      </c>
      <c r="D132" t="s">
        <v>18</v>
      </c>
      <c r="E132" t="s">
        <v>94</v>
      </c>
      <c r="F132" t="s">
        <v>20</v>
      </c>
      <c r="G132" t="s">
        <v>145</v>
      </c>
      <c r="H132" t="s">
        <v>60</v>
      </c>
      <c r="I132">
        <v>58.69</v>
      </c>
      <c r="J132">
        <v>59.22</v>
      </c>
      <c r="K132">
        <v>60.82</v>
      </c>
      <c r="L132">
        <v>20.94</v>
      </c>
      <c r="M132">
        <v>22.03</v>
      </c>
      <c r="N132">
        <v>23.34</v>
      </c>
    </row>
    <row r="133" spans="3:14" x14ac:dyDescent="0.15">
      <c r="C133" s="154" t="s">
        <v>1114</v>
      </c>
      <c r="D133" t="s">
        <v>18</v>
      </c>
      <c r="E133" t="s">
        <v>94</v>
      </c>
      <c r="F133" t="s">
        <v>20</v>
      </c>
      <c r="G133" t="s">
        <v>145</v>
      </c>
      <c r="H133" t="s">
        <v>648</v>
      </c>
      <c r="I133">
        <v>57.64</v>
      </c>
      <c r="J133">
        <v>58.17</v>
      </c>
      <c r="K133">
        <v>59.77</v>
      </c>
      <c r="L133">
        <v>19.89</v>
      </c>
      <c r="M133">
        <v>20.98</v>
      </c>
      <c r="N133">
        <v>22.29</v>
      </c>
    </row>
    <row r="134" spans="3:14" x14ac:dyDescent="0.15">
      <c r="C134" s="154" t="s">
        <v>1115</v>
      </c>
      <c r="D134" t="s">
        <v>18</v>
      </c>
      <c r="E134" t="s">
        <v>94</v>
      </c>
      <c r="F134" t="s">
        <v>20</v>
      </c>
      <c r="G134" t="s">
        <v>145</v>
      </c>
      <c r="H134" t="s">
        <v>59</v>
      </c>
      <c r="I134">
        <v>60.74</v>
      </c>
      <c r="J134">
        <v>60.9</v>
      </c>
      <c r="K134">
        <v>62.69</v>
      </c>
      <c r="L134">
        <v>23.02</v>
      </c>
      <c r="M134">
        <v>23.57</v>
      </c>
      <c r="N134">
        <v>25.27</v>
      </c>
    </row>
    <row r="135" spans="3:14" x14ac:dyDescent="0.15">
      <c r="C135" s="154" t="s">
        <v>1115</v>
      </c>
      <c r="D135" t="s">
        <v>18</v>
      </c>
      <c r="E135" t="s">
        <v>94</v>
      </c>
      <c r="F135" t="s">
        <v>20</v>
      </c>
      <c r="G135" t="s">
        <v>145</v>
      </c>
      <c r="H135" t="s">
        <v>60</v>
      </c>
      <c r="I135">
        <v>59.14</v>
      </c>
      <c r="J135">
        <v>59.3</v>
      </c>
      <c r="K135">
        <v>61.09</v>
      </c>
      <c r="L135">
        <v>21.42</v>
      </c>
      <c r="M135">
        <v>21.97</v>
      </c>
      <c r="N135">
        <v>23.67</v>
      </c>
    </row>
    <row r="136" spans="3:14" x14ac:dyDescent="0.15">
      <c r="C136" s="154" t="s">
        <v>1115</v>
      </c>
      <c r="D136" t="s">
        <v>18</v>
      </c>
      <c r="E136" t="s">
        <v>94</v>
      </c>
      <c r="F136" t="s">
        <v>20</v>
      </c>
      <c r="G136" t="s">
        <v>145</v>
      </c>
      <c r="H136" t="s">
        <v>648</v>
      </c>
      <c r="I136">
        <v>58.09</v>
      </c>
      <c r="J136">
        <v>58.25</v>
      </c>
      <c r="K136">
        <v>60.04</v>
      </c>
      <c r="L136">
        <v>20.37</v>
      </c>
      <c r="M136">
        <v>20.92</v>
      </c>
      <c r="N136">
        <v>22.62</v>
      </c>
    </row>
    <row r="137" spans="3:14" x14ac:dyDescent="0.15">
      <c r="C137" s="154" t="s">
        <v>1117</v>
      </c>
      <c r="D137" t="s">
        <v>18</v>
      </c>
      <c r="E137" t="s">
        <v>94</v>
      </c>
      <c r="F137" t="s">
        <v>20</v>
      </c>
      <c r="G137" t="s">
        <v>145</v>
      </c>
      <c r="H137" t="s">
        <v>59</v>
      </c>
      <c r="I137">
        <v>61.14</v>
      </c>
      <c r="J137">
        <v>61.73</v>
      </c>
      <c r="K137">
        <v>62.92</v>
      </c>
      <c r="L137">
        <v>23.46</v>
      </c>
      <c r="M137">
        <v>24.19</v>
      </c>
      <c r="N137">
        <v>25.55</v>
      </c>
    </row>
    <row r="138" spans="3:14" x14ac:dyDescent="0.15">
      <c r="C138" s="154" t="s">
        <v>1117</v>
      </c>
      <c r="D138" t="s">
        <v>18</v>
      </c>
      <c r="E138" t="s">
        <v>94</v>
      </c>
      <c r="F138" t="s">
        <v>20</v>
      </c>
      <c r="G138" t="s">
        <v>145</v>
      </c>
      <c r="H138" t="s">
        <v>60</v>
      </c>
      <c r="I138">
        <v>59.54</v>
      </c>
      <c r="J138">
        <v>60.13</v>
      </c>
      <c r="K138">
        <v>61.32</v>
      </c>
      <c r="L138">
        <v>21.86</v>
      </c>
      <c r="M138">
        <v>22.59</v>
      </c>
      <c r="N138">
        <v>23.95</v>
      </c>
    </row>
    <row r="139" spans="3:14" x14ac:dyDescent="0.15">
      <c r="C139" s="154" t="s">
        <v>1117</v>
      </c>
      <c r="D139" t="s">
        <v>18</v>
      </c>
      <c r="E139" t="s">
        <v>94</v>
      </c>
      <c r="F139" t="s">
        <v>20</v>
      </c>
      <c r="G139" t="s">
        <v>145</v>
      </c>
      <c r="H139" t="s">
        <v>648</v>
      </c>
      <c r="I139">
        <v>58.49</v>
      </c>
      <c r="J139">
        <v>59.08</v>
      </c>
      <c r="K139">
        <v>60.27</v>
      </c>
      <c r="L139">
        <v>20.81</v>
      </c>
      <c r="M139">
        <v>21.54</v>
      </c>
      <c r="N139">
        <v>22.9</v>
      </c>
    </row>
    <row r="140" spans="3:14" x14ac:dyDescent="0.15">
      <c r="C140" s="154" t="s">
        <v>1118</v>
      </c>
      <c r="D140" t="s">
        <v>18</v>
      </c>
      <c r="E140" t="s">
        <v>94</v>
      </c>
      <c r="F140" t="s">
        <v>20</v>
      </c>
      <c r="G140" t="s">
        <v>145</v>
      </c>
      <c r="H140" t="s">
        <v>59</v>
      </c>
      <c r="I140">
        <v>61.54</v>
      </c>
      <c r="J140">
        <v>62.57</v>
      </c>
      <c r="K140">
        <v>63.18</v>
      </c>
      <c r="L140">
        <v>23.93</v>
      </c>
      <c r="M140">
        <v>24.8</v>
      </c>
      <c r="N140">
        <v>25.87</v>
      </c>
    </row>
    <row r="141" spans="3:14" x14ac:dyDescent="0.15">
      <c r="C141" s="154" t="s">
        <v>1118</v>
      </c>
      <c r="D141" t="s">
        <v>18</v>
      </c>
      <c r="E141" t="s">
        <v>94</v>
      </c>
      <c r="F141" t="s">
        <v>20</v>
      </c>
      <c r="G141" t="s">
        <v>145</v>
      </c>
      <c r="H141" t="s">
        <v>60</v>
      </c>
      <c r="I141">
        <v>59.94</v>
      </c>
      <c r="J141">
        <v>60.97</v>
      </c>
      <c r="K141">
        <v>61.58</v>
      </c>
      <c r="L141">
        <v>22.33</v>
      </c>
      <c r="M141">
        <v>23.2</v>
      </c>
      <c r="N141">
        <v>24.27</v>
      </c>
    </row>
    <row r="142" spans="3:14" x14ac:dyDescent="0.15">
      <c r="C142" s="154" t="s">
        <v>1118</v>
      </c>
      <c r="D142" t="s">
        <v>18</v>
      </c>
      <c r="E142" t="s">
        <v>94</v>
      </c>
      <c r="F142" t="s">
        <v>20</v>
      </c>
      <c r="G142" t="s">
        <v>145</v>
      </c>
      <c r="H142" t="s">
        <v>648</v>
      </c>
      <c r="I142">
        <v>58.89</v>
      </c>
      <c r="J142">
        <v>59.92</v>
      </c>
      <c r="K142">
        <v>60.53</v>
      </c>
      <c r="L142">
        <v>21.28</v>
      </c>
      <c r="M142">
        <v>22.15</v>
      </c>
      <c r="N142">
        <v>23.22</v>
      </c>
    </row>
    <row r="143" spans="3:14" x14ac:dyDescent="0.15">
      <c r="C143" s="154" t="s">
        <v>1119</v>
      </c>
      <c r="D143" t="s">
        <v>18</v>
      </c>
      <c r="E143" t="s">
        <v>94</v>
      </c>
      <c r="F143" t="s">
        <v>20</v>
      </c>
      <c r="G143" t="s">
        <v>145</v>
      </c>
      <c r="H143" t="s">
        <v>59</v>
      </c>
      <c r="I143">
        <v>61.97</v>
      </c>
      <c r="J143">
        <v>63.14</v>
      </c>
      <c r="K143">
        <v>63.52</v>
      </c>
      <c r="L143">
        <v>24.44</v>
      </c>
      <c r="M143">
        <v>25.27</v>
      </c>
      <c r="N143">
        <v>26.21</v>
      </c>
    </row>
    <row r="144" spans="3:14" x14ac:dyDescent="0.15">
      <c r="C144" s="154" t="s">
        <v>1119</v>
      </c>
      <c r="D144" t="s">
        <v>18</v>
      </c>
      <c r="E144" t="s">
        <v>94</v>
      </c>
      <c r="F144" t="s">
        <v>20</v>
      </c>
      <c r="G144" t="s">
        <v>145</v>
      </c>
      <c r="H144" t="s">
        <v>60</v>
      </c>
      <c r="I144">
        <v>60.37</v>
      </c>
      <c r="J144">
        <v>61.54</v>
      </c>
      <c r="K144">
        <v>61.92</v>
      </c>
      <c r="L144">
        <v>22.84</v>
      </c>
      <c r="M144">
        <v>23.67</v>
      </c>
      <c r="N144">
        <v>24.61</v>
      </c>
    </row>
    <row r="145" spans="3:14" x14ac:dyDescent="0.15">
      <c r="C145" s="154" t="s">
        <v>1119</v>
      </c>
      <c r="D145" t="s">
        <v>18</v>
      </c>
      <c r="E145" t="s">
        <v>94</v>
      </c>
      <c r="F145" t="s">
        <v>20</v>
      </c>
      <c r="G145" t="s">
        <v>145</v>
      </c>
      <c r="H145" t="s">
        <v>648</v>
      </c>
      <c r="I145">
        <v>59.32</v>
      </c>
      <c r="J145">
        <v>60.49</v>
      </c>
      <c r="K145">
        <v>60.87</v>
      </c>
      <c r="L145">
        <v>21.79</v>
      </c>
      <c r="M145">
        <v>22.62</v>
      </c>
      <c r="N145">
        <v>23.56</v>
      </c>
    </row>
    <row r="146" spans="3:14" x14ac:dyDescent="0.15">
      <c r="C146" s="154" t="s">
        <v>1107</v>
      </c>
      <c r="D146" t="s">
        <v>18</v>
      </c>
      <c r="E146" t="s">
        <v>21</v>
      </c>
      <c r="F146" t="s">
        <v>22</v>
      </c>
      <c r="G146" t="s">
        <v>128</v>
      </c>
      <c r="H146" t="s">
        <v>59</v>
      </c>
      <c r="I146">
        <v>59.32</v>
      </c>
      <c r="J146">
        <v>59.98</v>
      </c>
      <c r="K146">
        <v>60.68</v>
      </c>
      <c r="L146">
        <v>22.91</v>
      </c>
      <c r="M146">
        <v>23.08</v>
      </c>
      <c r="N146">
        <v>24.16</v>
      </c>
    </row>
    <row r="147" spans="3:14" x14ac:dyDescent="0.15">
      <c r="C147" s="154" t="s">
        <v>1107</v>
      </c>
      <c r="D147" t="s">
        <v>18</v>
      </c>
      <c r="E147" t="s">
        <v>21</v>
      </c>
      <c r="F147" t="s">
        <v>22</v>
      </c>
      <c r="G147" t="s">
        <v>128</v>
      </c>
      <c r="H147" t="s">
        <v>60</v>
      </c>
      <c r="I147">
        <v>57.72</v>
      </c>
      <c r="J147">
        <v>58.38</v>
      </c>
      <c r="K147">
        <v>59.08</v>
      </c>
      <c r="L147">
        <v>21.31</v>
      </c>
      <c r="M147">
        <v>21.48</v>
      </c>
      <c r="N147">
        <v>22.56</v>
      </c>
    </row>
    <row r="148" spans="3:14" x14ac:dyDescent="0.15">
      <c r="C148" s="154" t="s">
        <v>1107</v>
      </c>
      <c r="D148" t="s">
        <v>18</v>
      </c>
      <c r="E148" t="s">
        <v>21</v>
      </c>
      <c r="F148" t="s">
        <v>22</v>
      </c>
      <c r="G148" t="s">
        <v>128</v>
      </c>
      <c r="H148" t="s">
        <v>648</v>
      </c>
      <c r="I148">
        <v>56.67</v>
      </c>
      <c r="J148">
        <v>57.33</v>
      </c>
      <c r="K148">
        <v>58.03</v>
      </c>
      <c r="L148">
        <v>20.260000000000002</v>
      </c>
      <c r="M148">
        <v>20.43</v>
      </c>
      <c r="N148">
        <v>21.51</v>
      </c>
    </row>
    <row r="149" spans="3:14" x14ac:dyDescent="0.15">
      <c r="C149" s="154" t="s">
        <v>1108</v>
      </c>
      <c r="D149" t="s">
        <v>18</v>
      </c>
      <c r="E149" t="s">
        <v>21</v>
      </c>
      <c r="F149" t="s">
        <v>22</v>
      </c>
      <c r="G149" t="s">
        <v>128</v>
      </c>
      <c r="H149" t="s">
        <v>59</v>
      </c>
      <c r="I149">
        <v>59.21</v>
      </c>
      <c r="J149">
        <v>60.04</v>
      </c>
      <c r="K149">
        <v>60.82</v>
      </c>
      <c r="L149">
        <v>22.61</v>
      </c>
      <c r="M149">
        <v>23.01</v>
      </c>
      <c r="N149">
        <v>24.23</v>
      </c>
    </row>
    <row r="150" spans="3:14" x14ac:dyDescent="0.15">
      <c r="C150" s="154" t="s">
        <v>1108</v>
      </c>
      <c r="D150" t="s">
        <v>18</v>
      </c>
      <c r="E150" t="s">
        <v>21</v>
      </c>
      <c r="F150" t="s">
        <v>22</v>
      </c>
      <c r="G150" t="s">
        <v>128</v>
      </c>
      <c r="H150" t="s">
        <v>60</v>
      </c>
      <c r="I150">
        <v>57.61</v>
      </c>
      <c r="J150">
        <v>58.44</v>
      </c>
      <c r="K150">
        <v>59.22</v>
      </c>
      <c r="L150">
        <v>21.01</v>
      </c>
      <c r="M150">
        <v>21.41</v>
      </c>
      <c r="N150">
        <v>22.63</v>
      </c>
    </row>
    <row r="151" spans="3:14" x14ac:dyDescent="0.15">
      <c r="C151" s="154" t="s">
        <v>1108</v>
      </c>
      <c r="D151" t="s">
        <v>18</v>
      </c>
      <c r="E151" t="s">
        <v>21</v>
      </c>
      <c r="F151" t="s">
        <v>22</v>
      </c>
      <c r="G151" t="s">
        <v>128</v>
      </c>
      <c r="H151" t="s">
        <v>648</v>
      </c>
      <c r="I151">
        <v>56.56</v>
      </c>
      <c r="J151">
        <v>57.39</v>
      </c>
      <c r="K151">
        <v>58.17</v>
      </c>
      <c r="L151">
        <v>19.96</v>
      </c>
      <c r="M151">
        <v>20.36</v>
      </c>
      <c r="N151">
        <v>21.58</v>
      </c>
    </row>
    <row r="152" spans="3:14" x14ac:dyDescent="0.15">
      <c r="C152" s="154" t="s">
        <v>1109</v>
      </c>
      <c r="D152" t="s">
        <v>18</v>
      </c>
      <c r="E152" t="s">
        <v>21</v>
      </c>
      <c r="F152" t="s">
        <v>22</v>
      </c>
      <c r="G152" t="s">
        <v>128</v>
      </c>
      <c r="H152" t="s">
        <v>59</v>
      </c>
      <c r="I152">
        <v>59.1</v>
      </c>
      <c r="J152">
        <v>59.94</v>
      </c>
      <c r="K152">
        <v>60.97</v>
      </c>
      <c r="L152">
        <v>22.28</v>
      </c>
      <c r="M152">
        <v>23.03</v>
      </c>
      <c r="N152">
        <v>24.31</v>
      </c>
    </row>
    <row r="153" spans="3:14" x14ac:dyDescent="0.15">
      <c r="C153" s="154" t="s">
        <v>1109</v>
      </c>
      <c r="D153" t="s">
        <v>18</v>
      </c>
      <c r="E153" t="s">
        <v>21</v>
      </c>
      <c r="F153" t="s">
        <v>22</v>
      </c>
      <c r="G153" t="s">
        <v>128</v>
      </c>
      <c r="H153" t="s">
        <v>60</v>
      </c>
      <c r="I153">
        <v>57.5</v>
      </c>
      <c r="J153">
        <v>58.34</v>
      </c>
      <c r="K153">
        <v>59.37</v>
      </c>
      <c r="L153">
        <v>20.68</v>
      </c>
      <c r="M153">
        <v>21.43</v>
      </c>
      <c r="N153">
        <v>22.71</v>
      </c>
    </row>
    <row r="154" spans="3:14" x14ac:dyDescent="0.15">
      <c r="C154" s="154" t="s">
        <v>1109</v>
      </c>
      <c r="D154" t="s">
        <v>18</v>
      </c>
      <c r="E154" t="s">
        <v>21</v>
      </c>
      <c r="F154" t="s">
        <v>22</v>
      </c>
      <c r="G154" t="s">
        <v>128</v>
      </c>
      <c r="H154" t="s">
        <v>648</v>
      </c>
      <c r="I154">
        <v>56.45</v>
      </c>
      <c r="J154">
        <v>57.29</v>
      </c>
      <c r="K154">
        <v>58.32</v>
      </c>
      <c r="L154">
        <v>19.63</v>
      </c>
      <c r="M154">
        <v>20.38</v>
      </c>
      <c r="N154">
        <v>21.66</v>
      </c>
    </row>
    <row r="155" spans="3:14" x14ac:dyDescent="0.15">
      <c r="C155" s="154" t="s">
        <v>1110</v>
      </c>
      <c r="D155" t="s">
        <v>18</v>
      </c>
      <c r="E155" t="s">
        <v>21</v>
      </c>
      <c r="F155" t="s">
        <v>22</v>
      </c>
      <c r="G155" t="s">
        <v>128</v>
      </c>
      <c r="H155" t="s">
        <v>59</v>
      </c>
      <c r="I155">
        <v>58.86</v>
      </c>
      <c r="J155">
        <v>59.95</v>
      </c>
      <c r="K155">
        <v>61.04</v>
      </c>
      <c r="L155">
        <v>21.97</v>
      </c>
      <c r="M155">
        <v>23.11</v>
      </c>
      <c r="N155">
        <v>24.37</v>
      </c>
    </row>
    <row r="156" spans="3:14" x14ac:dyDescent="0.15">
      <c r="C156" s="154" t="s">
        <v>1110</v>
      </c>
      <c r="D156" t="s">
        <v>18</v>
      </c>
      <c r="E156" t="s">
        <v>21</v>
      </c>
      <c r="F156" t="s">
        <v>22</v>
      </c>
      <c r="G156" t="s">
        <v>128</v>
      </c>
      <c r="H156" t="s">
        <v>60</v>
      </c>
      <c r="I156">
        <v>57.26</v>
      </c>
      <c r="J156">
        <v>58.35</v>
      </c>
      <c r="K156">
        <v>59.44</v>
      </c>
      <c r="L156">
        <v>20.37</v>
      </c>
      <c r="M156">
        <v>21.51</v>
      </c>
      <c r="N156">
        <v>22.77</v>
      </c>
    </row>
    <row r="157" spans="3:14" x14ac:dyDescent="0.15">
      <c r="C157" s="154" t="s">
        <v>1110</v>
      </c>
      <c r="D157" t="s">
        <v>18</v>
      </c>
      <c r="E157" t="s">
        <v>21</v>
      </c>
      <c r="F157" t="s">
        <v>22</v>
      </c>
      <c r="G157" t="s">
        <v>128</v>
      </c>
      <c r="H157" t="s">
        <v>648</v>
      </c>
      <c r="I157">
        <v>56.21</v>
      </c>
      <c r="J157">
        <v>57.3</v>
      </c>
      <c r="K157">
        <v>58.39</v>
      </c>
      <c r="L157">
        <v>19.32</v>
      </c>
      <c r="M157">
        <v>20.46</v>
      </c>
      <c r="N157">
        <v>21.72</v>
      </c>
    </row>
    <row r="158" spans="3:14" x14ac:dyDescent="0.15">
      <c r="C158" s="154" t="s">
        <v>1111</v>
      </c>
      <c r="D158" t="s">
        <v>18</v>
      </c>
      <c r="E158" t="s">
        <v>21</v>
      </c>
      <c r="F158" t="s">
        <v>22</v>
      </c>
      <c r="G158" t="s">
        <v>128</v>
      </c>
      <c r="H158" t="s">
        <v>59</v>
      </c>
      <c r="I158">
        <v>58.6</v>
      </c>
      <c r="J158">
        <v>59.96</v>
      </c>
      <c r="K158">
        <v>61.15</v>
      </c>
      <c r="L158">
        <v>21.62</v>
      </c>
      <c r="M158">
        <v>23.23</v>
      </c>
      <c r="N158">
        <v>24.44</v>
      </c>
    </row>
    <row r="159" spans="3:14" x14ac:dyDescent="0.15">
      <c r="C159" s="154" t="s">
        <v>1111</v>
      </c>
      <c r="D159" t="s">
        <v>18</v>
      </c>
      <c r="E159" t="s">
        <v>21</v>
      </c>
      <c r="F159" t="s">
        <v>22</v>
      </c>
      <c r="G159" t="s">
        <v>128</v>
      </c>
      <c r="H159" t="s">
        <v>60</v>
      </c>
      <c r="I159">
        <v>57</v>
      </c>
      <c r="J159">
        <v>58.36</v>
      </c>
      <c r="K159">
        <v>59.55</v>
      </c>
      <c r="L159">
        <v>20.02</v>
      </c>
      <c r="M159">
        <v>21.63</v>
      </c>
      <c r="N159">
        <v>22.84</v>
      </c>
    </row>
    <row r="160" spans="3:14" x14ac:dyDescent="0.15">
      <c r="C160" s="154" t="s">
        <v>1111</v>
      </c>
      <c r="D160" t="s">
        <v>18</v>
      </c>
      <c r="E160" t="s">
        <v>21</v>
      </c>
      <c r="F160" t="s">
        <v>22</v>
      </c>
      <c r="G160" t="s">
        <v>128</v>
      </c>
      <c r="H160" t="s">
        <v>648</v>
      </c>
      <c r="I160">
        <v>55.95</v>
      </c>
      <c r="J160">
        <v>57.31</v>
      </c>
      <c r="K160">
        <v>58.5</v>
      </c>
      <c r="L160">
        <v>18.97</v>
      </c>
      <c r="M160">
        <v>20.58</v>
      </c>
      <c r="N160">
        <v>21.79</v>
      </c>
    </row>
    <row r="161" spans="3:14" x14ac:dyDescent="0.15">
      <c r="C161" s="154" t="s">
        <v>1112</v>
      </c>
      <c r="D161" t="s">
        <v>18</v>
      </c>
      <c r="E161" t="s">
        <v>21</v>
      </c>
      <c r="F161" t="s">
        <v>22</v>
      </c>
      <c r="G161" t="s">
        <v>128</v>
      </c>
      <c r="H161" t="s">
        <v>59</v>
      </c>
      <c r="I161">
        <v>59.11</v>
      </c>
      <c r="J161">
        <v>60.28</v>
      </c>
      <c r="K161">
        <v>61.4</v>
      </c>
      <c r="L161">
        <v>22.08</v>
      </c>
      <c r="M161">
        <v>23.66</v>
      </c>
      <c r="N161">
        <v>24.72</v>
      </c>
    </row>
    <row r="162" spans="3:14" x14ac:dyDescent="0.15">
      <c r="C162" s="154" t="s">
        <v>1112</v>
      </c>
      <c r="D162" t="s">
        <v>18</v>
      </c>
      <c r="E162" t="s">
        <v>21</v>
      </c>
      <c r="F162" t="s">
        <v>22</v>
      </c>
      <c r="G162" t="s">
        <v>128</v>
      </c>
      <c r="H162" t="s">
        <v>60</v>
      </c>
      <c r="I162">
        <v>57.51</v>
      </c>
      <c r="J162">
        <v>58.68</v>
      </c>
      <c r="K162">
        <v>59.8</v>
      </c>
      <c r="L162">
        <v>20.48</v>
      </c>
      <c r="M162">
        <v>22.06</v>
      </c>
      <c r="N162">
        <v>23.12</v>
      </c>
    </row>
    <row r="163" spans="3:14" x14ac:dyDescent="0.15">
      <c r="C163" s="154" t="s">
        <v>1112</v>
      </c>
      <c r="D163" t="s">
        <v>18</v>
      </c>
      <c r="E163" t="s">
        <v>21</v>
      </c>
      <c r="F163" t="s">
        <v>22</v>
      </c>
      <c r="G163" t="s">
        <v>128</v>
      </c>
      <c r="H163" t="s">
        <v>648</v>
      </c>
      <c r="I163">
        <v>56.46</v>
      </c>
      <c r="J163">
        <v>57.63</v>
      </c>
      <c r="K163">
        <v>58.75</v>
      </c>
      <c r="L163">
        <v>19.43</v>
      </c>
      <c r="M163">
        <v>21.01</v>
      </c>
      <c r="N163">
        <v>22.07</v>
      </c>
    </row>
    <row r="164" spans="3:14" x14ac:dyDescent="0.15">
      <c r="C164" s="154" t="s">
        <v>1113</v>
      </c>
      <c r="D164" t="s">
        <v>18</v>
      </c>
      <c r="E164" t="s">
        <v>21</v>
      </c>
      <c r="F164" t="s">
        <v>22</v>
      </c>
      <c r="G164" t="s">
        <v>128</v>
      </c>
      <c r="H164" t="s">
        <v>59</v>
      </c>
      <c r="I164">
        <v>59.54</v>
      </c>
      <c r="J164">
        <v>60.62</v>
      </c>
      <c r="K164">
        <v>61.71</v>
      </c>
      <c r="L164">
        <v>22.57</v>
      </c>
      <c r="M164">
        <v>24.19</v>
      </c>
      <c r="N164">
        <v>25.03</v>
      </c>
    </row>
    <row r="165" spans="3:14" x14ac:dyDescent="0.15">
      <c r="C165" s="154" t="s">
        <v>1113</v>
      </c>
      <c r="D165" t="s">
        <v>18</v>
      </c>
      <c r="E165" t="s">
        <v>21</v>
      </c>
      <c r="F165" t="s">
        <v>22</v>
      </c>
      <c r="G165" t="s">
        <v>128</v>
      </c>
      <c r="H165" t="s">
        <v>60</v>
      </c>
      <c r="I165">
        <v>57.94</v>
      </c>
      <c r="J165">
        <v>59.02</v>
      </c>
      <c r="K165">
        <v>60.11</v>
      </c>
      <c r="L165">
        <v>20.97</v>
      </c>
      <c r="M165">
        <v>22.59</v>
      </c>
      <c r="N165">
        <v>23.43</v>
      </c>
    </row>
    <row r="166" spans="3:14" x14ac:dyDescent="0.15">
      <c r="C166" s="154" t="s">
        <v>1113</v>
      </c>
      <c r="D166" t="s">
        <v>18</v>
      </c>
      <c r="E166" t="s">
        <v>21</v>
      </c>
      <c r="F166" t="s">
        <v>22</v>
      </c>
      <c r="G166" t="s">
        <v>128</v>
      </c>
      <c r="H166" t="s">
        <v>648</v>
      </c>
      <c r="I166">
        <v>56.89</v>
      </c>
      <c r="J166">
        <v>57.97</v>
      </c>
      <c r="K166">
        <v>59.06</v>
      </c>
      <c r="L166">
        <v>19.920000000000002</v>
      </c>
      <c r="M166">
        <v>21.54</v>
      </c>
      <c r="N166">
        <v>22.38</v>
      </c>
    </row>
    <row r="167" spans="3:14" x14ac:dyDescent="0.15">
      <c r="C167" s="154" t="s">
        <v>1114</v>
      </c>
      <c r="D167" t="s">
        <v>18</v>
      </c>
      <c r="E167" t="s">
        <v>21</v>
      </c>
      <c r="F167" t="s">
        <v>22</v>
      </c>
      <c r="G167" t="s">
        <v>128</v>
      </c>
      <c r="H167" t="s">
        <v>59</v>
      </c>
      <c r="I167">
        <v>59.92</v>
      </c>
      <c r="J167">
        <v>61.03</v>
      </c>
      <c r="K167">
        <v>61.96</v>
      </c>
      <c r="L167">
        <v>23.05</v>
      </c>
      <c r="M167">
        <v>24.7</v>
      </c>
      <c r="N167">
        <v>25.33</v>
      </c>
    </row>
    <row r="168" spans="3:14" x14ac:dyDescent="0.15">
      <c r="C168" s="154" t="s">
        <v>1114</v>
      </c>
      <c r="D168" t="s">
        <v>18</v>
      </c>
      <c r="E168" t="s">
        <v>21</v>
      </c>
      <c r="F168" t="s">
        <v>22</v>
      </c>
      <c r="G168" t="s">
        <v>128</v>
      </c>
      <c r="H168" t="s">
        <v>60</v>
      </c>
      <c r="I168">
        <v>58.32</v>
      </c>
      <c r="J168">
        <v>59.43</v>
      </c>
      <c r="K168">
        <v>60.36</v>
      </c>
      <c r="L168">
        <v>21.45</v>
      </c>
      <c r="M168">
        <v>23.1</v>
      </c>
      <c r="N168">
        <v>23.73</v>
      </c>
    </row>
    <row r="169" spans="3:14" x14ac:dyDescent="0.15">
      <c r="C169" s="154" t="s">
        <v>1114</v>
      </c>
      <c r="D169" t="s">
        <v>18</v>
      </c>
      <c r="E169" t="s">
        <v>21</v>
      </c>
      <c r="F169" t="s">
        <v>22</v>
      </c>
      <c r="G169" t="s">
        <v>128</v>
      </c>
      <c r="H169" t="s">
        <v>648</v>
      </c>
      <c r="I169">
        <v>57.27</v>
      </c>
      <c r="J169">
        <v>58.38</v>
      </c>
      <c r="K169">
        <v>59.31</v>
      </c>
      <c r="L169">
        <v>20.399999999999999</v>
      </c>
      <c r="M169">
        <v>22.05</v>
      </c>
      <c r="N169">
        <v>22.68</v>
      </c>
    </row>
    <row r="170" spans="3:14" x14ac:dyDescent="0.15">
      <c r="C170" s="154" t="s">
        <v>1115</v>
      </c>
      <c r="D170" t="s">
        <v>18</v>
      </c>
      <c r="E170" t="s">
        <v>21</v>
      </c>
      <c r="F170" t="s">
        <v>22</v>
      </c>
      <c r="G170" t="s">
        <v>128</v>
      </c>
      <c r="H170" t="s">
        <v>59</v>
      </c>
      <c r="I170">
        <v>60.36</v>
      </c>
      <c r="J170">
        <v>61.65</v>
      </c>
      <c r="K170">
        <v>62.19</v>
      </c>
      <c r="L170">
        <v>23.52</v>
      </c>
      <c r="M170">
        <v>25.12</v>
      </c>
      <c r="N170">
        <v>25.64</v>
      </c>
    </row>
    <row r="171" spans="3:14" x14ac:dyDescent="0.15">
      <c r="C171" s="154" t="s">
        <v>1115</v>
      </c>
      <c r="D171" t="s">
        <v>18</v>
      </c>
      <c r="E171" t="s">
        <v>21</v>
      </c>
      <c r="F171" t="s">
        <v>22</v>
      </c>
      <c r="G171" t="s">
        <v>128</v>
      </c>
      <c r="H171" t="s">
        <v>60</v>
      </c>
      <c r="I171">
        <v>58.76</v>
      </c>
      <c r="J171">
        <v>60.05</v>
      </c>
      <c r="K171">
        <v>60.59</v>
      </c>
      <c r="L171">
        <v>21.92</v>
      </c>
      <c r="M171">
        <v>23.52</v>
      </c>
      <c r="N171">
        <v>24.04</v>
      </c>
    </row>
    <row r="172" spans="3:14" x14ac:dyDescent="0.15">
      <c r="C172" s="154" t="s">
        <v>1115</v>
      </c>
      <c r="D172" t="s">
        <v>18</v>
      </c>
      <c r="E172" t="s">
        <v>21</v>
      </c>
      <c r="F172" t="s">
        <v>22</v>
      </c>
      <c r="G172" t="s">
        <v>128</v>
      </c>
      <c r="H172" t="s">
        <v>648</v>
      </c>
      <c r="I172">
        <v>57.71</v>
      </c>
      <c r="J172">
        <v>59</v>
      </c>
      <c r="K172">
        <v>59.54</v>
      </c>
      <c r="L172">
        <v>20.87</v>
      </c>
      <c r="M172">
        <v>22.47</v>
      </c>
      <c r="N172">
        <v>22.99</v>
      </c>
    </row>
    <row r="173" spans="3:14" x14ac:dyDescent="0.15">
      <c r="C173" s="154" t="s">
        <v>1117</v>
      </c>
      <c r="D173" t="s">
        <v>18</v>
      </c>
      <c r="E173" t="s">
        <v>21</v>
      </c>
      <c r="F173" t="s">
        <v>22</v>
      </c>
      <c r="G173" t="s">
        <v>128</v>
      </c>
      <c r="H173" t="s">
        <v>59</v>
      </c>
      <c r="I173">
        <v>60.82</v>
      </c>
      <c r="J173">
        <v>62.05</v>
      </c>
      <c r="K173">
        <v>62.47</v>
      </c>
      <c r="L173">
        <v>23.99</v>
      </c>
      <c r="M173">
        <v>25.45</v>
      </c>
      <c r="N173">
        <v>25.93</v>
      </c>
    </row>
    <row r="174" spans="3:14" x14ac:dyDescent="0.15">
      <c r="C174" s="154" t="s">
        <v>1117</v>
      </c>
      <c r="D174" t="s">
        <v>18</v>
      </c>
      <c r="E174" t="s">
        <v>21</v>
      </c>
      <c r="F174" t="s">
        <v>22</v>
      </c>
      <c r="G174" t="s">
        <v>128</v>
      </c>
      <c r="H174" t="s">
        <v>60</v>
      </c>
      <c r="I174">
        <v>59.22</v>
      </c>
      <c r="J174">
        <v>60.45</v>
      </c>
      <c r="K174">
        <v>60.87</v>
      </c>
      <c r="L174">
        <v>22.39</v>
      </c>
      <c r="M174">
        <v>23.85</v>
      </c>
      <c r="N174">
        <v>24.33</v>
      </c>
    </row>
    <row r="175" spans="3:14" x14ac:dyDescent="0.15">
      <c r="C175" s="154" t="s">
        <v>1117</v>
      </c>
      <c r="D175" t="s">
        <v>18</v>
      </c>
      <c r="E175" t="s">
        <v>21</v>
      </c>
      <c r="F175" t="s">
        <v>22</v>
      </c>
      <c r="G175" t="s">
        <v>128</v>
      </c>
      <c r="H175" t="s">
        <v>648</v>
      </c>
      <c r="I175">
        <v>58.17</v>
      </c>
      <c r="J175">
        <v>59.4</v>
      </c>
      <c r="K175">
        <v>59.82</v>
      </c>
      <c r="L175">
        <v>21.34</v>
      </c>
      <c r="M175">
        <v>22.8</v>
      </c>
      <c r="N175">
        <v>23.28</v>
      </c>
    </row>
    <row r="176" spans="3:14" x14ac:dyDescent="0.15">
      <c r="C176" s="154" t="s">
        <v>1118</v>
      </c>
      <c r="D176" t="s">
        <v>18</v>
      </c>
      <c r="E176" t="s">
        <v>21</v>
      </c>
      <c r="F176" t="s">
        <v>22</v>
      </c>
      <c r="G176" t="s">
        <v>128</v>
      </c>
      <c r="H176" t="s">
        <v>59</v>
      </c>
      <c r="I176">
        <v>61.22</v>
      </c>
      <c r="J176">
        <v>62.43</v>
      </c>
      <c r="K176">
        <v>62.71</v>
      </c>
      <c r="L176">
        <v>24.45</v>
      </c>
      <c r="M176">
        <v>25.7</v>
      </c>
      <c r="N176">
        <v>26.21</v>
      </c>
    </row>
    <row r="177" spans="3:14" x14ac:dyDescent="0.15">
      <c r="C177" s="154" t="s">
        <v>1118</v>
      </c>
      <c r="D177" t="s">
        <v>18</v>
      </c>
      <c r="E177" t="s">
        <v>21</v>
      </c>
      <c r="F177" t="s">
        <v>22</v>
      </c>
      <c r="G177" t="s">
        <v>128</v>
      </c>
      <c r="H177" t="s">
        <v>60</v>
      </c>
      <c r="I177">
        <v>59.62</v>
      </c>
      <c r="J177">
        <v>60.83</v>
      </c>
      <c r="K177">
        <v>61.11</v>
      </c>
      <c r="L177">
        <v>22.85</v>
      </c>
      <c r="M177">
        <v>24.1</v>
      </c>
      <c r="N177">
        <v>24.61</v>
      </c>
    </row>
    <row r="178" spans="3:14" x14ac:dyDescent="0.15">
      <c r="C178" s="154" t="s">
        <v>1118</v>
      </c>
      <c r="D178" t="s">
        <v>18</v>
      </c>
      <c r="E178" t="s">
        <v>21</v>
      </c>
      <c r="F178" t="s">
        <v>22</v>
      </c>
      <c r="G178" t="s">
        <v>128</v>
      </c>
      <c r="H178" t="s">
        <v>648</v>
      </c>
      <c r="I178">
        <v>58.57</v>
      </c>
      <c r="J178">
        <v>59.78</v>
      </c>
      <c r="K178">
        <v>60.06</v>
      </c>
      <c r="L178">
        <v>21.8</v>
      </c>
      <c r="M178">
        <v>23.05</v>
      </c>
      <c r="N178">
        <v>23.56</v>
      </c>
    </row>
    <row r="179" spans="3:14" x14ac:dyDescent="0.15">
      <c r="C179" s="154" t="s">
        <v>1119</v>
      </c>
      <c r="D179" t="s">
        <v>18</v>
      </c>
      <c r="E179" t="s">
        <v>21</v>
      </c>
      <c r="F179" t="s">
        <v>22</v>
      </c>
      <c r="G179" t="s">
        <v>128</v>
      </c>
      <c r="H179" t="s">
        <v>59</v>
      </c>
      <c r="I179">
        <v>61.64</v>
      </c>
      <c r="J179">
        <v>62.71</v>
      </c>
      <c r="K179">
        <v>63.01</v>
      </c>
      <c r="L179">
        <v>24.94</v>
      </c>
      <c r="M179">
        <v>25.95</v>
      </c>
      <c r="N179">
        <v>26.52</v>
      </c>
    </row>
    <row r="180" spans="3:14" x14ac:dyDescent="0.15">
      <c r="C180" s="154" t="s">
        <v>1119</v>
      </c>
      <c r="D180" t="s">
        <v>18</v>
      </c>
      <c r="E180" t="s">
        <v>21</v>
      </c>
      <c r="F180" t="s">
        <v>22</v>
      </c>
      <c r="G180" t="s">
        <v>128</v>
      </c>
      <c r="H180" t="s">
        <v>60</v>
      </c>
      <c r="I180">
        <v>60.04</v>
      </c>
      <c r="J180">
        <v>61.11</v>
      </c>
      <c r="K180">
        <v>61.41</v>
      </c>
      <c r="L180">
        <v>23.34</v>
      </c>
      <c r="M180">
        <v>24.35</v>
      </c>
      <c r="N180">
        <v>24.92</v>
      </c>
    </row>
    <row r="181" spans="3:14" x14ac:dyDescent="0.15">
      <c r="C181" s="154" t="s">
        <v>1119</v>
      </c>
      <c r="D181" t="s">
        <v>18</v>
      </c>
      <c r="E181" t="s">
        <v>21</v>
      </c>
      <c r="F181" t="s">
        <v>22</v>
      </c>
      <c r="G181" t="s">
        <v>128</v>
      </c>
      <c r="H181" t="s">
        <v>648</v>
      </c>
      <c r="I181">
        <v>58.99</v>
      </c>
      <c r="J181">
        <v>60.06</v>
      </c>
      <c r="K181">
        <v>60.36</v>
      </c>
      <c r="L181">
        <v>22.29</v>
      </c>
      <c r="M181">
        <v>23.3</v>
      </c>
      <c r="N181">
        <v>23.87</v>
      </c>
    </row>
    <row r="182" spans="3:14" x14ac:dyDescent="0.15">
      <c r="C182" s="154" t="s">
        <v>1107</v>
      </c>
      <c r="D182" t="s">
        <v>18</v>
      </c>
      <c r="E182" t="s">
        <v>62</v>
      </c>
      <c r="F182" t="s">
        <v>6</v>
      </c>
      <c r="G182" t="s">
        <v>128</v>
      </c>
      <c r="H182" t="s">
        <v>59</v>
      </c>
      <c r="I182">
        <v>67.58</v>
      </c>
      <c r="J182">
        <v>66.63</v>
      </c>
      <c r="K182">
        <v>65.64</v>
      </c>
      <c r="L182">
        <v>30.7</v>
      </c>
      <c r="M182">
        <v>29.25</v>
      </c>
      <c r="N182">
        <v>28.64</v>
      </c>
    </row>
    <row r="183" spans="3:14" x14ac:dyDescent="0.15">
      <c r="C183" s="154" t="s">
        <v>1107</v>
      </c>
      <c r="D183" t="s">
        <v>18</v>
      </c>
      <c r="E183" t="s">
        <v>62</v>
      </c>
      <c r="F183" t="s">
        <v>6</v>
      </c>
      <c r="G183" t="s">
        <v>128</v>
      </c>
      <c r="H183" t="s">
        <v>60</v>
      </c>
      <c r="I183">
        <v>65.98</v>
      </c>
      <c r="J183">
        <v>65.03</v>
      </c>
      <c r="K183">
        <v>64.040000000000006</v>
      </c>
      <c r="L183">
        <v>29.1</v>
      </c>
      <c r="M183">
        <v>27.65</v>
      </c>
      <c r="N183">
        <v>27.04</v>
      </c>
    </row>
    <row r="184" spans="3:14" x14ac:dyDescent="0.15">
      <c r="C184" s="154" t="s">
        <v>1107</v>
      </c>
      <c r="D184" t="s">
        <v>18</v>
      </c>
      <c r="E184" t="s">
        <v>62</v>
      </c>
      <c r="F184" t="s">
        <v>6</v>
      </c>
      <c r="G184" t="s">
        <v>128</v>
      </c>
      <c r="H184" t="s">
        <v>648</v>
      </c>
      <c r="I184">
        <v>64.930000000000007</v>
      </c>
      <c r="J184">
        <v>63.98</v>
      </c>
      <c r="K184">
        <v>62.99</v>
      </c>
      <c r="L184">
        <v>28.05</v>
      </c>
      <c r="M184">
        <v>26.6</v>
      </c>
      <c r="N184">
        <v>25.99</v>
      </c>
    </row>
    <row r="185" spans="3:14" x14ac:dyDescent="0.15">
      <c r="C185" s="154" t="s">
        <v>1108</v>
      </c>
      <c r="D185" t="s">
        <v>18</v>
      </c>
      <c r="E185" t="s">
        <v>62</v>
      </c>
      <c r="F185" t="s">
        <v>6</v>
      </c>
      <c r="G185" t="s">
        <v>128</v>
      </c>
      <c r="H185" t="s">
        <v>59</v>
      </c>
      <c r="I185">
        <v>66.459999999999994</v>
      </c>
      <c r="J185">
        <v>66</v>
      </c>
      <c r="K185">
        <v>65.150000000000006</v>
      </c>
      <c r="L185">
        <v>29.36</v>
      </c>
      <c r="M185">
        <v>28.52</v>
      </c>
      <c r="N185">
        <v>28.06</v>
      </c>
    </row>
    <row r="186" spans="3:14" x14ac:dyDescent="0.15">
      <c r="C186" s="154" t="s">
        <v>1108</v>
      </c>
      <c r="D186" t="s">
        <v>18</v>
      </c>
      <c r="E186" t="s">
        <v>62</v>
      </c>
      <c r="F186" t="s">
        <v>6</v>
      </c>
      <c r="G186" t="s">
        <v>128</v>
      </c>
      <c r="H186" t="s">
        <v>60</v>
      </c>
      <c r="I186">
        <v>64.86</v>
      </c>
      <c r="J186">
        <v>64.400000000000006</v>
      </c>
      <c r="K186">
        <v>63.55</v>
      </c>
      <c r="L186">
        <v>27.76</v>
      </c>
      <c r="M186">
        <v>26.92</v>
      </c>
      <c r="N186">
        <v>26.46</v>
      </c>
    </row>
    <row r="187" spans="3:14" x14ac:dyDescent="0.15">
      <c r="C187" s="154" t="s">
        <v>1108</v>
      </c>
      <c r="D187" t="s">
        <v>18</v>
      </c>
      <c r="E187" t="s">
        <v>62</v>
      </c>
      <c r="F187" t="s">
        <v>6</v>
      </c>
      <c r="G187" t="s">
        <v>128</v>
      </c>
      <c r="H187" t="s">
        <v>648</v>
      </c>
      <c r="I187">
        <v>63.81</v>
      </c>
      <c r="J187">
        <v>63.35</v>
      </c>
      <c r="K187">
        <v>62.5</v>
      </c>
      <c r="L187">
        <v>26.71</v>
      </c>
      <c r="M187">
        <v>25.87</v>
      </c>
      <c r="N187">
        <v>25.41</v>
      </c>
    </row>
    <row r="188" spans="3:14" x14ac:dyDescent="0.15">
      <c r="C188" s="154" t="s">
        <v>1109</v>
      </c>
      <c r="D188" t="s">
        <v>18</v>
      </c>
      <c r="E188" t="s">
        <v>62</v>
      </c>
      <c r="F188" t="s">
        <v>6</v>
      </c>
      <c r="G188" t="s">
        <v>128</v>
      </c>
      <c r="H188" t="s">
        <v>59</v>
      </c>
      <c r="I188">
        <v>65.22</v>
      </c>
      <c r="J188">
        <v>65.06</v>
      </c>
      <c r="K188">
        <v>64.59</v>
      </c>
      <c r="L188">
        <v>27.9</v>
      </c>
      <c r="M188">
        <v>27.69</v>
      </c>
      <c r="N188">
        <v>27.42</v>
      </c>
    </row>
    <row r="189" spans="3:14" x14ac:dyDescent="0.15">
      <c r="C189" s="154" t="s">
        <v>1109</v>
      </c>
      <c r="D189" t="s">
        <v>18</v>
      </c>
      <c r="E189" t="s">
        <v>62</v>
      </c>
      <c r="F189" t="s">
        <v>6</v>
      </c>
      <c r="G189" t="s">
        <v>128</v>
      </c>
      <c r="H189" t="s">
        <v>60</v>
      </c>
      <c r="I189">
        <v>63.62</v>
      </c>
      <c r="J189">
        <v>63.46</v>
      </c>
      <c r="K189">
        <v>62.99</v>
      </c>
      <c r="L189">
        <v>26.3</v>
      </c>
      <c r="M189">
        <v>26.09</v>
      </c>
      <c r="N189">
        <v>25.82</v>
      </c>
    </row>
    <row r="190" spans="3:14" x14ac:dyDescent="0.15">
      <c r="C190" s="154" t="s">
        <v>1109</v>
      </c>
      <c r="D190" t="s">
        <v>18</v>
      </c>
      <c r="E190" t="s">
        <v>62</v>
      </c>
      <c r="F190" t="s">
        <v>6</v>
      </c>
      <c r="G190" t="s">
        <v>128</v>
      </c>
      <c r="H190" t="s">
        <v>648</v>
      </c>
      <c r="I190">
        <v>62.57</v>
      </c>
      <c r="J190">
        <v>62.41</v>
      </c>
      <c r="K190">
        <v>61.94</v>
      </c>
      <c r="L190">
        <v>25.25</v>
      </c>
      <c r="M190">
        <v>25.04</v>
      </c>
      <c r="N190">
        <v>24.77</v>
      </c>
    </row>
    <row r="191" spans="3:14" x14ac:dyDescent="0.15">
      <c r="C191" s="154" t="s">
        <v>1110</v>
      </c>
      <c r="D191" t="s">
        <v>18</v>
      </c>
      <c r="E191" t="s">
        <v>62</v>
      </c>
      <c r="F191" t="s">
        <v>6</v>
      </c>
      <c r="G191" t="s">
        <v>128</v>
      </c>
      <c r="H191" t="s">
        <v>59</v>
      </c>
      <c r="I191">
        <v>63.89</v>
      </c>
      <c r="J191">
        <v>64.06</v>
      </c>
      <c r="K191">
        <v>63.98</v>
      </c>
      <c r="L191">
        <v>26.49</v>
      </c>
      <c r="M191">
        <v>26.76</v>
      </c>
      <c r="N191">
        <v>26.81</v>
      </c>
    </row>
    <row r="192" spans="3:14" x14ac:dyDescent="0.15">
      <c r="C192" s="154" t="s">
        <v>1110</v>
      </c>
      <c r="D192" t="s">
        <v>18</v>
      </c>
      <c r="E192" t="s">
        <v>62</v>
      </c>
      <c r="F192" t="s">
        <v>6</v>
      </c>
      <c r="G192" t="s">
        <v>128</v>
      </c>
      <c r="H192" t="s">
        <v>60</v>
      </c>
      <c r="I192">
        <v>62.29</v>
      </c>
      <c r="J192">
        <v>62.46</v>
      </c>
      <c r="K192">
        <v>62.38</v>
      </c>
      <c r="L192">
        <v>24.89</v>
      </c>
      <c r="M192">
        <v>25.16</v>
      </c>
      <c r="N192">
        <v>25.21</v>
      </c>
    </row>
    <row r="193" spans="3:14" x14ac:dyDescent="0.15">
      <c r="C193" s="154" t="s">
        <v>1110</v>
      </c>
      <c r="D193" t="s">
        <v>18</v>
      </c>
      <c r="E193" t="s">
        <v>62</v>
      </c>
      <c r="F193" t="s">
        <v>6</v>
      </c>
      <c r="G193" t="s">
        <v>128</v>
      </c>
      <c r="H193" t="s">
        <v>648</v>
      </c>
      <c r="I193">
        <v>61.24</v>
      </c>
      <c r="J193">
        <v>61.41</v>
      </c>
      <c r="K193">
        <v>61.33</v>
      </c>
      <c r="L193">
        <v>23.84</v>
      </c>
      <c r="M193">
        <v>24.11</v>
      </c>
      <c r="N193">
        <v>24.16</v>
      </c>
    </row>
    <row r="194" spans="3:14" x14ac:dyDescent="0.15">
      <c r="C194" s="154" t="s">
        <v>1111</v>
      </c>
      <c r="D194" t="s">
        <v>18</v>
      </c>
      <c r="E194" t="s">
        <v>62</v>
      </c>
      <c r="F194" t="s">
        <v>6</v>
      </c>
      <c r="G194" t="s">
        <v>128</v>
      </c>
      <c r="H194" t="s">
        <v>59</v>
      </c>
      <c r="I194">
        <v>62.48</v>
      </c>
      <c r="J194">
        <v>63.04</v>
      </c>
      <c r="K194">
        <v>63.36</v>
      </c>
      <c r="L194">
        <v>25</v>
      </c>
      <c r="M194">
        <v>25.81</v>
      </c>
      <c r="N194">
        <v>26.16</v>
      </c>
    </row>
    <row r="195" spans="3:14" x14ac:dyDescent="0.15">
      <c r="C195" s="154" t="s">
        <v>1111</v>
      </c>
      <c r="D195" t="s">
        <v>18</v>
      </c>
      <c r="E195" t="s">
        <v>62</v>
      </c>
      <c r="F195" t="s">
        <v>6</v>
      </c>
      <c r="G195" t="s">
        <v>128</v>
      </c>
      <c r="H195" t="s">
        <v>60</v>
      </c>
      <c r="I195">
        <v>60.88</v>
      </c>
      <c r="J195">
        <v>61.44</v>
      </c>
      <c r="K195">
        <v>61.76</v>
      </c>
      <c r="L195">
        <v>23.4</v>
      </c>
      <c r="M195">
        <v>24.21</v>
      </c>
      <c r="N195">
        <v>24.56</v>
      </c>
    </row>
    <row r="196" spans="3:14" x14ac:dyDescent="0.15">
      <c r="C196" s="154" t="s">
        <v>1111</v>
      </c>
      <c r="D196" t="s">
        <v>18</v>
      </c>
      <c r="E196" t="s">
        <v>62</v>
      </c>
      <c r="F196" t="s">
        <v>6</v>
      </c>
      <c r="G196" t="s">
        <v>128</v>
      </c>
      <c r="H196" t="s">
        <v>648</v>
      </c>
      <c r="I196">
        <v>59.83</v>
      </c>
      <c r="J196">
        <v>60.39</v>
      </c>
      <c r="K196">
        <v>60.71</v>
      </c>
      <c r="L196">
        <v>22.35</v>
      </c>
      <c r="M196">
        <v>23.16</v>
      </c>
      <c r="N196">
        <v>23.51</v>
      </c>
    </row>
    <row r="197" spans="3:14" x14ac:dyDescent="0.15">
      <c r="C197" s="154" t="s">
        <v>1112</v>
      </c>
      <c r="D197" t="s">
        <v>18</v>
      </c>
      <c r="E197" t="s">
        <v>62</v>
      </c>
      <c r="F197" t="s">
        <v>6</v>
      </c>
      <c r="G197" t="s">
        <v>128</v>
      </c>
      <c r="H197" t="s">
        <v>59</v>
      </c>
      <c r="I197">
        <v>62.73</v>
      </c>
      <c r="J197">
        <v>62.94</v>
      </c>
      <c r="K197">
        <v>63.52</v>
      </c>
      <c r="L197">
        <v>25.2</v>
      </c>
      <c r="M197">
        <v>25.87</v>
      </c>
      <c r="N197">
        <v>26.33</v>
      </c>
    </row>
    <row r="198" spans="3:14" x14ac:dyDescent="0.15">
      <c r="C198" s="154" t="s">
        <v>1112</v>
      </c>
      <c r="D198" t="s">
        <v>18</v>
      </c>
      <c r="E198" t="s">
        <v>62</v>
      </c>
      <c r="F198" t="s">
        <v>6</v>
      </c>
      <c r="G198" t="s">
        <v>128</v>
      </c>
      <c r="H198" t="s">
        <v>60</v>
      </c>
      <c r="I198">
        <v>61.13</v>
      </c>
      <c r="J198">
        <v>61.34</v>
      </c>
      <c r="K198">
        <v>61.92</v>
      </c>
      <c r="L198">
        <v>23.6</v>
      </c>
      <c r="M198">
        <v>24.27</v>
      </c>
      <c r="N198">
        <v>24.73</v>
      </c>
    </row>
    <row r="199" spans="3:14" x14ac:dyDescent="0.15">
      <c r="C199" s="154" t="s">
        <v>1112</v>
      </c>
      <c r="D199" t="s">
        <v>18</v>
      </c>
      <c r="E199" t="s">
        <v>62</v>
      </c>
      <c r="F199" t="s">
        <v>6</v>
      </c>
      <c r="G199" t="s">
        <v>128</v>
      </c>
      <c r="H199" t="s">
        <v>648</v>
      </c>
      <c r="I199">
        <v>60.08</v>
      </c>
      <c r="J199">
        <v>60.29</v>
      </c>
      <c r="K199">
        <v>60.87</v>
      </c>
      <c r="L199">
        <v>22.55</v>
      </c>
      <c r="M199">
        <v>23.22</v>
      </c>
      <c r="N199">
        <v>23.68</v>
      </c>
    </row>
    <row r="200" spans="3:14" x14ac:dyDescent="0.15">
      <c r="C200" s="154" t="s">
        <v>1113</v>
      </c>
      <c r="D200" t="s">
        <v>18</v>
      </c>
      <c r="E200" t="s">
        <v>62</v>
      </c>
      <c r="F200" t="s">
        <v>6</v>
      </c>
      <c r="G200" t="s">
        <v>128</v>
      </c>
      <c r="H200" t="s">
        <v>59</v>
      </c>
      <c r="I200">
        <v>62.87</v>
      </c>
      <c r="J200">
        <v>62.83</v>
      </c>
      <c r="K200">
        <v>63.7</v>
      </c>
      <c r="L200">
        <v>25.38</v>
      </c>
      <c r="M200">
        <v>25.87</v>
      </c>
      <c r="N200">
        <v>26.5</v>
      </c>
    </row>
    <row r="201" spans="3:14" x14ac:dyDescent="0.15">
      <c r="C201" s="154" t="s">
        <v>1113</v>
      </c>
      <c r="D201" t="s">
        <v>18</v>
      </c>
      <c r="E201" t="s">
        <v>62</v>
      </c>
      <c r="F201" t="s">
        <v>6</v>
      </c>
      <c r="G201" t="s">
        <v>128</v>
      </c>
      <c r="H201" t="s">
        <v>60</v>
      </c>
      <c r="I201">
        <v>61.27</v>
      </c>
      <c r="J201">
        <v>61.23</v>
      </c>
      <c r="K201">
        <v>62.1</v>
      </c>
      <c r="L201">
        <v>23.78</v>
      </c>
      <c r="M201">
        <v>24.27</v>
      </c>
      <c r="N201">
        <v>24.9</v>
      </c>
    </row>
    <row r="202" spans="3:14" x14ac:dyDescent="0.15">
      <c r="C202" s="154" t="s">
        <v>1113</v>
      </c>
      <c r="D202" t="s">
        <v>18</v>
      </c>
      <c r="E202" t="s">
        <v>62</v>
      </c>
      <c r="F202" t="s">
        <v>6</v>
      </c>
      <c r="G202" t="s">
        <v>128</v>
      </c>
      <c r="H202" t="s">
        <v>648</v>
      </c>
      <c r="I202">
        <v>60.22</v>
      </c>
      <c r="J202">
        <v>60.18</v>
      </c>
      <c r="K202">
        <v>61.05</v>
      </c>
      <c r="L202">
        <v>22.73</v>
      </c>
      <c r="M202">
        <v>23.22</v>
      </c>
      <c r="N202">
        <v>23.85</v>
      </c>
    </row>
    <row r="203" spans="3:14" x14ac:dyDescent="0.15">
      <c r="C203" s="154" t="s">
        <v>1114</v>
      </c>
      <c r="D203" t="s">
        <v>18</v>
      </c>
      <c r="E203" t="s">
        <v>62</v>
      </c>
      <c r="F203" t="s">
        <v>6</v>
      </c>
      <c r="G203" t="s">
        <v>128</v>
      </c>
      <c r="H203" t="s">
        <v>59</v>
      </c>
      <c r="I203">
        <v>62.98</v>
      </c>
      <c r="J203">
        <v>62.87</v>
      </c>
      <c r="K203">
        <v>63.82</v>
      </c>
      <c r="L203">
        <v>25.57</v>
      </c>
      <c r="M203">
        <v>25.96</v>
      </c>
      <c r="N203">
        <v>26.66</v>
      </c>
    </row>
    <row r="204" spans="3:14" x14ac:dyDescent="0.15">
      <c r="C204" s="154" t="s">
        <v>1114</v>
      </c>
      <c r="D204" t="s">
        <v>18</v>
      </c>
      <c r="E204" t="s">
        <v>62</v>
      </c>
      <c r="F204" t="s">
        <v>6</v>
      </c>
      <c r="G204" t="s">
        <v>128</v>
      </c>
      <c r="H204" t="s">
        <v>60</v>
      </c>
      <c r="I204">
        <v>61.38</v>
      </c>
      <c r="J204">
        <v>61.27</v>
      </c>
      <c r="K204">
        <v>62.22</v>
      </c>
      <c r="L204">
        <v>23.97</v>
      </c>
      <c r="M204">
        <v>24.36</v>
      </c>
      <c r="N204">
        <v>25.06</v>
      </c>
    </row>
    <row r="205" spans="3:14" x14ac:dyDescent="0.15">
      <c r="C205" s="154" t="s">
        <v>1114</v>
      </c>
      <c r="D205" t="s">
        <v>18</v>
      </c>
      <c r="E205" t="s">
        <v>62</v>
      </c>
      <c r="F205" t="s">
        <v>6</v>
      </c>
      <c r="G205" t="s">
        <v>128</v>
      </c>
      <c r="H205" t="s">
        <v>648</v>
      </c>
      <c r="I205">
        <v>60.33</v>
      </c>
      <c r="J205">
        <v>60.22</v>
      </c>
      <c r="K205">
        <v>61.17</v>
      </c>
      <c r="L205">
        <v>22.92</v>
      </c>
      <c r="M205">
        <v>23.31</v>
      </c>
      <c r="N205">
        <v>24.01</v>
      </c>
    </row>
    <row r="206" spans="3:14" x14ac:dyDescent="0.15">
      <c r="C206" s="154" t="s">
        <v>1115</v>
      </c>
      <c r="D206" t="s">
        <v>18</v>
      </c>
      <c r="E206" t="s">
        <v>62</v>
      </c>
      <c r="F206" t="s">
        <v>6</v>
      </c>
      <c r="G206" t="s">
        <v>128</v>
      </c>
      <c r="H206" t="s">
        <v>59</v>
      </c>
      <c r="I206">
        <v>63.13</v>
      </c>
      <c r="J206">
        <v>63.16</v>
      </c>
      <c r="K206">
        <v>63.92</v>
      </c>
      <c r="L206">
        <v>25.76</v>
      </c>
      <c r="M206">
        <v>26.06</v>
      </c>
      <c r="N206">
        <v>26.83</v>
      </c>
    </row>
    <row r="207" spans="3:14" x14ac:dyDescent="0.15">
      <c r="C207" s="154" t="s">
        <v>1115</v>
      </c>
      <c r="D207" t="s">
        <v>18</v>
      </c>
      <c r="E207" t="s">
        <v>62</v>
      </c>
      <c r="F207" t="s">
        <v>6</v>
      </c>
      <c r="G207" t="s">
        <v>128</v>
      </c>
      <c r="H207" t="s">
        <v>60</v>
      </c>
      <c r="I207">
        <v>61.53</v>
      </c>
      <c r="J207">
        <v>61.56</v>
      </c>
      <c r="K207">
        <v>62.32</v>
      </c>
      <c r="L207">
        <v>24.16</v>
      </c>
      <c r="M207">
        <v>24.46</v>
      </c>
      <c r="N207">
        <v>25.23</v>
      </c>
    </row>
    <row r="208" spans="3:14" x14ac:dyDescent="0.15">
      <c r="C208" s="154" t="s">
        <v>1115</v>
      </c>
      <c r="D208" t="s">
        <v>18</v>
      </c>
      <c r="E208" t="s">
        <v>62</v>
      </c>
      <c r="F208" t="s">
        <v>6</v>
      </c>
      <c r="G208" t="s">
        <v>128</v>
      </c>
      <c r="H208" t="s">
        <v>648</v>
      </c>
      <c r="I208">
        <v>60.48</v>
      </c>
      <c r="J208">
        <v>60.51</v>
      </c>
      <c r="K208">
        <v>61.27</v>
      </c>
      <c r="L208">
        <v>23.11</v>
      </c>
      <c r="M208">
        <v>23.41</v>
      </c>
      <c r="N208">
        <v>24.18</v>
      </c>
    </row>
    <row r="209" spans="3:14" x14ac:dyDescent="0.15">
      <c r="C209" s="154" t="s">
        <v>1117</v>
      </c>
      <c r="D209" t="s">
        <v>18</v>
      </c>
      <c r="E209" t="s">
        <v>62</v>
      </c>
      <c r="F209" t="s">
        <v>6</v>
      </c>
      <c r="G209" t="s">
        <v>128</v>
      </c>
      <c r="H209" t="s">
        <v>59</v>
      </c>
      <c r="I209">
        <v>63.3</v>
      </c>
      <c r="J209">
        <v>63.44</v>
      </c>
      <c r="K209">
        <v>64.05</v>
      </c>
      <c r="L209">
        <v>25.94</v>
      </c>
      <c r="M209">
        <v>26.28</v>
      </c>
      <c r="N209">
        <v>26.99</v>
      </c>
    </row>
    <row r="210" spans="3:14" x14ac:dyDescent="0.15">
      <c r="C210" s="154" t="s">
        <v>1117</v>
      </c>
      <c r="D210" t="s">
        <v>18</v>
      </c>
      <c r="E210" t="s">
        <v>62</v>
      </c>
      <c r="F210" t="s">
        <v>6</v>
      </c>
      <c r="G210" t="s">
        <v>128</v>
      </c>
      <c r="H210" t="s">
        <v>60</v>
      </c>
      <c r="I210">
        <v>61.7</v>
      </c>
      <c r="J210">
        <v>61.84</v>
      </c>
      <c r="K210">
        <v>62.45</v>
      </c>
      <c r="L210">
        <v>24.34</v>
      </c>
      <c r="M210">
        <v>24.68</v>
      </c>
      <c r="N210">
        <v>25.39</v>
      </c>
    </row>
    <row r="211" spans="3:14" x14ac:dyDescent="0.15">
      <c r="C211" s="154" t="s">
        <v>1117</v>
      </c>
      <c r="D211" t="s">
        <v>18</v>
      </c>
      <c r="E211" t="s">
        <v>62</v>
      </c>
      <c r="F211" t="s">
        <v>6</v>
      </c>
      <c r="G211" t="s">
        <v>128</v>
      </c>
      <c r="H211" t="s">
        <v>648</v>
      </c>
      <c r="I211">
        <v>60.65</v>
      </c>
      <c r="J211">
        <v>60.79</v>
      </c>
      <c r="K211">
        <v>61.4</v>
      </c>
      <c r="L211">
        <v>23.29</v>
      </c>
      <c r="M211">
        <v>23.63</v>
      </c>
      <c r="N211">
        <v>24.34</v>
      </c>
    </row>
    <row r="212" spans="3:14" x14ac:dyDescent="0.15">
      <c r="C212" s="154" t="s">
        <v>1118</v>
      </c>
      <c r="D212" t="s">
        <v>18</v>
      </c>
      <c r="E212" t="s">
        <v>62</v>
      </c>
      <c r="F212" t="s">
        <v>6</v>
      </c>
      <c r="G212" t="s">
        <v>128</v>
      </c>
      <c r="H212" t="s">
        <v>59</v>
      </c>
      <c r="I212">
        <v>63.47</v>
      </c>
      <c r="J212">
        <v>63.75</v>
      </c>
      <c r="K212">
        <v>64.19</v>
      </c>
      <c r="L212">
        <v>26.18</v>
      </c>
      <c r="M212">
        <v>26.51</v>
      </c>
      <c r="N212">
        <v>27.18</v>
      </c>
    </row>
    <row r="213" spans="3:14" x14ac:dyDescent="0.15">
      <c r="C213" s="154" t="s">
        <v>1118</v>
      </c>
      <c r="D213" t="s">
        <v>18</v>
      </c>
      <c r="E213" t="s">
        <v>62</v>
      </c>
      <c r="F213" t="s">
        <v>6</v>
      </c>
      <c r="G213" t="s">
        <v>128</v>
      </c>
      <c r="H213" t="s">
        <v>60</v>
      </c>
      <c r="I213">
        <v>61.87</v>
      </c>
      <c r="J213">
        <v>62.15</v>
      </c>
      <c r="K213">
        <v>62.59</v>
      </c>
      <c r="L213">
        <v>24.58</v>
      </c>
      <c r="M213">
        <v>24.91</v>
      </c>
      <c r="N213">
        <v>25.58</v>
      </c>
    </row>
    <row r="214" spans="3:14" x14ac:dyDescent="0.15">
      <c r="C214" s="154" t="s">
        <v>1118</v>
      </c>
      <c r="D214" t="s">
        <v>18</v>
      </c>
      <c r="E214" t="s">
        <v>62</v>
      </c>
      <c r="F214" t="s">
        <v>6</v>
      </c>
      <c r="G214" t="s">
        <v>128</v>
      </c>
      <c r="H214" t="s">
        <v>648</v>
      </c>
      <c r="I214">
        <v>60.82</v>
      </c>
      <c r="J214">
        <v>61.1</v>
      </c>
      <c r="K214">
        <v>61.54</v>
      </c>
      <c r="L214">
        <v>23.53</v>
      </c>
      <c r="M214">
        <v>23.86</v>
      </c>
      <c r="N214">
        <v>24.53</v>
      </c>
    </row>
    <row r="215" spans="3:14" x14ac:dyDescent="0.15">
      <c r="C215" s="154" t="s">
        <v>1119</v>
      </c>
      <c r="D215" t="s">
        <v>18</v>
      </c>
      <c r="E215" t="s">
        <v>62</v>
      </c>
      <c r="F215" t="s">
        <v>6</v>
      </c>
      <c r="G215" t="s">
        <v>128</v>
      </c>
      <c r="H215" t="s">
        <v>59</v>
      </c>
      <c r="I215">
        <v>63.6</v>
      </c>
      <c r="J215">
        <v>64.14</v>
      </c>
      <c r="K215">
        <v>64.36</v>
      </c>
      <c r="L215">
        <v>26.39</v>
      </c>
      <c r="M215">
        <v>26.83</v>
      </c>
      <c r="N215">
        <v>27.37</v>
      </c>
    </row>
    <row r="216" spans="3:14" x14ac:dyDescent="0.15">
      <c r="C216" s="154" t="s">
        <v>1119</v>
      </c>
      <c r="D216" t="s">
        <v>18</v>
      </c>
      <c r="E216" t="s">
        <v>62</v>
      </c>
      <c r="F216" t="s">
        <v>6</v>
      </c>
      <c r="G216" t="s">
        <v>128</v>
      </c>
      <c r="H216" t="s">
        <v>60</v>
      </c>
      <c r="I216">
        <v>62</v>
      </c>
      <c r="J216">
        <v>62.54</v>
      </c>
      <c r="K216">
        <v>62.76</v>
      </c>
      <c r="L216">
        <v>24.79</v>
      </c>
      <c r="M216">
        <v>25.23</v>
      </c>
      <c r="N216">
        <v>25.77</v>
      </c>
    </row>
    <row r="217" spans="3:14" x14ac:dyDescent="0.15">
      <c r="C217" s="154" t="s">
        <v>1119</v>
      </c>
      <c r="D217" t="s">
        <v>18</v>
      </c>
      <c r="E217" t="s">
        <v>62</v>
      </c>
      <c r="F217" t="s">
        <v>6</v>
      </c>
      <c r="G217" t="s">
        <v>128</v>
      </c>
      <c r="H217" t="s">
        <v>648</v>
      </c>
      <c r="I217">
        <v>60.95</v>
      </c>
      <c r="J217">
        <v>61.49</v>
      </c>
      <c r="K217">
        <v>61.71</v>
      </c>
      <c r="L217">
        <v>23.74</v>
      </c>
      <c r="M217">
        <v>24.18</v>
      </c>
      <c r="N217">
        <v>24.72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73"/>
  <sheetViews>
    <sheetView workbookViewId="0">
      <selection activeCell="A2" sqref="A2"/>
    </sheetView>
  </sheetViews>
  <sheetFormatPr defaultRowHeight="10.5" x14ac:dyDescent="0.15"/>
  <cols>
    <col min="3" max="3" width="13.6640625" style="154" customWidth="1"/>
  </cols>
  <sheetData>
    <row r="1" spans="1:14" x14ac:dyDescent="0.15">
      <c r="C1" s="154" t="s">
        <v>1093</v>
      </c>
      <c r="D1" t="s">
        <v>2</v>
      </c>
      <c r="E1" t="s">
        <v>3</v>
      </c>
      <c r="F1" t="s">
        <v>1094</v>
      </c>
      <c r="G1" t="s">
        <v>89</v>
      </c>
      <c r="H1" t="s">
        <v>1095</v>
      </c>
      <c r="I1" t="s">
        <v>1096</v>
      </c>
      <c r="J1" t="s">
        <v>1097</v>
      </c>
      <c r="K1" t="s">
        <v>1098</v>
      </c>
      <c r="L1" t="s">
        <v>1099</v>
      </c>
      <c r="M1" t="s">
        <v>1100</v>
      </c>
      <c r="N1" t="s">
        <v>1101</v>
      </c>
    </row>
    <row r="2" spans="1:14" x14ac:dyDescent="0.15">
      <c r="A2" s="123">
        <v>42374</v>
      </c>
      <c r="C2" s="154" t="s">
        <v>1107</v>
      </c>
      <c r="D2" t="s">
        <v>23</v>
      </c>
      <c r="E2" t="s">
        <v>137</v>
      </c>
      <c r="F2" t="s">
        <v>25</v>
      </c>
      <c r="G2" t="s">
        <v>1102</v>
      </c>
      <c r="H2" t="s">
        <v>59</v>
      </c>
      <c r="I2">
        <v>64.61</v>
      </c>
      <c r="J2">
        <v>65.63</v>
      </c>
      <c r="K2">
        <v>66.400000000000006</v>
      </c>
      <c r="L2">
        <v>32.630000000000003</v>
      </c>
      <c r="M2">
        <v>33.119999999999997</v>
      </c>
      <c r="N2">
        <v>34.24</v>
      </c>
    </row>
    <row r="3" spans="1:14" x14ac:dyDescent="0.15">
      <c r="C3" s="154" t="s">
        <v>1107</v>
      </c>
      <c r="D3" t="s">
        <v>23</v>
      </c>
      <c r="E3" t="s">
        <v>137</v>
      </c>
      <c r="F3" t="s">
        <v>25</v>
      </c>
      <c r="G3" t="s">
        <v>1102</v>
      </c>
      <c r="H3" t="s">
        <v>60</v>
      </c>
      <c r="I3">
        <v>63.01</v>
      </c>
      <c r="J3">
        <v>64.03</v>
      </c>
      <c r="K3">
        <v>64.8</v>
      </c>
      <c r="L3">
        <v>31.03</v>
      </c>
      <c r="M3">
        <v>31.52</v>
      </c>
      <c r="N3">
        <v>32.64</v>
      </c>
    </row>
    <row r="4" spans="1:14" x14ac:dyDescent="0.15">
      <c r="C4" s="154" t="s">
        <v>1107</v>
      </c>
      <c r="D4" t="s">
        <v>23</v>
      </c>
      <c r="E4" t="s">
        <v>137</v>
      </c>
      <c r="F4" t="s">
        <v>25</v>
      </c>
      <c r="G4" t="s">
        <v>1102</v>
      </c>
      <c r="H4" t="s">
        <v>648</v>
      </c>
      <c r="I4">
        <v>61.96</v>
      </c>
      <c r="J4">
        <v>62.98</v>
      </c>
      <c r="K4">
        <v>63.75</v>
      </c>
      <c r="L4">
        <v>29.98</v>
      </c>
      <c r="M4">
        <v>30.47</v>
      </c>
      <c r="N4">
        <v>31.59</v>
      </c>
    </row>
    <row r="5" spans="1:14" x14ac:dyDescent="0.15">
      <c r="C5" s="154" t="s">
        <v>1108</v>
      </c>
      <c r="D5" t="s">
        <v>23</v>
      </c>
      <c r="E5" t="s">
        <v>137</v>
      </c>
      <c r="F5" t="s">
        <v>25</v>
      </c>
      <c r="G5" t="s">
        <v>1102</v>
      </c>
      <c r="H5" t="s">
        <v>59</v>
      </c>
      <c r="I5">
        <v>64.599999999999994</v>
      </c>
      <c r="J5">
        <v>65.8</v>
      </c>
      <c r="K5">
        <v>66.63</v>
      </c>
      <c r="L5">
        <v>32.4</v>
      </c>
      <c r="M5">
        <v>33.15</v>
      </c>
      <c r="N5">
        <v>34.369999999999997</v>
      </c>
    </row>
    <row r="6" spans="1:14" x14ac:dyDescent="0.15">
      <c r="C6" s="154" t="s">
        <v>1108</v>
      </c>
      <c r="D6" t="s">
        <v>23</v>
      </c>
      <c r="E6" t="s">
        <v>137</v>
      </c>
      <c r="F6" t="s">
        <v>25</v>
      </c>
      <c r="G6" t="s">
        <v>1102</v>
      </c>
      <c r="H6" t="s">
        <v>60</v>
      </c>
      <c r="I6">
        <v>63</v>
      </c>
      <c r="J6">
        <v>64.2</v>
      </c>
      <c r="K6">
        <v>65.03</v>
      </c>
      <c r="L6">
        <v>30.8</v>
      </c>
      <c r="M6">
        <v>31.55</v>
      </c>
      <c r="N6">
        <v>32.770000000000003</v>
      </c>
    </row>
    <row r="7" spans="1:14" x14ac:dyDescent="0.15">
      <c r="C7" s="154" t="s">
        <v>1108</v>
      </c>
      <c r="D7" t="s">
        <v>23</v>
      </c>
      <c r="E7" t="s">
        <v>137</v>
      </c>
      <c r="F7" t="s">
        <v>25</v>
      </c>
      <c r="G7" t="s">
        <v>1102</v>
      </c>
      <c r="H7" t="s">
        <v>648</v>
      </c>
      <c r="I7">
        <v>61.95</v>
      </c>
      <c r="J7">
        <v>63.15</v>
      </c>
      <c r="K7">
        <v>63.98</v>
      </c>
      <c r="L7">
        <v>29.75</v>
      </c>
      <c r="M7">
        <v>30.5</v>
      </c>
      <c r="N7">
        <v>31.72</v>
      </c>
    </row>
    <row r="8" spans="1:14" x14ac:dyDescent="0.15">
      <c r="C8" s="154" t="s">
        <v>1109</v>
      </c>
      <c r="D8" t="s">
        <v>23</v>
      </c>
      <c r="E8" t="s">
        <v>137</v>
      </c>
      <c r="F8" t="s">
        <v>25</v>
      </c>
      <c r="G8" t="s">
        <v>1102</v>
      </c>
      <c r="H8" t="s">
        <v>59</v>
      </c>
      <c r="I8">
        <v>64.569999999999993</v>
      </c>
      <c r="J8">
        <v>65.760000000000005</v>
      </c>
      <c r="K8">
        <v>66.87</v>
      </c>
      <c r="L8">
        <v>32.15</v>
      </c>
      <c r="M8">
        <v>33.200000000000003</v>
      </c>
      <c r="N8">
        <v>34.51</v>
      </c>
    </row>
    <row r="9" spans="1:14" x14ac:dyDescent="0.15">
      <c r="C9" s="154" t="s">
        <v>1109</v>
      </c>
      <c r="D9" t="s">
        <v>23</v>
      </c>
      <c r="E9" t="s">
        <v>137</v>
      </c>
      <c r="F9" t="s">
        <v>25</v>
      </c>
      <c r="G9" t="s">
        <v>1102</v>
      </c>
      <c r="H9" t="s">
        <v>60</v>
      </c>
      <c r="I9">
        <v>62.97</v>
      </c>
      <c r="J9">
        <v>64.16</v>
      </c>
      <c r="K9">
        <v>65.27</v>
      </c>
      <c r="L9">
        <v>30.55</v>
      </c>
      <c r="M9">
        <v>31.6</v>
      </c>
      <c r="N9">
        <v>32.909999999999997</v>
      </c>
    </row>
    <row r="10" spans="1:14" x14ac:dyDescent="0.15">
      <c r="C10" s="154" t="s">
        <v>1109</v>
      </c>
      <c r="D10" t="s">
        <v>23</v>
      </c>
      <c r="E10" t="s">
        <v>137</v>
      </c>
      <c r="F10" t="s">
        <v>25</v>
      </c>
      <c r="G10" t="s">
        <v>1102</v>
      </c>
      <c r="H10" t="s">
        <v>648</v>
      </c>
      <c r="I10">
        <v>61.92</v>
      </c>
      <c r="J10">
        <v>63.11</v>
      </c>
      <c r="K10">
        <v>64.22</v>
      </c>
      <c r="L10">
        <v>29.5</v>
      </c>
      <c r="M10">
        <v>30.55</v>
      </c>
      <c r="N10">
        <v>31.86</v>
      </c>
    </row>
    <row r="11" spans="1:14" x14ac:dyDescent="0.15">
      <c r="C11" s="154" t="s">
        <v>1110</v>
      </c>
      <c r="D11" t="s">
        <v>23</v>
      </c>
      <c r="E11" t="s">
        <v>137</v>
      </c>
      <c r="F11" t="s">
        <v>25</v>
      </c>
      <c r="G11" t="s">
        <v>1102</v>
      </c>
      <c r="H11" t="s">
        <v>59</v>
      </c>
      <c r="I11">
        <v>64.38</v>
      </c>
      <c r="J11">
        <v>65.77</v>
      </c>
      <c r="K11">
        <v>67.010000000000005</v>
      </c>
      <c r="L11">
        <v>31.9</v>
      </c>
      <c r="M11">
        <v>33.29</v>
      </c>
      <c r="N11">
        <v>34.64</v>
      </c>
    </row>
    <row r="12" spans="1:14" x14ac:dyDescent="0.15">
      <c r="C12" s="154" t="s">
        <v>1110</v>
      </c>
      <c r="D12" t="s">
        <v>23</v>
      </c>
      <c r="E12" t="s">
        <v>137</v>
      </c>
      <c r="F12" t="s">
        <v>25</v>
      </c>
      <c r="G12" t="s">
        <v>1102</v>
      </c>
      <c r="H12" t="s">
        <v>60</v>
      </c>
      <c r="I12">
        <v>62.78</v>
      </c>
      <c r="J12">
        <v>64.17</v>
      </c>
      <c r="K12">
        <v>65.41</v>
      </c>
      <c r="L12">
        <v>30.3</v>
      </c>
      <c r="M12">
        <v>31.69</v>
      </c>
      <c r="N12">
        <v>33.04</v>
      </c>
    </row>
    <row r="13" spans="1:14" x14ac:dyDescent="0.15">
      <c r="C13" s="154" t="s">
        <v>1110</v>
      </c>
      <c r="D13" t="s">
        <v>23</v>
      </c>
      <c r="E13" t="s">
        <v>137</v>
      </c>
      <c r="F13" t="s">
        <v>25</v>
      </c>
      <c r="G13" t="s">
        <v>1102</v>
      </c>
      <c r="H13" t="s">
        <v>648</v>
      </c>
      <c r="I13">
        <v>61.73</v>
      </c>
      <c r="J13">
        <v>63.12</v>
      </c>
      <c r="K13">
        <v>64.36</v>
      </c>
      <c r="L13">
        <v>29.25</v>
      </c>
      <c r="M13">
        <v>30.64</v>
      </c>
      <c r="N13">
        <v>31.99</v>
      </c>
    </row>
    <row r="14" spans="1:14" x14ac:dyDescent="0.15">
      <c r="C14" s="154" t="s">
        <v>1111</v>
      </c>
      <c r="D14" t="s">
        <v>23</v>
      </c>
      <c r="E14" t="s">
        <v>137</v>
      </c>
      <c r="F14" t="s">
        <v>25</v>
      </c>
      <c r="G14" t="s">
        <v>1102</v>
      </c>
      <c r="H14" t="s">
        <v>59</v>
      </c>
      <c r="I14">
        <v>64.19</v>
      </c>
      <c r="J14">
        <v>65.7</v>
      </c>
      <c r="K14">
        <v>67.2</v>
      </c>
      <c r="L14">
        <v>31.63</v>
      </c>
      <c r="M14">
        <v>33.340000000000003</v>
      </c>
      <c r="N14">
        <v>34.76</v>
      </c>
    </row>
    <row r="15" spans="1:14" x14ac:dyDescent="0.15">
      <c r="C15" s="154" t="s">
        <v>1111</v>
      </c>
      <c r="D15" t="s">
        <v>23</v>
      </c>
      <c r="E15" t="s">
        <v>137</v>
      </c>
      <c r="F15" t="s">
        <v>25</v>
      </c>
      <c r="G15" t="s">
        <v>1102</v>
      </c>
      <c r="H15" t="s">
        <v>60</v>
      </c>
      <c r="I15">
        <v>62.59</v>
      </c>
      <c r="J15">
        <v>64.099999999999994</v>
      </c>
      <c r="K15">
        <v>65.599999999999994</v>
      </c>
      <c r="L15">
        <v>30.03</v>
      </c>
      <c r="M15">
        <v>31.74</v>
      </c>
      <c r="N15">
        <v>33.159999999999997</v>
      </c>
    </row>
    <row r="16" spans="1:14" x14ac:dyDescent="0.15">
      <c r="C16" s="154" t="s">
        <v>1111</v>
      </c>
      <c r="D16" t="s">
        <v>23</v>
      </c>
      <c r="E16" t="s">
        <v>137</v>
      </c>
      <c r="F16" t="s">
        <v>25</v>
      </c>
      <c r="G16" t="s">
        <v>1102</v>
      </c>
      <c r="H16" t="s">
        <v>648</v>
      </c>
      <c r="I16">
        <v>61.54</v>
      </c>
      <c r="J16">
        <v>63.05</v>
      </c>
      <c r="K16">
        <v>64.55</v>
      </c>
      <c r="L16">
        <v>28.98</v>
      </c>
      <c r="M16">
        <v>30.69</v>
      </c>
      <c r="N16">
        <v>32.11</v>
      </c>
    </row>
    <row r="17" spans="3:14" x14ac:dyDescent="0.15">
      <c r="C17" s="154" t="s">
        <v>1112</v>
      </c>
      <c r="D17" t="s">
        <v>23</v>
      </c>
      <c r="E17" t="s">
        <v>137</v>
      </c>
      <c r="F17" t="s">
        <v>25</v>
      </c>
      <c r="G17" t="s">
        <v>1102</v>
      </c>
      <c r="H17" t="s">
        <v>59</v>
      </c>
      <c r="I17">
        <v>64.760000000000005</v>
      </c>
      <c r="J17">
        <v>65.97</v>
      </c>
      <c r="K17">
        <v>67.739999999999995</v>
      </c>
      <c r="L17">
        <v>32.14</v>
      </c>
      <c r="M17">
        <v>33.76</v>
      </c>
      <c r="N17">
        <v>35.29</v>
      </c>
    </row>
    <row r="18" spans="3:14" x14ac:dyDescent="0.15">
      <c r="C18" s="154" t="s">
        <v>1112</v>
      </c>
      <c r="D18" t="s">
        <v>23</v>
      </c>
      <c r="E18" t="s">
        <v>137</v>
      </c>
      <c r="F18" t="s">
        <v>25</v>
      </c>
      <c r="G18" t="s">
        <v>1102</v>
      </c>
      <c r="H18" t="s">
        <v>60</v>
      </c>
      <c r="I18">
        <v>63.16</v>
      </c>
      <c r="J18">
        <v>64.37</v>
      </c>
      <c r="K18">
        <v>66.14</v>
      </c>
      <c r="L18">
        <v>30.54</v>
      </c>
      <c r="M18">
        <v>32.159999999999997</v>
      </c>
      <c r="N18">
        <v>33.69</v>
      </c>
    </row>
    <row r="19" spans="3:14" x14ac:dyDescent="0.15">
      <c r="C19" s="154" t="s">
        <v>1112</v>
      </c>
      <c r="D19" t="s">
        <v>23</v>
      </c>
      <c r="E19" t="s">
        <v>137</v>
      </c>
      <c r="F19" t="s">
        <v>25</v>
      </c>
      <c r="G19" t="s">
        <v>1102</v>
      </c>
      <c r="H19" t="s">
        <v>648</v>
      </c>
      <c r="I19">
        <v>62.11</v>
      </c>
      <c r="J19">
        <v>63.32</v>
      </c>
      <c r="K19">
        <v>65.09</v>
      </c>
      <c r="L19">
        <v>29.49</v>
      </c>
      <c r="M19">
        <v>31.11</v>
      </c>
      <c r="N19">
        <v>32.64</v>
      </c>
    </row>
    <row r="20" spans="3:14" x14ac:dyDescent="0.15">
      <c r="C20" s="154" t="s">
        <v>1113</v>
      </c>
      <c r="D20" t="s">
        <v>23</v>
      </c>
      <c r="E20" t="s">
        <v>137</v>
      </c>
      <c r="F20" t="s">
        <v>25</v>
      </c>
      <c r="G20" t="s">
        <v>1102</v>
      </c>
      <c r="H20" t="s">
        <v>59</v>
      </c>
      <c r="I20">
        <v>65.260000000000005</v>
      </c>
      <c r="J20">
        <v>66.400000000000006</v>
      </c>
      <c r="K20">
        <v>68.33</v>
      </c>
      <c r="L20">
        <v>32.68</v>
      </c>
      <c r="M20">
        <v>34.31</v>
      </c>
      <c r="N20">
        <v>35.85</v>
      </c>
    </row>
    <row r="21" spans="3:14" x14ac:dyDescent="0.15">
      <c r="C21" s="154" t="s">
        <v>1113</v>
      </c>
      <c r="D21" t="s">
        <v>23</v>
      </c>
      <c r="E21" t="s">
        <v>137</v>
      </c>
      <c r="F21" t="s">
        <v>25</v>
      </c>
      <c r="G21" t="s">
        <v>1102</v>
      </c>
      <c r="H21" t="s">
        <v>60</v>
      </c>
      <c r="I21">
        <v>63.66</v>
      </c>
      <c r="J21">
        <v>64.8</v>
      </c>
      <c r="K21">
        <v>66.73</v>
      </c>
      <c r="L21">
        <v>31.08</v>
      </c>
      <c r="M21">
        <v>32.71</v>
      </c>
      <c r="N21">
        <v>34.25</v>
      </c>
    </row>
    <row r="22" spans="3:14" x14ac:dyDescent="0.15">
      <c r="C22" s="154" t="s">
        <v>1113</v>
      </c>
      <c r="D22" t="s">
        <v>23</v>
      </c>
      <c r="E22" t="s">
        <v>137</v>
      </c>
      <c r="F22" t="s">
        <v>25</v>
      </c>
      <c r="G22" t="s">
        <v>1102</v>
      </c>
      <c r="H22" t="s">
        <v>648</v>
      </c>
      <c r="I22">
        <v>62.61</v>
      </c>
      <c r="J22">
        <v>63.75</v>
      </c>
      <c r="K22">
        <v>65.680000000000007</v>
      </c>
      <c r="L22">
        <v>30.03</v>
      </c>
      <c r="M22">
        <v>31.66</v>
      </c>
      <c r="N22">
        <v>33.200000000000003</v>
      </c>
    </row>
    <row r="23" spans="3:14" x14ac:dyDescent="0.15">
      <c r="C23" s="154" t="s">
        <v>1114</v>
      </c>
      <c r="D23" t="s">
        <v>23</v>
      </c>
      <c r="E23" t="s">
        <v>137</v>
      </c>
      <c r="F23" t="s">
        <v>25</v>
      </c>
      <c r="G23" t="s">
        <v>1102</v>
      </c>
      <c r="H23" t="s">
        <v>59</v>
      </c>
      <c r="I23">
        <v>65.709999999999994</v>
      </c>
      <c r="J23">
        <v>66.86</v>
      </c>
      <c r="K23">
        <v>68.87</v>
      </c>
      <c r="L23">
        <v>33.21</v>
      </c>
      <c r="M23">
        <v>34.82</v>
      </c>
      <c r="N23">
        <v>36.409999999999997</v>
      </c>
    </row>
    <row r="24" spans="3:14" x14ac:dyDescent="0.15">
      <c r="C24" s="154" t="s">
        <v>1114</v>
      </c>
      <c r="D24" t="s">
        <v>23</v>
      </c>
      <c r="E24" t="s">
        <v>137</v>
      </c>
      <c r="F24" t="s">
        <v>25</v>
      </c>
      <c r="G24" t="s">
        <v>1102</v>
      </c>
      <c r="H24" t="s">
        <v>60</v>
      </c>
      <c r="I24">
        <v>64.11</v>
      </c>
      <c r="J24">
        <v>65.260000000000005</v>
      </c>
      <c r="K24">
        <v>67.27</v>
      </c>
      <c r="L24">
        <v>31.61</v>
      </c>
      <c r="M24">
        <v>33.22</v>
      </c>
      <c r="N24">
        <v>34.81</v>
      </c>
    </row>
    <row r="25" spans="3:14" x14ac:dyDescent="0.15">
      <c r="C25" s="154" t="s">
        <v>1114</v>
      </c>
      <c r="D25" t="s">
        <v>23</v>
      </c>
      <c r="E25" t="s">
        <v>137</v>
      </c>
      <c r="F25" t="s">
        <v>25</v>
      </c>
      <c r="G25" t="s">
        <v>1102</v>
      </c>
      <c r="H25" t="s">
        <v>648</v>
      </c>
      <c r="I25">
        <v>63.06</v>
      </c>
      <c r="J25">
        <v>64.209999999999994</v>
      </c>
      <c r="K25">
        <v>66.22</v>
      </c>
      <c r="L25">
        <v>30.56</v>
      </c>
      <c r="M25">
        <v>32.17</v>
      </c>
      <c r="N25">
        <v>33.76</v>
      </c>
    </row>
    <row r="26" spans="3:14" x14ac:dyDescent="0.15">
      <c r="C26" s="154" t="s">
        <v>1115</v>
      </c>
      <c r="D26" t="s">
        <v>23</v>
      </c>
      <c r="E26" t="s">
        <v>137</v>
      </c>
      <c r="F26" t="s">
        <v>25</v>
      </c>
      <c r="G26" t="s">
        <v>1102</v>
      </c>
      <c r="H26" t="s">
        <v>59</v>
      </c>
      <c r="I26">
        <v>66.22</v>
      </c>
      <c r="J26">
        <v>67.569999999999993</v>
      </c>
      <c r="K26">
        <v>69.38</v>
      </c>
      <c r="L26">
        <v>33.74</v>
      </c>
      <c r="M26">
        <v>35.32</v>
      </c>
      <c r="N26">
        <v>36.97</v>
      </c>
    </row>
    <row r="27" spans="3:14" x14ac:dyDescent="0.15">
      <c r="C27" s="154" t="s">
        <v>1115</v>
      </c>
      <c r="D27" t="s">
        <v>23</v>
      </c>
      <c r="E27" t="s">
        <v>137</v>
      </c>
      <c r="F27" t="s">
        <v>25</v>
      </c>
      <c r="G27" t="s">
        <v>1102</v>
      </c>
      <c r="H27" t="s">
        <v>60</v>
      </c>
      <c r="I27">
        <v>64.62</v>
      </c>
      <c r="J27">
        <v>65.97</v>
      </c>
      <c r="K27">
        <v>67.78</v>
      </c>
      <c r="L27">
        <v>32.14</v>
      </c>
      <c r="M27">
        <v>33.72</v>
      </c>
      <c r="N27">
        <v>35.369999999999997</v>
      </c>
    </row>
    <row r="28" spans="3:14" x14ac:dyDescent="0.15">
      <c r="C28" s="154" t="s">
        <v>1115</v>
      </c>
      <c r="D28" t="s">
        <v>23</v>
      </c>
      <c r="E28" t="s">
        <v>137</v>
      </c>
      <c r="F28" t="s">
        <v>25</v>
      </c>
      <c r="G28" t="s">
        <v>1102</v>
      </c>
      <c r="H28" t="s">
        <v>648</v>
      </c>
      <c r="I28">
        <v>63.57</v>
      </c>
      <c r="J28">
        <v>64.92</v>
      </c>
      <c r="K28">
        <v>66.73</v>
      </c>
      <c r="L28">
        <v>31.09</v>
      </c>
      <c r="M28">
        <v>32.67</v>
      </c>
      <c r="N28">
        <v>34.32</v>
      </c>
    </row>
    <row r="29" spans="3:14" x14ac:dyDescent="0.15">
      <c r="C29" s="154" t="s">
        <v>1117</v>
      </c>
      <c r="D29" t="s">
        <v>23</v>
      </c>
      <c r="E29" t="s">
        <v>137</v>
      </c>
      <c r="F29" t="s">
        <v>25</v>
      </c>
      <c r="G29" t="s">
        <v>1102</v>
      </c>
      <c r="H29" t="s">
        <v>59</v>
      </c>
      <c r="I29">
        <v>66.78</v>
      </c>
      <c r="J29">
        <v>68.14</v>
      </c>
      <c r="K29">
        <v>69.959999999999994</v>
      </c>
      <c r="L29">
        <v>34.29</v>
      </c>
      <c r="M29">
        <v>35.79</v>
      </c>
      <c r="N29">
        <v>37.53</v>
      </c>
    </row>
    <row r="30" spans="3:14" x14ac:dyDescent="0.15">
      <c r="C30" s="154" t="s">
        <v>1117</v>
      </c>
      <c r="D30" t="s">
        <v>23</v>
      </c>
      <c r="E30" t="s">
        <v>137</v>
      </c>
      <c r="F30" t="s">
        <v>25</v>
      </c>
      <c r="G30" t="s">
        <v>1102</v>
      </c>
      <c r="H30" t="s">
        <v>60</v>
      </c>
      <c r="I30">
        <v>65.180000000000007</v>
      </c>
      <c r="J30">
        <v>66.540000000000006</v>
      </c>
      <c r="K30">
        <v>68.36</v>
      </c>
      <c r="L30">
        <v>32.69</v>
      </c>
      <c r="M30">
        <v>34.19</v>
      </c>
      <c r="N30">
        <v>35.93</v>
      </c>
    </row>
    <row r="31" spans="3:14" x14ac:dyDescent="0.15">
      <c r="C31" s="154" t="s">
        <v>1117</v>
      </c>
      <c r="D31" t="s">
        <v>23</v>
      </c>
      <c r="E31" t="s">
        <v>137</v>
      </c>
      <c r="F31" t="s">
        <v>25</v>
      </c>
      <c r="G31" t="s">
        <v>1102</v>
      </c>
      <c r="H31" t="s">
        <v>648</v>
      </c>
      <c r="I31">
        <v>64.13</v>
      </c>
      <c r="J31">
        <v>65.489999999999995</v>
      </c>
      <c r="K31">
        <v>67.31</v>
      </c>
      <c r="L31">
        <v>31.64</v>
      </c>
      <c r="M31">
        <v>33.14</v>
      </c>
      <c r="N31">
        <v>34.880000000000003</v>
      </c>
    </row>
    <row r="32" spans="3:14" x14ac:dyDescent="0.15">
      <c r="C32" s="154" t="s">
        <v>1118</v>
      </c>
      <c r="D32" t="s">
        <v>23</v>
      </c>
      <c r="E32" t="s">
        <v>137</v>
      </c>
      <c r="F32" t="s">
        <v>25</v>
      </c>
      <c r="G32" t="s">
        <v>1102</v>
      </c>
      <c r="H32" t="s">
        <v>59</v>
      </c>
      <c r="I32">
        <v>67.22</v>
      </c>
      <c r="J32">
        <v>68.77</v>
      </c>
      <c r="K32">
        <v>70.459999999999994</v>
      </c>
      <c r="L32">
        <v>34.78</v>
      </c>
      <c r="M32">
        <v>36.24</v>
      </c>
      <c r="N32">
        <v>38.06</v>
      </c>
    </row>
    <row r="33" spans="3:14" x14ac:dyDescent="0.15">
      <c r="C33" s="154" t="s">
        <v>1118</v>
      </c>
      <c r="D33" t="s">
        <v>23</v>
      </c>
      <c r="E33" t="s">
        <v>137</v>
      </c>
      <c r="F33" t="s">
        <v>25</v>
      </c>
      <c r="G33" t="s">
        <v>1102</v>
      </c>
      <c r="H33" t="s">
        <v>60</v>
      </c>
      <c r="I33">
        <v>65.62</v>
      </c>
      <c r="J33">
        <v>67.17</v>
      </c>
      <c r="K33">
        <v>68.86</v>
      </c>
      <c r="L33">
        <v>33.18</v>
      </c>
      <c r="M33">
        <v>34.64</v>
      </c>
      <c r="N33">
        <v>36.46</v>
      </c>
    </row>
    <row r="34" spans="3:14" x14ac:dyDescent="0.15">
      <c r="C34" s="154" t="s">
        <v>1118</v>
      </c>
      <c r="D34" t="s">
        <v>23</v>
      </c>
      <c r="E34" t="s">
        <v>137</v>
      </c>
      <c r="F34" t="s">
        <v>25</v>
      </c>
      <c r="G34" t="s">
        <v>1102</v>
      </c>
      <c r="H34" t="s">
        <v>648</v>
      </c>
      <c r="I34">
        <v>64.569999999999993</v>
      </c>
      <c r="J34">
        <v>66.12</v>
      </c>
      <c r="K34">
        <v>67.81</v>
      </c>
      <c r="L34">
        <v>32.130000000000003</v>
      </c>
      <c r="M34">
        <v>33.590000000000003</v>
      </c>
      <c r="N34">
        <v>35.409999999999997</v>
      </c>
    </row>
    <row r="35" spans="3:14" x14ac:dyDescent="0.15">
      <c r="C35" s="154" t="s">
        <v>1119</v>
      </c>
      <c r="D35" t="s">
        <v>23</v>
      </c>
      <c r="E35" t="s">
        <v>137</v>
      </c>
      <c r="F35" t="s">
        <v>25</v>
      </c>
      <c r="G35" t="s">
        <v>1102</v>
      </c>
      <c r="H35" t="s">
        <v>59</v>
      </c>
      <c r="I35">
        <v>67.709999999999994</v>
      </c>
      <c r="J35">
        <v>69.53</v>
      </c>
      <c r="K35">
        <v>71.06</v>
      </c>
      <c r="L35">
        <v>35.32</v>
      </c>
      <c r="M35">
        <v>36.89</v>
      </c>
      <c r="N35">
        <v>38.630000000000003</v>
      </c>
    </row>
    <row r="36" spans="3:14" x14ac:dyDescent="0.15">
      <c r="C36" s="154" t="s">
        <v>1119</v>
      </c>
      <c r="D36" t="s">
        <v>23</v>
      </c>
      <c r="E36" t="s">
        <v>137</v>
      </c>
      <c r="F36" t="s">
        <v>25</v>
      </c>
      <c r="G36" t="s">
        <v>1102</v>
      </c>
      <c r="H36" t="s">
        <v>60</v>
      </c>
      <c r="I36">
        <v>66.11</v>
      </c>
      <c r="J36">
        <v>67.930000000000007</v>
      </c>
      <c r="K36">
        <v>69.459999999999994</v>
      </c>
      <c r="L36">
        <v>33.72</v>
      </c>
      <c r="M36">
        <v>35.29</v>
      </c>
      <c r="N36">
        <v>37.03</v>
      </c>
    </row>
    <row r="37" spans="3:14" x14ac:dyDescent="0.15">
      <c r="C37" s="154" t="s">
        <v>1119</v>
      </c>
      <c r="D37" t="s">
        <v>23</v>
      </c>
      <c r="E37" t="s">
        <v>137</v>
      </c>
      <c r="F37" t="s">
        <v>25</v>
      </c>
      <c r="G37" t="s">
        <v>1102</v>
      </c>
      <c r="H37" t="s">
        <v>648</v>
      </c>
      <c r="I37">
        <v>65.06</v>
      </c>
      <c r="J37">
        <v>66.88</v>
      </c>
      <c r="K37">
        <v>68.41</v>
      </c>
      <c r="L37">
        <v>32.67</v>
      </c>
      <c r="M37">
        <v>34.24</v>
      </c>
      <c r="N37">
        <v>35.979999999999997</v>
      </c>
    </row>
    <row r="38" spans="3:14" x14ac:dyDescent="0.15">
      <c r="C38" s="154" t="s">
        <v>1107</v>
      </c>
      <c r="D38" t="s">
        <v>23</v>
      </c>
      <c r="E38" t="s">
        <v>137</v>
      </c>
      <c r="F38" t="s">
        <v>26</v>
      </c>
      <c r="G38" t="s">
        <v>1103</v>
      </c>
      <c r="H38" t="s">
        <v>59</v>
      </c>
      <c r="I38">
        <v>63.79</v>
      </c>
      <c r="J38">
        <v>64.84</v>
      </c>
      <c r="K38">
        <v>65.58</v>
      </c>
      <c r="L38">
        <v>31.7</v>
      </c>
      <c r="M38">
        <v>32.21</v>
      </c>
      <c r="N38">
        <v>33.31</v>
      </c>
    </row>
    <row r="39" spans="3:14" x14ac:dyDescent="0.15">
      <c r="C39" s="154" t="s">
        <v>1107</v>
      </c>
      <c r="D39" t="s">
        <v>23</v>
      </c>
      <c r="E39" t="s">
        <v>137</v>
      </c>
      <c r="F39" t="s">
        <v>26</v>
      </c>
      <c r="G39" t="s">
        <v>1103</v>
      </c>
      <c r="H39" t="s">
        <v>60</v>
      </c>
      <c r="I39">
        <v>62.19</v>
      </c>
      <c r="J39">
        <v>63.24</v>
      </c>
      <c r="K39">
        <v>63.98</v>
      </c>
      <c r="L39">
        <v>30.1</v>
      </c>
      <c r="M39">
        <v>30.61</v>
      </c>
      <c r="N39">
        <v>31.71</v>
      </c>
    </row>
    <row r="40" spans="3:14" x14ac:dyDescent="0.15">
      <c r="C40" s="154" t="s">
        <v>1107</v>
      </c>
      <c r="D40" t="s">
        <v>23</v>
      </c>
      <c r="E40" t="s">
        <v>137</v>
      </c>
      <c r="F40" t="s">
        <v>26</v>
      </c>
      <c r="G40" t="s">
        <v>1103</v>
      </c>
      <c r="H40" t="s">
        <v>648</v>
      </c>
      <c r="I40">
        <v>61.14</v>
      </c>
      <c r="J40">
        <v>62.19</v>
      </c>
      <c r="K40">
        <v>62.93</v>
      </c>
      <c r="L40">
        <v>29.05</v>
      </c>
      <c r="M40">
        <v>29.56</v>
      </c>
      <c r="N40">
        <v>30.66</v>
      </c>
    </row>
    <row r="41" spans="3:14" x14ac:dyDescent="0.15">
      <c r="C41" s="154" t="s">
        <v>1108</v>
      </c>
      <c r="D41" t="s">
        <v>23</v>
      </c>
      <c r="E41" t="s">
        <v>137</v>
      </c>
      <c r="F41" t="s">
        <v>26</v>
      </c>
      <c r="G41" t="s">
        <v>1103</v>
      </c>
      <c r="H41" t="s">
        <v>59</v>
      </c>
      <c r="I41">
        <v>63.79</v>
      </c>
      <c r="J41">
        <v>64.989999999999995</v>
      </c>
      <c r="K41">
        <v>65.819999999999993</v>
      </c>
      <c r="L41">
        <v>31.47</v>
      </c>
      <c r="M41">
        <v>32.24</v>
      </c>
      <c r="N41">
        <v>33.44</v>
      </c>
    </row>
    <row r="42" spans="3:14" x14ac:dyDescent="0.15">
      <c r="C42" s="154" t="s">
        <v>1108</v>
      </c>
      <c r="D42" t="s">
        <v>23</v>
      </c>
      <c r="E42" t="s">
        <v>137</v>
      </c>
      <c r="F42" t="s">
        <v>26</v>
      </c>
      <c r="G42" t="s">
        <v>1103</v>
      </c>
      <c r="H42" t="s">
        <v>60</v>
      </c>
      <c r="I42">
        <v>62.19</v>
      </c>
      <c r="J42">
        <v>63.39</v>
      </c>
      <c r="K42">
        <v>64.22</v>
      </c>
      <c r="L42">
        <v>29.87</v>
      </c>
      <c r="M42">
        <v>30.64</v>
      </c>
      <c r="N42">
        <v>31.84</v>
      </c>
    </row>
    <row r="43" spans="3:14" x14ac:dyDescent="0.15">
      <c r="C43" s="154" t="s">
        <v>1108</v>
      </c>
      <c r="D43" t="s">
        <v>23</v>
      </c>
      <c r="E43" t="s">
        <v>137</v>
      </c>
      <c r="F43" t="s">
        <v>26</v>
      </c>
      <c r="G43" t="s">
        <v>1103</v>
      </c>
      <c r="H43" t="s">
        <v>648</v>
      </c>
      <c r="I43">
        <v>61.14</v>
      </c>
      <c r="J43">
        <v>62.34</v>
      </c>
      <c r="K43">
        <v>63.17</v>
      </c>
      <c r="L43">
        <v>28.82</v>
      </c>
      <c r="M43">
        <v>29.59</v>
      </c>
      <c r="N43">
        <v>30.79</v>
      </c>
    </row>
    <row r="44" spans="3:14" x14ac:dyDescent="0.15">
      <c r="C44" s="154" t="s">
        <v>1109</v>
      </c>
      <c r="D44" t="s">
        <v>23</v>
      </c>
      <c r="E44" t="s">
        <v>137</v>
      </c>
      <c r="F44" t="s">
        <v>26</v>
      </c>
      <c r="G44" t="s">
        <v>1103</v>
      </c>
      <c r="H44" t="s">
        <v>59</v>
      </c>
      <c r="I44">
        <v>63.76</v>
      </c>
      <c r="J44">
        <v>64.94</v>
      </c>
      <c r="K44">
        <v>66.06</v>
      </c>
      <c r="L44">
        <v>31.22</v>
      </c>
      <c r="M44">
        <v>32.29</v>
      </c>
      <c r="N44">
        <v>33.58</v>
      </c>
    </row>
    <row r="45" spans="3:14" x14ac:dyDescent="0.15">
      <c r="C45" s="154" t="s">
        <v>1109</v>
      </c>
      <c r="D45" t="s">
        <v>23</v>
      </c>
      <c r="E45" t="s">
        <v>137</v>
      </c>
      <c r="F45" t="s">
        <v>26</v>
      </c>
      <c r="G45" t="s">
        <v>1103</v>
      </c>
      <c r="H45" t="s">
        <v>60</v>
      </c>
      <c r="I45">
        <v>62.16</v>
      </c>
      <c r="J45">
        <v>63.34</v>
      </c>
      <c r="K45">
        <v>64.459999999999994</v>
      </c>
      <c r="L45">
        <v>29.62</v>
      </c>
      <c r="M45">
        <v>30.69</v>
      </c>
      <c r="N45">
        <v>31.98</v>
      </c>
    </row>
    <row r="46" spans="3:14" x14ac:dyDescent="0.15">
      <c r="C46" s="154" t="s">
        <v>1109</v>
      </c>
      <c r="D46" t="s">
        <v>23</v>
      </c>
      <c r="E46" t="s">
        <v>137</v>
      </c>
      <c r="F46" t="s">
        <v>26</v>
      </c>
      <c r="G46" t="s">
        <v>1103</v>
      </c>
      <c r="H46" t="s">
        <v>648</v>
      </c>
      <c r="I46">
        <v>61.11</v>
      </c>
      <c r="J46">
        <v>62.29</v>
      </c>
      <c r="K46">
        <v>63.41</v>
      </c>
      <c r="L46">
        <v>28.57</v>
      </c>
      <c r="M46">
        <v>29.64</v>
      </c>
      <c r="N46">
        <v>30.93</v>
      </c>
    </row>
    <row r="47" spans="3:14" x14ac:dyDescent="0.15">
      <c r="C47" s="154" t="s">
        <v>1110</v>
      </c>
      <c r="D47" t="s">
        <v>23</v>
      </c>
      <c r="E47" t="s">
        <v>137</v>
      </c>
      <c r="F47" t="s">
        <v>26</v>
      </c>
      <c r="G47" t="s">
        <v>1103</v>
      </c>
      <c r="H47" t="s">
        <v>59</v>
      </c>
      <c r="I47">
        <v>63.56</v>
      </c>
      <c r="J47">
        <v>64.930000000000007</v>
      </c>
      <c r="K47">
        <v>66.2</v>
      </c>
      <c r="L47">
        <v>30.98</v>
      </c>
      <c r="M47">
        <v>32.36</v>
      </c>
      <c r="N47">
        <v>33.71</v>
      </c>
    </row>
    <row r="48" spans="3:14" x14ac:dyDescent="0.15">
      <c r="C48" s="154" t="s">
        <v>1110</v>
      </c>
      <c r="D48" t="s">
        <v>23</v>
      </c>
      <c r="E48" t="s">
        <v>137</v>
      </c>
      <c r="F48" t="s">
        <v>26</v>
      </c>
      <c r="G48" t="s">
        <v>1103</v>
      </c>
      <c r="H48" t="s">
        <v>60</v>
      </c>
      <c r="I48">
        <v>61.96</v>
      </c>
      <c r="J48">
        <v>63.33</v>
      </c>
      <c r="K48">
        <v>64.599999999999994</v>
      </c>
      <c r="L48">
        <v>29.38</v>
      </c>
      <c r="M48">
        <v>30.76</v>
      </c>
      <c r="N48">
        <v>32.11</v>
      </c>
    </row>
    <row r="49" spans="3:14" x14ac:dyDescent="0.15">
      <c r="C49" s="154" t="s">
        <v>1110</v>
      </c>
      <c r="D49" t="s">
        <v>23</v>
      </c>
      <c r="E49" t="s">
        <v>137</v>
      </c>
      <c r="F49" t="s">
        <v>26</v>
      </c>
      <c r="G49" t="s">
        <v>1103</v>
      </c>
      <c r="H49" t="s">
        <v>648</v>
      </c>
      <c r="I49">
        <v>60.91</v>
      </c>
      <c r="J49">
        <v>62.28</v>
      </c>
      <c r="K49">
        <v>63.55</v>
      </c>
      <c r="L49">
        <v>28.33</v>
      </c>
      <c r="M49">
        <v>29.71</v>
      </c>
      <c r="N49">
        <v>31.06</v>
      </c>
    </row>
    <row r="50" spans="3:14" x14ac:dyDescent="0.15">
      <c r="C50" s="154" t="s">
        <v>1111</v>
      </c>
      <c r="D50" t="s">
        <v>23</v>
      </c>
      <c r="E50" t="s">
        <v>137</v>
      </c>
      <c r="F50" t="s">
        <v>26</v>
      </c>
      <c r="G50" t="s">
        <v>1103</v>
      </c>
      <c r="H50" t="s">
        <v>59</v>
      </c>
      <c r="I50">
        <v>63.37</v>
      </c>
      <c r="J50">
        <v>64.84</v>
      </c>
      <c r="K50">
        <v>66.38</v>
      </c>
      <c r="L50">
        <v>30.7</v>
      </c>
      <c r="M50">
        <v>32.39</v>
      </c>
      <c r="N50">
        <v>33.83</v>
      </c>
    </row>
    <row r="51" spans="3:14" x14ac:dyDescent="0.15">
      <c r="C51" s="154" t="s">
        <v>1111</v>
      </c>
      <c r="D51" t="s">
        <v>23</v>
      </c>
      <c r="E51" t="s">
        <v>137</v>
      </c>
      <c r="F51" t="s">
        <v>26</v>
      </c>
      <c r="G51" t="s">
        <v>1103</v>
      </c>
      <c r="H51" t="s">
        <v>60</v>
      </c>
      <c r="I51">
        <v>61.77</v>
      </c>
      <c r="J51">
        <v>63.24</v>
      </c>
      <c r="K51">
        <v>64.78</v>
      </c>
      <c r="L51">
        <v>29.1</v>
      </c>
      <c r="M51">
        <v>30.79</v>
      </c>
      <c r="N51">
        <v>32.229999999999997</v>
      </c>
    </row>
    <row r="52" spans="3:14" x14ac:dyDescent="0.15">
      <c r="C52" s="154" t="s">
        <v>1111</v>
      </c>
      <c r="D52" t="s">
        <v>23</v>
      </c>
      <c r="E52" t="s">
        <v>137</v>
      </c>
      <c r="F52" t="s">
        <v>26</v>
      </c>
      <c r="G52" t="s">
        <v>1103</v>
      </c>
      <c r="H52" t="s">
        <v>648</v>
      </c>
      <c r="I52">
        <v>60.72</v>
      </c>
      <c r="J52">
        <v>62.19</v>
      </c>
      <c r="K52">
        <v>63.73</v>
      </c>
      <c r="L52">
        <v>28.05</v>
      </c>
      <c r="M52">
        <v>29.74</v>
      </c>
      <c r="N52">
        <v>31.18</v>
      </c>
    </row>
    <row r="53" spans="3:14" x14ac:dyDescent="0.15">
      <c r="C53" s="154" t="s">
        <v>1112</v>
      </c>
      <c r="D53" t="s">
        <v>23</v>
      </c>
      <c r="E53" t="s">
        <v>137</v>
      </c>
      <c r="F53" t="s">
        <v>26</v>
      </c>
      <c r="G53" t="s">
        <v>1103</v>
      </c>
      <c r="H53" t="s">
        <v>59</v>
      </c>
      <c r="I53">
        <v>63.94</v>
      </c>
      <c r="J53">
        <v>65.13</v>
      </c>
      <c r="K53">
        <v>66.92</v>
      </c>
      <c r="L53">
        <v>31.21</v>
      </c>
      <c r="M53">
        <v>32.83</v>
      </c>
      <c r="N53">
        <v>34.369999999999997</v>
      </c>
    </row>
    <row r="54" spans="3:14" x14ac:dyDescent="0.15">
      <c r="C54" s="154" t="s">
        <v>1112</v>
      </c>
      <c r="D54" t="s">
        <v>23</v>
      </c>
      <c r="E54" t="s">
        <v>137</v>
      </c>
      <c r="F54" t="s">
        <v>26</v>
      </c>
      <c r="G54" t="s">
        <v>1103</v>
      </c>
      <c r="H54" t="s">
        <v>60</v>
      </c>
      <c r="I54">
        <v>62.34</v>
      </c>
      <c r="J54">
        <v>63.53</v>
      </c>
      <c r="K54">
        <v>65.319999999999993</v>
      </c>
      <c r="L54">
        <v>29.61</v>
      </c>
      <c r="M54">
        <v>31.23</v>
      </c>
      <c r="N54">
        <v>32.770000000000003</v>
      </c>
    </row>
    <row r="55" spans="3:14" x14ac:dyDescent="0.15">
      <c r="C55" s="154" t="s">
        <v>1112</v>
      </c>
      <c r="D55" t="s">
        <v>23</v>
      </c>
      <c r="E55" t="s">
        <v>137</v>
      </c>
      <c r="F55" t="s">
        <v>26</v>
      </c>
      <c r="G55" t="s">
        <v>1103</v>
      </c>
      <c r="H55" t="s">
        <v>648</v>
      </c>
      <c r="I55">
        <v>61.29</v>
      </c>
      <c r="J55">
        <v>62.48</v>
      </c>
      <c r="K55">
        <v>64.27</v>
      </c>
      <c r="L55">
        <v>28.56</v>
      </c>
      <c r="M55">
        <v>30.18</v>
      </c>
      <c r="N55">
        <v>31.72</v>
      </c>
    </row>
    <row r="56" spans="3:14" x14ac:dyDescent="0.15">
      <c r="C56" s="154" t="s">
        <v>1113</v>
      </c>
      <c r="D56" t="s">
        <v>23</v>
      </c>
      <c r="E56" t="s">
        <v>137</v>
      </c>
      <c r="F56" t="s">
        <v>26</v>
      </c>
      <c r="G56" t="s">
        <v>1103</v>
      </c>
      <c r="H56" t="s">
        <v>59</v>
      </c>
      <c r="I56">
        <v>64.44</v>
      </c>
      <c r="J56">
        <v>65.56</v>
      </c>
      <c r="K56">
        <v>67.52</v>
      </c>
      <c r="L56">
        <v>31.75</v>
      </c>
      <c r="M56">
        <v>33.36</v>
      </c>
      <c r="N56">
        <v>34.92</v>
      </c>
    </row>
    <row r="57" spans="3:14" x14ac:dyDescent="0.15">
      <c r="C57" s="154" t="s">
        <v>1113</v>
      </c>
      <c r="D57" t="s">
        <v>23</v>
      </c>
      <c r="E57" t="s">
        <v>137</v>
      </c>
      <c r="F57" t="s">
        <v>26</v>
      </c>
      <c r="G57" t="s">
        <v>1103</v>
      </c>
      <c r="H57" t="s">
        <v>60</v>
      </c>
      <c r="I57">
        <v>62.84</v>
      </c>
      <c r="J57">
        <v>63.96</v>
      </c>
      <c r="K57">
        <v>65.92</v>
      </c>
      <c r="L57">
        <v>30.15</v>
      </c>
      <c r="M57">
        <v>31.76</v>
      </c>
      <c r="N57">
        <v>33.32</v>
      </c>
    </row>
    <row r="58" spans="3:14" x14ac:dyDescent="0.15">
      <c r="C58" s="154" t="s">
        <v>1113</v>
      </c>
      <c r="D58" t="s">
        <v>23</v>
      </c>
      <c r="E58" t="s">
        <v>137</v>
      </c>
      <c r="F58" t="s">
        <v>26</v>
      </c>
      <c r="G58" t="s">
        <v>1103</v>
      </c>
      <c r="H58" t="s">
        <v>648</v>
      </c>
      <c r="I58">
        <v>61.79</v>
      </c>
      <c r="J58">
        <v>62.91</v>
      </c>
      <c r="K58">
        <v>64.87</v>
      </c>
      <c r="L58">
        <v>29.1</v>
      </c>
      <c r="M58">
        <v>30.71</v>
      </c>
      <c r="N58">
        <v>32.270000000000003</v>
      </c>
    </row>
    <row r="59" spans="3:14" x14ac:dyDescent="0.15">
      <c r="C59" s="154" t="s">
        <v>1114</v>
      </c>
      <c r="D59" t="s">
        <v>23</v>
      </c>
      <c r="E59" t="s">
        <v>137</v>
      </c>
      <c r="F59" t="s">
        <v>26</v>
      </c>
      <c r="G59" t="s">
        <v>1103</v>
      </c>
      <c r="H59" t="s">
        <v>59</v>
      </c>
      <c r="I59">
        <v>64.89</v>
      </c>
      <c r="J59">
        <v>66.03</v>
      </c>
      <c r="K59">
        <v>68.05</v>
      </c>
      <c r="L59">
        <v>32.28</v>
      </c>
      <c r="M59">
        <v>33.869999999999997</v>
      </c>
      <c r="N59">
        <v>35.479999999999997</v>
      </c>
    </row>
    <row r="60" spans="3:14" x14ac:dyDescent="0.15">
      <c r="C60" s="154" t="s">
        <v>1114</v>
      </c>
      <c r="D60" t="s">
        <v>23</v>
      </c>
      <c r="E60" t="s">
        <v>137</v>
      </c>
      <c r="F60" t="s">
        <v>26</v>
      </c>
      <c r="G60" t="s">
        <v>1103</v>
      </c>
      <c r="H60" t="s">
        <v>60</v>
      </c>
      <c r="I60">
        <v>63.29</v>
      </c>
      <c r="J60">
        <v>64.430000000000007</v>
      </c>
      <c r="K60">
        <v>66.45</v>
      </c>
      <c r="L60">
        <v>30.68</v>
      </c>
      <c r="M60">
        <v>32.270000000000003</v>
      </c>
      <c r="N60">
        <v>33.880000000000003</v>
      </c>
    </row>
    <row r="61" spans="3:14" x14ac:dyDescent="0.15">
      <c r="C61" s="154" t="s">
        <v>1114</v>
      </c>
      <c r="D61" t="s">
        <v>23</v>
      </c>
      <c r="E61" t="s">
        <v>137</v>
      </c>
      <c r="F61" t="s">
        <v>26</v>
      </c>
      <c r="G61" t="s">
        <v>1103</v>
      </c>
      <c r="H61" t="s">
        <v>648</v>
      </c>
      <c r="I61">
        <v>62.24</v>
      </c>
      <c r="J61">
        <v>63.38</v>
      </c>
      <c r="K61">
        <v>65.400000000000006</v>
      </c>
      <c r="L61">
        <v>29.63</v>
      </c>
      <c r="M61">
        <v>31.22</v>
      </c>
      <c r="N61">
        <v>32.83</v>
      </c>
    </row>
    <row r="62" spans="3:14" x14ac:dyDescent="0.15">
      <c r="C62" s="154" t="s">
        <v>1115</v>
      </c>
      <c r="D62" t="s">
        <v>23</v>
      </c>
      <c r="E62" t="s">
        <v>137</v>
      </c>
      <c r="F62" t="s">
        <v>26</v>
      </c>
      <c r="G62" t="s">
        <v>1103</v>
      </c>
      <c r="H62" t="s">
        <v>59</v>
      </c>
      <c r="I62">
        <v>65.400000000000006</v>
      </c>
      <c r="J62">
        <v>66.760000000000005</v>
      </c>
      <c r="K62">
        <v>68.569999999999993</v>
      </c>
      <c r="L62">
        <v>32.81</v>
      </c>
      <c r="M62">
        <v>34.39</v>
      </c>
      <c r="N62">
        <v>36.049999999999997</v>
      </c>
    </row>
    <row r="63" spans="3:14" x14ac:dyDescent="0.15">
      <c r="C63" s="154" t="s">
        <v>1115</v>
      </c>
      <c r="D63" t="s">
        <v>23</v>
      </c>
      <c r="E63" t="s">
        <v>137</v>
      </c>
      <c r="F63" t="s">
        <v>26</v>
      </c>
      <c r="G63" t="s">
        <v>1103</v>
      </c>
      <c r="H63" t="s">
        <v>60</v>
      </c>
      <c r="I63">
        <v>63.8</v>
      </c>
      <c r="J63">
        <v>65.16</v>
      </c>
      <c r="K63">
        <v>66.97</v>
      </c>
      <c r="L63">
        <v>31.21</v>
      </c>
      <c r="M63">
        <v>32.79</v>
      </c>
      <c r="N63">
        <v>34.450000000000003</v>
      </c>
    </row>
    <row r="64" spans="3:14" x14ac:dyDescent="0.15">
      <c r="C64" s="154" t="s">
        <v>1115</v>
      </c>
      <c r="D64" t="s">
        <v>23</v>
      </c>
      <c r="E64" t="s">
        <v>137</v>
      </c>
      <c r="F64" t="s">
        <v>26</v>
      </c>
      <c r="G64" t="s">
        <v>1103</v>
      </c>
      <c r="H64" t="s">
        <v>648</v>
      </c>
      <c r="I64">
        <v>62.75</v>
      </c>
      <c r="J64">
        <v>64.11</v>
      </c>
      <c r="K64">
        <v>65.92</v>
      </c>
      <c r="L64">
        <v>30.16</v>
      </c>
      <c r="M64">
        <v>31.74</v>
      </c>
      <c r="N64">
        <v>33.4</v>
      </c>
    </row>
    <row r="65" spans="3:14" x14ac:dyDescent="0.15">
      <c r="C65" s="154" t="s">
        <v>1117</v>
      </c>
      <c r="D65" t="s">
        <v>23</v>
      </c>
      <c r="E65" t="s">
        <v>137</v>
      </c>
      <c r="F65" t="s">
        <v>26</v>
      </c>
      <c r="G65" t="s">
        <v>1103</v>
      </c>
      <c r="H65" t="s">
        <v>59</v>
      </c>
      <c r="I65">
        <v>65.95</v>
      </c>
      <c r="J65">
        <v>67.34</v>
      </c>
      <c r="K65">
        <v>69.13</v>
      </c>
      <c r="L65">
        <v>33.36</v>
      </c>
      <c r="M65">
        <v>34.869999999999997</v>
      </c>
      <c r="N65">
        <v>36.6</v>
      </c>
    </row>
    <row r="66" spans="3:14" x14ac:dyDescent="0.15">
      <c r="C66" s="154" t="s">
        <v>1117</v>
      </c>
      <c r="D66" t="s">
        <v>23</v>
      </c>
      <c r="E66" t="s">
        <v>137</v>
      </c>
      <c r="F66" t="s">
        <v>26</v>
      </c>
      <c r="G66" t="s">
        <v>1103</v>
      </c>
      <c r="H66" t="s">
        <v>60</v>
      </c>
      <c r="I66">
        <v>64.349999999999994</v>
      </c>
      <c r="J66">
        <v>65.739999999999995</v>
      </c>
      <c r="K66">
        <v>67.53</v>
      </c>
      <c r="L66">
        <v>31.76</v>
      </c>
      <c r="M66">
        <v>33.270000000000003</v>
      </c>
      <c r="N66">
        <v>35</v>
      </c>
    </row>
    <row r="67" spans="3:14" x14ac:dyDescent="0.15">
      <c r="C67" s="154" t="s">
        <v>1117</v>
      </c>
      <c r="D67" t="s">
        <v>23</v>
      </c>
      <c r="E67" t="s">
        <v>137</v>
      </c>
      <c r="F67" t="s">
        <v>26</v>
      </c>
      <c r="G67" t="s">
        <v>1103</v>
      </c>
      <c r="H67" t="s">
        <v>648</v>
      </c>
      <c r="I67">
        <v>63.3</v>
      </c>
      <c r="J67">
        <v>64.69</v>
      </c>
      <c r="K67">
        <v>66.48</v>
      </c>
      <c r="L67">
        <v>30.71</v>
      </c>
      <c r="M67">
        <v>32.22</v>
      </c>
      <c r="N67">
        <v>33.950000000000003</v>
      </c>
    </row>
    <row r="68" spans="3:14" x14ac:dyDescent="0.15">
      <c r="C68" s="154" t="s">
        <v>1118</v>
      </c>
      <c r="D68" t="s">
        <v>23</v>
      </c>
      <c r="E68" t="s">
        <v>137</v>
      </c>
      <c r="F68" t="s">
        <v>26</v>
      </c>
      <c r="G68" t="s">
        <v>1103</v>
      </c>
      <c r="H68" t="s">
        <v>59</v>
      </c>
      <c r="I68">
        <v>66.41</v>
      </c>
      <c r="J68">
        <v>68</v>
      </c>
      <c r="K68">
        <v>69.650000000000006</v>
      </c>
      <c r="L68">
        <v>33.85</v>
      </c>
      <c r="M68">
        <v>35.340000000000003</v>
      </c>
      <c r="N68">
        <v>37.130000000000003</v>
      </c>
    </row>
    <row r="69" spans="3:14" x14ac:dyDescent="0.15">
      <c r="C69" s="154" t="s">
        <v>1118</v>
      </c>
      <c r="D69" t="s">
        <v>23</v>
      </c>
      <c r="E69" t="s">
        <v>137</v>
      </c>
      <c r="F69" t="s">
        <v>26</v>
      </c>
      <c r="G69" t="s">
        <v>1103</v>
      </c>
      <c r="H69" t="s">
        <v>60</v>
      </c>
      <c r="I69">
        <v>64.81</v>
      </c>
      <c r="J69">
        <v>66.400000000000006</v>
      </c>
      <c r="K69">
        <v>68.05</v>
      </c>
      <c r="L69">
        <v>32.25</v>
      </c>
      <c r="M69">
        <v>33.74</v>
      </c>
      <c r="N69">
        <v>35.53</v>
      </c>
    </row>
    <row r="70" spans="3:14" x14ac:dyDescent="0.15">
      <c r="C70" s="154" t="s">
        <v>1118</v>
      </c>
      <c r="D70" t="s">
        <v>23</v>
      </c>
      <c r="E70" t="s">
        <v>137</v>
      </c>
      <c r="F70" t="s">
        <v>26</v>
      </c>
      <c r="G70" t="s">
        <v>1103</v>
      </c>
      <c r="H70" t="s">
        <v>648</v>
      </c>
      <c r="I70">
        <v>63.76</v>
      </c>
      <c r="J70">
        <v>65.349999999999994</v>
      </c>
      <c r="K70">
        <v>67</v>
      </c>
      <c r="L70">
        <v>31.2</v>
      </c>
      <c r="M70">
        <v>32.69</v>
      </c>
      <c r="N70">
        <v>34.479999999999997</v>
      </c>
    </row>
    <row r="71" spans="3:14" x14ac:dyDescent="0.15">
      <c r="C71" s="154" t="s">
        <v>1119</v>
      </c>
      <c r="D71" t="s">
        <v>23</v>
      </c>
      <c r="E71" t="s">
        <v>137</v>
      </c>
      <c r="F71" t="s">
        <v>26</v>
      </c>
      <c r="G71" t="s">
        <v>1103</v>
      </c>
      <c r="H71" t="s">
        <v>59</v>
      </c>
      <c r="I71">
        <v>66.900000000000006</v>
      </c>
      <c r="J71">
        <v>68.75</v>
      </c>
      <c r="K71">
        <v>70.25</v>
      </c>
      <c r="L71">
        <v>34.4</v>
      </c>
      <c r="M71">
        <v>35.979999999999997</v>
      </c>
      <c r="N71">
        <v>37.71</v>
      </c>
    </row>
    <row r="72" spans="3:14" x14ac:dyDescent="0.15">
      <c r="C72" s="154" t="s">
        <v>1119</v>
      </c>
      <c r="D72" t="s">
        <v>23</v>
      </c>
      <c r="E72" t="s">
        <v>137</v>
      </c>
      <c r="F72" t="s">
        <v>26</v>
      </c>
      <c r="G72" t="s">
        <v>1103</v>
      </c>
      <c r="H72" t="s">
        <v>60</v>
      </c>
      <c r="I72">
        <v>65.3</v>
      </c>
      <c r="J72">
        <v>67.150000000000006</v>
      </c>
      <c r="K72">
        <v>68.650000000000006</v>
      </c>
      <c r="L72">
        <v>32.799999999999997</v>
      </c>
      <c r="M72">
        <v>34.380000000000003</v>
      </c>
      <c r="N72">
        <v>36.11</v>
      </c>
    </row>
    <row r="73" spans="3:14" x14ac:dyDescent="0.15">
      <c r="C73" s="154" t="s">
        <v>1119</v>
      </c>
      <c r="D73" t="s">
        <v>23</v>
      </c>
      <c r="E73" t="s">
        <v>137</v>
      </c>
      <c r="F73" t="s">
        <v>26</v>
      </c>
      <c r="G73" t="s">
        <v>1103</v>
      </c>
      <c r="H73" t="s">
        <v>648</v>
      </c>
      <c r="I73">
        <v>64.25</v>
      </c>
      <c r="J73">
        <v>66.099999999999994</v>
      </c>
      <c r="K73">
        <v>67.599999999999994</v>
      </c>
      <c r="L73">
        <v>31.75</v>
      </c>
      <c r="M73">
        <v>33.33</v>
      </c>
      <c r="N73">
        <v>35.06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53"/>
  <sheetViews>
    <sheetView workbookViewId="0">
      <selection activeCell="C1" sqref="C1:C1048576"/>
    </sheetView>
  </sheetViews>
  <sheetFormatPr defaultRowHeight="10.5" x14ac:dyDescent="0.15"/>
  <cols>
    <col min="3" max="3" width="9.83203125" style="154" bestFit="1" customWidth="1"/>
  </cols>
  <sheetData>
    <row r="1" spans="1:14" x14ac:dyDescent="0.15">
      <c r="C1" s="154" t="s">
        <v>1093</v>
      </c>
      <c r="D1" t="s">
        <v>2</v>
      </c>
      <c r="E1" t="s">
        <v>3</v>
      </c>
      <c r="F1" t="s">
        <v>1094</v>
      </c>
      <c r="G1" t="s">
        <v>89</v>
      </c>
      <c r="H1" t="s">
        <v>1095</v>
      </c>
      <c r="I1" t="s">
        <v>1096</v>
      </c>
      <c r="J1" t="s">
        <v>1097</v>
      </c>
      <c r="K1" t="s">
        <v>1098</v>
      </c>
      <c r="L1" t="s">
        <v>1099</v>
      </c>
      <c r="M1" t="s">
        <v>1100</v>
      </c>
      <c r="N1" t="s">
        <v>1101</v>
      </c>
    </row>
    <row r="2" spans="1:14" x14ac:dyDescent="0.15">
      <c r="A2" s="123">
        <v>42374</v>
      </c>
      <c r="C2" s="154" t="s">
        <v>1107</v>
      </c>
      <c r="D2" t="s">
        <v>29</v>
      </c>
      <c r="E2" t="s">
        <v>30</v>
      </c>
      <c r="F2" t="s">
        <v>32</v>
      </c>
      <c r="G2" t="s">
        <v>1104</v>
      </c>
      <c r="H2" t="s">
        <v>59</v>
      </c>
      <c r="I2">
        <v>93.18</v>
      </c>
      <c r="J2">
        <v>93.82</v>
      </c>
      <c r="K2">
        <v>93.12</v>
      </c>
      <c r="L2">
        <v>48.63</v>
      </c>
      <c r="M2">
        <v>49.18</v>
      </c>
      <c r="N2">
        <v>48.92</v>
      </c>
    </row>
    <row r="3" spans="1:14" x14ac:dyDescent="0.15">
      <c r="C3" s="154" t="s">
        <v>1107</v>
      </c>
      <c r="D3" t="s">
        <v>29</v>
      </c>
      <c r="E3" t="s">
        <v>30</v>
      </c>
      <c r="F3" t="s">
        <v>32</v>
      </c>
      <c r="G3" t="s">
        <v>1104</v>
      </c>
      <c r="H3" t="s">
        <v>60</v>
      </c>
      <c r="I3">
        <v>91.47</v>
      </c>
      <c r="J3">
        <v>92.11</v>
      </c>
      <c r="K3">
        <v>91.41</v>
      </c>
      <c r="L3">
        <v>46.92</v>
      </c>
      <c r="M3">
        <v>47.47</v>
      </c>
      <c r="N3">
        <v>47.21</v>
      </c>
    </row>
    <row r="4" spans="1:14" x14ac:dyDescent="0.15">
      <c r="C4" s="154" t="s">
        <v>1107</v>
      </c>
      <c r="D4" t="s">
        <v>29</v>
      </c>
      <c r="E4" t="s">
        <v>30</v>
      </c>
      <c r="F4" t="s">
        <v>32</v>
      </c>
      <c r="G4" t="s">
        <v>1104</v>
      </c>
      <c r="H4" t="s">
        <v>648</v>
      </c>
      <c r="I4">
        <v>90.35</v>
      </c>
      <c r="J4">
        <v>90.98</v>
      </c>
      <c r="K4">
        <v>90.29</v>
      </c>
      <c r="L4">
        <v>45.79</v>
      </c>
      <c r="M4">
        <v>46.34</v>
      </c>
      <c r="N4">
        <v>46.08</v>
      </c>
    </row>
    <row r="5" spans="1:14" x14ac:dyDescent="0.15">
      <c r="C5" s="154" t="s">
        <v>1108</v>
      </c>
      <c r="D5" t="s">
        <v>29</v>
      </c>
      <c r="E5" t="s">
        <v>30</v>
      </c>
      <c r="F5" t="s">
        <v>32</v>
      </c>
      <c r="G5" t="s">
        <v>1104</v>
      </c>
      <c r="H5" t="s">
        <v>59</v>
      </c>
      <c r="I5">
        <v>93.61</v>
      </c>
      <c r="J5">
        <v>92.77</v>
      </c>
      <c r="K5">
        <v>93.15</v>
      </c>
      <c r="L5">
        <v>48.47</v>
      </c>
      <c r="M5">
        <v>48.34</v>
      </c>
      <c r="N5">
        <v>48.62</v>
      </c>
    </row>
    <row r="6" spans="1:14" x14ac:dyDescent="0.15">
      <c r="C6" s="154" t="s">
        <v>1108</v>
      </c>
      <c r="D6" t="s">
        <v>29</v>
      </c>
      <c r="E6" t="s">
        <v>30</v>
      </c>
      <c r="F6" t="s">
        <v>32</v>
      </c>
      <c r="G6" t="s">
        <v>1104</v>
      </c>
      <c r="H6" t="s">
        <v>60</v>
      </c>
      <c r="I6">
        <v>91.9</v>
      </c>
      <c r="J6">
        <v>91.05</v>
      </c>
      <c r="K6">
        <v>91.44</v>
      </c>
      <c r="L6">
        <v>46.76</v>
      </c>
      <c r="M6">
        <v>46.63</v>
      </c>
      <c r="N6">
        <v>46.91</v>
      </c>
    </row>
    <row r="7" spans="1:14" x14ac:dyDescent="0.15">
      <c r="C7" s="154" t="s">
        <v>1108</v>
      </c>
      <c r="D7" t="s">
        <v>29</v>
      </c>
      <c r="E7" t="s">
        <v>30</v>
      </c>
      <c r="F7" t="s">
        <v>32</v>
      </c>
      <c r="G7" t="s">
        <v>1104</v>
      </c>
      <c r="H7" t="s">
        <v>648</v>
      </c>
      <c r="I7">
        <v>90.78</v>
      </c>
      <c r="J7">
        <v>89.93</v>
      </c>
      <c r="K7">
        <v>90.32</v>
      </c>
      <c r="L7">
        <v>45.63</v>
      </c>
      <c r="M7">
        <v>45.5</v>
      </c>
      <c r="N7">
        <v>45.78</v>
      </c>
    </row>
    <row r="8" spans="1:14" x14ac:dyDescent="0.15">
      <c r="C8" s="154" t="s">
        <v>1109</v>
      </c>
      <c r="D8" t="s">
        <v>29</v>
      </c>
      <c r="E8" t="s">
        <v>30</v>
      </c>
      <c r="F8" t="s">
        <v>32</v>
      </c>
      <c r="G8" t="s">
        <v>1104</v>
      </c>
      <c r="H8" t="s">
        <v>59</v>
      </c>
      <c r="I8">
        <v>93.9</v>
      </c>
      <c r="J8">
        <v>91.83</v>
      </c>
      <c r="K8">
        <v>93.08</v>
      </c>
      <c r="L8">
        <v>48.76</v>
      </c>
      <c r="M8">
        <v>47.59</v>
      </c>
      <c r="N8">
        <v>48.62</v>
      </c>
    </row>
    <row r="9" spans="1:14" x14ac:dyDescent="0.15">
      <c r="C9" s="154" t="s">
        <v>1109</v>
      </c>
      <c r="D9" t="s">
        <v>29</v>
      </c>
      <c r="E9" t="s">
        <v>30</v>
      </c>
      <c r="F9" t="s">
        <v>32</v>
      </c>
      <c r="G9" t="s">
        <v>1104</v>
      </c>
      <c r="H9" t="s">
        <v>60</v>
      </c>
      <c r="I9">
        <v>92.19</v>
      </c>
      <c r="J9">
        <v>90.12</v>
      </c>
      <c r="K9">
        <v>91.37</v>
      </c>
      <c r="L9">
        <v>47.05</v>
      </c>
      <c r="M9">
        <v>45.88</v>
      </c>
      <c r="N9">
        <v>46.91</v>
      </c>
    </row>
    <row r="10" spans="1:14" x14ac:dyDescent="0.15">
      <c r="C10" s="154" t="s">
        <v>1109</v>
      </c>
      <c r="D10" t="s">
        <v>29</v>
      </c>
      <c r="E10" t="s">
        <v>30</v>
      </c>
      <c r="F10" t="s">
        <v>32</v>
      </c>
      <c r="G10" t="s">
        <v>1104</v>
      </c>
      <c r="H10" t="s">
        <v>648</v>
      </c>
      <c r="I10">
        <v>91.06</v>
      </c>
      <c r="J10">
        <v>89</v>
      </c>
      <c r="K10">
        <v>90.25</v>
      </c>
      <c r="L10">
        <v>45.92</v>
      </c>
      <c r="M10">
        <v>44.75</v>
      </c>
      <c r="N10">
        <v>45.78</v>
      </c>
    </row>
    <row r="11" spans="1:14" x14ac:dyDescent="0.15">
      <c r="C11" s="154" t="s">
        <v>1110</v>
      </c>
      <c r="D11" t="s">
        <v>29</v>
      </c>
      <c r="E11" t="s">
        <v>30</v>
      </c>
      <c r="F11" t="s">
        <v>32</v>
      </c>
      <c r="G11" t="s">
        <v>1104</v>
      </c>
      <c r="H11" t="s">
        <v>59</v>
      </c>
      <c r="I11">
        <v>93.94</v>
      </c>
      <c r="J11">
        <v>91.49</v>
      </c>
      <c r="K11">
        <v>92.81</v>
      </c>
      <c r="L11">
        <v>48.82</v>
      </c>
      <c r="M11">
        <v>47.47</v>
      </c>
      <c r="N11">
        <v>48.44</v>
      </c>
    </row>
    <row r="12" spans="1:14" x14ac:dyDescent="0.15">
      <c r="C12" s="154" t="s">
        <v>1110</v>
      </c>
      <c r="D12" t="s">
        <v>29</v>
      </c>
      <c r="E12" t="s">
        <v>30</v>
      </c>
      <c r="F12" t="s">
        <v>32</v>
      </c>
      <c r="G12" t="s">
        <v>1104</v>
      </c>
      <c r="H12" t="s">
        <v>60</v>
      </c>
      <c r="I12">
        <v>92.23</v>
      </c>
      <c r="J12">
        <v>89.78</v>
      </c>
      <c r="K12">
        <v>91.09</v>
      </c>
      <c r="L12">
        <v>47.11</v>
      </c>
      <c r="M12">
        <v>45.76</v>
      </c>
      <c r="N12">
        <v>46.73</v>
      </c>
    </row>
    <row r="13" spans="1:14" x14ac:dyDescent="0.15">
      <c r="C13" s="154" t="s">
        <v>1110</v>
      </c>
      <c r="D13" t="s">
        <v>29</v>
      </c>
      <c r="E13" t="s">
        <v>30</v>
      </c>
      <c r="F13" t="s">
        <v>32</v>
      </c>
      <c r="G13" t="s">
        <v>1104</v>
      </c>
      <c r="H13" t="s">
        <v>648</v>
      </c>
      <c r="I13">
        <v>91.1</v>
      </c>
      <c r="J13">
        <v>88.66</v>
      </c>
      <c r="K13">
        <v>89.97</v>
      </c>
      <c r="L13">
        <v>45.98</v>
      </c>
      <c r="M13">
        <v>44.63</v>
      </c>
      <c r="N13">
        <v>45.6</v>
      </c>
    </row>
    <row r="14" spans="1:14" x14ac:dyDescent="0.15">
      <c r="C14" s="154" t="s">
        <v>1111</v>
      </c>
      <c r="D14" t="s">
        <v>29</v>
      </c>
      <c r="E14" t="s">
        <v>30</v>
      </c>
      <c r="F14" t="s">
        <v>32</v>
      </c>
      <c r="G14" t="s">
        <v>1104</v>
      </c>
      <c r="H14" t="s">
        <v>59</v>
      </c>
      <c r="I14">
        <v>93.89</v>
      </c>
      <c r="J14">
        <v>91.39</v>
      </c>
      <c r="K14">
        <v>92.62</v>
      </c>
      <c r="L14">
        <v>48.86</v>
      </c>
      <c r="M14">
        <v>47.55</v>
      </c>
      <c r="N14">
        <v>48.34</v>
      </c>
    </row>
    <row r="15" spans="1:14" x14ac:dyDescent="0.15">
      <c r="C15" s="154" t="s">
        <v>1111</v>
      </c>
      <c r="D15" t="s">
        <v>29</v>
      </c>
      <c r="E15" t="s">
        <v>30</v>
      </c>
      <c r="F15" t="s">
        <v>32</v>
      </c>
      <c r="G15" t="s">
        <v>1104</v>
      </c>
      <c r="H15" t="s">
        <v>60</v>
      </c>
      <c r="I15">
        <v>92.18</v>
      </c>
      <c r="J15">
        <v>89.68</v>
      </c>
      <c r="K15">
        <v>90.91</v>
      </c>
      <c r="L15">
        <v>47.15</v>
      </c>
      <c r="M15">
        <v>45.84</v>
      </c>
      <c r="N15">
        <v>46.63</v>
      </c>
    </row>
    <row r="16" spans="1:14" x14ac:dyDescent="0.15">
      <c r="C16" s="154" t="s">
        <v>1111</v>
      </c>
      <c r="D16" t="s">
        <v>29</v>
      </c>
      <c r="E16" t="s">
        <v>30</v>
      </c>
      <c r="F16" t="s">
        <v>32</v>
      </c>
      <c r="G16" t="s">
        <v>1104</v>
      </c>
      <c r="H16" t="s">
        <v>648</v>
      </c>
      <c r="I16">
        <v>91.05</v>
      </c>
      <c r="J16">
        <v>88.55</v>
      </c>
      <c r="K16">
        <v>89.78</v>
      </c>
      <c r="L16">
        <v>46.02</v>
      </c>
      <c r="M16">
        <v>44.71</v>
      </c>
      <c r="N16">
        <v>45.5</v>
      </c>
    </row>
    <row r="17" spans="3:14" x14ac:dyDescent="0.15">
      <c r="C17" s="154" t="s">
        <v>1112</v>
      </c>
      <c r="D17" t="s">
        <v>29</v>
      </c>
      <c r="E17" t="s">
        <v>30</v>
      </c>
      <c r="F17" t="s">
        <v>32</v>
      </c>
      <c r="G17" t="s">
        <v>1104</v>
      </c>
      <c r="H17" t="s">
        <v>59</v>
      </c>
      <c r="I17">
        <v>93.91</v>
      </c>
      <c r="J17">
        <v>91.83</v>
      </c>
      <c r="K17">
        <v>92.41</v>
      </c>
      <c r="L17">
        <v>48.98</v>
      </c>
      <c r="M17">
        <v>48.21</v>
      </c>
      <c r="N17">
        <v>48.28</v>
      </c>
    </row>
    <row r="18" spans="3:14" x14ac:dyDescent="0.15">
      <c r="C18" s="154" t="s">
        <v>1112</v>
      </c>
      <c r="D18" t="s">
        <v>29</v>
      </c>
      <c r="E18" t="s">
        <v>30</v>
      </c>
      <c r="F18" t="s">
        <v>32</v>
      </c>
      <c r="G18" t="s">
        <v>1104</v>
      </c>
      <c r="H18" t="s">
        <v>60</v>
      </c>
      <c r="I18">
        <v>92.19</v>
      </c>
      <c r="J18">
        <v>90.11</v>
      </c>
      <c r="K18">
        <v>90.7</v>
      </c>
      <c r="L18">
        <v>47.27</v>
      </c>
      <c r="M18">
        <v>46.5</v>
      </c>
      <c r="N18">
        <v>46.57</v>
      </c>
    </row>
    <row r="19" spans="3:14" x14ac:dyDescent="0.15">
      <c r="C19" s="154" t="s">
        <v>1112</v>
      </c>
      <c r="D19" t="s">
        <v>29</v>
      </c>
      <c r="E19" t="s">
        <v>30</v>
      </c>
      <c r="F19" t="s">
        <v>32</v>
      </c>
      <c r="G19" t="s">
        <v>1104</v>
      </c>
      <c r="H19" t="s">
        <v>648</v>
      </c>
      <c r="I19">
        <v>91.07</v>
      </c>
      <c r="J19">
        <v>88.99</v>
      </c>
      <c r="K19">
        <v>89.58</v>
      </c>
      <c r="L19">
        <v>46.14</v>
      </c>
      <c r="M19">
        <v>45.38</v>
      </c>
      <c r="N19">
        <v>45.45</v>
      </c>
    </row>
    <row r="20" spans="3:14" x14ac:dyDescent="0.15">
      <c r="C20" s="154" t="s">
        <v>1113</v>
      </c>
      <c r="D20" t="s">
        <v>29</v>
      </c>
      <c r="E20" t="s">
        <v>30</v>
      </c>
      <c r="F20" t="s">
        <v>32</v>
      </c>
      <c r="G20" t="s">
        <v>1104</v>
      </c>
      <c r="H20" t="s">
        <v>59</v>
      </c>
      <c r="I20">
        <v>93.85</v>
      </c>
      <c r="J20">
        <v>92.92</v>
      </c>
      <c r="K20">
        <v>92.38</v>
      </c>
      <c r="L20">
        <v>49.18</v>
      </c>
      <c r="M20">
        <v>48.84</v>
      </c>
      <c r="N20">
        <v>48.26</v>
      </c>
    </row>
    <row r="21" spans="3:14" x14ac:dyDescent="0.15">
      <c r="C21" s="154" t="s">
        <v>1113</v>
      </c>
      <c r="D21" t="s">
        <v>29</v>
      </c>
      <c r="E21" t="s">
        <v>30</v>
      </c>
      <c r="F21" t="s">
        <v>32</v>
      </c>
      <c r="G21" t="s">
        <v>1104</v>
      </c>
      <c r="H21" t="s">
        <v>60</v>
      </c>
      <c r="I21">
        <v>92.14</v>
      </c>
      <c r="J21">
        <v>91.2</v>
      </c>
      <c r="K21">
        <v>90.67</v>
      </c>
      <c r="L21">
        <v>47.47</v>
      </c>
      <c r="M21">
        <v>47.13</v>
      </c>
      <c r="N21">
        <v>46.55</v>
      </c>
    </row>
    <row r="22" spans="3:14" x14ac:dyDescent="0.15">
      <c r="C22" s="154" t="s">
        <v>1113</v>
      </c>
      <c r="D22" t="s">
        <v>29</v>
      </c>
      <c r="E22" t="s">
        <v>30</v>
      </c>
      <c r="F22" t="s">
        <v>32</v>
      </c>
      <c r="G22" t="s">
        <v>1104</v>
      </c>
      <c r="H22" t="s">
        <v>648</v>
      </c>
      <c r="I22">
        <v>91.02</v>
      </c>
      <c r="J22">
        <v>90.08</v>
      </c>
      <c r="K22">
        <v>89.54</v>
      </c>
      <c r="L22">
        <v>46.34</v>
      </c>
      <c r="M22">
        <v>46</v>
      </c>
      <c r="N22">
        <v>45.42</v>
      </c>
    </row>
    <row r="23" spans="3:14" x14ac:dyDescent="0.15">
      <c r="C23" s="154" t="s">
        <v>1114</v>
      </c>
      <c r="D23" t="s">
        <v>29</v>
      </c>
      <c r="E23" t="s">
        <v>30</v>
      </c>
      <c r="F23" t="s">
        <v>32</v>
      </c>
      <c r="G23" t="s">
        <v>1104</v>
      </c>
      <c r="H23" t="s">
        <v>59</v>
      </c>
      <c r="I23">
        <v>93.78</v>
      </c>
      <c r="J23">
        <v>93.96</v>
      </c>
      <c r="K23">
        <v>92.33</v>
      </c>
      <c r="L23">
        <v>49.37</v>
      </c>
      <c r="M23">
        <v>49.39</v>
      </c>
      <c r="N23">
        <v>48.37</v>
      </c>
    </row>
    <row r="24" spans="3:14" x14ac:dyDescent="0.15">
      <c r="C24" s="154" t="s">
        <v>1114</v>
      </c>
      <c r="D24" t="s">
        <v>29</v>
      </c>
      <c r="E24" t="s">
        <v>30</v>
      </c>
      <c r="F24" t="s">
        <v>32</v>
      </c>
      <c r="G24" t="s">
        <v>1104</v>
      </c>
      <c r="H24" t="s">
        <v>60</v>
      </c>
      <c r="I24">
        <v>92.07</v>
      </c>
      <c r="J24">
        <v>92.25</v>
      </c>
      <c r="K24">
        <v>90.62</v>
      </c>
      <c r="L24">
        <v>47.66</v>
      </c>
      <c r="M24">
        <v>47.68</v>
      </c>
      <c r="N24">
        <v>46.66</v>
      </c>
    </row>
    <row r="25" spans="3:14" x14ac:dyDescent="0.15">
      <c r="C25" s="154" t="s">
        <v>1114</v>
      </c>
      <c r="D25" t="s">
        <v>29</v>
      </c>
      <c r="E25" t="s">
        <v>30</v>
      </c>
      <c r="F25" t="s">
        <v>32</v>
      </c>
      <c r="G25" t="s">
        <v>1104</v>
      </c>
      <c r="H25" t="s">
        <v>648</v>
      </c>
      <c r="I25">
        <v>90.95</v>
      </c>
      <c r="J25">
        <v>91.12</v>
      </c>
      <c r="K25">
        <v>89.49</v>
      </c>
      <c r="L25">
        <v>46.53</v>
      </c>
      <c r="M25">
        <v>46.55</v>
      </c>
      <c r="N25">
        <v>45.53</v>
      </c>
    </row>
    <row r="26" spans="3:14" x14ac:dyDescent="0.15">
      <c r="C26" s="154" t="s">
        <v>1115</v>
      </c>
      <c r="D26" t="s">
        <v>29</v>
      </c>
      <c r="E26" t="s">
        <v>30</v>
      </c>
      <c r="F26" t="s">
        <v>32</v>
      </c>
      <c r="G26" t="s">
        <v>1104</v>
      </c>
      <c r="H26" t="s">
        <v>59</v>
      </c>
      <c r="I26">
        <v>93.82</v>
      </c>
      <c r="J26">
        <v>94.84</v>
      </c>
      <c r="K26">
        <v>92.06</v>
      </c>
      <c r="L26">
        <v>49.64</v>
      </c>
      <c r="M26">
        <v>50.35</v>
      </c>
      <c r="N26">
        <v>48.34</v>
      </c>
    </row>
    <row r="27" spans="3:14" x14ac:dyDescent="0.15">
      <c r="C27" s="154" t="s">
        <v>1115</v>
      </c>
      <c r="D27" t="s">
        <v>29</v>
      </c>
      <c r="E27" t="s">
        <v>30</v>
      </c>
      <c r="F27" t="s">
        <v>32</v>
      </c>
      <c r="G27" t="s">
        <v>1104</v>
      </c>
      <c r="H27" t="s">
        <v>60</v>
      </c>
      <c r="I27">
        <v>92.11</v>
      </c>
      <c r="J27">
        <v>93.12</v>
      </c>
      <c r="K27">
        <v>90.35</v>
      </c>
      <c r="L27">
        <v>47.93</v>
      </c>
      <c r="M27">
        <v>48.64</v>
      </c>
      <c r="N27">
        <v>46.63</v>
      </c>
    </row>
    <row r="28" spans="3:14" x14ac:dyDescent="0.15">
      <c r="C28" s="154" t="s">
        <v>1115</v>
      </c>
      <c r="D28" t="s">
        <v>29</v>
      </c>
      <c r="E28" t="s">
        <v>30</v>
      </c>
      <c r="F28" t="s">
        <v>32</v>
      </c>
      <c r="G28" t="s">
        <v>1104</v>
      </c>
      <c r="H28" t="s">
        <v>648</v>
      </c>
      <c r="I28">
        <v>90.99</v>
      </c>
      <c r="J28">
        <v>92</v>
      </c>
      <c r="K28">
        <v>89.23</v>
      </c>
      <c r="L28">
        <v>46.8</v>
      </c>
      <c r="M28">
        <v>47.51</v>
      </c>
      <c r="N28">
        <v>45.5</v>
      </c>
    </row>
    <row r="29" spans="3:14" x14ac:dyDescent="0.15">
      <c r="C29" s="154" t="s">
        <v>1117</v>
      </c>
      <c r="D29" t="s">
        <v>29</v>
      </c>
      <c r="E29" t="s">
        <v>30</v>
      </c>
      <c r="F29" t="s">
        <v>32</v>
      </c>
      <c r="G29" t="s">
        <v>1104</v>
      </c>
      <c r="H29" t="s">
        <v>59</v>
      </c>
      <c r="I29">
        <v>93.77</v>
      </c>
      <c r="J29">
        <v>94.77</v>
      </c>
      <c r="K29">
        <v>91.87</v>
      </c>
      <c r="L29">
        <v>49.78</v>
      </c>
      <c r="M29">
        <v>50.29</v>
      </c>
      <c r="N29">
        <v>48.32</v>
      </c>
    </row>
    <row r="30" spans="3:14" x14ac:dyDescent="0.15">
      <c r="C30" s="154" t="s">
        <v>1117</v>
      </c>
      <c r="D30" t="s">
        <v>29</v>
      </c>
      <c r="E30" t="s">
        <v>30</v>
      </c>
      <c r="F30" t="s">
        <v>32</v>
      </c>
      <c r="G30" t="s">
        <v>1104</v>
      </c>
      <c r="H30" t="s">
        <v>60</v>
      </c>
      <c r="I30">
        <v>92.06</v>
      </c>
      <c r="J30">
        <v>93.06</v>
      </c>
      <c r="K30">
        <v>90.16</v>
      </c>
      <c r="L30">
        <v>48.07</v>
      </c>
      <c r="M30">
        <v>48.58</v>
      </c>
      <c r="N30">
        <v>46.61</v>
      </c>
    </row>
    <row r="31" spans="3:14" x14ac:dyDescent="0.15">
      <c r="C31" s="154" t="s">
        <v>1117</v>
      </c>
      <c r="D31" t="s">
        <v>29</v>
      </c>
      <c r="E31" t="s">
        <v>30</v>
      </c>
      <c r="F31" t="s">
        <v>32</v>
      </c>
      <c r="G31" t="s">
        <v>1104</v>
      </c>
      <c r="H31" t="s">
        <v>648</v>
      </c>
      <c r="I31">
        <v>90.94</v>
      </c>
      <c r="J31">
        <v>91.93</v>
      </c>
      <c r="K31">
        <v>89.03</v>
      </c>
      <c r="L31">
        <v>46.95</v>
      </c>
      <c r="M31">
        <v>47.45</v>
      </c>
      <c r="N31">
        <v>45.48</v>
      </c>
    </row>
    <row r="32" spans="3:14" x14ac:dyDescent="0.15">
      <c r="C32" s="154" t="s">
        <v>1118</v>
      </c>
      <c r="D32" t="s">
        <v>29</v>
      </c>
      <c r="E32" t="s">
        <v>30</v>
      </c>
      <c r="F32" t="s">
        <v>32</v>
      </c>
      <c r="G32" t="s">
        <v>1104</v>
      </c>
      <c r="H32" t="s">
        <v>59</v>
      </c>
      <c r="I32">
        <v>93.49</v>
      </c>
      <c r="J32">
        <v>94.4</v>
      </c>
      <c r="K32">
        <v>91.67</v>
      </c>
      <c r="L32">
        <v>49.62</v>
      </c>
      <c r="M32">
        <v>49.95</v>
      </c>
      <c r="N32">
        <v>48.27</v>
      </c>
    </row>
    <row r="33" spans="3:14" x14ac:dyDescent="0.15">
      <c r="C33" s="154" t="s">
        <v>1118</v>
      </c>
      <c r="D33" t="s">
        <v>29</v>
      </c>
      <c r="E33" t="s">
        <v>30</v>
      </c>
      <c r="F33" t="s">
        <v>32</v>
      </c>
      <c r="G33" t="s">
        <v>1104</v>
      </c>
      <c r="H33" t="s">
        <v>60</v>
      </c>
      <c r="I33">
        <v>91.78</v>
      </c>
      <c r="J33">
        <v>92.69</v>
      </c>
      <c r="K33">
        <v>89.96</v>
      </c>
      <c r="L33">
        <v>47.91</v>
      </c>
      <c r="M33">
        <v>48.24</v>
      </c>
      <c r="N33">
        <v>46.56</v>
      </c>
    </row>
    <row r="34" spans="3:14" x14ac:dyDescent="0.15">
      <c r="C34" s="154" t="s">
        <v>1118</v>
      </c>
      <c r="D34" t="s">
        <v>29</v>
      </c>
      <c r="E34" t="s">
        <v>30</v>
      </c>
      <c r="F34" t="s">
        <v>32</v>
      </c>
      <c r="G34" t="s">
        <v>1104</v>
      </c>
      <c r="H34" t="s">
        <v>648</v>
      </c>
      <c r="I34">
        <v>90.65</v>
      </c>
      <c r="J34">
        <v>91.57</v>
      </c>
      <c r="K34">
        <v>88.83</v>
      </c>
      <c r="L34">
        <v>46.78</v>
      </c>
      <c r="M34">
        <v>47.11</v>
      </c>
      <c r="N34">
        <v>45.43</v>
      </c>
    </row>
    <row r="35" spans="3:14" x14ac:dyDescent="0.15">
      <c r="C35" s="154" t="s">
        <v>1119</v>
      </c>
      <c r="D35" t="s">
        <v>29</v>
      </c>
      <c r="E35" t="s">
        <v>30</v>
      </c>
      <c r="F35" t="s">
        <v>32</v>
      </c>
      <c r="G35" t="s">
        <v>1104</v>
      </c>
      <c r="H35" t="s">
        <v>59</v>
      </c>
      <c r="I35">
        <v>93.29</v>
      </c>
      <c r="J35">
        <v>93.55</v>
      </c>
      <c r="K35">
        <v>91.74</v>
      </c>
      <c r="L35">
        <v>49.49</v>
      </c>
      <c r="M35">
        <v>49.13</v>
      </c>
      <c r="N35">
        <v>48.33</v>
      </c>
    </row>
    <row r="36" spans="3:14" x14ac:dyDescent="0.15">
      <c r="C36" s="154" t="s">
        <v>1119</v>
      </c>
      <c r="D36" t="s">
        <v>29</v>
      </c>
      <c r="E36" t="s">
        <v>30</v>
      </c>
      <c r="F36" t="s">
        <v>32</v>
      </c>
      <c r="G36" t="s">
        <v>1104</v>
      </c>
      <c r="H36" t="s">
        <v>60</v>
      </c>
      <c r="I36">
        <v>91.58</v>
      </c>
      <c r="J36">
        <v>91.83</v>
      </c>
      <c r="K36">
        <v>90.03</v>
      </c>
      <c r="L36">
        <v>47.78</v>
      </c>
      <c r="M36">
        <v>47.42</v>
      </c>
      <c r="N36">
        <v>46.62</v>
      </c>
    </row>
    <row r="37" spans="3:14" x14ac:dyDescent="0.15">
      <c r="C37" s="154" t="s">
        <v>1119</v>
      </c>
      <c r="D37" t="s">
        <v>29</v>
      </c>
      <c r="E37" t="s">
        <v>30</v>
      </c>
      <c r="F37" t="s">
        <v>32</v>
      </c>
      <c r="G37" t="s">
        <v>1104</v>
      </c>
      <c r="H37" t="s">
        <v>648</v>
      </c>
      <c r="I37">
        <v>90.46</v>
      </c>
      <c r="J37">
        <v>90.71</v>
      </c>
      <c r="K37">
        <v>88.91</v>
      </c>
      <c r="L37">
        <v>46.65</v>
      </c>
      <c r="M37">
        <v>46.29</v>
      </c>
      <c r="N37">
        <v>45.49</v>
      </c>
    </row>
    <row r="38" spans="3:14" x14ac:dyDescent="0.15">
      <c r="C38" s="154" t="s">
        <v>1107</v>
      </c>
      <c r="D38" t="s">
        <v>29</v>
      </c>
      <c r="E38" t="s">
        <v>30</v>
      </c>
      <c r="F38" t="s">
        <v>31</v>
      </c>
      <c r="G38" t="s">
        <v>1105</v>
      </c>
      <c r="H38" t="s">
        <v>59</v>
      </c>
      <c r="I38">
        <v>93.61</v>
      </c>
      <c r="J38">
        <v>94.13</v>
      </c>
      <c r="K38">
        <v>93.62</v>
      </c>
      <c r="L38">
        <v>48.7</v>
      </c>
      <c r="M38">
        <v>49.14</v>
      </c>
      <c r="N38">
        <v>49.12</v>
      </c>
    </row>
    <row r="39" spans="3:14" x14ac:dyDescent="0.15">
      <c r="C39" s="154" t="s">
        <v>1107</v>
      </c>
      <c r="D39" t="s">
        <v>29</v>
      </c>
      <c r="E39" t="s">
        <v>30</v>
      </c>
      <c r="F39" t="s">
        <v>31</v>
      </c>
      <c r="G39" t="s">
        <v>1105</v>
      </c>
      <c r="H39" t="s">
        <v>60</v>
      </c>
      <c r="I39">
        <v>91.9</v>
      </c>
      <c r="J39">
        <v>92.42</v>
      </c>
      <c r="K39">
        <v>91.91</v>
      </c>
      <c r="L39">
        <v>46.99</v>
      </c>
      <c r="M39">
        <v>47.43</v>
      </c>
      <c r="N39">
        <v>47.41</v>
      </c>
    </row>
    <row r="40" spans="3:14" x14ac:dyDescent="0.15">
      <c r="C40" s="154" t="s">
        <v>1107</v>
      </c>
      <c r="D40" t="s">
        <v>29</v>
      </c>
      <c r="E40" t="s">
        <v>30</v>
      </c>
      <c r="F40" t="s">
        <v>31</v>
      </c>
      <c r="G40" t="s">
        <v>1105</v>
      </c>
      <c r="H40" t="s">
        <v>648</v>
      </c>
      <c r="I40">
        <v>90.78</v>
      </c>
      <c r="J40">
        <v>91.3</v>
      </c>
      <c r="K40">
        <v>90.79</v>
      </c>
      <c r="L40">
        <v>45.86</v>
      </c>
      <c r="M40">
        <v>46.3</v>
      </c>
      <c r="N40">
        <v>46.28</v>
      </c>
    </row>
    <row r="41" spans="3:14" x14ac:dyDescent="0.15">
      <c r="C41" s="154" t="s">
        <v>1108</v>
      </c>
      <c r="D41" t="s">
        <v>29</v>
      </c>
      <c r="E41" t="s">
        <v>30</v>
      </c>
      <c r="F41" t="s">
        <v>31</v>
      </c>
      <c r="G41" t="s">
        <v>1105</v>
      </c>
      <c r="H41" t="s">
        <v>59</v>
      </c>
      <c r="I41">
        <v>94.02</v>
      </c>
      <c r="J41">
        <v>92.82</v>
      </c>
      <c r="K41">
        <v>93.75</v>
      </c>
      <c r="L41">
        <v>48.54</v>
      </c>
      <c r="M41">
        <v>47.99</v>
      </c>
      <c r="N41">
        <v>48.97</v>
      </c>
    </row>
    <row r="42" spans="3:14" x14ac:dyDescent="0.15">
      <c r="C42" s="154" t="s">
        <v>1108</v>
      </c>
      <c r="D42" t="s">
        <v>29</v>
      </c>
      <c r="E42" t="s">
        <v>30</v>
      </c>
      <c r="F42" t="s">
        <v>31</v>
      </c>
      <c r="G42" t="s">
        <v>1105</v>
      </c>
      <c r="H42" t="s">
        <v>60</v>
      </c>
      <c r="I42">
        <v>92.31</v>
      </c>
      <c r="J42">
        <v>91.11</v>
      </c>
      <c r="K42">
        <v>92.04</v>
      </c>
      <c r="L42">
        <v>46.83</v>
      </c>
      <c r="M42">
        <v>46.28</v>
      </c>
      <c r="N42">
        <v>47.26</v>
      </c>
    </row>
    <row r="43" spans="3:14" x14ac:dyDescent="0.15">
      <c r="C43" s="154" t="s">
        <v>1108</v>
      </c>
      <c r="D43" t="s">
        <v>29</v>
      </c>
      <c r="E43" t="s">
        <v>30</v>
      </c>
      <c r="F43" t="s">
        <v>31</v>
      </c>
      <c r="G43" t="s">
        <v>1105</v>
      </c>
      <c r="H43" t="s">
        <v>648</v>
      </c>
      <c r="I43">
        <v>91.18</v>
      </c>
      <c r="J43">
        <v>89.99</v>
      </c>
      <c r="K43">
        <v>90.92</v>
      </c>
      <c r="L43">
        <v>45.7</v>
      </c>
      <c r="M43">
        <v>45.15</v>
      </c>
      <c r="N43">
        <v>46.13</v>
      </c>
    </row>
    <row r="44" spans="3:14" x14ac:dyDescent="0.15">
      <c r="C44" s="154" t="s">
        <v>1109</v>
      </c>
      <c r="D44" t="s">
        <v>29</v>
      </c>
      <c r="E44" t="s">
        <v>30</v>
      </c>
      <c r="F44" t="s">
        <v>31</v>
      </c>
      <c r="G44" t="s">
        <v>1105</v>
      </c>
      <c r="H44" t="s">
        <v>59</v>
      </c>
      <c r="I44">
        <v>94.26</v>
      </c>
      <c r="J44">
        <v>91.75</v>
      </c>
      <c r="K44">
        <v>93.77</v>
      </c>
      <c r="L44">
        <v>48.78</v>
      </c>
      <c r="M44">
        <v>47.12</v>
      </c>
      <c r="N44">
        <v>49.04</v>
      </c>
    </row>
    <row r="45" spans="3:14" x14ac:dyDescent="0.15">
      <c r="C45" s="154" t="s">
        <v>1109</v>
      </c>
      <c r="D45" t="s">
        <v>29</v>
      </c>
      <c r="E45" t="s">
        <v>30</v>
      </c>
      <c r="F45" t="s">
        <v>31</v>
      </c>
      <c r="G45" t="s">
        <v>1105</v>
      </c>
      <c r="H45" t="s">
        <v>60</v>
      </c>
      <c r="I45">
        <v>92.55</v>
      </c>
      <c r="J45">
        <v>90.04</v>
      </c>
      <c r="K45">
        <v>92.06</v>
      </c>
      <c r="L45">
        <v>47.07</v>
      </c>
      <c r="M45">
        <v>45.41</v>
      </c>
      <c r="N45">
        <v>47.33</v>
      </c>
    </row>
    <row r="46" spans="3:14" x14ac:dyDescent="0.15">
      <c r="C46" s="154" t="s">
        <v>1109</v>
      </c>
      <c r="D46" t="s">
        <v>29</v>
      </c>
      <c r="E46" t="s">
        <v>30</v>
      </c>
      <c r="F46" t="s">
        <v>31</v>
      </c>
      <c r="G46" t="s">
        <v>1105</v>
      </c>
      <c r="H46" t="s">
        <v>648</v>
      </c>
      <c r="I46">
        <v>91.43</v>
      </c>
      <c r="J46">
        <v>88.92</v>
      </c>
      <c r="K46">
        <v>90.94</v>
      </c>
      <c r="L46">
        <v>45.95</v>
      </c>
      <c r="M46">
        <v>44.28</v>
      </c>
      <c r="N46">
        <v>46.2</v>
      </c>
    </row>
    <row r="47" spans="3:14" x14ac:dyDescent="0.15">
      <c r="C47" s="154" t="s">
        <v>1110</v>
      </c>
      <c r="D47" t="s">
        <v>29</v>
      </c>
      <c r="E47" t="s">
        <v>30</v>
      </c>
      <c r="F47" t="s">
        <v>31</v>
      </c>
      <c r="G47" t="s">
        <v>1105</v>
      </c>
      <c r="H47" t="s">
        <v>59</v>
      </c>
      <c r="I47">
        <v>94.27</v>
      </c>
      <c r="J47">
        <v>91.37</v>
      </c>
      <c r="K47">
        <v>93.67</v>
      </c>
      <c r="L47">
        <v>48.8</v>
      </c>
      <c r="M47">
        <v>46.94</v>
      </c>
      <c r="N47">
        <v>48.99</v>
      </c>
    </row>
    <row r="48" spans="3:14" x14ac:dyDescent="0.15">
      <c r="C48" s="154" t="s">
        <v>1110</v>
      </c>
      <c r="D48" t="s">
        <v>29</v>
      </c>
      <c r="E48" t="s">
        <v>30</v>
      </c>
      <c r="F48" t="s">
        <v>31</v>
      </c>
      <c r="G48" t="s">
        <v>1105</v>
      </c>
      <c r="H48" t="s">
        <v>60</v>
      </c>
      <c r="I48">
        <v>92.56</v>
      </c>
      <c r="J48">
        <v>89.66</v>
      </c>
      <c r="K48">
        <v>91.96</v>
      </c>
      <c r="L48">
        <v>47.09</v>
      </c>
      <c r="M48">
        <v>45.23</v>
      </c>
      <c r="N48">
        <v>47.28</v>
      </c>
    </row>
    <row r="49" spans="3:14" x14ac:dyDescent="0.15">
      <c r="C49" s="154" t="s">
        <v>1110</v>
      </c>
      <c r="D49" t="s">
        <v>29</v>
      </c>
      <c r="E49" t="s">
        <v>30</v>
      </c>
      <c r="F49" t="s">
        <v>31</v>
      </c>
      <c r="G49" t="s">
        <v>1105</v>
      </c>
      <c r="H49" t="s">
        <v>648</v>
      </c>
      <c r="I49">
        <v>91.43</v>
      </c>
      <c r="J49">
        <v>88.53</v>
      </c>
      <c r="K49">
        <v>90.84</v>
      </c>
      <c r="L49">
        <v>45.96</v>
      </c>
      <c r="M49">
        <v>44.1</v>
      </c>
      <c r="N49">
        <v>46.15</v>
      </c>
    </row>
    <row r="50" spans="3:14" x14ac:dyDescent="0.15">
      <c r="C50" s="154" t="s">
        <v>1111</v>
      </c>
      <c r="D50" t="s">
        <v>29</v>
      </c>
      <c r="E50" t="s">
        <v>30</v>
      </c>
      <c r="F50" t="s">
        <v>31</v>
      </c>
      <c r="G50" t="s">
        <v>1105</v>
      </c>
      <c r="H50" t="s">
        <v>59</v>
      </c>
      <c r="I50">
        <v>94.2</v>
      </c>
      <c r="J50">
        <v>91.31</v>
      </c>
      <c r="K50">
        <v>93.84</v>
      </c>
      <c r="L50">
        <v>48.82</v>
      </c>
      <c r="M50">
        <v>47.02</v>
      </c>
      <c r="N50">
        <v>49.16</v>
      </c>
    </row>
    <row r="51" spans="3:14" x14ac:dyDescent="0.15">
      <c r="C51" s="154" t="s">
        <v>1111</v>
      </c>
      <c r="D51" t="s">
        <v>29</v>
      </c>
      <c r="E51" t="s">
        <v>30</v>
      </c>
      <c r="F51" t="s">
        <v>31</v>
      </c>
      <c r="G51" t="s">
        <v>1105</v>
      </c>
      <c r="H51" t="s">
        <v>60</v>
      </c>
      <c r="I51">
        <v>92.49</v>
      </c>
      <c r="J51">
        <v>89.59</v>
      </c>
      <c r="K51">
        <v>92.12</v>
      </c>
      <c r="L51">
        <v>47.11</v>
      </c>
      <c r="M51">
        <v>45.31</v>
      </c>
      <c r="N51">
        <v>47.45</v>
      </c>
    </row>
    <row r="52" spans="3:14" x14ac:dyDescent="0.15">
      <c r="C52" s="154" t="s">
        <v>1111</v>
      </c>
      <c r="D52" t="s">
        <v>29</v>
      </c>
      <c r="E52" t="s">
        <v>30</v>
      </c>
      <c r="F52" t="s">
        <v>31</v>
      </c>
      <c r="G52" t="s">
        <v>1105</v>
      </c>
      <c r="H52" t="s">
        <v>648</v>
      </c>
      <c r="I52">
        <v>91.36</v>
      </c>
      <c r="J52">
        <v>88.47</v>
      </c>
      <c r="K52">
        <v>91</v>
      </c>
      <c r="L52">
        <v>45.98</v>
      </c>
      <c r="M52">
        <v>44.18</v>
      </c>
      <c r="N52">
        <v>46.32</v>
      </c>
    </row>
    <row r="53" spans="3:14" x14ac:dyDescent="0.15">
      <c r="C53" s="154" t="s">
        <v>1112</v>
      </c>
      <c r="D53" t="s">
        <v>29</v>
      </c>
      <c r="E53" t="s">
        <v>30</v>
      </c>
      <c r="F53" t="s">
        <v>31</v>
      </c>
      <c r="G53" t="s">
        <v>1105</v>
      </c>
      <c r="H53" t="s">
        <v>59</v>
      </c>
      <c r="I53">
        <v>94.21</v>
      </c>
      <c r="J53">
        <v>92</v>
      </c>
      <c r="K53">
        <v>93.92</v>
      </c>
      <c r="L53">
        <v>48.92</v>
      </c>
      <c r="M53">
        <v>47.92</v>
      </c>
      <c r="N53">
        <v>49.37</v>
      </c>
    </row>
    <row r="54" spans="3:14" x14ac:dyDescent="0.15">
      <c r="C54" s="154" t="s">
        <v>1112</v>
      </c>
      <c r="D54" t="s">
        <v>29</v>
      </c>
      <c r="E54" t="s">
        <v>30</v>
      </c>
      <c r="F54" t="s">
        <v>31</v>
      </c>
      <c r="G54" t="s">
        <v>1105</v>
      </c>
      <c r="H54" t="s">
        <v>60</v>
      </c>
      <c r="I54">
        <v>92.49</v>
      </c>
      <c r="J54">
        <v>90.29</v>
      </c>
      <c r="K54">
        <v>92.21</v>
      </c>
      <c r="L54">
        <v>47.21</v>
      </c>
      <c r="M54">
        <v>46.21</v>
      </c>
      <c r="N54">
        <v>47.66</v>
      </c>
    </row>
    <row r="55" spans="3:14" x14ac:dyDescent="0.15">
      <c r="C55" s="154" t="s">
        <v>1112</v>
      </c>
      <c r="D55" t="s">
        <v>29</v>
      </c>
      <c r="E55" t="s">
        <v>30</v>
      </c>
      <c r="F55" t="s">
        <v>31</v>
      </c>
      <c r="G55" t="s">
        <v>1105</v>
      </c>
      <c r="H55" t="s">
        <v>648</v>
      </c>
      <c r="I55">
        <v>91.37</v>
      </c>
      <c r="J55">
        <v>89.17</v>
      </c>
      <c r="K55">
        <v>91.09</v>
      </c>
      <c r="L55">
        <v>46.08</v>
      </c>
      <c r="M55">
        <v>45.08</v>
      </c>
      <c r="N55">
        <v>46.53</v>
      </c>
    </row>
    <row r="56" spans="3:14" x14ac:dyDescent="0.15">
      <c r="C56" s="154" t="s">
        <v>1113</v>
      </c>
      <c r="D56" t="s">
        <v>29</v>
      </c>
      <c r="E56" t="s">
        <v>30</v>
      </c>
      <c r="F56" t="s">
        <v>31</v>
      </c>
      <c r="G56" t="s">
        <v>1105</v>
      </c>
      <c r="H56" t="s">
        <v>59</v>
      </c>
      <c r="I56">
        <v>94.14</v>
      </c>
      <c r="J56">
        <v>93.46</v>
      </c>
      <c r="K56">
        <v>94.14</v>
      </c>
      <c r="L56">
        <v>49.16</v>
      </c>
      <c r="M56">
        <v>49.12</v>
      </c>
      <c r="N56">
        <v>49.63</v>
      </c>
    </row>
    <row r="57" spans="3:14" x14ac:dyDescent="0.15">
      <c r="C57" s="154" t="s">
        <v>1113</v>
      </c>
      <c r="D57" t="s">
        <v>29</v>
      </c>
      <c r="E57" t="s">
        <v>30</v>
      </c>
      <c r="F57" t="s">
        <v>31</v>
      </c>
      <c r="G57" t="s">
        <v>1105</v>
      </c>
      <c r="H57" t="s">
        <v>60</v>
      </c>
      <c r="I57">
        <v>92.43</v>
      </c>
      <c r="J57">
        <v>91.75</v>
      </c>
      <c r="K57">
        <v>92.43</v>
      </c>
      <c r="L57">
        <v>47.45</v>
      </c>
      <c r="M57">
        <v>47.41</v>
      </c>
      <c r="N57">
        <v>47.92</v>
      </c>
    </row>
    <row r="58" spans="3:14" x14ac:dyDescent="0.15">
      <c r="C58" s="154" t="s">
        <v>1113</v>
      </c>
      <c r="D58" t="s">
        <v>29</v>
      </c>
      <c r="E58" t="s">
        <v>30</v>
      </c>
      <c r="F58" t="s">
        <v>31</v>
      </c>
      <c r="G58" t="s">
        <v>1105</v>
      </c>
      <c r="H58" t="s">
        <v>648</v>
      </c>
      <c r="I58">
        <v>91.31</v>
      </c>
      <c r="J58">
        <v>90.63</v>
      </c>
      <c r="K58">
        <v>91.31</v>
      </c>
      <c r="L58">
        <v>46.32</v>
      </c>
      <c r="M58">
        <v>46.28</v>
      </c>
      <c r="N58">
        <v>46.79</v>
      </c>
    </row>
    <row r="59" spans="3:14" x14ac:dyDescent="0.15">
      <c r="C59" s="154" t="s">
        <v>1114</v>
      </c>
      <c r="D59" t="s">
        <v>29</v>
      </c>
      <c r="E59" t="s">
        <v>30</v>
      </c>
      <c r="F59" t="s">
        <v>31</v>
      </c>
      <c r="G59" t="s">
        <v>1105</v>
      </c>
      <c r="H59" t="s">
        <v>59</v>
      </c>
      <c r="I59">
        <v>94.07</v>
      </c>
      <c r="J59">
        <v>94.95</v>
      </c>
      <c r="K59">
        <v>94.31</v>
      </c>
      <c r="L59">
        <v>49.39</v>
      </c>
      <c r="M59">
        <v>50.29</v>
      </c>
      <c r="N59">
        <v>49.96</v>
      </c>
    </row>
    <row r="60" spans="3:14" x14ac:dyDescent="0.15">
      <c r="C60" s="154" t="s">
        <v>1114</v>
      </c>
      <c r="D60" t="s">
        <v>29</v>
      </c>
      <c r="E60" t="s">
        <v>30</v>
      </c>
      <c r="F60" t="s">
        <v>31</v>
      </c>
      <c r="G60" t="s">
        <v>1105</v>
      </c>
      <c r="H60" t="s">
        <v>60</v>
      </c>
      <c r="I60">
        <v>92.36</v>
      </c>
      <c r="J60">
        <v>93.23</v>
      </c>
      <c r="K60">
        <v>92.6</v>
      </c>
      <c r="L60">
        <v>47.68</v>
      </c>
      <c r="M60">
        <v>48.58</v>
      </c>
      <c r="N60">
        <v>48.25</v>
      </c>
    </row>
    <row r="61" spans="3:14" x14ac:dyDescent="0.15">
      <c r="C61" s="154" t="s">
        <v>1114</v>
      </c>
      <c r="D61" t="s">
        <v>29</v>
      </c>
      <c r="E61" t="s">
        <v>30</v>
      </c>
      <c r="F61" t="s">
        <v>31</v>
      </c>
      <c r="G61" t="s">
        <v>1105</v>
      </c>
      <c r="H61" t="s">
        <v>648</v>
      </c>
      <c r="I61">
        <v>91.23</v>
      </c>
      <c r="J61">
        <v>92.11</v>
      </c>
      <c r="K61">
        <v>91.47</v>
      </c>
      <c r="L61">
        <v>46.55</v>
      </c>
      <c r="M61">
        <v>47.45</v>
      </c>
      <c r="N61">
        <v>47.13</v>
      </c>
    </row>
    <row r="62" spans="3:14" x14ac:dyDescent="0.15">
      <c r="C62" s="154" t="s">
        <v>1115</v>
      </c>
      <c r="D62" t="s">
        <v>29</v>
      </c>
      <c r="E62" t="s">
        <v>30</v>
      </c>
      <c r="F62" t="s">
        <v>31</v>
      </c>
      <c r="G62" t="s">
        <v>1105</v>
      </c>
      <c r="H62" t="s">
        <v>59</v>
      </c>
      <c r="I62">
        <v>94.14</v>
      </c>
      <c r="J62">
        <v>96.21</v>
      </c>
      <c r="K62">
        <v>94.18</v>
      </c>
      <c r="L62">
        <v>49.69</v>
      </c>
      <c r="M62">
        <v>51.57</v>
      </c>
      <c r="N62">
        <v>50.05</v>
      </c>
    </row>
    <row r="63" spans="3:14" x14ac:dyDescent="0.15">
      <c r="C63" s="154" t="s">
        <v>1115</v>
      </c>
      <c r="D63" t="s">
        <v>29</v>
      </c>
      <c r="E63" t="s">
        <v>30</v>
      </c>
      <c r="F63" t="s">
        <v>31</v>
      </c>
      <c r="G63" t="s">
        <v>1105</v>
      </c>
      <c r="H63" t="s">
        <v>60</v>
      </c>
      <c r="I63">
        <v>92.43</v>
      </c>
      <c r="J63">
        <v>94.5</v>
      </c>
      <c r="K63">
        <v>92.46</v>
      </c>
      <c r="L63">
        <v>47.98</v>
      </c>
      <c r="M63">
        <v>49.86</v>
      </c>
      <c r="N63">
        <v>48.34</v>
      </c>
    </row>
    <row r="64" spans="3:14" x14ac:dyDescent="0.15">
      <c r="C64" s="154" t="s">
        <v>1115</v>
      </c>
      <c r="D64" t="s">
        <v>29</v>
      </c>
      <c r="E64" t="s">
        <v>30</v>
      </c>
      <c r="F64" t="s">
        <v>31</v>
      </c>
      <c r="G64" t="s">
        <v>1105</v>
      </c>
      <c r="H64" t="s">
        <v>648</v>
      </c>
      <c r="I64">
        <v>91.31</v>
      </c>
      <c r="J64">
        <v>93.37</v>
      </c>
      <c r="K64">
        <v>91.34</v>
      </c>
      <c r="L64">
        <v>46.85</v>
      </c>
      <c r="M64">
        <v>48.73</v>
      </c>
      <c r="N64">
        <v>47.21</v>
      </c>
    </row>
    <row r="65" spans="3:14" x14ac:dyDescent="0.15">
      <c r="C65" s="154" t="s">
        <v>1117</v>
      </c>
      <c r="D65" t="s">
        <v>29</v>
      </c>
      <c r="E65" t="s">
        <v>30</v>
      </c>
      <c r="F65" t="s">
        <v>31</v>
      </c>
      <c r="G65" t="s">
        <v>1105</v>
      </c>
      <c r="H65" t="s">
        <v>59</v>
      </c>
      <c r="I65">
        <v>94.09</v>
      </c>
      <c r="J65">
        <v>96.48</v>
      </c>
      <c r="K65">
        <v>94.2</v>
      </c>
      <c r="L65">
        <v>49.82</v>
      </c>
      <c r="M65">
        <v>51.8</v>
      </c>
      <c r="N65">
        <v>50.19</v>
      </c>
    </row>
    <row r="66" spans="3:14" x14ac:dyDescent="0.15">
      <c r="C66" s="154" t="s">
        <v>1117</v>
      </c>
      <c r="D66" t="s">
        <v>29</v>
      </c>
      <c r="E66" t="s">
        <v>30</v>
      </c>
      <c r="F66" t="s">
        <v>31</v>
      </c>
      <c r="G66" t="s">
        <v>1105</v>
      </c>
      <c r="H66" t="s">
        <v>60</v>
      </c>
      <c r="I66">
        <v>92.38</v>
      </c>
      <c r="J66">
        <v>94.76</v>
      </c>
      <c r="K66">
        <v>92.48</v>
      </c>
      <c r="L66">
        <v>48.11</v>
      </c>
      <c r="M66">
        <v>50.09</v>
      </c>
      <c r="N66">
        <v>48.48</v>
      </c>
    </row>
    <row r="67" spans="3:14" x14ac:dyDescent="0.15">
      <c r="C67" s="154" t="s">
        <v>1117</v>
      </c>
      <c r="D67" t="s">
        <v>29</v>
      </c>
      <c r="E67" t="s">
        <v>30</v>
      </c>
      <c r="F67" t="s">
        <v>31</v>
      </c>
      <c r="G67" t="s">
        <v>1105</v>
      </c>
      <c r="H67" t="s">
        <v>648</v>
      </c>
      <c r="I67">
        <v>91.26</v>
      </c>
      <c r="J67">
        <v>93.64</v>
      </c>
      <c r="K67">
        <v>91.36</v>
      </c>
      <c r="L67">
        <v>46.98</v>
      </c>
      <c r="M67">
        <v>48.96</v>
      </c>
      <c r="N67">
        <v>47.35</v>
      </c>
    </row>
    <row r="68" spans="3:14" x14ac:dyDescent="0.15">
      <c r="C68" s="154" t="s">
        <v>1118</v>
      </c>
      <c r="D68" t="s">
        <v>29</v>
      </c>
      <c r="E68" t="s">
        <v>30</v>
      </c>
      <c r="F68" t="s">
        <v>31</v>
      </c>
      <c r="G68" t="s">
        <v>1105</v>
      </c>
      <c r="H68" t="s">
        <v>59</v>
      </c>
      <c r="I68">
        <v>93.79</v>
      </c>
      <c r="J68">
        <v>96.54</v>
      </c>
      <c r="K68">
        <v>94.32</v>
      </c>
      <c r="L68">
        <v>49.64</v>
      </c>
      <c r="M68">
        <v>51.81</v>
      </c>
      <c r="N68">
        <v>50.4</v>
      </c>
    </row>
    <row r="69" spans="3:14" x14ac:dyDescent="0.15">
      <c r="C69" s="154" t="s">
        <v>1118</v>
      </c>
      <c r="D69" t="s">
        <v>29</v>
      </c>
      <c r="E69" t="s">
        <v>30</v>
      </c>
      <c r="F69" t="s">
        <v>31</v>
      </c>
      <c r="G69" t="s">
        <v>1105</v>
      </c>
      <c r="H69" t="s">
        <v>60</v>
      </c>
      <c r="I69">
        <v>92.08</v>
      </c>
      <c r="J69">
        <v>94.83</v>
      </c>
      <c r="K69">
        <v>92.61</v>
      </c>
      <c r="L69">
        <v>47.93</v>
      </c>
      <c r="M69">
        <v>50.1</v>
      </c>
      <c r="N69">
        <v>48.69</v>
      </c>
    </row>
    <row r="70" spans="3:14" x14ac:dyDescent="0.15">
      <c r="C70" s="154" t="s">
        <v>1118</v>
      </c>
      <c r="D70" t="s">
        <v>29</v>
      </c>
      <c r="E70" t="s">
        <v>30</v>
      </c>
      <c r="F70" t="s">
        <v>31</v>
      </c>
      <c r="G70" t="s">
        <v>1105</v>
      </c>
      <c r="H70" t="s">
        <v>648</v>
      </c>
      <c r="I70">
        <v>90.96</v>
      </c>
      <c r="J70">
        <v>93.71</v>
      </c>
      <c r="K70">
        <v>91.49</v>
      </c>
      <c r="L70">
        <v>46.8</v>
      </c>
      <c r="M70">
        <v>48.97</v>
      </c>
      <c r="N70">
        <v>47.56</v>
      </c>
    </row>
    <row r="71" spans="3:14" x14ac:dyDescent="0.15">
      <c r="C71" s="154" t="s">
        <v>1119</v>
      </c>
      <c r="D71" t="s">
        <v>29</v>
      </c>
      <c r="E71" t="s">
        <v>30</v>
      </c>
      <c r="F71" t="s">
        <v>31</v>
      </c>
      <c r="G71" t="s">
        <v>1105</v>
      </c>
      <c r="H71" t="s">
        <v>59</v>
      </c>
      <c r="I71">
        <v>93.76</v>
      </c>
      <c r="J71">
        <v>95.83</v>
      </c>
      <c r="K71">
        <v>94.62</v>
      </c>
      <c r="L71">
        <v>49.63</v>
      </c>
      <c r="M71">
        <v>51.07</v>
      </c>
      <c r="N71">
        <v>50.66</v>
      </c>
    </row>
    <row r="72" spans="3:14" x14ac:dyDescent="0.15">
      <c r="C72" s="154" t="s">
        <v>1119</v>
      </c>
      <c r="D72" t="s">
        <v>29</v>
      </c>
      <c r="E72" t="s">
        <v>30</v>
      </c>
      <c r="F72" t="s">
        <v>31</v>
      </c>
      <c r="G72" t="s">
        <v>1105</v>
      </c>
      <c r="H72" t="s">
        <v>60</v>
      </c>
      <c r="I72">
        <v>92.05</v>
      </c>
      <c r="J72">
        <v>94.12</v>
      </c>
      <c r="K72">
        <v>92.91</v>
      </c>
      <c r="L72">
        <v>47.92</v>
      </c>
      <c r="M72">
        <v>49.36</v>
      </c>
      <c r="N72">
        <v>48.95</v>
      </c>
    </row>
    <row r="73" spans="3:14" x14ac:dyDescent="0.15">
      <c r="C73" s="154" t="s">
        <v>1119</v>
      </c>
      <c r="D73" t="s">
        <v>29</v>
      </c>
      <c r="E73" t="s">
        <v>30</v>
      </c>
      <c r="F73" t="s">
        <v>31</v>
      </c>
      <c r="G73" t="s">
        <v>1105</v>
      </c>
      <c r="H73" t="s">
        <v>648</v>
      </c>
      <c r="I73">
        <v>90.93</v>
      </c>
      <c r="J73">
        <v>93</v>
      </c>
      <c r="K73">
        <v>91.79</v>
      </c>
      <c r="L73">
        <v>46.79</v>
      </c>
      <c r="M73">
        <v>48.23</v>
      </c>
      <c r="N73">
        <v>47.82</v>
      </c>
    </row>
    <row r="74" spans="3:14" x14ac:dyDescent="0.15">
      <c r="C74" s="154" t="s">
        <v>1107</v>
      </c>
      <c r="D74" t="s">
        <v>29</v>
      </c>
      <c r="E74" t="s">
        <v>33</v>
      </c>
      <c r="F74" t="s">
        <v>7</v>
      </c>
      <c r="G74" t="s">
        <v>123</v>
      </c>
      <c r="H74" t="s">
        <v>59</v>
      </c>
      <c r="I74">
        <v>85.91</v>
      </c>
      <c r="J74">
        <v>87.08</v>
      </c>
      <c r="K74">
        <v>86.63</v>
      </c>
      <c r="L74">
        <v>40.32</v>
      </c>
      <c r="M74">
        <v>41.43</v>
      </c>
      <c r="N74">
        <v>41.53</v>
      </c>
    </row>
    <row r="75" spans="3:14" x14ac:dyDescent="0.15">
      <c r="C75" s="154" t="s">
        <v>1107</v>
      </c>
      <c r="D75" t="s">
        <v>29</v>
      </c>
      <c r="E75" t="s">
        <v>33</v>
      </c>
      <c r="F75" t="s">
        <v>7</v>
      </c>
      <c r="G75" t="s">
        <v>123</v>
      </c>
      <c r="H75" t="s">
        <v>60</v>
      </c>
      <c r="I75">
        <v>84.2</v>
      </c>
      <c r="J75">
        <v>85.37</v>
      </c>
      <c r="K75">
        <v>84.92</v>
      </c>
      <c r="L75">
        <v>38.61</v>
      </c>
      <c r="M75">
        <v>39.72</v>
      </c>
      <c r="N75">
        <v>39.82</v>
      </c>
    </row>
    <row r="76" spans="3:14" x14ac:dyDescent="0.15">
      <c r="C76" s="154" t="s">
        <v>1107</v>
      </c>
      <c r="D76" t="s">
        <v>29</v>
      </c>
      <c r="E76" t="s">
        <v>33</v>
      </c>
      <c r="F76" t="s">
        <v>7</v>
      </c>
      <c r="G76" t="s">
        <v>123</v>
      </c>
      <c r="H76" t="s">
        <v>648</v>
      </c>
      <c r="I76">
        <v>83.08</v>
      </c>
      <c r="J76">
        <v>84.24</v>
      </c>
      <c r="K76">
        <v>83.79</v>
      </c>
      <c r="L76">
        <v>37.479999999999997</v>
      </c>
      <c r="M76">
        <v>38.590000000000003</v>
      </c>
      <c r="N76">
        <v>38.700000000000003</v>
      </c>
    </row>
    <row r="77" spans="3:14" x14ac:dyDescent="0.15">
      <c r="C77" s="154" t="s">
        <v>1108</v>
      </c>
      <c r="D77" t="s">
        <v>29</v>
      </c>
      <c r="E77" t="s">
        <v>33</v>
      </c>
      <c r="F77" t="s">
        <v>7</v>
      </c>
      <c r="G77" t="s">
        <v>123</v>
      </c>
      <c r="H77" t="s">
        <v>59</v>
      </c>
      <c r="I77">
        <v>86.43</v>
      </c>
      <c r="J77">
        <v>86.23</v>
      </c>
      <c r="K77">
        <v>86.94</v>
      </c>
      <c r="L77">
        <v>40.369999999999997</v>
      </c>
      <c r="M77">
        <v>40.64</v>
      </c>
      <c r="N77">
        <v>41.55</v>
      </c>
    </row>
    <row r="78" spans="3:14" x14ac:dyDescent="0.15">
      <c r="C78" s="154" t="s">
        <v>1108</v>
      </c>
      <c r="D78" t="s">
        <v>29</v>
      </c>
      <c r="E78" t="s">
        <v>33</v>
      </c>
      <c r="F78" t="s">
        <v>7</v>
      </c>
      <c r="G78" t="s">
        <v>123</v>
      </c>
      <c r="H78" t="s">
        <v>60</v>
      </c>
      <c r="I78">
        <v>84.72</v>
      </c>
      <c r="J78">
        <v>84.52</v>
      </c>
      <c r="K78">
        <v>85.22</v>
      </c>
      <c r="L78">
        <v>38.659999999999997</v>
      </c>
      <c r="M78">
        <v>38.93</v>
      </c>
      <c r="N78">
        <v>39.840000000000003</v>
      </c>
    </row>
    <row r="79" spans="3:14" x14ac:dyDescent="0.15">
      <c r="C79" s="154" t="s">
        <v>1108</v>
      </c>
      <c r="D79" t="s">
        <v>29</v>
      </c>
      <c r="E79" t="s">
        <v>33</v>
      </c>
      <c r="F79" t="s">
        <v>7</v>
      </c>
      <c r="G79" t="s">
        <v>123</v>
      </c>
      <c r="H79" t="s">
        <v>648</v>
      </c>
      <c r="I79">
        <v>83.6</v>
      </c>
      <c r="J79">
        <v>83.39</v>
      </c>
      <c r="K79">
        <v>84.1</v>
      </c>
      <c r="L79">
        <v>37.53</v>
      </c>
      <c r="M79">
        <v>37.799999999999997</v>
      </c>
      <c r="N79">
        <v>38.71</v>
      </c>
    </row>
    <row r="80" spans="3:14" x14ac:dyDescent="0.15">
      <c r="C80" s="154" t="s">
        <v>1109</v>
      </c>
      <c r="D80" t="s">
        <v>29</v>
      </c>
      <c r="E80" t="s">
        <v>33</v>
      </c>
      <c r="F80" t="s">
        <v>7</v>
      </c>
      <c r="G80" t="s">
        <v>123</v>
      </c>
      <c r="H80" t="s">
        <v>59</v>
      </c>
      <c r="I80">
        <v>86.78</v>
      </c>
      <c r="J80">
        <v>85.64</v>
      </c>
      <c r="K80">
        <v>87.01</v>
      </c>
      <c r="L80">
        <v>40.630000000000003</v>
      </c>
      <c r="M80">
        <v>40.21</v>
      </c>
      <c r="N80">
        <v>41.6</v>
      </c>
    </row>
    <row r="81" spans="3:14" x14ac:dyDescent="0.15">
      <c r="C81" s="154" t="s">
        <v>1109</v>
      </c>
      <c r="D81" t="s">
        <v>29</v>
      </c>
      <c r="E81" t="s">
        <v>33</v>
      </c>
      <c r="F81" t="s">
        <v>7</v>
      </c>
      <c r="G81" t="s">
        <v>123</v>
      </c>
      <c r="H81" t="s">
        <v>60</v>
      </c>
      <c r="I81">
        <v>85.07</v>
      </c>
      <c r="J81">
        <v>83.93</v>
      </c>
      <c r="K81">
        <v>85.3</v>
      </c>
      <c r="L81">
        <v>38.92</v>
      </c>
      <c r="M81">
        <v>38.5</v>
      </c>
      <c r="N81">
        <v>39.89</v>
      </c>
    </row>
    <row r="82" spans="3:14" x14ac:dyDescent="0.15">
      <c r="C82" s="154" t="s">
        <v>1109</v>
      </c>
      <c r="D82" t="s">
        <v>29</v>
      </c>
      <c r="E82" t="s">
        <v>33</v>
      </c>
      <c r="F82" t="s">
        <v>7</v>
      </c>
      <c r="G82" t="s">
        <v>123</v>
      </c>
      <c r="H82" t="s">
        <v>648</v>
      </c>
      <c r="I82">
        <v>83.95</v>
      </c>
      <c r="J82">
        <v>82.81</v>
      </c>
      <c r="K82">
        <v>84.17</v>
      </c>
      <c r="L82">
        <v>37.79</v>
      </c>
      <c r="M82">
        <v>37.380000000000003</v>
      </c>
      <c r="N82">
        <v>38.76</v>
      </c>
    </row>
    <row r="83" spans="3:14" x14ac:dyDescent="0.15">
      <c r="C83" s="154" t="s">
        <v>1110</v>
      </c>
      <c r="D83" t="s">
        <v>29</v>
      </c>
      <c r="E83" t="s">
        <v>33</v>
      </c>
      <c r="F83" t="s">
        <v>7</v>
      </c>
      <c r="G83" t="s">
        <v>123</v>
      </c>
      <c r="H83" t="s">
        <v>59</v>
      </c>
      <c r="I83">
        <v>87.05</v>
      </c>
      <c r="J83">
        <v>85.4</v>
      </c>
      <c r="K83">
        <v>87.04</v>
      </c>
      <c r="L83">
        <v>40.92</v>
      </c>
      <c r="M83">
        <v>40.159999999999997</v>
      </c>
      <c r="N83">
        <v>41.67</v>
      </c>
    </row>
    <row r="84" spans="3:14" x14ac:dyDescent="0.15">
      <c r="C84" s="154" t="s">
        <v>1110</v>
      </c>
      <c r="D84" t="s">
        <v>29</v>
      </c>
      <c r="E84" t="s">
        <v>33</v>
      </c>
      <c r="F84" t="s">
        <v>7</v>
      </c>
      <c r="G84" t="s">
        <v>123</v>
      </c>
      <c r="H84" t="s">
        <v>60</v>
      </c>
      <c r="I84">
        <v>85.33</v>
      </c>
      <c r="J84">
        <v>83.69</v>
      </c>
      <c r="K84">
        <v>85.33</v>
      </c>
      <c r="L84">
        <v>39.21</v>
      </c>
      <c r="M84">
        <v>38.450000000000003</v>
      </c>
      <c r="N84">
        <v>39.96</v>
      </c>
    </row>
    <row r="85" spans="3:14" x14ac:dyDescent="0.15">
      <c r="C85" s="154" t="s">
        <v>1110</v>
      </c>
      <c r="D85" t="s">
        <v>29</v>
      </c>
      <c r="E85" t="s">
        <v>33</v>
      </c>
      <c r="F85" t="s">
        <v>7</v>
      </c>
      <c r="G85" t="s">
        <v>123</v>
      </c>
      <c r="H85" t="s">
        <v>648</v>
      </c>
      <c r="I85">
        <v>84.21</v>
      </c>
      <c r="J85">
        <v>82.56</v>
      </c>
      <c r="K85">
        <v>84.21</v>
      </c>
      <c r="L85">
        <v>38.08</v>
      </c>
      <c r="M85">
        <v>37.32</v>
      </c>
      <c r="N85">
        <v>38.83</v>
      </c>
    </row>
    <row r="86" spans="3:14" x14ac:dyDescent="0.15">
      <c r="C86" s="154" t="s">
        <v>1111</v>
      </c>
      <c r="D86" t="s">
        <v>29</v>
      </c>
      <c r="E86" t="s">
        <v>33</v>
      </c>
      <c r="F86" t="s">
        <v>7</v>
      </c>
      <c r="G86" t="s">
        <v>123</v>
      </c>
      <c r="H86" t="s">
        <v>59</v>
      </c>
      <c r="I86">
        <v>87.24</v>
      </c>
      <c r="J86">
        <v>85.42</v>
      </c>
      <c r="K86">
        <v>87.08</v>
      </c>
      <c r="L86">
        <v>41.2</v>
      </c>
      <c r="M86">
        <v>40.46</v>
      </c>
      <c r="N86">
        <v>41.75</v>
      </c>
    </row>
    <row r="87" spans="3:14" x14ac:dyDescent="0.15">
      <c r="C87" s="154" t="s">
        <v>1111</v>
      </c>
      <c r="D87" t="s">
        <v>29</v>
      </c>
      <c r="E87" t="s">
        <v>33</v>
      </c>
      <c r="F87" t="s">
        <v>7</v>
      </c>
      <c r="G87" t="s">
        <v>123</v>
      </c>
      <c r="H87" t="s">
        <v>60</v>
      </c>
      <c r="I87">
        <v>85.52</v>
      </c>
      <c r="J87">
        <v>83.71</v>
      </c>
      <c r="K87">
        <v>85.37</v>
      </c>
      <c r="L87">
        <v>39.49</v>
      </c>
      <c r="M87">
        <v>38.75</v>
      </c>
      <c r="N87">
        <v>40.04</v>
      </c>
    </row>
    <row r="88" spans="3:14" x14ac:dyDescent="0.15">
      <c r="C88" s="154" t="s">
        <v>1111</v>
      </c>
      <c r="D88" t="s">
        <v>29</v>
      </c>
      <c r="E88" t="s">
        <v>33</v>
      </c>
      <c r="F88" t="s">
        <v>7</v>
      </c>
      <c r="G88" t="s">
        <v>123</v>
      </c>
      <c r="H88" t="s">
        <v>648</v>
      </c>
      <c r="I88">
        <v>84.4</v>
      </c>
      <c r="J88">
        <v>82.59</v>
      </c>
      <c r="K88">
        <v>84.25</v>
      </c>
      <c r="L88">
        <v>38.36</v>
      </c>
      <c r="M88">
        <v>37.630000000000003</v>
      </c>
      <c r="N88">
        <v>38.909999999999997</v>
      </c>
    </row>
    <row r="89" spans="3:14" x14ac:dyDescent="0.15">
      <c r="C89" s="154" t="s">
        <v>1112</v>
      </c>
      <c r="D89" t="s">
        <v>29</v>
      </c>
      <c r="E89" t="s">
        <v>33</v>
      </c>
      <c r="F89" t="s">
        <v>7</v>
      </c>
      <c r="G89" t="s">
        <v>123</v>
      </c>
      <c r="H89" t="s">
        <v>59</v>
      </c>
      <c r="I89">
        <v>87.23</v>
      </c>
      <c r="J89">
        <v>85.66</v>
      </c>
      <c r="K89">
        <v>87.26</v>
      </c>
      <c r="L89">
        <v>41.37</v>
      </c>
      <c r="M89">
        <v>41.09</v>
      </c>
      <c r="N89">
        <v>42.09</v>
      </c>
    </row>
    <row r="90" spans="3:14" x14ac:dyDescent="0.15">
      <c r="C90" s="154" t="s">
        <v>1112</v>
      </c>
      <c r="D90" t="s">
        <v>29</v>
      </c>
      <c r="E90" t="s">
        <v>33</v>
      </c>
      <c r="F90" t="s">
        <v>7</v>
      </c>
      <c r="G90" t="s">
        <v>123</v>
      </c>
      <c r="H90" t="s">
        <v>60</v>
      </c>
      <c r="I90">
        <v>85.52</v>
      </c>
      <c r="J90">
        <v>83.95</v>
      </c>
      <c r="K90">
        <v>85.55</v>
      </c>
      <c r="L90">
        <v>39.659999999999997</v>
      </c>
      <c r="M90">
        <v>39.380000000000003</v>
      </c>
      <c r="N90">
        <v>40.380000000000003</v>
      </c>
    </row>
    <row r="91" spans="3:14" x14ac:dyDescent="0.15">
      <c r="C91" s="154" t="s">
        <v>1112</v>
      </c>
      <c r="D91" t="s">
        <v>29</v>
      </c>
      <c r="E91" t="s">
        <v>33</v>
      </c>
      <c r="F91" t="s">
        <v>7</v>
      </c>
      <c r="G91" t="s">
        <v>123</v>
      </c>
      <c r="H91" t="s">
        <v>648</v>
      </c>
      <c r="I91">
        <v>84.4</v>
      </c>
      <c r="J91">
        <v>82.82</v>
      </c>
      <c r="K91">
        <v>84.43</v>
      </c>
      <c r="L91">
        <v>38.53</v>
      </c>
      <c r="M91">
        <v>38.25</v>
      </c>
      <c r="N91">
        <v>39.25</v>
      </c>
    </row>
    <row r="92" spans="3:14" x14ac:dyDescent="0.15">
      <c r="C92" s="154" t="s">
        <v>1113</v>
      </c>
      <c r="D92" t="s">
        <v>29</v>
      </c>
      <c r="E92" t="s">
        <v>33</v>
      </c>
      <c r="F92" t="s">
        <v>7</v>
      </c>
      <c r="G92" t="s">
        <v>123</v>
      </c>
      <c r="H92" t="s">
        <v>59</v>
      </c>
      <c r="I92">
        <v>87.47</v>
      </c>
      <c r="J92">
        <v>86.74</v>
      </c>
      <c r="K92">
        <v>87.74</v>
      </c>
      <c r="L92">
        <v>42.05</v>
      </c>
      <c r="M92">
        <v>41.97</v>
      </c>
      <c r="N92">
        <v>42.8</v>
      </c>
    </row>
    <row r="93" spans="3:14" x14ac:dyDescent="0.15">
      <c r="C93" s="154" t="s">
        <v>1113</v>
      </c>
      <c r="D93" t="s">
        <v>29</v>
      </c>
      <c r="E93" t="s">
        <v>33</v>
      </c>
      <c r="F93" t="s">
        <v>7</v>
      </c>
      <c r="G93" t="s">
        <v>123</v>
      </c>
      <c r="H93" t="s">
        <v>60</v>
      </c>
      <c r="I93">
        <v>85.76</v>
      </c>
      <c r="J93">
        <v>85.03</v>
      </c>
      <c r="K93">
        <v>86.03</v>
      </c>
      <c r="L93">
        <v>40.340000000000003</v>
      </c>
      <c r="M93">
        <v>40.26</v>
      </c>
      <c r="N93">
        <v>41.09</v>
      </c>
    </row>
    <row r="94" spans="3:14" x14ac:dyDescent="0.15">
      <c r="C94" s="154" t="s">
        <v>1113</v>
      </c>
      <c r="D94" t="s">
        <v>29</v>
      </c>
      <c r="E94" t="s">
        <v>33</v>
      </c>
      <c r="F94" t="s">
        <v>7</v>
      </c>
      <c r="G94" t="s">
        <v>123</v>
      </c>
      <c r="H94" t="s">
        <v>648</v>
      </c>
      <c r="I94">
        <v>84.63</v>
      </c>
      <c r="J94">
        <v>83.9</v>
      </c>
      <c r="K94">
        <v>84.9</v>
      </c>
      <c r="L94">
        <v>39.21</v>
      </c>
      <c r="M94">
        <v>39.130000000000003</v>
      </c>
      <c r="N94">
        <v>39.96</v>
      </c>
    </row>
    <row r="95" spans="3:14" x14ac:dyDescent="0.15">
      <c r="C95" s="154" t="s">
        <v>1114</v>
      </c>
      <c r="D95" t="s">
        <v>29</v>
      </c>
      <c r="E95" t="s">
        <v>33</v>
      </c>
      <c r="F95" t="s">
        <v>7</v>
      </c>
      <c r="G95" t="s">
        <v>123</v>
      </c>
      <c r="H95" t="s">
        <v>59</v>
      </c>
      <c r="I95">
        <v>87.35</v>
      </c>
      <c r="J95">
        <v>87.95</v>
      </c>
      <c r="K95">
        <v>87.98</v>
      </c>
      <c r="L95">
        <v>42.18</v>
      </c>
      <c r="M95">
        <v>42.93</v>
      </c>
      <c r="N95">
        <v>43.23</v>
      </c>
    </row>
    <row r="96" spans="3:14" x14ac:dyDescent="0.15">
      <c r="C96" s="154" t="s">
        <v>1114</v>
      </c>
      <c r="D96" t="s">
        <v>29</v>
      </c>
      <c r="E96" t="s">
        <v>33</v>
      </c>
      <c r="F96" t="s">
        <v>7</v>
      </c>
      <c r="G96" t="s">
        <v>123</v>
      </c>
      <c r="H96" t="s">
        <v>60</v>
      </c>
      <c r="I96">
        <v>85.64</v>
      </c>
      <c r="J96">
        <v>86.24</v>
      </c>
      <c r="K96">
        <v>86.27</v>
      </c>
      <c r="L96">
        <v>40.47</v>
      </c>
      <c r="M96">
        <v>41.22</v>
      </c>
      <c r="N96">
        <v>41.52</v>
      </c>
    </row>
    <row r="97" spans="3:14" x14ac:dyDescent="0.15">
      <c r="C97" s="154" t="s">
        <v>1114</v>
      </c>
      <c r="D97" t="s">
        <v>29</v>
      </c>
      <c r="E97" t="s">
        <v>33</v>
      </c>
      <c r="F97" t="s">
        <v>7</v>
      </c>
      <c r="G97" t="s">
        <v>123</v>
      </c>
      <c r="H97" t="s">
        <v>648</v>
      </c>
      <c r="I97">
        <v>84.51</v>
      </c>
      <c r="J97">
        <v>85.11</v>
      </c>
      <c r="K97">
        <v>85.14</v>
      </c>
      <c r="L97">
        <v>39.340000000000003</v>
      </c>
      <c r="M97">
        <v>40.090000000000003</v>
      </c>
      <c r="N97">
        <v>40.39</v>
      </c>
    </row>
    <row r="98" spans="3:14" x14ac:dyDescent="0.15">
      <c r="C98" s="154" t="s">
        <v>1115</v>
      </c>
      <c r="D98" t="s">
        <v>29</v>
      </c>
      <c r="E98" t="s">
        <v>33</v>
      </c>
      <c r="F98" t="s">
        <v>7</v>
      </c>
      <c r="G98" t="s">
        <v>123</v>
      </c>
      <c r="H98" t="s">
        <v>59</v>
      </c>
      <c r="I98">
        <v>87.38</v>
      </c>
      <c r="J98">
        <v>88.69</v>
      </c>
      <c r="K98">
        <v>88.26</v>
      </c>
      <c r="L98">
        <v>42.38</v>
      </c>
      <c r="M98">
        <v>43.58</v>
      </c>
      <c r="N98">
        <v>43.71</v>
      </c>
    </row>
    <row r="99" spans="3:14" x14ac:dyDescent="0.15">
      <c r="C99" s="154" t="s">
        <v>1115</v>
      </c>
      <c r="D99" t="s">
        <v>29</v>
      </c>
      <c r="E99" t="s">
        <v>33</v>
      </c>
      <c r="F99" t="s">
        <v>7</v>
      </c>
      <c r="G99" t="s">
        <v>123</v>
      </c>
      <c r="H99" t="s">
        <v>60</v>
      </c>
      <c r="I99">
        <v>85.67</v>
      </c>
      <c r="J99">
        <v>86.97</v>
      </c>
      <c r="K99">
        <v>86.55</v>
      </c>
      <c r="L99">
        <v>40.67</v>
      </c>
      <c r="M99">
        <v>41.87</v>
      </c>
      <c r="N99">
        <v>42</v>
      </c>
    </row>
    <row r="100" spans="3:14" x14ac:dyDescent="0.15">
      <c r="C100" s="154" t="s">
        <v>1115</v>
      </c>
      <c r="D100" t="s">
        <v>29</v>
      </c>
      <c r="E100" t="s">
        <v>33</v>
      </c>
      <c r="F100" t="s">
        <v>7</v>
      </c>
      <c r="G100" t="s">
        <v>123</v>
      </c>
      <c r="H100" t="s">
        <v>648</v>
      </c>
      <c r="I100">
        <v>84.54</v>
      </c>
      <c r="J100">
        <v>85.85</v>
      </c>
      <c r="K100">
        <v>85.42</v>
      </c>
      <c r="L100">
        <v>39.54</v>
      </c>
      <c r="M100">
        <v>40.74</v>
      </c>
      <c r="N100">
        <v>40.880000000000003</v>
      </c>
    </row>
    <row r="101" spans="3:14" x14ac:dyDescent="0.15">
      <c r="C101" s="154" t="s">
        <v>1117</v>
      </c>
      <c r="D101" t="s">
        <v>29</v>
      </c>
      <c r="E101" t="s">
        <v>33</v>
      </c>
      <c r="F101" t="s">
        <v>7</v>
      </c>
      <c r="G101" t="s">
        <v>123</v>
      </c>
      <c r="H101" t="s">
        <v>59</v>
      </c>
      <c r="I101">
        <v>87.44</v>
      </c>
      <c r="J101">
        <v>89.04</v>
      </c>
      <c r="K101">
        <v>88.62</v>
      </c>
      <c r="L101">
        <v>42.54</v>
      </c>
      <c r="M101">
        <v>43.85</v>
      </c>
      <c r="N101">
        <v>44.23</v>
      </c>
    </row>
    <row r="102" spans="3:14" x14ac:dyDescent="0.15">
      <c r="C102" s="154" t="s">
        <v>1117</v>
      </c>
      <c r="D102" t="s">
        <v>29</v>
      </c>
      <c r="E102" t="s">
        <v>33</v>
      </c>
      <c r="F102" t="s">
        <v>7</v>
      </c>
      <c r="G102" t="s">
        <v>123</v>
      </c>
      <c r="H102" t="s">
        <v>60</v>
      </c>
      <c r="I102">
        <v>85.73</v>
      </c>
      <c r="J102">
        <v>87.33</v>
      </c>
      <c r="K102">
        <v>86.91</v>
      </c>
      <c r="L102">
        <v>40.83</v>
      </c>
      <c r="M102">
        <v>42.14</v>
      </c>
      <c r="N102">
        <v>42.52</v>
      </c>
    </row>
    <row r="103" spans="3:14" x14ac:dyDescent="0.15">
      <c r="C103" s="154" t="s">
        <v>1117</v>
      </c>
      <c r="D103" t="s">
        <v>29</v>
      </c>
      <c r="E103" t="s">
        <v>33</v>
      </c>
      <c r="F103" t="s">
        <v>7</v>
      </c>
      <c r="G103" t="s">
        <v>123</v>
      </c>
      <c r="H103" t="s">
        <v>648</v>
      </c>
      <c r="I103">
        <v>84.6</v>
      </c>
      <c r="J103">
        <v>86.2</v>
      </c>
      <c r="K103">
        <v>85.79</v>
      </c>
      <c r="L103">
        <v>39.700000000000003</v>
      </c>
      <c r="M103">
        <v>41.01</v>
      </c>
      <c r="N103">
        <v>41.39</v>
      </c>
    </row>
    <row r="104" spans="3:14" x14ac:dyDescent="0.15">
      <c r="C104" s="154" t="s">
        <v>1118</v>
      </c>
      <c r="D104" t="s">
        <v>29</v>
      </c>
      <c r="E104" t="s">
        <v>33</v>
      </c>
      <c r="F104" t="s">
        <v>7</v>
      </c>
      <c r="G104" t="s">
        <v>123</v>
      </c>
      <c r="H104" t="s">
        <v>59</v>
      </c>
      <c r="I104">
        <v>87.34</v>
      </c>
      <c r="J104">
        <v>88.99</v>
      </c>
      <c r="K104">
        <v>88.84</v>
      </c>
      <c r="L104">
        <v>42.69</v>
      </c>
      <c r="M104">
        <v>43.74</v>
      </c>
      <c r="N104">
        <v>44.63</v>
      </c>
    </row>
    <row r="105" spans="3:14" x14ac:dyDescent="0.15">
      <c r="C105" s="154" t="s">
        <v>1118</v>
      </c>
      <c r="D105" t="s">
        <v>29</v>
      </c>
      <c r="E105" t="s">
        <v>33</v>
      </c>
      <c r="F105" t="s">
        <v>7</v>
      </c>
      <c r="G105" t="s">
        <v>123</v>
      </c>
      <c r="H105" t="s">
        <v>60</v>
      </c>
      <c r="I105">
        <v>85.63</v>
      </c>
      <c r="J105">
        <v>87.28</v>
      </c>
      <c r="K105">
        <v>87.13</v>
      </c>
      <c r="L105">
        <v>40.98</v>
      </c>
      <c r="M105">
        <v>42.03</v>
      </c>
      <c r="N105">
        <v>42.92</v>
      </c>
    </row>
    <row r="106" spans="3:14" x14ac:dyDescent="0.15">
      <c r="C106" s="154" t="s">
        <v>1118</v>
      </c>
      <c r="D106" t="s">
        <v>29</v>
      </c>
      <c r="E106" t="s">
        <v>33</v>
      </c>
      <c r="F106" t="s">
        <v>7</v>
      </c>
      <c r="G106" t="s">
        <v>123</v>
      </c>
      <c r="H106" t="s">
        <v>648</v>
      </c>
      <c r="I106">
        <v>84.51</v>
      </c>
      <c r="J106">
        <v>86.15</v>
      </c>
      <c r="K106">
        <v>86</v>
      </c>
      <c r="L106">
        <v>39.85</v>
      </c>
      <c r="M106">
        <v>40.9</v>
      </c>
      <c r="N106">
        <v>41.79</v>
      </c>
    </row>
    <row r="107" spans="3:14" x14ac:dyDescent="0.15">
      <c r="C107" s="154" t="s">
        <v>1119</v>
      </c>
      <c r="D107" t="s">
        <v>29</v>
      </c>
      <c r="E107" t="s">
        <v>33</v>
      </c>
      <c r="F107" t="s">
        <v>7</v>
      </c>
      <c r="G107" t="s">
        <v>123</v>
      </c>
      <c r="H107" t="s">
        <v>59</v>
      </c>
      <c r="I107">
        <v>87.21</v>
      </c>
      <c r="J107">
        <v>88.87</v>
      </c>
      <c r="K107">
        <v>89.08</v>
      </c>
      <c r="L107">
        <v>42.76</v>
      </c>
      <c r="M107">
        <v>43.58</v>
      </c>
      <c r="N107">
        <v>44.96</v>
      </c>
    </row>
    <row r="108" spans="3:14" x14ac:dyDescent="0.15">
      <c r="C108" s="154" t="s">
        <v>1119</v>
      </c>
      <c r="D108" t="s">
        <v>29</v>
      </c>
      <c r="E108" t="s">
        <v>33</v>
      </c>
      <c r="F108" t="s">
        <v>7</v>
      </c>
      <c r="G108" t="s">
        <v>123</v>
      </c>
      <c r="H108" t="s">
        <v>60</v>
      </c>
      <c r="I108">
        <v>85.49</v>
      </c>
      <c r="J108">
        <v>87.16</v>
      </c>
      <c r="K108">
        <v>87.37</v>
      </c>
      <c r="L108">
        <v>41.05</v>
      </c>
      <c r="M108">
        <v>41.87</v>
      </c>
      <c r="N108">
        <v>43.25</v>
      </c>
    </row>
    <row r="109" spans="3:14" x14ac:dyDescent="0.15">
      <c r="C109" s="154" t="s">
        <v>1119</v>
      </c>
      <c r="D109" t="s">
        <v>29</v>
      </c>
      <c r="E109" t="s">
        <v>33</v>
      </c>
      <c r="F109" t="s">
        <v>7</v>
      </c>
      <c r="G109" t="s">
        <v>123</v>
      </c>
      <c r="H109" t="s">
        <v>648</v>
      </c>
      <c r="I109">
        <v>84.37</v>
      </c>
      <c r="J109">
        <v>86.04</v>
      </c>
      <c r="K109">
        <v>86.25</v>
      </c>
      <c r="L109">
        <v>39.92</v>
      </c>
      <c r="M109">
        <v>40.74</v>
      </c>
      <c r="N109">
        <v>42.13</v>
      </c>
    </row>
    <row r="110" spans="3:14" x14ac:dyDescent="0.15">
      <c r="C110" s="154" t="s">
        <v>1107</v>
      </c>
      <c r="D110" t="s">
        <v>29</v>
      </c>
      <c r="E110" t="s">
        <v>33</v>
      </c>
      <c r="F110" t="s">
        <v>8</v>
      </c>
      <c r="G110" t="s">
        <v>120</v>
      </c>
      <c r="H110" t="s">
        <v>59</v>
      </c>
      <c r="I110">
        <v>88.1</v>
      </c>
      <c r="J110">
        <v>88.51</v>
      </c>
      <c r="K110">
        <v>89.14</v>
      </c>
      <c r="L110">
        <v>41.35</v>
      </c>
      <c r="M110">
        <v>41.74</v>
      </c>
      <c r="N110">
        <v>42.58</v>
      </c>
    </row>
    <row r="111" spans="3:14" x14ac:dyDescent="0.15">
      <c r="C111" s="154" t="s">
        <v>1107</v>
      </c>
      <c r="D111" t="s">
        <v>29</v>
      </c>
      <c r="E111" t="s">
        <v>33</v>
      </c>
      <c r="F111" t="s">
        <v>8</v>
      </c>
      <c r="G111" t="s">
        <v>120</v>
      </c>
      <c r="H111" t="s">
        <v>60</v>
      </c>
      <c r="I111">
        <v>86.39</v>
      </c>
      <c r="J111">
        <v>86.8</v>
      </c>
      <c r="K111">
        <v>87.43</v>
      </c>
      <c r="L111">
        <v>39.64</v>
      </c>
      <c r="M111">
        <v>40.03</v>
      </c>
      <c r="N111">
        <v>40.869999999999997</v>
      </c>
    </row>
    <row r="112" spans="3:14" x14ac:dyDescent="0.15">
      <c r="C112" s="154" t="s">
        <v>1107</v>
      </c>
      <c r="D112" t="s">
        <v>29</v>
      </c>
      <c r="E112" t="s">
        <v>33</v>
      </c>
      <c r="F112" t="s">
        <v>8</v>
      </c>
      <c r="G112" t="s">
        <v>120</v>
      </c>
      <c r="H112" t="s">
        <v>648</v>
      </c>
      <c r="I112">
        <v>85.27</v>
      </c>
      <c r="J112">
        <v>85.67</v>
      </c>
      <c r="K112">
        <v>86.31</v>
      </c>
      <c r="L112">
        <v>38.51</v>
      </c>
      <c r="M112">
        <v>38.9</v>
      </c>
      <c r="N112">
        <v>39.74</v>
      </c>
    </row>
    <row r="113" spans="3:14" x14ac:dyDescent="0.15">
      <c r="C113" s="154" t="s">
        <v>1108</v>
      </c>
      <c r="D113" t="s">
        <v>29</v>
      </c>
      <c r="E113" t="s">
        <v>33</v>
      </c>
      <c r="F113" t="s">
        <v>8</v>
      </c>
      <c r="G113" t="s">
        <v>120</v>
      </c>
      <c r="H113" t="s">
        <v>59</v>
      </c>
      <c r="I113">
        <v>88.75</v>
      </c>
      <c r="J113">
        <v>88.21</v>
      </c>
      <c r="K113">
        <v>89.54</v>
      </c>
      <c r="L113">
        <v>41.42</v>
      </c>
      <c r="M113">
        <v>41.4</v>
      </c>
      <c r="N113">
        <v>42.62</v>
      </c>
    </row>
    <row r="114" spans="3:14" x14ac:dyDescent="0.15">
      <c r="C114" s="154" t="s">
        <v>1108</v>
      </c>
      <c r="D114" t="s">
        <v>29</v>
      </c>
      <c r="E114" t="s">
        <v>33</v>
      </c>
      <c r="F114" t="s">
        <v>8</v>
      </c>
      <c r="G114" t="s">
        <v>120</v>
      </c>
      <c r="H114" t="s">
        <v>60</v>
      </c>
      <c r="I114">
        <v>87.04</v>
      </c>
      <c r="J114">
        <v>86.49</v>
      </c>
      <c r="K114">
        <v>87.83</v>
      </c>
      <c r="L114">
        <v>39.71</v>
      </c>
      <c r="M114">
        <v>39.69</v>
      </c>
      <c r="N114">
        <v>40.909999999999997</v>
      </c>
    </row>
    <row r="115" spans="3:14" x14ac:dyDescent="0.15">
      <c r="C115" s="154" t="s">
        <v>1108</v>
      </c>
      <c r="D115" t="s">
        <v>29</v>
      </c>
      <c r="E115" t="s">
        <v>33</v>
      </c>
      <c r="F115" t="s">
        <v>8</v>
      </c>
      <c r="G115" t="s">
        <v>120</v>
      </c>
      <c r="H115" t="s">
        <v>648</v>
      </c>
      <c r="I115">
        <v>85.92</v>
      </c>
      <c r="J115">
        <v>85.37</v>
      </c>
      <c r="K115">
        <v>86.7</v>
      </c>
      <c r="L115">
        <v>38.58</v>
      </c>
      <c r="M115">
        <v>38.56</v>
      </c>
      <c r="N115">
        <v>39.78</v>
      </c>
    </row>
    <row r="116" spans="3:14" x14ac:dyDescent="0.15">
      <c r="C116" s="154" t="s">
        <v>1109</v>
      </c>
      <c r="D116" t="s">
        <v>29</v>
      </c>
      <c r="E116" t="s">
        <v>33</v>
      </c>
      <c r="F116" t="s">
        <v>8</v>
      </c>
      <c r="G116" t="s">
        <v>120</v>
      </c>
      <c r="H116" t="s">
        <v>59</v>
      </c>
      <c r="I116">
        <v>89.26</v>
      </c>
      <c r="J116">
        <v>88.41</v>
      </c>
      <c r="K116">
        <v>89.67</v>
      </c>
      <c r="L116">
        <v>41.81</v>
      </c>
      <c r="M116">
        <v>41.62</v>
      </c>
      <c r="N116">
        <v>42.7</v>
      </c>
    </row>
    <row r="117" spans="3:14" x14ac:dyDescent="0.15">
      <c r="C117" s="154" t="s">
        <v>1109</v>
      </c>
      <c r="D117" t="s">
        <v>29</v>
      </c>
      <c r="E117" t="s">
        <v>33</v>
      </c>
      <c r="F117" t="s">
        <v>8</v>
      </c>
      <c r="G117" t="s">
        <v>120</v>
      </c>
      <c r="H117" t="s">
        <v>60</v>
      </c>
      <c r="I117">
        <v>87.55</v>
      </c>
      <c r="J117">
        <v>86.7</v>
      </c>
      <c r="K117">
        <v>87.96</v>
      </c>
      <c r="L117">
        <v>40.1</v>
      </c>
      <c r="M117">
        <v>39.909999999999997</v>
      </c>
      <c r="N117">
        <v>40.99</v>
      </c>
    </row>
    <row r="118" spans="3:14" x14ac:dyDescent="0.15">
      <c r="C118" s="154" t="s">
        <v>1109</v>
      </c>
      <c r="D118" t="s">
        <v>29</v>
      </c>
      <c r="E118" t="s">
        <v>33</v>
      </c>
      <c r="F118" t="s">
        <v>8</v>
      </c>
      <c r="G118" t="s">
        <v>120</v>
      </c>
      <c r="H118" t="s">
        <v>648</v>
      </c>
      <c r="I118">
        <v>86.43</v>
      </c>
      <c r="J118">
        <v>85.58</v>
      </c>
      <c r="K118">
        <v>86.84</v>
      </c>
      <c r="L118">
        <v>38.97</v>
      </c>
      <c r="M118">
        <v>38.78</v>
      </c>
      <c r="N118">
        <v>39.86</v>
      </c>
    </row>
    <row r="119" spans="3:14" x14ac:dyDescent="0.15">
      <c r="C119" s="154" t="s">
        <v>1110</v>
      </c>
      <c r="D119" t="s">
        <v>29</v>
      </c>
      <c r="E119" t="s">
        <v>33</v>
      </c>
      <c r="F119" t="s">
        <v>8</v>
      </c>
      <c r="G119" t="s">
        <v>120</v>
      </c>
      <c r="H119" t="s">
        <v>59</v>
      </c>
      <c r="I119">
        <v>89.67</v>
      </c>
      <c r="J119">
        <v>89.1</v>
      </c>
      <c r="K119">
        <v>89.74</v>
      </c>
      <c r="L119">
        <v>42.23</v>
      </c>
      <c r="M119">
        <v>42.37</v>
      </c>
      <c r="N119">
        <v>42.83</v>
      </c>
    </row>
    <row r="120" spans="3:14" x14ac:dyDescent="0.15">
      <c r="C120" s="154" t="s">
        <v>1110</v>
      </c>
      <c r="D120" t="s">
        <v>29</v>
      </c>
      <c r="E120" t="s">
        <v>33</v>
      </c>
      <c r="F120" t="s">
        <v>8</v>
      </c>
      <c r="G120" t="s">
        <v>120</v>
      </c>
      <c r="H120" t="s">
        <v>60</v>
      </c>
      <c r="I120">
        <v>87.95</v>
      </c>
      <c r="J120">
        <v>87.39</v>
      </c>
      <c r="K120">
        <v>88.02</v>
      </c>
      <c r="L120">
        <v>40.520000000000003</v>
      </c>
      <c r="M120">
        <v>40.659999999999997</v>
      </c>
      <c r="N120">
        <v>41.12</v>
      </c>
    </row>
    <row r="121" spans="3:14" x14ac:dyDescent="0.15">
      <c r="C121" s="154" t="s">
        <v>1110</v>
      </c>
      <c r="D121" t="s">
        <v>29</v>
      </c>
      <c r="E121" t="s">
        <v>33</v>
      </c>
      <c r="F121" t="s">
        <v>8</v>
      </c>
      <c r="G121" t="s">
        <v>120</v>
      </c>
      <c r="H121" t="s">
        <v>648</v>
      </c>
      <c r="I121">
        <v>86.83</v>
      </c>
      <c r="J121">
        <v>86.27</v>
      </c>
      <c r="K121">
        <v>86.9</v>
      </c>
      <c r="L121">
        <v>39.39</v>
      </c>
      <c r="M121">
        <v>39.53</v>
      </c>
      <c r="N121">
        <v>39.99</v>
      </c>
    </row>
    <row r="122" spans="3:14" x14ac:dyDescent="0.15">
      <c r="C122" s="154" t="s">
        <v>1111</v>
      </c>
      <c r="D122" t="s">
        <v>29</v>
      </c>
      <c r="E122" t="s">
        <v>33</v>
      </c>
      <c r="F122" t="s">
        <v>8</v>
      </c>
      <c r="G122" t="s">
        <v>120</v>
      </c>
      <c r="H122" t="s">
        <v>59</v>
      </c>
      <c r="I122">
        <v>89.93</v>
      </c>
      <c r="J122">
        <v>90</v>
      </c>
      <c r="K122">
        <v>89.81</v>
      </c>
      <c r="L122">
        <v>42.6</v>
      </c>
      <c r="M122">
        <v>43.42</v>
      </c>
      <c r="N122">
        <v>42.95</v>
      </c>
    </row>
    <row r="123" spans="3:14" x14ac:dyDescent="0.15">
      <c r="C123" s="154" t="s">
        <v>1111</v>
      </c>
      <c r="D123" t="s">
        <v>29</v>
      </c>
      <c r="E123" t="s">
        <v>33</v>
      </c>
      <c r="F123" t="s">
        <v>8</v>
      </c>
      <c r="G123" t="s">
        <v>120</v>
      </c>
      <c r="H123" t="s">
        <v>60</v>
      </c>
      <c r="I123">
        <v>88.22</v>
      </c>
      <c r="J123">
        <v>88.29</v>
      </c>
      <c r="K123">
        <v>88.1</v>
      </c>
      <c r="L123">
        <v>40.89</v>
      </c>
      <c r="M123">
        <v>41.71</v>
      </c>
      <c r="N123">
        <v>41.24</v>
      </c>
    </row>
    <row r="124" spans="3:14" x14ac:dyDescent="0.15">
      <c r="C124" s="154" t="s">
        <v>1111</v>
      </c>
      <c r="D124" t="s">
        <v>29</v>
      </c>
      <c r="E124" t="s">
        <v>33</v>
      </c>
      <c r="F124" t="s">
        <v>8</v>
      </c>
      <c r="G124" t="s">
        <v>120</v>
      </c>
      <c r="H124" t="s">
        <v>648</v>
      </c>
      <c r="I124">
        <v>87.09</v>
      </c>
      <c r="J124">
        <v>87.17</v>
      </c>
      <c r="K124">
        <v>86.98</v>
      </c>
      <c r="L124">
        <v>39.76</v>
      </c>
      <c r="M124">
        <v>40.58</v>
      </c>
      <c r="N124">
        <v>40.11</v>
      </c>
    </row>
    <row r="125" spans="3:14" x14ac:dyDescent="0.15">
      <c r="C125" s="154" t="s">
        <v>1112</v>
      </c>
      <c r="D125" t="s">
        <v>29</v>
      </c>
      <c r="E125" t="s">
        <v>33</v>
      </c>
      <c r="F125" t="s">
        <v>8</v>
      </c>
      <c r="G125" t="s">
        <v>120</v>
      </c>
      <c r="H125" t="s">
        <v>59</v>
      </c>
      <c r="I125">
        <v>89.97</v>
      </c>
      <c r="J125">
        <v>89.73</v>
      </c>
      <c r="K125">
        <v>90.07</v>
      </c>
      <c r="L125">
        <v>42.76</v>
      </c>
      <c r="M125">
        <v>43.63</v>
      </c>
      <c r="N125">
        <v>43.32</v>
      </c>
    </row>
    <row r="126" spans="3:14" x14ac:dyDescent="0.15">
      <c r="C126" s="154" t="s">
        <v>1112</v>
      </c>
      <c r="D126" t="s">
        <v>29</v>
      </c>
      <c r="E126" t="s">
        <v>33</v>
      </c>
      <c r="F126" t="s">
        <v>8</v>
      </c>
      <c r="G126" t="s">
        <v>120</v>
      </c>
      <c r="H126" t="s">
        <v>60</v>
      </c>
      <c r="I126">
        <v>88.26</v>
      </c>
      <c r="J126">
        <v>88.02</v>
      </c>
      <c r="K126">
        <v>88.36</v>
      </c>
      <c r="L126">
        <v>41.05</v>
      </c>
      <c r="M126">
        <v>41.92</v>
      </c>
      <c r="N126">
        <v>41.61</v>
      </c>
    </row>
    <row r="127" spans="3:14" x14ac:dyDescent="0.15">
      <c r="C127" s="154" t="s">
        <v>1112</v>
      </c>
      <c r="D127" t="s">
        <v>29</v>
      </c>
      <c r="E127" t="s">
        <v>33</v>
      </c>
      <c r="F127" t="s">
        <v>8</v>
      </c>
      <c r="G127" t="s">
        <v>120</v>
      </c>
      <c r="H127" t="s">
        <v>648</v>
      </c>
      <c r="I127">
        <v>87.13</v>
      </c>
      <c r="J127">
        <v>86.89</v>
      </c>
      <c r="K127">
        <v>87.23</v>
      </c>
      <c r="L127">
        <v>39.92</v>
      </c>
      <c r="M127">
        <v>40.79</v>
      </c>
      <c r="N127">
        <v>40.479999999999997</v>
      </c>
    </row>
    <row r="128" spans="3:14" x14ac:dyDescent="0.15">
      <c r="C128" s="154" t="s">
        <v>1113</v>
      </c>
      <c r="D128" t="s">
        <v>29</v>
      </c>
      <c r="E128" t="s">
        <v>33</v>
      </c>
      <c r="F128" t="s">
        <v>8</v>
      </c>
      <c r="G128" t="s">
        <v>120</v>
      </c>
      <c r="H128" t="s">
        <v>59</v>
      </c>
      <c r="I128">
        <v>90.18</v>
      </c>
      <c r="J128">
        <v>90.53</v>
      </c>
      <c r="K128">
        <v>90.55</v>
      </c>
      <c r="L128">
        <v>43.28</v>
      </c>
      <c r="M128">
        <v>43.96</v>
      </c>
      <c r="N128">
        <v>43.95</v>
      </c>
    </row>
    <row r="129" spans="3:14" x14ac:dyDescent="0.15">
      <c r="C129" s="154" t="s">
        <v>1113</v>
      </c>
      <c r="D129" t="s">
        <v>29</v>
      </c>
      <c r="E129" t="s">
        <v>33</v>
      </c>
      <c r="F129" t="s">
        <v>8</v>
      </c>
      <c r="G129" t="s">
        <v>120</v>
      </c>
      <c r="H129" t="s">
        <v>60</v>
      </c>
      <c r="I129">
        <v>88.46</v>
      </c>
      <c r="J129">
        <v>88.82</v>
      </c>
      <c r="K129">
        <v>88.84</v>
      </c>
      <c r="L129">
        <v>41.57</v>
      </c>
      <c r="M129">
        <v>42.25</v>
      </c>
      <c r="N129">
        <v>42.24</v>
      </c>
    </row>
    <row r="130" spans="3:14" x14ac:dyDescent="0.15">
      <c r="C130" s="154" t="s">
        <v>1113</v>
      </c>
      <c r="D130" t="s">
        <v>29</v>
      </c>
      <c r="E130" t="s">
        <v>33</v>
      </c>
      <c r="F130" t="s">
        <v>8</v>
      </c>
      <c r="G130" t="s">
        <v>120</v>
      </c>
      <c r="H130" t="s">
        <v>648</v>
      </c>
      <c r="I130">
        <v>87.34</v>
      </c>
      <c r="J130">
        <v>87.7</v>
      </c>
      <c r="K130">
        <v>87.71</v>
      </c>
      <c r="L130">
        <v>40.450000000000003</v>
      </c>
      <c r="M130">
        <v>41.13</v>
      </c>
      <c r="N130">
        <v>41.11</v>
      </c>
    </row>
    <row r="131" spans="3:14" x14ac:dyDescent="0.15">
      <c r="C131" s="154" t="s">
        <v>1114</v>
      </c>
      <c r="D131" t="s">
        <v>29</v>
      </c>
      <c r="E131" t="s">
        <v>33</v>
      </c>
      <c r="F131" t="s">
        <v>8</v>
      </c>
      <c r="G131" t="s">
        <v>120</v>
      </c>
      <c r="H131" t="s">
        <v>59</v>
      </c>
      <c r="I131">
        <v>90.06</v>
      </c>
      <c r="J131">
        <v>91.31</v>
      </c>
      <c r="K131">
        <v>90.81</v>
      </c>
      <c r="L131">
        <v>43.35</v>
      </c>
      <c r="M131">
        <v>44.41</v>
      </c>
      <c r="N131">
        <v>44.35</v>
      </c>
    </row>
    <row r="132" spans="3:14" x14ac:dyDescent="0.15">
      <c r="C132" s="154" t="s">
        <v>1114</v>
      </c>
      <c r="D132" t="s">
        <v>29</v>
      </c>
      <c r="E132" t="s">
        <v>33</v>
      </c>
      <c r="F132" t="s">
        <v>8</v>
      </c>
      <c r="G132" t="s">
        <v>120</v>
      </c>
      <c r="H132" t="s">
        <v>60</v>
      </c>
      <c r="I132">
        <v>88.35</v>
      </c>
      <c r="J132">
        <v>89.6</v>
      </c>
      <c r="K132">
        <v>89.09</v>
      </c>
      <c r="L132">
        <v>41.64</v>
      </c>
      <c r="M132">
        <v>42.7</v>
      </c>
      <c r="N132">
        <v>42.64</v>
      </c>
    </row>
    <row r="133" spans="3:14" x14ac:dyDescent="0.15">
      <c r="C133" s="154" t="s">
        <v>1114</v>
      </c>
      <c r="D133" t="s">
        <v>29</v>
      </c>
      <c r="E133" t="s">
        <v>33</v>
      </c>
      <c r="F133" t="s">
        <v>8</v>
      </c>
      <c r="G133" t="s">
        <v>120</v>
      </c>
      <c r="H133" t="s">
        <v>648</v>
      </c>
      <c r="I133">
        <v>87.23</v>
      </c>
      <c r="J133">
        <v>88.47</v>
      </c>
      <c r="K133">
        <v>87.97</v>
      </c>
      <c r="L133">
        <v>40.51</v>
      </c>
      <c r="M133">
        <v>41.57</v>
      </c>
      <c r="N133">
        <v>41.51</v>
      </c>
    </row>
    <row r="134" spans="3:14" x14ac:dyDescent="0.15">
      <c r="C134" s="154" t="s">
        <v>1115</v>
      </c>
      <c r="D134" t="s">
        <v>29</v>
      </c>
      <c r="E134" t="s">
        <v>33</v>
      </c>
      <c r="F134" t="s">
        <v>8</v>
      </c>
      <c r="G134" t="s">
        <v>120</v>
      </c>
      <c r="H134" t="s">
        <v>59</v>
      </c>
      <c r="I134">
        <v>90.08</v>
      </c>
      <c r="J134">
        <v>91.21</v>
      </c>
      <c r="K134">
        <v>91.11</v>
      </c>
      <c r="L134">
        <v>43.5</v>
      </c>
      <c r="M134">
        <v>44.33</v>
      </c>
      <c r="N134">
        <v>44.81</v>
      </c>
    </row>
    <row r="135" spans="3:14" x14ac:dyDescent="0.15">
      <c r="C135" s="154" t="s">
        <v>1115</v>
      </c>
      <c r="D135" t="s">
        <v>29</v>
      </c>
      <c r="E135" t="s">
        <v>33</v>
      </c>
      <c r="F135" t="s">
        <v>8</v>
      </c>
      <c r="G135" t="s">
        <v>120</v>
      </c>
      <c r="H135" t="s">
        <v>60</v>
      </c>
      <c r="I135">
        <v>88.36</v>
      </c>
      <c r="J135">
        <v>89.5</v>
      </c>
      <c r="K135">
        <v>89.39</v>
      </c>
      <c r="L135">
        <v>41.79</v>
      </c>
      <c r="M135">
        <v>42.62</v>
      </c>
      <c r="N135">
        <v>43.1</v>
      </c>
    </row>
    <row r="136" spans="3:14" x14ac:dyDescent="0.15">
      <c r="C136" s="154" t="s">
        <v>1115</v>
      </c>
      <c r="D136" t="s">
        <v>29</v>
      </c>
      <c r="E136" t="s">
        <v>33</v>
      </c>
      <c r="F136" t="s">
        <v>8</v>
      </c>
      <c r="G136" t="s">
        <v>120</v>
      </c>
      <c r="H136" t="s">
        <v>648</v>
      </c>
      <c r="I136">
        <v>87.24</v>
      </c>
      <c r="J136">
        <v>88.38</v>
      </c>
      <c r="K136">
        <v>88.27</v>
      </c>
      <c r="L136">
        <v>40.659999999999997</v>
      </c>
      <c r="M136">
        <v>41.49</v>
      </c>
      <c r="N136">
        <v>41.97</v>
      </c>
    </row>
    <row r="137" spans="3:14" x14ac:dyDescent="0.15">
      <c r="C137" s="154" t="s">
        <v>1117</v>
      </c>
      <c r="D137" t="s">
        <v>29</v>
      </c>
      <c r="E137" t="s">
        <v>33</v>
      </c>
      <c r="F137" t="s">
        <v>8</v>
      </c>
      <c r="G137" t="s">
        <v>120</v>
      </c>
      <c r="H137" t="s">
        <v>59</v>
      </c>
      <c r="I137">
        <v>90.13</v>
      </c>
      <c r="J137">
        <v>90.6</v>
      </c>
      <c r="K137">
        <v>91.46</v>
      </c>
      <c r="L137">
        <v>43.61</v>
      </c>
      <c r="M137">
        <v>43.78</v>
      </c>
      <c r="N137">
        <v>45.29</v>
      </c>
    </row>
    <row r="138" spans="3:14" x14ac:dyDescent="0.15">
      <c r="C138" s="154" t="s">
        <v>1117</v>
      </c>
      <c r="D138" t="s">
        <v>29</v>
      </c>
      <c r="E138" t="s">
        <v>33</v>
      </c>
      <c r="F138" t="s">
        <v>8</v>
      </c>
      <c r="G138" t="s">
        <v>120</v>
      </c>
      <c r="H138" t="s">
        <v>60</v>
      </c>
      <c r="I138">
        <v>88.41</v>
      </c>
      <c r="J138">
        <v>88.89</v>
      </c>
      <c r="K138">
        <v>89.75</v>
      </c>
      <c r="L138">
        <v>41.9</v>
      </c>
      <c r="M138">
        <v>42.07</v>
      </c>
      <c r="N138">
        <v>43.58</v>
      </c>
    </row>
    <row r="139" spans="3:14" x14ac:dyDescent="0.15">
      <c r="C139" s="154" t="s">
        <v>1117</v>
      </c>
      <c r="D139" t="s">
        <v>29</v>
      </c>
      <c r="E139" t="s">
        <v>33</v>
      </c>
      <c r="F139" t="s">
        <v>8</v>
      </c>
      <c r="G139" t="s">
        <v>120</v>
      </c>
      <c r="H139" t="s">
        <v>648</v>
      </c>
      <c r="I139">
        <v>87.29</v>
      </c>
      <c r="J139">
        <v>87.76</v>
      </c>
      <c r="K139">
        <v>88.63</v>
      </c>
      <c r="L139">
        <v>40.770000000000003</v>
      </c>
      <c r="M139">
        <v>40.950000000000003</v>
      </c>
      <c r="N139">
        <v>42.45</v>
      </c>
    </row>
    <row r="140" spans="3:14" x14ac:dyDescent="0.15">
      <c r="C140" s="154" t="s">
        <v>1118</v>
      </c>
      <c r="D140" t="s">
        <v>29</v>
      </c>
      <c r="E140" t="s">
        <v>33</v>
      </c>
      <c r="F140" t="s">
        <v>8</v>
      </c>
      <c r="G140" t="s">
        <v>120</v>
      </c>
      <c r="H140" t="s">
        <v>59</v>
      </c>
      <c r="I140">
        <v>90.06</v>
      </c>
      <c r="J140">
        <v>89.8</v>
      </c>
      <c r="K140">
        <v>91.71</v>
      </c>
      <c r="L140">
        <v>43.73</v>
      </c>
      <c r="M140">
        <v>43.02</v>
      </c>
      <c r="N140">
        <v>45.68</v>
      </c>
    </row>
    <row r="141" spans="3:14" x14ac:dyDescent="0.15">
      <c r="C141" s="154" t="s">
        <v>1118</v>
      </c>
      <c r="D141" t="s">
        <v>29</v>
      </c>
      <c r="E141" t="s">
        <v>33</v>
      </c>
      <c r="F141" t="s">
        <v>8</v>
      </c>
      <c r="G141" t="s">
        <v>120</v>
      </c>
      <c r="H141" t="s">
        <v>60</v>
      </c>
      <c r="I141">
        <v>88.35</v>
      </c>
      <c r="J141">
        <v>88.08</v>
      </c>
      <c r="K141">
        <v>90</v>
      </c>
      <c r="L141">
        <v>42.02</v>
      </c>
      <c r="M141">
        <v>41.31</v>
      </c>
      <c r="N141">
        <v>43.97</v>
      </c>
    </row>
    <row r="142" spans="3:14" x14ac:dyDescent="0.15">
      <c r="C142" s="154" t="s">
        <v>1118</v>
      </c>
      <c r="D142" t="s">
        <v>29</v>
      </c>
      <c r="E142" t="s">
        <v>33</v>
      </c>
      <c r="F142" t="s">
        <v>8</v>
      </c>
      <c r="G142" t="s">
        <v>120</v>
      </c>
      <c r="H142" t="s">
        <v>648</v>
      </c>
      <c r="I142">
        <v>87.22</v>
      </c>
      <c r="J142">
        <v>86.96</v>
      </c>
      <c r="K142">
        <v>88.88</v>
      </c>
      <c r="L142">
        <v>40.89</v>
      </c>
      <c r="M142">
        <v>40.18</v>
      </c>
      <c r="N142">
        <v>42.84</v>
      </c>
    </row>
    <row r="143" spans="3:14" x14ac:dyDescent="0.15">
      <c r="C143" s="154" t="s">
        <v>1119</v>
      </c>
      <c r="D143" t="s">
        <v>29</v>
      </c>
      <c r="E143" t="s">
        <v>33</v>
      </c>
      <c r="F143" t="s">
        <v>8</v>
      </c>
      <c r="G143" t="s">
        <v>120</v>
      </c>
      <c r="H143" t="s">
        <v>59</v>
      </c>
      <c r="I143">
        <v>89.98</v>
      </c>
      <c r="J143">
        <v>90.33</v>
      </c>
      <c r="K143">
        <v>91.97</v>
      </c>
      <c r="L143">
        <v>43.87</v>
      </c>
      <c r="M143">
        <v>43.38</v>
      </c>
      <c r="N143">
        <v>46.02</v>
      </c>
    </row>
    <row r="144" spans="3:14" x14ac:dyDescent="0.15">
      <c r="C144" s="154" t="s">
        <v>1119</v>
      </c>
      <c r="D144" t="s">
        <v>29</v>
      </c>
      <c r="E144" t="s">
        <v>33</v>
      </c>
      <c r="F144" t="s">
        <v>8</v>
      </c>
      <c r="G144" t="s">
        <v>120</v>
      </c>
      <c r="H144" t="s">
        <v>60</v>
      </c>
      <c r="I144">
        <v>88.27</v>
      </c>
      <c r="J144">
        <v>88.62</v>
      </c>
      <c r="K144">
        <v>90.26</v>
      </c>
      <c r="L144">
        <v>42.16</v>
      </c>
      <c r="M144">
        <v>41.67</v>
      </c>
      <c r="N144">
        <v>44.31</v>
      </c>
    </row>
    <row r="145" spans="3:14" x14ac:dyDescent="0.15">
      <c r="C145" s="154" t="s">
        <v>1119</v>
      </c>
      <c r="D145" t="s">
        <v>29</v>
      </c>
      <c r="E145" t="s">
        <v>33</v>
      </c>
      <c r="F145" t="s">
        <v>8</v>
      </c>
      <c r="G145" t="s">
        <v>120</v>
      </c>
      <c r="H145" t="s">
        <v>648</v>
      </c>
      <c r="I145">
        <v>87.14</v>
      </c>
      <c r="J145">
        <v>87.49</v>
      </c>
      <c r="K145">
        <v>89.13</v>
      </c>
      <c r="L145">
        <v>41.03</v>
      </c>
      <c r="M145">
        <v>40.54</v>
      </c>
      <c r="N145">
        <v>43.18</v>
      </c>
    </row>
    <row r="146" spans="3:14" x14ac:dyDescent="0.15">
      <c r="C146" s="154" t="s">
        <v>1107</v>
      </c>
      <c r="D146" t="s">
        <v>29</v>
      </c>
      <c r="E146" t="s">
        <v>33</v>
      </c>
      <c r="F146" t="s">
        <v>9</v>
      </c>
      <c r="G146" t="s">
        <v>120</v>
      </c>
      <c r="H146" t="s">
        <v>59</v>
      </c>
      <c r="I146">
        <v>86.77</v>
      </c>
      <c r="J146">
        <v>87.87</v>
      </c>
      <c r="K146">
        <v>87.53</v>
      </c>
      <c r="L146">
        <v>41.91</v>
      </c>
      <c r="M146">
        <v>42.95</v>
      </c>
      <c r="N146">
        <v>43.03</v>
      </c>
    </row>
    <row r="147" spans="3:14" x14ac:dyDescent="0.15">
      <c r="C147" s="154" t="s">
        <v>1107</v>
      </c>
      <c r="D147" t="s">
        <v>29</v>
      </c>
      <c r="E147" t="s">
        <v>33</v>
      </c>
      <c r="F147" t="s">
        <v>9</v>
      </c>
      <c r="G147" t="s">
        <v>120</v>
      </c>
      <c r="H147" t="s">
        <v>60</v>
      </c>
      <c r="I147">
        <v>85.06</v>
      </c>
      <c r="J147">
        <v>86.16</v>
      </c>
      <c r="K147">
        <v>85.82</v>
      </c>
      <c r="L147">
        <v>40.200000000000003</v>
      </c>
      <c r="M147">
        <v>41.24</v>
      </c>
      <c r="N147">
        <v>41.32</v>
      </c>
    </row>
    <row r="148" spans="3:14" x14ac:dyDescent="0.15">
      <c r="C148" s="154" t="s">
        <v>1107</v>
      </c>
      <c r="D148" t="s">
        <v>29</v>
      </c>
      <c r="E148" t="s">
        <v>33</v>
      </c>
      <c r="F148" t="s">
        <v>9</v>
      </c>
      <c r="G148" t="s">
        <v>120</v>
      </c>
      <c r="H148" t="s">
        <v>648</v>
      </c>
      <c r="I148">
        <v>83.94</v>
      </c>
      <c r="J148">
        <v>85.04</v>
      </c>
      <c r="K148">
        <v>84.69</v>
      </c>
      <c r="L148">
        <v>39.07</v>
      </c>
      <c r="M148">
        <v>40.11</v>
      </c>
      <c r="N148">
        <v>40.200000000000003</v>
      </c>
    </row>
    <row r="149" spans="3:14" x14ac:dyDescent="0.15">
      <c r="C149" s="154" t="s">
        <v>1108</v>
      </c>
      <c r="D149" t="s">
        <v>29</v>
      </c>
      <c r="E149" t="s">
        <v>33</v>
      </c>
      <c r="F149" t="s">
        <v>9</v>
      </c>
      <c r="G149" t="s">
        <v>120</v>
      </c>
      <c r="H149" t="s">
        <v>59</v>
      </c>
      <c r="I149">
        <v>87.39</v>
      </c>
      <c r="J149">
        <v>87.42</v>
      </c>
      <c r="K149">
        <v>87.89</v>
      </c>
      <c r="L149">
        <v>41.96</v>
      </c>
      <c r="M149">
        <v>42.54</v>
      </c>
      <c r="N149">
        <v>43.06</v>
      </c>
    </row>
    <row r="150" spans="3:14" x14ac:dyDescent="0.15">
      <c r="C150" s="154" t="s">
        <v>1108</v>
      </c>
      <c r="D150" t="s">
        <v>29</v>
      </c>
      <c r="E150" t="s">
        <v>33</v>
      </c>
      <c r="F150" t="s">
        <v>9</v>
      </c>
      <c r="G150" t="s">
        <v>120</v>
      </c>
      <c r="H150" t="s">
        <v>60</v>
      </c>
      <c r="I150">
        <v>85.68</v>
      </c>
      <c r="J150">
        <v>85.71</v>
      </c>
      <c r="K150">
        <v>86.18</v>
      </c>
      <c r="L150">
        <v>40.25</v>
      </c>
      <c r="M150">
        <v>40.83</v>
      </c>
      <c r="N150">
        <v>41.35</v>
      </c>
    </row>
    <row r="151" spans="3:14" x14ac:dyDescent="0.15">
      <c r="C151" s="154" t="s">
        <v>1108</v>
      </c>
      <c r="D151" t="s">
        <v>29</v>
      </c>
      <c r="E151" t="s">
        <v>33</v>
      </c>
      <c r="F151" t="s">
        <v>9</v>
      </c>
      <c r="G151" t="s">
        <v>120</v>
      </c>
      <c r="H151" t="s">
        <v>648</v>
      </c>
      <c r="I151">
        <v>84.56</v>
      </c>
      <c r="J151">
        <v>84.59</v>
      </c>
      <c r="K151">
        <v>85.06</v>
      </c>
      <c r="L151">
        <v>39.130000000000003</v>
      </c>
      <c r="M151">
        <v>39.700000000000003</v>
      </c>
      <c r="N151">
        <v>40.22</v>
      </c>
    </row>
    <row r="152" spans="3:14" x14ac:dyDescent="0.15">
      <c r="C152" s="154" t="s">
        <v>1109</v>
      </c>
      <c r="D152" t="s">
        <v>29</v>
      </c>
      <c r="E152" t="s">
        <v>33</v>
      </c>
      <c r="F152" t="s">
        <v>9</v>
      </c>
      <c r="G152" t="s">
        <v>120</v>
      </c>
      <c r="H152" t="s">
        <v>59</v>
      </c>
      <c r="I152">
        <v>87.77</v>
      </c>
      <c r="J152">
        <v>87.15</v>
      </c>
      <c r="K152">
        <v>87.98</v>
      </c>
      <c r="L152">
        <v>42.23</v>
      </c>
      <c r="M152">
        <v>42.39</v>
      </c>
      <c r="N152">
        <v>43.1</v>
      </c>
    </row>
    <row r="153" spans="3:14" x14ac:dyDescent="0.15">
      <c r="C153" s="154" t="s">
        <v>1109</v>
      </c>
      <c r="D153" t="s">
        <v>29</v>
      </c>
      <c r="E153" t="s">
        <v>33</v>
      </c>
      <c r="F153" t="s">
        <v>9</v>
      </c>
      <c r="G153" t="s">
        <v>120</v>
      </c>
      <c r="H153" t="s">
        <v>60</v>
      </c>
      <c r="I153">
        <v>86.06</v>
      </c>
      <c r="J153">
        <v>85.44</v>
      </c>
      <c r="K153">
        <v>86.26</v>
      </c>
      <c r="L153">
        <v>40.520000000000003</v>
      </c>
      <c r="M153">
        <v>40.68</v>
      </c>
      <c r="N153">
        <v>41.39</v>
      </c>
    </row>
    <row r="154" spans="3:14" x14ac:dyDescent="0.15">
      <c r="C154" s="154" t="s">
        <v>1109</v>
      </c>
      <c r="D154" t="s">
        <v>29</v>
      </c>
      <c r="E154" t="s">
        <v>33</v>
      </c>
      <c r="F154" t="s">
        <v>9</v>
      </c>
      <c r="G154" t="s">
        <v>120</v>
      </c>
      <c r="H154" t="s">
        <v>648</v>
      </c>
      <c r="I154">
        <v>84.94</v>
      </c>
      <c r="J154">
        <v>84.32</v>
      </c>
      <c r="K154">
        <v>85.14</v>
      </c>
      <c r="L154">
        <v>39.39</v>
      </c>
      <c r="M154">
        <v>39.549999999999997</v>
      </c>
      <c r="N154">
        <v>40.26</v>
      </c>
    </row>
    <row r="155" spans="3:14" x14ac:dyDescent="0.15">
      <c r="C155" s="154" t="s">
        <v>1110</v>
      </c>
      <c r="D155" t="s">
        <v>29</v>
      </c>
      <c r="E155" t="s">
        <v>33</v>
      </c>
      <c r="F155" t="s">
        <v>9</v>
      </c>
      <c r="G155" t="s">
        <v>120</v>
      </c>
      <c r="H155" t="s">
        <v>59</v>
      </c>
      <c r="I155">
        <v>88.06</v>
      </c>
      <c r="J155">
        <v>87.1</v>
      </c>
      <c r="K155">
        <v>88.02</v>
      </c>
      <c r="L155">
        <v>42.53</v>
      </c>
      <c r="M155">
        <v>42.49</v>
      </c>
      <c r="N155">
        <v>43.17</v>
      </c>
    </row>
    <row r="156" spans="3:14" x14ac:dyDescent="0.15">
      <c r="C156" s="154" t="s">
        <v>1110</v>
      </c>
      <c r="D156" t="s">
        <v>29</v>
      </c>
      <c r="E156" t="s">
        <v>33</v>
      </c>
      <c r="F156" t="s">
        <v>9</v>
      </c>
      <c r="G156" t="s">
        <v>120</v>
      </c>
      <c r="H156" t="s">
        <v>60</v>
      </c>
      <c r="I156">
        <v>86.34</v>
      </c>
      <c r="J156">
        <v>85.38</v>
      </c>
      <c r="K156">
        <v>86.31</v>
      </c>
      <c r="L156">
        <v>40.82</v>
      </c>
      <c r="M156">
        <v>40.78</v>
      </c>
      <c r="N156">
        <v>41.46</v>
      </c>
    </row>
    <row r="157" spans="3:14" x14ac:dyDescent="0.15">
      <c r="C157" s="154" t="s">
        <v>1110</v>
      </c>
      <c r="D157" t="s">
        <v>29</v>
      </c>
      <c r="E157" t="s">
        <v>33</v>
      </c>
      <c r="F157" t="s">
        <v>9</v>
      </c>
      <c r="G157" t="s">
        <v>120</v>
      </c>
      <c r="H157" t="s">
        <v>648</v>
      </c>
      <c r="I157">
        <v>85.22</v>
      </c>
      <c r="J157">
        <v>84.26</v>
      </c>
      <c r="K157">
        <v>85.18</v>
      </c>
      <c r="L157">
        <v>39.700000000000003</v>
      </c>
      <c r="M157">
        <v>39.65</v>
      </c>
      <c r="N157">
        <v>40.33</v>
      </c>
    </row>
    <row r="158" spans="3:14" x14ac:dyDescent="0.15">
      <c r="C158" s="154" t="s">
        <v>1111</v>
      </c>
      <c r="D158" t="s">
        <v>29</v>
      </c>
      <c r="E158" t="s">
        <v>33</v>
      </c>
      <c r="F158" t="s">
        <v>9</v>
      </c>
      <c r="G158" t="s">
        <v>120</v>
      </c>
      <c r="H158" t="s">
        <v>59</v>
      </c>
      <c r="I158">
        <v>88.26</v>
      </c>
      <c r="J158">
        <v>87.07</v>
      </c>
      <c r="K158">
        <v>88.07</v>
      </c>
      <c r="L158">
        <v>42.82</v>
      </c>
      <c r="M158">
        <v>42.7</v>
      </c>
      <c r="N158">
        <v>43.27</v>
      </c>
    </row>
    <row r="159" spans="3:14" x14ac:dyDescent="0.15">
      <c r="C159" s="154" t="s">
        <v>1111</v>
      </c>
      <c r="D159" t="s">
        <v>29</v>
      </c>
      <c r="E159" t="s">
        <v>33</v>
      </c>
      <c r="F159" t="s">
        <v>9</v>
      </c>
      <c r="G159" t="s">
        <v>120</v>
      </c>
      <c r="H159" t="s">
        <v>60</v>
      </c>
      <c r="I159">
        <v>86.55</v>
      </c>
      <c r="J159">
        <v>85.36</v>
      </c>
      <c r="K159">
        <v>86.36</v>
      </c>
      <c r="L159">
        <v>41.11</v>
      </c>
      <c r="M159">
        <v>40.99</v>
      </c>
      <c r="N159">
        <v>41.56</v>
      </c>
    </row>
    <row r="160" spans="3:14" x14ac:dyDescent="0.15">
      <c r="C160" s="154" t="s">
        <v>1111</v>
      </c>
      <c r="D160" t="s">
        <v>29</v>
      </c>
      <c r="E160" t="s">
        <v>33</v>
      </c>
      <c r="F160" t="s">
        <v>9</v>
      </c>
      <c r="G160" t="s">
        <v>120</v>
      </c>
      <c r="H160" t="s">
        <v>648</v>
      </c>
      <c r="I160">
        <v>85.43</v>
      </c>
      <c r="J160">
        <v>84.24</v>
      </c>
      <c r="K160">
        <v>85.24</v>
      </c>
      <c r="L160">
        <v>39.979999999999997</v>
      </c>
      <c r="M160">
        <v>39.86</v>
      </c>
      <c r="N160">
        <v>40.43</v>
      </c>
    </row>
    <row r="161" spans="3:14" x14ac:dyDescent="0.15">
      <c r="C161" s="154" t="s">
        <v>1112</v>
      </c>
      <c r="D161" t="s">
        <v>29</v>
      </c>
      <c r="E161" t="s">
        <v>33</v>
      </c>
      <c r="F161" t="s">
        <v>9</v>
      </c>
      <c r="G161" t="s">
        <v>120</v>
      </c>
      <c r="H161" t="s">
        <v>59</v>
      </c>
      <c r="I161">
        <v>88.28</v>
      </c>
      <c r="J161">
        <v>86.91</v>
      </c>
      <c r="K161">
        <v>88.29</v>
      </c>
      <c r="L161">
        <v>42.99</v>
      </c>
      <c r="M161">
        <v>42.97</v>
      </c>
      <c r="N161">
        <v>43.62</v>
      </c>
    </row>
    <row r="162" spans="3:14" x14ac:dyDescent="0.15">
      <c r="C162" s="154" t="s">
        <v>1112</v>
      </c>
      <c r="D162" t="s">
        <v>29</v>
      </c>
      <c r="E162" t="s">
        <v>33</v>
      </c>
      <c r="F162" t="s">
        <v>9</v>
      </c>
      <c r="G162" t="s">
        <v>120</v>
      </c>
      <c r="H162" t="s">
        <v>60</v>
      </c>
      <c r="I162">
        <v>86.57</v>
      </c>
      <c r="J162">
        <v>85.2</v>
      </c>
      <c r="K162">
        <v>86.58</v>
      </c>
      <c r="L162">
        <v>41.28</v>
      </c>
      <c r="M162">
        <v>41.26</v>
      </c>
      <c r="N162">
        <v>41.91</v>
      </c>
    </row>
    <row r="163" spans="3:14" x14ac:dyDescent="0.15">
      <c r="C163" s="154" t="s">
        <v>1112</v>
      </c>
      <c r="D163" t="s">
        <v>29</v>
      </c>
      <c r="E163" t="s">
        <v>33</v>
      </c>
      <c r="F163" t="s">
        <v>9</v>
      </c>
      <c r="G163" t="s">
        <v>120</v>
      </c>
      <c r="H163" t="s">
        <v>648</v>
      </c>
      <c r="I163">
        <v>85.44</v>
      </c>
      <c r="J163">
        <v>84.08</v>
      </c>
      <c r="K163">
        <v>85.46</v>
      </c>
      <c r="L163">
        <v>40.15</v>
      </c>
      <c r="M163">
        <v>40.130000000000003</v>
      </c>
      <c r="N163">
        <v>40.78</v>
      </c>
    </row>
    <row r="164" spans="3:14" x14ac:dyDescent="0.15">
      <c r="C164" s="154" t="s">
        <v>1113</v>
      </c>
      <c r="D164" t="s">
        <v>29</v>
      </c>
      <c r="E164" t="s">
        <v>33</v>
      </c>
      <c r="F164" t="s">
        <v>9</v>
      </c>
      <c r="G164" t="s">
        <v>120</v>
      </c>
      <c r="H164" t="s">
        <v>59</v>
      </c>
      <c r="I164">
        <v>88.47</v>
      </c>
      <c r="J164">
        <v>87.81</v>
      </c>
      <c r="K164">
        <v>88.75</v>
      </c>
      <c r="L164">
        <v>43.55</v>
      </c>
      <c r="M164">
        <v>43.46</v>
      </c>
      <c r="N164">
        <v>44.26</v>
      </c>
    </row>
    <row r="165" spans="3:14" x14ac:dyDescent="0.15">
      <c r="C165" s="154" t="s">
        <v>1113</v>
      </c>
      <c r="D165" t="s">
        <v>29</v>
      </c>
      <c r="E165" t="s">
        <v>33</v>
      </c>
      <c r="F165" t="s">
        <v>9</v>
      </c>
      <c r="G165" t="s">
        <v>120</v>
      </c>
      <c r="H165" t="s">
        <v>60</v>
      </c>
      <c r="I165">
        <v>86.76</v>
      </c>
      <c r="J165">
        <v>86.1</v>
      </c>
      <c r="K165">
        <v>87.03</v>
      </c>
      <c r="L165">
        <v>41.84</v>
      </c>
      <c r="M165">
        <v>41.75</v>
      </c>
      <c r="N165">
        <v>42.55</v>
      </c>
    </row>
    <row r="166" spans="3:14" x14ac:dyDescent="0.15">
      <c r="C166" s="154" t="s">
        <v>1113</v>
      </c>
      <c r="D166" t="s">
        <v>29</v>
      </c>
      <c r="E166" t="s">
        <v>33</v>
      </c>
      <c r="F166" t="s">
        <v>9</v>
      </c>
      <c r="G166" t="s">
        <v>120</v>
      </c>
      <c r="H166" t="s">
        <v>648</v>
      </c>
      <c r="I166">
        <v>85.64</v>
      </c>
      <c r="J166">
        <v>84.98</v>
      </c>
      <c r="K166">
        <v>85.91</v>
      </c>
      <c r="L166">
        <v>40.71</v>
      </c>
      <c r="M166">
        <v>40.630000000000003</v>
      </c>
      <c r="N166">
        <v>41.42</v>
      </c>
    </row>
    <row r="167" spans="3:14" x14ac:dyDescent="0.15">
      <c r="C167" s="154" t="s">
        <v>1114</v>
      </c>
      <c r="D167" t="s">
        <v>29</v>
      </c>
      <c r="E167" t="s">
        <v>33</v>
      </c>
      <c r="F167" t="s">
        <v>9</v>
      </c>
      <c r="G167" t="s">
        <v>120</v>
      </c>
      <c r="H167" t="s">
        <v>59</v>
      </c>
      <c r="I167">
        <v>88.37</v>
      </c>
      <c r="J167">
        <v>88.68</v>
      </c>
      <c r="K167">
        <v>89.01</v>
      </c>
      <c r="L167">
        <v>43.66</v>
      </c>
      <c r="M167">
        <v>43.97</v>
      </c>
      <c r="N167">
        <v>44.67</v>
      </c>
    </row>
    <row r="168" spans="3:14" x14ac:dyDescent="0.15">
      <c r="C168" s="154" t="s">
        <v>1114</v>
      </c>
      <c r="D168" t="s">
        <v>29</v>
      </c>
      <c r="E168" t="s">
        <v>33</v>
      </c>
      <c r="F168" t="s">
        <v>9</v>
      </c>
      <c r="G168" t="s">
        <v>120</v>
      </c>
      <c r="H168" t="s">
        <v>60</v>
      </c>
      <c r="I168">
        <v>86.66</v>
      </c>
      <c r="J168">
        <v>86.97</v>
      </c>
      <c r="K168">
        <v>87.29</v>
      </c>
      <c r="L168">
        <v>41.95</v>
      </c>
      <c r="M168">
        <v>42.26</v>
      </c>
      <c r="N168">
        <v>42.96</v>
      </c>
    </row>
    <row r="169" spans="3:14" x14ac:dyDescent="0.15">
      <c r="C169" s="154" t="s">
        <v>1114</v>
      </c>
      <c r="D169" t="s">
        <v>29</v>
      </c>
      <c r="E169" t="s">
        <v>33</v>
      </c>
      <c r="F169" t="s">
        <v>9</v>
      </c>
      <c r="G169" t="s">
        <v>120</v>
      </c>
      <c r="H169" t="s">
        <v>648</v>
      </c>
      <c r="I169">
        <v>85.54</v>
      </c>
      <c r="J169">
        <v>85.85</v>
      </c>
      <c r="K169">
        <v>86.17</v>
      </c>
      <c r="L169">
        <v>40.82</v>
      </c>
      <c r="M169">
        <v>41.13</v>
      </c>
      <c r="N169">
        <v>41.83</v>
      </c>
    </row>
    <row r="170" spans="3:14" x14ac:dyDescent="0.15">
      <c r="C170" s="154" t="s">
        <v>1115</v>
      </c>
      <c r="D170" t="s">
        <v>29</v>
      </c>
      <c r="E170" t="s">
        <v>33</v>
      </c>
      <c r="F170" t="s">
        <v>9</v>
      </c>
      <c r="G170" t="s">
        <v>120</v>
      </c>
      <c r="H170" t="s">
        <v>59</v>
      </c>
      <c r="I170">
        <v>88.4</v>
      </c>
      <c r="J170">
        <v>89.06</v>
      </c>
      <c r="K170">
        <v>89.28</v>
      </c>
      <c r="L170">
        <v>43.84</v>
      </c>
      <c r="M170">
        <v>44.28</v>
      </c>
      <c r="N170">
        <v>45.11</v>
      </c>
    </row>
    <row r="171" spans="3:14" x14ac:dyDescent="0.15">
      <c r="C171" s="154" t="s">
        <v>1115</v>
      </c>
      <c r="D171" t="s">
        <v>29</v>
      </c>
      <c r="E171" t="s">
        <v>33</v>
      </c>
      <c r="F171" t="s">
        <v>9</v>
      </c>
      <c r="G171" t="s">
        <v>120</v>
      </c>
      <c r="H171" t="s">
        <v>60</v>
      </c>
      <c r="I171">
        <v>86.69</v>
      </c>
      <c r="J171">
        <v>87.35</v>
      </c>
      <c r="K171">
        <v>87.57</v>
      </c>
      <c r="L171">
        <v>42.13</v>
      </c>
      <c r="M171">
        <v>42.57</v>
      </c>
      <c r="N171">
        <v>43.4</v>
      </c>
    </row>
    <row r="172" spans="3:14" x14ac:dyDescent="0.15">
      <c r="C172" s="154" t="s">
        <v>1115</v>
      </c>
      <c r="D172" t="s">
        <v>29</v>
      </c>
      <c r="E172" t="s">
        <v>33</v>
      </c>
      <c r="F172" t="s">
        <v>9</v>
      </c>
      <c r="G172" t="s">
        <v>120</v>
      </c>
      <c r="H172" t="s">
        <v>648</v>
      </c>
      <c r="I172">
        <v>85.57</v>
      </c>
      <c r="J172">
        <v>86.23</v>
      </c>
      <c r="K172">
        <v>86.44</v>
      </c>
      <c r="L172">
        <v>41</v>
      </c>
      <c r="M172">
        <v>41.45</v>
      </c>
      <c r="N172">
        <v>42.27</v>
      </c>
    </row>
    <row r="173" spans="3:14" x14ac:dyDescent="0.15">
      <c r="C173" s="154" t="s">
        <v>1117</v>
      </c>
      <c r="D173" t="s">
        <v>29</v>
      </c>
      <c r="E173" t="s">
        <v>33</v>
      </c>
      <c r="F173" t="s">
        <v>9</v>
      </c>
      <c r="G173" t="s">
        <v>120</v>
      </c>
      <c r="H173" t="s">
        <v>59</v>
      </c>
      <c r="I173">
        <v>88.45</v>
      </c>
      <c r="J173">
        <v>89.2</v>
      </c>
      <c r="K173">
        <v>89.63</v>
      </c>
      <c r="L173">
        <v>43.98</v>
      </c>
      <c r="M173">
        <v>44.37</v>
      </c>
      <c r="N173">
        <v>45.6</v>
      </c>
    </row>
    <row r="174" spans="3:14" x14ac:dyDescent="0.15">
      <c r="C174" s="154" t="s">
        <v>1117</v>
      </c>
      <c r="D174" t="s">
        <v>29</v>
      </c>
      <c r="E174" t="s">
        <v>33</v>
      </c>
      <c r="F174" t="s">
        <v>9</v>
      </c>
      <c r="G174" t="s">
        <v>120</v>
      </c>
      <c r="H174" t="s">
        <v>60</v>
      </c>
      <c r="I174">
        <v>86.74</v>
      </c>
      <c r="J174">
        <v>87.49</v>
      </c>
      <c r="K174">
        <v>87.92</v>
      </c>
      <c r="L174">
        <v>42.27</v>
      </c>
      <c r="M174">
        <v>42.66</v>
      </c>
      <c r="N174">
        <v>43.89</v>
      </c>
    </row>
    <row r="175" spans="3:14" x14ac:dyDescent="0.15">
      <c r="C175" s="154" t="s">
        <v>1117</v>
      </c>
      <c r="D175" t="s">
        <v>29</v>
      </c>
      <c r="E175" t="s">
        <v>33</v>
      </c>
      <c r="F175" t="s">
        <v>9</v>
      </c>
      <c r="G175" t="s">
        <v>120</v>
      </c>
      <c r="H175" t="s">
        <v>648</v>
      </c>
      <c r="I175">
        <v>85.62</v>
      </c>
      <c r="J175">
        <v>86.37</v>
      </c>
      <c r="K175">
        <v>86.8</v>
      </c>
      <c r="L175">
        <v>41.14</v>
      </c>
      <c r="M175">
        <v>41.53</v>
      </c>
      <c r="N175">
        <v>42.76</v>
      </c>
    </row>
    <row r="176" spans="3:14" x14ac:dyDescent="0.15">
      <c r="C176" s="154" t="s">
        <v>1118</v>
      </c>
      <c r="D176" t="s">
        <v>29</v>
      </c>
      <c r="E176" t="s">
        <v>33</v>
      </c>
      <c r="F176" t="s">
        <v>9</v>
      </c>
      <c r="G176" t="s">
        <v>120</v>
      </c>
      <c r="H176" t="s">
        <v>59</v>
      </c>
      <c r="I176">
        <v>88.28</v>
      </c>
      <c r="J176">
        <v>89.18</v>
      </c>
      <c r="K176">
        <v>89.8</v>
      </c>
      <c r="L176">
        <v>44.09</v>
      </c>
      <c r="M176">
        <v>44.35</v>
      </c>
      <c r="N176">
        <v>45.97</v>
      </c>
    </row>
    <row r="177" spans="3:14" x14ac:dyDescent="0.15">
      <c r="C177" s="154" t="s">
        <v>1118</v>
      </c>
      <c r="D177" t="s">
        <v>29</v>
      </c>
      <c r="E177" t="s">
        <v>33</v>
      </c>
      <c r="F177" t="s">
        <v>9</v>
      </c>
      <c r="G177" t="s">
        <v>120</v>
      </c>
      <c r="H177" t="s">
        <v>60</v>
      </c>
      <c r="I177">
        <v>86.57</v>
      </c>
      <c r="J177">
        <v>87.47</v>
      </c>
      <c r="K177">
        <v>88.09</v>
      </c>
      <c r="L177">
        <v>42.38</v>
      </c>
      <c r="M177">
        <v>42.64</v>
      </c>
      <c r="N177">
        <v>44.26</v>
      </c>
    </row>
    <row r="178" spans="3:14" x14ac:dyDescent="0.15">
      <c r="C178" s="154" t="s">
        <v>1118</v>
      </c>
      <c r="D178" t="s">
        <v>29</v>
      </c>
      <c r="E178" t="s">
        <v>33</v>
      </c>
      <c r="F178" t="s">
        <v>9</v>
      </c>
      <c r="G178" t="s">
        <v>120</v>
      </c>
      <c r="H178" t="s">
        <v>648</v>
      </c>
      <c r="I178">
        <v>85.44</v>
      </c>
      <c r="J178">
        <v>86.35</v>
      </c>
      <c r="K178">
        <v>86.97</v>
      </c>
      <c r="L178">
        <v>41.25</v>
      </c>
      <c r="M178">
        <v>41.51</v>
      </c>
      <c r="N178">
        <v>43.13</v>
      </c>
    </row>
    <row r="179" spans="3:14" x14ac:dyDescent="0.15">
      <c r="C179" s="154" t="s">
        <v>1119</v>
      </c>
      <c r="D179" t="s">
        <v>29</v>
      </c>
      <c r="E179" t="s">
        <v>33</v>
      </c>
      <c r="F179" t="s">
        <v>9</v>
      </c>
      <c r="G179" t="s">
        <v>120</v>
      </c>
      <c r="H179" t="s">
        <v>59</v>
      </c>
      <c r="I179">
        <v>88.13</v>
      </c>
      <c r="J179">
        <v>89.55</v>
      </c>
      <c r="K179">
        <v>90.04</v>
      </c>
      <c r="L179">
        <v>44.17</v>
      </c>
      <c r="M179">
        <v>44.62</v>
      </c>
      <c r="N179">
        <v>46.31</v>
      </c>
    </row>
    <row r="180" spans="3:14" x14ac:dyDescent="0.15">
      <c r="C180" s="154" t="s">
        <v>1119</v>
      </c>
      <c r="D180" t="s">
        <v>29</v>
      </c>
      <c r="E180" t="s">
        <v>33</v>
      </c>
      <c r="F180" t="s">
        <v>9</v>
      </c>
      <c r="G180" t="s">
        <v>120</v>
      </c>
      <c r="H180" t="s">
        <v>60</v>
      </c>
      <c r="I180">
        <v>86.42</v>
      </c>
      <c r="J180">
        <v>87.84</v>
      </c>
      <c r="K180">
        <v>88.33</v>
      </c>
      <c r="L180">
        <v>42.46</v>
      </c>
      <c r="M180">
        <v>42.91</v>
      </c>
      <c r="N180">
        <v>44.6</v>
      </c>
    </row>
    <row r="181" spans="3:14" x14ac:dyDescent="0.15">
      <c r="C181" s="154" t="s">
        <v>1119</v>
      </c>
      <c r="D181" t="s">
        <v>29</v>
      </c>
      <c r="E181" t="s">
        <v>33</v>
      </c>
      <c r="F181" t="s">
        <v>9</v>
      </c>
      <c r="G181" t="s">
        <v>120</v>
      </c>
      <c r="H181" t="s">
        <v>648</v>
      </c>
      <c r="I181">
        <v>85.3</v>
      </c>
      <c r="J181">
        <v>86.72</v>
      </c>
      <c r="K181">
        <v>87.2</v>
      </c>
      <c r="L181">
        <v>41.33</v>
      </c>
      <c r="M181">
        <v>41.78</v>
      </c>
      <c r="N181">
        <v>43.47</v>
      </c>
    </row>
    <row r="182" spans="3:14" x14ac:dyDescent="0.15">
      <c r="C182" s="154" t="s">
        <v>1107</v>
      </c>
      <c r="D182" t="s">
        <v>29</v>
      </c>
      <c r="E182" t="s">
        <v>34</v>
      </c>
      <c r="F182" t="s">
        <v>35</v>
      </c>
      <c r="G182" t="s">
        <v>197</v>
      </c>
      <c r="H182" t="s">
        <v>59</v>
      </c>
      <c r="I182">
        <v>107.49</v>
      </c>
      <c r="J182">
        <v>109</v>
      </c>
      <c r="K182">
        <v>109.07</v>
      </c>
      <c r="L182">
        <v>62.58</v>
      </c>
      <c r="M182">
        <v>63.97</v>
      </c>
      <c r="N182">
        <v>64.56</v>
      </c>
    </row>
    <row r="183" spans="3:14" x14ac:dyDescent="0.15">
      <c r="C183" s="154" t="s">
        <v>1107</v>
      </c>
      <c r="D183" t="s">
        <v>29</v>
      </c>
      <c r="E183" t="s">
        <v>34</v>
      </c>
      <c r="F183" t="s">
        <v>35</v>
      </c>
      <c r="G183" t="s">
        <v>197</v>
      </c>
      <c r="H183" t="s">
        <v>60</v>
      </c>
      <c r="I183">
        <v>105.78</v>
      </c>
      <c r="J183">
        <v>107.29</v>
      </c>
      <c r="K183">
        <v>107.35</v>
      </c>
      <c r="L183">
        <v>60.87</v>
      </c>
      <c r="M183">
        <v>62.26</v>
      </c>
      <c r="N183">
        <v>62.85</v>
      </c>
    </row>
    <row r="184" spans="3:14" x14ac:dyDescent="0.15">
      <c r="C184" s="154" t="s">
        <v>1107</v>
      </c>
      <c r="D184" t="s">
        <v>29</v>
      </c>
      <c r="E184" t="s">
        <v>34</v>
      </c>
      <c r="F184" t="s">
        <v>35</v>
      </c>
      <c r="G184" t="s">
        <v>197</v>
      </c>
      <c r="H184" t="s">
        <v>648</v>
      </c>
      <c r="I184">
        <v>104.65</v>
      </c>
      <c r="J184">
        <v>106.16</v>
      </c>
      <c r="K184">
        <v>106.23</v>
      </c>
      <c r="L184">
        <v>59.74</v>
      </c>
      <c r="M184">
        <v>61.13</v>
      </c>
      <c r="N184">
        <v>61.72</v>
      </c>
    </row>
    <row r="185" spans="3:14" x14ac:dyDescent="0.15">
      <c r="C185" s="154" t="s">
        <v>1108</v>
      </c>
      <c r="D185" t="s">
        <v>29</v>
      </c>
      <c r="E185" t="s">
        <v>34</v>
      </c>
      <c r="F185" t="s">
        <v>35</v>
      </c>
      <c r="G185" t="s">
        <v>197</v>
      </c>
      <c r="H185" t="s">
        <v>59</v>
      </c>
      <c r="I185">
        <v>108.76</v>
      </c>
      <c r="J185">
        <v>108.49</v>
      </c>
      <c r="K185">
        <v>109.75</v>
      </c>
      <c r="L185">
        <v>63.23</v>
      </c>
      <c r="M185">
        <v>63.48</v>
      </c>
      <c r="N185">
        <v>64.88</v>
      </c>
    </row>
    <row r="186" spans="3:14" x14ac:dyDescent="0.15">
      <c r="C186" s="154" t="s">
        <v>1108</v>
      </c>
      <c r="D186" t="s">
        <v>29</v>
      </c>
      <c r="E186" t="s">
        <v>34</v>
      </c>
      <c r="F186" t="s">
        <v>35</v>
      </c>
      <c r="G186" t="s">
        <v>197</v>
      </c>
      <c r="H186" t="s">
        <v>60</v>
      </c>
      <c r="I186">
        <v>107.05</v>
      </c>
      <c r="J186">
        <v>106.78</v>
      </c>
      <c r="K186">
        <v>108.04</v>
      </c>
      <c r="L186">
        <v>61.52</v>
      </c>
      <c r="M186">
        <v>61.77</v>
      </c>
      <c r="N186">
        <v>63.17</v>
      </c>
    </row>
    <row r="187" spans="3:14" x14ac:dyDescent="0.15">
      <c r="C187" s="154" t="s">
        <v>1108</v>
      </c>
      <c r="D187" t="s">
        <v>29</v>
      </c>
      <c r="E187" t="s">
        <v>34</v>
      </c>
      <c r="F187" t="s">
        <v>35</v>
      </c>
      <c r="G187" t="s">
        <v>197</v>
      </c>
      <c r="H187" t="s">
        <v>648</v>
      </c>
      <c r="I187">
        <v>105.93</v>
      </c>
      <c r="J187">
        <v>105.66</v>
      </c>
      <c r="K187">
        <v>106.92</v>
      </c>
      <c r="L187">
        <v>60.39</v>
      </c>
      <c r="M187">
        <v>60.64</v>
      </c>
      <c r="N187">
        <v>62.04</v>
      </c>
    </row>
    <row r="188" spans="3:14" x14ac:dyDescent="0.15">
      <c r="C188" s="154" t="s">
        <v>1109</v>
      </c>
      <c r="D188" t="s">
        <v>29</v>
      </c>
      <c r="E188" t="s">
        <v>34</v>
      </c>
      <c r="F188" t="s">
        <v>35</v>
      </c>
      <c r="G188" t="s">
        <v>197</v>
      </c>
      <c r="H188" t="s">
        <v>59</v>
      </c>
      <c r="I188">
        <v>109.71</v>
      </c>
      <c r="J188">
        <v>108.09</v>
      </c>
      <c r="K188">
        <v>110.18</v>
      </c>
      <c r="L188">
        <v>64.06</v>
      </c>
      <c r="M188">
        <v>63.26</v>
      </c>
      <c r="N188">
        <v>65.28</v>
      </c>
    </row>
    <row r="189" spans="3:14" x14ac:dyDescent="0.15">
      <c r="C189" s="154" t="s">
        <v>1109</v>
      </c>
      <c r="D189" t="s">
        <v>29</v>
      </c>
      <c r="E189" t="s">
        <v>34</v>
      </c>
      <c r="F189" t="s">
        <v>35</v>
      </c>
      <c r="G189" t="s">
        <v>197</v>
      </c>
      <c r="H189" t="s">
        <v>60</v>
      </c>
      <c r="I189">
        <v>108</v>
      </c>
      <c r="J189">
        <v>106.37</v>
      </c>
      <c r="K189">
        <v>108.46</v>
      </c>
      <c r="L189">
        <v>62.35</v>
      </c>
      <c r="M189">
        <v>61.55</v>
      </c>
      <c r="N189">
        <v>63.57</v>
      </c>
    </row>
    <row r="190" spans="3:14" x14ac:dyDescent="0.15">
      <c r="C190" s="154" t="s">
        <v>1109</v>
      </c>
      <c r="D190" t="s">
        <v>29</v>
      </c>
      <c r="E190" t="s">
        <v>34</v>
      </c>
      <c r="F190" t="s">
        <v>35</v>
      </c>
      <c r="G190" t="s">
        <v>197</v>
      </c>
      <c r="H190" t="s">
        <v>648</v>
      </c>
      <c r="I190">
        <v>106.87</v>
      </c>
      <c r="J190">
        <v>105.25</v>
      </c>
      <c r="K190">
        <v>107.34</v>
      </c>
      <c r="L190">
        <v>61.22</v>
      </c>
      <c r="M190">
        <v>60.42</v>
      </c>
      <c r="N190">
        <v>62.45</v>
      </c>
    </row>
    <row r="191" spans="3:14" x14ac:dyDescent="0.15">
      <c r="C191" s="154" t="s">
        <v>1110</v>
      </c>
      <c r="D191" t="s">
        <v>29</v>
      </c>
      <c r="E191" t="s">
        <v>34</v>
      </c>
      <c r="F191" t="s">
        <v>35</v>
      </c>
      <c r="G191" t="s">
        <v>197</v>
      </c>
      <c r="H191" t="s">
        <v>59</v>
      </c>
      <c r="I191">
        <v>110.51</v>
      </c>
      <c r="J191">
        <v>108.24</v>
      </c>
      <c r="K191">
        <v>110.51</v>
      </c>
      <c r="L191">
        <v>64.83</v>
      </c>
      <c r="M191">
        <v>63.61</v>
      </c>
      <c r="N191">
        <v>65.64</v>
      </c>
    </row>
    <row r="192" spans="3:14" x14ac:dyDescent="0.15">
      <c r="C192" s="154" t="s">
        <v>1110</v>
      </c>
      <c r="D192" t="s">
        <v>29</v>
      </c>
      <c r="E192" t="s">
        <v>34</v>
      </c>
      <c r="F192" t="s">
        <v>35</v>
      </c>
      <c r="G192" t="s">
        <v>197</v>
      </c>
      <c r="H192" t="s">
        <v>60</v>
      </c>
      <c r="I192">
        <v>108.8</v>
      </c>
      <c r="J192">
        <v>106.53</v>
      </c>
      <c r="K192">
        <v>108.8</v>
      </c>
      <c r="L192">
        <v>63.12</v>
      </c>
      <c r="M192">
        <v>61.9</v>
      </c>
      <c r="N192">
        <v>63.93</v>
      </c>
    </row>
    <row r="193" spans="3:14" x14ac:dyDescent="0.15">
      <c r="C193" s="154" t="s">
        <v>1110</v>
      </c>
      <c r="D193" t="s">
        <v>29</v>
      </c>
      <c r="E193" t="s">
        <v>34</v>
      </c>
      <c r="F193" t="s">
        <v>35</v>
      </c>
      <c r="G193" t="s">
        <v>197</v>
      </c>
      <c r="H193" t="s">
        <v>648</v>
      </c>
      <c r="I193">
        <v>107.67</v>
      </c>
      <c r="J193">
        <v>105.41</v>
      </c>
      <c r="K193">
        <v>107.67</v>
      </c>
      <c r="L193">
        <v>61.99</v>
      </c>
      <c r="M193">
        <v>60.77</v>
      </c>
      <c r="N193">
        <v>62.8</v>
      </c>
    </row>
    <row r="194" spans="3:14" x14ac:dyDescent="0.15">
      <c r="C194" s="154" t="s">
        <v>1111</v>
      </c>
      <c r="D194" t="s">
        <v>29</v>
      </c>
      <c r="E194" t="s">
        <v>34</v>
      </c>
      <c r="F194" t="s">
        <v>35</v>
      </c>
      <c r="G194" t="s">
        <v>197</v>
      </c>
      <c r="H194" t="s">
        <v>59</v>
      </c>
      <c r="I194">
        <v>111.2</v>
      </c>
      <c r="J194">
        <v>108.63</v>
      </c>
      <c r="K194">
        <v>110.82</v>
      </c>
      <c r="L194">
        <v>65.59</v>
      </c>
      <c r="M194">
        <v>64.28</v>
      </c>
      <c r="N194">
        <v>65.98</v>
      </c>
    </row>
    <row r="195" spans="3:14" x14ac:dyDescent="0.15">
      <c r="C195" s="154" t="s">
        <v>1111</v>
      </c>
      <c r="D195" t="s">
        <v>29</v>
      </c>
      <c r="E195" t="s">
        <v>34</v>
      </c>
      <c r="F195" t="s">
        <v>35</v>
      </c>
      <c r="G195" t="s">
        <v>197</v>
      </c>
      <c r="H195" t="s">
        <v>60</v>
      </c>
      <c r="I195">
        <v>109.49</v>
      </c>
      <c r="J195">
        <v>106.91</v>
      </c>
      <c r="K195">
        <v>109.11</v>
      </c>
      <c r="L195">
        <v>63.88</v>
      </c>
      <c r="M195">
        <v>62.57</v>
      </c>
      <c r="N195">
        <v>64.27</v>
      </c>
    </row>
    <row r="196" spans="3:14" x14ac:dyDescent="0.15">
      <c r="C196" s="154" t="s">
        <v>1111</v>
      </c>
      <c r="D196" t="s">
        <v>29</v>
      </c>
      <c r="E196" t="s">
        <v>34</v>
      </c>
      <c r="F196" t="s">
        <v>35</v>
      </c>
      <c r="G196" t="s">
        <v>197</v>
      </c>
      <c r="H196" t="s">
        <v>648</v>
      </c>
      <c r="I196">
        <v>108.37</v>
      </c>
      <c r="J196">
        <v>105.79</v>
      </c>
      <c r="K196">
        <v>107.98</v>
      </c>
      <c r="L196">
        <v>62.75</v>
      </c>
      <c r="M196">
        <v>61.45</v>
      </c>
      <c r="N196">
        <v>63.14</v>
      </c>
    </row>
    <row r="197" spans="3:14" x14ac:dyDescent="0.15">
      <c r="C197" s="154" t="s">
        <v>1112</v>
      </c>
      <c r="D197" t="s">
        <v>29</v>
      </c>
      <c r="E197" t="s">
        <v>34</v>
      </c>
      <c r="F197" t="s">
        <v>35</v>
      </c>
      <c r="G197" t="s">
        <v>197</v>
      </c>
      <c r="H197" t="s">
        <v>59</v>
      </c>
      <c r="I197">
        <v>111.21</v>
      </c>
      <c r="J197">
        <v>109.08</v>
      </c>
      <c r="K197">
        <v>110.82</v>
      </c>
      <c r="L197">
        <v>65.75</v>
      </c>
      <c r="M197">
        <v>65.069999999999993</v>
      </c>
      <c r="N197">
        <v>66.14</v>
      </c>
    </row>
    <row r="198" spans="3:14" x14ac:dyDescent="0.15">
      <c r="C198" s="154" t="s">
        <v>1112</v>
      </c>
      <c r="D198" t="s">
        <v>29</v>
      </c>
      <c r="E198" t="s">
        <v>34</v>
      </c>
      <c r="F198" t="s">
        <v>35</v>
      </c>
      <c r="G198" t="s">
        <v>197</v>
      </c>
      <c r="H198" t="s">
        <v>60</v>
      </c>
      <c r="I198">
        <v>109.5</v>
      </c>
      <c r="J198">
        <v>107.37</v>
      </c>
      <c r="K198">
        <v>109.11</v>
      </c>
      <c r="L198">
        <v>64.040000000000006</v>
      </c>
      <c r="M198">
        <v>63.36</v>
      </c>
      <c r="N198">
        <v>64.430000000000007</v>
      </c>
    </row>
    <row r="199" spans="3:14" x14ac:dyDescent="0.15">
      <c r="C199" s="154" t="s">
        <v>1112</v>
      </c>
      <c r="D199" t="s">
        <v>29</v>
      </c>
      <c r="E199" t="s">
        <v>34</v>
      </c>
      <c r="F199" t="s">
        <v>35</v>
      </c>
      <c r="G199" t="s">
        <v>197</v>
      </c>
      <c r="H199" t="s">
        <v>648</v>
      </c>
      <c r="I199">
        <v>108.38</v>
      </c>
      <c r="J199">
        <v>106.25</v>
      </c>
      <c r="K199">
        <v>107.99</v>
      </c>
      <c r="L199">
        <v>62.91</v>
      </c>
      <c r="M199">
        <v>62.23</v>
      </c>
      <c r="N199">
        <v>63.3</v>
      </c>
    </row>
    <row r="200" spans="3:14" x14ac:dyDescent="0.15">
      <c r="C200" s="154" t="s">
        <v>1113</v>
      </c>
      <c r="D200" t="s">
        <v>29</v>
      </c>
      <c r="E200" t="s">
        <v>34</v>
      </c>
      <c r="F200" t="s">
        <v>35</v>
      </c>
      <c r="G200" t="s">
        <v>197</v>
      </c>
      <c r="H200" t="s">
        <v>59</v>
      </c>
      <c r="I200">
        <v>111.31</v>
      </c>
      <c r="J200">
        <v>110.62</v>
      </c>
      <c r="K200">
        <v>111.03</v>
      </c>
      <c r="L200">
        <v>66.27</v>
      </c>
      <c r="M200">
        <v>66.28</v>
      </c>
      <c r="N200">
        <v>66.569999999999993</v>
      </c>
    </row>
    <row r="201" spans="3:14" x14ac:dyDescent="0.15">
      <c r="C201" s="154" t="s">
        <v>1113</v>
      </c>
      <c r="D201" t="s">
        <v>29</v>
      </c>
      <c r="E201" t="s">
        <v>34</v>
      </c>
      <c r="F201" t="s">
        <v>35</v>
      </c>
      <c r="G201" t="s">
        <v>197</v>
      </c>
      <c r="H201" t="s">
        <v>60</v>
      </c>
      <c r="I201">
        <v>109.59</v>
      </c>
      <c r="J201">
        <v>108.91</v>
      </c>
      <c r="K201">
        <v>109.31</v>
      </c>
      <c r="L201">
        <v>64.56</v>
      </c>
      <c r="M201">
        <v>64.569999999999993</v>
      </c>
      <c r="N201">
        <v>64.86</v>
      </c>
    </row>
    <row r="202" spans="3:14" x14ac:dyDescent="0.15">
      <c r="C202" s="154" t="s">
        <v>1113</v>
      </c>
      <c r="D202" t="s">
        <v>29</v>
      </c>
      <c r="E202" t="s">
        <v>34</v>
      </c>
      <c r="F202" t="s">
        <v>35</v>
      </c>
      <c r="G202" t="s">
        <v>197</v>
      </c>
      <c r="H202" t="s">
        <v>648</v>
      </c>
      <c r="I202">
        <v>108.47</v>
      </c>
      <c r="J202">
        <v>107.79</v>
      </c>
      <c r="K202">
        <v>108.19</v>
      </c>
      <c r="L202">
        <v>63.43</v>
      </c>
      <c r="M202">
        <v>63.45</v>
      </c>
      <c r="N202">
        <v>63.73</v>
      </c>
    </row>
    <row r="203" spans="3:14" x14ac:dyDescent="0.15">
      <c r="C203" s="154" t="s">
        <v>1114</v>
      </c>
      <c r="D203" t="s">
        <v>29</v>
      </c>
      <c r="E203" t="s">
        <v>34</v>
      </c>
      <c r="F203" t="s">
        <v>35</v>
      </c>
      <c r="G203" t="s">
        <v>197</v>
      </c>
      <c r="H203" t="s">
        <v>59</v>
      </c>
      <c r="I203">
        <v>111.04</v>
      </c>
      <c r="J203">
        <v>111.93</v>
      </c>
      <c r="K203">
        <v>111.01</v>
      </c>
      <c r="L203">
        <v>66.260000000000005</v>
      </c>
      <c r="M203">
        <v>67.25</v>
      </c>
      <c r="N203">
        <v>66.739999999999995</v>
      </c>
    </row>
    <row r="204" spans="3:14" x14ac:dyDescent="0.15">
      <c r="C204" s="154" t="s">
        <v>1114</v>
      </c>
      <c r="D204" t="s">
        <v>29</v>
      </c>
      <c r="E204" t="s">
        <v>34</v>
      </c>
      <c r="F204" t="s">
        <v>35</v>
      </c>
      <c r="G204" t="s">
        <v>197</v>
      </c>
      <c r="H204" t="s">
        <v>60</v>
      </c>
      <c r="I204">
        <v>109.33</v>
      </c>
      <c r="J204">
        <v>110.21</v>
      </c>
      <c r="K204">
        <v>109.29</v>
      </c>
      <c r="L204">
        <v>64.55</v>
      </c>
      <c r="M204">
        <v>65.540000000000006</v>
      </c>
      <c r="N204">
        <v>65.03</v>
      </c>
    </row>
    <row r="205" spans="3:14" x14ac:dyDescent="0.15">
      <c r="C205" s="154" t="s">
        <v>1114</v>
      </c>
      <c r="D205" t="s">
        <v>29</v>
      </c>
      <c r="E205" t="s">
        <v>34</v>
      </c>
      <c r="F205" t="s">
        <v>35</v>
      </c>
      <c r="G205" t="s">
        <v>197</v>
      </c>
      <c r="H205" t="s">
        <v>648</v>
      </c>
      <c r="I205">
        <v>108.21</v>
      </c>
      <c r="J205">
        <v>109.09</v>
      </c>
      <c r="K205">
        <v>108.17</v>
      </c>
      <c r="L205">
        <v>63.42</v>
      </c>
      <c r="M205">
        <v>64.42</v>
      </c>
      <c r="N205">
        <v>63.9</v>
      </c>
    </row>
    <row r="206" spans="3:14" x14ac:dyDescent="0.15">
      <c r="C206" s="154" t="s">
        <v>1115</v>
      </c>
      <c r="D206" t="s">
        <v>29</v>
      </c>
      <c r="E206" t="s">
        <v>34</v>
      </c>
      <c r="F206" t="s">
        <v>35</v>
      </c>
      <c r="G206" t="s">
        <v>197</v>
      </c>
      <c r="H206" t="s">
        <v>59</v>
      </c>
      <c r="I206">
        <v>110.92</v>
      </c>
      <c r="J206">
        <v>112.85</v>
      </c>
      <c r="K206">
        <v>111</v>
      </c>
      <c r="L206">
        <v>66.34</v>
      </c>
      <c r="M206">
        <v>68.099999999999994</v>
      </c>
      <c r="N206">
        <v>66.94</v>
      </c>
    </row>
    <row r="207" spans="3:14" x14ac:dyDescent="0.15">
      <c r="C207" s="154" t="s">
        <v>1115</v>
      </c>
      <c r="D207" t="s">
        <v>29</v>
      </c>
      <c r="E207" t="s">
        <v>34</v>
      </c>
      <c r="F207" t="s">
        <v>35</v>
      </c>
      <c r="G207" t="s">
        <v>197</v>
      </c>
      <c r="H207" t="s">
        <v>60</v>
      </c>
      <c r="I207">
        <v>109.2</v>
      </c>
      <c r="J207">
        <v>111.14</v>
      </c>
      <c r="K207">
        <v>109.29</v>
      </c>
      <c r="L207">
        <v>64.63</v>
      </c>
      <c r="M207">
        <v>66.39</v>
      </c>
      <c r="N207">
        <v>65.23</v>
      </c>
    </row>
    <row r="208" spans="3:14" x14ac:dyDescent="0.15">
      <c r="C208" s="154" t="s">
        <v>1115</v>
      </c>
      <c r="D208" t="s">
        <v>29</v>
      </c>
      <c r="E208" t="s">
        <v>34</v>
      </c>
      <c r="F208" t="s">
        <v>35</v>
      </c>
      <c r="G208" t="s">
        <v>197</v>
      </c>
      <c r="H208" t="s">
        <v>648</v>
      </c>
      <c r="I208">
        <v>108.08</v>
      </c>
      <c r="J208">
        <v>110.02</v>
      </c>
      <c r="K208">
        <v>108.17</v>
      </c>
      <c r="L208">
        <v>63.5</v>
      </c>
      <c r="M208">
        <v>65.27</v>
      </c>
      <c r="N208">
        <v>64.11</v>
      </c>
    </row>
    <row r="209" spans="3:14" x14ac:dyDescent="0.15">
      <c r="C209" s="154" t="s">
        <v>1117</v>
      </c>
      <c r="D209" t="s">
        <v>29</v>
      </c>
      <c r="E209" t="s">
        <v>34</v>
      </c>
      <c r="F209" t="s">
        <v>35</v>
      </c>
      <c r="G209" t="s">
        <v>197</v>
      </c>
      <c r="H209" t="s">
        <v>59</v>
      </c>
      <c r="I209">
        <v>110.8</v>
      </c>
      <c r="J209">
        <v>113.08</v>
      </c>
      <c r="K209">
        <v>111.02</v>
      </c>
      <c r="L209">
        <v>66.44</v>
      </c>
      <c r="M209">
        <v>68.31</v>
      </c>
      <c r="N209">
        <v>67.14</v>
      </c>
    </row>
    <row r="210" spans="3:14" x14ac:dyDescent="0.15">
      <c r="C210" s="154" t="s">
        <v>1117</v>
      </c>
      <c r="D210" t="s">
        <v>29</v>
      </c>
      <c r="E210" t="s">
        <v>34</v>
      </c>
      <c r="F210" t="s">
        <v>35</v>
      </c>
      <c r="G210" t="s">
        <v>197</v>
      </c>
      <c r="H210" t="s">
        <v>60</v>
      </c>
      <c r="I210">
        <v>109.09</v>
      </c>
      <c r="J210">
        <v>111.37</v>
      </c>
      <c r="K210">
        <v>109.31</v>
      </c>
      <c r="L210">
        <v>64.73</v>
      </c>
      <c r="M210">
        <v>66.599999999999994</v>
      </c>
      <c r="N210">
        <v>65.430000000000007</v>
      </c>
    </row>
    <row r="211" spans="3:14" x14ac:dyDescent="0.15">
      <c r="C211" s="154" t="s">
        <v>1117</v>
      </c>
      <c r="D211" t="s">
        <v>29</v>
      </c>
      <c r="E211" t="s">
        <v>34</v>
      </c>
      <c r="F211" t="s">
        <v>35</v>
      </c>
      <c r="G211" t="s">
        <v>197</v>
      </c>
      <c r="H211" t="s">
        <v>648</v>
      </c>
      <c r="I211">
        <v>107.97</v>
      </c>
      <c r="J211">
        <v>110.24</v>
      </c>
      <c r="K211">
        <v>108.18</v>
      </c>
      <c r="L211">
        <v>63.6</v>
      </c>
      <c r="M211">
        <v>65.47</v>
      </c>
      <c r="N211">
        <v>64.31</v>
      </c>
    </row>
    <row r="212" spans="3:14" x14ac:dyDescent="0.15">
      <c r="C212" s="154" t="s">
        <v>1118</v>
      </c>
      <c r="D212" t="s">
        <v>29</v>
      </c>
      <c r="E212" t="s">
        <v>34</v>
      </c>
      <c r="F212" t="s">
        <v>35</v>
      </c>
      <c r="G212" t="s">
        <v>197</v>
      </c>
      <c r="H212" t="s">
        <v>59</v>
      </c>
      <c r="I212">
        <v>110.64</v>
      </c>
      <c r="J212">
        <v>112.97</v>
      </c>
      <c r="K212">
        <v>110.99</v>
      </c>
      <c r="L212">
        <v>66.489999999999995</v>
      </c>
      <c r="M212">
        <v>68.09</v>
      </c>
      <c r="N212">
        <v>67.239999999999995</v>
      </c>
    </row>
    <row r="213" spans="3:14" x14ac:dyDescent="0.15">
      <c r="C213" s="154" t="s">
        <v>1118</v>
      </c>
      <c r="D213" t="s">
        <v>29</v>
      </c>
      <c r="E213" t="s">
        <v>34</v>
      </c>
      <c r="F213" t="s">
        <v>35</v>
      </c>
      <c r="G213" t="s">
        <v>197</v>
      </c>
      <c r="H213" t="s">
        <v>60</v>
      </c>
      <c r="I213">
        <v>108.93</v>
      </c>
      <c r="J213">
        <v>111.25</v>
      </c>
      <c r="K213">
        <v>109.28</v>
      </c>
      <c r="L213">
        <v>64.78</v>
      </c>
      <c r="M213">
        <v>66.38</v>
      </c>
      <c r="N213">
        <v>65.53</v>
      </c>
    </row>
    <row r="214" spans="3:14" x14ac:dyDescent="0.15">
      <c r="C214" s="154" t="s">
        <v>1118</v>
      </c>
      <c r="D214" t="s">
        <v>29</v>
      </c>
      <c r="E214" t="s">
        <v>34</v>
      </c>
      <c r="F214" t="s">
        <v>35</v>
      </c>
      <c r="G214" t="s">
        <v>197</v>
      </c>
      <c r="H214" t="s">
        <v>648</v>
      </c>
      <c r="I214">
        <v>107.8</v>
      </c>
      <c r="J214">
        <v>110.13</v>
      </c>
      <c r="K214">
        <v>108.15</v>
      </c>
      <c r="L214">
        <v>63.65</v>
      </c>
      <c r="M214">
        <v>65.25</v>
      </c>
      <c r="N214">
        <v>64.41</v>
      </c>
    </row>
    <row r="215" spans="3:14" x14ac:dyDescent="0.15">
      <c r="C215" s="154" t="s">
        <v>1119</v>
      </c>
      <c r="D215" t="s">
        <v>29</v>
      </c>
      <c r="E215" t="s">
        <v>34</v>
      </c>
      <c r="F215" t="s">
        <v>35</v>
      </c>
      <c r="G215" t="s">
        <v>197</v>
      </c>
      <c r="H215" t="s">
        <v>59</v>
      </c>
      <c r="I215">
        <v>110.56</v>
      </c>
      <c r="J215">
        <v>112.43</v>
      </c>
      <c r="K215">
        <v>111.05</v>
      </c>
      <c r="L215">
        <v>66.58</v>
      </c>
      <c r="M215">
        <v>67.540000000000006</v>
      </c>
      <c r="N215">
        <v>67.33</v>
      </c>
    </row>
    <row r="216" spans="3:14" x14ac:dyDescent="0.15">
      <c r="C216" s="154" t="s">
        <v>1119</v>
      </c>
      <c r="D216" t="s">
        <v>29</v>
      </c>
      <c r="E216" t="s">
        <v>34</v>
      </c>
      <c r="F216" t="s">
        <v>35</v>
      </c>
      <c r="G216" t="s">
        <v>197</v>
      </c>
      <c r="H216" t="s">
        <v>60</v>
      </c>
      <c r="I216">
        <v>108.85</v>
      </c>
      <c r="J216">
        <v>110.72</v>
      </c>
      <c r="K216">
        <v>109.33</v>
      </c>
      <c r="L216">
        <v>64.87</v>
      </c>
      <c r="M216">
        <v>65.83</v>
      </c>
      <c r="N216">
        <v>65.62</v>
      </c>
    </row>
    <row r="217" spans="3:14" x14ac:dyDescent="0.15">
      <c r="C217" s="154" t="s">
        <v>1119</v>
      </c>
      <c r="D217" t="s">
        <v>29</v>
      </c>
      <c r="E217" t="s">
        <v>34</v>
      </c>
      <c r="F217" t="s">
        <v>35</v>
      </c>
      <c r="G217" t="s">
        <v>197</v>
      </c>
      <c r="H217" t="s">
        <v>648</v>
      </c>
      <c r="I217">
        <v>107.73</v>
      </c>
      <c r="J217">
        <v>109.59</v>
      </c>
      <c r="K217">
        <v>108.21</v>
      </c>
      <c r="L217">
        <v>63.74</v>
      </c>
      <c r="M217">
        <v>64.7</v>
      </c>
      <c r="N217">
        <v>64.5</v>
      </c>
    </row>
    <row r="218" spans="3:14" x14ac:dyDescent="0.15">
      <c r="C218" s="154" t="s">
        <v>1107</v>
      </c>
      <c r="D218" t="s">
        <v>29</v>
      </c>
      <c r="E218" t="s">
        <v>34</v>
      </c>
      <c r="F218" t="s">
        <v>36</v>
      </c>
      <c r="G218" t="s">
        <v>200</v>
      </c>
      <c r="H218" t="s">
        <v>59</v>
      </c>
      <c r="I218">
        <v>106.25</v>
      </c>
      <c r="J218">
        <v>107.61</v>
      </c>
      <c r="K218">
        <v>107.75</v>
      </c>
      <c r="L218">
        <v>61.98</v>
      </c>
      <c r="M218">
        <v>63.25</v>
      </c>
      <c r="N218">
        <v>63.89</v>
      </c>
    </row>
    <row r="219" spans="3:14" x14ac:dyDescent="0.15">
      <c r="C219" s="154" t="s">
        <v>1107</v>
      </c>
      <c r="D219" t="s">
        <v>29</v>
      </c>
      <c r="E219" t="s">
        <v>34</v>
      </c>
      <c r="F219" t="s">
        <v>36</v>
      </c>
      <c r="G219" t="s">
        <v>200</v>
      </c>
      <c r="H219" t="s">
        <v>60</v>
      </c>
      <c r="I219">
        <v>104.54</v>
      </c>
      <c r="J219">
        <v>105.9</v>
      </c>
      <c r="K219">
        <v>106.04</v>
      </c>
      <c r="L219">
        <v>60.27</v>
      </c>
      <c r="M219">
        <v>61.54</v>
      </c>
      <c r="N219">
        <v>62.18</v>
      </c>
    </row>
    <row r="220" spans="3:14" x14ac:dyDescent="0.15">
      <c r="C220" s="154" t="s">
        <v>1107</v>
      </c>
      <c r="D220" t="s">
        <v>29</v>
      </c>
      <c r="E220" t="s">
        <v>34</v>
      </c>
      <c r="F220" t="s">
        <v>36</v>
      </c>
      <c r="G220" t="s">
        <v>200</v>
      </c>
      <c r="H220" t="s">
        <v>648</v>
      </c>
      <c r="I220">
        <v>103.42</v>
      </c>
      <c r="J220">
        <v>104.77</v>
      </c>
      <c r="K220">
        <v>104.91</v>
      </c>
      <c r="L220">
        <v>59.14</v>
      </c>
      <c r="M220">
        <v>60.41</v>
      </c>
      <c r="N220">
        <v>61.05</v>
      </c>
    </row>
    <row r="221" spans="3:14" x14ac:dyDescent="0.15">
      <c r="C221" s="154" t="s">
        <v>1108</v>
      </c>
      <c r="D221" t="s">
        <v>29</v>
      </c>
      <c r="E221" t="s">
        <v>34</v>
      </c>
      <c r="F221" t="s">
        <v>36</v>
      </c>
      <c r="G221" t="s">
        <v>200</v>
      </c>
      <c r="H221" t="s">
        <v>59</v>
      </c>
      <c r="I221">
        <v>107.57</v>
      </c>
      <c r="J221">
        <v>107</v>
      </c>
      <c r="K221">
        <v>108.46</v>
      </c>
      <c r="L221">
        <v>62.64</v>
      </c>
      <c r="M221">
        <v>62.75</v>
      </c>
      <c r="N221">
        <v>64.22</v>
      </c>
    </row>
    <row r="222" spans="3:14" x14ac:dyDescent="0.15">
      <c r="C222" s="154" t="s">
        <v>1108</v>
      </c>
      <c r="D222" t="s">
        <v>29</v>
      </c>
      <c r="E222" t="s">
        <v>34</v>
      </c>
      <c r="F222" t="s">
        <v>36</v>
      </c>
      <c r="G222" t="s">
        <v>200</v>
      </c>
      <c r="H222" t="s">
        <v>60</v>
      </c>
      <c r="I222">
        <v>105.86</v>
      </c>
      <c r="J222">
        <v>105.29</v>
      </c>
      <c r="K222">
        <v>106.75</v>
      </c>
      <c r="L222">
        <v>60.93</v>
      </c>
      <c r="M222">
        <v>61.04</v>
      </c>
      <c r="N222">
        <v>62.51</v>
      </c>
    </row>
    <row r="223" spans="3:14" x14ac:dyDescent="0.15">
      <c r="C223" s="154" t="s">
        <v>1108</v>
      </c>
      <c r="D223" t="s">
        <v>29</v>
      </c>
      <c r="E223" t="s">
        <v>34</v>
      </c>
      <c r="F223" t="s">
        <v>36</v>
      </c>
      <c r="G223" t="s">
        <v>200</v>
      </c>
      <c r="H223" t="s">
        <v>648</v>
      </c>
      <c r="I223">
        <v>104.73</v>
      </c>
      <c r="J223">
        <v>104.16</v>
      </c>
      <c r="K223">
        <v>105.62</v>
      </c>
      <c r="L223">
        <v>59.8</v>
      </c>
      <c r="M223">
        <v>59.91</v>
      </c>
      <c r="N223">
        <v>61.38</v>
      </c>
    </row>
    <row r="224" spans="3:14" x14ac:dyDescent="0.15">
      <c r="C224" s="154" t="s">
        <v>1109</v>
      </c>
      <c r="D224" t="s">
        <v>29</v>
      </c>
      <c r="E224" t="s">
        <v>34</v>
      </c>
      <c r="F224" t="s">
        <v>36</v>
      </c>
      <c r="G224" t="s">
        <v>200</v>
      </c>
      <c r="H224" t="s">
        <v>59</v>
      </c>
      <c r="I224">
        <v>108.53</v>
      </c>
      <c r="J224">
        <v>106.65</v>
      </c>
      <c r="K224">
        <v>108.89</v>
      </c>
      <c r="L224">
        <v>63.49</v>
      </c>
      <c r="M224">
        <v>62.61</v>
      </c>
      <c r="N224">
        <v>64.63</v>
      </c>
    </row>
    <row r="225" spans="3:14" x14ac:dyDescent="0.15">
      <c r="C225" s="154" t="s">
        <v>1109</v>
      </c>
      <c r="D225" t="s">
        <v>29</v>
      </c>
      <c r="E225" t="s">
        <v>34</v>
      </c>
      <c r="F225" t="s">
        <v>36</v>
      </c>
      <c r="G225" t="s">
        <v>200</v>
      </c>
      <c r="H225" t="s">
        <v>60</v>
      </c>
      <c r="I225">
        <v>106.82</v>
      </c>
      <c r="J225">
        <v>104.94</v>
      </c>
      <c r="K225">
        <v>107.18</v>
      </c>
      <c r="L225">
        <v>61.78</v>
      </c>
      <c r="M225">
        <v>60.9</v>
      </c>
      <c r="N225">
        <v>62.92</v>
      </c>
    </row>
    <row r="226" spans="3:14" x14ac:dyDescent="0.15">
      <c r="C226" s="154" t="s">
        <v>1109</v>
      </c>
      <c r="D226" t="s">
        <v>29</v>
      </c>
      <c r="E226" t="s">
        <v>34</v>
      </c>
      <c r="F226" t="s">
        <v>36</v>
      </c>
      <c r="G226" t="s">
        <v>200</v>
      </c>
      <c r="H226" t="s">
        <v>648</v>
      </c>
      <c r="I226">
        <v>105.69</v>
      </c>
      <c r="J226">
        <v>103.82</v>
      </c>
      <c r="K226">
        <v>106.05</v>
      </c>
      <c r="L226">
        <v>60.65</v>
      </c>
      <c r="M226">
        <v>59.77</v>
      </c>
      <c r="N226">
        <v>61.79</v>
      </c>
    </row>
    <row r="227" spans="3:14" x14ac:dyDescent="0.15">
      <c r="C227" s="154" t="s">
        <v>1110</v>
      </c>
      <c r="D227" t="s">
        <v>29</v>
      </c>
      <c r="E227" t="s">
        <v>34</v>
      </c>
      <c r="F227" t="s">
        <v>36</v>
      </c>
      <c r="G227" t="s">
        <v>200</v>
      </c>
      <c r="H227" t="s">
        <v>59</v>
      </c>
      <c r="I227">
        <v>109.34</v>
      </c>
      <c r="J227">
        <v>106.87</v>
      </c>
      <c r="K227">
        <v>109.21</v>
      </c>
      <c r="L227">
        <v>64.27</v>
      </c>
      <c r="M227">
        <v>63.01</v>
      </c>
      <c r="N227">
        <v>64.989999999999995</v>
      </c>
    </row>
    <row r="228" spans="3:14" x14ac:dyDescent="0.15">
      <c r="C228" s="154" t="s">
        <v>1110</v>
      </c>
      <c r="D228" t="s">
        <v>29</v>
      </c>
      <c r="E228" t="s">
        <v>34</v>
      </c>
      <c r="F228" t="s">
        <v>36</v>
      </c>
      <c r="G228" t="s">
        <v>200</v>
      </c>
      <c r="H228" t="s">
        <v>60</v>
      </c>
      <c r="I228">
        <v>107.63</v>
      </c>
      <c r="J228">
        <v>105.16</v>
      </c>
      <c r="K228">
        <v>107.5</v>
      </c>
      <c r="L228">
        <v>62.56</v>
      </c>
      <c r="M228">
        <v>61.3</v>
      </c>
      <c r="N228">
        <v>63.28</v>
      </c>
    </row>
    <row r="229" spans="3:14" x14ac:dyDescent="0.15">
      <c r="C229" s="154" t="s">
        <v>1110</v>
      </c>
      <c r="D229" t="s">
        <v>29</v>
      </c>
      <c r="E229" t="s">
        <v>34</v>
      </c>
      <c r="F229" t="s">
        <v>36</v>
      </c>
      <c r="G229" t="s">
        <v>200</v>
      </c>
      <c r="H229" t="s">
        <v>648</v>
      </c>
      <c r="I229">
        <v>106.5</v>
      </c>
      <c r="J229">
        <v>104.03</v>
      </c>
      <c r="K229">
        <v>106.38</v>
      </c>
      <c r="L229">
        <v>61.43</v>
      </c>
      <c r="M229">
        <v>60.17</v>
      </c>
      <c r="N229">
        <v>62.15</v>
      </c>
    </row>
    <row r="230" spans="3:14" x14ac:dyDescent="0.15">
      <c r="C230" s="154" t="s">
        <v>1111</v>
      </c>
      <c r="D230" t="s">
        <v>29</v>
      </c>
      <c r="E230" t="s">
        <v>34</v>
      </c>
      <c r="F230" t="s">
        <v>36</v>
      </c>
      <c r="G230" t="s">
        <v>200</v>
      </c>
      <c r="H230" t="s">
        <v>59</v>
      </c>
      <c r="I230">
        <v>110.04</v>
      </c>
      <c r="J230">
        <v>107.31</v>
      </c>
      <c r="K230">
        <v>109.53</v>
      </c>
      <c r="L230">
        <v>65.040000000000006</v>
      </c>
      <c r="M230">
        <v>63.73</v>
      </c>
      <c r="N230">
        <v>65.34</v>
      </c>
    </row>
    <row r="231" spans="3:14" x14ac:dyDescent="0.15">
      <c r="C231" s="154" t="s">
        <v>1111</v>
      </c>
      <c r="D231" t="s">
        <v>29</v>
      </c>
      <c r="E231" t="s">
        <v>34</v>
      </c>
      <c r="F231" t="s">
        <v>36</v>
      </c>
      <c r="G231" t="s">
        <v>200</v>
      </c>
      <c r="H231" t="s">
        <v>60</v>
      </c>
      <c r="I231">
        <v>108.33</v>
      </c>
      <c r="J231">
        <v>105.6</v>
      </c>
      <c r="K231">
        <v>107.81</v>
      </c>
      <c r="L231">
        <v>63.33</v>
      </c>
      <c r="M231">
        <v>62.02</v>
      </c>
      <c r="N231">
        <v>63.63</v>
      </c>
    </row>
    <row r="232" spans="3:14" x14ac:dyDescent="0.15">
      <c r="C232" s="154" t="s">
        <v>1111</v>
      </c>
      <c r="D232" t="s">
        <v>29</v>
      </c>
      <c r="E232" t="s">
        <v>34</v>
      </c>
      <c r="F232" t="s">
        <v>36</v>
      </c>
      <c r="G232" t="s">
        <v>200</v>
      </c>
      <c r="H232" t="s">
        <v>648</v>
      </c>
      <c r="I232">
        <v>107.2</v>
      </c>
      <c r="J232">
        <v>104.48</v>
      </c>
      <c r="K232">
        <v>106.69</v>
      </c>
      <c r="L232">
        <v>62.2</v>
      </c>
      <c r="M232">
        <v>60.89</v>
      </c>
      <c r="N232">
        <v>62.5</v>
      </c>
    </row>
    <row r="233" spans="3:14" x14ac:dyDescent="0.15">
      <c r="C233" s="154" t="s">
        <v>1112</v>
      </c>
      <c r="D233" t="s">
        <v>29</v>
      </c>
      <c r="E233" t="s">
        <v>34</v>
      </c>
      <c r="F233" t="s">
        <v>36</v>
      </c>
      <c r="G233" t="s">
        <v>200</v>
      </c>
      <c r="H233" t="s">
        <v>59</v>
      </c>
      <c r="I233">
        <v>110.05</v>
      </c>
      <c r="J233">
        <v>107.87</v>
      </c>
      <c r="K233">
        <v>109.54</v>
      </c>
      <c r="L233">
        <v>65.23</v>
      </c>
      <c r="M233">
        <v>64.58</v>
      </c>
      <c r="N233">
        <v>65.52</v>
      </c>
    </row>
    <row r="234" spans="3:14" x14ac:dyDescent="0.15">
      <c r="C234" s="154" t="s">
        <v>1112</v>
      </c>
      <c r="D234" t="s">
        <v>29</v>
      </c>
      <c r="E234" t="s">
        <v>34</v>
      </c>
      <c r="F234" t="s">
        <v>36</v>
      </c>
      <c r="G234" t="s">
        <v>200</v>
      </c>
      <c r="H234" t="s">
        <v>60</v>
      </c>
      <c r="I234">
        <v>108.34</v>
      </c>
      <c r="J234">
        <v>106.16</v>
      </c>
      <c r="K234">
        <v>107.83</v>
      </c>
      <c r="L234">
        <v>63.52</v>
      </c>
      <c r="M234">
        <v>62.87</v>
      </c>
      <c r="N234">
        <v>63.81</v>
      </c>
    </row>
    <row r="235" spans="3:14" x14ac:dyDescent="0.15">
      <c r="C235" s="154" t="s">
        <v>1112</v>
      </c>
      <c r="D235" t="s">
        <v>29</v>
      </c>
      <c r="E235" t="s">
        <v>34</v>
      </c>
      <c r="F235" t="s">
        <v>36</v>
      </c>
      <c r="G235" t="s">
        <v>200</v>
      </c>
      <c r="H235" t="s">
        <v>648</v>
      </c>
      <c r="I235">
        <v>107.22</v>
      </c>
      <c r="J235">
        <v>105.04</v>
      </c>
      <c r="K235">
        <v>106.71</v>
      </c>
      <c r="L235">
        <v>62.39</v>
      </c>
      <c r="M235">
        <v>61.74</v>
      </c>
      <c r="N235">
        <v>62.68</v>
      </c>
    </row>
    <row r="236" spans="3:14" x14ac:dyDescent="0.15">
      <c r="C236" s="154" t="s">
        <v>1113</v>
      </c>
      <c r="D236" t="s">
        <v>29</v>
      </c>
      <c r="E236" t="s">
        <v>34</v>
      </c>
      <c r="F236" t="s">
        <v>36</v>
      </c>
      <c r="G236" t="s">
        <v>200</v>
      </c>
      <c r="H236" t="s">
        <v>59</v>
      </c>
      <c r="I236">
        <v>110.12</v>
      </c>
      <c r="J236">
        <v>109.47</v>
      </c>
      <c r="K236">
        <v>109.72</v>
      </c>
      <c r="L236">
        <v>65.72</v>
      </c>
      <c r="M236">
        <v>65.75</v>
      </c>
      <c r="N236">
        <v>65.930000000000007</v>
      </c>
    </row>
    <row r="237" spans="3:14" x14ac:dyDescent="0.15">
      <c r="C237" s="154" t="s">
        <v>1113</v>
      </c>
      <c r="D237" t="s">
        <v>29</v>
      </c>
      <c r="E237" t="s">
        <v>34</v>
      </c>
      <c r="F237" t="s">
        <v>36</v>
      </c>
      <c r="G237" t="s">
        <v>200</v>
      </c>
      <c r="H237" t="s">
        <v>60</v>
      </c>
      <c r="I237">
        <v>108.41</v>
      </c>
      <c r="J237">
        <v>107.76</v>
      </c>
      <c r="K237">
        <v>108</v>
      </c>
      <c r="L237">
        <v>64.010000000000005</v>
      </c>
      <c r="M237">
        <v>64.040000000000006</v>
      </c>
      <c r="N237">
        <v>64.22</v>
      </c>
    </row>
    <row r="238" spans="3:14" x14ac:dyDescent="0.15">
      <c r="C238" s="154" t="s">
        <v>1113</v>
      </c>
      <c r="D238" t="s">
        <v>29</v>
      </c>
      <c r="E238" t="s">
        <v>34</v>
      </c>
      <c r="F238" t="s">
        <v>36</v>
      </c>
      <c r="G238" t="s">
        <v>200</v>
      </c>
      <c r="H238" t="s">
        <v>648</v>
      </c>
      <c r="I238">
        <v>107.29</v>
      </c>
      <c r="J238">
        <v>106.63</v>
      </c>
      <c r="K238">
        <v>106.88</v>
      </c>
      <c r="L238">
        <v>62.88</v>
      </c>
      <c r="M238">
        <v>62.91</v>
      </c>
      <c r="N238">
        <v>63.09</v>
      </c>
    </row>
    <row r="239" spans="3:14" x14ac:dyDescent="0.15">
      <c r="C239" s="154" t="s">
        <v>1114</v>
      </c>
      <c r="D239" t="s">
        <v>29</v>
      </c>
      <c r="E239" t="s">
        <v>34</v>
      </c>
      <c r="F239" t="s">
        <v>36</v>
      </c>
      <c r="G239" t="s">
        <v>200</v>
      </c>
      <c r="H239" t="s">
        <v>59</v>
      </c>
      <c r="I239">
        <v>109.65</v>
      </c>
      <c r="J239">
        <v>110.76</v>
      </c>
      <c r="K239">
        <v>109.59</v>
      </c>
      <c r="L239">
        <v>65.53</v>
      </c>
      <c r="M239">
        <v>66.62</v>
      </c>
      <c r="N239">
        <v>66.010000000000005</v>
      </c>
    </row>
    <row r="240" spans="3:14" x14ac:dyDescent="0.15">
      <c r="C240" s="154" t="s">
        <v>1114</v>
      </c>
      <c r="D240" t="s">
        <v>29</v>
      </c>
      <c r="E240" t="s">
        <v>34</v>
      </c>
      <c r="F240" t="s">
        <v>36</v>
      </c>
      <c r="G240" t="s">
        <v>200</v>
      </c>
      <c r="H240" t="s">
        <v>60</v>
      </c>
      <c r="I240">
        <v>107.93</v>
      </c>
      <c r="J240">
        <v>109.05</v>
      </c>
      <c r="K240">
        <v>107.87</v>
      </c>
      <c r="L240">
        <v>63.82</v>
      </c>
      <c r="M240">
        <v>64.91</v>
      </c>
      <c r="N240">
        <v>64.3</v>
      </c>
    </row>
    <row r="241" spans="3:14" x14ac:dyDescent="0.15">
      <c r="C241" s="154" t="s">
        <v>1114</v>
      </c>
      <c r="D241" t="s">
        <v>29</v>
      </c>
      <c r="E241" t="s">
        <v>34</v>
      </c>
      <c r="F241" t="s">
        <v>36</v>
      </c>
      <c r="G241" t="s">
        <v>200</v>
      </c>
      <c r="H241" t="s">
        <v>648</v>
      </c>
      <c r="I241">
        <v>106.81</v>
      </c>
      <c r="J241">
        <v>107.93</v>
      </c>
      <c r="K241">
        <v>106.75</v>
      </c>
      <c r="L241">
        <v>62.7</v>
      </c>
      <c r="M241">
        <v>63.78</v>
      </c>
      <c r="N241">
        <v>63.17</v>
      </c>
    </row>
    <row r="242" spans="3:14" x14ac:dyDescent="0.15">
      <c r="C242" s="154" t="s">
        <v>1115</v>
      </c>
      <c r="D242" t="s">
        <v>29</v>
      </c>
      <c r="E242" t="s">
        <v>34</v>
      </c>
      <c r="F242" t="s">
        <v>36</v>
      </c>
      <c r="G242" t="s">
        <v>200</v>
      </c>
      <c r="H242" t="s">
        <v>59</v>
      </c>
      <c r="I242">
        <v>109.53</v>
      </c>
      <c r="J242">
        <v>111.65</v>
      </c>
      <c r="K242">
        <v>109.59</v>
      </c>
      <c r="L242">
        <v>65.63</v>
      </c>
      <c r="M242">
        <v>67.41</v>
      </c>
      <c r="N242">
        <v>66.22</v>
      </c>
    </row>
    <row r="243" spans="3:14" x14ac:dyDescent="0.15">
      <c r="C243" s="154" t="s">
        <v>1115</v>
      </c>
      <c r="D243" t="s">
        <v>29</v>
      </c>
      <c r="E243" t="s">
        <v>34</v>
      </c>
      <c r="F243" t="s">
        <v>36</v>
      </c>
      <c r="G243" t="s">
        <v>200</v>
      </c>
      <c r="H243" t="s">
        <v>60</v>
      </c>
      <c r="I243">
        <v>107.82</v>
      </c>
      <c r="J243">
        <v>109.93</v>
      </c>
      <c r="K243">
        <v>107.88</v>
      </c>
      <c r="L243">
        <v>63.92</v>
      </c>
      <c r="M243">
        <v>65.7</v>
      </c>
      <c r="N243">
        <v>64.510000000000005</v>
      </c>
    </row>
    <row r="244" spans="3:14" x14ac:dyDescent="0.15">
      <c r="C244" s="154" t="s">
        <v>1115</v>
      </c>
      <c r="D244" t="s">
        <v>29</v>
      </c>
      <c r="E244" t="s">
        <v>34</v>
      </c>
      <c r="F244" t="s">
        <v>36</v>
      </c>
      <c r="G244" t="s">
        <v>200</v>
      </c>
      <c r="H244" t="s">
        <v>648</v>
      </c>
      <c r="I244">
        <v>106.7</v>
      </c>
      <c r="J244">
        <v>108.81</v>
      </c>
      <c r="K244">
        <v>106.76</v>
      </c>
      <c r="L244">
        <v>62.79</v>
      </c>
      <c r="M244">
        <v>64.58</v>
      </c>
      <c r="N244">
        <v>63.38</v>
      </c>
    </row>
    <row r="245" spans="3:14" x14ac:dyDescent="0.15">
      <c r="C245" s="154" t="s">
        <v>1117</v>
      </c>
      <c r="D245" t="s">
        <v>29</v>
      </c>
      <c r="E245" t="s">
        <v>34</v>
      </c>
      <c r="F245" t="s">
        <v>36</v>
      </c>
      <c r="G245" t="s">
        <v>200</v>
      </c>
      <c r="H245" t="s">
        <v>59</v>
      </c>
      <c r="I245">
        <v>109.41</v>
      </c>
      <c r="J245">
        <v>111.79</v>
      </c>
      <c r="K245">
        <v>109.6</v>
      </c>
      <c r="L245">
        <v>65.709999999999994</v>
      </c>
      <c r="M245">
        <v>67.540000000000006</v>
      </c>
      <c r="N245">
        <v>66.41</v>
      </c>
    </row>
    <row r="246" spans="3:14" x14ac:dyDescent="0.15">
      <c r="C246" s="154" t="s">
        <v>1117</v>
      </c>
      <c r="D246" t="s">
        <v>29</v>
      </c>
      <c r="E246" t="s">
        <v>34</v>
      </c>
      <c r="F246" t="s">
        <v>36</v>
      </c>
      <c r="G246" t="s">
        <v>200</v>
      </c>
      <c r="H246" t="s">
        <v>60</v>
      </c>
      <c r="I246">
        <v>107.7</v>
      </c>
      <c r="J246">
        <v>110.08</v>
      </c>
      <c r="K246">
        <v>107.89</v>
      </c>
      <c r="L246">
        <v>64</v>
      </c>
      <c r="M246">
        <v>65.83</v>
      </c>
      <c r="N246">
        <v>64.7</v>
      </c>
    </row>
    <row r="247" spans="3:14" x14ac:dyDescent="0.15">
      <c r="C247" s="154" t="s">
        <v>1117</v>
      </c>
      <c r="D247" t="s">
        <v>29</v>
      </c>
      <c r="E247" t="s">
        <v>34</v>
      </c>
      <c r="F247" t="s">
        <v>36</v>
      </c>
      <c r="G247" t="s">
        <v>200</v>
      </c>
      <c r="H247" t="s">
        <v>648</v>
      </c>
      <c r="I247">
        <v>106.57</v>
      </c>
      <c r="J247">
        <v>108.95</v>
      </c>
      <c r="K247">
        <v>106.77</v>
      </c>
      <c r="L247">
        <v>62.88</v>
      </c>
      <c r="M247">
        <v>64.7</v>
      </c>
      <c r="N247">
        <v>63.57</v>
      </c>
    </row>
    <row r="248" spans="3:14" x14ac:dyDescent="0.15">
      <c r="C248" s="154" t="s">
        <v>1118</v>
      </c>
      <c r="D248" t="s">
        <v>29</v>
      </c>
      <c r="E248" t="s">
        <v>34</v>
      </c>
      <c r="F248" t="s">
        <v>36</v>
      </c>
      <c r="G248" t="s">
        <v>200</v>
      </c>
      <c r="H248" t="s">
        <v>59</v>
      </c>
      <c r="I248">
        <v>109.24</v>
      </c>
      <c r="J248">
        <v>111.61</v>
      </c>
      <c r="K248">
        <v>109.57</v>
      </c>
      <c r="L248">
        <v>65.760000000000005</v>
      </c>
      <c r="M248">
        <v>67.28</v>
      </c>
      <c r="N248">
        <v>66.510000000000005</v>
      </c>
    </row>
    <row r="249" spans="3:14" x14ac:dyDescent="0.15">
      <c r="C249" s="154" t="s">
        <v>1118</v>
      </c>
      <c r="D249" t="s">
        <v>29</v>
      </c>
      <c r="E249" t="s">
        <v>34</v>
      </c>
      <c r="F249" t="s">
        <v>36</v>
      </c>
      <c r="G249" t="s">
        <v>200</v>
      </c>
      <c r="H249" t="s">
        <v>60</v>
      </c>
      <c r="I249">
        <v>107.53</v>
      </c>
      <c r="J249">
        <v>109.9</v>
      </c>
      <c r="K249">
        <v>107.86</v>
      </c>
      <c r="L249">
        <v>64.05</v>
      </c>
      <c r="M249">
        <v>65.569999999999993</v>
      </c>
      <c r="N249">
        <v>64.8</v>
      </c>
    </row>
    <row r="250" spans="3:14" x14ac:dyDescent="0.15">
      <c r="C250" s="154" t="s">
        <v>1118</v>
      </c>
      <c r="D250" t="s">
        <v>29</v>
      </c>
      <c r="E250" t="s">
        <v>34</v>
      </c>
      <c r="F250" t="s">
        <v>36</v>
      </c>
      <c r="G250" t="s">
        <v>200</v>
      </c>
      <c r="H250" t="s">
        <v>648</v>
      </c>
      <c r="I250">
        <v>106.4</v>
      </c>
      <c r="J250">
        <v>108.78</v>
      </c>
      <c r="K250">
        <v>106.73</v>
      </c>
      <c r="L250">
        <v>62.92</v>
      </c>
      <c r="M250">
        <v>64.45</v>
      </c>
      <c r="N250">
        <v>63.67</v>
      </c>
    </row>
    <row r="251" spans="3:14" x14ac:dyDescent="0.15">
      <c r="C251" s="154" t="s">
        <v>1119</v>
      </c>
      <c r="D251" t="s">
        <v>29</v>
      </c>
      <c r="E251" t="s">
        <v>34</v>
      </c>
      <c r="F251" t="s">
        <v>36</v>
      </c>
      <c r="G251" t="s">
        <v>200</v>
      </c>
      <c r="H251" t="s">
        <v>59</v>
      </c>
      <c r="I251">
        <v>109.17</v>
      </c>
      <c r="J251">
        <v>110.99</v>
      </c>
      <c r="K251">
        <v>109.62</v>
      </c>
      <c r="L251">
        <v>65.849999999999994</v>
      </c>
      <c r="M251">
        <v>66.7</v>
      </c>
      <c r="N251">
        <v>66.59</v>
      </c>
    </row>
    <row r="252" spans="3:14" x14ac:dyDescent="0.15">
      <c r="C252" s="154" t="s">
        <v>1119</v>
      </c>
      <c r="D252" t="s">
        <v>29</v>
      </c>
      <c r="E252" t="s">
        <v>34</v>
      </c>
      <c r="F252" t="s">
        <v>36</v>
      </c>
      <c r="G252" t="s">
        <v>200</v>
      </c>
      <c r="H252" t="s">
        <v>60</v>
      </c>
      <c r="I252">
        <v>107.45</v>
      </c>
      <c r="J252">
        <v>109.28</v>
      </c>
      <c r="K252">
        <v>107.91</v>
      </c>
      <c r="L252">
        <v>64.14</v>
      </c>
      <c r="M252">
        <v>64.989999999999995</v>
      </c>
      <c r="N252">
        <v>64.88</v>
      </c>
    </row>
    <row r="253" spans="3:14" x14ac:dyDescent="0.15">
      <c r="C253" s="154" t="s">
        <v>1119</v>
      </c>
      <c r="D253" t="s">
        <v>29</v>
      </c>
      <c r="E253" t="s">
        <v>34</v>
      </c>
      <c r="F253" t="s">
        <v>36</v>
      </c>
      <c r="G253" t="s">
        <v>200</v>
      </c>
      <c r="H253" t="s">
        <v>648</v>
      </c>
      <c r="I253">
        <v>106.33</v>
      </c>
      <c r="J253">
        <v>108.15</v>
      </c>
      <c r="K253">
        <v>106.78</v>
      </c>
      <c r="L253">
        <v>63.01</v>
      </c>
      <c r="M253">
        <v>63.86</v>
      </c>
      <c r="N253">
        <v>63.75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289"/>
  <sheetViews>
    <sheetView topLeftCell="A58" workbookViewId="0">
      <selection activeCell="C1" sqref="C1:C1048576"/>
    </sheetView>
  </sheetViews>
  <sheetFormatPr defaultRowHeight="10.5" x14ac:dyDescent="0.15"/>
  <cols>
    <col min="3" max="3" width="9.83203125" style="154" bestFit="1" customWidth="1"/>
  </cols>
  <sheetData>
    <row r="1" spans="1:14" x14ac:dyDescent="0.15">
      <c r="C1" s="154" t="s">
        <v>1093</v>
      </c>
      <c r="D1" t="s">
        <v>2</v>
      </c>
      <c r="E1" t="s">
        <v>3</v>
      </c>
      <c r="F1" t="s">
        <v>1094</v>
      </c>
      <c r="G1" t="s">
        <v>89</v>
      </c>
      <c r="H1" t="s">
        <v>1095</v>
      </c>
      <c r="I1" t="s">
        <v>1096</v>
      </c>
      <c r="J1" t="s">
        <v>1097</v>
      </c>
      <c r="K1" t="s">
        <v>1098</v>
      </c>
      <c r="L1" t="s">
        <v>1099</v>
      </c>
      <c r="M1" t="s">
        <v>1100</v>
      </c>
      <c r="N1" t="s">
        <v>1101</v>
      </c>
    </row>
    <row r="2" spans="1:14" x14ac:dyDescent="0.15">
      <c r="A2" s="123">
        <v>42374</v>
      </c>
      <c r="C2" s="154" t="s">
        <v>1107</v>
      </c>
      <c r="D2" t="s">
        <v>37</v>
      </c>
      <c r="E2" t="s">
        <v>38</v>
      </c>
      <c r="F2" t="s">
        <v>39</v>
      </c>
      <c r="G2" t="s">
        <v>120</v>
      </c>
      <c r="H2" t="s">
        <v>59</v>
      </c>
      <c r="I2">
        <v>85.14</v>
      </c>
      <c r="J2">
        <v>85.79</v>
      </c>
      <c r="K2">
        <v>85.12</v>
      </c>
      <c r="L2">
        <v>37.74</v>
      </c>
      <c r="M2">
        <v>37.9</v>
      </c>
      <c r="N2">
        <v>37.79</v>
      </c>
    </row>
    <row r="3" spans="1:14" x14ac:dyDescent="0.15">
      <c r="C3" s="154" t="s">
        <v>1107</v>
      </c>
      <c r="D3" t="s">
        <v>37</v>
      </c>
      <c r="E3" t="s">
        <v>38</v>
      </c>
      <c r="F3" t="s">
        <v>39</v>
      </c>
      <c r="G3" t="s">
        <v>120</v>
      </c>
      <c r="H3" t="s">
        <v>60</v>
      </c>
      <c r="I3">
        <v>83.54</v>
      </c>
      <c r="J3">
        <v>84.19</v>
      </c>
      <c r="K3">
        <v>83.52</v>
      </c>
      <c r="L3">
        <v>36.14</v>
      </c>
      <c r="M3">
        <v>36.299999999999997</v>
      </c>
      <c r="N3">
        <v>36.19</v>
      </c>
    </row>
    <row r="4" spans="1:14" x14ac:dyDescent="0.15">
      <c r="C4" s="154" t="s">
        <v>1107</v>
      </c>
      <c r="D4" t="s">
        <v>37</v>
      </c>
      <c r="E4" t="s">
        <v>38</v>
      </c>
      <c r="F4" t="s">
        <v>39</v>
      </c>
      <c r="G4" t="s">
        <v>120</v>
      </c>
      <c r="H4" t="s">
        <v>648</v>
      </c>
      <c r="I4">
        <v>82.49</v>
      </c>
      <c r="J4">
        <v>83.14</v>
      </c>
      <c r="K4">
        <v>82.47</v>
      </c>
      <c r="L4">
        <v>35.090000000000003</v>
      </c>
      <c r="M4">
        <v>35.25</v>
      </c>
      <c r="N4">
        <v>35.14</v>
      </c>
    </row>
    <row r="5" spans="1:14" x14ac:dyDescent="0.15">
      <c r="C5" s="154" t="s">
        <v>1108</v>
      </c>
      <c r="D5" t="s">
        <v>37</v>
      </c>
      <c r="E5" t="s">
        <v>38</v>
      </c>
      <c r="F5" t="s">
        <v>39</v>
      </c>
      <c r="G5" t="s">
        <v>120</v>
      </c>
      <c r="H5" t="s">
        <v>59</v>
      </c>
      <c r="I5">
        <v>85.72</v>
      </c>
      <c r="J5">
        <v>85.72</v>
      </c>
      <c r="K5">
        <v>85.42</v>
      </c>
      <c r="L5">
        <v>37.78</v>
      </c>
      <c r="M5">
        <v>37.75</v>
      </c>
      <c r="N5">
        <v>37.83</v>
      </c>
    </row>
    <row r="6" spans="1:14" x14ac:dyDescent="0.15">
      <c r="C6" s="154" t="s">
        <v>1108</v>
      </c>
      <c r="D6" t="s">
        <v>37</v>
      </c>
      <c r="E6" t="s">
        <v>38</v>
      </c>
      <c r="F6" t="s">
        <v>39</v>
      </c>
      <c r="G6" t="s">
        <v>120</v>
      </c>
      <c r="H6" t="s">
        <v>60</v>
      </c>
      <c r="I6">
        <v>84.12</v>
      </c>
      <c r="J6">
        <v>84.12</v>
      </c>
      <c r="K6">
        <v>83.82</v>
      </c>
      <c r="L6">
        <v>36.18</v>
      </c>
      <c r="M6">
        <v>36.15</v>
      </c>
      <c r="N6">
        <v>36.229999999999997</v>
      </c>
    </row>
    <row r="7" spans="1:14" x14ac:dyDescent="0.15">
      <c r="C7" s="154" t="s">
        <v>1108</v>
      </c>
      <c r="D7" t="s">
        <v>37</v>
      </c>
      <c r="E7" t="s">
        <v>38</v>
      </c>
      <c r="F7" t="s">
        <v>39</v>
      </c>
      <c r="G7" t="s">
        <v>120</v>
      </c>
      <c r="H7" t="s">
        <v>648</v>
      </c>
      <c r="I7">
        <v>83.07</v>
      </c>
      <c r="J7">
        <v>83.07</v>
      </c>
      <c r="K7">
        <v>82.77</v>
      </c>
      <c r="L7">
        <v>35.130000000000003</v>
      </c>
      <c r="M7">
        <v>35.1</v>
      </c>
      <c r="N7">
        <v>35.18</v>
      </c>
    </row>
    <row r="8" spans="1:14" x14ac:dyDescent="0.15">
      <c r="C8" s="154" t="s">
        <v>1109</v>
      </c>
      <c r="D8" t="s">
        <v>37</v>
      </c>
      <c r="E8" t="s">
        <v>38</v>
      </c>
      <c r="F8" t="s">
        <v>39</v>
      </c>
      <c r="G8" t="s">
        <v>120</v>
      </c>
      <c r="H8" t="s">
        <v>59</v>
      </c>
      <c r="I8">
        <v>85.84</v>
      </c>
      <c r="J8">
        <v>85.25</v>
      </c>
      <c r="K8">
        <v>85.38</v>
      </c>
      <c r="L8">
        <v>37.799999999999997</v>
      </c>
      <c r="M8">
        <v>37.57</v>
      </c>
      <c r="N8">
        <v>37.85</v>
      </c>
    </row>
    <row r="9" spans="1:14" x14ac:dyDescent="0.15">
      <c r="C9" s="154" t="s">
        <v>1109</v>
      </c>
      <c r="D9" t="s">
        <v>37</v>
      </c>
      <c r="E9" t="s">
        <v>38</v>
      </c>
      <c r="F9" t="s">
        <v>39</v>
      </c>
      <c r="G9" t="s">
        <v>120</v>
      </c>
      <c r="H9" t="s">
        <v>60</v>
      </c>
      <c r="I9">
        <v>84.24</v>
      </c>
      <c r="J9">
        <v>83.65</v>
      </c>
      <c r="K9">
        <v>83.78</v>
      </c>
      <c r="L9">
        <v>36.200000000000003</v>
      </c>
      <c r="M9">
        <v>35.97</v>
      </c>
      <c r="N9">
        <v>36.25</v>
      </c>
    </row>
    <row r="10" spans="1:14" x14ac:dyDescent="0.15">
      <c r="C10" s="154" t="s">
        <v>1109</v>
      </c>
      <c r="D10" t="s">
        <v>37</v>
      </c>
      <c r="E10" t="s">
        <v>38</v>
      </c>
      <c r="F10" t="s">
        <v>39</v>
      </c>
      <c r="G10" t="s">
        <v>120</v>
      </c>
      <c r="H10" t="s">
        <v>648</v>
      </c>
      <c r="I10">
        <v>83.19</v>
      </c>
      <c r="J10">
        <v>82.6</v>
      </c>
      <c r="K10">
        <v>82.73</v>
      </c>
      <c r="L10">
        <v>35.15</v>
      </c>
      <c r="M10">
        <v>34.92</v>
      </c>
      <c r="N10">
        <v>35.200000000000003</v>
      </c>
    </row>
    <row r="11" spans="1:14" x14ac:dyDescent="0.15">
      <c r="C11" s="154" t="s">
        <v>1110</v>
      </c>
      <c r="D11" t="s">
        <v>37</v>
      </c>
      <c r="E11" t="s">
        <v>38</v>
      </c>
      <c r="F11" t="s">
        <v>39</v>
      </c>
      <c r="G11" t="s">
        <v>120</v>
      </c>
      <c r="H11" t="s">
        <v>59</v>
      </c>
      <c r="I11">
        <v>85.92</v>
      </c>
      <c r="J11">
        <v>84.99</v>
      </c>
      <c r="K11">
        <v>85.33</v>
      </c>
      <c r="L11">
        <v>37.82</v>
      </c>
      <c r="M11">
        <v>37.549999999999997</v>
      </c>
      <c r="N11">
        <v>37.86</v>
      </c>
    </row>
    <row r="12" spans="1:14" x14ac:dyDescent="0.15">
      <c r="C12" s="154" t="s">
        <v>1110</v>
      </c>
      <c r="D12" t="s">
        <v>37</v>
      </c>
      <c r="E12" t="s">
        <v>38</v>
      </c>
      <c r="F12" t="s">
        <v>39</v>
      </c>
      <c r="G12" t="s">
        <v>120</v>
      </c>
      <c r="H12" t="s">
        <v>60</v>
      </c>
      <c r="I12">
        <v>84.32</v>
      </c>
      <c r="J12">
        <v>83.39</v>
      </c>
      <c r="K12">
        <v>83.73</v>
      </c>
      <c r="L12">
        <v>36.22</v>
      </c>
      <c r="M12">
        <v>35.950000000000003</v>
      </c>
      <c r="N12">
        <v>36.26</v>
      </c>
    </row>
    <row r="13" spans="1:14" x14ac:dyDescent="0.15">
      <c r="C13" s="154" t="s">
        <v>1110</v>
      </c>
      <c r="D13" t="s">
        <v>37</v>
      </c>
      <c r="E13" t="s">
        <v>38</v>
      </c>
      <c r="F13" t="s">
        <v>39</v>
      </c>
      <c r="G13" t="s">
        <v>120</v>
      </c>
      <c r="H13" t="s">
        <v>648</v>
      </c>
      <c r="I13">
        <v>83.27</v>
      </c>
      <c r="J13">
        <v>82.34</v>
      </c>
      <c r="K13">
        <v>82.68</v>
      </c>
      <c r="L13">
        <v>35.17</v>
      </c>
      <c r="M13">
        <v>34.9</v>
      </c>
      <c r="N13">
        <v>35.21</v>
      </c>
    </row>
    <row r="14" spans="1:14" x14ac:dyDescent="0.15">
      <c r="C14" s="154" t="s">
        <v>1111</v>
      </c>
      <c r="D14" t="s">
        <v>37</v>
      </c>
      <c r="E14" t="s">
        <v>38</v>
      </c>
      <c r="F14" t="s">
        <v>39</v>
      </c>
      <c r="G14" t="s">
        <v>120</v>
      </c>
      <c r="H14" t="s">
        <v>59</v>
      </c>
      <c r="I14">
        <v>85.89</v>
      </c>
      <c r="J14">
        <v>84.62</v>
      </c>
      <c r="K14">
        <v>85.24</v>
      </c>
      <c r="L14">
        <v>37.799999999999997</v>
      </c>
      <c r="M14">
        <v>37.44</v>
      </c>
      <c r="N14">
        <v>37.85</v>
      </c>
    </row>
    <row r="15" spans="1:14" x14ac:dyDescent="0.15">
      <c r="C15" s="154" t="s">
        <v>1111</v>
      </c>
      <c r="D15" t="s">
        <v>37</v>
      </c>
      <c r="E15" t="s">
        <v>38</v>
      </c>
      <c r="F15" t="s">
        <v>39</v>
      </c>
      <c r="G15" t="s">
        <v>120</v>
      </c>
      <c r="H15" t="s">
        <v>60</v>
      </c>
      <c r="I15">
        <v>84.29</v>
      </c>
      <c r="J15">
        <v>83.02</v>
      </c>
      <c r="K15">
        <v>83.64</v>
      </c>
      <c r="L15">
        <v>36.200000000000003</v>
      </c>
      <c r="M15">
        <v>35.840000000000003</v>
      </c>
      <c r="N15">
        <v>36.25</v>
      </c>
    </row>
    <row r="16" spans="1:14" x14ac:dyDescent="0.15">
      <c r="C16" s="154" t="s">
        <v>1111</v>
      </c>
      <c r="D16" t="s">
        <v>37</v>
      </c>
      <c r="E16" t="s">
        <v>38</v>
      </c>
      <c r="F16" t="s">
        <v>39</v>
      </c>
      <c r="G16" t="s">
        <v>120</v>
      </c>
      <c r="H16" t="s">
        <v>648</v>
      </c>
      <c r="I16">
        <v>83.24</v>
      </c>
      <c r="J16">
        <v>81.97</v>
      </c>
      <c r="K16">
        <v>82.59</v>
      </c>
      <c r="L16">
        <v>35.15</v>
      </c>
      <c r="M16">
        <v>34.79</v>
      </c>
      <c r="N16">
        <v>35.200000000000003</v>
      </c>
    </row>
    <row r="17" spans="3:14" x14ac:dyDescent="0.15">
      <c r="C17" s="154" t="s">
        <v>1112</v>
      </c>
      <c r="D17" t="s">
        <v>37</v>
      </c>
      <c r="E17" t="s">
        <v>38</v>
      </c>
      <c r="F17" t="s">
        <v>39</v>
      </c>
      <c r="G17" t="s">
        <v>120</v>
      </c>
      <c r="H17" t="s">
        <v>59</v>
      </c>
      <c r="I17">
        <v>85.76</v>
      </c>
      <c r="J17">
        <v>84.41</v>
      </c>
      <c r="K17">
        <v>85.14</v>
      </c>
      <c r="L17">
        <v>37.78</v>
      </c>
      <c r="M17">
        <v>37.520000000000003</v>
      </c>
      <c r="N17">
        <v>37.9</v>
      </c>
    </row>
    <row r="18" spans="3:14" x14ac:dyDescent="0.15">
      <c r="C18" s="154" t="s">
        <v>1112</v>
      </c>
      <c r="D18" t="s">
        <v>37</v>
      </c>
      <c r="E18" t="s">
        <v>38</v>
      </c>
      <c r="F18" t="s">
        <v>39</v>
      </c>
      <c r="G18" t="s">
        <v>120</v>
      </c>
      <c r="H18" t="s">
        <v>60</v>
      </c>
      <c r="I18">
        <v>84.16</v>
      </c>
      <c r="J18">
        <v>82.81</v>
      </c>
      <c r="K18">
        <v>83.54</v>
      </c>
      <c r="L18">
        <v>36.18</v>
      </c>
      <c r="M18">
        <v>35.92</v>
      </c>
      <c r="N18">
        <v>36.299999999999997</v>
      </c>
    </row>
    <row r="19" spans="3:14" x14ac:dyDescent="0.15">
      <c r="C19" s="154" t="s">
        <v>1112</v>
      </c>
      <c r="D19" t="s">
        <v>37</v>
      </c>
      <c r="E19" t="s">
        <v>38</v>
      </c>
      <c r="F19" t="s">
        <v>39</v>
      </c>
      <c r="G19" t="s">
        <v>120</v>
      </c>
      <c r="H19" t="s">
        <v>648</v>
      </c>
      <c r="I19">
        <v>83.11</v>
      </c>
      <c r="J19">
        <v>81.760000000000005</v>
      </c>
      <c r="K19">
        <v>82.49</v>
      </c>
      <c r="L19">
        <v>35.130000000000003</v>
      </c>
      <c r="M19">
        <v>34.869999999999997</v>
      </c>
      <c r="N19">
        <v>35.25</v>
      </c>
    </row>
    <row r="20" spans="3:14" x14ac:dyDescent="0.15">
      <c r="C20" s="154" t="s">
        <v>1113</v>
      </c>
      <c r="D20" t="s">
        <v>37</v>
      </c>
      <c r="E20" t="s">
        <v>38</v>
      </c>
      <c r="F20" t="s">
        <v>39</v>
      </c>
      <c r="G20" t="s">
        <v>120</v>
      </c>
      <c r="H20" t="s">
        <v>59</v>
      </c>
      <c r="I20">
        <v>85.77</v>
      </c>
      <c r="J20">
        <v>84.89</v>
      </c>
      <c r="K20">
        <v>85.22</v>
      </c>
      <c r="L20">
        <v>37.799999999999997</v>
      </c>
      <c r="M20">
        <v>37.68</v>
      </c>
      <c r="N20">
        <v>37.979999999999997</v>
      </c>
    </row>
    <row r="21" spans="3:14" x14ac:dyDescent="0.15">
      <c r="C21" s="154" t="s">
        <v>1113</v>
      </c>
      <c r="D21" t="s">
        <v>37</v>
      </c>
      <c r="E21" t="s">
        <v>38</v>
      </c>
      <c r="F21" t="s">
        <v>39</v>
      </c>
      <c r="G21" t="s">
        <v>120</v>
      </c>
      <c r="H21" t="s">
        <v>60</v>
      </c>
      <c r="I21">
        <v>84.17</v>
      </c>
      <c r="J21">
        <v>83.29</v>
      </c>
      <c r="K21">
        <v>83.62</v>
      </c>
      <c r="L21">
        <v>36.200000000000003</v>
      </c>
      <c r="M21">
        <v>36.08</v>
      </c>
      <c r="N21">
        <v>36.380000000000003</v>
      </c>
    </row>
    <row r="22" spans="3:14" x14ac:dyDescent="0.15">
      <c r="C22" s="154" t="s">
        <v>1113</v>
      </c>
      <c r="D22" t="s">
        <v>37</v>
      </c>
      <c r="E22" t="s">
        <v>38</v>
      </c>
      <c r="F22" t="s">
        <v>39</v>
      </c>
      <c r="G22" t="s">
        <v>120</v>
      </c>
      <c r="H22" t="s">
        <v>648</v>
      </c>
      <c r="I22">
        <v>83.12</v>
      </c>
      <c r="J22">
        <v>82.24</v>
      </c>
      <c r="K22">
        <v>82.57</v>
      </c>
      <c r="L22">
        <v>35.15</v>
      </c>
      <c r="M22">
        <v>35.03</v>
      </c>
      <c r="N22">
        <v>35.33</v>
      </c>
    </row>
    <row r="23" spans="3:14" x14ac:dyDescent="0.15">
      <c r="C23" s="154" t="s">
        <v>1114</v>
      </c>
      <c r="D23" t="s">
        <v>37</v>
      </c>
      <c r="E23" t="s">
        <v>38</v>
      </c>
      <c r="F23" t="s">
        <v>39</v>
      </c>
      <c r="G23" t="s">
        <v>120</v>
      </c>
      <c r="H23" t="s">
        <v>59</v>
      </c>
      <c r="I23">
        <v>85.75</v>
      </c>
      <c r="J23">
        <v>85.33</v>
      </c>
      <c r="K23">
        <v>85.25</v>
      </c>
      <c r="L23">
        <v>37.79</v>
      </c>
      <c r="M23">
        <v>37.880000000000003</v>
      </c>
      <c r="N23">
        <v>38.049999999999997</v>
      </c>
    </row>
    <row r="24" spans="3:14" x14ac:dyDescent="0.15">
      <c r="C24" s="154" t="s">
        <v>1114</v>
      </c>
      <c r="D24" t="s">
        <v>37</v>
      </c>
      <c r="E24" t="s">
        <v>38</v>
      </c>
      <c r="F24" t="s">
        <v>39</v>
      </c>
      <c r="G24" t="s">
        <v>120</v>
      </c>
      <c r="H24" t="s">
        <v>60</v>
      </c>
      <c r="I24">
        <v>84.15</v>
      </c>
      <c r="J24">
        <v>83.73</v>
      </c>
      <c r="K24">
        <v>83.65</v>
      </c>
      <c r="L24">
        <v>36.19</v>
      </c>
      <c r="M24">
        <v>36.28</v>
      </c>
      <c r="N24">
        <v>36.450000000000003</v>
      </c>
    </row>
    <row r="25" spans="3:14" x14ac:dyDescent="0.15">
      <c r="C25" s="154" t="s">
        <v>1114</v>
      </c>
      <c r="D25" t="s">
        <v>37</v>
      </c>
      <c r="E25" t="s">
        <v>38</v>
      </c>
      <c r="F25" t="s">
        <v>39</v>
      </c>
      <c r="G25" t="s">
        <v>120</v>
      </c>
      <c r="H25" t="s">
        <v>648</v>
      </c>
      <c r="I25">
        <v>83.1</v>
      </c>
      <c r="J25">
        <v>82.68</v>
      </c>
      <c r="K25">
        <v>82.6</v>
      </c>
      <c r="L25">
        <v>35.14</v>
      </c>
      <c r="M25">
        <v>35.229999999999997</v>
      </c>
      <c r="N25">
        <v>35.4</v>
      </c>
    </row>
    <row r="26" spans="3:14" x14ac:dyDescent="0.15">
      <c r="C26" s="154" t="s">
        <v>1115</v>
      </c>
      <c r="D26" t="s">
        <v>37</v>
      </c>
      <c r="E26" t="s">
        <v>38</v>
      </c>
      <c r="F26" t="s">
        <v>39</v>
      </c>
      <c r="G26" t="s">
        <v>120</v>
      </c>
      <c r="H26" t="s">
        <v>59</v>
      </c>
      <c r="I26">
        <v>85.62</v>
      </c>
      <c r="J26">
        <v>85.68</v>
      </c>
      <c r="K26">
        <v>85.19</v>
      </c>
      <c r="L26">
        <v>37.79</v>
      </c>
      <c r="M26">
        <v>38.1</v>
      </c>
      <c r="N26">
        <v>38.130000000000003</v>
      </c>
    </row>
    <row r="27" spans="3:14" x14ac:dyDescent="0.15">
      <c r="C27" s="154" t="s">
        <v>1115</v>
      </c>
      <c r="D27" t="s">
        <v>37</v>
      </c>
      <c r="E27" t="s">
        <v>38</v>
      </c>
      <c r="F27" t="s">
        <v>39</v>
      </c>
      <c r="G27" t="s">
        <v>120</v>
      </c>
      <c r="H27" t="s">
        <v>60</v>
      </c>
      <c r="I27">
        <v>84.02</v>
      </c>
      <c r="J27">
        <v>84.08</v>
      </c>
      <c r="K27">
        <v>83.59</v>
      </c>
      <c r="L27">
        <v>36.19</v>
      </c>
      <c r="M27">
        <v>36.5</v>
      </c>
      <c r="N27">
        <v>36.53</v>
      </c>
    </row>
    <row r="28" spans="3:14" x14ac:dyDescent="0.15">
      <c r="C28" s="154" t="s">
        <v>1115</v>
      </c>
      <c r="D28" t="s">
        <v>37</v>
      </c>
      <c r="E28" t="s">
        <v>38</v>
      </c>
      <c r="F28" t="s">
        <v>39</v>
      </c>
      <c r="G28" t="s">
        <v>120</v>
      </c>
      <c r="H28" t="s">
        <v>648</v>
      </c>
      <c r="I28">
        <v>82.97</v>
      </c>
      <c r="J28">
        <v>83.03</v>
      </c>
      <c r="K28">
        <v>82.54</v>
      </c>
      <c r="L28">
        <v>35.14</v>
      </c>
      <c r="M28">
        <v>35.450000000000003</v>
      </c>
      <c r="N28">
        <v>35.479999999999997</v>
      </c>
    </row>
    <row r="29" spans="3:14" x14ac:dyDescent="0.15">
      <c r="C29" s="154" t="s">
        <v>1117</v>
      </c>
      <c r="D29" t="s">
        <v>37</v>
      </c>
      <c r="E29" t="s">
        <v>38</v>
      </c>
      <c r="F29" t="s">
        <v>39</v>
      </c>
      <c r="G29" t="s">
        <v>120</v>
      </c>
      <c r="H29" t="s">
        <v>59</v>
      </c>
      <c r="I29">
        <v>85.45</v>
      </c>
      <c r="J29">
        <v>85.76</v>
      </c>
      <c r="K29">
        <v>85.15</v>
      </c>
      <c r="L29">
        <v>37.76</v>
      </c>
      <c r="M29">
        <v>38.119999999999997</v>
      </c>
      <c r="N29">
        <v>38.18</v>
      </c>
    </row>
    <row r="30" spans="3:14" x14ac:dyDescent="0.15">
      <c r="C30" s="154" t="s">
        <v>1117</v>
      </c>
      <c r="D30" t="s">
        <v>37</v>
      </c>
      <c r="E30" t="s">
        <v>38</v>
      </c>
      <c r="F30" t="s">
        <v>39</v>
      </c>
      <c r="G30" t="s">
        <v>120</v>
      </c>
      <c r="H30" t="s">
        <v>60</v>
      </c>
      <c r="I30">
        <v>83.85</v>
      </c>
      <c r="J30">
        <v>84.16</v>
      </c>
      <c r="K30">
        <v>83.55</v>
      </c>
      <c r="L30">
        <v>36.159999999999997</v>
      </c>
      <c r="M30">
        <v>36.520000000000003</v>
      </c>
      <c r="N30">
        <v>36.58</v>
      </c>
    </row>
    <row r="31" spans="3:14" x14ac:dyDescent="0.15">
      <c r="C31" s="154" t="s">
        <v>1117</v>
      </c>
      <c r="D31" t="s">
        <v>37</v>
      </c>
      <c r="E31" t="s">
        <v>38</v>
      </c>
      <c r="F31" t="s">
        <v>39</v>
      </c>
      <c r="G31" t="s">
        <v>120</v>
      </c>
      <c r="H31" t="s">
        <v>648</v>
      </c>
      <c r="I31">
        <v>82.8</v>
      </c>
      <c r="J31">
        <v>83.11</v>
      </c>
      <c r="K31">
        <v>82.5</v>
      </c>
      <c r="L31">
        <v>35.11</v>
      </c>
      <c r="M31">
        <v>35.47</v>
      </c>
      <c r="N31">
        <v>35.53</v>
      </c>
    </row>
    <row r="32" spans="3:14" x14ac:dyDescent="0.15">
      <c r="C32" s="154" t="s">
        <v>1118</v>
      </c>
      <c r="D32" t="s">
        <v>37</v>
      </c>
      <c r="E32" t="s">
        <v>38</v>
      </c>
      <c r="F32" t="s">
        <v>39</v>
      </c>
      <c r="G32" t="s">
        <v>120</v>
      </c>
      <c r="H32" t="s">
        <v>59</v>
      </c>
      <c r="I32">
        <v>85.12</v>
      </c>
      <c r="J32">
        <v>85.8</v>
      </c>
      <c r="K32">
        <v>85.03</v>
      </c>
      <c r="L32">
        <v>37.67</v>
      </c>
      <c r="M32">
        <v>38.15</v>
      </c>
      <c r="N32">
        <v>38.19</v>
      </c>
    </row>
    <row r="33" spans="3:14" x14ac:dyDescent="0.15">
      <c r="C33" s="154" t="s">
        <v>1118</v>
      </c>
      <c r="D33" t="s">
        <v>37</v>
      </c>
      <c r="E33" t="s">
        <v>38</v>
      </c>
      <c r="F33" t="s">
        <v>39</v>
      </c>
      <c r="G33" t="s">
        <v>120</v>
      </c>
      <c r="H33" t="s">
        <v>60</v>
      </c>
      <c r="I33">
        <v>83.52</v>
      </c>
      <c r="J33">
        <v>84.2</v>
      </c>
      <c r="K33">
        <v>83.43</v>
      </c>
      <c r="L33">
        <v>36.07</v>
      </c>
      <c r="M33">
        <v>36.549999999999997</v>
      </c>
      <c r="N33">
        <v>36.590000000000003</v>
      </c>
    </row>
    <row r="34" spans="3:14" x14ac:dyDescent="0.15">
      <c r="C34" s="154" t="s">
        <v>1118</v>
      </c>
      <c r="D34" t="s">
        <v>37</v>
      </c>
      <c r="E34" t="s">
        <v>38</v>
      </c>
      <c r="F34" t="s">
        <v>39</v>
      </c>
      <c r="G34" t="s">
        <v>120</v>
      </c>
      <c r="H34" t="s">
        <v>648</v>
      </c>
      <c r="I34">
        <v>82.47</v>
      </c>
      <c r="J34">
        <v>83.15</v>
      </c>
      <c r="K34">
        <v>82.38</v>
      </c>
      <c r="L34">
        <v>35.020000000000003</v>
      </c>
      <c r="M34">
        <v>35.5</v>
      </c>
      <c r="N34">
        <v>35.54</v>
      </c>
    </row>
    <row r="35" spans="3:14" x14ac:dyDescent="0.15">
      <c r="C35" s="154" t="s">
        <v>1119</v>
      </c>
      <c r="D35" t="s">
        <v>37</v>
      </c>
      <c r="E35" t="s">
        <v>38</v>
      </c>
      <c r="F35" t="s">
        <v>39</v>
      </c>
      <c r="G35" t="s">
        <v>120</v>
      </c>
      <c r="H35" t="s">
        <v>59</v>
      </c>
      <c r="I35">
        <v>85.12</v>
      </c>
      <c r="J35">
        <v>85.87</v>
      </c>
      <c r="K35">
        <v>85.12</v>
      </c>
      <c r="L35">
        <v>37.79</v>
      </c>
      <c r="M35">
        <v>38.22</v>
      </c>
      <c r="N35">
        <v>38.32</v>
      </c>
    </row>
    <row r="36" spans="3:14" x14ac:dyDescent="0.15">
      <c r="C36" s="154" t="s">
        <v>1119</v>
      </c>
      <c r="D36" t="s">
        <v>37</v>
      </c>
      <c r="E36" t="s">
        <v>38</v>
      </c>
      <c r="F36" t="s">
        <v>39</v>
      </c>
      <c r="G36" t="s">
        <v>120</v>
      </c>
      <c r="H36" t="s">
        <v>60</v>
      </c>
      <c r="I36">
        <v>83.52</v>
      </c>
      <c r="J36">
        <v>84.27</v>
      </c>
      <c r="K36">
        <v>83.52</v>
      </c>
      <c r="L36">
        <v>36.19</v>
      </c>
      <c r="M36">
        <v>36.619999999999997</v>
      </c>
      <c r="N36">
        <v>36.72</v>
      </c>
    </row>
    <row r="37" spans="3:14" x14ac:dyDescent="0.15">
      <c r="C37" s="154" t="s">
        <v>1119</v>
      </c>
      <c r="D37" t="s">
        <v>37</v>
      </c>
      <c r="E37" t="s">
        <v>38</v>
      </c>
      <c r="F37" t="s">
        <v>39</v>
      </c>
      <c r="G37" t="s">
        <v>120</v>
      </c>
      <c r="H37" t="s">
        <v>648</v>
      </c>
      <c r="I37">
        <v>82.47</v>
      </c>
      <c r="J37">
        <v>83.22</v>
      </c>
      <c r="K37">
        <v>82.47</v>
      </c>
      <c r="L37">
        <v>35.14</v>
      </c>
      <c r="M37">
        <v>35.57</v>
      </c>
      <c r="N37">
        <v>35.67</v>
      </c>
    </row>
    <row r="38" spans="3:14" x14ac:dyDescent="0.15">
      <c r="C38" s="154" t="s">
        <v>1107</v>
      </c>
      <c r="D38" t="s">
        <v>37</v>
      </c>
      <c r="E38" t="s">
        <v>38</v>
      </c>
      <c r="F38" t="s">
        <v>40</v>
      </c>
      <c r="G38" t="s">
        <v>123</v>
      </c>
      <c r="H38" t="s">
        <v>59</v>
      </c>
      <c r="I38">
        <v>84.51</v>
      </c>
      <c r="J38">
        <v>85.21</v>
      </c>
      <c r="K38">
        <v>84.36</v>
      </c>
      <c r="L38">
        <v>37.700000000000003</v>
      </c>
      <c r="M38">
        <v>37.93</v>
      </c>
      <c r="N38">
        <v>37.67</v>
      </c>
    </row>
    <row r="39" spans="3:14" x14ac:dyDescent="0.15">
      <c r="C39" s="154" t="s">
        <v>1107</v>
      </c>
      <c r="D39" t="s">
        <v>37</v>
      </c>
      <c r="E39" t="s">
        <v>38</v>
      </c>
      <c r="F39" t="s">
        <v>40</v>
      </c>
      <c r="G39" t="s">
        <v>123</v>
      </c>
      <c r="H39" t="s">
        <v>60</v>
      </c>
      <c r="I39">
        <v>82.91</v>
      </c>
      <c r="J39">
        <v>83.61</v>
      </c>
      <c r="K39">
        <v>82.76</v>
      </c>
      <c r="L39">
        <v>36.1</v>
      </c>
      <c r="M39">
        <v>36.33</v>
      </c>
      <c r="N39">
        <v>36.07</v>
      </c>
    </row>
    <row r="40" spans="3:14" x14ac:dyDescent="0.15">
      <c r="C40" s="154" t="s">
        <v>1107</v>
      </c>
      <c r="D40" t="s">
        <v>37</v>
      </c>
      <c r="E40" t="s">
        <v>38</v>
      </c>
      <c r="F40" t="s">
        <v>40</v>
      </c>
      <c r="G40" t="s">
        <v>123</v>
      </c>
      <c r="H40" t="s">
        <v>648</v>
      </c>
      <c r="I40">
        <v>81.86</v>
      </c>
      <c r="J40">
        <v>82.56</v>
      </c>
      <c r="K40">
        <v>81.709999999999994</v>
      </c>
      <c r="L40">
        <v>35.049999999999997</v>
      </c>
      <c r="M40">
        <v>35.28</v>
      </c>
      <c r="N40">
        <v>35.020000000000003</v>
      </c>
    </row>
    <row r="41" spans="3:14" x14ac:dyDescent="0.15">
      <c r="C41" s="154" t="s">
        <v>1108</v>
      </c>
      <c r="D41" t="s">
        <v>37</v>
      </c>
      <c r="E41" t="s">
        <v>38</v>
      </c>
      <c r="F41" t="s">
        <v>40</v>
      </c>
      <c r="G41" t="s">
        <v>123</v>
      </c>
      <c r="H41" t="s">
        <v>59</v>
      </c>
      <c r="I41">
        <v>85.03</v>
      </c>
      <c r="J41">
        <v>84.89</v>
      </c>
      <c r="K41">
        <v>84.62</v>
      </c>
      <c r="L41">
        <v>37.74</v>
      </c>
      <c r="M41">
        <v>37.6</v>
      </c>
      <c r="N41">
        <v>37.71</v>
      </c>
    </row>
    <row r="42" spans="3:14" x14ac:dyDescent="0.15">
      <c r="C42" s="154" t="s">
        <v>1108</v>
      </c>
      <c r="D42" t="s">
        <v>37</v>
      </c>
      <c r="E42" t="s">
        <v>38</v>
      </c>
      <c r="F42" t="s">
        <v>40</v>
      </c>
      <c r="G42" t="s">
        <v>123</v>
      </c>
      <c r="H42" t="s">
        <v>60</v>
      </c>
      <c r="I42">
        <v>83.43</v>
      </c>
      <c r="J42">
        <v>83.29</v>
      </c>
      <c r="K42">
        <v>83.02</v>
      </c>
      <c r="L42">
        <v>36.14</v>
      </c>
      <c r="M42">
        <v>36</v>
      </c>
      <c r="N42">
        <v>36.11</v>
      </c>
    </row>
    <row r="43" spans="3:14" x14ac:dyDescent="0.15">
      <c r="C43" s="154" t="s">
        <v>1108</v>
      </c>
      <c r="D43" t="s">
        <v>37</v>
      </c>
      <c r="E43" t="s">
        <v>38</v>
      </c>
      <c r="F43" t="s">
        <v>40</v>
      </c>
      <c r="G43" t="s">
        <v>123</v>
      </c>
      <c r="H43" t="s">
        <v>648</v>
      </c>
      <c r="I43">
        <v>82.38</v>
      </c>
      <c r="J43">
        <v>82.24</v>
      </c>
      <c r="K43">
        <v>81.97</v>
      </c>
      <c r="L43">
        <v>35.090000000000003</v>
      </c>
      <c r="M43">
        <v>34.950000000000003</v>
      </c>
      <c r="N43">
        <v>35.06</v>
      </c>
    </row>
    <row r="44" spans="3:14" x14ac:dyDescent="0.15">
      <c r="C44" s="154" t="s">
        <v>1109</v>
      </c>
      <c r="D44" t="s">
        <v>37</v>
      </c>
      <c r="E44" t="s">
        <v>38</v>
      </c>
      <c r="F44" t="s">
        <v>40</v>
      </c>
      <c r="G44" t="s">
        <v>123</v>
      </c>
      <c r="H44" t="s">
        <v>59</v>
      </c>
      <c r="I44">
        <v>85.14</v>
      </c>
      <c r="J44">
        <v>84.25</v>
      </c>
      <c r="K44">
        <v>84.58</v>
      </c>
      <c r="L44">
        <v>37.75</v>
      </c>
      <c r="M44">
        <v>37.299999999999997</v>
      </c>
      <c r="N44">
        <v>37.72</v>
      </c>
    </row>
    <row r="45" spans="3:14" x14ac:dyDescent="0.15">
      <c r="C45" s="154" t="s">
        <v>1109</v>
      </c>
      <c r="D45" t="s">
        <v>37</v>
      </c>
      <c r="E45" t="s">
        <v>38</v>
      </c>
      <c r="F45" t="s">
        <v>40</v>
      </c>
      <c r="G45" t="s">
        <v>123</v>
      </c>
      <c r="H45" t="s">
        <v>60</v>
      </c>
      <c r="I45">
        <v>83.54</v>
      </c>
      <c r="J45">
        <v>82.65</v>
      </c>
      <c r="K45">
        <v>82.98</v>
      </c>
      <c r="L45">
        <v>36.15</v>
      </c>
      <c r="M45">
        <v>35.700000000000003</v>
      </c>
      <c r="N45">
        <v>36.119999999999997</v>
      </c>
    </row>
    <row r="46" spans="3:14" x14ac:dyDescent="0.15">
      <c r="C46" s="154" t="s">
        <v>1109</v>
      </c>
      <c r="D46" t="s">
        <v>37</v>
      </c>
      <c r="E46" t="s">
        <v>38</v>
      </c>
      <c r="F46" t="s">
        <v>40</v>
      </c>
      <c r="G46" t="s">
        <v>123</v>
      </c>
      <c r="H46" t="s">
        <v>648</v>
      </c>
      <c r="I46">
        <v>82.49</v>
      </c>
      <c r="J46">
        <v>81.599999999999994</v>
      </c>
      <c r="K46">
        <v>81.93</v>
      </c>
      <c r="L46">
        <v>35.1</v>
      </c>
      <c r="M46">
        <v>34.65</v>
      </c>
      <c r="N46">
        <v>35.07</v>
      </c>
    </row>
    <row r="47" spans="3:14" x14ac:dyDescent="0.15">
      <c r="C47" s="154" t="s">
        <v>1110</v>
      </c>
      <c r="D47" t="s">
        <v>37</v>
      </c>
      <c r="E47" t="s">
        <v>38</v>
      </c>
      <c r="F47" t="s">
        <v>40</v>
      </c>
      <c r="G47" t="s">
        <v>123</v>
      </c>
      <c r="H47" t="s">
        <v>59</v>
      </c>
      <c r="I47">
        <v>85.21</v>
      </c>
      <c r="J47">
        <v>83.8</v>
      </c>
      <c r="K47">
        <v>84.52</v>
      </c>
      <c r="L47">
        <v>37.770000000000003</v>
      </c>
      <c r="M47">
        <v>37.130000000000003</v>
      </c>
      <c r="N47">
        <v>37.729999999999997</v>
      </c>
    </row>
    <row r="48" spans="3:14" x14ac:dyDescent="0.15">
      <c r="C48" s="154" t="s">
        <v>1110</v>
      </c>
      <c r="D48" t="s">
        <v>37</v>
      </c>
      <c r="E48" t="s">
        <v>38</v>
      </c>
      <c r="F48" t="s">
        <v>40</v>
      </c>
      <c r="G48" t="s">
        <v>123</v>
      </c>
      <c r="H48" t="s">
        <v>60</v>
      </c>
      <c r="I48">
        <v>83.61</v>
      </c>
      <c r="J48">
        <v>82.2</v>
      </c>
      <c r="K48">
        <v>82.92</v>
      </c>
      <c r="L48">
        <v>36.17</v>
      </c>
      <c r="M48">
        <v>35.53</v>
      </c>
      <c r="N48">
        <v>36.130000000000003</v>
      </c>
    </row>
    <row r="49" spans="3:14" x14ac:dyDescent="0.15">
      <c r="C49" s="154" t="s">
        <v>1110</v>
      </c>
      <c r="D49" t="s">
        <v>37</v>
      </c>
      <c r="E49" t="s">
        <v>38</v>
      </c>
      <c r="F49" t="s">
        <v>40</v>
      </c>
      <c r="G49" t="s">
        <v>123</v>
      </c>
      <c r="H49" t="s">
        <v>648</v>
      </c>
      <c r="I49">
        <v>82.56</v>
      </c>
      <c r="J49">
        <v>81.150000000000006</v>
      </c>
      <c r="K49">
        <v>81.87</v>
      </c>
      <c r="L49">
        <v>35.119999999999997</v>
      </c>
      <c r="M49">
        <v>34.479999999999997</v>
      </c>
      <c r="N49">
        <v>35.08</v>
      </c>
    </row>
    <row r="50" spans="3:14" x14ac:dyDescent="0.15">
      <c r="C50" s="154" t="s">
        <v>1111</v>
      </c>
      <c r="D50" t="s">
        <v>37</v>
      </c>
      <c r="E50" t="s">
        <v>38</v>
      </c>
      <c r="F50" t="s">
        <v>40</v>
      </c>
      <c r="G50" t="s">
        <v>123</v>
      </c>
      <c r="H50" t="s">
        <v>59</v>
      </c>
      <c r="I50">
        <v>85.18</v>
      </c>
      <c r="J50">
        <v>83.49</v>
      </c>
      <c r="K50">
        <v>84.43</v>
      </c>
      <c r="L50">
        <v>37.74</v>
      </c>
      <c r="M50">
        <v>37.06</v>
      </c>
      <c r="N50">
        <v>37.72</v>
      </c>
    </row>
    <row r="51" spans="3:14" x14ac:dyDescent="0.15">
      <c r="C51" s="154" t="s">
        <v>1111</v>
      </c>
      <c r="D51" t="s">
        <v>37</v>
      </c>
      <c r="E51" t="s">
        <v>38</v>
      </c>
      <c r="F51" t="s">
        <v>40</v>
      </c>
      <c r="G51" t="s">
        <v>123</v>
      </c>
      <c r="H51" t="s">
        <v>60</v>
      </c>
      <c r="I51">
        <v>83.58</v>
      </c>
      <c r="J51">
        <v>81.89</v>
      </c>
      <c r="K51">
        <v>82.83</v>
      </c>
      <c r="L51">
        <v>36.14</v>
      </c>
      <c r="M51">
        <v>35.46</v>
      </c>
      <c r="N51">
        <v>36.119999999999997</v>
      </c>
    </row>
    <row r="52" spans="3:14" x14ac:dyDescent="0.15">
      <c r="C52" s="154" t="s">
        <v>1111</v>
      </c>
      <c r="D52" t="s">
        <v>37</v>
      </c>
      <c r="E52" t="s">
        <v>38</v>
      </c>
      <c r="F52" t="s">
        <v>40</v>
      </c>
      <c r="G52" t="s">
        <v>123</v>
      </c>
      <c r="H52" t="s">
        <v>648</v>
      </c>
      <c r="I52">
        <v>82.53</v>
      </c>
      <c r="J52">
        <v>80.84</v>
      </c>
      <c r="K52">
        <v>81.78</v>
      </c>
      <c r="L52">
        <v>35.090000000000003</v>
      </c>
      <c r="M52">
        <v>34.409999999999997</v>
      </c>
      <c r="N52">
        <v>35.07</v>
      </c>
    </row>
    <row r="53" spans="3:14" x14ac:dyDescent="0.15">
      <c r="C53" s="154" t="s">
        <v>1112</v>
      </c>
      <c r="D53" t="s">
        <v>37</v>
      </c>
      <c r="E53" t="s">
        <v>38</v>
      </c>
      <c r="F53" t="s">
        <v>40</v>
      </c>
      <c r="G53" t="s">
        <v>123</v>
      </c>
      <c r="H53" t="s">
        <v>59</v>
      </c>
      <c r="I53">
        <v>85.05</v>
      </c>
      <c r="J53">
        <v>83.38</v>
      </c>
      <c r="K53">
        <v>84.34</v>
      </c>
      <c r="L53">
        <v>37.729999999999997</v>
      </c>
      <c r="M53">
        <v>37.15</v>
      </c>
      <c r="N53">
        <v>37.79</v>
      </c>
    </row>
    <row r="54" spans="3:14" x14ac:dyDescent="0.15">
      <c r="C54" s="154" t="s">
        <v>1112</v>
      </c>
      <c r="D54" t="s">
        <v>37</v>
      </c>
      <c r="E54" t="s">
        <v>38</v>
      </c>
      <c r="F54" t="s">
        <v>40</v>
      </c>
      <c r="G54" t="s">
        <v>123</v>
      </c>
      <c r="H54" t="s">
        <v>60</v>
      </c>
      <c r="I54">
        <v>83.45</v>
      </c>
      <c r="J54">
        <v>81.78</v>
      </c>
      <c r="K54">
        <v>82.74</v>
      </c>
      <c r="L54">
        <v>36.130000000000003</v>
      </c>
      <c r="M54">
        <v>35.549999999999997</v>
      </c>
      <c r="N54">
        <v>36.19</v>
      </c>
    </row>
    <row r="55" spans="3:14" x14ac:dyDescent="0.15">
      <c r="C55" s="154" t="s">
        <v>1112</v>
      </c>
      <c r="D55" t="s">
        <v>37</v>
      </c>
      <c r="E55" t="s">
        <v>38</v>
      </c>
      <c r="F55" t="s">
        <v>40</v>
      </c>
      <c r="G55" t="s">
        <v>123</v>
      </c>
      <c r="H55" t="s">
        <v>648</v>
      </c>
      <c r="I55">
        <v>82.4</v>
      </c>
      <c r="J55">
        <v>80.73</v>
      </c>
      <c r="K55">
        <v>81.69</v>
      </c>
      <c r="L55">
        <v>35.08</v>
      </c>
      <c r="M55">
        <v>34.5</v>
      </c>
      <c r="N55">
        <v>35.14</v>
      </c>
    </row>
    <row r="56" spans="3:14" x14ac:dyDescent="0.15">
      <c r="C56" s="154" t="s">
        <v>1113</v>
      </c>
      <c r="D56" t="s">
        <v>37</v>
      </c>
      <c r="E56" t="s">
        <v>38</v>
      </c>
      <c r="F56" t="s">
        <v>40</v>
      </c>
      <c r="G56" t="s">
        <v>123</v>
      </c>
      <c r="H56" t="s">
        <v>59</v>
      </c>
      <c r="I56">
        <v>85.05</v>
      </c>
      <c r="J56">
        <v>83.99</v>
      </c>
      <c r="K56">
        <v>84.4</v>
      </c>
      <c r="L56">
        <v>37.75</v>
      </c>
      <c r="M56">
        <v>37.47</v>
      </c>
      <c r="N56">
        <v>37.85</v>
      </c>
    </row>
    <row r="57" spans="3:14" x14ac:dyDescent="0.15">
      <c r="C57" s="154" t="s">
        <v>1113</v>
      </c>
      <c r="D57" t="s">
        <v>37</v>
      </c>
      <c r="E57" t="s">
        <v>38</v>
      </c>
      <c r="F57" t="s">
        <v>40</v>
      </c>
      <c r="G57" t="s">
        <v>123</v>
      </c>
      <c r="H57" t="s">
        <v>60</v>
      </c>
      <c r="I57">
        <v>83.45</v>
      </c>
      <c r="J57">
        <v>82.39</v>
      </c>
      <c r="K57">
        <v>82.8</v>
      </c>
      <c r="L57">
        <v>36.15</v>
      </c>
      <c r="M57">
        <v>35.869999999999997</v>
      </c>
      <c r="N57">
        <v>36.25</v>
      </c>
    </row>
    <row r="58" spans="3:14" x14ac:dyDescent="0.15">
      <c r="C58" s="154" t="s">
        <v>1113</v>
      </c>
      <c r="D58" t="s">
        <v>37</v>
      </c>
      <c r="E58" t="s">
        <v>38</v>
      </c>
      <c r="F58" t="s">
        <v>40</v>
      </c>
      <c r="G58" t="s">
        <v>123</v>
      </c>
      <c r="H58" t="s">
        <v>648</v>
      </c>
      <c r="I58">
        <v>82.4</v>
      </c>
      <c r="J58">
        <v>81.34</v>
      </c>
      <c r="K58">
        <v>81.75</v>
      </c>
      <c r="L58">
        <v>35.1</v>
      </c>
      <c r="M58">
        <v>34.82</v>
      </c>
      <c r="N58">
        <v>35.200000000000003</v>
      </c>
    </row>
    <row r="59" spans="3:14" x14ac:dyDescent="0.15">
      <c r="C59" s="154" t="s">
        <v>1114</v>
      </c>
      <c r="D59" t="s">
        <v>37</v>
      </c>
      <c r="E59" t="s">
        <v>38</v>
      </c>
      <c r="F59" t="s">
        <v>40</v>
      </c>
      <c r="G59" t="s">
        <v>123</v>
      </c>
      <c r="H59" t="s">
        <v>59</v>
      </c>
      <c r="I59">
        <v>85.02</v>
      </c>
      <c r="J59">
        <v>84.62</v>
      </c>
      <c r="K59">
        <v>84.43</v>
      </c>
      <c r="L59">
        <v>37.75</v>
      </c>
      <c r="M59">
        <v>37.840000000000003</v>
      </c>
      <c r="N59">
        <v>37.92</v>
      </c>
    </row>
    <row r="60" spans="3:14" x14ac:dyDescent="0.15">
      <c r="C60" s="154" t="s">
        <v>1114</v>
      </c>
      <c r="D60" t="s">
        <v>37</v>
      </c>
      <c r="E60" t="s">
        <v>38</v>
      </c>
      <c r="F60" t="s">
        <v>40</v>
      </c>
      <c r="G60" t="s">
        <v>123</v>
      </c>
      <c r="H60" t="s">
        <v>60</v>
      </c>
      <c r="I60">
        <v>83.42</v>
      </c>
      <c r="J60">
        <v>83.02</v>
      </c>
      <c r="K60">
        <v>82.83</v>
      </c>
      <c r="L60">
        <v>36.15</v>
      </c>
      <c r="M60">
        <v>36.24</v>
      </c>
      <c r="N60">
        <v>36.32</v>
      </c>
    </row>
    <row r="61" spans="3:14" x14ac:dyDescent="0.15">
      <c r="C61" s="154" t="s">
        <v>1114</v>
      </c>
      <c r="D61" t="s">
        <v>37</v>
      </c>
      <c r="E61" t="s">
        <v>38</v>
      </c>
      <c r="F61" t="s">
        <v>40</v>
      </c>
      <c r="G61" t="s">
        <v>123</v>
      </c>
      <c r="H61" t="s">
        <v>648</v>
      </c>
      <c r="I61">
        <v>82.37</v>
      </c>
      <c r="J61">
        <v>81.97</v>
      </c>
      <c r="K61">
        <v>81.78</v>
      </c>
      <c r="L61">
        <v>35.1</v>
      </c>
      <c r="M61">
        <v>35.19</v>
      </c>
      <c r="N61">
        <v>35.270000000000003</v>
      </c>
    </row>
    <row r="62" spans="3:14" x14ac:dyDescent="0.15">
      <c r="C62" s="154" t="s">
        <v>1115</v>
      </c>
      <c r="D62" t="s">
        <v>37</v>
      </c>
      <c r="E62" t="s">
        <v>38</v>
      </c>
      <c r="F62" t="s">
        <v>40</v>
      </c>
      <c r="G62" t="s">
        <v>123</v>
      </c>
      <c r="H62" t="s">
        <v>59</v>
      </c>
      <c r="I62">
        <v>84.89</v>
      </c>
      <c r="J62">
        <v>85.14</v>
      </c>
      <c r="K62">
        <v>84.36</v>
      </c>
      <c r="L62">
        <v>37.75</v>
      </c>
      <c r="M62">
        <v>38.18</v>
      </c>
      <c r="N62">
        <v>38.01</v>
      </c>
    </row>
    <row r="63" spans="3:14" x14ac:dyDescent="0.15">
      <c r="C63" s="154" t="s">
        <v>1115</v>
      </c>
      <c r="D63" t="s">
        <v>37</v>
      </c>
      <c r="E63" t="s">
        <v>38</v>
      </c>
      <c r="F63" t="s">
        <v>40</v>
      </c>
      <c r="G63" t="s">
        <v>123</v>
      </c>
      <c r="H63" t="s">
        <v>60</v>
      </c>
      <c r="I63">
        <v>83.29</v>
      </c>
      <c r="J63">
        <v>83.54</v>
      </c>
      <c r="K63">
        <v>82.76</v>
      </c>
      <c r="L63">
        <v>36.15</v>
      </c>
      <c r="M63">
        <v>36.58</v>
      </c>
      <c r="N63">
        <v>36.409999999999997</v>
      </c>
    </row>
    <row r="64" spans="3:14" x14ac:dyDescent="0.15">
      <c r="C64" s="154" t="s">
        <v>1115</v>
      </c>
      <c r="D64" t="s">
        <v>37</v>
      </c>
      <c r="E64" t="s">
        <v>38</v>
      </c>
      <c r="F64" t="s">
        <v>40</v>
      </c>
      <c r="G64" t="s">
        <v>123</v>
      </c>
      <c r="H64" t="s">
        <v>648</v>
      </c>
      <c r="I64">
        <v>82.24</v>
      </c>
      <c r="J64">
        <v>82.49</v>
      </c>
      <c r="K64">
        <v>81.709999999999994</v>
      </c>
      <c r="L64">
        <v>35.1</v>
      </c>
      <c r="M64">
        <v>35.53</v>
      </c>
      <c r="N64">
        <v>35.36</v>
      </c>
    </row>
    <row r="65" spans="3:14" x14ac:dyDescent="0.15">
      <c r="C65" s="154" t="s">
        <v>1117</v>
      </c>
      <c r="D65" t="s">
        <v>37</v>
      </c>
      <c r="E65" t="s">
        <v>38</v>
      </c>
      <c r="F65" t="s">
        <v>40</v>
      </c>
      <c r="G65" t="s">
        <v>123</v>
      </c>
      <c r="H65" t="s">
        <v>59</v>
      </c>
      <c r="I65">
        <v>84.7</v>
      </c>
      <c r="J65">
        <v>85.41</v>
      </c>
      <c r="K65">
        <v>84.31</v>
      </c>
      <c r="L65">
        <v>37.72</v>
      </c>
      <c r="M65">
        <v>38.36</v>
      </c>
      <c r="N65">
        <v>38.06</v>
      </c>
    </row>
    <row r="66" spans="3:14" x14ac:dyDescent="0.15">
      <c r="C66" s="154" t="s">
        <v>1117</v>
      </c>
      <c r="D66" t="s">
        <v>37</v>
      </c>
      <c r="E66" t="s">
        <v>38</v>
      </c>
      <c r="F66" t="s">
        <v>40</v>
      </c>
      <c r="G66" t="s">
        <v>123</v>
      </c>
      <c r="H66" t="s">
        <v>60</v>
      </c>
      <c r="I66">
        <v>83.1</v>
      </c>
      <c r="J66">
        <v>83.81</v>
      </c>
      <c r="K66">
        <v>82.71</v>
      </c>
      <c r="L66">
        <v>36.119999999999997</v>
      </c>
      <c r="M66">
        <v>36.76</v>
      </c>
      <c r="N66">
        <v>36.46</v>
      </c>
    </row>
    <row r="67" spans="3:14" x14ac:dyDescent="0.15">
      <c r="C67" s="154" t="s">
        <v>1117</v>
      </c>
      <c r="D67" t="s">
        <v>37</v>
      </c>
      <c r="E67" t="s">
        <v>38</v>
      </c>
      <c r="F67" t="s">
        <v>40</v>
      </c>
      <c r="G67" t="s">
        <v>123</v>
      </c>
      <c r="H67" t="s">
        <v>648</v>
      </c>
      <c r="I67">
        <v>82.05</v>
      </c>
      <c r="J67">
        <v>82.76</v>
      </c>
      <c r="K67">
        <v>81.66</v>
      </c>
      <c r="L67">
        <v>35.07</v>
      </c>
      <c r="M67">
        <v>35.71</v>
      </c>
      <c r="N67">
        <v>35.409999999999997</v>
      </c>
    </row>
    <row r="68" spans="3:14" x14ac:dyDescent="0.15">
      <c r="C68" s="154" t="s">
        <v>1118</v>
      </c>
      <c r="D68" t="s">
        <v>37</v>
      </c>
      <c r="E68" t="s">
        <v>38</v>
      </c>
      <c r="F68" t="s">
        <v>40</v>
      </c>
      <c r="G68" t="s">
        <v>123</v>
      </c>
      <c r="H68" t="s">
        <v>59</v>
      </c>
      <c r="I68">
        <v>84.4</v>
      </c>
      <c r="J68">
        <v>85.39</v>
      </c>
      <c r="K68">
        <v>84.21</v>
      </c>
      <c r="L68">
        <v>37.64</v>
      </c>
      <c r="M68">
        <v>38.36</v>
      </c>
      <c r="N68">
        <v>38.08</v>
      </c>
    </row>
    <row r="69" spans="3:14" x14ac:dyDescent="0.15">
      <c r="C69" s="154" t="s">
        <v>1118</v>
      </c>
      <c r="D69" t="s">
        <v>37</v>
      </c>
      <c r="E69" t="s">
        <v>38</v>
      </c>
      <c r="F69" t="s">
        <v>40</v>
      </c>
      <c r="G69" t="s">
        <v>123</v>
      </c>
      <c r="H69" t="s">
        <v>60</v>
      </c>
      <c r="I69">
        <v>82.8</v>
      </c>
      <c r="J69">
        <v>83.79</v>
      </c>
      <c r="K69">
        <v>82.61</v>
      </c>
      <c r="L69">
        <v>36.04</v>
      </c>
      <c r="M69">
        <v>36.76</v>
      </c>
      <c r="N69">
        <v>36.479999999999997</v>
      </c>
    </row>
    <row r="70" spans="3:14" x14ac:dyDescent="0.15">
      <c r="C70" s="154" t="s">
        <v>1118</v>
      </c>
      <c r="D70" t="s">
        <v>37</v>
      </c>
      <c r="E70" t="s">
        <v>38</v>
      </c>
      <c r="F70" t="s">
        <v>40</v>
      </c>
      <c r="G70" t="s">
        <v>123</v>
      </c>
      <c r="H70" t="s">
        <v>648</v>
      </c>
      <c r="I70">
        <v>81.75</v>
      </c>
      <c r="J70">
        <v>82.74</v>
      </c>
      <c r="K70">
        <v>81.56</v>
      </c>
      <c r="L70">
        <v>34.99</v>
      </c>
      <c r="M70">
        <v>35.71</v>
      </c>
      <c r="N70">
        <v>35.43</v>
      </c>
    </row>
    <row r="71" spans="3:14" x14ac:dyDescent="0.15">
      <c r="C71" s="154" t="s">
        <v>1119</v>
      </c>
      <c r="D71" t="s">
        <v>37</v>
      </c>
      <c r="E71" t="s">
        <v>38</v>
      </c>
      <c r="F71" t="s">
        <v>40</v>
      </c>
      <c r="G71" t="s">
        <v>123</v>
      </c>
      <c r="H71" t="s">
        <v>59</v>
      </c>
      <c r="I71">
        <v>84.22</v>
      </c>
      <c r="J71">
        <v>85.25</v>
      </c>
      <c r="K71">
        <v>84.21</v>
      </c>
      <c r="L71">
        <v>37.61</v>
      </c>
      <c r="M71">
        <v>38.33</v>
      </c>
      <c r="N71">
        <v>38.14</v>
      </c>
    </row>
    <row r="72" spans="3:14" x14ac:dyDescent="0.15">
      <c r="C72" s="154" t="s">
        <v>1119</v>
      </c>
      <c r="D72" t="s">
        <v>37</v>
      </c>
      <c r="E72" t="s">
        <v>38</v>
      </c>
      <c r="F72" t="s">
        <v>40</v>
      </c>
      <c r="G72" t="s">
        <v>123</v>
      </c>
      <c r="H72" t="s">
        <v>60</v>
      </c>
      <c r="I72">
        <v>82.62</v>
      </c>
      <c r="J72">
        <v>83.65</v>
      </c>
      <c r="K72">
        <v>82.61</v>
      </c>
      <c r="L72">
        <v>36.01</v>
      </c>
      <c r="M72">
        <v>36.729999999999997</v>
      </c>
      <c r="N72">
        <v>36.54</v>
      </c>
    </row>
    <row r="73" spans="3:14" x14ac:dyDescent="0.15">
      <c r="C73" s="154" t="s">
        <v>1119</v>
      </c>
      <c r="D73" t="s">
        <v>37</v>
      </c>
      <c r="E73" t="s">
        <v>38</v>
      </c>
      <c r="F73" t="s">
        <v>40</v>
      </c>
      <c r="G73" t="s">
        <v>123</v>
      </c>
      <c r="H73" t="s">
        <v>648</v>
      </c>
      <c r="I73">
        <v>81.569999999999993</v>
      </c>
      <c r="J73">
        <v>82.6</v>
      </c>
      <c r="K73">
        <v>81.56</v>
      </c>
      <c r="L73">
        <v>34.96</v>
      </c>
      <c r="M73">
        <v>35.68</v>
      </c>
      <c r="N73">
        <v>35.49</v>
      </c>
    </row>
    <row r="74" spans="3:14" x14ac:dyDescent="0.15">
      <c r="C74" s="154" t="s">
        <v>1107</v>
      </c>
      <c r="D74" t="s">
        <v>37</v>
      </c>
      <c r="E74" t="s">
        <v>38</v>
      </c>
      <c r="F74" t="s">
        <v>6</v>
      </c>
      <c r="G74" t="s">
        <v>117</v>
      </c>
      <c r="H74" t="s">
        <v>59</v>
      </c>
      <c r="I74">
        <v>83.78</v>
      </c>
      <c r="J74">
        <v>84.51</v>
      </c>
      <c r="K74">
        <v>83.58</v>
      </c>
      <c r="L74">
        <v>38.729999999999997</v>
      </c>
      <c r="M74">
        <v>39</v>
      </c>
      <c r="N74">
        <v>38.64</v>
      </c>
    </row>
    <row r="75" spans="3:14" x14ac:dyDescent="0.15">
      <c r="C75" s="154" t="s">
        <v>1107</v>
      </c>
      <c r="D75" t="s">
        <v>37</v>
      </c>
      <c r="E75" t="s">
        <v>38</v>
      </c>
      <c r="F75" t="s">
        <v>6</v>
      </c>
      <c r="G75" t="s">
        <v>117</v>
      </c>
      <c r="H75" t="s">
        <v>60</v>
      </c>
      <c r="I75">
        <v>82.18</v>
      </c>
      <c r="J75">
        <v>82.91</v>
      </c>
      <c r="K75">
        <v>81.98</v>
      </c>
      <c r="L75">
        <v>37.130000000000003</v>
      </c>
      <c r="M75">
        <v>37.4</v>
      </c>
      <c r="N75">
        <v>37.04</v>
      </c>
    </row>
    <row r="76" spans="3:14" x14ac:dyDescent="0.15">
      <c r="C76" s="154" t="s">
        <v>1107</v>
      </c>
      <c r="D76" t="s">
        <v>37</v>
      </c>
      <c r="E76" t="s">
        <v>38</v>
      </c>
      <c r="F76" t="s">
        <v>6</v>
      </c>
      <c r="G76" t="s">
        <v>117</v>
      </c>
      <c r="H76" t="s">
        <v>648</v>
      </c>
      <c r="I76">
        <v>81.13</v>
      </c>
      <c r="J76">
        <v>81.86</v>
      </c>
      <c r="K76">
        <v>80.930000000000007</v>
      </c>
      <c r="L76">
        <v>36.08</v>
      </c>
      <c r="M76">
        <v>36.35</v>
      </c>
      <c r="N76">
        <v>35.99</v>
      </c>
    </row>
    <row r="77" spans="3:14" x14ac:dyDescent="0.15">
      <c r="C77" s="154" t="s">
        <v>1108</v>
      </c>
      <c r="D77" t="s">
        <v>37</v>
      </c>
      <c r="E77" t="s">
        <v>38</v>
      </c>
      <c r="F77" t="s">
        <v>6</v>
      </c>
      <c r="G77" t="s">
        <v>117</v>
      </c>
      <c r="H77" t="s">
        <v>59</v>
      </c>
      <c r="I77">
        <v>84.3</v>
      </c>
      <c r="J77">
        <v>84.16</v>
      </c>
      <c r="K77">
        <v>83.85</v>
      </c>
      <c r="L77">
        <v>38.76</v>
      </c>
      <c r="M77">
        <v>38.75</v>
      </c>
      <c r="N77">
        <v>38.67</v>
      </c>
    </row>
    <row r="78" spans="3:14" x14ac:dyDescent="0.15">
      <c r="C78" s="154" t="s">
        <v>1108</v>
      </c>
      <c r="D78" t="s">
        <v>37</v>
      </c>
      <c r="E78" t="s">
        <v>38</v>
      </c>
      <c r="F78" t="s">
        <v>6</v>
      </c>
      <c r="G78" t="s">
        <v>117</v>
      </c>
      <c r="H78" t="s">
        <v>60</v>
      </c>
      <c r="I78">
        <v>82.7</v>
      </c>
      <c r="J78">
        <v>82.56</v>
      </c>
      <c r="K78">
        <v>82.25</v>
      </c>
      <c r="L78">
        <v>37.159999999999997</v>
      </c>
      <c r="M78">
        <v>37.15</v>
      </c>
      <c r="N78">
        <v>37.07</v>
      </c>
    </row>
    <row r="79" spans="3:14" x14ac:dyDescent="0.15">
      <c r="C79" s="154" t="s">
        <v>1108</v>
      </c>
      <c r="D79" t="s">
        <v>37</v>
      </c>
      <c r="E79" t="s">
        <v>38</v>
      </c>
      <c r="F79" t="s">
        <v>6</v>
      </c>
      <c r="G79" t="s">
        <v>117</v>
      </c>
      <c r="H79" t="s">
        <v>648</v>
      </c>
      <c r="I79">
        <v>81.650000000000006</v>
      </c>
      <c r="J79">
        <v>81.510000000000005</v>
      </c>
      <c r="K79">
        <v>81.2</v>
      </c>
      <c r="L79">
        <v>36.11</v>
      </c>
      <c r="M79">
        <v>36.1</v>
      </c>
      <c r="N79">
        <v>36.020000000000003</v>
      </c>
    </row>
    <row r="80" spans="3:14" x14ac:dyDescent="0.15">
      <c r="C80" s="154" t="s">
        <v>1109</v>
      </c>
      <c r="D80" t="s">
        <v>37</v>
      </c>
      <c r="E80" t="s">
        <v>38</v>
      </c>
      <c r="F80" t="s">
        <v>6</v>
      </c>
      <c r="G80" t="s">
        <v>117</v>
      </c>
      <c r="H80" t="s">
        <v>59</v>
      </c>
      <c r="I80">
        <v>84.42</v>
      </c>
      <c r="J80">
        <v>83.55</v>
      </c>
      <c r="K80">
        <v>83.81</v>
      </c>
      <c r="L80">
        <v>38.770000000000003</v>
      </c>
      <c r="M80">
        <v>38.51</v>
      </c>
      <c r="N80">
        <v>38.68</v>
      </c>
    </row>
    <row r="81" spans="3:14" x14ac:dyDescent="0.15">
      <c r="C81" s="154" t="s">
        <v>1109</v>
      </c>
      <c r="D81" t="s">
        <v>37</v>
      </c>
      <c r="E81" t="s">
        <v>38</v>
      </c>
      <c r="F81" t="s">
        <v>6</v>
      </c>
      <c r="G81" t="s">
        <v>117</v>
      </c>
      <c r="H81" t="s">
        <v>60</v>
      </c>
      <c r="I81">
        <v>82.82</v>
      </c>
      <c r="J81">
        <v>81.95</v>
      </c>
      <c r="K81">
        <v>82.21</v>
      </c>
      <c r="L81">
        <v>37.17</v>
      </c>
      <c r="M81">
        <v>36.909999999999997</v>
      </c>
      <c r="N81">
        <v>37.08</v>
      </c>
    </row>
    <row r="82" spans="3:14" x14ac:dyDescent="0.15">
      <c r="C82" s="154" t="s">
        <v>1109</v>
      </c>
      <c r="D82" t="s">
        <v>37</v>
      </c>
      <c r="E82" t="s">
        <v>38</v>
      </c>
      <c r="F82" t="s">
        <v>6</v>
      </c>
      <c r="G82" t="s">
        <v>117</v>
      </c>
      <c r="H82" t="s">
        <v>648</v>
      </c>
      <c r="I82">
        <v>81.77</v>
      </c>
      <c r="J82">
        <v>80.900000000000006</v>
      </c>
      <c r="K82">
        <v>81.16</v>
      </c>
      <c r="L82">
        <v>36.119999999999997</v>
      </c>
      <c r="M82">
        <v>35.86</v>
      </c>
      <c r="N82">
        <v>36.03</v>
      </c>
    </row>
    <row r="83" spans="3:14" x14ac:dyDescent="0.15">
      <c r="C83" s="154" t="s">
        <v>1110</v>
      </c>
      <c r="D83" t="s">
        <v>37</v>
      </c>
      <c r="E83" t="s">
        <v>38</v>
      </c>
      <c r="F83" t="s">
        <v>6</v>
      </c>
      <c r="G83" t="s">
        <v>117</v>
      </c>
      <c r="H83" t="s">
        <v>59</v>
      </c>
      <c r="I83">
        <v>84.5</v>
      </c>
      <c r="J83">
        <v>83.13</v>
      </c>
      <c r="K83">
        <v>83.75</v>
      </c>
      <c r="L83">
        <v>38.78</v>
      </c>
      <c r="M83">
        <v>38.35</v>
      </c>
      <c r="N83">
        <v>38.69</v>
      </c>
    </row>
    <row r="84" spans="3:14" x14ac:dyDescent="0.15">
      <c r="C84" s="154" t="s">
        <v>1110</v>
      </c>
      <c r="D84" t="s">
        <v>37</v>
      </c>
      <c r="E84" t="s">
        <v>38</v>
      </c>
      <c r="F84" t="s">
        <v>6</v>
      </c>
      <c r="G84" t="s">
        <v>117</v>
      </c>
      <c r="H84" t="s">
        <v>60</v>
      </c>
      <c r="I84">
        <v>82.9</v>
      </c>
      <c r="J84">
        <v>81.53</v>
      </c>
      <c r="K84">
        <v>82.15</v>
      </c>
      <c r="L84">
        <v>37.18</v>
      </c>
      <c r="M84">
        <v>36.75</v>
      </c>
      <c r="N84">
        <v>37.090000000000003</v>
      </c>
    </row>
    <row r="85" spans="3:14" x14ac:dyDescent="0.15">
      <c r="C85" s="154" t="s">
        <v>1110</v>
      </c>
      <c r="D85" t="s">
        <v>37</v>
      </c>
      <c r="E85" t="s">
        <v>38</v>
      </c>
      <c r="F85" t="s">
        <v>6</v>
      </c>
      <c r="G85" t="s">
        <v>117</v>
      </c>
      <c r="H85" t="s">
        <v>648</v>
      </c>
      <c r="I85">
        <v>81.849999999999994</v>
      </c>
      <c r="J85">
        <v>80.48</v>
      </c>
      <c r="K85">
        <v>81.099999999999994</v>
      </c>
      <c r="L85">
        <v>36.130000000000003</v>
      </c>
      <c r="M85">
        <v>35.700000000000003</v>
      </c>
      <c r="N85">
        <v>36.04</v>
      </c>
    </row>
    <row r="86" spans="3:14" x14ac:dyDescent="0.15">
      <c r="C86" s="154" t="s">
        <v>1111</v>
      </c>
      <c r="D86" t="s">
        <v>37</v>
      </c>
      <c r="E86" t="s">
        <v>38</v>
      </c>
      <c r="F86" t="s">
        <v>6</v>
      </c>
      <c r="G86" t="s">
        <v>117</v>
      </c>
      <c r="H86" t="s">
        <v>59</v>
      </c>
      <c r="I86">
        <v>84.49</v>
      </c>
      <c r="J86">
        <v>82.71</v>
      </c>
      <c r="K86">
        <v>83.67</v>
      </c>
      <c r="L86">
        <v>38.770000000000003</v>
      </c>
      <c r="M86">
        <v>38.14</v>
      </c>
      <c r="N86">
        <v>38.69</v>
      </c>
    </row>
    <row r="87" spans="3:14" x14ac:dyDescent="0.15">
      <c r="C87" s="154" t="s">
        <v>1111</v>
      </c>
      <c r="D87" t="s">
        <v>37</v>
      </c>
      <c r="E87" t="s">
        <v>38</v>
      </c>
      <c r="F87" t="s">
        <v>6</v>
      </c>
      <c r="G87" t="s">
        <v>117</v>
      </c>
      <c r="H87" t="s">
        <v>60</v>
      </c>
      <c r="I87">
        <v>82.89</v>
      </c>
      <c r="J87">
        <v>81.11</v>
      </c>
      <c r="K87">
        <v>82.07</v>
      </c>
      <c r="L87">
        <v>37.17</v>
      </c>
      <c r="M87">
        <v>36.54</v>
      </c>
      <c r="N87">
        <v>37.090000000000003</v>
      </c>
    </row>
    <row r="88" spans="3:14" x14ac:dyDescent="0.15">
      <c r="C88" s="154" t="s">
        <v>1111</v>
      </c>
      <c r="D88" t="s">
        <v>37</v>
      </c>
      <c r="E88" t="s">
        <v>38</v>
      </c>
      <c r="F88" t="s">
        <v>6</v>
      </c>
      <c r="G88" t="s">
        <v>117</v>
      </c>
      <c r="H88" t="s">
        <v>648</v>
      </c>
      <c r="I88">
        <v>81.84</v>
      </c>
      <c r="J88">
        <v>80.06</v>
      </c>
      <c r="K88">
        <v>81.02</v>
      </c>
      <c r="L88">
        <v>36.119999999999997</v>
      </c>
      <c r="M88">
        <v>35.49</v>
      </c>
      <c r="N88">
        <v>36.04</v>
      </c>
    </row>
    <row r="89" spans="3:14" x14ac:dyDescent="0.15">
      <c r="C89" s="154" t="s">
        <v>1112</v>
      </c>
      <c r="D89" t="s">
        <v>37</v>
      </c>
      <c r="E89" t="s">
        <v>38</v>
      </c>
      <c r="F89" t="s">
        <v>6</v>
      </c>
      <c r="G89" t="s">
        <v>117</v>
      </c>
      <c r="H89" t="s">
        <v>59</v>
      </c>
      <c r="I89">
        <v>84.38</v>
      </c>
      <c r="J89">
        <v>82.49</v>
      </c>
      <c r="K89">
        <v>83.57</v>
      </c>
      <c r="L89">
        <v>38.75</v>
      </c>
      <c r="M89">
        <v>38.1</v>
      </c>
      <c r="N89">
        <v>38.75</v>
      </c>
    </row>
    <row r="90" spans="3:14" x14ac:dyDescent="0.15">
      <c r="C90" s="154" t="s">
        <v>1112</v>
      </c>
      <c r="D90" t="s">
        <v>37</v>
      </c>
      <c r="E90" t="s">
        <v>38</v>
      </c>
      <c r="F90" t="s">
        <v>6</v>
      </c>
      <c r="G90" t="s">
        <v>117</v>
      </c>
      <c r="H90" t="s">
        <v>60</v>
      </c>
      <c r="I90">
        <v>82.78</v>
      </c>
      <c r="J90">
        <v>80.89</v>
      </c>
      <c r="K90">
        <v>81.97</v>
      </c>
      <c r="L90">
        <v>37.15</v>
      </c>
      <c r="M90">
        <v>36.5</v>
      </c>
      <c r="N90">
        <v>37.15</v>
      </c>
    </row>
    <row r="91" spans="3:14" x14ac:dyDescent="0.15">
      <c r="C91" s="154" t="s">
        <v>1112</v>
      </c>
      <c r="D91" t="s">
        <v>37</v>
      </c>
      <c r="E91" t="s">
        <v>38</v>
      </c>
      <c r="F91" t="s">
        <v>6</v>
      </c>
      <c r="G91" t="s">
        <v>117</v>
      </c>
      <c r="H91" t="s">
        <v>648</v>
      </c>
      <c r="I91">
        <v>81.73</v>
      </c>
      <c r="J91">
        <v>79.84</v>
      </c>
      <c r="K91">
        <v>80.92</v>
      </c>
      <c r="L91">
        <v>36.1</v>
      </c>
      <c r="M91">
        <v>35.450000000000003</v>
      </c>
      <c r="N91">
        <v>36.1</v>
      </c>
    </row>
    <row r="92" spans="3:14" x14ac:dyDescent="0.15">
      <c r="C92" s="154" t="s">
        <v>1113</v>
      </c>
      <c r="D92" t="s">
        <v>37</v>
      </c>
      <c r="E92" t="s">
        <v>38</v>
      </c>
      <c r="F92" t="s">
        <v>6</v>
      </c>
      <c r="G92" t="s">
        <v>117</v>
      </c>
      <c r="H92" t="s">
        <v>59</v>
      </c>
      <c r="I92">
        <v>84.35</v>
      </c>
      <c r="J92">
        <v>83.18</v>
      </c>
      <c r="K92">
        <v>83.61</v>
      </c>
      <c r="L92">
        <v>38.770000000000003</v>
      </c>
      <c r="M92">
        <v>38.380000000000003</v>
      </c>
      <c r="N92">
        <v>38.82</v>
      </c>
    </row>
    <row r="93" spans="3:14" x14ac:dyDescent="0.15">
      <c r="C93" s="154" t="s">
        <v>1113</v>
      </c>
      <c r="D93" t="s">
        <v>37</v>
      </c>
      <c r="E93" t="s">
        <v>38</v>
      </c>
      <c r="F93" t="s">
        <v>6</v>
      </c>
      <c r="G93" t="s">
        <v>117</v>
      </c>
      <c r="H93" t="s">
        <v>60</v>
      </c>
      <c r="I93">
        <v>82.75</v>
      </c>
      <c r="J93">
        <v>81.58</v>
      </c>
      <c r="K93">
        <v>82.01</v>
      </c>
      <c r="L93">
        <v>37.17</v>
      </c>
      <c r="M93">
        <v>36.78</v>
      </c>
      <c r="N93">
        <v>37.22</v>
      </c>
    </row>
    <row r="94" spans="3:14" x14ac:dyDescent="0.15">
      <c r="C94" s="154" t="s">
        <v>1113</v>
      </c>
      <c r="D94" t="s">
        <v>37</v>
      </c>
      <c r="E94" t="s">
        <v>38</v>
      </c>
      <c r="F94" t="s">
        <v>6</v>
      </c>
      <c r="G94" t="s">
        <v>117</v>
      </c>
      <c r="H94" t="s">
        <v>648</v>
      </c>
      <c r="I94">
        <v>81.7</v>
      </c>
      <c r="J94">
        <v>80.53</v>
      </c>
      <c r="K94">
        <v>80.959999999999994</v>
      </c>
      <c r="L94">
        <v>36.119999999999997</v>
      </c>
      <c r="M94">
        <v>35.729999999999997</v>
      </c>
      <c r="N94">
        <v>36.17</v>
      </c>
    </row>
    <row r="95" spans="3:14" x14ac:dyDescent="0.15">
      <c r="C95" s="154" t="s">
        <v>1114</v>
      </c>
      <c r="D95" t="s">
        <v>37</v>
      </c>
      <c r="E95" t="s">
        <v>38</v>
      </c>
      <c r="F95" t="s">
        <v>6</v>
      </c>
      <c r="G95" t="s">
        <v>117</v>
      </c>
      <c r="H95" t="s">
        <v>59</v>
      </c>
      <c r="I95">
        <v>84.34</v>
      </c>
      <c r="J95">
        <v>83.86</v>
      </c>
      <c r="K95">
        <v>83.65</v>
      </c>
      <c r="L95">
        <v>38.770000000000003</v>
      </c>
      <c r="M95">
        <v>38.65</v>
      </c>
      <c r="N95">
        <v>38.89</v>
      </c>
    </row>
    <row r="96" spans="3:14" x14ac:dyDescent="0.15">
      <c r="C96" s="154" t="s">
        <v>1114</v>
      </c>
      <c r="D96" t="s">
        <v>37</v>
      </c>
      <c r="E96" t="s">
        <v>38</v>
      </c>
      <c r="F96" t="s">
        <v>6</v>
      </c>
      <c r="G96" t="s">
        <v>117</v>
      </c>
      <c r="H96" t="s">
        <v>60</v>
      </c>
      <c r="I96">
        <v>82.74</v>
      </c>
      <c r="J96">
        <v>82.26</v>
      </c>
      <c r="K96">
        <v>82.05</v>
      </c>
      <c r="L96">
        <v>37.17</v>
      </c>
      <c r="M96">
        <v>37.049999999999997</v>
      </c>
      <c r="N96">
        <v>37.29</v>
      </c>
    </row>
    <row r="97" spans="3:14" x14ac:dyDescent="0.15">
      <c r="C97" s="154" t="s">
        <v>1114</v>
      </c>
      <c r="D97" t="s">
        <v>37</v>
      </c>
      <c r="E97" t="s">
        <v>38</v>
      </c>
      <c r="F97" t="s">
        <v>6</v>
      </c>
      <c r="G97" t="s">
        <v>117</v>
      </c>
      <c r="H97" t="s">
        <v>648</v>
      </c>
      <c r="I97">
        <v>81.69</v>
      </c>
      <c r="J97">
        <v>81.209999999999994</v>
      </c>
      <c r="K97">
        <v>81</v>
      </c>
      <c r="L97">
        <v>36.119999999999997</v>
      </c>
      <c r="M97">
        <v>36</v>
      </c>
      <c r="N97">
        <v>36.24</v>
      </c>
    </row>
    <row r="98" spans="3:14" x14ac:dyDescent="0.15">
      <c r="C98" s="154" t="s">
        <v>1115</v>
      </c>
      <c r="D98" t="s">
        <v>37</v>
      </c>
      <c r="E98" t="s">
        <v>38</v>
      </c>
      <c r="F98" t="s">
        <v>6</v>
      </c>
      <c r="G98" t="s">
        <v>117</v>
      </c>
      <c r="H98" t="s">
        <v>59</v>
      </c>
      <c r="I98">
        <v>84.23</v>
      </c>
      <c r="J98">
        <v>84.34</v>
      </c>
      <c r="K98">
        <v>83.57</v>
      </c>
      <c r="L98">
        <v>38.76</v>
      </c>
      <c r="M98">
        <v>38.909999999999997</v>
      </c>
      <c r="N98">
        <v>38.96</v>
      </c>
    </row>
    <row r="99" spans="3:14" x14ac:dyDescent="0.15">
      <c r="C99" s="154" t="s">
        <v>1115</v>
      </c>
      <c r="D99" t="s">
        <v>37</v>
      </c>
      <c r="E99" t="s">
        <v>38</v>
      </c>
      <c r="F99" t="s">
        <v>6</v>
      </c>
      <c r="G99" t="s">
        <v>117</v>
      </c>
      <c r="H99" t="s">
        <v>60</v>
      </c>
      <c r="I99">
        <v>82.63</v>
      </c>
      <c r="J99">
        <v>82.74</v>
      </c>
      <c r="K99">
        <v>81.97</v>
      </c>
      <c r="L99">
        <v>37.159999999999997</v>
      </c>
      <c r="M99">
        <v>37.31</v>
      </c>
      <c r="N99">
        <v>37.36</v>
      </c>
    </row>
    <row r="100" spans="3:14" x14ac:dyDescent="0.15">
      <c r="C100" s="154" t="s">
        <v>1115</v>
      </c>
      <c r="D100" t="s">
        <v>37</v>
      </c>
      <c r="E100" t="s">
        <v>38</v>
      </c>
      <c r="F100" t="s">
        <v>6</v>
      </c>
      <c r="G100" t="s">
        <v>117</v>
      </c>
      <c r="H100" t="s">
        <v>648</v>
      </c>
      <c r="I100">
        <v>81.58</v>
      </c>
      <c r="J100">
        <v>81.69</v>
      </c>
      <c r="K100">
        <v>80.92</v>
      </c>
      <c r="L100">
        <v>36.11</v>
      </c>
      <c r="M100">
        <v>36.26</v>
      </c>
      <c r="N100">
        <v>36.31</v>
      </c>
    </row>
    <row r="101" spans="3:14" x14ac:dyDescent="0.15">
      <c r="C101" s="154" t="s">
        <v>1117</v>
      </c>
      <c r="D101" t="s">
        <v>37</v>
      </c>
      <c r="E101" t="s">
        <v>38</v>
      </c>
      <c r="F101" t="s">
        <v>6</v>
      </c>
      <c r="G101" t="s">
        <v>117</v>
      </c>
      <c r="H101" t="s">
        <v>59</v>
      </c>
      <c r="I101">
        <v>84.04</v>
      </c>
      <c r="J101">
        <v>84.59</v>
      </c>
      <c r="K101">
        <v>83.53</v>
      </c>
      <c r="L101">
        <v>38.729999999999997</v>
      </c>
      <c r="M101">
        <v>39.07</v>
      </c>
      <c r="N101">
        <v>39.01</v>
      </c>
    </row>
    <row r="102" spans="3:14" x14ac:dyDescent="0.15">
      <c r="C102" s="154" t="s">
        <v>1117</v>
      </c>
      <c r="D102" t="s">
        <v>37</v>
      </c>
      <c r="E102" t="s">
        <v>38</v>
      </c>
      <c r="F102" t="s">
        <v>6</v>
      </c>
      <c r="G102" t="s">
        <v>117</v>
      </c>
      <c r="H102" t="s">
        <v>60</v>
      </c>
      <c r="I102">
        <v>82.44</v>
      </c>
      <c r="J102">
        <v>82.99</v>
      </c>
      <c r="K102">
        <v>81.93</v>
      </c>
      <c r="L102">
        <v>37.130000000000003</v>
      </c>
      <c r="M102">
        <v>37.47</v>
      </c>
      <c r="N102">
        <v>37.409999999999997</v>
      </c>
    </row>
    <row r="103" spans="3:14" x14ac:dyDescent="0.15">
      <c r="C103" s="154" t="s">
        <v>1117</v>
      </c>
      <c r="D103" t="s">
        <v>37</v>
      </c>
      <c r="E103" t="s">
        <v>38</v>
      </c>
      <c r="F103" t="s">
        <v>6</v>
      </c>
      <c r="G103" t="s">
        <v>117</v>
      </c>
      <c r="H103" t="s">
        <v>648</v>
      </c>
      <c r="I103">
        <v>81.39</v>
      </c>
      <c r="J103">
        <v>81.94</v>
      </c>
      <c r="K103">
        <v>80.88</v>
      </c>
      <c r="L103">
        <v>36.08</v>
      </c>
      <c r="M103">
        <v>36.42</v>
      </c>
      <c r="N103">
        <v>36.36</v>
      </c>
    </row>
    <row r="104" spans="3:14" x14ac:dyDescent="0.15">
      <c r="C104" s="154" t="s">
        <v>1118</v>
      </c>
      <c r="D104" t="s">
        <v>37</v>
      </c>
      <c r="E104" t="s">
        <v>38</v>
      </c>
      <c r="F104" t="s">
        <v>6</v>
      </c>
      <c r="G104" t="s">
        <v>117</v>
      </c>
      <c r="H104" t="s">
        <v>59</v>
      </c>
      <c r="I104">
        <v>83.65</v>
      </c>
      <c r="J104">
        <v>84.65</v>
      </c>
      <c r="K104">
        <v>83.38</v>
      </c>
      <c r="L104">
        <v>38.6</v>
      </c>
      <c r="M104">
        <v>39.200000000000003</v>
      </c>
      <c r="N104">
        <v>39.01</v>
      </c>
    </row>
    <row r="105" spans="3:14" x14ac:dyDescent="0.15">
      <c r="C105" s="154" t="s">
        <v>1118</v>
      </c>
      <c r="D105" t="s">
        <v>37</v>
      </c>
      <c r="E105" t="s">
        <v>38</v>
      </c>
      <c r="F105" t="s">
        <v>6</v>
      </c>
      <c r="G105" t="s">
        <v>117</v>
      </c>
      <c r="H105" t="s">
        <v>60</v>
      </c>
      <c r="I105">
        <v>82.05</v>
      </c>
      <c r="J105">
        <v>83.05</v>
      </c>
      <c r="K105">
        <v>81.78</v>
      </c>
      <c r="L105">
        <v>37</v>
      </c>
      <c r="M105">
        <v>37.6</v>
      </c>
      <c r="N105">
        <v>37.409999999999997</v>
      </c>
    </row>
    <row r="106" spans="3:14" x14ac:dyDescent="0.15">
      <c r="C106" s="154" t="s">
        <v>1118</v>
      </c>
      <c r="D106" t="s">
        <v>37</v>
      </c>
      <c r="E106" t="s">
        <v>38</v>
      </c>
      <c r="F106" t="s">
        <v>6</v>
      </c>
      <c r="G106" t="s">
        <v>117</v>
      </c>
      <c r="H106" t="s">
        <v>648</v>
      </c>
      <c r="I106">
        <v>81</v>
      </c>
      <c r="J106">
        <v>82</v>
      </c>
      <c r="K106">
        <v>80.73</v>
      </c>
      <c r="L106">
        <v>35.950000000000003</v>
      </c>
      <c r="M106">
        <v>36.549999999999997</v>
      </c>
      <c r="N106">
        <v>36.36</v>
      </c>
    </row>
    <row r="107" spans="3:14" x14ac:dyDescent="0.15">
      <c r="C107" s="154" t="s">
        <v>1119</v>
      </c>
      <c r="D107" t="s">
        <v>37</v>
      </c>
      <c r="E107" t="s">
        <v>38</v>
      </c>
      <c r="F107" t="s">
        <v>6</v>
      </c>
      <c r="G107" t="s">
        <v>117</v>
      </c>
      <c r="H107" t="s">
        <v>59</v>
      </c>
      <c r="I107">
        <v>83.39</v>
      </c>
      <c r="J107">
        <v>84.57</v>
      </c>
      <c r="K107">
        <v>83.36</v>
      </c>
      <c r="L107">
        <v>38.51</v>
      </c>
      <c r="M107">
        <v>39.26</v>
      </c>
      <c r="N107">
        <v>39.04</v>
      </c>
    </row>
    <row r="108" spans="3:14" x14ac:dyDescent="0.15">
      <c r="C108" s="154" t="s">
        <v>1119</v>
      </c>
      <c r="D108" t="s">
        <v>37</v>
      </c>
      <c r="E108" t="s">
        <v>38</v>
      </c>
      <c r="F108" t="s">
        <v>6</v>
      </c>
      <c r="G108" t="s">
        <v>117</v>
      </c>
      <c r="H108" t="s">
        <v>60</v>
      </c>
      <c r="I108">
        <v>81.790000000000006</v>
      </c>
      <c r="J108">
        <v>82.97</v>
      </c>
      <c r="K108">
        <v>81.760000000000005</v>
      </c>
      <c r="L108">
        <v>36.909999999999997</v>
      </c>
      <c r="M108">
        <v>37.659999999999997</v>
      </c>
      <c r="N108">
        <v>37.44</v>
      </c>
    </row>
    <row r="109" spans="3:14" x14ac:dyDescent="0.15">
      <c r="C109" s="154" t="s">
        <v>1119</v>
      </c>
      <c r="D109" t="s">
        <v>37</v>
      </c>
      <c r="E109" t="s">
        <v>38</v>
      </c>
      <c r="F109" t="s">
        <v>6</v>
      </c>
      <c r="G109" t="s">
        <v>117</v>
      </c>
      <c r="H109" t="s">
        <v>648</v>
      </c>
      <c r="I109">
        <v>80.739999999999995</v>
      </c>
      <c r="J109">
        <v>81.92</v>
      </c>
      <c r="K109">
        <v>80.709999999999994</v>
      </c>
      <c r="L109">
        <v>35.86</v>
      </c>
      <c r="M109">
        <v>36.61</v>
      </c>
      <c r="N109">
        <v>36.39</v>
      </c>
    </row>
    <row r="110" spans="3:14" x14ac:dyDescent="0.15">
      <c r="C110" s="154" t="s">
        <v>1107</v>
      </c>
      <c r="D110" t="s">
        <v>37</v>
      </c>
      <c r="E110" t="s">
        <v>41</v>
      </c>
      <c r="F110" t="s">
        <v>6</v>
      </c>
      <c r="G110" t="s">
        <v>117</v>
      </c>
      <c r="H110" t="s">
        <v>59</v>
      </c>
      <c r="I110">
        <v>80.86</v>
      </c>
      <c r="J110">
        <v>80.66</v>
      </c>
      <c r="K110">
        <v>80.16</v>
      </c>
      <c r="L110">
        <v>39.58</v>
      </c>
      <c r="M110">
        <v>39.22</v>
      </c>
      <c r="N110">
        <v>39.17</v>
      </c>
    </row>
    <row r="111" spans="3:14" x14ac:dyDescent="0.15">
      <c r="C111" s="154" t="s">
        <v>1107</v>
      </c>
      <c r="D111" t="s">
        <v>37</v>
      </c>
      <c r="E111" t="s">
        <v>41</v>
      </c>
      <c r="F111" t="s">
        <v>6</v>
      </c>
      <c r="G111" t="s">
        <v>117</v>
      </c>
      <c r="H111" t="s">
        <v>60</v>
      </c>
      <c r="I111">
        <v>79.260000000000005</v>
      </c>
      <c r="J111">
        <v>79.06</v>
      </c>
      <c r="K111">
        <v>78.56</v>
      </c>
      <c r="L111">
        <v>37.979999999999997</v>
      </c>
      <c r="M111">
        <v>37.619999999999997</v>
      </c>
      <c r="N111">
        <v>37.57</v>
      </c>
    </row>
    <row r="112" spans="3:14" x14ac:dyDescent="0.15">
      <c r="C112" s="154" t="s">
        <v>1107</v>
      </c>
      <c r="D112" t="s">
        <v>37</v>
      </c>
      <c r="E112" t="s">
        <v>41</v>
      </c>
      <c r="F112" t="s">
        <v>6</v>
      </c>
      <c r="G112" t="s">
        <v>117</v>
      </c>
      <c r="H112" t="s">
        <v>648</v>
      </c>
      <c r="I112">
        <v>78.209999999999994</v>
      </c>
      <c r="J112">
        <v>78.010000000000005</v>
      </c>
      <c r="K112">
        <v>77.510000000000005</v>
      </c>
      <c r="L112">
        <v>36.93</v>
      </c>
      <c r="M112">
        <v>36.57</v>
      </c>
      <c r="N112">
        <v>36.520000000000003</v>
      </c>
    </row>
    <row r="113" spans="3:14" x14ac:dyDescent="0.15">
      <c r="C113" s="154" t="s">
        <v>1108</v>
      </c>
      <c r="D113" t="s">
        <v>37</v>
      </c>
      <c r="E113" t="s">
        <v>41</v>
      </c>
      <c r="F113" t="s">
        <v>6</v>
      </c>
      <c r="G113" t="s">
        <v>117</v>
      </c>
      <c r="H113" t="s">
        <v>59</v>
      </c>
      <c r="I113">
        <v>81.06</v>
      </c>
      <c r="J113">
        <v>79.680000000000007</v>
      </c>
      <c r="K113">
        <v>80.25</v>
      </c>
      <c r="L113">
        <v>39.47</v>
      </c>
      <c r="M113">
        <v>38.799999999999997</v>
      </c>
      <c r="N113">
        <v>39.130000000000003</v>
      </c>
    </row>
    <row r="114" spans="3:14" x14ac:dyDescent="0.15">
      <c r="C114" s="154" t="s">
        <v>1108</v>
      </c>
      <c r="D114" t="s">
        <v>37</v>
      </c>
      <c r="E114" t="s">
        <v>41</v>
      </c>
      <c r="F114" t="s">
        <v>6</v>
      </c>
      <c r="G114" t="s">
        <v>117</v>
      </c>
      <c r="H114" t="s">
        <v>60</v>
      </c>
      <c r="I114">
        <v>79.459999999999994</v>
      </c>
      <c r="J114">
        <v>78.08</v>
      </c>
      <c r="K114">
        <v>78.650000000000006</v>
      </c>
      <c r="L114">
        <v>37.869999999999997</v>
      </c>
      <c r="M114">
        <v>37.200000000000003</v>
      </c>
      <c r="N114">
        <v>37.53</v>
      </c>
    </row>
    <row r="115" spans="3:14" x14ac:dyDescent="0.15">
      <c r="C115" s="154" t="s">
        <v>1108</v>
      </c>
      <c r="D115" t="s">
        <v>37</v>
      </c>
      <c r="E115" t="s">
        <v>41</v>
      </c>
      <c r="F115" t="s">
        <v>6</v>
      </c>
      <c r="G115" t="s">
        <v>117</v>
      </c>
      <c r="H115" t="s">
        <v>648</v>
      </c>
      <c r="I115">
        <v>78.41</v>
      </c>
      <c r="J115">
        <v>77.03</v>
      </c>
      <c r="K115">
        <v>77.599999999999994</v>
      </c>
      <c r="L115">
        <v>36.82</v>
      </c>
      <c r="M115">
        <v>36.15</v>
      </c>
      <c r="N115">
        <v>36.479999999999997</v>
      </c>
    </row>
    <row r="116" spans="3:14" x14ac:dyDescent="0.15">
      <c r="C116" s="154" t="s">
        <v>1109</v>
      </c>
      <c r="D116" t="s">
        <v>37</v>
      </c>
      <c r="E116" t="s">
        <v>41</v>
      </c>
      <c r="F116" t="s">
        <v>6</v>
      </c>
      <c r="G116" t="s">
        <v>117</v>
      </c>
      <c r="H116" t="s">
        <v>59</v>
      </c>
      <c r="I116">
        <v>80.569999999999993</v>
      </c>
      <c r="J116">
        <v>78.81</v>
      </c>
      <c r="K116">
        <v>79.98</v>
      </c>
      <c r="L116">
        <v>39.33</v>
      </c>
      <c r="M116">
        <v>38.450000000000003</v>
      </c>
      <c r="N116">
        <v>39.07</v>
      </c>
    </row>
    <row r="117" spans="3:14" x14ac:dyDescent="0.15">
      <c r="C117" s="154" t="s">
        <v>1109</v>
      </c>
      <c r="D117" t="s">
        <v>37</v>
      </c>
      <c r="E117" t="s">
        <v>41</v>
      </c>
      <c r="F117" t="s">
        <v>6</v>
      </c>
      <c r="G117" t="s">
        <v>117</v>
      </c>
      <c r="H117" t="s">
        <v>60</v>
      </c>
      <c r="I117">
        <v>78.97</v>
      </c>
      <c r="J117">
        <v>77.209999999999994</v>
      </c>
      <c r="K117">
        <v>78.38</v>
      </c>
      <c r="L117">
        <v>37.729999999999997</v>
      </c>
      <c r="M117">
        <v>36.85</v>
      </c>
      <c r="N117">
        <v>37.47</v>
      </c>
    </row>
    <row r="118" spans="3:14" x14ac:dyDescent="0.15">
      <c r="C118" s="154" t="s">
        <v>1109</v>
      </c>
      <c r="D118" t="s">
        <v>37</v>
      </c>
      <c r="E118" t="s">
        <v>41</v>
      </c>
      <c r="F118" t="s">
        <v>6</v>
      </c>
      <c r="G118" t="s">
        <v>117</v>
      </c>
      <c r="H118" t="s">
        <v>648</v>
      </c>
      <c r="I118">
        <v>77.92</v>
      </c>
      <c r="J118">
        <v>76.16</v>
      </c>
      <c r="K118">
        <v>77.33</v>
      </c>
      <c r="L118">
        <v>36.68</v>
      </c>
      <c r="M118">
        <v>35.799999999999997</v>
      </c>
      <c r="N118">
        <v>36.42</v>
      </c>
    </row>
    <row r="119" spans="3:14" x14ac:dyDescent="0.15">
      <c r="C119" s="154" t="s">
        <v>1110</v>
      </c>
      <c r="D119" t="s">
        <v>37</v>
      </c>
      <c r="E119" t="s">
        <v>41</v>
      </c>
      <c r="F119" t="s">
        <v>6</v>
      </c>
      <c r="G119" t="s">
        <v>117</v>
      </c>
      <c r="H119" t="s">
        <v>59</v>
      </c>
      <c r="I119">
        <v>80.400000000000006</v>
      </c>
      <c r="J119">
        <v>78.459999999999994</v>
      </c>
      <c r="K119">
        <v>79.87</v>
      </c>
      <c r="L119">
        <v>39.08</v>
      </c>
      <c r="M119">
        <v>38.28</v>
      </c>
      <c r="N119">
        <v>38.96</v>
      </c>
    </row>
    <row r="120" spans="3:14" x14ac:dyDescent="0.15">
      <c r="C120" s="154" t="s">
        <v>1110</v>
      </c>
      <c r="D120" t="s">
        <v>37</v>
      </c>
      <c r="E120" t="s">
        <v>41</v>
      </c>
      <c r="F120" t="s">
        <v>6</v>
      </c>
      <c r="G120" t="s">
        <v>117</v>
      </c>
      <c r="H120" t="s">
        <v>60</v>
      </c>
      <c r="I120">
        <v>78.8</v>
      </c>
      <c r="J120">
        <v>76.86</v>
      </c>
      <c r="K120">
        <v>78.27</v>
      </c>
      <c r="L120">
        <v>37.479999999999997</v>
      </c>
      <c r="M120">
        <v>36.68</v>
      </c>
      <c r="N120">
        <v>37.36</v>
      </c>
    </row>
    <row r="121" spans="3:14" x14ac:dyDescent="0.15">
      <c r="C121" s="154" t="s">
        <v>1110</v>
      </c>
      <c r="D121" t="s">
        <v>37</v>
      </c>
      <c r="E121" t="s">
        <v>41</v>
      </c>
      <c r="F121" t="s">
        <v>6</v>
      </c>
      <c r="G121" t="s">
        <v>117</v>
      </c>
      <c r="H121" t="s">
        <v>648</v>
      </c>
      <c r="I121">
        <v>77.75</v>
      </c>
      <c r="J121">
        <v>75.81</v>
      </c>
      <c r="K121">
        <v>77.22</v>
      </c>
      <c r="L121">
        <v>36.43</v>
      </c>
      <c r="M121">
        <v>35.630000000000003</v>
      </c>
      <c r="N121">
        <v>36.31</v>
      </c>
    </row>
    <row r="122" spans="3:14" x14ac:dyDescent="0.15">
      <c r="C122" s="154" t="s">
        <v>1111</v>
      </c>
      <c r="D122" t="s">
        <v>37</v>
      </c>
      <c r="E122" t="s">
        <v>41</v>
      </c>
      <c r="F122" t="s">
        <v>6</v>
      </c>
      <c r="G122" t="s">
        <v>117</v>
      </c>
      <c r="H122" t="s">
        <v>59</v>
      </c>
      <c r="I122">
        <v>80.11</v>
      </c>
      <c r="J122">
        <v>78.239999999999995</v>
      </c>
      <c r="K122">
        <v>79.72</v>
      </c>
      <c r="L122">
        <v>38.75</v>
      </c>
      <c r="M122">
        <v>38.21</v>
      </c>
      <c r="N122">
        <v>38.799999999999997</v>
      </c>
    </row>
    <row r="123" spans="3:14" x14ac:dyDescent="0.15">
      <c r="C123" s="154" t="s">
        <v>1111</v>
      </c>
      <c r="D123" t="s">
        <v>37</v>
      </c>
      <c r="E123" t="s">
        <v>41</v>
      </c>
      <c r="F123" t="s">
        <v>6</v>
      </c>
      <c r="G123" t="s">
        <v>117</v>
      </c>
      <c r="H123" t="s">
        <v>60</v>
      </c>
      <c r="I123">
        <v>78.510000000000005</v>
      </c>
      <c r="J123">
        <v>76.64</v>
      </c>
      <c r="K123">
        <v>78.12</v>
      </c>
      <c r="L123">
        <v>37.15</v>
      </c>
      <c r="M123">
        <v>36.61</v>
      </c>
      <c r="N123">
        <v>37.200000000000003</v>
      </c>
    </row>
    <row r="124" spans="3:14" x14ac:dyDescent="0.15">
      <c r="C124" s="154" t="s">
        <v>1111</v>
      </c>
      <c r="D124" t="s">
        <v>37</v>
      </c>
      <c r="E124" t="s">
        <v>41</v>
      </c>
      <c r="F124" t="s">
        <v>6</v>
      </c>
      <c r="G124" t="s">
        <v>117</v>
      </c>
      <c r="H124" t="s">
        <v>648</v>
      </c>
      <c r="I124">
        <v>77.459999999999994</v>
      </c>
      <c r="J124">
        <v>75.59</v>
      </c>
      <c r="K124">
        <v>77.069999999999993</v>
      </c>
      <c r="L124">
        <v>36.1</v>
      </c>
      <c r="M124">
        <v>35.56</v>
      </c>
      <c r="N124">
        <v>36.15</v>
      </c>
    </row>
    <row r="125" spans="3:14" x14ac:dyDescent="0.15">
      <c r="C125" s="154" t="s">
        <v>1112</v>
      </c>
      <c r="D125" t="s">
        <v>37</v>
      </c>
      <c r="E125" t="s">
        <v>41</v>
      </c>
      <c r="F125" t="s">
        <v>6</v>
      </c>
      <c r="G125" t="s">
        <v>117</v>
      </c>
      <c r="H125" t="s">
        <v>59</v>
      </c>
      <c r="I125">
        <v>80.08</v>
      </c>
      <c r="J125">
        <v>78.41</v>
      </c>
      <c r="K125">
        <v>80.02</v>
      </c>
      <c r="L125">
        <v>38.729999999999997</v>
      </c>
      <c r="M125">
        <v>38.43</v>
      </c>
      <c r="N125">
        <v>39.159999999999997</v>
      </c>
    </row>
    <row r="126" spans="3:14" x14ac:dyDescent="0.15">
      <c r="C126" s="154" t="s">
        <v>1112</v>
      </c>
      <c r="D126" t="s">
        <v>37</v>
      </c>
      <c r="E126" t="s">
        <v>41</v>
      </c>
      <c r="F126" t="s">
        <v>6</v>
      </c>
      <c r="G126" t="s">
        <v>117</v>
      </c>
      <c r="H126" t="s">
        <v>60</v>
      </c>
      <c r="I126">
        <v>78.48</v>
      </c>
      <c r="J126">
        <v>76.81</v>
      </c>
      <c r="K126">
        <v>78.42</v>
      </c>
      <c r="L126">
        <v>37.130000000000003</v>
      </c>
      <c r="M126">
        <v>36.83</v>
      </c>
      <c r="N126">
        <v>37.56</v>
      </c>
    </row>
    <row r="127" spans="3:14" x14ac:dyDescent="0.15">
      <c r="C127" s="154" t="s">
        <v>1112</v>
      </c>
      <c r="D127" t="s">
        <v>37</v>
      </c>
      <c r="E127" t="s">
        <v>41</v>
      </c>
      <c r="F127" t="s">
        <v>6</v>
      </c>
      <c r="G127" t="s">
        <v>117</v>
      </c>
      <c r="H127" t="s">
        <v>648</v>
      </c>
      <c r="I127">
        <v>77.430000000000007</v>
      </c>
      <c r="J127">
        <v>75.760000000000005</v>
      </c>
      <c r="K127">
        <v>77.37</v>
      </c>
      <c r="L127">
        <v>36.08</v>
      </c>
      <c r="M127">
        <v>35.78</v>
      </c>
      <c r="N127">
        <v>36.51</v>
      </c>
    </row>
    <row r="128" spans="3:14" x14ac:dyDescent="0.15">
      <c r="C128" s="154" t="s">
        <v>1113</v>
      </c>
      <c r="D128" t="s">
        <v>37</v>
      </c>
      <c r="E128" t="s">
        <v>41</v>
      </c>
      <c r="F128" t="s">
        <v>6</v>
      </c>
      <c r="G128" t="s">
        <v>117</v>
      </c>
      <c r="H128" t="s">
        <v>59</v>
      </c>
      <c r="I128">
        <v>80.010000000000005</v>
      </c>
      <c r="J128">
        <v>79.55</v>
      </c>
      <c r="K128">
        <v>80.42</v>
      </c>
      <c r="L128">
        <v>38.75</v>
      </c>
      <c r="M128">
        <v>38.840000000000003</v>
      </c>
      <c r="N128">
        <v>39.54</v>
      </c>
    </row>
    <row r="129" spans="3:14" x14ac:dyDescent="0.15">
      <c r="C129" s="154" t="s">
        <v>1113</v>
      </c>
      <c r="D129" t="s">
        <v>37</v>
      </c>
      <c r="E129" t="s">
        <v>41</v>
      </c>
      <c r="F129" t="s">
        <v>6</v>
      </c>
      <c r="G129" t="s">
        <v>117</v>
      </c>
      <c r="H129" t="s">
        <v>60</v>
      </c>
      <c r="I129">
        <v>78.41</v>
      </c>
      <c r="J129">
        <v>77.95</v>
      </c>
      <c r="K129">
        <v>78.819999999999993</v>
      </c>
      <c r="L129">
        <v>37.15</v>
      </c>
      <c r="M129">
        <v>37.24</v>
      </c>
      <c r="N129">
        <v>37.94</v>
      </c>
    </row>
    <row r="130" spans="3:14" x14ac:dyDescent="0.15">
      <c r="C130" s="154" t="s">
        <v>1113</v>
      </c>
      <c r="D130" t="s">
        <v>37</v>
      </c>
      <c r="E130" t="s">
        <v>41</v>
      </c>
      <c r="F130" t="s">
        <v>6</v>
      </c>
      <c r="G130" t="s">
        <v>117</v>
      </c>
      <c r="H130" t="s">
        <v>648</v>
      </c>
      <c r="I130">
        <v>77.36</v>
      </c>
      <c r="J130">
        <v>76.900000000000006</v>
      </c>
      <c r="K130">
        <v>77.77</v>
      </c>
      <c r="L130">
        <v>36.1</v>
      </c>
      <c r="M130">
        <v>36.19</v>
      </c>
      <c r="N130">
        <v>36.89</v>
      </c>
    </row>
    <row r="131" spans="3:14" x14ac:dyDescent="0.15">
      <c r="C131" s="154" t="s">
        <v>1114</v>
      </c>
      <c r="D131" t="s">
        <v>37</v>
      </c>
      <c r="E131" t="s">
        <v>41</v>
      </c>
      <c r="F131" t="s">
        <v>6</v>
      </c>
      <c r="G131" t="s">
        <v>117</v>
      </c>
      <c r="H131" t="s">
        <v>59</v>
      </c>
      <c r="I131">
        <v>79.88</v>
      </c>
      <c r="J131">
        <v>80.59</v>
      </c>
      <c r="K131">
        <v>80.75</v>
      </c>
      <c r="L131">
        <v>38.74</v>
      </c>
      <c r="M131">
        <v>39.21</v>
      </c>
      <c r="N131">
        <v>39.92</v>
      </c>
    </row>
    <row r="132" spans="3:14" x14ac:dyDescent="0.15">
      <c r="C132" s="154" t="s">
        <v>1114</v>
      </c>
      <c r="D132" t="s">
        <v>37</v>
      </c>
      <c r="E132" t="s">
        <v>41</v>
      </c>
      <c r="F132" t="s">
        <v>6</v>
      </c>
      <c r="G132" t="s">
        <v>117</v>
      </c>
      <c r="H132" t="s">
        <v>60</v>
      </c>
      <c r="I132">
        <v>78.28</v>
      </c>
      <c r="J132">
        <v>78.989999999999995</v>
      </c>
      <c r="K132">
        <v>79.150000000000006</v>
      </c>
      <c r="L132">
        <v>37.14</v>
      </c>
      <c r="M132">
        <v>37.61</v>
      </c>
      <c r="N132">
        <v>38.32</v>
      </c>
    </row>
    <row r="133" spans="3:14" x14ac:dyDescent="0.15">
      <c r="C133" s="154" t="s">
        <v>1114</v>
      </c>
      <c r="D133" t="s">
        <v>37</v>
      </c>
      <c r="E133" t="s">
        <v>41</v>
      </c>
      <c r="F133" t="s">
        <v>6</v>
      </c>
      <c r="G133" t="s">
        <v>117</v>
      </c>
      <c r="H133" t="s">
        <v>648</v>
      </c>
      <c r="I133">
        <v>77.23</v>
      </c>
      <c r="J133">
        <v>77.94</v>
      </c>
      <c r="K133">
        <v>78.099999999999994</v>
      </c>
      <c r="L133">
        <v>36.090000000000003</v>
      </c>
      <c r="M133">
        <v>36.56</v>
      </c>
      <c r="N133">
        <v>37.270000000000003</v>
      </c>
    </row>
    <row r="134" spans="3:14" x14ac:dyDescent="0.15">
      <c r="C134" s="154" t="s">
        <v>1115</v>
      </c>
      <c r="D134" t="s">
        <v>37</v>
      </c>
      <c r="E134" t="s">
        <v>41</v>
      </c>
      <c r="F134" t="s">
        <v>6</v>
      </c>
      <c r="G134" t="s">
        <v>117</v>
      </c>
      <c r="H134" t="s">
        <v>59</v>
      </c>
      <c r="I134">
        <v>79.87</v>
      </c>
      <c r="J134">
        <v>81.13</v>
      </c>
      <c r="K134">
        <v>81.040000000000006</v>
      </c>
      <c r="L134">
        <v>38.75</v>
      </c>
      <c r="M134">
        <v>39.5</v>
      </c>
      <c r="N134">
        <v>40.299999999999997</v>
      </c>
    </row>
    <row r="135" spans="3:14" x14ac:dyDescent="0.15">
      <c r="C135" s="154" t="s">
        <v>1115</v>
      </c>
      <c r="D135" t="s">
        <v>37</v>
      </c>
      <c r="E135" t="s">
        <v>41</v>
      </c>
      <c r="F135" t="s">
        <v>6</v>
      </c>
      <c r="G135" t="s">
        <v>117</v>
      </c>
      <c r="H135" t="s">
        <v>60</v>
      </c>
      <c r="I135">
        <v>78.27</v>
      </c>
      <c r="J135">
        <v>79.53</v>
      </c>
      <c r="K135">
        <v>79.44</v>
      </c>
      <c r="L135">
        <v>37.15</v>
      </c>
      <c r="M135">
        <v>37.9</v>
      </c>
      <c r="N135">
        <v>38.700000000000003</v>
      </c>
    </row>
    <row r="136" spans="3:14" x14ac:dyDescent="0.15">
      <c r="C136" s="154" t="s">
        <v>1115</v>
      </c>
      <c r="D136" t="s">
        <v>37</v>
      </c>
      <c r="E136" t="s">
        <v>41</v>
      </c>
      <c r="F136" t="s">
        <v>6</v>
      </c>
      <c r="G136" t="s">
        <v>117</v>
      </c>
      <c r="H136" t="s">
        <v>648</v>
      </c>
      <c r="I136">
        <v>77.22</v>
      </c>
      <c r="J136">
        <v>78.48</v>
      </c>
      <c r="K136">
        <v>78.39</v>
      </c>
      <c r="L136">
        <v>36.1</v>
      </c>
      <c r="M136">
        <v>36.85</v>
      </c>
      <c r="N136">
        <v>37.65</v>
      </c>
    </row>
    <row r="137" spans="3:14" x14ac:dyDescent="0.15">
      <c r="C137" s="154" t="s">
        <v>1117</v>
      </c>
      <c r="D137" t="s">
        <v>37</v>
      </c>
      <c r="E137" t="s">
        <v>41</v>
      </c>
      <c r="F137" t="s">
        <v>6</v>
      </c>
      <c r="G137" t="s">
        <v>117</v>
      </c>
      <c r="H137" t="s">
        <v>59</v>
      </c>
      <c r="I137">
        <v>79.8</v>
      </c>
      <c r="J137">
        <v>81.31</v>
      </c>
      <c r="K137">
        <v>81.38</v>
      </c>
      <c r="L137">
        <v>38.770000000000003</v>
      </c>
      <c r="M137">
        <v>39.549999999999997</v>
      </c>
      <c r="N137">
        <v>40.69</v>
      </c>
    </row>
    <row r="138" spans="3:14" x14ac:dyDescent="0.15">
      <c r="C138" s="154" t="s">
        <v>1117</v>
      </c>
      <c r="D138" t="s">
        <v>37</v>
      </c>
      <c r="E138" t="s">
        <v>41</v>
      </c>
      <c r="F138" t="s">
        <v>6</v>
      </c>
      <c r="G138" t="s">
        <v>117</v>
      </c>
      <c r="H138" t="s">
        <v>60</v>
      </c>
      <c r="I138">
        <v>78.2</v>
      </c>
      <c r="J138">
        <v>79.709999999999994</v>
      </c>
      <c r="K138">
        <v>79.78</v>
      </c>
      <c r="L138">
        <v>37.17</v>
      </c>
      <c r="M138">
        <v>37.950000000000003</v>
      </c>
      <c r="N138">
        <v>39.090000000000003</v>
      </c>
    </row>
    <row r="139" spans="3:14" x14ac:dyDescent="0.15">
      <c r="C139" s="154" t="s">
        <v>1117</v>
      </c>
      <c r="D139" t="s">
        <v>37</v>
      </c>
      <c r="E139" t="s">
        <v>41</v>
      </c>
      <c r="F139" t="s">
        <v>6</v>
      </c>
      <c r="G139" t="s">
        <v>117</v>
      </c>
      <c r="H139" t="s">
        <v>648</v>
      </c>
      <c r="I139">
        <v>77.150000000000006</v>
      </c>
      <c r="J139">
        <v>78.66</v>
      </c>
      <c r="K139">
        <v>78.73</v>
      </c>
      <c r="L139">
        <v>36.119999999999997</v>
      </c>
      <c r="M139">
        <v>36.9</v>
      </c>
      <c r="N139">
        <v>38.04</v>
      </c>
    </row>
    <row r="140" spans="3:14" x14ac:dyDescent="0.15">
      <c r="C140" s="154" t="s">
        <v>1118</v>
      </c>
      <c r="D140" t="s">
        <v>37</v>
      </c>
      <c r="E140" t="s">
        <v>41</v>
      </c>
      <c r="F140" t="s">
        <v>6</v>
      </c>
      <c r="G140" t="s">
        <v>117</v>
      </c>
      <c r="H140" t="s">
        <v>59</v>
      </c>
      <c r="I140">
        <v>79.61</v>
      </c>
      <c r="J140">
        <v>81.180000000000007</v>
      </c>
      <c r="K140">
        <v>81.61</v>
      </c>
      <c r="L140">
        <v>38.74</v>
      </c>
      <c r="M140">
        <v>39.380000000000003</v>
      </c>
      <c r="N140">
        <v>41.02</v>
      </c>
    </row>
    <row r="141" spans="3:14" x14ac:dyDescent="0.15">
      <c r="C141" s="154" t="s">
        <v>1118</v>
      </c>
      <c r="D141" t="s">
        <v>37</v>
      </c>
      <c r="E141" t="s">
        <v>41</v>
      </c>
      <c r="F141" t="s">
        <v>6</v>
      </c>
      <c r="G141" t="s">
        <v>117</v>
      </c>
      <c r="H141" t="s">
        <v>60</v>
      </c>
      <c r="I141">
        <v>78.010000000000005</v>
      </c>
      <c r="J141">
        <v>79.58</v>
      </c>
      <c r="K141">
        <v>80.010000000000005</v>
      </c>
      <c r="L141">
        <v>37.14</v>
      </c>
      <c r="M141">
        <v>37.78</v>
      </c>
      <c r="N141">
        <v>39.42</v>
      </c>
    </row>
    <row r="142" spans="3:14" x14ac:dyDescent="0.15">
      <c r="C142" s="154" t="s">
        <v>1118</v>
      </c>
      <c r="D142" t="s">
        <v>37</v>
      </c>
      <c r="E142" t="s">
        <v>41</v>
      </c>
      <c r="F142" t="s">
        <v>6</v>
      </c>
      <c r="G142" t="s">
        <v>117</v>
      </c>
      <c r="H142" t="s">
        <v>648</v>
      </c>
      <c r="I142">
        <v>76.959999999999994</v>
      </c>
      <c r="J142">
        <v>78.53</v>
      </c>
      <c r="K142">
        <v>78.959999999999994</v>
      </c>
      <c r="L142">
        <v>36.090000000000003</v>
      </c>
      <c r="M142">
        <v>36.729999999999997</v>
      </c>
      <c r="N142">
        <v>38.369999999999997</v>
      </c>
    </row>
    <row r="143" spans="3:14" x14ac:dyDescent="0.15">
      <c r="C143" s="154" t="s">
        <v>1119</v>
      </c>
      <c r="D143" t="s">
        <v>37</v>
      </c>
      <c r="E143" t="s">
        <v>41</v>
      </c>
      <c r="F143" t="s">
        <v>6</v>
      </c>
      <c r="G143" t="s">
        <v>117</v>
      </c>
      <c r="H143" t="s">
        <v>59</v>
      </c>
      <c r="I143">
        <v>79.53</v>
      </c>
      <c r="J143">
        <v>81.349999999999994</v>
      </c>
      <c r="K143">
        <v>81.97</v>
      </c>
      <c r="L143">
        <v>38.729999999999997</v>
      </c>
      <c r="M143">
        <v>39.619999999999997</v>
      </c>
      <c r="N143">
        <v>41.39</v>
      </c>
    </row>
    <row r="144" spans="3:14" x14ac:dyDescent="0.15">
      <c r="C144" s="154" t="s">
        <v>1119</v>
      </c>
      <c r="D144" t="s">
        <v>37</v>
      </c>
      <c r="E144" t="s">
        <v>41</v>
      </c>
      <c r="F144" t="s">
        <v>6</v>
      </c>
      <c r="G144" t="s">
        <v>117</v>
      </c>
      <c r="H144" t="s">
        <v>60</v>
      </c>
      <c r="I144">
        <v>77.930000000000007</v>
      </c>
      <c r="J144">
        <v>79.75</v>
      </c>
      <c r="K144">
        <v>80.37</v>
      </c>
      <c r="L144">
        <v>37.130000000000003</v>
      </c>
      <c r="M144">
        <v>38.020000000000003</v>
      </c>
      <c r="N144">
        <v>39.79</v>
      </c>
    </row>
    <row r="145" spans="3:14" x14ac:dyDescent="0.15">
      <c r="C145" s="154" t="s">
        <v>1119</v>
      </c>
      <c r="D145" t="s">
        <v>37</v>
      </c>
      <c r="E145" t="s">
        <v>41</v>
      </c>
      <c r="F145" t="s">
        <v>6</v>
      </c>
      <c r="G145" t="s">
        <v>117</v>
      </c>
      <c r="H145" t="s">
        <v>648</v>
      </c>
      <c r="I145">
        <v>76.88</v>
      </c>
      <c r="J145">
        <v>78.7</v>
      </c>
      <c r="K145">
        <v>79.319999999999993</v>
      </c>
      <c r="L145">
        <v>36.08</v>
      </c>
      <c r="M145">
        <v>36.97</v>
      </c>
      <c r="N145">
        <v>38.74</v>
      </c>
    </row>
    <row r="146" spans="3:14" x14ac:dyDescent="0.15">
      <c r="C146" s="154" t="s">
        <v>1107</v>
      </c>
      <c r="D146" t="s">
        <v>37</v>
      </c>
      <c r="E146" t="s">
        <v>42</v>
      </c>
      <c r="F146" t="s">
        <v>6</v>
      </c>
      <c r="G146" t="s">
        <v>117</v>
      </c>
      <c r="H146" t="s">
        <v>59</v>
      </c>
      <c r="I146">
        <v>83.2</v>
      </c>
      <c r="J146">
        <v>83.38</v>
      </c>
      <c r="K146">
        <v>82.48</v>
      </c>
      <c r="L146">
        <v>38.450000000000003</v>
      </c>
      <c r="M146">
        <v>38.49</v>
      </c>
      <c r="N146">
        <v>38.270000000000003</v>
      </c>
    </row>
    <row r="147" spans="3:14" x14ac:dyDescent="0.15">
      <c r="C147" s="154" t="s">
        <v>1107</v>
      </c>
      <c r="D147" t="s">
        <v>37</v>
      </c>
      <c r="E147" t="s">
        <v>42</v>
      </c>
      <c r="F147" t="s">
        <v>6</v>
      </c>
      <c r="G147" t="s">
        <v>117</v>
      </c>
      <c r="H147" t="s">
        <v>60</v>
      </c>
      <c r="I147">
        <v>81.599999999999994</v>
      </c>
      <c r="J147">
        <v>81.78</v>
      </c>
      <c r="K147">
        <v>80.88</v>
      </c>
      <c r="L147">
        <v>36.85</v>
      </c>
      <c r="M147">
        <v>36.89</v>
      </c>
      <c r="N147">
        <v>36.67</v>
      </c>
    </row>
    <row r="148" spans="3:14" x14ac:dyDescent="0.15">
      <c r="C148" s="154" t="s">
        <v>1107</v>
      </c>
      <c r="D148" t="s">
        <v>37</v>
      </c>
      <c r="E148" t="s">
        <v>42</v>
      </c>
      <c r="F148" t="s">
        <v>6</v>
      </c>
      <c r="G148" t="s">
        <v>117</v>
      </c>
      <c r="H148" t="s">
        <v>648</v>
      </c>
      <c r="I148">
        <v>80.55</v>
      </c>
      <c r="J148">
        <v>80.73</v>
      </c>
      <c r="K148">
        <v>79.83</v>
      </c>
      <c r="L148">
        <v>35.799999999999997</v>
      </c>
      <c r="M148">
        <v>35.840000000000003</v>
      </c>
      <c r="N148">
        <v>35.619999999999997</v>
      </c>
    </row>
    <row r="149" spans="3:14" x14ac:dyDescent="0.15">
      <c r="C149" s="154" t="s">
        <v>1108</v>
      </c>
      <c r="D149" t="s">
        <v>37</v>
      </c>
      <c r="E149" t="s">
        <v>42</v>
      </c>
      <c r="F149" t="s">
        <v>6</v>
      </c>
      <c r="G149" t="s">
        <v>117</v>
      </c>
      <c r="H149" t="s">
        <v>59</v>
      </c>
      <c r="I149">
        <v>83.61</v>
      </c>
      <c r="J149">
        <v>83.26</v>
      </c>
      <c r="K149">
        <v>82.68</v>
      </c>
      <c r="L149">
        <v>38.39</v>
      </c>
      <c r="M149">
        <v>38.409999999999997</v>
      </c>
      <c r="N149">
        <v>38.24</v>
      </c>
    </row>
    <row r="150" spans="3:14" x14ac:dyDescent="0.15">
      <c r="C150" s="154" t="s">
        <v>1108</v>
      </c>
      <c r="D150" t="s">
        <v>37</v>
      </c>
      <c r="E150" t="s">
        <v>42</v>
      </c>
      <c r="F150" t="s">
        <v>6</v>
      </c>
      <c r="G150" t="s">
        <v>117</v>
      </c>
      <c r="H150" t="s">
        <v>60</v>
      </c>
      <c r="I150">
        <v>82.01</v>
      </c>
      <c r="J150">
        <v>81.66</v>
      </c>
      <c r="K150">
        <v>81.08</v>
      </c>
      <c r="L150">
        <v>36.79</v>
      </c>
      <c r="M150">
        <v>36.81</v>
      </c>
      <c r="N150">
        <v>36.64</v>
      </c>
    </row>
    <row r="151" spans="3:14" x14ac:dyDescent="0.15">
      <c r="C151" s="154" t="s">
        <v>1108</v>
      </c>
      <c r="D151" t="s">
        <v>37</v>
      </c>
      <c r="E151" t="s">
        <v>42</v>
      </c>
      <c r="F151" t="s">
        <v>6</v>
      </c>
      <c r="G151" t="s">
        <v>117</v>
      </c>
      <c r="H151" t="s">
        <v>648</v>
      </c>
      <c r="I151">
        <v>80.959999999999994</v>
      </c>
      <c r="J151">
        <v>80.61</v>
      </c>
      <c r="K151">
        <v>80.03</v>
      </c>
      <c r="L151">
        <v>35.74</v>
      </c>
      <c r="M151">
        <v>35.76</v>
      </c>
      <c r="N151">
        <v>35.590000000000003</v>
      </c>
    </row>
    <row r="152" spans="3:14" x14ac:dyDescent="0.15">
      <c r="C152" s="154" t="s">
        <v>1109</v>
      </c>
      <c r="D152" t="s">
        <v>37</v>
      </c>
      <c r="E152" t="s">
        <v>42</v>
      </c>
      <c r="F152" t="s">
        <v>6</v>
      </c>
      <c r="G152" t="s">
        <v>117</v>
      </c>
      <c r="H152" t="s">
        <v>59</v>
      </c>
      <c r="I152">
        <v>83.62</v>
      </c>
      <c r="J152">
        <v>82.89</v>
      </c>
      <c r="K152">
        <v>82.63</v>
      </c>
      <c r="L152">
        <v>38.36</v>
      </c>
      <c r="M152">
        <v>38.369999999999997</v>
      </c>
      <c r="N152">
        <v>38.24</v>
      </c>
    </row>
    <row r="153" spans="3:14" x14ac:dyDescent="0.15">
      <c r="C153" s="154" t="s">
        <v>1109</v>
      </c>
      <c r="D153" t="s">
        <v>37</v>
      </c>
      <c r="E153" t="s">
        <v>42</v>
      </c>
      <c r="F153" t="s">
        <v>6</v>
      </c>
      <c r="G153" t="s">
        <v>117</v>
      </c>
      <c r="H153" t="s">
        <v>60</v>
      </c>
      <c r="I153">
        <v>82.02</v>
      </c>
      <c r="J153">
        <v>81.290000000000006</v>
      </c>
      <c r="K153">
        <v>81.03</v>
      </c>
      <c r="L153">
        <v>36.76</v>
      </c>
      <c r="M153">
        <v>36.770000000000003</v>
      </c>
      <c r="N153">
        <v>36.64</v>
      </c>
    </row>
    <row r="154" spans="3:14" x14ac:dyDescent="0.15">
      <c r="C154" s="154" t="s">
        <v>1109</v>
      </c>
      <c r="D154" t="s">
        <v>37</v>
      </c>
      <c r="E154" t="s">
        <v>42</v>
      </c>
      <c r="F154" t="s">
        <v>6</v>
      </c>
      <c r="G154" t="s">
        <v>117</v>
      </c>
      <c r="H154" t="s">
        <v>648</v>
      </c>
      <c r="I154">
        <v>80.97</v>
      </c>
      <c r="J154">
        <v>80.239999999999995</v>
      </c>
      <c r="K154">
        <v>79.98</v>
      </c>
      <c r="L154">
        <v>35.71</v>
      </c>
      <c r="M154">
        <v>35.72</v>
      </c>
      <c r="N154">
        <v>35.590000000000003</v>
      </c>
    </row>
    <row r="155" spans="3:14" x14ac:dyDescent="0.15">
      <c r="C155" s="154" t="s">
        <v>1110</v>
      </c>
      <c r="D155" t="s">
        <v>37</v>
      </c>
      <c r="E155" t="s">
        <v>42</v>
      </c>
      <c r="F155" t="s">
        <v>6</v>
      </c>
      <c r="G155" t="s">
        <v>117</v>
      </c>
      <c r="H155" t="s">
        <v>59</v>
      </c>
      <c r="I155">
        <v>83.57</v>
      </c>
      <c r="J155">
        <v>82.61</v>
      </c>
      <c r="K155">
        <v>82.54</v>
      </c>
      <c r="L155">
        <v>38.33</v>
      </c>
      <c r="M155">
        <v>38.36</v>
      </c>
      <c r="N155">
        <v>38.229999999999997</v>
      </c>
    </row>
    <row r="156" spans="3:14" x14ac:dyDescent="0.15">
      <c r="C156" s="154" t="s">
        <v>1110</v>
      </c>
      <c r="D156" t="s">
        <v>37</v>
      </c>
      <c r="E156" t="s">
        <v>42</v>
      </c>
      <c r="F156" t="s">
        <v>6</v>
      </c>
      <c r="G156" t="s">
        <v>117</v>
      </c>
      <c r="H156" t="s">
        <v>60</v>
      </c>
      <c r="I156">
        <v>81.97</v>
      </c>
      <c r="J156">
        <v>81.010000000000005</v>
      </c>
      <c r="K156">
        <v>80.94</v>
      </c>
      <c r="L156">
        <v>36.729999999999997</v>
      </c>
      <c r="M156">
        <v>36.76</v>
      </c>
      <c r="N156">
        <v>36.630000000000003</v>
      </c>
    </row>
    <row r="157" spans="3:14" x14ac:dyDescent="0.15">
      <c r="C157" s="154" t="s">
        <v>1110</v>
      </c>
      <c r="D157" t="s">
        <v>37</v>
      </c>
      <c r="E157" t="s">
        <v>42</v>
      </c>
      <c r="F157" t="s">
        <v>6</v>
      </c>
      <c r="G157" t="s">
        <v>117</v>
      </c>
      <c r="H157" t="s">
        <v>648</v>
      </c>
      <c r="I157">
        <v>80.92</v>
      </c>
      <c r="J157">
        <v>79.959999999999994</v>
      </c>
      <c r="K157">
        <v>79.89</v>
      </c>
      <c r="L157">
        <v>35.68</v>
      </c>
      <c r="M157">
        <v>35.71</v>
      </c>
      <c r="N157">
        <v>35.58</v>
      </c>
    </row>
    <row r="158" spans="3:14" x14ac:dyDescent="0.15">
      <c r="C158" s="154" t="s">
        <v>1111</v>
      </c>
      <c r="D158" t="s">
        <v>37</v>
      </c>
      <c r="E158" t="s">
        <v>42</v>
      </c>
      <c r="F158" t="s">
        <v>6</v>
      </c>
      <c r="G158" t="s">
        <v>117</v>
      </c>
      <c r="H158" t="s">
        <v>59</v>
      </c>
      <c r="I158">
        <v>83.41</v>
      </c>
      <c r="J158">
        <v>81.98</v>
      </c>
      <c r="K158">
        <v>82.46</v>
      </c>
      <c r="L158">
        <v>38.270000000000003</v>
      </c>
      <c r="M158">
        <v>38.1</v>
      </c>
      <c r="N158">
        <v>38.200000000000003</v>
      </c>
    </row>
    <row r="159" spans="3:14" x14ac:dyDescent="0.15">
      <c r="C159" s="154" t="s">
        <v>1111</v>
      </c>
      <c r="D159" t="s">
        <v>37</v>
      </c>
      <c r="E159" t="s">
        <v>42</v>
      </c>
      <c r="F159" t="s">
        <v>6</v>
      </c>
      <c r="G159" t="s">
        <v>117</v>
      </c>
      <c r="H159" t="s">
        <v>60</v>
      </c>
      <c r="I159">
        <v>81.81</v>
      </c>
      <c r="J159">
        <v>80.38</v>
      </c>
      <c r="K159">
        <v>80.86</v>
      </c>
      <c r="L159">
        <v>36.67</v>
      </c>
      <c r="M159">
        <v>36.5</v>
      </c>
      <c r="N159">
        <v>36.6</v>
      </c>
    </row>
    <row r="160" spans="3:14" x14ac:dyDescent="0.15">
      <c r="C160" s="154" t="s">
        <v>1111</v>
      </c>
      <c r="D160" t="s">
        <v>37</v>
      </c>
      <c r="E160" t="s">
        <v>42</v>
      </c>
      <c r="F160" t="s">
        <v>6</v>
      </c>
      <c r="G160" t="s">
        <v>117</v>
      </c>
      <c r="H160" t="s">
        <v>648</v>
      </c>
      <c r="I160">
        <v>80.760000000000005</v>
      </c>
      <c r="J160">
        <v>79.33</v>
      </c>
      <c r="K160">
        <v>79.81</v>
      </c>
      <c r="L160">
        <v>35.619999999999997</v>
      </c>
      <c r="M160">
        <v>35.450000000000003</v>
      </c>
      <c r="N160">
        <v>35.549999999999997</v>
      </c>
    </row>
    <row r="161" spans="3:14" x14ac:dyDescent="0.15">
      <c r="C161" s="154" t="s">
        <v>1112</v>
      </c>
      <c r="D161" t="s">
        <v>37</v>
      </c>
      <c r="E161" t="s">
        <v>42</v>
      </c>
      <c r="F161" t="s">
        <v>6</v>
      </c>
      <c r="G161" t="s">
        <v>117</v>
      </c>
      <c r="H161" t="s">
        <v>59</v>
      </c>
      <c r="I161">
        <v>83.29</v>
      </c>
      <c r="J161">
        <v>81.650000000000006</v>
      </c>
      <c r="K161">
        <v>82.39</v>
      </c>
      <c r="L161">
        <v>38.22</v>
      </c>
      <c r="M161">
        <v>37.979999999999997</v>
      </c>
      <c r="N161">
        <v>38.24</v>
      </c>
    </row>
    <row r="162" spans="3:14" x14ac:dyDescent="0.15">
      <c r="C162" s="154" t="s">
        <v>1112</v>
      </c>
      <c r="D162" t="s">
        <v>37</v>
      </c>
      <c r="E162" t="s">
        <v>42</v>
      </c>
      <c r="F162" t="s">
        <v>6</v>
      </c>
      <c r="G162" t="s">
        <v>117</v>
      </c>
      <c r="H162" t="s">
        <v>60</v>
      </c>
      <c r="I162">
        <v>81.69</v>
      </c>
      <c r="J162">
        <v>80.05</v>
      </c>
      <c r="K162">
        <v>80.790000000000006</v>
      </c>
      <c r="L162">
        <v>36.619999999999997</v>
      </c>
      <c r="M162">
        <v>36.380000000000003</v>
      </c>
      <c r="N162">
        <v>36.64</v>
      </c>
    </row>
    <row r="163" spans="3:14" x14ac:dyDescent="0.15">
      <c r="C163" s="154" t="s">
        <v>1112</v>
      </c>
      <c r="D163" t="s">
        <v>37</v>
      </c>
      <c r="E163" t="s">
        <v>42</v>
      </c>
      <c r="F163" t="s">
        <v>6</v>
      </c>
      <c r="G163" t="s">
        <v>117</v>
      </c>
      <c r="H163" t="s">
        <v>648</v>
      </c>
      <c r="I163">
        <v>80.64</v>
      </c>
      <c r="J163">
        <v>79</v>
      </c>
      <c r="K163">
        <v>79.739999999999995</v>
      </c>
      <c r="L163">
        <v>35.57</v>
      </c>
      <c r="M163">
        <v>35.33</v>
      </c>
      <c r="N163">
        <v>35.590000000000003</v>
      </c>
    </row>
    <row r="164" spans="3:14" x14ac:dyDescent="0.15">
      <c r="C164" s="154" t="s">
        <v>1113</v>
      </c>
      <c r="D164" t="s">
        <v>37</v>
      </c>
      <c r="E164" t="s">
        <v>42</v>
      </c>
      <c r="F164" t="s">
        <v>6</v>
      </c>
      <c r="G164" t="s">
        <v>117</v>
      </c>
      <c r="H164" t="s">
        <v>59</v>
      </c>
      <c r="I164">
        <v>83.03</v>
      </c>
      <c r="J164">
        <v>81.96</v>
      </c>
      <c r="K164">
        <v>82.36</v>
      </c>
      <c r="L164">
        <v>38.22</v>
      </c>
      <c r="M164">
        <v>38.01</v>
      </c>
      <c r="N164">
        <v>38.28</v>
      </c>
    </row>
    <row r="165" spans="3:14" x14ac:dyDescent="0.15">
      <c r="C165" s="154" t="s">
        <v>1113</v>
      </c>
      <c r="D165" t="s">
        <v>37</v>
      </c>
      <c r="E165" t="s">
        <v>42</v>
      </c>
      <c r="F165" t="s">
        <v>6</v>
      </c>
      <c r="G165" t="s">
        <v>117</v>
      </c>
      <c r="H165" t="s">
        <v>60</v>
      </c>
      <c r="I165">
        <v>81.430000000000007</v>
      </c>
      <c r="J165">
        <v>80.36</v>
      </c>
      <c r="K165">
        <v>80.760000000000005</v>
      </c>
      <c r="L165">
        <v>36.619999999999997</v>
      </c>
      <c r="M165">
        <v>36.409999999999997</v>
      </c>
      <c r="N165">
        <v>36.68</v>
      </c>
    </row>
    <row r="166" spans="3:14" x14ac:dyDescent="0.15">
      <c r="C166" s="154" t="s">
        <v>1113</v>
      </c>
      <c r="D166" t="s">
        <v>37</v>
      </c>
      <c r="E166" t="s">
        <v>42</v>
      </c>
      <c r="F166" t="s">
        <v>6</v>
      </c>
      <c r="G166" t="s">
        <v>117</v>
      </c>
      <c r="H166" t="s">
        <v>648</v>
      </c>
      <c r="I166">
        <v>80.38</v>
      </c>
      <c r="J166">
        <v>79.31</v>
      </c>
      <c r="K166">
        <v>79.709999999999994</v>
      </c>
      <c r="L166">
        <v>35.57</v>
      </c>
      <c r="M166">
        <v>35.36</v>
      </c>
      <c r="N166">
        <v>35.630000000000003</v>
      </c>
    </row>
    <row r="167" spans="3:14" x14ac:dyDescent="0.15">
      <c r="C167" s="154" t="s">
        <v>1114</v>
      </c>
      <c r="D167" t="s">
        <v>37</v>
      </c>
      <c r="E167" t="s">
        <v>42</v>
      </c>
      <c r="F167" t="s">
        <v>6</v>
      </c>
      <c r="G167" t="s">
        <v>117</v>
      </c>
      <c r="H167" t="s">
        <v>59</v>
      </c>
      <c r="I167">
        <v>82.75</v>
      </c>
      <c r="J167">
        <v>82.16</v>
      </c>
      <c r="K167">
        <v>82.28</v>
      </c>
      <c r="L167">
        <v>38.17</v>
      </c>
      <c r="M167">
        <v>38.03</v>
      </c>
      <c r="N167">
        <v>38.299999999999997</v>
      </c>
    </row>
    <row r="168" spans="3:14" x14ac:dyDescent="0.15">
      <c r="C168" s="154" t="s">
        <v>1114</v>
      </c>
      <c r="D168" t="s">
        <v>37</v>
      </c>
      <c r="E168" t="s">
        <v>42</v>
      </c>
      <c r="F168" t="s">
        <v>6</v>
      </c>
      <c r="G168" t="s">
        <v>117</v>
      </c>
      <c r="H168" t="s">
        <v>60</v>
      </c>
      <c r="I168">
        <v>81.150000000000006</v>
      </c>
      <c r="J168">
        <v>80.56</v>
      </c>
      <c r="K168">
        <v>80.680000000000007</v>
      </c>
      <c r="L168">
        <v>36.57</v>
      </c>
      <c r="M168">
        <v>36.43</v>
      </c>
      <c r="N168">
        <v>36.700000000000003</v>
      </c>
    </row>
    <row r="169" spans="3:14" x14ac:dyDescent="0.15">
      <c r="C169" s="154" t="s">
        <v>1114</v>
      </c>
      <c r="D169" t="s">
        <v>37</v>
      </c>
      <c r="E169" t="s">
        <v>42</v>
      </c>
      <c r="F169" t="s">
        <v>6</v>
      </c>
      <c r="G169" t="s">
        <v>117</v>
      </c>
      <c r="H169" t="s">
        <v>648</v>
      </c>
      <c r="I169">
        <v>80.099999999999994</v>
      </c>
      <c r="J169">
        <v>79.510000000000005</v>
      </c>
      <c r="K169">
        <v>79.63</v>
      </c>
      <c r="L169">
        <v>35.520000000000003</v>
      </c>
      <c r="M169">
        <v>35.380000000000003</v>
      </c>
      <c r="N169">
        <v>35.65</v>
      </c>
    </row>
    <row r="170" spans="3:14" x14ac:dyDescent="0.15">
      <c r="C170" s="154" t="s">
        <v>1115</v>
      </c>
      <c r="D170" t="s">
        <v>37</v>
      </c>
      <c r="E170" t="s">
        <v>42</v>
      </c>
      <c r="F170" t="s">
        <v>6</v>
      </c>
      <c r="G170" t="s">
        <v>117</v>
      </c>
      <c r="H170" t="s">
        <v>59</v>
      </c>
      <c r="I170">
        <v>82.58</v>
      </c>
      <c r="J170">
        <v>82.35</v>
      </c>
      <c r="K170">
        <v>82.23</v>
      </c>
      <c r="L170">
        <v>38.17</v>
      </c>
      <c r="M170">
        <v>38.07</v>
      </c>
      <c r="N170">
        <v>38.369999999999997</v>
      </c>
    </row>
    <row r="171" spans="3:14" x14ac:dyDescent="0.15">
      <c r="C171" s="154" t="s">
        <v>1115</v>
      </c>
      <c r="D171" t="s">
        <v>37</v>
      </c>
      <c r="E171" t="s">
        <v>42</v>
      </c>
      <c r="F171" t="s">
        <v>6</v>
      </c>
      <c r="G171" t="s">
        <v>117</v>
      </c>
      <c r="H171" t="s">
        <v>60</v>
      </c>
      <c r="I171">
        <v>80.98</v>
      </c>
      <c r="J171">
        <v>80.75</v>
      </c>
      <c r="K171">
        <v>80.63</v>
      </c>
      <c r="L171">
        <v>36.57</v>
      </c>
      <c r="M171">
        <v>36.47</v>
      </c>
      <c r="N171">
        <v>36.770000000000003</v>
      </c>
    </row>
    <row r="172" spans="3:14" x14ac:dyDescent="0.15">
      <c r="C172" s="154" t="s">
        <v>1115</v>
      </c>
      <c r="D172" t="s">
        <v>37</v>
      </c>
      <c r="E172" t="s">
        <v>42</v>
      </c>
      <c r="F172" t="s">
        <v>6</v>
      </c>
      <c r="G172" t="s">
        <v>117</v>
      </c>
      <c r="H172" t="s">
        <v>648</v>
      </c>
      <c r="I172">
        <v>79.930000000000007</v>
      </c>
      <c r="J172">
        <v>79.7</v>
      </c>
      <c r="K172">
        <v>79.58</v>
      </c>
      <c r="L172">
        <v>35.520000000000003</v>
      </c>
      <c r="M172">
        <v>35.42</v>
      </c>
      <c r="N172">
        <v>35.72</v>
      </c>
    </row>
    <row r="173" spans="3:14" x14ac:dyDescent="0.15">
      <c r="C173" s="154" t="s">
        <v>1117</v>
      </c>
      <c r="D173" t="s">
        <v>37</v>
      </c>
      <c r="E173" t="s">
        <v>42</v>
      </c>
      <c r="F173" t="s">
        <v>6</v>
      </c>
      <c r="G173" t="s">
        <v>117</v>
      </c>
      <c r="H173" t="s">
        <v>59</v>
      </c>
      <c r="I173">
        <v>82.31</v>
      </c>
      <c r="J173">
        <v>82.32</v>
      </c>
      <c r="K173">
        <v>82.12</v>
      </c>
      <c r="L173">
        <v>38.1</v>
      </c>
      <c r="M173">
        <v>38.020000000000003</v>
      </c>
      <c r="N173">
        <v>38.380000000000003</v>
      </c>
    </row>
    <row r="174" spans="3:14" x14ac:dyDescent="0.15">
      <c r="C174" s="154" t="s">
        <v>1117</v>
      </c>
      <c r="D174" t="s">
        <v>37</v>
      </c>
      <c r="E174" t="s">
        <v>42</v>
      </c>
      <c r="F174" t="s">
        <v>6</v>
      </c>
      <c r="G174" t="s">
        <v>117</v>
      </c>
      <c r="H174" t="s">
        <v>60</v>
      </c>
      <c r="I174">
        <v>80.709999999999994</v>
      </c>
      <c r="J174">
        <v>80.72</v>
      </c>
      <c r="K174">
        <v>80.52</v>
      </c>
      <c r="L174">
        <v>36.5</v>
      </c>
      <c r="M174">
        <v>36.42</v>
      </c>
      <c r="N174">
        <v>36.78</v>
      </c>
    </row>
    <row r="175" spans="3:14" x14ac:dyDescent="0.15">
      <c r="C175" s="154" t="s">
        <v>1117</v>
      </c>
      <c r="D175" t="s">
        <v>37</v>
      </c>
      <c r="E175" t="s">
        <v>42</v>
      </c>
      <c r="F175" t="s">
        <v>6</v>
      </c>
      <c r="G175" t="s">
        <v>117</v>
      </c>
      <c r="H175" t="s">
        <v>648</v>
      </c>
      <c r="I175">
        <v>79.66</v>
      </c>
      <c r="J175">
        <v>79.67</v>
      </c>
      <c r="K175">
        <v>79.47</v>
      </c>
      <c r="L175">
        <v>35.450000000000003</v>
      </c>
      <c r="M175">
        <v>35.369999999999997</v>
      </c>
      <c r="N175">
        <v>35.729999999999997</v>
      </c>
    </row>
    <row r="176" spans="3:14" x14ac:dyDescent="0.15">
      <c r="C176" s="154" t="s">
        <v>1118</v>
      </c>
      <c r="D176" t="s">
        <v>37</v>
      </c>
      <c r="E176" t="s">
        <v>42</v>
      </c>
      <c r="F176" t="s">
        <v>6</v>
      </c>
      <c r="G176" t="s">
        <v>117</v>
      </c>
      <c r="H176" t="s">
        <v>59</v>
      </c>
      <c r="I176">
        <v>81.99</v>
      </c>
      <c r="J176">
        <v>82.63</v>
      </c>
      <c r="K176">
        <v>81.99</v>
      </c>
      <c r="L176">
        <v>38.07</v>
      </c>
      <c r="M176">
        <v>38.21</v>
      </c>
      <c r="N176">
        <v>38.42</v>
      </c>
    </row>
    <row r="177" spans="3:14" x14ac:dyDescent="0.15">
      <c r="C177" s="154" t="s">
        <v>1118</v>
      </c>
      <c r="D177" t="s">
        <v>37</v>
      </c>
      <c r="E177" t="s">
        <v>42</v>
      </c>
      <c r="F177" t="s">
        <v>6</v>
      </c>
      <c r="G177" t="s">
        <v>117</v>
      </c>
      <c r="H177" t="s">
        <v>60</v>
      </c>
      <c r="I177">
        <v>80.39</v>
      </c>
      <c r="J177">
        <v>81.03</v>
      </c>
      <c r="K177">
        <v>80.39</v>
      </c>
      <c r="L177">
        <v>36.47</v>
      </c>
      <c r="M177">
        <v>36.61</v>
      </c>
      <c r="N177">
        <v>36.82</v>
      </c>
    </row>
    <row r="178" spans="3:14" x14ac:dyDescent="0.15">
      <c r="C178" s="154" t="s">
        <v>1118</v>
      </c>
      <c r="D178" t="s">
        <v>37</v>
      </c>
      <c r="E178" t="s">
        <v>42</v>
      </c>
      <c r="F178" t="s">
        <v>6</v>
      </c>
      <c r="G178" t="s">
        <v>117</v>
      </c>
      <c r="H178" t="s">
        <v>648</v>
      </c>
      <c r="I178">
        <v>79.34</v>
      </c>
      <c r="J178">
        <v>79.98</v>
      </c>
      <c r="K178">
        <v>79.34</v>
      </c>
      <c r="L178">
        <v>35.42</v>
      </c>
      <c r="M178">
        <v>35.56</v>
      </c>
      <c r="N178">
        <v>35.770000000000003</v>
      </c>
    </row>
    <row r="179" spans="3:14" x14ac:dyDescent="0.15">
      <c r="C179" s="154" t="s">
        <v>1119</v>
      </c>
      <c r="D179" t="s">
        <v>37</v>
      </c>
      <c r="E179" t="s">
        <v>42</v>
      </c>
      <c r="F179" t="s">
        <v>6</v>
      </c>
      <c r="G179" t="s">
        <v>117</v>
      </c>
      <c r="H179" t="s">
        <v>59</v>
      </c>
      <c r="I179">
        <v>81.83</v>
      </c>
      <c r="J179">
        <v>82.76</v>
      </c>
      <c r="K179">
        <v>82.01</v>
      </c>
      <c r="L179">
        <v>38.07</v>
      </c>
      <c r="M179">
        <v>38.39</v>
      </c>
      <c r="N179">
        <v>38.479999999999997</v>
      </c>
    </row>
    <row r="180" spans="3:14" x14ac:dyDescent="0.15">
      <c r="C180" s="154" t="s">
        <v>1119</v>
      </c>
      <c r="D180" t="s">
        <v>37</v>
      </c>
      <c r="E180" t="s">
        <v>42</v>
      </c>
      <c r="F180" t="s">
        <v>6</v>
      </c>
      <c r="G180" t="s">
        <v>117</v>
      </c>
      <c r="H180" t="s">
        <v>60</v>
      </c>
      <c r="I180">
        <v>80.23</v>
      </c>
      <c r="J180">
        <v>81.16</v>
      </c>
      <c r="K180">
        <v>80.41</v>
      </c>
      <c r="L180">
        <v>36.47</v>
      </c>
      <c r="M180">
        <v>36.79</v>
      </c>
      <c r="N180">
        <v>36.880000000000003</v>
      </c>
    </row>
    <row r="181" spans="3:14" x14ac:dyDescent="0.15">
      <c r="C181" s="154" t="s">
        <v>1119</v>
      </c>
      <c r="D181" t="s">
        <v>37</v>
      </c>
      <c r="E181" t="s">
        <v>42</v>
      </c>
      <c r="F181" t="s">
        <v>6</v>
      </c>
      <c r="G181" t="s">
        <v>117</v>
      </c>
      <c r="H181" t="s">
        <v>648</v>
      </c>
      <c r="I181">
        <v>79.180000000000007</v>
      </c>
      <c r="J181">
        <v>80.11</v>
      </c>
      <c r="K181">
        <v>79.36</v>
      </c>
      <c r="L181">
        <v>35.42</v>
      </c>
      <c r="M181">
        <v>35.74</v>
      </c>
      <c r="N181">
        <v>35.83</v>
      </c>
    </row>
    <row r="182" spans="3:14" x14ac:dyDescent="0.15">
      <c r="C182" s="154" t="s">
        <v>1107</v>
      </c>
      <c r="D182" t="s">
        <v>37</v>
      </c>
      <c r="E182" t="s">
        <v>42</v>
      </c>
      <c r="F182" t="s">
        <v>43</v>
      </c>
      <c r="G182" t="s">
        <v>186</v>
      </c>
      <c r="H182" t="s">
        <v>59</v>
      </c>
      <c r="I182">
        <v>81.36</v>
      </c>
      <c r="J182">
        <v>81.349999999999994</v>
      </c>
      <c r="K182">
        <v>80.56</v>
      </c>
      <c r="L182">
        <v>37.380000000000003</v>
      </c>
      <c r="M182">
        <v>37.33</v>
      </c>
      <c r="N182">
        <v>37.21</v>
      </c>
    </row>
    <row r="183" spans="3:14" x14ac:dyDescent="0.15">
      <c r="C183" s="154" t="s">
        <v>1107</v>
      </c>
      <c r="D183" t="s">
        <v>37</v>
      </c>
      <c r="E183" t="s">
        <v>42</v>
      </c>
      <c r="F183" t="s">
        <v>43</v>
      </c>
      <c r="G183" t="s">
        <v>186</v>
      </c>
      <c r="H183" t="s">
        <v>60</v>
      </c>
      <c r="I183">
        <v>79.760000000000005</v>
      </c>
      <c r="J183">
        <v>79.75</v>
      </c>
      <c r="K183">
        <v>78.959999999999994</v>
      </c>
      <c r="L183">
        <v>35.78</v>
      </c>
      <c r="M183">
        <v>35.729999999999997</v>
      </c>
      <c r="N183">
        <v>35.61</v>
      </c>
    </row>
    <row r="184" spans="3:14" x14ac:dyDescent="0.15">
      <c r="C184" s="154" t="s">
        <v>1107</v>
      </c>
      <c r="D184" t="s">
        <v>37</v>
      </c>
      <c r="E184" t="s">
        <v>42</v>
      </c>
      <c r="F184" t="s">
        <v>43</v>
      </c>
      <c r="G184" t="s">
        <v>186</v>
      </c>
      <c r="H184" t="s">
        <v>648</v>
      </c>
      <c r="I184">
        <v>78.709999999999994</v>
      </c>
      <c r="J184">
        <v>78.7</v>
      </c>
      <c r="K184">
        <v>77.91</v>
      </c>
      <c r="L184">
        <v>34.729999999999997</v>
      </c>
      <c r="M184">
        <v>34.68</v>
      </c>
      <c r="N184">
        <v>34.56</v>
      </c>
    </row>
    <row r="185" spans="3:14" x14ac:dyDescent="0.15">
      <c r="C185" s="154" t="s">
        <v>1108</v>
      </c>
      <c r="D185" t="s">
        <v>37</v>
      </c>
      <c r="E185" t="s">
        <v>42</v>
      </c>
      <c r="F185" t="s">
        <v>43</v>
      </c>
      <c r="G185" t="s">
        <v>186</v>
      </c>
      <c r="H185" t="s">
        <v>59</v>
      </c>
      <c r="I185">
        <v>81.72</v>
      </c>
      <c r="J185">
        <v>80.87</v>
      </c>
      <c r="K185">
        <v>80.73</v>
      </c>
      <c r="L185">
        <v>37.36</v>
      </c>
      <c r="M185">
        <v>37.01</v>
      </c>
      <c r="N185">
        <v>37.200000000000003</v>
      </c>
    </row>
    <row r="186" spans="3:14" x14ac:dyDescent="0.15">
      <c r="C186" s="154" t="s">
        <v>1108</v>
      </c>
      <c r="D186" t="s">
        <v>37</v>
      </c>
      <c r="E186" t="s">
        <v>42</v>
      </c>
      <c r="F186" t="s">
        <v>43</v>
      </c>
      <c r="G186" t="s">
        <v>186</v>
      </c>
      <c r="H186" t="s">
        <v>60</v>
      </c>
      <c r="I186">
        <v>80.12</v>
      </c>
      <c r="J186">
        <v>79.27</v>
      </c>
      <c r="K186">
        <v>79.13</v>
      </c>
      <c r="L186">
        <v>35.76</v>
      </c>
      <c r="M186">
        <v>35.409999999999997</v>
      </c>
      <c r="N186">
        <v>35.6</v>
      </c>
    </row>
    <row r="187" spans="3:14" x14ac:dyDescent="0.15">
      <c r="C187" s="154" t="s">
        <v>1108</v>
      </c>
      <c r="D187" t="s">
        <v>37</v>
      </c>
      <c r="E187" t="s">
        <v>42</v>
      </c>
      <c r="F187" t="s">
        <v>43</v>
      </c>
      <c r="G187" t="s">
        <v>186</v>
      </c>
      <c r="H187" t="s">
        <v>648</v>
      </c>
      <c r="I187">
        <v>79.069999999999993</v>
      </c>
      <c r="J187">
        <v>78.22</v>
      </c>
      <c r="K187">
        <v>78.08</v>
      </c>
      <c r="L187">
        <v>34.71</v>
      </c>
      <c r="M187">
        <v>34.36</v>
      </c>
      <c r="N187">
        <v>34.549999999999997</v>
      </c>
    </row>
    <row r="188" spans="3:14" x14ac:dyDescent="0.15">
      <c r="C188" s="154" t="s">
        <v>1109</v>
      </c>
      <c r="D188" t="s">
        <v>37</v>
      </c>
      <c r="E188" t="s">
        <v>42</v>
      </c>
      <c r="F188" t="s">
        <v>43</v>
      </c>
      <c r="G188" t="s">
        <v>186</v>
      </c>
      <c r="H188" t="s">
        <v>59</v>
      </c>
      <c r="I188">
        <v>81.72</v>
      </c>
      <c r="J188">
        <v>80.23</v>
      </c>
      <c r="K188">
        <v>80.67</v>
      </c>
      <c r="L188">
        <v>37.32</v>
      </c>
      <c r="M188">
        <v>36.78</v>
      </c>
      <c r="N188">
        <v>37.19</v>
      </c>
    </row>
    <row r="189" spans="3:14" x14ac:dyDescent="0.15">
      <c r="C189" s="154" t="s">
        <v>1109</v>
      </c>
      <c r="D189" t="s">
        <v>37</v>
      </c>
      <c r="E189" t="s">
        <v>42</v>
      </c>
      <c r="F189" t="s">
        <v>43</v>
      </c>
      <c r="G189" t="s">
        <v>186</v>
      </c>
      <c r="H189" t="s">
        <v>60</v>
      </c>
      <c r="I189">
        <v>80.12</v>
      </c>
      <c r="J189">
        <v>78.63</v>
      </c>
      <c r="K189">
        <v>79.069999999999993</v>
      </c>
      <c r="L189">
        <v>35.72</v>
      </c>
      <c r="M189">
        <v>35.18</v>
      </c>
      <c r="N189">
        <v>35.590000000000003</v>
      </c>
    </row>
    <row r="190" spans="3:14" x14ac:dyDescent="0.15">
      <c r="C190" s="154" t="s">
        <v>1109</v>
      </c>
      <c r="D190" t="s">
        <v>37</v>
      </c>
      <c r="E190" t="s">
        <v>42</v>
      </c>
      <c r="F190" t="s">
        <v>43</v>
      </c>
      <c r="G190" t="s">
        <v>186</v>
      </c>
      <c r="H190" t="s">
        <v>648</v>
      </c>
      <c r="I190">
        <v>79.069999999999993</v>
      </c>
      <c r="J190">
        <v>77.58</v>
      </c>
      <c r="K190">
        <v>78.02</v>
      </c>
      <c r="L190">
        <v>34.67</v>
      </c>
      <c r="M190">
        <v>34.130000000000003</v>
      </c>
      <c r="N190">
        <v>34.54</v>
      </c>
    </row>
    <row r="191" spans="3:14" x14ac:dyDescent="0.15">
      <c r="C191" s="154" t="s">
        <v>1110</v>
      </c>
      <c r="D191" t="s">
        <v>37</v>
      </c>
      <c r="E191" t="s">
        <v>42</v>
      </c>
      <c r="F191" t="s">
        <v>43</v>
      </c>
      <c r="G191" t="s">
        <v>186</v>
      </c>
      <c r="H191" t="s">
        <v>59</v>
      </c>
      <c r="I191">
        <v>81.64</v>
      </c>
      <c r="J191">
        <v>79.92</v>
      </c>
      <c r="K191">
        <v>80.58</v>
      </c>
      <c r="L191">
        <v>37.29</v>
      </c>
      <c r="M191">
        <v>36.74</v>
      </c>
      <c r="N191">
        <v>37.17</v>
      </c>
    </row>
    <row r="192" spans="3:14" x14ac:dyDescent="0.15">
      <c r="C192" s="154" t="s">
        <v>1110</v>
      </c>
      <c r="D192" t="s">
        <v>37</v>
      </c>
      <c r="E192" t="s">
        <v>42</v>
      </c>
      <c r="F192" t="s">
        <v>43</v>
      </c>
      <c r="G192" t="s">
        <v>186</v>
      </c>
      <c r="H192" t="s">
        <v>60</v>
      </c>
      <c r="I192">
        <v>80.040000000000006</v>
      </c>
      <c r="J192">
        <v>78.319999999999993</v>
      </c>
      <c r="K192">
        <v>78.98</v>
      </c>
      <c r="L192">
        <v>35.69</v>
      </c>
      <c r="M192">
        <v>35.14</v>
      </c>
      <c r="N192">
        <v>35.57</v>
      </c>
    </row>
    <row r="193" spans="3:14" x14ac:dyDescent="0.15">
      <c r="C193" s="154" t="s">
        <v>1110</v>
      </c>
      <c r="D193" t="s">
        <v>37</v>
      </c>
      <c r="E193" t="s">
        <v>42</v>
      </c>
      <c r="F193" t="s">
        <v>43</v>
      </c>
      <c r="G193" t="s">
        <v>186</v>
      </c>
      <c r="H193" t="s">
        <v>648</v>
      </c>
      <c r="I193">
        <v>78.989999999999995</v>
      </c>
      <c r="J193">
        <v>77.27</v>
      </c>
      <c r="K193">
        <v>77.930000000000007</v>
      </c>
      <c r="L193">
        <v>34.64</v>
      </c>
      <c r="M193">
        <v>34.090000000000003</v>
      </c>
      <c r="N193">
        <v>34.520000000000003</v>
      </c>
    </row>
    <row r="194" spans="3:14" x14ac:dyDescent="0.15">
      <c r="C194" s="154" t="s">
        <v>1111</v>
      </c>
      <c r="D194" t="s">
        <v>37</v>
      </c>
      <c r="E194" t="s">
        <v>42</v>
      </c>
      <c r="F194" t="s">
        <v>43</v>
      </c>
      <c r="G194" t="s">
        <v>186</v>
      </c>
      <c r="H194" t="s">
        <v>59</v>
      </c>
      <c r="I194">
        <v>81.459999999999994</v>
      </c>
      <c r="J194">
        <v>79.650000000000006</v>
      </c>
      <c r="K194">
        <v>80.47</v>
      </c>
      <c r="L194">
        <v>37.22</v>
      </c>
      <c r="M194">
        <v>36.729999999999997</v>
      </c>
      <c r="N194">
        <v>37.14</v>
      </c>
    </row>
    <row r="195" spans="3:14" x14ac:dyDescent="0.15">
      <c r="C195" s="154" t="s">
        <v>1111</v>
      </c>
      <c r="D195" t="s">
        <v>37</v>
      </c>
      <c r="E195" t="s">
        <v>42</v>
      </c>
      <c r="F195" t="s">
        <v>43</v>
      </c>
      <c r="G195" t="s">
        <v>186</v>
      </c>
      <c r="H195" t="s">
        <v>60</v>
      </c>
      <c r="I195">
        <v>79.86</v>
      </c>
      <c r="J195">
        <v>78.05</v>
      </c>
      <c r="K195">
        <v>78.87</v>
      </c>
      <c r="L195">
        <v>35.619999999999997</v>
      </c>
      <c r="M195">
        <v>35.130000000000003</v>
      </c>
      <c r="N195">
        <v>35.54</v>
      </c>
    </row>
    <row r="196" spans="3:14" x14ac:dyDescent="0.15">
      <c r="C196" s="154" t="s">
        <v>1111</v>
      </c>
      <c r="D196" t="s">
        <v>37</v>
      </c>
      <c r="E196" t="s">
        <v>42</v>
      </c>
      <c r="F196" t="s">
        <v>43</v>
      </c>
      <c r="G196" t="s">
        <v>186</v>
      </c>
      <c r="H196" t="s">
        <v>648</v>
      </c>
      <c r="I196">
        <v>78.81</v>
      </c>
      <c r="J196">
        <v>77</v>
      </c>
      <c r="K196">
        <v>77.819999999999993</v>
      </c>
      <c r="L196">
        <v>34.57</v>
      </c>
      <c r="M196">
        <v>34.08</v>
      </c>
      <c r="N196">
        <v>34.49</v>
      </c>
    </row>
    <row r="197" spans="3:14" x14ac:dyDescent="0.15">
      <c r="C197" s="154" t="s">
        <v>1112</v>
      </c>
      <c r="D197" t="s">
        <v>37</v>
      </c>
      <c r="E197" t="s">
        <v>42</v>
      </c>
      <c r="F197" t="s">
        <v>43</v>
      </c>
      <c r="G197" t="s">
        <v>186</v>
      </c>
      <c r="H197" t="s">
        <v>59</v>
      </c>
      <c r="I197">
        <v>81.319999999999993</v>
      </c>
      <c r="J197">
        <v>79.56</v>
      </c>
      <c r="K197">
        <v>80.38</v>
      </c>
      <c r="L197">
        <v>37.17</v>
      </c>
      <c r="M197">
        <v>36.799999999999997</v>
      </c>
      <c r="N197">
        <v>37.18</v>
      </c>
    </row>
    <row r="198" spans="3:14" x14ac:dyDescent="0.15">
      <c r="C198" s="154" t="s">
        <v>1112</v>
      </c>
      <c r="D198" t="s">
        <v>37</v>
      </c>
      <c r="E198" t="s">
        <v>42</v>
      </c>
      <c r="F198" t="s">
        <v>43</v>
      </c>
      <c r="G198" t="s">
        <v>186</v>
      </c>
      <c r="H198" t="s">
        <v>60</v>
      </c>
      <c r="I198">
        <v>79.72</v>
      </c>
      <c r="J198">
        <v>77.959999999999994</v>
      </c>
      <c r="K198">
        <v>78.78</v>
      </c>
      <c r="L198">
        <v>35.57</v>
      </c>
      <c r="M198">
        <v>35.200000000000003</v>
      </c>
      <c r="N198">
        <v>35.58</v>
      </c>
    </row>
    <row r="199" spans="3:14" x14ac:dyDescent="0.15">
      <c r="C199" s="154" t="s">
        <v>1112</v>
      </c>
      <c r="D199" t="s">
        <v>37</v>
      </c>
      <c r="E199" t="s">
        <v>42</v>
      </c>
      <c r="F199" t="s">
        <v>43</v>
      </c>
      <c r="G199" t="s">
        <v>186</v>
      </c>
      <c r="H199" t="s">
        <v>648</v>
      </c>
      <c r="I199">
        <v>78.67</v>
      </c>
      <c r="J199">
        <v>76.91</v>
      </c>
      <c r="K199">
        <v>77.73</v>
      </c>
      <c r="L199">
        <v>34.520000000000003</v>
      </c>
      <c r="M199">
        <v>34.15</v>
      </c>
      <c r="N199">
        <v>34.53</v>
      </c>
    </row>
    <row r="200" spans="3:14" x14ac:dyDescent="0.15">
      <c r="C200" s="154" t="s">
        <v>1113</v>
      </c>
      <c r="D200" t="s">
        <v>37</v>
      </c>
      <c r="E200" t="s">
        <v>42</v>
      </c>
      <c r="F200" t="s">
        <v>43</v>
      </c>
      <c r="G200" t="s">
        <v>186</v>
      </c>
      <c r="H200" t="s">
        <v>59</v>
      </c>
      <c r="I200">
        <v>81.02</v>
      </c>
      <c r="J200">
        <v>80.08</v>
      </c>
      <c r="K200">
        <v>80.33</v>
      </c>
      <c r="L200">
        <v>37.17</v>
      </c>
      <c r="M200">
        <v>37.06</v>
      </c>
      <c r="N200">
        <v>37.229999999999997</v>
      </c>
    </row>
    <row r="201" spans="3:14" x14ac:dyDescent="0.15">
      <c r="C201" s="154" t="s">
        <v>1113</v>
      </c>
      <c r="D201" t="s">
        <v>37</v>
      </c>
      <c r="E201" t="s">
        <v>42</v>
      </c>
      <c r="F201" t="s">
        <v>43</v>
      </c>
      <c r="G201" t="s">
        <v>186</v>
      </c>
      <c r="H201" t="s">
        <v>60</v>
      </c>
      <c r="I201">
        <v>79.42</v>
      </c>
      <c r="J201">
        <v>78.48</v>
      </c>
      <c r="K201">
        <v>78.73</v>
      </c>
      <c r="L201">
        <v>35.57</v>
      </c>
      <c r="M201">
        <v>35.46</v>
      </c>
      <c r="N201">
        <v>35.630000000000003</v>
      </c>
    </row>
    <row r="202" spans="3:14" x14ac:dyDescent="0.15">
      <c r="C202" s="154" t="s">
        <v>1113</v>
      </c>
      <c r="D202" t="s">
        <v>37</v>
      </c>
      <c r="E202" t="s">
        <v>42</v>
      </c>
      <c r="F202" t="s">
        <v>43</v>
      </c>
      <c r="G202" t="s">
        <v>186</v>
      </c>
      <c r="H202" t="s">
        <v>648</v>
      </c>
      <c r="I202">
        <v>78.37</v>
      </c>
      <c r="J202">
        <v>77.430000000000007</v>
      </c>
      <c r="K202">
        <v>77.680000000000007</v>
      </c>
      <c r="L202">
        <v>34.520000000000003</v>
      </c>
      <c r="M202">
        <v>34.409999999999997</v>
      </c>
      <c r="N202">
        <v>34.58</v>
      </c>
    </row>
    <row r="203" spans="3:14" x14ac:dyDescent="0.15">
      <c r="C203" s="154" t="s">
        <v>1114</v>
      </c>
      <c r="D203" t="s">
        <v>37</v>
      </c>
      <c r="E203" t="s">
        <v>42</v>
      </c>
      <c r="F203" t="s">
        <v>43</v>
      </c>
      <c r="G203" t="s">
        <v>186</v>
      </c>
      <c r="H203" t="s">
        <v>59</v>
      </c>
      <c r="I203">
        <v>80.739999999999995</v>
      </c>
      <c r="J203">
        <v>80.599999999999994</v>
      </c>
      <c r="K203">
        <v>80.239999999999995</v>
      </c>
      <c r="L203">
        <v>37.14</v>
      </c>
      <c r="M203">
        <v>37.35</v>
      </c>
      <c r="N203">
        <v>37.270000000000003</v>
      </c>
    </row>
    <row r="204" spans="3:14" x14ac:dyDescent="0.15">
      <c r="C204" s="154" t="s">
        <v>1114</v>
      </c>
      <c r="D204" t="s">
        <v>37</v>
      </c>
      <c r="E204" t="s">
        <v>42</v>
      </c>
      <c r="F204" t="s">
        <v>43</v>
      </c>
      <c r="G204" t="s">
        <v>186</v>
      </c>
      <c r="H204" t="s">
        <v>60</v>
      </c>
      <c r="I204">
        <v>79.14</v>
      </c>
      <c r="J204">
        <v>79</v>
      </c>
      <c r="K204">
        <v>78.64</v>
      </c>
      <c r="L204">
        <v>35.54</v>
      </c>
      <c r="M204">
        <v>35.75</v>
      </c>
      <c r="N204">
        <v>35.67</v>
      </c>
    </row>
    <row r="205" spans="3:14" x14ac:dyDescent="0.15">
      <c r="C205" s="154" t="s">
        <v>1114</v>
      </c>
      <c r="D205" t="s">
        <v>37</v>
      </c>
      <c r="E205" t="s">
        <v>42</v>
      </c>
      <c r="F205" t="s">
        <v>43</v>
      </c>
      <c r="G205" t="s">
        <v>186</v>
      </c>
      <c r="H205" t="s">
        <v>648</v>
      </c>
      <c r="I205">
        <v>78.09</v>
      </c>
      <c r="J205">
        <v>77.95</v>
      </c>
      <c r="K205">
        <v>77.59</v>
      </c>
      <c r="L205">
        <v>34.49</v>
      </c>
      <c r="M205">
        <v>34.700000000000003</v>
      </c>
      <c r="N205">
        <v>34.619999999999997</v>
      </c>
    </row>
    <row r="206" spans="3:14" x14ac:dyDescent="0.15">
      <c r="C206" s="154" t="s">
        <v>1115</v>
      </c>
      <c r="D206" t="s">
        <v>37</v>
      </c>
      <c r="E206" t="s">
        <v>42</v>
      </c>
      <c r="F206" t="s">
        <v>43</v>
      </c>
      <c r="G206" t="s">
        <v>186</v>
      </c>
      <c r="H206" t="s">
        <v>59</v>
      </c>
      <c r="I206">
        <v>80.55</v>
      </c>
      <c r="J206">
        <v>81.05</v>
      </c>
      <c r="K206">
        <v>80.180000000000007</v>
      </c>
      <c r="L206">
        <v>37.130000000000003</v>
      </c>
      <c r="M206">
        <v>37.58</v>
      </c>
      <c r="N206">
        <v>37.33</v>
      </c>
    </row>
    <row r="207" spans="3:14" x14ac:dyDescent="0.15">
      <c r="C207" s="154" t="s">
        <v>1115</v>
      </c>
      <c r="D207" t="s">
        <v>37</v>
      </c>
      <c r="E207" t="s">
        <v>42</v>
      </c>
      <c r="F207" t="s">
        <v>43</v>
      </c>
      <c r="G207" t="s">
        <v>186</v>
      </c>
      <c r="H207" t="s">
        <v>60</v>
      </c>
      <c r="I207">
        <v>78.95</v>
      </c>
      <c r="J207">
        <v>79.45</v>
      </c>
      <c r="K207">
        <v>78.58</v>
      </c>
      <c r="L207">
        <v>35.53</v>
      </c>
      <c r="M207">
        <v>35.979999999999997</v>
      </c>
      <c r="N207">
        <v>35.729999999999997</v>
      </c>
    </row>
    <row r="208" spans="3:14" x14ac:dyDescent="0.15">
      <c r="C208" s="154" t="s">
        <v>1115</v>
      </c>
      <c r="D208" t="s">
        <v>37</v>
      </c>
      <c r="E208" t="s">
        <v>42</v>
      </c>
      <c r="F208" t="s">
        <v>43</v>
      </c>
      <c r="G208" t="s">
        <v>186</v>
      </c>
      <c r="H208" t="s">
        <v>648</v>
      </c>
      <c r="I208">
        <v>77.900000000000006</v>
      </c>
      <c r="J208">
        <v>78.400000000000006</v>
      </c>
      <c r="K208">
        <v>77.53</v>
      </c>
      <c r="L208">
        <v>34.479999999999997</v>
      </c>
      <c r="M208">
        <v>34.93</v>
      </c>
      <c r="N208">
        <v>34.68</v>
      </c>
    </row>
    <row r="209" spans="3:14" x14ac:dyDescent="0.15">
      <c r="C209" s="154" t="s">
        <v>1117</v>
      </c>
      <c r="D209" t="s">
        <v>37</v>
      </c>
      <c r="E209" t="s">
        <v>42</v>
      </c>
      <c r="F209" t="s">
        <v>43</v>
      </c>
      <c r="G209" t="s">
        <v>186</v>
      </c>
      <c r="H209" t="s">
        <v>59</v>
      </c>
      <c r="I209">
        <v>80.3</v>
      </c>
      <c r="J209">
        <v>81.069999999999993</v>
      </c>
      <c r="K209">
        <v>80.08</v>
      </c>
      <c r="L209">
        <v>37.090000000000003</v>
      </c>
      <c r="M209">
        <v>37.57</v>
      </c>
      <c r="N209">
        <v>37.36</v>
      </c>
    </row>
    <row r="210" spans="3:14" x14ac:dyDescent="0.15">
      <c r="C210" s="154" t="s">
        <v>1117</v>
      </c>
      <c r="D210" t="s">
        <v>37</v>
      </c>
      <c r="E210" t="s">
        <v>42</v>
      </c>
      <c r="F210" t="s">
        <v>43</v>
      </c>
      <c r="G210" t="s">
        <v>186</v>
      </c>
      <c r="H210" t="s">
        <v>60</v>
      </c>
      <c r="I210">
        <v>78.7</v>
      </c>
      <c r="J210">
        <v>79.47</v>
      </c>
      <c r="K210">
        <v>78.48</v>
      </c>
      <c r="L210">
        <v>35.49</v>
      </c>
      <c r="M210">
        <v>35.97</v>
      </c>
      <c r="N210">
        <v>35.76</v>
      </c>
    </row>
    <row r="211" spans="3:14" x14ac:dyDescent="0.15">
      <c r="C211" s="154" t="s">
        <v>1117</v>
      </c>
      <c r="D211" t="s">
        <v>37</v>
      </c>
      <c r="E211" t="s">
        <v>42</v>
      </c>
      <c r="F211" t="s">
        <v>43</v>
      </c>
      <c r="G211" t="s">
        <v>186</v>
      </c>
      <c r="H211" t="s">
        <v>648</v>
      </c>
      <c r="I211">
        <v>77.650000000000006</v>
      </c>
      <c r="J211">
        <v>78.42</v>
      </c>
      <c r="K211">
        <v>77.430000000000007</v>
      </c>
      <c r="L211">
        <v>34.44</v>
      </c>
      <c r="M211">
        <v>34.92</v>
      </c>
      <c r="N211">
        <v>34.71</v>
      </c>
    </row>
    <row r="212" spans="3:14" x14ac:dyDescent="0.15">
      <c r="C212" s="154" t="s">
        <v>1118</v>
      </c>
      <c r="D212" t="s">
        <v>37</v>
      </c>
      <c r="E212" t="s">
        <v>42</v>
      </c>
      <c r="F212" t="s">
        <v>43</v>
      </c>
      <c r="G212" t="s">
        <v>186</v>
      </c>
      <c r="H212" t="s">
        <v>59</v>
      </c>
      <c r="I212">
        <v>80.010000000000005</v>
      </c>
      <c r="J212">
        <v>81.010000000000005</v>
      </c>
      <c r="K212">
        <v>79.95</v>
      </c>
      <c r="L212">
        <v>37.04</v>
      </c>
      <c r="M212">
        <v>37.5</v>
      </c>
      <c r="N212">
        <v>37.380000000000003</v>
      </c>
    </row>
    <row r="213" spans="3:14" x14ac:dyDescent="0.15">
      <c r="C213" s="154" t="s">
        <v>1118</v>
      </c>
      <c r="D213" t="s">
        <v>37</v>
      </c>
      <c r="E213" t="s">
        <v>42</v>
      </c>
      <c r="F213" t="s">
        <v>43</v>
      </c>
      <c r="G213" t="s">
        <v>186</v>
      </c>
      <c r="H213" t="s">
        <v>60</v>
      </c>
      <c r="I213">
        <v>78.41</v>
      </c>
      <c r="J213">
        <v>79.41</v>
      </c>
      <c r="K213">
        <v>78.349999999999994</v>
      </c>
      <c r="L213">
        <v>35.44</v>
      </c>
      <c r="M213">
        <v>35.9</v>
      </c>
      <c r="N213">
        <v>35.78</v>
      </c>
    </row>
    <row r="214" spans="3:14" x14ac:dyDescent="0.15">
      <c r="C214" s="154" t="s">
        <v>1118</v>
      </c>
      <c r="D214" t="s">
        <v>37</v>
      </c>
      <c r="E214" t="s">
        <v>42</v>
      </c>
      <c r="F214" t="s">
        <v>43</v>
      </c>
      <c r="G214" t="s">
        <v>186</v>
      </c>
      <c r="H214" t="s">
        <v>648</v>
      </c>
      <c r="I214">
        <v>77.36</v>
      </c>
      <c r="J214">
        <v>78.36</v>
      </c>
      <c r="K214">
        <v>77.3</v>
      </c>
      <c r="L214">
        <v>34.39</v>
      </c>
      <c r="M214">
        <v>34.85</v>
      </c>
      <c r="N214">
        <v>34.729999999999997</v>
      </c>
    </row>
    <row r="215" spans="3:14" x14ac:dyDescent="0.15">
      <c r="C215" s="154" t="s">
        <v>1119</v>
      </c>
      <c r="D215" t="s">
        <v>37</v>
      </c>
      <c r="E215" t="s">
        <v>42</v>
      </c>
      <c r="F215" t="s">
        <v>43</v>
      </c>
      <c r="G215" t="s">
        <v>186</v>
      </c>
      <c r="H215" t="s">
        <v>59</v>
      </c>
      <c r="I215">
        <v>79.83</v>
      </c>
      <c r="J215">
        <v>80.84</v>
      </c>
      <c r="K215">
        <v>79.92</v>
      </c>
      <c r="L215">
        <v>37.01</v>
      </c>
      <c r="M215">
        <v>37.450000000000003</v>
      </c>
      <c r="N215">
        <v>37.39</v>
      </c>
    </row>
    <row r="216" spans="3:14" x14ac:dyDescent="0.15">
      <c r="C216" s="154" t="s">
        <v>1119</v>
      </c>
      <c r="D216" t="s">
        <v>37</v>
      </c>
      <c r="E216" t="s">
        <v>42</v>
      </c>
      <c r="F216" t="s">
        <v>43</v>
      </c>
      <c r="G216" t="s">
        <v>186</v>
      </c>
      <c r="H216" t="s">
        <v>60</v>
      </c>
      <c r="I216">
        <v>78.23</v>
      </c>
      <c r="J216">
        <v>79.239999999999995</v>
      </c>
      <c r="K216">
        <v>78.319999999999993</v>
      </c>
      <c r="L216">
        <v>35.409999999999997</v>
      </c>
      <c r="M216">
        <v>35.85</v>
      </c>
      <c r="N216">
        <v>35.79</v>
      </c>
    </row>
    <row r="217" spans="3:14" x14ac:dyDescent="0.15">
      <c r="C217" s="154" t="s">
        <v>1119</v>
      </c>
      <c r="D217" t="s">
        <v>37</v>
      </c>
      <c r="E217" t="s">
        <v>42</v>
      </c>
      <c r="F217" t="s">
        <v>43</v>
      </c>
      <c r="G217" t="s">
        <v>186</v>
      </c>
      <c r="H217" t="s">
        <v>648</v>
      </c>
      <c r="I217">
        <v>77.180000000000007</v>
      </c>
      <c r="J217">
        <v>78.19</v>
      </c>
      <c r="K217">
        <v>77.27</v>
      </c>
      <c r="L217">
        <v>34.36</v>
      </c>
      <c r="M217">
        <v>34.799999999999997</v>
      </c>
      <c r="N217">
        <v>34.74</v>
      </c>
    </row>
    <row r="218" spans="3:14" x14ac:dyDescent="0.15">
      <c r="C218" s="154" t="s">
        <v>1107</v>
      </c>
      <c r="D218" t="s">
        <v>37</v>
      </c>
      <c r="E218" t="s">
        <v>42</v>
      </c>
      <c r="F218" t="s">
        <v>44</v>
      </c>
      <c r="G218" t="s">
        <v>44</v>
      </c>
      <c r="H218" t="s">
        <v>59</v>
      </c>
      <c r="I218">
        <v>80.81</v>
      </c>
      <c r="J218">
        <v>81.2</v>
      </c>
      <c r="K218">
        <v>80.2</v>
      </c>
      <c r="L218">
        <v>38.18</v>
      </c>
      <c r="M218">
        <v>38.49</v>
      </c>
      <c r="N218">
        <v>38.130000000000003</v>
      </c>
    </row>
    <row r="219" spans="3:14" x14ac:dyDescent="0.15">
      <c r="C219" s="154" t="s">
        <v>1107</v>
      </c>
      <c r="D219" t="s">
        <v>37</v>
      </c>
      <c r="E219" t="s">
        <v>42</v>
      </c>
      <c r="F219" t="s">
        <v>44</v>
      </c>
      <c r="G219" t="s">
        <v>44</v>
      </c>
      <c r="H219" t="s">
        <v>60</v>
      </c>
      <c r="I219">
        <v>79.209999999999994</v>
      </c>
      <c r="J219">
        <v>79.599999999999994</v>
      </c>
      <c r="K219">
        <v>78.599999999999994</v>
      </c>
      <c r="L219">
        <v>36.58</v>
      </c>
      <c r="M219">
        <v>36.89</v>
      </c>
      <c r="N219">
        <v>36.53</v>
      </c>
    </row>
    <row r="220" spans="3:14" x14ac:dyDescent="0.15">
      <c r="C220" s="154" t="s">
        <v>1107</v>
      </c>
      <c r="D220" t="s">
        <v>37</v>
      </c>
      <c r="E220" t="s">
        <v>42</v>
      </c>
      <c r="F220" t="s">
        <v>44</v>
      </c>
      <c r="G220" t="s">
        <v>44</v>
      </c>
      <c r="H220" t="s">
        <v>648</v>
      </c>
      <c r="I220">
        <v>78.16</v>
      </c>
      <c r="J220">
        <v>78.55</v>
      </c>
      <c r="K220">
        <v>77.55</v>
      </c>
      <c r="L220">
        <v>35.53</v>
      </c>
      <c r="M220">
        <v>35.840000000000003</v>
      </c>
      <c r="N220">
        <v>35.479999999999997</v>
      </c>
    </row>
    <row r="221" spans="3:14" x14ac:dyDescent="0.15">
      <c r="C221" s="154" t="s">
        <v>1108</v>
      </c>
      <c r="D221" t="s">
        <v>37</v>
      </c>
      <c r="E221" t="s">
        <v>42</v>
      </c>
      <c r="F221" t="s">
        <v>44</v>
      </c>
      <c r="G221" t="s">
        <v>44</v>
      </c>
      <c r="H221" t="s">
        <v>59</v>
      </c>
      <c r="I221">
        <v>81.19</v>
      </c>
      <c r="J221">
        <v>80.91</v>
      </c>
      <c r="K221">
        <v>80.400000000000006</v>
      </c>
      <c r="L221">
        <v>38.17</v>
      </c>
      <c r="M221">
        <v>38.479999999999997</v>
      </c>
      <c r="N221">
        <v>38.14</v>
      </c>
    </row>
    <row r="222" spans="3:14" x14ac:dyDescent="0.15">
      <c r="C222" s="154" t="s">
        <v>1108</v>
      </c>
      <c r="D222" t="s">
        <v>37</v>
      </c>
      <c r="E222" t="s">
        <v>42</v>
      </c>
      <c r="F222" t="s">
        <v>44</v>
      </c>
      <c r="G222" t="s">
        <v>44</v>
      </c>
      <c r="H222" t="s">
        <v>60</v>
      </c>
      <c r="I222">
        <v>79.59</v>
      </c>
      <c r="J222">
        <v>79.31</v>
      </c>
      <c r="K222">
        <v>78.8</v>
      </c>
      <c r="L222">
        <v>36.57</v>
      </c>
      <c r="M222">
        <v>36.880000000000003</v>
      </c>
      <c r="N222">
        <v>36.54</v>
      </c>
    </row>
    <row r="223" spans="3:14" x14ac:dyDescent="0.15">
      <c r="C223" s="154" t="s">
        <v>1108</v>
      </c>
      <c r="D223" t="s">
        <v>37</v>
      </c>
      <c r="E223" t="s">
        <v>42</v>
      </c>
      <c r="F223" t="s">
        <v>44</v>
      </c>
      <c r="G223" t="s">
        <v>44</v>
      </c>
      <c r="H223" t="s">
        <v>648</v>
      </c>
      <c r="I223">
        <v>78.540000000000006</v>
      </c>
      <c r="J223">
        <v>78.260000000000005</v>
      </c>
      <c r="K223">
        <v>77.75</v>
      </c>
      <c r="L223">
        <v>35.520000000000003</v>
      </c>
      <c r="M223">
        <v>35.83</v>
      </c>
      <c r="N223">
        <v>35.49</v>
      </c>
    </row>
    <row r="224" spans="3:14" x14ac:dyDescent="0.15">
      <c r="C224" s="154" t="s">
        <v>1109</v>
      </c>
      <c r="D224" t="s">
        <v>37</v>
      </c>
      <c r="E224" t="s">
        <v>42</v>
      </c>
      <c r="F224" t="s">
        <v>44</v>
      </c>
      <c r="G224" t="s">
        <v>44</v>
      </c>
      <c r="H224" t="s">
        <v>59</v>
      </c>
      <c r="I224">
        <v>81.2</v>
      </c>
      <c r="J224">
        <v>80.34</v>
      </c>
      <c r="K224">
        <v>80.34</v>
      </c>
      <c r="L224">
        <v>38.130000000000003</v>
      </c>
      <c r="M224">
        <v>38.35</v>
      </c>
      <c r="N224">
        <v>38.130000000000003</v>
      </c>
    </row>
    <row r="225" spans="3:14" x14ac:dyDescent="0.15">
      <c r="C225" s="154" t="s">
        <v>1109</v>
      </c>
      <c r="D225" t="s">
        <v>37</v>
      </c>
      <c r="E225" t="s">
        <v>42</v>
      </c>
      <c r="F225" t="s">
        <v>44</v>
      </c>
      <c r="G225" t="s">
        <v>44</v>
      </c>
      <c r="H225" t="s">
        <v>60</v>
      </c>
      <c r="I225">
        <v>79.599999999999994</v>
      </c>
      <c r="J225">
        <v>78.739999999999995</v>
      </c>
      <c r="K225">
        <v>78.739999999999995</v>
      </c>
      <c r="L225">
        <v>36.53</v>
      </c>
      <c r="M225">
        <v>36.75</v>
      </c>
      <c r="N225">
        <v>36.53</v>
      </c>
    </row>
    <row r="226" spans="3:14" x14ac:dyDescent="0.15">
      <c r="C226" s="154" t="s">
        <v>1109</v>
      </c>
      <c r="D226" t="s">
        <v>37</v>
      </c>
      <c r="E226" t="s">
        <v>42</v>
      </c>
      <c r="F226" t="s">
        <v>44</v>
      </c>
      <c r="G226" t="s">
        <v>44</v>
      </c>
      <c r="H226" t="s">
        <v>648</v>
      </c>
      <c r="I226">
        <v>78.55</v>
      </c>
      <c r="J226">
        <v>77.69</v>
      </c>
      <c r="K226">
        <v>77.69</v>
      </c>
      <c r="L226">
        <v>35.479999999999997</v>
      </c>
      <c r="M226">
        <v>35.700000000000003</v>
      </c>
      <c r="N226">
        <v>35.479999999999997</v>
      </c>
    </row>
    <row r="227" spans="3:14" x14ac:dyDescent="0.15">
      <c r="C227" s="154" t="s">
        <v>1110</v>
      </c>
      <c r="D227" t="s">
        <v>37</v>
      </c>
      <c r="E227" t="s">
        <v>42</v>
      </c>
      <c r="F227" t="s">
        <v>44</v>
      </c>
      <c r="G227" t="s">
        <v>44</v>
      </c>
      <c r="H227" t="s">
        <v>59</v>
      </c>
      <c r="I227">
        <v>81.099999999999994</v>
      </c>
      <c r="J227">
        <v>79.760000000000005</v>
      </c>
      <c r="K227">
        <v>80.239999999999995</v>
      </c>
      <c r="L227">
        <v>38.090000000000003</v>
      </c>
      <c r="M227">
        <v>38.1</v>
      </c>
      <c r="N227">
        <v>38.11</v>
      </c>
    </row>
    <row r="228" spans="3:14" x14ac:dyDescent="0.15">
      <c r="C228" s="154" t="s">
        <v>1110</v>
      </c>
      <c r="D228" t="s">
        <v>37</v>
      </c>
      <c r="E228" t="s">
        <v>42</v>
      </c>
      <c r="F228" t="s">
        <v>44</v>
      </c>
      <c r="G228" t="s">
        <v>44</v>
      </c>
      <c r="H228" t="s">
        <v>60</v>
      </c>
      <c r="I228">
        <v>79.5</v>
      </c>
      <c r="J228">
        <v>78.16</v>
      </c>
      <c r="K228">
        <v>78.64</v>
      </c>
      <c r="L228">
        <v>36.49</v>
      </c>
      <c r="M228">
        <v>36.5</v>
      </c>
      <c r="N228">
        <v>36.51</v>
      </c>
    </row>
    <row r="229" spans="3:14" x14ac:dyDescent="0.15">
      <c r="C229" s="154" t="s">
        <v>1110</v>
      </c>
      <c r="D229" t="s">
        <v>37</v>
      </c>
      <c r="E229" t="s">
        <v>42</v>
      </c>
      <c r="F229" t="s">
        <v>44</v>
      </c>
      <c r="G229" t="s">
        <v>44</v>
      </c>
      <c r="H229" t="s">
        <v>648</v>
      </c>
      <c r="I229">
        <v>78.45</v>
      </c>
      <c r="J229">
        <v>77.11</v>
      </c>
      <c r="K229">
        <v>77.59</v>
      </c>
      <c r="L229">
        <v>35.44</v>
      </c>
      <c r="M229">
        <v>35.450000000000003</v>
      </c>
      <c r="N229">
        <v>35.46</v>
      </c>
    </row>
    <row r="230" spans="3:14" x14ac:dyDescent="0.15">
      <c r="C230" s="154" t="s">
        <v>1111</v>
      </c>
      <c r="D230" t="s">
        <v>37</v>
      </c>
      <c r="E230" t="s">
        <v>42</v>
      </c>
      <c r="F230" t="s">
        <v>44</v>
      </c>
      <c r="G230" t="s">
        <v>44</v>
      </c>
      <c r="H230" t="s">
        <v>59</v>
      </c>
      <c r="I230">
        <v>80.94</v>
      </c>
      <c r="J230">
        <v>79.489999999999995</v>
      </c>
      <c r="K230">
        <v>80.150000000000006</v>
      </c>
      <c r="L230">
        <v>38.04</v>
      </c>
      <c r="M230">
        <v>38.07</v>
      </c>
      <c r="N230">
        <v>38.090000000000003</v>
      </c>
    </row>
    <row r="231" spans="3:14" x14ac:dyDescent="0.15">
      <c r="C231" s="154" t="s">
        <v>1111</v>
      </c>
      <c r="D231" t="s">
        <v>37</v>
      </c>
      <c r="E231" t="s">
        <v>42</v>
      </c>
      <c r="F231" t="s">
        <v>44</v>
      </c>
      <c r="G231" t="s">
        <v>44</v>
      </c>
      <c r="H231" t="s">
        <v>60</v>
      </c>
      <c r="I231">
        <v>79.34</v>
      </c>
      <c r="J231">
        <v>77.89</v>
      </c>
      <c r="K231">
        <v>78.55</v>
      </c>
      <c r="L231">
        <v>36.44</v>
      </c>
      <c r="M231">
        <v>36.47</v>
      </c>
      <c r="N231">
        <v>36.49</v>
      </c>
    </row>
    <row r="232" spans="3:14" x14ac:dyDescent="0.15">
      <c r="C232" s="154" t="s">
        <v>1111</v>
      </c>
      <c r="D232" t="s">
        <v>37</v>
      </c>
      <c r="E232" t="s">
        <v>42</v>
      </c>
      <c r="F232" t="s">
        <v>44</v>
      </c>
      <c r="G232" t="s">
        <v>44</v>
      </c>
      <c r="H232" t="s">
        <v>648</v>
      </c>
      <c r="I232">
        <v>78.290000000000006</v>
      </c>
      <c r="J232">
        <v>76.84</v>
      </c>
      <c r="K232">
        <v>77.5</v>
      </c>
      <c r="L232">
        <v>35.39</v>
      </c>
      <c r="M232">
        <v>35.42</v>
      </c>
      <c r="N232">
        <v>35.44</v>
      </c>
    </row>
    <row r="233" spans="3:14" x14ac:dyDescent="0.15">
      <c r="C233" s="154" t="s">
        <v>1112</v>
      </c>
      <c r="D233" t="s">
        <v>37</v>
      </c>
      <c r="E233" t="s">
        <v>42</v>
      </c>
      <c r="F233" t="s">
        <v>44</v>
      </c>
      <c r="G233" t="s">
        <v>44</v>
      </c>
      <c r="H233" t="s">
        <v>59</v>
      </c>
      <c r="I233">
        <v>80.84</v>
      </c>
      <c r="J233">
        <v>79.14</v>
      </c>
      <c r="K233">
        <v>80.069999999999993</v>
      </c>
      <c r="L233">
        <v>38.01</v>
      </c>
      <c r="M233">
        <v>37.85</v>
      </c>
      <c r="N233">
        <v>38.130000000000003</v>
      </c>
    </row>
    <row r="234" spans="3:14" x14ac:dyDescent="0.15">
      <c r="C234" s="154" t="s">
        <v>1112</v>
      </c>
      <c r="D234" t="s">
        <v>37</v>
      </c>
      <c r="E234" t="s">
        <v>42</v>
      </c>
      <c r="F234" t="s">
        <v>44</v>
      </c>
      <c r="G234" t="s">
        <v>44</v>
      </c>
      <c r="H234" t="s">
        <v>60</v>
      </c>
      <c r="I234">
        <v>79.239999999999995</v>
      </c>
      <c r="J234">
        <v>77.540000000000006</v>
      </c>
      <c r="K234">
        <v>78.47</v>
      </c>
      <c r="L234">
        <v>36.409999999999997</v>
      </c>
      <c r="M234">
        <v>36.25</v>
      </c>
      <c r="N234">
        <v>36.53</v>
      </c>
    </row>
    <row r="235" spans="3:14" x14ac:dyDescent="0.15">
      <c r="C235" s="154" t="s">
        <v>1112</v>
      </c>
      <c r="D235" t="s">
        <v>37</v>
      </c>
      <c r="E235" t="s">
        <v>42</v>
      </c>
      <c r="F235" t="s">
        <v>44</v>
      </c>
      <c r="G235" t="s">
        <v>44</v>
      </c>
      <c r="H235" t="s">
        <v>648</v>
      </c>
      <c r="I235">
        <v>78.19</v>
      </c>
      <c r="J235">
        <v>76.489999999999995</v>
      </c>
      <c r="K235">
        <v>77.42</v>
      </c>
      <c r="L235">
        <v>35.36</v>
      </c>
      <c r="M235">
        <v>35.200000000000003</v>
      </c>
      <c r="N235">
        <v>35.479999999999997</v>
      </c>
    </row>
    <row r="236" spans="3:14" x14ac:dyDescent="0.15">
      <c r="C236" s="154" t="s">
        <v>1113</v>
      </c>
      <c r="D236" t="s">
        <v>37</v>
      </c>
      <c r="E236" t="s">
        <v>42</v>
      </c>
      <c r="F236" t="s">
        <v>44</v>
      </c>
      <c r="G236" t="s">
        <v>44</v>
      </c>
      <c r="H236" t="s">
        <v>59</v>
      </c>
      <c r="I236">
        <v>80.58</v>
      </c>
      <c r="J236">
        <v>79.48</v>
      </c>
      <c r="K236">
        <v>80.02</v>
      </c>
      <c r="L236">
        <v>38</v>
      </c>
      <c r="M236">
        <v>37.68</v>
      </c>
      <c r="N236">
        <v>38.17</v>
      </c>
    </row>
    <row r="237" spans="3:14" x14ac:dyDescent="0.15">
      <c r="C237" s="154" t="s">
        <v>1113</v>
      </c>
      <c r="D237" t="s">
        <v>37</v>
      </c>
      <c r="E237" t="s">
        <v>42</v>
      </c>
      <c r="F237" t="s">
        <v>44</v>
      </c>
      <c r="G237" t="s">
        <v>44</v>
      </c>
      <c r="H237" t="s">
        <v>60</v>
      </c>
      <c r="I237">
        <v>78.98</v>
      </c>
      <c r="J237">
        <v>77.88</v>
      </c>
      <c r="K237">
        <v>78.42</v>
      </c>
      <c r="L237">
        <v>36.4</v>
      </c>
      <c r="M237">
        <v>36.08</v>
      </c>
      <c r="N237">
        <v>36.57</v>
      </c>
    </row>
    <row r="238" spans="3:14" x14ac:dyDescent="0.15">
      <c r="C238" s="154" t="s">
        <v>1113</v>
      </c>
      <c r="D238" t="s">
        <v>37</v>
      </c>
      <c r="E238" t="s">
        <v>42</v>
      </c>
      <c r="F238" t="s">
        <v>44</v>
      </c>
      <c r="G238" t="s">
        <v>44</v>
      </c>
      <c r="H238" t="s">
        <v>648</v>
      </c>
      <c r="I238">
        <v>77.930000000000007</v>
      </c>
      <c r="J238">
        <v>76.83</v>
      </c>
      <c r="K238">
        <v>77.37</v>
      </c>
      <c r="L238">
        <v>35.35</v>
      </c>
      <c r="M238">
        <v>35.03</v>
      </c>
      <c r="N238">
        <v>35.520000000000003</v>
      </c>
    </row>
    <row r="239" spans="3:14" x14ac:dyDescent="0.15">
      <c r="C239" s="154" t="s">
        <v>1114</v>
      </c>
      <c r="D239" t="s">
        <v>37</v>
      </c>
      <c r="E239" t="s">
        <v>42</v>
      </c>
      <c r="F239" t="s">
        <v>44</v>
      </c>
      <c r="G239" t="s">
        <v>44</v>
      </c>
      <c r="H239" t="s">
        <v>59</v>
      </c>
      <c r="I239">
        <v>80.349999999999994</v>
      </c>
      <c r="J239">
        <v>79.86</v>
      </c>
      <c r="K239">
        <v>79.959999999999994</v>
      </c>
      <c r="L239">
        <v>37.97</v>
      </c>
      <c r="M239">
        <v>37.69</v>
      </c>
      <c r="N239">
        <v>38.21</v>
      </c>
    </row>
    <row r="240" spans="3:14" x14ac:dyDescent="0.15">
      <c r="C240" s="154" t="s">
        <v>1114</v>
      </c>
      <c r="D240" t="s">
        <v>37</v>
      </c>
      <c r="E240" t="s">
        <v>42</v>
      </c>
      <c r="F240" t="s">
        <v>44</v>
      </c>
      <c r="G240" t="s">
        <v>44</v>
      </c>
      <c r="H240" t="s">
        <v>60</v>
      </c>
      <c r="I240">
        <v>78.75</v>
      </c>
      <c r="J240">
        <v>78.260000000000005</v>
      </c>
      <c r="K240">
        <v>78.36</v>
      </c>
      <c r="L240">
        <v>36.369999999999997</v>
      </c>
      <c r="M240">
        <v>36.090000000000003</v>
      </c>
      <c r="N240">
        <v>36.61</v>
      </c>
    </row>
    <row r="241" spans="3:14" x14ac:dyDescent="0.15">
      <c r="C241" s="154" t="s">
        <v>1114</v>
      </c>
      <c r="D241" t="s">
        <v>37</v>
      </c>
      <c r="E241" t="s">
        <v>42</v>
      </c>
      <c r="F241" t="s">
        <v>44</v>
      </c>
      <c r="G241" t="s">
        <v>44</v>
      </c>
      <c r="H241" t="s">
        <v>648</v>
      </c>
      <c r="I241">
        <v>77.7</v>
      </c>
      <c r="J241">
        <v>77.209999999999994</v>
      </c>
      <c r="K241">
        <v>77.31</v>
      </c>
      <c r="L241">
        <v>35.32</v>
      </c>
      <c r="M241">
        <v>35.04</v>
      </c>
      <c r="N241">
        <v>35.56</v>
      </c>
    </row>
    <row r="242" spans="3:14" x14ac:dyDescent="0.15">
      <c r="C242" s="154" t="s">
        <v>1115</v>
      </c>
      <c r="D242" t="s">
        <v>37</v>
      </c>
      <c r="E242" t="s">
        <v>42</v>
      </c>
      <c r="F242" t="s">
        <v>44</v>
      </c>
      <c r="G242" t="s">
        <v>44</v>
      </c>
      <c r="H242" t="s">
        <v>59</v>
      </c>
      <c r="I242">
        <v>80.14</v>
      </c>
      <c r="J242">
        <v>80.2</v>
      </c>
      <c r="K242">
        <v>79.849999999999994</v>
      </c>
      <c r="L242">
        <v>37.93</v>
      </c>
      <c r="M242">
        <v>37.79</v>
      </c>
      <c r="N242">
        <v>38.24</v>
      </c>
    </row>
    <row r="243" spans="3:14" x14ac:dyDescent="0.15">
      <c r="C243" s="154" t="s">
        <v>1115</v>
      </c>
      <c r="D243" t="s">
        <v>37</v>
      </c>
      <c r="E243" t="s">
        <v>42</v>
      </c>
      <c r="F243" t="s">
        <v>44</v>
      </c>
      <c r="G243" t="s">
        <v>44</v>
      </c>
      <c r="H243" t="s">
        <v>60</v>
      </c>
      <c r="I243">
        <v>78.540000000000006</v>
      </c>
      <c r="J243">
        <v>78.599999999999994</v>
      </c>
      <c r="K243">
        <v>78.25</v>
      </c>
      <c r="L243">
        <v>36.33</v>
      </c>
      <c r="M243">
        <v>36.19</v>
      </c>
      <c r="N243">
        <v>36.64</v>
      </c>
    </row>
    <row r="244" spans="3:14" x14ac:dyDescent="0.15">
      <c r="C244" s="154" t="s">
        <v>1115</v>
      </c>
      <c r="D244" t="s">
        <v>37</v>
      </c>
      <c r="E244" t="s">
        <v>42</v>
      </c>
      <c r="F244" t="s">
        <v>44</v>
      </c>
      <c r="G244" t="s">
        <v>44</v>
      </c>
      <c r="H244" t="s">
        <v>648</v>
      </c>
      <c r="I244">
        <v>77.489999999999995</v>
      </c>
      <c r="J244">
        <v>77.55</v>
      </c>
      <c r="K244">
        <v>77.2</v>
      </c>
      <c r="L244">
        <v>35.28</v>
      </c>
      <c r="M244">
        <v>35.14</v>
      </c>
      <c r="N244">
        <v>35.590000000000003</v>
      </c>
    </row>
    <row r="245" spans="3:14" x14ac:dyDescent="0.15">
      <c r="C245" s="154" t="s">
        <v>1117</v>
      </c>
      <c r="D245" t="s">
        <v>37</v>
      </c>
      <c r="E245" t="s">
        <v>42</v>
      </c>
      <c r="F245" t="s">
        <v>44</v>
      </c>
      <c r="G245" t="s">
        <v>44</v>
      </c>
      <c r="H245" t="s">
        <v>59</v>
      </c>
      <c r="I245">
        <v>79.87</v>
      </c>
      <c r="J245">
        <v>80.47</v>
      </c>
      <c r="K245">
        <v>79.77</v>
      </c>
      <c r="L245">
        <v>37.89</v>
      </c>
      <c r="M245">
        <v>37.97</v>
      </c>
      <c r="N245">
        <v>38.29</v>
      </c>
    </row>
    <row r="246" spans="3:14" x14ac:dyDescent="0.15">
      <c r="C246" s="154" t="s">
        <v>1117</v>
      </c>
      <c r="D246" t="s">
        <v>37</v>
      </c>
      <c r="E246" t="s">
        <v>42</v>
      </c>
      <c r="F246" t="s">
        <v>44</v>
      </c>
      <c r="G246" t="s">
        <v>44</v>
      </c>
      <c r="H246" t="s">
        <v>60</v>
      </c>
      <c r="I246">
        <v>78.27</v>
      </c>
      <c r="J246">
        <v>78.87</v>
      </c>
      <c r="K246">
        <v>78.17</v>
      </c>
      <c r="L246">
        <v>36.29</v>
      </c>
      <c r="M246">
        <v>36.369999999999997</v>
      </c>
      <c r="N246">
        <v>36.69</v>
      </c>
    </row>
    <row r="247" spans="3:14" x14ac:dyDescent="0.15">
      <c r="C247" s="154" t="s">
        <v>1117</v>
      </c>
      <c r="D247" t="s">
        <v>37</v>
      </c>
      <c r="E247" t="s">
        <v>42</v>
      </c>
      <c r="F247" t="s">
        <v>44</v>
      </c>
      <c r="G247" t="s">
        <v>44</v>
      </c>
      <c r="H247" t="s">
        <v>648</v>
      </c>
      <c r="I247">
        <v>77.22</v>
      </c>
      <c r="J247">
        <v>77.819999999999993</v>
      </c>
      <c r="K247">
        <v>77.12</v>
      </c>
      <c r="L247">
        <v>35.24</v>
      </c>
      <c r="M247">
        <v>35.32</v>
      </c>
      <c r="N247">
        <v>35.64</v>
      </c>
    </row>
    <row r="248" spans="3:14" x14ac:dyDescent="0.15">
      <c r="C248" s="154" t="s">
        <v>1118</v>
      </c>
      <c r="D248" t="s">
        <v>37</v>
      </c>
      <c r="E248" t="s">
        <v>42</v>
      </c>
      <c r="F248" t="s">
        <v>44</v>
      </c>
      <c r="G248" t="s">
        <v>44</v>
      </c>
      <c r="H248" t="s">
        <v>59</v>
      </c>
      <c r="I248">
        <v>79.84</v>
      </c>
      <c r="J248">
        <v>80.59</v>
      </c>
      <c r="K248">
        <v>79.760000000000005</v>
      </c>
      <c r="L248">
        <v>38.06</v>
      </c>
      <c r="M248">
        <v>38.090000000000003</v>
      </c>
      <c r="N248">
        <v>38.409999999999997</v>
      </c>
    </row>
    <row r="249" spans="3:14" x14ac:dyDescent="0.15">
      <c r="C249" s="154" t="s">
        <v>1118</v>
      </c>
      <c r="D249" t="s">
        <v>37</v>
      </c>
      <c r="E249" t="s">
        <v>42</v>
      </c>
      <c r="F249" t="s">
        <v>44</v>
      </c>
      <c r="G249" t="s">
        <v>44</v>
      </c>
      <c r="H249" t="s">
        <v>60</v>
      </c>
      <c r="I249">
        <v>78.239999999999995</v>
      </c>
      <c r="J249">
        <v>78.989999999999995</v>
      </c>
      <c r="K249">
        <v>78.16</v>
      </c>
      <c r="L249">
        <v>36.46</v>
      </c>
      <c r="M249">
        <v>36.49</v>
      </c>
      <c r="N249">
        <v>36.81</v>
      </c>
    </row>
    <row r="250" spans="3:14" x14ac:dyDescent="0.15">
      <c r="C250" s="154" t="s">
        <v>1118</v>
      </c>
      <c r="D250" t="s">
        <v>37</v>
      </c>
      <c r="E250" t="s">
        <v>42</v>
      </c>
      <c r="F250" t="s">
        <v>44</v>
      </c>
      <c r="G250" t="s">
        <v>44</v>
      </c>
      <c r="H250" t="s">
        <v>648</v>
      </c>
      <c r="I250">
        <v>77.19</v>
      </c>
      <c r="J250">
        <v>77.94</v>
      </c>
      <c r="K250">
        <v>77.11</v>
      </c>
      <c r="L250">
        <v>35.409999999999997</v>
      </c>
      <c r="M250">
        <v>35.44</v>
      </c>
      <c r="N250">
        <v>35.76</v>
      </c>
    </row>
    <row r="251" spans="3:14" x14ac:dyDescent="0.15">
      <c r="C251" s="154" t="s">
        <v>1119</v>
      </c>
      <c r="D251" t="s">
        <v>37</v>
      </c>
      <c r="E251" t="s">
        <v>42</v>
      </c>
      <c r="F251" t="s">
        <v>44</v>
      </c>
      <c r="G251" t="s">
        <v>44</v>
      </c>
      <c r="H251" t="s">
        <v>59</v>
      </c>
      <c r="I251">
        <v>79.650000000000006</v>
      </c>
      <c r="J251">
        <v>80.73</v>
      </c>
      <c r="K251">
        <v>79.77</v>
      </c>
      <c r="L251">
        <v>38.04</v>
      </c>
      <c r="M251">
        <v>38.340000000000003</v>
      </c>
      <c r="N251">
        <v>38.47</v>
      </c>
    </row>
    <row r="252" spans="3:14" x14ac:dyDescent="0.15">
      <c r="C252" s="154" t="s">
        <v>1119</v>
      </c>
      <c r="D252" t="s">
        <v>37</v>
      </c>
      <c r="E252" t="s">
        <v>42</v>
      </c>
      <c r="F252" t="s">
        <v>44</v>
      </c>
      <c r="G252" t="s">
        <v>44</v>
      </c>
      <c r="H252" t="s">
        <v>60</v>
      </c>
      <c r="I252">
        <v>78.05</v>
      </c>
      <c r="J252">
        <v>79.13</v>
      </c>
      <c r="K252">
        <v>78.17</v>
      </c>
      <c r="L252">
        <v>36.44</v>
      </c>
      <c r="M252">
        <v>36.74</v>
      </c>
      <c r="N252">
        <v>36.869999999999997</v>
      </c>
    </row>
    <row r="253" spans="3:14" x14ac:dyDescent="0.15">
      <c r="C253" s="154" t="s">
        <v>1119</v>
      </c>
      <c r="D253" t="s">
        <v>37</v>
      </c>
      <c r="E253" t="s">
        <v>42</v>
      </c>
      <c r="F253" t="s">
        <v>44</v>
      </c>
      <c r="G253" t="s">
        <v>44</v>
      </c>
      <c r="H253" t="s">
        <v>648</v>
      </c>
      <c r="I253">
        <v>77</v>
      </c>
      <c r="J253">
        <v>78.08</v>
      </c>
      <c r="K253">
        <v>77.12</v>
      </c>
      <c r="L253">
        <v>35.39</v>
      </c>
      <c r="M253">
        <v>35.69</v>
      </c>
      <c r="N253">
        <v>35.82</v>
      </c>
    </row>
    <row r="254" spans="3:14" x14ac:dyDescent="0.15">
      <c r="C254" s="154" t="s">
        <v>1107</v>
      </c>
      <c r="D254" t="s">
        <v>37</v>
      </c>
      <c r="E254" t="s">
        <v>45</v>
      </c>
      <c r="F254" t="s">
        <v>6</v>
      </c>
      <c r="G254" t="s">
        <v>117</v>
      </c>
      <c r="H254" t="s">
        <v>59</v>
      </c>
      <c r="I254">
        <v>71</v>
      </c>
      <c r="J254">
        <v>71.36</v>
      </c>
      <c r="K254">
        <v>72.84</v>
      </c>
      <c r="L254">
        <v>30.55</v>
      </c>
      <c r="M254">
        <v>30.55</v>
      </c>
      <c r="N254">
        <v>32.369999999999997</v>
      </c>
    </row>
    <row r="255" spans="3:14" x14ac:dyDescent="0.15">
      <c r="C255" s="154" t="s">
        <v>1107</v>
      </c>
      <c r="D255" t="s">
        <v>37</v>
      </c>
      <c r="E255" t="s">
        <v>45</v>
      </c>
      <c r="F255" t="s">
        <v>6</v>
      </c>
      <c r="G255" t="s">
        <v>117</v>
      </c>
      <c r="H255" t="s">
        <v>60</v>
      </c>
      <c r="I255">
        <v>69.400000000000006</v>
      </c>
      <c r="J255">
        <v>69.760000000000005</v>
      </c>
      <c r="K255">
        <v>71.239999999999995</v>
      </c>
      <c r="L255">
        <v>28.95</v>
      </c>
      <c r="M255">
        <v>28.95</v>
      </c>
      <c r="N255">
        <v>30.77</v>
      </c>
    </row>
    <row r="256" spans="3:14" x14ac:dyDescent="0.15">
      <c r="C256" s="154" t="s">
        <v>1107</v>
      </c>
      <c r="D256" t="s">
        <v>37</v>
      </c>
      <c r="E256" t="s">
        <v>45</v>
      </c>
      <c r="F256" t="s">
        <v>6</v>
      </c>
      <c r="G256" t="s">
        <v>117</v>
      </c>
      <c r="H256" t="s">
        <v>648</v>
      </c>
      <c r="I256">
        <v>68.349999999999994</v>
      </c>
      <c r="J256">
        <v>68.709999999999994</v>
      </c>
      <c r="K256">
        <v>70.19</v>
      </c>
      <c r="L256">
        <v>27.9</v>
      </c>
      <c r="M256">
        <v>27.9</v>
      </c>
      <c r="N256">
        <v>29.72</v>
      </c>
    </row>
    <row r="257" spans="3:14" x14ac:dyDescent="0.15">
      <c r="C257" s="154" t="s">
        <v>1108</v>
      </c>
      <c r="D257" t="s">
        <v>37</v>
      </c>
      <c r="E257" t="s">
        <v>45</v>
      </c>
      <c r="F257" t="s">
        <v>6</v>
      </c>
      <c r="G257" t="s">
        <v>117</v>
      </c>
      <c r="H257" t="s">
        <v>59</v>
      </c>
      <c r="I257">
        <v>71.27</v>
      </c>
      <c r="J257">
        <v>71.63</v>
      </c>
      <c r="K257">
        <v>73.19</v>
      </c>
      <c r="L257">
        <v>30.39</v>
      </c>
      <c r="M257">
        <v>30.94</v>
      </c>
      <c r="N257">
        <v>32.58</v>
      </c>
    </row>
    <row r="258" spans="3:14" x14ac:dyDescent="0.15">
      <c r="C258" s="154" t="s">
        <v>1108</v>
      </c>
      <c r="D258" t="s">
        <v>37</v>
      </c>
      <c r="E258" t="s">
        <v>45</v>
      </c>
      <c r="F258" t="s">
        <v>6</v>
      </c>
      <c r="G258" t="s">
        <v>117</v>
      </c>
      <c r="H258" t="s">
        <v>60</v>
      </c>
      <c r="I258">
        <v>69.67</v>
      </c>
      <c r="J258">
        <v>70.03</v>
      </c>
      <c r="K258">
        <v>71.59</v>
      </c>
      <c r="L258">
        <v>28.79</v>
      </c>
      <c r="M258">
        <v>29.34</v>
      </c>
      <c r="N258">
        <v>30.98</v>
      </c>
    </row>
    <row r="259" spans="3:14" x14ac:dyDescent="0.15">
      <c r="C259" s="154" t="s">
        <v>1108</v>
      </c>
      <c r="D259" t="s">
        <v>37</v>
      </c>
      <c r="E259" t="s">
        <v>45</v>
      </c>
      <c r="F259" t="s">
        <v>6</v>
      </c>
      <c r="G259" t="s">
        <v>117</v>
      </c>
      <c r="H259" t="s">
        <v>648</v>
      </c>
      <c r="I259">
        <v>68.62</v>
      </c>
      <c r="J259">
        <v>68.98</v>
      </c>
      <c r="K259">
        <v>70.540000000000006</v>
      </c>
      <c r="L259">
        <v>27.74</v>
      </c>
      <c r="M259">
        <v>28.29</v>
      </c>
      <c r="N259">
        <v>29.93</v>
      </c>
    </row>
    <row r="260" spans="3:14" x14ac:dyDescent="0.15">
      <c r="C260" s="154" t="s">
        <v>1109</v>
      </c>
      <c r="D260" t="s">
        <v>37</v>
      </c>
      <c r="E260" t="s">
        <v>45</v>
      </c>
      <c r="F260" t="s">
        <v>6</v>
      </c>
      <c r="G260" t="s">
        <v>117</v>
      </c>
      <c r="H260" t="s">
        <v>59</v>
      </c>
      <c r="I260">
        <v>71.290000000000006</v>
      </c>
      <c r="J260">
        <v>72.02</v>
      </c>
      <c r="K260">
        <v>73.44</v>
      </c>
      <c r="L260">
        <v>30.17</v>
      </c>
      <c r="M260">
        <v>31.53</v>
      </c>
      <c r="N260">
        <v>32.79</v>
      </c>
    </row>
    <row r="261" spans="3:14" x14ac:dyDescent="0.15">
      <c r="C261" s="154" t="s">
        <v>1109</v>
      </c>
      <c r="D261" t="s">
        <v>37</v>
      </c>
      <c r="E261" t="s">
        <v>45</v>
      </c>
      <c r="F261" t="s">
        <v>6</v>
      </c>
      <c r="G261" t="s">
        <v>117</v>
      </c>
      <c r="H261" t="s">
        <v>60</v>
      </c>
      <c r="I261">
        <v>69.69</v>
      </c>
      <c r="J261">
        <v>70.42</v>
      </c>
      <c r="K261">
        <v>71.84</v>
      </c>
      <c r="L261">
        <v>28.57</v>
      </c>
      <c r="M261">
        <v>29.93</v>
      </c>
      <c r="N261">
        <v>31.19</v>
      </c>
    </row>
    <row r="262" spans="3:14" x14ac:dyDescent="0.15">
      <c r="C262" s="154" t="s">
        <v>1109</v>
      </c>
      <c r="D262" t="s">
        <v>37</v>
      </c>
      <c r="E262" t="s">
        <v>45</v>
      </c>
      <c r="F262" t="s">
        <v>6</v>
      </c>
      <c r="G262" t="s">
        <v>117</v>
      </c>
      <c r="H262" t="s">
        <v>648</v>
      </c>
      <c r="I262">
        <v>68.64</v>
      </c>
      <c r="J262">
        <v>69.37</v>
      </c>
      <c r="K262">
        <v>70.790000000000006</v>
      </c>
      <c r="L262">
        <v>27.52</v>
      </c>
      <c r="M262">
        <v>28.88</v>
      </c>
      <c r="N262">
        <v>30.14</v>
      </c>
    </row>
    <row r="263" spans="3:14" x14ac:dyDescent="0.15">
      <c r="C263" s="154" t="s">
        <v>1110</v>
      </c>
      <c r="D263" t="s">
        <v>37</v>
      </c>
      <c r="E263" t="s">
        <v>45</v>
      </c>
      <c r="F263" t="s">
        <v>6</v>
      </c>
      <c r="G263" t="s">
        <v>117</v>
      </c>
      <c r="H263" t="s">
        <v>59</v>
      </c>
      <c r="I263">
        <v>71.209999999999994</v>
      </c>
      <c r="J263">
        <v>72.62</v>
      </c>
      <c r="K263">
        <v>73.62</v>
      </c>
      <c r="L263">
        <v>29.98</v>
      </c>
      <c r="M263">
        <v>32.17</v>
      </c>
      <c r="N263">
        <v>32.979999999999997</v>
      </c>
    </row>
    <row r="264" spans="3:14" x14ac:dyDescent="0.15">
      <c r="C264" s="154" t="s">
        <v>1110</v>
      </c>
      <c r="D264" t="s">
        <v>37</v>
      </c>
      <c r="E264" t="s">
        <v>45</v>
      </c>
      <c r="F264" t="s">
        <v>6</v>
      </c>
      <c r="G264" t="s">
        <v>117</v>
      </c>
      <c r="H264" t="s">
        <v>60</v>
      </c>
      <c r="I264">
        <v>69.61</v>
      </c>
      <c r="J264">
        <v>71.02</v>
      </c>
      <c r="K264">
        <v>72.02</v>
      </c>
      <c r="L264">
        <v>28.38</v>
      </c>
      <c r="M264">
        <v>30.57</v>
      </c>
      <c r="N264">
        <v>31.38</v>
      </c>
    </row>
    <row r="265" spans="3:14" x14ac:dyDescent="0.15">
      <c r="C265" s="154" t="s">
        <v>1110</v>
      </c>
      <c r="D265" t="s">
        <v>37</v>
      </c>
      <c r="E265" t="s">
        <v>45</v>
      </c>
      <c r="F265" t="s">
        <v>6</v>
      </c>
      <c r="G265" t="s">
        <v>117</v>
      </c>
      <c r="H265" t="s">
        <v>648</v>
      </c>
      <c r="I265">
        <v>68.56</v>
      </c>
      <c r="J265">
        <v>69.97</v>
      </c>
      <c r="K265">
        <v>70.97</v>
      </c>
      <c r="L265">
        <v>27.33</v>
      </c>
      <c r="M265">
        <v>29.52</v>
      </c>
      <c r="N265">
        <v>30.33</v>
      </c>
    </row>
    <row r="266" spans="3:14" x14ac:dyDescent="0.15">
      <c r="C266" s="154" t="s">
        <v>1111</v>
      </c>
      <c r="D266" t="s">
        <v>37</v>
      </c>
      <c r="E266" t="s">
        <v>45</v>
      </c>
      <c r="F266" t="s">
        <v>6</v>
      </c>
      <c r="G266" t="s">
        <v>117</v>
      </c>
      <c r="H266" t="s">
        <v>59</v>
      </c>
      <c r="I266">
        <v>70.989999999999995</v>
      </c>
      <c r="J266">
        <v>73.23</v>
      </c>
      <c r="K266">
        <v>73.8</v>
      </c>
      <c r="L266">
        <v>29.73</v>
      </c>
      <c r="M266">
        <v>32.770000000000003</v>
      </c>
      <c r="N266">
        <v>33.15</v>
      </c>
    </row>
    <row r="267" spans="3:14" x14ac:dyDescent="0.15">
      <c r="C267" s="154" t="s">
        <v>1111</v>
      </c>
      <c r="D267" t="s">
        <v>37</v>
      </c>
      <c r="E267" t="s">
        <v>45</v>
      </c>
      <c r="F267" t="s">
        <v>6</v>
      </c>
      <c r="G267" t="s">
        <v>117</v>
      </c>
      <c r="H267" t="s">
        <v>60</v>
      </c>
      <c r="I267">
        <v>69.39</v>
      </c>
      <c r="J267">
        <v>71.63</v>
      </c>
      <c r="K267">
        <v>72.2</v>
      </c>
      <c r="L267">
        <v>28.13</v>
      </c>
      <c r="M267">
        <v>31.17</v>
      </c>
      <c r="N267">
        <v>31.55</v>
      </c>
    </row>
    <row r="268" spans="3:14" x14ac:dyDescent="0.15">
      <c r="C268" s="154" t="s">
        <v>1111</v>
      </c>
      <c r="D268" t="s">
        <v>37</v>
      </c>
      <c r="E268" t="s">
        <v>45</v>
      </c>
      <c r="F268" t="s">
        <v>6</v>
      </c>
      <c r="G268" t="s">
        <v>117</v>
      </c>
      <c r="H268" t="s">
        <v>648</v>
      </c>
      <c r="I268">
        <v>68.34</v>
      </c>
      <c r="J268">
        <v>70.58</v>
      </c>
      <c r="K268">
        <v>71.150000000000006</v>
      </c>
      <c r="L268">
        <v>27.08</v>
      </c>
      <c r="M268">
        <v>30.12</v>
      </c>
      <c r="N268">
        <v>30.5</v>
      </c>
    </row>
    <row r="269" spans="3:14" x14ac:dyDescent="0.15">
      <c r="C269" s="154" t="s">
        <v>1112</v>
      </c>
      <c r="D269" t="s">
        <v>37</v>
      </c>
      <c r="E269" t="s">
        <v>45</v>
      </c>
      <c r="F269" t="s">
        <v>6</v>
      </c>
      <c r="G269" t="s">
        <v>117</v>
      </c>
      <c r="H269" t="s">
        <v>59</v>
      </c>
      <c r="I269">
        <v>71.540000000000006</v>
      </c>
      <c r="J269">
        <v>73.31</v>
      </c>
      <c r="K269">
        <v>74.150000000000006</v>
      </c>
      <c r="L269">
        <v>30.29</v>
      </c>
      <c r="M269">
        <v>33.090000000000003</v>
      </c>
      <c r="N269">
        <v>33.56</v>
      </c>
    </row>
    <row r="270" spans="3:14" x14ac:dyDescent="0.15">
      <c r="C270" s="154" t="s">
        <v>1112</v>
      </c>
      <c r="D270" t="s">
        <v>37</v>
      </c>
      <c r="E270" t="s">
        <v>45</v>
      </c>
      <c r="F270" t="s">
        <v>6</v>
      </c>
      <c r="G270" t="s">
        <v>117</v>
      </c>
      <c r="H270" t="s">
        <v>60</v>
      </c>
      <c r="I270">
        <v>69.94</v>
      </c>
      <c r="J270">
        <v>71.709999999999994</v>
      </c>
      <c r="K270">
        <v>72.55</v>
      </c>
      <c r="L270">
        <v>28.69</v>
      </c>
      <c r="M270">
        <v>31.49</v>
      </c>
      <c r="N270">
        <v>31.96</v>
      </c>
    </row>
    <row r="271" spans="3:14" x14ac:dyDescent="0.15">
      <c r="C271" s="154" t="s">
        <v>1112</v>
      </c>
      <c r="D271" t="s">
        <v>37</v>
      </c>
      <c r="E271" t="s">
        <v>45</v>
      </c>
      <c r="F271" t="s">
        <v>6</v>
      </c>
      <c r="G271" t="s">
        <v>117</v>
      </c>
      <c r="H271" t="s">
        <v>648</v>
      </c>
      <c r="I271">
        <v>68.89</v>
      </c>
      <c r="J271">
        <v>70.66</v>
      </c>
      <c r="K271">
        <v>71.5</v>
      </c>
      <c r="L271">
        <v>27.64</v>
      </c>
      <c r="M271">
        <v>30.44</v>
      </c>
      <c r="N271">
        <v>30.91</v>
      </c>
    </row>
    <row r="272" spans="3:14" x14ac:dyDescent="0.15">
      <c r="C272" s="154" t="s">
        <v>1113</v>
      </c>
      <c r="D272" t="s">
        <v>37</v>
      </c>
      <c r="E272" t="s">
        <v>45</v>
      </c>
      <c r="F272" t="s">
        <v>6</v>
      </c>
      <c r="G272" t="s">
        <v>117</v>
      </c>
      <c r="H272" t="s">
        <v>59</v>
      </c>
      <c r="I272">
        <v>72.03</v>
      </c>
      <c r="J272">
        <v>73.86</v>
      </c>
      <c r="K272">
        <v>74.540000000000006</v>
      </c>
      <c r="L272">
        <v>30.87</v>
      </c>
      <c r="M272">
        <v>33.28</v>
      </c>
      <c r="N272">
        <v>33.96</v>
      </c>
    </row>
    <row r="273" spans="3:14" x14ac:dyDescent="0.15">
      <c r="C273" s="154" t="s">
        <v>1113</v>
      </c>
      <c r="D273" t="s">
        <v>37</v>
      </c>
      <c r="E273" t="s">
        <v>45</v>
      </c>
      <c r="F273" t="s">
        <v>6</v>
      </c>
      <c r="G273" t="s">
        <v>117</v>
      </c>
      <c r="H273" t="s">
        <v>60</v>
      </c>
      <c r="I273">
        <v>70.430000000000007</v>
      </c>
      <c r="J273">
        <v>72.260000000000005</v>
      </c>
      <c r="K273">
        <v>72.94</v>
      </c>
      <c r="L273">
        <v>29.27</v>
      </c>
      <c r="M273">
        <v>31.68</v>
      </c>
      <c r="N273">
        <v>32.36</v>
      </c>
    </row>
    <row r="274" spans="3:14" x14ac:dyDescent="0.15">
      <c r="C274" s="154" t="s">
        <v>1113</v>
      </c>
      <c r="D274" t="s">
        <v>37</v>
      </c>
      <c r="E274" t="s">
        <v>45</v>
      </c>
      <c r="F274" t="s">
        <v>6</v>
      </c>
      <c r="G274" t="s">
        <v>117</v>
      </c>
      <c r="H274" t="s">
        <v>648</v>
      </c>
      <c r="I274">
        <v>69.38</v>
      </c>
      <c r="J274">
        <v>71.209999999999994</v>
      </c>
      <c r="K274">
        <v>71.89</v>
      </c>
      <c r="L274">
        <v>28.22</v>
      </c>
      <c r="M274">
        <v>30.63</v>
      </c>
      <c r="N274">
        <v>31.31</v>
      </c>
    </row>
    <row r="275" spans="3:14" x14ac:dyDescent="0.15">
      <c r="C275" s="154" t="s">
        <v>1114</v>
      </c>
      <c r="D275" t="s">
        <v>37</v>
      </c>
      <c r="E275" t="s">
        <v>45</v>
      </c>
      <c r="F275" t="s">
        <v>6</v>
      </c>
      <c r="G275" t="s">
        <v>117</v>
      </c>
      <c r="H275" t="s">
        <v>59</v>
      </c>
      <c r="I275">
        <v>72.459999999999994</v>
      </c>
      <c r="J275">
        <v>74.34</v>
      </c>
      <c r="K275">
        <v>74.849999999999994</v>
      </c>
      <c r="L275">
        <v>31.42</v>
      </c>
      <c r="M275">
        <v>33.53</v>
      </c>
      <c r="N275">
        <v>34.35</v>
      </c>
    </row>
    <row r="276" spans="3:14" x14ac:dyDescent="0.15">
      <c r="C276" s="154" t="s">
        <v>1114</v>
      </c>
      <c r="D276" t="s">
        <v>37</v>
      </c>
      <c r="E276" t="s">
        <v>45</v>
      </c>
      <c r="F276" t="s">
        <v>6</v>
      </c>
      <c r="G276" t="s">
        <v>117</v>
      </c>
      <c r="H276" t="s">
        <v>60</v>
      </c>
      <c r="I276">
        <v>70.86</v>
      </c>
      <c r="J276">
        <v>72.739999999999995</v>
      </c>
      <c r="K276">
        <v>73.25</v>
      </c>
      <c r="L276">
        <v>29.82</v>
      </c>
      <c r="M276">
        <v>31.93</v>
      </c>
      <c r="N276">
        <v>32.75</v>
      </c>
    </row>
    <row r="277" spans="3:14" x14ac:dyDescent="0.15">
      <c r="C277" s="154" t="s">
        <v>1114</v>
      </c>
      <c r="D277" t="s">
        <v>37</v>
      </c>
      <c r="E277" t="s">
        <v>45</v>
      </c>
      <c r="F277" t="s">
        <v>6</v>
      </c>
      <c r="G277" t="s">
        <v>117</v>
      </c>
      <c r="H277" t="s">
        <v>648</v>
      </c>
      <c r="I277">
        <v>69.81</v>
      </c>
      <c r="J277">
        <v>71.69</v>
      </c>
      <c r="K277">
        <v>72.2</v>
      </c>
      <c r="L277">
        <v>28.77</v>
      </c>
      <c r="M277">
        <v>30.88</v>
      </c>
      <c r="N277">
        <v>31.7</v>
      </c>
    </row>
    <row r="278" spans="3:14" x14ac:dyDescent="0.15">
      <c r="C278" s="154" t="s">
        <v>1115</v>
      </c>
      <c r="D278" t="s">
        <v>37</v>
      </c>
      <c r="E278" t="s">
        <v>45</v>
      </c>
      <c r="F278" t="s">
        <v>6</v>
      </c>
      <c r="G278" t="s">
        <v>117</v>
      </c>
      <c r="H278" t="s">
        <v>59</v>
      </c>
      <c r="I278">
        <v>72.92</v>
      </c>
      <c r="J278">
        <v>74.540000000000006</v>
      </c>
      <c r="K278">
        <v>75.150000000000006</v>
      </c>
      <c r="L278">
        <v>31.95</v>
      </c>
      <c r="M278">
        <v>33.5</v>
      </c>
      <c r="N278">
        <v>34.74</v>
      </c>
    </row>
    <row r="279" spans="3:14" x14ac:dyDescent="0.15">
      <c r="C279" s="154" t="s">
        <v>1115</v>
      </c>
      <c r="D279" t="s">
        <v>37</v>
      </c>
      <c r="E279" t="s">
        <v>45</v>
      </c>
      <c r="F279" t="s">
        <v>6</v>
      </c>
      <c r="G279" t="s">
        <v>117</v>
      </c>
      <c r="H279" t="s">
        <v>60</v>
      </c>
      <c r="I279">
        <v>71.319999999999993</v>
      </c>
      <c r="J279">
        <v>72.94</v>
      </c>
      <c r="K279">
        <v>73.55</v>
      </c>
      <c r="L279">
        <v>30.35</v>
      </c>
      <c r="M279">
        <v>31.9</v>
      </c>
      <c r="N279">
        <v>33.14</v>
      </c>
    </row>
    <row r="280" spans="3:14" x14ac:dyDescent="0.15">
      <c r="C280" s="154" t="s">
        <v>1115</v>
      </c>
      <c r="D280" t="s">
        <v>37</v>
      </c>
      <c r="E280" t="s">
        <v>45</v>
      </c>
      <c r="F280" t="s">
        <v>6</v>
      </c>
      <c r="G280" t="s">
        <v>117</v>
      </c>
      <c r="H280" t="s">
        <v>648</v>
      </c>
      <c r="I280">
        <v>70.27</v>
      </c>
      <c r="J280">
        <v>71.89</v>
      </c>
      <c r="K280">
        <v>72.5</v>
      </c>
      <c r="L280">
        <v>29.3</v>
      </c>
      <c r="M280">
        <v>30.85</v>
      </c>
      <c r="N280">
        <v>32.090000000000003</v>
      </c>
    </row>
    <row r="281" spans="3:14" x14ac:dyDescent="0.15">
      <c r="C281" s="154" t="s">
        <v>1117</v>
      </c>
      <c r="D281" t="s">
        <v>37</v>
      </c>
      <c r="E281" t="s">
        <v>45</v>
      </c>
      <c r="F281" t="s">
        <v>6</v>
      </c>
      <c r="G281" t="s">
        <v>117</v>
      </c>
      <c r="H281" t="s">
        <v>59</v>
      </c>
      <c r="I281">
        <v>73.37</v>
      </c>
      <c r="J281">
        <v>74.430000000000007</v>
      </c>
      <c r="K281">
        <v>75.44</v>
      </c>
      <c r="L281">
        <v>32.479999999999997</v>
      </c>
      <c r="M281">
        <v>33.43</v>
      </c>
      <c r="N281">
        <v>35.08</v>
      </c>
    </row>
    <row r="282" spans="3:14" x14ac:dyDescent="0.15">
      <c r="C282" s="154" t="s">
        <v>1117</v>
      </c>
      <c r="D282" t="s">
        <v>37</v>
      </c>
      <c r="E282" t="s">
        <v>45</v>
      </c>
      <c r="F282" t="s">
        <v>6</v>
      </c>
      <c r="G282" t="s">
        <v>117</v>
      </c>
      <c r="H282" t="s">
        <v>60</v>
      </c>
      <c r="I282">
        <v>71.77</v>
      </c>
      <c r="J282">
        <v>72.83</v>
      </c>
      <c r="K282">
        <v>73.84</v>
      </c>
      <c r="L282">
        <v>30.88</v>
      </c>
      <c r="M282">
        <v>31.83</v>
      </c>
      <c r="N282">
        <v>33.479999999999997</v>
      </c>
    </row>
    <row r="283" spans="3:14" x14ac:dyDescent="0.15">
      <c r="C283" s="154" t="s">
        <v>1117</v>
      </c>
      <c r="D283" t="s">
        <v>37</v>
      </c>
      <c r="E283" t="s">
        <v>45</v>
      </c>
      <c r="F283" t="s">
        <v>6</v>
      </c>
      <c r="G283" t="s">
        <v>117</v>
      </c>
      <c r="H283" t="s">
        <v>648</v>
      </c>
      <c r="I283">
        <v>70.72</v>
      </c>
      <c r="J283">
        <v>71.78</v>
      </c>
      <c r="K283">
        <v>72.790000000000006</v>
      </c>
      <c r="L283">
        <v>29.83</v>
      </c>
      <c r="M283">
        <v>30.78</v>
      </c>
      <c r="N283">
        <v>32.43</v>
      </c>
    </row>
    <row r="284" spans="3:14" x14ac:dyDescent="0.15">
      <c r="C284" s="154" t="s">
        <v>1118</v>
      </c>
      <c r="D284" t="s">
        <v>37</v>
      </c>
      <c r="E284" t="s">
        <v>45</v>
      </c>
      <c r="F284" t="s">
        <v>6</v>
      </c>
      <c r="G284" t="s">
        <v>117</v>
      </c>
      <c r="H284" t="s">
        <v>59</v>
      </c>
      <c r="I284">
        <v>73.790000000000006</v>
      </c>
      <c r="J284">
        <v>74.31</v>
      </c>
      <c r="K284">
        <v>75.72</v>
      </c>
      <c r="L284">
        <v>32.99</v>
      </c>
      <c r="M284">
        <v>33.4</v>
      </c>
      <c r="N284">
        <v>35.43</v>
      </c>
    </row>
    <row r="285" spans="3:14" x14ac:dyDescent="0.15">
      <c r="C285" s="154" t="s">
        <v>1118</v>
      </c>
      <c r="D285" t="s">
        <v>37</v>
      </c>
      <c r="E285" t="s">
        <v>45</v>
      </c>
      <c r="F285" t="s">
        <v>6</v>
      </c>
      <c r="G285" t="s">
        <v>117</v>
      </c>
      <c r="H285" t="s">
        <v>60</v>
      </c>
      <c r="I285">
        <v>72.19</v>
      </c>
      <c r="J285">
        <v>72.709999999999994</v>
      </c>
      <c r="K285">
        <v>74.12</v>
      </c>
      <c r="L285">
        <v>31.39</v>
      </c>
      <c r="M285">
        <v>31.8</v>
      </c>
      <c r="N285">
        <v>33.83</v>
      </c>
    </row>
    <row r="286" spans="3:14" x14ac:dyDescent="0.15">
      <c r="C286" s="154" t="s">
        <v>1118</v>
      </c>
      <c r="D286" t="s">
        <v>37</v>
      </c>
      <c r="E286" t="s">
        <v>45</v>
      </c>
      <c r="F286" t="s">
        <v>6</v>
      </c>
      <c r="G286" t="s">
        <v>117</v>
      </c>
      <c r="H286" t="s">
        <v>648</v>
      </c>
      <c r="I286">
        <v>71.14</v>
      </c>
      <c r="J286">
        <v>71.66</v>
      </c>
      <c r="K286">
        <v>73.069999999999993</v>
      </c>
      <c r="L286">
        <v>30.34</v>
      </c>
      <c r="M286">
        <v>30.75</v>
      </c>
      <c r="N286">
        <v>32.78</v>
      </c>
    </row>
    <row r="287" spans="3:14" x14ac:dyDescent="0.15">
      <c r="C287" s="154" t="s">
        <v>1119</v>
      </c>
      <c r="D287" t="s">
        <v>37</v>
      </c>
      <c r="E287" t="s">
        <v>45</v>
      </c>
      <c r="F287" t="s">
        <v>6</v>
      </c>
      <c r="G287" t="s">
        <v>117</v>
      </c>
      <c r="H287" t="s">
        <v>59</v>
      </c>
      <c r="I287">
        <v>74.23</v>
      </c>
      <c r="J287">
        <v>74.97</v>
      </c>
      <c r="K287">
        <v>76.069999999999993</v>
      </c>
      <c r="L287">
        <v>33.58</v>
      </c>
      <c r="M287">
        <v>34.01</v>
      </c>
      <c r="N287">
        <v>35.83</v>
      </c>
    </row>
    <row r="288" spans="3:14" x14ac:dyDescent="0.15">
      <c r="C288" s="154" t="s">
        <v>1119</v>
      </c>
      <c r="D288" t="s">
        <v>37</v>
      </c>
      <c r="E288" t="s">
        <v>45</v>
      </c>
      <c r="F288" t="s">
        <v>6</v>
      </c>
      <c r="G288" t="s">
        <v>117</v>
      </c>
      <c r="H288" t="s">
        <v>60</v>
      </c>
      <c r="I288">
        <v>72.63</v>
      </c>
      <c r="J288">
        <v>73.37</v>
      </c>
      <c r="K288">
        <v>74.47</v>
      </c>
      <c r="L288">
        <v>31.98</v>
      </c>
      <c r="M288">
        <v>32.409999999999997</v>
      </c>
      <c r="N288">
        <v>34.229999999999997</v>
      </c>
    </row>
    <row r="289" spans="3:14" x14ac:dyDescent="0.15">
      <c r="C289" s="154" t="s">
        <v>1119</v>
      </c>
      <c r="D289" t="s">
        <v>37</v>
      </c>
      <c r="E289" t="s">
        <v>45</v>
      </c>
      <c r="F289" t="s">
        <v>6</v>
      </c>
      <c r="G289" t="s">
        <v>117</v>
      </c>
      <c r="H289" t="s">
        <v>648</v>
      </c>
      <c r="I289">
        <v>71.58</v>
      </c>
      <c r="J289">
        <v>72.319999999999993</v>
      </c>
      <c r="K289">
        <v>73.42</v>
      </c>
      <c r="L289">
        <v>30.93</v>
      </c>
      <c r="M289">
        <v>31.36</v>
      </c>
      <c r="N289">
        <v>33.18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5" tint="-0.249977111117893"/>
    <pageSetUpPr autoPageBreaks="0"/>
  </sheetPr>
  <dimension ref="A1:U895"/>
  <sheetViews>
    <sheetView showGridLines="0" zoomScale="85" zoomScaleNormal="85" workbookViewId="0">
      <pane xSplit="5" ySplit="8" topLeftCell="F9" activePane="bottomRight" state="frozen"/>
      <selection activeCell="A2" sqref="A2:F2"/>
      <selection pane="topRight" activeCell="A2" sqref="A2:F2"/>
      <selection pane="bottomLeft" activeCell="A2" sqref="A2:F2"/>
      <selection pane="bottomRight" activeCell="A2" sqref="A2:F2"/>
    </sheetView>
  </sheetViews>
  <sheetFormatPr defaultRowHeight="11.25" x14ac:dyDescent="0.2"/>
  <cols>
    <col min="1" max="1" width="3.83203125" style="15" customWidth="1"/>
    <col min="2" max="4" width="9.33203125" style="15"/>
    <col min="5" max="5" width="22.6640625" style="15" customWidth="1"/>
    <col min="6" max="7" width="9.33203125" style="15"/>
    <col min="8" max="9" width="16.1640625" style="15" bestFit="1" customWidth="1"/>
    <col min="10" max="10" width="9.33203125" style="15"/>
    <col min="11" max="11" width="22.6640625" style="15" customWidth="1"/>
    <col min="12" max="16384" width="9.33203125" style="15"/>
  </cols>
  <sheetData>
    <row r="1" spans="1:21" ht="15.75" x14ac:dyDescent="0.25">
      <c r="B1" s="12" t="s">
        <v>86</v>
      </c>
      <c r="C1" s="13"/>
      <c r="D1" s="13"/>
      <c r="E1" s="13"/>
      <c r="F1" s="13"/>
      <c r="G1" s="13"/>
      <c r="H1" s="13"/>
      <c r="I1" s="13"/>
      <c r="J1" s="14" t="s">
        <v>87</v>
      </c>
      <c r="K1" s="13"/>
      <c r="O1" s="47"/>
      <c r="P1" s="14" t="s">
        <v>95</v>
      </c>
      <c r="Q1" s="13"/>
      <c r="S1" s="92" t="s">
        <v>96</v>
      </c>
      <c r="T1" s="93"/>
    </row>
    <row r="2" spans="1:21" x14ac:dyDescent="0.2">
      <c r="B2" s="13"/>
      <c r="C2" s="13"/>
      <c r="D2" s="13"/>
      <c r="E2" s="13"/>
      <c r="F2" s="13"/>
      <c r="G2" s="13"/>
      <c r="H2" s="13"/>
      <c r="I2" s="13"/>
      <c r="J2" s="16" t="s">
        <v>73</v>
      </c>
      <c r="K2" s="108">
        <v>42250</v>
      </c>
      <c r="N2" s="17"/>
      <c r="O2" s="16" t="s">
        <v>85</v>
      </c>
      <c r="P2" s="175" t="s">
        <v>97</v>
      </c>
      <c r="Q2" s="175"/>
      <c r="S2" s="94" t="s">
        <v>98</v>
      </c>
      <c r="T2" s="95">
        <v>42249</v>
      </c>
    </row>
    <row r="3" spans="1:21" x14ac:dyDescent="0.2">
      <c r="B3" s="18">
        <v>895</v>
      </c>
      <c r="C3" s="13" t="s">
        <v>78</v>
      </c>
      <c r="D3" s="13"/>
      <c r="E3" s="13"/>
      <c r="F3" s="13"/>
      <c r="G3" s="13"/>
      <c r="H3" s="13"/>
      <c r="I3" s="13"/>
      <c r="J3" s="16" t="s">
        <v>82</v>
      </c>
      <c r="K3" s="106">
        <v>42249.520231481481</v>
      </c>
      <c r="N3" s="17"/>
      <c r="O3" s="16" t="s">
        <v>99</v>
      </c>
      <c r="P3" s="176">
        <v>42250</v>
      </c>
      <c r="Q3" s="176"/>
      <c r="S3" s="94" t="s">
        <v>100</v>
      </c>
      <c r="T3" s="93">
        <v>1</v>
      </c>
    </row>
    <row r="4" spans="1:21" x14ac:dyDescent="0.2">
      <c r="B4" s="18">
        <v>36</v>
      </c>
      <c r="C4" s="13" t="s">
        <v>74</v>
      </c>
      <c r="D4" s="13"/>
      <c r="E4" s="13"/>
      <c r="F4" s="13"/>
      <c r="G4" s="13"/>
      <c r="H4" s="13"/>
      <c r="I4" s="13"/>
      <c r="J4" s="16" t="s">
        <v>85</v>
      </c>
      <c r="K4" s="105" t="s">
        <v>97</v>
      </c>
      <c r="N4" s="17"/>
      <c r="O4" s="16" t="s">
        <v>101</v>
      </c>
      <c r="P4" s="177">
        <v>42249.520231481481</v>
      </c>
      <c r="Q4" s="177"/>
      <c r="S4" s="96" t="s">
        <v>102</v>
      </c>
      <c r="T4" s="97">
        <v>42250</v>
      </c>
    </row>
    <row r="5" spans="1:21" x14ac:dyDescent="0.2">
      <c r="B5" s="21">
        <v>12</v>
      </c>
      <c r="C5" s="13" t="s">
        <v>649</v>
      </c>
      <c r="D5" s="13"/>
      <c r="E5" s="13"/>
      <c r="F5" s="13"/>
      <c r="G5" s="13"/>
      <c r="H5" s="13"/>
      <c r="I5" s="13"/>
      <c r="J5" s="16" t="s">
        <v>72</v>
      </c>
      <c r="K5" s="107">
        <v>42278</v>
      </c>
      <c r="N5" s="17"/>
      <c r="O5" s="16" t="s">
        <v>104</v>
      </c>
      <c r="P5" s="178">
        <v>42278</v>
      </c>
      <c r="Q5" s="178"/>
      <c r="S5" s="94" t="s">
        <v>105</v>
      </c>
      <c r="T5" s="93">
        <v>35</v>
      </c>
    </row>
    <row r="6" spans="1:21" x14ac:dyDescent="0.2">
      <c r="B6" s="21">
        <v>24</v>
      </c>
      <c r="C6" s="13" t="s">
        <v>88</v>
      </c>
      <c r="D6" s="13"/>
      <c r="E6" s="13"/>
      <c r="F6" s="13"/>
      <c r="G6" s="13"/>
      <c r="H6" s="13"/>
      <c r="I6" s="13"/>
      <c r="J6" s="16" t="s">
        <v>76</v>
      </c>
      <c r="K6" s="107">
        <v>42614</v>
      </c>
      <c r="N6" s="17"/>
      <c r="P6" s="22"/>
    </row>
    <row r="8" spans="1:21" ht="22.5" x14ac:dyDescent="0.2">
      <c r="B8" s="23" t="s">
        <v>77</v>
      </c>
      <c r="C8" s="23" t="s">
        <v>75</v>
      </c>
      <c r="D8" s="24" t="s">
        <v>79</v>
      </c>
      <c r="E8" s="25" t="s">
        <v>47</v>
      </c>
      <c r="F8" s="25" t="s">
        <v>2</v>
      </c>
      <c r="G8" s="25" t="s">
        <v>53</v>
      </c>
      <c r="H8" s="25" t="s">
        <v>63</v>
      </c>
      <c r="I8" s="25" t="s">
        <v>64</v>
      </c>
      <c r="J8" s="25" t="s">
        <v>4</v>
      </c>
      <c r="K8" s="25" t="s">
        <v>65</v>
      </c>
      <c r="L8" s="26" t="s">
        <v>83</v>
      </c>
      <c r="M8" s="26" t="s">
        <v>80</v>
      </c>
      <c r="N8" s="26" t="s">
        <v>81</v>
      </c>
      <c r="O8" s="27" t="s">
        <v>66</v>
      </c>
      <c r="P8" s="27" t="s">
        <v>84</v>
      </c>
      <c r="Q8" s="28" t="s">
        <v>67</v>
      </c>
      <c r="R8" s="28" t="s">
        <v>68</v>
      </c>
      <c r="S8" s="28" t="s">
        <v>69</v>
      </c>
      <c r="T8" s="28" t="s">
        <v>70</v>
      </c>
      <c r="U8" s="28" t="s">
        <v>71</v>
      </c>
    </row>
    <row r="9" spans="1:21" x14ac:dyDescent="0.2">
      <c r="A9" s="48">
        <v>1</v>
      </c>
      <c r="B9" s="29">
        <v>1</v>
      </c>
      <c r="C9" s="29">
        <v>1</v>
      </c>
      <c r="D9" s="30" t="s">
        <v>659</v>
      </c>
      <c r="E9" s="31" t="s">
        <v>107</v>
      </c>
      <c r="F9" s="31" t="s">
        <v>29</v>
      </c>
      <c r="G9" s="31" t="s">
        <v>108</v>
      </c>
      <c r="H9" s="31" t="s">
        <v>30</v>
      </c>
      <c r="I9" s="31" t="s">
        <v>30</v>
      </c>
      <c r="J9" s="31" t="s">
        <v>31</v>
      </c>
      <c r="K9" s="31" t="s">
        <v>109</v>
      </c>
      <c r="L9" s="32">
        <v>22749</v>
      </c>
      <c r="M9" s="33">
        <v>42250</v>
      </c>
      <c r="N9" s="32" t="s">
        <v>110</v>
      </c>
      <c r="O9" s="34">
        <v>42278</v>
      </c>
      <c r="P9" s="35">
        <v>48</v>
      </c>
      <c r="Q9" s="91">
        <v>107.46</v>
      </c>
      <c r="R9" s="91">
        <v>95.59</v>
      </c>
      <c r="S9" s="91">
        <v>98.8</v>
      </c>
      <c r="T9" s="91">
        <v>94.41</v>
      </c>
      <c r="U9" s="91">
        <v>93.57</v>
      </c>
    </row>
    <row r="10" spans="1:21" x14ac:dyDescent="0.2">
      <c r="A10" s="48">
        <f>A9+1</f>
        <v>2</v>
      </c>
      <c r="B10" s="29">
        <v>1</v>
      </c>
      <c r="C10" s="29">
        <v>2</v>
      </c>
      <c r="D10" s="30" t="s">
        <v>660</v>
      </c>
      <c r="E10" s="31" t="s">
        <v>112</v>
      </c>
      <c r="F10" s="31" t="s">
        <v>29</v>
      </c>
      <c r="G10" s="31" t="s">
        <v>108</v>
      </c>
      <c r="H10" s="31" t="s">
        <v>30</v>
      </c>
      <c r="I10" s="31" t="s">
        <v>30</v>
      </c>
      <c r="J10" s="31" t="s">
        <v>32</v>
      </c>
      <c r="K10" s="31" t="s">
        <v>113</v>
      </c>
      <c r="L10" s="35">
        <v>22750</v>
      </c>
      <c r="M10" s="36">
        <v>42250</v>
      </c>
      <c r="N10" s="35" t="s">
        <v>110</v>
      </c>
      <c r="O10" s="34">
        <v>42278</v>
      </c>
      <c r="P10" s="35">
        <v>48</v>
      </c>
      <c r="Q10" s="91">
        <v>104.76</v>
      </c>
      <c r="R10" s="91">
        <v>95.37</v>
      </c>
      <c r="S10" s="91">
        <v>97.91</v>
      </c>
      <c r="T10" s="91">
        <v>94.14</v>
      </c>
      <c r="U10" s="91">
        <v>91.96</v>
      </c>
    </row>
    <row r="11" spans="1:21" x14ac:dyDescent="0.2">
      <c r="A11" s="48">
        <f t="shared" ref="A11:A74" si="0">A10+1</f>
        <v>3</v>
      </c>
      <c r="B11" s="29">
        <v>1</v>
      </c>
      <c r="C11" s="29">
        <v>3</v>
      </c>
      <c r="D11" s="30" t="s">
        <v>661</v>
      </c>
      <c r="E11" s="31" t="s">
        <v>115</v>
      </c>
      <c r="F11" s="31" t="s">
        <v>18</v>
      </c>
      <c r="G11" s="31" t="s">
        <v>108</v>
      </c>
      <c r="H11" s="31" t="s">
        <v>61</v>
      </c>
      <c r="I11" s="31" t="s">
        <v>116</v>
      </c>
      <c r="J11" s="31" t="s">
        <v>13</v>
      </c>
      <c r="K11" s="31" t="s">
        <v>117</v>
      </c>
      <c r="L11" s="35">
        <v>22751</v>
      </c>
      <c r="M11" s="36">
        <v>42250</v>
      </c>
      <c r="N11" s="35" t="s">
        <v>110</v>
      </c>
      <c r="O11" s="34">
        <v>42278</v>
      </c>
      <c r="P11" s="35">
        <v>48</v>
      </c>
      <c r="Q11" s="91">
        <v>63.07</v>
      </c>
      <c r="R11" s="91">
        <v>59.78</v>
      </c>
      <c r="S11" s="91">
        <v>59.48</v>
      </c>
      <c r="T11" s="91">
        <v>58.54</v>
      </c>
      <c r="U11" s="91">
        <v>59.01</v>
      </c>
    </row>
    <row r="12" spans="1:21" x14ac:dyDescent="0.2">
      <c r="A12" s="48">
        <f t="shared" si="0"/>
        <v>4</v>
      </c>
      <c r="B12" s="29">
        <v>1</v>
      </c>
      <c r="C12" s="29">
        <v>4</v>
      </c>
      <c r="D12" s="30" t="s">
        <v>662</v>
      </c>
      <c r="E12" s="31" t="s">
        <v>119</v>
      </c>
      <c r="F12" s="31" t="s">
        <v>18</v>
      </c>
      <c r="G12" s="31" t="s">
        <v>108</v>
      </c>
      <c r="H12" s="31" t="s">
        <v>61</v>
      </c>
      <c r="I12" s="31" t="s">
        <v>116</v>
      </c>
      <c r="J12" s="31" t="s">
        <v>19</v>
      </c>
      <c r="K12" s="31" t="s">
        <v>120</v>
      </c>
      <c r="L12" s="35">
        <v>22752</v>
      </c>
      <c r="M12" s="36">
        <v>42250</v>
      </c>
      <c r="N12" s="35" t="s">
        <v>110</v>
      </c>
      <c r="O12" s="34">
        <v>42278</v>
      </c>
      <c r="P12" s="35">
        <v>48</v>
      </c>
      <c r="Q12" s="91">
        <v>65.13</v>
      </c>
      <c r="R12" s="91">
        <v>61.5</v>
      </c>
      <c r="S12" s="91">
        <v>61.23</v>
      </c>
      <c r="T12" s="91">
        <v>60.22</v>
      </c>
      <c r="U12" s="91">
        <v>60.67</v>
      </c>
    </row>
    <row r="13" spans="1:21" x14ac:dyDescent="0.2">
      <c r="A13" s="48">
        <f t="shared" si="0"/>
        <v>5</v>
      </c>
      <c r="B13" s="29">
        <v>1</v>
      </c>
      <c r="C13" s="29">
        <v>5</v>
      </c>
      <c r="D13" s="30" t="s">
        <v>663</v>
      </c>
      <c r="E13" s="31" t="s">
        <v>122</v>
      </c>
      <c r="F13" s="31" t="s">
        <v>18</v>
      </c>
      <c r="G13" s="31" t="s">
        <v>108</v>
      </c>
      <c r="H13" s="31" t="s">
        <v>61</v>
      </c>
      <c r="I13" s="31" t="s">
        <v>116</v>
      </c>
      <c r="J13" s="31" t="s">
        <v>14</v>
      </c>
      <c r="K13" s="31" t="s">
        <v>123</v>
      </c>
      <c r="L13" s="35">
        <v>22753</v>
      </c>
      <c r="M13" s="36">
        <v>42250</v>
      </c>
      <c r="N13" s="35" t="s">
        <v>110</v>
      </c>
      <c r="O13" s="34">
        <v>42278</v>
      </c>
      <c r="P13" s="35">
        <v>48</v>
      </c>
      <c r="Q13" s="91">
        <v>65</v>
      </c>
      <c r="R13" s="91">
        <v>60.55</v>
      </c>
      <c r="S13" s="91">
        <v>60.48</v>
      </c>
      <c r="T13" s="91">
        <v>59.24</v>
      </c>
      <c r="U13" s="91">
        <v>59.67</v>
      </c>
    </row>
    <row r="14" spans="1:21" x14ac:dyDescent="0.2">
      <c r="A14" s="48">
        <f t="shared" si="0"/>
        <v>6</v>
      </c>
      <c r="B14" s="29">
        <v>1</v>
      </c>
      <c r="C14" s="29">
        <v>6</v>
      </c>
      <c r="D14" s="30" t="s">
        <v>664</v>
      </c>
      <c r="E14" s="31" t="s">
        <v>125</v>
      </c>
      <c r="F14" s="31" t="s">
        <v>23</v>
      </c>
      <c r="G14" s="31" t="s">
        <v>126</v>
      </c>
      <c r="H14" s="31" t="s">
        <v>127</v>
      </c>
      <c r="I14" s="31" t="s">
        <v>27</v>
      </c>
      <c r="J14" s="31" t="s">
        <v>28</v>
      </c>
      <c r="K14" s="31" t="s">
        <v>128</v>
      </c>
      <c r="L14" s="35">
        <v>22754</v>
      </c>
      <c r="M14" s="36">
        <v>42249</v>
      </c>
      <c r="N14" s="35" t="s">
        <v>110</v>
      </c>
      <c r="O14" s="34">
        <v>42278</v>
      </c>
      <c r="P14" s="35">
        <v>48</v>
      </c>
      <c r="Q14" s="91">
        <v>65.989999999999995</v>
      </c>
      <c r="R14" s="91">
        <v>63.07</v>
      </c>
      <c r="S14" s="91">
        <v>63.57</v>
      </c>
      <c r="T14" s="91">
        <v>62.65</v>
      </c>
      <c r="U14" s="91">
        <v>63.29</v>
      </c>
    </row>
    <row r="15" spans="1:21" x14ac:dyDescent="0.2">
      <c r="A15" s="48">
        <f t="shared" si="0"/>
        <v>7</v>
      </c>
      <c r="B15" s="29">
        <v>1</v>
      </c>
      <c r="C15" s="29">
        <v>7</v>
      </c>
      <c r="D15" s="30" t="s">
        <v>665</v>
      </c>
      <c r="E15" s="31" t="s">
        <v>130</v>
      </c>
      <c r="F15" s="31" t="s">
        <v>37</v>
      </c>
      <c r="G15" s="31" t="s">
        <v>108</v>
      </c>
      <c r="H15" s="31" t="s">
        <v>38</v>
      </c>
      <c r="I15" s="31" t="s">
        <v>38</v>
      </c>
      <c r="J15" s="31" t="s">
        <v>40</v>
      </c>
      <c r="K15" s="31" t="s">
        <v>123</v>
      </c>
      <c r="L15" s="35">
        <v>22756</v>
      </c>
      <c r="M15" s="36">
        <v>42250</v>
      </c>
      <c r="N15" s="35" t="s">
        <v>110</v>
      </c>
      <c r="O15" s="34">
        <v>42278</v>
      </c>
      <c r="P15" s="35">
        <v>48</v>
      </c>
      <c r="Q15" s="91">
        <v>89.31</v>
      </c>
      <c r="R15" s="91">
        <v>84.67</v>
      </c>
      <c r="S15" s="91">
        <v>85.46</v>
      </c>
      <c r="T15" s="91">
        <v>82.97</v>
      </c>
      <c r="U15" s="91">
        <v>81.63</v>
      </c>
    </row>
    <row r="16" spans="1:21" x14ac:dyDescent="0.2">
      <c r="A16" s="48">
        <f t="shared" si="0"/>
        <v>8</v>
      </c>
      <c r="B16" s="29">
        <v>1</v>
      </c>
      <c r="C16" s="29">
        <v>8</v>
      </c>
      <c r="D16" s="30" t="s">
        <v>666</v>
      </c>
      <c r="E16" s="31" t="s">
        <v>132</v>
      </c>
      <c r="F16" s="31" t="s">
        <v>37</v>
      </c>
      <c r="G16" s="31" t="s">
        <v>108</v>
      </c>
      <c r="H16" s="31" t="s">
        <v>38</v>
      </c>
      <c r="I16" s="31" t="s">
        <v>38</v>
      </c>
      <c r="J16" s="31" t="s">
        <v>39</v>
      </c>
      <c r="K16" s="31" t="s">
        <v>120</v>
      </c>
      <c r="L16" s="35">
        <v>22755</v>
      </c>
      <c r="M16" s="36">
        <v>42250</v>
      </c>
      <c r="N16" s="35" t="s">
        <v>110</v>
      </c>
      <c r="O16" s="34">
        <v>42278</v>
      </c>
      <c r="P16" s="35">
        <v>48</v>
      </c>
      <c r="Q16" s="91">
        <v>89.32</v>
      </c>
      <c r="R16" s="91">
        <v>85.6</v>
      </c>
      <c r="S16" s="91">
        <v>86.1</v>
      </c>
      <c r="T16" s="91">
        <v>83.91</v>
      </c>
      <c r="U16" s="91">
        <v>82.62</v>
      </c>
    </row>
    <row r="17" spans="1:21" x14ac:dyDescent="0.2">
      <c r="A17" s="48">
        <f t="shared" si="0"/>
        <v>9</v>
      </c>
      <c r="B17" s="29">
        <v>1</v>
      </c>
      <c r="C17" s="29">
        <v>9</v>
      </c>
      <c r="D17" s="30" t="s">
        <v>667</v>
      </c>
      <c r="E17" s="31" t="s">
        <v>134</v>
      </c>
      <c r="F17" s="31" t="s">
        <v>37</v>
      </c>
      <c r="G17" s="31" t="s">
        <v>108</v>
      </c>
      <c r="H17" s="31" t="s">
        <v>38</v>
      </c>
      <c r="I17" s="31" t="s">
        <v>38</v>
      </c>
      <c r="J17" s="31" t="s">
        <v>6</v>
      </c>
      <c r="K17" s="31" t="s">
        <v>117</v>
      </c>
      <c r="L17" s="35">
        <v>22757</v>
      </c>
      <c r="M17" s="36">
        <v>42250</v>
      </c>
      <c r="N17" s="35" t="s">
        <v>110</v>
      </c>
      <c r="O17" s="34">
        <v>42278</v>
      </c>
      <c r="P17" s="35">
        <v>48</v>
      </c>
      <c r="Q17" s="91">
        <v>88.38</v>
      </c>
      <c r="R17" s="91">
        <v>83.87</v>
      </c>
      <c r="S17" s="91">
        <v>84.65</v>
      </c>
      <c r="T17" s="91">
        <v>82.24</v>
      </c>
      <c r="U17" s="91">
        <v>80.83</v>
      </c>
    </row>
    <row r="18" spans="1:21" x14ac:dyDescent="0.2">
      <c r="A18" s="48">
        <f t="shared" si="0"/>
        <v>10</v>
      </c>
      <c r="B18" s="29">
        <v>1</v>
      </c>
      <c r="C18" s="29">
        <v>10</v>
      </c>
      <c r="D18" s="30" t="s">
        <v>668</v>
      </c>
      <c r="E18" s="31" t="s">
        <v>136</v>
      </c>
      <c r="F18" s="31" t="s">
        <v>23</v>
      </c>
      <c r="G18" s="31" t="s">
        <v>108</v>
      </c>
      <c r="H18" s="31" t="s">
        <v>137</v>
      </c>
      <c r="I18" s="31" t="s">
        <v>24</v>
      </c>
      <c r="J18" s="31" t="s">
        <v>25</v>
      </c>
      <c r="K18" s="31" t="s">
        <v>138</v>
      </c>
      <c r="L18" s="35">
        <v>22758</v>
      </c>
      <c r="M18" s="36">
        <v>42250</v>
      </c>
      <c r="N18" s="35" t="s">
        <v>110</v>
      </c>
      <c r="O18" s="34">
        <v>42278</v>
      </c>
      <c r="P18" s="35">
        <v>48</v>
      </c>
      <c r="Q18" s="91">
        <v>66.91</v>
      </c>
      <c r="R18" s="91">
        <v>64.86</v>
      </c>
      <c r="S18" s="91">
        <v>64.47</v>
      </c>
      <c r="T18" s="91">
        <v>64</v>
      </c>
      <c r="U18" s="91">
        <v>65.16</v>
      </c>
    </row>
    <row r="19" spans="1:21" x14ac:dyDescent="0.2">
      <c r="A19" s="48">
        <f t="shared" si="0"/>
        <v>11</v>
      </c>
      <c r="B19" s="29">
        <v>1</v>
      </c>
      <c r="C19" s="29">
        <v>11</v>
      </c>
      <c r="D19" s="30" t="s">
        <v>669</v>
      </c>
      <c r="E19" s="31" t="s">
        <v>140</v>
      </c>
      <c r="F19" s="31" t="s">
        <v>23</v>
      </c>
      <c r="G19" s="31" t="s">
        <v>108</v>
      </c>
      <c r="H19" s="31" t="s">
        <v>137</v>
      </c>
      <c r="I19" s="31" t="s">
        <v>24</v>
      </c>
      <c r="J19" s="31" t="s">
        <v>26</v>
      </c>
      <c r="K19" s="31" t="s">
        <v>141</v>
      </c>
      <c r="L19" s="35">
        <v>22759</v>
      </c>
      <c r="M19" s="36">
        <v>42250</v>
      </c>
      <c r="N19" s="35" t="s">
        <v>110</v>
      </c>
      <c r="O19" s="34">
        <v>42278</v>
      </c>
      <c r="P19" s="35">
        <v>48</v>
      </c>
      <c r="Q19" s="91">
        <v>66.11</v>
      </c>
      <c r="R19" s="91">
        <v>64.06</v>
      </c>
      <c r="S19" s="91">
        <v>63.68</v>
      </c>
      <c r="T19" s="91">
        <v>63.21</v>
      </c>
      <c r="U19" s="91">
        <v>64.37</v>
      </c>
    </row>
    <row r="20" spans="1:21" x14ac:dyDescent="0.2">
      <c r="A20" s="48">
        <f t="shared" si="0"/>
        <v>12</v>
      </c>
      <c r="B20" s="29">
        <v>1</v>
      </c>
      <c r="C20" s="29">
        <v>12</v>
      </c>
      <c r="D20" s="30" t="s">
        <v>670</v>
      </c>
      <c r="E20" s="31" t="s">
        <v>143</v>
      </c>
      <c r="F20" s="31" t="s">
        <v>18</v>
      </c>
      <c r="G20" s="31" t="s">
        <v>108</v>
      </c>
      <c r="H20" s="31" t="s">
        <v>94</v>
      </c>
      <c r="I20" s="31" t="s">
        <v>144</v>
      </c>
      <c r="J20" s="31" t="s">
        <v>20</v>
      </c>
      <c r="K20" s="31" t="s">
        <v>145</v>
      </c>
      <c r="L20" s="35">
        <v>22760</v>
      </c>
      <c r="M20" s="36">
        <v>42250</v>
      </c>
      <c r="N20" s="35" t="s">
        <v>110</v>
      </c>
      <c r="O20" s="34">
        <v>42278</v>
      </c>
      <c r="P20" s="35">
        <v>48</v>
      </c>
      <c r="Q20" s="91">
        <v>61.13</v>
      </c>
      <c r="R20" s="91">
        <v>61.31</v>
      </c>
      <c r="S20" s="91">
        <v>59.86</v>
      </c>
      <c r="T20" s="91">
        <v>60.06</v>
      </c>
      <c r="U20" s="91">
        <v>60.42</v>
      </c>
    </row>
    <row r="21" spans="1:21" x14ac:dyDescent="0.2">
      <c r="A21" s="48">
        <f t="shared" si="0"/>
        <v>13</v>
      </c>
      <c r="B21" s="29">
        <v>1</v>
      </c>
      <c r="C21" s="29">
        <v>13</v>
      </c>
      <c r="D21" s="30" t="s">
        <v>671</v>
      </c>
      <c r="E21" s="31" t="s">
        <v>147</v>
      </c>
      <c r="F21" s="31" t="s">
        <v>37</v>
      </c>
      <c r="G21" s="31" t="s">
        <v>108</v>
      </c>
      <c r="H21" s="31" t="s">
        <v>41</v>
      </c>
      <c r="I21" s="31" t="s">
        <v>41</v>
      </c>
      <c r="J21" s="31" t="s">
        <v>6</v>
      </c>
      <c r="K21" s="31" t="s">
        <v>128</v>
      </c>
      <c r="L21" s="35">
        <v>22761</v>
      </c>
      <c r="M21" s="36">
        <v>42250</v>
      </c>
      <c r="N21" s="35" t="s">
        <v>110</v>
      </c>
      <c r="O21" s="34">
        <v>42278</v>
      </c>
      <c r="P21" s="35">
        <v>48</v>
      </c>
      <c r="Q21" s="91">
        <v>93.22</v>
      </c>
      <c r="R21" s="91">
        <v>84.54</v>
      </c>
      <c r="S21" s="91">
        <v>85.92</v>
      </c>
      <c r="T21" s="91">
        <v>82.45</v>
      </c>
      <c r="U21" s="91">
        <v>82.04</v>
      </c>
    </row>
    <row r="22" spans="1:21" x14ac:dyDescent="0.2">
      <c r="A22" s="48">
        <f t="shared" si="0"/>
        <v>14</v>
      </c>
      <c r="B22" s="29">
        <v>1</v>
      </c>
      <c r="C22" s="29">
        <v>14</v>
      </c>
      <c r="D22" s="30" t="s">
        <v>672</v>
      </c>
      <c r="E22" s="31" t="s">
        <v>149</v>
      </c>
      <c r="F22" s="31" t="s">
        <v>5</v>
      </c>
      <c r="G22" s="31" t="s">
        <v>108</v>
      </c>
      <c r="H22" s="31" t="s">
        <v>46</v>
      </c>
      <c r="I22" s="31" t="s">
        <v>46</v>
      </c>
      <c r="J22" s="31" t="s">
        <v>6</v>
      </c>
      <c r="K22" s="31" t="s">
        <v>128</v>
      </c>
      <c r="L22" s="35">
        <v>22762</v>
      </c>
      <c r="M22" s="36">
        <v>42250</v>
      </c>
      <c r="N22" s="35" t="s">
        <v>110</v>
      </c>
      <c r="O22" s="34">
        <v>42278</v>
      </c>
      <c r="P22" s="35">
        <v>48</v>
      </c>
      <c r="Q22" s="91">
        <v>74.67</v>
      </c>
      <c r="R22" s="91">
        <v>71.59</v>
      </c>
      <c r="S22" s="91">
        <v>71.2</v>
      </c>
      <c r="T22" s="91">
        <v>70.39</v>
      </c>
      <c r="U22" s="91">
        <v>70.91</v>
      </c>
    </row>
    <row r="23" spans="1:21" x14ac:dyDescent="0.2">
      <c r="A23" s="48">
        <f t="shared" si="0"/>
        <v>15</v>
      </c>
      <c r="B23" s="29">
        <v>1</v>
      </c>
      <c r="C23" s="29">
        <v>15</v>
      </c>
      <c r="D23" s="30" t="s">
        <v>673</v>
      </c>
      <c r="E23" s="31" t="s">
        <v>151</v>
      </c>
      <c r="F23" s="31" t="s">
        <v>18</v>
      </c>
      <c r="G23" s="31" t="s">
        <v>108</v>
      </c>
      <c r="H23" s="31" t="s">
        <v>21</v>
      </c>
      <c r="I23" s="31" t="s">
        <v>152</v>
      </c>
      <c r="J23" s="31" t="s">
        <v>22</v>
      </c>
      <c r="K23" s="31" t="s">
        <v>128</v>
      </c>
      <c r="L23" s="35">
        <v>22763</v>
      </c>
      <c r="M23" s="36">
        <v>42250</v>
      </c>
      <c r="N23" s="35" t="s">
        <v>110</v>
      </c>
      <c r="O23" s="34">
        <v>42278</v>
      </c>
      <c r="P23" s="35">
        <v>48</v>
      </c>
      <c r="Q23" s="91">
        <v>63.44</v>
      </c>
      <c r="R23" s="91">
        <v>60.06</v>
      </c>
      <c r="S23" s="91">
        <v>59.66</v>
      </c>
      <c r="T23" s="91">
        <v>58.72</v>
      </c>
      <c r="U23" s="91">
        <v>59.01</v>
      </c>
    </row>
    <row r="24" spans="1:21" x14ac:dyDescent="0.2">
      <c r="A24" s="48">
        <f t="shared" si="0"/>
        <v>16</v>
      </c>
      <c r="B24" s="29">
        <v>1</v>
      </c>
      <c r="C24" s="29">
        <v>16</v>
      </c>
      <c r="D24" s="30" t="s">
        <v>674</v>
      </c>
      <c r="E24" s="31" t="s">
        <v>154</v>
      </c>
      <c r="F24" s="31" t="s">
        <v>18</v>
      </c>
      <c r="G24" s="31" t="s">
        <v>108</v>
      </c>
      <c r="H24" s="31" t="s">
        <v>62</v>
      </c>
      <c r="I24" s="31" t="s">
        <v>155</v>
      </c>
      <c r="J24" s="31" t="s">
        <v>6</v>
      </c>
      <c r="K24" s="31" t="s">
        <v>128</v>
      </c>
      <c r="L24" s="35">
        <v>22764</v>
      </c>
      <c r="M24" s="36">
        <v>42250</v>
      </c>
      <c r="N24" s="35" t="s">
        <v>110</v>
      </c>
      <c r="O24" s="34">
        <v>42278</v>
      </c>
      <c r="P24" s="35">
        <v>48</v>
      </c>
      <c r="Q24" s="91">
        <v>79.569999999999993</v>
      </c>
      <c r="R24" s="91">
        <v>74.39</v>
      </c>
      <c r="S24" s="91">
        <v>70.209999999999994</v>
      </c>
      <c r="T24" s="91">
        <v>67.94</v>
      </c>
      <c r="U24" s="91">
        <v>65.87</v>
      </c>
    </row>
    <row r="25" spans="1:21" x14ac:dyDescent="0.2">
      <c r="A25" s="48">
        <f t="shared" si="0"/>
        <v>17</v>
      </c>
      <c r="B25" s="29">
        <v>1</v>
      </c>
      <c r="C25" s="29">
        <v>17</v>
      </c>
      <c r="D25" s="30" t="s">
        <v>675</v>
      </c>
      <c r="E25" s="31" t="s">
        <v>157</v>
      </c>
      <c r="F25" s="31" t="s">
        <v>29</v>
      </c>
      <c r="G25" s="31" t="s">
        <v>108</v>
      </c>
      <c r="H25" s="31" t="s">
        <v>33</v>
      </c>
      <c r="I25" s="31" t="s">
        <v>33</v>
      </c>
      <c r="J25" s="31" t="s">
        <v>7</v>
      </c>
      <c r="K25" s="31" t="s">
        <v>123</v>
      </c>
      <c r="L25" s="35">
        <v>22765</v>
      </c>
      <c r="M25" s="36">
        <v>42250</v>
      </c>
      <c r="N25" s="35" t="s">
        <v>110</v>
      </c>
      <c r="O25" s="34">
        <v>42278</v>
      </c>
      <c r="P25" s="35">
        <v>48</v>
      </c>
      <c r="Q25" s="91">
        <v>94.92</v>
      </c>
      <c r="R25" s="91">
        <v>86.21</v>
      </c>
      <c r="S25" s="91">
        <v>88.55</v>
      </c>
      <c r="T25" s="91">
        <v>85.79</v>
      </c>
      <c r="U25" s="91">
        <v>85.76</v>
      </c>
    </row>
    <row r="26" spans="1:21" x14ac:dyDescent="0.2">
      <c r="A26" s="48">
        <f t="shared" si="0"/>
        <v>18</v>
      </c>
      <c r="B26" s="29">
        <v>1</v>
      </c>
      <c r="C26" s="29">
        <v>18</v>
      </c>
      <c r="D26" s="30" t="s">
        <v>676</v>
      </c>
      <c r="E26" s="31" t="s">
        <v>159</v>
      </c>
      <c r="F26" s="31" t="s">
        <v>29</v>
      </c>
      <c r="G26" s="31" t="s">
        <v>108</v>
      </c>
      <c r="H26" s="31" t="s">
        <v>33</v>
      </c>
      <c r="I26" s="31" t="s">
        <v>33</v>
      </c>
      <c r="J26" s="31" t="s">
        <v>8</v>
      </c>
      <c r="K26" s="31" t="s">
        <v>120</v>
      </c>
      <c r="L26" s="35">
        <v>22766</v>
      </c>
      <c r="M26" s="36">
        <v>42250</v>
      </c>
      <c r="N26" s="35" t="s">
        <v>110</v>
      </c>
      <c r="O26" s="34">
        <v>42278</v>
      </c>
      <c r="P26" s="35">
        <v>48</v>
      </c>
      <c r="Q26" s="91">
        <v>97.27</v>
      </c>
      <c r="R26" s="91">
        <v>89.32</v>
      </c>
      <c r="S26" s="91">
        <v>91.59</v>
      </c>
      <c r="T26" s="91">
        <v>89</v>
      </c>
      <c r="U26" s="91">
        <v>89.03</v>
      </c>
    </row>
    <row r="27" spans="1:21" x14ac:dyDescent="0.2">
      <c r="A27" s="48">
        <f t="shared" si="0"/>
        <v>19</v>
      </c>
      <c r="B27" s="29">
        <v>1</v>
      </c>
      <c r="C27" s="29">
        <v>19</v>
      </c>
      <c r="D27" s="30" t="s">
        <v>677</v>
      </c>
      <c r="E27" s="31" t="s">
        <v>161</v>
      </c>
      <c r="F27" s="31" t="s">
        <v>29</v>
      </c>
      <c r="G27" s="31" t="s">
        <v>108</v>
      </c>
      <c r="H27" s="31" t="s">
        <v>33</v>
      </c>
      <c r="I27" s="31" t="s">
        <v>33</v>
      </c>
      <c r="J27" s="31" t="s">
        <v>9</v>
      </c>
      <c r="K27" s="31" t="s">
        <v>117</v>
      </c>
      <c r="L27" s="35">
        <v>22767</v>
      </c>
      <c r="M27" s="36">
        <v>42250</v>
      </c>
      <c r="N27" s="35" t="s">
        <v>110</v>
      </c>
      <c r="O27" s="34">
        <v>42278</v>
      </c>
      <c r="P27" s="35">
        <v>48</v>
      </c>
      <c r="Q27" s="91">
        <v>94.08</v>
      </c>
      <c r="R27" s="91">
        <v>87.64</v>
      </c>
      <c r="S27" s="91">
        <v>89.35</v>
      </c>
      <c r="T27" s="91">
        <v>87.13</v>
      </c>
      <c r="U27" s="91">
        <v>87.04</v>
      </c>
    </row>
    <row r="28" spans="1:21" x14ac:dyDescent="0.2">
      <c r="A28" s="48">
        <f t="shared" si="0"/>
        <v>20</v>
      </c>
      <c r="B28" s="29">
        <v>1</v>
      </c>
      <c r="C28" s="29">
        <v>20</v>
      </c>
      <c r="D28" s="30" t="s">
        <v>678</v>
      </c>
      <c r="E28" s="31" t="s">
        <v>163</v>
      </c>
      <c r="F28" s="31" t="s">
        <v>5</v>
      </c>
      <c r="G28" s="31" t="s">
        <v>108</v>
      </c>
      <c r="H28" s="31" t="s">
        <v>164</v>
      </c>
      <c r="I28" s="31" t="s">
        <v>165</v>
      </c>
      <c r="J28" s="31" t="s">
        <v>7</v>
      </c>
      <c r="K28" s="31" t="s">
        <v>123</v>
      </c>
      <c r="L28" s="35">
        <v>22769</v>
      </c>
      <c r="M28" s="36">
        <v>42250</v>
      </c>
      <c r="N28" s="35" t="s">
        <v>110</v>
      </c>
      <c r="O28" s="34">
        <v>42278</v>
      </c>
      <c r="P28" s="35">
        <v>48</v>
      </c>
      <c r="Q28" s="91">
        <v>75.88</v>
      </c>
      <c r="R28" s="91">
        <v>67.73</v>
      </c>
      <c r="S28" s="91">
        <v>69.45</v>
      </c>
      <c r="T28" s="91">
        <v>66.52</v>
      </c>
      <c r="U28" s="91">
        <v>65.56</v>
      </c>
    </row>
    <row r="29" spans="1:21" x14ac:dyDescent="0.2">
      <c r="A29" s="48">
        <f t="shared" si="0"/>
        <v>21</v>
      </c>
      <c r="B29" s="29">
        <v>1</v>
      </c>
      <c r="C29" s="29">
        <v>21</v>
      </c>
      <c r="D29" s="30" t="s">
        <v>679</v>
      </c>
      <c r="E29" s="31" t="s">
        <v>167</v>
      </c>
      <c r="F29" s="31" t="s">
        <v>5</v>
      </c>
      <c r="G29" s="31" t="s">
        <v>108</v>
      </c>
      <c r="H29" s="31" t="s">
        <v>164</v>
      </c>
      <c r="I29" s="31" t="s">
        <v>165</v>
      </c>
      <c r="J29" s="31" t="s">
        <v>8</v>
      </c>
      <c r="K29" s="31" t="s">
        <v>120</v>
      </c>
      <c r="L29" s="35">
        <v>22768</v>
      </c>
      <c r="M29" s="36">
        <v>42250</v>
      </c>
      <c r="N29" s="35" t="s">
        <v>110</v>
      </c>
      <c r="O29" s="34">
        <v>42278</v>
      </c>
      <c r="P29" s="35">
        <v>48</v>
      </c>
      <c r="Q29" s="91">
        <v>76.72</v>
      </c>
      <c r="R29" s="91">
        <v>68.83</v>
      </c>
      <c r="S29" s="91">
        <v>70.45</v>
      </c>
      <c r="T29" s="91">
        <v>67.63</v>
      </c>
      <c r="U29" s="91">
        <v>66.680000000000007</v>
      </c>
    </row>
    <row r="30" spans="1:21" x14ac:dyDescent="0.2">
      <c r="A30" s="48">
        <f t="shared" si="0"/>
        <v>22</v>
      </c>
      <c r="B30" s="29">
        <v>1</v>
      </c>
      <c r="C30" s="29">
        <v>22</v>
      </c>
      <c r="D30" s="30" t="s">
        <v>680</v>
      </c>
      <c r="E30" s="31" t="s">
        <v>169</v>
      </c>
      <c r="F30" s="31" t="s">
        <v>5</v>
      </c>
      <c r="G30" s="31" t="s">
        <v>108</v>
      </c>
      <c r="H30" s="31" t="s">
        <v>164</v>
      </c>
      <c r="I30" s="31" t="s">
        <v>165</v>
      </c>
      <c r="J30" s="31" t="s">
        <v>9</v>
      </c>
      <c r="K30" s="31" t="s">
        <v>117</v>
      </c>
      <c r="L30" s="35">
        <v>22770</v>
      </c>
      <c r="M30" s="36">
        <v>42250</v>
      </c>
      <c r="N30" s="35" t="s">
        <v>110</v>
      </c>
      <c r="O30" s="34">
        <v>42278</v>
      </c>
      <c r="P30" s="35">
        <v>48</v>
      </c>
      <c r="Q30" s="91">
        <v>74.900000000000006</v>
      </c>
      <c r="R30" s="91">
        <v>68.39</v>
      </c>
      <c r="S30" s="91">
        <v>69.599999999999994</v>
      </c>
      <c r="T30" s="91">
        <v>67.11</v>
      </c>
      <c r="U30" s="91">
        <v>66.14</v>
      </c>
    </row>
    <row r="31" spans="1:21" x14ac:dyDescent="0.2">
      <c r="A31" s="48">
        <f t="shared" si="0"/>
        <v>23</v>
      </c>
      <c r="B31" s="29">
        <v>1</v>
      </c>
      <c r="C31" s="29">
        <v>23</v>
      </c>
      <c r="D31" s="30" t="s">
        <v>681</v>
      </c>
      <c r="E31" s="31" t="s">
        <v>171</v>
      </c>
      <c r="F31" s="31" t="s">
        <v>5</v>
      </c>
      <c r="G31" s="31" t="s">
        <v>108</v>
      </c>
      <c r="H31" s="31" t="s">
        <v>11</v>
      </c>
      <c r="I31" s="31" t="s">
        <v>11</v>
      </c>
      <c r="J31" s="31" t="s">
        <v>6</v>
      </c>
      <c r="K31" s="31" t="s">
        <v>128</v>
      </c>
      <c r="L31" s="35">
        <v>22771</v>
      </c>
      <c r="M31" s="36">
        <v>42250</v>
      </c>
      <c r="N31" s="35" t="s">
        <v>110</v>
      </c>
      <c r="O31" s="34">
        <v>42278</v>
      </c>
      <c r="P31" s="35">
        <v>48</v>
      </c>
      <c r="Q31" s="91">
        <v>81.91</v>
      </c>
      <c r="R31" s="91">
        <v>72.400000000000006</v>
      </c>
      <c r="S31" s="91">
        <v>74.58</v>
      </c>
      <c r="T31" s="91">
        <v>70.97</v>
      </c>
      <c r="U31" s="91">
        <v>70.47</v>
      </c>
    </row>
    <row r="32" spans="1:21" x14ac:dyDescent="0.2">
      <c r="A32" s="48">
        <f t="shared" si="0"/>
        <v>24</v>
      </c>
      <c r="B32" s="29">
        <v>1</v>
      </c>
      <c r="C32" s="29">
        <v>24</v>
      </c>
      <c r="D32" s="30" t="s">
        <v>682</v>
      </c>
      <c r="E32" s="31" t="s">
        <v>173</v>
      </c>
      <c r="F32" s="31" t="s">
        <v>5</v>
      </c>
      <c r="G32" s="31" t="s">
        <v>108</v>
      </c>
      <c r="H32" s="31" t="s">
        <v>10</v>
      </c>
      <c r="I32" s="31" t="s">
        <v>174</v>
      </c>
      <c r="J32" s="31" t="s">
        <v>7</v>
      </c>
      <c r="K32" s="31" t="s">
        <v>123</v>
      </c>
      <c r="L32" s="35">
        <v>22772</v>
      </c>
      <c r="M32" s="36">
        <v>42250</v>
      </c>
      <c r="N32" s="35" t="s">
        <v>110</v>
      </c>
      <c r="O32" s="34">
        <v>42278</v>
      </c>
      <c r="P32" s="35">
        <v>48</v>
      </c>
      <c r="Q32" s="91">
        <v>74.37</v>
      </c>
      <c r="R32" s="91">
        <v>70.41</v>
      </c>
      <c r="S32" s="91">
        <v>71.02</v>
      </c>
      <c r="T32" s="91">
        <v>68.88</v>
      </c>
      <c r="U32" s="91">
        <v>67.650000000000006</v>
      </c>
    </row>
    <row r="33" spans="1:21" x14ac:dyDescent="0.2">
      <c r="A33" s="48">
        <f t="shared" si="0"/>
        <v>25</v>
      </c>
      <c r="B33" s="29">
        <v>1</v>
      </c>
      <c r="C33" s="29">
        <v>25</v>
      </c>
      <c r="D33" s="30" t="s">
        <v>683</v>
      </c>
      <c r="E33" s="31" t="s">
        <v>176</v>
      </c>
      <c r="F33" s="31" t="s">
        <v>5</v>
      </c>
      <c r="G33" s="31" t="s">
        <v>108</v>
      </c>
      <c r="H33" s="31" t="s">
        <v>10</v>
      </c>
      <c r="I33" s="31" t="s">
        <v>174</v>
      </c>
      <c r="J33" s="31" t="s">
        <v>8</v>
      </c>
      <c r="K33" s="31" t="s">
        <v>120</v>
      </c>
      <c r="L33" s="35">
        <v>22773</v>
      </c>
      <c r="M33" s="36">
        <v>42250</v>
      </c>
      <c r="N33" s="35" t="s">
        <v>110</v>
      </c>
      <c r="O33" s="34">
        <v>42278</v>
      </c>
      <c r="P33" s="35">
        <v>48</v>
      </c>
      <c r="Q33" s="91">
        <v>75.040000000000006</v>
      </c>
      <c r="R33" s="91">
        <v>71.64</v>
      </c>
      <c r="S33" s="91">
        <v>72.06</v>
      </c>
      <c r="T33" s="91">
        <v>70.12</v>
      </c>
      <c r="U33" s="91">
        <v>68.88</v>
      </c>
    </row>
    <row r="34" spans="1:21" x14ac:dyDescent="0.2">
      <c r="A34" s="48">
        <f t="shared" si="0"/>
        <v>26</v>
      </c>
      <c r="B34" s="29">
        <v>1</v>
      </c>
      <c r="C34" s="29">
        <v>26</v>
      </c>
      <c r="D34" s="30" t="s">
        <v>684</v>
      </c>
      <c r="E34" s="31" t="s">
        <v>178</v>
      </c>
      <c r="F34" s="31" t="s">
        <v>5</v>
      </c>
      <c r="G34" s="31" t="s">
        <v>108</v>
      </c>
      <c r="H34" s="31" t="s">
        <v>10</v>
      </c>
      <c r="I34" s="31" t="s">
        <v>174</v>
      </c>
      <c r="J34" s="31" t="s">
        <v>9</v>
      </c>
      <c r="K34" s="31" t="s">
        <v>117</v>
      </c>
      <c r="L34" s="35">
        <v>22774</v>
      </c>
      <c r="M34" s="36">
        <v>42250</v>
      </c>
      <c r="N34" s="35" t="s">
        <v>110</v>
      </c>
      <c r="O34" s="34">
        <v>42278</v>
      </c>
      <c r="P34" s="35">
        <v>48</v>
      </c>
      <c r="Q34" s="91">
        <v>71.680000000000007</v>
      </c>
      <c r="R34" s="91">
        <v>71.7</v>
      </c>
      <c r="S34" s="91">
        <v>70.900000000000006</v>
      </c>
      <c r="T34" s="91">
        <v>70.17</v>
      </c>
      <c r="U34" s="91">
        <v>68.930000000000007</v>
      </c>
    </row>
    <row r="35" spans="1:21" x14ac:dyDescent="0.2">
      <c r="A35" s="48">
        <f t="shared" si="0"/>
        <v>27</v>
      </c>
      <c r="B35" s="29">
        <v>1</v>
      </c>
      <c r="C35" s="29">
        <v>27</v>
      </c>
      <c r="D35" s="30" t="s">
        <v>685</v>
      </c>
      <c r="E35" s="31" t="s">
        <v>180</v>
      </c>
      <c r="F35" s="31" t="s">
        <v>5</v>
      </c>
      <c r="G35" s="31" t="s">
        <v>108</v>
      </c>
      <c r="H35" s="31" t="s">
        <v>91</v>
      </c>
      <c r="I35" s="31" t="s">
        <v>181</v>
      </c>
      <c r="J35" s="31" t="s">
        <v>6</v>
      </c>
      <c r="K35" s="31" t="s">
        <v>128</v>
      </c>
      <c r="L35" s="35">
        <v>22775</v>
      </c>
      <c r="M35" s="36">
        <v>42250</v>
      </c>
      <c r="N35" s="35" t="s">
        <v>110</v>
      </c>
      <c r="O35" s="34">
        <v>42278</v>
      </c>
      <c r="P35" s="35">
        <v>48</v>
      </c>
      <c r="Q35" s="91">
        <v>90.04</v>
      </c>
      <c r="R35" s="91">
        <v>85.12</v>
      </c>
      <c r="S35" s="91">
        <v>80.959999999999994</v>
      </c>
      <c r="T35" s="91">
        <v>78.8</v>
      </c>
      <c r="U35" s="91">
        <v>76.78</v>
      </c>
    </row>
    <row r="36" spans="1:21" x14ac:dyDescent="0.2">
      <c r="A36" s="48">
        <f t="shared" si="0"/>
        <v>28</v>
      </c>
      <c r="B36" s="29">
        <v>1</v>
      </c>
      <c r="C36" s="29">
        <v>28</v>
      </c>
      <c r="D36" s="30" t="s">
        <v>686</v>
      </c>
      <c r="E36" s="31" t="s">
        <v>183</v>
      </c>
      <c r="F36" s="31" t="s">
        <v>37</v>
      </c>
      <c r="G36" s="31" t="s">
        <v>108</v>
      </c>
      <c r="H36" s="31" t="s">
        <v>42</v>
      </c>
      <c r="I36" s="31" t="s">
        <v>42</v>
      </c>
      <c r="J36" s="31" t="s">
        <v>6</v>
      </c>
      <c r="K36" s="31" t="s">
        <v>128</v>
      </c>
      <c r="L36" s="35">
        <v>22776</v>
      </c>
      <c r="M36" s="36">
        <v>42250</v>
      </c>
      <c r="N36" s="35" t="s">
        <v>110</v>
      </c>
      <c r="O36" s="34">
        <v>42278</v>
      </c>
      <c r="P36" s="35">
        <v>48</v>
      </c>
      <c r="Q36" s="91">
        <v>87.74</v>
      </c>
      <c r="R36" s="91">
        <v>84.55</v>
      </c>
      <c r="S36" s="91">
        <v>84.67</v>
      </c>
      <c r="T36" s="91">
        <v>82.58</v>
      </c>
      <c r="U36" s="91">
        <v>81.13</v>
      </c>
    </row>
    <row r="37" spans="1:21" x14ac:dyDescent="0.2">
      <c r="A37" s="48">
        <f t="shared" si="0"/>
        <v>29</v>
      </c>
      <c r="B37" s="29">
        <v>1</v>
      </c>
      <c r="C37" s="29">
        <v>29</v>
      </c>
      <c r="D37" s="30" t="s">
        <v>687</v>
      </c>
      <c r="E37" s="31" t="s">
        <v>185</v>
      </c>
      <c r="F37" s="31" t="s">
        <v>37</v>
      </c>
      <c r="G37" s="31" t="s">
        <v>108</v>
      </c>
      <c r="H37" s="31" t="s">
        <v>42</v>
      </c>
      <c r="I37" s="31" t="s">
        <v>42</v>
      </c>
      <c r="J37" s="31" t="s">
        <v>43</v>
      </c>
      <c r="K37" s="31" t="s">
        <v>186</v>
      </c>
      <c r="L37" s="35">
        <v>22777</v>
      </c>
      <c r="M37" s="36">
        <v>42250</v>
      </c>
      <c r="N37" s="35" t="s">
        <v>110</v>
      </c>
      <c r="O37" s="34">
        <v>42278</v>
      </c>
      <c r="P37" s="35">
        <v>48</v>
      </c>
      <c r="Q37" s="91">
        <v>88.01</v>
      </c>
      <c r="R37" s="91">
        <v>82.34</v>
      </c>
      <c r="S37" s="91">
        <v>83.26</v>
      </c>
      <c r="T37" s="91">
        <v>80.36</v>
      </c>
      <c r="U37" s="91">
        <v>78.900000000000006</v>
      </c>
    </row>
    <row r="38" spans="1:21" x14ac:dyDescent="0.2">
      <c r="A38" s="48">
        <f t="shared" si="0"/>
        <v>30</v>
      </c>
      <c r="B38" s="29">
        <v>1</v>
      </c>
      <c r="C38" s="29">
        <v>30</v>
      </c>
      <c r="D38" s="30" t="s">
        <v>688</v>
      </c>
      <c r="E38" s="31" t="s">
        <v>188</v>
      </c>
      <c r="F38" s="31" t="s">
        <v>37</v>
      </c>
      <c r="G38" s="31" t="s">
        <v>108</v>
      </c>
      <c r="H38" s="31" t="s">
        <v>42</v>
      </c>
      <c r="I38" s="31" t="s">
        <v>42</v>
      </c>
      <c r="J38" s="31" t="s">
        <v>44</v>
      </c>
      <c r="K38" s="31" t="s">
        <v>44</v>
      </c>
      <c r="L38" s="35">
        <v>22778</v>
      </c>
      <c r="M38" s="36">
        <v>42250</v>
      </c>
      <c r="N38" s="35" t="s">
        <v>110</v>
      </c>
      <c r="O38" s="34">
        <v>42278</v>
      </c>
      <c r="P38" s="35">
        <v>48</v>
      </c>
      <c r="Q38" s="91">
        <v>85.46</v>
      </c>
      <c r="R38" s="91">
        <v>82.12</v>
      </c>
      <c r="S38" s="91">
        <v>82.27</v>
      </c>
      <c r="T38" s="91">
        <v>80.09</v>
      </c>
      <c r="U38" s="91">
        <v>78.67</v>
      </c>
    </row>
    <row r="39" spans="1:21" x14ac:dyDescent="0.2">
      <c r="A39" s="48">
        <f t="shared" si="0"/>
        <v>31</v>
      </c>
      <c r="B39" s="29">
        <v>1</v>
      </c>
      <c r="C39" s="29">
        <v>31</v>
      </c>
      <c r="D39" s="30" t="s">
        <v>689</v>
      </c>
      <c r="E39" s="31" t="s">
        <v>190</v>
      </c>
      <c r="F39" s="31" t="s">
        <v>37</v>
      </c>
      <c r="G39" s="31" t="s">
        <v>108</v>
      </c>
      <c r="H39" s="31" t="s">
        <v>45</v>
      </c>
      <c r="I39" s="31" t="s">
        <v>45</v>
      </c>
      <c r="J39" s="31" t="s">
        <v>6</v>
      </c>
      <c r="K39" s="31" t="s">
        <v>128</v>
      </c>
      <c r="L39" s="35">
        <v>22779</v>
      </c>
      <c r="M39" s="36">
        <v>42250</v>
      </c>
      <c r="N39" s="35" t="s">
        <v>110</v>
      </c>
      <c r="O39" s="34">
        <v>42278</v>
      </c>
      <c r="P39" s="35">
        <v>48</v>
      </c>
      <c r="Q39" s="91">
        <v>77.430000000000007</v>
      </c>
      <c r="R39" s="91">
        <v>73.16</v>
      </c>
      <c r="S39" s="91">
        <v>73.209999999999994</v>
      </c>
      <c r="T39" s="91">
        <v>72.08</v>
      </c>
      <c r="U39" s="91">
        <v>72.709999999999994</v>
      </c>
    </row>
    <row r="40" spans="1:21" x14ac:dyDescent="0.2">
      <c r="A40" s="48">
        <f t="shared" si="0"/>
        <v>32</v>
      </c>
      <c r="B40" s="29">
        <v>1</v>
      </c>
      <c r="C40" s="29">
        <v>32</v>
      </c>
      <c r="D40" s="30" t="s">
        <v>690</v>
      </c>
      <c r="E40" s="31" t="s">
        <v>192</v>
      </c>
      <c r="F40" s="31" t="s">
        <v>5</v>
      </c>
      <c r="G40" s="31" t="s">
        <v>108</v>
      </c>
      <c r="H40" s="31" t="s">
        <v>12</v>
      </c>
      <c r="I40" s="31" t="s">
        <v>12</v>
      </c>
      <c r="J40" s="31" t="s">
        <v>13</v>
      </c>
      <c r="K40" s="31" t="s">
        <v>117</v>
      </c>
      <c r="L40" s="35">
        <v>22780</v>
      </c>
      <c r="M40" s="36">
        <v>42250</v>
      </c>
      <c r="N40" s="35" t="s">
        <v>110</v>
      </c>
      <c r="O40" s="34">
        <v>42278</v>
      </c>
      <c r="P40" s="35">
        <v>48</v>
      </c>
      <c r="Q40" s="91">
        <v>83.72</v>
      </c>
      <c r="R40" s="91">
        <v>77.239999999999995</v>
      </c>
      <c r="S40" s="91">
        <v>78.63</v>
      </c>
      <c r="T40" s="91">
        <v>75.709999999999994</v>
      </c>
      <c r="U40" s="91">
        <v>74.290000000000006</v>
      </c>
    </row>
    <row r="41" spans="1:21" x14ac:dyDescent="0.2">
      <c r="A41" s="48">
        <f t="shared" si="0"/>
        <v>33</v>
      </c>
      <c r="B41" s="29">
        <v>1</v>
      </c>
      <c r="C41" s="29">
        <v>33</v>
      </c>
      <c r="D41" s="30" t="s">
        <v>691</v>
      </c>
      <c r="E41" s="31" t="s">
        <v>194</v>
      </c>
      <c r="F41" s="31" t="s">
        <v>5</v>
      </c>
      <c r="G41" s="31" t="s">
        <v>108</v>
      </c>
      <c r="H41" s="31" t="s">
        <v>12</v>
      </c>
      <c r="I41" s="31" t="s">
        <v>12</v>
      </c>
      <c r="J41" s="31" t="s">
        <v>14</v>
      </c>
      <c r="K41" s="31" t="s">
        <v>123</v>
      </c>
      <c r="L41" s="35">
        <v>22781</v>
      </c>
      <c r="M41" s="36">
        <v>42250</v>
      </c>
      <c r="N41" s="35" t="s">
        <v>110</v>
      </c>
      <c r="O41" s="34">
        <v>42278</v>
      </c>
      <c r="P41" s="35">
        <v>48</v>
      </c>
      <c r="Q41" s="91">
        <v>86.09</v>
      </c>
      <c r="R41" s="91">
        <v>78.040000000000006</v>
      </c>
      <c r="S41" s="91">
        <v>79.94</v>
      </c>
      <c r="T41" s="91">
        <v>76.569999999999993</v>
      </c>
      <c r="U41" s="91">
        <v>75.209999999999994</v>
      </c>
    </row>
    <row r="42" spans="1:21" x14ac:dyDescent="0.2">
      <c r="A42" s="48">
        <f t="shared" si="0"/>
        <v>34</v>
      </c>
      <c r="B42" s="29">
        <v>1</v>
      </c>
      <c r="C42" s="29">
        <v>34</v>
      </c>
      <c r="D42" s="30" t="s">
        <v>692</v>
      </c>
      <c r="E42" s="31" t="s">
        <v>196</v>
      </c>
      <c r="F42" s="31" t="s">
        <v>29</v>
      </c>
      <c r="G42" s="31" t="s">
        <v>108</v>
      </c>
      <c r="H42" s="31" t="s">
        <v>34</v>
      </c>
      <c r="I42" s="31" t="s">
        <v>34</v>
      </c>
      <c r="J42" s="31" t="s">
        <v>35</v>
      </c>
      <c r="K42" s="31" t="s">
        <v>197</v>
      </c>
      <c r="L42" s="35">
        <v>22782</v>
      </c>
      <c r="M42" s="36">
        <v>42250</v>
      </c>
      <c r="N42" s="35" t="s">
        <v>110</v>
      </c>
      <c r="O42" s="34">
        <v>42278</v>
      </c>
      <c r="P42" s="35">
        <v>48</v>
      </c>
      <c r="Q42" s="91">
        <v>111.69</v>
      </c>
      <c r="R42" s="91">
        <v>103.42</v>
      </c>
      <c r="S42" s="91">
        <v>107.49</v>
      </c>
      <c r="T42" s="91">
        <v>104.6</v>
      </c>
      <c r="U42" s="91">
        <v>104.42</v>
      </c>
    </row>
    <row r="43" spans="1:21" x14ac:dyDescent="0.2">
      <c r="A43" s="48">
        <f t="shared" si="0"/>
        <v>35</v>
      </c>
      <c r="B43" s="29">
        <v>1</v>
      </c>
      <c r="C43" s="29">
        <v>35</v>
      </c>
      <c r="D43" s="30" t="s">
        <v>693</v>
      </c>
      <c r="E43" s="31" t="s">
        <v>199</v>
      </c>
      <c r="F43" s="31" t="s">
        <v>29</v>
      </c>
      <c r="G43" s="31" t="s">
        <v>108</v>
      </c>
      <c r="H43" s="31" t="s">
        <v>34</v>
      </c>
      <c r="I43" s="31" t="s">
        <v>34</v>
      </c>
      <c r="J43" s="31" t="s">
        <v>36</v>
      </c>
      <c r="K43" s="31" t="s">
        <v>200</v>
      </c>
      <c r="L43" s="35">
        <v>22783</v>
      </c>
      <c r="M43" s="36">
        <v>42250</v>
      </c>
      <c r="N43" s="35" t="s">
        <v>110</v>
      </c>
      <c r="O43" s="34">
        <v>42278</v>
      </c>
      <c r="P43" s="35">
        <v>48</v>
      </c>
      <c r="Q43" s="91">
        <v>110.64</v>
      </c>
      <c r="R43" s="91">
        <v>102.04</v>
      </c>
      <c r="S43" s="91">
        <v>106.28</v>
      </c>
      <c r="T43" s="91">
        <v>103.16</v>
      </c>
      <c r="U43" s="91">
        <v>102.94</v>
      </c>
    </row>
    <row r="44" spans="1:21" x14ac:dyDescent="0.2">
      <c r="A44" s="48">
        <f t="shared" si="0"/>
        <v>36</v>
      </c>
      <c r="B44" s="29">
        <v>1</v>
      </c>
      <c r="C44" s="29">
        <v>36</v>
      </c>
      <c r="D44" s="30" t="s">
        <v>694</v>
      </c>
      <c r="E44" s="31" t="s">
        <v>202</v>
      </c>
      <c r="F44" s="31" t="s">
        <v>5</v>
      </c>
      <c r="G44" s="31" t="s">
        <v>108</v>
      </c>
      <c r="H44" s="31" t="s">
        <v>15</v>
      </c>
      <c r="I44" s="31" t="s">
        <v>203</v>
      </c>
      <c r="J44" s="31" t="s">
        <v>16</v>
      </c>
      <c r="K44" s="31" t="s">
        <v>128</v>
      </c>
      <c r="L44" s="35">
        <v>22784</v>
      </c>
      <c r="M44" s="36">
        <v>42250</v>
      </c>
      <c r="N44" s="35" t="s">
        <v>110</v>
      </c>
      <c r="O44" s="34">
        <v>42278</v>
      </c>
      <c r="P44" s="35">
        <v>48</v>
      </c>
      <c r="Q44" s="91">
        <v>76.37</v>
      </c>
      <c r="R44" s="91">
        <v>72.180000000000007</v>
      </c>
      <c r="S44" s="91">
        <v>72.03</v>
      </c>
      <c r="T44" s="91">
        <v>70.89</v>
      </c>
      <c r="U44" s="91">
        <v>71.239999999999995</v>
      </c>
    </row>
    <row r="45" spans="1:21" x14ac:dyDescent="0.2">
      <c r="A45" s="48">
        <f t="shared" si="0"/>
        <v>37</v>
      </c>
      <c r="B45" s="20"/>
      <c r="C45" s="20"/>
      <c r="D45" s="20"/>
      <c r="O45" s="37"/>
      <c r="P45" s="37"/>
    </row>
    <row r="46" spans="1:21" x14ac:dyDescent="0.2">
      <c r="A46" s="48">
        <f t="shared" si="0"/>
        <v>38</v>
      </c>
      <c r="B46" s="38">
        <v>2</v>
      </c>
      <c r="C46" s="38">
        <v>1</v>
      </c>
      <c r="D46" s="38" t="s">
        <v>695</v>
      </c>
      <c r="E46" s="39" t="s">
        <v>107</v>
      </c>
      <c r="F46" s="39" t="s">
        <v>29</v>
      </c>
      <c r="G46" s="39" t="s">
        <v>108</v>
      </c>
      <c r="H46" s="39" t="s">
        <v>30</v>
      </c>
      <c r="I46" s="39" t="s">
        <v>30</v>
      </c>
      <c r="J46" s="39" t="s">
        <v>31</v>
      </c>
      <c r="K46" s="39" t="s">
        <v>109</v>
      </c>
      <c r="L46" s="40">
        <v>22749</v>
      </c>
      <c r="M46" s="41">
        <v>42250</v>
      </c>
      <c r="N46" s="40" t="s">
        <v>110</v>
      </c>
      <c r="O46" s="42">
        <v>42309</v>
      </c>
      <c r="P46" s="40">
        <v>49</v>
      </c>
      <c r="Q46" s="91">
        <v>108.52</v>
      </c>
      <c r="R46" s="91">
        <v>95.4</v>
      </c>
      <c r="S46" s="91">
        <v>99.08</v>
      </c>
      <c r="T46" s="91">
        <v>94.07</v>
      </c>
      <c r="U46" s="91">
        <v>93.53</v>
      </c>
    </row>
    <row r="47" spans="1:21" x14ac:dyDescent="0.2">
      <c r="A47" s="48">
        <f t="shared" si="0"/>
        <v>39</v>
      </c>
      <c r="B47" s="38">
        <v>2</v>
      </c>
      <c r="C47" s="38">
        <v>2</v>
      </c>
      <c r="D47" s="38" t="s">
        <v>696</v>
      </c>
      <c r="E47" s="39" t="s">
        <v>112</v>
      </c>
      <c r="F47" s="39" t="s">
        <v>29</v>
      </c>
      <c r="G47" s="39" t="s">
        <v>108</v>
      </c>
      <c r="H47" s="39" t="s">
        <v>30</v>
      </c>
      <c r="I47" s="39" t="s">
        <v>30</v>
      </c>
      <c r="J47" s="39" t="s">
        <v>32</v>
      </c>
      <c r="K47" s="39" t="s">
        <v>113</v>
      </c>
      <c r="L47" s="40">
        <v>22750</v>
      </c>
      <c r="M47" s="41">
        <v>42250</v>
      </c>
      <c r="N47" s="40" t="s">
        <v>110</v>
      </c>
      <c r="O47" s="42">
        <v>42309</v>
      </c>
      <c r="P47" s="40">
        <v>49</v>
      </c>
      <c r="Q47" s="91">
        <v>105.42</v>
      </c>
      <c r="R47" s="91">
        <v>95.16</v>
      </c>
      <c r="S47" s="91">
        <v>98.12</v>
      </c>
      <c r="T47" s="91">
        <v>93.78</v>
      </c>
      <c r="U47" s="91">
        <v>91.75</v>
      </c>
    </row>
    <row r="48" spans="1:21" x14ac:dyDescent="0.2">
      <c r="A48" s="48">
        <f t="shared" si="0"/>
        <v>40</v>
      </c>
      <c r="B48" s="38">
        <v>2</v>
      </c>
      <c r="C48" s="38">
        <v>3</v>
      </c>
      <c r="D48" s="38" t="s">
        <v>697</v>
      </c>
      <c r="E48" s="39" t="s">
        <v>115</v>
      </c>
      <c r="F48" s="39" t="s">
        <v>18</v>
      </c>
      <c r="G48" s="39" t="s">
        <v>108</v>
      </c>
      <c r="H48" s="39" t="s">
        <v>61</v>
      </c>
      <c r="I48" s="39" t="s">
        <v>116</v>
      </c>
      <c r="J48" s="39" t="s">
        <v>13</v>
      </c>
      <c r="K48" s="39" t="s">
        <v>117</v>
      </c>
      <c r="L48" s="40">
        <v>22751</v>
      </c>
      <c r="M48" s="41">
        <v>42250</v>
      </c>
      <c r="N48" s="40" t="s">
        <v>110</v>
      </c>
      <c r="O48" s="42">
        <v>42309</v>
      </c>
      <c r="P48" s="40">
        <v>49</v>
      </c>
      <c r="Q48" s="91">
        <v>63.81</v>
      </c>
      <c r="R48" s="91">
        <v>59.36</v>
      </c>
      <c r="S48" s="91">
        <v>59.41</v>
      </c>
      <c r="T48" s="91">
        <v>58.38</v>
      </c>
      <c r="U48" s="91">
        <v>59.04</v>
      </c>
    </row>
    <row r="49" spans="1:21" x14ac:dyDescent="0.2">
      <c r="A49" s="48">
        <f t="shared" si="0"/>
        <v>41</v>
      </c>
      <c r="B49" s="38">
        <v>2</v>
      </c>
      <c r="C49" s="38">
        <v>4</v>
      </c>
      <c r="D49" s="38" t="s">
        <v>698</v>
      </c>
      <c r="E49" s="39" t="s">
        <v>119</v>
      </c>
      <c r="F49" s="39" t="s">
        <v>18</v>
      </c>
      <c r="G49" s="39" t="s">
        <v>108</v>
      </c>
      <c r="H49" s="39" t="s">
        <v>61</v>
      </c>
      <c r="I49" s="39" t="s">
        <v>116</v>
      </c>
      <c r="J49" s="39" t="s">
        <v>19</v>
      </c>
      <c r="K49" s="39" t="s">
        <v>120</v>
      </c>
      <c r="L49" s="40">
        <v>22752</v>
      </c>
      <c r="M49" s="41">
        <v>42250</v>
      </c>
      <c r="N49" s="40" t="s">
        <v>110</v>
      </c>
      <c r="O49" s="42">
        <v>42309</v>
      </c>
      <c r="P49" s="40">
        <v>49</v>
      </c>
      <c r="Q49" s="91">
        <v>65.37</v>
      </c>
      <c r="R49" s="91">
        <v>61.09</v>
      </c>
      <c r="S49" s="91">
        <v>61.02</v>
      </c>
      <c r="T49" s="91">
        <v>60.06</v>
      </c>
      <c r="U49" s="91">
        <v>60.71</v>
      </c>
    </row>
    <row r="50" spans="1:21" x14ac:dyDescent="0.2">
      <c r="A50" s="48">
        <f t="shared" si="0"/>
        <v>42</v>
      </c>
      <c r="B50" s="38">
        <v>2</v>
      </c>
      <c r="C50" s="38">
        <v>5</v>
      </c>
      <c r="D50" s="38" t="s">
        <v>699</v>
      </c>
      <c r="E50" s="39" t="s">
        <v>122</v>
      </c>
      <c r="F50" s="39" t="s">
        <v>18</v>
      </c>
      <c r="G50" s="39" t="s">
        <v>108</v>
      </c>
      <c r="H50" s="39" t="s">
        <v>61</v>
      </c>
      <c r="I50" s="39" t="s">
        <v>116</v>
      </c>
      <c r="J50" s="39" t="s">
        <v>14</v>
      </c>
      <c r="K50" s="39" t="s">
        <v>123</v>
      </c>
      <c r="L50" s="40">
        <v>22753</v>
      </c>
      <c r="M50" s="41">
        <v>42250</v>
      </c>
      <c r="N50" s="40" t="s">
        <v>110</v>
      </c>
      <c r="O50" s="42">
        <v>42309</v>
      </c>
      <c r="P50" s="40">
        <v>49</v>
      </c>
      <c r="Q50" s="91">
        <v>65.59</v>
      </c>
      <c r="R50" s="91">
        <v>60.13</v>
      </c>
      <c r="S50" s="91">
        <v>60.34</v>
      </c>
      <c r="T50" s="91">
        <v>59.08</v>
      </c>
      <c r="U50" s="91">
        <v>59.7</v>
      </c>
    </row>
    <row r="51" spans="1:21" x14ac:dyDescent="0.2">
      <c r="A51" s="48">
        <f t="shared" si="0"/>
        <v>43</v>
      </c>
      <c r="B51" s="38">
        <v>2</v>
      </c>
      <c r="C51" s="38">
        <v>6</v>
      </c>
      <c r="D51" s="38" t="s">
        <v>700</v>
      </c>
      <c r="E51" s="39" t="s">
        <v>125</v>
      </c>
      <c r="F51" s="39" t="s">
        <v>23</v>
      </c>
      <c r="G51" s="39" t="s">
        <v>126</v>
      </c>
      <c r="H51" s="39" t="s">
        <v>127</v>
      </c>
      <c r="I51" s="39" t="s">
        <v>27</v>
      </c>
      <c r="J51" s="39" t="s">
        <v>28</v>
      </c>
      <c r="K51" s="39" t="s">
        <v>128</v>
      </c>
      <c r="L51" s="40">
        <v>22754</v>
      </c>
      <c r="M51" s="41">
        <v>42249</v>
      </c>
      <c r="N51" s="40" t="s">
        <v>110</v>
      </c>
      <c r="O51" s="42">
        <v>42309</v>
      </c>
      <c r="P51" s="40">
        <v>49</v>
      </c>
      <c r="Q51" s="91">
        <v>66.510000000000005</v>
      </c>
      <c r="R51" s="91">
        <v>62.86</v>
      </c>
      <c r="S51" s="91">
        <v>63.52</v>
      </c>
      <c r="T51" s="91">
        <v>62.57</v>
      </c>
      <c r="U51" s="91">
        <v>63.31</v>
      </c>
    </row>
    <row r="52" spans="1:21" x14ac:dyDescent="0.2">
      <c r="A52" s="48">
        <f t="shared" si="0"/>
        <v>44</v>
      </c>
      <c r="B52" s="38">
        <v>2</v>
      </c>
      <c r="C52" s="38">
        <v>7</v>
      </c>
      <c r="D52" s="38" t="s">
        <v>701</v>
      </c>
      <c r="E52" s="39" t="s">
        <v>130</v>
      </c>
      <c r="F52" s="39" t="s">
        <v>37</v>
      </c>
      <c r="G52" s="39" t="s">
        <v>108</v>
      </c>
      <c r="H52" s="39" t="s">
        <v>38</v>
      </c>
      <c r="I52" s="39" t="s">
        <v>38</v>
      </c>
      <c r="J52" s="39" t="s">
        <v>40</v>
      </c>
      <c r="K52" s="39" t="s">
        <v>123</v>
      </c>
      <c r="L52" s="40">
        <v>22756</v>
      </c>
      <c r="M52" s="41">
        <v>42250</v>
      </c>
      <c r="N52" s="40" t="s">
        <v>110</v>
      </c>
      <c r="O52" s="42">
        <v>42309</v>
      </c>
      <c r="P52" s="40">
        <v>49</v>
      </c>
      <c r="Q52" s="91">
        <v>90.9</v>
      </c>
      <c r="R52" s="91">
        <v>84.57</v>
      </c>
      <c r="S52" s="91">
        <v>85.79</v>
      </c>
      <c r="T52" s="91">
        <v>82.67</v>
      </c>
      <c r="U52" s="91">
        <v>81.55</v>
      </c>
    </row>
    <row r="53" spans="1:21" x14ac:dyDescent="0.2">
      <c r="A53" s="48">
        <f t="shared" si="0"/>
        <v>45</v>
      </c>
      <c r="B53" s="38">
        <v>2</v>
      </c>
      <c r="C53" s="38">
        <v>8</v>
      </c>
      <c r="D53" s="38" t="s">
        <v>702</v>
      </c>
      <c r="E53" s="39" t="s">
        <v>132</v>
      </c>
      <c r="F53" s="39" t="s">
        <v>37</v>
      </c>
      <c r="G53" s="39" t="s">
        <v>108</v>
      </c>
      <c r="H53" s="39" t="s">
        <v>38</v>
      </c>
      <c r="I53" s="39" t="s">
        <v>38</v>
      </c>
      <c r="J53" s="39" t="s">
        <v>39</v>
      </c>
      <c r="K53" s="39" t="s">
        <v>120</v>
      </c>
      <c r="L53" s="40">
        <v>22755</v>
      </c>
      <c r="M53" s="41">
        <v>42250</v>
      </c>
      <c r="N53" s="40" t="s">
        <v>110</v>
      </c>
      <c r="O53" s="42">
        <v>42309</v>
      </c>
      <c r="P53" s="40">
        <v>49</v>
      </c>
      <c r="Q53" s="91">
        <v>90.11</v>
      </c>
      <c r="R53" s="91">
        <v>85.53</v>
      </c>
      <c r="S53" s="91">
        <v>86.22</v>
      </c>
      <c r="T53" s="91">
        <v>83.63</v>
      </c>
      <c r="U53" s="91">
        <v>82.56</v>
      </c>
    </row>
    <row r="54" spans="1:21" x14ac:dyDescent="0.2">
      <c r="A54" s="48">
        <f t="shared" si="0"/>
        <v>46</v>
      </c>
      <c r="B54" s="38">
        <v>2</v>
      </c>
      <c r="C54" s="38">
        <v>9</v>
      </c>
      <c r="D54" s="38" t="s">
        <v>703</v>
      </c>
      <c r="E54" s="39" t="s">
        <v>134</v>
      </c>
      <c r="F54" s="39" t="s">
        <v>37</v>
      </c>
      <c r="G54" s="39" t="s">
        <v>108</v>
      </c>
      <c r="H54" s="39" t="s">
        <v>38</v>
      </c>
      <c r="I54" s="39" t="s">
        <v>38</v>
      </c>
      <c r="J54" s="39" t="s">
        <v>6</v>
      </c>
      <c r="K54" s="39" t="s">
        <v>117</v>
      </c>
      <c r="L54" s="40">
        <v>22757</v>
      </c>
      <c r="M54" s="41">
        <v>42250</v>
      </c>
      <c r="N54" s="40" t="s">
        <v>110</v>
      </c>
      <c r="O54" s="42">
        <v>42309</v>
      </c>
      <c r="P54" s="40">
        <v>49</v>
      </c>
      <c r="Q54" s="91">
        <v>89.79</v>
      </c>
      <c r="R54" s="91">
        <v>83.76</v>
      </c>
      <c r="S54" s="91">
        <v>84.93</v>
      </c>
      <c r="T54" s="91">
        <v>81.93</v>
      </c>
      <c r="U54" s="91">
        <v>80.75</v>
      </c>
    </row>
    <row r="55" spans="1:21" x14ac:dyDescent="0.2">
      <c r="A55" s="48">
        <f t="shared" si="0"/>
        <v>47</v>
      </c>
      <c r="B55" s="38">
        <v>2</v>
      </c>
      <c r="C55" s="38">
        <v>10</v>
      </c>
      <c r="D55" s="38" t="s">
        <v>704</v>
      </c>
      <c r="E55" s="39" t="s">
        <v>136</v>
      </c>
      <c r="F55" s="39" t="s">
        <v>23</v>
      </c>
      <c r="G55" s="39" t="s">
        <v>108</v>
      </c>
      <c r="H55" s="39" t="s">
        <v>137</v>
      </c>
      <c r="I55" s="39" t="s">
        <v>24</v>
      </c>
      <c r="J55" s="39" t="s">
        <v>25</v>
      </c>
      <c r="K55" s="39" t="s">
        <v>138</v>
      </c>
      <c r="L55" s="40">
        <v>22758</v>
      </c>
      <c r="M55" s="41">
        <v>42250</v>
      </c>
      <c r="N55" s="40" t="s">
        <v>110</v>
      </c>
      <c r="O55" s="42">
        <v>42309</v>
      </c>
      <c r="P55" s="40">
        <v>49</v>
      </c>
      <c r="Q55" s="91">
        <v>67.83</v>
      </c>
      <c r="R55" s="91">
        <v>64.56</v>
      </c>
      <c r="S55" s="91">
        <v>64.53</v>
      </c>
      <c r="T55" s="91">
        <v>63.92</v>
      </c>
      <c r="U55" s="91">
        <v>65.38</v>
      </c>
    </row>
    <row r="56" spans="1:21" x14ac:dyDescent="0.2">
      <c r="A56" s="48">
        <f t="shared" si="0"/>
        <v>48</v>
      </c>
      <c r="B56" s="38">
        <v>2</v>
      </c>
      <c r="C56" s="38">
        <v>11</v>
      </c>
      <c r="D56" s="38" t="s">
        <v>705</v>
      </c>
      <c r="E56" s="39" t="s">
        <v>140</v>
      </c>
      <c r="F56" s="39" t="s">
        <v>23</v>
      </c>
      <c r="G56" s="39" t="s">
        <v>108</v>
      </c>
      <c r="H56" s="39" t="s">
        <v>137</v>
      </c>
      <c r="I56" s="39" t="s">
        <v>24</v>
      </c>
      <c r="J56" s="39" t="s">
        <v>26</v>
      </c>
      <c r="K56" s="39" t="s">
        <v>141</v>
      </c>
      <c r="L56" s="40">
        <v>22759</v>
      </c>
      <c r="M56" s="41">
        <v>42250</v>
      </c>
      <c r="N56" s="40" t="s">
        <v>110</v>
      </c>
      <c r="O56" s="42">
        <v>42309</v>
      </c>
      <c r="P56" s="40">
        <v>49</v>
      </c>
      <c r="Q56" s="91">
        <v>67.11</v>
      </c>
      <c r="R56" s="91">
        <v>63.77</v>
      </c>
      <c r="S56" s="91">
        <v>63.76</v>
      </c>
      <c r="T56" s="91">
        <v>63.13</v>
      </c>
      <c r="U56" s="91">
        <v>64.58</v>
      </c>
    </row>
    <row r="57" spans="1:21" x14ac:dyDescent="0.2">
      <c r="A57" s="48">
        <f t="shared" si="0"/>
        <v>49</v>
      </c>
      <c r="B57" s="38">
        <v>2</v>
      </c>
      <c r="C57" s="38">
        <v>12</v>
      </c>
      <c r="D57" s="38" t="s">
        <v>706</v>
      </c>
      <c r="E57" s="39" t="s">
        <v>143</v>
      </c>
      <c r="F57" s="39" t="s">
        <v>18</v>
      </c>
      <c r="G57" s="39" t="s">
        <v>108</v>
      </c>
      <c r="H57" s="39" t="s">
        <v>94</v>
      </c>
      <c r="I57" s="39" t="s">
        <v>144</v>
      </c>
      <c r="J57" s="39" t="s">
        <v>20</v>
      </c>
      <c r="K57" s="39" t="s">
        <v>145</v>
      </c>
      <c r="L57" s="40">
        <v>22760</v>
      </c>
      <c r="M57" s="41">
        <v>42250</v>
      </c>
      <c r="N57" s="40" t="s">
        <v>110</v>
      </c>
      <c r="O57" s="42">
        <v>42309</v>
      </c>
      <c r="P57" s="40">
        <v>49</v>
      </c>
      <c r="Q57" s="91">
        <v>62.46</v>
      </c>
      <c r="R57" s="91">
        <v>60.85</v>
      </c>
      <c r="S57" s="91">
        <v>60.07</v>
      </c>
      <c r="T57" s="91">
        <v>59.82</v>
      </c>
      <c r="U57" s="91">
        <v>60.36</v>
      </c>
    </row>
    <row r="58" spans="1:21" x14ac:dyDescent="0.2">
      <c r="A58" s="48">
        <f t="shared" si="0"/>
        <v>50</v>
      </c>
      <c r="B58" s="38">
        <v>2</v>
      </c>
      <c r="C58" s="38">
        <v>13</v>
      </c>
      <c r="D58" s="38" t="s">
        <v>707</v>
      </c>
      <c r="E58" s="39" t="s">
        <v>147</v>
      </c>
      <c r="F58" s="39" t="s">
        <v>37</v>
      </c>
      <c r="G58" s="39" t="s">
        <v>108</v>
      </c>
      <c r="H58" s="39" t="s">
        <v>41</v>
      </c>
      <c r="I58" s="39" t="s">
        <v>41</v>
      </c>
      <c r="J58" s="39" t="s">
        <v>6</v>
      </c>
      <c r="K58" s="39" t="s">
        <v>128</v>
      </c>
      <c r="L58" s="40">
        <v>22761</v>
      </c>
      <c r="M58" s="41">
        <v>42250</v>
      </c>
      <c r="N58" s="40" t="s">
        <v>110</v>
      </c>
      <c r="O58" s="42">
        <v>42309</v>
      </c>
      <c r="P58" s="40">
        <v>49</v>
      </c>
      <c r="Q58" s="91">
        <v>93.58</v>
      </c>
      <c r="R58" s="91">
        <v>84.15</v>
      </c>
      <c r="S58" s="91">
        <v>85.87</v>
      </c>
      <c r="T58" s="91">
        <v>82.04</v>
      </c>
      <c r="U58" s="91">
        <v>82.13</v>
      </c>
    </row>
    <row r="59" spans="1:21" x14ac:dyDescent="0.2">
      <c r="A59" s="48">
        <f t="shared" si="0"/>
        <v>51</v>
      </c>
      <c r="B59" s="38">
        <v>2</v>
      </c>
      <c r="C59" s="38">
        <v>14</v>
      </c>
      <c r="D59" s="38" t="s">
        <v>708</v>
      </c>
      <c r="E59" s="39" t="s">
        <v>149</v>
      </c>
      <c r="F59" s="39" t="s">
        <v>5</v>
      </c>
      <c r="G59" s="39" t="s">
        <v>108</v>
      </c>
      <c r="H59" s="39" t="s">
        <v>46</v>
      </c>
      <c r="I59" s="39" t="s">
        <v>46</v>
      </c>
      <c r="J59" s="39" t="s">
        <v>6</v>
      </c>
      <c r="K59" s="39" t="s">
        <v>128</v>
      </c>
      <c r="L59" s="40">
        <v>22762</v>
      </c>
      <c r="M59" s="41">
        <v>42250</v>
      </c>
      <c r="N59" s="40" t="s">
        <v>110</v>
      </c>
      <c r="O59" s="42">
        <v>42309</v>
      </c>
      <c r="P59" s="40">
        <v>49</v>
      </c>
      <c r="Q59" s="91">
        <v>75.22</v>
      </c>
      <c r="R59" s="91">
        <v>71.209999999999994</v>
      </c>
      <c r="S59" s="91">
        <v>71.099999999999994</v>
      </c>
      <c r="T59" s="91">
        <v>70.25</v>
      </c>
      <c r="U59" s="91">
        <v>70.95</v>
      </c>
    </row>
    <row r="60" spans="1:21" x14ac:dyDescent="0.2">
      <c r="A60" s="48">
        <f t="shared" si="0"/>
        <v>52</v>
      </c>
      <c r="B60" s="38">
        <v>2</v>
      </c>
      <c r="C60" s="38">
        <v>15</v>
      </c>
      <c r="D60" s="38" t="s">
        <v>709</v>
      </c>
      <c r="E60" s="39" t="s">
        <v>151</v>
      </c>
      <c r="F60" s="39" t="s">
        <v>18</v>
      </c>
      <c r="G60" s="39" t="s">
        <v>108</v>
      </c>
      <c r="H60" s="39" t="s">
        <v>21</v>
      </c>
      <c r="I60" s="39" t="s">
        <v>152</v>
      </c>
      <c r="J60" s="39" t="s">
        <v>22</v>
      </c>
      <c r="K60" s="39" t="s">
        <v>128</v>
      </c>
      <c r="L60" s="40">
        <v>22763</v>
      </c>
      <c r="M60" s="41">
        <v>42250</v>
      </c>
      <c r="N60" s="40" t="s">
        <v>110</v>
      </c>
      <c r="O60" s="42">
        <v>42309</v>
      </c>
      <c r="P60" s="40">
        <v>49</v>
      </c>
      <c r="Q60" s="91">
        <v>63.71</v>
      </c>
      <c r="R60" s="91">
        <v>59.65</v>
      </c>
      <c r="S60" s="91">
        <v>59.46</v>
      </c>
      <c r="T60" s="91">
        <v>58.55</v>
      </c>
      <c r="U60" s="91">
        <v>59.02</v>
      </c>
    </row>
    <row r="61" spans="1:21" x14ac:dyDescent="0.2">
      <c r="A61" s="48">
        <f t="shared" si="0"/>
        <v>53</v>
      </c>
      <c r="B61" s="38">
        <v>2</v>
      </c>
      <c r="C61" s="38">
        <v>16</v>
      </c>
      <c r="D61" s="38" t="s">
        <v>710</v>
      </c>
      <c r="E61" s="39" t="s">
        <v>154</v>
      </c>
      <c r="F61" s="39" t="s">
        <v>18</v>
      </c>
      <c r="G61" s="39" t="s">
        <v>108</v>
      </c>
      <c r="H61" s="39" t="s">
        <v>62</v>
      </c>
      <c r="I61" s="39" t="s">
        <v>155</v>
      </c>
      <c r="J61" s="39" t="s">
        <v>6</v>
      </c>
      <c r="K61" s="39" t="s">
        <v>128</v>
      </c>
      <c r="L61" s="40">
        <v>22764</v>
      </c>
      <c r="M61" s="41">
        <v>42250</v>
      </c>
      <c r="N61" s="40" t="s">
        <v>110</v>
      </c>
      <c r="O61" s="42">
        <v>42309</v>
      </c>
      <c r="P61" s="40">
        <v>49</v>
      </c>
      <c r="Q61" s="91">
        <v>80.02</v>
      </c>
      <c r="R61" s="91">
        <v>72.83</v>
      </c>
      <c r="S61" s="91">
        <v>69.36</v>
      </c>
      <c r="T61" s="91">
        <v>67.06</v>
      </c>
      <c r="U61" s="91">
        <v>65.39</v>
      </c>
    </row>
    <row r="62" spans="1:21" x14ac:dyDescent="0.2">
      <c r="A62" s="48">
        <f t="shared" si="0"/>
        <v>54</v>
      </c>
      <c r="B62" s="38">
        <v>2</v>
      </c>
      <c r="C62" s="38">
        <v>17</v>
      </c>
      <c r="D62" s="38" t="s">
        <v>711</v>
      </c>
      <c r="E62" s="39" t="s">
        <v>157</v>
      </c>
      <c r="F62" s="39" t="s">
        <v>29</v>
      </c>
      <c r="G62" s="39" t="s">
        <v>108</v>
      </c>
      <c r="H62" s="39" t="s">
        <v>33</v>
      </c>
      <c r="I62" s="39" t="s">
        <v>33</v>
      </c>
      <c r="J62" s="39" t="s">
        <v>7</v>
      </c>
      <c r="K62" s="39" t="s">
        <v>123</v>
      </c>
      <c r="L62" s="40">
        <v>22765</v>
      </c>
      <c r="M62" s="41">
        <v>42250</v>
      </c>
      <c r="N62" s="40" t="s">
        <v>110</v>
      </c>
      <c r="O62" s="42">
        <v>42309</v>
      </c>
      <c r="P62" s="40">
        <v>49</v>
      </c>
      <c r="Q62" s="91">
        <v>95.98</v>
      </c>
      <c r="R62" s="91">
        <v>86.09</v>
      </c>
      <c r="S62" s="91">
        <v>89.02</v>
      </c>
      <c r="T62" s="91">
        <v>85.64</v>
      </c>
      <c r="U62" s="91">
        <v>86.02</v>
      </c>
    </row>
    <row r="63" spans="1:21" x14ac:dyDescent="0.2">
      <c r="A63" s="48">
        <f t="shared" si="0"/>
        <v>55</v>
      </c>
      <c r="B63" s="38">
        <v>2</v>
      </c>
      <c r="C63" s="38">
        <v>18</v>
      </c>
      <c r="D63" s="38" t="s">
        <v>712</v>
      </c>
      <c r="E63" s="39" t="s">
        <v>159</v>
      </c>
      <c r="F63" s="39" t="s">
        <v>29</v>
      </c>
      <c r="G63" s="39" t="s">
        <v>108</v>
      </c>
      <c r="H63" s="39" t="s">
        <v>33</v>
      </c>
      <c r="I63" s="39" t="s">
        <v>33</v>
      </c>
      <c r="J63" s="39" t="s">
        <v>8</v>
      </c>
      <c r="K63" s="39" t="s">
        <v>120</v>
      </c>
      <c r="L63" s="40">
        <v>22766</v>
      </c>
      <c r="M63" s="41">
        <v>42250</v>
      </c>
      <c r="N63" s="40" t="s">
        <v>110</v>
      </c>
      <c r="O63" s="42">
        <v>42309</v>
      </c>
      <c r="P63" s="40">
        <v>49</v>
      </c>
      <c r="Q63" s="91">
        <v>94.63</v>
      </c>
      <c r="R63" s="91">
        <v>89.26</v>
      </c>
      <c r="S63" s="91">
        <v>91.03</v>
      </c>
      <c r="T63" s="91">
        <v>88.86</v>
      </c>
      <c r="U63" s="91">
        <v>89.29</v>
      </c>
    </row>
    <row r="64" spans="1:21" x14ac:dyDescent="0.2">
      <c r="A64" s="48">
        <f t="shared" si="0"/>
        <v>56</v>
      </c>
      <c r="B64" s="38">
        <v>2</v>
      </c>
      <c r="C64" s="38">
        <v>19</v>
      </c>
      <c r="D64" s="38" t="s">
        <v>713</v>
      </c>
      <c r="E64" s="39" t="s">
        <v>161</v>
      </c>
      <c r="F64" s="39" t="s">
        <v>29</v>
      </c>
      <c r="G64" s="39" t="s">
        <v>108</v>
      </c>
      <c r="H64" s="39" t="s">
        <v>33</v>
      </c>
      <c r="I64" s="39" t="s">
        <v>33</v>
      </c>
      <c r="J64" s="39" t="s">
        <v>9</v>
      </c>
      <c r="K64" s="39" t="s">
        <v>117</v>
      </c>
      <c r="L64" s="40">
        <v>22767</v>
      </c>
      <c r="M64" s="41">
        <v>42250</v>
      </c>
      <c r="N64" s="40" t="s">
        <v>110</v>
      </c>
      <c r="O64" s="42">
        <v>42309</v>
      </c>
      <c r="P64" s="40">
        <v>49</v>
      </c>
      <c r="Q64" s="91">
        <v>94.21</v>
      </c>
      <c r="R64" s="91">
        <v>87.51</v>
      </c>
      <c r="S64" s="91">
        <v>89.56</v>
      </c>
      <c r="T64" s="91">
        <v>86.97</v>
      </c>
      <c r="U64" s="91">
        <v>87.29</v>
      </c>
    </row>
    <row r="65" spans="1:21" x14ac:dyDescent="0.2">
      <c r="A65" s="48">
        <f t="shared" si="0"/>
        <v>57</v>
      </c>
      <c r="B65" s="38">
        <v>2</v>
      </c>
      <c r="C65" s="38">
        <v>20</v>
      </c>
      <c r="D65" s="38" t="s">
        <v>714</v>
      </c>
      <c r="E65" s="39" t="s">
        <v>163</v>
      </c>
      <c r="F65" s="39" t="s">
        <v>5</v>
      </c>
      <c r="G65" s="39" t="s">
        <v>108</v>
      </c>
      <c r="H65" s="39" t="s">
        <v>164</v>
      </c>
      <c r="I65" s="39" t="s">
        <v>165</v>
      </c>
      <c r="J65" s="39" t="s">
        <v>7</v>
      </c>
      <c r="K65" s="39" t="s">
        <v>123</v>
      </c>
      <c r="L65" s="40">
        <v>22769</v>
      </c>
      <c r="M65" s="41">
        <v>42250</v>
      </c>
      <c r="N65" s="40" t="s">
        <v>110</v>
      </c>
      <c r="O65" s="42">
        <v>42309</v>
      </c>
      <c r="P65" s="40">
        <v>49</v>
      </c>
      <c r="Q65" s="91">
        <v>76.2</v>
      </c>
      <c r="R65" s="91">
        <v>67.34</v>
      </c>
      <c r="S65" s="91">
        <v>69.55</v>
      </c>
      <c r="T65" s="91">
        <v>66.13</v>
      </c>
      <c r="U65" s="91">
        <v>65.45</v>
      </c>
    </row>
    <row r="66" spans="1:21" x14ac:dyDescent="0.2">
      <c r="A66" s="48">
        <f t="shared" si="0"/>
        <v>58</v>
      </c>
      <c r="B66" s="38">
        <v>2</v>
      </c>
      <c r="C66" s="38">
        <v>21</v>
      </c>
      <c r="D66" s="38" t="s">
        <v>715</v>
      </c>
      <c r="E66" s="39" t="s">
        <v>167</v>
      </c>
      <c r="F66" s="39" t="s">
        <v>5</v>
      </c>
      <c r="G66" s="39" t="s">
        <v>108</v>
      </c>
      <c r="H66" s="39" t="s">
        <v>164</v>
      </c>
      <c r="I66" s="39" t="s">
        <v>165</v>
      </c>
      <c r="J66" s="39" t="s">
        <v>8</v>
      </c>
      <c r="K66" s="39" t="s">
        <v>120</v>
      </c>
      <c r="L66" s="40">
        <v>22768</v>
      </c>
      <c r="M66" s="41">
        <v>42250</v>
      </c>
      <c r="N66" s="40" t="s">
        <v>110</v>
      </c>
      <c r="O66" s="42">
        <v>42309</v>
      </c>
      <c r="P66" s="40">
        <v>49</v>
      </c>
      <c r="Q66" s="91">
        <v>76.87</v>
      </c>
      <c r="R66" s="91">
        <v>68.459999999999994</v>
      </c>
      <c r="S66" s="91">
        <v>70.5</v>
      </c>
      <c r="T66" s="91">
        <v>67.260000000000005</v>
      </c>
      <c r="U66" s="91">
        <v>66.58</v>
      </c>
    </row>
    <row r="67" spans="1:21" x14ac:dyDescent="0.2">
      <c r="A67" s="48">
        <f t="shared" si="0"/>
        <v>59</v>
      </c>
      <c r="B67" s="38">
        <v>2</v>
      </c>
      <c r="C67" s="38">
        <v>22</v>
      </c>
      <c r="D67" s="38" t="s">
        <v>716</v>
      </c>
      <c r="E67" s="39" t="s">
        <v>169</v>
      </c>
      <c r="F67" s="39" t="s">
        <v>5</v>
      </c>
      <c r="G67" s="39" t="s">
        <v>108</v>
      </c>
      <c r="H67" s="39" t="s">
        <v>164</v>
      </c>
      <c r="I67" s="39" t="s">
        <v>165</v>
      </c>
      <c r="J67" s="39" t="s">
        <v>9</v>
      </c>
      <c r="K67" s="39" t="s">
        <v>117</v>
      </c>
      <c r="L67" s="40">
        <v>22770</v>
      </c>
      <c r="M67" s="41">
        <v>42250</v>
      </c>
      <c r="N67" s="40" t="s">
        <v>110</v>
      </c>
      <c r="O67" s="42">
        <v>42309</v>
      </c>
      <c r="P67" s="40">
        <v>49</v>
      </c>
      <c r="Q67" s="91">
        <v>76.08</v>
      </c>
      <c r="R67" s="91">
        <v>67.94</v>
      </c>
      <c r="S67" s="91">
        <v>69.95</v>
      </c>
      <c r="T67" s="91">
        <v>66.709999999999994</v>
      </c>
      <c r="U67" s="91">
        <v>66.02</v>
      </c>
    </row>
    <row r="68" spans="1:21" x14ac:dyDescent="0.2">
      <c r="A68" s="48">
        <f t="shared" si="0"/>
        <v>60</v>
      </c>
      <c r="B68" s="38">
        <v>2</v>
      </c>
      <c r="C68" s="38">
        <v>23</v>
      </c>
      <c r="D68" s="38" t="s">
        <v>717</v>
      </c>
      <c r="E68" s="39" t="s">
        <v>171</v>
      </c>
      <c r="F68" s="39" t="s">
        <v>5</v>
      </c>
      <c r="G68" s="39" t="s">
        <v>108</v>
      </c>
      <c r="H68" s="39" t="s">
        <v>11</v>
      </c>
      <c r="I68" s="39" t="s">
        <v>11</v>
      </c>
      <c r="J68" s="39" t="s">
        <v>6</v>
      </c>
      <c r="K68" s="39" t="s">
        <v>128</v>
      </c>
      <c r="L68" s="40">
        <v>22771</v>
      </c>
      <c r="M68" s="41">
        <v>42250</v>
      </c>
      <c r="N68" s="40" t="s">
        <v>110</v>
      </c>
      <c r="O68" s="42">
        <v>42309</v>
      </c>
      <c r="P68" s="40">
        <v>49</v>
      </c>
      <c r="Q68" s="91">
        <v>82.15</v>
      </c>
      <c r="R68" s="91">
        <v>72.05</v>
      </c>
      <c r="S68" s="91">
        <v>74.58</v>
      </c>
      <c r="T68" s="91">
        <v>70.569999999999993</v>
      </c>
      <c r="U68" s="91">
        <v>70.510000000000005</v>
      </c>
    </row>
    <row r="69" spans="1:21" x14ac:dyDescent="0.2">
      <c r="A69" s="48">
        <f t="shared" si="0"/>
        <v>61</v>
      </c>
      <c r="B69" s="38">
        <v>2</v>
      </c>
      <c r="C69" s="38">
        <v>24</v>
      </c>
      <c r="D69" s="38" t="s">
        <v>718</v>
      </c>
      <c r="E69" s="39" t="s">
        <v>173</v>
      </c>
      <c r="F69" s="39" t="s">
        <v>5</v>
      </c>
      <c r="G69" s="39" t="s">
        <v>108</v>
      </c>
      <c r="H69" s="39" t="s">
        <v>10</v>
      </c>
      <c r="I69" s="39" t="s">
        <v>174</v>
      </c>
      <c r="J69" s="39" t="s">
        <v>7</v>
      </c>
      <c r="K69" s="39" t="s">
        <v>123</v>
      </c>
      <c r="L69" s="40">
        <v>22772</v>
      </c>
      <c r="M69" s="41">
        <v>42250</v>
      </c>
      <c r="N69" s="40" t="s">
        <v>110</v>
      </c>
      <c r="O69" s="42">
        <v>42309</v>
      </c>
      <c r="P69" s="40">
        <v>49</v>
      </c>
      <c r="Q69" s="91">
        <v>74.650000000000006</v>
      </c>
      <c r="R69" s="91">
        <v>70.2</v>
      </c>
      <c r="S69" s="91">
        <v>71.040000000000006</v>
      </c>
      <c r="T69" s="91">
        <v>68.52</v>
      </c>
      <c r="U69" s="91">
        <v>67.53</v>
      </c>
    </row>
    <row r="70" spans="1:21" x14ac:dyDescent="0.2">
      <c r="A70" s="48">
        <f t="shared" si="0"/>
        <v>62</v>
      </c>
      <c r="B70" s="38">
        <v>2</v>
      </c>
      <c r="C70" s="38">
        <v>25</v>
      </c>
      <c r="D70" s="38" t="s">
        <v>719</v>
      </c>
      <c r="E70" s="39" t="s">
        <v>176</v>
      </c>
      <c r="F70" s="39" t="s">
        <v>5</v>
      </c>
      <c r="G70" s="39" t="s">
        <v>108</v>
      </c>
      <c r="H70" s="39" t="s">
        <v>10</v>
      </c>
      <c r="I70" s="39" t="s">
        <v>174</v>
      </c>
      <c r="J70" s="39" t="s">
        <v>8</v>
      </c>
      <c r="K70" s="39" t="s">
        <v>120</v>
      </c>
      <c r="L70" s="40">
        <v>22773</v>
      </c>
      <c r="M70" s="41">
        <v>42250</v>
      </c>
      <c r="N70" s="40" t="s">
        <v>110</v>
      </c>
      <c r="O70" s="42">
        <v>42309</v>
      </c>
      <c r="P70" s="40">
        <v>49</v>
      </c>
      <c r="Q70" s="91">
        <v>75.180000000000007</v>
      </c>
      <c r="R70" s="91">
        <v>71.44</v>
      </c>
      <c r="S70" s="91">
        <v>72.05</v>
      </c>
      <c r="T70" s="91">
        <v>69.77</v>
      </c>
      <c r="U70" s="91">
        <v>68.77</v>
      </c>
    </row>
    <row r="71" spans="1:21" x14ac:dyDescent="0.2">
      <c r="A71" s="48">
        <f t="shared" si="0"/>
        <v>63</v>
      </c>
      <c r="B71" s="38">
        <v>2</v>
      </c>
      <c r="C71" s="38">
        <v>26</v>
      </c>
      <c r="D71" s="38" t="s">
        <v>720</v>
      </c>
      <c r="E71" s="39" t="s">
        <v>178</v>
      </c>
      <c r="F71" s="39" t="s">
        <v>5</v>
      </c>
      <c r="G71" s="39" t="s">
        <v>108</v>
      </c>
      <c r="H71" s="39" t="s">
        <v>10</v>
      </c>
      <c r="I71" s="39" t="s">
        <v>174</v>
      </c>
      <c r="J71" s="39" t="s">
        <v>9</v>
      </c>
      <c r="K71" s="39" t="s">
        <v>117</v>
      </c>
      <c r="L71" s="40">
        <v>22774</v>
      </c>
      <c r="M71" s="41">
        <v>42250</v>
      </c>
      <c r="N71" s="40" t="s">
        <v>110</v>
      </c>
      <c r="O71" s="42">
        <v>42309</v>
      </c>
      <c r="P71" s="40">
        <v>49</v>
      </c>
      <c r="Q71" s="91">
        <v>71.540000000000006</v>
      </c>
      <c r="R71" s="91">
        <v>71.47</v>
      </c>
      <c r="S71" s="91">
        <v>70.8</v>
      </c>
      <c r="T71" s="91">
        <v>69.819999999999993</v>
      </c>
      <c r="U71" s="91">
        <v>68.819999999999993</v>
      </c>
    </row>
    <row r="72" spans="1:21" x14ac:dyDescent="0.2">
      <c r="A72" s="48">
        <f t="shared" si="0"/>
        <v>64</v>
      </c>
      <c r="B72" s="38">
        <v>2</v>
      </c>
      <c r="C72" s="38">
        <v>27</v>
      </c>
      <c r="D72" s="38" t="s">
        <v>721</v>
      </c>
      <c r="E72" s="39" t="s">
        <v>180</v>
      </c>
      <c r="F72" s="39" t="s">
        <v>5</v>
      </c>
      <c r="G72" s="39" t="s">
        <v>108</v>
      </c>
      <c r="H72" s="39" t="s">
        <v>91</v>
      </c>
      <c r="I72" s="39" t="s">
        <v>181</v>
      </c>
      <c r="J72" s="39" t="s">
        <v>6</v>
      </c>
      <c r="K72" s="39" t="s">
        <v>128</v>
      </c>
      <c r="L72" s="40">
        <v>22775</v>
      </c>
      <c r="M72" s="41">
        <v>42250</v>
      </c>
      <c r="N72" s="40" t="s">
        <v>110</v>
      </c>
      <c r="O72" s="42">
        <v>42309</v>
      </c>
      <c r="P72" s="40">
        <v>49</v>
      </c>
      <c r="Q72" s="91">
        <v>90.3</v>
      </c>
      <c r="R72" s="91">
        <v>83.59</v>
      </c>
      <c r="S72" s="91">
        <v>80.06</v>
      </c>
      <c r="T72" s="91">
        <v>77.92</v>
      </c>
      <c r="U72" s="91">
        <v>76.31</v>
      </c>
    </row>
    <row r="73" spans="1:21" x14ac:dyDescent="0.2">
      <c r="A73" s="48">
        <f t="shared" si="0"/>
        <v>65</v>
      </c>
      <c r="B73" s="38">
        <v>2</v>
      </c>
      <c r="C73" s="38">
        <v>28</v>
      </c>
      <c r="D73" s="38" t="s">
        <v>722</v>
      </c>
      <c r="E73" s="39" t="s">
        <v>183</v>
      </c>
      <c r="F73" s="39" t="s">
        <v>37</v>
      </c>
      <c r="G73" s="39" t="s">
        <v>108</v>
      </c>
      <c r="H73" s="39" t="s">
        <v>42</v>
      </c>
      <c r="I73" s="39" t="s">
        <v>42</v>
      </c>
      <c r="J73" s="39" t="s">
        <v>6</v>
      </c>
      <c r="K73" s="39" t="s">
        <v>128</v>
      </c>
      <c r="L73" s="40">
        <v>22776</v>
      </c>
      <c r="M73" s="41">
        <v>42250</v>
      </c>
      <c r="N73" s="40" t="s">
        <v>110</v>
      </c>
      <c r="O73" s="42">
        <v>42309</v>
      </c>
      <c r="P73" s="40">
        <v>49</v>
      </c>
      <c r="Q73" s="91">
        <v>88.01</v>
      </c>
      <c r="R73" s="91">
        <v>84.4</v>
      </c>
      <c r="S73" s="91">
        <v>84.61</v>
      </c>
      <c r="T73" s="91">
        <v>82.19</v>
      </c>
      <c r="U73" s="91">
        <v>80.989999999999995</v>
      </c>
    </row>
    <row r="74" spans="1:21" x14ac:dyDescent="0.2">
      <c r="A74" s="48">
        <f t="shared" si="0"/>
        <v>66</v>
      </c>
      <c r="B74" s="38">
        <v>2</v>
      </c>
      <c r="C74" s="38">
        <v>29</v>
      </c>
      <c r="D74" s="38" t="s">
        <v>723</v>
      </c>
      <c r="E74" s="39" t="s">
        <v>185</v>
      </c>
      <c r="F74" s="39" t="s">
        <v>37</v>
      </c>
      <c r="G74" s="39" t="s">
        <v>108</v>
      </c>
      <c r="H74" s="39" t="s">
        <v>42</v>
      </c>
      <c r="I74" s="39" t="s">
        <v>42</v>
      </c>
      <c r="J74" s="39" t="s">
        <v>43</v>
      </c>
      <c r="K74" s="39" t="s">
        <v>186</v>
      </c>
      <c r="L74" s="40">
        <v>22777</v>
      </c>
      <c r="M74" s="41">
        <v>42250</v>
      </c>
      <c r="N74" s="40" t="s">
        <v>110</v>
      </c>
      <c r="O74" s="42">
        <v>42309</v>
      </c>
      <c r="P74" s="40">
        <v>49</v>
      </c>
      <c r="Q74" s="91">
        <v>88.56</v>
      </c>
      <c r="R74" s="91">
        <v>82.2</v>
      </c>
      <c r="S74" s="91">
        <v>83.26</v>
      </c>
      <c r="T74" s="91">
        <v>79.989999999999995</v>
      </c>
      <c r="U74" s="91">
        <v>78.77</v>
      </c>
    </row>
    <row r="75" spans="1:21" x14ac:dyDescent="0.2">
      <c r="A75" s="48">
        <f t="shared" ref="A75:A138" si="1">A74+1</f>
        <v>67</v>
      </c>
      <c r="B75" s="38">
        <v>2</v>
      </c>
      <c r="C75" s="38">
        <v>30</v>
      </c>
      <c r="D75" s="38" t="s">
        <v>724</v>
      </c>
      <c r="E75" s="39" t="s">
        <v>188</v>
      </c>
      <c r="F75" s="39" t="s">
        <v>37</v>
      </c>
      <c r="G75" s="39" t="s">
        <v>108</v>
      </c>
      <c r="H75" s="39" t="s">
        <v>42</v>
      </c>
      <c r="I75" s="39" t="s">
        <v>42</v>
      </c>
      <c r="J75" s="39" t="s">
        <v>44</v>
      </c>
      <c r="K75" s="39" t="s">
        <v>44</v>
      </c>
      <c r="L75" s="40">
        <v>22778</v>
      </c>
      <c r="M75" s="41">
        <v>42250</v>
      </c>
      <c r="N75" s="40" t="s">
        <v>110</v>
      </c>
      <c r="O75" s="42">
        <v>42309</v>
      </c>
      <c r="P75" s="40">
        <v>49</v>
      </c>
      <c r="Q75" s="91">
        <v>86.81</v>
      </c>
      <c r="R75" s="91">
        <v>81.93</v>
      </c>
      <c r="S75" s="91">
        <v>82.52</v>
      </c>
      <c r="T75" s="91">
        <v>79.680000000000007</v>
      </c>
      <c r="U75" s="91">
        <v>78.540000000000006</v>
      </c>
    </row>
    <row r="76" spans="1:21" x14ac:dyDescent="0.2">
      <c r="A76" s="48">
        <f t="shared" si="1"/>
        <v>68</v>
      </c>
      <c r="B76" s="38">
        <v>2</v>
      </c>
      <c r="C76" s="38">
        <v>31</v>
      </c>
      <c r="D76" s="38" t="s">
        <v>725</v>
      </c>
      <c r="E76" s="39" t="s">
        <v>190</v>
      </c>
      <c r="F76" s="39" t="s">
        <v>37</v>
      </c>
      <c r="G76" s="39" t="s">
        <v>108</v>
      </c>
      <c r="H76" s="39" t="s">
        <v>45</v>
      </c>
      <c r="I76" s="39" t="s">
        <v>45</v>
      </c>
      <c r="J76" s="39" t="s">
        <v>6</v>
      </c>
      <c r="K76" s="39" t="s">
        <v>128</v>
      </c>
      <c r="L76" s="40">
        <v>22779</v>
      </c>
      <c r="M76" s="41">
        <v>42250</v>
      </c>
      <c r="N76" s="40" t="s">
        <v>110</v>
      </c>
      <c r="O76" s="42">
        <v>42309</v>
      </c>
      <c r="P76" s="40">
        <v>49</v>
      </c>
      <c r="Q76" s="91">
        <v>75.989999999999995</v>
      </c>
      <c r="R76" s="91">
        <v>72.89</v>
      </c>
      <c r="S76" s="91">
        <v>72.59</v>
      </c>
      <c r="T76" s="91">
        <v>72.010000000000005</v>
      </c>
      <c r="U76" s="91">
        <v>72.8</v>
      </c>
    </row>
    <row r="77" spans="1:21" x14ac:dyDescent="0.2">
      <c r="A77" s="48">
        <f t="shared" si="1"/>
        <v>69</v>
      </c>
      <c r="B77" s="38">
        <v>2</v>
      </c>
      <c r="C77" s="38">
        <v>32</v>
      </c>
      <c r="D77" s="38" t="s">
        <v>726</v>
      </c>
      <c r="E77" s="39" t="s">
        <v>192</v>
      </c>
      <c r="F77" s="39" t="s">
        <v>5</v>
      </c>
      <c r="G77" s="39" t="s">
        <v>108</v>
      </c>
      <c r="H77" s="39" t="s">
        <v>12</v>
      </c>
      <c r="I77" s="39" t="s">
        <v>12</v>
      </c>
      <c r="J77" s="39" t="s">
        <v>13</v>
      </c>
      <c r="K77" s="39" t="s">
        <v>117</v>
      </c>
      <c r="L77" s="40">
        <v>22780</v>
      </c>
      <c r="M77" s="41">
        <v>42250</v>
      </c>
      <c r="N77" s="40" t="s">
        <v>110</v>
      </c>
      <c r="O77" s="42">
        <v>42309</v>
      </c>
      <c r="P77" s="40">
        <v>49</v>
      </c>
      <c r="Q77" s="91">
        <v>83.95</v>
      </c>
      <c r="R77" s="91">
        <v>76.930000000000007</v>
      </c>
      <c r="S77" s="91">
        <v>78.63</v>
      </c>
      <c r="T77" s="91">
        <v>75.3</v>
      </c>
      <c r="U77" s="91">
        <v>74.13</v>
      </c>
    </row>
    <row r="78" spans="1:21" x14ac:dyDescent="0.2">
      <c r="A78" s="48">
        <f t="shared" si="1"/>
        <v>70</v>
      </c>
      <c r="B78" s="38">
        <v>2</v>
      </c>
      <c r="C78" s="38">
        <v>33</v>
      </c>
      <c r="D78" s="38" t="s">
        <v>727</v>
      </c>
      <c r="E78" s="39" t="s">
        <v>194</v>
      </c>
      <c r="F78" s="39" t="s">
        <v>5</v>
      </c>
      <c r="G78" s="39" t="s">
        <v>108</v>
      </c>
      <c r="H78" s="39" t="s">
        <v>12</v>
      </c>
      <c r="I78" s="39" t="s">
        <v>12</v>
      </c>
      <c r="J78" s="39" t="s">
        <v>14</v>
      </c>
      <c r="K78" s="39" t="s">
        <v>123</v>
      </c>
      <c r="L78" s="40">
        <v>22781</v>
      </c>
      <c r="M78" s="41">
        <v>42250</v>
      </c>
      <c r="N78" s="40" t="s">
        <v>110</v>
      </c>
      <c r="O78" s="42">
        <v>42309</v>
      </c>
      <c r="P78" s="40">
        <v>49</v>
      </c>
      <c r="Q78" s="91">
        <v>86.22</v>
      </c>
      <c r="R78" s="91">
        <v>77.78</v>
      </c>
      <c r="S78" s="91">
        <v>79.900000000000006</v>
      </c>
      <c r="T78" s="91">
        <v>76.17</v>
      </c>
      <c r="U78" s="91">
        <v>75.05</v>
      </c>
    </row>
    <row r="79" spans="1:21" x14ac:dyDescent="0.2">
      <c r="A79" s="48">
        <f t="shared" si="1"/>
        <v>71</v>
      </c>
      <c r="B79" s="38">
        <v>2</v>
      </c>
      <c r="C79" s="38">
        <v>34</v>
      </c>
      <c r="D79" s="38" t="s">
        <v>728</v>
      </c>
      <c r="E79" s="39" t="s">
        <v>196</v>
      </c>
      <c r="F79" s="39" t="s">
        <v>29</v>
      </c>
      <c r="G79" s="39" t="s">
        <v>108</v>
      </c>
      <c r="H79" s="39" t="s">
        <v>34</v>
      </c>
      <c r="I79" s="39" t="s">
        <v>34</v>
      </c>
      <c r="J79" s="39" t="s">
        <v>35</v>
      </c>
      <c r="K79" s="39" t="s">
        <v>197</v>
      </c>
      <c r="L79" s="40">
        <v>22782</v>
      </c>
      <c r="M79" s="41">
        <v>42250</v>
      </c>
      <c r="N79" s="40" t="s">
        <v>110</v>
      </c>
      <c r="O79" s="42">
        <v>42309</v>
      </c>
      <c r="P79" s="40">
        <v>49</v>
      </c>
      <c r="Q79" s="91">
        <v>112.4</v>
      </c>
      <c r="R79" s="91">
        <v>103.89</v>
      </c>
      <c r="S79" s="91">
        <v>108.17</v>
      </c>
      <c r="T79" s="91">
        <v>104.73</v>
      </c>
      <c r="U79" s="91">
        <v>104.62</v>
      </c>
    </row>
    <row r="80" spans="1:21" x14ac:dyDescent="0.2">
      <c r="A80" s="48">
        <f t="shared" si="1"/>
        <v>72</v>
      </c>
      <c r="B80" s="38">
        <v>2</v>
      </c>
      <c r="C80" s="38">
        <v>35</v>
      </c>
      <c r="D80" s="38" t="s">
        <v>729</v>
      </c>
      <c r="E80" s="39" t="s">
        <v>199</v>
      </c>
      <c r="F80" s="39" t="s">
        <v>29</v>
      </c>
      <c r="G80" s="39" t="s">
        <v>108</v>
      </c>
      <c r="H80" s="39" t="s">
        <v>34</v>
      </c>
      <c r="I80" s="39" t="s">
        <v>34</v>
      </c>
      <c r="J80" s="39" t="s">
        <v>36</v>
      </c>
      <c r="K80" s="39" t="s">
        <v>200</v>
      </c>
      <c r="L80" s="40">
        <v>22783</v>
      </c>
      <c r="M80" s="41">
        <v>42250</v>
      </c>
      <c r="N80" s="40" t="s">
        <v>110</v>
      </c>
      <c r="O80" s="42">
        <v>42309</v>
      </c>
      <c r="P80" s="40">
        <v>49</v>
      </c>
      <c r="Q80" s="91">
        <v>111.13</v>
      </c>
      <c r="R80" s="91">
        <v>102.53</v>
      </c>
      <c r="S80" s="91">
        <v>106.9</v>
      </c>
      <c r="T80" s="91">
        <v>103.28</v>
      </c>
      <c r="U80" s="91">
        <v>103.14</v>
      </c>
    </row>
    <row r="81" spans="1:21" x14ac:dyDescent="0.2">
      <c r="A81" s="48">
        <f t="shared" si="1"/>
        <v>73</v>
      </c>
      <c r="B81" s="38">
        <v>2</v>
      </c>
      <c r="C81" s="38">
        <v>36</v>
      </c>
      <c r="D81" s="38" t="s">
        <v>730</v>
      </c>
      <c r="E81" s="39" t="s">
        <v>202</v>
      </c>
      <c r="F81" s="39" t="s">
        <v>5</v>
      </c>
      <c r="G81" s="39" t="s">
        <v>108</v>
      </c>
      <c r="H81" s="39" t="s">
        <v>15</v>
      </c>
      <c r="I81" s="39" t="s">
        <v>203</v>
      </c>
      <c r="J81" s="39" t="s">
        <v>16</v>
      </c>
      <c r="K81" s="39" t="s">
        <v>128</v>
      </c>
      <c r="L81" s="40">
        <v>22784</v>
      </c>
      <c r="M81" s="41">
        <v>42250</v>
      </c>
      <c r="N81" s="40" t="s">
        <v>110</v>
      </c>
      <c r="O81" s="42">
        <v>42309</v>
      </c>
      <c r="P81" s="40">
        <v>49</v>
      </c>
      <c r="Q81" s="91">
        <v>76.83</v>
      </c>
      <c r="R81" s="91">
        <v>71.819999999999993</v>
      </c>
      <c r="S81" s="91">
        <v>71.94</v>
      </c>
      <c r="T81" s="91">
        <v>70.75</v>
      </c>
      <c r="U81" s="91">
        <v>71.27</v>
      </c>
    </row>
    <row r="82" spans="1:21" x14ac:dyDescent="0.2">
      <c r="A82" s="48">
        <f t="shared" si="1"/>
        <v>74</v>
      </c>
      <c r="B82" s="20"/>
      <c r="C82" s="20"/>
      <c r="D82" s="20"/>
    </row>
    <row r="83" spans="1:21" x14ac:dyDescent="0.2">
      <c r="A83" s="48">
        <f t="shared" si="1"/>
        <v>75</v>
      </c>
      <c r="B83" s="43">
        <v>3</v>
      </c>
      <c r="C83" s="43">
        <v>1</v>
      </c>
      <c r="D83" s="38" t="s">
        <v>731</v>
      </c>
      <c r="E83" s="44" t="s">
        <v>107</v>
      </c>
      <c r="F83" s="44" t="s">
        <v>29</v>
      </c>
      <c r="G83" s="44" t="s">
        <v>108</v>
      </c>
      <c r="H83" s="44" t="s">
        <v>30</v>
      </c>
      <c r="I83" s="44" t="s">
        <v>30</v>
      </c>
      <c r="J83" s="44" t="s">
        <v>31</v>
      </c>
      <c r="K83" s="44" t="s">
        <v>109</v>
      </c>
      <c r="L83" s="40">
        <v>22749</v>
      </c>
      <c r="M83" s="41">
        <v>42250</v>
      </c>
      <c r="N83" s="40" t="s">
        <v>110</v>
      </c>
      <c r="O83" s="42">
        <v>42339</v>
      </c>
      <c r="P83" s="40">
        <v>50</v>
      </c>
      <c r="Q83" s="91">
        <v>107.02</v>
      </c>
      <c r="R83" s="91">
        <v>95.31</v>
      </c>
      <c r="S83" s="91">
        <v>98.64</v>
      </c>
      <c r="T83" s="91">
        <v>93.67</v>
      </c>
      <c r="U83" s="91">
        <v>93.6</v>
      </c>
    </row>
    <row r="84" spans="1:21" x14ac:dyDescent="0.2">
      <c r="A84" s="48">
        <f t="shared" si="1"/>
        <v>76</v>
      </c>
      <c r="B84" s="43">
        <v>3</v>
      </c>
      <c r="C84" s="43">
        <v>2</v>
      </c>
      <c r="D84" s="38" t="s">
        <v>732</v>
      </c>
      <c r="E84" s="44" t="s">
        <v>112</v>
      </c>
      <c r="F84" s="44" t="s">
        <v>29</v>
      </c>
      <c r="G84" s="44" t="s">
        <v>108</v>
      </c>
      <c r="H84" s="44" t="s">
        <v>30</v>
      </c>
      <c r="I84" s="44" t="s">
        <v>30</v>
      </c>
      <c r="J84" s="44" t="s">
        <v>32</v>
      </c>
      <c r="K84" s="44" t="s">
        <v>113</v>
      </c>
      <c r="L84" s="40">
        <v>22750</v>
      </c>
      <c r="M84" s="41">
        <v>42250</v>
      </c>
      <c r="N84" s="40" t="s">
        <v>110</v>
      </c>
      <c r="O84" s="42">
        <v>42339</v>
      </c>
      <c r="P84" s="40">
        <v>50</v>
      </c>
      <c r="Q84" s="91">
        <v>104.29</v>
      </c>
      <c r="R84" s="91">
        <v>95.04</v>
      </c>
      <c r="S84" s="91">
        <v>97.74</v>
      </c>
      <c r="T84" s="91">
        <v>93.38</v>
      </c>
      <c r="U84" s="91">
        <v>91.58</v>
      </c>
    </row>
    <row r="85" spans="1:21" x14ac:dyDescent="0.2">
      <c r="A85" s="48">
        <f t="shared" si="1"/>
        <v>77</v>
      </c>
      <c r="B85" s="43">
        <v>3</v>
      </c>
      <c r="C85" s="43">
        <v>3</v>
      </c>
      <c r="D85" s="38" t="s">
        <v>733</v>
      </c>
      <c r="E85" s="44" t="s">
        <v>115</v>
      </c>
      <c r="F85" s="44" t="s">
        <v>18</v>
      </c>
      <c r="G85" s="44" t="s">
        <v>108</v>
      </c>
      <c r="H85" s="44" t="s">
        <v>61</v>
      </c>
      <c r="I85" s="44" t="s">
        <v>116</v>
      </c>
      <c r="J85" s="44" t="s">
        <v>13</v>
      </c>
      <c r="K85" s="44" t="s">
        <v>117</v>
      </c>
      <c r="L85" s="40">
        <v>22751</v>
      </c>
      <c r="M85" s="41">
        <v>42250</v>
      </c>
      <c r="N85" s="40" t="s">
        <v>110</v>
      </c>
      <c r="O85" s="42">
        <v>42339</v>
      </c>
      <c r="P85" s="40">
        <v>50</v>
      </c>
      <c r="Q85" s="91">
        <v>64.37</v>
      </c>
      <c r="R85" s="91">
        <v>58.97</v>
      </c>
      <c r="S85" s="91">
        <v>59.2</v>
      </c>
      <c r="T85" s="91">
        <v>58.22</v>
      </c>
      <c r="U85" s="91">
        <v>59.05</v>
      </c>
    </row>
    <row r="86" spans="1:21" x14ac:dyDescent="0.2">
      <c r="A86" s="48">
        <f t="shared" si="1"/>
        <v>78</v>
      </c>
      <c r="B86" s="43">
        <v>3</v>
      </c>
      <c r="C86" s="43">
        <v>4</v>
      </c>
      <c r="D86" s="38" t="s">
        <v>734</v>
      </c>
      <c r="E86" s="44" t="s">
        <v>119</v>
      </c>
      <c r="F86" s="44" t="s">
        <v>18</v>
      </c>
      <c r="G86" s="44" t="s">
        <v>108</v>
      </c>
      <c r="H86" s="44" t="s">
        <v>61</v>
      </c>
      <c r="I86" s="44" t="s">
        <v>116</v>
      </c>
      <c r="J86" s="44" t="s">
        <v>19</v>
      </c>
      <c r="K86" s="44" t="s">
        <v>120</v>
      </c>
      <c r="L86" s="40">
        <v>22752</v>
      </c>
      <c r="M86" s="41">
        <v>42250</v>
      </c>
      <c r="N86" s="40" t="s">
        <v>110</v>
      </c>
      <c r="O86" s="42">
        <v>42339</v>
      </c>
      <c r="P86" s="40">
        <v>50</v>
      </c>
      <c r="Q86" s="91">
        <v>65.34</v>
      </c>
      <c r="R86" s="91">
        <v>60.73</v>
      </c>
      <c r="S86" s="91">
        <v>60.65</v>
      </c>
      <c r="T86" s="91">
        <v>59.91</v>
      </c>
      <c r="U86" s="91">
        <v>60.72</v>
      </c>
    </row>
    <row r="87" spans="1:21" x14ac:dyDescent="0.2">
      <c r="A87" s="48">
        <f t="shared" si="1"/>
        <v>79</v>
      </c>
      <c r="B87" s="43">
        <v>3</v>
      </c>
      <c r="C87" s="43">
        <v>5</v>
      </c>
      <c r="D87" s="38" t="s">
        <v>735</v>
      </c>
      <c r="E87" s="44" t="s">
        <v>122</v>
      </c>
      <c r="F87" s="44" t="s">
        <v>18</v>
      </c>
      <c r="G87" s="44" t="s">
        <v>108</v>
      </c>
      <c r="H87" s="44" t="s">
        <v>61</v>
      </c>
      <c r="I87" s="44" t="s">
        <v>116</v>
      </c>
      <c r="J87" s="44" t="s">
        <v>14</v>
      </c>
      <c r="K87" s="44" t="s">
        <v>123</v>
      </c>
      <c r="L87" s="40">
        <v>22753</v>
      </c>
      <c r="M87" s="41">
        <v>42250</v>
      </c>
      <c r="N87" s="40" t="s">
        <v>110</v>
      </c>
      <c r="O87" s="42">
        <v>42339</v>
      </c>
      <c r="P87" s="40">
        <v>50</v>
      </c>
      <c r="Q87" s="91">
        <v>65.34</v>
      </c>
      <c r="R87" s="91">
        <v>59.76</v>
      </c>
      <c r="S87" s="91">
        <v>59.9</v>
      </c>
      <c r="T87" s="91">
        <v>58.92</v>
      </c>
      <c r="U87" s="91">
        <v>59.71</v>
      </c>
    </row>
    <row r="88" spans="1:21" x14ac:dyDescent="0.2">
      <c r="A88" s="48">
        <f t="shared" si="1"/>
        <v>80</v>
      </c>
      <c r="B88" s="43">
        <v>3</v>
      </c>
      <c r="C88" s="43">
        <v>6</v>
      </c>
      <c r="D88" s="38" t="s">
        <v>736</v>
      </c>
      <c r="E88" s="44" t="s">
        <v>125</v>
      </c>
      <c r="F88" s="44" t="s">
        <v>23</v>
      </c>
      <c r="G88" s="44" t="s">
        <v>126</v>
      </c>
      <c r="H88" s="44" t="s">
        <v>127</v>
      </c>
      <c r="I88" s="44" t="s">
        <v>27</v>
      </c>
      <c r="J88" s="44" t="s">
        <v>28</v>
      </c>
      <c r="K88" s="44" t="s">
        <v>128</v>
      </c>
      <c r="L88" s="40">
        <v>22754</v>
      </c>
      <c r="M88" s="41">
        <v>42250</v>
      </c>
      <c r="N88" s="40" t="s">
        <v>110</v>
      </c>
      <c r="O88" s="42">
        <v>42339</v>
      </c>
      <c r="P88" s="40">
        <v>50</v>
      </c>
      <c r="Q88" s="91">
        <v>66.459999999999994</v>
      </c>
      <c r="R88" s="91">
        <v>62.69</v>
      </c>
      <c r="S88" s="91">
        <v>63.22</v>
      </c>
      <c r="T88" s="91">
        <v>62.5</v>
      </c>
      <c r="U88" s="91">
        <v>63.31</v>
      </c>
    </row>
    <row r="89" spans="1:21" x14ac:dyDescent="0.2">
      <c r="A89" s="48">
        <f t="shared" si="1"/>
        <v>81</v>
      </c>
      <c r="B89" s="43">
        <v>3</v>
      </c>
      <c r="C89" s="43">
        <v>7</v>
      </c>
      <c r="D89" s="38" t="s">
        <v>737</v>
      </c>
      <c r="E89" s="44" t="s">
        <v>130</v>
      </c>
      <c r="F89" s="44" t="s">
        <v>37</v>
      </c>
      <c r="G89" s="44" t="s">
        <v>108</v>
      </c>
      <c r="H89" s="44" t="s">
        <v>38</v>
      </c>
      <c r="I89" s="44" t="s">
        <v>38</v>
      </c>
      <c r="J89" s="44" t="s">
        <v>40</v>
      </c>
      <c r="K89" s="44" t="s">
        <v>123</v>
      </c>
      <c r="L89" s="40">
        <v>22756</v>
      </c>
      <c r="M89" s="41">
        <v>42250</v>
      </c>
      <c r="N89" s="40" t="s">
        <v>110</v>
      </c>
      <c r="O89" s="42">
        <v>42339</v>
      </c>
      <c r="P89" s="40">
        <v>50</v>
      </c>
      <c r="Q89" s="91">
        <v>91.1</v>
      </c>
      <c r="R89" s="91">
        <v>84.4</v>
      </c>
      <c r="S89" s="91">
        <v>85.6</v>
      </c>
      <c r="T89" s="91">
        <v>82.3</v>
      </c>
      <c r="U89" s="91">
        <v>81.41</v>
      </c>
    </row>
    <row r="90" spans="1:21" x14ac:dyDescent="0.2">
      <c r="A90" s="48">
        <f t="shared" si="1"/>
        <v>82</v>
      </c>
      <c r="B90" s="43">
        <v>3</v>
      </c>
      <c r="C90" s="43">
        <v>8</v>
      </c>
      <c r="D90" s="38" t="s">
        <v>738</v>
      </c>
      <c r="E90" s="44" t="s">
        <v>132</v>
      </c>
      <c r="F90" s="44" t="s">
        <v>37</v>
      </c>
      <c r="G90" s="44" t="s">
        <v>108</v>
      </c>
      <c r="H90" s="44" t="s">
        <v>38</v>
      </c>
      <c r="I90" s="44" t="s">
        <v>38</v>
      </c>
      <c r="J90" s="44" t="s">
        <v>39</v>
      </c>
      <c r="K90" s="44" t="s">
        <v>120</v>
      </c>
      <c r="L90" s="40">
        <v>22755</v>
      </c>
      <c r="M90" s="41">
        <v>42250</v>
      </c>
      <c r="N90" s="40" t="s">
        <v>110</v>
      </c>
      <c r="O90" s="42">
        <v>42339</v>
      </c>
      <c r="P90" s="40">
        <v>50</v>
      </c>
      <c r="Q90" s="91">
        <v>90.47</v>
      </c>
      <c r="R90" s="91">
        <v>85.35</v>
      </c>
      <c r="S90" s="91">
        <v>86.1</v>
      </c>
      <c r="T90" s="91">
        <v>83.25</v>
      </c>
      <c r="U90" s="91">
        <v>82.41</v>
      </c>
    </row>
    <row r="91" spans="1:21" x14ac:dyDescent="0.2">
      <c r="A91" s="48">
        <f t="shared" si="1"/>
        <v>83</v>
      </c>
      <c r="B91" s="43">
        <v>3</v>
      </c>
      <c r="C91" s="43">
        <v>9</v>
      </c>
      <c r="D91" s="38" t="s">
        <v>739</v>
      </c>
      <c r="E91" s="44" t="s">
        <v>134</v>
      </c>
      <c r="F91" s="44" t="s">
        <v>37</v>
      </c>
      <c r="G91" s="44" t="s">
        <v>108</v>
      </c>
      <c r="H91" s="44" t="s">
        <v>38</v>
      </c>
      <c r="I91" s="44" t="s">
        <v>38</v>
      </c>
      <c r="J91" s="44" t="s">
        <v>6</v>
      </c>
      <c r="K91" s="44" t="s">
        <v>117</v>
      </c>
      <c r="L91" s="40">
        <v>22757</v>
      </c>
      <c r="M91" s="41">
        <v>42250</v>
      </c>
      <c r="N91" s="40" t="s">
        <v>110</v>
      </c>
      <c r="O91" s="42">
        <v>42339</v>
      </c>
      <c r="P91" s="40">
        <v>50</v>
      </c>
      <c r="Q91" s="91">
        <v>90.39</v>
      </c>
      <c r="R91" s="91">
        <v>83.61</v>
      </c>
      <c r="S91" s="91">
        <v>84.9</v>
      </c>
      <c r="T91" s="91">
        <v>81.53</v>
      </c>
      <c r="U91" s="91">
        <v>80.599999999999994</v>
      </c>
    </row>
    <row r="92" spans="1:21" x14ac:dyDescent="0.2">
      <c r="A92" s="48">
        <f t="shared" si="1"/>
        <v>84</v>
      </c>
      <c r="B92" s="43">
        <v>3</v>
      </c>
      <c r="C92" s="43">
        <v>10</v>
      </c>
      <c r="D92" s="38" t="s">
        <v>740</v>
      </c>
      <c r="E92" s="44" t="s">
        <v>136</v>
      </c>
      <c r="F92" s="44" t="s">
        <v>23</v>
      </c>
      <c r="G92" s="44" t="s">
        <v>108</v>
      </c>
      <c r="H92" s="44" t="s">
        <v>137</v>
      </c>
      <c r="I92" s="44" t="s">
        <v>24</v>
      </c>
      <c r="J92" s="44" t="s">
        <v>25</v>
      </c>
      <c r="K92" s="44" t="s">
        <v>138</v>
      </c>
      <c r="L92" s="40">
        <v>22758</v>
      </c>
      <c r="M92" s="41">
        <v>42250</v>
      </c>
      <c r="N92" s="40" t="s">
        <v>110</v>
      </c>
      <c r="O92" s="42">
        <v>42339</v>
      </c>
      <c r="P92" s="40">
        <v>50</v>
      </c>
      <c r="Q92" s="91">
        <v>68.42</v>
      </c>
      <c r="R92" s="91">
        <v>64.28</v>
      </c>
      <c r="S92" s="91">
        <v>64.41</v>
      </c>
      <c r="T92" s="91">
        <v>63.83</v>
      </c>
      <c r="U92" s="91">
        <v>65.569999999999993</v>
      </c>
    </row>
    <row r="93" spans="1:21" x14ac:dyDescent="0.2">
      <c r="A93" s="48">
        <f t="shared" si="1"/>
        <v>85</v>
      </c>
      <c r="B93" s="43">
        <v>3</v>
      </c>
      <c r="C93" s="43">
        <v>11</v>
      </c>
      <c r="D93" s="38" t="s">
        <v>741</v>
      </c>
      <c r="E93" s="44" t="s">
        <v>140</v>
      </c>
      <c r="F93" s="44" t="s">
        <v>23</v>
      </c>
      <c r="G93" s="44" t="s">
        <v>108</v>
      </c>
      <c r="H93" s="44" t="s">
        <v>137</v>
      </c>
      <c r="I93" s="44" t="s">
        <v>24</v>
      </c>
      <c r="J93" s="44" t="s">
        <v>26</v>
      </c>
      <c r="K93" s="44" t="s">
        <v>141</v>
      </c>
      <c r="L93" s="40">
        <v>22759</v>
      </c>
      <c r="M93" s="41">
        <v>42250</v>
      </c>
      <c r="N93" s="40" t="s">
        <v>110</v>
      </c>
      <c r="O93" s="42">
        <v>42339</v>
      </c>
      <c r="P93" s="40">
        <v>50</v>
      </c>
      <c r="Q93" s="91">
        <v>67.8</v>
      </c>
      <c r="R93" s="91">
        <v>63.48</v>
      </c>
      <c r="S93" s="91">
        <v>63.67</v>
      </c>
      <c r="T93" s="91">
        <v>63.03</v>
      </c>
      <c r="U93" s="91">
        <v>64.760000000000005</v>
      </c>
    </row>
    <row r="94" spans="1:21" x14ac:dyDescent="0.2">
      <c r="A94" s="48">
        <f t="shared" si="1"/>
        <v>86</v>
      </c>
      <c r="B94" s="43">
        <v>3</v>
      </c>
      <c r="C94" s="43">
        <v>12</v>
      </c>
      <c r="D94" s="38" t="s">
        <v>742</v>
      </c>
      <c r="E94" s="44" t="s">
        <v>143</v>
      </c>
      <c r="F94" s="44" t="s">
        <v>18</v>
      </c>
      <c r="G94" s="44" t="s">
        <v>108</v>
      </c>
      <c r="H94" s="44" t="s">
        <v>94</v>
      </c>
      <c r="I94" s="44" t="s">
        <v>144</v>
      </c>
      <c r="J94" s="44" t="s">
        <v>20</v>
      </c>
      <c r="K94" s="44" t="s">
        <v>145</v>
      </c>
      <c r="L94" s="40">
        <v>22760</v>
      </c>
      <c r="M94" s="41">
        <v>42250</v>
      </c>
      <c r="N94" s="40" t="s">
        <v>110</v>
      </c>
      <c r="O94" s="42">
        <v>42339</v>
      </c>
      <c r="P94" s="40">
        <v>50</v>
      </c>
      <c r="Q94" s="91">
        <v>63.83</v>
      </c>
      <c r="R94" s="91">
        <v>60.5</v>
      </c>
      <c r="S94" s="91">
        <v>60.18</v>
      </c>
      <c r="T94" s="91">
        <v>59.68</v>
      </c>
      <c r="U94" s="91">
        <v>60.37</v>
      </c>
    </row>
    <row r="95" spans="1:21" x14ac:dyDescent="0.2">
      <c r="A95" s="48">
        <f t="shared" si="1"/>
        <v>87</v>
      </c>
      <c r="B95" s="43">
        <v>3</v>
      </c>
      <c r="C95" s="43">
        <v>13</v>
      </c>
      <c r="D95" s="38" t="s">
        <v>743</v>
      </c>
      <c r="E95" s="44" t="s">
        <v>147</v>
      </c>
      <c r="F95" s="44" t="s">
        <v>37</v>
      </c>
      <c r="G95" s="44" t="s">
        <v>108</v>
      </c>
      <c r="H95" s="44" t="s">
        <v>41</v>
      </c>
      <c r="I95" s="44" t="s">
        <v>41</v>
      </c>
      <c r="J95" s="44" t="s">
        <v>6</v>
      </c>
      <c r="K95" s="44" t="s">
        <v>128</v>
      </c>
      <c r="L95" s="40">
        <v>22761</v>
      </c>
      <c r="M95" s="41">
        <v>42250</v>
      </c>
      <c r="N95" s="40" t="s">
        <v>110</v>
      </c>
      <c r="O95" s="42">
        <v>42339</v>
      </c>
      <c r="P95" s="40">
        <v>50</v>
      </c>
      <c r="Q95" s="91">
        <v>92.47</v>
      </c>
      <c r="R95" s="91">
        <v>83.75</v>
      </c>
      <c r="S95" s="91">
        <v>85.34</v>
      </c>
      <c r="T95" s="91">
        <v>81.58</v>
      </c>
      <c r="U95" s="91">
        <v>82.15</v>
      </c>
    </row>
    <row r="96" spans="1:21" x14ac:dyDescent="0.2">
      <c r="A96" s="48">
        <f t="shared" si="1"/>
        <v>88</v>
      </c>
      <c r="B96" s="43">
        <v>3</v>
      </c>
      <c r="C96" s="43">
        <v>14</v>
      </c>
      <c r="D96" s="38" t="s">
        <v>744</v>
      </c>
      <c r="E96" s="44" t="s">
        <v>149</v>
      </c>
      <c r="F96" s="44" t="s">
        <v>5</v>
      </c>
      <c r="G96" s="44" t="s">
        <v>108</v>
      </c>
      <c r="H96" s="44" t="s">
        <v>46</v>
      </c>
      <c r="I96" s="44" t="s">
        <v>46</v>
      </c>
      <c r="J96" s="44" t="s">
        <v>6</v>
      </c>
      <c r="K96" s="44" t="s">
        <v>128</v>
      </c>
      <c r="L96" s="40">
        <v>22762</v>
      </c>
      <c r="M96" s="41">
        <v>42250</v>
      </c>
      <c r="N96" s="40" t="s">
        <v>110</v>
      </c>
      <c r="O96" s="42">
        <v>42339</v>
      </c>
      <c r="P96" s="40">
        <v>50</v>
      </c>
      <c r="Q96" s="91">
        <v>75.61</v>
      </c>
      <c r="R96" s="91">
        <v>70.849999999999994</v>
      </c>
      <c r="S96" s="91">
        <v>70.86</v>
      </c>
      <c r="T96" s="91">
        <v>70.11</v>
      </c>
      <c r="U96" s="91">
        <v>70.98</v>
      </c>
    </row>
    <row r="97" spans="1:21" x14ac:dyDescent="0.2">
      <c r="A97" s="48">
        <f t="shared" si="1"/>
        <v>89</v>
      </c>
      <c r="B97" s="43">
        <v>3</v>
      </c>
      <c r="C97" s="43">
        <v>15</v>
      </c>
      <c r="D97" s="38" t="s">
        <v>745</v>
      </c>
      <c r="E97" s="44" t="s">
        <v>151</v>
      </c>
      <c r="F97" s="44" t="s">
        <v>18</v>
      </c>
      <c r="G97" s="44" t="s">
        <v>108</v>
      </c>
      <c r="H97" s="44" t="s">
        <v>21</v>
      </c>
      <c r="I97" s="44" t="s">
        <v>152</v>
      </c>
      <c r="J97" s="44" t="s">
        <v>22</v>
      </c>
      <c r="K97" s="44" t="s">
        <v>128</v>
      </c>
      <c r="L97" s="40">
        <v>22763</v>
      </c>
      <c r="M97" s="41">
        <v>42250</v>
      </c>
      <c r="N97" s="40" t="s">
        <v>110</v>
      </c>
      <c r="O97" s="42">
        <v>42339</v>
      </c>
      <c r="P97" s="40">
        <v>50</v>
      </c>
      <c r="Q97" s="91">
        <v>63.45</v>
      </c>
      <c r="R97" s="91">
        <v>59.26</v>
      </c>
      <c r="S97" s="91">
        <v>59.05</v>
      </c>
      <c r="T97" s="91">
        <v>58.39</v>
      </c>
      <c r="U97" s="91">
        <v>59.01</v>
      </c>
    </row>
    <row r="98" spans="1:21" x14ac:dyDescent="0.2">
      <c r="A98" s="48">
        <f t="shared" si="1"/>
        <v>90</v>
      </c>
      <c r="B98" s="43">
        <v>3</v>
      </c>
      <c r="C98" s="43">
        <v>16</v>
      </c>
      <c r="D98" s="38" t="s">
        <v>746</v>
      </c>
      <c r="E98" s="44" t="s">
        <v>154</v>
      </c>
      <c r="F98" s="44" t="s">
        <v>18</v>
      </c>
      <c r="G98" s="44" t="s">
        <v>108</v>
      </c>
      <c r="H98" s="44" t="s">
        <v>62</v>
      </c>
      <c r="I98" s="44" t="s">
        <v>155</v>
      </c>
      <c r="J98" s="44" t="s">
        <v>6</v>
      </c>
      <c r="K98" s="44" t="s">
        <v>128</v>
      </c>
      <c r="L98" s="40">
        <v>22764</v>
      </c>
      <c r="M98" s="41">
        <v>42250</v>
      </c>
      <c r="N98" s="40" t="s">
        <v>110</v>
      </c>
      <c r="O98" s="42">
        <v>42339</v>
      </c>
      <c r="P98" s="40">
        <v>50</v>
      </c>
      <c r="Q98" s="91">
        <v>80.430000000000007</v>
      </c>
      <c r="R98" s="91">
        <v>71.290000000000006</v>
      </c>
      <c r="S98" s="91">
        <v>68.39</v>
      </c>
      <c r="T98" s="91">
        <v>66.209999999999994</v>
      </c>
      <c r="U98" s="91">
        <v>64.930000000000007</v>
      </c>
    </row>
    <row r="99" spans="1:21" x14ac:dyDescent="0.2">
      <c r="A99" s="48">
        <f t="shared" si="1"/>
        <v>91</v>
      </c>
      <c r="B99" s="43">
        <v>3</v>
      </c>
      <c r="C99" s="43">
        <v>17</v>
      </c>
      <c r="D99" s="38" t="s">
        <v>747</v>
      </c>
      <c r="E99" s="44" t="s">
        <v>157</v>
      </c>
      <c r="F99" s="44" t="s">
        <v>29</v>
      </c>
      <c r="G99" s="44" t="s">
        <v>108</v>
      </c>
      <c r="H99" s="44" t="s">
        <v>33</v>
      </c>
      <c r="I99" s="44" t="s">
        <v>33</v>
      </c>
      <c r="J99" s="44" t="s">
        <v>7</v>
      </c>
      <c r="K99" s="44" t="s">
        <v>123</v>
      </c>
      <c r="L99" s="40">
        <v>22765</v>
      </c>
      <c r="M99" s="41">
        <v>42250</v>
      </c>
      <c r="N99" s="40" t="s">
        <v>110</v>
      </c>
      <c r="O99" s="42">
        <v>42339</v>
      </c>
      <c r="P99" s="40">
        <v>50</v>
      </c>
      <c r="Q99" s="91">
        <v>95.24</v>
      </c>
      <c r="R99" s="91">
        <v>85.97</v>
      </c>
      <c r="S99" s="91">
        <v>88.91</v>
      </c>
      <c r="T99" s="91">
        <v>85.38</v>
      </c>
      <c r="U99" s="91">
        <v>86.17</v>
      </c>
    </row>
    <row r="100" spans="1:21" x14ac:dyDescent="0.2">
      <c r="A100" s="48">
        <f t="shared" si="1"/>
        <v>92</v>
      </c>
      <c r="B100" s="43">
        <v>3</v>
      </c>
      <c r="C100" s="43">
        <v>18</v>
      </c>
      <c r="D100" s="38" t="s">
        <v>748</v>
      </c>
      <c r="E100" s="44" t="s">
        <v>159</v>
      </c>
      <c r="F100" s="44" t="s">
        <v>29</v>
      </c>
      <c r="G100" s="44" t="s">
        <v>108</v>
      </c>
      <c r="H100" s="44" t="s">
        <v>33</v>
      </c>
      <c r="I100" s="44" t="s">
        <v>33</v>
      </c>
      <c r="J100" s="44" t="s">
        <v>8</v>
      </c>
      <c r="K100" s="44" t="s">
        <v>120</v>
      </c>
      <c r="L100" s="40">
        <v>22766</v>
      </c>
      <c r="M100" s="41">
        <v>42250</v>
      </c>
      <c r="N100" s="40" t="s">
        <v>110</v>
      </c>
      <c r="O100" s="42">
        <v>42339</v>
      </c>
      <c r="P100" s="40">
        <v>50</v>
      </c>
      <c r="Q100" s="91">
        <v>91.33</v>
      </c>
      <c r="R100" s="91">
        <v>89.19</v>
      </c>
      <c r="S100" s="91">
        <v>90.05</v>
      </c>
      <c r="T100" s="91">
        <v>88.62</v>
      </c>
      <c r="U100" s="91">
        <v>89.45</v>
      </c>
    </row>
    <row r="101" spans="1:21" x14ac:dyDescent="0.2">
      <c r="A101" s="48">
        <f t="shared" si="1"/>
        <v>93</v>
      </c>
      <c r="B101" s="43">
        <v>3</v>
      </c>
      <c r="C101" s="43">
        <v>19</v>
      </c>
      <c r="D101" s="38" t="s">
        <v>749</v>
      </c>
      <c r="E101" s="44" t="s">
        <v>161</v>
      </c>
      <c r="F101" s="44" t="s">
        <v>29</v>
      </c>
      <c r="G101" s="44" t="s">
        <v>108</v>
      </c>
      <c r="H101" s="44" t="s">
        <v>33</v>
      </c>
      <c r="I101" s="44" t="s">
        <v>33</v>
      </c>
      <c r="J101" s="44" t="s">
        <v>9</v>
      </c>
      <c r="K101" s="44" t="s">
        <v>117</v>
      </c>
      <c r="L101" s="40">
        <v>22767</v>
      </c>
      <c r="M101" s="41">
        <v>42250</v>
      </c>
      <c r="N101" s="40" t="s">
        <v>110</v>
      </c>
      <c r="O101" s="42">
        <v>42339</v>
      </c>
      <c r="P101" s="40">
        <v>50</v>
      </c>
      <c r="Q101" s="91">
        <v>93.67</v>
      </c>
      <c r="R101" s="91">
        <v>87.4</v>
      </c>
      <c r="S101" s="91">
        <v>89.49</v>
      </c>
      <c r="T101" s="91">
        <v>86.67</v>
      </c>
      <c r="U101" s="91">
        <v>87.42</v>
      </c>
    </row>
    <row r="102" spans="1:21" x14ac:dyDescent="0.2">
      <c r="A102" s="48">
        <f t="shared" si="1"/>
        <v>94</v>
      </c>
      <c r="B102" s="43">
        <v>3</v>
      </c>
      <c r="C102" s="43">
        <v>20</v>
      </c>
      <c r="D102" s="38" t="s">
        <v>750</v>
      </c>
      <c r="E102" s="44" t="s">
        <v>163</v>
      </c>
      <c r="F102" s="44" t="s">
        <v>5</v>
      </c>
      <c r="G102" s="44" t="s">
        <v>108</v>
      </c>
      <c r="H102" s="44" t="s">
        <v>164</v>
      </c>
      <c r="I102" s="44" t="s">
        <v>165</v>
      </c>
      <c r="J102" s="44" t="s">
        <v>7</v>
      </c>
      <c r="K102" s="44" t="s">
        <v>123</v>
      </c>
      <c r="L102" s="40">
        <v>22769</v>
      </c>
      <c r="M102" s="41">
        <v>42250</v>
      </c>
      <c r="N102" s="40" t="s">
        <v>110</v>
      </c>
      <c r="O102" s="42">
        <v>42339</v>
      </c>
      <c r="P102" s="40">
        <v>50</v>
      </c>
      <c r="Q102" s="91">
        <v>75.56</v>
      </c>
      <c r="R102" s="91">
        <v>67.22</v>
      </c>
      <c r="S102" s="91">
        <v>69.31</v>
      </c>
      <c r="T102" s="91">
        <v>65.790000000000006</v>
      </c>
      <c r="U102" s="91">
        <v>65.37</v>
      </c>
    </row>
    <row r="103" spans="1:21" x14ac:dyDescent="0.2">
      <c r="A103" s="48">
        <f t="shared" si="1"/>
        <v>95</v>
      </c>
      <c r="B103" s="43">
        <v>3</v>
      </c>
      <c r="C103" s="43">
        <v>21</v>
      </c>
      <c r="D103" s="38" t="s">
        <v>751</v>
      </c>
      <c r="E103" s="44" t="s">
        <v>167</v>
      </c>
      <c r="F103" s="44" t="s">
        <v>5</v>
      </c>
      <c r="G103" s="44" t="s">
        <v>108</v>
      </c>
      <c r="H103" s="44" t="s">
        <v>164</v>
      </c>
      <c r="I103" s="44" t="s">
        <v>165</v>
      </c>
      <c r="J103" s="44" t="s">
        <v>8</v>
      </c>
      <c r="K103" s="44" t="s">
        <v>120</v>
      </c>
      <c r="L103" s="40">
        <v>22768</v>
      </c>
      <c r="M103" s="41">
        <v>42250</v>
      </c>
      <c r="N103" s="40" t="s">
        <v>110</v>
      </c>
      <c r="O103" s="42">
        <v>42339</v>
      </c>
      <c r="P103" s="40">
        <v>50</v>
      </c>
      <c r="Q103" s="91">
        <v>76.3</v>
      </c>
      <c r="R103" s="91">
        <v>68.34</v>
      </c>
      <c r="S103" s="91">
        <v>70.28</v>
      </c>
      <c r="T103" s="91">
        <v>66.92</v>
      </c>
      <c r="U103" s="91">
        <v>66.5</v>
      </c>
    </row>
    <row r="104" spans="1:21" x14ac:dyDescent="0.2">
      <c r="A104" s="48">
        <f t="shared" si="1"/>
        <v>96</v>
      </c>
      <c r="B104" s="43">
        <v>3</v>
      </c>
      <c r="C104" s="43">
        <v>22</v>
      </c>
      <c r="D104" s="38" t="s">
        <v>752</v>
      </c>
      <c r="E104" s="44" t="s">
        <v>169</v>
      </c>
      <c r="F104" s="44" t="s">
        <v>5</v>
      </c>
      <c r="G104" s="44" t="s">
        <v>108</v>
      </c>
      <c r="H104" s="44" t="s">
        <v>164</v>
      </c>
      <c r="I104" s="44" t="s">
        <v>165</v>
      </c>
      <c r="J104" s="44" t="s">
        <v>9</v>
      </c>
      <c r="K104" s="44" t="s">
        <v>117</v>
      </c>
      <c r="L104" s="40">
        <v>22770</v>
      </c>
      <c r="M104" s="41">
        <v>42250</v>
      </c>
      <c r="N104" s="40" t="s">
        <v>110</v>
      </c>
      <c r="O104" s="42">
        <v>42339</v>
      </c>
      <c r="P104" s="40">
        <v>50</v>
      </c>
      <c r="Q104" s="91">
        <v>76.81</v>
      </c>
      <c r="R104" s="91">
        <v>67.81</v>
      </c>
      <c r="S104" s="91">
        <v>70.09</v>
      </c>
      <c r="T104" s="91">
        <v>66.37</v>
      </c>
      <c r="U104" s="91">
        <v>65.94</v>
      </c>
    </row>
    <row r="105" spans="1:21" x14ac:dyDescent="0.2">
      <c r="A105" s="48">
        <f t="shared" si="1"/>
        <v>97</v>
      </c>
      <c r="B105" s="43">
        <v>3</v>
      </c>
      <c r="C105" s="43">
        <v>23</v>
      </c>
      <c r="D105" s="38" t="s">
        <v>753</v>
      </c>
      <c r="E105" s="44" t="s">
        <v>171</v>
      </c>
      <c r="F105" s="44" t="s">
        <v>5</v>
      </c>
      <c r="G105" s="44" t="s">
        <v>108</v>
      </c>
      <c r="H105" s="44" t="s">
        <v>11</v>
      </c>
      <c r="I105" s="44" t="s">
        <v>11</v>
      </c>
      <c r="J105" s="44" t="s">
        <v>6</v>
      </c>
      <c r="K105" s="44" t="s">
        <v>128</v>
      </c>
      <c r="L105" s="40">
        <v>22771</v>
      </c>
      <c r="M105" s="41">
        <v>42250</v>
      </c>
      <c r="N105" s="40" t="s">
        <v>110</v>
      </c>
      <c r="O105" s="42">
        <v>42339</v>
      </c>
      <c r="P105" s="40">
        <v>50</v>
      </c>
      <c r="Q105" s="91">
        <v>80.98</v>
      </c>
      <c r="R105" s="91">
        <v>71.66</v>
      </c>
      <c r="S105" s="91">
        <v>74.08</v>
      </c>
      <c r="T105" s="91">
        <v>70.11</v>
      </c>
      <c r="U105" s="91">
        <v>70.510000000000005</v>
      </c>
    </row>
    <row r="106" spans="1:21" x14ac:dyDescent="0.2">
      <c r="A106" s="48">
        <f t="shared" si="1"/>
        <v>98</v>
      </c>
      <c r="B106" s="43">
        <v>3</v>
      </c>
      <c r="C106" s="43">
        <v>24</v>
      </c>
      <c r="D106" s="38" t="s">
        <v>754</v>
      </c>
      <c r="E106" s="44" t="s">
        <v>173</v>
      </c>
      <c r="F106" s="44" t="s">
        <v>5</v>
      </c>
      <c r="G106" s="44" t="s">
        <v>108</v>
      </c>
      <c r="H106" s="44" t="s">
        <v>10</v>
      </c>
      <c r="I106" s="44" t="s">
        <v>174</v>
      </c>
      <c r="J106" s="44" t="s">
        <v>7</v>
      </c>
      <c r="K106" s="44" t="s">
        <v>123</v>
      </c>
      <c r="L106" s="40">
        <v>22772</v>
      </c>
      <c r="M106" s="41">
        <v>42250</v>
      </c>
      <c r="N106" s="40" t="s">
        <v>110</v>
      </c>
      <c r="O106" s="42">
        <v>42339</v>
      </c>
      <c r="P106" s="40">
        <v>50</v>
      </c>
      <c r="Q106" s="91">
        <v>74.400000000000006</v>
      </c>
      <c r="R106" s="91">
        <v>69.930000000000007</v>
      </c>
      <c r="S106" s="91">
        <v>70.819999999999993</v>
      </c>
      <c r="T106" s="91">
        <v>68.150000000000006</v>
      </c>
      <c r="U106" s="91">
        <v>67.400000000000006</v>
      </c>
    </row>
    <row r="107" spans="1:21" x14ac:dyDescent="0.2">
      <c r="A107" s="48">
        <f t="shared" si="1"/>
        <v>99</v>
      </c>
      <c r="B107" s="43">
        <v>3</v>
      </c>
      <c r="C107" s="43">
        <v>25</v>
      </c>
      <c r="D107" s="38" t="s">
        <v>755</v>
      </c>
      <c r="E107" s="44" t="s">
        <v>176</v>
      </c>
      <c r="F107" s="44" t="s">
        <v>5</v>
      </c>
      <c r="G107" s="44" t="s">
        <v>108</v>
      </c>
      <c r="H107" s="44" t="s">
        <v>10</v>
      </c>
      <c r="I107" s="44" t="s">
        <v>174</v>
      </c>
      <c r="J107" s="44" t="s">
        <v>8</v>
      </c>
      <c r="K107" s="44" t="s">
        <v>120</v>
      </c>
      <c r="L107" s="40">
        <v>22773</v>
      </c>
      <c r="M107" s="41">
        <v>42250</v>
      </c>
      <c r="N107" s="40" t="s">
        <v>110</v>
      </c>
      <c r="O107" s="42">
        <v>42339</v>
      </c>
      <c r="P107" s="40">
        <v>50</v>
      </c>
      <c r="Q107" s="91">
        <v>75.31</v>
      </c>
      <c r="R107" s="91">
        <v>71.16</v>
      </c>
      <c r="S107" s="91">
        <v>71.959999999999994</v>
      </c>
      <c r="T107" s="91">
        <v>69.38</v>
      </c>
      <c r="U107" s="91">
        <v>68.62</v>
      </c>
    </row>
    <row r="108" spans="1:21" x14ac:dyDescent="0.2">
      <c r="A108" s="48">
        <f t="shared" si="1"/>
        <v>100</v>
      </c>
      <c r="B108" s="43">
        <v>3</v>
      </c>
      <c r="C108" s="43">
        <v>26</v>
      </c>
      <c r="D108" s="38" t="s">
        <v>756</v>
      </c>
      <c r="E108" s="44" t="s">
        <v>178</v>
      </c>
      <c r="F108" s="44" t="s">
        <v>5</v>
      </c>
      <c r="G108" s="44" t="s">
        <v>108</v>
      </c>
      <c r="H108" s="44" t="s">
        <v>10</v>
      </c>
      <c r="I108" s="44" t="s">
        <v>174</v>
      </c>
      <c r="J108" s="44" t="s">
        <v>9</v>
      </c>
      <c r="K108" s="44" t="s">
        <v>117</v>
      </c>
      <c r="L108" s="40">
        <v>22774</v>
      </c>
      <c r="M108" s="41">
        <v>42250</v>
      </c>
      <c r="N108" s="40" t="s">
        <v>110</v>
      </c>
      <c r="O108" s="42">
        <v>42339</v>
      </c>
      <c r="P108" s="40">
        <v>50</v>
      </c>
      <c r="Q108" s="91">
        <v>72.760000000000005</v>
      </c>
      <c r="R108" s="91">
        <v>71.180000000000007</v>
      </c>
      <c r="S108" s="91">
        <v>71.17</v>
      </c>
      <c r="T108" s="91">
        <v>69.349999999999994</v>
      </c>
      <c r="U108" s="91">
        <v>68.62</v>
      </c>
    </row>
    <row r="109" spans="1:21" x14ac:dyDescent="0.2">
      <c r="A109" s="48">
        <f t="shared" si="1"/>
        <v>101</v>
      </c>
      <c r="B109" s="43">
        <v>3</v>
      </c>
      <c r="C109" s="43">
        <v>27</v>
      </c>
      <c r="D109" s="38" t="s">
        <v>757</v>
      </c>
      <c r="E109" s="44" t="s">
        <v>180</v>
      </c>
      <c r="F109" s="44" t="s">
        <v>5</v>
      </c>
      <c r="G109" s="44" t="s">
        <v>108</v>
      </c>
      <c r="H109" s="44" t="s">
        <v>91</v>
      </c>
      <c r="I109" s="44" t="s">
        <v>181</v>
      </c>
      <c r="J109" s="44" t="s">
        <v>6</v>
      </c>
      <c r="K109" s="44" t="s">
        <v>128</v>
      </c>
      <c r="L109" s="40">
        <v>22775</v>
      </c>
      <c r="M109" s="41">
        <v>42250</v>
      </c>
      <c r="N109" s="40" t="s">
        <v>110</v>
      </c>
      <c r="O109" s="42">
        <v>42339</v>
      </c>
      <c r="P109" s="40">
        <v>50</v>
      </c>
      <c r="Q109" s="91">
        <v>90.79</v>
      </c>
      <c r="R109" s="91">
        <v>82.09</v>
      </c>
      <c r="S109" s="91">
        <v>79.12</v>
      </c>
      <c r="T109" s="91">
        <v>77.05</v>
      </c>
      <c r="U109" s="91">
        <v>75.84</v>
      </c>
    </row>
    <row r="110" spans="1:21" x14ac:dyDescent="0.2">
      <c r="A110" s="48">
        <f t="shared" si="1"/>
        <v>102</v>
      </c>
      <c r="B110" s="43">
        <v>3</v>
      </c>
      <c r="C110" s="43">
        <v>28</v>
      </c>
      <c r="D110" s="38" t="s">
        <v>758</v>
      </c>
      <c r="E110" s="44" t="s">
        <v>183</v>
      </c>
      <c r="F110" s="44" t="s">
        <v>37</v>
      </c>
      <c r="G110" s="44" t="s">
        <v>108</v>
      </c>
      <c r="H110" s="44" t="s">
        <v>42</v>
      </c>
      <c r="I110" s="44" t="s">
        <v>42</v>
      </c>
      <c r="J110" s="44" t="s">
        <v>6</v>
      </c>
      <c r="K110" s="44" t="s">
        <v>128</v>
      </c>
      <c r="L110" s="40">
        <v>22776</v>
      </c>
      <c r="M110" s="41">
        <v>42250</v>
      </c>
      <c r="N110" s="40" t="s">
        <v>110</v>
      </c>
      <c r="O110" s="42">
        <v>42339</v>
      </c>
      <c r="P110" s="40">
        <v>50</v>
      </c>
      <c r="Q110" s="91">
        <v>89.05</v>
      </c>
      <c r="R110" s="91">
        <v>84.16</v>
      </c>
      <c r="S110" s="91">
        <v>84.69</v>
      </c>
      <c r="T110" s="91">
        <v>81.75</v>
      </c>
      <c r="U110" s="91">
        <v>80.8</v>
      </c>
    </row>
    <row r="111" spans="1:21" x14ac:dyDescent="0.2">
      <c r="A111" s="48">
        <f t="shared" si="1"/>
        <v>103</v>
      </c>
      <c r="B111" s="43">
        <v>3</v>
      </c>
      <c r="C111" s="43">
        <v>29</v>
      </c>
      <c r="D111" s="38" t="s">
        <v>759</v>
      </c>
      <c r="E111" s="44" t="s">
        <v>185</v>
      </c>
      <c r="F111" s="44" t="s">
        <v>37</v>
      </c>
      <c r="G111" s="44" t="s">
        <v>108</v>
      </c>
      <c r="H111" s="44" t="s">
        <v>42</v>
      </c>
      <c r="I111" s="44" t="s">
        <v>42</v>
      </c>
      <c r="J111" s="44" t="s">
        <v>43</v>
      </c>
      <c r="K111" s="44" t="s">
        <v>186</v>
      </c>
      <c r="L111" s="40">
        <v>22777</v>
      </c>
      <c r="M111" s="41">
        <v>42250</v>
      </c>
      <c r="N111" s="40" t="s">
        <v>110</v>
      </c>
      <c r="O111" s="42">
        <v>42339</v>
      </c>
      <c r="P111" s="40">
        <v>50</v>
      </c>
      <c r="Q111" s="91">
        <v>88.32</v>
      </c>
      <c r="R111" s="91">
        <v>82</v>
      </c>
      <c r="S111" s="91">
        <v>82.94</v>
      </c>
      <c r="T111" s="91">
        <v>79.58</v>
      </c>
      <c r="U111" s="91">
        <v>78.599999999999994</v>
      </c>
    </row>
    <row r="112" spans="1:21" x14ac:dyDescent="0.2">
      <c r="A112" s="48">
        <f t="shared" si="1"/>
        <v>104</v>
      </c>
      <c r="B112" s="43">
        <v>3</v>
      </c>
      <c r="C112" s="43">
        <v>30</v>
      </c>
      <c r="D112" s="38" t="s">
        <v>760</v>
      </c>
      <c r="E112" s="44" t="s">
        <v>188</v>
      </c>
      <c r="F112" s="44" t="s">
        <v>37</v>
      </c>
      <c r="G112" s="44" t="s">
        <v>108</v>
      </c>
      <c r="H112" s="44" t="s">
        <v>42</v>
      </c>
      <c r="I112" s="44" t="s">
        <v>42</v>
      </c>
      <c r="J112" s="44" t="s">
        <v>44</v>
      </c>
      <c r="K112" s="44" t="s">
        <v>44</v>
      </c>
      <c r="L112" s="40">
        <v>22778</v>
      </c>
      <c r="M112" s="41">
        <v>42250</v>
      </c>
      <c r="N112" s="40" t="s">
        <v>110</v>
      </c>
      <c r="O112" s="42">
        <v>42339</v>
      </c>
      <c r="P112" s="40">
        <v>50</v>
      </c>
      <c r="Q112" s="91">
        <v>87.27</v>
      </c>
      <c r="R112" s="91">
        <v>81.709999999999994</v>
      </c>
      <c r="S112" s="91">
        <v>82.43</v>
      </c>
      <c r="T112" s="91">
        <v>79.42</v>
      </c>
      <c r="U112" s="91">
        <v>78.459999999999994</v>
      </c>
    </row>
    <row r="113" spans="1:21" x14ac:dyDescent="0.2">
      <c r="A113" s="48">
        <f t="shared" si="1"/>
        <v>105</v>
      </c>
      <c r="B113" s="43">
        <v>3</v>
      </c>
      <c r="C113" s="43">
        <v>31</v>
      </c>
      <c r="D113" s="38" t="s">
        <v>761</v>
      </c>
      <c r="E113" s="44" t="s">
        <v>190</v>
      </c>
      <c r="F113" s="44" t="s">
        <v>37</v>
      </c>
      <c r="G113" s="44" t="s">
        <v>108</v>
      </c>
      <c r="H113" s="44" t="s">
        <v>45</v>
      </c>
      <c r="I113" s="44" t="s">
        <v>45</v>
      </c>
      <c r="J113" s="44" t="s">
        <v>6</v>
      </c>
      <c r="K113" s="44" t="s">
        <v>128</v>
      </c>
      <c r="L113" s="40">
        <v>22779</v>
      </c>
      <c r="M113" s="41">
        <v>42250</v>
      </c>
      <c r="N113" s="40" t="s">
        <v>110</v>
      </c>
      <c r="O113" s="42">
        <v>42339</v>
      </c>
      <c r="P113" s="40">
        <v>50</v>
      </c>
      <c r="Q113" s="91">
        <v>74.41</v>
      </c>
      <c r="R113" s="91">
        <v>72.569999999999993</v>
      </c>
      <c r="S113" s="91">
        <v>71.77</v>
      </c>
      <c r="T113" s="91">
        <v>71.91</v>
      </c>
      <c r="U113" s="91">
        <v>72.87</v>
      </c>
    </row>
    <row r="114" spans="1:21" x14ac:dyDescent="0.2">
      <c r="A114" s="48">
        <f t="shared" si="1"/>
        <v>106</v>
      </c>
      <c r="B114" s="43">
        <v>3</v>
      </c>
      <c r="C114" s="43">
        <v>32</v>
      </c>
      <c r="D114" s="38" t="s">
        <v>762</v>
      </c>
      <c r="E114" s="44" t="s">
        <v>192</v>
      </c>
      <c r="F114" s="44" t="s">
        <v>5</v>
      </c>
      <c r="G114" s="44" t="s">
        <v>108</v>
      </c>
      <c r="H114" s="44" t="s">
        <v>12</v>
      </c>
      <c r="I114" s="44" t="s">
        <v>12</v>
      </c>
      <c r="J114" s="44" t="s">
        <v>13</v>
      </c>
      <c r="K114" s="44" t="s">
        <v>117</v>
      </c>
      <c r="L114" s="40">
        <v>22780</v>
      </c>
      <c r="M114" s="41">
        <v>42250</v>
      </c>
      <c r="N114" s="40" t="s">
        <v>110</v>
      </c>
      <c r="O114" s="42">
        <v>42339</v>
      </c>
      <c r="P114" s="40">
        <v>50</v>
      </c>
      <c r="Q114" s="91">
        <v>84.13</v>
      </c>
      <c r="R114" s="91">
        <v>76.67</v>
      </c>
      <c r="S114" s="91">
        <v>78.52</v>
      </c>
      <c r="T114" s="91">
        <v>74.88</v>
      </c>
      <c r="U114" s="91">
        <v>73.94</v>
      </c>
    </row>
    <row r="115" spans="1:21" x14ac:dyDescent="0.2">
      <c r="A115" s="48">
        <f t="shared" si="1"/>
        <v>107</v>
      </c>
      <c r="B115" s="43">
        <v>3</v>
      </c>
      <c r="C115" s="43">
        <v>33</v>
      </c>
      <c r="D115" s="38" t="s">
        <v>763</v>
      </c>
      <c r="E115" s="44" t="s">
        <v>194</v>
      </c>
      <c r="F115" s="44" t="s">
        <v>5</v>
      </c>
      <c r="G115" s="44" t="s">
        <v>108</v>
      </c>
      <c r="H115" s="44" t="s">
        <v>12</v>
      </c>
      <c r="I115" s="44" t="s">
        <v>12</v>
      </c>
      <c r="J115" s="44" t="s">
        <v>14</v>
      </c>
      <c r="K115" s="44" t="s">
        <v>123</v>
      </c>
      <c r="L115" s="40">
        <v>22781</v>
      </c>
      <c r="M115" s="41">
        <v>42250</v>
      </c>
      <c r="N115" s="40" t="s">
        <v>110</v>
      </c>
      <c r="O115" s="42">
        <v>42339</v>
      </c>
      <c r="P115" s="40">
        <v>50</v>
      </c>
      <c r="Q115" s="91">
        <v>85.65</v>
      </c>
      <c r="R115" s="91">
        <v>77.52</v>
      </c>
      <c r="S115" s="91">
        <v>79.56</v>
      </c>
      <c r="T115" s="91">
        <v>75.760000000000005</v>
      </c>
      <c r="U115" s="91">
        <v>74.89</v>
      </c>
    </row>
    <row r="116" spans="1:21" x14ac:dyDescent="0.2">
      <c r="A116" s="48">
        <f t="shared" si="1"/>
        <v>108</v>
      </c>
      <c r="B116" s="43">
        <v>3</v>
      </c>
      <c r="C116" s="43">
        <v>34</v>
      </c>
      <c r="D116" s="38" t="s">
        <v>764</v>
      </c>
      <c r="E116" s="44" t="s">
        <v>196</v>
      </c>
      <c r="F116" s="44" t="s">
        <v>29</v>
      </c>
      <c r="G116" s="44" t="s">
        <v>108</v>
      </c>
      <c r="H116" s="44" t="s">
        <v>34</v>
      </c>
      <c r="I116" s="44" t="s">
        <v>34</v>
      </c>
      <c r="J116" s="44" t="s">
        <v>35</v>
      </c>
      <c r="K116" s="44" t="s">
        <v>197</v>
      </c>
      <c r="L116" s="40">
        <v>22782</v>
      </c>
      <c r="M116" s="41">
        <v>42250</v>
      </c>
      <c r="N116" s="40" t="s">
        <v>110</v>
      </c>
      <c r="O116" s="42">
        <v>42339</v>
      </c>
      <c r="P116" s="40">
        <v>50</v>
      </c>
      <c r="Q116" s="91">
        <v>111.71</v>
      </c>
      <c r="R116" s="91">
        <v>104.28</v>
      </c>
      <c r="S116" s="91">
        <v>108.31</v>
      </c>
      <c r="T116" s="91">
        <v>104.77</v>
      </c>
      <c r="U116" s="91">
        <v>104.76</v>
      </c>
    </row>
    <row r="117" spans="1:21" x14ac:dyDescent="0.2">
      <c r="A117" s="48">
        <f t="shared" si="1"/>
        <v>109</v>
      </c>
      <c r="B117" s="43">
        <v>3</v>
      </c>
      <c r="C117" s="43">
        <v>35</v>
      </c>
      <c r="D117" s="38" t="s">
        <v>765</v>
      </c>
      <c r="E117" s="44" t="s">
        <v>199</v>
      </c>
      <c r="F117" s="44" t="s">
        <v>29</v>
      </c>
      <c r="G117" s="44" t="s">
        <v>108</v>
      </c>
      <c r="H117" s="44" t="s">
        <v>34</v>
      </c>
      <c r="I117" s="44" t="s">
        <v>34</v>
      </c>
      <c r="J117" s="44" t="s">
        <v>36</v>
      </c>
      <c r="K117" s="44" t="s">
        <v>200</v>
      </c>
      <c r="L117" s="40">
        <v>22783</v>
      </c>
      <c r="M117" s="41">
        <v>42250</v>
      </c>
      <c r="N117" s="40" t="s">
        <v>110</v>
      </c>
      <c r="O117" s="42">
        <v>42339</v>
      </c>
      <c r="P117" s="40">
        <v>50</v>
      </c>
      <c r="Q117" s="91">
        <v>110.19</v>
      </c>
      <c r="R117" s="91">
        <v>102.9</v>
      </c>
      <c r="S117" s="91">
        <v>106.96</v>
      </c>
      <c r="T117" s="91">
        <v>103.31</v>
      </c>
      <c r="U117" s="91">
        <v>103.27</v>
      </c>
    </row>
    <row r="118" spans="1:21" x14ac:dyDescent="0.2">
      <c r="A118" s="48">
        <f t="shared" si="1"/>
        <v>110</v>
      </c>
      <c r="B118" s="43">
        <v>3</v>
      </c>
      <c r="C118" s="43">
        <v>36</v>
      </c>
      <c r="D118" s="38" t="s">
        <v>766</v>
      </c>
      <c r="E118" s="44" t="s">
        <v>202</v>
      </c>
      <c r="F118" s="44" t="s">
        <v>5</v>
      </c>
      <c r="G118" s="44" t="s">
        <v>108</v>
      </c>
      <c r="H118" s="44" t="s">
        <v>15</v>
      </c>
      <c r="I118" s="44" t="s">
        <v>203</v>
      </c>
      <c r="J118" s="44" t="s">
        <v>16</v>
      </c>
      <c r="K118" s="44" t="s">
        <v>128</v>
      </c>
      <c r="L118" s="40">
        <v>22784</v>
      </c>
      <c r="M118" s="41">
        <v>42250</v>
      </c>
      <c r="N118" s="40" t="s">
        <v>110</v>
      </c>
      <c r="O118" s="42">
        <v>42339</v>
      </c>
      <c r="P118" s="40">
        <v>50</v>
      </c>
      <c r="Q118" s="91">
        <v>76.94</v>
      </c>
      <c r="R118" s="91">
        <v>71.42</v>
      </c>
      <c r="S118" s="91">
        <v>71.66</v>
      </c>
      <c r="T118" s="91">
        <v>70.569999999999993</v>
      </c>
      <c r="U118" s="91">
        <v>71.260000000000005</v>
      </c>
    </row>
    <row r="119" spans="1:21" x14ac:dyDescent="0.2">
      <c r="A119" s="48">
        <f t="shared" si="1"/>
        <v>111</v>
      </c>
      <c r="B119" s="20"/>
      <c r="C119" s="20"/>
      <c r="D119" s="20"/>
    </row>
    <row r="120" spans="1:21" x14ac:dyDescent="0.2">
      <c r="A120" s="48">
        <f t="shared" si="1"/>
        <v>112</v>
      </c>
      <c r="B120" s="43">
        <v>4</v>
      </c>
      <c r="C120" s="43">
        <v>1</v>
      </c>
      <c r="D120" s="38" t="s">
        <v>767</v>
      </c>
      <c r="E120" s="44" t="s">
        <v>107</v>
      </c>
      <c r="F120" s="44" t="s">
        <v>29</v>
      </c>
      <c r="G120" s="44" t="s">
        <v>108</v>
      </c>
      <c r="H120" s="44" t="s">
        <v>30</v>
      </c>
      <c r="I120" s="44" t="s">
        <v>30</v>
      </c>
      <c r="J120" s="44" t="s">
        <v>31</v>
      </c>
      <c r="K120" s="44" t="s">
        <v>109</v>
      </c>
      <c r="L120" s="40">
        <v>22749</v>
      </c>
      <c r="M120" s="41">
        <v>42250</v>
      </c>
      <c r="N120" s="40" t="s">
        <v>110</v>
      </c>
      <c r="O120" s="42">
        <v>42370</v>
      </c>
      <c r="P120" s="40">
        <v>51</v>
      </c>
      <c r="Q120" s="91">
        <v>103.49</v>
      </c>
      <c r="R120" s="91">
        <v>95.27</v>
      </c>
      <c r="S120" s="91">
        <v>97.24</v>
      </c>
      <c r="T120" s="91">
        <v>93.36</v>
      </c>
      <c r="U120" s="91">
        <v>93.77</v>
      </c>
    </row>
    <row r="121" spans="1:21" x14ac:dyDescent="0.2">
      <c r="A121" s="48">
        <f t="shared" si="1"/>
        <v>113</v>
      </c>
      <c r="B121" s="43">
        <v>4</v>
      </c>
      <c r="C121" s="43">
        <v>2</v>
      </c>
      <c r="D121" s="38" t="s">
        <v>768</v>
      </c>
      <c r="E121" s="44" t="s">
        <v>112</v>
      </c>
      <c r="F121" s="44" t="s">
        <v>29</v>
      </c>
      <c r="G121" s="44" t="s">
        <v>108</v>
      </c>
      <c r="H121" s="44" t="s">
        <v>30</v>
      </c>
      <c r="I121" s="44" t="s">
        <v>30</v>
      </c>
      <c r="J121" s="44" t="s">
        <v>32</v>
      </c>
      <c r="K121" s="44" t="s">
        <v>113</v>
      </c>
      <c r="L121" s="40">
        <v>22750</v>
      </c>
      <c r="M121" s="41">
        <v>42250</v>
      </c>
      <c r="N121" s="40" t="s">
        <v>110</v>
      </c>
      <c r="O121" s="42">
        <v>42370</v>
      </c>
      <c r="P121" s="40">
        <v>51</v>
      </c>
      <c r="Q121" s="91">
        <v>101.83</v>
      </c>
      <c r="R121" s="91">
        <v>94.99</v>
      </c>
      <c r="S121" s="91">
        <v>96.61</v>
      </c>
      <c r="T121" s="91">
        <v>92.97</v>
      </c>
      <c r="U121" s="91">
        <v>91.56</v>
      </c>
    </row>
    <row r="122" spans="1:21" x14ac:dyDescent="0.2">
      <c r="A122" s="48">
        <f t="shared" si="1"/>
        <v>114</v>
      </c>
      <c r="B122" s="43">
        <v>4</v>
      </c>
      <c r="C122" s="43">
        <v>3</v>
      </c>
      <c r="D122" s="38" t="s">
        <v>769</v>
      </c>
      <c r="E122" s="44" t="s">
        <v>115</v>
      </c>
      <c r="F122" s="44" t="s">
        <v>18</v>
      </c>
      <c r="G122" s="44" t="s">
        <v>108</v>
      </c>
      <c r="H122" s="44" t="s">
        <v>61</v>
      </c>
      <c r="I122" s="44" t="s">
        <v>116</v>
      </c>
      <c r="J122" s="44" t="s">
        <v>13</v>
      </c>
      <c r="K122" s="44" t="s">
        <v>117</v>
      </c>
      <c r="L122" s="40">
        <v>22751</v>
      </c>
      <c r="M122" s="41">
        <v>42250</v>
      </c>
      <c r="N122" s="40" t="s">
        <v>110</v>
      </c>
      <c r="O122" s="42">
        <v>42370</v>
      </c>
      <c r="P122" s="40">
        <v>51</v>
      </c>
      <c r="Q122" s="91">
        <v>63.92</v>
      </c>
      <c r="R122" s="91">
        <v>58.59</v>
      </c>
      <c r="S122" s="91">
        <v>59.06</v>
      </c>
      <c r="T122" s="91">
        <v>58.02</v>
      </c>
      <c r="U122" s="91">
        <v>59.07</v>
      </c>
    </row>
    <row r="123" spans="1:21" x14ac:dyDescent="0.2">
      <c r="A123" s="48">
        <f t="shared" si="1"/>
        <v>115</v>
      </c>
      <c r="B123" s="43">
        <v>4</v>
      </c>
      <c r="C123" s="43">
        <v>4</v>
      </c>
      <c r="D123" s="38" t="s">
        <v>770</v>
      </c>
      <c r="E123" s="44" t="s">
        <v>119</v>
      </c>
      <c r="F123" s="44" t="s">
        <v>18</v>
      </c>
      <c r="G123" s="44" t="s">
        <v>108</v>
      </c>
      <c r="H123" s="44" t="s">
        <v>61</v>
      </c>
      <c r="I123" s="44" t="s">
        <v>116</v>
      </c>
      <c r="J123" s="44" t="s">
        <v>19</v>
      </c>
      <c r="K123" s="44" t="s">
        <v>120</v>
      </c>
      <c r="L123" s="40">
        <v>22752</v>
      </c>
      <c r="M123" s="41">
        <v>42250</v>
      </c>
      <c r="N123" s="40" t="s">
        <v>110</v>
      </c>
      <c r="O123" s="42">
        <v>42370</v>
      </c>
      <c r="P123" s="40">
        <v>51</v>
      </c>
      <c r="Q123" s="91">
        <v>64.47</v>
      </c>
      <c r="R123" s="91">
        <v>60.34</v>
      </c>
      <c r="S123" s="91">
        <v>60.43</v>
      </c>
      <c r="T123" s="91">
        <v>59.73</v>
      </c>
      <c r="U123" s="91">
        <v>60.75</v>
      </c>
    </row>
    <row r="124" spans="1:21" x14ac:dyDescent="0.2">
      <c r="A124" s="48">
        <f t="shared" si="1"/>
        <v>116</v>
      </c>
      <c r="B124" s="43">
        <v>4</v>
      </c>
      <c r="C124" s="43">
        <v>5</v>
      </c>
      <c r="D124" s="38" t="s">
        <v>771</v>
      </c>
      <c r="E124" s="44" t="s">
        <v>122</v>
      </c>
      <c r="F124" s="44" t="s">
        <v>18</v>
      </c>
      <c r="G124" s="44" t="s">
        <v>108</v>
      </c>
      <c r="H124" s="44" t="s">
        <v>61</v>
      </c>
      <c r="I124" s="44" t="s">
        <v>116</v>
      </c>
      <c r="J124" s="44" t="s">
        <v>14</v>
      </c>
      <c r="K124" s="44" t="s">
        <v>123</v>
      </c>
      <c r="L124" s="40">
        <v>22753</v>
      </c>
      <c r="M124" s="41">
        <v>42250</v>
      </c>
      <c r="N124" s="40" t="s">
        <v>110</v>
      </c>
      <c r="O124" s="42">
        <v>42370</v>
      </c>
      <c r="P124" s="40">
        <v>51</v>
      </c>
      <c r="Q124" s="91">
        <v>64.03</v>
      </c>
      <c r="R124" s="91">
        <v>59.38</v>
      </c>
      <c r="S124" s="91">
        <v>59.56</v>
      </c>
      <c r="T124" s="91">
        <v>58.74</v>
      </c>
      <c r="U124" s="91">
        <v>59.74</v>
      </c>
    </row>
    <row r="125" spans="1:21" x14ac:dyDescent="0.2">
      <c r="A125" s="48">
        <f t="shared" si="1"/>
        <v>117</v>
      </c>
      <c r="B125" s="43">
        <v>4</v>
      </c>
      <c r="C125" s="43">
        <v>6</v>
      </c>
      <c r="D125" s="38" t="s">
        <v>772</v>
      </c>
      <c r="E125" s="44" t="s">
        <v>125</v>
      </c>
      <c r="F125" s="44" t="s">
        <v>23</v>
      </c>
      <c r="G125" s="44" t="s">
        <v>126</v>
      </c>
      <c r="H125" s="44" t="s">
        <v>127</v>
      </c>
      <c r="I125" s="44" t="s">
        <v>27</v>
      </c>
      <c r="J125" s="44" t="s">
        <v>28</v>
      </c>
      <c r="K125" s="44" t="s">
        <v>128</v>
      </c>
      <c r="L125" s="40">
        <v>22754</v>
      </c>
      <c r="M125" s="41">
        <v>42250</v>
      </c>
      <c r="N125" s="40" t="s">
        <v>110</v>
      </c>
      <c r="O125" s="42">
        <v>42370</v>
      </c>
      <c r="P125" s="40">
        <v>51</v>
      </c>
      <c r="Q125" s="91">
        <v>65.7</v>
      </c>
      <c r="R125" s="91">
        <v>62.57</v>
      </c>
      <c r="S125" s="91">
        <v>63.01</v>
      </c>
      <c r="T125" s="91">
        <v>62.45</v>
      </c>
      <c r="U125" s="91">
        <v>63.34</v>
      </c>
    </row>
    <row r="126" spans="1:21" x14ac:dyDescent="0.2">
      <c r="A126" s="48">
        <f t="shared" si="1"/>
        <v>118</v>
      </c>
      <c r="B126" s="43">
        <v>4</v>
      </c>
      <c r="C126" s="43">
        <v>7</v>
      </c>
      <c r="D126" s="38" t="s">
        <v>773</v>
      </c>
      <c r="E126" s="44" t="s">
        <v>130</v>
      </c>
      <c r="F126" s="44" t="s">
        <v>37</v>
      </c>
      <c r="G126" s="44" t="s">
        <v>108</v>
      </c>
      <c r="H126" s="44" t="s">
        <v>38</v>
      </c>
      <c r="I126" s="44" t="s">
        <v>38</v>
      </c>
      <c r="J126" s="44" t="s">
        <v>40</v>
      </c>
      <c r="K126" s="44" t="s">
        <v>123</v>
      </c>
      <c r="L126" s="40">
        <v>22756</v>
      </c>
      <c r="M126" s="41">
        <v>42250</v>
      </c>
      <c r="N126" s="40" t="s">
        <v>110</v>
      </c>
      <c r="O126" s="42">
        <v>42370</v>
      </c>
      <c r="P126" s="40">
        <v>51</v>
      </c>
      <c r="Q126" s="91">
        <v>90.27</v>
      </c>
      <c r="R126" s="91">
        <v>84.16</v>
      </c>
      <c r="S126" s="91">
        <v>85</v>
      </c>
      <c r="T126" s="91">
        <v>81.91</v>
      </c>
      <c r="U126" s="91">
        <v>81.290000000000006</v>
      </c>
    </row>
    <row r="127" spans="1:21" x14ac:dyDescent="0.2">
      <c r="A127" s="48">
        <f t="shared" si="1"/>
        <v>119</v>
      </c>
      <c r="B127" s="43">
        <v>4</v>
      </c>
      <c r="C127" s="43">
        <v>8</v>
      </c>
      <c r="D127" s="38" t="s">
        <v>774</v>
      </c>
      <c r="E127" s="44" t="s">
        <v>132</v>
      </c>
      <c r="F127" s="44" t="s">
        <v>37</v>
      </c>
      <c r="G127" s="44" t="s">
        <v>108</v>
      </c>
      <c r="H127" s="44" t="s">
        <v>38</v>
      </c>
      <c r="I127" s="44" t="s">
        <v>38</v>
      </c>
      <c r="J127" s="44" t="s">
        <v>39</v>
      </c>
      <c r="K127" s="44" t="s">
        <v>120</v>
      </c>
      <c r="L127" s="40">
        <v>22755</v>
      </c>
      <c r="M127" s="41">
        <v>42250</v>
      </c>
      <c r="N127" s="40" t="s">
        <v>110</v>
      </c>
      <c r="O127" s="42">
        <v>42370</v>
      </c>
      <c r="P127" s="40">
        <v>51</v>
      </c>
      <c r="Q127" s="91">
        <v>90.38</v>
      </c>
      <c r="R127" s="91">
        <v>85.08</v>
      </c>
      <c r="S127" s="91">
        <v>85.71</v>
      </c>
      <c r="T127" s="91">
        <v>82.92</v>
      </c>
      <c r="U127" s="91">
        <v>82.33</v>
      </c>
    </row>
    <row r="128" spans="1:21" x14ac:dyDescent="0.2">
      <c r="A128" s="48">
        <f t="shared" si="1"/>
        <v>120</v>
      </c>
      <c r="B128" s="43">
        <v>4</v>
      </c>
      <c r="C128" s="43">
        <v>9</v>
      </c>
      <c r="D128" s="38" t="s">
        <v>775</v>
      </c>
      <c r="E128" s="44" t="s">
        <v>134</v>
      </c>
      <c r="F128" s="44" t="s">
        <v>37</v>
      </c>
      <c r="G128" s="44" t="s">
        <v>108</v>
      </c>
      <c r="H128" s="44" t="s">
        <v>38</v>
      </c>
      <c r="I128" s="44" t="s">
        <v>38</v>
      </c>
      <c r="J128" s="44" t="s">
        <v>6</v>
      </c>
      <c r="K128" s="44" t="s">
        <v>117</v>
      </c>
      <c r="L128" s="40">
        <v>22757</v>
      </c>
      <c r="M128" s="41">
        <v>42250</v>
      </c>
      <c r="N128" s="40" t="s">
        <v>110</v>
      </c>
      <c r="O128" s="42">
        <v>42370</v>
      </c>
      <c r="P128" s="40">
        <v>51</v>
      </c>
      <c r="Q128" s="91">
        <v>89.83</v>
      </c>
      <c r="R128" s="91">
        <v>83.34</v>
      </c>
      <c r="S128" s="91">
        <v>84.36</v>
      </c>
      <c r="T128" s="91">
        <v>81.08</v>
      </c>
      <c r="U128" s="91">
        <v>80.45</v>
      </c>
    </row>
    <row r="129" spans="1:21" x14ac:dyDescent="0.2">
      <c r="A129" s="48">
        <f t="shared" si="1"/>
        <v>121</v>
      </c>
      <c r="B129" s="43">
        <v>4</v>
      </c>
      <c r="C129" s="43">
        <v>10</v>
      </c>
      <c r="D129" s="38" t="s">
        <v>776</v>
      </c>
      <c r="E129" s="44" t="s">
        <v>136</v>
      </c>
      <c r="F129" s="44" t="s">
        <v>23</v>
      </c>
      <c r="G129" s="44" t="s">
        <v>108</v>
      </c>
      <c r="H129" s="44" t="s">
        <v>137</v>
      </c>
      <c r="I129" s="44" t="s">
        <v>24</v>
      </c>
      <c r="J129" s="44" t="s">
        <v>25</v>
      </c>
      <c r="K129" s="44" t="s">
        <v>138</v>
      </c>
      <c r="L129" s="40">
        <v>22758</v>
      </c>
      <c r="M129" s="41">
        <v>42250</v>
      </c>
      <c r="N129" s="40" t="s">
        <v>110</v>
      </c>
      <c r="O129" s="42">
        <v>42370</v>
      </c>
      <c r="P129" s="40">
        <v>51</v>
      </c>
      <c r="Q129" s="91">
        <v>68.040000000000006</v>
      </c>
      <c r="R129" s="91">
        <v>63.97</v>
      </c>
      <c r="S129" s="91">
        <v>64.349999999999994</v>
      </c>
      <c r="T129" s="91">
        <v>63.69</v>
      </c>
      <c r="U129" s="91">
        <v>65.77</v>
      </c>
    </row>
    <row r="130" spans="1:21" x14ac:dyDescent="0.2">
      <c r="A130" s="48">
        <f t="shared" si="1"/>
        <v>122</v>
      </c>
      <c r="B130" s="43">
        <v>4</v>
      </c>
      <c r="C130" s="43">
        <v>11</v>
      </c>
      <c r="D130" s="38" t="s">
        <v>777</v>
      </c>
      <c r="E130" s="44" t="s">
        <v>140</v>
      </c>
      <c r="F130" s="44" t="s">
        <v>23</v>
      </c>
      <c r="G130" s="44" t="s">
        <v>108</v>
      </c>
      <c r="H130" s="44" t="s">
        <v>137</v>
      </c>
      <c r="I130" s="44" t="s">
        <v>24</v>
      </c>
      <c r="J130" s="44" t="s">
        <v>26</v>
      </c>
      <c r="K130" s="44" t="s">
        <v>141</v>
      </c>
      <c r="L130" s="40">
        <v>22759</v>
      </c>
      <c r="M130" s="41">
        <v>42250</v>
      </c>
      <c r="N130" s="40" t="s">
        <v>110</v>
      </c>
      <c r="O130" s="42">
        <v>42370</v>
      </c>
      <c r="P130" s="40">
        <v>51</v>
      </c>
      <c r="Q130" s="91">
        <v>67.38</v>
      </c>
      <c r="R130" s="91">
        <v>63.19</v>
      </c>
      <c r="S130" s="91">
        <v>63.6</v>
      </c>
      <c r="T130" s="91">
        <v>62.9</v>
      </c>
      <c r="U130" s="91">
        <v>64.98</v>
      </c>
    </row>
    <row r="131" spans="1:21" x14ac:dyDescent="0.2">
      <c r="A131" s="48">
        <f t="shared" si="1"/>
        <v>123</v>
      </c>
      <c r="B131" s="43">
        <v>4</v>
      </c>
      <c r="C131" s="43">
        <v>12</v>
      </c>
      <c r="D131" s="38" t="s">
        <v>778</v>
      </c>
      <c r="E131" s="44" t="s">
        <v>143</v>
      </c>
      <c r="F131" s="44" t="s">
        <v>18</v>
      </c>
      <c r="G131" s="44" t="s">
        <v>108</v>
      </c>
      <c r="H131" s="44" t="s">
        <v>94</v>
      </c>
      <c r="I131" s="44" t="s">
        <v>144</v>
      </c>
      <c r="J131" s="44" t="s">
        <v>20</v>
      </c>
      <c r="K131" s="44" t="s">
        <v>145</v>
      </c>
      <c r="L131" s="40">
        <v>22760</v>
      </c>
      <c r="M131" s="41">
        <v>42250</v>
      </c>
      <c r="N131" s="40" t="s">
        <v>110</v>
      </c>
      <c r="O131" s="42">
        <v>42370</v>
      </c>
      <c r="P131" s="40">
        <v>51</v>
      </c>
      <c r="Q131" s="91">
        <v>63.55</v>
      </c>
      <c r="R131" s="91">
        <v>60.1</v>
      </c>
      <c r="S131" s="91">
        <v>60.11</v>
      </c>
      <c r="T131" s="91">
        <v>59.48</v>
      </c>
      <c r="U131" s="91">
        <v>60.38</v>
      </c>
    </row>
    <row r="132" spans="1:21" x14ac:dyDescent="0.2">
      <c r="A132" s="48">
        <f t="shared" si="1"/>
        <v>124</v>
      </c>
      <c r="B132" s="43">
        <v>4</v>
      </c>
      <c r="C132" s="43">
        <v>13</v>
      </c>
      <c r="D132" s="38" t="s">
        <v>779</v>
      </c>
      <c r="E132" s="44" t="s">
        <v>147</v>
      </c>
      <c r="F132" s="44" t="s">
        <v>37</v>
      </c>
      <c r="G132" s="44" t="s">
        <v>108</v>
      </c>
      <c r="H132" s="44" t="s">
        <v>41</v>
      </c>
      <c r="I132" s="44" t="s">
        <v>41</v>
      </c>
      <c r="J132" s="44" t="s">
        <v>6</v>
      </c>
      <c r="K132" s="44" t="s">
        <v>128</v>
      </c>
      <c r="L132" s="40">
        <v>22761</v>
      </c>
      <c r="M132" s="41">
        <v>42250</v>
      </c>
      <c r="N132" s="40" t="s">
        <v>110</v>
      </c>
      <c r="O132" s="42">
        <v>42370</v>
      </c>
      <c r="P132" s="40">
        <v>51</v>
      </c>
      <c r="Q132" s="91">
        <v>90.52</v>
      </c>
      <c r="R132" s="91">
        <v>83.46</v>
      </c>
      <c r="S132" s="91">
        <v>84.42</v>
      </c>
      <c r="T132" s="91">
        <v>81.180000000000007</v>
      </c>
      <c r="U132" s="91">
        <v>82.26</v>
      </c>
    </row>
    <row r="133" spans="1:21" x14ac:dyDescent="0.2">
      <c r="A133" s="48">
        <f t="shared" si="1"/>
        <v>125</v>
      </c>
      <c r="B133" s="43">
        <v>4</v>
      </c>
      <c r="C133" s="43">
        <v>14</v>
      </c>
      <c r="D133" s="38" t="s">
        <v>780</v>
      </c>
      <c r="E133" s="44" t="s">
        <v>149</v>
      </c>
      <c r="F133" s="44" t="s">
        <v>5</v>
      </c>
      <c r="G133" s="44" t="s">
        <v>108</v>
      </c>
      <c r="H133" s="44" t="s">
        <v>46</v>
      </c>
      <c r="I133" s="44" t="s">
        <v>46</v>
      </c>
      <c r="J133" s="44" t="s">
        <v>6</v>
      </c>
      <c r="K133" s="44" t="s">
        <v>128</v>
      </c>
      <c r="L133" s="40">
        <v>22762</v>
      </c>
      <c r="M133" s="41">
        <v>42250</v>
      </c>
      <c r="N133" s="40" t="s">
        <v>110</v>
      </c>
      <c r="O133" s="42">
        <v>42370</v>
      </c>
      <c r="P133" s="40">
        <v>51</v>
      </c>
      <c r="Q133" s="91">
        <v>75.17</v>
      </c>
      <c r="R133" s="91">
        <v>70.489999999999995</v>
      </c>
      <c r="S133" s="91">
        <v>70.77</v>
      </c>
      <c r="T133" s="91">
        <v>69.95</v>
      </c>
      <c r="U133" s="91">
        <v>71.03</v>
      </c>
    </row>
    <row r="134" spans="1:21" x14ac:dyDescent="0.2">
      <c r="A134" s="48">
        <f t="shared" si="1"/>
        <v>126</v>
      </c>
      <c r="B134" s="43">
        <v>4</v>
      </c>
      <c r="C134" s="43">
        <v>15</v>
      </c>
      <c r="D134" s="38" t="s">
        <v>781</v>
      </c>
      <c r="E134" s="44" t="s">
        <v>151</v>
      </c>
      <c r="F134" s="44" t="s">
        <v>18</v>
      </c>
      <c r="G134" s="44" t="s">
        <v>108</v>
      </c>
      <c r="H134" s="44" t="s">
        <v>21</v>
      </c>
      <c r="I134" s="44" t="s">
        <v>152</v>
      </c>
      <c r="J134" s="44" t="s">
        <v>22</v>
      </c>
      <c r="K134" s="44" t="s">
        <v>128</v>
      </c>
      <c r="L134" s="40">
        <v>22763</v>
      </c>
      <c r="M134" s="41">
        <v>42250</v>
      </c>
      <c r="N134" s="40" t="s">
        <v>110</v>
      </c>
      <c r="O134" s="42">
        <v>42370</v>
      </c>
      <c r="P134" s="40">
        <v>51</v>
      </c>
      <c r="Q134" s="91">
        <v>62.33</v>
      </c>
      <c r="R134" s="91">
        <v>58.87</v>
      </c>
      <c r="S134" s="91">
        <v>58.73</v>
      </c>
      <c r="T134" s="91">
        <v>58.19</v>
      </c>
      <c r="U134" s="91">
        <v>59.01</v>
      </c>
    </row>
    <row r="135" spans="1:21" x14ac:dyDescent="0.2">
      <c r="A135" s="48">
        <f t="shared" si="1"/>
        <v>127</v>
      </c>
      <c r="B135" s="43">
        <v>4</v>
      </c>
      <c r="C135" s="43">
        <v>16</v>
      </c>
      <c r="D135" s="38" t="s">
        <v>782</v>
      </c>
      <c r="E135" s="44" t="s">
        <v>154</v>
      </c>
      <c r="F135" s="44" t="s">
        <v>18</v>
      </c>
      <c r="G135" s="44" t="s">
        <v>108</v>
      </c>
      <c r="H135" s="44" t="s">
        <v>62</v>
      </c>
      <c r="I135" s="44" t="s">
        <v>155</v>
      </c>
      <c r="J135" s="44" t="s">
        <v>6</v>
      </c>
      <c r="K135" s="44" t="s">
        <v>128</v>
      </c>
      <c r="L135" s="40">
        <v>22764</v>
      </c>
      <c r="M135" s="41">
        <v>42250</v>
      </c>
      <c r="N135" s="40" t="s">
        <v>110</v>
      </c>
      <c r="O135" s="42">
        <v>42370</v>
      </c>
      <c r="P135" s="40">
        <v>51</v>
      </c>
      <c r="Q135" s="91">
        <v>78.39</v>
      </c>
      <c r="R135" s="91">
        <v>69.7</v>
      </c>
      <c r="S135" s="91">
        <v>67.47</v>
      </c>
      <c r="T135" s="91">
        <v>65.260000000000005</v>
      </c>
      <c r="U135" s="91">
        <v>64.44</v>
      </c>
    </row>
    <row r="136" spans="1:21" x14ac:dyDescent="0.2">
      <c r="A136" s="48">
        <f t="shared" si="1"/>
        <v>128</v>
      </c>
      <c r="B136" s="43">
        <v>4</v>
      </c>
      <c r="C136" s="43">
        <v>17</v>
      </c>
      <c r="D136" s="38" t="s">
        <v>783</v>
      </c>
      <c r="E136" s="44" t="s">
        <v>157</v>
      </c>
      <c r="F136" s="44" t="s">
        <v>29</v>
      </c>
      <c r="G136" s="44" t="s">
        <v>108</v>
      </c>
      <c r="H136" s="44" t="s">
        <v>33</v>
      </c>
      <c r="I136" s="44" t="s">
        <v>33</v>
      </c>
      <c r="J136" s="44" t="s">
        <v>7</v>
      </c>
      <c r="K136" s="44" t="s">
        <v>123</v>
      </c>
      <c r="L136" s="40">
        <v>22765</v>
      </c>
      <c r="M136" s="41">
        <v>42250</v>
      </c>
      <c r="N136" s="40" t="s">
        <v>110</v>
      </c>
      <c r="O136" s="42">
        <v>42370</v>
      </c>
      <c r="P136" s="40">
        <v>51</v>
      </c>
      <c r="Q136" s="91">
        <v>92.94</v>
      </c>
      <c r="R136" s="91">
        <v>85.72</v>
      </c>
      <c r="S136" s="91">
        <v>87.96</v>
      </c>
      <c r="T136" s="91">
        <v>84.93</v>
      </c>
      <c r="U136" s="91">
        <v>86.23</v>
      </c>
    </row>
    <row r="137" spans="1:21" x14ac:dyDescent="0.2">
      <c r="A137" s="48">
        <f t="shared" si="1"/>
        <v>129</v>
      </c>
      <c r="B137" s="43">
        <v>4</v>
      </c>
      <c r="C137" s="43">
        <v>18</v>
      </c>
      <c r="D137" s="38" t="s">
        <v>784</v>
      </c>
      <c r="E137" s="44" t="s">
        <v>159</v>
      </c>
      <c r="F137" s="44" t="s">
        <v>29</v>
      </c>
      <c r="G137" s="44" t="s">
        <v>108</v>
      </c>
      <c r="H137" s="44" t="s">
        <v>33</v>
      </c>
      <c r="I137" s="44" t="s">
        <v>33</v>
      </c>
      <c r="J137" s="44" t="s">
        <v>8</v>
      </c>
      <c r="K137" s="44" t="s">
        <v>120</v>
      </c>
      <c r="L137" s="40">
        <v>22766</v>
      </c>
      <c r="M137" s="41">
        <v>42250</v>
      </c>
      <c r="N137" s="40" t="s">
        <v>110</v>
      </c>
      <c r="O137" s="42">
        <v>42370</v>
      </c>
      <c r="P137" s="40">
        <v>51</v>
      </c>
      <c r="Q137" s="91">
        <v>91.08</v>
      </c>
      <c r="R137" s="91">
        <v>88.88</v>
      </c>
      <c r="S137" s="91">
        <v>89.76</v>
      </c>
      <c r="T137" s="91">
        <v>88.17</v>
      </c>
      <c r="U137" s="91">
        <v>89.5</v>
      </c>
    </row>
    <row r="138" spans="1:21" x14ac:dyDescent="0.2">
      <c r="A138" s="48">
        <f t="shared" si="1"/>
        <v>130</v>
      </c>
      <c r="B138" s="43">
        <v>4</v>
      </c>
      <c r="C138" s="43">
        <v>19</v>
      </c>
      <c r="D138" s="38" t="s">
        <v>785</v>
      </c>
      <c r="E138" s="44" t="s">
        <v>161</v>
      </c>
      <c r="F138" s="44" t="s">
        <v>29</v>
      </c>
      <c r="G138" s="44" t="s">
        <v>108</v>
      </c>
      <c r="H138" s="44" t="s">
        <v>33</v>
      </c>
      <c r="I138" s="44" t="s">
        <v>33</v>
      </c>
      <c r="J138" s="44" t="s">
        <v>9</v>
      </c>
      <c r="K138" s="44" t="s">
        <v>117</v>
      </c>
      <c r="L138" s="40">
        <v>22767</v>
      </c>
      <c r="M138" s="41">
        <v>42250</v>
      </c>
      <c r="N138" s="40" t="s">
        <v>110</v>
      </c>
      <c r="O138" s="42">
        <v>42370</v>
      </c>
      <c r="P138" s="40">
        <v>51</v>
      </c>
      <c r="Q138" s="91">
        <v>93.03</v>
      </c>
      <c r="R138" s="91">
        <v>87.09</v>
      </c>
      <c r="S138" s="91">
        <v>89.01</v>
      </c>
      <c r="T138" s="91">
        <v>86.17</v>
      </c>
      <c r="U138" s="91">
        <v>87.45</v>
      </c>
    </row>
    <row r="139" spans="1:21" x14ac:dyDescent="0.2">
      <c r="A139" s="48">
        <f t="shared" ref="A139:A202" si="2">A138+1</f>
        <v>131</v>
      </c>
      <c r="B139" s="43">
        <v>4</v>
      </c>
      <c r="C139" s="43">
        <v>20</v>
      </c>
      <c r="D139" s="38" t="s">
        <v>786</v>
      </c>
      <c r="E139" s="44" t="s">
        <v>163</v>
      </c>
      <c r="F139" s="44" t="s">
        <v>5</v>
      </c>
      <c r="G139" s="44" t="s">
        <v>108</v>
      </c>
      <c r="H139" s="44" t="s">
        <v>164</v>
      </c>
      <c r="I139" s="44" t="s">
        <v>165</v>
      </c>
      <c r="J139" s="44" t="s">
        <v>7</v>
      </c>
      <c r="K139" s="44" t="s">
        <v>123</v>
      </c>
      <c r="L139" s="40">
        <v>22769</v>
      </c>
      <c r="M139" s="41">
        <v>42250</v>
      </c>
      <c r="N139" s="40" t="s">
        <v>110</v>
      </c>
      <c r="O139" s="42">
        <v>42370</v>
      </c>
      <c r="P139" s="40">
        <v>51</v>
      </c>
      <c r="Q139" s="91">
        <v>73.569999999999993</v>
      </c>
      <c r="R139" s="91">
        <v>67.09</v>
      </c>
      <c r="S139" s="91">
        <v>68.44</v>
      </c>
      <c r="T139" s="91">
        <v>65.45</v>
      </c>
      <c r="U139" s="91">
        <v>65.31</v>
      </c>
    </row>
    <row r="140" spans="1:21" x14ac:dyDescent="0.2">
      <c r="A140" s="48">
        <f t="shared" si="2"/>
        <v>132</v>
      </c>
      <c r="B140" s="43">
        <v>4</v>
      </c>
      <c r="C140" s="43">
        <v>21</v>
      </c>
      <c r="D140" s="38" t="s">
        <v>787</v>
      </c>
      <c r="E140" s="44" t="s">
        <v>167</v>
      </c>
      <c r="F140" s="44" t="s">
        <v>5</v>
      </c>
      <c r="G140" s="44" t="s">
        <v>108</v>
      </c>
      <c r="H140" s="44" t="s">
        <v>164</v>
      </c>
      <c r="I140" s="44" t="s">
        <v>165</v>
      </c>
      <c r="J140" s="44" t="s">
        <v>8</v>
      </c>
      <c r="K140" s="44" t="s">
        <v>120</v>
      </c>
      <c r="L140" s="40">
        <v>22768</v>
      </c>
      <c r="M140" s="41">
        <v>42250</v>
      </c>
      <c r="N140" s="40" t="s">
        <v>110</v>
      </c>
      <c r="O140" s="42">
        <v>42370</v>
      </c>
      <c r="P140" s="40">
        <v>51</v>
      </c>
      <c r="Q140" s="91">
        <v>74.55</v>
      </c>
      <c r="R140" s="91">
        <v>68.2</v>
      </c>
      <c r="S140" s="91">
        <v>69.48</v>
      </c>
      <c r="T140" s="91">
        <v>66.56</v>
      </c>
      <c r="U140" s="91">
        <v>66.430000000000007</v>
      </c>
    </row>
    <row r="141" spans="1:21" x14ac:dyDescent="0.2">
      <c r="A141" s="48">
        <f t="shared" si="2"/>
        <v>133</v>
      </c>
      <c r="B141" s="43">
        <v>4</v>
      </c>
      <c r="C141" s="43">
        <v>22</v>
      </c>
      <c r="D141" s="38" t="s">
        <v>788</v>
      </c>
      <c r="E141" s="44" t="s">
        <v>169</v>
      </c>
      <c r="F141" s="44" t="s">
        <v>5</v>
      </c>
      <c r="G141" s="44" t="s">
        <v>108</v>
      </c>
      <c r="H141" s="44" t="s">
        <v>164</v>
      </c>
      <c r="I141" s="44" t="s">
        <v>165</v>
      </c>
      <c r="J141" s="44" t="s">
        <v>9</v>
      </c>
      <c r="K141" s="44" t="s">
        <v>117</v>
      </c>
      <c r="L141" s="40">
        <v>22770</v>
      </c>
      <c r="M141" s="41">
        <v>42250</v>
      </c>
      <c r="N141" s="40" t="s">
        <v>110</v>
      </c>
      <c r="O141" s="42">
        <v>42370</v>
      </c>
      <c r="P141" s="40">
        <v>51</v>
      </c>
      <c r="Q141" s="91">
        <v>75.53</v>
      </c>
      <c r="R141" s="91">
        <v>67.67</v>
      </c>
      <c r="S141" s="91">
        <v>69.41</v>
      </c>
      <c r="T141" s="91">
        <v>66.010000000000005</v>
      </c>
      <c r="U141" s="91">
        <v>65.88</v>
      </c>
    </row>
    <row r="142" spans="1:21" x14ac:dyDescent="0.2">
      <c r="A142" s="48">
        <f t="shared" si="2"/>
        <v>134</v>
      </c>
      <c r="B142" s="43">
        <v>4</v>
      </c>
      <c r="C142" s="43">
        <v>23</v>
      </c>
      <c r="D142" s="38" t="s">
        <v>789</v>
      </c>
      <c r="E142" s="44" t="s">
        <v>171</v>
      </c>
      <c r="F142" s="44" t="s">
        <v>5</v>
      </c>
      <c r="G142" s="44" t="s">
        <v>108</v>
      </c>
      <c r="H142" s="44" t="s">
        <v>11</v>
      </c>
      <c r="I142" s="44" t="s">
        <v>11</v>
      </c>
      <c r="J142" s="44" t="s">
        <v>6</v>
      </c>
      <c r="K142" s="44" t="s">
        <v>128</v>
      </c>
      <c r="L142" s="40">
        <v>22771</v>
      </c>
      <c r="M142" s="41">
        <v>42250</v>
      </c>
      <c r="N142" s="40" t="s">
        <v>110</v>
      </c>
      <c r="O142" s="42">
        <v>42370</v>
      </c>
      <c r="P142" s="40">
        <v>51</v>
      </c>
      <c r="Q142" s="91">
        <v>78.67</v>
      </c>
      <c r="R142" s="91">
        <v>71.540000000000006</v>
      </c>
      <c r="S142" s="91">
        <v>73.09</v>
      </c>
      <c r="T142" s="91">
        <v>69.75</v>
      </c>
      <c r="U142" s="91">
        <v>70.58</v>
      </c>
    </row>
    <row r="143" spans="1:21" x14ac:dyDescent="0.2">
      <c r="A143" s="48">
        <f t="shared" si="2"/>
        <v>135</v>
      </c>
      <c r="B143" s="43">
        <v>4</v>
      </c>
      <c r="C143" s="43">
        <v>24</v>
      </c>
      <c r="D143" s="38" t="s">
        <v>790</v>
      </c>
      <c r="E143" s="44" t="s">
        <v>173</v>
      </c>
      <c r="F143" s="44" t="s">
        <v>5</v>
      </c>
      <c r="G143" s="44" t="s">
        <v>108</v>
      </c>
      <c r="H143" s="44" t="s">
        <v>10</v>
      </c>
      <c r="I143" s="44" t="s">
        <v>174</v>
      </c>
      <c r="J143" s="44" t="s">
        <v>7</v>
      </c>
      <c r="K143" s="44" t="s">
        <v>123</v>
      </c>
      <c r="L143" s="40">
        <v>22772</v>
      </c>
      <c r="M143" s="41">
        <v>42250</v>
      </c>
      <c r="N143" s="40" t="s">
        <v>110</v>
      </c>
      <c r="O143" s="42">
        <v>42370</v>
      </c>
      <c r="P143" s="40">
        <v>51</v>
      </c>
      <c r="Q143" s="91">
        <v>73.540000000000006</v>
      </c>
      <c r="R143" s="91">
        <v>69.64</v>
      </c>
      <c r="S143" s="91">
        <v>70.209999999999994</v>
      </c>
      <c r="T143" s="91">
        <v>67.72</v>
      </c>
      <c r="U143" s="91">
        <v>67.25</v>
      </c>
    </row>
    <row r="144" spans="1:21" x14ac:dyDescent="0.2">
      <c r="A144" s="48">
        <f t="shared" si="2"/>
        <v>136</v>
      </c>
      <c r="B144" s="43">
        <v>4</v>
      </c>
      <c r="C144" s="43">
        <v>25</v>
      </c>
      <c r="D144" s="38" t="s">
        <v>791</v>
      </c>
      <c r="E144" s="44" t="s">
        <v>176</v>
      </c>
      <c r="F144" s="44" t="s">
        <v>5</v>
      </c>
      <c r="G144" s="44" t="s">
        <v>108</v>
      </c>
      <c r="H144" s="44" t="s">
        <v>10</v>
      </c>
      <c r="I144" s="44" t="s">
        <v>174</v>
      </c>
      <c r="J144" s="44" t="s">
        <v>8</v>
      </c>
      <c r="K144" s="44" t="s">
        <v>120</v>
      </c>
      <c r="L144" s="40">
        <v>22773</v>
      </c>
      <c r="M144" s="41">
        <v>42250</v>
      </c>
      <c r="N144" s="40" t="s">
        <v>110</v>
      </c>
      <c r="O144" s="42">
        <v>42370</v>
      </c>
      <c r="P144" s="40">
        <v>51</v>
      </c>
      <c r="Q144" s="91">
        <v>74.709999999999994</v>
      </c>
      <c r="R144" s="91">
        <v>70.86</v>
      </c>
      <c r="S144" s="91">
        <v>71.42</v>
      </c>
      <c r="T144" s="91">
        <v>68.930000000000007</v>
      </c>
      <c r="U144" s="91">
        <v>68.48</v>
      </c>
    </row>
    <row r="145" spans="1:21" x14ac:dyDescent="0.2">
      <c r="A145" s="48">
        <f t="shared" si="2"/>
        <v>137</v>
      </c>
      <c r="B145" s="43">
        <v>4</v>
      </c>
      <c r="C145" s="43">
        <v>26</v>
      </c>
      <c r="D145" s="38" t="s">
        <v>792</v>
      </c>
      <c r="E145" s="44" t="s">
        <v>178</v>
      </c>
      <c r="F145" s="44" t="s">
        <v>5</v>
      </c>
      <c r="G145" s="44" t="s">
        <v>108</v>
      </c>
      <c r="H145" s="44" t="s">
        <v>10</v>
      </c>
      <c r="I145" s="44" t="s">
        <v>174</v>
      </c>
      <c r="J145" s="44" t="s">
        <v>9</v>
      </c>
      <c r="K145" s="44" t="s">
        <v>117</v>
      </c>
      <c r="L145" s="40">
        <v>22774</v>
      </c>
      <c r="M145" s="41">
        <v>42250</v>
      </c>
      <c r="N145" s="40" t="s">
        <v>110</v>
      </c>
      <c r="O145" s="42">
        <v>42370</v>
      </c>
      <c r="P145" s="40">
        <v>51</v>
      </c>
      <c r="Q145" s="91">
        <v>74.459999999999994</v>
      </c>
      <c r="R145" s="91">
        <v>70.709999999999994</v>
      </c>
      <c r="S145" s="91">
        <v>71.400000000000006</v>
      </c>
      <c r="T145" s="91">
        <v>68.819999999999993</v>
      </c>
      <c r="U145" s="91">
        <v>68.42</v>
      </c>
    </row>
    <row r="146" spans="1:21" x14ac:dyDescent="0.2">
      <c r="A146" s="48">
        <f t="shared" si="2"/>
        <v>138</v>
      </c>
      <c r="B146" s="43">
        <v>4</v>
      </c>
      <c r="C146" s="43">
        <v>27</v>
      </c>
      <c r="D146" s="38" t="s">
        <v>793</v>
      </c>
      <c r="E146" s="44" t="s">
        <v>180</v>
      </c>
      <c r="F146" s="44" t="s">
        <v>5</v>
      </c>
      <c r="G146" s="44" t="s">
        <v>108</v>
      </c>
      <c r="H146" s="44" t="s">
        <v>91</v>
      </c>
      <c r="I146" s="44" t="s">
        <v>181</v>
      </c>
      <c r="J146" s="44" t="s">
        <v>6</v>
      </c>
      <c r="K146" s="44" t="s">
        <v>128</v>
      </c>
      <c r="L146" s="40">
        <v>22775</v>
      </c>
      <c r="M146" s="41">
        <v>42250</v>
      </c>
      <c r="N146" s="40" t="s">
        <v>110</v>
      </c>
      <c r="O146" s="42">
        <v>42370</v>
      </c>
      <c r="P146" s="40">
        <v>51</v>
      </c>
      <c r="Q146" s="91">
        <v>89.16</v>
      </c>
      <c r="R146" s="91">
        <v>80.55</v>
      </c>
      <c r="S146" s="91">
        <v>78.33</v>
      </c>
      <c r="T146" s="91">
        <v>76.150000000000006</v>
      </c>
      <c r="U146" s="91">
        <v>75.38</v>
      </c>
    </row>
    <row r="147" spans="1:21" x14ac:dyDescent="0.2">
      <c r="A147" s="48">
        <f t="shared" si="2"/>
        <v>139</v>
      </c>
      <c r="B147" s="43">
        <v>4</v>
      </c>
      <c r="C147" s="43">
        <v>28</v>
      </c>
      <c r="D147" s="38" t="s">
        <v>794</v>
      </c>
      <c r="E147" s="44" t="s">
        <v>183</v>
      </c>
      <c r="F147" s="44" t="s">
        <v>37</v>
      </c>
      <c r="G147" s="44" t="s">
        <v>108</v>
      </c>
      <c r="H147" s="44" t="s">
        <v>42</v>
      </c>
      <c r="I147" s="44" t="s">
        <v>42</v>
      </c>
      <c r="J147" s="44" t="s">
        <v>6</v>
      </c>
      <c r="K147" s="44" t="s">
        <v>128</v>
      </c>
      <c r="L147" s="40">
        <v>22776</v>
      </c>
      <c r="M147" s="41">
        <v>42250</v>
      </c>
      <c r="N147" s="40" t="s">
        <v>110</v>
      </c>
      <c r="O147" s="42">
        <v>42370</v>
      </c>
      <c r="P147" s="40">
        <v>51</v>
      </c>
      <c r="Q147" s="91">
        <v>89.16</v>
      </c>
      <c r="R147" s="91">
        <v>83.94</v>
      </c>
      <c r="S147" s="91">
        <v>84.32</v>
      </c>
      <c r="T147" s="91">
        <v>81.38</v>
      </c>
      <c r="U147" s="91">
        <v>80.69</v>
      </c>
    </row>
    <row r="148" spans="1:21" x14ac:dyDescent="0.2">
      <c r="A148" s="48">
        <f t="shared" si="2"/>
        <v>140</v>
      </c>
      <c r="B148" s="43">
        <v>4</v>
      </c>
      <c r="C148" s="43">
        <v>29</v>
      </c>
      <c r="D148" s="38" t="s">
        <v>795</v>
      </c>
      <c r="E148" s="44" t="s">
        <v>185</v>
      </c>
      <c r="F148" s="44" t="s">
        <v>37</v>
      </c>
      <c r="G148" s="44" t="s">
        <v>108</v>
      </c>
      <c r="H148" s="44" t="s">
        <v>42</v>
      </c>
      <c r="I148" s="44" t="s">
        <v>42</v>
      </c>
      <c r="J148" s="44" t="s">
        <v>43</v>
      </c>
      <c r="K148" s="44" t="s">
        <v>186</v>
      </c>
      <c r="L148" s="40">
        <v>22777</v>
      </c>
      <c r="M148" s="41">
        <v>42250</v>
      </c>
      <c r="N148" s="40" t="s">
        <v>110</v>
      </c>
      <c r="O148" s="42">
        <v>42370</v>
      </c>
      <c r="P148" s="40">
        <v>51</v>
      </c>
      <c r="Q148" s="91">
        <v>87.41</v>
      </c>
      <c r="R148" s="91">
        <v>81.790000000000006</v>
      </c>
      <c r="S148" s="91">
        <v>82.26</v>
      </c>
      <c r="T148" s="91">
        <v>79.209999999999994</v>
      </c>
      <c r="U148" s="91">
        <v>78.459999999999994</v>
      </c>
    </row>
    <row r="149" spans="1:21" x14ac:dyDescent="0.2">
      <c r="A149" s="48">
        <f t="shared" si="2"/>
        <v>141</v>
      </c>
      <c r="B149" s="43">
        <v>4</v>
      </c>
      <c r="C149" s="43">
        <v>30</v>
      </c>
      <c r="D149" s="38" t="s">
        <v>796</v>
      </c>
      <c r="E149" s="44" t="s">
        <v>188</v>
      </c>
      <c r="F149" s="44" t="s">
        <v>37</v>
      </c>
      <c r="G149" s="44" t="s">
        <v>108</v>
      </c>
      <c r="H149" s="44" t="s">
        <v>42</v>
      </c>
      <c r="I149" s="44" t="s">
        <v>42</v>
      </c>
      <c r="J149" s="44" t="s">
        <v>44</v>
      </c>
      <c r="K149" s="44" t="s">
        <v>44</v>
      </c>
      <c r="L149" s="40">
        <v>22778</v>
      </c>
      <c r="M149" s="41">
        <v>42250</v>
      </c>
      <c r="N149" s="40" t="s">
        <v>110</v>
      </c>
      <c r="O149" s="42">
        <v>42370</v>
      </c>
      <c r="P149" s="40">
        <v>51</v>
      </c>
      <c r="Q149" s="91">
        <v>87.41</v>
      </c>
      <c r="R149" s="91">
        <v>81.44</v>
      </c>
      <c r="S149" s="91">
        <v>82.08</v>
      </c>
      <c r="T149" s="91">
        <v>79.010000000000005</v>
      </c>
      <c r="U149" s="91">
        <v>78.319999999999993</v>
      </c>
    </row>
    <row r="150" spans="1:21" x14ac:dyDescent="0.2">
      <c r="A150" s="48">
        <f t="shared" si="2"/>
        <v>142</v>
      </c>
      <c r="B150" s="43">
        <v>4</v>
      </c>
      <c r="C150" s="43">
        <v>31</v>
      </c>
      <c r="D150" s="38" t="s">
        <v>797</v>
      </c>
      <c r="E150" s="44" t="s">
        <v>190</v>
      </c>
      <c r="F150" s="44" t="s">
        <v>37</v>
      </c>
      <c r="G150" s="44" t="s">
        <v>108</v>
      </c>
      <c r="H150" s="44" t="s">
        <v>45</v>
      </c>
      <c r="I150" s="44" t="s">
        <v>45</v>
      </c>
      <c r="J150" s="44" t="s">
        <v>6</v>
      </c>
      <c r="K150" s="44" t="s">
        <v>128</v>
      </c>
      <c r="L150" s="40">
        <v>22779</v>
      </c>
      <c r="M150" s="41">
        <v>42250</v>
      </c>
      <c r="N150" s="40" t="s">
        <v>110</v>
      </c>
      <c r="O150" s="42">
        <v>42370</v>
      </c>
      <c r="P150" s="40">
        <v>51</v>
      </c>
      <c r="Q150" s="91">
        <v>74.22</v>
      </c>
      <c r="R150" s="91">
        <v>72.16</v>
      </c>
      <c r="S150" s="91">
        <v>71.77</v>
      </c>
      <c r="T150" s="91">
        <v>71.73</v>
      </c>
      <c r="U150" s="91">
        <v>72.900000000000006</v>
      </c>
    </row>
    <row r="151" spans="1:21" x14ac:dyDescent="0.2">
      <c r="A151" s="48">
        <f t="shared" si="2"/>
        <v>143</v>
      </c>
      <c r="B151" s="43">
        <v>4</v>
      </c>
      <c r="C151" s="43">
        <v>32</v>
      </c>
      <c r="D151" s="38" t="s">
        <v>798</v>
      </c>
      <c r="E151" s="44" t="s">
        <v>192</v>
      </c>
      <c r="F151" s="44" t="s">
        <v>5</v>
      </c>
      <c r="G151" s="44" t="s">
        <v>108</v>
      </c>
      <c r="H151" s="44" t="s">
        <v>12</v>
      </c>
      <c r="I151" s="44" t="s">
        <v>12</v>
      </c>
      <c r="J151" s="44" t="s">
        <v>13</v>
      </c>
      <c r="K151" s="44" t="s">
        <v>117</v>
      </c>
      <c r="L151" s="40">
        <v>22780</v>
      </c>
      <c r="M151" s="41">
        <v>42250</v>
      </c>
      <c r="N151" s="40" t="s">
        <v>110</v>
      </c>
      <c r="O151" s="42">
        <v>42370</v>
      </c>
      <c r="P151" s="40">
        <v>51</v>
      </c>
      <c r="Q151" s="91">
        <v>83.38</v>
      </c>
      <c r="R151" s="91">
        <v>76.459999999999994</v>
      </c>
      <c r="S151" s="91">
        <v>77.95</v>
      </c>
      <c r="T151" s="91">
        <v>74.430000000000007</v>
      </c>
      <c r="U151" s="91">
        <v>73.83</v>
      </c>
    </row>
    <row r="152" spans="1:21" x14ac:dyDescent="0.2">
      <c r="A152" s="48">
        <f t="shared" si="2"/>
        <v>144</v>
      </c>
      <c r="B152" s="43">
        <v>4</v>
      </c>
      <c r="C152" s="43">
        <v>33</v>
      </c>
      <c r="D152" s="38" t="s">
        <v>799</v>
      </c>
      <c r="E152" s="44" t="s">
        <v>194</v>
      </c>
      <c r="F152" s="44" t="s">
        <v>5</v>
      </c>
      <c r="G152" s="44" t="s">
        <v>108</v>
      </c>
      <c r="H152" s="44" t="s">
        <v>12</v>
      </c>
      <c r="I152" s="44" t="s">
        <v>12</v>
      </c>
      <c r="J152" s="44" t="s">
        <v>14</v>
      </c>
      <c r="K152" s="44" t="s">
        <v>123</v>
      </c>
      <c r="L152" s="40">
        <v>22781</v>
      </c>
      <c r="M152" s="41">
        <v>42250</v>
      </c>
      <c r="N152" s="40" t="s">
        <v>110</v>
      </c>
      <c r="O152" s="42">
        <v>42370</v>
      </c>
      <c r="P152" s="40">
        <v>51</v>
      </c>
      <c r="Q152" s="91">
        <v>84.2</v>
      </c>
      <c r="R152" s="91">
        <v>77.33</v>
      </c>
      <c r="S152" s="91">
        <v>78.790000000000006</v>
      </c>
      <c r="T152" s="91">
        <v>75.34</v>
      </c>
      <c r="U152" s="91">
        <v>74.790000000000006</v>
      </c>
    </row>
    <row r="153" spans="1:21" x14ac:dyDescent="0.2">
      <c r="A153" s="48">
        <f t="shared" si="2"/>
        <v>145</v>
      </c>
      <c r="B153" s="43">
        <v>4</v>
      </c>
      <c r="C153" s="43">
        <v>34</v>
      </c>
      <c r="D153" s="38" t="s">
        <v>800</v>
      </c>
      <c r="E153" s="44" t="s">
        <v>196</v>
      </c>
      <c r="F153" s="44" t="s">
        <v>29</v>
      </c>
      <c r="G153" s="44" t="s">
        <v>108</v>
      </c>
      <c r="H153" s="44" t="s">
        <v>34</v>
      </c>
      <c r="I153" s="44" t="s">
        <v>34</v>
      </c>
      <c r="J153" s="44" t="s">
        <v>35</v>
      </c>
      <c r="K153" s="44" t="s">
        <v>197</v>
      </c>
      <c r="L153" s="40">
        <v>22782</v>
      </c>
      <c r="M153" s="41">
        <v>42250</v>
      </c>
      <c r="N153" s="40" t="s">
        <v>110</v>
      </c>
      <c r="O153" s="42">
        <v>42370</v>
      </c>
      <c r="P153" s="40">
        <v>51</v>
      </c>
      <c r="Q153" s="91">
        <v>110.17</v>
      </c>
      <c r="R153" s="91">
        <v>104.57</v>
      </c>
      <c r="S153" s="91">
        <v>107.66</v>
      </c>
      <c r="T153" s="91">
        <v>104.68</v>
      </c>
      <c r="U153" s="91">
        <v>104.83</v>
      </c>
    </row>
    <row r="154" spans="1:21" x14ac:dyDescent="0.2">
      <c r="A154" s="48">
        <f t="shared" si="2"/>
        <v>146</v>
      </c>
      <c r="B154" s="43">
        <v>4</v>
      </c>
      <c r="C154" s="43">
        <v>35</v>
      </c>
      <c r="D154" s="38" t="s">
        <v>801</v>
      </c>
      <c r="E154" s="44" t="s">
        <v>199</v>
      </c>
      <c r="F154" s="44" t="s">
        <v>29</v>
      </c>
      <c r="G154" s="44" t="s">
        <v>108</v>
      </c>
      <c r="H154" s="44" t="s">
        <v>34</v>
      </c>
      <c r="I154" s="44" t="s">
        <v>34</v>
      </c>
      <c r="J154" s="44" t="s">
        <v>36</v>
      </c>
      <c r="K154" s="44" t="s">
        <v>200</v>
      </c>
      <c r="L154" s="40">
        <v>22783</v>
      </c>
      <c r="M154" s="41">
        <v>42250</v>
      </c>
      <c r="N154" s="40" t="s">
        <v>110</v>
      </c>
      <c r="O154" s="42">
        <v>42370</v>
      </c>
      <c r="P154" s="40">
        <v>51</v>
      </c>
      <c r="Q154" s="91">
        <v>108.41</v>
      </c>
      <c r="R154" s="91">
        <v>103.23</v>
      </c>
      <c r="S154" s="91">
        <v>106.24</v>
      </c>
      <c r="T154" s="91">
        <v>103.24</v>
      </c>
      <c r="U154" s="91">
        <v>103.35</v>
      </c>
    </row>
    <row r="155" spans="1:21" x14ac:dyDescent="0.2">
      <c r="A155" s="48">
        <f t="shared" si="2"/>
        <v>147</v>
      </c>
      <c r="B155" s="43">
        <v>4</v>
      </c>
      <c r="C155" s="43">
        <v>36</v>
      </c>
      <c r="D155" s="38" t="s">
        <v>802</v>
      </c>
      <c r="E155" s="44" t="s">
        <v>202</v>
      </c>
      <c r="F155" s="44" t="s">
        <v>5</v>
      </c>
      <c r="G155" s="44" t="s">
        <v>108</v>
      </c>
      <c r="H155" s="44" t="s">
        <v>15</v>
      </c>
      <c r="I155" s="44" t="s">
        <v>203</v>
      </c>
      <c r="J155" s="44" t="s">
        <v>16</v>
      </c>
      <c r="K155" s="44" t="s">
        <v>128</v>
      </c>
      <c r="L155" s="40">
        <v>22784</v>
      </c>
      <c r="M155" s="41">
        <v>42250</v>
      </c>
      <c r="N155" s="40" t="s">
        <v>110</v>
      </c>
      <c r="O155" s="42">
        <v>42370</v>
      </c>
      <c r="P155" s="40">
        <v>51</v>
      </c>
      <c r="Q155" s="91">
        <v>75.92</v>
      </c>
      <c r="R155" s="91">
        <v>70.98</v>
      </c>
      <c r="S155" s="91">
        <v>71.34</v>
      </c>
      <c r="T155" s="91">
        <v>70.349999999999994</v>
      </c>
      <c r="U155" s="91">
        <v>71.25</v>
      </c>
    </row>
    <row r="156" spans="1:21" x14ac:dyDescent="0.2">
      <c r="A156" s="48">
        <f t="shared" si="2"/>
        <v>148</v>
      </c>
      <c r="B156" s="20"/>
      <c r="C156" s="20"/>
      <c r="D156" s="20"/>
    </row>
    <row r="157" spans="1:21" x14ac:dyDescent="0.2">
      <c r="A157" s="48">
        <f t="shared" si="2"/>
        <v>149</v>
      </c>
      <c r="B157" s="43">
        <v>5</v>
      </c>
      <c r="C157" s="43">
        <v>1</v>
      </c>
      <c r="D157" s="38" t="s">
        <v>803</v>
      </c>
      <c r="E157" s="44" t="s">
        <v>107</v>
      </c>
      <c r="F157" s="44" t="s">
        <v>29</v>
      </c>
      <c r="G157" s="44" t="s">
        <v>108</v>
      </c>
      <c r="H157" s="44" t="s">
        <v>30</v>
      </c>
      <c r="I157" s="44" t="s">
        <v>30</v>
      </c>
      <c r="J157" s="44" t="s">
        <v>31</v>
      </c>
      <c r="K157" s="44" t="s">
        <v>109</v>
      </c>
      <c r="L157" s="40">
        <v>22749</v>
      </c>
      <c r="M157" s="41">
        <v>42250</v>
      </c>
      <c r="N157" s="40" t="s">
        <v>110</v>
      </c>
      <c r="O157" s="42">
        <v>42401</v>
      </c>
      <c r="P157" s="40">
        <v>52</v>
      </c>
      <c r="Q157" s="91">
        <v>96.29</v>
      </c>
      <c r="R157" s="91">
        <v>95.2</v>
      </c>
      <c r="S157" s="91">
        <v>94.78</v>
      </c>
      <c r="T157" s="91">
        <v>93.11</v>
      </c>
      <c r="U157" s="91">
        <v>93.94</v>
      </c>
    </row>
    <row r="158" spans="1:21" x14ac:dyDescent="0.2">
      <c r="A158" s="48">
        <f t="shared" si="2"/>
        <v>150</v>
      </c>
      <c r="B158" s="43">
        <v>5</v>
      </c>
      <c r="C158" s="43">
        <v>2</v>
      </c>
      <c r="D158" s="38" t="s">
        <v>804</v>
      </c>
      <c r="E158" s="44" t="s">
        <v>112</v>
      </c>
      <c r="F158" s="44" t="s">
        <v>29</v>
      </c>
      <c r="G158" s="44" t="s">
        <v>108</v>
      </c>
      <c r="H158" s="44" t="s">
        <v>30</v>
      </c>
      <c r="I158" s="44" t="s">
        <v>30</v>
      </c>
      <c r="J158" s="44" t="s">
        <v>32</v>
      </c>
      <c r="K158" s="44" t="s">
        <v>113</v>
      </c>
      <c r="L158" s="40">
        <v>22750</v>
      </c>
      <c r="M158" s="41">
        <v>42250</v>
      </c>
      <c r="N158" s="40" t="s">
        <v>110</v>
      </c>
      <c r="O158" s="42">
        <v>42401</v>
      </c>
      <c r="P158" s="40">
        <v>52</v>
      </c>
      <c r="Q158" s="91">
        <v>96.2</v>
      </c>
      <c r="R158" s="91">
        <v>94.91</v>
      </c>
      <c r="S158" s="91">
        <v>94.56</v>
      </c>
      <c r="T158" s="91">
        <v>92.68</v>
      </c>
      <c r="U158" s="91">
        <v>91.7</v>
      </c>
    </row>
    <row r="159" spans="1:21" x14ac:dyDescent="0.2">
      <c r="A159" s="48">
        <f t="shared" si="2"/>
        <v>151</v>
      </c>
      <c r="B159" s="43">
        <v>5</v>
      </c>
      <c r="C159" s="43">
        <v>3</v>
      </c>
      <c r="D159" s="38" t="s">
        <v>805</v>
      </c>
      <c r="E159" s="44" t="s">
        <v>115</v>
      </c>
      <c r="F159" s="44" t="s">
        <v>18</v>
      </c>
      <c r="G159" s="44" t="s">
        <v>108</v>
      </c>
      <c r="H159" s="44" t="s">
        <v>61</v>
      </c>
      <c r="I159" s="44" t="s">
        <v>116</v>
      </c>
      <c r="J159" s="44" t="s">
        <v>13</v>
      </c>
      <c r="K159" s="44" t="s">
        <v>117</v>
      </c>
      <c r="L159" s="40">
        <v>22751</v>
      </c>
      <c r="M159" s="41">
        <v>42250</v>
      </c>
      <c r="N159" s="40" t="s">
        <v>110</v>
      </c>
      <c r="O159" s="42">
        <v>42401</v>
      </c>
      <c r="P159" s="40">
        <v>52</v>
      </c>
      <c r="Q159" s="91">
        <v>61.19</v>
      </c>
      <c r="R159" s="91">
        <v>58.36</v>
      </c>
      <c r="S159" s="91">
        <v>58.37</v>
      </c>
      <c r="T159" s="91">
        <v>58.07</v>
      </c>
      <c r="U159" s="91">
        <v>59.27</v>
      </c>
    </row>
    <row r="160" spans="1:21" x14ac:dyDescent="0.2">
      <c r="A160" s="48">
        <f t="shared" si="2"/>
        <v>152</v>
      </c>
      <c r="B160" s="43">
        <v>5</v>
      </c>
      <c r="C160" s="43">
        <v>4</v>
      </c>
      <c r="D160" s="38" t="s">
        <v>806</v>
      </c>
      <c r="E160" s="44" t="s">
        <v>119</v>
      </c>
      <c r="F160" s="44" t="s">
        <v>18</v>
      </c>
      <c r="G160" s="44" t="s">
        <v>108</v>
      </c>
      <c r="H160" s="44" t="s">
        <v>61</v>
      </c>
      <c r="I160" s="44" t="s">
        <v>116</v>
      </c>
      <c r="J160" s="44" t="s">
        <v>19</v>
      </c>
      <c r="K160" s="44" t="s">
        <v>120</v>
      </c>
      <c r="L160" s="40">
        <v>22752</v>
      </c>
      <c r="M160" s="41">
        <v>42250</v>
      </c>
      <c r="N160" s="40" t="s">
        <v>110</v>
      </c>
      <c r="O160" s="42">
        <v>42401</v>
      </c>
      <c r="P160" s="40">
        <v>52</v>
      </c>
      <c r="Q160" s="91">
        <v>62.15</v>
      </c>
      <c r="R160" s="91">
        <v>60.1</v>
      </c>
      <c r="S160" s="91">
        <v>59.85</v>
      </c>
      <c r="T160" s="91">
        <v>59.78</v>
      </c>
      <c r="U160" s="91">
        <v>60.94</v>
      </c>
    </row>
    <row r="161" spans="1:21" x14ac:dyDescent="0.2">
      <c r="A161" s="48">
        <f t="shared" si="2"/>
        <v>153</v>
      </c>
      <c r="B161" s="43">
        <v>5</v>
      </c>
      <c r="C161" s="43">
        <v>5</v>
      </c>
      <c r="D161" s="38" t="s">
        <v>807</v>
      </c>
      <c r="E161" s="44" t="s">
        <v>122</v>
      </c>
      <c r="F161" s="44" t="s">
        <v>18</v>
      </c>
      <c r="G161" s="44" t="s">
        <v>108</v>
      </c>
      <c r="H161" s="44" t="s">
        <v>61</v>
      </c>
      <c r="I161" s="44" t="s">
        <v>116</v>
      </c>
      <c r="J161" s="44" t="s">
        <v>14</v>
      </c>
      <c r="K161" s="44" t="s">
        <v>123</v>
      </c>
      <c r="L161" s="40">
        <v>22753</v>
      </c>
      <c r="M161" s="41">
        <v>42250</v>
      </c>
      <c r="N161" s="40" t="s">
        <v>110</v>
      </c>
      <c r="O161" s="42">
        <v>42401</v>
      </c>
      <c r="P161" s="40">
        <v>52</v>
      </c>
      <c r="Q161" s="91">
        <v>61.25</v>
      </c>
      <c r="R161" s="91">
        <v>59.13</v>
      </c>
      <c r="S161" s="91">
        <v>58.88</v>
      </c>
      <c r="T161" s="91">
        <v>58.77</v>
      </c>
      <c r="U161" s="91">
        <v>59.92</v>
      </c>
    </row>
    <row r="162" spans="1:21" x14ac:dyDescent="0.2">
      <c r="A162" s="48">
        <f t="shared" si="2"/>
        <v>154</v>
      </c>
      <c r="B162" s="43">
        <v>5</v>
      </c>
      <c r="C162" s="43">
        <v>6</v>
      </c>
      <c r="D162" s="38" t="s">
        <v>808</v>
      </c>
      <c r="E162" s="44" t="s">
        <v>125</v>
      </c>
      <c r="F162" s="44" t="s">
        <v>23</v>
      </c>
      <c r="G162" s="44" t="s">
        <v>126</v>
      </c>
      <c r="H162" s="44" t="s">
        <v>127</v>
      </c>
      <c r="I162" s="44" t="s">
        <v>27</v>
      </c>
      <c r="J162" s="44" t="s">
        <v>28</v>
      </c>
      <c r="K162" s="44" t="s">
        <v>128</v>
      </c>
      <c r="L162" s="40">
        <v>22754</v>
      </c>
      <c r="M162" s="41">
        <v>42250</v>
      </c>
      <c r="N162" s="40" t="s">
        <v>110</v>
      </c>
      <c r="O162" s="42">
        <v>42401</v>
      </c>
      <c r="P162" s="40">
        <v>52</v>
      </c>
      <c r="Q162" s="91">
        <v>63.66</v>
      </c>
      <c r="R162" s="91">
        <v>62.61</v>
      </c>
      <c r="S162" s="91">
        <v>62.56</v>
      </c>
      <c r="T162" s="91">
        <v>62.66</v>
      </c>
      <c r="U162" s="91">
        <v>63.57</v>
      </c>
    </row>
    <row r="163" spans="1:21" x14ac:dyDescent="0.2">
      <c r="A163" s="48">
        <f t="shared" si="2"/>
        <v>155</v>
      </c>
      <c r="B163" s="43">
        <v>5</v>
      </c>
      <c r="C163" s="43">
        <v>7</v>
      </c>
      <c r="D163" s="38" t="s">
        <v>809</v>
      </c>
      <c r="E163" s="44" t="s">
        <v>130</v>
      </c>
      <c r="F163" s="44" t="s">
        <v>37</v>
      </c>
      <c r="G163" s="44" t="s">
        <v>108</v>
      </c>
      <c r="H163" s="44" t="s">
        <v>38</v>
      </c>
      <c r="I163" s="44" t="s">
        <v>38</v>
      </c>
      <c r="J163" s="44" t="s">
        <v>40</v>
      </c>
      <c r="K163" s="44" t="s">
        <v>123</v>
      </c>
      <c r="L163" s="40">
        <v>22756</v>
      </c>
      <c r="M163" s="41">
        <v>42250</v>
      </c>
      <c r="N163" s="40" t="s">
        <v>110</v>
      </c>
      <c r="O163" s="42">
        <v>42401</v>
      </c>
      <c r="P163" s="40">
        <v>52</v>
      </c>
      <c r="Q163" s="91">
        <v>86.56</v>
      </c>
      <c r="R163" s="91">
        <v>84.08</v>
      </c>
      <c r="S163" s="91">
        <v>83.61</v>
      </c>
      <c r="T163" s="91">
        <v>81.72</v>
      </c>
      <c r="U163" s="91">
        <v>81.2</v>
      </c>
    </row>
    <row r="164" spans="1:21" x14ac:dyDescent="0.2">
      <c r="A164" s="48">
        <f t="shared" si="2"/>
        <v>156</v>
      </c>
      <c r="B164" s="43">
        <v>5</v>
      </c>
      <c r="C164" s="43">
        <v>8</v>
      </c>
      <c r="D164" s="38" t="s">
        <v>810</v>
      </c>
      <c r="E164" s="44" t="s">
        <v>132</v>
      </c>
      <c r="F164" s="44" t="s">
        <v>37</v>
      </c>
      <c r="G164" s="44" t="s">
        <v>108</v>
      </c>
      <c r="H164" s="44" t="s">
        <v>38</v>
      </c>
      <c r="I164" s="44" t="s">
        <v>38</v>
      </c>
      <c r="J164" s="44" t="s">
        <v>39</v>
      </c>
      <c r="K164" s="44" t="s">
        <v>120</v>
      </c>
      <c r="L164" s="40">
        <v>22755</v>
      </c>
      <c r="M164" s="41">
        <v>42250</v>
      </c>
      <c r="N164" s="40" t="s">
        <v>110</v>
      </c>
      <c r="O164" s="42">
        <v>42401</v>
      </c>
      <c r="P164" s="40">
        <v>52</v>
      </c>
      <c r="Q164" s="91">
        <v>87.14</v>
      </c>
      <c r="R164" s="91">
        <v>84.98</v>
      </c>
      <c r="S164" s="91">
        <v>84.43</v>
      </c>
      <c r="T164" s="91">
        <v>82.72</v>
      </c>
      <c r="U164" s="91">
        <v>82.23</v>
      </c>
    </row>
    <row r="165" spans="1:21" x14ac:dyDescent="0.2">
      <c r="A165" s="48">
        <f t="shared" si="2"/>
        <v>157</v>
      </c>
      <c r="B165" s="43">
        <v>5</v>
      </c>
      <c r="C165" s="43">
        <v>9</v>
      </c>
      <c r="D165" s="38" t="s">
        <v>811</v>
      </c>
      <c r="E165" s="44" t="s">
        <v>134</v>
      </c>
      <c r="F165" s="44" t="s">
        <v>37</v>
      </c>
      <c r="G165" s="44" t="s">
        <v>108</v>
      </c>
      <c r="H165" s="44" t="s">
        <v>38</v>
      </c>
      <c r="I165" s="44" t="s">
        <v>38</v>
      </c>
      <c r="J165" s="44" t="s">
        <v>6</v>
      </c>
      <c r="K165" s="44" t="s">
        <v>117</v>
      </c>
      <c r="L165" s="40">
        <v>22757</v>
      </c>
      <c r="M165" s="41">
        <v>42250</v>
      </c>
      <c r="N165" s="40" t="s">
        <v>110</v>
      </c>
      <c r="O165" s="42">
        <v>42401</v>
      </c>
      <c r="P165" s="40">
        <v>52</v>
      </c>
      <c r="Q165" s="91">
        <v>85.78</v>
      </c>
      <c r="R165" s="91">
        <v>83.26</v>
      </c>
      <c r="S165" s="91">
        <v>82.86</v>
      </c>
      <c r="T165" s="91">
        <v>80.88</v>
      </c>
      <c r="U165" s="91">
        <v>80.36</v>
      </c>
    </row>
    <row r="166" spans="1:21" x14ac:dyDescent="0.2">
      <c r="A166" s="48">
        <f t="shared" si="2"/>
        <v>158</v>
      </c>
      <c r="B166" s="43">
        <v>5</v>
      </c>
      <c r="C166" s="43">
        <v>10</v>
      </c>
      <c r="D166" s="38" t="s">
        <v>812</v>
      </c>
      <c r="E166" s="44" t="s">
        <v>136</v>
      </c>
      <c r="F166" s="44" t="s">
        <v>23</v>
      </c>
      <c r="G166" s="44" t="s">
        <v>108</v>
      </c>
      <c r="H166" s="44" t="s">
        <v>137</v>
      </c>
      <c r="I166" s="44" t="s">
        <v>24</v>
      </c>
      <c r="J166" s="44" t="s">
        <v>25</v>
      </c>
      <c r="K166" s="44" t="s">
        <v>138</v>
      </c>
      <c r="L166" s="40">
        <v>22758</v>
      </c>
      <c r="M166" s="41">
        <v>42250</v>
      </c>
      <c r="N166" s="40" t="s">
        <v>110</v>
      </c>
      <c r="O166" s="42">
        <v>42401</v>
      </c>
      <c r="P166" s="40">
        <v>52</v>
      </c>
      <c r="Q166" s="91">
        <v>66.55</v>
      </c>
      <c r="R166" s="91">
        <v>63.8</v>
      </c>
      <c r="S166" s="91">
        <v>64.06</v>
      </c>
      <c r="T166" s="91">
        <v>63.77</v>
      </c>
      <c r="U166" s="91">
        <v>66.11</v>
      </c>
    </row>
    <row r="167" spans="1:21" x14ac:dyDescent="0.2">
      <c r="A167" s="48">
        <f t="shared" si="2"/>
        <v>159</v>
      </c>
      <c r="B167" s="43">
        <v>5</v>
      </c>
      <c r="C167" s="43">
        <v>11</v>
      </c>
      <c r="D167" s="38" t="s">
        <v>813</v>
      </c>
      <c r="E167" s="44" t="s">
        <v>140</v>
      </c>
      <c r="F167" s="44" t="s">
        <v>23</v>
      </c>
      <c r="G167" s="44" t="s">
        <v>108</v>
      </c>
      <c r="H167" s="44" t="s">
        <v>137</v>
      </c>
      <c r="I167" s="44" t="s">
        <v>24</v>
      </c>
      <c r="J167" s="44" t="s">
        <v>26</v>
      </c>
      <c r="K167" s="44" t="s">
        <v>141</v>
      </c>
      <c r="L167" s="40">
        <v>22759</v>
      </c>
      <c r="M167" s="41">
        <v>42250</v>
      </c>
      <c r="N167" s="40" t="s">
        <v>110</v>
      </c>
      <c r="O167" s="42">
        <v>42401</v>
      </c>
      <c r="P167" s="40">
        <v>52</v>
      </c>
      <c r="Q167" s="91">
        <v>65.84</v>
      </c>
      <c r="R167" s="91">
        <v>63.01</v>
      </c>
      <c r="S167" s="91">
        <v>63.28</v>
      </c>
      <c r="T167" s="91">
        <v>62.98</v>
      </c>
      <c r="U167" s="91">
        <v>65.319999999999993</v>
      </c>
    </row>
    <row r="168" spans="1:21" x14ac:dyDescent="0.2">
      <c r="A168" s="48">
        <f t="shared" si="2"/>
        <v>160</v>
      </c>
      <c r="B168" s="43">
        <v>5</v>
      </c>
      <c r="C168" s="43">
        <v>12</v>
      </c>
      <c r="D168" s="38" t="s">
        <v>814</v>
      </c>
      <c r="E168" s="44" t="s">
        <v>143</v>
      </c>
      <c r="F168" s="44" t="s">
        <v>18</v>
      </c>
      <c r="G168" s="44" t="s">
        <v>108</v>
      </c>
      <c r="H168" s="44" t="s">
        <v>94</v>
      </c>
      <c r="I168" s="44" t="s">
        <v>144</v>
      </c>
      <c r="J168" s="44" t="s">
        <v>20</v>
      </c>
      <c r="K168" s="44" t="s">
        <v>145</v>
      </c>
      <c r="L168" s="40">
        <v>22760</v>
      </c>
      <c r="M168" s="41">
        <v>42250</v>
      </c>
      <c r="N168" s="40" t="s">
        <v>110</v>
      </c>
      <c r="O168" s="42">
        <v>42401</v>
      </c>
      <c r="P168" s="40">
        <v>52</v>
      </c>
      <c r="Q168" s="91">
        <v>62.87</v>
      </c>
      <c r="R168" s="91">
        <v>59.87</v>
      </c>
      <c r="S168" s="91">
        <v>59.96</v>
      </c>
      <c r="T168" s="91">
        <v>59.5</v>
      </c>
      <c r="U168" s="91">
        <v>60.53</v>
      </c>
    </row>
    <row r="169" spans="1:21" x14ac:dyDescent="0.2">
      <c r="A169" s="48">
        <f t="shared" si="2"/>
        <v>161</v>
      </c>
      <c r="B169" s="43">
        <v>5</v>
      </c>
      <c r="C169" s="43">
        <v>13</v>
      </c>
      <c r="D169" s="38" t="s">
        <v>815</v>
      </c>
      <c r="E169" s="44" t="s">
        <v>147</v>
      </c>
      <c r="F169" s="44" t="s">
        <v>37</v>
      </c>
      <c r="G169" s="44" t="s">
        <v>108</v>
      </c>
      <c r="H169" s="44" t="s">
        <v>41</v>
      </c>
      <c r="I169" s="44" t="s">
        <v>41</v>
      </c>
      <c r="J169" s="44" t="s">
        <v>6</v>
      </c>
      <c r="K169" s="44" t="s">
        <v>128</v>
      </c>
      <c r="L169" s="40">
        <v>22761</v>
      </c>
      <c r="M169" s="41">
        <v>42250</v>
      </c>
      <c r="N169" s="40" t="s">
        <v>110</v>
      </c>
      <c r="O169" s="42">
        <v>42401</v>
      </c>
      <c r="P169" s="40">
        <v>52</v>
      </c>
      <c r="Q169" s="91">
        <v>84.52</v>
      </c>
      <c r="R169" s="91">
        <v>83.2</v>
      </c>
      <c r="S169" s="91">
        <v>82.28</v>
      </c>
      <c r="T169" s="91">
        <v>80.91</v>
      </c>
      <c r="U169" s="91">
        <v>82.38</v>
      </c>
    </row>
    <row r="170" spans="1:21" x14ac:dyDescent="0.2">
      <c r="A170" s="48">
        <f t="shared" si="2"/>
        <v>162</v>
      </c>
      <c r="B170" s="43">
        <v>5</v>
      </c>
      <c r="C170" s="43">
        <v>14</v>
      </c>
      <c r="D170" s="38" t="s">
        <v>816</v>
      </c>
      <c r="E170" s="44" t="s">
        <v>149</v>
      </c>
      <c r="F170" s="44" t="s">
        <v>5</v>
      </c>
      <c r="G170" s="44" t="s">
        <v>108</v>
      </c>
      <c r="H170" s="44" t="s">
        <v>46</v>
      </c>
      <c r="I170" s="44" t="s">
        <v>46</v>
      </c>
      <c r="J170" s="44" t="s">
        <v>6</v>
      </c>
      <c r="K170" s="44" t="s">
        <v>128</v>
      </c>
      <c r="L170" s="40">
        <v>22762</v>
      </c>
      <c r="M170" s="41">
        <v>42250</v>
      </c>
      <c r="N170" s="40" t="s">
        <v>110</v>
      </c>
      <c r="O170" s="42">
        <v>42401</v>
      </c>
      <c r="P170" s="40">
        <v>52</v>
      </c>
      <c r="Q170" s="91">
        <v>72.94</v>
      </c>
      <c r="R170" s="91">
        <v>70.209999999999994</v>
      </c>
      <c r="S170" s="91">
        <v>70.209999999999994</v>
      </c>
      <c r="T170" s="91">
        <v>69.97</v>
      </c>
      <c r="U170" s="91">
        <v>71.209999999999994</v>
      </c>
    </row>
    <row r="171" spans="1:21" x14ac:dyDescent="0.2">
      <c r="A171" s="48">
        <f t="shared" si="2"/>
        <v>163</v>
      </c>
      <c r="B171" s="43">
        <v>5</v>
      </c>
      <c r="C171" s="43">
        <v>15</v>
      </c>
      <c r="D171" s="38" t="s">
        <v>817</v>
      </c>
      <c r="E171" s="44" t="s">
        <v>151</v>
      </c>
      <c r="F171" s="44" t="s">
        <v>18</v>
      </c>
      <c r="G171" s="44" t="s">
        <v>108</v>
      </c>
      <c r="H171" s="44" t="s">
        <v>21</v>
      </c>
      <c r="I171" s="44" t="s">
        <v>152</v>
      </c>
      <c r="J171" s="44" t="s">
        <v>22</v>
      </c>
      <c r="K171" s="44" t="s">
        <v>128</v>
      </c>
      <c r="L171" s="40">
        <v>22763</v>
      </c>
      <c r="M171" s="41">
        <v>42250</v>
      </c>
      <c r="N171" s="40" t="s">
        <v>110</v>
      </c>
      <c r="O171" s="42">
        <v>42401</v>
      </c>
      <c r="P171" s="40">
        <v>52</v>
      </c>
      <c r="Q171" s="91">
        <v>60.61</v>
      </c>
      <c r="R171" s="91">
        <v>58.61</v>
      </c>
      <c r="S171" s="91">
        <v>58.33</v>
      </c>
      <c r="T171" s="91">
        <v>58.2</v>
      </c>
      <c r="U171" s="91">
        <v>59.16</v>
      </c>
    </row>
    <row r="172" spans="1:21" x14ac:dyDescent="0.2">
      <c r="A172" s="48">
        <f t="shared" si="2"/>
        <v>164</v>
      </c>
      <c r="B172" s="43">
        <v>5</v>
      </c>
      <c r="C172" s="43">
        <v>16</v>
      </c>
      <c r="D172" s="38" t="s">
        <v>818</v>
      </c>
      <c r="E172" s="44" t="s">
        <v>154</v>
      </c>
      <c r="F172" s="44" t="s">
        <v>18</v>
      </c>
      <c r="G172" s="44" t="s">
        <v>108</v>
      </c>
      <c r="H172" s="44" t="s">
        <v>62</v>
      </c>
      <c r="I172" s="44" t="s">
        <v>155</v>
      </c>
      <c r="J172" s="44" t="s">
        <v>6</v>
      </c>
      <c r="K172" s="44" t="s">
        <v>128</v>
      </c>
      <c r="L172" s="40">
        <v>22764</v>
      </c>
      <c r="M172" s="41">
        <v>42250</v>
      </c>
      <c r="N172" s="40" t="s">
        <v>110</v>
      </c>
      <c r="O172" s="42">
        <v>42401</v>
      </c>
      <c r="P172" s="40">
        <v>52</v>
      </c>
      <c r="Q172" s="91">
        <v>75.61</v>
      </c>
      <c r="R172" s="91">
        <v>68.28</v>
      </c>
      <c r="S172" s="91">
        <v>66.400000000000006</v>
      </c>
      <c r="T172" s="91">
        <v>64.56</v>
      </c>
      <c r="U172" s="91">
        <v>64.12</v>
      </c>
    </row>
    <row r="173" spans="1:21" x14ac:dyDescent="0.2">
      <c r="A173" s="48">
        <f t="shared" si="2"/>
        <v>165</v>
      </c>
      <c r="B173" s="43">
        <v>5</v>
      </c>
      <c r="C173" s="43">
        <v>17</v>
      </c>
      <c r="D173" s="38" t="s">
        <v>819</v>
      </c>
      <c r="E173" s="44" t="s">
        <v>157</v>
      </c>
      <c r="F173" s="44" t="s">
        <v>29</v>
      </c>
      <c r="G173" s="44" t="s">
        <v>108</v>
      </c>
      <c r="H173" s="44" t="s">
        <v>33</v>
      </c>
      <c r="I173" s="44" t="s">
        <v>33</v>
      </c>
      <c r="J173" s="44" t="s">
        <v>7</v>
      </c>
      <c r="K173" s="44" t="s">
        <v>123</v>
      </c>
      <c r="L173" s="40">
        <v>22765</v>
      </c>
      <c r="M173" s="41">
        <v>42250</v>
      </c>
      <c r="N173" s="40" t="s">
        <v>110</v>
      </c>
      <c r="O173" s="42">
        <v>42401</v>
      </c>
      <c r="P173" s="40">
        <v>52</v>
      </c>
      <c r="Q173" s="91">
        <v>87.22</v>
      </c>
      <c r="R173" s="91">
        <v>85.72</v>
      </c>
      <c r="S173" s="91">
        <v>86.21</v>
      </c>
      <c r="T173" s="91">
        <v>84.78</v>
      </c>
      <c r="U173" s="91">
        <v>86.4</v>
      </c>
    </row>
    <row r="174" spans="1:21" x14ac:dyDescent="0.2">
      <c r="A174" s="48">
        <f t="shared" si="2"/>
        <v>166</v>
      </c>
      <c r="B174" s="43">
        <v>5</v>
      </c>
      <c r="C174" s="43">
        <v>18</v>
      </c>
      <c r="D174" s="38" t="s">
        <v>820</v>
      </c>
      <c r="E174" s="44" t="s">
        <v>159</v>
      </c>
      <c r="F174" s="44" t="s">
        <v>29</v>
      </c>
      <c r="G174" s="44" t="s">
        <v>108</v>
      </c>
      <c r="H174" s="44" t="s">
        <v>33</v>
      </c>
      <c r="I174" s="44" t="s">
        <v>33</v>
      </c>
      <c r="J174" s="44" t="s">
        <v>8</v>
      </c>
      <c r="K174" s="44" t="s">
        <v>120</v>
      </c>
      <c r="L174" s="40">
        <v>22766</v>
      </c>
      <c r="M174" s="41">
        <v>42250</v>
      </c>
      <c r="N174" s="40" t="s">
        <v>110</v>
      </c>
      <c r="O174" s="42">
        <v>42401</v>
      </c>
      <c r="P174" s="40">
        <v>52</v>
      </c>
      <c r="Q174" s="91">
        <v>87.01</v>
      </c>
      <c r="R174" s="91">
        <v>88.91</v>
      </c>
      <c r="S174" s="91">
        <v>88.34</v>
      </c>
      <c r="T174" s="91">
        <v>88.06</v>
      </c>
      <c r="U174" s="91">
        <v>89.68</v>
      </c>
    </row>
    <row r="175" spans="1:21" x14ac:dyDescent="0.2">
      <c r="A175" s="48">
        <f t="shared" si="2"/>
        <v>167</v>
      </c>
      <c r="B175" s="43">
        <v>5</v>
      </c>
      <c r="C175" s="43">
        <v>19</v>
      </c>
      <c r="D175" s="38" t="s">
        <v>821</v>
      </c>
      <c r="E175" s="44" t="s">
        <v>161</v>
      </c>
      <c r="F175" s="44" t="s">
        <v>29</v>
      </c>
      <c r="G175" s="44" t="s">
        <v>108</v>
      </c>
      <c r="H175" s="44" t="s">
        <v>33</v>
      </c>
      <c r="I175" s="44" t="s">
        <v>33</v>
      </c>
      <c r="J175" s="44" t="s">
        <v>9</v>
      </c>
      <c r="K175" s="44" t="s">
        <v>117</v>
      </c>
      <c r="L175" s="40">
        <v>22767</v>
      </c>
      <c r="M175" s="41">
        <v>42250</v>
      </c>
      <c r="N175" s="40" t="s">
        <v>110</v>
      </c>
      <c r="O175" s="42">
        <v>42401</v>
      </c>
      <c r="P175" s="40">
        <v>52</v>
      </c>
      <c r="Q175" s="91">
        <v>88.12</v>
      </c>
      <c r="R175" s="91">
        <v>87.09</v>
      </c>
      <c r="S175" s="91">
        <v>87.38</v>
      </c>
      <c r="T175" s="91">
        <v>86.02</v>
      </c>
      <c r="U175" s="91">
        <v>87.61</v>
      </c>
    </row>
    <row r="176" spans="1:21" x14ac:dyDescent="0.2">
      <c r="A176" s="48">
        <f t="shared" si="2"/>
        <v>168</v>
      </c>
      <c r="B176" s="43">
        <v>5</v>
      </c>
      <c r="C176" s="43">
        <v>20</v>
      </c>
      <c r="D176" s="38" t="s">
        <v>822</v>
      </c>
      <c r="E176" s="44" t="s">
        <v>163</v>
      </c>
      <c r="F176" s="44" t="s">
        <v>5</v>
      </c>
      <c r="G176" s="44" t="s">
        <v>108</v>
      </c>
      <c r="H176" s="44" t="s">
        <v>164</v>
      </c>
      <c r="I176" s="44" t="s">
        <v>165</v>
      </c>
      <c r="J176" s="44" t="s">
        <v>7</v>
      </c>
      <c r="K176" s="44" t="s">
        <v>123</v>
      </c>
      <c r="L176" s="40">
        <v>22769</v>
      </c>
      <c r="M176" s="41">
        <v>42250</v>
      </c>
      <c r="N176" s="40" t="s">
        <v>110</v>
      </c>
      <c r="O176" s="42">
        <v>42401</v>
      </c>
      <c r="P176" s="40">
        <v>52</v>
      </c>
      <c r="Q176" s="91">
        <v>68.17</v>
      </c>
      <c r="R176" s="91">
        <v>66.83</v>
      </c>
      <c r="S176" s="91">
        <v>66.59</v>
      </c>
      <c r="T176" s="91">
        <v>65.14</v>
      </c>
      <c r="U176" s="91">
        <v>65.209999999999994</v>
      </c>
    </row>
    <row r="177" spans="1:21" x14ac:dyDescent="0.2">
      <c r="A177" s="48">
        <f t="shared" si="2"/>
        <v>169</v>
      </c>
      <c r="B177" s="43">
        <v>5</v>
      </c>
      <c r="C177" s="43">
        <v>21</v>
      </c>
      <c r="D177" s="38" t="s">
        <v>823</v>
      </c>
      <c r="E177" s="44" t="s">
        <v>167</v>
      </c>
      <c r="F177" s="44" t="s">
        <v>5</v>
      </c>
      <c r="G177" s="44" t="s">
        <v>108</v>
      </c>
      <c r="H177" s="44" t="s">
        <v>164</v>
      </c>
      <c r="I177" s="44" t="s">
        <v>165</v>
      </c>
      <c r="J177" s="44" t="s">
        <v>8</v>
      </c>
      <c r="K177" s="44" t="s">
        <v>120</v>
      </c>
      <c r="L177" s="40">
        <v>22768</v>
      </c>
      <c r="M177" s="41">
        <v>42250</v>
      </c>
      <c r="N177" s="40" t="s">
        <v>110</v>
      </c>
      <c r="O177" s="42">
        <v>42401</v>
      </c>
      <c r="P177" s="40">
        <v>52</v>
      </c>
      <c r="Q177" s="91">
        <v>69.12</v>
      </c>
      <c r="R177" s="91">
        <v>67.92</v>
      </c>
      <c r="S177" s="91">
        <v>67.64</v>
      </c>
      <c r="T177" s="91">
        <v>66.23</v>
      </c>
      <c r="U177" s="91">
        <v>66.319999999999993</v>
      </c>
    </row>
    <row r="178" spans="1:21" x14ac:dyDescent="0.2">
      <c r="A178" s="48">
        <f t="shared" si="2"/>
        <v>170</v>
      </c>
      <c r="B178" s="43">
        <v>5</v>
      </c>
      <c r="C178" s="43">
        <v>22</v>
      </c>
      <c r="D178" s="38" t="s">
        <v>824</v>
      </c>
      <c r="E178" s="44" t="s">
        <v>169</v>
      </c>
      <c r="F178" s="44" t="s">
        <v>5</v>
      </c>
      <c r="G178" s="44" t="s">
        <v>108</v>
      </c>
      <c r="H178" s="44" t="s">
        <v>164</v>
      </c>
      <c r="I178" s="44" t="s">
        <v>165</v>
      </c>
      <c r="J178" s="44" t="s">
        <v>9</v>
      </c>
      <c r="K178" s="44" t="s">
        <v>117</v>
      </c>
      <c r="L178" s="40">
        <v>22770</v>
      </c>
      <c r="M178" s="41">
        <v>42250</v>
      </c>
      <c r="N178" s="40" t="s">
        <v>110</v>
      </c>
      <c r="O178" s="42">
        <v>42401</v>
      </c>
      <c r="P178" s="40">
        <v>52</v>
      </c>
      <c r="Q178" s="91">
        <v>70.319999999999993</v>
      </c>
      <c r="R178" s="91">
        <v>67.38</v>
      </c>
      <c r="S178" s="91">
        <v>67.62</v>
      </c>
      <c r="T178" s="91">
        <v>65.680000000000007</v>
      </c>
      <c r="U178" s="91">
        <v>65.760000000000005</v>
      </c>
    </row>
    <row r="179" spans="1:21" x14ac:dyDescent="0.2">
      <c r="A179" s="48">
        <f t="shared" si="2"/>
        <v>171</v>
      </c>
      <c r="B179" s="43">
        <v>5</v>
      </c>
      <c r="C179" s="43">
        <v>23</v>
      </c>
      <c r="D179" s="38" t="s">
        <v>825</v>
      </c>
      <c r="E179" s="44" t="s">
        <v>171</v>
      </c>
      <c r="F179" s="44" t="s">
        <v>5</v>
      </c>
      <c r="G179" s="44" t="s">
        <v>108</v>
      </c>
      <c r="H179" s="44" t="s">
        <v>11</v>
      </c>
      <c r="I179" s="44" t="s">
        <v>11</v>
      </c>
      <c r="J179" s="44" t="s">
        <v>6</v>
      </c>
      <c r="K179" s="44" t="s">
        <v>128</v>
      </c>
      <c r="L179" s="40">
        <v>22771</v>
      </c>
      <c r="M179" s="41">
        <v>42250</v>
      </c>
      <c r="N179" s="40" t="s">
        <v>110</v>
      </c>
      <c r="O179" s="42">
        <v>42401</v>
      </c>
      <c r="P179" s="40">
        <v>52</v>
      </c>
      <c r="Q179" s="91">
        <v>72.62</v>
      </c>
      <c r="R179" s="91">
        <v>71.48</v>
      </c>
      <c r="S179" s="91">
        <v>70.959999999999994</v>
      </c>
      <c r="T179" s="91">
        <v>69.52</v>
      </c>
      <c r="U179" s="91">
        <v>70.73</v>
      </c>
    </row>
    <row r="180" spans="1:21" x14ac:dyDescent="0.2">
      <c r="A180" s="48">
        <f t="shared" si="2"/>
        <v>172</v>
      </c>
      <c r="B180" s="43">
        <v>5</v>
      </c>
      <c r="C180" s="43">
        <v>24</v>
      </c>
      <c r="D180" s="38" t="s">
        <v>826</v>
      </c>
      <c r="E180" s="44" t="s">
        <v>173</v>
      </c>
      <c r="F180" s="44" t="s">
        <v>5</v>
      </c>
      <c r="G180" s="44" t="s">
        <v>108</v>
      </c>
      <c r="H180" s="44" t="s">
        <v>10</v>
      </c>
      <c r="I180" s="44" t="s">
        <v>174</v>
      </c>
      <c r="J180" s="44" t="s">
        <v>7</v>
      </c>
      <c r="K180" s="44" t="s">
        <v>123</v>
      </c>
      <c r="L180" s="40">
        <v>22772</v>
      </c>
      <c r="M180" s="41">
        <v>42250</v>
      </c>
      <c r="N180" s="40" t="s">
        <v>110</v>
      </c>
      <c r="O180" s="42">
        <v>42401</v>
      </c>
      <c r="P180" s="40">
        <v>52</v>
      </c>
      <c r="Q180" s="91">
        <v>70.94</v>
      </c>
      <c r="R180" s="91">
        <v>69.61</v>
      </c>
      <c r="S180" s="91">
        <v>69.12</v>
      </c>
      <c r="T180" s="91">
        <v>67.53</v>
      </c>
      <c r="U180" s="91">
        <v>67.25</v>
      </c>
    </row>
    <row r="181" spans="1:21" x14ac:dyDescent="0.2">
      <c r="A181" s="48">
        <f t="shared" si="2"/>
        <v>173</v>
      </c>
      <c r="B181" s="43">
        <v>5</v>
      </c>
      <c r="C181" s="43">
        <v>25</v>
      </c>
      <c r="D181" s="38" t="s">
        <v>827</v>
      </c>
      <c r="E181" s="44" t="s">
        <v>176</v>
      </c>
      <c r="F181" s="44" t="s">
        <v>5</v>
      </c>
      <c r="G181" s="44" t="s">
        <v>108</v>
      </c>
      <c r="H181" s="44" t="s">
        <v>10</v>
      </c>
      <c r="I181" s="44" t="s">
        <v>174</v>
      </c>
      <c r="J181" s="44" t="s">
        <v>8</v>
      </c>
      <c r="K181" s="44" t="s">
        <v>120</v>
      </c>
      <c r="L181" s="40">
        <v>22773</v>
      </c>
      <c r="M181" s="41">
        <v>42250</v>
      </c>
      <c r="N181" s="40" t="s">
        <v>110</v>
      </c>
      <c r="O181" s="42">
        <v>42401</v>
      </c>
      <c r="P181" s="40">
        <v>52</v>
      </c>
      <c r="Q181" s="91">
        <v>72.3</v>
      </c>
      <c r="R181" s="91">
        <v>70.819999999999993</v>
      </c>
      <c r="S181" s="91">
        <v>70.400000000000006</v>
      </c>
      <c r="T181" s="91">
        <v>68.739999999999995</v>
      </c>
      <c r="U181" s="91">
        <v>68.47</v>
      </c>
    </row>
    <row r="182" spans="1:21" x14ac:dyDescent="0.2">
      <c r="A182" s="48">
        <f t="shared" si="2"/>
        <v>174</v>
      </c>
      <c r="B182" s="43">
        <v>5</v>
      </c>
      <c r="C182" s="43">
        <v>26</v>
      </c>
      <c r="D182" s="38" t="s">
        <v>828</v>
      </c>
      <c r="E182" s="44" t="s">
        <v>178</v>
      </c>
      <c r="F182" s="44" t="s">
        <v>5</v>
      </c>
      <c r="G182" s="44" t="s">
        <v>108</v>
      </c>
      <c r="H182" s="44" t="s">
        <v>10</v>
      </c>
      <c r="I182" s="44" t="s">
        <v>174</v>
      </c>
      <c r="J182" s="44" t="s">
        <v>9</v>
      </c>
      <c r="K182" s="44" t="s">
        <v>117</v>
      </c>
      <c r="L182" s="40">
        <v>22774</v>
      </c>
      <c r="M182" s="41">
        <v>42250</v>
      </c>
      <c r="N182" s="40" t="s">
        <v>110</v>
      </c>
      <c r="O182" s="42">
        <v>42401</v>
      </c>
      <c r="P182" s="40">
        <v>52</v>
      </c>
      <c r="Q182" s="91">
        <v>73.489999999999995</v>
      </c>
      <c r="R182" s="91">
        <v>70.650000000000006</v>
      </c>
      <c r="S182" s="91">
        <v>70.739999999999995</v>
      </c>
      <c r="T182" s="91">
        <v>68.61</v>
      </c>
      <c r="U182" s="91">
        <v>68.400000000000006</v>
      </c>
    </row>
    <row r="183" spans="1:21" x14ac:dyDescent="0.2">
      <c r="A183" s="48">
        <f t="shared" si="2"/>
        <v>175</v>
      </c>
      <c r="B183" s="43">
        <v>5</v>
      </c>
      <c r="C183" s="43">
        <v>27</v>
      </c>
      <c r="D183" s="38" t="s">
        <v>829</v>
      </c>
      <c r="E183" s="44" t="s">
        <v>180</v>
      </c>
      <c r="F183" s="44" t="s">
        <v>5</v>
      </c>
      <c r="G183" s="44" t="s">
        <v>108</v>
      </c>
      <c r="H183" s="44" t="s">
        <v>91</v>
      </c>
      <c r="I183" s="44" t="s">
        <v>181</v>
      </c>
      <c r="J183" s="44" t="s">
        <v>6</v>
      </c>
      <c r="K183" s="44" t="s">
        <v>128</v>
      </c>
      <c r="L183" s="40">
        <v>22775</v>
      </c>
      <c r="M183" s="41">
        <v>42250</v>
      </c>
      <c r="N183" s="40" t="s">
        <v>110</v>
      </c>
      <c r="O183" s="42">
        <v>42401</v>
      </c>
      <c r="P183" s="40">
        <v>52</v>
      </c>
      <c r="Q183" s="91">
        <v>86.46</v>
      </c>
      <c r="R183" s="91">
        <v>79.14</v>
      </c>
      <c r="S183" s="91">
        <v>77.31</v>
      </c>
      <c r="T183" s="91">
        <v>75.459999999999994</v>
      </c>
      <c r="U183" s="91">
        <v>75.069999999999993</v>
      </c>
    </row>
    <row r="184" spans="1:21" x14ac:dyDescent="0.2">
      <c r="A184" s="48">
        <f t="shared" si="2"/>
        <v>176</v>
      </c>
      <c r="B184" s="43">
        <v>5</v>
      </c>
      <c r="C184" s="43">
        <v>28</v>
      </c>
      <c r="D184" s="38" t="s">
        <v>830</v>
      </c>
      <c r="E184" s="44" t="s">
        <v>183</v>
      </c>
      <c r="F184" s="44" t="s">
        <v>37</v>
      </c>
      <c r="G184" s="44" t="s">
        <v>108</v>
      </c>
      <c r="H184" s="44" t="s">
        <v>42</v>
      </c>
      <c r="I184" s="44" t="s">
        <v>42</v>
      </c>
      <c r="J184" s="44" t="s">
        <v>6</v>
      </c>
      <c r="K184" s="44" t="s">
        <v>128</v>
      </c>
      <c r="L184" s="40">
        <v>22776</v>
      </c>
      <c r="M184" s="41">
        <v>42250</v>
      </c>
      <c r="N184" s="40" t="s">
        <v>110</v>
      </c>
      <c r="O184" s="42">
        <v>42401</v>
      </c>
      <c r="P184" s="40">
        <v>52</v>
      </c>
      <c r="Q184" s="91">
        <v>85.92</v>
      </c>
      <c r="R184" s="91">
        <v>83.73</v>
      </c>
      <c r="S184" s="91">
        <v>82.98</v>
      </c>
      <c r="T184" s="91">
        <v>81.069999999999993</v>
      </c>
      <c r="U184" s="91">
        <v>80.540000000000006</v>
      </c>
    </row>
    <row r="185" spans="1:21" x14ac:dyDescent="0.2">
      <c r="A185" s="48">
        <f t="shared" si="2"/>
        <v>177</v>
      </c>
      <c r="B185" s="43">
        <v>5</v>
      </c>
      <c r="C185" s="43">
        <v>29</v>
      </c>
      <c r="D185" s="38" t="s">
        <v>831</v>
      </c>
      <c r="E185" s="44" t="s">
        <v>185</v>
      </c>
      <c r="F185" s="44" t="s">
        <v>37</v>
      </c>
      <c r="G185" s="44" t="s">
        <v>108</v>
      </c>
      <c r="H185" s="44" t="s">
        <v>42</v>
      </c>
      <c r="I185" s="44" t="s">
        <v>42</v>
      </c>
      <c r="J185" s="44" t="s">
        <v>43</v>
      </c>
      <c r="K185" s="44" t="s">
        <v>186</v>
      </c>
      <c r="L185" s="40">
        <v>22777</v>
      </c>
      <c r="M185" s="41">
        <v>42250</v>
      </c>
      <c r="N185" s="40" t="s">
        <v>110</v>
      </c>
      <c r="O185" s="42">
        <v>42401</v>
      </c>
      <c r="P185" s="40">
        <v>52</v>
      </c>
      <c r="Q185" s="91">
        <v>83.3</v>
      </c>
      <c r="R185" s="91">
        <v>81.569999999999993</v>
      </c>
      <c r="S185" s="91">
        <v>80.64</v>
      </c>
      <c r="T185" s="91">
        <v>78.89</v>
      </c>
      <c r="U185" s="91">
        <v>78.31</v>
      </c>
    </row>
    <row r="186" spans="1:21" x14ac:dyDescent="0.2">
      <c r="A186" s="48">
        <f t="shared" si="2"/>
        <v>178</v>
      </c>
      <c r="B186" s="43">
        <v>5</v>
      </c>
      <c r="C186" s="43">
        <v>30</v>
      </c>
      <c r="D186" s="38" t="s">
        <v>832</v>
      </c>
      <c r="E186" s="44" t="s">
        <v>188</v>
      </c>
      <c r="F186" s="44" t="s">
        <v>37</v>
      </c>
      <c r="G186" s="44" t="s">
        <v>108</v>
      </c>
      <c r="H186" s="44" t="s">
        <v>42</v>
      </c>
      <c r="I186" s="44" t="s">
        <v>42</v>
      </c>
      <c r="J186" s="44" t="s">
        <v>44</v>
      </c>
      <c r="K186" s="44" t="s">
        <v>44</v>
      </c>
      <c r="L186" s="40">
        <v>22778</v>
      </c>
      <c r="M186" s="41">
        <v>42250</v>
      </c>
      <c r="N186" s="40" t="s">
        <v>110</v>
      </c>
      <c r="O186" s="42">
        <v>42401</v>
      </c>
      <c r="P186" s="40">
        <v>52</v>
      </c>
      <c r="Q186" s="91">
        <v>84.19</v>
      </c>
      <c r="R186" s="91">
        <v>81.2</v>
      </c>
      <c r="S186" s="91">
        <v>80.69</v>
      </c>
      <c r="T186" s="91">
        <v>78.680000000000007</v>
      </c>
      <c r="U186" s="91">
        <v>78.16</v>
      </c>
    </row>
    <row r="187" spans="1:21" x14ac:dyDescent="0.2">
      <c r="A187" s="48">
        <f t="shared" si="2"/>
        <v>179</v>
      </c>
      <c r="B187" s="43">
        <v>5</v>
      </c>
      <c r="C187" s="43">
        <v>31</v>
      </c>
      <c r="D187" s="38" t="s">
        <v>833</v>
      </c>
      <c r="E187" s="44" t="s">
        <v>190</v>
      </c>
      <c r="F187" s="44" t="s">
        <v>37</v>
      </c>
      <c r="G187" s="44" t="s">
        <v>108</v>
      </c>
      <c r="H187" s="44" t="s">
        <v>45</v>
      </c>
      <c r="I187" s="44" t="s">
        <v>45</v>
      </c>
      <c r="J187" s="44" t="s">
        <v>6</v>
      </c>
      <c r="K187" s="44" t="s">
        <v>128</v>
      </c>
      <c r="L187" s="40">
        <v>22779</v>
      </c>
      <c r="M187" s="41">
        <v>42250</v>
      </c>
      <c r="N187" s="40" t="s">
        <v>110</v>
      </c>
      <c r="O187" s="42">
        <v>42401</v>
      </c>
      <c r="P187" s="40">
        <v>52</v>
      </c>
      <c r="Q187" s="91">
        <v>72.13</v>
      </c>
      <c r="R187" s="91">
        <v>71.91</v>
      </c>
      <c r="S187" s="91">
        <v>71.180000000000007</v>
      </c>
      <c r="T187" s="91">
        <v>71.760000000000005</v>
      </c>
      <c r="U187" s="91">
        <v>73.05</v>
      </c>
    </row>
    <row r="188" spans="1:21" x14ac:dyDescent="0.2">
      <c r="A188" s="48">
        <f t="shared" si="2"/>
        <v>180</v>
      </c>
      <c r="B188" s="43">
        <v>5</v>
      </c>
      <c r="C188" s="43">
        <v>32</v>
      </c>
      <c r="D188" s="38" t="s">
        <v>834</v>
      </c>
      <c r="E188" s="44" t="s">
        <v>192</v>
      </c>
      <c r="F188" s="44" t="s">
        <v>5</v>
      </c>
      <c r="G188" s="44" t="s">
        <v>108</v>
      </c>
      <c r="H188" s="44" t="s">
        <v>12</v>
      </c>
      <c r="I188" s="44" t="s">
        <v>12</v>
      </c>
      <c r="J188" s="44" t="s">
        <v>13</v>
      </c>
      <c r="K188" s="44" t="s">
        <v>117</v>
      </c>
      <c r="L188" s="40">
        <v>22780</v>
      </c>
      <c r="M188" s="41">
        <v>42250</v>
      </c>
      <c r="N188" s="40" t="s">
        <v>110</v>
      </c>
      <c r="O188" s="42">
        <v>42401</v>
      </c>
      <c r="P188" s="40">
        <v>52</v>
      </c>
      <c r="Q188" s="91">
        <v>78.06</v>
      </c>
      <c r="R188" s="91">
        <v>76.39</v>
      </c>
      <c r="S188" s="91">
        <v>75.97</v>
      </c>
      <c r="T188" s="91">
        <v>74.180000000000007</v>
      </c>
      <c r="U188" s="91">
        <v>73.75</v>
      </c>
    </row>
    <row r="189" spans="1:21" x14ac:dyDescent="0.2">
      <c r="A189" s="48">
        <f t="shared" si="2"/>
        <v>181</v>
      </c>
      <c r="B189" s="43">
        <v>5</v>
      </c>
      <c r="C189" s="43">
        <v>33</v>
      </c>
      <c r="D189" s="38" t="s">
        <v>835</v>
      </c>
      <c r="E189" s="44" t="s">
        <v>194</v>
      </c>
      <c r="F189" s="44" t="s">
        <v>5</v>
      </c>
      <c r="G189" s="44" t="s">
        <v>108</v>
      </c>
      <c r="H189" s="44" t="s">
        <v>12</v>
      </c>
      <c r="I189" s="44" t="s">
        <v>12</v>
      </c>
      <c r="J189" s="44" t="s">
        <v>14</v>
      </c>
      <c r="K189" s="44" t="s">
        <v>123</v>
      </c>
      <c r="L189" s="40">
        <v>22781</v>
      </c>
      <c r="M189" s="41">
        <v>42250</v>
      </c>
      <c r="N189" s="40" t="s">
        <v>110</v>
      </c>
      <c r="O189" s="42">
        <v>42401</v>
      </c>
      <c r="P189" s="40">
        <v>52</v>
      </c>
      <c r="Q189" s="91">
        <v>78.400000000000006</v>
      </c>
      <c r="R189" s="91">
        <v>77.28</v>
      </c>
      <c r="S189" s="91">
        <v>76.7</v>
      </c>
      <c r="T189" s="91">
        <v>75.099999999999994</v>
      </c>
      <c r="U189" s="91">
        <v>74.709999999999994</v>
      </c>
    </row>
    <row r="190" spans="1:21" x14ac:dyDescent="0.2">
      <c r="A190" s="48">
        <f t="shared" si="2"/>
        <v>182</v>
      </c>
      <c r="B190" s="43">
        <v>5</v>
      </c>
      <c r="C190" s="43">
        <v>34</v>
      </c>
      <c r="D190" s="38" t="s">
        <v>836</v>
      </c>
      <c r="E190" s="44" t="s">
        <v>196</v>
      </c>
      <c r="F190" s="44" t="s">
        <v>29</v>
      </c>
      <c r="G190" s="44" t="s">
        <v>108</v>
      </c>
      <c r="H190" s="44" t="s">
        <v>34</v>
      </c>
      <c r="I190" s="44" t="s">
        <v>34</v>
      </c>
      <c r="J190" s="44" t="s">
        <v>35</v>
      </c>
      <c r="K190" s="44" t="s">
        <v>197</v>
      </c>
      <c r="L190" s="40">
        <v>22782</v>
      </c>
      <c r="M190" s="41">
        <v>42250</v>
      </c>
      <c r="N190" s="40" t="s">
        <v>110</v>
      </c>
      <c r="O190" s="42">
        <v>42401</v>
      </c>
      <c r="P190" s="40">
        <v>52</v>
      </c>
      <c r="Q190" s="91">
        <v>103.11</v>
      </c>
      <c r="R190" s="91">
        <v>104.8</v>
      </c>
      <c r="S190" s="91">
        <v>105.42</v>
      </c>
      <c r="T190" s="91">
        <v>104.59</v>
      </c>
      <c r="U190" s="91">
        <v>104.91</v>
      </c>
    </row>
    <row r="191" spans="1:21" x14ac:dyDescent="0.2">
      <c r="A191" s="48">
        <f t="shared" si="2"/>
        <v>183</v>
      </c>
      <c r="B191" s="43">
        <v>5</v>
      </c>
      <c r="C191" s="43">
        <v>35</v>
      </c>
      <c r="D191" s="38" t="s">
        <v>837</v>
      </c>
      <c r="E191" s="44" t="s">
        <v>199</v>
      </c>
      <c r="F191" s="44" t="s">
        <v>29</v>
      </c>
      <c r="G191" s="44" t="s">
        <v>108</v>
      </c>
      <c r="H191" s="44" t="s">
        <v>34</v>
      </c>
      <c r="I191" s="44" t="s">
        <v>34</v>
      </c>
      <c r="J191" s="44" t="s">
        <v>36</v>
      </c>
      <c r="K191" s="44" t="s">
        <v>200</v>
      </c>
      <c r="L191" s="40">
        <v>22783</v>
      </c>
      <c r="M191" s="41">
        <v>42250</v>
      </c>
      <c r="N191" s="40" t="s">
        <v>110</v>
      </c>
      <c r="O191" s="42">
        <v>42401</v>
      </c>
      <c r="P191" s="40">
        <v>52</v>
      </c>
      <c r="Q191" s="91">
        <v>101.26</v>
      </c>
      <c r="R191" s="91">
        <v>103.46</v>
      </c>
      <c r="S191" s="91">
        <v>103.92</v>
      </c>
      <c r="T191" s="91">
        <v>103.15</v>
      </c>
      <c r="U191" s="91">
        <v>103.43</v>
      </c>
    </row>
    <row r="192" spans="1:21" x14ac:dyDescent="0.2">
      <c r="A192" s="48">
        <f t="shared" si="2"/>
        <v>184</v>
      </c>
      <c r="B192" s="43">
        <v>5</v>
      </c>
      <c r="C192" s="43">
        <v>36</v>
      </c>
      <c r="D192" s="38" t="s">
        <v>838</v>
      </c>
      <c r="E192" s="44" t="s">
        <v>202</v>
      </c>
      <c r="F192" s="44" t="s">
        <v>5</v>
      </c>
      <c r="G192" s="44" t="s">
        <v>108</v>
      </c>
      <c r="H192" s="44" t="s">
        <v>15</v>
      </c>
      <c r="I192" s="44" t="s">
        <v>203</v>
      </c>
      <c r="J192" s="44" t="s">
        <v>16</v>
      </c>
      <c r="K192" s="44" t="s">
        <v>128</v>
      </c>
      <c r="L192" s="40">
        <v>22784</v>
      </c>
      <c r="M192" s="41">
        <v>42250</v>
      </c>
      <c r="N192" s="40" t="s">
        <v>110</v>
      </c>
      <c r="O192" s="42">
        <v>42401</v>
      </c>
      <c r="P192" s="40">
        <v>52</v>
      </c>
      <c r="Q192" s="91">
        <v>72.98</v>
      </c>
      <c r="R192" s="91">
        <v>70.680000000000007</v>
      </c>
      <c r="S192" s="91">
        <v>70.55</v>
      </c>
      <c r="T192" s="91">
        <v>70.31</v>
      </c>
      <c r="U192" s="91">
        <v>71.36</v>
      </c>
    </row>
    <row r="193" spans="1:21" x14ac:dyDescent="0.2">
      <c r="A193" s="48">
        <f t="shared" si="2"/>
        <v>185</v>
      </c>
      <c r="B193" s="20"/>
      <c r="C193" s="20"/>
      <c r="D193" s="20"/>
    </row>
    <row r="194" spans="1:21" x14ac:dyDescent="0.2">
      <c r="A194" s="48">
        <f t="shared" si="2"/>
        <v>186</v>
      </c>
      <c r="B194" s="43">
        <v>6</v>
      </c>
      <c r="C194" s="43">
        <v>1</v>
      </c>
      <c r="D194" s="38" t="s">
        <v>839</v>
      </c>
      <c r="E194" s="44" t="s">
        <v>107</v>
      </c>
      <c r="F194" s="44" t="s">
        <v>29</v>
      </c>
      <c r="G194" s="44" t="s">
        <v>108</v>
      </c>
      <c r="H194" s="44" t="s">
        <v>30</v>
      </c>
      <c r="I194" s="44" t="s">
        <v>30</v>
      </c>
      <c r="J194" s="44" t="s">
        <v>31</v>
      </c>
      <c r="K194" s="44" t="s">
        <v>109</v>
      </c>
      <c r="L194" s="40">
        <v>22749</v>
      </c>
      <c r="M194" s="41">
        <v>42250</v>
      </c>
      <c r="N194" s="40" t="s">
        <v>110</v>
      </c>
      <c r="O194" s="42">
        <v>42430</v>
      </c>
      <c r="P194" s="40">
        <v>53</v>
      </c>
      <c r="Q194" s="91">
        <v>90.19</v>
      </c>
      <c r="R194" s="91">
        <v>95.05</v>
      </c>
      <c r="S194" s="91">
        <v>92.45</v>
      </c>
      <c r="T194" s="91">
        <v>92.82</v>
      </c>
      <c r="U194" s="91">
        <v>94.04</v>
      </c>
    </row>
    <row r="195" spans="1:21" x14ac:dyDescent="0.2">
      <c r="A195" s="48">
        <f t="shared" si="2"/>
        <v>187</v>
      </c>
      <c r="B195" s="43">
        <v>6</v>
      </c>
      <c r="C195" s="43">
        <v>2</v>
      </c>
      <c r="D195" s="38" t="s">
        <v>840</v>
      </c>
      <c r="E195" s="44" t="s">
        <v>112</v>
      </c>
      <c r="F195" s="44" t="s">
        <v>29</v>
      </c>
      <c r="G195" s="44" t="s">
        <v>108</v>
      </c>
      <c r="H195" s="44" t="s">
        <v>30</v>
      </c>
      <c r="I195" s="44" t="s">
        <v>30</v>
      </c>
      <c r="J195" s="44" t="s">
        <v>32</v>
      </c>
      <c r="K195" s="44" t="s">
        <v>113</v>
      </c>
      <c r="L195" s="40">
        <v>22750</v>
      </c>
      <c r="M195" s="41">
        <v>42250</v>
      </c>
      <c r="N195" s="40" t="s">
        <v>110</v>
      </c>
      <c r="O195" s="42">
        <v>42430</v>
      </c>
      <c r="P195" s="40">
        <v>53</v>
      </c>
      <c r="Q195" s="91">
        <v>90.74</v>
      </c>
      <c r="R195" s="91">
        <v>94.75</v>
      </c>
      <c r="S195" s="91">
        <v>92.47</v>
      </c>
      <c r="T195" s="91">
        <v>92.32</v>
      </c>
      <c r="U195" s="91">
        <v>91.75</v>
      </c>
    </row>
    <row r="196" spans="1:21" x14ac:dyDescent="0.2">
      <c r="A196" s="48">
        <f t="shared" si="2"/>
        <v>188</v>
      </c>
      <c r="B196" s="43">
        <v>6</v>
      </c>
      <c r="C196" s="43">
        <v>3</v>
      </c>
      <c r="D196" s="38" t="s">
        <v>841</v>
      </c>
      <c r="E196" s="44" t="s">
        <v>115</v>
      </c>
      <c r="F196" s="44" t="s">
        <v>18</v>
      </c>
      <c r="G196" s="44" t="s">
        <v>108</v>
      </c>
      <c r="H196" s="44" t="s">
        <v>61</v>
      </c>
      <c r="I196" s="44" t="s">
        <v>116</v>
      </c>
      <c r="J196" s="44" t="s">
        <v>13</v>
      </c>
      <c r="K196" s="44" t="s">
        <v>117</v>
      </c>
      <c r="L196" s="40">
        <v>22751</v>
      </c>
      <c r="M196" s="41">
        <v>42250</v>
      </c>
      <c r="N196" s="40" t="s">
        <v>110</v>
      </c>
      <c r="O196" s="42">
        <v>42430</v>
      </c>
      <c r="P196" s="40">
        <v>53</v>
      </c>
      <c r="Q196" s="91">
        <v>58.63</v>
      </c>
      <c r="R196" s="91">
        <v>58.11</v>
      </c>
      <c r="S196" s="91">
        <v>57.72</v>
      </c>
      <c r="T196" s="91">
        <v>58.11</v>
      </c>
      <c r="U196" s="91">
        <v>59.42</v>
      </c>
    </row>
    <row r="197" spans="1:21" x14ac:dyDescent="0.2">
      <c r="A197" s="48">
        <f t="shared" si="2"/>
        <v>189</v>
      </c>
      <c r="B197" s="43">
        <v>6</v>
      </c>
      <c r="C197" s="43">
        <v>4</v>
      </c>
      <c r="D197" s="38" t="s">
        <v>842</v>
      </c>
      <c r="E197" s="44" t="s">
        <v>119</v>
      </c>
      <c r="F197" s="44" t="s">
        <v>18</v>
      </c>
      <c r="G197" s="44" t="s">
        <v>108</v>
      </c>
      <c r="H197" s="44" t="s">
        <v>61</v>
      </c>
      <c r="I197" s="44" t="s">
        <v>116</v>
      </c>
      <c r="J197" s="44" t="s">
        <v>19</v>
      </c>
      <c r="K197" s="44" t="s">
        <v>120</v>
      </c>
      <c r="L197" s="40">
        <v>22752</v>
      </c>
      <c r="M197" s="41">
        <v>42250</v>
      </c>
      <c r="N197" s="40" t="s">
        <v>110</v>
      </c>
      <c r="O197" s="42">
        <v>42430</v>
      </c>
      <c r="P197" s="40">
        <v>53</v>
      </c>
      <c r="Q197" s="91">
        <v>60.02</v>
      </c>
      <c r="R197" s="91">
        <v>59.85</v>
      </c>
      <c r="S197" s="91">
        <v>59.29</v>
      </c>
      <c r="T197" s="91">
        <v>59.81</v>
      </c>
      <c r="U197" s="91">
        <v>61.09</v>
      </c>
    </row>
    <row r="198" spans="1:21" x14ac:dyDescent="0.2">
      <c r="A198" s="48">
        <f t="shared" si="2"/>
        <v>190</v>
      </c>
      <c r="B198" s="43">
        <v>6</v>
      </c>
      <c r="C198" s="43">
        <v>5</v>
      </c>
      <c r="D198" s="38" t="s">
        <v>843</v>
      </c>
      <c r="E198" s="44" t="s">
        <v>122</v>
      </c>
      <c r="F198" s="44" t="s">
        <v>18</v>
      </c>
      <c r="G198" s="44" t="s">
        <v>108</v>
      </c>
      <c r="H198" s="44" t="s">
        <v>61</v>
      </c>
      <c r="I198" s="44" t="s">
        <v>116</v>
      </c>
      <c r="J198" s="44" t="s">
        <v>14</v>
      </c>
      <c r="K198" s="44" t="s">
        <v>123</v>
      </c>
      <c r="L198" s="40">
        <v>22753</v>
      </c>
      <c r="M198" s="41">
        <v>42250</v>
      </c>
      <c r="N198" s="40" t="s">
        <v>110</v>
      </c>
      <c r="O198" s="42">
        <v>42430</v>
      </c>
      <c r="P198" s="40">
        <v>53</v>
      </c>
      <c r="Q198" s="91">
        <v>58.81</v>
      </c>
      <c r="R198" s="91">
        <v>58.86</v>
      </c>
      <c r="S198" s="91">
        <v>58.22</v>
      </c>
      <c r="T198" s="91">
        <v>58.79</v>
      </c>
      <c r="U198" s="91">
        <v>60.06</v>
      </c>
    </row>
    <row r="199" spans="1:21" x14ac:dyDescent="0.2">
      <c r="A199" s="48">
        <f t="shared" si="2"/>
        <v>191</v>
      </c>
      <c r="B199" s="43">
        <v>6</v>
      </c>
      <c r="C199" s="43">
        <v>6</v>
      </c>
      <c r="D199" s="38" t="s">
        <v>844</v>
      </c>
      <c r="E199" s="44" t="s">
        <v>125</v>
      </c>
      <c r="F199" s="44" t="s">
        <v>23</v>
      </c>
      <c r="G199" s="44" t="s">
        <v>126</v>
      </c>
      <c r="H199" s="44" t="s">
        <v>127</v>
      </c>
      <c r="I199" s="44" t="s">
        <v>27</v>
      </c>
      <c r="J199" s="44" t="s">
        <v>28</v>
      </c>
      <c r="K199" s="44" t="s">
        <v>128</v>
      </c>
      <c r="L199" s="40">
        <v>22754</v>
      </c>
      <c r="M199" s="41">
        <v>42250</v>
      </c>
      <c r="N199" s="40" t="s">
        <v>110</v>
      </c>
      <c r="O199" s="42">
        <v>42430</v>
      </c>
      <c r="P199" s="40">
        <v>53</v>
      </c>
      <c r="Q199" s="91">
        <v>62.19</v>
      </c>
      <c r="R199" s="91">
        <v>62.74</v>
      </c>
      <c r="S199" s="91">
        <v>62.21</v>
      </c>
      <c r="T199" s="91">
        <v>62.9</v>
      </c>
      <c r="U199" s="91">
        <v>63.82</v>
      </c>
    </row>
    <row r="200" spans="1:21" x14ac:dyDescent="0.2">
      <c r="A200" s="48">
        <f t="shared" si="2"/>
        <v>192</v>
      </c>
      <c r="B200" s="43">
        <v>6</v>
      </c>
      <c r="C200" s="43">
        <v>7</v>
      </c>
      <c r="D200" s="38" t="s">
        <v>845</v>
      </c>
      <c r="E200" s="44" t="s">
        <v>130</v>
      </c>
      <c r="F200" s="44" t="s">
        <v>37</v>
      </c>
      <c r="G200" s="44" t="s">
        <v>108</v>
      </c>
      <c r="H200" s="44" t="s">
        <v>38</v>
      </c>
      <c r="I200" s="44" t="s">
        <v>38</v>
      </c>
      <c r="J200" s="44" t="s">
        <v>40</v>
      </c>
      <c r="K200" s="44" t="s">
        <v>123</v>
      </c>
      <c r="L200" s="40">
        <v>22756</v>
      </c>
      <c r="M200" s="41">
        <v>42250</v>
      </c>
      <c r="N200" s="40" t="s">
        <v>110</v>
      </c>
      <c r="O200" s="42">
        <v>42430</v>
      </c>
      <c r="P200" s="40">
        <v>53</v>
      </c>
      <c r="Q200" s="91">
        <v>83</v>
      </c>
      <c r="R200" s="91">
        <v>83.96</v>
      </c>
      <c r="S200" s="91">
        <v>82.24</v>
      </c>
      <c r="T200" s="91">
        <v>81.53</v>
      </c>
      <c r="U200" s="91">
        <v>81.14</v>
      </c>
    </row>
    <row r="201" spans="1:21" x14ac:dyDescent="0.2">
      <c r="A201" s="48">
        <f t="shared" si="2"/>
        <v>193</v>
      </c>
      <c r="B201" s="43">
        <v>6</v>
      </c>
      <c r="C201" s="43">
        <v>8</v>
      </c>
      <c r="D201" s="38" t="s">
        <v>846</v>
      </c>
      <c r="E201" s="44" t="s">
        <v>132</v>
      </c>
      <c r="F201" s="44" t="s">
        <v>37</v>
      </c>
      <c r="G201" s="44" t="s">
        <v>108</v>
      </c>
      <c r="H201" s="44" t="s">
        <v>38</v>
      </c>
      <c r="I201" s="44" t="s">
        <v>38</v>
      </c>
      <c r="J201" s="44" t="s">
        <v>39</v>
      </c>
      <c r="K201" s="44" t="s">
        <v>120</v>
      </c>
      <c r="L201" s="40">
        <v>22755</v>
      </c>
      <c r="M201" s="41">
        <v>42250</v>
      </c>
      <c r="N201" s="40" t="s">
        <v>110</v>
      </c>
      <c r="O201" s="42">
        <v>42430</v>
      </c>
      <c r="P201" s="40">
        <v>53</v>
      </c>
      <c r="Q201" s="91">
        <v>84.13</v>
      </c>
      <c r="R201" s="91">
        <v>84.86</v>
      </c>
      <c r="S201" s="91">
        <v>83.23</v>
      </c>
      <c r="T201" s="91">
        <v>82.53</v>
      </c>
      <c r="U201" s="91">
        <v>82.16</v>
      </c>
    </row>
    <row r="202" spans="1:21" x14ac:dyDescent="0.2">
      <c r="A202" s="48">
        <f t="shared" si="2"/>
        <v>194</v>
      </c>
      <c r="B202" s="43">
        <v>6</v>
      </c>
      <c r="C202" s="43">
        <v>9</v>
      </c>
      <c r="D202" s="38" t="s">
        <v>847</v>
      </c>
      <c r="E202" s="44" t="s">
        <v>134</v>
      </c>
      <c r="F202" s="44" t="s">
        <v>37</v>
      </c>
      <c r="G202" s="44" t="s">
        <v>108</v>
      </c>
      <c r="H202" s="44" t="s">
        <v>38</v>
      </c>
      <c r="I202" s="44" t="s">
        <v>38</v>
      </c>
      <c r="J202" s="44" t="s">
        <v>6</v>
      </c>
      <c r="K202" s="44" t="s">
        <v>117</v>
      </c>
      <c r="L202" s="40">
        <v>22757</v>
      </c>
      <c r="M202" s="41">
        <v>42250</v>
      </c>
      <c r="N202" s="40" t="s">
        <v>110</v>
      </c>
      <c r="O202" s="42">
        <v>42430</v>
      </c>
      <c r="P202" s="40">
        <v>53</v>
      </c>
      <c r="Q202" s="91">
        <v>82.08</v>
      </c>
      <c r="R202" s="91">
        <v>83.15</v>
      </c>
      <c r="S202" s="91">
        <v>81.459999999999994</v>
      </c>
      <c r="T202" s="91">
        <v>80.7</v>
      </c>
      <c r="U202" s="91">
        <v>80.290000000000006</v>
      </c>
    </row>
    <row r="203" spans="1:21" x14ac:dyDescent="0.2">
      <c r="A203" s="48">
        <f t="shared" ref="A203:A266" si="3">A202+1</f>
        <v>195</v>
      </c>
      <c r="B203" s="43">
        <v>6</v>
      </c>
      <c r="C203" s="43">
        <v>10</v>
      </c>
      <c r="D203" s="38" t="s">
        <v>848</v>
      </c>
      <c r="E203" s="44" t="s">
        <v>136</v>
      </c>
      <c r="F203" s="44" t="s">
        <v>23</v>
      </c>
      <c r="G203" s="44" t="s">
        <v>108</v>
      </c>
      <c r="H203" s="44" t="s">
        <v>137</v>
      </c>
      <c r="I203" s="44" t="s">
        <v>24</v>
      </c>
      <c r="J203" s="44" t="s">
        <v>25</v>
      </c>
      <c r="K203" s="44" t="s">
        <v>138</v>
      </c>
      <c r="L203" s="40">
        <v>22758</v>
      </c>
      <c r="M203" s="41">
        <v>42250</v>
      </c>
      <c r="N203" s="40" t="s">
        <v>110</v>
      </c>
      <c r="O203" s="42">
        <v>42430</v>
      </c>
      <c r="P203" s="40">
        <v>53</v>
      </c>
      <c r="Q203" s="91">
        <v>64.760000000000005</v>
      </c>
      <c r="R203" s="91">
        <v>63.63</v>
      </c>
      <c r="S203" s="91">
        <v>63.64</v>
      </c>
      <c r="T203" s="91">
        <v>63.84</v>
      </c>
      <c r="U203" s="91">
        <v>66.42</v>
      </c>
    </row>
    <row r="204" spans="1:21" x14ac:dyDescent="0.2">
      <c r="A204" s="48">
        <f t="shared" si="3"/>
        <v>196</v>
      </c>
      <c r="B204" s="43">
        <v>6</v>
      </c>
      <c r="C204" s="43">
        <v>11</v>
      </c>
      <c r="D204" s="38" t="s">
        <v>849</v>
      </c>
      <c r="E204" s="44" t="s">
        <v>140</v>
      </c>
      <c r="F204" s="44" t="s">
        <v>23</v>
      </c>
      <c r="G204" s="44" t="s">
        <v>108</v>
      </c>
      <c r="H204" s="44" t="s">
        <v>137</v>
      </c>
      <c r="I204" s="44" t="s">
        <v>24</v>
      </c>
      <c r="J204" s="44" t="s">
        <v>26</v>
      </c>
      <c r="K204" s="44" t="s">
        <v>141</v>
      </c>
      <c r="L204" s="40">
        <v>22759</v>
      </c>
      <c r="M204" s="41">
        <v>42250</v>
      </c>
      <c r="N204" s="40" t="s">
        <v>110</v>
      </c>
      <c r="O204" s="42">
        <v>42430</v>
      </c>
      <c r="P204" s="40">
        <v>53</v>
      </c>
      <c r="Q204" s="91">
        <v>63.97</v>
      </c>
      <c r="R204" s="91">
        <v>62.84</v>
      </c>
      <c r="S204" s="91">
        <v>62.84</v>
      </c>
      <c r="T204" s="91">
        <v>63.05</v>
      </c>
      <c r="U204" s="91">
        <v>65.62</v>
      </c>
    </row>
    <row r="205" spans="1:21" x14ac:dyDescent="0.2">
      <c r="A205" s="48">
        <f t="shared" si="3"/>
        <v>197</v>
      </c>
      <c r="B205" s="43">
        <v>6</v>
      </c>
      <c r="C205" s="43">
        <v>12</v>
      </c>
      <c r="D205" s="38" t="s">
        <v>850</v>
      </c>
      <c r="E205" s="44" t="s">
        <v>143</v>
      </c>
      <c r="F205" s="44" t="s">
        <v>18</v>
      </c>
      <c r="G205" s="44" t="s">
        <v>108</v>
      </c>
      <c r="H205" s="44" t="s">
        <v>94</v>
      </c>
      <c r="I205" s="44" t="s">
        <v>144</v>
      </c>
      <c r="J205" s="44" t="s">
        <v>20</v>
      </c>
      <c r="K205" s="44" t="s">
        <v>145</v>
      </c>
      <c r="L205" s="40">
        <v>22760</v>
      </c>
      <c r="M205" s="41">
        <v>42250</v>
      </c>
      <c r="N205" s="40" t="s">
        <v>110</v>
      </c>
      <c r="O205" s="42">
        <v>42430</v>
      </c>
      <c r="P205" s="40">
        <v>53</v>
      </c>
      <c r="Q205" s="91">
        <v>61.7</v>
      </c>
      <c r="R205" s="91">
        <v>59.61</v>
      </c>
      <c r="S205" s="91">
        <v>59.69</v>
      </c>
      <c r="T205" s="91">
        <v>59.53</v>
      </c>
      <c r="U205" s="91">
        <v>60.68</v>
      </c>
    </row>
    <row r="206" spans="1:21" x14ac:dyDescent="0.2">
      <c r="A206" s="48">
        <f t="shared" si="3"/>
        <v>198</v>
      </c>
      <c r="B206" s="43">
        <v>6</v>
      </c>
      <c r="C206" s="43">
        <v>13</v>
      </c>
      <c r="D206" s="38" t="s">
        <v>851</v>
      </c>
      <c r="E206" s="44" t="s">
        <v>147</v>
      </c>
      <c r="F206" s="44" t="s">
        <v>37</v>
      </c>
      <c r="G206" s="44" t="s">
        <v>108</v>
      </c>
      <c r="H206" s="44" t="s">
        <v>41</v>
      </c>
      <c r="I206" s="44" t="s">
        <v>41</v>
      </c>
      <c r="J206" s="44" t="s">
        <v>6</v>
      </c>
      <c r="K206" s="44" t="s">
        <v>128</v>
      </c>
      <c r="L206" s="40">
        <v>22761</v>
      </c>
      <c r="M206" s="41">
        <v>42250</v>
      </c>
      <c r="N206" s="40" t="s">
        <v>110</v>
      </c>
      <c r="O206" s="42">
        <v>42430</v>
      </c>
      <c r="P206" s="40">
        <v>53</v>
      </c>
      <c r="Q206" s="91">
        <v>79.569999999999993</v>
      </c>
      <c r="R206" s="91">
        <v>82.96</v>
      </c>
      <c r="S206" s="91">
        <v>80.39</v>
      </c>
      <c r="T206" s="91">
        <v>80.680000000000007</v>
      </c>
      <c r="U206" s="91">
        <v>82.49</v>
      </c>
    </row>
    <row r="207" spans="1:21" x14ac:dyDescent="0.2">
      <c r="A207" s="48">
        <f t="shared" si="3"/>
        <v>199</v>
      </c>
      <c r="B207" s="43">
        <v>6</v>
      </c>
      <c r="C207" s="43">
        <v>14</v>
      </c>
      <c r="D207" s="38" t="s">
        <v>852</v>
      </c>
      <c r="E207" s="44" t="s">
        <v>149</v>
      </c>
      <c r="F207" s="44" t="s">
        <v>5</v>
      </c>
      <c r="G207" s="44" t="s">
        <v>108</v>
      </c>
      <c r="H207" s="44" t="s">
        <v>46</v>
      </c>
      <c r="I207" s="44" t="s">
        <v>46</v>
      </c>
      <c r="J207" s="44" t="s">
        <v>6</v>
      </c>
      <c r="K207" s="44" t="s">
        <v>128</v>
      </c>
      <c r="L207" s="40">
        <v>22762</v>
      </c>
      <c r="M207" s="41">
        <v>42250</v>
      </c>
      <c r="N207" s="40" t="s">
        <v>110</v>
      </c>
      <c r="O207" s="42">
        <v>42430</v>
      </c>
      <c r="P207" s="40">
        <v>53</v>
      </c>
      <c r="Q207" s="91">
        <v>70.48</v>
      </c>
      <c r="R207" s="91">
        <v>69.95</v>
      </c>
      <c r="S207" s="91">
        <v>69.569999999999993</v>
      </c>
      <c r="T207" s="91">
        <v>70</v>
      </c>
      <c r="U207" s="91">
        <v>71.36</v>
      </c>
    </row>
    <row r="208" spans="1:21" x14ac:dyDescent="0.2">
      <c r="A208" s="48">
        <f t="shared" si="3"/>
        <v>200</v>
      </c>
      <c r="B208" s="43">
        <v>6</v>
      </c>
      <c r="C208" s="43">
        <v>15</v>
      </c>
      <c r="D208" s="38" t="s">
        <v>853</v>
      </c>
      <c r="E208" s="44" t="s">
        <v>151</v>
      </c>
      <c r="F208" s="44" t="s">
        <v>18</v>
      </c>
      <c r="G208" s="44" t="s">
        <v>108</v>
      </c>
      <c r="H208" s="44" t="s">
        <v>21</v>
      </c>
      <c r="I208" s="44" t="s">
        <v>152</v>
      </c>
      <c r="J208" s="44" t="s">
        <v>22</v>
      </c>
      <c r="K208" s="44" t="s">
        <v>128</v>
      </c>
      <c r="L208" s="40">
        <v>22763</v>
      </c>
      <c r="M208" s="41">
        <v>42250</v>
      </c>
      <c r="N208" s="40" t="s">
        <v>110</v>
      </c>
      <c r="O208" s="42">
        <v>42430</v>
      </c>
      <c r="P208" s="40">
        <v>53</v>
      </c>
      <c r="Q208" s="91">
        <v>58.83</v>
      </c>
      <c r="R208" s="91">
        <v>58.34</v>
      </c>
      <c r="S208" s="91">
        <v>57.87</v>
      </c>
      <c r="T208" s="91">
        <v>58.21</v>
      </c>
      <c r="U208" s="91">
        <v>59.28</v>
      </c>
    </row>
    <row r="209" spans="1:21" x14ac:dyDescent="0.2">
      <c r="A209" s="48">
        <f t="shared" si="3"/>
        <v>201</v>
      </c>
      <c r="B209" s="43">
        <v>6</v>
      </c>
      <c r="C209" s="43">
        <v>16</v>
      </c>
      <c r="D209" s="38" t="s">
        <v>854</v>
      </c>
      <c r="E209" s="44" t="s">
        <v>154</v>
      </c>
      <c r="F209" s="44" t="s">
        <v>18</v>
      </c>
      <c r="G209" s="44" t="s">
        <v>108</v>
      </c>
      <c r="H209" s="44" t="s">
        <v>62</v>
      </c>
      <c r="I209" s="44" t="s">
        <v>155</v>
      </c>
      <c r="J209" s="44" t="s">
        <v>6</v>
      </c>
      <c r="K209" s="44" t="s">
        <v>128</v>
      </c>
      <c r="L209" s="40">
        <v>22764</v>
      </c>
      <c r="M209" s="41">
        <v>42250</v>
      </c>
      <c r="N209" s="40" t="s">
        <v>110</v>
      </c>
      <c r="O209" s="42">
        <v>42430</v>
      </c>
      <c r="P209" s="40">
        <v>53</v>
      </c>
      <c r="Q209" s="91">
        <v>72.67</v>
      </c>
      <c r="R209" s="91">
        <v>66.95</v>
      </c>
      <c r="S209" s="91">
        <v>65.33</v>
      </c>
      <c r="T209" s="91">
        <v>63.92</v>
      </c>
      <c r="U209" s="91">
        <v>63.81</v>
      </c>
    </row>
    <row r="210" spans="1:21" x14ac:dyDescent="0.2">
      <c r="A210" s="48">
        <f t="shared" si="3"/>
        <v>202</v>
      </c>
      <c r="B210" s="43">
        <v>6</v>
      </c>
      <c r="C210" s="43">
        <v>17</v>
      </c>
      <c r="D210" s="38" t="s">
        <v>855</v>
      </c>
      <c r="E210" s="44" t="s">
        <v>157</v>
      </c>
      <c r="F210" s="44" t="s">
        <v>29</v>
      </c>
      <c r="G210" s="44" t="s">
        <v>108</v>
      </c>
      <c r="H210" s="44" t="s">
        <v>33</v>
      </c>
      <c r="I210" s="44" t="s">
        <v>33</v>
      </c>
      <c r="J210" s="44" t="s">
        <v>7</v>
      </c>
      <c r="K210" s="44" t="s">
        <v>123</v>
      </c>
      <c r="L210" s="40">
        <v>22765</v>
      </c>
      <c r="M210" s="41">
        <v>42250</v>
      </c>
      <c r="N210" s="40" t="s">
        <v>110</v>
      </c>
      <c r="O210" s="42">
        <v>42430</v>
      </c>
      <c r="P210" s="40">
        <v>53</v>
      </c>
      <c r="Q210" s="91">
        <v>81.400000000000006</v>
      </c>
      <c r="R210" s="91">
        <v>85.69</v>
      </c>
      <c r="S210" s="91">
        <v>84.17</v>
      </c>
      <c r="T210" s="91">
        <v>84.61</v>
      </c>
      <c r="U210" s="91">
        <v>86.51</v>
      </c>
    </row>
    <row r="211" spans="1:21" x14ac:dyDescent="0.2">
      <c r="A211" s="48">
        <f t="shared" si="3"/>
        <v>203</v>
      </c>
      <c r="B211" s="43">
        <v>6</v>
      </c>
      <c r="C211" s="43">
        <v>18</v>
      </c>
      <c r="D211" s="38" t="s">
        <v>856</v>
      </c>
      <c r="E211" s="44" t="s">
        <v>159</v>
      </c>
      <c r="F211" s="44" t="s">
        <v>29</v>
      </c>
      <c r="G211" s="44" t="s">
        <v>108</v>
      </c>
      <c r="H211" s="44" t="s">
        <v>33</v>
      </c>
      <c r="I211" s="44" t="s">
        <v>33</v>
      </c>
      <c r="J211" s="44" t="s">
        <v>8</v>
      </c>
      <c r="K211" s="44" t="s">
        <v>120</v>
      </c>
      <c r="L211" s="40">
        <v>22766</v>
      </c>
      <c r="M211" s="41">
        <v>42250</v>
      </c>
      <c r="N211" s="40" t="s">
        <v>110</v>
      </c>
      <c r="O211" s="42">
        <v>42430</v>
      </c>
      <c r="P211" s="40">
        <v>53</v>
      </c>
      <c r="Q211" s="91">
        <v>82.66</v>
      </c>
      <c r="R211" s="91">
        <v>88.93</v>
      </c>
      <c r="S211" s="91">
        <v>86.73</v>
      </c>
      <c r="T211" s="91">
        <v>87.92</v>
      </c>
      <c r="U211" s="91">
        <v>89.82</v>
      </c>
    </row>
    <row r="212" spans="1:21" x14ac:dyDescent="0.2">
      <c r="A212" s="48">
        <f t="shared" si="3"/>
        <v>204</v>
      </c>
      <c r="B212" s="43">
        <v>6</v>
      </c>
      <c r="C212" s="43">
        <v>19</v>
      </c>
      <c r="D212" s="38" t="s">
        <v>857</v>
      </c>
      <c r="E212" s="44" t="s">
        <v>161</v>
      </c>
      <c r="F212" s="44" t="s">
        <v>29</v>
      </c>
      <c r="G212" s="44" t="s">
        <v>108</v>
      </c>
      <c r="H212" s="44" t="s">
        <v>33</v>
      </c>
      <c r="I212" s="44" t="s">
        <v>33</v>
      </c>
      <c r="J212" s="44" t="s">
        <v>9</v>
      </c>
      <c r="K212" s="44" t="s">
        <v>117</v>
      </c>
      <c r="L212" s="40">
        <v>22767</v>
      </c>
      <c r="M212" s="41">
        <v>42250</v>
      </c>
      <c r="N212" s="40" t="s">
        <v>110</v>
      </c>
      <c r="O212" s="42">
        <v>42430</v>
      </c>
      <c r="P212" s="40">
        <v>53</v>
      </c>
      <c r="Q212" s="91">
        <v>83</v>
      </c>
      <c r="R212" s="91">
        <v>87.05</v>
      </c>
      <c r="S212" s="91">
        <v>85.6</v>
      </c>
      <c r="T212" s="91">
        <v>85.85</v>
      </c>
      <c r="U212" s="91">
        <v>87.72</v>
      </c>
    </row>
    <row r="213" spans="1:21" x14ac:dyDescent="0.2">
      <c r="A213" s="48">
        <f t="shared" si="3"/>
        <v>205</v>
      </c>
      <c r="B213" s="43">
        <v>6</v>
      </c>
      <c r="C213" s="43">
        <v>20</v>
      </c>
      <c r="D213" s="38" t="s">
        <v>858</v>
      </c>
      <c r="E213" s="44" t="s">
        <v>163</v>
      </c>
      <c r="F213" s="44" t="s">
        <v>5</v>
      </c>
      <c r="G213" s="44" t="s">
        <v>108</v>
      </c>
      <c r="H213" s="44" t="s">
        <v>164</v>
      </c>
      <c r="I213" s="44" t="s">
        <v>165</v>
      </c>
      <c r="J213" s="44" t="s">
        <v>7</v>
      </c>
      <c r="K213" s="44" t="s">
        <v>123</v>
      </c>
      <c r="L213" s="40">
        <v>22769</v>
      </c>
      <c r="M213" s="41">
        <v>42250</v>
      </c>
      <c r="N213" s="40" t="s">
        <v>110</v>
      </c>
      <c r="O213" s="42">
        <v>42430</v>
      </c>
      <c r="P213" s="40">
        <v>53</v>
      </c>
      <c r="Q213" s="91">
        <v>62.97</v>
      </c>
      <c r="R213" s="91">
        <v>66.489999999999995</v>
      </c>
      <c r="S213" s="91">
        <v>64.75</v>
      </c>
      <c r="T213" s="91">
        <v>64.8</v>
      </c>
      <c r="U213" s="91">
        <v>65.069999999999993</v>
      </c>
    </row>
    <row r="214" spans="1:21" x14ac:dyDescent="0.2">
      <c r="A214" s="48">
        <f t="shared" si="3"/>
        <v>206</v>
      </c>
      <c r="B214" s="43">
        <v>6</v>
      </c>
      <c r="C214" s="43">
        <v>21</v>
      </c>
      <c r="D214" s="38" t="s">
        <v>859</v>
      </c>
      <c r="E214" s="44" t="s">
        <v>167</v>
      </c>
      <c r="F214" s="44" t="s">
        <v>5</v>
      </c>
      <c r="G214" s="44" t="s">
        <v>108</v>
      </c>
      <c r="H214" s="44" t="s">
        <v>164</v>
      </c>
      <c r="I214" s="44" t="s">
        <v>165</v>
      </c>
      <c r="J214" s="44" t="s">
        <v>8</v>
      </c>
      <c r="K214" s="44" t="s">
        <v>120</v>
      </c>
      <c r="L214" s="40">
        <v>22768</v>
      </c>
      <c r="M214" s="41">
        <v>42250</v>
      </c>
      <c r="N214" s="40" t="s">
        <v>110</v>
      </c>
      <c r="O214" s="42">
        <v>42430</v>
      </c>
      <c r="P214" s="40">
        <v>53</v>
      </c>
      <c r="Q214" s="91">
        <v>64.05</v>
      </c>
      <c r="R214" s="91">
        <v>67.55</v>
      </c>
      <c r="S214" s="91">
        <v>65.86</v>
      </c>
      <c r="T214" s="91">
        <v>65.89</v>
      </c>
      <c r="U214" s="91">
        <v>66.17</v>
      </c>
    </row>
    <row r="215" spans="1:21" x14ac:dyDescent="0.2">
      <c r="A215" s="48">
        <f t="shared" si="3"/>
        <v>207</v>
      </c>
      <c r="B215" s="43">
        <v>6</v>
      </c>
      <c r="C215" s="43">
        <v>22</v>
      </c>
      <c r="D215" s="38" t="s">
        <v>860</v>
      </c>
      <c r="E215" s="44" t="s">
        <v>169</v>
      </c>
      <c r="F215" s="44" t="s">
        <v>5</v>
      </c>
      <c r="G215" s="44" t="s">
        <v>108</v>
      </c>
      <c r="H215" s="44" t="s">
        <v>164</v>
      </c>
      <c r="I215" s="44" t="s">
        <v>165</v>
      </c>
      <c r="J215" s="44" t="s">
        <v>9</v>
      </c>
      <c r="K215" s="44" t="s">
        <v>117</v>
      </c>
      <c r="L215" s="40">
        <v>22770</v>
      </c>
      <c r="M215" s="41">
        <v>42250</v>
      </c>
      <c r="N215" s="40" t="s">
        <v>110</v>
      </c>
      <c r="O215" s="42">
        <v>42430</v>
      </c>
      <c r="P215" s="40">
        <v>53</v>
      </c>
      <c r="Q215" s="91">
        <v>65.08</v>
      </c>
      <c r="R215" s="91">
        <v>67</v>
      </c>
      <c r="S215" s="91">
        <v>65.84</v>
      </c>
      <c r="T215" s="91">
        <v>65.33</v>
      </c>
      <c r="U215" s="91">
        <v>65.62</v>
      </c>
    </row>
    <row r="216" spans="1:21" x14ac:dyDescent="0.2">
      <c r="A216" s="48">
        <f t="shared" si="3"/>
        <v>208</v>
      </c>
      <c r="B216" s="43">
        <v>6</v>
      </c>
      <c r="C216" s="43">
        <v>23</v>
      </c>
      <c r="D216" s="38" t="s">
        <v>861</v>
      </c>
      <c r="E216" s="44" t="s">
        <v>171</v>
      </c>
      <c r="F216" s="44" t="s">
        <v>5</v>
      </c>
      <c r="G216" s="44" t="s">
        <v>108</v>
      </c>
      <c r="H216" s="44" t="s">
        <v>11</v>
      </c>
      <c r="I216" s="44" t="s">
        <v>11</v>
      </c>
      <c r="J216" s="44" t="s">
        <v>6</v>
      </c>
      <c r="K216" s="44" t="s">
        <v>128</v>
      </c>
      <c r="L216" s="40">
        <v>22771</v>
      </c>
      <c r="M216" s="41">
        <v>42250</v>
      </c>
      <c r="N216" s="40" t="s">
        <v>110</v>
      </c>
      <c r="O216" s="42">
        <v>42430</v>
      </c>
      <c r="P216" s="40">
        <v>53</v>
      </c>
      <c r="Q216" s="91">
        <v>67.05</v>
      </c>
      <c r="R216" s="91">
        <v>71.349999999999994</v>
      </c>
      <c r="S216" s="91">
        <v>68.900000000000006</v>
      </c>
      <c r="T216" s="91">
        <v>69.290000000000006</v>
      </c>
      <c r="U216" s="91">
        <v>70.78</v>
      </c>
    </row>
    <row r="217" spans="1:21" x14ac:dyDescent="0.2">
      <c r="A217" s="48">
        <f t="shared" si="3"/>
        <v>209</v>
      </c>
      <c r="B217" s="43">
        <v>6</v>
      </c>
      <c r="C217" s="43">
        <v>24</v>
      </c>
      <c r="D217" s="38" t="s">
        <v>862</v>
      </c>
      <c r="E217" s="44" t="s">
        <v>173</v>
      </c>
      <c r="F217" s="44" t="s">
        <v>5</v>
      </c>
      <c r="G217" s="44" t="s">
        <v>108</v>
      </c>
      <c r="H217" s="44" t="s">
        <v>10</v>
      </c>
      <c r="I217" s="44" t="s">
        <v>174</v>
      </c>
      <c r="J217" s="44" t="s">
        <v>7</v>
      </c>
      <c r="K217" s="44" t="s">
        <v>123</v>
      </c>
      <c r="L217" s="40">
        <v>22772</v>
      </c>
      <c r="M217" s="41">
        <v>42250</v>
      </c>
      <c r="N217" s="40" t="s">
        <v>110</v>
      </c>
      <c r="O217" s="42">
        <v>42430</v>
      </c>
      <c r="P217" s="40">
        <v>53</v>
      </c>
      <c r="Q217" s="91">
        <v>68.180000000000007</v>
      </c>
      <c r="R217" s="91">
        <v>69.55</v>
      </c>
      <c r="S217" s="91">
        <v>67.959999999999994</v>
      </c>
      <c r="T217" s="91">
        <v>67.34</v>
      </c>
      <c r="U217" s="91">
        <v>67.23</v>
      </c>
    </row>
    <row r="218" spans="1:21" x14ac:dyDescent="0.2">
      <c r="A218" s="48">
        <f t="shared" si="3"/>
        <v>210</v>
      </c>
      <c r="B218" s="43">
        <v>6</v>
      </c>
      <c r="C218" s="43">
        <v>25</v>
      </c>
      <c r="D218" s="38" t="s">
        <v>863</v>
      </c>
      <c r="E218" s="44" t="s">
        <v>176</v>
      </c>
      <c r="F218" s="44" t="s">
        <v>5</v>
      </c>
      <c r="G218" s="44" t="s">
        <v>108</v>
      </c>
      <c r="H218" s="44" t="s">
        <v>10</v>
      </c>
      <c r="I218" s="44" t="s">
        <v>174</v>
      </c>
      <c r="J218" s="44" t="s">
        <v>8</v>
      </c>
      <c r="K218" s="44" t="s">
        <v>120</v>
      </c>
      <c r="L218" s="40">
        <v>22773</v>
      </c>
      <c r="M218" s="41">
        <v>42250</v>
      </c>
      <c r="N218" s="40" t="s">
        <v>110</v>
      </c>
      <c r="O218" s="42">
        <v>42430</v>
      </c>
      <c r="P218" s="40">
        <v>53</v>
      </c>
      <c r="Q218" s="91">
        <v>69.75</v>
      </c>
      <c r="R218" s="91">
        <v>70.760000000000005</v>
      </c>
      <c r="S218" s="91">
        <v>69.31</v>
      </c>
      <c r="T218" s="91">
        <v>68.55</v>
      </c>
      <c r="U218" s="91">
        <v>68.44</v>
      </c>
    </row>
    <row r="219" spans="1:21" x14ac:dyDescent="0.2">
      <c r="A219" s="48">
        <f t="shared" si="3"/>
        <v>211</v>
      </c>
      <c r="B219" s="43">
        <v>6</v>
      </c>
      <c r="C219" s="43">
        <v>26</v>
      </c>
      <c r="D219" s="38" t="s">
        <v>864</v>
      </c>
      <c r="E219" s="44" t="s">
        <v>178</v>
      </c>
      <c r="F219" s="44" t="s">
        <v>5</v>
      </c>
      <c r="G219" s="44" t="s">
        <v>108</v>
      </c>
      <c r="H219" s="44" t="s">
        <v>10</v>
      </c>
      <c r="I219" s="44" t="s">
        <v>174</v>
      </c>
      <c r="J219" s="44" t="s">
        <v>9</v>
      </c>
      <c r="K219" s="44" t="s">
        <v>117</v>
      </c>
      <c r="L219" s="40">
        <v>22774</v>
      </c>
      <c r="M219" s="41">
        <v>42250</v>
      </c>
      <c r="N219" s="40" t="s">
        <v>110</v>
      </c>
      <c r="O219" s="42">
        <v>42430</v>
      </c>
      <c r="P219" s="40">
        <v>53</v>
      </c>
      <c r="Q219" s="91">
        <v>72.5</v>
      </c>
      <c r="R219" s="91">
        <v>70.599999999999994</v>
      </c>
      <c r="S219" s="91">
        <v>70.12</v>
      </c>
      <c r="T219" s="91">
        <v>68.430000000000007</v>
      </c>
      <c r="U219" s="91">
        <v>68.37</v>
      </c>
    </row>
    <row r="220" spans="1:21" x14ac:dyDescent="0.2">
      <c r="A220" s="48">
        <f t="shared" si="3"/>
        <v>212</v>
      </c>
      <c r="B220" s="43">
        <v>6</v>
      </c>
      <c r="C220" s="43">
        <v>27</v>
      </c>
      <c r="D220" s="38" t="s">
        <v>865</v>
      </c>
      <c r="E220" s="44" t="s">
        <v>180</v>
      </c>
      <c r="F220" s="44" t="s">
        <v>5</v>
      </c>
      <c r="G220" s="44" t="s">
        <v>108</v>
      </c>
      <c r="H220" s="44" t="s">
        <v>91</v>
      </c>
      <c r="I220" s="44" t="s">
        <v>181</v>
      </c>
      <c r="J220" s="44" t="s">
        <v>6</v>
      </c>
      <c r="K220" s="44" t="s">
        <v>128</v>
      </c>
      <c r="L220" s="40">
        <v>22775</v>
      </c>
      <c r="M220" s="41">
        <v>42250</v>
      </c>
      <c r="N220" s="40" t="s">
        <v>110</v>
      </c>
      <c r="O220" s="42">
        <v>42430</v>
      </c>
      <c r="P220" s="40">
        <v>53</v>
      </c>
      <c r="Q220" s="91">
        <v>83.77</v>
      </c>
      <c r="R220" s="91">
        <v>77.819999999999993</v>
      </c>
      <c r="S220" s="91">
        <v>76.33</v>
      </c>
      <c r="T220" s="91">
        <v>74.83</v>
      </c>
      <c r="U220" s="91">
        <v>74.77</v>
      </c>
    </row>
    <row r="221" spans="1:21" x14ac:dyDescent="0.2">
      <c r="A221" s="48">
        <f t="shared" si="3"/>
        <v>213</v>
      </c>
      <c r="B221" s="43">
        <v>6</v>
      </c>
      <c r="C221" s="43">
        <v>28</v>
      </c>
      <c r="D221" s="38" t="s">
        <v>866</v>
      </c>
      <c r="E221" s="44" t="s">
        <v>183</v>
      </c>
      <c r="F221" s="44" t="s">
        <v>37</v>
      </c>
      <c r="G221" s="44" t="s">
        <v>108</v>
      </c>
      <c r="H221" s="44" t="s">
        <v>42</v>
      </c>
      <c r="I221" s="44" t="s">
        <v>42</v>
      </c>
      <c r="J221" s="44" t="s">
        <v>6</v>
      </c>
      <c r="K221" s="44" t="s">
        <v>128</v>
      </c>
      <c r="L221" s="40">
        <v>22776</v>
      </c>
      <c r="M221" s="41">
        <v>42250</v>
      </c>
      <c r="N221" s="40" t="s">
        <v>110</v>
      </c>
      <c r="O221" s="42">
        <v>42430</v>
      </c>
      <c r="P221" s="40">
        <v>53</v>
      </c>
      <c r="Q221" s="91">
        <v>83.03</v>
      </c>
      <c r="R221" s="91">
        <v>83.46</v>
      </c>
      <c r="S221" s="91">
        <v>81.760000000000005</v>
      </c>
      <c r="T221" s="91">
        <v>80.78</v>
      </c>
      <c r="U221" s="91">
        <v>80.39</v>
      </c>
    </row>
    <row r="222" spans="1:21" x14ac:dyDescent="0.2">
      <c r="A222" s="48">
        <f t="shared" si="3"/>
        <v>214</v>
      </c>
      <c r="B222" s="43">
        <v>6</v>
      </c>
      <c r="C222" s="43">
        <v>29</v>
      </c>
      <c r="D222" s="38" t="s">
        <v>867</v>
      </c>
      <c r="E222" s="44" t="s">
        <v>185</v>
      </c>
      <c r="F222" s="44" t="s">
        <v>37</v>
      </c>
      <c r="G222" s="44" t="s">
        <v>108</v>
      </c>
      <c r="H222" s="44" t="s">
        <v>42</v>
      </c>
      <c r="I222" s="44" t="s">
        <v>42</v>
      </c>
      <c r="J222" s="44" t="s">
        <v>43</v>
      </c>
      <c r="K222" s="44" t="s">
        <v>186</v>
      </c>
      <c r="L222" s="40">
        <v>22777</v>
      </c>
      <c r="M222" s="41">
        <v>42250</v>
      </c>
      <c r="N222" s="40" t="s">
        <v>110</v>
      </c>
      <c r="O222" s="42">
        <v>42430</v>
      </c>
      <c r="P222" s="40">
        <v>53</v>
      </c>
      <c r="Q222" s="91">
        <v>79.599999999999994</v>
      </c>
      <c r="R222" s="91">
        <v>81.33</v>
      </c>
      <c r="S222" s="91">
        <v>79.16</v>
      </c>
      <c r="T222" s="91">
        <v>78.61</v>
      </c>
      <c r="U222" s="91">
        <v>78.180000000000007</v>
      </c>
    </row>
    <row r="223" spans="1:21" x14ac:dyDescent="0.2">
      <c r="A223" s="48">
        <f t="shared" si="3"/>
        <v>215</v>
      </c>
      <c r="B223" s="43">
        <v>6</v>
      </c>
      <c r="C223" s="43">
        <v>30</v>
      </c>
      <c r="D223" s="38" t="s">
        <v>868</v>
      </c>
      <c r="E223" s="44" t="s">
        <v>188</v>
      </c>
      <c r="F223" s="44" t="s">
        <v>37</v>
      </c>
      <c r="G223" s="44" t="s">
        <v>108</v>
      </c>
      <c r="H223" s="44" t="s">
        <v>42</v>
      </c>
      <c r="I223" s="44" t="s">
        <v>42</v>
      </c>
      <c r="J223" s="44" t="s">
        <v>44</v>
      </c>
      <c r="K223" s="44" t="s">
        <v>44</v>
      </c>
      <c r="L223" s="40">
        <v>22778</v>
      </c>
      <c r="M223" s="41">
        <v>42250</v>
      </c>
      <c r="N223" s="40" t="s">
        <v>110</v>
      </c>
      <c r="O223" s="42">
        <v>42430</v>
      </c>
      <c r="P223" s="40">
        <v>53</v>
      </c>
      <c r="Q223" s="91">
        <v>80.73</v>
      </c>
      <c r="R223" s="91">
        <v>80.94</v>
      </c>
      <c r="S223" s="91">
        <v>79.319999999999993</v>
      </c>
      <c r="T223" s="91">
        <v>78.39</v>
      </c>
      <c r="U223" s="91">
        <v>78.02</v>
      </c>
    </row>
    <row r="224" spans="1:21" x14ac:dyDescent="0.2">
      <c r="A224" s="48">
        <f t="shared" si="3"/>
        <v>216</v>
      </c>
      <c r="B224" s="43">
        <v>6</v>
      </c>
      <c r="C224" s="43">
        <v>31</v>
      </c>
      <c r="D224" s="38" t="s">
        <v>869</v>
      </c>
      <c r="E224" s="44" t="s">
        <v>190</v>
      </c>
      <c r="F224" s="44" t="s">
        <v>37</v>
      </c>
      <c r="G224" s="44" t="s">
        <v>108</v>
      </c>
      <c r="H224" s="44" t="s">
        <v>45</v>
      </c>
      <c r="I224" s="44" t="s">
        <v>45</v>
      </c>
      <c r="J224" s="44" t="s">
        <v>6</v>
      </c>
      <c r="K224" s="44" t="s">
        <v>128</v>
      </c>
      <c r="L224" s="40">
        <v>22779</v>
      </c>
      <c r="M224" s="41">
        <v>42250</v>
      </c>
      <c r="N224" s="40" t="s">
        <v>110</v>
      </c>
      <c r="O224" s="42">
        <v>42430</v>
      </c>
      <c r="P224" s="40">
        <v>53</v>
      </c>
      <c r="Q224" s="91">
        <v>69.930000000000007</v>
      </c>
      <c r="R224" s="91">
        <v>71.63</v>
      </c>
      <c r="S224" s="91">
        <v>70.56</v>
      </c>
      <c r="T224" s="91">
        <v>71.760000000000005</v>
      </c>
      <c r="U224" s="91">
        <v>73.17</v>
      </c>
    </row>
    <row r="225" spans="1:21" x14ac:dyDescent="0.2">
      <c r="A225" s="48">
        <f t="shared" si="3"/>
        <v>217</v>
      </c>
      <c r="B225" s="43">
        <v>6</v>
      </c>
      <c r="C225" s="43">
        <v>32</v>
      </c>
      <c r="D225" s="38" t="s">
        <v>870</v>
      </c>
      <c r="E225" s="44" t="s">
        <v>192</v>
      </c>
      <c r="F225" s="44" t="s">
        <v>5</v>
      </c>
      <c r="G225" s="44" t="s">
        <v>108</v>
      </c>
      <c r="H225" s="44" t="s">
        <v>12</v>
      </c>
      <c r="I225" s="44" t="s">
        <v>12</v>
      </c>
      <c r="J225" s="44" t="s">
        <v>13</v>
      </c>
      <c r="K225" s="44" t="s">
        <v>117</v>
      </c>
      <c r="L225" s="40">
        <v>22780</v>
      </c>
      <c r="M225" s="41">
        <v>42250</v>
      </c>
      <c r="N225" s="40" t="s">
        <v>110</v>
      </c>
      <c r="O225" s="42">
        <v>42430</v>
      </c>
      <c r="P225" s="40">
        <v>53</v>
      </c>
      <c r="Q225" s="91">
        <v>72.83</v>
      </c>
      <c r="R225" s="91">
        <v>76.2</v>
      </c>
      <c r="S225" s="91">
        <v>74.069999999999993</v>
      </c>
      <c r="T225" s="91">
        <v>73.88</v>
      </c>
      <c r="U225" s="91">
        <v>73.62</v>
      </c>
    </row>
    <row r="226" spans="1:21" x14ac:dyDescent="0.2">
      <c r="A226" s="48">
        <f t="shared" si="3"/>
        <v>218</v>
      </c>
      <c r="B226" s="43">
        <v>6</v>
      </c>
      <c r="C226" s="43">
        <v>33</v>
      </c>
      <c r="D226" s="38" t="s">
        <v>871</v>
      </c>
      <c r="E226" s="44" t="s">
        <v>194</v>
      </c>
      <c r="F226" s="44" t="s">
        <v>5</v>
      </c>
      <c r="G226" s="44" t="s">
        <v>108</v>
      </c>
      <c r="H226" s="44" t="s">
        <v>12</v>
      </c>
      <c r="I226" s="44" t="s">
        <v>12</v>
      </c>
      <c r="J226" s="44" t="s">
        <v>14</v>
      </c>
      <c r="K226" s="44" t="s">
        <v>123</v>
      </c>
      <c r="L226" s="40">
        <v>22781</v>
      </c>
      <c r="M226" s="41">
        <v>42250</v>
      </c>
      <c r="N226" s="40" t="s">
        <v>110</v>
      </c>
      <c r="O226" s="42">
        <v>42430</v>
      </c>
      <c r="P226" s="40">
        <v>53</v>
      </c>
      <c r="Q226" s="91">
        <v>72.89</v>
      </c>
      <c r="R226" s="91">
        <v>77.11</v>
      </c>
      <c r="S226" s="91">
        <v>74.680000000000007</v>
      </c>
      <c r="T226" s="91">
        <v>74.81</v>
      </c>
      <c r="U226" s="91">
        <v>74.59</v>
      </c>
    </row>
    <row r="227" spans="1:21" x14ac:dyDescent="0.2">
      <c r="A227" s="48">
        <f t="shared" si="3"/>
        <v>219</v>
      </c>
      <c r="B227" s="43">
        <v>6</v>
      </c>
      <c r="C227" s="43">
        <v>34</v>
      </c>
      <c r="D227" s="38" t="s">
        <v>872</v>
      </c>
      <c r="E227" s="44" t="s">
        <v>196</v>
      </c>
      <c r="F227" s="44" t="s">
        <v>29</v>
      </c>
      <c r="G227" s="44" t="s">
        <v>108</v>
      </c>
      <c r="H227" s="44" t="s">
        <v>34</v>
      </c>
      <c r="I227" s="44" t="s">
        <v>34</v>
      </c>
      <c r="J227" s="44" t="s">
        <v>35</v>
      </c>
      <c r="K227" s="44" t="s">
        <v>197</v>
      </c>
      <c r="L227" s="40">
        <v>22782</v>
      </c>
      <c r="M227" s="41">
        <v>42250</v>
      </c>
      <c r="N227" s="40" t="s">
        <v>110</v>
      </c>
      <c r="O227" s="42">
        <v>42430</v>
      </c>
      <c r="P227" s="40">
        <v>53</v>
      </c>
      <c r="Q227" s="91">
        <v>98.14</v>
      </c>
      <c r="R227" s="91">
        <v>105.17</v>
      </c>
      <c r="S227" s="91">
        <v>103.44</v>
      </c>
      <c r="T227" s="91">
        <v>104.6</v>
      </c>
      <c r="U227" s="91">
        <v>105.03</v>
      </c>
    </row>
    <row r="228" spans="1:21" x14ac:dyDescent="0.2">
      <c r="A228" s="48">
        <f t="shared" si="3"/>
        <v>220</v>
      </c>
      <c r="B228" s="43">
        <v>6</v>
      </c>
      <c r="C228" s="43">
        <v>35</v>
      </c>
      <c r="D228" s="38" t="s">
        <v>873</v>
      </c>
      <c r="E228" s="44" t="s">
        <v>199</v>
      </c>
      <c r="F228" s="44" t="s">
        <v>29</v>
      </c>
      <c r="G228" s="44" t="s">
        <v>108</v>
      </c>
      <c r="H228" s="44" t="s">
        <v>34</v>
      </c>
      <c r="I228" s="44" t="s">
        <v>34</v>
      </c>
      <c r="J228" s="44" t="s">
        <v>36</v>
      </c>
      <c r="K228" s="44" t="s">
        <v>200</v>
      </c>
      <c r="L228" s="40">
        <v>22783</v>
      </c>
      <c r="M228" s="41">
        <v>42250</v>
      </c>
      <c r="N228" s="40" t="s">
        <v>110</v>
      </c>
      <c r="O228" s="42">
        <v>42430</v>
      </c>
      <c r="P228" s="40">
        <v>53</v>
      </c>
      <c r="Q228" s="91">
        <v>96.33</v>
      </c>
      <c r="R228" s="91">
        <v>103.87</v>
      </c>
      <c r="S228" s="91">
        <v>101.82</v>
      </c>
      <c r="T228" s="91">
        <v>103.18</v>
      </c>
      <c r="U228" s="91">
        <v>103.57</v>
      </c>
    </row>
    <row r="229" spans="1:21" x14ac:dyDescent="0.2">
      <c r="A229" s="48">
        <f t="shared" si="3"/>
        <v>221</v>
      </c>
      <c r="B229" s="43">
        <v>6</v>
      </c>
      <c r="C229" s="43">
        <v>36</v>
      </c>
      <c r="D229" s="38" t="s">
        <v>874</v>
      </c>
      <c r="E229" s="44" t="s">
        <v>202</v>
      </c>
      <c r="F229" s="44" t="s">
        <v>5</v>
      </c>
      <c r="G229" s="44" t="s">
        <v>108</v>
      </c>
      <c r="H229" s="44" t="s">
        <v>15</v>
      </c>
      <c r="I229" s="44" t="s">
        <v>203</v>
      </c>
      <c r="J229" s="44" t="s">
        <v>16</v>
      </c>
      <c r="K229" s="44" t="s">
        <v>128</v>
      </c>
      <c r="L229" s="40">
        <v>22784</v>
      </c>
      <c r="M229" s="41">
        <v>42250</v>
      </c>
      <c r="N229" s="40" t="s">
        <v>110</v>
      </c>
      <c r="O229" s="42">
        <v>42430</v>
      </c>
      <c r="P229" s="40">
        <v>53</v>
      </c>
      <c r="Q229" s="91">
        <v>70.08</v>
      </c>
      <c r="R229" s="91">
        <v>70.36</v>
      </c>
      <c r="S229" s="91">
        <v>69.73</v>
      </c>
      <c r="T229" s="91">
        <v>70.260000000000005</v>
      </c>
      <c r="U229" s="91">
        <v>71.430000000000007</v>
      </c>
    </row>
    <row r="230" spans="1:21" x14ac:dyDescent="0.2">
      <c r="A230" s="48">
        <f t="shared" si="3"/>
        <v>222</v>
      </c>
      <c r="B230" s="20"/>
      <c r="C230" s="20"/>
      <c r="D230" s="20"/>
    </row>
    <row r="231" spans="1:21" x14ac:dyDescent="0.2">
      <c r="A231" s="48">
        <f t="shared" si="3"/>
        <v>223</v>
      </c>
      <c r="B231" s="43">
        <v>7</v>
      </c>
      <c r="C231" s="43">
        <v>1</v>
      </c>
      <c r="D231" s="38" t="s">
        <v>875</v>
      </c>
      <c r="E231" s="44" t="s">
        <v>107</v>
      </c>
      <c r="F231" s="44" t="s">
        <v>29</v>
      </c>
      <c r="G231" s="44" t="s">
        <v>108</v>
      </c>
      <c r="H231" s="44" t="s">
        <v>30</v>
      </c>
      <c r="I231" s="44" t="s">
        <v>30</v>
      </c>
      <c r="J231" s="44" t="s">
        <v>31</v>
      </c>
      <c r="K231" s="44" t="s">
        <v>109</v>
      </c>
      <c r="L231" s="40">
        <v>22749</v>
      </c>
      <c r="M231" s="41">
        <v>42250</v>
      </c>
      <c r="N231" s="40" t="s">
        <v>110</v>
      </c>
      <c r="O231" s="42">
        <v>42461</v>
      </c>
      <c r="P231" s="40">
        <v>54</v>
      </c>
      <c r="Q231" s="91">
        <v>86.44</v>
      </c>
      <c r="R231" s="91">
        <v>95.01</v>
      </c>
      <c r="S231" s="91">
        <v>90.77</v>
      </c>
      <c r="T231" s="91">
        <v>92.4</v>
      </c>
      <c r="U231" s="91">
        <v>94.04</v>
      </c>
    </row>
    <row r="232" spans="1:21" x14ac:dyDescent="0.2">
      <c r="A232" s="48">
        <f t="shared" si="3"/>
        <v>224</v>
      </c>
      <c r="B232" s="43">
        <v>7</v>
      </c>
      <c r="C232" s="43">
        <v>2</v>
      </c>
      <c r="D232" s="38" t="s">
        <v>876</v>
      </c>
      <c r="E232" s="44" t="s">
        <v>112</v>
      </c>
      <c r="F232" s="44" t="s">
        <v>29</v>
      </c>
      <c r="G232" s="44" t="s">
        <v>108</v>
      </c>
      <c r="H232" s="44" t="s">
        <v>30</v>
      </c>
      <c r="I232" s="44" t="s">
        <v>30</v>
      </c>
      <c r="J232" s="44" t="s">
        <v>32</v>
      </c>
      <c r="K232" s="44" t="s">
        <v>113</v>
      </c>
      <c r="L232" s="40">
        <v>22750</v>
      </c>
      <c r="M232" s="41">
        <v>42250</v>
      </c>
      <c r="N232" s="40" t="s">
        <v>110</v>
      </c>
      <c r="O232" s="42">
        <v>42461</v>
      </c>
      <c r="P232" s="40">
        <v>54</v>
      </c>
      <c r="Q232" s="91">
        <v>87.2</v>
      </c>
      <c r="R232" s="91">
        <v>94.71</v>
      </c>
      <c r="S232" s="91">
        <v>90.91</v>
      </c>
      <c r="T232" s="91">
        <v>91.76</v>
      </c>
      <c r="U232" s="91">
        <v>91.64</v>
      </c>
    </row>
    <row r="233" spans="1:21" x14ac:dyDescent="0.2">
      <c r="A233" s="48">
        <f t="shared" si="3"/>
        <v>225</v>
      </c>
      <c r="B233" s="43">
        <v>7</v>
      </c>
      <c r="C233" s="43">
        <v>3</v>
      </c>
      <c r="D233" s="38" t="s">
        <v>877</v>
      </c>
      <c r="E233" s="44" t="s">
        <v>115</v>
      </c>
      <c r="F233" s="44" t="s">
        <v>18</v>
      </c>
      <c r="G233" s="44" t="s">
        <v>108</v>
      </c>
      <c r="H233" s="44" t="s">
        <v>61</v>
      </c>
      <c r="I233" s="44" t="s">
        <v>116</v>
      </c>
      <c r="J233" s="44" t="s">
        <v>13</v>
      </c>
      <c r="K233" s="44" t="s">
        <v>117</v>
      </c>
      <c r="L233" s="40">
        <v>22751</v>
      </c>
      <c r="M233" s="41">
        <v>42250</v>
      </c>
      <c r="N233" s="40" t="s">
        <v>110</v>
      </c>
      <c r="O233" s="42">
        <v>42461</v>
      </c>
      <c r="P233" s="40">
        <v>54</v>
      </c>
      <c r="Q233" s="91">
        <v>56.52</v>
      </c>
      <c r="R233" s="91">
        <v>57.68</v>
      </c>
      <c r="S233" s="91">
        <v>57.04</v>
      </c>
      <c r="T233" s="91">
        <v>57.89</v>
      </c>
      <c r="U233" s="91">
        <v>59.39</v>
      </c>
    </row>
    <row r="234" spans="1:21" x14ac:dyDescent="0.2">
      <c r="A234" s="48">
        <f t="shared" si="3"/>
        <v>226</v>
      </c>
      <c r="B234" s="43">
        <v>7</v>
      </c>
      <c r="C234" s="43">
        <v>4</v>
      </c>
      <c r="D234" s="38" t="s">
        <v>878</v>
      </c>
      <c r="E234" s="44" t="s">
        <v>119</v>
      </c>
      <c r="F234" s="44" t="s">
        <v>18</v>
      </c>
      <c r="G234" s="44" t="s">
        <v>108</v>
      </c>
      <c r="H234" s="44" t="s">
        <v>61</v>
      </c>
      <c r="I234" s="44" t="s">
        <v>116</v>
      </c>
      <c r="J234" s="44" t="s">
        <v>19</v>
      </c>
      <c r="K234" s="44" t="s">
        <v>120</v>
      </c>
      <c r="L234" s="40">
        <v>22752</v>
      </c>
      <c r="M234" s="41">
        <v>42250</v>
      </c>
      <c r="N234" s="40" t="s">
        <v>110</v>
      </c>
      <c r="O234" s="42">
        <v>42461</v>
      </c>
      <c r="P234" s="40">
        <v>54</v>
      </c>
      <c r="Q234" s="91">
        <v>58.34</v>
      </c>
      <c r="R234" s="91">
        <v>59.41</v>
      </c>
      <c r="S234" s="91">
        <v>58.73</v>
      </c>
      <c r="T234" s="91">
        <v>59.57</v>
      </c>
      <c r="U234" s="91">
        <v>61.05</v>
      </c>
    </row>
    <row r="235" spans="1:21" x14ac:dyDescent="0.2">
      <c r="A235" s="48">
        <f t="shared" si="3"/>
        <v>227</v>
      </c>
      <c r="B235" s="43">
        <v>7</v>
      </c>
      <c r="C235" s="43">
        <v>5</v>
      </c>
      <c r="D235" s="38" t="s">
        <v>879</v>
      </c>
      <c r="E235" s="44" t="s">
        <v>122</v>
      </c>
      <c r="F235" s="44" t="s">
        <v>18</v>
      </c>
      <c r="G235" s="44" t="s">
        <v>108</v>
      </c>
      <c r="H235" s="44" t="s">
        <v>61</v>
      </c>
      <c r="I235" s="44" t="s">
        <v>116</v>
      </c>
      <c r="J235" s="44" t="s">
        <v>14</v>
      </c>
      <c r="K235" s="44" t="s">
        <v>123</v>
      </c>
      <c r="L235" s="40">
        <v>22753</v>
      </c>
      <c r="M235" s="41">
        <v>42250</v>
      </c>
      <c r="N235" s="40" t="s">
        <v>110</v>
      </c>
      <c r="O235" s="42">
        <v>42461</v>
      </c>
      <c r="P235" s="40">
        <v>54</v>
      </c>
      <c r="Q235" s="91">
        <v>56.9</v>
      </c>
      <c r="R235" s="91">
        <v>58.43</v>
      </c>
      <c r="S235" s="91">
        <v>57.56</v>
      </c>
      <c r="T235" s="91">
        <v>58.57</v>
      </c>
      <c r="U235" s="91">
        <v>60.03</v>
      </c>
    </row>
    <row r="236" spans="1:21" x14ac:dyDescent="0.2">
      <c r="A236" s="48">
        <f t="shared" si="3"/>
        <v>228</v>
      </c>
      <c r="B236" s="43">
        <v>7</v>
      </c>
      <c r="C236" s="43">
        <v>6</v>
      </c>
      <c r="D236" s="38" t="s">
        <v>880</v>
      </c>
      <c r="E236" s="44" t="s">
        <v>125</v>
      </c>
      <c r="F236" s="44" t="s">
        <v>23</v>
      </c>
      <c r="G236" s="44" t="s">
        <v>126</v>
      </c>
      <c r="H236" s="44" t="s">
        <v>127</v>
      </c>
      <c r="I236" s="44" t="s">
        <v>27</v>
      </c>
      <c r="J236" s="44" t="s">
        <v>28</v>
      </c>
      <c r="K236" s="44" t="s">
        <v>128</v>
      </c>
      <c r="L236" s="40">
        <v>22754</v>
      </c>
      <c r="M236" s="41">
        <v>42250</v>
      </c>
      <c r="N236" s="40" t="s">
        <v>110</v>
      </c>
      <c r="O236" s="42">
        <v>42461</v>
      </c>
      <c r="P236" s="40">
        <v>54</v>
      </c>
      <c r="Q236" s="91">
        <v>60.55</v>
      </c>
      <c r="R236" s="91">
        <v>62.45</v>
      </c>
      <c r="S236" s="91">
        <v>61.64</v>
      </c>
      <c r="T236" s="91">
        <v>62.72</v>
      </c>
      <c r="U236" s="91">
        <v>63.73</v>
      </c>
    </row>
    <row r="237" spans="1:21" x14ac:dyDescent="0.2">
      <c r="A237" s="48">
        <f t="shared" si="3"/>
        <v>229</v>
      </c>
      <c r="B237" s="43">
        <v>7</v>
      </c>
      <c r="C237" s="43">
        <v>7</v>
      </c>
      <c r="D237" s="38" t="s">
        <v>881</v>
      </c>
      <c r="E237" s="44" t="s">
        <v>130</v>
      </c>
      <c r="F237" s="44" t="s">
        <v>37</v>
      </c>
      <c r="G237" s="44" t="s">
        <v>108</v>
      </c>
      <c r="H237" s="44" t="s">
        <v>38</v>
      </c>
      <c r="I237" s="44" t="s">
        <v>38</v>
      </c>
      <c r="J237" s="44" t="s">
        <v>40</v>
      </c>
      <c r="K237" s="44" t="s">
        <v>123</v>
      </c>
      <c r="L237" s="40">
        <v>22756</v>
      </c>
      <c r="M237" s="41">
        <v>42250</v>
      </c>
      <c r="N237" s="40" t="s">
        <v>110</v>
      </c>
      <c r="O237" s="42">
        <v>42461</v>
      </c>
      <c r="P237" s="40">
        <v>54</v>
      </c>
      <c r="Q237" s="91">
        <v>80.5</v>
      </c>
      <c r="R237" s="91">
        <v>83.63</v>
      </c>
      <c r="S237" s="91">
        <v>81.010000000000005</v>
      </c>
      <c r="T237" s="91">
        <v>81.069999999999993</v>
      </c>
      <c r="U237" s="91">
        <v>80.900000000000006</v>
      </c>
    </row>
    <row r="238" spans="1:21" x14ac:dyDescent="0.2">
      <c r="A238" s="48">
        <f t="shared" si="3"/>
        <v>230</v>
      </c>
      <c r="B238" s="43">
        <v>7</v>
      </c>
      <c r="C238" s="43">
        <v>8</v>
      </c>
      <c r="D238" s="38" t="s">
        <v>882</v>
      </c>
      <c r="E238" s="44" t="s">
        <v>132</v>
      </c>
      <c r="F238" s="44" t="s">
        <v>37</v>
      </c>
      <c r="G238" s="44" t="s">
        <v>108</v>
      </c>
      <c r="H238" s="44" t="s">
        <v>38</v>
      </c>
      <c r="I238" s="44" t="s">
        <v>38</v>
      </c>
      <c r="J238" s="44" t="s">
        <v>39</v>
      </c>
      <c r="K238" s="44" t="s">
        <v>120</v>
      </c>
      <c r="L238" s="40">
        <v>22755</v>
      </c>
      <c r="M238" s="41">
        <v>42250</v>
      </c>
      <c r="N238" s="40" t="s">
        <v>110</v>
      </c>
      <c r="O238" s="42">
        <v>42461</v>
      </c>
      <c r="P238" s="40">
        <v>54</v>
      </c>
      <c r="Q238" s="91">
        <v>82.06</v>
      </c>
      <c r="R238" s="91">
        <v>84.52</v>
      </c>
      <c r="S238" s="91">
        <v>82.16</v>
      </c>
      <c r="T238" s="91">
        <v>82.06</v>
      </c>
      <c r="U238" s="91">
        <v>81.91</v>
      </c>
    </row>
    <row r="239" spans="1:21" x14ac:dyDescent="0.2">
      <c r="A239" s="48">
        <f t="shared" si="3"/>
        <v>231</v>
      </c>
      <c r="B239" s="43">
        <v>7</v>
      </c>
      <c r="C239" s="43">
        <v>9</v>
      </c>
      <c r="D239" s="38" t="s">
        <v>883</v>
      </c>
      <c r="E239" s="44" t="s">
        <v>134</v>
      </c>
      <c r="F239" s="44" t="s">
        <v>37</v>
      </c>
      <c r="G239" s="44" t="s">
        <v>108</v>
      </c>
      <c r="H239" s="44" t="s">
        <v>38</v>
      </c>
      <c r="I239" s="44" t="s">
        <v>38</v>
      </c>
      <c r="J239" s="44" t="s">
        <v>6</v>
      </c>
      <c r="K239" s="44" t="s">
        <v>117</v>
      </c>
      <c r="L239" s="40">
        <v>22757</v>
      </c>
      <c r="M239" s="41">
        <v>42250</v>
      </c>
      <c r="N239" s="40" t="s">
        <v>110</v>
      </c>
      <c r="O239" s="42">
        <v>42461</v>
      </c>
      <c r="P239" s="40">
        <v>54</v>
      </c>
      <c r="Q239" s="91">
        <v>79.599999999999994</v>
      </c>
      <c r="R239" s="91">
        <v>82.82</v>
      </c>
      <c r="S239" s="91">
        <v>80.260000000000005</v>
      </c>
      <c r="T239" s="91">
        <v>80.239999999999995</v>
      </c>
      <c r="U239" s="91">
        <v>80.05</v>
      </c>
    </row>
    <row r="240" spans="1:21" x14ac:dyDescent="0.2">
      <c r="A240" s="48">
        <f t="shared" si="3"/>
        <v>232</v>
      </c>
      <c r="B240" s="43">
        <v>7</v>
      </c>
      <c r="C240" s="43">
        <v>10</v>
      </c>
      <c r="D240" s="38" t="s">
        <v>884</v>
      </c>
      <c r="E240" s="44" t="s">
        <v>136</v>
      </c>
      <c r="F240" s="44" t="s">
        <v>23</v>
      </c>
      <c r="G240" s="44" t="s">
        <v>108</v>
      </c>
      <c r="H240" s="44" t="s">
        <v>137</v>
      </c>
      <c r="I240" s="44" t="s">
        <v>24</v>
      </c>
      <c r="J240" s="44" t="s">
        <v>25</v>
      </c>
      <c r="K240" s="44" t="s">
        <v>138</v>
      </c>
      <c r="L240" s="40">
        <v>22758</v>
      </c>
      <c r="M240" s="41">
        <v>42250</v>
      </c>
      <c r="N240" s="40" t="s">
        <v>110</v>
      </c>
      <c r="O240" s="42">
        <v>42461</v>
      </c>
      <c r="P240" s="40">
        <v>54</v>
      </c>
      <c r="Q240" s="91">
        <v>62.92</v>
      </c>
      <c r="R240" s="91">
        <v>63.28</v>
      </c>
      <c r="S240" s="91">
        <v>63.06</v>
      </c>
      <c r="T240" s="91">
        <v>63.65</v>
      </c>
      <c r="U240" s="91">
        <v>66.55</v>
      </c>
    </row>
    <row r="241" spans="1:21" x14ac:dyDescent="0.2">
      <c r="A241" s="48">
        <f t="shared" si="3"/>
        <v>233</v>
      </c>
      <c r="B241" s="43">
        <v>7</v>
      </c>
      <c r="C241" s="43">
        <v>11</v>
      </c>
      <c r="D241" s="38" t="s">
        <v>885</v>
      </c>
      <c r="E241" s="44" t="s">
        <v>140</v>
      </c>
      <c r="F241" s="44" t="s">
        <v>23</v>
      </c>
      <c r="G241" s="44" t="s">
        <v>108</v>
      </c>
      <c r="H241" s="44" t="s">
        <v>137</v>
      </c>
      <c r="I241" s="44" t="s">
        <v>24</v>
      </c>
      <c r="J241" s="44" t="s">
        <v>26</v>
      </c>
      <c r="K241" s="44" t="s">
        <v>141</v>
      </c>
      <c r="L241" s="40">
        <v>22759</v>
      </c>
      <c r="M241" s="41">
        <v>42250</v>
      </c>
      <c r="N241" s="40" t="s">
        <v>110</v>
      </c>
      <c r="O241" s="42">
        <v>42461</v>
      </c>
      <c r="P241" s="40">
        <v>54</v>
      </c>
      <c r="Q241" s="91">
        <v>62.11</v>
      </c>
      <c r="R241" s="91">
        <v>62.49</v>
      </c>
      <c r="S241" s="91">
        <v>62.27</v>
      </c>
      <c r="T241" s="91">
        <v>62.85</v>
      </c>
      <c r="U241" s="91">
        <v>65.760000000000005</v>
      </c>
    </row>
    <row r="242" spans="1:21" x14ac:dyDescent="0.2">
      <c r="A242" s="48">
        <f t="shared" si="3"/>
        <v>234</v>
      </c>
      <c r="B242" s="43">
        <v>7</v>
      </c>
      <c r="C242" s="43">
        <v>12</v>
      </c>
      <c r="D242" s="38" t="s">
        <v>886</v>
      </c>
      <c r="E242" s="44" t="s">
        <v>143</v>
      </c>
      <c r="F242" s="44" t="s">
        <v>18</v>
      </c>
      <c r="G242" s="44" t="s">
        <v>108</v>
      </c>
      <c r="H242" s="44" t="s">
        <v>94</v>
      </c>
      <c r="I242" s="44" t="s">
        <v>144</v>
      </c>
      <c r="J242" s="44" t="s">
        <v>20</v>
      </c>
      <c r="K242" s="44" t="s">
        <v>145</v>
      </c>
      <c r="L242" s="40">
        <v>22760</v>
      </c>
      <c r="M242" s="41">
        <v>42250</v>
      </c>
      <c r="N242" s="40" t="s">
        <v>110</v>
      </c>
      <c r="O242" s="42">
        <v>42461</v>
      </c>
      <c r="P242" s="40">
        <v>54</v>
      </c>
      <c r="Q242" s="91">
        <v>61.56</v>
      </c>
      <c r="R242" s="91">
        <v>59.12</v>
      </c>
      <c r="S242" s="91">
        <v>59.62</v>
      </c>
      <c r="T242" s="91">
        <v>59.19</v>
      </c>
      <c r="U242" s="91">
        <v>60.57</v>
      </c>
    </row>
    <row r="243" spans="1:21" x14ac:dyDescent="0.2">
      <c r="A243" s="48">
        <f t="shared" si="3"/>
        <v>235</v>
      </c>
      <c r="B243" s="43">
        <v>7</v>
      </c>
      <c r="C243" s="43">
        <v>13</v>
      </c>
      <c r="D243" s="38" t="s">
        <v>887</v>
      </c>
      <c r="E243" s="44" t="s">
        <v>147</v>
      </c>
      <c r="F243" s="44" t="s">
        <v>37</v>
      </c>
      <c r="G243" s="44" t="s">
        <v>108</v>
      </c>
      <c r="H243" s="44" t="s">
        <v>41</v>
      </c>
      <c r="I243" s="44" t="s">
        <v>41</v>
      </c>
      <c r="J243" s="44" t="s">
        <v>6</v>
      </c>
      <c r="K243" s="44" t="s">
        <v>128</v>
      </c>
      <c r="L243" s="40">
        <v>22761</v>
      </c>
      <c r="M243" s="41">
        <v>42250</v>
      </c>
      <c r="N243" s="40" t="s">
        <v>110</v>
      </c>
      <c r="O243" s="42">
        <v>42461</v>
      </c>
      <c r="P243" s="40">
        <v>54</v>
      </c>
      <c r="Q243" s="91">
        <v>77.099999999999994</v>
      </c>
      <c r="R243" s="91">
        <v>82.53</v>
      </c>
      <c r="S243" s="91">
        <v>79.209999999999994</v>
      </c>
      <c r="T243" s="91">
        <v>80.180000000000007</v>
      </c>
      <c r="U243" s="91">
        <v>82.48</v>
      </c>
    </row>
    <row r="244" spans="1:21" x14ac:dyDescent="0.2">
      <c r="A244" s="48">
        <f t="shared" si="3"/>
        <v>236</v>
      </c>
      <c r="B244" s="43">
        <v>7</v>
      </c>
      <c r="C244" s="43">
        <v>14</v>
      </c>
      <c r="D244" s="38" t="s">
        <v>888</v>
      </c>
      <c r="E244" s="44" t="s">
        <v>149</v>
      </c>
      <c r="F244" s="44" t="s">
        <v>5</v>
      </c>
      <c r="G244" s="44" t="s">
        <v>108</v>
      </c>
      <c r="H244" s="44" t="s">
        <v>46</v>
      </c>
      <c r="I244" s="44" t="s">
        <v>46</v>
      </c>
      <c r="J244" s="44" t="s">
        <v>6</v>
      </c>
      <c r="K244" s="44" t="s">
        <v>128</v>
      </c>
      <c r="L244" s="40">
        <v>22762</v>
      </c>
      <c r="M244" s="41">
        <v>42250</v>
      </c>
      <c r="N244" s="40" t="s">
        <v>110</v>
      </c>
      <c r="O244" s="42">
        <v>42461</v>
      </c>
      <c r="P244" s="40">
        <v>54</v>
      </c>
      <c r="Q244" s="91">
        <v>68.599999999999994</v>
      </c>
      <c r="R244" s="91">
        <v>69.489999999999995</v>
      </c>
      <c r="S244" s="91">
        <v>68.989999999999995</v>
      </c>
      <c r="T244" s="91">
        <v>69.77</v>
      </c>
      <c r="U244" s="91">
        <v>71.34</v>
      </c>
    </row>
    <row r="245" spans="1:21" x14ac:dyDescent="0.2">
      <c r="A245" s="48">
        <f t="shared" si="3"/>
        <v>237</v>
      </c>
      <c r="B245" s="43">
        <v>7</v>
      </c>
      <c r="C245" s="43">
        <v>15</v>
      </c>
      <c r="D245" s="38" t="s">
        <v>889</v>
      </c>
      <c r="E245" s="44" t="s">
        <v>151</v>
      </c>
      <c r="F245" s="44" t="s">
        <v>18</v>
      </c>
      <c r="G245" s="44" t="s">
        <v>108</v>
      </c>
      <c r="H245" s="44" t="s">
        <v>21</v>
      </c>
      <c r="I245" s="44" t="s">
        <v>152</v>
      </c>
      <c r="J245" s="44" t="s">
        <v>22</v>
      </c>
      <c r="K245" s="44" t="s">
        <v>128</v>
      </c>
      <c r="L245" s="40">
        <v>22763</v>
      </c>
      <c r="M245" s="41">
        <v>42250</v>
      </c>
      <c r="N245" s="40" t="s">
        <v>110</v>
      </c>
      <c r="O245" s="42">
        <v>42461</v>
      </c>
      <c r="P245" s="40">
        <v>54</v>
      </c>
      <c r="Q245" s="91">
        <v>57.19</v>
      </c>
      <c r="R245" s="91">
        <v>57.92</v>
      </c>
      <c r="S245" s="91">
        <v>57.31</v>
      </c>
      <c r="T245" s="91">
        <v>57.96</v>
      </c>
      <c r="U245" s="91">
        <v>59.22</v>
      </c>
    </row>
    <row r="246" spans="1:21" x14ac:dyDescent="0.2">
      <c r="A246" s="48">
        <f t="shared" si="3"/>
        <v>238</v>
      </c>
      <c r="B246" s="43">
        <v>7</v>
      </c>
      <c r="C246" s="43">
        <v>16</v>
      </c>
      <c r="D246" s="38" t="s">
        <v>890</v>
      </c>
      <c r="E246" s="44" t="s">
        <v>154</v>
      </c>
      <c r="F246" s="44" t="s">
        <v>18</v>
      </c>
      <c r="G246" s="44" t="s">
        <v>108</v>
      </c>
      <c r="H246" s="44" t="s">
        <v>62</v>
      </c>
      <c r="I246" s="44" t="s">
        <v>155</v>
      </c>
      <c r="J246" s="44" t="s">
        <v>6</v>
      </c>
      <c r="K246" s="44" t="s">
        <v>128</v>
      </c>
      <c r="L246" s="40">
        <v>22764</v>
      </c>
      <c r="M246" s="41">
        <v>42250</v>
      </c>
      <c r="N246" s="40" t="s">
        <v>110</v>
      </c>
      <c r="O246" s="42">
        <v>42461</v>
      </c>
      <c r="P246" s="40">
        <v>54</v>
      </c>
      <c r="Q246" s="91">
        <v>68.849999999999994</v>
      </c>
      <c r="R246" s="91">
        <v>65.349999999999994</v>
      </c>
      <c r="S246" s="91">
        <v>63.88</v>
      </c>
      <c r="T246" s="91">
        <v>62.95</v>
      </c>
      <c r="U246" s="91">
        <v>63.27</v>
      </c>
    </row>
    <row r="247" spans="1:21" x14ac:dyDescent="0.2">
      <c r="A247" s="48">
        <f t="shared" si="3"/>
        <v>239</v>
      </c>
      <c r="B247" s="43">
        <v>7</v>
      </c>
      <c r="C247" s="43">
        <v>17</v>
      </c>
      <c r="D247" s="38" t="s">
        <v>891</v>
      </c>
      <c r="E247" s="44" t="s">
        <v>157</v>
      </c>
      <c r="F247" s="44" t="s">
        <v>29</v>
      </c>
      <c r="G247" s="44" t="s">
        <v>108</v>
      </c>
      <c r="H247" s="44" t="s">
        <v>33</v>
      </c>
      <c r="I247" s="44" t="s">
        <v>33</v>
      </c>
      <c r="J247" s="44" t="s">
        <v>7</v>
      </c>
      <c r="K247" s="44" t="s">
        <v>123</v>
      </c>
      <c r="L247" s="40">
        <v>22765</v>
      </c>
      <c r="M247" s="41">
        <v>42250</v>
      </c>
      <c r="N247" s="40" t="s">
        <v>110</v>
      </c>
      <c r="O247" s="42">
        <v>42461</v>
      </c>
      <c r="P247" s="40">
        <v>54</v>
      </c>
      <c r="Q247" s="91">
        <v>78.489999999999995</v>
      </c>
      <c r="R247" s="91">
        <v>85.55</v>
      </c>
      <c r="S247" s="91">
        <v>82.98</v>
      </c>
      <c r="T247" s="91">
        <v>84.21</v>
      </c>
      <c r="U247" s="91">
        <v>86.51</v>
      </c>
    </row>
    <row r="248" spans="1:21" x14ac:dyDescent="0.2">
      <c r="A248" s="48">
        <f t="shared" si="3"/>
        <v>240</v>
      </c>
      <c r="B248" s="43">
        <v>7</v>
      </c>
      <c r="C248" s="43">
        <v>18</v>
      </c>
      <c r="D248" s="38" t="s">
        <v>892</v>
      </c>
      <c r="E248" s="44" t="s">
        <v>159</v>
      </c>
      <c r="F248" s="44" t="s">
        <v>29</v>
      </c>
      <c r="G248" s="44" t="s">
        <v>108</v>
      </c>
      <c r="H248" s="44" t="s">
        <v>33</v>
      </c>
      <c r="I248" s="44" t="s">
        <v>33</v>
      </c>
      <c r="J248" s="44" t="s">
        <v>8</v>
      </c>
      <c r="K248" s="44" t="s">
        <v>120</v>
      </c>
      <c r="L248" s="40">
        <v>22766</v>
      </c>
      <c r="M248" s="41">
        <v>42250</v>
      </c>
      <c r="N248" s="40" t="s">
        <v>110</v>
      </c>
      <c r="O248" s="42">
        <v>42461</v>
      </c>
      <c r="P248" s="40">
        <v>54</v>
      </c>
      <c r="Q248" s="91">
        <v>81.53</v>
      </c>
      <c r="R248" s="91">
        <v>88.77</v>
      </c>
      <c r="S248" s="91">
        <v>86.27</v>
      </c>
      <c r="T248" s="91">
        <v>87.45</v>
      </c>
      <c r="U248" s="91">
        <v>89.78</v>
      </c>
    </row>
    <row r="249" spans="1:21" x14ac:dyDescent="0.2">
      <c r="A249" s="48">
        <f t="shared" si="3"/>
        <v>241</v>
      </c>
      <c r="B249" s="43">
        <v>7</v>
      </c>
      <c r="C249" s="43">
        <v>19</v>
      </c>
      <c r="D249" s="38" t="s">
        <v>893</v>
      </c>
      <c r="E249" s="44" t="s">
        <v>161</v>
      </c>
      <c r="F249" s="44" t="s">
        <v>29</v>
      </c>
      <c r="G249" s="44" t="s">
        <v>108</v>
      </c>
      <c r="H249" s="44" t="s">
        <v>33</v>
      </c>
      <c r="I249" s="44" t="s">
        <v>33</v>
      </c>
      <c r="J249" s="44" t="s">
        <v>9</v>
      </c>
      <c r="K249" s="44" t="s">
        <v>117</v>
      </c>
      <c r="L249" s="40">
        <v>22767</v>
      </c>
      <c r="M249" s="41">
        <v>42250</v>
      </c>
      <c r="N249" s="40" t="s">
        <v>110</v>
      </c>
      <c r="O249" s="42">
        <v>42461</v>
      </c>
      <c r="P249" s="40">
        <v>54</v>
      </c>
      <c r="Q249" s="91">
        <v>80.739999999999995</v>
      </c>
      <c r="R249" s="91">
        <v>86.89</v>
      </c>
      <c r="S249" s="91">
        <v>84.7</v>
      </c>
      <c r="T249" s="91">
        <v>85.44</v>
      </c>
      <c r="U249" s="91">
        <v>87.7</v>
      </c>
    </row>
    <row r="250" spans="1:21" x14ac:dyDescent="0.2">
      <c r="A250" s="48">
        <f t="shared" si="3"/>
        <v>242</v>
      </c>
      <c r="B250" s="43">
        <v>7</v>
      </c>
      <c r="C250" s="43">
        <v>20</v>
      </c>
      <c r="D250" s="38" t="s">
        <v>894</v>
      </c>
      <c r="E250" s="44" t="s">
        <v>163</v>
      </c>
      <c r="F250" s="44" t="s">
        <v>5</v>
      </c>
      <c r="G250" s="44" t="s">
        <v>108</v>
      </c>
      <c r="H250" s="44" t="s">
        <v>164</v>
      </c>
      <c r="I250" s="44" t="s">
        <v>165</v>
      </c>
      <c r="J250" s="44" t="s">
        <v>7</v>
      </c>
      <c r="K250" s="44" t="s">
        <v>123</v>
      </c>
      <c r="L250" s="40">
        <v>22769</v>
      </c>
      <c r="M250" s="41">
        <v>42250</v>
      </c>
      <c r="N250" s="40" t="s">
        <v>110</v>
      </c>
      <c r="O250" s="42">
        <v>42461</v>
      </c>
      <c r="P250" s="40">
        <v>54</v>
      </c>
      <c r="Q250" s="91">
        <v>60.23</v>
      </c>
      <c r="R250" s="91">
        <v>66.36</v>
      </c>
      <c r="S250" s="91">
        <v>63.56</v>
      </c>
      <c r="T250" s="91">
        <v>64.38</v>
      </c>
      <c r="U250" s="91">
        <v>64.91</v>
      </c>
    </row>
    <row r="251" spans="1:21" x14ac:dyDescent="0.2">
      <c r="A251" s="48">
        <f t="shared" si="3"/>
        <v>243</v>
      </c>
      <c r="B251" s="43">
        <v>7</v>
      </c>
      <c r="C251" s="43">
        <v>21</v>
      </c>
      <c r="D251" s="38" t="s">
        <v>895</v>
      </c>
      <c r="E251" s="44" t="s">
        <v>167</v>
      </c>
      <c r="F251" s="44" t="s">
        <v>5</v>
      </c>
      <c r="G251" s="44" t="s">
        <v>108</v>
      </c>
      <c r="H251" s="44" t="s">
        <v>164</v>
      </c>
      <c r="I251" s="44" t="s">
        <v>165</v>
      </c>
      <c r="J251" s="44" t="s">
        <v>8</v>
      </c>
      <c r="K251" s="44" t="s">
        <v>120</v>
      </c>
      <c r="L251" s="40">
        <v>22768</v>
      </c>
      <c r="M251" s="41">
        <v>42250</v>
      </c>
      <c r="N251" s="40" t="s">
        <v>110</v>
      </c>
      <c r="O251" s="42">
        <v>42461</v>
      </c>
      <c r="P251" s="40">
        <v>54</v>
      </c>
      <c r="Q251" s="91">
        <v>61.55</v>
      </c>
      <c r="R251" s="91">
        <v>67.42</v>
      </c>
      <c r="S251" s="91">
        <v>64.75</v>
      </c>
      <c r="T251" s="91">
        <v>65.489999999999995</v>
      </c>
      <c r="U251" s="91">
        <v>66.010000000000005</v>
      </c>
    </row>
    <row r="252" spans="1:21" x14ac:dyDescent="0.2">
      <c r="A252" s="48">
        <f t="shared" si="3"/>
        <v>244</v>
      </c>
      <c r="B252" s="43">
        <v>7</v>
      </c>
      <c r="C252" s="43">
        <v>22</v>
      </c>
      <c r="D252" s="38" t="s">
        <v>896</v>
      </c>
      <c r="E252" s="44" t="s">
        <v>169</v>
      </c>
      <c r="F252" s="44" t="s">
        <v>5</v>
      </c>
      <c r="G252" s="44" t="s">
        <v>108</v>
      </c>
      <c r="H252" s="44" t="s">
        <v>164</v>
      </c>
      <c r="I252" s="44" t="s">
        <v>165</v>
      </c>
      <c r="J252" s="44" t="s">
        <v>9</v>
      </c>
      <c r="K252" s="44" t="s">
        <v>117</v>
      </c>
      <c r="L252" s="40">
        <v>22770</v>
      </c>
      <c r="M252" s="41">
        <v>42250</v>
      </c>
      <c r="N252" s="40" t="s">
        <v>110</v>
      </c>
      <c r="O252" s="42">
        <v>42461</v>
      </c>
      <c r="P252" s="40">
        <v>54</v>
      </c>
      <c r="Q252" s="91">
        <v>61.58</v>
      </c>
      <c r="R252" s="91">
        <v>66.88</v>
      </c>
      <c r="S252" s="91">
        <v>64.430000000000007</v>
      </c>
      <c r="T252" s="91">
        <v>64.95</v>
      </c>
      <c r="U252" s="91">
        <v>65.459999999999994</v>
      </c>
    </row>
    <row r="253" spans="1:21" x14ac:dyDescent="0.2">
      <c r="A253" s="48">
        <f t="shared" si="3"/>
        <v>245</v>
      </c>
      <c r="B253" s="43">
        <v>7</v>
      </c>
      <c r="C253" s="43">
        <v>23</v>
      </c>
      <c r="D253" s="38" t="s">
        <v>897</v>
      </c>
      <c r="E253" s="44" t="s">
        <v>171</v>
      </c>
      <c r="F253" s="44" t="s">
        <v>5</v>
      </c>
      <c r="G253" s="44" t="s">
        <v>108</v>
      </c>
      <c r="H253" s="44" t="s">
        <v>11</v>
      </c>
      <c r="I253" s="44" t="s">
        <v>11</v>
      </c>
      <c r="J253" s="44" t="s">
        <v>6</v>
      </c>
      <c r="K253" s="44" t="s">
        <v>128</v>
      </c>
      <c r="L253" s="40">
        <v>22771</v>
      </c>
      <c r="M253" s="41">
        <v>42250</v>
      </c>
      <c r="N253" s="40" t="s">
        <v>110</v>
      </c>
      <c r="O253" s="42">
        <v>42461</v>
      </c>
      <c r="P253" s="40">
        <v>54</v>
      </c>
      <c r="Q253" s="91">
        <v>64.06</v>
      </c>
      <c r="R253" s="91">
        <v>71.14</v>
      </c>
      <c r="S253" s="91">
        <v>67.62</v>
      </c>
      <c r="T253" s="91">
        <v>68.86</v>
      </c>
      <c r="U253" s="91">
        <v>70.77</v>
      </c>
    </row>
    <row r="254" spans="1:21" x14ac:dyDescent="0.2">
      <c r="A254" s="48">
        <f t="shared" si="3"/>
        <v>246</v>
      </c>
      <c r="B254" s="43">
        <v>7</v>
      </c>
      <c r="C254" s="43">
        <v>24</v>
      </c>
      <c r="D254" s="38" t="s">
        <v>898</v>
      </c>
      <c r="E254" s="44" t="s">
        <v>173</v>
      </c>
      <c r="F254" s="44" t="s">
        <v>5</v>
      </c>
      <c r="G254" s="44" t="s">
        <v>108</v>
      </c>
      <c r="H254" s="44" t="s">
        <v>10</v>
      </c>
      <c r="I254" s="44" t="s">
        <v>174</v>
      </c>
      <c r="J254" s="44" t="s">
        <v>7</v>
      </c>
      <c r="K254" s="44" t="s">
        <v>123</v>
      </c>
      <c r="L254" s="40">
        <v>22772</v>
      </c>
      <c r="M254" s="41">
        <v>42250</v>
      </c>
      <c r="N254" s="40" t="s">
        <v>110</v>
      </c>
      <c r="O254" s="42">
        <v>42461</v>
      </c>
      <c r="P254" s="40">
        <v>54</v>
      </c>
      <c r="Q254" s="91">
        <v>66.540000000000006</v>
      </c>
      <c r="R254" s="91">
        <v>69.36</v>
      </c>
      <c r="S254" s="91">
        <v>67.069999999999993</v>
      </c>
      <c r="T254" s="91">
        <v>66.92</v>
      </c>
      <c r="U254" s="91">
        <v>67.069999999999993</v>
      </c>
    </row>
    <row r="255" spans="1:21" x14ac:dyDescent="0.2">
      <c r="A255" s="48">
        <f t="shared" si="3"/>
        <v>247</v>
      </c>
      <c r="B255" s="43">
        <v>7</v>
      </c>
      <c r="C255" s="43">
        <v>25</v>
      </c>
      <c r="D255" s="38" t="s">
        <v>899</v>
      </c>
      <c r="E255" s="44" t="s">
        <v>176</v>
      </c>
      <c r="F255" s="44" t="s">
        <v>5</v>
      </c>
      <c r="G255" s="44" t="s">
        <v>108</v>
      </c>
      <c r="H255" s="44" t="s">
        <v>10</v>
      </c>
      <c r="I255" s="44" t="s">
        <v>174</v>
      </c>
      <c r="J255" s="44" t="s">
        <v>8</v>
      </c>
      <c r="K255" s="44" t="s">
        <v>120</v>
      </c>
      <c r="L255" s="40">
        <v>22773</v>
      </c>
      <c r="M255" s="41">
        <v>42250</v>
      </c>
      <c r="N255" s="40" t="s">
        <v>110</v>
      </c>
      <c r="O255" s="42">
        <v>42461</v>
      </c>
      <c r="P255" s="40">
        <v>54</v>
      </c>
      <c r="Q255" s="91">
        <v>68.260000000000005</v>
      </c>
      <c r="R255" s="91">
        <v>70.569999999999993</v>
      </c>
      <c r="S255" s="91">
        <v>68.48</v>
      </c>
      <c r="T255" s="91">
        <v>68.14</v>
      </c>
      <c r="U255" s="91">
        <v>68.290000000000006</v>
      </c>
    </row>
    <row r="256" spans="1:21" x14ac:dyDescent="0.2">
      <c r="A256" s="48">
        <f t="shared" si="3"/>
        <v>248</v>
      </c>
      <c r="B256" s="43">
        <v>7</v>
      </c>
      <c r="C256" s="43">
        <v>26</v>
      </c>
      <c r="D256" s="38" t="s">
        <v>900</v>
      </c>
      <c r="E256" s="44" t="s">
        <v>178</v>
      </c>
      <c r="F256" s="44" t="s">
        <v>5</v>
      </c>
      <c r="G256" s="44" t="s">
        <v>108</v>
      </c>
      <c r="H256" s="44" t="s">
        <v>10</v>
      </c>
      <c r="I256" s="44" t="s">
        <v>174</v>
      </c>
      <c r="J256" s="44" t="s">
        <v>9</v>
      </c>
      <c r="K256" s="44" t="s">
        <v>117</v>
      </c>
      <c r="L256" s="40">
        <v>22774</v>
      </c>
      <c r="M256" s="41">
        <v>42250</v>
      </c>
      <c r="N256" s="40" t="s">
        <v>110</v>
      </c>
      <c r="O256" s="42">
        <v>42461</v>
      </c>
      <c r="P256" s="40">
        <v>54</v>
      </c>
      <c r="Q256" s="91">
        <v>71.72</v>
      </c>
      <c r="R256" s="91">
        <v>70.430000000000007</v>
      </c>
      <c r="S256" s="91">
        <v>69.52</v>
      </c>
      <c r="T256" s="91">
        <v>68.05</v>
      </c>
      <c r="U256" s="91">
        <v>68.23</v>
      </c>
    </row>
    <row r="257" spans="1:21" x14ac:dyDescent="0.2">
      <c r="A257" s="48">
        <f t="shared" si="3"/>
        <v>249</v>
      </c>
      <c r="B257" s="43">
        <v>7</v>
      </c>
      <c r="C257" s="43">
        <v>27</v>
      </c>
      <c r="D257" s="38" t="s">
        <v>901</v>
      </c>
      <c r="E257" s="44" t="s">
        <v>180</v>
      </c>
      <c r="F257" s="44" t="s">
        <v>5</v>
      </c>
      <c r="G257" s="44" t="s">
        <v>108</v>
      </c>
      <c r="H257" s="44" t="s">
        <v>91</v>
      </c>
      <c r="I257" s="44" t="s">
        <v>181</v>
      </c>
      <c r="J257" s="44" t="s">
        <v>6</v>
      </c>
      <c r="K257" s="44" t="s">
        <v>128</v>
      </c>
      <c r="L257" s="40">
        <v>22775</v>
      </c>
      <c r="M257" s="41">
        <v>42250</v>
      </c>
      <c r="N257" s="40" t="s">
        <v>110</v>
      </c>
      <c r="O257" s="42">
        <v>42461</v>
      </c>
      <c r="P257" s="40">
        <v>54</v>
      </c>
      <c r="Q257" s="91">
        <v>79.86</v>
      </c>
      <c r="R257" s="91">
        <v>76.25</v>
      </c>
      <c r="S257" s="91">
        <v>74.87</v>
      </c>
      <c r="T257" s="91">
        <v>73.88</v>
      </c>
      <c r="U257" s="91">
        <v>74.25</v>
      </c>
    </row>
    <row r="258" spans="1:21" x14ac:dyDescent="0.2">
      <c r="A258" s="48">
        <f t="shared" si="3"/>
        <v>250</v>
      </c>
      <c r="B258" s="43">
        <v>7</v>
      </c>
      <c r="C258" s="43">
        <v>28</v>
      </c>
      <c r="D258" s="38" t="s">
        <v>902</v>
      </c>
      <c r="E258" s="44" t="s">
        <v>183</v>
      </c>
      <c r="F258" s="44" t="s">
        <v>37</v>
      </c>
      <c r="G258" s="44" t="s">
        <v>108</v>
      </c>
      <c r="H258" s="44" t="s">
        <v>42</v>
      </c>
      <c r="I258" s="44" t="s">
        <v>42</v>
      </c>
      <c r="J258" s="44" t="s">
        <v>6</v>
      </c>
      <c r="K258" s="44" t="s">
        <v>128</v>
      </c>
      <c r="L258" s="40">
        <v>22776</v>
      </c>
      <c r="M258" s="41">
        <v>42250</v>
      </c>
      <c r="N258" s="40" t="s">
        <v>110</v>
      </c>
      <c r="O258" s="42">
        <v>42461</v>
      </c>
      <c r="P258" s="40">
        <v>54</v>
      </c>
      <c r="Q258" s="91">
        <v>81.290000000000006</v>
      </c>
      <c r="R258" s="91">
        <v>83.12</v>
      </c>
      <c r="S258" s="91">
        <v>80.84</v>
      </c>
      <c r="T258" s="91">
        <v>80.28</v>
      </c>
      <c r="U258" s="91">
        <v>80.14</v>
      </c>
    </row>
    <row r="259" spans="1:21" x14ac:dyDescent="0.2">
      <c r="A259" s="48">
        <f t="shared" si="3"/>
        <v>251</v>
      </c>
      <c r="B259" s="43">
        <v>7</v>
      </c>
      <c r="C259" s="43">
        <v>29</v>
      </c>
      <c r="D259" s="38" t="s">
        <v>903</v>
      </c>
      <c r="E259" s="44" t="s">
        <v>185</v>
      </c>
      <c r="F259" s="44" t="s">
        <v>37</v>
      </c>
      <c r="G259" s="44" t="s">
        <v>108</v>
      </c>
      <c r="H259" s="44" t="s">
        <v>42</v>
      </c>
      <c r="I259" s="44" t="s">
        <v>42</v>
      </c>
      <c r="J259" s="44" t="s">
        <v>43</v>
      </c>
      <c r="K259" s="44" t="s">
        <v>186</v>
      </c>
      <c r="L259" s="40">
        <v>22777</v>
      </c>
      <c r="M259" s="41">
        <v>42250</v>
      </c>
      <c r="N259" s="40" t="s">
        <v>110</v>
      </c>
      <c r="O259" s="42">
        <v>42461</v>
      </c>
      <c r="P259" s="40">
        <v>54</v>
      </c>
      <c r="Q259" s="91">
        <v>77.239999999999995</v>
      </c>
      <c r="R259" s="91">
        <v>81</v>
      </c>
      <c r="S259" s="91">
        <v>77.98</v>
      </c>
      <c r="T259" s="91">
        <v>78.13</v>
      </c>
      <c r="U259" s="91">
        <v>77.94</v>
      </c>
    </row>
    <row r="260" spans="1:21" x14ac:dyDescent="0.2">
      <c r="A260" s="48">
        <f t="shared" si="3"/>
        <v>252</v>
      </c>
      <c r="B260" s="43">
        <v>7</v>
      </c>
      <c r="C260" s="43">
        <v>30</v>
      </c>
      <c r="D260" s="38" t="s">
        <v>904</v>
      </c>
      <c r="E260" s="44" t="s">
        <v>188</v>
      </c>
      <c r="F260" s="44" t="s">
        <v>37</v>
      </c>
      <c r="G260" s="44" t="s">
        <v>108</v>
      </c>
      <c r="H260" s="44" t="s">
        <v>42</v>
      </c>
      <c r="I260" s="44" t="s">
        <v>42</v>
      </c>
      <c r="J260" s="44" t="s">
        <v>44</v>
      </c>
      <c r="K260" s="44" t="s">
        <v>44</v>
      </c>
      <c r="L260" s="40">
        <v>22778</v>
      </c>
      <c r="M260" s="41">
        <v>42250</v>
      </c>
      <c r="N260" s="40" t="s">
        <v>110</v>
      </c>
      <c r="O260" s="42">
        <v>42461</v>
      </c>
      <c r="P260" s="40">
        <v>54</v>
      </c>
      <c r="Q260" s="91">
        <v>78.459999999999994</v>
      </c>
      <c r="R260" s="91">
        <v>80.59</v>
      </c>
      <c r="S260" s="91">
        <v>78.19</v>
      </c>
      <c r="T260" s="91">
        <v>77.89</v>
      </c>
      <c r="U260" s="91">
        <v>77.75</v>
      </c>
    </row>
    <row r="261" spans="1:21" x14ac:dyDescent="0.2">
      <c r="A261" s="48">
        <f t="shared" si="3"/>
        <v>253</v>
      </c>
      <c r="B261" s="43">
        <v>7</v>
      </c>
      <c r="C261" s="43">
        <v>31</v>
      </c>
      <c r="D261" s="38" t="s">
        <v>905</v>
      </c>
      <c r="E261" s="44" t="s">
        <v>190</v>
      </c>
      <c r="F261" s="44" t="s">
        <v>37</v>
      </c>
      <c r="G261" s="44" t="s">
        <v>108</v>
      </c>
      <c r="H261" s="44" t="s">
        <v>45</v>
      </c>
      <c r="I261" s="44" t="s">
        <v>45</v>
      </c>
      <c r="J261" s="44" t="s">
        <v>6</v>
      </c>
      <c r="K261" s="44" t="s">
        <v>128</v>
      </c>
      <c r="L261" s="40">
        <v>22779</v>
      </c>
      <c r="M261" s="41">
        <v>42250</v>
      </c>
      <c r="N261" s="40" t="s">
        <v>110</v>
      </c>
      <c r="O261" s="42">
        <v>42461</v>
      </c>
      <c r="P261" s="40">
        <v>54</v>
      </c>
      <c r="Q261" s="91">
        <v>69.040000000000006</v>
      </c>
      <c r="R261" s="91">
        <v>71.14</v>
      </c>
      <c r="S261" s="91">
        <v>70.33</v>
      </c>
      <c r="T261" s="91">
        <v>71.459999999999994</v>
      </c>
      <c r="U261" s="91">
        <v>73.11</v>
      </c>
    </row>
    <row r="262" spans="1:21" x14ac:dyDescent="0.2">
      <c r="A262" s="48">
        <f t="shared" si="3"/>
        <v>254</v>
      </c>
      <c r="B262" s="43">
        <v>7</v>
      </c>
      <c r="C262" s="43">
        <v>32</v>
      </c>
      <c r="D262" s="38" t="s">
        <v>906</v>
      </c>
      <c r="E262" s="44" t="s">
        <v>192</v>
      </c>
      <c r="F262" s="44" t="s">
        <v>5</v>
      </c>
      <c r="G262" s="44" t="s">
        <v>108</v>
      </c>
      <c r="H262" s="44" t="s">
        <v>12</v>
      </c>
      <c r="I262" s="44" t="s">
        <v>12</v>
      </c>
      <c r="J262" s="44" t="s">
        <v>13</v>
      </c>
      <c r="K262" s="44" t="s">
        <v>117</v>
      </c>
      <c r="L262" s="40">
        <v>22780</v>
      </c>
      <c r="M262" s="41">
        <v>42250</v>
      </c>
      <c r="N262" s="40" t="s">
        <v>110</v>
      </c>
      <c r="O262" s="42">
        <v>42461</v>
      </c>
      <c r="P262" s="40">
        <v>54</v>
      </c>
      <c r="Q262" s="91">
        <v>70.31</v>
      </c>
      <c r="R262" s="91">
        <v>75.989999999999995</v>
      </c>
      <c r="S262" s="91">
        <v>72.91</v>
      </c>
      <c r="T262" s="91">
        <v>73.459999999999994</v>
      </c>
      <c r="U262" s="91">
        <v>73.430000000000007</v>
      </c>
    </row>
    <row r="263" spans="1:21" x14ac:dyDescent="0.2">
      <c r="A263" s="48">
        <f t="shared" si="3"/>
        <v>255</v>
      </c>
      <c r="B263" s="43">
        <v>7</v>
      </c>
      <c r="C263" s="43">
        <v>33</v>
      </c>
      <c r="D263" s="38" t="s">
        <v>907</v>
      </c>
      <c r="E263" s="44" t="s">
        <v>194</v>
      </c>
      <c r="F263" s="44" t="s">
        <v>5</v>
      </c>
      <c r="G263" s="44" t="s">
        <v>108</v>
      </c>
      <c r="H263" s="44" t="s">
        <v>12</v>
      </c>
      <c r="I263" s="44" t="s">
        <v>12</v>
      </c>
      <c r="J263" s="44" t="s">
        <v>14</v>
      </c>
      <c r="K263" s="44" t="s">
        <v>123</v>
      </c>
      <c r="L263" s="40">
        <v>22781</v>
      </c>
      <c r="M263" s="41">
        <v>42250</v>
      </c>
      <c r="N263" s="40" t="s">
        <v>110</v>
      </c>
      <c r="O263" s="42">
        <v>42461</v>
      </c>
      <c r="P263" s="40">
        <v>54</v>
      </c>
      <c r="Q263" s="91">
        <v>70.23</v>
      </c>
      <c r="R263" s="91">
        <v>76.900000000000006</v>
      </c>
      <c r="S263" s="91">
        <v>73.44</v>
      </c>
      <c r="T263" s="91">
        <v>74.39</v>
      </c>
      <c r="U263" s="91">
        <v>74.41</v>
      </c>
    </row>
    <row r="264" spans="1:21" x14ac:dyDescent="0.2">
      <c r="A264" s="48">
        <f t="shared" si="3"/>
        <v>256</v>
      </c>
      <c r="B264" s="43">
        <v>7</v>
      </c>
      <c r="C264" s="43">
        <v>34</v>
      </c>
      <c r="D264" s="38" t="s">
        <v>908</v>
      </c>
      <c r="E264" s="44" t="s">
        <v>196</v>
      </c>
      <c r="F264" s="44" t="s">
        <v>29</v>
      </c>
      <c r="G264" s="44" t="s">
        <v>108</v>
      </c>
      <c r="H264" s="44" t="s">
        <v>34</v>
      </c>
      <c r="I264" s="44" t="s">
        <v>34</v>
      </c>
      <c r="J264" s="44" t="s">
        <v>35</v>
      </c>
      <c r="K264" s="44" t="s">
        <v>197</v>
      </c>
      <c r="L264" s="40">
        <v>22782</v>
      </c>
      <c r="M264" s="41">
        <v>42250</v>
      </c>
      <c r="N264" s="40" t="s">
        <v>110</v>
      </c>
      <c r="O264" s="42">
        <v>42461</v>
      </c>
      <c r="P264" s="40">
        <v>54</v>
      </c>
      <c r="Q264" s="91">
        <v>95.99</v>
      </c>
      <c r="R264" s="91">
        <v>105.49</v>
      </c>
      <c r="S264" s="91">
        <v>102.4</v>
      </c>
      <c r="T264" s="91">
        <v>104.45</v>
      </c>
      <c r="U264" s="91">
        <v>105.05</v>
      </c>
    </row>
    <row r="265" spans="1:21" x14ac:dyDescent="0.2">
      <c r="A265" s="48">
        <f t="shared" si="3"/>
        <v>257</v>
      </c>
      <c r="B265" s="43">
        <v>7</v>
      </c>
      <c r="C265" s="43">
        <v>35</v>
      </c>
      <c r="D265" s="38" t="s">
        <v>909</v>
      </c>
      <c r="E265" s="44" t="s">
        <v>199</v>
      </c>
      <c r="F265" s="44" t="s">
        <v>29</v>
      </c>
      <c r="G265" s="44" t="s">
        <v>108</v>
      </c>
      <c r="H265" s="44" t="s">
        <v>34</v>
      </c>
      <c r="I265" s="44" t="s">
        <v>34</v>
      </c>
      <c r="J265" s="44" t="s">
        <v>36</v>
      </c>
      <c r="K265" s="44" t="s">
        <v>200</v>
      </c>
      <c r="L265" s="40">
        <v>22783</v>
      </c>
      <c r="M265" s="41">
        <v>42250</v>
      </c>
      <c r="N265" s="40" t="s">
        <v>110</v>
      </c>
      <c r="O265" s="42">
        <v>42461</v>
      </c>
      <c r="P265" s="40">
        <v>54</v>
      </c>
      <c r="Q265" s="91">
        <v>94.27</v>
      </c>
      <c r="R265" s="91">
        <v>104.2</v>
      </c>
      <c r="S265" s="91">
        <v>100.83</v>
      </c>
      <c r="T265" s="91">
        <v>103.03</v>
      </c>
      <c r="U265" s="91">
        <v>103.6</v>
      </c>
    </row>
    <row r="266" spans="1:21" x14ac:dyDescent="0.2">
      <c r="A266" s="48">
        <f t="shared" si="3"/>
        <v>258</v>
      </c>
      <c r="B266" s="43">
        <v>7</v>
      </c>
      <c r="C266" s="43">
        <v>36</v>
      </c>
      <c r="D266" s="38" t="s">
        <v>910</v>
      </c>
      <c r="E266" s="44" t="s">
        <v>202</v>
      </c>
      <c r="F266" s="44" t="s">
        <v>5</v>
      </c>
      <c r="G266" s="44" t="s">
        <v>108</v>
      </c>
      <c r="H266" s="44" t="s">
        <v>15</v>
      </c>
      <c r="I266" s="44" t="s">
        <v>203</v>
      </c>
      <c r="J266" s="44" t="s">
        <v>16</v>
      </c>
      <c r="K266" s="44" t="s">
        <v>128</v>
      </c>
      <c r="L266" s="40">
        <v>22784</v>
      </c>
      <c r="M266" s="41">
        <v>42250</v>
      </c>
      <c r="N266" s="40" t="s">
        <v>110</v>
      </c>
      <c r="O266" s="42">
        <v>42461</v>
      </c>
      <c r="P266" s="40">
        <v>54</v>
      </c>
      <c r="Q266" s="91">
        <v>68.12</v>
      </c>
      <c r="R266" s="91">
        <v>69.89</v>
      </c>
      <c r="S266" s="91">
        <v>69.099999999999994</v>
      </c>
      <c r="T266" s="91">
        <v>70</v>
      </c>
      <c r="U266" s="91">
        <v>71.37</v>
      </c>
    </row>
    <row r="267" spans="1:21" x14ac:dyDescent="0.2">
      <c r="A267" s="48">
        <f t="shared" ref="A267:A330" si="4">A266+1</f>
        <v>259</v>
      </c>
      <c r="B267" s="20"/>
      <c r="C267" s="20"/>
      <c r="D267" s="20"/>
    </row>
    <row r="268" spans="1:21" x14ac:dyDescent="0.2">
      <c r="A268" s="48">
        <f t="shared" si="4"/>
        <v>260</v>
      </c>
      <c r="B268" s="43">
        <v>8</v>
      </c>
      <c r="C268" s="43">
        <v>1</v>
      </c>
      <c r="D268" s="38" t="s">
        <v>911</v>
      </c>
      <c r="E268" s="44" t="s">
        <v>107</v>
      </c>
      <c r="F268" s="44" t="s">
        <v>29</v>
      </c>
      <c r="G268" s="44" t="s">
        <v>108</v>
      </c>
      <c r="H268" s="44" t="s">
        <v>30</v>
      </c>
      <c r="I268" s="44" t="s">
        <v>30</v>
      </c>
      <c r="J268" s="44" t="s">
        <v>31</v>
      </c>
      <c r="K268" s="44" t="s">
        <v>109</v>
      </c>
      <c r="L268" s="40">
        <v>22749</v>
      </c>
      <c r="M268" s="41">
        <v>42250</v>
      </c>
      <c r="N268" s="40" t="s">
        <v>110</v>
      </c>
      <c r="O268" s="42">
        <v>42491</v>
      </c>
      <c r="P268" s="40">
        <v>55</v>
      </c>
      <c r="Q268" s="91">
        <v>85.64</v>
      </c>
      <c r="R268" s="91">
        <v>95.05</v>
      </c>
      <c r="S268" s="91">
        <v>90.14</v>
      </c>
      <c r="T268" s="91">
        <v>92.08</v>
      </c>
      <c r="U268" s="91">
        <v>94.09</v>
      </c>
    </row>
    <row r="269" spans="1:21" x14ac:dyDescent="0.2">
      <c r="A269" s="48">
        <f t="shared" si="4"/>
        <v>261</v>
      </c>
      <c r="B269" s="43">
        <v>8</v>
      </c>
      <c r="C269" s="43">
        <v>2</v>
      </c>
      <c r="D269" s="38" t="s">
        <v>912</v>
      </c>
      <c r="E269" s="44" t="s">
        <v>112</v>
      </c>
      <c r="F269" s="44" t="s">
        <v>29</v>
      </c>
      <c r="G269" s="44" t="s">
        <v>108</v>
      </c>
      <c r="H269" s="44" t="s">
        <v>30</v>
      </c>
      <c r="I269" s="44" t="s">
        <v>30</v>
      </c>
      <c r="J269" s="44" t="s">
        <v>32</v>
      </c>
      <c r="K269" s="44" t="s">
        <v>113</v>
      </c>
      <c r="L269" s="40">
        <v>22750</v>
      </c>
      <c r="M269" s="41">
        <v>42250</v>
      </c>
      <c r="N269" s="40" t="s">
        <v>110</v>
      </c>
      <c r="O269" s="42">
        <v>42491</v>
      </c>
      <c r="P269" s="40">
        <v>55</v>
      </c>
      <c r="Q269" s="91">
        <v>86.45</v>
      </c>
      <c r="R269" s="91">
        <v>94.75</v>
      </c>
      <c r="S269" s="91">
        <v>90.31</v>
      </c>
      <c r="T269" s="91">
        <v>91.22</v>
      </c>
      <c r="U269" s="91">
        <v>91.52</v>
      </c>
    </row>
    <row r="270" spans="1:21" x14ac:dyDescent="0.2">
      <c r="A270" s="48">
        <f t="shared" si="4"/>
        <v>262</v>
      </c>
      <c r="B270" s="43">
        <v>8</v>
      </c>
      <c r="C270" s="43">
        <v>3</v>
      </c>
      <c r="D270" s="38" t="s">
        <v>913</v>
      </c>
      <c r="E270" s="44" t="s">
        <v>115</v>
      </c>
      <c r="F270" s="44" t="s">
        <v>18</v>
      </c>
      <c r="G270" s="44" t="s">
        <v>108</v>
      </c>
      <c r="H270" s="44" t="s">
        <v>61</v>
      </c>
      <c r="I270" s="44" t="s">
        <v>116</v>
      </c>
      <c r="J270" s="44" t="s">
        <v>13</v>
      </c>
      <c r="K270" s="44" t="s">
        <v>117</v>
      </c>
      <c r="L270" s="40">
        <v>22751</v>
      </c>
      <c r="M270" s="41">
        <v>42250</v>
      </c>
      <c r="N270" s="40" t="s">
        <v>110</v>
      </c>
      <c r="O270" s="42">
        <v>42491</v>
      </c>
      <c r="P270" s="40">
        <v>55</v>
      </c>
      <c r="Q270" s="91">
        <v>55.19</v>
      </c>
      <c r="R270" s="91">
        <v>57.28</v>
      </c>
      <c r="S270" s="91">
        <v>56.64</v>
      </c>
      <c r="T270" s="91">
        <v>57.74</v>
      </c>
      <c r="U270" s="91">
        <v>59.41</v>
      </c>
    </row>
    <row r="271" spans="1:21" x14ac:dyDescent="0.2">
      <c r="A271" s="48">
        <f t="shared" si="4"/>
        <v>263</v>
      </c>
      <c r="B271" s="43">
        <v>8</v>
      </c>
      <c r="C271" s="43">
        <v>4</v>
      </c>
      <c r="D271" s="38" t="s">
        <v>914</v>
      </c>
      <c r="E271" s="44" t="s">
        <v>119</v>
      </c>
      <c r="F271" s="44" t="s">
        <v>18</v>
      </c>
      <c r="G271" s="44" t="s">
        <v>108</v>
      </c>
      <c r="H271" s="44" t="s">
        <v>61</v>
      </c>
      <c r="I271" s="44" t="s">
        <v>116</v>
      </c>
      <c r="J271" s="44" t="s">
        <v>19</v>
      </c>
      <c r="K271" s="44" t="s">
        <v>120</v>
      </c>
      <c r="L271" s="40">
        <v>22752</v>
      </c>
      <c r="M271" s="41">
        <v>42250</v>
      </c>
      <c r="N271" s="40" t="s">
        <v>110</v>
      </c>
      <c r="O271" s="42">
        <v>42491</v>
      </c>
      <c r="P271" s="40">
        <v>55</v>
      </c>
      <c r="Q271" s="91">
        <v>57.39</v>
      </c>
      <c r="R271" s="91">
        <v>58.99</v>
      </c>
      <c r="S271" s="91">
        <v>58.46</v>
      </c>
      <c r="T271" s="91">
        <v>59.39</v>
      </c>
      <c r="U271" s="91">
        <v>61.04</v>
      </c>
    </row>
    <row r="272" spans="1:21" x14ac:dyDescent="0.2">
      <c r="A272" s="48">
        <f t="shared" si="4"/>
        <v>264</v>
      </c>
      <c r="B272" s="43">
        <v>8</v>
      </c>
      <c r="C272" s="43">
        <v>5</v>
      </c>
      <c r="D272" s="38" t="s">
        <v>915</v>
      </c>
      <c r="E272" s="44" t="s">
        <v>122</v>
      </c>
      <c r="F272" s="44" t="s">
        <v>18</v>
      </c>
      <c r="G272" s="44" t="s">
        <v>108</v>
      </c>
      <c r="H272" s="44" t="s">
        <v>61</v>
      </c>
      <c r="I272" s="44" t="s">
        <v>116</v>
      </c>
      <c r="J272" s="44" t="s">
        <v>14</v>
      </c>
      <c r="K272" s="44" t="s">
        <v>123</v>
      </c>
      <c r="L272" s="40">
        <v>22753</v>
      </c>
      <c r="M272" s="41">
        <v>42250</v>
      </c>
      <c r="N272" s="40" t="s">
        <v>110</v>
      </c>
      <c r="O272" s="42">
        <v>42491</v>
      </c>
      <c r="P272" s="40">
        <v>55</v>
      </c>
      <c r="Q272" s="91">
        <v>55.82</v>
      </c>
      <c r="R272" s="91">
        <v>58.02</v>
      </c>
      <c r="S272" s="91">
        <v>57.23</v>
      </c>
      <c r="T272" s="91">
        <v>58.4</v>
      </c>
      <c r="U272" s="91">
        <v>60.02</v>
      </c>
    </row>
    <row r="273" spans="1:21" x14ac:dyDescent="0.2">
      <c r="A273" s="48">
        <f t="shared" si="4"/>
        <v>265</v>
      </c>
      <c r="B273" s="43">
        <v>8</v>
      </c>
      <c r="C273" s="43">
        <v>6</v>
      </c>
      <c r="D273" s="38" t="s">
        <v>916</v>
      </c>
      <c r="E273" s="44" t="s">
        <v>125</v>
      </c>
      <c r="F273" s="44" t="s">
        <v>23</v>
      </c>
      <c r="G273" s="44" t="s">
        <v>126</v>
      </c>
      <c r="H273" s="44" t="s">
        <v>127</v>
      </c>
      <c r="I273" s="44" t="s">
        <v>27</v>
      </c>
      <c r="J273" s="44" t="s">
        <v>28</v>
      </c>
      <c r="K273" s="44" t="s">
        <v>128</v>
      </c>
      <c r="L273" s="40">
        <v>22754</v>
      </c>
      <c r="M273" s="41">
        <v>42250</v>
      </c>
      <c r="N273" s="40" t="s">
        <v>110</v>
      </c>
      <c r="O273" s="42">
        <v>42491</v>
      </c>
      <c r="P273" s="40">
        <v>55</v>
      </c>
      <c r="Q273" s="91">
        <v>59.77</v>
      </c>
      <c r="R273" s="91">
        <v>62.14</v>
      </c>
      <c r="S273" s="91">
        <v>61.39</v>
      </c>
      <c r="T273" s="91">
        <v>62.61</v>
      </c>
      <c r="U273" s="91">
        <v>63.69</v>
      </c>
    </row>
    <row r="274" spans="1:21" x14ac:dyDescent="0.2">
      <c r="A274" s="48">
        <f t="shared" si="4"/>
        <v>266</v>
      </c>
      <c r="B274" s="43">
        <v>8</v>
      </c>
      <c r="C274" s="43">
        <v>7</v>
      </c>
      <c r="D274" s="38" t="s">
        <v>917</v>
      </c>
      <c r="E274" s="44" t="s">
        <v>130</v>
      </c>
      <c r="F274" s="44" t="s">
        <v>37</v>
      </c>
      <c r="G274" s="44" t="s">
        <v>108</v>
      </c>
      <c r="H274" s="44" t="s">
        <v>38</v>
      </c>
      <c r="I274" s="44" t="s">
        <v>38</v>
      </c>
      <c r="J274" s="44" t="s">
        <v>40</v>
      </c>
      <c r="K274" s="44" t="s">
        <v>123</v>
      </c>
      <c r="L274" s="40">
        <v>22756</v>
      </c>
      <c r="M274" s="41">
        <v>42250</v>
      </c>
      <c r="N274" s="40" t="s">
        <v>110</v>
      </c>
      <c r="O274" s="42">
        <v>42491</v>
      </c>
      <c r="P274" s="40">
        <v>55</v>
      </c>
      <c r="Q274" s="91">
        <v>79.16</v>
      </c>
      <c r="R274" s="91">
        <v>83.43</v>
      </c>
      <c r="S274" s="91">
        <v>80.2</v>
      </c>
      <c r="T274" s="91">
        <v>80.73</v>
      </c>
      <c r="U274" s="91">
        <v>80.739999999999995</v>
      </c>
    </row>
    <row r="275" spans="1:21" x14ac:dyDescent="0.2">
      <c r="A275" s="48">
        <f t="shared" si="4"/>
        <v>267</v>
      </c>
      <c r="B275" s="43">
        <v>8</v>
      </c>
      <c r="C275" s="43">
        <v>8</v>
      </c>
      <c r="D275" s="38" t="s">
        <v>918</v>
      </c>
      <c r="E275" s="44" t="s">
        <v>132</v>
      </c>
      <c r="F275" s="44" t="s">
        <v>37</v>
      </c>
      <c r="G275" s="44" t="s">
        <v>108</v>
      </c>
      <c r="H275" s="44" t="s">
        <v>38</v>
      </c>
      <c r="I275" s="44" t="s">
        <v>38</v>
      </c>
      <c r="J275" s="44" t="s">
        <v>39</v>
      </c>
      <c r="K275" s="44" t="s">
        <v>120</v>
      </c>
      <c r="L275" s="40">
        <v>22755</v>
      </c>
      <c r="M275" s="41">
        <v>42250</v>
      </c>
      <c r="N275" s="40" t="s">
        <v>110</v>
      </c>
      <c r="O275" s="42">
        <v>42491</v>
      </c>
      <c r="P275" s="40">
        <v>55</v>
      </c>
      <c r="Q275" s="91">
        <v>81.2</v>
      </c>
      <c r="R275" s="91">
        <v>84.32</v>
      </c>
      <c r="S275" s="91">
        <v>81.55</v>
      </c>
      <c r="T275" s="91">
        <v>81.739999999999995</v>
      </c>
      <c r="U275" s="91">
        <v>81.760000000000005</v>
      </c>
    </row>
    <row r="276" spans="1:21" x14ac:dyDescent="0.2">
      <c r="A276" s="48">
        <f t="shared" si="4"/>
        <v>268</v>
      </c>
      <c r="B276" s="43">
        <v>8</v>
      </c>
      <c r="C276" s="43">
        <v>9</v>
      </c>
      <c r="D276" s="38" t="s">
        <v>919</v>
      </c>
      <c r="E276" s="44" t="s">
        <v>134</v>
      </c>
      <c r="F276" s="44" t="s">
        <v>37</v>
      </c>
      <c r="G276" s="44" t="s">
        <v>108</v>
      </c>
      <c r="H276" s="44" t="s">
        <v>38</v>
      </c>
      <c r="I276" s="44" t="s">
        <v>38</v>
      </c>
      <c r="J276" s="44" t="s">
        <v>6</v>
      </c>
      <c r="K276" s="44" t="s">
        <v>117</v>
      </c>
      <c r="L276" s="40">
        <v>22757</v>
      </c>
      <c r="M276" s="41">
        <v>42250</v>
      </c>
      <c r="N276" s="40" t="s">
        <v>110</v>
      </c>
      <c r="O276" s="42">
        <v>42491</v>
      </c>
      <c r="P276" s="40">
        <v>55</v>
      </c>
      <c r="Q276" s="91">
        <v>78.27</v>
      </c>
      <c r="R276" s="91">
        <v>82.61</v>
      </c>
      <c r="S276" s="91">
        <v>79.47</v>
      </c>
      <c r="T276" s="91">
        <v>79.92</v>
      </c>
      <c r="U276" s="91">
        <v>79.900000000000006</v>
      </c>
    </row>
    <row r="277" spans="1:21" x14ac:dyDescent="0.2">
      <c r="A277" s="48">
        <f t="shared" si="4"/>
        <v>269</v>
      </c>
      <c r="B277" s="43">
        <v>8</v>
      </c>
      <c r="C277" s="43">
        <v>10</v>
      </c>
      <c r="D277" s="38" t="s">
        <v>920</v>
      </c>
      <c r="E277" s="44" t="s">
        <v>136</v>
      </c>
      <c r="F277" s="44" t="s">
        <v>23</v>
      </c>
      <c r="G277" s="44" t="s">
        <v>108</v>
      </c>
      <c r="H277" s="44" t="s">
        <v>137</v>
      </c>
      <c r="I277" s="44" t="s">
        <v>24</v>
      </c>
      <c r="J277" s="44" t="s">
        <v>25</v>
      </c>
      <c r="K277" s="44" t="s">
        <v>138</v>
      </c>
      <c r="L277" s="40">
        <v>22758</v>
      </c>
      <c r="M277" s="41">
        <v>42250</v>
      </c>
      <c r="N277" s="40" t="s">
        <v>110</v>
      </c>
      <c r="O277" s="42">
        <v>42491</v>
      </c>
      <c r="P277" s="40">
        <v>55</v>
      </c>
      <c r="Q277" s="91">
        <v>61.58</v>
      </c>
      <c r="R277" s="91">
        <v>62.94</v>
      </c>
      <c r="S277" s="91">
        <v>62.7</v>
      </c>
      <c r="T277" s="91">
        <v>63.51</v>
      </c>
      <c r="U277" s="91">
        <v>66.709999999999994</v>
      </c>
    </row>
    <row r="278" spans="1:21" x14ac:dyDescent="0.2">
      <c r="A278" s="48">
        <f t="shared" si="4"/>
        <v>270</v>
      </c>
      <c r="B278" s="43">
        <v>8</v>
      </c>
      <c r="C278" s="43">
        <v>11</v>
      </c>
      <c r="D278" s="38" t="s">
        <v>921</v>
      </c>
      <c r="E278" s="44" t="s">
        <v>140</v>
      </c>
      <c r="F278" s="44" t="s">
        <v>23</v>
      </c>
      <c r="G278" s="44" t="s">
        <v>108</v>
      </c>
      <c r="H278" s="44" t="s">
        <v>137</v>
      </c>
      <c r="I278" s="44" t="s">
        <v>24</v>
      </c>
      <c r="J278" s="44" t="s">
        <v>26</v>
      </c>
      <c r="K278" s="44" t="s">
        <v>141</v>
      </c>
      <c r="L278" s="40">
        <v>22759</v>
      </c>
      <c r="M278" s="41">
        <v>42250</v>
      </c>
      <c r="N278" s="40" t="s">
        <v>110</v>
      </c>
      <c r="O278" s="42">
        <v>42491</v>
      </c>
      <c r="P278" s="40">
        <v>55</v>
      </c>
      <c r="Q278" s="91">
        <v>60.72</v>
      </c>
      <c r="R278" s="91">
        <v>62.16</v>
      </c>
      <c r="S278" s="91">
        <v>61.87</v>
      </c>
      <c r="T278" s="91">
        <v>62.72</v>
      </c>
      <c r="U278" s="91">
        <v>65.91</v>
      </c>
    </row>
    <row r="279" spans="1:21" x14ac:dyDescent="0.2">
      <c r="A279" s="48">
        <f t="shared" si="4"/>
        <v>271</v>
      </c>
      <c r="B279" s="43">
        <v>8</v>
      </c>
      <c r="C279" s="43">
        <v>12</v>
      </c>
      <c r="D279" s="38" t="s">
        <v>922</v>
      </c>
      <c r="E279" s="44" t="s">
        <v>143</v>
      </c>
      <c r="F279" s="44" t="s">
        <v>18</v>
      </c>
      <c r="G279" s="44" t="s">
        <v>108</v>
      </c>
      <c r="H279" s="44" t="s">
        <v>94</v>
      </c>
      <c r="I279" s="44" t="s">
        <v>144</v>
      </c>
      <c r="J279" s="44" t="s">
        <v>20</v>
      </c>
      <c r="K279" s="44" t="s">
        <v>145</v>
      </c>
      <c r="L279" s="40">
        <v>22760</v>
      </c>
      <c r="M279" s="41">
        <v>42250</v>
      </c>
      <c r="N279" s="40" t="s">
        <v>110</v>
      </c>
      <c r="O279" s="42">
        <v>42491</v>
      </c>
      <c r="P279" s="40">
        <v>55</v>
      </c>
      <c r="Q279" s="91">
        <v>58.95</v>
      </c>
      <c r="R279" s="91">
        <v>58.77</v>
      </c>
      <c r="S279" s="91">
        <v>58.84</v>
      </c>
      <c r="T279" s="91">
        <v>59.06</v>
      </c>
      <c r="U279" s="91">
        <v>60.58</v>
      </c>
    </row>
    <row r="280" spans="1:21" x14ac:dyDescent="0.2">
      <c r="A280" s="48">
        <f t="shared" si="4"/>
        <v>272</v>
      </c>
      <c r="B280" s="43">
        <v>8</v>
      </c>
      <c r="C280" s="43">
        <v>13</v>
      </c>
      <c r="D280" s="38" t="s">
        <v>923</v>
      </c>
      <c r="E280" s="44" t="s">
        <v>147</v>
      </c>
      <c r="F280" s="44" t="s">
        <v>37</v>
      </c>
      <c r="G280" s="44" t="s">
        <v>108</v>
      </c>
      <c r="H280" s="44" t="s">
        <v>41</v>
      </c>
      <c r="I280" s="44" t="s">
        <v>41</v>
      </c>
      <c r="J280" s="44" t="s">
        <v>6</v>
      </c>
      <c r="K280" s="44" t="s">
        <v>128</v>
      </c>
      <c r="L280" s="40">
        <v>22761</v>
      </c>
      <c r="M280" s="41">
        <v>42250</v>
      </c>
      <c r="N280" s="40" t="s">
        <v>110</v>
      </c>
      <c r="O280" s="42">
        <v>42491</v>
      </c>
      <c r="P280" s="40">
        <v>55</v>
      </c>
      <c r="Q280" s="91">
        <v>76.239999999999995</v>
      </c>
      <c r="R280" s="91">
        <v>82.34</v>
      </c>
      <c r="S280" s="91">
        <v>78.62</v>
      </c>
      <c r="T280" s="91">
        <v>79.87</v>
      </c>
      <c r="U280" s="91">
        <v>82.58</v>
      </c>
    </row>
    <row r="281" spans="1:21" x14ac:dyDescent="0.2">
      <c r="A281" s="48">
        <f t="shared" si="4"/>
        <v>273</v>
      </c>
      <c r="B281" s="43">
        <v>8</v>
      </c>
      <c r="C281" s="43">
        <v>14</v>
      </c>
      <c r="D281" s="38" t="s">
        <v>924</v>
      </c>
      <c r="E281" s="44" t="s">
        <v>149</v>
      </c>
      <c r="F281" s="44" t="s">
        <v>5</v>
      </c>
      <c r="G281" s="44" t="s">
        <v>108</v>
      </c>
      <c r="H281" s="44" t="s">
        <v>46</v>
      </c>
      <c r="I281" s="44" t="s">
        <v>46</v>
      </c>
      <c r="J281" s="44" t="s">
        <v>6</v>
      </c>
      <c r="K281" s="44" t="s">
        <v>128</v>
      </c>
      <c r="L281" s="40">
        <v>22762</v>
      </c>
      <c r="M281" s="41">
        <v>42250</v>
      </c>
      <c r="N281" s="40" t="s">
        <v>110</v>
      </c>
      <c r="O281" s="42">
        <v>42491</v>
      </c>
      <c r="P281" s="40">
        <v>55</v>
      </c>
      <c r="Q281" s="91">
        <v>67.39</v>
      </c>
      <c r="R281" s="91">
        <v>69.09</v>
      </c>
      <c r="S281" s="91">
        <v>68.64</v>
      </c>
      <c r="T281" s="91">
        <v>69.599999999999994</v>
      </c>
      <c r="U281" s="91">
        <v>71.34</v>
      </c>
    </row>
    <row r="282" spans="1:21" x14ac:dyDescent="0.2">
      <c r="A282" s="48">
        <f t="shared" si="4"/>
        <v>274</v>
      </c>
      <c r="B282" s="43">
        <v>8</v>
      </c>
      <c r="C282" s="43">
        <v>15</v>
      </c>
      <c r="D282" s="38" t="s">
        <v>925</v>
      </c>
      <c r="E282" s="44" t="s">
        <v>151</v>
      </c>
      <c r="F282" s="44" t="s">
        <v>18</v>
      </c>
      <c r="G282" s="44" t="s">
        <v>108</v>
      </c>
      <c r="H282" s="44" t="s">
        <v>21</v>
      </c>
      <c r="I282" s="44" t="s">
        <v>152</v>
      </c>
      <c r="J282" s="44" t="s">
        <v>22</v>
      </c>
      <c r="K282" s="44" t="s">
        <v>128</v>
      </c>
      <c r="L282" s="40">
        <v>22763</v>
      </c>
      <c r="M282" s="41">
        <v>42250</v>
      </c>
      <c r="N282" s="40" t="s">
        <v>110</v>
      </c>
      <c r="O282" s="42">
        <v>42491</v>
      </c>
      <c r="P282" s="40">
        <v>55</v>
      </c>
      <c r="Q282" s="91">
        <v>56.24</v>
      </c>
      <c r="R282" s="91">
        <v>57.52</v>
      </c>
      <c r="S282" s="91">
        <v>57.02</v>
      </c>
      <c r="T282" s="91">
        <v>57.78</v>
      </c>
      <c r="U282" s="91">
        <v>59.19</v>
      </c>
    </row>
    <row r="283" spans="1:21" x14ac:dyDescent="0.2">
      <c r="A283" s="48">
        <f t="shared" si="4"/>
        <v>275</v>
      </c>
      <c r="B283" s="43">
        <v>8</v>
      </c>
      <c r="C283" s="43">
        <v>16</v>
      </c>
      <c r="D283" s="38" t="s">
        <v>926</v>
      </c>
      <c r="E283" s="44" t="s">
        <v>154</v>
      </c>
      <c r="F283" s="44" t="s">
        <v>18</v>
      </c>
      <c r="G283" s="44" t="s">
        <v>108</v>
      </c>
      <c r="H283" s="44" t="s">
        <v>62</v>
      </c>
      <c r="I283" s="44" t="s">
        <v>155</v>
      </c>
      <c r="J283" s="44" t="s">
        <v>6</v>
      </c>
      <c r="K283" s="44" t="s">
        <v>128</v>
      </c>
      <c r="L283" s="40">
        <v>22764</v>
      </c>
      <c r="M283" s="41">
        <v>42250</v>
      </c>
      <c r="N283" s="40" t="s">
        <v>110</v>
      </c>
      <c r="O283" s="42">
        <v>42491</v>
      </c>
      <c r="P283" s="40">
        <v>55</v>
      </c>
      <c r="Q283" s="91">
        <v>65.17</v>
      </c>
      <c r="R283" s="91">
        <v>63.85</v>
      </c>
      <c r="S283" s="91">
        <v>62.55</v>
      </c>
      <c r="T283" s="91">
        <v>62.09</v>
      </c>
      <c r="U283" s="91">
        <v>62.79</v>
      </c>
    </row>
    <row r="284" spans="1:21" x14ac:dyDescent="0.2">
      <c r="A284" s="48">
        <f t="shared" si="4"/>
        <v>276</v>
      </c>
      <c r="B284" s="43">
        <v>8</v>
      </c>
      <c r="C284" s="43">
        <v>17</v>
      </c>
      <c r="D284" s="38" t="s">
        <v>927</v>
      </c>
      <c r="E284" s="44" t="s">
        <v>157</v>
      </c>
      <c r="F284" s="44" t="s">
        <v>29</v>
      </c>
      <c r="G284" s="44" t="s">
        <v>108</v>
      </c>
      <c r="H284" s="44" t="s">
        <v>33</v>
      </c>
      <c r="I284" s="44" t="s">
        <v>33</v>
      </c>
      <c r="J284" s="44" t="s">
        <v>7</v>
      </c>
      <c r="K284" s="44" t="s">
        <v>123</v>
      </c>
      <c r="L284" s="40">
        <v>22765</v>
      </c>
      <c r="M284" s="41">
        <v>42250</v>
      </c>
      <c r="N284" s="40" t="s">
        <v>110</v>
      </c>
      <c r="O284" s="42">
        <v>42491</v>
      </c>
      <c r="P284" s="40">
        <v>55</v>
      </c>
      <c r="Q284" s="91">
        <v>77.5</v>
      </c>
      <c r="R284" s="91">
        <v>85.78</v>
      </c>
      <c r="S284" s="91">
        <v>82.51</v>
      </c>
      <c r="T284" s="91">
        <v>84.06</v>
      </c>
      <c r="U284" s="91">
        <v>86.67</v>
      </c>
    </row>
    <row r="285" spans="1:21" x14ac:dyDescent="0.2">
      <c r="A285" s="48">
        <f t="shared" si="4"/>
        <v>277</v>
      </c>
      <c r="B285" s="43">
        <v>8</v>
      </c>
      <c r="C285" s="43">
        <v>18</v>
      </c>
      <c r="D285" s="38" t="s">
        <v>928</v>
      </c>
      <c r="E285" s="44" t="s">
        <v>159</v>
      </c>
      <c r="F285" s="44" t="s">
        <v>29</v>
      </c>
      <c r="G285" s="44" t="s">
        <v>108</v>
      </c>
      <c r="H285" s="44" t="s">
        <v>33</v>
      </c>
      <c r="I285" s="44" t="s">
        <v>33</v>
      </c>
      <c r="J285" s="44" t="s">
        <v>8</v>
      </c>
      <c r="K285" s="44" t="s">
        <v>120</v>
      </c>
      <c r="L285" s="40">
        <v>22766</v>
      </c>
      <c r="M285" s="41">
        <v>42250</v>
      </c>
      <c r="N285" s="40" t="s">
        <v>110</v>
      </c>
      <c r="O285" s="42">
        <v>42491</v>
      </c>
      <c r="P285" s="40">
        <v>55</v>
      </c>
      <c r="Q285" s="91">
        <v>83.17</v>
      </c>
      <c r="R285" s="91">
        <v>89.12</v>
      </c>
      <c r="S285" s="91">
        <v>86.77</v>
      </c>
      <c r="T285" s="91">
        <v>87.32</v>
      </c>
      <c r="U285" s="91">
        <v>89.91</v>
      </c>
    </row>
    <row r="286" spans="1:21" x14ac:dyDescent="0.2">
      <c r="A286" s="48">
        <f t="shared" si="4"/>
        <v>278</v>
      </c>
      <c r="B286" s="43">
        <v>8</v>
      </c>
      <c r="C286" s="43">
        <v>19</v>
      </c>
      <c r="D286" s="38" t="s">
        <v>929</v>
      </c>
      <c r="E286" s="44" t="s">
        <v>161</v>
      </c>
      <c r="F286" s="44" t="s">
        <v>29</v>
      </c>
      <c r="G286" s="44" t="s">
        <v>108</v>
      </c>
      <c r="H286" s="44" t="s">
        <v>33</v>
      </c>
      <c r="I286" s="44" t="s">
        <v>33</v>
      </c>
      <c r="J286" s="44" t="s">
        <v>9</v>
      </c>
      <c r="K286" s="44" t="s">
        <v>117</v>
      </c>
      <c r="L286" s="40">
        <v>22767</v>
      </c>
      <c r="M286" s="41">
        <v>42250</v>
      </c>
      <c r="N286" s="40" t="s">
        <v>110</v>
      </c>
      <c r="O286" s="42">
        <v>42491</v>
      </c>
      <c r="P286" s="40">
        <v>55</v>
      </c>
      <c r="Q286" s="91">
        <v>80.209999999999994</v>
      </c>
      <c r="R286" s="91">
        <v>87.13</v>
      </c>
      <c r="S286" s="91">
        <v>84.42</v>
      </c>
      <c r="T286" s="91">
        <v>85.3</v>
      </c>
      <c r="U286" s="91">
        <v>87.86</v>
      </c>
    </row>
    <row r="287" spans="1:21" x14ac:dyDescent="0.2">
      <c r="A287" s="48">
        <f t="shared" si="4"/>
        <v>279</v>
      </c>
      <c r="B287" s="43">
        <v>8</v>
      </c>
      <c r="C287" s="43">
        <v>20</v>
      </c>
      <c r="D287" s="38" t="s">
        <v>930</v>
      </c>
      <c r="E287" s="44" t="s">
        <v>163</v>
      </c>
      <c r="F287" s="44" t="s">
        <v>5</v>
      </c>
      <c r="G287" s="44" t="s">
        <v>108</v>
      </c>
      <c r="H287" s="44" t="s">
        <v>164</v>
      </c>
      <c r="I287" s="44" t="s">
        <v>165</v>
      </c>
      <c r="J287" s="44" t="s">
        <v>7</v>
      </c>
      <c r="K287" s="44" t="s">
        <v>123</v>
      </c>
      <c r="L287" s="40">
        <v>22769</v>
      </c>
      <c r="M287" s="41">
        <v>42250</v>
      </c>
      <c r="N287" s="40" t="s">
        <v>110</v>
      </c>
      <c r="O287" s="42">
        <v>42491</v>
      </c>
      <c r="P287" s="40">
        <v>55</v>
      </c>
      <c r="Q287" s="91">
        <v>59.42</v>
      </c>
      <c r="R287" s="91">
        <v>66.41</v>
      </c>
      <c r="S287" s="91">
        <v>63.01</v>
      </c>
      <c r="T287" s="91">
        <v>64.150000000000006</v>
      </c>
      <c r="U287" s="91">
        <v>64.849999999999994</v>
      </c>
    </row>
    <row r="288" spans="1:21" x14ac:dyDescent="0.2">
      <c r="A288" s="48">
        <f t="shared" si="4"/>
        <v>280</v>
      </c>
      <c r="B288" s="43">
        <v>8</v>
      </c>
      <c r="C288" s="43">
        <v>21</v>
      </c>
      <c r="D288" s="38" t="s">
        <v>931</v>
      </c>
      <c r="E288" s="44" t="s">
        <v>167</v>
      </c>
      <c r="F288" s="44" t="s">
        <v>5</v>
      </c>
      <c r="G288" s="44" t="s">
        <v>108</v>
      </c>
      <c r="H288" s="44" t="s">
        <v>164</v>
      </c>
      <c r="I288" s="44" t="s">
        <v>165</v>
      </c>
      <c r="J288" s="44" t="s">
        <v>8</v>
      </c>
      <c r="K288" s="44" t="s">
        <v>120</v>
      </c>
      <c r="L288" s="40">
        <v>22768</v>
      </c>
      <c r="M288" s="41">
        <v>42250</v>
      </c>
      <c r="N288" s="40" t="s">
        <v>110</v>
      </c>
      <c r="O288" s="42">
        <v>42491</v>
      </c>
      <c r="P288" s="40">
        <v>55</v>
      </c>
      <c r="Q288" s="91">
        <v>60.84</v>
      </c>
      <c r="R288" s="91">
        <v>67.47</v>
      </c>
      <c r="S288" s="91">
        <v>64.260000000000005</v>
      </c>
      <c r="T288" s="91">
        <v>65.260000000000005</v>
      </c>
      <c r="U288" s="91">
        <v>65.959999999999994</v>
      </c>
    </row>
    <row r="289" spans="1:21" x14ac:dyDescent="0.2">
      <c r="A289" s="48">
        <f t="shared" si="4"/>
        <v>281</v>
      </c>
      <c r="B289" s="43">
        <v>8</v>
      </c>
      <c r="C289" s="43">
        <v>22</v>
      </c>
      <c r="D289" s="38" t="s">
        <v>932</v>
      </c>
      <c r="E289" s="44" t="s">
        <v>169</v>
      </c>
      <c r="F289" s="44" t="s">
        <v>5</v>
      </c>
      <c r="G289" s="44" t="s">
        <v>108</v>
      </c>
      <c r="H289" s="44" t="s">
        <v>164</v>
      </c>
      <c r="I289" s="44" t="s">
        <v>165</v>
      </c>
      <c r="J289" s="44" t="s">
        <v>9</v>
      </c>
      <c r="K289" s="44" t="s">
        <v>117</v>
      </c>
      <c r="L289" s="40">
        <v>22770</v>
      </c>
      <c r="M289" s="41">
        <v>42250</v>
      </c>
      <c r="N289" s="40" t="s">
        <v>110</v>
      </c>
      <c r="O289" s="42">
        <v>42491</v>
      </c>
      <c r="P289" s="40">
        <v>55</v>
      </c>
      <c r="Q289" s="91">
        <v>60.08</v>
      </c>
      <c r="R289" s="91">
        <v>66.930000000000007</v>
      </c>
      <c r="S289" s="91">
        <v>63.65</v>
      </c>
      <c r="T289" s="91">
        <v>64.73</v>
      </c>
      <c r="U289" s="91">
        <v>65.430000000000007</v>
      </c>
    </row>
    <row r="290" spans="1:21" x14ac:dyDescent="0.2">
      <c r="A290" s="48">
        <f t="shared" si="4"/>
        <v>282</v>
      </c>
      <c r="B290" s="43">
        <v>8</v>
      </c>
      <c r="C290" s="43">
        <v>23</v>
      </c>
      <c r="D290" s="38" t="s">
        <v>933</v>
      </c>
      <c r="E290" s="44" t="s">
        <v>171</v>
      </c>
      <c r="F290" s="44" t="s">
        <v>5</v>
      </c>
      <c r="G290" s="44" t="s">
        <v>108</v>
      </c>
      <c r="H290" s="44" t="s">
        <v>11</v>
      </c>
      <c r="I290" s="44" t="s">
        <v>11</v>
      </c>
      <c r="J290" s="44" t="s">
        <v>6</v>
      </c>
      <c r="K290" s="44" t="s">
        <v>128</v>
      </c>
      <c r="L290" s="40">
        <v>22771</v>
      </c>
      <c r="M290" s="41">
        <v>42250</v>
      </c>
      <c r="N290" s="40" t="s">
        <v>110</v>
      </c>
      <c r="O290" s="42">
        <v>42491</v>
      </c>
      <c r="P290" s="40">
        <v>55</v>
      </c>
      <c r="Q290" s="91">
        <v>63.33</v>
      </c>
      <c r="R290" s="91">
        <v>71.05</v>
      </c>
      <c r="S290" s="91">
        <v>67.069999999999993</v>
      </c>
      <c r="T290" s="91">
        <v>68.58</v>
      </c>
      <c r="U290" s="91">
        <v>70.84</v>
      </c>
    </row>
    <row r="291" spans="1:21" x14ac:dyDescent="0.2">
      <c r="A291" s="48">
        <f t="shared" si="4"/>
        <v>283</v>
      </c>
      <c r="B291" s="43">
        <v>8</v>
      </c>
      <c r="C291" s="43">
        <v>24</v>
      </c>
      <c r="D291" s="38" t="s">
        <v>934</v>
      </c>
      <c r="E291" s="44" t="s">
        <v>173</v>
      </c>
      <c r="F291" s="44" t="s">
        <v>5</v>
      </c>
      <c r="G291" s="44" t="s">
        <v>108</v>
      </c>
      <c r="H291" s="44" t="s">
        <v>10</v>
      </c>
      <c r="I291" s="44" t="s">
        <v>174</v>
      </c>
      <c r="J291" s="44" t="s">
        <v>7</v>
      </c>
      <c r="K291" s="44" t="s">
        <v>123</v>
      </c>
      <c r="L291" s="40">
        <v>22772</v>
      </c>
      <c r="M291" s="41">
        <v>42250</v>
      </c>
      <c r="N291" s="40" t="s">
        <v>110</v>
      </c>
      <c r="O291" s="42">
        <v>42491</v>
      </c>
      <c r="P291" s="40">
        <v>55</v>
      </c>
      <c r="Q291" s="91">
        <v>65.91</v>
      </c>
      <c r="R291" s="91">
        <v>69.27</v>
      </c>
      <c r="S291" s="91">
        <v>66.53</v>
      </c>
      <c r="T291" s="91">
        <v>66.62</v>
      </c>
      <c r="U291" s="91">
        <v>66.959999999999994</v>
      </c>
    </row>
    <row r="292" spans="1:21" x14ac:dyDescent="0.2">
      <c r="A292" s="48">
        <f t="shared" si="4"/>
        <v>284</v>
      </c>
      <c r="B292" s="43">
        <v>8</v>
      </c>
      <c r="C292" s="43">
        <v>25</v>
      </c>
      <c r="D292" s="38" t="s">
        <v>935</v>
      </c>
      <c r="E292" s="44" t="s">
        <v>176</v>
      </c>
      <c r="F292" s="44" t="s">
        <v>5</v>
      </c>
      <c r="G292" s="44" t="s">
        <v>108</v>
      </c>
      <c r="H292" s="44" t="s">
        <v>10</v>
      </c>
      <c r="I292" s="44" t="s">
        <v>174</v>
      </c>
      <c r="J292" s="44" t="s">
        <v>8</v>
      </c>
      <c r="K292" s="44" t="s">
        <v>120</v>
      </c>
      <c r="L292" s="40">
        <v>22773</v>
      </c>
      <c r="M292" s="41">
        <v>42250</v>
      </c>
      <c r="N292" s="40" t="s">
        <v>110</v>
      </c>
      <c r="O292" s="42">
        <v>42491</v>
      </c>
      <c r="P292" s="40">
        <v>55</v>
      </c>
      <c r="Q292" s="91">
        <v>67.709999999999994</v>
      </c>
      <c r="R292" s="91">
        <v>70.48</v>
      </c>
      <c r="S292" s="91">
        <v>67.97</v>
      </c>
      <c r="T292" s="91">
        <v>67.84</v>
      </c>
      <c r="U292" s="91">
        <v>68.19</v>
      </c>
    </row>
    <row r="293" spans="1:21" x14ac:dyDescent="0.2">
      <c r="A293" s="48">
        <f t="shared" si="4"/>
        <v>285</v>
      </c>
      <c r="B293" s="43">
        <v>8</v>
      </c>
      <c r="C293" s="43">
        <v>26</v>
      </c>
      <c r="D293" s="38" t="s">
        <v>936</v>
      </c>
      <c r="E293" s="44" t="s">
        <v>178</v>
      </c>
      <c r="F293" s="44" t="s">
        <v>5</v>
      </c>
      <c r="G293" s="44" t="s">
        <v>108</v>
      </c>
      <c r="H293" s="44" t="s">
        <v>10</v>
      </c>
      <c r="I293" s="44" t="s">
        <v>174</v>
      </c>
      <c r="J293" s="44" t="s">
        <v>9</v>
      </c>
      <c r="K293" s="44" t="s">
        <v>117</v>
      </c>
      <c r="L293" s="40">
        <v>22774</v>
      </c>
      <c r="M293" s="41">
        <v>42250</v>
      </c>
      <c r="N293" s="40" t="s">
        <v>110</v>
      </c>
      <c r="O293" s="42">
        <v>42491</v>
      </c>
      <c r="P293" s="40">
        <v>55</v>
      </c>
      <c r="Q293" s="91">
        <v>71.36</v>
      </c>
      <c r="R293" s="91">
        <v>70.349999999999994</v>
      </c>
      <c r="S293" s="91">
        <v>69.069999999999993</v>
      </c>
      <c r="T293" s="91">
        <v>67.78</v>
      </c>
      <c r="U293" s="91">
        <v>68.17</v>
      </c>
    </row>
    <row r="294" spans="1:21" x14ac:dyDescent="0.2">
      <c r="A294" s="48">
        <f t="shared" si="4"/>
        <v>286</v>
      </c>
      <c r="B294" s="43">
        <v>8</v>
      </c>
      <c r="C294" s="43">
        <v>27</v>
      </c>
      <c r="D294" s="38" t="s">
        <v>937</v>
      </c>
      <c r="E294" s="44" t="s">
        <v>180</v>
      </c>
      <c r="F294" s="44" t="s">
        <v>5</v>
      </c>
      <c r="G294" s="44" t="s">
        <v>108</v>
      </c>
      <c r="H294" s="44" t="s">
        <v>91</v>
      </c>
      <c r="I294" s="44" t="s">
        <v>181</v>
      </c>
      <c r="J294" s="44" t="s">
        <v>6</v>
      </c>
      <c r="K294" s="44" t="s">
        <v>128</v>
      </c>
      <c r="L294" s="40">
        <v>22775</v>
      </c>
      <c r="M294" s="41">
        <v>42250</v>
      </c>
      <c r="N294" s="40" t="s">
        <v>110</v>
      </c>
      <c r="O294" s="42">
        <v>42491</v>
      </c>
      <c r="P294" s="40">
        <v>55</v>
      </c>
      <c r="Q294" s="91">
        <v>76.44</v>
      </c>
      <c r="R294" s="91">
        <v>74.760000000000005</v>
      </c>
      <c r="S294" s="91">
        <v>73.61</v>
      </c>
      <c r="T294" s="91">
        <v>73.02</v>
      </c>
      <c r="U294" s="91">
        <v>73.77</v>
      </c>
    </row>
    <row r="295" spans="1:21" x14ac:dyDescent="0.2">
      <c r="A295" s="48">
        <f t="shared" si="4"/>
        <v>287</v>
      </c>
      <c r="B295" s="43">
        <v>8</v>
      </c>
      <c r="C295" s="43">
        <v>28</v>
      </c>
      <c r="D295" s="38" t="s">
        <v>938</v>
      </c>
      <c r="E295" s="44" t="s">
        <v>183</v>
      </c>
      <c r="F295" s="44" t="s">
        <v>37</v>
      </c>
      <c r="G295" s="44" t="s">
        <v>108</v>
      </c>
      <c r="H295" s="44" t="s">
        <v>42</v>
      </c>
      <c r="I295" s="44" t="s">
        <v>42</v>
      </c>
      <c r="J295" s="44" t="s">
        <v>6</v>
      </c>
      <c r="K295" s="44" t="s">
        <v>128</v>
      </c>
      <c r="L295" s="40">
        <v>22776</v>
      </c>
      <c r="M295" s="41">
        <v>42250</v>
      </c>
      <c r="N295" s="40" t="s">
        <v>110</v>
      </c>
      <c r="O295" s="42">
        <v>42491</v>
      </c>
      <c r="P295" s="40">
        <v>55</v>
      </c>
      <c r="Q295" s="91">
        <v>80.67</v>
      </c>
      <c r="R295" s="91">
        <v>82.87</v>
      </c>
      <c r="S295" s="91">
        <v>80.2</v>
      </c>
      <c r="T295" s="91">
        <v>79.91</v>
      </c>
      <c r="U295" s="91">
        <v>79.95</v>
      </c>
    </row>
    <row r="296" spans="1:21" x14ac:dyDescent="0.2">
      <c r="A296" s="48">
        <f t="shared" si="4"/>
        <v>288</v>
      </c>
      <c r="B296" s="43">
        <v>8</v>
      </c>
      <c r="C296" s="43">
        <v>29</v>
      </c>
      <c r="D296" s="38" t="s">
        <v>939</v>
      </c>
      <c r="E296" s="44" t="s">
        <v>185</v>
      </c>
      <c r="F296" s="44" t="s">
        <v>37</v>
      </c>
      <c r="G296" s="44" t="s">
        <v>108</v>
      </c>
      <c r="H296" s="44" t="s">
        <v>42</v>
      </c>
      <c r="I296" s="44" t="s">
        <v>42</v>
      </c>
      <c r="J296" s="44" t="s">
        <v>43</v>
      </c>
      <c r="K296" s="44" t="s">
        <v>186</v>
      </c>
      <c r="L296" s="40">
        <v>22777</v>
      </c>
      <c r="M296" s="41">
        <v>42250</v>
      </c>
      <c r="N296" s="40" t="s">
        <v>110</v>
      </c>
      <c r="O296" s="42">
        <v>42491</v>
      </c>
      <c r="P296" s="40">
        <v>55</v>
      </c>
      <c r="Q296" s="91">
        <v>76.510000000000005</v>
      </c>
      <c r="R296" s="91">
        <v>80.75</v>
      </c>
      <c r="S296" s="91">
        <v>77.33</v>
      </c>
      <c r="T296" s="91">
        <v>77.760000000000005</v>
      </c>
      <c r="U296" s="91">
        <v>77.75</v>
      </c>
    </row>
    <row r="297" spans="1:21" x14ac:dyDescent="0.2">
      <c r="A297" s="48">
        <f t="shared" si="4"/>
        <v>289</v>
      </c>
      <c r="B297" s="43">
        <v>8</v>
      </c>
      <c r="C297" s="43">
        <v>30</v>
      </c>
      <c r="D297" s="38" t="s">
        <v>940</v>
      </c>
      <c r="E297" s="44" t="s">
        <v>188</v>
      </c>
      <c r="F297" s="44" t="s">
        <v>37</v>
      </c>
      <c r="G297" s="44" t="s">
        <v>108</v>
      </c>
      <c r="H297" s="44" t="s">
        <v>42</v>
      </c>
      <c r="I297" s="44" t="s">
        <v>42</v>
      </c>
      <c r="J297" s="44" t="s">
        <v>44</v>
      </c>
      <c r="K297" s="44" t="s">
        <v>44</v>
      </c>
      <c r="L297" s="40">
        <v>22778</v>
      </c>
      <c r="M297" s="41">
        <v>42250</v>
      </c>
      <c r="N297" s="40" t="s">
        <v>110</v>
      </c>
      <c r="O297" s="42">
        <v>42491</v>
      </c>
      <c r="P297" s="40">
        <v>55</v>
      </c>
      <c r="Q297" s="91">
        <v>76.86</v>
      </c>
      <c r="R297" s="91">
        <v>80.319999999999993</v>
      </c>
      <c r="S297" s="91">
        <v>77.239999999999995</v>
      </c>
      <c r="T297" s="91">
        <v>77.52</v>
      </c>
      <c r="U297" s="91">
        <v>77.58</v>
      </c>
    </row>
    <row r="298" spans="1:21" x14ac:dyDescent="0.2">
      <c r="A298" s="48">
        <f t="shared" si="4"/>
        <v>290</v>
      </c>
      <c r="B298" s="43">
        <v>8</v>
      </c>
      <c r="C298" s="43">
        <v>31</v>
      </c>
      <c r="D298" s="38" t="s">
        <v>941</v>
      </c>
      <c r="E298" s="44" t="s">
        <v>190</v>
      </c>
      <c r="F298" s="44" t="s">
        <v>37</v>
      </c>
      <c r="G298" s="44" t="s">
        <v>108</v>
      </c>
      <c r="H298" s="44" t="s">
        <v>45</v>
      </c>
      <c r="I298" s="44" t="s">
        <v>45</v>
      </c>
      <c r="J298" s="44" t="s">
        <v>6</v>
      </c>
      <c r="K298" s="44" t="s">
        <v>128</v>
      </c>
      <c r="L298" s="40">
        <v>22779</v>
      </c>
      <c r="M298" s="41">
        <v>42250</v>
      </c>
      <c r="N298" s="40" t="s">
        <v>110</v>
      </c>
      <c r="O298" s="42">
        <v>42491</v>
      </c>
      <c r="P298" s="40">
        <v>55</v>
      </c>
      <c r="Q298" s="91">
        <v>69.44</v>
      </c>
      <c r="R298" s="91">
        <v>70.790000000000006</v>
      </c>
      <c r="S298" s="91">
        <v>70.59</v>
      </c>
      <c r="T298" s="91">
        <v>71.3</v>
      </c>
      <c r="U298" s="91">
        <v>73.11</v>
      </c>
    </row>
    <row r="299" spans="1:21" x14ac:dyDescent="0.2">
      <c r="A299" s="48">
        <f t="shared" si="4"/>
        <v>291</v>
      </c>
      <c r="B299" s="43">
        <v>8</v>
      </c>
      <c r="C299" s="43">
        <v>32</v>
      </c>
      <c r="D299" s="38" t="s">
        <v>942</v>
      </c>
      <c r="E299" s="44" t="s">
        <v>192</v>
      </c>
      <c r="F299" s="44" t="s">
        <v>5</v>
      </c>
      <c r="G299" s="44" t="s">
        <v>108</v>
      </c>
      <c r="H299" s="44" t="s">
        <v>12</v>
      </c>
      <c r="I299" s="44" t="s">
        <v>12</v>
      </c>
      <c r="J299" s="44" t="s">
        <v>13</v>
      </c>
      <c r="K299" s="44" t="s">
        <v>117</v>
      </c>
      <c r="L299" s="40">
        <v>22780</v>
      </c>
      <c r="M299" s="41">
        <v>42250</v>
      </c>
      <c r="N299" s="40" t="s">
        <v>110</v>
      </c>
      <c r="O299" s="42">
        <v>42491</v>
      </c>
      <c r="P299" s="40">
        <v>55</v>
      </c>
      <c r="Q299" s="91">
        <v>69.489999999999995</v>
      </c>
      <c r="R299" s="91">
        <v>75.88</v>
      </c>
      <c r="S299" s="91">
        <v>72.3</v>
      </c>
      <c r="T299" s="91">
        <v>73.13</v>
      </c>
      <c r="U299" s="91">
        <v>73.319999999999993</v>
      </c>
    </row>
    <row r="300" spans="1:21" x14ac:dyDescent="0.2">
      <c r="A300" s="48">
        <f t="shared" si="4"/>
        <v>292</v>
      </c>
      <c r="B300" s="43">
        <v>8</v>
      </c>
      <c r="C300" s="43">
        <v>33</v>
      </c>
      <c r="D300" s="38" t="s">
        <v>943</v>
      </c>
      <c r="E300" s="44" t="s">
        <v>194</v>
      </c>
      <c r="F300" s="44" t="s">
        <v>5</v>
      </c>
      <c r="G300" s="44" t="s">
        <v>108</v>
      </c>
      <c r="H300" s="44" t="s">
        <v>12</v>
      </c>
      <c r="I300" s="44" t="s">
        <v>12</v>
      </c>
      <c r="J300" s="44" t="s">
        <v>14</v>
      </c>
      <c r="K300" s="44" t="s">
        <v>123</v>
      </c>
      <c r="L300" s="40">
        <v>22781</v>
      </c>
      <c r="M300" s="41">
        <v>42250</v>
      </c>
      <c r="N300" s="40" t="s">
        <v>110</v>
      </c>
      <c r="O300" s="42">
        <v>42491</v>
      </c>
      <c r="P300" s="40">
        <v>55</v>
      </c>
      <c r="Q300" s="91">
        <v>69.62</v>
      </c>
      <c r="R300" s="91">
        <v>76.790000000000006</v>
      </c>
      <c r="S300" s="91">
        <v>72.89</v>
      </c>
      <c r="T300" s="91">
        <v>74.06</v>
      </c>
      <c r="U300" s="91">
        <v>74.290000000000006</v>
      </c>
    </row>
    <row r="301" spans="1:21" x14ac:dyDescent="0.2">
      <c r="A301" s="48">
        <f t="shared" si="4"/>
        <v>293</v>
      </c>
      <c r="B301" s="43">
        <v>8</v>
      </c>
      <c r="C301" s="43">
        <v>34</v>
      </c>
      <c r="D301" s="38" t="s">
        <v>944</v>
      </c>
      <c r="E301" s="44" t="s">
        <v>196</v>
      </c>
      <c r="F301" s="44" t="s">
        <v>29</v>
      </c>
      <c r="G301" s="44" t="s">
        <v>108</v>
      </c>
      <c r="H301" s="44" t="s">
        <v>34</v>
      </c>
      <c r="I301" s="44" t="s">
        <v>34</v>
      </c>
      <c r="J301" s="44" t="s">
        <v>35</v>
      </c>
      <c r="K301" s="44" t="s">
        <v>197</v>
      </c>
      <c r="L301" s="40">
        <v>22782</v>
      </c>
      <c r="M301" s="41">
        <v>42250</v>
      </c>
      <c r="N301" s="40" t="s">
        <v>110</v>
      </c>
      <c r="O301" s="42">
        <v>42491</v>
      </c>
      <c r="P301" s="40">
        <v>55</v>
      </c>
      <c r="Q301" s="91">
        <v>96.38</v>
      </c>
      <c r="R301" s="91">
        <v>106.17</v>
      </c>
      <c r="S301" s="91">
        <v>102.38</v>
      </c>
      <c r="T301" s="91">
        <v>104.57</v>
      </c>
      <c r="U301" s="91">
        <v>105.23</v>
      </c>
    </row>
    <row r="302" spans="1:21" x14ac:dyDescent="0.2">
      <c r="A302" s="48">
        <f t="shared" si="4"/>
        <v>294</v>
      </c>
      <c r="B302" s="43">
        <v>8</v>
      </c>
      <c r="C302" s="43">
        <v>35</v>
      </c>
      <c r="D302" s="38" t="s">
        <v>945</v>
      </c>
      <c r="E302" s="44" t="s">
        <v>199</v>
      </c>
      <c r="F302" s="44" t="s">
        <v>29</v>
      </c>
      <c r="G302" s="44" t="s">
        <v>108</v>
      </c>
      <c r="H302" s="44" t="s">
        <v>34</v>
      </c>
      <c r="I302" s="44" t="s">
        <v>34</v>
      </c>
      <c r="J302" s="44" t="s">
        <v>36</v>
      </c>
      <c r="K302" s="44" t="s">
        <v>200</v>
      </c>
      <c r="L302" s="40">
        <v>22783</v>
      </c>
      <c r="M302" s="41">
        <v>42250</v>
      </c>
      <c r="N302" s="40" t="s">
        <v>110</v>
      </c>
      <c r="O302" s="42">
        <v>42491</v>
      </c>
      <c r="P302" s="40">
        <v>55</v>
      </c>
      <c r="Q302" s="91">
        <v>94.83</v>
      </c>
      <c r="R302" s="91">
        <v>104.89</v>
      </c>
      <c r="S302" s="91">
        <v>100.86</v>
      </c>
      <c r="T302" s="91">
        <v>103.15</v>
      </c>
      <c r="U302" s="91">
        <v>103.76</v>
      </c>
    </row>
    <row r="303" spans="1:21" x14ac:dyDescent="0.2">
      <c r="A303" s="48">
        <f t="shared" si="4"/>
        <v>295</v>
      </c>
      <c r="B303" s="43">
        <v>8</v>
      </c>
      <c r="C303" s="43">
        <v>36</v>
      </c>
      <c r="D303" s="38" t="s">
        <v>946</v>
      </c>
      <c r="E303" s="44" t="s">
        <v>202</v>
      </c>
      <c r="F303" s="44" t="s">
        <v>5</v>
      </c>
      <c r="G303" s="44" t="s">
        <v>108</v>
      </c>
      <c r="H303" s="44" t="s">
        <v>15</v>
      </c>
      <c r="I303" s="44" t="s">
        <v>203</v>
      </c>
      <c r="J303" s="44" t="s">
        <v>16</v>
      </c>
      <c r="K303" s="44" t="s">
        <v>128</v>
      </c>
      <c r="L303" s="40">
        <v>22784</v>
      </c>
      <c r="M303" s="41">
        <v>42250</v>
      </c>
      <c r="N303" s="40" t="s">
        <v>110</v>
      </c>
      <c r="O303" s="42">
        <v>42491</v>
      </c>
      <c r="P303" s="40">
        <v>55</v>
      </c>
      <c r="Q303" s="91">
        <v>67.010000000000005</v>
      </c>
      <c r="R303" s="91">
        <v>69.53</v>
      </c>
      <c r="S303" s="91">
        <v>68.78</v>
      </c>
      <c r="T303" s="91">
        <v>69.849999999999994</v>
      </c>
      <c r="U303" s="91">
        <v>71.37</v>
      </c>
    </row>
    <row r="304" spans="1:21" x14ac:dyDescent="0.2">
      <c r="A304" s="48">
        <f t="shared" si="4"/>
        <v>296</v>
      </c>
      <c r="B304" s="20"/>
      <c r="C304" s="20"/>
      <c r="D304" s="20"/>
    </row>
    <row r="305" spans="1:21" x14ac:dyDescent="0.2">
      <c r="A305" s="48">
        <f t="shared" si="4"/>
        <v>297</v>
      </c>
      <c r="B305" s="43">
        <v>9</v>
      </c>
      <c r="C305" s="43">
        <v>1</v>
      </c>
      <c r="D305" s="38" t="s">
        <v>947</v>
      </c>
      <c r="E305" s="44" t="s">
        <v>107</v>
      </c>
      <c r="F305" s="44" t="s">
        <v>29</v>
      </c>
      <c r="G305" s="44" t="s">
        <v>108</v>
      </c>
      <c r="H305" s="44" t="s">
        <v>30</v>
      </c>
      <c r="I305" s="44" t="s">
        <v>30</v>
      </c>
      <c r="J305" s="44" t="s">
        <v>31</v>
      </c>
      <c r="K305" s="44" t="s">
        <v>109</v>
      </c>
      <c r="L305" s="40">
        <v>22749</v>
      </c>
      <c r="M305" s="41">
        <v>42250</v>
      </c>
      <c r="N305" s="40" t="s">
        <v>110</v>
      </c>
      <c r="O305" s="42">
        <v>42522</v>
      </c>
      <c r="P305" s="40">
        <v>56</v>
      </c>
      <c r="Q305" s="91">
        <v>86.19</v>
      </c>
      <c r="R305" s="91">
        <v>94.96</v>
      </c>
      <c r="S305" s="91">
        <v>89.93</v>
      </c>
      <c r="T305" s="91">
        <v>92.09</v>
      </c>
      <c r="U305" s="91">
        <v>94.37</v>
      </c>
    </row>
    <row r="306" spans="1:21" x14ac:dyDescent="0.2">
      <c r="A306" s="48">
        <f t="shared" si="4"/>
        <v>298</v>
      </c>
      <c r="B306" s="43">
        <v>9</v>
      </c>
      <c r="C306" s="43">
        <v>2</v>
      </c>
      <c r="D306" s="38" t="s">
        <v>948</v>
      </c>
      <c r="E306" s="44" t="s">
        <v>112</v>
      </c>
      <c r="F306" s="44" t="s">
        <v>29</v>
      </c>
      <c r="G306" s="44" t="s">
        <v>108</v>
      </c>
      <c r="H306" s="44" t="s">
        <v>30</v>
      </c>
      <c r="I306" s="44" t="s">
        <v>30</v>
      </c>
      <c r="J306" s="44" t="s">
        <v>32</v>
      </c>
      <c r="K306" s="44" t="s">
        <v>113</v>
      </c>
      <c r="L306" s="40">
        <v>22750</v>
      </c>
      <c r="M306" s="41">
        <v>42250</v>
      </c>
      <c r="N306" s="40" t="s">
        <v>110</v>
      </c>
      <c r="O306" s="42">
        <v>42522</v>
      </c>
      <c r="P306" s="40">
        <v>56</v>
      </c>
      <c r="Q306" s="91">
        <v>86.88</v>
      </c>
      <c r="R306" s="91">
        <v>94.66</v>
      </c>
      <c r="S306" s="91">
        <v>90.03</v>
      </c>
      <c r="T306" s="91">
        <v>90.84</v>
      </c>
      <c r="U306" s="91">
        <v>91.49</v>
      </c>
    </row>
    <row r="307" spans="1:21" x14ac:dyDescent="0.2">
      <c r="A307" s="48">
        <f t="shared" si="4"/>
        <v>299</v>
      </c>
      <c r="B307" s="43">
        <v>9</v>
      </c>
      <c r="C307" s="43">
        <v>3</v>
      </c>
      <c r="D307" s="38" t="s">
        <v>949</v>
      </c>
      <c r="E307" s="44" t="s">
        <v>115</v>
      </c>
      <c r="F307" s="44" t="s">
        <v>18</v>
      </c>
      <c r="G307" s="44" t="s">
        <v>108</v>
      </c>
      <c r="H307" s="44" t="s">
        <v>61</v>
      </c>
      <c r="I307" s="44" t="s">
        <v>116</v>
      </c>
      <c r="J307" s="44" t="s">
        <v>13</v>
      </c>
      <c r="K307" s="44" t="s">
        <v>117</v>
      </c>
      <c r="L307" s="40">
        <v>22751</v>
      </c>
      <c r="M307" s="41">
        <v>42250</v>
      </c>
      <c r="N307" s="40" t="s">
        <v>110</v>
      </c>
      <c r="O307" s="42">
        <v>42522</v>
      </c>
      <c r="P307" s="40">
        <v>56</v>
      </c>
      <c r="Q307" s="91">
        <v>54.07</v>
      </c>
      <c r="R307" s="91">
        <v>56.73</v>
      </c>
      <c r="S307" s="91">
        <v>56.29</v>
      </c>
      <c r="T307" s="91">
        <v>57.6</v>
      </c>
      <c r="U307" s="91">
        <v>59.41</v>
      </c>
    </row>
    <row r="308" spans="1:21" x14ac:dyDescent="0.2">
      <c r="A308" s="48">
        <f t="shared" si="4"/>
        <v>300</v>
      </c>
      <c r="B308" s="43">
        <v>9</v>
      </c>
      <c r="C308" s="43">
        <v>4</v>
      </c>
      <c r="D308" s="38" t="s">
        <v>950</v>
      </c>
      <c r="E308" s="44" t="s">
        <v>119</v>
      </c>
      <c r="F308" s="44" t="s">
        <v>18</v>
      </c>
      <c r="G308" s="44" t="s">
        <v>108</v>
      </c>
      <c r="H308" s="44" t="s">
        <v>61</v>
      </c>
      <c r="I308" s="44" t="s">
        <v>116</v>
      </c>
      <c r="J308" s="44" t="s">
        <v>19</v>
      </c>
      <c r="K308" s="44" t="s">
        <v>120</v>
      </c>
      <c r="L308" s="40">
        <v>22752</v>
      </c>
      <c r="M308" s="41">
        <v>42250</v>
      </c>
      <c r="N308" s="40" t="s">
        <v>110</v>
      </c>
      <c r="O308" s="42">
        <v>42522</v>
      </c>
      <c r="P308" s="40">
        <v>56</v>
      </c>
      <c r="Q308" s="91">
        <v>56.45</v>
      </c>
      <c r="R308" s="91">
        <v>58.39</v>
      </c>
      <c r="S308" s="91">
        <v>58.19</v>
      </c>
      <c r="T308" s="91">
        <v>59.24</v>
      </c>
      <c r="U308" s="91">
        <v>61.03</v>
      </c>
    </row>
    <row r="309" spans="1:21" x14ac:dyDescent="0.2">
      <c r="A309" s="48">
        <f t="shared" si="4"/>
        <v>301</v>
      </c>
      <c r="B309" s="43">
        <v>9</v>
      </c>
      <c r="C309" s="43">
        <v>5</v>
      </c>
      <c r="D309" s="38" t="s">
        <v>951</v>
      </c>
      <c r="E309" s="44" t="s">
        <v>122</v>
      </c>
      <c r="F309" s="44" t="s">
        <v>18</v>
      </c>
      <c r="G309" s="44" t="s">
        <v>108</v>
      </c>
      <c r="H309" s="44" t="s">
        <v>61</v>
      </c>
      <c r="I309" s="44" t="s">
        <v>116</v>
      </c>
      <c r="J309" s="44" t="s">
        <v>14</v>
      </c>
      <c r="K309" s="44" t="s">
        <v>123</v>
      </c>
      <c r="L309" s="40">
        <v>22753</v>
      </c>
      <c r="M309" s="41">
        <v>42250</v>
      </c>
      <c r="N309" s="40" t="s">
        <v>110</v>
      </c>
      <c r="O309" s="42">
        <v>42522</v>
      </c>
      <c r="P309" s="40">
        <v>56</v>
      </c>
      <c r="Q309" s="91">
        <v>55.06</v>
      </c>
      <c r="R309" s="91">
        <v>57.41</v>
      </c>
      <c r="S309" s="91">
        <v>57.01</v>
      </c>
      <c r="T309" s="91">
        <v>58.24</v>
      </c>
      <c r="U309" s="91">
        <v>60</v>
      </c>
    </row>
    <row r="310" spans="1:21" x14ac:dyDescent="0.2">
      <c r="A310" s="48">
        <f t="shared" si="4"/>
        <v>302</v>
      </c>
      <c r="B310" s="43">
        <v>9</v>
      </c>
      <c r="C310" s="43">
        <v>6</v>
      </c>
      <c r="D310" s="38" t="s">
        <v>952</v>
      </c>
      <c r="E310" s="44" t="s">
        <v>125</v>
      </c>
      <c r="F310" s="44" t="s">
        <v>23</v>
      </c>
      <c r="G310" s="44" t="s">
        <v>126</v>
      </c>
      <c r="H310" s="44" t="s">
        <v>127</v>
      </c>
      <c r="I310" s="44" t="s">
        <v>27</v>
      </c>
      <c r="J310" s="44" t="s">
        <v>28</v>
      </c>
      <c r="K310" s="44" t="s">
        <v>128</v>
      </c>
      <c r="L310" s="40">
        <v>22754</v>
      </c>
      <c r="M310" s="41">
        <v>42250</v>
      </c>
      <c r="N310" s="40" t="s">
        <v>110</v>
      </c>
      <c r="O310" s="42">
        <v>42522</v>
      </c>
      <c r="P310" s="40">
        <v>56</v>
      </c>
      <c r="Q310" s="91">
        <v>59.33</v>
      </c>
      <c r="R310" s="91">
        <v>61.68</v>
      </c>
      <c r="S310" s="91">
        <v>61.28</v>
      </c>
      <c r="T310" s="91">
        <v>62.62</v>
      </c>
      <c r="U310" s="91">
        <v>63.73</v>
      </c>
    </row>
    <row r="311" spans="1:21" x14ac:dyDescent="0.2">
      <c r="A311" s="48">
        <f t="shared" si="4"/>
        <v>303</v>
      </c>
      <c r="B311" s="43">
        <v>9</v>
      </c>
      <c r="C311" s="43">
        <v>7</v>
      </c>
      <c r="D311" s="38" t="s">
        <v>953</v>
      </c>
      <c r="E311" s="44" t="s">
        <v>130</v>
      </c>
      <c r="F311" s="44" t="s">
        <v>37</v>
      </c>
      <c r="G311" s="44" t="s">
        <v>108</v>
      </c>
      <c r="H311" s="44" t="s">
        <v>38</v>
      </c>
      <c r="I311" s="44" t="s">
        <v>38</v>
      </c>
      <c r="J311" s="44" t="s">
        <v>40</v>
      </c>
      <c r="K311" s="44" t="s">
        <v>123</v>
      </c>
      <c r="L311" s="40">
        <v>22756</v>
      </c>
      <c r="M311" s="41">
        <v>42250</v>
      </c>
      <c r="N311" s="40" t="s">
        <v>110</v>
      </c>
      <c r="O311" s="42">
        <v>42522</v>
      </c>
      <c r="P311" s="40">
        <v>56</v>
      </c>
      <c r="Q311" s="91">
        <v>78.56</v>
      </c>
      <c r="R311" s="91">
        <v>83.04</v>
      </c>
      <c r="S311" s="91">
        <v>79.63</v>
      </c>
      <c r="T311" s="91">
        <v>80.39</v>
      </c>
      <c r="U311" s="91">
        <v>80.540000000000006</v>
      </c>
    </row>
    <row r="312" spans="1:21" x14ac:dyDescent="0.2">
      <c r="A312" s="48">
        <f t="shared" si="4"/>
        <v>304</v>
      </c>
      <c r="B312" s="43">
        <v>9</v>
      </c>
      <c r="C312" s="43">
        <v>8</v>
      </c>
      <c r="D312" s="38" t="s">
        <v>954</v>
      </c>
      <c r="E312" s="44" t="s">
        <v>132</v>
      </c>
      <c r="F312" s="44" t="s">
        <v>37</v>
      </c>
      <c r="G312" s="44" t="s">
        <v>108</v>
      </c>
      <c r="H312" s="44" t="s">
        <v>38</v>
      </c>
      <c r="I312" s="44" t="s">
        <v>38</v>
      </c>
      <c r="J312" s="44" t="s">
        <v>39</v>
      </c>
      <c r="K312" s="44" t="s">
        <v>120</v>
      </c>
      <c r="L312" s="40">
        <v>22755</v>
      </c>
      <c r="M312" s="41">
        <v>42250</v>
      </c>
      <c r="N312" s="40" t="s">
        <v>110</v>
      </c>
      <c r="O312" s="42">
        <v>42522</v>
      </c>
      <c r="P312" s="40">
        <v>56</v>
      </c>
      <c r="Q312" s="91">
        <v>80.45</v>
      </c>
      <c r="R312" s="91">
        <v>83.96</v>
      </c>
      <c r="S312" s="91">
        <v>80.91</v>
      </c>
      <c r="T312" s="91">
        <v>81.41</v>
      </c>
      <c r="U312" s="91">
        <v>81.58</v>
      </c>
    </row>
    <row r="313" spans="1:21" x14ac:dyDescent="0.2">
      <c r="A313" s="48">
        <f t="shared" si="4"/>
        <v>305</v>
      </c>
      <c r="B313" s="43">
        <v>9</v>
      </c>
      <c r="C313" s="43">
        <v>9</v>
      </c>
      <c r="D313" s="38" t="s">
        <v>955</v>
      </c>
      <c r="E313" s="44" t="s">
        <v>134</v>
      </c>
      <c r="F313" s="44" t="s">
        <v>37</v>
      </c>
      <c r="G313" s="44" t="s">
        <v>108</v>
      </c>
      <c r="H313" s="44" t="s">
        <v>38</v>
      </c>
      <c r="I313" s="44" t="s">
        <v>38</v>
      </c>
      <c r="J313" s="44" t="s">
        <v>6</v>
      </c>
      <c r="K313" s="44" t="s">
        <v>117</v>
      </c>
      <c r="L313" s="40">
        <v>22757</v>
      </c>
      <c r="M313" s="41">
        <v>42250</v>
      </c>
      <c r="N313" s="40" t="s">
        <v>110</v>
      </c>
      <c r="O313" s="42">
        <v>42522</v>
      </c>
      <c r="P313" s="40">
        <v>56</v>
      </c>
      <c r="Q313" s="91">
        <v>77.52</v>
      </c>
      <c r="R313" s="91">
        <v>82.29</v>
      </c>
      <c r="S313" s="91">
        <v>78.790000000000006</v>
      </c>
      <c r="T313" s="91">
        <v>79.599999999999994</v>
      </c>
      <c r="U313" s="91">
        <v>79.739999999999995</v>
      </c>
    </row>
    <row r="314" spans="1:21" x14ac:dyDescent="0.2">
      <c r="A314" s="48">
        <f t="shared" si="4"/>
        <v>306</v>
      </c>
      <c r="B314" s="43">
        <v>9</v>
      </c>
      <c r="C314" s="43">
        <v>10</v>
      </c>
      <c r="D314" s="38" t="s">
        <v>956</v>
      </c>
      <c r="E314" s="44" t="s">
        <v>136</v>
      </c>
      <c r="F314" s="44" t="s">
        <v>23</v>
      </c>
      <c r="G314" s="44" t="s">
        <v>108</v>
      </c>
      <c r="H314" s="44" t="s">
        <v>137</v>
      </c>
      <c r="I314" s="44" t="s">
        <v>24</v>
      </c>
      <c r="J314" s="44" t="s">
        <v>25</v>
      </c>
      <c r="K314" s="44" t="s">
        <v>138</v>
      </c>
      <c r="L314" s="40">
        <v>22758</v>
      </c>
      <c r="M314" s="41">
        <v>42250</v>
      </c>
      <c r="N314" s="40" t="s">
        <v>110</v>
      </c>
      <c r="O314" s="42">
        <v>42522</v>
      </c>
      <c r="P314" s="40">
        <v>56</v>
      </c>
      <c r="Q314" s="91">
        <v>60.51</v>
      </c>
      <c r="R314" s="91">
        <v>62.5</v>
      </c>
      <c r="S314" s="91">
        <v>62.39</v>
      </c>
      <c r="T314" s="91">
        <v>63.43</v>
      </c>
      <c r="U314" s="91">
        <v>66.89</v>
      </c>
    </row>
    <row r="315" spans="1:21" x14ac:dyDescent="0.2">
      <c r="A315" s="48">
        <f t="shared" si="4"/>
        <v>307</v>
      </c>
      <c r="B315" s="43">
        <v>9</v>
      </c>
      <c r="C315" s="43">
        <v>11</v>
      </c>
      <c r="D315" s="38" t="s">
        <v>957</v>
      </c>
      <c r="E315" s="44" t="s">
        <v>140</v>
      </c>
      <c r="F315" s="44" t="s">
        <v>23</v>
      </c>
      <c r="G315" s="44" t="s">
        <v>108</v>
      </c>
      <c r="H315" s="44" t="s">
        <v>137</v>
      </c>
      <c r="I315" s="44" t="s">
        <v>24</v>
      </c>
      <c r="J315" s="44" t="s">
        <v>26</v>
      </c>
      <c r="K315" s="44" t="s">
        <v>141</v>
      </c>
      <c r="L315" s="40">
        <v>22759</v>
      </c>
      <c r="M315" s="41">
        <v>42250</v>
      </c>
      <c r="N315" s="40" t="s">
        <v>110</v>
      </c>
      <c r="O315" s="42">
        <v>42522</v>
      </c>
      <c r="P315" s="40">
        <v>56</v>
      </c>
      <c r="Q315" s="91">
        <v>59.57</v>
      </c>
      <c r="R315" s="91">
        <v>61.7</v>
      </c>
      <c r="S315" s="91">
        <v>61.54</v>
      </c>
      <c r="T315" s="91">
        <v>62.63</v>
      </c>
      <c r="U315" s="91">
        <v>66.08</v>
      </c>
    </row>
    <row r="316" spans="1:21" x14ac:dyDescent="0.2">
      <c r="A316" s="48">
        <f t="shared" si="4"/>
        <v>308</v>
      </c>
      <c r="B316" s="43">
        <v>9</v>
      </c>
      <c r="C316" s="43">
        <v>12</v>
      </c>
      <c r="D316" s="38" t="s">
        <v>958</v>
      </c>
      <c r="E316" s="44" t="s">
        <v>143</v>
      </c>
      <c r="F316" s="44" t="s">
        <v>18</v>
      </c>
      <c r="G316" s="44" t="s">
        <v>108</v>
      </c>
      <c r="H316" s="44" t="s">
        <v>94</v>
      </c>
      <c r="I316" s="44" t="s">
        <v>144</v>
      </c>
      <c r="J316" s="44" t="s">
        <v>20</v>
      </c>
      <c r="K316" s="44" t="s">
        <v>145</v>
      </c>
      <c r="L316" s="40">
        <v>22760</v>
      </c>
      <c r="M316" s="41">
        <v>42250</v>
      </c>
      <c r="N316" s="40" t="s">
        <v>110</v>
      </c>
      <c r="O316" s="42">
        <v>42522</v>
      </c>
      <c r="P316" s="40">
        <v>56</v>
      </c>
      <c r="Q316" s="91">
        <v>56.9</v>
      </c>
      <c r="R316" s="91">
        <v>58.27</v>
      </c>
      <c r="S316" s="91">
        <v>58.22</v>
      </c>
      <c r="T316" s="91">
        <v>58.95</v>
      </c>
      <c r="U316" s="91">
        <v>60.59</v>
      </c>
    </row>
    <row r="317" spans="1:21" x14ac:dyDescent="0.2">
      <c r="A317" s="48">
        <f t="shared" si="4"/>
        <v>309</v>
      </c>
      <c r="B317" s="43">
        <v>9</v>
      </c>
      <c r="C317" s="43">
        <v>13</v>
      </c>
      <c r="D317" s="38" t="s">
        <v>959</v>
      </c>
      <c r="E317" s="44" t="s">
        <v>147</v>
      </c>
      <c r="F317" s="44" t="s">
        <v>37</v>
      </c>
      <c r="G317" s="44" t="s">
        <v>108</v>
      </c>
      <c r="H317" s="44" t="s">
        <v>41</v>
      </c>
      <c r="I317" s="44" t="s">
        <v>41</v>
      </c>
      <c r="J317" s="44" t="s">
        <v>6</v>
      </c>
      <c r="K317" s="44" t="s">
        <v>128</v>
      </c>
      <c r="L317" s="40">
        <v>22761</v>
      </c>
      <c r="M317" s="41">
        <v>42250</v>
      </c>
      <c r="N317" s="40" t="s">
        <v>110</v>
      </c>
      <c r="O317" s="42">
        <v>42522</v>
      </c>
      <c r="P317" s="40">
        <v>56</v>
      </c>
      <c r="Q317" s="91">
        <v>76.040000000000006</v>
      </c>
      <c r="R317" s="91">
        <v>81.99</v>
      </c>
      <c r="S317" s="91">
        <v>78.239999999999995</v>
      </c>
      <c r="T317" s="91">
        <v>79.55</v>
      </c>
      <c r="U317" s="91">
        <v>82.66</v>
      </c>
    </row>
    <row r="318" spans="1:21" x14ac:dyDescent="0.2">
      <c r="A318" s="48">
        <f t="shared" si="4"/>
        <v>310</v>
      </c>
      <c r="B318" s="43">
        <v>9</v>
      </c>
      <c r="C318" s="43">
        <v>14</v>
      </c>
      <c r="D318" s="38" t="s">
        <v>960</v>
      </c>
      <c r="E318" s="44" t="s">
        <v>149</v>
      </c>
      <c r="F318" s="44" t="s">
        <v>5</v>
      </c>
      <c r="G318" s="44" t="s">
        <v>108</v>
      </c>
      <c r="H318" s="44" t="s">
        <v>46</v>
      </c>
      <c r="I318" s="44" t="s">
        <v>46</v>
      </c>
      <c r="J318" s="44" t="s">
        <v>6</v>
      </c>
      <c r="K318" s="44" t="s">
        <v>128</v>
      </c>
      <c r="L318" s="40">
        <v>22762</v>
      </c>
      <c r="M318" s="41">
        <v>42250</v>
      </c>
      <c r="N318" s="40" t="s">
        <v>110</v>
      </c>
      <c r="O318" s="42">
        <v>42522</v>
      </c>
      <c r="P318" s="40">
        <v>56</v>
      </c>
      <c r="Q318" s="91">
        <v>66.28</v>
      </c>
      <c r="R318" s="91">
        <v>68.53</v>
      </c>
      <c r="S318" s="91">
        <v>68.33</v>
      </c>
      <c r="T318" s="91">
        <v>69.47</v>
      </c>
      <c r="U318" s="91">
        <v>71.349999999999994</v>
      </c>
    </row>
    <row r="319" spans="1:21" x14ac:dyDescent="0.2">
      <c r="A319" s="48">
        <f t="shared" si="4"/>
        <v>311</v>
      </c>
      <c r="B319" s="43">
        <v>9</v>
      </c>
      <c r="C319" s="43">
        <v>15</v>
      </c>
      <c r="D319" s="38" t="s">
        <v>961</v>
      </c>
      <c r="E319" s="44" t="s">
        <v>151</v>
      </c>
      <c r="F319" s="44" t="s">
        <v>18</v>
      </c>
      <c r="G319" s="44" t="s">
        <v>108</v>
      </c>
      <c r="H319" s="44" t="s">
        <v>21</v>
      </c>
      <c r="I319" s="44" t="s">
        <v>152</v>
      </c>
      <c r="J319" s="44" t="s">
        <v>22</v>
      </c>
      <c r="K319" s="44" t="s">
        <v>128</v>
      </c>
      <c r="L319" s="40">
        <v>22763</v>
      </c>
      <c r="M319" s="41">
        <v>42250</v>
      </c>
      <c r="N319" s="40" t="s">
        <v>110</v>
      </c>
      <c r="O319" s="42">
        <v>42522</v>
      </c>
      <c r="P319" s="40">
        <v>56</v>
      </c>
      <c r="Q319" s="91">
        <v>55.52</v>
      </c>
      <c r="R319" s="91">
        <v>56.96</v>
      </c>
      <c r="S319" s="91">
        <v>56.82</v>
      </c>
      <c r="T319" s="91">
        <v>57.63</v>
      </c>
      <c r="U319" s="91">
        <v>59.17</v>
      </c>
    </row>
    <row r="320" spans="1:21" x14ac:dyDescent="0.2">
      <c r="A320" s="48">
        <f t="shared" si="4"/>
        <v>312</v>
      </c>
      <c r="B320" s="43">
        <v>9</v>
      </c>
      <c r="C320" s="43">
        <v>16</v>
      </c>
      <c r="D320" s="38" t="s">
        <v>962</v>
      </c>
      <c r="E320" s="44" t="s">
        <v>154</v>
      </c>
      <c r="F320" s="44" t="s">
        <v>18</v>
      </c>
      <c r="G320" s="44" t="s">
        <v>108</v>
      </c>
      <c r="H320" s="44" t="s">
        <v>62</v>
      </c>
      <c r="I320" s="44" t="s">
        <v>155</v>
      </c>
      <c r="J320" s="44" t="s">
        <v>6</v>
      </c>
      <c r="K320" s="44" t="s">
        <v>128</v>
      </c>
      <c r="L320" s="40">
        <v>22764</v>
      </c>
      <c r="M320" s="41">
        <v>42250</v>
      </c>
      <c r="N320" s="40" t="s">
        <v>110</v>
      </c>
      <c r="O320" s="42">
        <v>42522</v>
      </c>
      <c r="P320" s="40">
        <v>56</v>
      </c>
      <c r="Q320" s="91">
        <v>61.59</v>
      </c>
      <c r="R320" s="91">
        <v>62.18</v>
      </c>
      <c r="S320" s="91">
        <v>61.27</v>
      </c>
      <c r="T320" s="91">
        <v>61.24</v>
      </c>
      <c r="U320" s="91">
        <v>62.31</v>
      </c>
    </row>
    <row r="321" spans="1:21" x14ac:dyDescent="0.2">
      <c r="A321" s="48">
        <f t="shared" si="4"/>
        <v>313</v>
      </c>
      <c r="B321" s="43">
        <v>9</v>
      </c>
      <c r="C321" s="43">
        <v>17</v>
      </c>
      <c r="D321" s="38" t="s">
        <v>963</v>
      </c>
      <c r="E321" s="44" t="s">
        <v>157</v>
      </c>
      <c r="F321" s="44" t="s">
        <v>29</v>
      </c>
      <c r="G321" s="44" t="s">
        <v>108</v>
      </c>
      <c r="H321" s="44" t="s">
        <v>33</v>
      </c>
      <c r="I321" s="44" t="s">
        <v>33</v>
      </c>
      <c r="J321" s="44" t="s">
        <v>7</v>
      </c>
      <c r="K321" s="44" t="s">
        <v>123</v>
      </c>
      <c r="L321" s="40">
        <v>22765</v>
      </c>
      <c r="M321" s="41">
        <v>42250</v>
      </c>
      <c r="N321" s="40" t="s">
        <v>110</v>
      </c>
      <c r="O321" s="42">
        <v>42522</v>
      </c>
      <c r="P321" s="40">
        <v>56</v>
      </c>
      <c r="Q321" s="91">
        <v>77.760000000000005</v>
      </c>
      <c r="R321" s="91">
        <v>85.93</v>
      </c>
      <c r="S321" s="91">
        <v>82.34</v>
      </c>
      <c r="T321" s="91">
        <v>83.97</v>
      </c>
      <c r="U321" s="91">
        <v>86.84</v>
      </c>
    </row>
    <row r="322" spans="1:21" x14ac:dyDescent="0.2">
      <c r="A322" s="48">
        <f t="shared" si="4"/>
        <v>314</v>
      </c>
      <c r="B322" s="43">
        <v>9</v>
      </c>
      <c r="C322" s="43">
        <v>18</v>
      </c>
      <c r="D322" s="38" t="s">
        <v>964</v>
      </c>
      <c r="E322" s="44" t="s">
        <v>159</v>
      </c>
      <c r="F322" s="44" t="s">
        <v>29</v>
      </c>
      <c r="G322" s="44" t="s">
        <v>108</v>
      </c>
      <c r="H322" s="44" t="s">
        <v>33</v>
      </c>
      <c r="I322" s="44" t="s">
        <v>33</v>
      </c>
      <c r="J322" s="44" t="s">
        <v>8</v>
      </c>
      <c r="K322" s="44" t="s">
        <v>120</v>
      </c>
      <c r="L322" s="40">
        <v>22766</v>
      </c>
      <c r="M322" s="41">
        <v>42250</v>
      </c>
      <c r="N322" s="40" t="s">
        <v>110</v>
      </c>
      <c r="O322" s="42">
        <v>42522</v>
      </c>
      <c r="P322" s="40">
        <v>56</v>
      </c>
      <c r="Q322" s="91">
        <v>86.26</v>
      </c>
      <c r="R322" s="91">
        <v>89.31</v>
      </c>
      <c r="S322" s="91">
        <v>87.52</v>
      </c>
      <c r="T322" s="91">
        <v>87.28</v>
      </c>
      <c r="U322" s="91">
        <v>90.11</v>
      </c>
    </row>
    <row r="323" spans="1:21" x14ac:dyDescent="0.2">
      <c r="A323" s="48">
        <f t="shared" si="4"/>
        <v>315</v>
      </c>
      <c r="B323" s="43">
        <v>9</v>
      </c>
      <c r="C323" s="43">
        <v>19</v>
      </c>
      <c r="D323" s="38" t="s">
        <v>965</v>
      </c>
      <c r="E323" s="44" t="s">
        <v>161</v>
      </c>
      <c r="F323" s="44" t="s">
        <v>29</v>
      </c>
      <c r="G323" s="44" t="s">
        <v>108</v>
      </c>
      <c r="H323" s="44" t="s">
        <v>33</v>
      </c>
      <c r="I323" s="44" t="s">
        <v>33</v>
      </c>
      <c r="J323" s="44" t="s">
        <v>9</v>
      </c>
      <c r="K323" s="44" t="s">
        <v>117</v>
      </c>
      <c r="L323" s="40">
        <v>22767</v>
      </c>
      <c r="M323" s="41">
        <v>42250</v>
      </c>
      <c r="N323" s="40" t="s">
        <v>110</v>
      </c>
      <c r="O323" s="42">
        <v>42522</v>
      </c>
      <c r="P323" s="40">
        <v>56</v>
      </c>
      <c r="Q323" s="91">
        <v>80.53</v>
      </c>
      <c r="R323" s="91">
        <v>87.29</v>
      </c>
      <c r="S323" s="91">
        <v>84.19</v>
      </c>
      <c r="T323" s="91">
        <v>85.22</v>
      </c>
      <c r="U323" s="91">
        <v>88.06</v>
      </c>
    </row>
    <row r="324" spans="1:21" x14ac:dyDescent="0.2">
      <c r="A324" s="48">
        <f t="shared" si="4"/>
        <v>316</v>
      </c>
      <c r="B324" s="43">
        <v>9</v>
      </c>
      <c r="C324" s="43">
        <v>20</v>
      </c>
      <c r="D324" s="38" t="s">
        <v>966</v>
      </c>
      <c r="E324" s="44" t="s">
        <v>163</v>
      </c>
      <c r="F324" s="44" t="s">
        <v>5</v>
      </c>
      <c r="G324" s="44" t="s">
        <v>108</v>
      </c>
      <c r="H324" s="44" t="s">
        <v>164</v>
      </c>
      <c r="I324" s="44" t="s">
        <v>165</v>
      </c>
      <c r="J324" s="44" t="s">
        <v>7</v>
      </c>
      <c r="K324" s="44" t="s">
        <v>123</v>
      </c>
      <c r="L324" s="40">
        <v>22769</v>
      </c>
      <c r="M324" s="41">
        <v>42250</v>
      </c>
      <c r="N324" s="40" t="s">
        <v>110</v>
      </c>
      <c r="O324" s="42">
        <v>42522</v>
      </c>
      <c r="P324" s="40">
        <v>56</v>
      </c>
      <c r="Q324" s="91">
        <v>59.64</v>
      </c>
      <c r="R324" s="91">
        <v>66.33</v>
      </c>
      <c r="S324" s="91">
        <v>62.74</v>
      </c>
      <c r="T324" s="91">
        <v>63.96</v>
      </c>
      <c r="U324" s="91">
        <v>64.8</v>
      </c>
    </row>
    <row r="325" spans="1:21" x14ac:dyDescent="0.2">
      <c r="A325" s="48">
        <f t="shared" si="4"/>
        <v>317</v>
      </c>
      <c r="B325" s="43">
        <v>9</v>
      </c>
      <c r="C325" s="43">
        <v>21</v>
      </c>
      <c r="D325" s="38" t="s">
        <v>967</v>
      </c>
      <c r="E325" s="44" t="s">
        <v>167</v>
      </c>
      <c r="F325" s="44" t="s">
        <v>5</v>
      </c>
      <c r="G325" s="44" t="s">
        <v>108</v>
      </c>
      <c r="H325" s="44" t="s">
        <v>164</v>
      </c>
      <c r="I325" s="44" t="s">
        <v>165</v>
      </c>
      <c r="J325" s="44" t="s">
        <v>8</v>
      </c>
      <c r="K325" s="44" t="s">
        <v>120</v>
      </c>
      <c r="L325" s="40">
        <v>22768</v>
      </c>
      <c r="M325" s="41">
        <v>42250</v>
      </c>
      <c r="N325" s="40" t="s">
        <v>110</v>
      </c>
      <c r="O325" s="42">
        <v>42522</v>
      </c>
      <c r="P325" s="40">
        <v>56</v>
      </c>
      <c r="Q325" s="91">
        <v>61.03</v>
      </c>
      <c r="R325" s="91">
        <v>67.39</v>
      </c>
      <c r="S325" s="91">
        <v>63.96</v>
      </c>
      <c r="T325" s="91">
        <v>65.069999999999993</v>
      </c>
      <c r="U325" s="91">
        <v>65.92</v>
      </c>
    </row>
    <row r="326" spans="1:21" x14ac:dyDescent="0.2">
      <c r="A326" s="48">
        <f t="shared" si="4"/>
        <v>318</v>
      </c>
      <c r="B326" s="43">
        <v>9</v>
      </c>
      <c r="C326" s="43">
        <v>22</v>
      </c>
      <c r="D326" s="38" t="s">
        <v>968</v>
      </c>
      <c r="E326" s="44" t="s">
        <v>169</v>
      </c>
      <c r="F326" s="44" t="s">
        <v>5</v>
      </c>
      <c r="G326" s="44" t="s">
        <v>108</v>
      </c>
      <c r="H326" s="44" t="s">
        <v>164</v>
      </c>
      <c r="I326" s="44" t="s">
        <v>165</v>
      </c>
      <c r="J326" s="44" t="s">
        <v>9</v>
      </c>
      <c r="K326" s="44" t="s">
        <v>117</v>
      </c>
      <c r="L326" s="40">
        <v>22770</v>
      </c>
      <c r="M326" s="41">
        <v>42250</v>
      </c>
      <c r="N326" s="40" t="s">
        <v>110</v>
      </c>
      <c r="O326" s="42">
        <v>42522</v>
      </c>
      <c r="P326" s="40">
        <v>56</v>
      </c>
      <c r="Q326" s="91">
        <v>59.64</v>
      </c>
      <c r="R326" s="91">
        <v>66.88</v>
      </c>
      <c r="S326" s="91">
        <v>63.1</v>
      </c>
      <c r="T326" s="91">
        <v>64.55</v>
      </c>
      <c r="U326" s="91">
        <v>65.39</v>
      </c>
    </row>
    <row r="327" spans="1:21" x14ac:dyDescent="0.2">
      <c r="A327" s="48">
        <f t="shared" si="4"/>
        <v>319</v>
      </c>
      <c r="B327" s="43">
        <v>9</v>
      </c>
      <c r="C327" s="43">
        <v>23</v>
      </c>
      <c r="D327" s="38" t="s">
        <v>969</v>
      </c>
      <c r="E327" s="44" t="s">
        <v>171</v>
      </c>
      <c r="F327" s="44" t="s">
        <v>5</v>
      </c>
      <c r="G327" s="44" t="s">
        <v>108</v>
      </c>
      <c r="H327" s="44" t="s">
        <v>11</v>
      </c>
      <c r="I327" s="44" t="s">
        <v>11</v>
      </c>
      <c r="J327" s="44" t="s">
        <v>6</v>
      </c>
      <c r="K327" s="44" t="s">
        <v>128</v>
      </c>
      <c r="L327" s="40">
        <v>22771</v>
      </c>
      <c r="M327" s="41">
        <v>42250</v>
      </c>
      <c r="N327" s="40" t="s">
        <v>110</v>
      </c>
      <c r="O327" s="42">
        <v>42522</v>
      </c>
      <c r="P327" s="40">
        <v>56</v>
      </c>
      <c r="Q327" s="91">
        <v>63.34</v>
      </c>
      <c r="R327" s="91">
        <v>70.819999999999993</v>
      </c>
      <c r="S327" s="91">
        <v>66.75</v>
      </c>
      <c r="T327" s="91">
        <v>68.34</v>
      </c>
      <c r="U327" s="91">
        <v>70.930000000000007</v>
      </c>
    </row>
    <row r="328" spans="1:21" x14ac:dyDescent="0.2">
      <c r="A328" s="48">
        <f t="shared" si="4"/>
        <v>320</v>
      </c>
      <c r="B328" s="43">
        <v>9</v>
      </c>
      <c r="C328" s="43">
        <v>24</v>
      </c>
      <c r="D328" s="38" t="s">
        <v>970</v>
      </c>
      <c r="E328" s="44" t="s">
        <v>173</v>
      </c>
      <c r="F328" s="44" t="s">
        <v>5</v>
      </c>
      <c r="G328" s="44" t="s">
        <v>108</v>
      </c>
      <c r="H328" s="44" t="s">
        <v>10</v>
      </c>
      <c r="I328" s="44" t="s">
        <v>174</v>
      </c>
      <c r="J328" s="44" t="s">
        <v>7</v>
      </c>
      <c r="K328" s="44" t="s">
        <v>123</v>
      </c>
      <c r="L328" s="40">
        <v>22772</v>
      </c>
      <c r="M328" s="41">
        <v>42250</v>
      </c>
      <c r="N328" s="40" t="s">
        <v>110</v>
      </c>
      <c r="O328" s="42">
        <v>42522</v>
      </c>
      <c r="P328" s="40">
        <v>56</v>
      </c>
      <c r="Q328" s="91">
        <v>65.53</v>
      </c>
      <c r="R328" s="91">
        <v>69.040000000000006</v>
      </c>
      <c r="S328" s="91">
        <v>66.09</v>
      </c>
      <c r="T328" s="91">
        <v>66.37</v>
      </c>
      <c r="U328" s="91">
        <v>66.88</v>
      </c>
    </row>
    <row r="329" spans="1:21" x14ac:dyDescent="0.2">
      <c r="A329" s="48">
        <f t="shared" si="4"/>
        <v>321</v>
      </c>
      <c r="B329" s="43">
        <v>9</v>
      </c>
      <c r="C329" s="43">
        <v>25</v>
      </c>
      <c r="D329" s="38" t="s">
        <v>971</v>
      </c>
      <c r="E329" s="44" t="s">
        <v>176</v>
      </c>
      <c r="F329" s="44" t="s">
        <v>5</v>
      </c>
      <c r="G329" s="44" t="s">
        <v>108</v>
      </c>
      <c r="H329" s="44" t="s">
        <v>10</v>
      </c>
      <c r="I329" s="44" t="s">
        <v>174</v>
      </c>
      <c r="J329" s="44" t="s">
        <v>8</v>
      </c>
      <c r="K329" s="44" t="s">
        <v>120</v>
      </c>
      <c r="L329" s="40">
        <v>22773</v>
      </c>
      <c r="M329" s="41">
        <v>42250</v>
      </c>
      <c r="N329" s="40" t="s">
        <v>110</v>
      </c>
      <c r="O329" s="42">
        <v>42522</v>
      </c>
      <c r="P329" s="40">
        <v>56</v>
      </c>
      <c r="Q329" s="91">
        <v>67.040000000000006</v>
      </c>
      <c r="R329" s="91">
        <v>70.28</v>
      </c>
      <c r="S329" s="91">
        <v>67.400000000000006</v>
      </c>
      <c r="T329" s="91">
        <v>67.61</v>
      </c>
      <c r="U329" s="91">
        <v>68.12</v>
      </c>
    </row>
    <row r="330" spans="1:21" x14ac:dyDescent="0.2">
      <c r="A330" s="48">
        <f t="shared" si="4"/>
        <v>322</v>
      </c>
      <c r="B330" s="43">
        <v>9</v>
      </c>
      <c r="C330" s="43">
        <v>26</v>
      </c>
      <c r="D330" s="38" t="s">
        <v>972</v>
      </c>
      <c r="E330" s="44" t="s">
        <v>178</v>
      </c>
      <c r="F330" s="44" t="s">
        <v>5</v>
      </c>
      <c r="G330" s="44" t="s">
        <v>108</v>
      </c>
      <c r="H330" s="44" t="s">
        <v>10</v>
      </c>
      <c r="I330" s="44" t="s">
        <v>174</v>
      </c>
      <c r="J330" s="44" t="s">
        <v>9</v>
      </c>
      <c r="K330" s="44" t="s">
        <v>117</v>
      </c>
      <c r="L330" s="40">
        <v>22774</v>
      </c>
      <c r="M330" s="41">
        <v>42250</v>
      </c>
      <c r="N330" s="40" t="s">
        <v>110</v>
      </c>
      <c r="O330" s="42">
        <v>42522</v>
      </c>
      <c r="P330" s="40">
        <v>56</v>
      </c>
      <c r="Q330" s="91">
        <v>69.03</v>
      </c>
      <c r="R330" s="91">
        <v>70.25</v>
      </c>
      <c r="S330" s="91">
        <v>67.98</v>
      </c>
      <c r="T330" s="91">
        <v>67.59</v>
      </c>
      <c r="U330" s="91">
        <v>68.14</v>
      </c>
    </row>
    <row r="331" spans="1:21" x14ac:dyDescent="0.2">
      <c r="A331" s="48">
        <f t="shared" ref="A331:A394" si="5">A330+1</f>
        <v>323</v>
      </c>
      <c r="B331" s="43">
        <v>9</v>
      </c>
      <c r="C331" s="43">
        <v>27</v>
      </c>
      <c r="D331" s="38" t="s">
        <v>973</v>
      </c>
      <c r="E331" s="44" t="s">
        <v>180</v>
      </c>
      <c r="F331" s="44" t="s">
        <v>5</v>
      </c>
      <c r="G331" s="44" t="s">
        <v>108</v>
      </c>
      <c r="H331" s="44" t="s">
        <v>91</v>
      </c>
      <c r="I331" s="44" t="s">
        <v>181</v>
      </c>
      <c r="J331" s="44" t="s">
        <v>6</v>
      </c>
      <c r="K331" s="44" t="s">
        <v>128</v>
      </c>
      <c r="L331" s="40">
        <v>22775</v>
      </c>
      <c r="M331" s="41">
        <v>42250</v>
      </c>
      <c r="N331" s="40" t="s">
        <v>110</v>
      </c>
      <c r="O331" s="42">
        <v>42522</v>
      </c>
      <c r="P331" s="40">
        <v>56</v>
      </c>
      <c r="Q331" s="91">
        <v>72.88</v>
      </c>
      <c r="R331" s="91">
        <v>73.09</v>
      </c>
      <c r="S331" s="91">
        <v>72.290000000000006</v>
      </c>
      <c r="T331" s="91">
        <v>72.19</v>
      </c>
      <c r="U331" s="91">
        <v>73.3</v>
      </c>
    </row>
    <row r="332" spans="1:21" x14ac:dyDescent="0.2">
      <c r="A332" s="48">
        <f t="shared" si="5"/>
        <v>324</v>
      </c>
      <c r="B332" s="43">
        <v>9</v>
      </c>
      <c r="C332" s="43">
        <v>28</v>
      </c>
      <c r="D332" s="38" t="s">
        <v>974</v>
      </c>
      <c r="E332" s="44" t="s">
        <v>183</v>
      </c>
      <c r="F332" s="44" t="s">
        <v>37</v>
      </c>
      <c r="G332" s="44" t="s">
        <v>108</v>
      </c>
      <c r="H332" s="44" t="s">
        <v>42</v>
      </c>
      <c r="I332" s="44" t="s">
        <v>42</v>
      </c>
      <c r="J332" s="44" t="s">
        <v>6</v>
      </c>
      <c r="K332" s="44" t="s">
        <v>128</v>
      </c>
      <c r="L332" s="40">
        <v>22776</v>
      </c>
      <c r="M332" s="41">
        <v>42250</v>
      </c>
      <c r="N332" s="40" t="s">
        <v>110</v>
      </c>
      <c r="O332" s="42">
        <v>42522</v>
      </c>
      <c r="P332" s="40">
        <v>56</v>
      </c>
      <c r="Q332" s="91">
        <v>79.22</v>
      </c>
      <c r="R332" s="91">
        <v>82.49</v>
      </c>
      <c r="S332" s="91">
        <v>79.3</v>
      </c>
      <c r="T332" s="91">
        <v>79.58</v>
      </c>
      <c r="U332" s="91">
        <v>79.790000000000006</v>
      </c>
    </row>
    <row r="333" spans="1:21" x14ac:dyDescent="0.2">
      <c r="A333" s="48">
        <f t="shared" si="5"/>
        <v>325</v>
      </c>
      <c r="B333" s="43">
        <v>9</v>
      </c>
      <c r="C333" s="43">
        <v>29</v>
      </c>
      <c r="D333" s="38" t="s">
        <v>975</v>
      </c>
      <c r="E333" s="44" t="s">
        <v>185</v>
      </c>
      <c r="F333" s="44" t="s">
        <v>37</v>
      </c>
      <c r="G333" s="44" t="s">
        <v>108</v>
      </c>
      <c r="H333" s="44" t="s">
        <v>42</v>
      </c>
      <c r="I333" s="44" t="s">
        <v>42</v>
      </c>
      <c r="J333" s="44" t="s">
        <v>43</v>
      </c>
      <c r="K333" s="44" t="s">
        <v>186</v>
      </c>
      <c r="L333" s="40">
        <v>22777</v>
      </c>
      <c r="M333" s="41">
        <v>42250</v>
      </c>
      <c r="N333" s="40" t="s">
        <v>110</v>
      </c>
      <c r="O333" s="42">
        <v>42522</v>
      </c>
      <c r="P333" s="40">
        <v>56</v>
      </c>
      <c r="Q333" s="91">
        <v>76.099999999999994</v>
      </c>
      <c r="R333" s="91">
        <v>80.33</v>
      </c>
      <c r="S333" s="91">
        <v>76.8</v>
      </c>
      <c r="T333" s="91">
        <v>77.400000000000006</v>
      </c>
      <c r="U333" s="91">
        <v>77.56</v>
      </c>
    </row>
    <row r="334" spans="1:21" x14ac:dyDescent="0.2">
      <c r="A334" s="48">
        <f t="shared" si="5"/>
        <v>326</v>
      </c>
      <c r="B334" s="43">
        <v>9</v>
      </c>
      <c r="C334" s="43">
        <v>30</v>
      </c>
      <c r="D334" s="38" t="s">
        <v>976</v>
      </c>
      <c r="E334" s="44" t="s">
        <v>188</v>
      </c>
      <c r="F334" s="44" t="s">
        <v>37</v>
      </c>
      <c r="G334" s="44" t="s">
        <v>108</v>
      </c>
      <c r="H334" s="44" t="s">
        <v>42</v>
      </c>
      <c r="I334" s="44" t="s">
        <v>42</v>
      </c>
      <c r="J334" s="44" t="s">
        <v>44</v>
      </c>
      <c r="K334" s="44" t="s">
        <v>44</v>
      </c>
      <c r="L334" s="40">
        <v>22778</v>
      </c>
      <c r="M334" s="41">
        <v>42250</v>
      </c>
      <c r="N334" s="40" t="s">
        <v>110</v>
      </c>
      <c r="O334" s="42">
        <v>42522</v>
      </c>
      <c r="P334" s="40">
        <v>56</v>
      </c>
      <c r="Q334" s="91">
        <v>75.959999999999994</v>
      </c>
      <c r="R334" s="91">
        <v>79.97</v>
      </c>
      <c r="S334" s="91">
        <v>76.73</v>
      </c>
      <c r="T334" s="91">
        <v>77.19</v>
      </c>
      <c r="U334" s="91">
        <v>77.42</v>
      </c>
    </row>
    <row r="335" spans="1:21" x14ac:dyDescent="0.2">
      <c r="A335" s="48">
        <f t="shared" si="5"/>
        <v>327</v>
      </c>
      <c r="B335" s="43">
        <v>9</v>
      </c>
      <c r="C335" s="43">
        <v>31</v>
      </c>
      <c r="D335" s="38" t="s">
        <v>977</v>
      </c>
      <c r="E335" s="44" t="s">
        <v>190</v>
      </c>
      <c r="F335" s="44" t="s">
        <v>37</v>
      </c>
      <c r="G335" s="44" t="s">
        <v>108</v>
      </c>
      <c r="H335" s="44" t="s">
        <v>45</v>
      </c>
      <c r="I335" s="44" t="s">
        <v>45</v>
      </c>
      <c r="J335" s="44" t="s">
        <v>6</v>
      </c>
      <c r="K335" s="44" t="s">
        <v>128</v>
      </c>
      <c r="L335" s="40">
        <v>22779</v>
      </c>
      <c r="M335" s="41">
        <v>42250</v>
      </c>
      <c r="N335" s="40" t="s">
        <v>110</v>
      </c>
      <c r="O335" s="42">
        <v>42522</v>
      </c>
      <c r="P335" s="40">
        <v>56</v>
      </c>
      <c r="Q335" s="91">
        <v>70.09</v>
      </c>
      <c r="R335" s="91">
        <v>70.260000000000005</v>
      </c>
      <c r="S335" s="91">
        <v>70.91</v>
      </c>
      <c r="T335" s="91">
        <v>71.23</v>
      </c>
      <c r="U335" s="91">
        <v>73.150000000000006</v>
      </c>
    </row>
    <row r="336" spans="1:21" x14ac:dyDescent="0.2">
      <c r="A336" s="48">
        <f t="shared" si="5"/>
        <v>328</v>
      </c>
      <c r="B336" s="43">
        <v>9</v>
      </c>
      <c r="C336" s="43">
        <v>32</v>
      </c>
      <c r="D336" s="38" t="s">
        <v>978</v>
      </c>
      <c r="E336" s="44" t="s">
        <v>192</v>
      </c>
      <c r="F336" s="44" t="s">
        <v>5</v>
      </c>
      <c r="G336" s="44" t="s">
        <v>108</v>
      </c>
      <c r="H336" s="44" t="s">
        <v>12</v>
      </c>
      <c r="I336" s="44" t="s">
        <v>12</v>
      </c>
      <c r="J336" s="44" t="s">
        <v>13</v>
      </c>
      <c r="K336" s="44" t="s">
        <v>117</v>
      </c>
      <c r="L336" s="40">
        <v>22780</v>
      </c>
      <c r="M336" s="41">
        <v>42250</v>
      </c>
      <c r="N336" s="40" t="s">
        <v>110</v>
      </c>
      <c r="O336" s="42">
        <v>42522</v>
      </c>
      <c r="P336" s="40">
        <v>56</v>
      </c>
      <c r="Q336" s="91">
        <v>68.88</v>
      </c>
      <c r="R336" s="91">
        <v>75.64</v>
      </c>
      <c r="S336" s="91">
        <v>71.7</v>
      </c>
      <c r="T336" s="91">
        <v>72.819999999999993</v>
      </c>
      <c r="U336" s="91">
        <v>73.209999999999994</v>
      </c>
    </row>
    <row r="337" spans="1:21" x14ac:dyDescent="0.2">
      <c r="A337" s="48">
        <f t="shared" si="5"/>
        <v>329</v>
      </c>
      <c r="B337" s="43">
        <v>9</v>
      </c>
      <c r="C337" s="43">
        <v>33</v>
      </c>
      <c r="D337" s="38" t="s">
        <v>979</v>
      </c>
      <c r="E337" s="44" t="s">
        <v>194</v>
      </c>
      <c r="F337" s="44" t="s">
        <v>5</v>
      </c>
      <c r="G337" s="44" t="s">
        <v>108</v>
      </c>
      <c r="H337" s="44" t="s">
        <v>12</v>
      </c>
      <c r="I337" s="44" t="s">
        <v>12</v>
      </c>
      <c r="J337" s="44" t="s">
        <v>14</v>
      </c>
      <c r="K337" s="44" t="s">
        <v>123</v>
      </c>
      <c r="L337" s="40">
        <v>22781</v>
      </c>
      <c r="M337" s="41">
        <v>42250</v>
      </c>
      <c r="N337" s="40" t="s">
        <v>110</v>
      </c>
      <c r="O337" s="42">
        <v>42522</v>
      </c>
      <c r="P337" s="40">
        <v>56</v>
      </c>
      <c r="Q337" s="91">
        <v>69.510000000000005</v>
      </c>
      <c r="R337" s="91">
        <v>76.52</v>
      </c>
      <c r="S337" s="91">
        <v>72.489999999999995</v>
      </c>
      <c r="T337" s="91">
        <v>73.73</v>
      </c>
      <c r="U337" s="91">
        <v>74.16</v>
      </c>
    </row>
    <row r="338" spans="1:21" x14ac:dyDescent="0.2">
      <c r="A338" s="48">
        <f t="shared" si="5"/>
        <v>330</v>
      </c>
      <c r="B338" s="43">
        <v>9</v>
      </c>
      <c r="C338" s="43">
        <v>34</v>
      </c>
      <c r="D338" s="38" t="s">
        <v>980</v>
      </c>
      <c r="E338" s="44" t="s">
        <v>196</v>
      </c>
      <c r="F338" s="44" t="s">
        <v>29</v>
      </c>
      <c r="G338" s="44" t="s">
        <v>108</v>
      </c>
      <c r="H338" s="44" t="s">
        <v>34</v>
      </c>
      <c r="I338" s="44" t="s">
        <v>34</v>
      </c>
      <c r="J338" s="44" t="s">
        <v>35</v>
      </c>
      <c r="K338" s="44" t="s">
        <v>197</v>
      </c>
      <c r="L338" s="40">
        <v>22782</v>
      </c>
      <c r="M338" s="41">
        <v>42250</v>
      </c>
      <c r="N338" s="40" t="s">
        <v>110</v>
      </c>
      <c r="O338" s="42">
        <v>42522</v>
      </c>
      <c r="P338" s="40">
        <v>56</v>
      </c>
      <c r="Q338" s="91">
        <v>97.56</v>
      </c>
      <c r="R338" s="91">
        <v>106.69</v>
      </c>
      <c r="S338" s="91">
        <v>102.61</v>
      </c>
      <c r="T338" s="91">
        <v>104.72</v>
      </c>
      <c r="U338" s="91">
        <v>105.39</v>
      </c>
    </row>
    <row r="339" spans="1:21" x14ac:dyDescent="0.2">
      <c r="A339" s="48">
        <f t="shared" si="5"/>
        <v>331</v>
      </c>
      <c r="B339" s="43">
        <v>9</v>
      </c>
      <c r="C339" s="43">
        <v>35</v>
      </c>
      <c r="D339" s="38" t="s">
        <v>981</v>
      </c>
      <c r="E339" s="44" t="s">
        <v>199</v>
      </c>
      <c r="F339" s="44" t="s">
        <v>29</v>
      </c>
      <c r="G339" s="44" t="s">
        <v>108</v>
      </c>
      <c r="H339" s="44" t="s">
        <v>34</v>
      </c>
      <c r="I339" s="44" t="s">
        <v>34</v>
      </c>
      <c r="J339" s="44" t="s">
        <v>36</v>
      </c>
      <c r="K339" s="44" t="s">
        <v>200</v>
      </c>
      <c r="L339" s="40">
        <v>22783</v>
      </c>
      <c r="M339" s="41">
        <v>42250</v>
      </c>
      <c r="N339" s="40" t="s">
        <v>110</v>
      </c>
      <c r="O339" s="42">
        <v>42522</v>
      </c>
      <c r="P339" s="40">
        <v>56</v>
      </c>
      <c r="Q339" s="91">
        <v>96.19</v>
      </c>
      <c r="R339" s="91">
        <v>105.41</v>
      </c>
      <c r="S339" s="91">
        <v>101.15</v>
      </c>
      <c r="T339" s="91">
        <v>103.29</v>
      </c>
      <c r="U339" s="91">
        <v>103.92</v>
      </c>
    </row>
    <row r="340" spans="1:21" x14ac:dyDescent="0.2">
      <c r="A340" s="48">
        <f t="shared" si="5"/>
        <v>332</v>
      </c>
      <c r="B340" s="43">
        <v>9</v>
      </c>
      <c r="C340" s="43">
        <v>36</v>
      </c>
      <c r="D340" s="38" t="s">
        <v>982</v>
      </c>
      <c r="E340" s="44" t="s">
        <v>202</v>
      </c>
      <c r="F340" s="44" t="s">
        <v>5</v>
      </c>
      <c r="G340" s="44" t="s">
        <v>108</v>
      </c>
      <c r="H340" s="44" t="s">
        <v>15</v>
      </c>
      <c r="I340" s="44" t="s">
        <v>203</v>
      </c>
      <c r="J340" s="44" t="s">
        <v>16</v>
      </c>
      <c r="K340" s="44" t="s">
        <v>128</v>
      </c>
      <c r="L340" s="40">
        <v>22784</v>
      </c>
      <c r="M340" s="41">
        <v>42250</v>
      </c>
      <c r="N340" s="40" t="s">
        <v>110</v>
      </c>
      <c r="O340" s="42">
        <v>42522</v>
      </c>
      <c r="P340" s="40">
        <v>56</v>
      </c>
      <c r="Q340" s="91">
        <v>66</v>
      </c>
      <c r="R340" s="91">
        <v>69.03</v>
      </c>
      <c r="S340" s="91">
        <v>68.47</v>
      </c>
      <c r="T340" s="91">
        <v>69.739999999999995</v>
      </c>
      <c r="U340" s="91">
        <v>71.39</v>
      </c>
    </row>
    <row r="341" spans="1:21" x14ac:dyDescent="0.2">
      <c r="A341" s="48">
        <f t="shared" si="5"/>
        <v>333</v>
      </c>
      <c r="B341" s="20"/>
      <c r="C341" s="20"/>
      <c r="D341" s="20"/>
    </row>
    <row r="342" spans="1:21" x14ac:dyDescent="0.2">
      <c r="A342" s="48">
        <f t="shared" si="5"/>
        <v>334</v>
      </c>
      <c r="B342" s="43">
        <v>10</v>
      </c>
      <c r="C342" s="43">
        <v>1</v>
      </c>
      <c r="D342" s="38" t="s">
        <v>983</v>
      </c>
      <c r="E342" s="44" t="s">
        <v>107</v>
      </c>
      <c r="F342" s="44" t="s">
        <v>29</v>
      </c>
      <c r="G342" s="44" t="s">
        <v>108</v>
      </c>
      <c r="H342" s="44" t="s">
        <v>30</v>
      </c>
      <c r="I342" s="44" t="s">
        <v>30</v>
      </c>
      <c r="J342" s="44" t="s">
        <v>31</v>
      </c>
      <c r="K342" s="44" t="s">
        <v>109</v>
      </c>
      <c r="L342" s="40">
        <v>22749</v>
      </c>
      <c r="M342" s="41">
        <v>42250</v>
      </c>
      <c r="N342" s="40" t="s">
        <v>110</v>
      </c>
      <c r="O342" s="42">
        <v>42552</v>
      </c>
      <c r="P342" s="40">
        <v>57</v>
      </c>
      <c r="Q342" s="91">
        <v>88.35</v>
      </c>
      <c r="R342" s="91">
        <v>94.38</v>
      </c>
      <c r="S342" s="91">
        <v>90.36</v>
      </c>
      <c r="T342" s="91">
        <v>92.15</v>
      </c>
      <c r="U342" s="91">
        <v>94.46</v>
      </c>
    </row>
    <row r="343" spans="1:21" x14ac:dyDescent="0.2">
      <c r="A343" s="48">
        <f t="shared" si="5"/>
        <v>335</v>
      </c>
      <c r="B343" s="43">
        <v>10</v>
      </c>
      <c r="C343" s="43">
        <v>2</v>
      </c>
      <c r="D343" s="38" t="s">
        <v>984</v>
      </c>
      <c r="E343" s="44" t="s">
        <v>112</v>
      </c>
      <c r="F343" s="44" t="s">
        <v>29</v>
      </c>
      <c r="G343" s="44" t="s">
        <v>108</v>
      </c>
      <c r="H343" s="44" t="s">
        <v>30</v>
      </c>
      <c r="I343" s="44" t="s">
        <v>30</v>
      </c>
      <c r="J343" s="44" t="s">
        <v>32</v>
      </c>
      <c r="K343" s="44" t="s">
        <v>113</v>
      </c>
      <c r="L343" s="40">
        <v>22750</v>
      </c>
      <c r="M343" s="41">
        <v>42250</v>
      </c>
      <c r="N343" s="40" t="s">
        <v>110</v>
      </c>
      <c r="O343" s="42">
        <v>42552</v>
      </c>
      <c r="P343" s="40">
        <v>57</v>
      </c>
      <c r="Q343" s="91">
        <v>88.72</v>
      </c>
      <c r="R343" s="91">
        <v>94.11</v>
      </c>
      <c r="S343" s="91">
        <v>90.19</v>
      </c>
      <c r="T343" s="91">
        <v>90.6</v>
      </c>
      <c r="U343" s="91">
        <v>91.39</v>
      </c>
    </row>
    <row r="344" spans="1:21" x14ac:dyDescent="0.2">
      <c r="A344" s="48">
        <f t="shared" si="5"/>
        <v>336</v>
      </c>
      <c r="B344" s="43">
        <v>10</v>
      </c>
      <c r="C344" s="43">
        <v>3</v>
      </c>
      <c r="D344" s="38" t="s">
        <v>985</v>
      </c>
      <c r="E344" s="44" t="s">
        <v>115</v>
      </c>
      <c r="F344" s="44" t="s">
        <v>18</v>
      </c>
      <c r="G344" s="44" t="s">
        <v>108</v>
      </c>
      <c r="H344" s="44" t="s">
        <v>61</v>
      </c>
      <c r="I344" s="44" t="s">
        <v>116</v>
      </c>
      <c r="J344" s="44" t="s">
        <v>13</v>
      </c>
      <c r="K344" s="44" t="s">
        <v>117</v>
      </c>
      <c r="L344" s="40">
        <v>22751</v>
      </c>
      <c r="M344" s="41">
        <v>42250</v>
      </c>
      <c r="N344" s="40" t="s">
        <v>110</v>
      </c>
      <c r="O344" s="42">
        <v>42552</v>
      </c>
      <c r="P344" s="40">
        <v>57</v>
      </c>
      <c r="Q344" s="91">
        <v>53.97</v>
      </c>
      <c r="R344" s="91">
        <v>56.8</v>
      </c>
      <c r="S344" s="91">
        <v>56.23</v>
      </c>
      <c r="T344" s="91">
        <v>57.81</v>
      </c>
      <c r="U344" s="91">
        <v>59.8</v>
      </c>
    </row>
    <row r="345" spans="1:21" x14ac:dyDescent="0.2">
      <c r="A345" s="48">
        <f t="shared" si="5"/>
        <v>337</v>
      </c>
      <c r="B345" s="43">
        <v>10</v>
      </c>
      <c r="C345" s="43">
        <v>4</v>
      </c>
      <c r="D345" s="38" t="s">
        <v>986</v>
      </c>
      <c r="E345" s="44" t="s">
        <v>119</v>
      </c>
      <c r="F345" s="44" t="s">
        <v>18</v>
      </c>
      <c r="G345" s="44" t="s">
        <v>108</v>
      </c>
      <c r="H345" s="44" t="s">
        <v>61</v>
      </c>
      <c r="I345" s="44" t="s">
        <v>116</v>
      </c>
      <c r="J345" s="44" t="s">
        <v>19</v>
      </c>
      <c r="K345" s="44" t="s">
        <v>120</v>
      </c>
      <c r="L345" s="40">
        <v>22752</v>
      </c>
      <c r="M345" s="41">
        <v>42250</v>
      </c>
      <c r="N345" s="40" t="s">
        <v>110</v>
      </c>
      <c r="O345" s="42">
        <v>42552</v>
      </c>
      <c r="P345" s="40">
        <v>57</v>
      </c>
      <c r="Q345" s="91">
        <v>56.38</v>
      </c>
      <c r="R345" s="91">
        <v>58.45</v>
      </c>
      <c r="S345" s="91">
        <v>58.19</v>
      </c>
      <c r="T345" s="91">
        <v>59.44</v>
      </c>
      <c r="U345" s="91">
        <v>61.41</v>
      </c>
    </row>
    <row r="346" spans="1:21" x14ac:dyDescent="0.2">
      <c r="A346" s="48">
        <f t="shared" si="5"/>
        <v>338</v>
      </c>
      <c r="B346" s="43">
        <v>10</v>
      </c>
      <c r="C346" s="43">
        <v>5</v>
      </c>
      <c r="D346" s="38" t="s">
        <v>987</v>
      </c>
      <c r="E346" s="44" t="s">
        <v>122</v>
      </c>
      <c r="F346" s="44" t="s">
        <v>18</v>
      </c>
      <c r="G346" s="44" t="s">
        <v>108</v>
      </c>
      <c r="H346" s="44" t="s">
        <v>61</v>
      </c>
      <c r="I346" s="44" t="s">
        <v>116</v>
      </c>
      <c r="J346" s="44" t="s">
        <v>14</v>
      </c>
      <c r="K346" s="44" t="s">
        <v>123</v>
      </c>
      <c r="L346" s="40">
        <v>22753</v>
      </c>
      <c r="M346" s="41">
        <v>42250</v>
      </c>
      <c r="N346" s="40" t="s">
        <v>110</v>
      </c>
      <c r="O346" s="42">
        <v>42552</v>
      </c>
      <c r="P346" s="40">
        <v>57</v>
      </c>
      <c r="Q346" s="91">
        <v>55.24</v>
      </c>
      <c r="R346" s="91">
        <v>57.46</v>
      </c>
      <c r="S346" s="91">
        <v>57.1</v>
      </c>
      <c r="T346" s="91">
        <v>58.43</v>
      </c>
      <c r="U346" s="91">
        <v>60.38</v>
      </c>
    </row>
    <row r="347" spans="1:21" x14ac:dyDescent="0.2">
      <c r="A347" s="48">
        <f t="shared" si="5"/>
        <v>339</v>
      </c>
      <c r="B347" s="43">
        <v>10</v>
      </c>
      <c r="C347" s="43">
        <v>6</v>
      </c>
      <c r="D347" s="38" t="s">
        <v>988</v>
      </c>
      <c r="E347" s="44" t="s">
        <v>125</v>
      </c>
      <c r="F347" s="44" t="s">
        <v>23</v>
      </c>
      <c r="G347" s="44" t="s">
        <v>126</v>
      </c>
      <c r="H347" s="44" t="s">
        <v>127</v>
      </c>
      <c r="I347" s="44" t="s">
        <v>27</v>
      </c>
      <c r="J347" s="44" t="s">
        <v>28</v>
      </c>
      <c r="K347" s="44" t="s">
        <v>128</v>
      </c>
      <c r="L347" s="40">
        <v>22754</v>
      </c>
      <c r="M347" s="41">
        <v>42250</v>
      </c>
      <c r="N347" s="40" t="s">
        <v>110</v>
      </c>
      <c r="O347" s="42">
        <v>42552</v>
      </c>
      <c r="P347" s="40">
        <v>57</v>
      </c>
      <c r="Q347" s="91">
        <v>59.66</v>
      </c>
      <c r="R347" s="91">
        <v>61.72</v>
      </c>
      <c r="S347" s="91">
        <v>61.41</v>
      </c>
      <c r="T347" s="91">
        <v>62.72</v>
      </c>
      <c r="U347" s="91">
        <v>63.89</v>
      </c>
    </row>
    <row r="348" spans="1:21" x14ac:dyDescent="0.2">
      <c r="A348" s="48">
        <f t="shared" si="5"/>
        <v>340</v>
      </c>
      <c r="B348" s="43">
        <v>10</v>
      </c>
      <c r="C348" s="43">
        <v>7</v>
      </c>
      <c r="D348" s="38" t="s">
        <v>989</v>
      </c>
      <c r="E348" s="44" t="s">
        <v>130</v>
      </c>
      <c r="F348" s="44" t="s">
        <v>37</v>
      </c>
      <c r="G348" s="44" t="s">
        <v>108</v>
      </c>
      <c r="H348" s="44" t="s">
        <v>38</v>
      </c>
      <c r="I348" s="44" t="s">
        <v>38</v>
      </c>
      <c r="J348" s="44" t="s">
        <v>40</v>
      </c>
      <c r="K348" s="44" t="s">
        <v>123</v>
      </c>
      <c r="L348" s="40">
        <v>22756</v>
      </c>
      <c r="M348" s="41">
        <v>42250</v>
      </c>
      <c r="N348" s="40" t="s">
        <v>110</v>
      </c>
      <c r="O348" s="42">
        <v>42552</v>
      </c>
      <c r="P348" s="40">
        <v>57</v>
      </c>
      <c r="Q348" s="91">
        <v>78.72</v>
      </c>
      <c r="R348" s="91">
        <v>82.51</v>
      </c>
      <c r="S348" s="91">
        <v>79.33</v>
      </c>
      <c r="T348" s="91">
        <v>80.239999999999995</v>
      </c>
      <c r="U348" s="91">
        <v>80.66</v>
      </c>
    </row>
    <row r="349" spans="1:21" x14ac:dyDescent="0.2">
      <c r="A349" s="48">
        <f t="shared" si="5"/>
        <v>341</v>
      </c>
      <c r="B349" s="43">
        <v>10</v>
      </c>
      <c r="C349" s="43">
        <v>8</v>
      </c>
      <c r="D349" s="38" t="s">
        <v>990</v>
      </c>
      <c r="E349" s="44" t="s">
        <v>132</v>
      </c>
      <c r="F349" s="44" t="s">
        <v>37</v>
      </c>
      <c r="G349" s="44" t="s">
        <v>108</v>
      </c>
      <c r="H349" s="44" t="s">
        <v>38</v>
      </c>
      <c r="I349" s="44" t="s">
        <v>38</v>
      </c>
      <c r="J349" s="44" t="s">
        <v>39</v>
      </c>
      <c r="K349" s="44" t="s">
        <v>120</v>
      </c>
      <c r="L349" s="40">
        <v>22755</v>
      </c>
      <c r="M349" s="41">
        <v>42250</v>
      </c>
      <c r="N349" s="40" t="s">
        <v>110</v>
      </c>
      <c r="O349" s="42">
        <v>42552</v>
      </c>
      <c r="P349" s="40">
        <v>57</v>
      </c>
      <c r="Q349" s="91">
        <v>80.040000000000006</v>
      </c>
      <c r="R349" s="91">
        <v>83.43</v>
      </c>
      <c r="S349" s="91">
        <v>80.510000000000005</v>
      </c>
      <c r="T349" s="91">
        <v>81.25</v>
      </c>
      <c r="U349" s="91">
        <v>81.680000000000007</v>
      </c>
    </row>
    <row r="350" spans="1:21" x14ac:dyDescent="0.2">
      <c r="A350" s="48">
        <f t="shared" si="5"/>
        <v>342</v>
      </c>
      <c r="B350" s="43">
        <v>10</v>
      </c>
      <c r="C350" s="43">
        <v>9</v>
      </c>
      <c r="D350" s="38" t="s">
        <v>991</v>
      </c>
      <c r="E350" s="44" t="s">
        <v>134</v>
      </c>
      <c r="F350" s="44" t="s">
        <v>37</v>
      </c>
      <c r="G350" s="44" t="s">
        <v>108</v>
      </c>
      <c r="H350" s="44" t="s">
        <v>38</v>
      </c>
      <c r="I350" s="44" t="s">
        <v>38</v>
      </c>
      <c r="J350" s="44" t="s">
        <v>6</v>
      </c>
      <c r="K350" s="44" t="s">
        <v>117</v>
      </c>
      <c r="L350" s="40">
        <v>22757</v>
      </c>
      <c r="M350" s="41">
        <v>42250</v>
      </c>
      <c r="N350" s="40" t="s">
        <v>110</v>
      </c>
      <c r="O350" s="42">
        <v>42552</v>
      </c>
      <c r="P350" s="40">
        <v>57</v>
      </c>
      <c r="Q350" s="91">
        <v>77.53</v>
      </c>
      <c r="R350" s="91">
        <v>81.77</v>
      </c>
      <c r="S350" s="91">
        <v>78.39</v>
      </c>
      <c r="T350" s="91">
        <v>79.45</v>
      </c>
      <c r="U350" s="91">
        <v>79.849999999999994</v>
      </c>
    </row>
    <row r="351" spans="1:21" x14ac:dyDescent="0.2">
      <c r="A351" s="48">
        <f t="shared" si="5"/>
        <v>343</v>
      </c>
      <c r="B351" s="43">
        <v>10</v>
      </c>
      <c r="C351" s="43">
        <v>10</v>
      </c>
      <c r="D351" s="38" t="s">
        <v>992</v>
      </c>
      <c r="E351" s="44" t="s">
        <v>136</v>
      </c>
      <c r="F351" s="44" t="s">
        <v>23</v>
      </c>
      <c r="G351" s="44" t="s">
        <v>108</v>
      </c>
      <c r="H351" s="44" t="s">
        <v>137</v>
      </c>
      <c r="I351" s="44" t="s">
        <v>24</v>
      </c>
      <c r="J351" s="44" t="s">
        <v>25</v>
      </c>
      <c r="K351" s="44" t="s">
        <v>138</v>
      </c>
      <c r="L351" s="40">
        <v>22758</v>
      </c>
      <c r="M351" s="41">
        <v>42250</v>
      </c>
      <c r="N351" s="40" t="s">
        <v>110</v>
      </c>
      <c r="O351" s="42">
        <v>42552</v>
      </c>
      <c r="P351" s="40">
        <v>57</v>
      </c>
      <c r="Q351" s="91">
        <v>60.23</v>
      </c>
      <c r="R351" s="91">
        <v>62.58</v>
      </c>
      <c r="S351" s="91">
        <v>62.32</v>
      </c>
      <c r="T351" s="91">
        <v>63.84</v>
      </c>
      <c r="U351" s="91">
        <v>67.260000000000005</v>
      </c>
    </row>
    <row r="352" spans="1:21" x14ac:dyDescent="0.2">
      <c r="A352" s="48">
        <f t="shared" si="5"/>
        <v>344</v>
      </c>
      <c r="B352" s="43">
        <v>10</v>
      </c>
      <c r="C352" s="43">
        <v>11</v>
      </c>
      <c r="D352" s="38" t="s">
        <v>993</v>
      </c>
      <c r="E352" s="44" t="s">
        <v>140</v>
      </c>
      <c r="F352" s="44" t="s">
        <v>23</v>
      </c>
      <c r="G352" s="44" t="s">
        <v>108</v>
      </c>
      <c r="H352" s="44" t="s">
        <v>137</v>
      </c>
      <c r="I352" s="44" t="s">
        <v>24</v>
      </c>
      <c r="J352" s="44" t="s">
        <v>26</v>
      </c>
      <c r="K352" s="44" t="s">
        <v>141</v>
      </c>
      <c r="L352" s="40">
        <v>22759</v>
      </c>
      <c r="M352" s="41">
        <v>42250</v>
      </c>
      <c r="N352" s="40" t="s">
        <v>110</v>
      </c>
      <c r="O352" s="42">
        <v>42552</v>
      </c>
      <c r="P352" s="40">
        <v>57</v>
      </c>
      <c r="Q352" s="91">
        <v>59.34</v>
      </c>
      <c r="R352" s="91">
        <v>61.79</v>
      </c>
      <c r="S352" s="91">
        <v>61.5</v>
      </c>
      <c r="T352" s="91">
        <v>63.04</v>
      </c>
      <c r="U352" s="91">
        <v>66.47</v>
      </c>
    </row>
    <row r="353" spans="1:21" x14ac:dyDescent="0.2">
      <c r="A353" s="48">
        <f t="shared" si="5"/>
        <v>345</v>
      </c>
      <c r="B353" s="43">
        <v>10</v>
      </c>
      <c r="C353" s="43">
        <v>12</v>
      </c>
      <c r="D353" s="38" t="s">
        <v>994</v>
      </c>
      <c r="E353" s="44" t="s">
        <v>143</v>
      </c>
      <c r="F353" s="44" t="s">
        <v>18</v>
      </c>
      <c r="G353" s="44" t="s">
        <v>108</v>
      </c>
      <c r="H353" s="44" t="s">
        <v>94</v>
      </c>
      <c r="I353" s="44" t="s">
        <v>144</v>
      </c>
      <c r="J353" s="44" t="s">
        <v>20</v>
      </c>
      <c r="K353" s="44" t="s">
        <v>145</v>
      </c>
      <c r="L353" s="40">
        <v>22760</v>
      </c>
      <c r="M353" s="41">
        <v>42250</v>
      </c>
      <c r="N353" s="40" t="s">
        <v>110</v>
      </c>
      <c r="O353" s="42">
        <v>42552</v>
      </c>
      <c r="P353" s="40">
        <v>57</v>
      </c>
      <c r="Q353" s="91">
        <v>56.63</v>
      </c>
      <c r="R353" s="91">
        <v>58.38</v>
      </c>
      <c r="S353" s="91">
        <v>58.11</v>
      </c>
      <c r="T353" s="91">
        <v>59.18</v>
      </c>
      <c r="U353" s="91">
        <v>61</v>
      </c>
    </row>
    <row r="354" spans="1:21" x14ac:dyDescent="0.2">
      <c r="A354" s="48">
        <f t="shared" si="5"/>
        <v>346</v>
      </c>
      <c r="B354" s="43">
        <v>10</v>
      </c>
      <c r="C354" s="43">
        <v>13</v>
      </c>
      <c r="D354" s="38" t="s">
        <v>995</v>
      </c>
      <c r="E354" s="44" t="s">
        <v>147</v>
      </c>
      <c r="F354" s="44" t="s">
        <v>37</v>
      </c>
      <c r="G354" s="44" t="s">
        <v>108</v>
      </c>
      <c r="H354" s="44" t="s">
        <v>41</v>
      </c>
      <c r="I354" s="44" t="s">
        <v>41</v>
      </c>
      <c r="J354" s="44" t="s">
        <v>6</v>
      </c>
      <c r="K354" s="44" t="s">
        <v>128</v>
      </c>
      <c r="L354" s="40">
        <v>22761</v>
      </c>
      <c r="M354" s="41">
        <v>42250</v>
      </c>
      <c r="N354" s="40" t="s">
        <v>110</v>
      </c>
      <c r="O354" s="42">
        <v>42552</v>
      </c>
      <c r="P354" s="40">
        <v>57</v>
      </c>
      <c r="Q354" s="91">
        <v>76.86</v>
      </c>
      <c r="R354" s="91">
        <v>81.47</v>
      </c>
      <c r="S354" s="91">
        <v>78.2</v>
      </c>
      <c r="T354" s="91">
        <v>79.78</v>
      </c>
      <c r="U354" s="91">
        <v>82.88</v>
      </c>
    </row>
    <row r="355" spans="1:21" x14ac:dyDescent="0.2">
      <c r="A355" s="48">
        <f t="shared" si="5"/>
        <v>347</v>
      </c>
      <c r="B355" s="43">
        <v>10</v>
      </c>
      <c r="C355" s="43">
        <v>14</v>
      </c>
      <c r="D355" s="38" t="s">
        <v>996</v>
      </c>
      <c r="E355" s="44" t="s">
        <v>149</v>
      </c>
      <c r="F355" s="44" t="s">
        <v>5</v>
      </c>
      <c r="G355" s="44" t="s">
        <v>108</v>
      </c>
      <c r="H355" s="44" t="s">
        <v>46</v>
      </c>
      <c r="I355" s="44" t="s">
        <v>46</v>
      </c>
      <c r="J355" s="44" t="s">
        <v>6</v>
      </c>
      <c r="K355" s="44" t="s">
        <v>128</v>
      </c>
      <c r="L355" s="40">
        <v>22762</v>
      </c>
      <c r="M355" s="41">
        <v>42250</v>
      </c>
      <c r="N355" s="40" t="s">
        <v>110</v>
      </c>
      <c r="O355" s="42">
        <v>42552</v>
      </c>
      <c r="P355" s="40">
        <v>57</v>
      </c>
      <c r="Q355" s="91">
        <v>66.09</v>
      </c>
      <c r="R355" s="91">
        <v>68.64</v>
      </c>
      <c r="S355" s="91">
        <v>68.27</v>
      </c>
      <c r="T355" s="91">
        <v>69.7</v>
      </c>
      <c r="U355" s="91">
        <v>71.77</v>
      </c>
    </row>
    <row r="356" spans="1:21" x14ac:dyDescent="0.2">
      <c r="A356" s="48">
        <f t="shared" si="5"/>
        <v>348</v>
      </c>
      <c r="B356" s="43">
        <v>10</v>
      </c>
      <c r="C356" s="43">
        <v>15</v>
      </c>
      <c r="D356" s="38" t="s">
        <v>997</v>
      </c>
      <c r="E356" s="44" t="s">
        <v>151</v>
      </c>
      <c r="F356" s="44" t="s">
        <v>18</v>
      </c>
      <c r="G356" s="44" t="s">
        <v>108</v>
      </c>
      <c r="H356" s="44" t="s">
        <v>21</v>
      </c>
      <c r="I356" s="44" t="s">
        <v>152</v>
      </c>
      <c r="J356" s="44" t="s">
        <v>22</v>
      </c>
      <c r="K356" s="44" t="s">
        <v>128</v>
      </c>
      <c r="L356" s="40">
        <v>22763</v>
      </c>
      <c r="M356" s="41">
        <v>42250</v>
      </c>
      <c r="N356" s="40" t="s">
        <v>110</v>
      </c>
      <c r="O356" s="42">
        <v>42552</v>
      </c>
      <c r="P356" s="40">
        <v>57</v>
      </c>
      <c r="Q356" s="91">
        <v>55.6</v>
      </c>
      <c r="R356" s="91">
        <v>56.98</v>
      </c>
      <c r="S356" s="91">
        <v>56.86</v>
      </c>
      <c r="T356" s="91">
        <v>57.78</v>
      </c>
      <c r="U356" s="91">
        <v>59.5</v>
      </c>
    </row>
    <row r="357" spans="1:21" x14ac:dyDescent="0.2">
      <c r="A357" s="48">
        <f t="shared" si="5"/>
        <v>349</v>
      </c>
      <c r="B357" s="43">
        <v>10</v>
      </c>
      <c r="C357" s="43">
        <v>16</v>
      </c>
      <c r="D357" s="38" t="s">
        <v>998</v>
      </c>
      <c r="E357" s="44" t="s">
        <v>154</v>
      </c>
      <c r="F357" s="44" t="s">
        <v>18</v>
      </c>
      <c r="G357" s="44" t="s">
        <v>108</v>
      </c>
      <c r="H357" s="44" t="s">
        <v>62</v>
      </c>
      <c r="I357" s="44" t="s">
        <v>155</v>
      </c>
      <c r="J357" s="44" t="s">
        <v>6</v>
      </c>
      <c r="K357" s="44" t="s">
        <v>128</v>
      </c>
      <c r="L357" s="40">
        <v>22764</v>
      </c>
      <c r="M357" s="41">
        <v>42250</v>
      </c>
      <c r="N357" s="40" t="s">
        <v>110</v>
      </c>
      <c r="O357" s="42">
        <v>42552</v>
      </c>
      <c r="P357" s="40">
        <v>57</v>
      </c>
      <c r="Q357" s="91">
        <v>60.95</v>
      </c>
      <c r="R357" s="91">
        <v>61.97</v>
      </c>
      <c r="S357" s="91">
        <v>60.85</v>
      </c>
      <c r="T357" s="91">
        <v>61.29</v>
      </c>
      <c r="U357" s="91">
        <v>62.59</v>
      </c>
    </row>
    <row r="358" spans="1:21" x14ac:dyDescent="0.2">
      <c r="A358" s="48">
        <f t="shared" si="5"/>
        <v>350</v>
      </c>
      <c r="B358" s="43">
        <v>10</v>
      </c>
      <c r="C358" s="43">
        <v>17</v>
      </c>
      <c r="D358" s="38" t="s">
        <v>999</v>
      </c>
      <c r="E358" s="44" t="s">
        <v>157</v>
      </c>
      <c r="F358" s="44" t="s">
        <v>29</v>
      </c>
      <c r="G358" s="44" t="s">
        <v>108</v>
      </c>
      <c r="H358" s="44" t="s">
        <v>33</v>
      </c>
      <c r="I358" s="44" t="s">
        <v>33</v>
      </c>
      <c r="J358" s="44" t="s">
        <v>7</v>
      </c>
      <c r="K358" s="44" t="s">
        <v>123</v>
      </c>
      <c r="L358" s="40">
        <v>22765</v>
      </c>
      <c r="M358" s="41">
        <v>42250</v>
      </c>
      <c r="N358" s="40" t="s">
        <v>110</v>
      </c>
      <c r="O358" s="42">
        <v>42552</v>
      </c>
      <c r="P358" s="40">
        <v>57</v>
      </c>
      <c r="Q358" s="91">
        <v>79.05</v>
      </c>
      <c r="R358" s="91">
        <v>85.57</v>
      </c>
      <c r="S358" s="91">
        <v>82.4</v>
      </c>
      <c r="T358" s="91">
        <v>84.2</v>
      </c>
      <c r="U358" s="91">
        <v>87.13</v>
      </c>
    </row>
    <row r="359" spans="1:21" x14ac:dyDescent="0.2">
      <c r="A359" s="48">
        <f t="shared" si="5"/>
        <v>351</v>
      </c>
      <c r="B359" s="43">
        <v>10</v>
      </c>
      <c r="C359" s="43">
        <v>18</v>
      </c>
      <c r="D359" s="38" t="s">
        <v>1000</v>
      </c>
      <c r="E359" s="44" t="s">
        <v>159</v>
      </c>
      <c r="F359" s="44" t="s">
        <v>29</v>
      </c>
      <c r="G359" s="44" t="s">
        <v>108</v>
      </c>
      <c r="H359" s="44" t="s">
        <v>33</v>
      </c>
      <c r="I359" s="44" t="s">
        <v>33</v>
      </c>
      <c r="J359" s="44" t="s">
        <v>8</v>
      </c>
      <c r="K359" s="44" t="s">
        <v>120</v>
      </c>
      <c r="L359" s="40">
        <v>22766</v>
      </c>
      <c r="M359" s="41">
        <v>42250</v>
      </c>
      <c r="N359" s="40" t="s">
        <v>110</v>
      </c>
      <c r="O359" s="42">
        <v>42552</v>
      </c>
      <c r="P359" s="40">
        <v>57</v>
      </c>
      <c r="Q359" s="91">
        <v>86.06</v>
      </c>
      <c r="R359" s="91">
        <v>89.01</v>
      </c>
      <c r="S359" s="91">
        <v>87.03</v>
      </c>
      <c r="T359" s="91">
        <v>87.57</v>
      </c>
      <c r="U359" s="91">
        <v>90.44</v>
      </c>
    </row>
    <row r="360" spans="1:21" x14ac:dyDescent="0.2">
      <c r="A360" s="48">
        <f t="shared" si="5"/>
        <v>352</v>
      </c>
      <c r="B360" s="43">
        <v>10</v>
      </c>
      <c r="C360" s="43">
        <v>19</v>
      </c>
      <c r="D360" s="38" t="s">
        <v>1001</v>
      </c>
      <c r="E360" s="44" t="s">
        <v>161</v>
      </c>
      <c r="F360" s="44" t="s">
        <v>29</v>
      </c>
      <c r="G360" s="44" t="s">
        <v>108</v>
      </c>
      <c r="H360" s="44" t="s">
        <v>33</v>
      </c>
      <c r="I360" s="44" t="s">
        <v>33</v>
      </c>
      <c r="J360" s="44" t="s">
        <v>9</v>
      </c>
      <c r="K360" s="44" t="s">
        <v>117</v>
      </c>
      <c r="L360" s="40">
        <v>22767</v>
      </c>
      <c r="M360" s="41">
        <v>42250</v>
      </c>
      <c r="N360" s="40" t="s">
        <v>110</v>
      </c>
      <c r="O360" s="42">
        <v>42552</v>
      </c>
      <c r="P360" s="40">
        <v>57</v>
      </c>
      <c r="Q360" s="91">
        <v>80.930000000000007</v>
      </c>
      <c r="R360" s="91">
        <v>86.96</v>
      </c>
      <c r="S360" s="91">
        <v>83.83</v>
      </c>
      <c r="T360" s="91">
        <v>85.48</v>
      </c>
      <c r="U360" s="91">
        <v>88.36</v>
      </c>
    </row>
    <row r="361" spans="1:21" x14ac:dyDescent="0.2">
      <c r="A361" s="48">
        <f t="shared" si="5"/>
        <v>353</v>
      </c>
      <c r="B361" s="43">
        <v>10</v>
      </c>
      <c r="C361" s="43">
        <v>20</v>
      </c>
      <c r="D361" s="38" t="s">
        <v>1002</v>
      </c>
      <c r="E361" s="44" t="s">
        <v>163</v>
      </c>
      <c r="F361" s="44" t="s">
        <v>5</v>
      </c>
      <c r="G361" s="44" t="s">
        <v>108</v>
      </c>
      <c r="H361" s="44" t="s">
        <v>164</v>
      </c>
      <c r="I361" s="44" t="s">
        <v>165</v>
      </c>
      <c r="J361" s="44" t="s">
        <v>7</v>
      </c>
      <c r="K361" s="44" t="s">
        <v>123</v>
      </c>
      <c r="L361" s="40">
        <v>22769</v>
      </c>
      <c r="M361" s="41">
        <v>42250</v>
      </c>
      <c r="N361" s="40" t="s">
        <v>110</v>
      </c>
      <c r="O361" s="42">
        <v>42552</v>
      </c>
      <c r="P361" s="40">
        <v>57</v>
      </c>
      <c r="Q361" s="91">
        <v>61.06</v>
      </c>
      <c r="R361" s="91">
        <v>65.95</v>
      </c>
      <c r="S361" s="91">
        <v>62.87</v>
      </c>
      <c r="T361" s="91">
        <v>63.95</v>
      </c>
      <c r="U361" s="91">
        <v>65.03</v>
      </c>
    </row>
    <row r="362" spans="1:21" x14ac:dyDescent="0.2">
      <c r="A362" s="48">
        <f t="shared" si="5"/>
        <v>354</v>
      </c>
      <c r="B362" s="43">
        <v>10</v>
      </c>
      <c r="C362" s="43">
        <v>21</v>
      </c>
      <c r="D362" s="38" t="s">
        <v>1003</v>
      </c>
      <c r="E362" s="44" t="s">
        <v>167</v>
      </c>
      <c r="F362" s="44" t="s">
        <v>5</v>
      </c>
      <c r="G362" s="44" t="s">
        <v>108</v>
      </c>
      <c r="H362" s="44" t="s">
        <v>164</v>
      </c>
      <c r="I362" s="44" t="s">
        <v>165</v>
      </c>
      <c r="J362" s="44" t="s">
        <v>8</v>
      </c>
      <c r="K362" s="44" t="s">
        <v>120</v>
      </c>
      <c r="L362" s="40">
        <v>22768</v>
      </c>
      <c r="M362" s="41">
        <v>42250</v>
      </c>
      <c r="N362" s="40" t="s">
        <v>110</v>
      </c>
      <c r="O362" s="42">
        <v>42552</v>
      </c>
      <c r="P362" s="40">
        <v>57</v>
      </c>
      <c r="Q362" s="91">
        <v>62.26</v>
      </c>
      <c r="R362" s="91">
        <v>67.03</v>
      </c>
      <c r="S362" s="91">
        <v>64.010000000000005</v>
      </c>
      <c r="T362" s="91">
        <v>65.06</v>
      </c>
      <c r="U362" s="91">
        <v>66.14</v>
      </c>
    </row>
    <row r="363" spans="1:21" x14ac:dyDescent="0.2">
      <c r="A363" s="48">
        <f t="shared" si="5"/>
        <v>355</v>
      </c>
      <c r="B363" s="43">
        <v>10</v>
      </c>
      <c r="C363" s="43">
        <v>22</v>
      </c>
      <c r="D363" s="38" t="s">
        <v>1004</v>
      </c>
      <c r="E363" s="44" t="s">
        <v>169</v>
      </c>
      <c r="F363" s="44" t="s">
        <v>5</v>
      </c>
      <c r="G363" s="44" t="s">
        <v>108</v>
      </c>
      <c r="H363" s="44" t="s">
        <v>164</v>
      </c>
      <c r="I363" s="44" t="s">
        <v>165</v>
      </c>
      <c r="J363" s="44" t="s">
        <v>9</v>
      </c>
      <c r="K363" s="44" t="s">
        <v>117</v>
      </c>
      <c r="L363" s="40">
        <v>22770</v>
      </c>
      <c r="M363" s="41">
        <v>42250</v>
      </c>
      <c r="N363" s="40" t="s">
        <v>110</v>
      </c>
      <c r="O363" s="42">
        <v>42552</v>
      </c>
      <c r="P363" s="40">
        <v>57</v>
      </c>
      <c r="Q363" s="91">
        <v>60.69</v>
      </c>
      <c r="R363" s="91">
        <v>66.52</v>
      </c>
      <c r="S363" s="91">
        <v>63.08</v>
      </c>
      <c r="T363" s="91">
        <v>64.55</v>
      </c>
      <c r="U363" s="91">
        <v>65.64</v>
      </c>
    </row>
    <row r="364" spans="1:21" x14ac:dyDescent="0.2">
      <c r="A364" s="48">
        <f t="shared" si="5"/>
        <v>356</v>
      </c>
      <c r="B364" s="43">
        <v>10</v>
      </c>
      <c r="C364" s="43">
        <v>23</v>
      </c>
      <c r="D364" s="38" t="s">
        <v>1005</v>
      </c>
      <c r="E364" s="44" t="s">
        <v>171</v>
      </c>
      <c r="F364" s="44" t="s">
        <v>5</v>
      </c>
      <c r="G364" s="44" t="s">
        <v>108</v>
      </c>
      <c r="H364" s="44" t="s">
        <v>11</v>
      </c>
      <c r="I364" s="44" t="s">
        <v>11</v>
      </c>
      <c r="J364" s="44" t="s">
        <v>6</v>
      </c>
      <c r="K364" s="44" t="s">
        <v>128</v>
      </c>
      <c r="L364" s="40">
        <v>22771</v>
      </c>
      <c r="M364" s="41">
        <v>42250</v>
      </c>
      <c r="N364" s="40" t="s">
        <v>110</v>
      </c>
      <c r="O364" s="42">
        <v>42552</v>
      </c>
      <c r="P364" s="40">
        <v>57</v>
      </c>
      <c r="Q364" s="91">
        <v>64.94</v>
      </c>
      <c r="R364" s="91">
        <v>70.41</v>
      </c>
      <c r="S364" s="91">
        <v>66.92</v>
      </c>
      <c r="T364" s="91">
        <v>68.53</v>
      </c>
      <c r="U364" s="91">
        <v>71.150000000000006</v>
      </c>
    </row>
    <row r="365" spans="1:21" x14ac:dyDescent="0.2">
      <c r="A365" s="48">
        <f t="shared" si="5"/>
        <v>357</v>
      </c>
      <c r="B365" s="43">
        <v>10</v>
      </c>
      <c r="C365" s="43">
        <v>24</v>
      </c>
      <c r="D365" s="38" t="s">
        <v>1006</v>
      </c>
      <c r="E365" s="44" t="s">
        <v>173</v>
      </c>
      <c r="F365" s="44" t="s">
        <v>5</v>
      </c>
      <c r="G365" s="44" t="s">
        <v>108</v>
      </c>
      <c r="H365" s="44" t="s">
        <v>10</v>
      </c>
      <c r="I365" s="44" t="s">
        <v>174</v>
      </c>
      <c r="J365" s="44" t="s">
        <v>7</v>
      </c>
      <c r="K365" s="44" t="s">
        <v>123</v>
      </c>
      <c r="L365" s="40">
        <v>22772</v>
      </c>
      <c r="M365" s="41">
        <v>42250</v>
      </c>
      <c r="N365" s="40" t="s">
        <v>110</v>
      </c>
      <c r="O365" s="42">
        <v>42552</v>
      </c>
      <c r="P365" s="40">
        <v>57</v>
      </c>
      <c r="Q365" s="91">
        <v>65.81</v>
      </c>
      <c r="R365" s="91">
        <v>68.56</v>
      </c>
      <c r="S365" s="91">
        <v>65.8</v>
      </c>
      <c r="T365" s="91">
        <v>66.3</v>
      </c>
      <c r="U365" s="91">
        <v>67.09</v>
      </c>
    </row>
    <row r="366" spans="1:21" x14ac:dyDescent="0.2">
      <c r="A366" s="48">
        <f t="shared" si="5"/>
        <v>358</v>
      </c>
      <c r="B366" s="43">
        <v>10</v>
      </c>
      <c r="C366" s="43">
        <v>25</v>
      </c>
      <c r="D366" s="38" t="s">
        <v>1007</v>
      </c>
      <c r="E366" s="44" t="s">
        <v>176</v>
      </c>
      <c r="F366" s="44" t="s">
        <v>5</v>
      </c>
      <c r="G366" s="44" t="s">
        <v>108</v>
      </c>
      <c r="H366" s="44" t="s">
        <v>10</v>
      </c>
      <c r="I366" s="44" t="s">
        <v>174</v>
      </c>
      <c r="J366" s="44" t="s">
        <v>8</v>
      </c>
      <c r="K366" s="44" t="s">
        <v>120</v>
      </c>
      <c r="L366" s="40">
        <v>22773</v>
      </c>
      <c r="M366" s="41">
        <v>42250</v>
      </c>
      <c r="N366" s="40" t="s">
        <v>110</v>
      </c>
      <c r="O366" s="42">
        <v>42552</v>
      </c>
      <c r="P366" s="40">
        <v>57</v>
      </c>
      <c r="Q366" s="91">
        <v>67.069999999999993</v>
      </c>
      <c r="R366" s="91">
        <v>69.78</v>
      </c>
      <c r="S366" s="91">
        <v>67.03</v>
      </c>
      <c r="T366" s="91">
        <v>67.52</v>
      </c>
      <c r="U366" s="91">
        <v>68.319999999999993</v>
      </c>
    </row>
    <row r="367" spans="1:21" x14ac:dyDescent="0.2">
      <c r="A367" s="48">
        <f t="shared" si="5"/>
        <v>359</v>
      </c>
      <c r="B367" s="43">
        <v>10</v>
      </c>
      <c r="C367" s="43">
        <v>26</v>
      </c>
      <c r="D367" s="38" t="s">
        <v>1008</v>
      </c>
      <c r="E367" s="44" t="s">
        <v>178</v>
      </c>
      <c r="F367" s="44" t="s">
        <v>5</v>
      </c>
      <c r="G367" s="44" t="s">
        <v>108</v>
      </c>
      <c r="H367" s="44" t="s">
        <v>10</v>
      </c>
      <c r="I367" s="44" t="s">
        <v>174</v>
      </c>
      <c r="J367" s="44" t="s">
        <v>9</v>
      </c>
      <c r="K367" s="44" t="s">
        <v>117</v>
      </c>
      <c r="L367" s="40">
        <v>22774</v>
      </c>
      <c r="M367" s="41">
        <v>42250</v>
      </c>
      <c r="N367" s="40" t="s">
        <v>110</v>
      </c>
      <c r="O367" s="42">
        <v>42552</v>
      </c>
      <c r="P367" s="40">
        <v>57</v>
      </c>
      <c r="Q367" s="91">
        <v>66.63</v>
      </c>
      <c r="R367" s="91">
        <v>69.8</v>
      </c>
      <c r="S367" s="91">
        <v>66.83</v>
      </c>
      <c r="T367" s="91">
        <v>67.540000000000006</v>
      </c>
      <c r="U367" s="91">
        <v>68.37</v>
      </c>
    </row>
    <row r="368" spans="1:21" x14ac:dyDescent="0.2">
      <c r="A368" s="48">
        <f t="shared" si="5"/>
        <v>360</v>
      </c>
      <c r="B368" s="43">
        <v>10</v>
      </c>
      <c r="C368" s="43">
        <v>27</v>
      </c>
      <c r="D368" s="38" t="s">
        <v>1009</v>
      </c>
      <c r="E368" s="44" t="s">
        <v>180</v>
      </c>
      <c r="F368" s="44" t="s">
        <v>5</v>
      </c>
      <c r="G368" s="44" t="s">
        <v>108</v>
      </c>
      <c r="H368" s="44" t="s">
        <v>91</v>
      </c>
      <c r="I368" s="44" t="s">
        <v>181</v>
      </c>
      <c r="J368" s="44" t="s">
        <v>6</v>
      </c>
      <c r="K368" s="44" t="s">
        <v>128</v>
      </c>
      <c r="L368" s="40">
        <v>22775</v>
      </c>
      <c r="M368" s="41">
        <v>42250</v>
      </c>
      <c r="N368" s="40" t="s">
        <v>110</v>
      </c>
      <c r="O368" s="42">
        <v>42552</v>
      </c>
      <c r="P368" s="40">
        <v>57</v>
      </c>
      <c r="Q368" s="91">
        <v>71.89</v>
      </c>
      <c r="R368" s="91">
        <v>72.88</v>
      </c>
      <c r="S368" s="91">
        <v>71.78</v>
      </c>
      <c r="T368" s="91">
        <v>72.239999999999995</v>
      </c>
      <c r="U368" s="91">
        <v>73.58</v>
      </c>
    </row>
    <row r="369" spans="1:21" x14ac:dyDescent="0.2">
      <c r="A369" s="48">
        <f t="shared" si="5"/>
        <v>361</v>
      </c>
      <c r="B369" s="43">
        <v>10</v>
      </c>
      <c r="C369" s="43">
        <v>28</v>
      </c>
      <c r="D369" s="38" t="s">
        <v>1010</v>
      </c>
      <c r="E369" s="44" t="s">
        <v>183</v>
      </c>
      <c r="F369" s="44" t="s">
        <v>37</v>
      </c>
      <c r="G369" s="44" t="s">
        <v>108</v>
      </c>
      <c r="H369" s="44" t="s">
        <v>42</v>
      </c>
      <c r="I369" s="44" t="s">
        <v>42</v>
      </c>
      <c r="J369" s="44" t="s">
        <v>6</v>
      </c>
      <c r="K369" s="44" t="s">
        <v>128</v>
      </c>
      <c r="L369" s="40">
        <v>22776</v>
      </c>
      <c r="M369" s="41">
        <v>42250</v>
      </c>
      <c r="N369" s="40" t="s">
        <v>110</v>
      </c>
      <c r="O369" s="42">
        <v>42552</v>
      </c>
      <c r="P369" s="40">
        <v>57</v>
      </c>
      <c r="Q369" s="91">
        <v>78.88</v>
      </c>
      <c r="R369" s="91">
        <v>81.93</v>
      </c>
      <c r="S369" s="91">
        <v>78.83</v>
      </c>
      <c r="T369" s="91">
        <v>79.47</v>
      </c>
      <c r="U369" s="91">
        <v>79.959999999999994</v>
      </c>
    </row>
    <row r="370" spans="1:21" x14ac:dyDescent="0.2">
      <c r="A370" s="48">
        <f t="shared" si="5"/>
        <v>362</v>
      </c>
      <c r="B370" s="43">
        <v>10</v>
      </c>
      <c r="C370" s="43">
        <v>29</v>
      </c>
      <c r="D370" s="38" t="s">
        <v>1011</v>
      </c>
      <c r="E370" s="44" t="s">
        <v>185</v>
      </c>
      <c r="F370" s="44" t="s">
        <v>37</v>
      </c>
      <c r="G370" s="44" t="s">
        <v>108</v>
      </c>
      <c r="H370" s="44" t="s">
        <v>42</v>
      </c>
      <c r="I370" s="44" t="s">
        <v>42</v>
      </c>
      <c r="J370" s="44" t="s">
        <v>43</v>
      </c>
      <c r="K370" s="44" t="s">
        <v>186</v>
      </c>
      <c r="L370" s="40">
        <v>22777</v>
      </c>
      <c r="M370" s="41">
        <v>42250</v>
      </c>
      <c r="N370" s="40" t="s">
        <v>110</v>
      </c>
      <c r="O370" s="42">
        <v>42552</v>
      </c>
      <c r="P370" s="40">
        <v>57</v>
      </c>
      <c r="Q370" s="91">
        <v>76.48</v>
      </c>
      <c r="R370" s="91">
        <v>79.75</v>
      </c>
      <c r="S370" s="91">
        <v>76.58</v>
      </c>
      <c r="T370" s="91">
        <v>77.27</v>
      </c>
      <c r="U370" s="91">
        <v>77.709999999999994</v>
      </c>
    </row>
    <row r="371" spans="1:21" x14ac:dyDescent="0.2">
      <c r="A371" s="48">
        <f t="shared" si="5"/>
        <v>363</v>
      </c>
      <c r="B371" s="43">
        <v>10</v>
      </c>
      <c r="C371" s="43">
        <v>30</v>
      </c>
      <c r="D371" s="38" t="s">
        <v>1012</v>
      </c>
      <c r="E371" s="44" t="s">
        <v>188</v>
      </c>
      <c r="F371" s="44" t="s">
        <v>37</v>
      </c>
      <c r="G371" s="44" t="s">
        <v>108</v>
      </c>
      <c r="H371" s="44" t="s">
        <v>42</v>
      </c>
      <c r="I371" s="44" t="s">
        <v>42</v>
      </c>
      <c r="J371" s="44" t="s">
        <v>44</v>
      </c>
      <c r="K371" s="44" t="s">
        <v>44</v>
      </c>
      <c r="L371" s="40">
        <v>22778</v>
      </c>
      <c r="M371" s="41">
        <v>42250</v>
      </c>
      <c r="N371" s="40" t="s">
        <v>110</v>
      </c>
      <c r="O371" s="42">
        <v>42552</v>
      </c>
      <c r="P371" s="40">
        <v>57</v>
      </c>
      <c r="Q371" s="91">
        <v>75.64</v>
      </c>
      <c r="R371" s="91">
        <v>79.44</v>
      </c>
      <c r="S371" s="91">
        <v>76.239999999999995</v>
      </c>
      <c r="T371" s="91">
        <v>77.08</v>
      </c>
      <c r="U371" s="91">
        <v>77.59</v>
      </c>
    </row>
    <row r="372" spans="1:21" x14ac:dyDescent="0.2">
      <c r="A372" s="48">
        <f t="shared" si="5"/>
        <v>364</v>
      </c>
      <c r="B372" s="43">
        <v>10</v>
      </c>
      <c r="C372" s="43">
        <v>31</v>
      </c>
      <c r="D372" s="38" t="s">
        <v>1013</v>
      </c>
      <c r="E372" s="44" t="s">
        <v>190</v>
      </c>
      <c r="F372" s="44" t="s">
        <v>37</v>
      </c>
      <c r="G372" s="44" t="s">
        <v>108</v>
      </c>
      <c r="H372" s="44" t="s">
        <v>45</v>
      </c>
      <c r="I372" s="44" t="s">
        <v>45</v>
      </c>
      <c r="J372" s="44" t="s">
        <v>6</v>
      </c>
      <c r="K372" s="44" t="s">
        <v>128</v>
      </c>
      <c r="L372" s="40">
        <v>22779</v>
      </c>
      <c r="M372" s="41">
        <v>42250</v>
      </c>
      <c r="N372" s="40" t="s">
        <v>110</v>
      </c>
      <c r="O372" s="42">
        <v>42552</v>
      </c>
      <c r="P372" s="40">
        <v>57</v>
      </c>
      <c r="Q372" s="91">
        <v>69.52</v>
      </c>
      <c r="R372" s="91">
        <v>70.39</v>
      </c>
      <c r="S372" s="91">
        <v>70.760000000000005</v>
      </c>
      <c r="T372" s="91">
        <v>71.510000000000005</v>
      </c>
      <c r="U372" s="91">
        <v>73.599999999999994</v>
      </c>
    </row>
    <row r="373" spans="1:21" x14ac:dyDescent="0.2">
      <c r="A373" s="48">
        <f t="shared" si="5"/>
        <v>365</v>
      </c>
      <c r="B373" s="43">
        <v>10</v>
      </c>
      <c r="C373" s="43">
        <v>32</v>
      </c>
      <c r="D373" s="38" t="s">
        <v>1014</v>
      </c>
      <c r="E373" s="44" t="s">
        <v>192</v>
      </c>
      <c r="F373" s="44" t="s">
        <v>5</v>
      </c>
      <c r="G373" s="44" t="s">
        <v>108</v>
      </c>
      <c r="H373" s="44" t="s">
        <v>12</v>
      </c>
      <c r="I373" s="44" t="s">
        <v>12</v>
      </c>
      <c r="J373" s="44" t="s">
        <v>13</v>
      </c>
      <c r="K373" s="44" t="s">
        <v>117</v>
      </c>
      <c r="L373" s="40">
        <v>22780</v>
      </c>
      <c r="M373" s="41">
        <v>42250</v>
      </c>
      <c r="N373" s="40" t="s">
        <v>110</v>
      </c>
      <c r="O373" s="42">
        <v>42552</v>
      </c>
      <c r="P373" s="40">
        <v>57</v>
      </c>
      <c r="Q373" s="91">
        <v>69.61</v>
      </c>
      <c r="R373" s="91">
        <v>75.239999999999995</v>
      </c>
      <c r="S373" s="91">
        <v>71.47</v>
      </c>
      <c r="T373" s="91">
        <v>72.8</v>
      </c>
      <c r="U373" s="91">
        <v>73.489999999999995</v>
      </c>
    </row>
    <row r="374" spans="1:21" x14ac:dyDescent="0.2">
      <c r="A374" s="48">
        <f t="shared" si="5"/>
        <v>366</v>
      </c>
      <c r="B374" s="43">
        <v>10</v>
      </c>
      <c r="C374" s="43">
        <v>33</v>
      </c>
      <c r="D374" s="38" t="s">
        <v>1015</v>
      </c>
      <c r="E374" s="44" t="s">
        <v>194</v>
      </c>
      <c r="F374" s="44" t="s">
        <v>5</v>
      </c>
      <c r="G374" s="44" t="s">
        <v>108</v>
      </c>
      <c r="H374" s="44" t="s">
        <v>12</v>
      </c>
      <c r="I374" s="44" t="s">
        <v>12</v>
      </c>
      <c r="J374" s="44" t="s">
        <v>14</v>
      </c>
      <c r="K374" s="44" t="s">
        <v>123</v>
      </c>
      <c r="L374" s="40">
        <v>22781</v>
      </c>
      <c r="M374" s="41">
        <v>42250</v>
      </c>
      <c r="N374" s="40" t="s">
        <v>110</v>
      </c>
      <c r="O374" s="42">
        <v>42552</v>
      </c>
      <c r="P374" s="40">
        <v>57</v>
      </c>
      <c r="Q374" s="91">
        <v>70.64</v>
      </c>
      <c r="R374" s="91">
        <v>76.11</v>
      </c>
      <c r="S374" s="91">
        <v>72.430000000000007</v>
      </c>
      <c r="T374" s="91">
        <v>73.72</v>
      </c>
      <c r="U374" s="91">
        <v>74.45</v>
      </c>
    </row>
    <row r="375" spans="1:21" x14ac:dyDescent="0.2">
      <c r="A375" s="48">
        <f t="shared" si="5"/>
        <v>367</v>
      </c>
      <c r="B375" s="43">
        <v>10</v>
      </c>
      <c r="C375" s="43">
        <v>34</v>
      </c>
      <c r="D375" s="38" t="s">
        <v>1016</v>
      </c>
      <c r="E375" s="44" t="s">
        <v>196</v>
      </c>
      <c r="F375" s="44" t="s">
        <v>29</v>
      </c>
      <c r="G375" s="44" t="s">
        <v>108</v>
      </c>
      <c r="H375" s="44" t="s">
        <v>34</v>
      </c>
      <c r="I375" s="44" t="s">
        <v>34</v>
      </c>
      <c r="J375" s="44" t="s">
        <v>35</v>
      </c>
      <c r="K375" s="44" t="s">
        <v>197</v>
      </c>
      <c r="L375" s="40">
        <v>22782</v>
      </c>
      <c r="M375" s="41">
        <v>42250</v>
      </c>
      <c r="N375" s="40" t="s">
        <v>110</v>
      </c>
      <c r="O375" s="42">
        <v>42552</v>
      </c>
      <c r="P375" s="40">
        <v>57</v>
      </c>
      <c r="Q375" s="91">
        <v>99.34</v>
      </c>
      <c r="R375" s="91">
        <v>106.45</v>
      </c>
      <c r="S375" s="91">
        <v>102.93</v>
      </c>
      <c r="T375" s="91">
        <v>104.7</v>
      </c>
      <c r="U375" s="91">
        <v>105.51</v>
      </c>
    </row>
    <row r="376" spans="1:21" x14ac:dyDescent="0.2">
      <c r="A376" s="48">
        <f t="shared" si="5"/>
        <v>368</v>
      </c>
      <c r="B376" s="43">
        <v>10</v>
      </c>
      <c r="C376" s="43">
        <v>35</v>
      </c>
      <c r="D376" s="38" t="s">
        <v>1017</v>
      </c>
      <c r="E376" s="44" t="s">
        <v>199</v>
      </c>
      <c r="F376" s="44" t="s">
        <v>29</v>
      </c>
      <c r="G376" s="44" t="s">
        <v>108</v>
      </c>
      <c r="H376" s="44" t="s">
        <v>34</v>
      </c>
      <c r="I376" s="44" t="s">
        <v>34</v>
      </c>
      <c r="J376" s="44" t="s">
        <v>36</v>
      </c>
      <c r="K376" s="44" t="s">
        <v>200</v>
      </c>
      <c r="L376" s="40">
        <v>22783</v>
      </c>
      <c r="M376" s="41">
        <v>42250</v>
      </c>
      <c r="N376" s="40" t="s">
        <v>110</v>
      </c>
      <c r="O376" s="42">
        <v>42552</v>
      </c>
      <c r="P376" s="40">
        <v>57</v>
      </c>
      <c r="Q376" s="91">
        <v>98.28</v>
      </c>
      <c r="R376" s="91">
        <v>105.17</v>
      </c>
      <c r="S376" s="91">
        <v>101.57</v>
      </c>
      <c r="T376" s="91">
        <v>103.28</v>
      </c>
      <c r="U376" s="91">
        <v>104.06</v>
      </c>
    </row>
    <row r="377" spans="1:21" x14ac:dyDescent="0.2">
      <c r="A377" s="48">
        <f t="shared" si="5"/>
        <v>369</v>
      </c>
      <c r="B377" s="43">
        <v>10</v>
      </c>
      <c r="C377" s="43">
        <v>36</v>
      </c>
      <c r="D377" s="38" t="s">
        <v>1018</v>
      </c>
      <c r="E377" s="44" t="s">
        <v>202</v>
      </c>
      <c r="F377" s="44" t="s">
        <v>5</v>
      </c>
      <c r="G377" s="44" t="s">
        <v>108</v>
      </c>
      <c r="H377" s="44" t="s">
        <v>15</v>
      </c>
      <c r="I377" s="44" t="s">
        <v>203</v>
      </c>
      <c r="J377" s="44" t="s">
        <v>16</v>
      </c>
      <c r="K377" s="44" t="s">
        <v>128</v>
      </c>
      <c r="L377" s="40">
        <v>22784</v>
      </c>
      <c r="M377" s="41">
        <v>42250</v>
      </c>
      <c r="N377" s="40" t="s">
        <v>110</v>
      </c>
      <c r="O377" s="42">
        <v>42552</v>
      </c>
      <c r="P377" s="40">
        <v>57</v>
      </c>
      <c r="Q377" s="91">
        <v>66.14</v>
      </c>
      <c r="R377" s="91">
        <v>69.06</v>
      </c>
      <c r="S377" s="91">
        <v>68.510000000000005</v>
      </c>
      <c r="T377" s="91">
        <v>69.92</v>
      </c>
      <c r="U377" s="91">
        <v>71.760000000000005</v>
      </c>
    </row>
    <row r="378" spans="1:21" x14ac:dyDescent="0.2">
      <c r="A378" s="48">
        <f t="shared" si="5"/>
        <v>370</v>
      </c>
      <c r="B378" s="20"/>
      <c r="C378" s="20"/>
      <c r="D378" s="20"/>
    </row>
    <row r="379" spans="1:21" x14ac:dyDescent="0.2">
      <c r="A379" s="48">
        <f t="shared" si="5"/>
        <v>371</v>
      </c>
      <c r="B379" s="43">
        <v>11</v>
      </c>
      <c r="C379" s="43">
        <v>1</v>
      </c>
      <c r="D379" s="38" t="s">
        <v>1019</v>
      </c>
      <c r="E379" s="44" t="s">
        <v>107</v>
      </c>
      <c r="F379" s="44" t="s">
        <v>29</v>
      </c>
      <c r="G379" s="44" t="s">
        <v>108</v>
      </c>
      <c r="H379" s="44" t="s">
        <v>30</v>
      </c>
      <c r="I379" s="44" t="s">
        <v>30</v>
      </c>
      <c r="J379" s="44" t="s">
        <v>31</v>
      </c>
      <c r="K379" s="44" t="s">
        <v>109</v>
      </c>
      <c r="L379" s="40">
        <v>22749</v>
      </c>
      <c r="M379" s="41">
        <v>42250</v>
      </c>
      <c r="N379" s="40" t="s">
        <v>110</v>
      </c>
      <c r="O379" s="42">
        <v>42583</v>
      </c>
      <c r="P379" s="40">
        <v>58</v>
      </c>
      <c r="Q379" s="91">
        <v>94.09</v>
      </c>
      <c r="R379" s="91">
        <v>94.02</v>
      </c>
      <c r="S379" s="91">
        <v>92.04</v>
      </c>
      <c r="T379" s="91">
        <v>92.4</v>
      </c>
      <c r="U379" s="91">
        <v>94.78</v>
      </c>
    </row>
    <row r="380" spans="1:21" x14ac:dyDescent="0.2">
      <c r="A380" s="48">
        <f t="shared" si="5"/>
        <v>372</v>
      </c>
      <c r="B380" s="43">
        <v>11</v>
      </c>
      <c r="C380" s="43">
        <v>2</v>
      </c>
      <c r="D380" s="38" t="s">
        <v>1020</v>
      </c>
      <c r="E380" s="44" t="s">
        <v>112</v>
      </c>
      <c r="F380" s="44" t="s">
        <v>29</v>
      </c>
      <c r="G380" s="44" t="s">
        <v>108</v>
      </c>
      <c r="H380" s="44" t="s">
        <v>30</v>
      </c>
      <c r="I380" s="44" t="s">
        <v>30</v>
      </c>
      <c r="J380" s="44" t="s">
        <v>32</v>
      </c>
      <c r="K380" s="44" t="s">
        <v>113</v>
      </c>
      <c r="L380" s="40">
        <v>22750</v>
      </c>
      <c r="M380" s="41">
        <v>42250</v>
      </c>
      <c r="N380" s="40" t="s">
        <v>110</v>
      </c>
      <c r="O380" s="42">
        <v>42583</v>
      </c>
      <c r="P380" s="40">
        <v>58</v>
      </c>
      <c r="Q380" s="91">
        <v>93.63</v>
      </c>
      <c r="R380" s="91">
        <v>93.74</v>
      </c>
      <c r="S380" s="91">
        <v>91.52</v>
      </c>
      <c r="T380" s="91">
        <v>90.58</v>
      </c>
      <c r="U380" s="91">
        <v>91.51</v>
      </c>
    </row>
    <row r="381" spans="1:21" x14ac:dyDescent="0.2">
      <c r="A381" s="48">
        <f t="shared" si="5"/>
        <v>373</v>
      </c>
      <c r="B381" s="43">
        <v>11</v>
      </c>
      <c r="C381" s="43">
        <v>3</v>
      </c>
      <c r="D381" s="38" t="s">
        <v>1021</v>
      </c>
      <c r="E381" s="44" t="s">
        <v>115</v>
      </c>
      <c r="F381" s="44" t="s">
        <v>18</v>
      </c>
      <c r="G381" s="44" t="s">
        <v>108</v>
      </c>
      <c r="H381" s="44" t="s">
        <v>61</v>
      </c>
      <c r="I381" s="44" t="s">
        <v>116</v>
      </c>
      <c r="J381" s="44" t="s">
        <v>13</v>
      </c>
      <c r="K381" s="44" t="s">
        <v>117</v>
      </c>
      <c r="L381" s="40">
        <v>22751</v>
      </c>
      <c r="M381" s="41">
        <v>42250</v>
      </c>
      <c r="N381" s="40" t="s">
        <v>110</v>
      </c>
      <c r="O381" s="42">
        <v>42583</v>
      </c>
      <c r="P381" s="40">
        <v>58</v>
      </c>
      <c r="Q381" s="91">
        <v>55.82</v>
      </c>
      <c r="R381" s="91">
        <v>57.03</v>
      </c>
      <c r="S381" s="91">
        <v>57.1</v>
      </c>
      <c r="T381" s="91">
        <v>58.1</v>
      </c>
      <c r="U381" s="91">
        <v>60.3</v>
      </c>
    </row>
    <row r="382" spans="1:21" x14ac:dyDescent="0.2">
      <c r="A382" s="48">
        <f t="shared" si="5"/>
        <v>374</v>
      </c>
      <c r="B382" s="43">
        <v>11</v>
      </c>
      <c r="C382" s="43">
        <v>4</v>
      </c>
      <c r="D382" s="38" t="s">
        <v>1022</v>
      </c>
      <c r="E382" s="44" t="s">
        <v>119</v>
      </c>
      <c r="F382" s="44" t="s">
        <v>18</v>
      </c>
      <c r="G382" s="44" t="s">
        <v>108</v>
      </c>
      <c r="H382" s="44" t="s">
        <v>61</v>
      </c>
      <c r="I382" s="44" t="s">
        <v>116</v>
      </c>
      <c r="J382" s="44" t="s">
        <v>19</v>
      </c>
      <c r="K382" s="44" t="s">
        <v>120</v>
      </c>
      <c r="L382" s="40">
        <v>22752</v>
      </c>
      <c r="M382" s="41">
        <v>42250</v>
      </c>
      <c r="N382" s="40" t="s">
        <v>110</v>
      </c>
      <c r="O382" s="42">
        <v>42583</v>
      </c>
      <c r="P382" s="40">
        <v>58</v>
      </c>
      <c r="Q382" s="91">
        <v>57.97</v>
      </c>
      <c r="R382" s="91">
        <v>58.68</v>
      </c>
      <c r="S382" s="91">
        <v>58.96</v>
      </c>
      <c r="T382" s="91">
        <v>59.73</v>
      </c>
      <c r="U382" s="91">
        <v>61.91</v>
      </c>
    </row>
    <row r="383" spans="1:21" x14ac:dyDescent="0.2">
      <c r="A383" s="48">
        <f t="shared" si="5"/>
        <v>375</v>
      </c>
      <c r="B383" s="43">
        <v>11</v>
      </c>
      <c r="C383" s="43">
        <v>5</v>
      </c>
      <c r="D383" s="38" t="s">
        <v>1023</v>
      </c>
      <c r="E383" s="44" t="s">
        <v>122</v>
      </c>
      <c r="F383" s="44" t="s">
        <v>18</v>
      </c>
      <c r="G383" s="44" t="s">
        <v>108</v>
      </c>
      <c r="H383" s="44" t="s">
        <v>61</v>
      </c>
      <c r="I383" s="44" t="s">
        <v>116</v>
      </c>
      <c r="J383" s="44" t="s">
        <v>14</v>
      </c>
      <c r="K383" s="44" t="s">
        <v>123</v>
      </c>
      <c r="L383" s="40">
        <v>22753</v>
      </c>
      <c r="M383" s="41">
        <v>42250</v>
      </c>
      <c r="N383" s="40" t="s">
        <v>110</v>
      </c>
      <c r="O383" s="42">
        <v>42583</v>
      </c>
      <c r="P383" s="40">
        <v>58</v>
      </c>
      <c r="Q383" s="91">
        <v>56.99</v>
      </c>
      <c r="R383" s="91">
        <v>57.68</v>
      </c>
      <c r="S383" s="91">
        <v>57.94</v>
      </c>
      <c r="T383" s="91">
        <v>58.71</v>
      </c>
      <c r="U383" s="91">
        <v>60.87</v>
      </c>
    </row>
    <row r="384" spans="1:21" x14ac:dyDescent="0.2">
      <c r="A384" s="48">
        <f t="shared" si="5"/>
        <v>376</v>
      </c>
      <c r="B384" s="43">
        <v>11</v>
      </c>
      <c r="C384" s="43">
        <v>6</v>
      </c>
      <c r="D384" s="38" t="s">
        <v>1024</v>
      </c>
      <c r="E384" s="44" t="s">
        <v>125</v>
      </c>
      <c r="F384" s="44" t="s">
        <v>23</v>
      </c>
      <c r="G384" s="44" t="s">
        <v>126</v>
      </c>
      <c r="H384" s="44" t="s">
        <v>127</v>
      </c>
      <c r="I384" s="44" t="s">
        <v>27</v>
      </c>
      <c r="J384" s="44" t="s">
        <v>28</v>
      </c>
      <c r="K384" s="44" t="s">
        <v>128</v>
      </c>
      <c r="L384" s="40">
        <v>22754</v>
      </c>
      <c r="M384" s="41">
        <v>42250</v>
      </c>
      <c r="N384" s="40" t="s">
        <v>110</v>
      </c>
      <c r="O384" s="42">
        <v>42583</v>
      </c>
      <c r="P384" s="40">
        <v>58</v>
      </c>
      <c r="Q384" s="91">
        <v>61.54</v>
      </c>
      <c r="R384" s="91">
        <v>62.01</v>
      </c>
      <c r="S384" s="91">
        <v>62.32</v>
      </c>
      <c r="T384" s="91">
        <v>63.09</v>
      </c>
      <c r="U384" s="91">
        <v>64.239999999999995</v>
      </c>
    </row>
    <row r="385" spans="1:21" x14ac:dyDescent="0.2">
      <c r="A385" s="48">
        <f t="shared" si="5"/>
        <v>377</v>
      </c>
      <c r="B385" s="43">
        <v>11</v>
      </c>
      <c r="C385" s="43">
        <v>7</v>
      </c>
      <c r="D385" s="38" t="s">
        <v>1025</v>
      </c>
      <c r="E385" s="44" t="s">
        <v>130</v>
      </c>
      <c r="F385" s="44" t="s">
        <v>37</v>
      </c>
      <c r="G385" s="44" t="s">
        <v>108</v>
      </c>
      <c r="H385" s="44" t="s">
        <v>38</v>
      </c>
      <c r="I385" s="44" t="s">
        <v>38</v>
      </c>
      <c r="J385" s="44" t="s">
        <v>40</v>
      </c>
      <c r="K385" s="44" t="s">
        <v>123</v>
      </c>
      <c r="L385" s="40">
        <v>22756</v>
      </c>
      <c r="M385" s="41">
        <v>42250</v>
      </c>
      <c r="N385" s="40" t="s">
        <v>110</v>
      </c>
      <c r="O385" s="42">
        <v>42583</v>
      </c>
      <c r="P385" s="40">
        <v>58</v>
      </c>
      <c r="Q385" s="91">
        <v>81.72</v>
      </c>
      <c r="R385" s="91">
        <v>82.17</v>
      </c>
      <c r="S385" s="91">
        <v>80.150000000000006</v>
      </c>
      <c r="T385" s="91">
        <v>80.209999999999994</v>
      </c>
      <c r="U385" s="91">
        <v>80.86</v>
      </c>
    </row>
    <row r="386" spans="1:21" x14ac:dyDescent="0.2">
      <c r="A386" s="48">
        <f t="shared" si="5"/>
        <v>378</v>
      </c>
      <c r="B386" s="43">
        <v>11</v>
      </c>
      <c r="C386" s="43">
        <v>8</v>
      </c>
      <c r="D386" s="38" t="s">
        <v>1026</v>
      </c>
      <c r="E386" s="44" t="s">
        <v>132</v>
      </c>
      <c r="F386" s="44" t="s">
        <v>37</v>
      </c>
      <c r="G386" s="44" t="s">
        <v>108</v>
      </c>
      <c r="H386" s="44" t="s">
        <v>38</v>
      </c>
      <c r="I386" s="44" t="s">
        <v>38</v>
      </c>
      <c r="J386" s="44" t="s">
        <v>39</v>
      </c>
      <c r="K386" s="44" t="s">
        <v>120</v>
      </c>
      <c r="L386" s="40">
        <v>22755</v>
      </c>
      <c r="M386" s="41">
        <v>42250</v>
      </c>
      <c r="N386" s="40" t="s">
        <v>110</v>
      </c>
      <c r="O386" s="42">
        <v>42583</v>
      </c>
      <c r="P386" s="40">
        <v>58</v>
      </c>
      <c r="Q386" s="91">
        <v>82.89</v>
      </c>
      <c r="R386" s="91">
        <v>83.09</v>
      </c>
      <c r="S386" s="91">
        <v>81.27</v>
      </c>
      <c r="T386" s="91">
        <v>81.23</v>
      </c>
      <c r="U386" s="91">
        <v>81.89</v>
      </c>
    </row>
    <row r="387" spans="1:21" x14ac:dyDescent="0.2">
      <c r="A387" s="48">
        <f t="shared" si="5"/>
        <v>379</v>
      </c>
      <c r="B387" s="43">
        <v>11</v>
      </c>
      <c r="C387" s="43">
        <v>9</v>
      </c>
      <c r="D387" s="38" t="s">
        <v>1027</v>
      </c>
      <c r="E387" s="44" t="s">
        <v>134</v>
      </c>
      <c r="F387" s="44" t="s">
        <v>37</v>
      </c>
      <c r="G387" s="44" t="s">
        <v>108</v>
      </c>
      <c r="H387" s="44" t="s">
        <v>38</v>
      </c>
      <c r="I387" s="44" t="s">
        <v>38</v>
      </c>
      <c r="J387" s="44" t="s">
        <v>6</v>
      </c>
      <c r="K387" s="44" t="s">
        <v>117</v>
      </c>
      <c r="L387" s="40">
        <v>22757</v>
      </c>
      <c r="M387" s="41">
        <v>42250</v>
      </c>
      <c r="N387" s="40" t="s">
        <v>110</v>
      </c>
      <c r="O387" s="42">
        <v>42583</v>
      </c>
      <c r="P387" s="40">
        <v>58</v>
      </c>
      <c r="Q387" s="91">
        <v>80.88</v>
      </c>
      <c r="R387" s="91">
        <v>81.44</v>
      </c>
      <c r="S387" s="91">
        <v>79.319999999999993</v>
      </c>
      <c r="T387" s="91">
        <v>79.41</v>
      </c>
      <c r="U387" s="91">
        <v>80.06</v>
      </c>
    </row>
    <row r="388" spans="1:21" x14ac:dyDescent="0.2">
      <c r="A388" s="48">
        <f t="shared" si="5"/>
        <v>380</v>
      </c>
      <c r="B388" s="43">
        <v>11</v>
      </c>
      <c r="C388" s="43">
        <v>10</v>
      </c>
      <c r="D388" s="38" t="s">
        <v>1028</v>
      </c>
      <c r="E388" s="44" t="s">
        <v>136</v>
      </c>
      <c r="F388" s="44" t="s">
        <v>23</v>
      </c>
      <c r="G388" s="44" t="s">
        <v>108</v>
      </c>
      <c r="H388" s="44" t="s">
        <v>137</v>
      </c>
      <c r="I388" s="44" t="s">
        <v>24</v>
      </c>
      <c r="J388" s="44" t="s">
        <v>25</v>
      </c>
      <c r="K388" s="44" t="s">
        <v>138</v>
      </c>
      <c r="L388" s="40">
        <v>22758</v>
      </c>
      <c r="M388" s="41">
        <v>42250</v>
      </c>
      <c r="N388" s="40" t="s">
        <v>110</v>
      </c>
      <c r="O388" s="42">
        <v>42583</v>
      </c>
      <c r="P388" s="40">
        <v>58</v>
      </c>
      <c r="Q388" s="91">
        <v>61.13</v>
      </c>
      <c r="R388" s="91">
        <v>62.82</v>
      </c>
      <c r="S388" s="91">
        <v>62.86</v>
      </c>
      <c r="T388" s="91">
        <v>64.349999999999994</v>
      </c>
      <c r="U388" s="91">
        <v>67.760000000000005</v>
      </c>
    </row>
    <row r="389" spans="1:21" x14ac:dyDescent="0.2">
      <c r="A389" s="48">
        <f t="shared" si="5"/>
        <v>381</v>
      </c>
      <c r="B389" s="43">
        <v>11</v>
      </c>
      <c r="C389" s="43">
        <v>11</v>
      </c>
      <c r="D389" s="38" t="s">
        <v>1029</v>
      </c>
      <c r="E389" s="44" t="s">
        <v>140</v>
      </c>
      <c r="F389" s="44" t="s">
        <v>23</v>
      </c>
      <c r="G389" s="44" t="s">
        <v>108</v>
      </c>
      <c r="H389" s="44" t="s">
        <v>137</v>
      </c>
      <c r="I389" s="44" t="s">
        <v>24</v>
      </c>
      <c r="J389" s="44" t="s">
        <v>26</v>
      </c>
      <c r="K389" s="44" t="s">
        <v>141</v>
      </c>
      <c r="L389" s="40">
        <v>22759</v>
      </c>
      <c r="M389" s="41">
        <v>42250</v>
      </c>
      <c r="N389" s="40" t="s">
        <v>110</v>
      </c>
      <c r="O389" s="42">
        <v>42583</v>
      </c>
      <c r="P389" s="40">
        <v>58</v>
      </c>
      <c r="Q389" s="91">
        <v>60.28</v>
      </c>
      <c r="R389" s="91">
        <v>62.03</v>
      </c>
      <c r="S389" s="91">
        <v>62.04</v>
      </c>
      <c r="T389" s="91">
        <v>63.55</v>
      </c>
      <c r="U389" s="91">
        <v>66.95</v>
      </c>
    </row>
    <row r="390" spans="1:21" x14ac:dyDescent="0.2">
      <c r="A390" s="48">
        <f t="shared" si="5"/>
        <v>382</v>
      </c>
      <c r="B390" s="43">
        <v>11</v>
      </c>
      <c r="C390" s="43">
        <v>12</v>
      </c>
      <c r="D390" s="38" t="s">
        <v>1030</v>
      </c>
      <c r="E390" s="44" t="s">
        <v>143</v>
      </c>
      <c r="F390" s="44" t="s">
        <v>18</v>
      </c>
      <c r="G390" s="44" t="s">
        <v>108</v>
      </c>
      <c r="H390" s="44" t="s">
        <v>94</v>
      </c>
      <c r="I390" s="44" t="s">
        <v>144</v>
      </c>
      <c r="J390" s="44" t="s">
        <v>20</v>
      </c>
      <c r="K390" s="44" t="s">
        <v>145</v>
      </c>
      <c r="L390" s="40">
        <v>22760</v>
      </c>
      <c r="M390" s="41">
        <v>42250</v>
      </c>
      <c r="N390" s="40" t="s">
        <v>110</v>
      </c>
      <c r="O390" s="42">
        <v>42583</v>
      </c>
      <c r="P390" s="40">
        <v>58</v>
      </c>
      <c r="Q390" s="91">
        <v>57.07</v>
      </c>
      <c r="R390" s="91">
        <v>58.56</v>
      </c>
      <c r="S390" s="91">
        <v>58.43</v>
      </c>
      <c r="T390" s="91">
        <v>59.47</v>
      </c>
      <c r="U390" s="91">
        <v>61.47</v>
      </c>
    </row>
    <row r="391" spans="1:21" x14ac:dyDescent="0.2">
      <c r="A391" s="48">
        <f t="shared" si="5"/>
        <v>383</v>
      </c>
      <c r="B391" s="43">
        <v>11</v>
      </c>
      <c r="C391" s="43">
        <v>13</v>
      </c>
      <c r="D391" s="38" t="s">
        <v>1031</v>
      </c>
      <c r="E391" s="44" t="s">
        <v>147</v>
      </c>
      <c r="F391" s="44" t="s">
        <v>37</v>
      </c>
      <c r="G391" s="44" t="s">
        <v>108</v>
      </c>
      <c r="H391" s="44" t="s">
        <v>41</v>
      </c>
      <c r="I391" s="44" t="s">
        <v>41</v>
      </c>
      <c r="J391" s="44" t="s">
        <v>6</v>
      </c>
      <c r="K391" s="44" t="s">
        <v>128</v>
      </c>
      <c r="L391" s="40">
        <v>22761</v>
      </c>
      <c r="M391" s="41">
        <v>42250</v>
      </c>
      <c r="N391" s="40" t="s">
        <v>110</v>
      </c>
      <c r="O391" s="42">
        <v>42583</v>
      </c>
      <c r="P391" s="40">
        <v>58</v>
      </c>
      <c r="Q391" s="91">
        <v>81.849999999999994</v>
      </c>
      <c r="R391" s="91">
        <v>81.150000000000006</v>
      </c>
      <c r="S391" s="91">
        <v>79.69</v>
      </c>
      <c r="T391" s="91">
        <v>80.13</v>
      </c>
      <c r="U391" s="91">
        <v>83.27</v>
      </c>
    </row>
    <row r="392" spans="1:21" x14ac:dyDescent="0.2">
      <c r="A392" s="48">
        <f t="shared" si="5"/>
        <v>384</v>
      </c>
      <c r="B392" s="43">
        <v>11</v>
      </c>
      <c r="C392" s="43">
        <v>14</v>
      </c>
      <c r="D392" s="38" t="s">
        <v>1032</v>
      </c>
      <c r="E392" s="44" t="s">
        <v>149</v>
      </c>
      <c r="F392" s="44" t="s">
        <v>5</v>
      </c>
      <c r="G392" s="44" t="s">
        <v>108</v>
      </c>
      <c r="H392" s="44" t="s">
        <v>46</v>
      </c>
      <c r="I392" s="44" t="s">
        <v>46</v>
      </c>
      <c r="J392" s="44" t="s">
        <v>6</v>
      </c>
      <c r="K392" s="44" t="s">
        <v>128</v>
      </c>
      <c r="L392" s="40">
        <v>22762</v>
      </c>
      <c r="M392" s="41">
        <v>42250</v>
      </c>
      <c r="N392" s="40" t="s">
        <v>110</v>
      </c>
      <c r="O392" s="42">
        <v>42583</v>
      </c>
      <c r="P392" s="40">
        <v>58</v>
      </c>
      <c r="Q392" s="91">
        <v>67.569999999999993</v>
      </c>
      <c r="R392" s="91">
        <v>68.86</v>
      </c>
      <c r="S392" s="91">
        <v>69</v>
      </c>
      <c r="T392" s="91">
        <v>69.989999999999995</v>
      </c>
      <c r="U392" s="91">
        <v>72.27</v>
      </c>
    </row>
    <row r="393" spans="1:21" x14ac:dyDescent="0.2">
      <c r="A393" s="48">
        <f t="shared" si="5"/>
        <v>385</v>
      </c>
      <c r="B393" s="43">
        <v>11</v>
      </c>
      <c r="C393" s="43">
        <v>15</v>
      </c>
      <c r="D393" s="38" t="s">
        <v>1033</v>
      </c>
      <c r="E393" s="44" t="s">
        <v>151</v>
      </c>
      <c r="F393" s="44" t="s">
        <v>18</v>
      </c>
      <c r="G393" s="44" t="s">
        <v>108</v>
      </c>
      <c r="H393" s="44" t="s">
        <v>21</v>
      </c>
      <c r="I393" s="44" t="s">
        <v>152</v>
      </c>
      <c r="J393" s="44" t="s">
        <v>22</v>
      </c>
      <c r="K393" s="44" t="s">
        <v>128</v>
      </c>
      <c r="L393" s="40">
        <v>22763</v>
      </c>
      <c r="M393" s="41">
        <v>42250</v>
      </c>
      <c r="N393" s="40" t="s">
        <v>110</v>
      </c>
      <c r="O393" s="42">
        <v>42583</v>
      </c>
      <c r="P393" s="40">
        <v>58</v>
      </c>
      <c r="Q393" s="91">
        <v>56.51</v>
      </c>
      <c r="R393" s="91">
        <v>57.17</v>
      </c>
      <c r="S393" s="91">
        <v>57.37</v>
      </c>
      <c r="T393" s="91">
        <v>58.03</v>
      </c>
      <c r="U393" s="91">
        <v>59.94</v>
      </c>
    </row>
    <row r="394" spans="1:21" x14ac:dyDescent="0.2">
      <c r="A394" s="48">
        <f t="shared" si="5"/>
        <v>386</v>
      </c>
      <c r="B394" s="43">
        <v>11</v>
      </c>
      <c r="C394" s="43">
        <v>16</v>
      </c>
      <c r="D394" s="38" t="s">
        <v>1034</v>
      </c>
      <c r="E394" s="44" t="s">
        <v>154</v>
      </c>
      <c r="F394" s="44" t="s">
        <v>18</v>
      </c>
      <c r="G394" s="44" t="s">
        <v>108</v>
      </c>
      <c r="H394" s="44" t="s">
        <v>62</v>
      </c>
      <c r="I394" s="44" t="s">
        <v>155</v>
      </c>
      <c r="J394" s="44" t="s">
        <v>6</v>
      </c>
      <c r="K394" s="44" t="s">
        <v>128</v>
      </c>
      <c r="L394" s="40">
        <v>22764</v>
      </c>
      <c r="M394" s="41">
        <v>42250</v>
      </c>
      <c r="N394" s="40" t="s">
        <v>110</v>
      </c>
      <c r="O394" s="42">
        <v>42583</v>
      </c>
      <c r="P394" s="40">
        <v>58</v>
      </c>
      <c r="Q394" s="91">
        <v>61.15</v>
      </c>
      <c r="R394" s="91">
        <v>61.84</v>
      </c>
      <c r="S394" s="91">
        <v>60.93</v>
      </c>
      <c r="T394" s="91">
        <v>61.42</v>
      </c>
      <c r="U394" s="91">
        <v>62.96</v>
      </c>
    </row>
    <row r="395" spans="1:21" x14ac:dyDescent="0.2">
      <c r="A395" s="48">
        <f t="shared" ref="A395:A458" si="6">A394+1</f>
        <v>387</v>
      </c>
      <c r="B395" s="43">
        <v>11</v>
      </c>
      <c r="C395" s="43">
        <v>17</v>
      </c>
      <c r="D395" s="38" t="s">
        <v>1035</v>
      </c>
      <c r="E395" s="44" t="s">
        <v>157</v>
      </c>
      <c r="F395" s="44" t="s">
        <v>29</v>
      </c>
      <c r="G395" s="44" t="s">
        <v>108</v>
      </c>
      <c r="H395" s="44" t="s">
        <v>33</v>
      </c>
      <c r="I395" s="44" t="s">
        <v>33</v>
      </c>
      <c r="J395" s="44" t="s">
        <v>7</v>
      </c>
      <c r="K395" s="44" t="s">
        <v>123</v>
      </c>
      <c r="L395" s="40">
        <v>22765</v>
      </c>
      <c r="M395" s="41">
        <v>42250</v>
      </c>
      <c r="N395" s="40" t="s">
        <v>110</v>
      </c>
      <c r="O395" s="42">
        <v>42583</v>
      </c>
      <c r="P395" s="40">
        <v>58</v>
      </c>
      <c r="Q395" s="91">
        <v>84.22</v>
      </c>
      <c r="R395" s="91">
        <v>85.71</v>
      </c>
      <c r="S395" s="91">
        <v>83.97</v>
      </c>
      <c r="T395" s="91">
        <v>84.73</v>
      </c>
      <c r="U395" s="91">
        <v>87.64</v>
      </c>
    </row>
    <row r="396" spans="1:21" x14ac:dyDescent="0.2">
      <c r="A396" s="48">
        <f t="shared" si="6"/>
        <v>388</v>
      </c>
      <c r="B396" s="43">
        <v>11</v>
      </c>
      <c r="C396" s="43">
        <v>18</v>
      </c>
      <c r="D396" s="38" t="s">
        <v>1036</v>
      </c>
      <c r="E396" s="44" t="s">
        <v>159</v>
      </c>
      <c r="F396" s="44" t="s">
        <v>29</v>
      </c>
      <c r="G396" s="44" t="s">
        <v>108</v>
      </c>
      <c r="H396" s="44" t="s">
        <v>33</v>
      </c>
      <c r="I396" s="44" t="s">
        <v>33</v>
      </c>
      <c r="J396" s="44" t="s">
        <v>8</v>
      </c>
      <c r="K396" s="44" t="s">
        <v>120</v>
      </c>
      <c r="L396" s="40">
        <v>22766</v>
      </c>
      <c r="M396" s="41">
        <v>42250</v>
      </c>
      <c r="N396" s="40" t="s">
        <v>110</v>
      </c>
      <c r="O396" s="42">
        <v>42583</v>
      </c>
      <c r="P396" s="40">
        <v>58</v>
      </c>
      <c r="Q396" s="91">
        <v>91.2</v>
      </c>
      <c r="R396" s="91">
        <v>89.07</v>
      </c>
      <c r="S396" s="91">
        <v>88.45</v>
      </c>
      <c r="T396" s="91">
        <v>88.08</v>
      </c>
      <c r="U396" s="91">
        <v>90.94</v>
      </c>
    </row>
    <row r="397" spans="1:21" x14ac:dyDescent="0.2">
      <c r="A397" s="48">
        <f t="shared" si="6"/>
        <v>389</v>
      </c>
      <c r="B397" s="43">
        <v>11</v>
      </c>
      <c r="C397" s="43">
        <v>19</v>
      </c>
      <c r="D397" s="38" t="s">
        <v>1037</v>
      </c>
      <c r="E397" s="44" t="s">
        <v>161</v>
      </c>
      <c r="F397" s="44" t="s">
        <v>29</v>
      </c>
      <c r="G397" s="44" t="s">
        <v>108</v>
      </c>
      <c r="H397" s="44" t="s">
        <v>33</v>
      </c>
      <c r="I397" s="44" t="s">
        <v>33</v>
      </c>
      <c r="J397" s="44" t="s">
        <v>9</v>
      </c>
      <c r="K397" s="44" t="s">
        <v>117</v>
      </c>
      <c r="L397" s="40">
        <v>22767</v>
      </c>
      <c r="M397" s="41">
        <v>42250</v>
      </c>
      <c r="N397" s="40" t="s">
        <v>110</v>
      </c>
      <c r="O397" s="42">
        <v>42583</v>
      </c>
      <c r="P397" s="40">
        <v>58</v>
      </c>
      <c r="Q397" s="91">
        <v>86.06</v>
      </c>
      <c r="R397" s="91">
        <v>87.01</v>
      </c>
      <c r="S397" s="91">
        <v>85.33</v>
      </c>
      <c r="T397" s="91">
        <v>85.98</v>
      </c>
      <c r="U397" s="91">
        <v>88.85</v>
      </c>
    </row>
    <row r="398" spans="1:21" x14ac:dyDescent="0.2">
      <c r="A398" s="48">
        <f t="shared" si="6"/>
        <v>390</v>
      </c>
      <c r="B398" s="43">
        <v>11</v>
      </c>
      <c r="C398" s="43">
        <v>20</v>
      </c>
      <c r="D398" s="38" t="s">
        <v>1038</v>
      </c>
      <c r="E398" s="44" t="s">
        <v>163</v>
      </c>
      <c r="F398" s="44" t="s">
        <v>5</v>
      </c>
      <c r="G398" s="44" t="s">
        <v>108</v>
      </c>
      <c r="H398" s="44" t="s">
        <v>164</v>
      </c>
      <c r="I398" s="44" t="s">
        <v>165</v>
      </c>
      <c r="J398" s="44" t="s">
        <v>7</v>
      </c>
      <c r="K398" s="44" t="s">
        <v>123</v>
      </c>
      <c r="L398" s="40">
        <v>22769</v>
      </c>
      <c r="M398" s="41">
        <v>42250</v>
      </c>
      <c r="N398" s="40" t="s">
        <v>110</v>
      </c>
      <c r="O398" s="42">
        <v>42583</v>
      </c>
      <c r="P398" s="40">
        <v>58</v>
      </c>
      <c r="Q398" s="91">
        <v>65.510000000000005</v>
      </c>
      <c r="R398" s="91">
        <v>65.8</v>
      </c>
      <c r="S398" s="91">
        <v>64.13</v>
      </c>
      <c r="T398" s="91">
        <v>64.19</v>
      </c>
      <c r="U398" s="91">
        <v>65.510000000000005</v>
      </c>
    </row>
    <row r="399" spans="1:21" x14ac:dyDescent="0.2">
      <c r="A399" s="48">
        <f t="shared" si="6"/>
        <v>391</v>
      </c>
      <c r="B399" s="43">
        <v>11</v>
      </c>
      <c r="C399" s="43">
        <v>21</v>
      </c>
      <c r="D399" s="38" t="s">
        <v>1039</v>
      </c>
      <c r="E399" s="44" t="s">
        <v>167</v>
      </c>
      <c r="F399" s="44" t="s">
        <v>5</v>
      </c>
      <c r="G399" s="44" t="s">
        <v>108</v>
      </c>
      <c r="H399" s="44" t="s">
        <v>164</v>
      </c>
      <c r="I399" s="44" t="s">
        <v>165</v>
      </c>
      <c r="J399" s="44" t="s">
        <v>8</v>
      </c>
      <c r="K399" s="44" t="s">
        <v>120</v>
      </c>
      <c r="L399" s="40">
        <v>22768</v>
      </c>
      <c r="M399" s="41">
        <v>42250</v>
      </c>
      <c r="N399" s="40" t="s">
        <v>110</v>
      </c>
      <c r="O399" s="42">
        <v>42583</v>
      </c>
      <c r="P399" s="40">
        <v>58</v>
      </c>
      <c r="Q399" s="91">
        <v>66.72</v>
      </c>
      <c r="R399" s="91">
        <v>66.900000000000006</v>
      </c>
      <c r="S399" s="91">
        <v>65.27</v>
      </c>
      <c r="T399" s="91">
        <v>65.31</v>
      </c>
      <c r="U399" s="91">
        <v>66.650000000000006</v>
      </c>
    </row>
    <row r="400" spans="1:21" x14ac:dyDescent="0.2">
      <c r="A400" s="48">
        <f t="shared" si="6"/>
        <v>392</v>
      </c>
      <c r="B400" s="43">
        <v>11</v>
      </c>
      <c r="C400" s="43">
        <v>22</v>
      </c>
      <c r="D400" s="38" t="s">
        <v>1040</v>
      </c>
      <c r="E400" s="44" t="s">
        <v>169</v>
      </c>
      <c r="F400" s="44" t="s">
        <v>5</v>
      </c>
      <c r="G400" s="44" t="s">
        <v>108</v>
      </c>
      <c r="H400" s="44" t="s">
        <v>164</v>
      </c>
      <c r="I400" s="44" t="s">
        <v>165</v>
      </c>
      <c r="J400" s="44" t="s">
        <v>9</v>
      </c>
      <c r="K400" s="44" t="s">
        <v>117</v>
      </c>
      <c r="L400" s="40">
        <v>22770</v>
      </c>
      <c r="M400" s="41">
        <v>42250</v>
      </c>
      <c r="N400" s="40" t="s">
        <v>110</v>
      </c>
      <c r="O400" s="42">
        <v>42583</v>
      </c>
      <c r="P400" s="40">
        <v>58</v>
      </c>
      <c r="Q400" s="91">
        <v>64.8</v>
      </c>
      <c r="R400" s="91">
        <v>66.349999999999994</v>
      </c>
      <c r="S400" s="91">
        <v>64.260000000000005</v>
      </c>
      <c r="T400" s="91">
        <v>64.78</v>
      </c>
      <c r="U400" s="91">
        <v>66.11</v>
      </c>
    </row>
    <row r="401" spans="1:21" x14ac:dyDescent="0.2">
      <c r="A401" s="48">
        <f t="shared" si="6"/>
        <v>393</v>
      </c>
      <c r="B401" s="43">
        <v>11</v>
      </c>
      <c r="C401" s="43">
        <v>23</v>
      </c>
      <c r="D401" s="38" t="s">
        <v>1041</v>
      </c>
      <c r="E401" s="44" t="s">
        <v>171</v>
      </c>
      <c r="F401" s="44" t="s">
        <v>5</v>
      </c>
      <c r="G401" s="44" t="s">
        <v>108</v>
      </c>
      <c r="H401" s="44" t="s">
        <v>11</v>
      </c>
      <c r="I401" s="44" t="s">
        <v>11</v>
      </c>
      <c r="J401" s="44" t="s">
        <v>6</v>
      </c>
      <c r="K401" s="44" t="s">
        <v>128</v>
      </c>
      <c r="L401" s="40">
        <v>22771</v>
      </c>
      <c r="M401" s="41">
        <v>42250</v>
      </c>
      <c r="N401" s="40" t="s">
        <v>110</v>
      </c>
      <c r="O401" s="42">
        <v>42583</v>
      </c>
      <c r="P401" s="40">
        <v>58</v>
      </c>
      <c r="Q401" s="91">
        <v>70.33</v>
      </c>
      <c r="R401" s="91">
        <v>70.13</v>
      </c>
      <c r="S401" s="91">
        <v>68.47</v>
      </c>
      <c r="T401" s="91">
        <v>68.86</v>
      </c>
      <c r="U401" s="91">
        <v>71.5</v>
      </c>
    </row>
    <row r="402" spans="1:21" x14ac:dyDescent="0.2">
      <c r="A402" s="48">
        <f t="shared" si="6"/>
        <v>394</v>
      </c>
      <c r="B402" s="43">
        <v>11</v>
      </c>
      <c r="C402" s="43">
        <v>24</v>
      </c>
      <c r="D402" s="38" t="s">
        <v>1042</v>
      </c>
      <c r="E402" s="44" t="s">
        <v>173</v>
      </c>
      <c r="F402" s="44" t="s">
        <v>5</v>
      </c>
      <c r="G402" s="44" t="s">
        <v>108</v>
      </c>
      <c r="H402" s="44" t="s">
        <v>10</v>
      </c>
      <c r="I402" s="44" t="s">
        <v>174</v>
      </c>
      <c r="J402" s="44" t="s">
        <v>7</v>
      </c>
      <c r="K402" s="44" t="s">
        <v>123</v>
      </c>
      <c r="L402" s="40">
        <v>22772</v>
      </c>
      <c r="M402" s="41">
        <v>42250</v>
      </c>
      <c r="N402" s="40" t="s">
        <v>110</v>
      </c>
      <c r="O402" s="42">
        <v>42583</v>
      </c>
      <c r="P402" s="40">
        <v>58</v>
      </c>
      <c r="Q402" s="91">
        <v>68.28</v>
      </c>
      <c r="R402" s="91">
        <v>68.2</v>
      </c>
      <c r="S402" s="91">
        <v>66.39</v>
      </c>
      <c r="T402" s="91">
        <v>66.3</v>
      </c>
      <c r="U402" s="91">
        <v>67.39</v>
      </c>
    </row>
    <row r="403" spans="1:21" x14ac:dyDescent="0.2">
      <c r="A403" s="48">
        <f t="shared" si="6"/>
        <v>395</v>
      </c>
      <c r="B403" s="43">
        <v>11</v>
      </c>
      <c r="C403" s="43">
        <v>25</v>
      </c>
      <c r="D403" s="38" t="s">
        <v>1043</v>
      </c>
      <c r="E403" s="44" t="s">
        <v>176</v>
      </c>
      <c r="F403" s="44" t="s">
        <v>5</v>
      </c>
      <c r="G403" s="44" t="s">
        <v>108</v>
      </c>
      <c r="H403" s="44" t="s">
        <v>10</v>
      </c>
      <c r="I403" s="44" t="s">
        <v>174</v>
      </c>
      <c r="J403" s="44" t="s">
        <v>8</v>
      </c>
      <c r="K403" s="44" t="s">
        <v>120</v>
      </c>
      <c r="L403" s="40">
        <v>22773</v>
      </c>
      <c r="M403" s="41">
        <v>42250</v>
      </c>
      <c r="N403" s="40" t="s">
        <v>110</v>
      </c>
      <c r="O403" s="42">
        <v>42583</v>
      </c>
      <c r="P403" s="40">
        <v>58</v>
      </c>
      <c r="Q403" s="91">
        <v>69.349999999999994</v>
      </c>
      <c r="R403" s="91">
        <v>69.44</v>
      </c>
      <c r="S403" s="91">
        <v>67.55</v>
      </c>
      <c r="T403" s="91">
        <v>67.540000000000006</v>
      </c>
      <c r="U403" s="91">
        <v>68.63</v>
      </c>
    </row>
    <row r="404" spans="1:21" x14ac:dyDescent="0.2">
      <c r="A404" s="48">
        <f t="shared" si="6"/>
        <v>396</v>
      </c>
      <c r="B404" s="43">
        <v>11</v>
      </c>
      <c r="C404" s="43">
        <v>26</v>
      </c>
      <c r="D404" s="38" t="s">
        <v>1044</v>
      </c>
      <c r="E404" s="44" t="s">
        <v>178</v>
      </c>
      <c r="F404" s="44" t="s">
        <v>5</v>
      </c>
      <c r="G404" s="44" t="s">
        <v>108</v>
      </c>
      <c r="H404" s="44" t="s">
        <v>10</v>
      </c>
      <c r="I404" s="44" t="s">
        <v>174</v>
      </c>
      <c r="J404" s="44" t="s">
        <v>9</v>
      </c>
      <c r="K404" s="44" t="s">
        <v>117</v>
      </c>
      <c r="L404" s="40">
        <v>22774</v>
      </c>
      <c r="M404" s="41">
        <v>42250</v>
      </c>
      <c r="N404" s="40" t="s">
        <v>110</v>
      </c>
      <c r="O404" s="42">
        <v>42583</v>
      </c>
      <c r="P404" s="40">
        <v>58</v>
      </c>
      <c r="Q404" s="91">
        <v>68.19</v>
      </c>
      <c r="R404" s="91">
        <v>69.459999999999994</v>
      </c>
      <c r="S404" s="91">
        <v>67.12</v>
      </c>
      <c r="T404" s="91">
        <v>67.56</v>
      </c>
      <c r="U404" s="91">
        <v>68.680000000000007</v>
      </c>
    </row>
    <row r="405" spans="1:21" x14ac:dyDescent="0.2">
      <c r="A405" s="48">
        <f t="shared" si="6"/>
        <v>397</v>
      </c>
      <c r="B405" s="43">
        <v>11</v>
      </c>
      <c r="C405" s="43">
        <v>27</v>
      </c>
      <c r="D405" s="38" t="s">
        <v>1045</v>
      </c>
      <c r="E405" s="44" t="s">
        <v>180</v>
      </c>
      <c r="F405" s="44" t="s">
        <v>5</v>
      </c>
      <c r="G405" s="44" t="s">
        <v>108</v>
      </c>
      <c r="H405" s="44" t="s">
        <v>91</v>
      </c>
      <c r="I405" s="44" t="s">
        <v>181</v>
      </c>
      <c r="J405" s="44" t="s">
        <v>6</v>
      </c>
      <c r="K405" s="44" t="s">
        <v>128</v>
      </c>
      <c r="L405" s="40">
        <v>22775</v>
      </c>
      <c r="M405" s="41">
        <v>42250</v>
      </c>
      <c r="N405" s="40" t="s">
        <v>110</v>
      </c>
      <c r="O405" s="42">
        <v>42583</v>
      </c>
      <c r="P405" s="40">
        <v>58</v>
      </c>
      <c r="Q405" s="91">
        <v>72.040000000000006</v>
      </c>
      <c r="R405" s="91">
        <v>72.78</v>
      </c>
      <c r="S405" s="91">
        <v>71.86</v>
      </c>
      <c r="T405" s="91">
        <v>72.38</v>
      </c>
      <c r="U405" s="91">
        <v>73.959999999999994</v>
      </c>
    </row>
    <row r="406" spans="1:21" x14ac:dyDescent="0.2">
      <c r="A406" s="48">
        <f t="shared" si="6"/>
        <v>398</v>
      </c>
      <c r="B406" s="43">
        <v>11</v>
      </c>
      <c r="C406" s="43">
        <v>28</v>
      </c>
      <c r="D406" s="38" t="s">
        <v>1046</v>
      </c>
      <c r="E406" s="44" t="s">
        <v>183</v>
      </c>
      <c r="F406" s="44" t="s">
        <v>37</v>
      </c>
      <c r="G406" s="44" t="s">
        <v>108</v>
      </c>
      <c r="H406" s="44" t="s">
        <v>42</v>
      </c>
      <c r="I406" s="44" t="s">
        <v>42</v>
      </c>
      <c r="J406" s="44" t="s">
        <v>6</v>
      </c>
      <c r="K406" s="44" t="s">
        <v>128</v>
      </c>
      <c r="L406" s="40">
        <v>22776</v>
      </c>
      <c r="M406" s="41">
        <v>42250</v>
      </c>
      <c r="N406" s="40" t="s">
        <v>110</v>
      </c>
      <c r="O406" s="42">
        <v>42583</v>
      </c>
      <c r="P406" s="40">
        <v>58</v>
      </c>
      <c r="Q406" s="91">
        <v>81.599999999999994</v>
      </c>
      <c r="R406" s="91">
        <v>81.52</v>
      </c>
      <c r="S406" s="91">
        <v>79.48</v>
      </c>
      <c r="T406" s="91">
        <v>79.459999999999994</v>
      </c>
      <c r="U406" s="91">
        <v>80.23</v>
      </c>
    </row>
    <row r="407" spans="1:21" x14ac:dyDescent="0.2">
      <c r="A407" s="48">
        <f t="shared" si="6"/>
        <v>399</v>
      </c>
      <c r="B407" s="43">
        <v>11</v>
      </c>
      <c r="C407" s="43">
        <v>29</v>
      </c>
      <c r="D407" s="38" t="s">
        <v>1047</v>
      </c>
      <c r="E407" s="44" t="s">
        <v>185</v>
      </c>
      <c r="F407" s="44" t="s">
        <v>37</v>
      </c>
      <c r="G407" s="44" t="s">
        <v>108</v>
      </c>
      <c r="H407" s="44" t="s">
        <v>42</v>
      </c>
      <c r="I407" s="44" t="s">
        <v>42</v>
      </c>
      <c r="J407" s="44" t="s">
        <v>43</v>
      </c>
      <c r="K407" s="44" t="s">
        <v>186</v>
      </c>
      <c r="L407" s="40">
        <v>22777</v>
      </c>
      <c r="M407" s="41">
        <v>42250</v>
      </c>
      <c r="N407" s="40" t="s">
        <v>110</v>
      </c>
      <c r="O407" s="42">
        <v>42583</v>
      </c>
      <c r="P407" s="40">
        <v>58</v>
      </c>
      <c r="Q407" s="91">
        <v>79.83</v>
      </c>
      <c r="R407" s="91">
        <v>79.31</v>
      </c>
      <c r="S407" s="91">
        <v>77.41</v>
      </c>
      <c r="T407" s="91">
        <v>77.239999999999995</v>
      </c>
      <c r="U407" s="91">
        <v>77.98</v>
      </c>
    </row>
    <row r="408" spans="1:21" x14ac:dyDescent="0.2">
      <c r="A408" s="48">
        <f t="shared" si="6"/>
        <v>400</v>
      </c>
      <c r="B408" s="43">
        <v>11</v>
      </c>
      <c r="C408" s="43">
        <v>30</v>
      </c>
      <c r="D408" s="38" t="s">
        <v>1048</v>
      </c>
      <c r="E408" s="44" t="s">
        <v>188</v>
      </c>
      <c r="F408" s="44" t="s">
        <v>37</v>
      </c>
      <c r="G408" s="44" t="s">
        <v>108</v>
      </c>
      <c r="H408" s="44" t="s">
        <v>42</v>
      </c>
      <c r="I408" s="44" t="s">
        <v>42</v>
      </c>
      <c r="J408" s="44" t="s">
        <v>44</v>
      </c>
      <c r="K408" s="44" t="s">
        <v>44</v>
      </c>
      <c r="L408" s="40">
        <v>22778</v>
      </c>
      <c r="M408" s="41">
        <v>42250</v>
      </c>
      <c r="N408" s="40" t="s">
        <v>110</v>
      </c>
      <c r="O408" s="42">
        <v>42583</v>
      </c>
      <c r="P408" s="40">
        <v>58</v>
      </c>
      <c r="Q408" s="91">
        <v>78.47</v>
      </c>
      <c r="R408" s="91">
        <v>79.010000000000005</v>
      </c>
      <c r="S408" s="91">
        <v>76.930000000000007</v>
      </c>
      <c r="T408" s="91">
        <v>77.05</v>
      </c>
      <c r="U408" s="91">
        <v>77.849999999999994</v>
      </c>
    </row>
    <row r="409" spans="1:21" x14ac:dyDescent="0.2">
      <c r="A409" s="48">
        <f t="shared" si="6"/>
        <v>401</v>
      </c>
      <c r="B409" s="43">
        <v>11</v>
      </c>
      <c r="C409" s="43">
        <v>31</v>
      </c>
      <c r="D409" s="38" t="s">
        <v>1049</v>
      </c>
      <c r="E409" s="44" t="s">
        <v>190</v>
      </c>
      <c r="F409" s="44" t="s">
        <v>37</v>
      </c>
      <c r="G409" s="44" t="s">
        <v>108</v>
      </c>
      <c r="H409" s="44" t="s">
        <v>45</v>
      </c>
      <c r="I409" s="44" t="s">
        <v>45</v>
      </c>
      <c r="J409" s="44" t="s">
        <v>6</v>
      </c>
      <c r="K409" s="44" t="s">
        <v>128</v>
      </c>
      <c r="L409" s="40">
        <v>22779</v>
      </c>
      <c r="M409" s="41">
        <v>42250</v>
      </c>
      <c r="N409" s="40" t="s">
        <v>110</v>
      </c>
      <c r="O409" s="42">
        <v>42583</v>
      </c>
      <c r="P409" s="40">
        <v>58</v>
      </c>
      <c r="Q409" s="91">
        <v>71.64</v>
      </c>
      <c r="R409" s="91">
        <v>70.66</v>
      </c>
      <c r="S409" s="91">
        <v>71.62</v>
      </c>
      <c r="T409" s="91">
        <v>71.87</v>
      </c>
      <c r="U409" s="91">
        <v>74.150000000000006</v>
      </c>
    </row>
    <row r="410" spans="1:21" x14ac:dyDescent="0.2">
      <c r="A410" s="48">
        <f t="shared" si="6"/>
        <v>402</v>
      </c>
      <c r="B410" s="43">
        <v>11</v>
      </c>
      <c r="C410" s="43">
        <v>32</v>
      </c>
      <c r="D410" s="38" t="s">
        <v>1050</v>
      </c>
      <c r="E410" s="44" t="s">
        <v>192</v>
      </c>
      <c r="F410" s="44" t="s">
        <v>5</v>
      </c>
      <c r="G410" s="44" t="s">
        <v>108</v>
      </c>
      <c r="H410" s="44" t="s">
        <v>12</v>
      </c>
      <c r="I410" s="44" t="s">
        <v>12</v>
      </c>
      <c r="J410" s="44" t="s">
        <v>13</v>
      </c>
      <c r="K410" s="44" t="s">
        <v>117</v>
      </c>
      <c r="L410" s="40">
        <v>22780</v>
      </c>
      <c r="M410" s="41">
        <v>42250</v>
      </c>
      <c r="N410" s="40" t="s">
        <v>110</v>
      </c>
      <c r="O410" s="42">
        <v>42583</v>
      </c>
      <c r="P410" s="40">
        <v>58</v>
      </c>
      <c r="Q410" s="91">
        <v>74.790000000000006</v>
      </c>
      <c r="R410" s="91">
        <v>74.95</v>
      </c>
      <c r="S410" s="91">
        <v>72.92</v>
      </c>
      <c r="T410" s="91">
        <v>72.819999999999993</v>
      </c>
      <c r="U410" s="91">
        <v>73.88</v>
      </c>
    </row>
    <row r="411" spans="1:21" x14ac:dyDescent="0.2">
      <c r="A411" s="48">
        <f t="shared" si="6"/>
        <v>403</v>
      </c>
      <c r="B411" s="43">
        <v>11</v>
      </c>
      <c r="C411" s="43">
        <v>33</v>
      </c>
      <c r="D411" s="38" t="s">
        <v>1051</v>
      </c>
      <c r="E411" s="44" t="s">
        <v>194</v>
      </c>
      <c r="F411" s="44" t="s">
        <v>5</v>
      </c>
      <c r="G411" s="44" t="s">
        <v>108</v>
      </c>
      <c r="H411" s="44" t="s">
        <v>12</v>
      </c>
      <c r="I411" s="44" t="s">
        <v>12</v>
      </c>
      <c r="J411" s="44" t="s">
        <v>14</v>
      </c>
      <c r="K411" s="44" t="s">
        <v>123</v>
      </c>
      <c r="L411" s="40">
        <v>22781</v>
      </c>
      <c r="M411" s="41">
        <v>42250</v>
      </c>
      <c r="N411" s="40" t="s">
        <v>110</v>
      </c>
      <c r="O411" s="42">
        <v>42583</v>
      </c>
      <c r="P411" s="40">
        <v>58</v>
      </c>
      <c r="Q411" s="91">
        <v>76.16</v>
      </c>
      <c r="R411" s="91">
        <v>75.849999999999994</v>
      </c>
      <c r="S411" s="91">
        <v>74</v>
      </c>
      <c r="T411" s="91">
        <v>73.760000000000005</v>
      </c>
      <c r="U411" s="91">
        <v>74.849999999999994</v>
      </c>
    </row>
    <row r="412" spans="1:21" x14ac:dyDescent="0.2">
      <c r="A412" s="48">
        <f t="shared" si="6"/>
        <v>404</v>
      </c>
      <c r="B412" s="43">
        <v>11</v>
      </c>
      <c r="C412" s="43">
        <v>34</v>
      </c>
      <c r="D412" s="38" t="s">
        <v>1052</v>
      </c>
      <c r="E412" s="44" t="s">
        <v>196</v>
      </c>
      <c r="F412" s="44" t="s">
        <v>29</v>
      </c>
      <c r="G412" s="44" t="s">
        <v>108</v>
      </c>
      <c r="H412" s="44" t="s">
        <v>34</v>
      </c>
      <c r="I412" s="44" t="s">
        <v>34</v>
      </c>
      <c r="J412" s="44" t="s">
        <v>35</v>
      </c>
      <c r="K412" s="44" t="s">
        <v>197</v>
      </c>
      <c r="L412" s="40">
        <v>22782</v>
      </c>
      <c r="M412" s="41">
        <v>42250</v>
      </c>
      <c r="N412" s="40" t="s">
        <v>110</v>
      </c>
      <c r="O412" s="42">
        <v>42583</v>
      </c>
      <c r="P412" s="40">
        <v>58</v>
      </c>
      <c r="Q412" s="91">
        <v>106.5</v>
      </c>
      <c r="R412" s="91">
        <v>106.58</v>
      </c>
      <c r="S412" s="91">
        <v>105.09</v>
      </c>
      <c r="T412" s="91">
        <v>104.94</v>
      </c>
      <c r="U412" s="91">
        <v>105.85</v>
      </c>
    </row>
    <row r="413" spans="1:21" x14ac:dyDescent="0.2">
      <c r="A413" s="48">
        <f t="shared" si="6"/>
        <v>405</v>
      </c>
      <c r="B413" s="43">
        <v>11</v>
      </c>
      <c r="C413" s="43">
        <v>35</v>
      </c>
      <c r="D413" s="38" t="s">
        <v>1053</v>
      </c>
      <c r="E413" s="44" t="s">
        <v>199</v>
      </c>
      <c r="F413" s="44" t="s">
        <v>29</v>
      </c>
      <c r="G413" s="44" t="s">
        <v>108</v>
      </c>
      <c r="H413" s="44" t="s">
        <v>34</v>
      </c>
      <c r="I413" s="44" t="s">
        <v>34</v>
      </c>
      <c r="J413" s="44" t="s">
        <v>36</v>
      </c>
      <c r="K413" s="44" t="s">
        <v>200</v>
      </c>
      <c r="L413" s="40">
        <v>22783</v>
      </c>
      <c r="M413" s="41">
        <v>42250</v>
      </c>
      <c r="N413" s="40" t="s">
        <v>110</v>
      </c>
      <c r="O413" s="42">
        <v>42583</v>
      </c>
      <c r="P413" s="40">
        <v>58</v>
      </c>
      <c r="Q413" s="91">
        <v>105.71</v>
      </c>
      <c r="R413" s="91">
        <v>105.27</v>
      </c>
      <c r="S413" s="91">
        <v>103.79</v>
      </c>
      <c r="T413" s="91">
        <v>103.5</v>
      </c>
      <c r="U413" s="91">
        <v>104.37</v>
      </c>
    </row>
    <row r="414" spans="1:21" x14ac:dyDescent="0.2">
      <c r="A414" s="48">
        <f t="shared" si="6"/>
        <v>406</v>
      </c>
      <c r="B414" s="43">
        <v>11</v>
      </c>
      <c r="C414" s="43">
        <v>36</v>
      </c>
      <c r="D414" s="38" t="s">
        <v>1054</v>
      </c>
      <c r="E414" s="44" t="s">
        <v>202</v>
      </c>
      <c r="F414" s="44" t="s">
        <v>5</v>
      </c>
      <c r="G414" s="44" t="s">
        <v>108</v>
      </c>
      <c r="H414" s="44" t="s">
        <v>15</v>
      </c>
      <c r="I414" s="44" t="s">
        <v>203</v>
      </c>
      <c r="J414" s="44" t="s">
        <v>16</v>
      </c>
      <c r="K414" s="44" t="s">
        <v>128</v>
      </c>
      <c r="L414" s="40">
        <v>22784</v>
      </c>
      <c r="M414" s="41">
        <v>42250</v>
      </c>
      <c r="N414" s="40" t="s">
        <v>110</v>
      </c>
      <c r="O414" s="42">
        <v>42583</v>
      </c>
      <c r="P414" s="40">
        <v>58</v>
      </c>
      <c r="Q414" s="91">
        <v>68.37</v>
      </c>
      <c r="R414" s="91">
        <v>69.33</v>
      </c>
      <c r="S414" s="91">
        <v>69.42</v>
      </c>
      <c r="T414" s="91">
        <v>70.239999999999995</v>
      </c>
      <c r="U414" s="91">
        <v>72.27</v>
      </c>
    </row>
    <row r="415" spans="1:21" x14ac:dyDescent="0.2">
      <c r="A415" s="48">
        <f t="shared" si="6"/>
        <v>407</v>
      </c>
      <c r="B415" s="20"/>
      <c r="C415" s="20"/>
      <c r="D415" s="20"/>
    </row>
    <row r="416" spans="1:21" x14ac:dyDescent="0.2">
      <c r="A416" s="48">
        <f t="shared" si="6"/>
        <v>408</v>
      </c>
      <c r="B416" s="43">
        <v>12</v>
      </c>
      <c r="C416" s="43">
        <v>1</v>
      </c>
      <c r="D416" s="38" t="s">
        <v>1055</v>
      </c>
      <c r="E416" s="44" t="s">
        <v>107</v>
      </c>
      <c r="F416" s="44" t="s">
        <v>29</v>
      </c>
      <c r="G416" s="44" t="s">
        <v>108</v>
      </c>
      <c r="H416" s="44" t="s">
        <v>30</v>
      </c>
      <c r="I416" s="44" t="s">
        <v>30</v>
      </c>
      <c r="J416" s="44" t="s">
        <v>31</v>
      </c>
      <c r="K416" s="44" t="s">
        <v>109</v>
      </c>
      <c r="L416" s="40">
        <v>22749</v>
      </c>
      <c r="M416" s="41">
        <v>42250</v>
      </c>
      <c r="N416" s="40" t="s">
        <v>110</v>
      </c>
      <c r="O416" s="42">
        <v>42614</v>
      </c>
      <c r="P416" s="40">
        <v>59</v>
      </c>
      <c r="Q416" s="91">
        <v>100.94</v>
      </c>
      <c r="R416" s="91">
        <v>93.68</v>
      </c>
      <c r="S416" s="91">
        <v>93.81</v>
      </c>
      <c r="T416" s="91">
        <v>92.68</v>
      </c>
      <c r="U416" s="91">
        <v>95.02</v>
      </c>
    </row>
    <row r="417" spans="1:21" x14ac:dyDescent="0.2">
      <c r="A417" s="48">
        <f t="shared" si="6"/>
        <v>409</v>
      </c>
      <c r="B417" s="43">
        <v>12</v>
      </c>
      <c r="C417" s="43">
        <v>2</v>
      </c>
      <c r="D417" s="38" t="s">
        <v>1056</v>
      </c>
      <c r="E417" s="44" t="s">
        <v>112</v>
      </c>
      <c r="F417" s="44" t="s">
        <v>29</v>
      </c>
      <c r="G417" s="44" t="s">
        <v>108</v>
      </c>
      <c r="H417" s="44" t="s">
        <v>30</v>
      </c>
      <c r="I417" s="44" t="s">
        <v>30</v>
      </c>
      <c r="J417" s="44" t="s">
        <v>32</v>
      </c>
      <c r="K417" s="44" t="s">
        <v>113</v>
      </c>
      <c r="L417" s="40">
        <v>22750</v>
      </c>
      <c r="M417" s="41">
        <v>42250</v>
      </c>
      <c r="N417" s="40" t="s">
        <v>110</v>
      </c>
      <c r="O417" s="42">
        <v>42614</v>
      </c>
      <c r="P417" s="40">
        <v>59</v>
      </c>
      <c r="Q417" s="91">
        <v>99.21</v>
      </c>
      <c r="R417" s="91">
        <v>93.38</v>
      </c>
      <c r="S417" s="91">
        <v>92.86</v>
      </c>
      <c r="T417" s="91">
        <v>90.62</v>
      </c>
      <c r="U417" s="91">
        <v>91.59</v>
      </c>
    </row>
    <row r="418" spans="1:21" x14ac:dyDescent="0.2">
      <c r="A418" s="48">
        <f t="shared" si="6"/>
        <v>410</v>
      </c>
      <c r="B418" s="43">
        <v>12</v>
      </c>
      <c r="C418" s="43">
        <v>3</v>
      </c>
      <c r="D418" s="38" t="s">
        <v>1057</v>
      </c>
      <c r="E418" s="44" t="s">
        <v>115</v>
      </c>
      <c r="F418" s="44" t="s">
        <v>18</v>
      </c>
      <c r="G418" s="44" t="s">
        <v>108</v>
      </c>
      <c r="H418" s="44" t="s">
        <v>61</v>
      </c>
      <c r="I418" s="44" t="s">
        <v>116</v>
      </c>
      <c r="J418" s="44" t="s">
        <v>13</v>
      </c>
      <c r="K418" s="44" t="s">
        <v>117</v>
      </c>
      <c r="L418" s="40">
        <v>22751</v>
      </c>
      <c r="M418" s="41">
        <v>42250</v>
      </c>
      <c r="N418" s="40" t="s">
        <v>110</v>
      </c>
      <c r="O418" s="42">
        <v>42614</v>
      </c>
      <c r="P418" s="40">
        <v>59</v>
      </c>
      <c r="Q418" s="91">
        <v>57.61</v>
      </c>
      <c r="R418" s="91">
        <v>57.27</v>
      </c>
      <c r="S418" s="91">
        <v>57.94</v>
      </c>
      <c r="T418" s="91">
        <v>58.42</v>
      </c>
      <c r="U418" s="91">
        <v>60.79</v>
      </c>
    </row>
    <row r="419" spans="1:21" x14ac:dyDescent="0.2">
      <c r="A419" s="48">
        <f t="shared" si="6"/>
        <v>411</v>
      </c>
      <c r="B419" s="43">
        <v>12</v>
      </c>
      <c r="C419" s="43">
        <v>4</v>
      </c>
      <c r="D419" s="38" t="s">
        <v>1058</v>
      </c>
      <c r="E419" s="44" t="s">
        <v>119</v>
      </c>
      <c r="F419" s="44" t="s">
        <v>18</v>
      </c>
      <c r="G419" s="44" t="s">
        <v>108</v>
      </c>
      <c r="H419" s="44" t="s">
        <v>61</v>
      </c>
      <c r="I419" s="44" t="s">
        <v>116</v>
      </c>
      <c r="J419" s="44" t="s">
        <v>19</v>
      </c>
      <c r="K419" s="44" t="s">
        <v>120</v>
      </c>
      <c r="L419" s="40">
        <v>22752</v>
      </c>
      <c r="M419" s="41">
        <v>42250</v>
      </c>
      <c r="N419" s="40" t="s">
        <v>110</v>
      </c>
      <c r="O419" s="42">
        <v>42614</v>
      </c>
      <c r="P419" s="40">
        <v>59</v>
      </c>
      <c r="Q419" s="91">
        <v>59.65</v>
      </c>
      <c r="R419" s="91">
        <v>58.91</v>
      </c>
      <c r="S419" s="91">
        <v>59.73</v>
      </c>
      <c r="T419" s="91">
        <v>60.04</v>
      </c>
      <c r="U419" s="91">
        <v>62.39</v>
      </c>
    </row>
    <row r="420" spans="1:21" x14ac:dyDescent="0.2">
      <c r="A420" s="48">
        <f t="shared" si="6"/>
        <v>412</v>
      </c>
      <c r="B420" s="43">
        <v>12</v>
      </c>
      <c r="C420" s="43">
        <v>5</v>
      </c>
      <c r="D420" s="38" t="s">
        <v>1059</v>
      </c>
      <c r="E420" s="44" t="s">
        <v>122</v>
      </c>
      <c r="F420" s="44" t="s">
        <v>18</v>
      </c>
      <c r="G420" s="44" t="s">
        <v>108</v>
      </c>
      <c r="H420" s="44" t="s">
        <v>61</v>
      </c>
      <c r="I420" s="44" t="s">
        <v>116</v>
      </c>
      <c r="J420" s="44" t="s">
        <v>14</v>
      </c>
      <c r="K420" s="44" t="s">
        <v>123</v>
      </c>
      <c r="L420" s="40">
        <v>22753</v>
      </c>
      <c r="M420" s="41">
        <v>42250</v>
      </c>
      <c r="N420" s="40" t="s">
        <v>110</v>
      </c>
      <c r="O420" s="42">
        <v>42614</v>
      </c>
      <c r="P420" s="40">
        <v>59</v>
      </c>
      <c r="Q420" s="91">
        <v>58.93</v>
      </c>
      <c r="R420" s="91">
        <v>57.91</v>
      </c>
      <c r="S420" s="91">
        <v>58.79</v>
      </c>
      <c r="T420" s="91">
        <v>59.02</v>
      </c>
      <c r="U420" s="91">
        <v>61.35</v>
      </c>
    </row>
    <row r="421" spans="1:21" x14ac:dyDescent="0.2">
      <c r="A421" s="48">
        <f t="shared" si="6"/>
        <v>413</v>
      </c>
      <c r="B421" s="43">
        <v>12</v>
      </c>
      <c r="C421" s="43">
        <v>6</v>
      </c>
      <c r="D421" s="38" t="s">
        <v>1060</v>
      </c>
      <c r="E421" s="44" t="s">
        <v>125</v>
      </c>
      <c r="F421" s="44" t="s">
        <v>23</v>
      </c>
      <c r="G421" s="44" t="s">
        <v>126</v>
      </c>
      <c r="H421" s="44" t="s">
        <v>127</v>
      </c>
      <c r="I421" s="44" t="s">
        <v>27</v>
      </c>
      <c r="J421" s="44" t="s">
        <v>28</v>
      </c>
      <c r="K421" s="44" t="s">
        <v>128</v>
      </c>
      <c r="L421" s="40">
        <v>22754</v>
      </c>
      <c r="M421" s="41">
        <v>42250</v>
      </c>
      <c r="N421" s="40" t="s">
        <v>110</v>
      </c>
      <c r="O421" s="42">
        <v>42614</v>
      </c>
      <c r="P421" s="40">
        <v>59</v>
      </c>
      <c r="Q421" s="91">
        <v>63.36</v>
      </c>
      <c r="R421" s="91">
        <v>62.21</v>
      </c>
      <c r="S421" s="91">
        <v>63.15</v>
      </c>
      <c r="T421" s="91">
        <v>63.31</v>
      </c>
      <c r="U421" s="91">
        <v>64.47</v>
      </c>
    </row>
    <row r="422" spans="1:21" x14ac:dyDescent="0.2">
      <c r="A422" s="48">
        <f t="shared" si="6"/>
        <v>414</v>
      </c>
      <c r="B422" s="43">
        <v>12</v>
      </c>
      <c r="C422" s="43">
        <v>7</v>
      </c>
      <c r="D422" s="38" t="s">
        <v>1061</v>
      </c>
      <c r="E422" s="44" t="s">
        <v>130</v>
      </c>
      <c r="F422" s="44" t="s">
        <v>37</v>
      </c>
      <c r="G422" s="44" t="s">
        <v>108</v>
      </c>
      <c r="H422" s="44" t="s">
        <v>38</v>
      </c>
      <c r="I422" s="44" t="s">
        <v>38</v>
      </c>
      <c r="J422" s="44" t="s">
        <v>40</v>
      </c>
      <c r="K422" s="44" t="s">
        <v>123</v>
      </c>
      <c r="L422" s="40">
        <v>22756</v>
      </c>
      <c r="M422" s="41">
        <v>42250</v>
      </c>
      <c r="N422" s="40" t="s">
        <v>110</v>
      </c>
      <c r="O422" s="42">
        <v>42614</v>
      </c>
      <c r="P422" s="40">
        <v>59</v>
      </c>
      <c r="Q422" s="91">
        <v>84.98</v>
      </c>
      <c r="R422" s="91">
        <v>81.84</v>
      </c>
      <c r="S422" s="91">
        <v>81.02</v>
      </c>
      <c r="T422" s="91">
        <v>80.209999999999994</v>
      </c>
      <c r="U422" s="91">
        <v>81.05</v>
      </c>
    </row>
    <row r="423" spans="1:21" x14ac:dyDescent="0.2">
      <c r="A423" s="48">
        <f t="shared" si="6"/>
        <v>415</v>
      </c>
      <c r="B423" s="43">
        <v>12</v>
      </c>
      <c r="C423" s="43">
        <v>8</v>
      </c>
      <c r="D423" s="38" t="s">
        <v>1062</v>
      </c>
      <c r="E423" s="44" t="s">
        <v>132</v>
      </c>
      <c r="F423" s="44" t="s">
        <v>37</v>
      </c>
      <c r="G423" s="44" t="s">
        <v>108</v>
      </c>
      <c r="H423" s="44" t="s">
        <v>38</v>
      </c>
      <c r="I423" s="44" t="s">
        <v>38</v>
      </c>
      <c r="J423" s="44" t="s">
        <v>39</v>
      </c>
      <c r="K423" s="44" t="s">
        <v>120</v>
      </c>
      <c r="L423" s="40">
        <v>22755</v>
      </c>
      <c r="M423" s="41">
        <v>42250</v>
      </c>
      <c r="N423" s="40" t="s">
        <v>110</v>
      </c>
      <c r="O423" s="42">
        <v>42614</v>
      </c>
      <c r="P423" s="40">
        <v>59</v>
      </c>
      <c r="Q423" s="91">
        <v>85.62</v>
      </c>
      <c r="R423" s="91">
        <v>82.77</v>
      </c>
      <c r="S423" s="91">
        <v>81.99</v>
      </c>
      <c r="T423" s="91">
        <v>81.23</v>
      </c>
      <c r="U423" s="91">
        <v>82.09</v>
      </c>
    </row>
    <row r="424" spans="1:21" x14ac:dyDescent="0.2">
      <c r="A424" s="48">
        <f t="shared" si="6"/>
        <v>416</v>
      </c>
      <c r="B424" s="43">
        <v>12</v>
      </c>
      <c r="C424" s="43">
        <v>9</v>
      </c>
      <c r="D424" s="38" t="s">
        <v>1063</v>
      </c>
      <c r="E424" s="44" t="s">
        <v>134</v>
      </c>
      <c r="F424" s="44" t="s">
        <v>37</v>
      </c>
      <c r="G424" s="44" t="s">
        <v>108</v>
      </c>
      <c r="H424" s="44" t="s">
        <v>38</v>
      </c>
      <c r="I424" s="44" t="s">
        <v>38</v>
      </c>
      <c r="J424" s="44" t="s">
        <v>6</v>
      </c>
      <c r="K424" s="44" t="s">
        <v>117</v>
      </c>
      <c r="L424" s="40">
        <v>22757</v>
      </c>
      <c r="M424" s="41">
        <v>42250</v>
      </c>
      <c r="N424" s="40" t="s">
        <v>110</v>
      </c>
      <c r="O424" s="42">
        <v>42614</v>
      </c>
      <c r="P424" s="40">
        <v>59</v>
      </c>
      <c r="Q424" s="91">
        <v>84.24</v>
      </c>
      <c r="R424" s="91">
        <v>81.150000000000006</v>
      </c>
      <c r="S424" s="91">
        <v>80.239999999999995</v>
      </c>
      <c r="T424" s="91">
        <v>79.42</v>
      </c>
      <c r="U424" s="91">
        <v>80.27</v>
      </c>
    </row>
    <row r="425" spans="1:21" x14ac:dyDescent="0.2">
      <c r="A425" s="48">
        <f t="shared" si="6"/>
        <v>417</v>
      </c>
      <c r="B425" s="43">
        <v>12</v>
      </c>
      <c r="C425" s="43">
        <v>10</v>
      </c>
      <c r="D425" s="38" t="s">
        <v>1064</v>
      </c>
      <c r="E425" s="44" t="s">
        <v>136</v>
      </c>
      <c r="F425" s="44" t="s">
        <v>23</v>
      </c>
      <c r="G425" s="44" t="s">
        <v>108</v>
      </c>
      <c r="H425" s="44" t="s">
        <v>137</v>
      </c>
      <c r="I425" s="44" t="s">
        <v>24</v>
      </c>
      <c r="J425" s="44" t="s">
        <v>25</v>
      </c>
      <c r="K425" s="44" t="s">
        <v>138</v>
      </c>
      <c r="L425" s="40">
        <v>22758</v>
      </c>
      <c r="M425" s="41">
        <v>42250</v>
      </c>
      <c r="N425" s="40" t="s">
        <v>110</v>
      </c>
      <c r="O425" s="42">
        <v>42614</v>
      </c>
      <c r="P425" s="40">
        <v>59</v>
      </c>
      <c r="Q425" s="91">
        <v>62.46</v>
      </c>
      <c r="R425" s="91">
        <v>63.07</v>
      </c>
      <c r="S425" s="91">
        <v>63.53</v>
      </c>
      <c r="T425" s="91">
        <v>64.87</v>
      </c>
      <c r="U425" s="91">
        <v>68.239999999999995</v>
      </c>
    </row>
    <row r="426" spans="1:21" x14ac:dyDescent="0.2">
      <c r="A426" s="48">
        <f t="shared" si="6"/>
        <v>418</v>
      </c>
      <c r="B426" s="43">
        <v>12</v>
      </c>
      <c r="C426" s="43">
        <v>11</v>
      </c>
      <c r="D426" s="38" t="s">
        <v>1065</v>
      </c>
      <c r="E426" s="44" t="s">
        <v>140</v>
      </c>
      <c r="F426" s="44" t="s">
        <v>23</v>
      </c>
      <c r="G426" s="44" t="s">
        <v>108</v>
      </c>
      <c r="H426" s="44" t="s">
        <v>137</v>
      </c>
      <c r="I426" s="44" t="s">
        <v>24</v>
      </c>
      <c r="J426" s="44" t="s">
        <v>26</v>
      </c>
      <c r="K426" s="44" t="s">
        <v>141</v>
      </c>
      <c r="L426" s="40">
        <v>22759</v>
      </c>
      <c r="M426" s="41">
        <v>42250</v>
      </c>
      <c r="N426" s="40" t="s">
        <v>110</v>
      </c>
      <c r="O426" s="42">
        <v>42614</v>
      </c>
      <c r="P426" s="40">
        <v>59</v>
      </c>
      <c r="Q426" s="91">
        <v>61.67</v>
      </c>
      <c r="R426" s="91">
        <v>62.27</v>
      </c>
      <c r="S426" s="91">
        <v>62.74</v>
      </c>
      <c r="T426" s="91">
        <v>64.069999999999993</v>
      </c>
      <c r="U426" s="91">
        <v>67.44</v>
      </c>
    </row>
    <row r="427" spans="1:21" x14ac:dyDescent="0.2">
      <c r="A427" s="48">
        <f t="shared" si="6"/>
        <v>419</v>
      </c>
      <c r="B427" s="43">
        <v>12</v>
      </c>
      <c r="C427" s="43">
        <v>12</v>
      </c>
      <c r="D427" s="38" t="s">
        <v>1066</v>
      </c>
      <c r="E427" s="44" t="s">
        <v>143</v>
      </c>
      <c r="F427" s="44" t="s">
        <v>18</v>
      </c>
      <c r="G427" s="44" t="s">
        <v>108</v>
      </c>
      <c r="H427" s="44" t="s">
        <v>94</v>
      </c>
      <c r="I427" s="44" t="s">
        <v>144</v>
      </c>
      <c r="J427" s="44" t="s">
        <v>20</v>
      </c>
      <c r="K427" s="44" t="s">
        <v>145</v>
      </c>
      <c r="L427" s="40">
        <v>22760</v>
      </c>
      <c r="M427" s="41">
        <v>42250</v>
      </c>
      <c r="N427" s="40" t="s">
        <v>110</v>
      </c>
      <c r="O427" s="42">
        <v>42614</v>
      </c>
      <c r="P427" s="40">
        <v>59</v>
      </c>
      <c r="Q427" s="91">
        <v>57.76</v>
      </c>
      <c r="R427" s="91">
        <v>58.74</v>
      </c>
      <c r="S427" s="91">
        <v>58.87</v>
      </c>
      <c r="T427" s="91">
        <v>59.74</v>
      </c>
      <c r="U427" s="91">
        <v>61.93</v>
      </c>
    </row>
    <row r="428" spans="1:21" x14ac:dyDescent="0.2">
      <c r="A428" s="48">
        <f t="shared" si="6"/>
        <v>420</v>
      </c>
      <c r="B428" s="43">
        <v>12</v>
      </c>
      <c r="C428" s="43">
        <v>13</v>
      </c>
      <c r="D428" s="38" t="s">
        <v>1067</v>
      </c>
      <c r="E428" s="44" t="s">
        <v>147</v>
      </c>
      <c r="F428" s="44" t="s">
        <v>37</v>
      </c>
      <c r="G428" s="44" t="s">
        <v>108</v>
      </c>
      <c r="H428" s="44" t="s">
        <v>41</v>
      </c>
      <c r="I428" s="44" t="s">
        <v>41</v>
      </c>
      <c r="J428" s="44" t="s">
        <v>6</v>
      </c>
      <c r="K428" s="44" t="s">
        <v>128</v>
      </c>
      <c r="L428" s="40">
        <v>22761</v>
      </c>
      <c r="M428" s="41">
        <v>42250</v>
      </c>
      <c r="N428" s="40" t="s">
        <v>110</v>
      </c>
      <c r="O428" s="42">
        <v>42614</v>
      </c>
      <c r="P428" s="40">
        <v>59</v>
      </c>
      <c r="Q428" s="91">
        <v>86.77</v>
      </c>
      <c r="R428" s="91">
        <v>80.819999999999993</v>
      </c>
      <c r="S428" s="91">
        <v>81.08</v>
      </c>
      <c r="T428" s="91">
        <v>80.489999999999995</v>
      </c>
      <c r="U428" s="91">
        <v>83.62</v>
      </c>
    </row>
    <row r="429" spans="1:21" x14ac:dyDescent="0.2">
      <c r="A429" s="48">
        <f t="shared" si="6"/>
        <v>421</v>
      </c>
      <c r="B429" s="43">
        <v>12</v>
      </c>
      <c r="C429" s="43">
        <v>14</v>
      </c>
      <c r="D429" s="38" t="s">
        <v>1068</v>
      </c>
      <c r="E429" s="44" t="s">
        <v>149</v>
      </c>
      <c r="F429" s="44" t="s">
        <v>5</v>
      </c>
      <c r="G429" s="44" t="s">
        <v>108</v>
      </c>
      <c r="H429" s="44" t="s">
        <v>46</v>
      </c>
      <c r="I429" s="44" t="s">
        <v>46</v>
      </c>
      <c r="J429" s="44" t="s">
        <v>6</v>
      </c>
      <c r="K429" s="44" t="s">
        <v>128</v>
      </c>
      <c r="L429" s="40">
        <v>22762</v>
      </c>
      <c r="M429" s="41">
        <v>42250</v>
      </c>
      <c r="N429" s="40" t="s">
        <v>110</v>
      </c>
      <c r="O429" s="42">
        <v>42614</v>
      </c>
      <c r="P429" s="40">
        <v>59</v>
      </c>
      <c r="Q429" s="91">
        <v>69.400000000000006</v>
      </c>
      <c r="R429" s="91">
        <v>69.11</v>
      </c>
      <c r="S429" s="91">
        <v>69.84</v>
      </c>
      <c r="T429" s="91">
        <v>70.319999999999993</v>
      </c>
      <c r="U429" s="91">
        <v>72.790000000000006</v>
      </c>
    </row>
    <row r="430" spans="1:21" x14ac:dyDescent="0.2">
      <c r="A430" s="48">
        <f t="shared" si="6"/>
        <v>422</v>
      </c>
      <c r="B430" s="43">
        <v>12</v>
      </c>
      <c r="C430" s="43">
        <v>15</v>
      </c>
      <c r="D430" s="38" t="s">
        <v>1069</v>
      </c>
      <c r="E430" s="44" t="s">
        <v>151</v>
      </c>
      <c r="F430" s="44" t="s">
        <v>18</v>
      </c>
      <c r="G430" s="44" t="s">
        <v>108</v>
      </c>
      <c r="H430" s="44" t="s">
        <v>21</v>
      </c>
      <c r="I430" s="44" t="s">
        <v>152</v>
      </c>
      <c r="J430" s="44" t="s">
        <v>22</v>
      </c>
      <c r="K430" s="44" t="s">
        <v>128</v>
      </c>
      <c r="L430" s="40">
        <v>22763</v>
      </c>
      <c r="M430" s="41">
        <v>42250</v>
      </c>
      <c r="N430" s="40" t="s">
        <v>110</v>
      </c>
      <c r="O430" s="42">
        <v>42614</v>
      </c>
      <c r="P430" s="40">
        <v>59</v>
      </c>
      <c r="Q430" s="91">
        <v>57.78</v>
      </c>
      <c r="R430" s="91">
        <v>57.36</v>
      </c>
      <c r="S430" s="91">
        <v>57.98</v>
      </c>
      <c r="T430" s="91">
        <v>58.29</v>
      </c>
      <c r="U430" s="91">
        <v>60.38</v>
      </c>
    </row>
    <row r="431" spans="1:21" x14ac:dyDescent="0.2">
      <c r="A431" s="48">
        <f t="shared" si="6"/>
        <v>423</v>
      </c>
      <c r="B431" s="43">
        <v>12</v>
      </c>
      <c r="C431" s="43">
        <v>16</v>
      </c>
      <c r="D431" s="38" t="s">
        <v>1070</v>
      </c>
      <c r="E431" s="44" t="s">
        <v>154</v>
      </c>
      <c r="F431" s="44" t="s">
        <v>18</v>
      </c>
      <c r="G431" s="44" t="s">
        <v>108</v>
      </c>
      <c r="H431" s="44" t="s">
        <v>62</v>
      </c>
      <c r="I431" s="44" t="s">
        <v>155</v>
      </c>
      <c r="J431" s="44" t="s">
        <v>6</v>
      </c>
      <c r="K431" s="44" t="s">
        <v>128</v>
      </c>
      <c r="L431" s="40">
        <v>22764</v>
      </c>
      <c r="M431" s="41">
        <v>42250</v>
      </c>
      <c r="N431" s="40" t="s">
        <v>110</v>
      </c>
      <c r="O431" s="42">
        <v>42614</v>
      </c>
      <c r="P431" s="40">
        <v>59</v>
      </c>
      <c r="Q431" s="91">
        <v>61.45</v>
      </c>
      <c r="R431" s="91">
        <v>61.74</v>
      </c>
      <c r="S431" s="91">
        <v>61.08</v>
      </c>
      <c r="T431" s="91">
        <v>61.54</v>
      </c>
      <c r="U431" s="91">
        <v>63.3</v>
      </c>
    </row>
    <row r="432" spans="1:21" x14ac:dyDescent="0.2">
      <c r="A432" s="48">
        <f t="shared" si="6"/>
        <v>424</v>
      </c>
      <c r="B432" s="43">
        <v>12</v>
      </c>
      <c r="C432" s="43">
        <v>17</v>
      </c>
      <c r="D432" s="38" t="s">
        <v>1071</v>
      </c>
      <c r="E432" s="44" t="s">
        <v>157</v>
      </c>
      <c r="F432" s="44" t="s">
        <v>29</v>
      </c>
      <c r="G432" s="44" t="s">
        <v>108</v>
      </c>
      <c r="H432" s="44" t="s">
        <v>33</v>
      </c>
      <c r="I432" s="44" t="s">
        <v>33</v>
      </c>
      <c r="J432" s="44" t="s">
        <v>7</v>
      </c>
      <c r="K432" s="44" t="s">
        <v>123</v>
      </c>
      <c r="L432" s="40">
        <v>22765</v>
      </c>
      <c r="M432" s="41">
        <v>42250</v>
      </c>
      <c r="N432" s="40" t="s">
        <v>110</v>
      </c>
      <c r="O432" s="42">
        <v>42614</v>
      </c>
      <c r="P432" s="40">
        <v>59</v>
      </c>
      <c r="Q432" s="91">
        <v>90.45</v>
      </c>
      <c r="R432" s="91">
        <v>85.63</v>
      </c>
      <c r="S432" s="91">
        <v>85.75</v>
      </c>
      <c r="T432" s="91">
        <v>85.16</v>
      </c>
      <c r="U432" s="91">
        <v>88.06</v>
      </c>
    </row>
    <row r="433" spans="1:21" x14ac:dyDescent="0.2">
      <c r="A433" s="48">
        <f t="shared" si="6"/>
        <v>425</v>
      </c>
      <c r="B433" s="43">
        <v>12</v>
      </c>
      <c r="C433" s="43">
        <v>18</v>
      </c>
      <c r="D433" s="38" t="s">
        <v>1072</v>
      </c>
      <c r="E433" s="44" t="s">
        <v>159</v>
      </c>
      <c r="F433" s="44" t="s">
        <v>29</v>
      </c>
      <c r="G433" s="44" t="s">
        <v>108</v>
      </c>
      <c r="H433" s="44" t="s">
        <v>33</v>
      </c>
      <c r="I433" s="44" t="s">
        <v>33</v>
      </c>
      <c r="J433" s="44" t="s">
        <v>8</v>
      </c>
      <c r="K433" s="44" t="s">
        <v>120</v>
      </c>
      <c r="L433" s="40">
        <v>22766</v>
      </c>
      <c r="M433" s="41">
        <v>42250</v>
      </c>
      <c r="N433" s="40" t="s">
        <v>110</v>
      </c>
      <c r="O433" s="42">
        <v>42614</v>
      </c>
      <c r="P433" s="40">
        <v>59</v>
      </c>
      <c r="Q433" s="91">
        <v>96.33</v>
      </c>
      <c r="R433" s="91">
        <v>88.94</v>
      </c>
      <c r="S433" s="91">
        <v>89.87</v>
      </c>
      <c r="T433" s="91">
        <v>88.49</v>
      </c>
      <c r="U433" s="91">
        <v>91.34</v>
      </c>
    </row>
    <row r="434" spans="1:21" x14ac:dyDescent="0.2">
      <c r="A434" s="48">
        <f t="shared" si="6"/>
        <v>426</v>
      </c>
      <c r="B434" s="43">
        <v>12</v>
      </c>
      <c r="C434" s="43">
        <v>19</v>
      </c>
      <c r="D434" s="38" t="s">
        <v>1073</v>
      </c>
      <c r="E434" s="44" t="s">
        <v>161</v>
      </c>
      <c r="F434" s="44" t="s">
        <v>29</v>
      </c>
      <c r="G434" s="44" t="s">
        <v>108</v>
      </c>
      <c r="H434" s="44" t="s">
        <v>33</v>
      </c>
      <c r="I434" s="44" t="s">
        <v>33</v>
      </c>
      <c r="J434" s="44" t="s">
        <v>9</v>
      </c>
      <c r="K434" s="44" t="s">
        <v>117</v>
      </c>
      <c r="L434" s="40">
        <v>22767</v>
      </c>
      <c r="M434" s="41">
        <v>42250</v>
      </c>
      <c r="N434" s="40" t="s">
        <v>110</v>
      </c>
      <c r="O434" s="42">
        <v>42614</v>
      </c>
      <c r="P434" s="40">
        <v>59</v>
      </c>
      <c r="Q434" s="91">
        <v>91.03</v>
      </c>
      <c r="R434" s="91">
        <v>86.89</v>
      </c>
      <c r="S434" s="91">
        <v>86.78</v>
      </c>
      <c r="T434" s="91">
        <v>86.38</v>
      </c>
      <c r="U434" s="91">
        <v>89.26</v>
      </c>
    </row>
    <row r="435" spans="1:21" x14ac:dyDescent="0.2">
      <c r="A435" s="48">
        <f t="shared" si="6"/>
        <v>427</v>
      </c>
      <c r="B435" s="43">
        <v>12</v>
      </c>
      <c r="C435" s="43">
        <v>20</v>
      </c>
      <c r="D435" s="38" t="s">
        <v>1074</v>
      </c>
      <c r="E435" s="44" t="s">
        <v>163</v>
      </c>
      <c r="F435" s="44" t="s">
        <v>5</v>
      </c>
      <c r="G435" s="44" t="s">
        <v>108</v>
      </c>
      <c r="H435" s="44" t="s">
        <v>164</v>
      </c>
      <c r="I435" s="44" t="s">
        <v>165</v>
      </c>
      <c r="J435" s="44" t="s">
        <v>7</v>
      </c>
      <c r="K435" s="44" t="s">
        <v>123</v>
      </c>
      <c r="L435" s="40">
        <v>22769</v>
      </c>
      <c r="M435" s="41">
        <v>42250</v>
      </c>
      <c r="N435" s="40" t="s">
        <v>110</v>
      </c>
      <c r="O435" s="42">
        <v>42614</v>
      </c>
      <c r="P435" s="40">
        <v>59</v>
      </c>
      <c r="Q435" s="91">
        <v>70.25</v>
      </c>
      <c r="R435" s="91">
        <v>65.67</v>
      </c>
      <c r="S435" s="91">
        <v>65.44</v>
      </c>
      <c r="T435" s="91">
        <v>64.47</v>
      </c>
      <c r="U435" s="91">
        <v>65.989999999999995</v>
      </c>
    </row>
    <row r="436" spans="1:21" x14ac:dyDescent="0.2">
      <c r="A436" s="48">
        <f t="shared" si="6"/>
        <v>428</v>
      </c>
      <c r="B436" s="43">
        <v>12</v>
      </c>
      <c r="C436" s="43">
        <v>21</v>
      </c>
      <c r="D436" s="38" t="s">
        <v>1075</v>
      </c>
      <c r="E436" s="44" t="s">
        <v>167</v>
      </c>
      <c r="F436" s="44" t="s">
        <v>5</v>
      </c>
      <c r="G436" s="44" t="s">
        <v>108</v>
      </c>
      <c r="H436" s="44" t="s">
        <v>164</v>
      </c>
      <c r="I436" s="44" t="s">
        <v>165</v>
      </c>
      <c r="J436" s="44" t="s">
        <v>8</v>
      </c>
      <c r="K436" s="44" t="s">
        <v>120</v>
      </c>
      <c r="L436" s="40">
        <v>22768</v>
      </c>
      <c r="M436" s="41">
        <v>42250</v>
      </c>
      <c r="N436" s="40" t="s">
        <v>110</v>
      </c>
      <c r="O436" s="42">
        <v>42614</v>
      </c>
      <c r="P436" s="40">
        <v>59</v>
      </c>
      <c r="Q436" s="91">
        <v>71.31</v>
      </c>
      <c r="R436" s="91">
        <v>66.790000000000006</v>
      </c>
      <c r="S436" s="91">
        <v>66.53</v>
      </c>
      <c r="T436" s="91">
        <v>65.599999999999994</v>
      </c>
      <c r="U436" s="91">
        <v>67.13</v>
      </c>
    </row>
    <row r="437" spans="1:21" x14ac:dyDescent="0.2">
      <c r="A437" s="48">
        <f t="shared" si="6"/>
        <v>429</v>
      </c>
      <c r="B437" s="43">
        <v>12</v>
      </c>
      <c r="C437" s="43">
        <v>22</v>
      </c>
      <c r="D437" s="38" t="s">
        <v>1076</v>
      </c>
      <c r="E437" s="44" t="s">
        <v>169</v>
      </c>
      <c r="F437" s="44" t="s">
        <v>5</v>
      </c>
      <c r="G437" s="44" t="s">
        <v>108</v>
      </c>
      <c r="H437" s="44" t="s">
        <v>164</v>
      </c>
      <c r="I437" s="44" t="s">
        <v>165</v>
      </c>
      <c r="J437" s="44" t="s">
        <v>9</v>
      </c>
      <c r="K437" s="44" t="s">
        <v>117</v>
      </c>
      <c r="L437" s="40">
        <v>22770</v>
      </c>
      <c r="M437" s="41">
        <v>42250</v>
      </c>
      <c r="N437" s="40" t="s">
        <v>110</v>
      </c>
      <c r="O437" s="42">
        <v>42614</v>
      </c>
      <c r="P437" s="40">
        <v>59</v>
      </c>
      <c r="Q437" s="91">
        <v>68.739999999999995</v>
      </c>
      <c r="R437" s="91">
        <v>66.209999999999994</v>
      </c>
      <c r="S437" s="91">
        <v>65.41</v>
      </c>
      <c r="T437" s="91">
        <v>65.03</v>
      </c>
      <c r="U437" s="91">
        <v>66.56</v>
      </c>
    </row>
    <row r="438" spans="1:21" x14ac:dyDescent="0.2">
      <c r="A438" s="48">
        <f t="shared" si="6"/>
        <v>430</v>
      </c>
      <c r="B438" s="43">
        <v>12</v>
      </c>
      <c r="C438" s="43">
        <v>23</v>
      </c>
      <c r="D438" s="38" t="s">
        <v>1077</v>
      </c>
      <c r="E438" s="44" t="s">
        <v>171</v>
      </c>
      <c r="F438" s="44" t="s">
        <v>5</v>
      </c>
      <c r="G438" s="44" t="s">
        <v>108</v>
      </c>
      <c r="H438" s="44" t="s">
        <v>11</v>
      </c>
      <c r="I438" s="44" t="s">
        <v>11</v>
      </c>
      <c r="J438" s="44" t="s">
        <v>6</v>
      </c>
      <c r="K438" s="44" t="s">
        <v>128</v>
      </c>
      <c r="L438" s="40">
        <v>22771</v>
      </c>
      <c r="M438" s="41">
        <v>42250</v>
      </c>
      <c r="N438" s="40" t="s">
        <v>110</v>
      </c>
      <c r="O438" s="42">
        <v>42614</v>
      </c>
      <c r="P438" s="40">
        <v>59</v>
      </c>
      <c r="Q438" s="91">
        <v>76.17</v>
      </c>
      <c r="R438" s="91">
        <v>69.87</v>
      </c>
      <c r="S438" s="91">
        <v>70.099999999999994</v>
      </c>
      <c r="T438" s="91">
        <v>69.209999999999994</v>
      </c>
      <c r="U438" s="91">
        <v>71.83</v>
      </c>
    </row>
    <row r="439" spans="1:21" x14ac:dyDescent="0.2">
      <c r="A439" s="48">
        <f t="shared" si="6"/>
        <v>431</v>
      </c>
      <c r="B439" s="43">
        <v>12</v>
      </c>
      <c r="C439" s="43">
        <v>24</v>
      </c>
      <c r="D439" s="38" t="s">
        <v>1078</v>
      </c>
      <c r="E439" s="44" t="s">
        <v>173</v>
      </c>
      <c r="F439" s="44" t="s">
        <v>5</v>
      </c>
      <c r="G439" s="44" t="s">
        <v>108</v>
      </c>
      <c r="H439" s="44" t="s">
        <v>10</v>
      </c>
      <c r="I439" s="44" t="s">
        <v>174</v>
      </c>
      <c r="J439" s="44" t="s">
        <v>7</v>
      </c>
      <c r="K439" s="44" t="s">
        <v>123</v>
      </c>
      <c r="L439" s="40">
        <v>22772</v>
      </c>
      <c r="M439" s="41">
        <v>42250</v>
      </c>
      <c r="N439" s="40" t="s">
        <v>110</v>
      </c>
      <c r="O439" s="42">
        <v>42614</v>
      </c>
      <c r="P439" s="40">
        <v>59</v>
      </c>
      <c r="Q439" s="91">
        <v>70.97</v>
      </c>
      <c r="R439" s="91">
        <v>67.849999999999994</v>
      </c>
      <c r="S439" s="91">
        <v>67.05</v>
      </c>
      <c r="T439" s="91">
        <v>66.31</v>
      </c>
      <c r="U439" s="91">
        <v>67.67</v>
      </c>
    </row>
    <row r="440" spans="1:21" x14ac:dyDescent="0.2">
      <c r="A440" s="48">
        <f t="shared" si="6"/>
        <v>432</v>
      </c>
      <c r="B440" s="43">
        <v>12</v>
      </c>
      <c r="C440" s="43">
        <v>25</v>
      </c>
      <c r="D440" s="38" t="s">
        <v>1079</v>
      </c>
      <c r="E440" s="44" t="s">
        <v>176</v>
      </c>
      <c r="F440" s="44" t="s">
        <v>5</v>
      </c>
      <c r="G440" s="44" t="s">
        <v>108</v>
      </c>
      <c r="H440" s="44" t="s">
        <v>10</v>
      </c>
      <c r="I440" s="44" t="s">
        <v>174</v>
      </c>
      <c r="J440" s="44" t="s">
        <v>8</v>
      </c>
      <c r="K440" s="44" t="s">
        <v>120</v>
      </c>
      <c r="L440" s="40">
        <v>22773</v>
      </c>
      <c r="M440" s="41">
        <v>42250</v>
      </c>
      <c r="N440" s="40" t="s">
        <v>110</v>
      </c>
      <c r="O440" s="42">
        <v>42614</v>
      </c>
      <c r="P440" s="40">
        <v>59</v>
      </c>
      <c r="Q440" s="91">
        <v>71.790000000000006</v>
      </c>
      <c r="R440" s="91">
        <v>69.09</v>
      </c>
      <c r="S440" s="91">
        <v>68.14</v>
      </c>
      <c r="T440" s="91">
        <v>67.55</v>
      </c>
      <c r="U440" s="91">
        <v>68.91</v>
      </c>
    </row>
    <row r="441" spans="1:21" x14ac:dyDescent="0.2">
      <c r="A441" s="48">
        <f t="shared" si="6"/>
        <v>433</v>
      </c>
      <c r="B441" s="43">
        <v>12</v>
      </c>
      <c r="C441" s="43">
        <v>26</v>
      </c>
      <c r="D441" s="38" t="s">
        <v>1080</v>
      </c>
      <c r="E441" s="44" t="s">
        <v>178</v>
      </c>
      <c r="F441" s="44" t="s">
        <v>5</v>
      </c>
      <c r="G441" s="44" t="s">
        <v>108</v>
      </c>
      <c r="H441" s="44" t="s">
        <v>10</v>
      </c>
      <c r="I441" s="44" t="s">
        <v>174</v>
      </c>
      <c r="J441" s="44" t="s">
        <v>9</v>
      </c>
      <c r="K441" s="44" t="s">
        <v>117</v>
      </c>
      <c r="L441" s="40">
        <v>22774</v>
      </c>
      <c r="M441" s="41">
        <v>42250</v>
      </c>
      <c r="N441" s="40" t="s">
        <v>110</v>
      </c>
      <c r="O441" s="42">
        <v>42614</v>
      </c>
      <c r="P441" s="40">
        <v>59</v>
      </c>
      <c r="Q441" s="91">
        <v>69.22</v>
      </c>
      <c r="R441" s="91">
        <v>69.12</v>
      </c>
      <c r="S441" s="91">
        <v>67.349999999999994</v>
      </c>
      <c r="T441" s="91">
        <v>67.59</v>
      </c>
      <c r="U441" s="91">
        <v>68.989999999999995</v>
      </c>
    </row>
    <row r="442" spans="1:21" x14ac:dyDescent="0.2">
      <c r="A442" s="48">
        <f t="shared" si="6"/>
        <v>434</v>
      </c>
      <c r="B442" s="43">
        <v>12</v>
      </c>
      <c r="C442" s="43">
        <v>27</v>
      </c>
      <c r="D442" s="38" t="s">
        <v>1081</v>
      </c>
      <c r="E442" s="44" t="s">
        <v>180</v>
      </c>
      <c r="F442" s="44" t="s">
        <v>5</v>
      </c>
      <c r="G442" s="44" t="s">
        <v>108</v>
      </c>
      <c r="H442" s="44" t="s">
        <v>91</v>
      </c>
      <c r="I442" s="44" t="s">
        <v>181</v>
      </c>
      <c r="J442" s="44" t="s">
        <v>6</v>
      </c>
      <c r="K442" s="44" t="s">
        <v>128</v>
      </c>
      <c r="L442" s="40">
        <v>22775</v>
      </c>
      <c r="M442" s="41">
        <v>42250</v>
      </c>
      <c r="N442" s="40" t="s">
        <v>110</v>
      </c>
      <c r="O442" s="42">
        <v>42614</v>
      </c>
      <c r="P442" s="40">
        <v>59</v>
      </c>
      <c r="Q442" s="91">
        <v>72.11</v>
      </c>
      <c r="R442" s="91">
        <v>72.69</v>
      </c>
      <c r="S442" s="91">
        <v>71.930000000000007</v>
      </c>
      <c r="T442" s="91">
        <v>72.510000000000005</v>
      </c>
      <c r="U442" s="91">
        <v>74.31</v>
      </c>
    </row>
    <row r="443" spans="1:21" x14ac:dyDescent="0.2">
      <c r="A443" s="48">
        <f t="shared" si="6"/>
        <v>435</v>
      </c>
      <c r="B443" s="43">
        <v>12</v>
      </c>
      <c r="C443" s="43">
        <v>28</v>
      </c>
      <c r="D443" s="38" t="s">
        <v>1082</v>
      </c>
      <c r="E443" s="44" t="s">
        <v>183</v>
      </c>
      <c r="F443" s="44" t="s">
        <v>37</v>
      </c>
      <c r="G443" s="44" t="s">
        <v>108</v>
      </c>
      <c r="H443" s="44" t="s">
        <v>42</v>
      </c>
      <c r="I443" s="44" t="s">
        <v>42</v>
      </c>
      <c r="J443" s="44" t="s">
        <v>6</v>
      </c>
      <c r="K443" s="44" t="s">
        <v>128</v>
      </c>
      <c r="L443" s="40">
        <v>22776</v>
      </c>
      <c r="M443" s="41">
        <v>42250</v>
      </c>
      <c r="N443" s="40" t="s">
        <v>110</v>
      </c>
      <c r="O443" s="42">
        <v>42614</v>
      </c>
      <c r="P443" s="40">
        <v>59</v>
      </c>
      <c r="Q443" s="91">
        <v>83.9</v>
      </c>
      <c r="R443" s="91">
        <v>81.14</v>
      </c>
      <c r="S443" s="91">
        <v>80.040000000000006</v>
      </c>
      <c r="T443" s="91">
        <v>79.47</v>
      </c>
      <c r="U443" s="91">
        <v>80.489999999999995</v>
      </c>
    </row>
    <row r="444" spans="1:21" x14ac:dyDescent="0.2">
      <c r="A444" s="48">
        <f t="shared" si="6"/>
        <v>436</v>
      </c>
      <c r="B444" s="43">
        <v>12</v>
      </c>
      <c r="C444" s="43">
        <v>29</v>
      </c>
      <c r="D444" s="38" t="s">
        <v>1083</v>
      </c>
      <c r="E444" s="44" t="s">
        <v>185</v>
      </c>
      <c r="F444" s="44" t="s">
        <v>37</v>
      </c>
      <c r="G444" s="44" t="s">
        <v>108</v>
      </c>
      <c r="H444" s="44" t="s">
        <v>42</v>
      </c>
      <c r="I444" s="44" t="s">
        <v>42</v>
      </c>
      <c r="J444" s="44" t="s">
        <v>43</v>
      </c>
      <c r="K444" s="44" t="s">
        <v>186</v>
      </c>
      <c r="L444" s="40">
        <v>22777</v>
      </c>
      <c r="M444" s="41">
        <v>42250</v>
      </c>
      <c r="N444" s="40" t="s">
        <v>110</v>
      </c>
      <c r="O444" s="42">
        <v>42614</v>
      </c>
      <c r="P444" s="40">
        <v>59</v>
      </c>
      <c r="Q444" s="91">
        <v>83.23</v>
      </c>
      <c r="R444" s="91">
        <v>78.930000000000007</v>
      </c>
      <c r="S444" s="91">
        <v>78.260000000000005</v>
      </c>
      <c r="T444" s="91">
        <v>77.239999999999995</v>
      </c>
      <c r="U444" s="91">
        <v>78.23</v>
      </c>
    </row>
    <row r="445" spans="1:21" x14ac:dyDescent="0.2">
      <c r="A445" s="48">
        <f t="shared" si="6"/>
        <v>437</v>
      </c>
      <c r="B445" s="43">
        <v>12</v>
      </c>
      <c r="C445" s="43">
        <v>30</v>
      </c>
      <c r="D445" s="38" t="s">
        <v>1084</v>
      </c>
      <c r="E445" s="44" t="s">
        <v>188</v>
      </c>
      <c r="F445" s="44" t="s">
        <v>37</v>
      </c>
      <c r="G445" s="44" t="s">
        <v>108</v>
      </c>
      <c r="H445" s="44" t="s">
        <v>42</v>
      </c>
      <c r="I445" s="44" t="s">
        <v>42</v>
      </c>
      <c r="J445" s="44" t="s">
        <v>44</v>
      </c>
      <c r="K445" s="44" t="s">
        <v>44</v>
      </c>
      <c r="L445" s="40">
        <v>22778</v>
      </c>
      <c r="M445" s="41">
        <v>42250</v>
      </c>
      <c r="N445" s="40" t="s">
        <v>110</v>
      </c>
      <c r="O445" s="42">
        <v>42614</v>
      </c>
      <c r="P445" s="40">
        <v>59</v>
      </c>
      <c r="Q445" s="91">
        <v>81.14</v>
      </c>
      <c r="R445" s="91">
        <v>78.650000000000006</v>
      </c>
      <c r="S445" s="91">
        <v>77.64</v>
      </c>
      <c r="T445" s="91">
        <v>77.06</v>
      </c>
      <c r="U445" s="91">
        <v>78.12</v>
      </c>
    </row>
    <row r="446" spans="1:21" x14ac:dyDescent="0.2">
      <c r="A446" s="48">
        <f t="shared" si="6"/>
        <v>438</v>
      </c>
      <c r="B446" s="43">
        <v>12</v>
      </c>
      <c r="C446" s="43">
        <v>31</v>
      </c>
      <c r="D446" s="38" t="s">
        <v>1085</v>
      </c>
      <c r="E446" s="44" t="s">
        <v>190</v>
      </c>
      <c r="F446" s="44" t="s">
        <v>37</v>
      </c>
      <c r="G446" s="44" t="s">
        <v>108</v>
      </c>
      <c r="H446" s="44" t="s">
        <v>45</v>
      </c>
      <c r="I446" s="44" t="s">
        <v>45</v>
      </c>
      <c r="J446" s="44" t="s">
        <v>6</v>
      </c>
      <c r="K446" s="44" t="s">
        <v>128</v>
      </c>
      <c r="L446" s="40">
        <v>22779</v>
      </c>
      <c r="M446" s="41">
        <v>42250</v>
      </c>
      <c r="N446" s="40" t="s">
        <v>110</v>
      </c>
      <c r="O446" s="42">
        <v>42614</v>
      </c>
      <c r="P446" s="40">
        <v>59</v>
      </c>
      <c r="Q446" s="91">
        <v>73.650000000000006</v>
      </c>
      <c r="R446" s="91">
        <v>70.91</v>
      </c>
      <c r="S446" s="91">
        <v>72.44</v>
      </c>
      <c r="T446" s="91">
        <v>72.209999999999994</v>
      </c>
      <c r="U446" s="91">
        <v>74.650000000000006</v>
      </c>
    </row>
    <row r="447" spans="1:21" x14ac:dyDescent="0.2">
      <c r="A447" s="48">
        <f t="shared" si="6"/>
        <v>439</v>
      </c>
      <c r="B447" s="43">
        <v>12</v>
      </c>
      <c r="C447" s="43">
        <v>32</v>
      </c>
      <c r="D447" s="38" t="s">
        <v>1086</v>
      </c>
      <c r="E447" s="44" t="s">
        <v>192</v>
      </c>
      <c r="F447" s="44" t="s">
        <v>5</v>
      </c>
      <c r="G447" s="44" t="s">
        <v>108</v>
      </c>
      <c r="H447" s="44" t="s">
        <v>12</v>
      </c>
      <c r="I447" s="44" t="s">
        <v>12</v>
      </c>
      <c r="J447" s="44" t="s">
        <v>13</v>
      </c>
      <c r="K447" s="44" t="s">
        <v>117</v>
      </c>
      <c r="L447" s="40">
        <v>22780</v>
      </c>
      <c r="M447" s="41">
        <v>42250</v>
      </c>
      <c r="N447" s="40" t="s">
        <v>110</v>
      </c>
      <c r="O447" s="42">
        <v>42614</v>
      </c>
      <c r="P447" s="40">
        <v>59</v>
      </c>
      <c r="Q447" s="91">
        <v>79.41</v>
      </c>
      <c r="R447" s="91">
        <v>74.680000000000007</v>
      </c>
      <c r="S447" s="91">
        <v>74.22</v>
      </c>
      <c r="T447" s="91">
        <v>72.88</v>
      </c>
      <c r="U447" s="91">
        <v>74.27</v>
      </c>
    </row>
    <row r="448" spans="1:21" x14ac:dyDescent="0.2">
      <c r="A448" s="48">
        <f t="shared" si="6"/>
        <v>440</v>
      </c>
      <c r="B448" s="43">
        <v>12</v>
      </c>
      <c r="C448" s="43">
        <v>33</v>
      </c>
      <c r="D448" s="38" t="s">
        <v>1087</v>
      </c>
      <c r="E448" s="44" t="s">
        <v>194</v>
      </c>
      <c r="F448" s="44" t="s">
        <v>5</v>
      </c>
      <c r="G448" s="44" t="s">
        <v>108</v>
      </c>
      <c r="H448" s="44" t="s">
        <v>12</v>
      </c>
      <c r="I448" s="44" t="s">
        <v>12</v>
      </c>
      <c r="J448" s="44" t="s">
        <v>14</v>
      </c>
      <c r="K448" s="44" t="s">
        <v>123</v>
      </c>
      <c r="L448" s="40">
        <v>22781</v>
      </c>
      <c r="M448" s="41">
        <v>42250</v>
      </c>
      <c r="N448" s="40" t="s">
        <v>110</v>
      </c>
      <c r="O448" s="42">
        <v>42614</v>
      </c>
      <c r="P448" s="40">
        <v>59</v>
      </c>
      <c r="Q448" s="91">
        <v>81.47</v>
      </c>
      <c r="R448" s="91">
        <v>75.58</v>
      </c>
      <c r="S448" s="91">
        <v>75.459999999999994</v>
      </c>
      <c r="T448" s="91">
        <v>73.819999999999993</v>
      </c>
      <c r="U448" s="91">
        <v>75.25</v>
      </c>
    </row>
    <row r="449" spans="1:21" x14ac:dyDescent="0.2">
      <c r="A449" s="48">
        <f t="shared" si="6"/>
        <v>441</v>
      </c>
      <c r="B449" s="43">
        <v>12</v>
      </c>
      <c r="C449" s="43">
        <v>34</v>
      </c>
      <c r="D449" s="38" t="s">
        <v>1088</v>
      </c>
      <c r="E449" s="44" t="s">
        <v>196</v>
      </c>
      <c r="F449" s="44" t="s">
        <v>29</v>
      </c>
      <c r="G449" s="44" t="s">
        <v>108</v>
      </c>
      <c r="H449" s="44" t="s">
        <v>34</v>
      </c>
      <c r="I449" s="44" t="s">
        <v>34</v>
      </c>
      <c r="J449" s="44" t="s">
        <v>35</v>
      </c>
      <c r="K449" s="44" t="s">
        <v>197</v>
      </c>
      <c r="L449" s="40">
        <v>22782</v>
      </c>
      <c r="M449" s="41">
        <v>42250</v>
      </c>
      <c r="N449" s="40" t="s">
        <v>110</v>
      </c>
      <c r="O449" s="42">
        <v>42614</v>
      </c>
      <c r="P449" s="40">
        <v>59</v>
      </c>
      <c r="Q449" s="91">
        <v>112.84</v>
      </c>
      <c r="R449" s="91">
        <v>106.2</v>
      </c>
      <c r="S449" s="91">
        <v>106.88</v>
      </c>
      <c r="T449" s="91">
        <v>104.93</v>
      </c>
      <c r="U449" s="91">
        <v>105.99</v>
      </c>
    </row>
    <row r="450" spans="1:21" x14ac:dyDescent="0.2">
      <c r="A450" s="48">
        <f t="shared" si="6"/>
        <v>442</v>
      </c>
      <c r="B450" s="43">
        <v>12</v>
      </c>
      <c r="C450" s="43">
        <v>35</v>
      </c>
      <c r="D450" s="38" t="s">
        <v>1089</v>
      </c>
      <c r="E450" s="44" t="s">
        <v>199</v>
      </c>
      <c r="F450" s="44" t="s">
        <v>29</v>
      </c>
      <c r="G450" s="44" t="s">
        <v>108</v>
      </c>
      <c r="H450" s="44" t="s">
        <v>34</v>
      </c>
      <c r="I450" s="44" t="s">
        <v>34</v>
      </c>
      <c r="J450" s="44" t="s">
        <v>36</v>
      </c>
      <c r="K450" s="44" t="s">
        <v>200</v>
      </c>
      <c r="L450" s="40">
        <v>22783</v>
      </c>
      <c r="M450" s="41">
        <v>42250</v>
      </c>
      <c r="N450" s="40" t="s">
        <v>110</v>
      </c>
      <c r="O450" s="42">
        <v>42614</v>
      </c>
      <c r="P450" s="40">
        <v>59</v>
      </c>
      <c r="Q450" s="91">
        <v>112.13</v>
      </c>
      <c r="R450" s="91">
        <v>104.67</v>
      </c>
      <c r="S450" s="91">
        <v>105.59</v>
      </c>
      <c r="T450" s="91">
        <v>103.39</v>
      </c>
      <c r="U450" s="91">
        <v>104.45</v>
      </c>
    </row>
    <row r="451" spans="1:21" x14ac:dyDescent="0.2">
      <c r="A451" s="48">
        <f t="shared" si="6"/>
        <v>443</v>
      </c>
      <c r="B451" s="43">
        <v>12</v>
      </c>
      <c r="C451" s="43">
        <v>36</v>
      </c>
      <c r="D451" s="38" t="s">
        <v>1090</v>
      </c>
      <c r="E451" s="44" t="s">
        <v>202</v>
      </c>
      <c r="F451" s="44" t="s">
        <v>5</v>
      </c>
      <c r="G451" s="44" t="s">
        <v>108</v>
      </c>
      <c r="H451" s="44" t="s">
        <v>15</v>
      </c>
      <c r="I451" s="44" t="s">
        <v>203</v>
      </c>
      <c r="J451" s="44" t="s">
        <v>16</v>
      </c>
      <c r="K451" s="44" t="s">
        <v>128</v>
      </c>
      <c r="L451" s="40">
        <v>22784</v>
      </c>
      <c r="M451" s="41">
        <v>42250</v>
      </c>
      <c r="N451" s="40" t="s">
        <v>110</v>
      </c>
      <c r="O451" s="42">
        <v>42614</v>
      </c>
      <c r="P451" s="40">
        <v>59</v>
      </c>
      <c r="Q451" s="91">
        <v>70.66</v>
      </c>
      <c r="R451" s="91">
        <v>69.55</v>
      </c>
      <c r="S451" s="91">
        <v>70.33</v>
      </c>
      <c r="T451" s="91">
        <v>70.55</v>
      </c>
      <c r="U451" s="91">
        <v>72.739999999999995</v>
      </c>
    </row>
    <row r="452" spans="1:21" x14ac:dyDescent="0.2">
      <c r="A452" s="48">
        <f t="shared" si="6"/>
        <v>444</v>
      </c>
      <c r="B452" s="20"/>
      <c r="C452" s="20"/>
      <c r="D452" s="20"/>
    </row>
    <row r="453" spans="1:21" x14ac:dyDescent="0.2">
      <c r="A453" s="48">
        <f t="shared" si="6"/>
        <v>445</v>
      </c>
      <c r="B453" s="43">
        <v>13</v>
      </c>
      <c r="C453" s="43">
        <v>1</v>
      </c>
      <c r="D453" s="38" t="s">
        <v>600</v>
      </c>
      <c r="E453" s="44" t="s">
        <v>107</v>
      </c>
      <c r="F453" s="44" t="s">
        <v>29</v>
      </c>
      <c r="G453" s="44" t="s">
        <v>108</v>
      </c>
      <c r="H453" s="44" t="s">
        <v>30</v>
      </c>
      <c r="I453" s="44" t="s">
        <v>30</v>
      </c>
      <c r="J453" s="44" t="s">
        <v>31</v>
      </c>
      <c r="K453" s="44" t="s">
        <v>109</v>
      </c>
      <c r="L453" s="40">
        <v>22749</v>
      </c>
      <c r="M453" s="41">
        <v>42250</v>
      </c>
      <c r="N453" s="40" t="s">
        <v>110</v>
      </c>
      <c r="O453" s="42"/>
      <c r="P453" s="40">
        <v>60</v>
      </c>
      <c r="Q453" s="91">
        <v>106.26</v>
      </c>
      <c r="R453" s="91">
        <v>93.23</v>
      </c>
      <c r="S453" s="91">
        <v>94.73</v>
      </c>
      <c r="T453" s="91">
        <v>92.57</v>
      </c>
      <c r="U453" s="91">
        <v>95.03</v>
      </c>
    </row>
    <row r="454" spans="1:21" x14ac:dyDescent="0.2">
      <c r="A454" s="48">
        <f t="shared" si="6"/>
        <v>446</v>
      </c>
      <c r="B454" s="43">
        <v>13</v>
      </c>
      <c r="C454" s="43">
        <v>2</v>
      </c>
      <c r="D454" s="38" t="s">
        <v>601</v>
      </c>
      <c r="E454" s="44" t="s">
        <v>112</v>
      </c>
      <c r="F454" s="44" t="s">
        <v>29</v>
      </c>
      <c r="G454" s="44" t="s">
        <v>108</v>
      </c>
      <c r="H454" s="44" t="s">
        <v>30</v>
      </c>
      <c r="I454" s="44" t="s">
        <v>30</v>
      </c>
      <c r="J454" s="44" t="s">
        <v>32</v>
      </c>
      <c r="K454" s="44" t="s">
        <v>113</v>
      </c>
      <c r="L454" s="40">
        <v>22750</v>
      </c>
      <c r="M454" s="41">
        <v>42250</v>
      </c>
      <c r="N454" s="40" t="s">
        <v>110</v>
      </c>
      <c r="O454" s="42"/>
      <c r="P454" s="40">
        <v>60</v>
      </c>
      <c r="Q454" s="91">
        <v>103.42</v>
      </c>
      <c r="R454" s="91">
        <v>92.9</v>
      </c>
      <c r="S454" s="91">
        <v>93.37</v>
      </c>
      <c r="T454" s="91">
        <v>90.36</v>
      </c>
      <c r="U454" s="91">
        <v>91.49</v>
      </c>
    </row>
    <row r="455" spans="1:21" x14ac:dyDescent="0.2">
      <c r="A455" s="48">
        <f t="shared" si="6"/>
        <v>447</v>
      </c>
      <c r="B455" s="43">
        <v>13</v>
      </c>
      <c r="C455" s="43">
        <v>3</v>
      </c>
      <c r="D455" s="38" t="s">
        <v>602</v>
      </c>
      <c r="E455" s="44" t="s">
        <v>115</v>
      </c>
      <c r="F455" s="44" t="s">
        <v>18</v>
      </c>
      <c r="G455" s="44" t="s">
        <v>108</v>
      </c>
      <c r="H455" s="44" t="s">
        <v>61</v>
      </c>
      <c r="I455" s="44" t="s">
        <v>116</v>
      </c>
      <c r="J455" s="44" t="s">
        <v>13</v>
      </c>
      <c r="K455" s="44" t="s">
        <v>117</v>
      </c>
      <c r="L455" s="40">
        <v>22751</v>
      </c>
      <c r="M455" s="41">
        <v>42250</v>
      </c>
      <c r="N455" s="40" t="s">
        <v>110</v>
      </c>
      <c r="O455" s="42"/>
      <c r="P455" s="40">
        <v>60</v>
      </c>
      <c r="Q455" s="91">
        <v>58.86</v>
      </c>
      <c r="R455" s="91">
        <v>57.3</v>
      </c>
      <c r="S455" s="91">
        <v>58.36</v>
      </c>
      <c r="T455" s="91">
        <v>58.63</v>
      </c>
      <c r="U455" s="91">
        <v>61.2</v>
      </c>
    </row>
    <row r="456" spans="1:21" x14ac:dyDescent="0.2">
      <c r="A456" s="48">
        <f t="shared" si="6"/>
        <v>448</v>
      </c>
      <c r="B456" s="43">
        <v>13</v>
      </c>
      <c r="C456" s="43">
        <v>4</v>
      </c>
      <c r="D456" s="38" t="s">
        <v>603</v>
      </c>
      <c r="E456" s="44" t="s">
        <v>119</v>
      </c>
      <c r="F456" s="44" t="s">
        <v>18</v>
      </c>
      <c r="G456" s="44" t="s">
        <v>108</v>
      </c>
      <c r="H456" s="44" t="s">
        <v>61</v>
      </c>
      <c r="I456" s="44" t="s">
        <v>116</v>
      </c>
      <c r="J456" s="44" t="s">
        <v>19</v>
      </c>
      <c r="K456" s="44" t="s">
        <v>120</v>
      </c>
      <c r="L456" s="40">
        <v>22752</v>
      </c>
      <c r="M456" s="41">
        <v>42250</v>
      </c>
      <c r="N456" s="40" t="s">
        <v>110</v>
      </c>
      <c r="O456" s="42"/>
      <c r="P456" s="40">
        <v>60</v>
      </c>
      <c r="Q456" s="91">
        <v>60.65</v>
      </c>
      <c r="R456" s="91">
        <v>58.94</v>
      </c>
      <c r="S456" s="91">
        <v>60.02</v>
      </c>
      <c r="T456" s="91">
        <v>60.25</v>
      </c>
      <c r="U456" s="91">
        <v>62.81</v>
      </c>
    </row>
    <row r="457" spans="1:21" x14ac:dyDescent="0.2">
      <c r="A457" s="48">
        <f t="shared" si="6"/>
        <v>449</v>
      </c>
      <c r="B457" s="43">
        <v>13</v>
      </c>
      <c r="C457" s="43">
        <v>5</v>
      </c>
      <c r="D457" s="38" t="s">
        <v>604</v>
      </c>
      <c r="E457" s="44" t="s">
        <v>122</v>
      </c>
      <c r="F457" s="44" t="s">
        <v>18</v>
      </c>
      <c r="G457" s="44" t="s">
        <v>108</v>
      </c>
      <c r="H457" s="44" t="s">
        <v>61</v>
      </c>
      <c r="I457" s="44" t="s">
        <v>116</v>
      </c>
      <c r="J457" s="44" t="s">
        <v>14</v>
      </c>
      <c r="K457" s="44" t="s">
        <v>123</v>
      </c>
      <c r="L457" s="40">
        <v>22753</v>
      </c>
      <c r="M457" s="41">
        <v>42250</v>
      </c>
      <c r="N457" s="40" t="s">
        <v>110</v>
      </c>
      <c r="O457" s="42"/>
      <c r="P457" s="40">
        <v>60</v>
      </c>
      <c r="Q457" s="91">
        <v>60.32</v>
      </c>
      <c r="R457" s="91">
        <v>57.93</v>
      </c>
      <c r="S457" s="91">
        <v>59.2</v>
      </c>
      <c r="T457" s="91">
        <v>59.23</v>
      </c>
      <c r="U457" s="91">
        <v>61.76</v>
      </c>
    </row>
    <row r="458" spans="1:21" x14ac:dyDescent="0.2">
      <c r="A458" s="48">
        <f t="shared" si="6"/>
        <v>450</v>
      </c>
      <c r="B458" s="43">
        <v>13</v>
      </c>
      <c r="C458" s="43">
        <v>6</v>
      </c>
      <c r="D458" s="38" t="s">
        <v>605</v>
      </c>
      <c r="E458" s="44" t="s">
        <v>125</v>
      </c>
      <c r="F458" s="44" t="s">
        <v>23</v>
      </c>
      <c r="G458" s="44" t="s">
        <v>126</v>
      </c>
      <c r="H458" s="44" t="s">
        <v>127</v>
      </c>
      <c r="I458" s="44" t="s">
        <v>27</v>
      </c>
      <c r="J458" s="44" t="s">
        <v>28</v>
      </c>
      <c r="K458" s="44" t="s">
        <v>128</v>
      </c>
      <c r="L458" s="40">
        <v>22754</v>
      </c>
      <c r="M458" s="41">
        <v>42250</v>
      </c>
      <c r="N458" s="40" t="s">
        <v>110</v>
      </c>
      <c r="O458" s="42"/>
      <c r="P458" s="40">
        <v>60</v>
      </c>
      <c r="Q458" s="91">
        <v>64.67</v>
      </c>
      <c r="R458" s="91">
        <v>62.23</v>
      </c>
      <c r="S458" s="91">
        <v>63.52</v>
      </c>
      <c r="T458" s="91">
        <v>63.4</v>
      </c>
      <c r="U458" s="91">
        <v>64.63</v>
      </c>
    </row>
    <row r="459" spans="1:21" x14ac:dyDescent="0.2">
      <c r="A459" s="48">
        <f t="shared" ref="A459:A522" si="7">A458+1</f>
        <v>451</v>
      </c>
      <c r="B459" s="43">
        <v>13</v>
      </c>
      <c r="C459" s="43">
        <v>7</v>
      </c>
      <c r="D459" s="38" t="s">
        <v>606</v>
      </c>
      <c r="E459" s="44" t="s">
        <v>130</v>
      </c>
      <c r="F459" s="44" t="s">
        <v>37</v>
      </c>
      <c r="G459" s="44" t="s">
        <v>108</v>
      </c>
      <c r="H459" s="44" t="s">
        <v>38</v>
      </c>
      <c r="I459" s="44" t="s">
        <v>38</v>
      </c>
      <c r="J459" s="44" t="s">
        <v>40</v>
      </c>
      <c r="K459" s="44" t="s">
        <v>123</v>
      </c>
      <c r="L459" s="40">
        <v>22756</v>
      </c>
      <c r="M459" s="41">
        <v>42250</v>
      </c>
      <c r="N459" s="40" t="s">
        <v>110</v>
      </c>
      <c r="O459" s="42"/>
      <c r="P459" s="40">
        <v>60</v>
      </c>
      <c r="Q459" s="91">
        <v>87.15</v>
      </c>
      <c r="R459" s="91">
        <v>81.27</v>
      </c>
      <c r="S459" s="91">
        <v>81.27</v>
      </c>
      <c r="T459" s="91">
        <v>80.099999999999994</v>
      </c>
      <c r="U459" s="91">
        <v>81.22</v>
      </c>
    </row>
    <row r="460" spans="1:21" x14ac:dyDescent="0.2">
      <c r="A460" s="48">
        <f t="shared" si="7"/>
        <v>452</v>
      </c>
      <c r="B460" s="43">
        <v>13</v>
      </c>
      <c r="C460" s="43">
        <v>8</v>
      </c>
      <c r="D460" s="38" t="s">
        <v>607</v>
      </c>
      <c r="E460" s="44" t="s">
        <v>132</v>
      </c>
      <c r="F460" s="44" t="s">
        <v>37</v>
      </c>
      <c r="G460" s="44" t="s">
        <v>108</v>
      </c>
      <c r="H460" s="44" t="s">
        <v>38</v>
      </c>
      <c r="I460" s="44" t="s">
        <v>38</v>
      </c>
      <c r="J460" s="44" t="s">
        <v>39</v>
      </c>
      <c r="K460" s="44" t="s">
        <v>120</v>
      </c>
      <c r="L460" s="40">
        <v>22755</v>
      </c>
      <c r="M460" s="41">
        <v>42250</v>
      </c>
      <c r="N460" s="40" t="s">
        <v>110</v>
      </c>
      <c r="O460" s="42"/>
      <c r="P460" s="40">
        <v>60</v>
      </c>
      <c r="Q460" s="91">
        <v>87.14</v>
      </c>
      <c r="R460" s="91">
        <v>82.21</v>
      </c>
      <c r="S460" s="91">
        <v>82.07</v>
      </c>
      <c r="T460" s="91">
        <v>81.13</v>
      </c>
      <c r="U460" s="91">
        <v>82.26</v>
      </c>
    </row>
    <row r="461" spans="1:21" x14ac:dyDescent="0.2">
      <c r="A461" s="48">
        <f t="shared" si="7"/>
        <v>453</v>
      </c>
      <c r="B461" s="43">
        <v>13</v>
      </c>
      <c r="C461" s="43">
        <v>9</v>
      </c>
      <c r="D461" s="38" t="s">
        <v>608</v>
      </c>
      <c r="E461" s="44" t="s">
        <v>134</v>
      </c>
      <c r="F461" s="44" t="s">
        <v>37</v>
      </c>
      <c r="G461" s="44" t="s">
        <v>108</v>
      </c>
      <c r="H461" s="44" t="s">
        <v>38</v>
      </c>
      <c r="I461" s="44" t="s">
        <v>38</v>
      </c>
      <c r="J461" s="44" t="s">
        <v>6</v>
      </c>
      <c r="K461" s="44" t="s">
        <v>117</v>
      </c>
      <c r="L461" s="40">
        <v>22757</v>
      </c>
      <c r="M461" s="41">
        <v>42250</v>
      </c>
      <c r="N461" s="40" t="s">
        <v>110</v>
      </c>
      <c r="O461" s="42"/>
      <c r="P461" s="40">
        <v>60</v>
      </c>
      <c r="Q461" s="91">
        <v>86.24</v>
      </c>
      <c r="R461" s="91">
        <v>80.599999999999994</v>
      </c>
      <c r="S461" s="91">
        <v>80.459999999999994</v>
      </c>
      <c r="T461" s="91">
        <v>79.31</v>
      </c>
      <c r="U461" s="91">
        <v>80.45</v>
      </c>
    </row>
    <row r="462" spans="1:21" x14ac:dyDescent="0.2">
      <c r="A462" s="48">
        <f t="shared" si="7"/>
        <v>454</v>
      </c>
      <c r="B462" s="43">
        <v>13</v>
      </c>
      <c r="C462" s="43">
        <v>10</v>
      </c>
      <c r="D462" s="38" t="s">
        <v>609</v>
      </c>
      <c r="E462" s="44" t="s">
        <v>136</v>
      </c>
      <c r="F462" s="44" t="s">
        <v>23</v>
      </c>
      <c r="G462" s="44" t="s">
        <v>108</v>
      </c>
      <c r="H462" s="44" t="s">
        <v>137</v>
      </c>
      <c r="I462" s="44" t="s">
        <v>24</v>
      </c>
      <c r="J462" s="44" t="s">
        <v>25</v>
      </c>
      <c r="K462" s="44" t="s">
        <v>138</v>
      </c>
      <c r="L462" s="40">
        <v>22758</v>
      </c>
      <c r="M462" s="41">
        <v>42250</v>
      </c>
      <c r="N462" s="40" t="s">
        <v>110</v>
      </c>
      <c r="O462" s="42"/>
      <c r="P462" s="40">
        <v>60</v>
      </c>
      <c r="Q462" s="91">
        <v>63.66</v>
      </c>
      <c r="R462" s="91">
        <v>63.14</v>
      </c>
      <c r="S462" s="91">
        <v>63.9</v>
      </c>
      <c r="T462" s="91">
        <v>65.319999999999993</v>
      </c>
      <c r="U462" s="91">
        <v>68.650000000000006</v>
      </c>
    </row>
    <row r="463" spans="1:21" x14ac:dyDescent="0.2">
      <c r="A463" s="48">
        <f t="shared" si="7"/>
        <v>455</v>
      </c>
      <c r="B463" s="43">
        <v>13</v>
      </c>
      <c r="C463" s="43">
        <v>11</v>
      </c>
      <c r="D463" s="38" t="s">
        <v>610</v>
      </c>
      <c r="E463" s="44" t="s">
        <v>140</v>
      </c>
      <c r="F463" s="44" t="s">
        <v>23</v>
      </c>
      <c r="G463" s="44" t="s">
        <v>108</v>
      </c>
      <c r="H463" s="44" t="s">
        <v>137</v>
      </c>
      <c r="I463" s="44" t="s">
        <v>24</v>
      </c>
      <c r="J463" s="44" t="s">
        <v>26</v>
      </c>
      <c r="K463" s="44" t="s">
        <v>141</v>
      </c>
      <c r="L463" s="40">
        <v>22759</v>
      </c>
      <c r="M463" s="41">
        <v>42250</v>
      </c>
      <c r="N463" s="40" t="s">
        <v>110</v>
      </c>
      <c r="O463" s="42"/>
      <c r="P463" s="40">
        <v>60</v>
      </c>
      <c r="Q463" s="91">
        <v>62.89</v>
      </c>
      <c r="R463" s="91">
        <v>62.35</v>
      </c>
      <c r="S463" s="91">
        <v>63.11</v>
      </c>
      <c r="T463" s="91">
        <v>64.52</v>
      </c>
      <c r="U463" s="91">
        <v>67.849999999999994</v>
      </c>
    </row>
    <row r="464" spans="1:21" x14ac:dyDescent="0.2">
      <c r="A464" s="48">
        <f t="shared" si="7"/>
        <v>456</v>
      </c>
      <c r="B464" s="43">
        <v>13</v>
      </c>
      <c r="C464" s="43">
        <v>12</v>
      </c>
      <c r="D464" s="38" t="s">
        <v>611</v>
      </c>
      <c r="E464" s="44" t="s">
        <v>143</v>
      </c>
      <c r="F464" s="44" t="s">
        <v>18</v>
      </c>
      <c r="G464" s="44" t="s">
        <v>108</v>
      </c>
      <c r="H464" s="44" t="s">
        <v>94</v>
      </c>
      <c r="I464" s="44" t="s">
        <v>144</v>
      </c>
      <c r="J464" s="44" t="s">
        <v>20</v>
      </c>
      <c r="K464" s="44" t="s">
        <v>145</v>
      </c>
      <c r="L464" s="40">
        <v>22760</v>
      </c>
      <c r="M464" s="41">
        <v>42250</v>
      </c>
      <c r="N464" s="40" t="s">
        <v>110</v>
      </c>
      <c r="O464" s="42"/>
      <c r="P464" s="40">
        <v>60</v>
      </c>
      <c r="Q464" s="91">
        <v>57.36</v>
      </c>
      <c r="R464" s="91">
        <v>58.81</v>
      </c>
      <c r="S464" s="91">
        <v>58.56</v>
      </c>
      <c r="T464" s="91">
        <v>59.97</v>
      </c>
      <c r="U464" s="91">
        <v>62.32</v>
      </c>
    </row>
    <row r="465" spans="1:21" x14ac:dyDescent="0.2">
      <c r="A465" s="48">
        <f t="shared" si="7"/>
        <v>457</v>
      </c>
      <c r="B465" s="43">
        <v>13</v>
      </c>
      <c r="C465" s="43">
        <v>13</v>
      </c>
      <c r="D465" s="38" t="s">
        <v>612</v>
      </c>
      <c r="E465" s="44" t="s">
        <v>147</v>
      </c>
      <c r="F465" s="44" t="s">
        <v>37</v>
      </c>
      <c r="G465" s="44" t="s">
        <v>108</v>
      </c>
      <c r="H465" s="44" t="s">
        <v>41</v>
      </c>
      <c r="I465" s="44" t="s">
        <v>41</v>
      </c>
      <c r="J465" s="44" t="s">
        <v>6</v>
      </c>
      <c r="K465" s="44" t="s">
        <v>128</v>
      </c>
      <c r="L465" s="40">
        <v>22761</v>
      </c>
      <c r="M465" s="41">
        <v>42250</v>
      </c>
      <c r="N465" s="40" t="s">
        <v>110</v>
      </c>
      <c r="O465" s="42"/>
      <c r="P465" s="40">
        <v>60</v>
      </c>
      <c r="Q465" s="91">
        <v>88.92</v>
      </c>
      <c r="R465" s="91">
        <v>80.349999999999994</v>
      </c>
      <c r="S465" s="91">
        <v>81.319999999999993</v>
      </c>
      <c r="T465" s="91">
        <v>80.78</v>
      </c>
      <c r="U465" s="91">
        <v>83.93</v>
      </c>
    </row>
    <row r="466" spans="1:21" x14ac:dyDescent="0.2">
      <c r="A466" s="48">
        <f t="shared" si="7"/>
        <v>458</v>
      </c>
      <c r="B466" s="43">
        <v>13</v>
      </c>
      <c r="C466" s="43">
        <v>14</v>
      </c>
      <c r="D466" s="38" t="s">
        <v>613</v>
      </c>
      <c r="E466" s="44" t="s">
        <v>149</v>
      </c>
      <c r="F466" s="44" t="s">
        <v>5</v>
      </c>
      <c r="G466" s="44" t="s">
        <v>108</v>
      </c>
      <c r="H466" s="44" t="s">
        <v>46</v>
      </c>
      <c r="I466" s="44" t="s">
        <v>46</v>
      </c>
      <c r="J466" s="44" t="s">
        <v>6</v>
      </c>
      <c r="K466" s="44" t="s">
        <v>128</v>
      </c>
      <c r="L466" s="40">
        <v>22762</v>
      </c>
      <c r="M466" s="41">
        <v>42250</v>
      </c>
      <c r="N466" s="40" t="s">
        <v>110</v>
      </c>
      <c r="O466" s="42"/>
      <c r="P466" s="40">
        <v>60</v>
      </c>
      <c r="Q466" s="91">
        <v>70.42</v>
      </c>
      <c r="R466" s="91">
        <v>69.180000000000007</v>
      </c>
      <c r="S466" s="91">
        <v>70.17</v>
      </c>
      <c r="T466" s="91">
        <v>70.569999999999993</v>
      </c>
      <c r="U466" s="91">
        <v>73.22</v>
      </c>
    </row>
    <row r="467" spans="1:21" x14ac:dyDescent="0.2">
      <c r="A467" s="48">
        <f t="shared" si="7"/>
        <v>459</v>
      </c>
      <c r="B467" s="43">
        <v>13</v>
      </c>
      <c r="C467" s="43">
        <v>15</v>
      </c>
      <c r="D467" s="38" t="s">
        <v>614</v>
      </c>
      <c r="E467" s="44" t="s">
        <v>151</v>
      </c>
      <c r="F467" s="44" t="s">
        <v>18</v>
      </c>
      <c r="G467" s="44" t="s">
        <v>108</v>
      </c>
      <c r="H467" s="44" t="s">
        <v>21</v>
      </c>
      <c r="I467" s="44" t="s">
        <v>152</v>
      </c>
      <c r="J467" s="44" t="s">
        <v>22</v>
      </c>
      <c r="K467" s="44" t="s">
        <v>128</v>
      </c>
      <c r="L467" s="40">
        <v>22763</v>
      </c>
      <c r="M467" s="41">
        <v>42250</v>
      </c>
      <c r="N467" s="40" t="s">
        <v>110</v>
      </c>
      <c r="O467" s="42"/>
      <c r="P467" s="40">
        <v>60</v>
      </c>
      <c r="Q467" s="91">
        <v>58.78</v>
      </c>
      <c r="R467" s="91">
        <v>57.37</v>
      </c>
      <c r="S467" s="91">
        <v>58.25</v>
      </c>
      <c r="T467" s="91">
        <v>58.49</v>
      </c>
      <c r="U467" s="91">
        <v>60.75</v>
      </c>
    </row>
    <row r="468" spans="1:21" x14ac:dyDescent="0.2">
      <c r="A468" s="48">
        <f t="shared" si="7"/>
        <v>460</v>
      </c>
      <c r="B468" s="43">
        <v>13</v>
      </c>
      <c r="C468" s="43">
        <v>16</v>
      </c>
      <c r="D468" s="38" t="s">
        <v>615</v>
      </c>
      <c r="E468" s="44" t="s">
        <v>154</v>
      </c>
      <c r="F468" s="44" t="s">
        <v>18</v>
      </c>
      <c r="G468" s="44" t="s">
        <v>108</v>
      </c>
      <c r="H468" s="44" t="s">
        <v>62</v>
      </c>
      <c r="I468" s="44" t="s">
        <v>155</v>
      </c>
      <c r="J468" s="44" t="s">
        <v>6</v>
      </c>
      <c r="K468" s="44" t="s">
        <v>128</v>
      </c>
      <c r="L468" s="40">
        <v>22764</v>
      </c>
      <c r="M468" s="41">
        <v>42250</v>
      </c>
      <c r="N468" s="40" t="s">
        <v>110</v>
      </c>
      <c r="O468" s="42"/>
      <c r="P468" s="40">
        <v>60</v>
      </c>
      <c r="Q468" s="91">
        <v>62.07</v>
      </c>
      <c r="R468" s="91">
        <v>61.48</v>
      </c>
      <c r="S468" s="91">
        <v>61.07</v>
      </c>
      <c r="T468" s="91">
        <v>61.59</v>
      </c>
      <c r="U468" s="91">
        <v>63.57</v>
      </c>
    </row>
    <row r="469" spans="1:21" x14ac:dyDescent="0.2">
      <c r="A469" s="48">
        <f t="shared" si="7"/>
        <v>461</v>
      </c>
      <c r="B469" s="43">
        <v>13</v>
      </c>
      <c r="C469" s="43">
        <v>17</v>
      </c>
      <c r="D469" s="38" t="s">
        <v>616</v>
      </c>
      <c r="E469" s="44" t="s">
        <v>157</v>
      </c>
      <c r="F469" s="44" t="s">
        <v>29</v>
      </c>
      <c r="G469" s="44" t="s">
        <v>108</v>
      </c>
      <c r="H469" s="44" t="s">
        <v>33</v>
      </c>
      <c r="I469" s="44" t="s">
        <v>33</v>
      </c>
      <c r="J469" s="44" t="s">
        <v>7</v>
      </c>
      <c r="K469" s="44" t="s">
        <v>123</v>
      </c>
      <c r="L469" s="40">
        <v>22765</v>
      </c>
      <c r="M469" s="41">
        <v>42250</v>
      </c>
      <c r="N469" s="40" t="s">
        <v>110</v>
      </c>
      <c r="O469" s="42"/>
      <c r="P469" s="40">
        <v>60</v>
      </c>
      <c r="Q469" s="91">
        <v>93.58</v>
      </c>
      <c r="R469" s="91">
        <v>85.37</v>
      </c>
      <c r="S469" s="91">
        <v>86.28</v>
      </c>
      <c r="T469" s="91">
        <v>85.54</v>
      </c>
      <c r="U469" s="91">
        <v>88.44</v>
      </c>
    </row>
    <row r="470" spans="1:21" x14ac:dyDescent="0.2">
      <c r="A470" s="48">
        <f t="shared" si="7"/>
        <v>462</v>
      </c>
      <c r="B470" s="43">
        <v>13</v>
      </c>
      <c r="C470" s="43">
        <v>18</v>
      </c>
      <c r="D470" s="38" t="s">
        <v>617</v>
      </c>
      <c r="E470" s="44" t="s">
        <v>159</v>
      </c>
      <c r="F470" s="44" t="s">
        <v>29</v>
      </c>
      <c r="G470" s="44" t="s">
        <v>108</v>
      </c>
      <c r="H470" s="44" t="s">
        <v>33</v>
      </c>
      <c r="I470" s="44" t="s">
        <v>33</v>
      </c>
      <c r="J470" s="44" t="s">
        <v>8</v>
      </c>
      <c r="K470" s="44" t="s">
        <v>120</v>
      </c>
      <c r="L470" s="40">
        <v>22766</v>
      </c>
      <c r="M470" s="41">
        <v>42250</v>
      </c>
      <c r="N470" s="40" t="s">
        <v>110</v>
      </c>
      <c r="O470" s="42"/>
      <c r="P470" s="40">
        <v>60</v>
      </c>
      <c r="Q470" s="91">
        <v>96.18</v>
      </c>
      <c r="R470" s="91">
        <v>88.67</v>
      </c>
      <c r="S470" s="91">
        <v>89.46</v>
      </c>
      <c r="T470" s="91">
        <v>88.88</v>
      </c>
      <c r="U470" s="91">
        <v>91.72</v>
      </c>
    </row>
    <row r="471" spans="1:21" x14ac:dyDescent="0.2">
      <c r="A471" s="48">
        <f t="shared" si="7"/>
        <v>463</v>
      </c>
      <c r="B471" s="43">
        <v>13</v>
      </c>
      <c r="C471" s="43">
        <v>19</v>
      </c>
      <c r="D471" s="38" t="s">
        <v>618</v>
      </c>
      <c r="E471" s="44" t="s">
        <v>161</v>
      </c>
      <c r="F471" s="44" t="s">
        <v>29</v>
      </c>
      <c r="G471" s="44" t="s">
        <v>108</v>
      </c>
      <c r="H471" s="44" t="s">
        <v>33</v>
      </c>
      <c r="I471" s="44" t="s">
        <v>33</v>
      </c>
      <c r="J471" s="44" t="s">
        <v>9</v>
      </c>
      <c r="K471" s="44" t="s">
        <v>117</v>
      </c>
      <c r="L471" s="40">
        <v>22767</v>
      </c>
      <c r="M471" s="41">
        <v>42250</v>
      </c>
      <c r="N471" s="40" t="s">
        <v>110</v>
      </c>
      <c r="O471" s="42"/>
      <c r="P471" s="40">
        <v>60</v>
      </c>
      <c r="Q471" s="91">
        <v>92.66</v>
      </c>
      <c r="R471" s="91">
        <v>86.62</v>
      </c>
      <c r="S471" s="91">
        <v>86.93</v>
      </c>
      <c r="T471" s="91">
        <v>86.75</v>
      </c>
      <c r="U471" s="91">
        <v>89.62</v>
      </c>
    </row>
    <row r="472" spans="1:21" x14ac:dyDescent="0.2">
      <c r="A472" s="48">
        <f t="shared" si="7"/>
        <v>464</v>
      </c>
      <c r="B472" s="43">
        <v>13</v>
      </c>
      <c r="C472" s="43">
        <v>20</v>
      </c>
      <c r="D472" s="38" t="s">
        <v>619</v>
      </c>
      <c r="E472" s="44" t="s">
        <v>163</v>
      </c>
      <c r="F472" s="44" t="s">
        <v>5</v>
      </c>
      <c r="G472" s="44" t="s">
        <v>108</v>
      </c>
      <c r="H472" s="44" t="s">
        <v>164</v>
      </c>
      <c r="I472" s="44" t="s">
        <v>165</v>
      </c>
      <c r="J472" s="44" t="s">
        <v>7</v>
      </c>
      <c r="K472" s="44" t="s">
        <v>123</v>
      </c>
      <c r="L472" s="40">
        <v>22769</v>
      </c>
      <c r="M472" s="41">
        <v>42250</v>
      </c>
      <c r="N472" s="40" t="s">
        <v>110</v>
      </c>
      <c r="O472" s="42"/>
      <c r="P472" s="40">
        <v>60</v>
      </c>
      <c r="Q472" s="91">
        <v>73.06</v>
      </c>
      <c r="R472" s="91">
        <v>65.3</v>
      </c>
      <c r="S472" s="91">
        <v>65.849999999999994</v>
      </c>
      <c r="T472" s="91">
        <v>64.47</v>
      </c>
      <c r="U472" s="91">
        <v>66.3</v>
      </c>
    </row>
    <row r="473" spans="1:21" x14ac:dyDescent="0.2">
      <c r="A473" s="48">
        <f t="shared" si="7"/>
        <v>465</v>
      </c>
      <c r="B473" s="43">
        <v>13</v>
      </c>
      <c r="C473" s="43">
        <v>21</v>
      </c>
      <c r="D473" s="38" t="s">
        <v>620</v>
      </c>
      <c r="E473" s="44" t="s">
        <v>167</v>
      </c>
      <c r="F473" s="44" t="s">
        <v>5</v>
      </c>
      <c r="G473" s="44" t="s">
        <v>108</v>
      </c>
      <c r="H473" s="44" t="s">
        <v>164</v>
      </c>
      <c r="I473" s="44" t="s">
        <v>165</v>
      </c>
      <c r="J473" s="44" t="s">
        <v>8</v>
      </c>
      <c r="K473" s="44" t="s">
        <v>120</v>
      </c>
      <c r="L473" s="40">
        <v>22768</v>
      </c>
      <c r="M473" s="41">
        <v>42250</v>
      </c>
      <c r="N473" s="40" t="s">
        <v>110</v>
      </c>
      <c r="O473" s="42"/>
      <c r="P473" s="40">
        <v>60</v>
      </c>
      <c r="Q473" s="91">
        <v>73.819999999999993</v>
      </c>
      <c r="R473" s="91">
        <v>66.42</v>
      </c>
      <c r="S473" s="91">
        <v>66.88</v>
      </c>
      <c r="T473" s="91">
        <v>65.599999999999994</v>
      </c>
      <c r="U473" s="91">
        <v>67.44</v>
      </c>
    </row>
    <row r="474" spans="1:21" x14ac:dyDescent="0.2">
      <c r="A474" s="48">
        <f t="shared" si="7"/>
        <v>466</v>
      </c>
      <c r="B474" s="43">
        <v>13</v>
      </c>
      <c r="C474" s="43">
        <v>22</v>
      </c>
      <c r="D474" s="38" t="s">
        <v>621</v>
      </c>
      <c r="E474" s="44" t="s">
        <v>169</v>
      </c>
      <c r="F474" s="44" t="s">
        <v>5</v>
      </c>
      <c r="G474" s="44" t="s">
        <v>108</v>
      </c>
      <c r="H474" s="44" t="s">
        <v>164</v>
      </c>
      <c r="I474" s="44" t="s">
        <v>165</v>
      </c>
      <c r="J474" s="44" t="s">
        <v>9</v>
      </c>
      <c r="K474" s="44" t="s">
        <v>117</v>
      </c>
      <c r="L474" s="40">
        <v>22770</v>
      </c>
      <c r="M474" s="41">
        <v>42250</v>
      </c>
      <c r="N474" s="40" t="s">
        <v>110</v>
      </c>
      <c r="O474" s="42"/>
      <c r="P474" s="40">
        <v>60</v>
      </c>
      <c r="Q474" s="91">
        <v>71.989999999999995</v>
      </c>
      <c r="R474" s="91">
        <v>65.83</v>
      </c>
      <c r="S474" s="91">
        <v>66.040000000000006</v>
      </c>
      <c r="T474" s="91">
        <v>65.010000000000005</v>
      </c>
      <c r="U474" s="91">
        <v>66.87</v>
      </c>
    </row>
    <row r="475" spans="1:21" x14ac:dyDescent="0.2">
      <c r="A475" s="48">
        <f t="shared" si="7"/>
        <v>467</v>
      </c>
      <c r="B475" s="43">
        <v>13</v>
      </c>
      <c r="C475" s="43">
        <v>23</v>
      </c>
      <c r="D475" s="38" t="s">
        <v>622</v>
      </c>
      <c r="E475" s="44" t="s">
        <v>171</v>
      </c>
      <c r="F475" s="44" t="s">
        <v>5</v>
      </c>
      <c r="G475" s="44" t="s">
        <v>108</v>
      </c>
      <c r="H475" s="44" t="s">
        <v>11</v>
      </c>
      <c r="I475" s="44" t="s">
        <v>11</v>
      </c>
      <c r="J475" s="44" t="s">
        <v>6</v>
      </c>
      <c r="K475" s="44" t="s">
        <v>128</v>
      </c>
      <c r="L475" s="40">
        <v>22771</v>
      </c>
      <c r="M475" s="41">
        <v>42250</v>
      </c>
      <c r="N475" s="40" t="s">
        <v>110</v>
      </c>
      <c r="O475" s="42"/>
      <c r="P475" s="40">
        <v>60</v>
      </c>
      <c r="Q475" s="91">
        <v>79.290000000000006</v>
      </c>
      <c r="R475" s="91">
        <v>69.53</v>
      </c>
      <c r="S475" s="91">
        <v>70.62</v>
      </c>
      <c r="T475" s="91">
        <v>69.5</v>
      </c>
      <c r="U475" s="91">
        <v>72.180000000000007</v>
      </c>
    </row>
    <row r="476" spans="1:21" x14ac:dyDescent="0.2">
      <c r="A476" s="48">
        <f t="shared" si="7"/>
        <v>468</v>
      </c>
      <c r="B476" s="43">
        <v>13</v>
      </c>
      <c r="C476" s="43">
        <v>24</v>
      </c>
      <c r="D476" s="38" t="s">
        <v>623</v>
      </c>
      <c r="E476" s="44" t="s">
        <v>173</v>
      </c>
      <c r="F476" s="44" t="s">
        <v>5</v>
      </c>
      <c r="G476" s="44" t="s">
        <v>108</v>
      </c>
      <c r="H476" s="44" t="s">
        <v>10</v>
      </c>
      <c r="I476" s="44" t="s">
        <v>174</v>
      </c>
      <c r="J476" s="44" t="s">
        <v>7</v>
      </c>
      <c r="K476" s="44" t="s">
        <v>123</v>
      </c>
      <c r="L476" s="40">
        <v>22772</v>
      </c>
      <c r="M476" s="41">
        <v>42250</v>
      </c>
      <c r="N476" s="40" t="s">
        <v>110</v>
      </c>
      <c r="O476" s="42"/>
      <c r="P476" s="40">
        <v>60</v>
      </c>
      <c r="Q476" s="91">
        <v>72.260000000000005</v>
      </c>
      <c r="R476" s="91">
        <v>67.34</v>
      </c>
      <c r="S476" s="91">
        <v>67.05</v>
      </c>
      <c r="T476" s="91">
        <v>66.260000000000005</v>
      </c>
      <c r="U476" s="91">
        <v>67.89</v>
      </c>
    </row>
    <row r="477" spans="1:21" x14ac:dyDescent="0.2">
      <c r="A477" s="48">
        <f t="shared" si="7"/>
        <v>469</v>
      </c>
      <c r="B477" s="43">
        <v>13</v>
      </c>
      <c r="C477" s="43">
        <v>25</v>
      </c>
      <c r="D477" s="38" t="s">
        <v>624</v>
      </c>
      <c r="E477" s="44" t="s">
        <v>176</v>
      </c>
      <c r="F477" s="44" t="s">
        <v>5</v>
      </c>
      <c r="G477" s="44" t="s">
        <v>108</v>
      </c>
      <c r="H477" s="44" t="s">
        <v>10</v>
      </c>
      <c r="I477" s="44" t="s">
        <v>174</v>
      </c>
      <c r="J477" s="44" t="s">
        <v>8</v>
      </c>
      <c r="K477" s="44" t="s">
        <v>120</v>
      </c>
      <c r="L477" s="40">
        <v>22773</v>
      </c>
      <c r="M477" s="41">
        <v>42250</v>
      </c>
      <c r="N477" s="40" t="s">
        <v>110</v>
      </c>
      <c r="O477" s="42"/>
      <c r="P477" s="40">
        <v>60</v>
      </c>
      <c r="Q477" s="91">
        <v>72.900000000000006</v>
      </c>
      <c r="R477" s="91">
        <v>68.58</v>
      </c>
      <c r="S477" s="91">
        <v>68.099999999999994</v>
      </c>
      <c r="T477" s="91">
        <v>67.5</v>
      </c>
      <c r="U477" s="91">
        <v>69.14</v>
      </c>
    </row>
    <row r="478" spans="1:21" x14ac:dyDescent="0.2">
      <c r="A478" s="48">
        <f t="shared" si="7"/>
        <v>470</v>
      </c>
      <c r="B478" s="43">
        <v>13</v>
      </c>
      <c r="C478" s="43">
        <v>26</v>
      </c>
      <c r="D478" s="38" t="s">
        <v>625</v>
      </c>
      <c r="E478" s="44" t="s">
        <v>178</v>
      </c>
      <c r="F478" s="44" t="s">
        <v>5</v>
      </c>
      <c r="G478" s="44" t="s">
        <v>108</v>
      </c>
      <c r="H478" s="44" t="s">
        <v>10</v>
      </c>
      <c r="I478" s="44" t="s">
        <v>174</v>
      </c>
      <c r="J478" s="44" t="s">
        <v>9</v>
      </c>
      <c r="K478" s="44" t="s">
        <v>117</v>
      </c>
      <c r="L478" s="40">
        <v>22774</v>
      </c>
      <c r="M478" s="41">
        <v>42250</v>
      </c>
      <c r="N478" s="40" t="s">
        <v>110</v>
      </c>
      <c r="O478" s="42"/>
      <c r="P478" s="40">
        <v>60</v>
      </c>
      <c r="Q478" s="91">
        <v>69.56</v>
      </c>
      <c r="R478" s="91">
        <v>68.63</v>
      </c>
      <c r="S478" s="91">
        <v>67.13</v>
      </c>
      <c r="T478" s="91">
        <v>67.540000000000006</v>
      </c>
      <c r="U478" s="91">
        <v>69.209999999999994</v>
      </c>
    </row>
    <row r="479" spans="1:21" x14ac:dyDescent="0.2">
      <c r="A479" s="48">
        <f t="shared" si="7"/>
        <v>471</v>
      </c>
      <c r="B479" s="43">
        <v>13</v>
      </c>
      <c r="C479" s="43">
        <v>27</v>
      </c>
      <c r="D479" s="38" t="s">
        <v>626</v>
      </c>
      <c r="E479" s="44" t="s">
        <v>180</v>
      </c>
      <c r="F479" s="44" t="s">
        <v>5</v>
      </c>
      <c r="G479" s="44" t="s">
        <v>108</v>
      </c>
      <c r="H479" s="44" t="s">
        <v>91</v>
      </c>
      <c r="I479" s="44" t="s">
        <v>181</v>
      </c>
      <c r="J479" s="44" t="s">
        <v>6</v>
      </c>
      <c r="K479" s="44" t="s">
        <v>128</v>
      </c>
      <c r="L479" s="40">
        <v>22775</v>
      </c>
      <c r="M479" s="41">
        <v>42250</v>
      </c>
      <c r="N479" s="40" t="s">
        <v>110</v>
      </c>
      <c r="O479" s="42"/>
      <c r="P479" s="40">
        <v>60</v>
      </c>
      <c r="Q479" s="91">
        <v>72.849999999999994</v>
      </c>
      <c r="R479" s="91">
        <v>72.45</v>
      </c>
      <c r="S479" s="91">
        <v>71.97</v>
      </c>
      <c r="T479" s="91">
        <v>72.59</v>
      </c>
      <c r="U479" s="91">
        <v>74.61</v>
      </c>
    </row>
    <row r="480" spans="1:21" x14ac:dyDescent="0.2">
      <c r="A480" s="48">
        <f t="shared" si="7"/>
        <v>472</v>
      </c>
      <c r="B480" s="43">
        <v>13</v>
      </c>
      <c r="C480" s="43">
        <v>28</v>
      </c>
      <c r="D480" s="38" t="s">
        <v>627</v>
      </c>
      <c r="E480" s="44" t="s">
        <v>183</v>
      </c>
      <c r="F480" s="44" t="s">
        <v>37</v>
      </c>
      <c r="G480" s="44" t="s">
        <v>108</v>
      </c>
      <c r="H480" s="44" t="s">
        <v>42</v>
      </c>
      <c r="I480" s="44" t="s">
        <v>42</v>
      </c>
      <c r="J480" s="44" t="s">
        <v>6</v>
      </c>
      <c r="K480" s="44" t="s">
        <v>128</v>
      </c>
      <c r="L480" s="40">
        <v>22776</v>
      </c>
      <c r="M480" s="41">
        <v>42250</v>
      </c>
      <c r="N480" s="40" t="s">
        <v>110</v>
      </c>
      <c r="O480" s="42"/>
      <c r="P480" s="40">
        <v>60</v>
      </c>
      <c r="Q480" s="91">
        <v>84.9</v>
      </c>
      <c r="R480" s="91">
        <v>80.61</v>
      </c>
      <c r="S480" s="91">
        <v>79.95</v>
      </c>
      <c r="T480" s="91">
        <v>79.41</v>
      </c>
      <c r="U480" s="91">
        <v>80.7</v>
      </c>
    </row>
    <row r="481" spans="1:21" x14ac:dyDescent="0.2">
      <c r="A481" s="48">
        <f t="shared" si="7"/>
        <v>473</v>
      </c>
      <c r="B481" s="43">
        <v>13</v>
      </c>
      <c r="C481" s="43">
        <v>29</v>
      </c>
      <c r="D481" s="38" t="s">
        <v>628</v>
      </c>
      <c r="E481" s="44" t="s">
        <v>185</v>
      </c>
      <c r="F481" s="44" t="s">
        <v>37</v>
      </c>
      <c r="G481" s="44" t="s">
        <v>108</v>
      </c>
      <c r="H481" s="44" t="s">
        <v>42</v>
      </c>
      <c r="I481" s="44" t="s">
        <v>42</v>
      </c>
      <c r="J481" s="44" t="s">
        <v>43</v>
      </c>
      <c r="K481" s="44" t="s">
        <v>186</v>
      </c>
      <c r="L481" s="40">
        <v>22777</v>
      </c>
      <c r="M481" s="41">
        <v>42250</v>
      </c>
      <c r="N481" s="40" t="s">
        <v>110</v>
      </c>
      <c r="O481" s="42"/>
      <c r="P481" s="40">
        <v>60</v>
      </c>
      <c r="Q481" s="91">
        <v>85.24</v>
      </c>
      <c r="R481" s="91">
        <v>78.37</v>
      </c>
      <c r="S481" s="91">
        <v>78.45</v>
      </c>
      <c r="T481" s="91">
        <v>77.180000000000007</v>
      </c>
      <c r="U481" s="91">
        <v>78.44</v>
      </c>
    </row>
    <row r="482" spans="1:21" x14ac:dyDescent="0.2">
      <c r="A482" s="48">
        <f t="shared" si="7"/>
        <v>474</v>
      </c>
      <c r="B482" s="43">
        <v>13</v>
      </c>
      <c r="C482" s="43">
        <v>30</v>
      </c>
      <c r="D482" s="38" t="s">
        <v>629</v>
      </c>
      <c r="E482" s="44" t="s">
        <v>188</v>
      </c>
      <c r="F482" s="44" t="s">
        <v>37</v>
      </c>
      <c r="G482" s="44" t="s">
        <v>108</v>
      </c>
      <c r="H482" s="44" t="s">
        <v>42</v>
      </c>
      <c r="I482" s="44" t="s">
        <v>42</v>
      </c>
      <c r="J482" s="44" t="s">
        <v>44</v>
      </c>
      <c r="K482" s="44" t="s">
        <v>44</v>
      </c>
      <c r="L482" s="40">
        <v>22778</v>
      </c>
      <c r="M482" s="41">
        <v>42250</v>
      </c>
      <c r="N482" s="40" t="s">
        <v>110</v>
      </c>
      <c r="O482" s="42"/>
      <c r="P482" s="40">
        <v>60</v>
      </c>
      <c r="Q482" s="91">
        <v>82.55</v>
      </c>
      <c r="R482" s="91">
        <v>78.06</v>
      </c>
      <c r="S482" s="91">
        <v>77.709999999999994</v>
      </c>
      <c r="T482" s="91">
        <v>76.94</v>
      </c>
      <c r="U482" s="91">
        <v>78.31</v>
      </c>
    </row>
    <row r="483" spans="1:21" x14ac:dyDescent="0.2">
      <c r="A483" s="48">
        <f t="shared" si="7"/>
        <v>475</v>
      </c>
      <c r="B483" s="43">
        <v>13</v>
      </c>
      <c r="C483" s="43">
        <v>31</v>
      </c>
      <c r="D483" s="38" t="s">
        <v>630</v>
      </c>
      <c r="E483" s="44" t="s">
        <v>190</v>
      </c>
      <c r="F483" s="44" t="s">
        <v>37</v>
      </c>
      <c r="G483" s="44" t="s">
        <v>108</v>
      </c>
      <c r="H483" s="44" t="s">
        <v>45</v>
      </c>
      <c r="I483" s="44" t="s">
        <v>45</v>
      </c>
      <c r="J483" s="44" t="s">
        <v>6</v>
      </c>
      <c r="K483" s="44" t="s">
        <v>128</v>
      </c>
      <c r="L483" s="40">
        <v>22779</v>
      </c>
      <c r="M483" s="41">
        <v>42250</v>
      </c>
      <c r="N483" s="40" t="s">
        <v>110</v>
      </c>
      <c r="O483" s="42"/>
      <c r="P483" s="40">
        <v>60</v>
      </c>
      <c r="Q483" s="91">
        <v>73.33</v>
      </c>
      <c r="R483" s="91">
        <v>70.989999999999995</v>
      </c>
      <c r="S483" s="91">
        <v>72.290000000000006</v>
      </c>
      <c r="T483" s="91">
        <v>72.48</v>
      </c>
      <c r="U483" s="91">
        <v>75.11</v>
      </c>
    </row>
    <row r="484" spans="1:21" x14ac:dyDescent="0.2">
      <c r="A484" s="48">
        <f t="shared" si="7"/>
        <v>476</v>
      </c>
      <c r="B484" s="43">
        <v>13</v>
      </c>
      <c r="C484" s="43">
        <v>32</v>
      </c>
      <c r="D484" s="38" t="s">
        <v>631</v>
      </c>
      <c r="E484" s="44" t="s">
        <v>192</v>
      </c>
      <c r="F484" s="44" t="s">
        <v>5</v>
      </c>
      <c r="G484" s="44" t="s">
        <v>108</v>
      </c>
      <c r="H484" s="44" t="s">
        <v>12</v>
      </c>
      <c r="I484" s="44" t="s">
        <v>12</v>
      </c>
      <c r="J484" s="44" t="s">
        <v>13</v>
      </c>
      <c r="K484" s="44" t="s">
        <v>117</v>
      </c>
      <c r="L484" s="40">
        <v>22780</v>
      </c>
      <c r="M484" s="41">
        <v>42250</v>
      </c>
      <c r="N484" s="40" t="s">
        <v>110</v>
      </c>
      <c r="O484" s="42"/>
      <c r="P484" s="40">
        <v>60</v>
      </c>
      <c r="Q484" s="91">
        <v>81.319999999999993</v>
      </c>
      <c r="R484" s="91">
        <v>74.17</v>
      </c>
      <c r="S484" s="91">
        <v>74.47</v>
      </c>
      <c r="T484" s="91">
        <v>72.81</v>
      </c>
      <c r="U484" s="91">
        <v>74.58</v>
      </c>
    </row>
    <row r="485" spans="1:21" x14ac:dyDescent="0.2">
      <c r="A485" s="48">
        <f t="shared" si="7"/>
        <v>477</v>
      </c>
      <c r="B485" s="43">
        <v>13</v>
      </c>
      <c r="C485" s="43">
        <v>33</v>
      </c>
      <c r="D485" s="38" t="s">
        <v>632</v>
      </c>
      <c r="E485" s="44" t="s">
        <v>194</v>
      </c>
      <c r="F485" s="44" t="s">
        <v>5</v>
      </c>
      <c r="G485" s="44" t="s">
        <v>108</v>
      </c>
      <c r="H485" s="44" t="s">
        <v>12</v>
      </c>
      <c r="I485" s="44" t="s">
        <v>12</v>
      </c>
      <c r="J485" s="44" t="s">
        <v>14</v>
      </c>
      <c r="K485" s="44" t="s">
        <v>123</v>
      </c>
      <c r="L485" s="40">
        <v>22781</v>
      </c>
      <c r="M485" s="41">
        <v>42250</v>
      </c>
      <c r="N485" s="40" t="s">
        <v>110</v>
      </c>
      <c r="O485" s="42"/>
      <c r="P485" s="40">
        <v>60</v>
      </c>
      <c r="Q485" s="91">
        <v>83.82</v>
      </c>
      <c r="R485" s="91">
        <v>75.08</v>
      </c>
      <c r="S485" s="91">
        <v>75.81</v>
      </c>
      <c r="T485" s="91">
        <v>73.78</v>
      </c>
      <c r="U485" s="91">
        <v>75.569999999999993</v>
      </c>
    </row>
    <row r="486" spans="1:21" x14ac:dyDescent="0.2">
      <c r="A486" s="48">
        <f t="shared" si="7"/>
        <v>478</v>
      </c>
      <c r="B486" s="43">
        <v>13</v>
      </c>
      <c r="C486" s="43">
        <v>34</v>
      </c>
      <c r="D486" s="38" t="s">
        <v>633</v>
      </c>
      <c r="E486" s="44" t="s">
        <v>196</v>
      </c>
      <c r="F486" s="44" t="s">
        <v>29</v>
      </c>
      <c r="G486" s="44" t="s">
        <v>108</v>
      </c>
      <c r="H486" s="44" t="s">
        <v>34</v>
      </c>
      <c r="I486" s="44" t="s">
        <v>34</v>
      </c>
      <c r="J486" s="44" t="s">
        <v>35</v>
      </c>
      <c r="K486" s="44" t="s">
        <v>197</v>
      </c>
      <c r="L486" s="40">
        <v>22782</v>
      </c>
      <c r="M486" s="41">
        <v>42250</v>
      </c>
      <c r="N486" s="40" t="s">
        <v>110</v>
      </c>
      <c r="O486" s="42"/>
      <c r="P486" s="40">
        <v>60</v>
      </c>
      <c r="Q486" s="91">
        <v>116.16</v>
      </c>
      <c r="R486" s="91">
        <v>105.79</v>
      </c>
      <c r="S486" s="91">
        <v>107.48</v>
      </c>
      <c r="T486" s="91">
        <v>104.93</v>
      </c>
      <c r="U486" s="91">
        <v>106.14</v>
      </c>
    </row>
    <row r="487" spans="1:21" x14ac:dyDescent="0.2">
      <c r="A487" s="48">
        <f t="shared" si="7"/>
        <v>479</v>
      </c>
      <c r="B487" s="43">
        <v>13</v>
      </c>
      <c r="C487" s="43">
        <v>35</v>
      </c>
      <c r="D487" s="38" t="s">
        <v>634</v>
      </c>
      <c r="E487" s="44" t="s">
        <v>199</v>
      </c>
      <c r="F487" s="44" t="s">
        <v>29</v>
      </c>
      <c r="G487" s="44" t="s">
        <v>108</v>
      </c>
      <c r="H487" s="44" t="s">
        <v>34</v>
      </c>
      <c r="I487" s="44" t="s">
        <v>34</v>
      </c>
      <c r="J487" s="44" t="s">
        <v>36</v>
      </c>
      <c r="K487" s="44" t="s">
        <v>200</v>
      </c>
      <c r="L487" s="40">
        <v>22783</v>
      </c>
      <c r="M487" s="41">
        <v>42250</v>
      </c>
      <c r="N487" s="40" t="s">
        <v>110</v>
      </c>
      <c r="O487" s="42"/>
      <c r="P487" s="40">
        <v>60</v>
      </c>
      <c r="Q487" s="91">
        <v>115.3</v>
      </c>
      <c r="R487" s="91">
        <v>104.27</v>
      </c>
      <c r="S487" s="91">
        <v>106.15</v>
      </c>
      <c r="T487" s="91">
        <v>103.39</v>
      </c>
      <c r="U487" s="91">
        <v>104.6</v>
      </c>
    </row>
    <row r="488" spans="1:21" x14ac:dyDescent="0.2">
      <c r="A488" s="48">
        <f t="shared" si="7"/>
        <v>480</v>
      </c>
      <c r="B488" s="43">
        <v>13</v>
      </c>
      <c r="C488" s="43">
        <v>36</v>
      </c>
      <c r="D488" s="38" t="s">
        <v>635</v>
      </c>
      <c r="E488" s="44" t="s">
        <v>202</v>
      </c>
      <c r="F488" s="44" t="s">
        <v>5</v>
      </c>
      <c r="G488" s="44" t="s">
        <v>108</v>
      </c>
      <c r="H488" s="44" t="s">
        <v>15</v>
      </c>
      <c r="I488" s="44" t="s">
        <v>203</v>
      </c>
      <c r="J488" s="44" t="s">
        <v>16</v>
      </c>
      <c r="K488" s="44" t="s">
        <v>128</v>
      </c>
      <c r="L488" s="40">
        <v>22784</v>
      </c>
      <c r="M488" s="41">
        <v>42250</v>
      </c>
      <c r="N488" s="40" t="s">
        <v>110</v>
      </c>
      <c r="O488" s="42"/>
      <c r="P488" s="40">
        <v>60</v>
      </c>
      <c r="Q488" s="91">
        <v>71.73</v>
      </c>
      <c r="R488" s="91">
        <v>69.59</v>
      </c>
      <c r="S488" s="91">
        <v>70.64</v>
      </c>
      <c r="T488" s="91">
        <v>70.77</v>
      </c>
      <c r="U488" s="91">
        <v>73.150000000000006</v>
      </c>
    </row>
    <row r="489" spans="1:21" x14ac:dyDescent="0.2">
      <c r="A489" s="48">
        <f t="shared" si="7"/>
        <v>481</v>
      </c>
      <c r="B489" s="20"/>
      <c r="C489" s="20"/>
      <c r="D489" s="20"/>
    </row>
    <row r="490" spans="1:21" x14ac:dyDescent="0.2">
      <c r="A490" s="48">
        <f t="shared" si="7"/>
        <v>482</v>
      </c>
      <c r="B490" s="43">
        <v>14</v>
      </c>
      <c r="C490" s="43">
        <v>1</v>
      </c>
      <c r="D490" s="38" t="s">
        <v>600</v>
      </c>
      <c r="E490" s="44" t="s">
        <v>107</v>
      </c>
      <c r="F490" s="44" t="s">
        <v>29</v>
      </c>
      <c r="G490" s="44" t="s">
        <v>108</v>
      </c>
      <c r="H490" s="44" t="s">
        <v>30</v>
      </c>
      <c r="I490" s="44" t="s">
        <v>30</v>
      </c>
      <c r="J490" s="44" t="s">
        <v>31</v>
      </c>
      <c r="K490" s="44" t="s">
        <v>109</v>
      </c>
      <c r="L490" s="40">
        <v>22749</v>
      </c>
      <c r="M490" s="41">
        <v>42250</v>
      </c>
      <c r="N490" s="40" t="s">
        <v>110</v>
      </c>
      <c r="O490" s="42"/>
      <c r="P490" s="40">
        <v>61</v>
      </c>
      <c r="Q490" s="91">
        <v>107.8</v>
      </c>
      <c r="R490" s="91">
        <v>92.74</v>
      </c>
      <c r="S490" s="91">
        <v>94.64</v>
      </c>
      <c r="T490" s="91">
        <v>92.61</v>
      </c>
      <c r="U490" s="91">
        <v>95.17</v>
      </c>
    </row>
    <row r="491" spans="1:21" x14ac:dyDescent="0.2">
      <c r="A491" s="48">
        <f t="shared" si="7"/>
        <v>483</v>
      </c>
      <c r="B491" s="43">
        <v>14</v>
      </c>
      <c r="C491" s="43">
        <v>2</v>
      </c>
      <c r="D491" s="38" t="s">
        <v>601</v>
      </c>
      <c r="E491" s="44" t="s">
        <v>112</v>
      </c>
      <c r="F491" s="44" t="s">
        <v>29</v>
      </c>
      <c r="G491" s="44" t="s">
        <v>108</v>
      </c>
      <c r="H491" s="44" t="s">
        <v>30</v>
      </c>
      <c r="I491" s="44" t="s">
        <v>30</v>
      </c>
      <c r="J491" s="44" t="s">
        <v>32</v>
      </c>
      <c r="K491" s="44" t="s">
        <v>113</v>
      </c>
      <c r="L491" s="40">
        <v>22750</v>
      </c>
      <c r="M491" s="41">
        <v>42250</v>
      </c>
      <c r="N491" s="40" t="s">
        <v>110</v>
      </c>
      <c r="O491" s="42"/>
      <c r="P491" s="40">
        <v>61</v>
      </c>
      <c r="Q491" s="91">
        <v>104.61</v>
      </c>
      <c r="R491" s="91">
        <v>92.4</v>
      </c>
      <c r="S491" s="91">
        <v>92.92</v>
      </c>
      <c r="T491" s="91">
        <v>90.18</v>
      </c>
      <c r="U491" s="91">
        <v>91.47</v>
      </c>
    </row>
    <row r="492" spans="1:21" x14ac:dyDescent="0.2">
      <c r="A492" s="48">
        <f t="shared" si="7"/>
        <v>484</v>
      </c>
      <c r="B492" s="43">
        <v>14</v>
      </c>
      <c r="C492" s="43">
        <v>3</v>
      </c>
      <c r="D492" s="38" t="s">
        <v>602</v>
      </c>
      <c r="E492" s="44" t="s">
        <v>115</v>
      </c>
      <c r="F492" s="44" t="s">
        <v>18</v>
      </c>
      <c r="G492" s="44" t="s">
        <v>108</v>
      </c>
      <c r="H492" s="44" t="s">
        <v>61</v>
      </c>
      <c r="I492" s="44" t="s">
        <v>116</v>
      </c>
      <c r="J492" s="44" t="s">
        <v>13</v>
      </c>
      <c r="K492" s="44" t="s">
        <v>117</v>
      </c>
      <c r="L492" s="40">
        <v>22751</v>
      </c>
      <c r="M492" s="41">
        <v>42250</v>
      </c>
      <c r="N492" s="40" t="s">
        <v>110</v>
      </c>
      <c r="O492" s="42"/>
      <c r="P492" s="40">
        <v>61</v>
      </c>
      <c r="Q492" s="91">
        <v>59.51</v>
      </c>
      <c r="R492" s="91">
        <v>57.39</v>
      </c>
      <c r="S492" s="91">
        <v>58.63</v>
      </c>
      <c r="T492" s="91">
        <v>58.88</v>
      </c>
      <c r="U492" s="91">
        <v>61.66</v>
      </c>
    </row>
    <row r="493" spans="1:21" x14ac:dyDescent="0.2">
      <c r="A493" s="48">
        <f t="shared" si="7"/>
        <v>485</v>
      </c>
      <c r="B493" s="43">
        <v>14</v>
      </c>
      <c r="C493" s="43">
        <v>4</v>
      </c>
      <c r="D493" s="38" t="s">
        <v>603</v>
      </c>
      <c r="E493" s="44" t="s">
        <v>119</v>
      </c>
      <c r="F493" s="44" t="s">
        <v>18</v>
      </c>
      <c r="G493" s="44" t="s">
        <v>108</v>
      </c>
      <c r="H493" s="44" t="s">
        <v>61</v>
      </c>
      <c r="I493" s="44" t="s">
        <v>116</v>
      </c>
      <c r="J493" s="44" t="s">
        <v>19</v>
      </c>
      <c r="K493" s="44" t="s">
        <v>120</v>
      </c>
      <c r="L493" s="40">
        <v>22752</v>
      </c>
      <c r="M493" s="41">
        <v>42250</v>
      </c>
      <c r="N493" s="40" t="s">
        <v>110</v>
      </c>
      <c r="O493" s="42"/>
      <c r="P493" s="40">
        <v>61</v>
      </c>
      <c r="Q493" s="91">
        <v>60.85</v>
      </c>
      <c r="R493" s="91">
        <v>59.03</v>
      </c>
      <c r="S493" s="91">
        <v>60.13</v>
      </c>
      <c r="T493" s="91">
        <v>60.51</v>
      </c>
      <c r="U493" s="91">
        <v>63.28</v>
      </c>
    </row>
    <row r="494" spans="1:21" x14ac:dyDescent="0.2">
      <c r="A494" s="48">
        <f t="shared" si="7"/>
        <v>486</v>
      </c>
      <c r="B494" s="43">
        <v>14</v>
      </c>
      <c r="C494" s="43">
        <v>5</v>
      </c>
      <c r="D494" s="38" t="s">
        <v>604</v>
      </c>
      <c r="E494" s="44" t="s">
        <v>122</v>
      </c>
      <c r="F494" s="44" t="s">
        <v>18</v>
      </c>
      <c r="G494" s="44" t="s">
        <v>108</v>
      </c>
      <c r="H494" s="44" t="s">
        <v>61</v>
      </c>
      <c r="I494" s="44" t="s">
        <v>116</v>
      </c>
      <c r="J494" s="44" t="s">
        <v>14</v>
      </c>
      <c r="K494" s="44" t="s">
        <v>123</v>
      </c>
      <c r="L494" s="40">
        <v>22753</v>
      </c>
      <c r="M494" s="41">
        <v>42250</v>
      </c>
      <c r="N494" s="40" t="s">
        <v>110</v>
      </c>
      <c r="O494" s="42"/>
      <c r="P494" s="40">
        <v>61</v>
      </c>
      <c r="Q494" s="91">
        <v>60.81</v>
      </c>
      <c r="R494" s="91">
        <v>58.02</v>
      </c>
      <c r="S494" s="91">
        <v>59.4</v>
      </c>
      <c r="T494" s="91">
        <v>59.48</v>
      </c>
      <c r="U494" s="91">
        <v>62.23</v>
      </c>
    </row>
    <row r="495" spans="1:21" x14ac:dyDescent="0.2">
      <c r="A495" s="48">
        <f t="shared" si="7"/>
        <v>487</v>
      </c>
      <c r="B495" s="43">
        <v>14</v>
      </c>
      <c r="C495" s="43">
        <v>6</v>
      </c>
      <c r="D495" s="38" t="s">
        <v>605</v>
      </c>
      <c r="E495" s="44" t="s">
        <v>125</v>
      </c>
      <c r="F495" s="44" t="s">
        <v>23</v>
      </c>
      <c r="G495" s="44" t="s">
        <v>126</v>
      </c>
      <c r="H495" s="44" t="s">
        <v>127</v>
      </c>
      <c r="I495" s="44" t="s">
        <v>27</v>
      </c>
      <c r="J495" s="44" t="s">
        <v>28</v>
      </c>
      <c r="K495" s="44" t="s">
        <v>128</v>
      </c>
      <c r="L495" s="40">
        <v>22754</v>
      </c>
      <c r="M495" s="41">
        <v>42250</v>
      </c>
      <c r="N495" s="40" t="s">
        <v>110</v>
      </c>
      <c r="O495" s="42"/>
      <c r="P495" s="40">
        <v>61</v>
      </c>
      <c r="Q495" s="91">
        <v>64.959999999999994</v>
      </c>
      <c r="R495" s="91">
        <v>62.27</v>
      </c>
      <c r="S495" s="91">
        <v>63.67</v>
      </c>
      <c r="T495" s="91">
        <v>63.54</v>
      </c>
      <c r="U495" s="91">
        <v>64.849999999999994</v>
      </c>
    </row>
    <row r="496" spans="1:21" x14ac:dyDescent="0.2">
      <c r="A496" s="48">
        <f t="shared" si="7"/>
        <v>488</v>
      </c>
      <c r="B496" s="43">
        <v>14</v>
      </c>
      <c r="C496" s="43">
        <v>7</v>
      </c>
      <c r="D496" s="38" t="s">
        <v>606</v>
      </c>
      <c r="E496" s="44" t="s">
        <v>130</v>
      </c>
      <c r="F496" s="44" t="s">
        <v>37</v>
      </c>
      <c r="G496" s="44" t="s">
        <v>108</v>
      </c>
      <c r="H496" s="44" t="s">
        <v>38</v>
      </c>
      <c r="I496" s="44" t="s">
        <v>38</v>
      </c>
      <c r="J496" s="44" t="s">
        <v>40</v>
      </c>
      <c r="K496" s="44" t="s">
        <v>123</v>
      </c>
      <c r="L496" s="40">
        <v>22756</v>
      </c>
      <c r="M496" s="41">
        <v>42250</v>
      </c>
      <c r="N496" s="40" t="s">
        <v>110</v>
      </c>
      <c r="O496" s="42"/>
      <c r="P496" s="40">
        <v>61</v>
      </c>
      <c r="Q496" s="91">
        <v>88.46</v>
      </c>
      <c r="R496" s="91">
        <v>80.77</v>
      </c>
      <c r="S496" s="91">
        <v>81.319999999999993</v>
      </c>
      <c r="T496" s="91">
        <v>80.040000000000006</v>
      </c>
      <c r="U496" s="91">
        <v>81.45</v>
      </c>
    </row>
    <row r="497" spans="1:21" x14ac:dyDescent="0.2">
      <c r="A497" s="48">
        <f t="shared" si="7"/>
        <v>489</v>
      </c>
      <c r="B497" s="43">
        <v>14</v>
      </c>
      <c r="C497" s="43">
        <v>8</v>
      </c>
      <c r="D497" s="38" t="s">
        <v>607</v>
      </c>
      <c r="E497" s="44" t="s">
        <v>132</v>
      </c>
      <c r="F497" s="44" t="s">
        <v>37</v>
      </c>
      <c r="G497" s="44" t="s">
        <v>108</v>
      </c>
      <c r="H497" s="44" t="s">
        <v>38</v>
      </c>
      <c r="I497" s="44" t="s">
        <v>38</v>
      </c>
      <c r="J497" s="44" t="s">
        <v>39</v>
      </c>
      <c r="K497" s="44" t="s">
        <v>120</v>
      </c>
      <c r="L497" s="40">
        <v>22755</v>
      </c>
      <c r="M497" s="41">
        <v>42250</v>
      </c>
      <c r="N497" s="40" t="s">
        <v>110</v>
      </c>
      <c r="O497" s="42"/>
      <c r="P497" s="40">
        <v>61</v>
      </c>
      <c r="Q497" s="91">
        <v>87.65</v>
      </c>
      <c r="R497" s="91">
        <v>81.73</v>
      </c>
      <c r="S497" s="91">
        <v>81.92</v>
      </c>
      <c r="T497" s="91">
        <v>81.069999999999993</v>
      </c>
      <c r="U497" s="91">
        <v>82.5</v>
      </c>
    </row>
    <row r="498" spans="1:21" x14ac:dyDescent="0.2">
      <c r="A498" s="48">
        <f t="shared" si="7"/>
        <v>490</v>
      </c>
      <c r="B498" s="43">
        <v>14</v>
      </c>
      <c r="C498" s="43">
        <v>9</v>
      </c>
      <c r="D498" s="38" t="s">
        <v>608</v>
      </c>
      <c r="E498" s="44" t="s">
        <v>134</v>
      </c>
      <c r="F498" s="44" t="s">
        <v>37</v>
      </c>
      <c r="G498" s="44" t="s">
        <v>108</v>
      </c>
      <c r="H498" s="44" t="s">
        <v>38</v>
      </c>
      <c r="I498" s="44" t="s">
        <v>38</v>
      </c>
      <c r="J498" s="44" t="s">
        <v>6</v>
      </c>
      <c r="K498" s="44" t="s">
        <v>117</v>
      </c>
      <c r="L498" s="40">
        <v>22757</v>
      </c>
      <c r="M498" s="41">
        <v>42250</v>
      </c>
      <c r="N498" s="40" t="s">
        <v>110</v>
      </c>
      <c r="O498" s="42"/>
      <c r="P498" s="40">
        <v>61</v>
      </c>
      <c r="Q498" s="91">
        <v>87.42</v>
      </c>
      <c r="R498" s="91">
        <v>80.099999999999994</v>
      </c>
      <c r="S498" s="91">
        <v>80.5</v>
      </c>
      <c r="T498" s="91">
        <v>79.260000000000005</v>
      </c>
      <c r="U498" s="91">
        <v>80.69</v>
      </c>
    </row>
    <row r="499" spans="1:21" x14ac:dyDescent="0.2">
      <c r="A499" s="48">
        <f t="shared" si="7"/>
        <v>491</v>
      </c>
      <c r="B499" s="43">
        <v>14</v>
      </c>
      <c r="C499" s="43">
        <v>10</v>
      </c>
      <c r="D499" s="38" t="s">
        <v>609</v>
      </c>
      <c r="E499" s="44" t="s">
        <v>136</v>
      </c>
      <c r="F499" s="44" t="s">
        <v>23</v>
      </c>
      <c r="G499" s="44" t="s">
        <v>108</v>
      </c>
      <c r="H499" s="44" t="s">
        <v>137</v>
      </c>
      <c r="I499" s="44" t="s">
        <v>24</v>
      </c>
      <c r="J499" s="44" t="s">
        <v>25</v>
      </c>
      <c r="K499" s="44" t="s">
        <v>138</v>
      </c>
      <c r="L499" s="40">
        <v>22758</v>
      </c>
      <c r="M499" s="41">
        <v>42250</v>
      </c>
      <c r="N499" s="40" t="s">
        <v>110</v>
      </c>
      <c r="O499" s="42"/>
      <c r="P499" s="40">
        <v>61</v>
      </c>
      <c r="Q499" s="91">
        <v>64.45</v>
      </c>
      <c r="R499" s="91">
        <v>63.29</v>
      </c>
      <c r="S499" s="91">
        <v>64.2</v>
      </c>
      <c r="T499" s="91">
        <v>65.790000000000006</v>
      </c>
      <c r="U499" s="91">
        <v>69.12</v>
      </c>
    </row>
    <row r="500" spans="1:21" x14ac:dyDescent="0.2">
      <c r="A500" s="48">
        <f t="shared" si="7"/>
        <v>492</v>
      </c>
      <c r="B500" s="43">
        <v>14</v>
      </c>
      <c r="C500" s="43">
        <v>11</v>
      </c>
      <c r="D500" s="38" t="s">
        <v>610</v>
      </c>
      <c r="E500" s="44" t="s">
        <v>140</v>
      </c>
      <c r="F500" s="44" t="s">
        <v>23</v>
      </c>
      <c r="G500" s="44" t="s">
        <v>108</v>
      </c>
      <c r="H500" s="44" t="s">
        <v>137</v>
      </c>
      <c r="I500" s="44" t="s">
        <v>24</v>
      </c>
      <c r="J500" s="44" t="s">
        <v>26</v>
      </c>
      <c r="K500" s="44" t="s">
        <v>141</v>
      </c>
      <c r="L500" s="40">
        <v>22759</v>
      </c>
      <c r="M500" s="41">
        <v>42250</v>
      </c>
      <c r="N500" s="40" t="s">
        <v>110</v>
      </c>
      <c r="O500" s="42"/>
      <c r="P500" s="40">
        <v>61</v>
      </c>
      <c r="Q500" s="91">
        <v>63.75</v>
      </c>
      <c r="R500" s="91">
        <v>62.48</v>
      </c>
      <c r="S500" s="91">
        <v>63.43</v>
      </c>
      <c r="T500" s="91">
        <v>64.989999999999995</v>
      </c>
      <c r="U500" s="91">
        <v>68.31</v>
      </c>
    </row>
    <row r="501" spans="1:21" x14ac:dyDescent="0.2">
      <c r="A501" s="48">
        <f t="shared" si="7"/>
        <v>493</v>
      </c>
      <c r="B501" s="43">
        <v>14</v>
      </c>
      <c r="C501" s="43">
        <v>12</v>
      </c>
      <c r="D501" s="38" t="s">
        <v>611</v>
      </c>
      <c r="E501" s="44" t="s">
        <v>143</v>
      </c>
      <c r="F501" s="44" t="s">
        <v>18</v>
      </c>
      <c r="G501" s="44" t="s">
        <v>108</v>
      </c>
      <c r="H501" s="44" t="s">
        <v>94</v>
      </c>
      <c r="I501" s="44" t="s">
        <v>144</v>
      </c>
      <c r="J501" s="44" t="s">
        <v>20</v>
      </c>
      <c r="K501" s="44" t="s">
        <v>145</v>
      </c>
      <c r="L501" s="40">
        <v>22760</v>
      </c>
      <c r="M501" s="41">
        <v>42250</v>
      </c>
      <c r="N501" s="40" t="s">
        <v>110</v>
      </c>
      <c r="O501" s="42"/>
      <c r="P501" s="40">
        <v>61</v>
      </c>
      <c r="Q501" s="91">
        <v>58.61</v>
      </c>
      <c r="R501" s="91">
        <v>58.78</v>
      </c>
      <c r="S501" s="91">
        <v>59.1</v>
      </c>
      <c r="T501" s="91">
        <v>60.11</v>
      </c>
      <c r="U501" s="91">
        <v>62.71</v>
      </c>
    </row>
    <row r="502" spans="1:21" x14ac:dyDescent="0.2">
      <c r="A502" s="48">
        <f t="shared" si="7"/>
        <v>494</v>
      </c>
      <c r="B502" s="43">
        <v>14</v>
      </c>
      <c r="C502" s="43">
        <v>13</v>
      </c>
      <c r="D502" s="38" t="s">
        <v>612</v>
      </c>
      <c r="E502" s="44" t="s">
        <v>147</v>
      </c>
      <c r="F502" s="44" t="s">
        <v>37</v>
      </c>
      <c r="G502" s="44" t="s">
        <v>108</v>
      </c>
      <c r="H502" s="44" t="s">
        <v>41</v>
      </c>
      <c r="I502" s="44" t="s">
        <v>41</v>
      </c>
      <c r="J502" s="44" t="s">
        <v>6</v>
      </c>
      <c r="K502" s="44" t="s">
        <v>128</v>
      </c>
      <c r="L502" s="40">
        <v>22761</v>
      </c>
      <c r="M502" s="41">
        <v>42250</v>
      </c>
      <c r="N502" s="40" t="s">
        <v>110</v>
      </c>
      <c r="O502" s="42"/>
      <c r="P502" s="40">
        <v>61</v>
      </c>
      <c r="Q502" s="91">
        <v>89.67</v>
      </c>
      <c r="R502" s="91">
        <v>79.92</v>
      </c>
      <c r="S502" s="91">
        <v>81.23</v>
      </c>
      <c r="T502" s="91">
        <v>81.11</v>
      </c>
      <c r="U502" s="91">
        <v>84.28</v>
      </c>
    </row>
    <row r="503" spans="1:21" x14ac:dyDescent="0.2">
      <c r="A503" s="48">
        <f t="shared" si="7"/>
        <v>495</v>
      </c>
      <c r="B503" s="43">
        <v>14</v>
      </c>
      <c r="C503" s="43">
        <v>14</v>
      </c>
      <c r="D503" s="38" t="s">
        <v>613</v>
      </c>
      <c r="E503" s="44" t="s">
        <v>149</v>
      </c>
      <c r="F503" s="44" t="s">
        <v>5</v>
      </c>
      <c r="G503" s="44" t="s">
        <v>108</v>
      </c>
      <c r="H503" s="44" t="s">
        <v>46</v>
      </c>
      <c r="I503" s="44" t="s">
        <v>46</v>
      </c>
      <c r="J503" s="44" t="s">
        <v>6</v>
      </c>
      <c r="K503" s="44" t="s">
        <v>128</v>
      </c>
      <c r="L503" s="40">
        <v>22762</v>
      </c>
      <c r="M503" s="41">
        <v>42250</v>
      </c>
      <c r="N503" s="40" t="s">
        <v>110</v>
      </c>
      <c r="O503" s="42"/>
      <c r="P503" s="40">
        <v>61</v>
      </c>
      <c r="Q503" s="91">
        <v>70.89</v>
      </c>
      <c r="R503" s="91">
        <v>69.28</v>
      </c>
      <c r="S503" s="91">
        <v>70.37</v>
      </c>
      <c r="T503" s="91">
        <v>70.819999999999993</v>
      </c>
      <c r="U503" s="91">
        <v>73.680000000000007</v>
      </c>
    </row>
    <row r="504" spans="1:21" x14ac:dyDescent="0.2">
      <c r="A504" s="48">
        <f t="shared" si="7"/>
        <v>496</v>
      </c>
      <c r="B504" s="43">
        <v>14</v>
      </c>
      <c r="C504" s="43">
        <v>15</v>
      </c>
      <c r="D504" s="38" t="s">
        <v>614</v>
      </c>
      <c r="E504" s="44" t="s">
        <v>151</v>
      </c>
      <c r="F504" s="44" t="s">
        <v>18</v>
      </c>
      <c r="G504" s="44" t="s">
        <v>108</v>
      </c>
      <c r="H504" s="44" t="s">
        <v>21</v>
      </c>
      <c r="I504" s="44" t="s">
        <v>152</v>
      </c>
      <c r="J504" s="44" t="s">
        <v>22</v>
      </c>
      <c r="K504" s="44" t="s">
        <v>128</v>
      </c>
      <c r="L504" s="40">
        <v>22763</v>
      </c>
      <c r="M504" s="41">
        <v>42250</v>
      </c>
      <c r="N504" s="40" t="s">
        <v>110</v>
      </c>
      <c r="O504" s="42"/>
      <c r="P504" s="40">
        <v>61</v>
      </c>
      <c r="Q504" s="91">
        <v>59.05</v>
      </c>
      <c r="R504" s="91">
        <v>57.45</v>
      </c>
      <c r="S504" s="91">
        <v>58.36</v>
      </c>
      <c r="T504" s="91">
        <v>58.7</v>
      </c>
      <c r="U504" s="91">
        <v>61.17</v>
      </c>
    </row>
    <row r="505" spans="1:21" x14ac:dyDescent="0.2">
      <c r="A505" s="48">
        <f t="shared" si="7"/>
        <v>497</v>
      </c>
      <c r="B505" s="43">
        <v>14</v>
      </c>
      <c r="C505" s="43">
        <v>16</v>
      </c>
      <c r="D505" s="38" t="s">
        <v>615</v>
      </c>
      <c r="E505" s="44" t="s">
        <v>154</v>
      </c>
      <c r="F505" s="44" t="s">
        <v>18</v>
      </c>
      <c r="G505" s="44" t="s">
        <v>108</v>
      </c>
      <c r="H505" s="44" t="s">
        <v>62</v>
      </c>
      <c r="I505" s="44" t="s">
        <v>155</v>
      </c>
      <c r="J505" s="44" t="s">
        <v>6</v>
      </c>
      <c r="K505" s="44" t="s">
        <v>128</v>
      </c>
      <c r="L505" s="40">
        <v>22764</v>
      </c>
      <c r="M505" s="41">
        <v>42250</v>
      </c>
      <c r="N505" s="40" t="s">
        <v>110</v>
      </c>
      <c r="O505" s="42"/>
      <c r="P505" s="40">
        <v>61</v>
      </c>
      <c r="Q505" s="91">
        <v>62.61</v>
      </c>
      <c r="R505" s="91">
        <v>61.27</v>
      </c>
      <c r="S505" s="91">
        <v>61.1</v>
      </c>
      <c r="T505" s="91">
        <v>61.67</v>
      </c>
      <c r="U505" s="91">
        <v>63.9</v>
      </c>
    </row>
    <row r="506" spans="1:21" x14ac:dyDescent="0.2">
      <c r="A506" s="48">
        <f t="shared" si="7"/>
        <v>498</v>
      </c>
      <c r="B506" s="43">
        <v>14</v>
      </c>
      <c r="C506" s="43">
        <v>17</v>
      </c>
      <c r="D506" s="38" t="s">
        <v>616</v>
      </c>
      <c r="E506" s="44" t="s">
        <v>157</v>
      </c>
      <c r="F506" s="44" t="s">
        <v>29</v>
      </c>
      <c r="G506" s="44" t="s">
        <v>108</v>
      </c>
      <c r="H506" s="44" t="s">
        <v>33</v>
      </c>
      <c r="I506" s="44" t="s">
        <v>33</v>
      </c>
      <c r="J506" s="44" t="s">
        <v>7</v>
      </c>
      <c r="K506" s="44" t="s">
        <v>123</v>
      </c>
      <c r="L506" s="40">
        <v>22765</v>
      </c>
      <c r="M506" s="41">
        <v>42250</v>
      </c>
      <c r="N506" s="40" t="s">
        <v>110</v>
      </c>
      <c r="O506" s="42"/>
      <c r="P506" s="40">
        <v>61</v>
      </c>
      <c r="Q506" s="91">
        <v>95.38</v>
      </c>
      <c r="R506" s="91">
        <v>85.2</v>
      </c>
      <c r="S506" s="91">
        <v>86.47</v>
      </c>
      <c r="T506" s="91">
        <v>85.99</v>
      </c>
      <c r="U506" s="91">
        <v>88.88</v>
      </c>
    </row>
    <row r="507" spans="1:21" x14ac:dyDescent="0.2">
      <c r="A507" s="48">
        <f t="shared" si="7"/>
        <v>499</v>
      </c>
      <c r="B507" s="43">
        <v>14</v>
      </c>
      <c r="C507" s="43">
        <v>18</v>
      </c>
      <c r="D507" s="38" t="s">
        <v>617</v>
      </c>
      <c r="E507" s="44" t="s">
        <v>159</v>
      </c>
      <c r="F507" s="44" t="s">
        <v>29</v>
      </c>
      <c r="G507" s="44" t="s">
        <v>108</v>
      </c>
      <c r="H507" s="44" t="s">
        <v>33</v>
      </c>
      <c r="I507" s="44" t="s">
        <v>33</v>
      </c>
      <c r="J507" s="44" t="s">
        <v>8</v>
      </c>
      <c r="K507" s="44" t="s">
        <v>120</v>
      </c>
      <c r="L507" s="40">
        <v>22766</v>
      </c>
      <c r="M507" s="41">
        <v>42250</v>
      </c>
      <c r="N507" s="40" t="s">
        <v>110</v>
      </c>
      <c r="O507" s="42"/>
      <c r="P507" s="40">
        <v>61</v>
      </c>
      <c r="Q507" s="91">
        <v>94.39</v>
      </c>
      <c r="R507" s="91">
        <v>88.46</v>
      </c>
      <c r="S507" s="91">
        <v>88.59</v>
      </c>
      <c r="T507" s="91">
        <v>89.3</v>
      </c>
      <c r="U507" s="91">
        <v>92.13</v>
      </c>
    </row>
    <row r="508" spans="1:21" x14ac:dyDescent="0.2">
      <c r="A508" s="48">
        <f t="shared" si="7"/>
        <v>500</v>
      </c>
      <c r="B508" s="43">
        <v>14</v>
      </c>
      <c r="C508" s="43">
        <v>19</v>
      </c>
      <c r="D508" s="38" t="s">
        <v>618</v>
      </c>
      <c r="E508" s="44" t="s">
        <v>161</v>
      </c>
      <c r="F508" s="44" t="s">
        <v>29</v>
      </c>
      <c r="G508" s="44" t="s">
        <v>108</v>
      </c>
      <c r="H508" s="44" t="s">
        <v>33</v>
      </c>
      <c r="I508" s="44" t="s">
        <v>33</v>
      </c>
      <c r="J508" s="44" t="s">
        <v>9</v>
      </c>
      <c r="K508" s="44" t="s">
        <v>117</v>
      </c>
      <c r="L508" s="40">
        <v>22767</v>
      </c>
      <c r="M508" s="41">
        <v>42250</v>
      </c>
      <c r="N508" s="40" t="s">
        <v>110</v>
      </c>
      <c r="O508" s="42"/>
      <c r="P508" s="40">
        <v>61</v>
      </c>
      <c r="Q508" s="91">
        <v>93.51</v>
      </c>
      <c r="R508" s="91">
        <v>86.44</v>
      </c>
      <c r="S508" s="91">
        <v>86.91</v>
      </c>
      <c r="T508" s="91">
        <v>87.18</v>
      </c>
      <c r="U508" s="91">
        <v>90.04</v>
      </c>
    </row>
    <row r="509" spans="1:21" x14ac:dyDescent="0.2">
      <c r="A509" s="48">
        <f t="shared" si="7"/>
        <v>501</v>
      </c>
      <c r="B509" s="43">
        <v>14</v>
      </c>
      <c r="C509" s="43">
        <v>20</v>
      </c>
      <c r="D509" s="38" t="s">
        <v>619</v>
      </c>
      <c r="E509" s="44" t="s">
        <v>163</v>
      </c>
      <c r="F509" s="44" t="s">
        <v>5</v>
      </c>
      <c r="G509" s="44" t="s">
        <v>108</v>
      </c>
      <c r="H509" s="44" t="s">
        <v>164</v>
      </c>
      <c r="I509" s="44" t="s">
        <v>165</v>
      </c>
      <c r="J509" s="44" t="s">
        <v>7</v>
      </c>
      <c r="K509" s="44" t="s">
        <v>123</v>
      </c>
      <c r="L509" s="40">
        <v>22769</v>
      </c>
      <c r="M509" s="41">
        <v>42250</v>
      </c>
      <c r="N509" s="40" t="s">
        <v>110</v>
      </c>
      <c r="O509" s="42"/>
      <c r="P509" s="40">
        <v>61</v>
      </c>
      <c r="Q509" s="91">
        <v>74.27</v>
      </c>
      <c r="R509" s="91">
        <v>64.92</v>
      </c>
      <c r="S509" s="91">
        <v>65.86</v>
      </c>
      <c r="T509" s="91">
        <v>64.5</v>
      </c>
      <c r="U509" s="91">
        <v>66.61</v>
      </c>
    </row>
    <row r="510" spans="1:21" x14ac:dyDescent="0.2">
      <c r="A510" s="48">
        <f t="shared" si="7"/>
        <v>502</v>
      </c>
      <c r="B510" s="43">
        <v>14</v>
      </c>
      <c r="C510" s="43">
        <v>21</v>
      </c>
      <c r="D510" s="38" t="s">
        <v>620</v>
      </c>
      <c r="E510" s="44" t="s">
        <v>167</v>
      </c>
      <c r="F510" s="44" t="s">
        <v>5</v>
      </c>
      <c r="G510" s="44" t="s">
        <v>108</v>
      </c>
      <c r="H510" s="44" t="s">
        <v>164</v>
      </c>
      <c r="I510" s="44" t="s">
        <v>165</v>
      </c>
      <c r="J510" s="44" t="s">
        <v>8</v>
      </c>
      <c r="K510" s="44" t="s">
        <v>120</v>
      </c>
      <c r="L510" s="40">
        <v>22768</v>
      </c>
      <c r="M510" s="41">
        <v>42250</v>
      </c>
      <c r="N510" s="40" t="s">
        <v>110</v>
      </c>
      <c r="O510" s="42"/>
      <c r="P510" s="40">
        <v>61</v>
      </c>
      <c r="Q510" s="91">
        <v>74.83</v>
      </c>
      <c r="R510" s="91">
        <v>66.05</v>
      </c>
      <c r="S510" s="91">
        <v>66.84</v>
      </c>
      <c r="T510" s="91">
        <v>65.64</v>
      </c>
      <c r="U510" s="91">
        <v>67.760000000000005</v>
      </c>
    </row>
    <row r="511" spans="1:21" x14ac:dyDescent="0.2">
      <c r="A511" s="48">
        <f t="shared" si="7"/>
        <v>503</v>
      </c>
      <c r="B511" s="43">
        <v>14</v>
      </c>
      <c r="C511" s="43">
        <v>22</v>
      </c>
      <c r="D511" s="38" t="s">
        <v>621</v>
      </c>
      <c r="E511" s="44" t="s">
        <v>169</v>
      </c>
      <c r="F511" s="44" t="s">
        <v>5</v>
      </c>
      <c r="G511" s="44" t="s">
        <v>108</v>
      </c>
      <c r="H511" s="44" t="s">
        <v>164</v>
      </c>
      <c r="I511" s="44" t="s">
        <v>165</v>
      </c>
      <c r="J511" s="44" t="s">
        <v>9</v>
      </c>
      <c r="K511" s="44" t="s">
        <v>117</v>
      </c>
      <c r="L511" s="40">
        <v>22770</v>
      </c>
      <c r="M511" s="41">
        <v>42250</v>
      </c>
      <c r="N511" s="40" t="s">
        <v>110</v>
      </c>
      <c r="O511" s="42"/>
      <c r="P511" s="40">
        <v>61</v>
      </c>
      <c r="Q511" s="91">
        <v>74.069999999999993</v>
      </c>
      <c r="R511" s="91">
        <v>65.47</v>
      </c>
      <c r="S511" s="91">
        <v>66.33</v>
      </c>
      <c r="T511" s="91">
        <v>65.06</v>
      </c>
      <c r="U511" s="91">
        <v>67.2</v>
      </c>
    </row>
    <row r="512" spans="1:21" x14ac:dyDescent="0.2">
      <c r="A512" s="48">
        <f t="shared" si="7"/>
        <v>504</v>
      </c>
      <c r="B512" s="43">
        <v>14</v>
      </c>
      <c r="C512" s="43">
        <v>23</v>
      </c>
      <c r="D512" s="38" t="s">
        <v>622</v>
      </c>
      <c r="E512" s="44" t="s">
        <v>171</v>
      </c>
      <c r="F512" s="44" t="s">
        <v>5</v>
      </c>
      <c r="G512" s="44" t="s">
        <v>108</v>
      </c>
      <c r="H512" s="44" t="s">
        <v>11</v>
      </c>
      <c r="I512" s="44" t="s">
        <v>11</v>
      </c>
      <c r="J512" s="44" t="s">
        <v>6</v>
      </c>
      <c r="K512" s="44" t="s">
        <v>128</v>
      </c>
      <c r="L512" s="40">
        <v>22771</v>
      </c>
      <c r="M512" s="41">
        <v>42250</v>
      </c>
      <c r="N512" s="40" t="s">
        <v>110</v>
      </c>
      <c r="O512" s="42"/>
      <c r="P512" s="40">
        <v>61</v>
      </c>
      <c r="Q512" s="91">
        <v>80.06</v>
      </c>
      <c r="R512" s="91">
        <v>69.08</v>
      </c>
      <c r="S512" s="91">
        <v>70.52</v>
      </c>
      <c r="T512" s="91">
        <v>69.73</v>
      </c>
      <c r="U512" s="91">
        <v>72.45</v>
      </c>
    </row>
    <row r="513" spans="1:21" x14ac:dyDescent="0.2">
      <c r="A513" s="48">
        <f t="shared" si="7"/>
        <v>505</v>
      </c>
      <c r="B513" s="43">
        <v>14</v>
      </c>
      <c r="C513" s="43">
        <v>24</v>
      </c>
      <c r="D513" s="38" t="s">
        <v>623</v>
      </c>
      <c r="E513" s="44" t="s">
        <v>173</v>
      </c>
      <c r="F513" s="44" t="s">
        <v>5</v>
      </c>
      <c r="G513" s="44" t="s">
        <v>108</v>
      </c>
      <c r="H513" s="44" t="s">
        <v>10</v>
      </c>
      <c r="I513" s="44" t="s">
        <v>174</v>
      </c>
      <c r="J513" s="44" t="s">
        <v>7</v>
      </c>
      <c r="K513" s="44" t="s">
        <v>123</v>
      </c>
      <c r="L513" s="40">
        <v>22772</v>
      </c>
      <c r="M513" s="41">
        <v>42250</v>
      </c>
      <c r="N513" s="40" t="s">
        <v>110</v>
      </c>
      <c r="O513" s="42"/>
      <c r="P513" s="40">
        <v>61</v>
      </c>
      <c r="Q513" s="91">
        <v>72.78</v>
      </c>
      <c r="R513" s="91">
        <v>66.84</v>
      </c>
      <c r="S513" s="91">
        <v>66.87</v>
      </c>
      <c r="T513" s="91">
        <v>66.19</v>
      </c>
      <c r="U513" s="91">
        <v>68.14</v>
      </c>
    </row>
    <row r="514" spans="1:21" x14ac:dyDescent="0.2">
      <c r="A514" s="48">
        <f t="shared" si="7"/>
        <v>506</v>
      </c>
      <c r="B514" s="43">
        <v>14</v>
      </c>
      <c r="C514" s="43">
        <v>25</v>
      </c>
      <c r="D514" s="38" t="s">
        <v>624</v>
      </c>
      <c r="E514" s="44" t="s">
        <v>176</v>
      </c>
      <c r="F514" s="44" t="s">
        <v>5</v>
      </c>
      <c r="G514" s="44" t="s">
        <v>108</v>
      </c>
      <c r="H514" s="44" t="s">
        <v>10</v>
      </c>
      <c r="I514" s="44" t="s">
        <v>174</v>
      </c>
      <c r="J514" s="44" t="s">
        <v>8</v>
      </c>
      <c r="K514" s="44" t="s">
        <v>120</v>
      </c>
      <c r="L514" s="40">
        <v>22773</v>
      </c>
      <c r="M514" s="41">
        <v>42250</v>
      </c>
      <c r="N514" s="40" t="s">
        <v>110</v>
      </c>
      <c r="O514" s="42"/>
      <c r="P514" s="40">
        <v>61</v>
      </c>
      <c r="Q514" s="91">
        <v>73.290000000000006</v>
      </c>
      <c r="R514" s="91">
        <v>68.099999999999994</v>
      </c>
      <c r="S514" s="91">
        <v>67.89</v>
      </c>
      <c r="T514" s="91">
        <v>67.44</v>
      </c>
      <c r="U514" s="91">
        <v>69.400000000000006</v>
      </c>
    </row>
    <row r="515" spans="1:21" x14ac:dyDescent="0.2">
      <c r="A515" s="48">
        <f t="shared" si="7"/>
        <v>507</v>
      </c>
      <c r="B515" s="43">
        <v>14</v>
      </c>
      <c r="C515" s="43">
        <v>26</v>
      </c>
      <c r="D515" s="38" t="s">
        <v>625</v>
      </c>
      <c r="E515" s="44" t="s">
        <v>178</v>
      </c>
      <c r="F515" s="44" t="s">
        <v>5</v>
      </c>
      <c r="G515" s="44" t="s">
        <v>108</v>
      </c>
      <c r="H515" s="44" t="s">
        <v>10</v>
      </c>
      <c r="I515" s="44" t="s">
        <v>174</v>
      </c>
      <c r="J515" s="44" t="s">
        <v>9</v>
      </c>
      <c r="K515" s="44" t="s">
        <v>117</v>
      </c>
      <c r="L515" s="40">
        <v>22774</v>
      </c>
      <c r="M515" s="41">
        <v>42250</v>
      </c>
      <c r="N515" s="40" t="s">
        <v>110</v>
      </c>
      <c r="O515" s="42"/>
      <c r="P515" s="40">
        <v>61</v>
      </c>
      <c r="Q515" s="91">
        <v>69.680000000000007</v>
      </c>
      <c r="R515" s="91">
        <v>68.16</v>
      </c>
      <c r="S515" s="91">
        <v>66.900000000000006</v>
      </c>
      <c r="T515" s="91">
        <v>67.489999999999995</v>
      </c>
      <c r="U515" s="91">
        <v>69.47</v>
      </c>
    </row>
    <row r="516" spans="1:21" x14ac:dyDescent="0.2">
      <c r="A516" s="48">
        <f t="shared" si="7"/>
        <v>508</v>
      </c>
      <c r="B516" s="43">
        <v>14</v>
      </c>
      <c r="C516" s="43">
        <v>27</v>
      </c>
      <c r="D516" s="38" t="s">
        <v>626</v>
      </c>
      <c r="E516" s="44" t="s">
        <v>180</v>
      </c>
      <c r="F516" s="44" t="s">
        <v>5</v>
      </c>
      <c r="G516" s="44" t="s">
        <v>108</v>
      </c>
      <c r="H516" s="44" t="s">
        <v>91</v>
      </c>
      <c r="I516" s="44" t="s">
        <v>181</v>
      </c>
      <c r="J516" s="44" t="s">
        <v>6</v>
      </c>
      <c r="K516" s="44" t="s">
        <v>128</v>
      </c>
      <c r="L516" s="40">
        <v>22775</v>
      </c>
      <c r="M516" s="41">
        <v>42250</v>
      </c>
      <c r="N516" s="40" t="s">
        <v>110</v>
      </c>
      <c r="O516" s="42"/>
      <c r="P516" s="40">
        <v>61</v>
      </c>
      <c r="Q516" s="91">
        <v>73.17</v>
      </c>
      <c r="R516" s="91">
        <v>72.239999999999995</v>
      </c>
      <c r="S516" s="91">
        <v>71.92</v>
      </c>
      <c r="T516" s="91">
        <v>72.66</v>
      </c>
      <c r="U516" s="91">
        <v>74.930000000000007</v>
      </c>
    </row>
    <row r="517" spans="1:21" x14ac:dyDescent="0.2">
      <c r="A517" s="48">
        <f t="shared" si="7"/>
        <v>509</v>
      </c>
      <c r="B517" s="43">
        <v>14</v>
      </c>
      <c r="C517" s="43">
        <v>28</v>
      </c>
      <c r="D517" s="38" t="s">
        <v>627</v>
      </c>
      <c r="E517" s="44" t="s">
        <v>183</v>
      </c>
      <c r="F517" s="44" t="s">
        <v>37</v>
      </c>
      <c r="G517" s="44" t="s">
        <v>108</v>
      </c>
      <c r="H517" s="44" t="s">
        <v>42</v>
      </c>
      <c r="I517" s="44" t="s">
        <v>42</v>
      </c>
      <c r="J517" s="44" t="s">
        <v>6</v>
      </c>
      <c r="K517" s="44" t="s">
        <v>128</v>
      </c>
      <c r="L517" s="40">
        <v>22776</v>
      </c>
      <c r="M517" s="41">
        <v>42250</v>
      </c>
      <c r="N517" s="40" t="s">
        <v>110</v>
      </c>
      <c r="O517" s="42"/>
      <c r="P517" s="40">
        <v>61</v>
      </c>
      <c r="Q517" s="91">
        <v>85.01</v>
      </c>
      <c r="R517" s="91">
        <v>79.97</v>
      </c>
      <c r="S517" s="91">
        <v>79.66</v>
      </c>
      <c r="T517" s="91">
        <v>79.27</v>
      </c>
      <c r="U517" s="91">
        <v>80.900000000000006</v>
      </c>
    </row>
    <row r="518" spans="1:21" x14ac:dyDescent="0.2">
      <c r="A518" s="48">
        <f t="shared" si="7"/>
        <v>510</v>
      </c>
      <c r="B518" s="43">
        <v>14</v>
      </c>
      <c r="C518" s="43">
        <v>29</v>
      </c>
      <c r="D518" s="38" t="s">
        <v>628</v>
      </c>
      <c r="E518" s="44" t="s">
        <v>185</v>
      </c>
      <c r="F518" s="44" t="s">
        <v>37</v>
      </c>
      <c r="G518" s="44" t="s">
        <v>108</v>
      </c>
      <c r="H518" s="44" t="s">
        <v>42</v>
      </c>
      <c r="I518" s="44" t="s">
        <v>42</v>
      </c>
      <c r="J518" s="44" t="s">
        <v>43</v>
      </c>
      <c r="K518" s="44" t="s">
        <v>186</v>
      </c>
      <c r="L518" s="40">
        <v>22777</v>
      </c>
      <c r="M518" s="41">
        <v>42250</v>
      </c>
      <c r="N518" s="40" t="s">
        <v>110</v>
      </c>
      <c r="O518" s="42"/>
      <c r="P518" s="40">
        <v>61</v>
      </c>
      <c r="Q518" s="91">
        <v>85.52</v>
      </c>
      <c r="R518" s="91">
        <v>77.77</v>
      </c>
      <c r="S518" s="91">
        <v>78.209999999999994</v>
      </c>
      <c r="T518" s="91">
        <v>77.05</v>
      </c>
      <c r="U518" s="91">
        <v>78.66</v>
      </c>
    </row>
    <row r="519" spans="1:21" x14ac:dyDescent="0.2">
      <c r="A519" s="48">
        <f t="shared" si="7"/>
        <v>511</v>
      </c>
      <c r="B519" s="43">
        <v>14</v>
      </c>
      <c r="C519" s="43">
        <v>30</v>
      </c>
      <c r="D519" s="38" t="s">
        <v>629</v>
      </c>
      <c r="E519" s="44" t="s">
        <v>188</v>
      </c>
      <c r="F519" s="44" t="s">
        <v>37</v>
      </c>
      <c r="G519" s="44" t="s">
        <v>108</v>
      </c>
      <c r="H519" s="44" t="s">
        <v>42</v>
      </c>
      <c r="I519" s="44" t="s">
        <v>42</v>
      </c>
      <c r="J519" s="44" t="s">
        <v>44</v>
      </c>
      <c r="K519" s="44" t="s">
        <v>44</v>
      </c>
      <c r="L519" s="40">
        <v>22778</v>
      </c>
      <c r="M519" s="41">
        <v>42250</v>
      </c>
      <c r="N519" s="40" t="s">
        <v>110</v>
      </c>
      <c r="O519" s="42"/>
      <c r="P519" s="40">
        <v>61</v>
      </c>
      <c r="Q519" s="91">
        <v>83.68</v>
      </c>
      <c r="R519" s="91">
        <v>77.430000000000007</v>
      </c>
      <c r="S519" s="91">
        <v>77.739999999999995</v>
      </c>
      <c r="T519" s="91">
        <v>76.83</v>
      </c>
      <c r="U519" s="91">
        <v>78.53</v>
      </c>
    </row>
    <row r="520" spans="1:21" x14ac:dyDescent="0.2">
      <c r="A520" s="48">
        <f t="shared" si="7"/>
        <v>512</v>
      </c>
      <c r="B520" s="43">
        <v>14</v>
      </c>
      <c r="C520" s="43">
        <v>31</v>
      </c>
      <c r="D520" s="38" t="s">
        <v>630</v>
      </c>
      <c r="E520" s="44" t="s">
        <v>190</v>
      </c>
      <c r="F520" s="44" t="s">
        <v>37</v>
      </c>
      <c r="G520" s="44" t="s">
        <v>108</v>
      </c>
      <c r="H520" s="44" t="s">
        <v>45</v>
      </c>
      <c r="I520" s="44" t="s">
        <v>45</v>
      </c>
      <c r="J520" s="44" t="s">
        <v>6</v>
      </c>
      <c r="K520" s="44" t="s">
        <v>128</v>
      </c>
      <c r="L520" s="40">
        <v>22779</v>
      </c>
      <c r="M520" s="41">
        <v>42250</v>
      </c>
      <c r="N520" s="40" t="s">
        <v>110</v>
      </c>
      <c r="O520" s="42"/>
      <c r="P520" s="40">
        <v>61</v>
      </c>
      <c r="Q520" s="91">
        <v>72.010000000000005</v>
      </c>
      <c r="R520" s="91">
        <v>71.13</v>
      </c>
      <c r="S520" s="91">
        <v>71.88</v>
      </c>
      <c r="T520" s="91">
        <v>72.760000000000005</v>
      </c>
      <c r="U520" s="91">
        <v>75.59</v>
      </c>
    </row>
    <row r="521" spans="1:21" x14ac:dyDescent="0.2">
      <c r="A521" s="48">
        <f t="shared" si="7"/>
        <v>513</v>
      </c>
      <c r="B521" s="43">
        <v>14</v>
      </c>
      <c r="C521" s="43">
        <v>32</v>
      </c>
      <c r="D521" s="38" t="s">
        <v>631</v>
      </c>
      <c r="E521" s="44" t="s">
        <v>192</v>
      </c>
      <c r="F521" s="44" t="s">
        <v>5</v>
      </c>
      <c r="G521" s="44" t="s">
        <v>108</v>
      </c>
      <c r="H521" s="44" t="s">
        <v>12</v>
      </c>
      <c r="I521" s="44" t="s">
        <v>12</v>
      </c>
      <c r="J521" s="44" t="s">
        <v>13</v>
      </c>
      <c r="K521" s="44" t="s">
        <v>117</v>
      </c>
      <c r="L521" s="40">
        <v>22780</v>
      </c>
      <c r="M521" s="41">
        <v>42250</v>
      </c>
      <c r="N521" s="40" t="s">
        <v>110</v>
      </c>
      <c r="O521" s="42"/>
      <c r="P521" s="40">
        <v>61</v>
      </c>
      <c r="Q521" s="91">
        <v>81.94</v>
      </c>
      <c r="R521" s="91">
        <v>73.67</v>
      </c>
      <c r="S521" s="91">
        <v>74.3</v>
      </c>
      <c r="T521" s="91">
        <v>72.72</v>
      </c>
      <c r="U521" s="91">
        <v>74.88</v>
      </c>
    </row>
    <row r="522" spans="1:21" x14ac:dyDescent="0.2">
      <c r="A522" s="48">
        <f t="shared" si="7"/>
        <v>514</v>
      </c>
      <c r="B522" s="43">
        <v>14</v>
      </c>
      <c r="C522" s="43">
        <v>33</v>
      </c>
      <c r="D522" s="38" t="s">
        <v>632</v>
      </c>
      <c r="E522" s="44" t="s">
        <v>194</v>
      </c>
      <c r="F522" s="44" t="s">
        <v>5</v>
      </c>
      <c r="G522" s="44" t="s">
        <v>108</v>
      </c>
      <c r="H522" s="44" t="s">
        <v>12</v>
      </c>
      <c r="I522" s="44" t="s">
        <v>12</v>
      </c>
      <c r="J522" s="44" t="s">
        <v>14</v>
      </c>
      <c r="K522" s="44" t="s">
        <v>123</v>
      </c>
      <c r="L522" s="40">
        <v>22781</v>
      </c>
      <c r="M522" s="41">
        <v>42250</v>
      </c>
      <c r="N522" s="40" t="s">
        <v>110</v>
      </c>
      <c r="O522" s="42"/>
      <c r="P522" s="40">
        <v>61</v>
      </c>
      <c r="Q522" s="91">
        <v>84.26</v>
      </c>
      <c r="R522" s="91">
        <v>74.56</v>
      </c>
      <c r="S522" s="91">
        <v>75.569999999999993</v>
      </c>
      <c r="T522" s="91">
        <v>73.69</v>
      </c>
      <c r="U522" s="91">
        <v>75.87</v>
      </c>
    </row>
    <row r="523" spans="1:21" x14ac:dyDescent="0.2">
      <c r="A523" s="48">
        <f t="shared" ref="A523:A586" si="8">A522+1</f>
        <v>515</v>
      </c>
      <c r="B523" s="43">
        <v>14</v>
      </c>
      <c r="C523" s="43">
        <v>34</v>
      </c>
      <c r="D523" s="38" t="s">
        <v>633</v>
      </c>
      <c r="E523" s="44" t="s">
        <v>196</v>
      </c>
      <c r="F523" s="44" t="s">
        <v>29</v>
      </c>
      <c r="G523" s="44" t="s">
        <v>108</v>
      </c>
      <c r="H523" s="44" t="s">
        <v>34</v>
      </c>
      <c r="I523" s="44" t="s">
        <v>34</v>
      </c>
      <c r="J523" s="44" t="s">
        <v>35</v>
      </c>
      <c r="K523" s="44" t="s">
        <v>197</v>
      </c>
      <c r="L523" s="40">
        <v>22782</v>
      </c>
      <c r="M523" s="41">
        <v>42250</v>
      </c>
      <c r="N523" s="40" t="s">
        <v>110</v>
      </c>
      <c r="O523" s="42"/>
      <c r="P523" s="40">
        <v>61</v>
      </c>
      <c r="Q523" s="91">
        <v>117.36</v>
      </c>
      <c r="R523" s="91">
        <v>105.56</v>
      </c>
      <c r="S523" s="91">
        <v>107.54</v>
      </c>
      <c r="T523" s="91">
        <v>104.99</v>
      </c>
      <c r="U523" s="91">
        <v>106.34</v>
      </c>
    </row>
    <row r="524" spans="1:21" x14ac:dyDescent="0.2">
      <c r="A524" s="48">
        <f t="shared" si="8"/>
        <v>516</v>
      </c>
      <c r="B524" s="43">
        <v>14</v>
      </c>
      <c r="C524" s="43">
        <v>35</v>
      </c>
      <c r="D524" s="38" t="s">
        <v>634</v>
      </c>
      <c r="E524" s="44" t="s">
        <v>199</v>
      </c>
      <c r="F524" s="44" t="s">
        <v>29</v>
      </c>
      <c r="G524" s="44" t="s">
        <v>108</v>
      </c>
      <c r="H524" s="44" t="s">
        <v>34</v>
      </c>
      <c r="I524" s="44" t="s">
        <v>34</v>
      </c>
      <c r="J524" s="44" t="s">
        <v>36</v>
      </c>
      <c r="K524" s="44" t="s">
        <v>200</v>
      </c>
      <c r="L524" s="40">
        <v>22783</v>
      </c>
      <c r="M524" s="41">
        <v>42250</v>
      </c>
      <c r="N524" s="40" t="s">
        <v>110</v>
      </c>
      <c r="O524" s="42"/>
      <c r="P524" s="40">
        <v>61</v>
      </c>
      <c r="Q524" s="91">
        <v>116.24</v>
      </c>
      <c r="R524" s="91">
        <v>104.03</v>
      </c>
      <c r="S524" s="91">
        <v>106.13</v>
      </c>
      <c r="T524" s="91">
        <v>103.45</v>
      </c>
      <c r="U524" s="91">
        <v>104.79</v>
      </c>
    </row>
    <row r="525" spans="1:21" x14ac:dyDescent="0.2">
      <c r="A525" s="48">
        <f t="shared" si="8"/>
        <v>517</v>
      </c>
      <c r="B525" s="43">
        <v>14</v>
      </c>
      <c r="C525" s="43">
        <v>36</v>
      </c>
      <c r="D525" s="38" t="s">
        <v>635</v>
      </c>
      <c r="E525" s="44" t="s">
        <v>202</v>
      </c>
      <c r="F525" s="44" t="s">
        <v>5</v>
      </c>
      <c r="G525" s="44" t="s">
        <v>108</v>
      </c>
      <c r="H525" s="44" t="s">
        <v>15</v>
      </c>
      <c r="I525" s="44" t="s">
        <v>203</v>
      </c>
      <c r="J525" s="44" t="s">
        <v>16</v>
      </c>
      <c r="K525" s="44" t="s">
        <v>128</v>
      </c>
      <c r="L525" s="40">
        <v>22784</v>
      </c>
      <c r="M525" s="41">
        <v>42250</v>
      </c>
      <c r="N525" s="40" t="s">
        <v>110</v>
      </c>
      <c r="O525" s="42"/>
      <c r="P525" s="40">
        <v>61</v>
      </c>
      <c r="Q525" s="91">
        <v>72.17</v>
      </c>
      <c r="R525" s="91">
        <v>69.680000000000007</v>
      </c>
      <c r="S525" s="91">
        <v>70.819999999999993</v>
      </c>
      <c r="T525" s="91">
        <v>70.989999999999995</v>
      </c>
      <c r="U525" s="91">
        <v>73.58</v>
      </c>
    </row>
    <row r="526" spans="1:21" x14ac:dyDescent="0.2">
      <c r="A526" s="48">
        <f t="shared" si="8"/>
        <v>518</v>
      </c>
      <c r="B526" s="20"/>
      <c r="C526" s="20"/>
      <c r="D526" s="20"/>
    </row>
    <row r="527" spans="1:21" x14ac:dyDescent="0.2">
      <c r="A527" s="48">
        <f t="shared" si="8"/>
        <v>519</v>
      </c>
      <c r="B527" s="43">
        <v>15</v>
      </c>
      <c r="C527" s="43">
        <v>1</v>
      </c>
      <c r="D527" s="38" t="s">
        <v>600</v>
      </c>
      <c r="E527" s="44" t="s">
        <v>107</v>
      </c>
      <c r="F527" s="44" t="s">
        <v>29</v>
      </c>
      <c r="G527" s="44" t="s">
        <v>108</v>
      </c>
      <c r="H527" s="44" t="s">
        <v>30</v>
      </c>
      <c r="I527" s="44" t="s">
        <v>30</v>
      </c>
      <c r="J527" s="44" t="s">
        <v>31</v>
      </c>
      <c r="K527" s="44" t="s">
        <v>109</v>
      </c>
      <c r="L527" s="40">
        <v>22749</v>
      </c>
      <c r="M527" s="41">
        <v>42250</v>
      </c>
      <c r="N527" s="40" t="s">
        <v>110</v>
      </c>
      <c r="O527" s="42"/>
      <c r="P527" s="40">
        <v>62</v>
      </c>
      <c r="Q527" s="91">
        <v>106.29</v>
      </c>
      <c r="R527" s="91">
        <v>92.03</v>
      </c>
      <c r="S527" s="91">
        <v>94.39</v>
      </c>
      <c r="T527" s="91">
        <v>92.77</v>
      </c>
      <c r="U527" s="91">
        <v>95.37</v>
      </c>
    </row>
    <row r="528" spans="1:21" x14ac:dyDescent="0.2">
      <c r="A528" s="48">
        <f t="shared" si="8"/>
        <v>520</v>
      </c>
      <c r="B528" s="43">
        <v>15</v>
      </c>
      <c r="C528" s="43">
        <v>2</v>
      </c>
      <c r="D528" s="38" t="s">
        <v>601</v>
      </c>
      <c r="E528" s="44" t="s">
        <v>112</v>
      </c>
      <c r="F528" s="44" t="s">
        <v>29</v>
      </c>
      <c r="G528" s="44" t="s">
        <v>108</v>
      </c>
      <c r="H528" s="44" t="s">
        <v>30</v>
      </c>
      <c r="I528" s="44" t="s">
        <v>30</v>
      </c>
      <c r="J528" s="44" t="s">
        <v>32</v>
      </c>
      <c r="K528" s="44" t="s">
        <v>113</v>
      </c>
      <c r="L528" s="40">
        <v>22750</v>
      </c>
      <c r="M528" s="41">
        <v>42250</v>
      </c>
      <c r="N528" s="40" t="s">
        <v>110</v>
      </c>
      <c r="O528" s="42"/>
      <c r="P528" s="40">
        <v>62</v>
      </c>
      <c r="Q528" s="91">
        <v>103.53</v>
      </c>
      <c r="R528" s="91">
        <v>91.71</v>
      </c>
      <c r="S528" s="91">
        <v>92.21</v>
      </c>
      <c r="T528" s="91">
        <v>89.99</v>
      </c>
      <c r="U528" s="91">
        <v>91.43</v>
      </c>
    </row>
    <row r="529" spans="1:21" x14ac:dyDescent="0.2">
      <c r="A529" s="48">
        <f t="shared" si="8"/>
        <v>521</v>
      </c>
      <c r="B529" s="43">
        <v>15</v>
      </c>
      <c r="C529" s="43">
        <v>3</v>
      </c>
      <c r="D529" s="38" t="s">
        <v>602</v>
      </c>
      <c r="E529" s="44" t="s">
        <v>115</v>
      </c>
      <c r="F529" s="44" t="s">
        <v>18</v>
      </c>
      <c r="G529" s="44" t="s">
        <v>108</v>
      </c>
      <c r="H529" s="44" t="s">
        <v>61</v>
      </c>
      <c r="I529" s="44" t="s">
        <v>116</v>
      </c>
      <c r="J529" s="44" t="s">
        <v>13</v>
      </c>
      <c r="K529" s="44" t="s">
        <v>117</v>
      </c>
      <c r="L529" s="40">
        <v>22751</v>
      </c>
      <c r="M529" s="41">
        <v>42250</v>
      </c>
      <c r="N529" s="40" t="s">
        <v>110</v>
      </c>
      <c r="O529" s="42"/>
      <c r="P529" s="40">
        <v>62</v>
      </c>
      <c r="Q529" s="91">
        <v>59.67</v>
      </c>
      <c r="R529" s="91">
        <v>57.45</v>
      </c>
      <c r="S529" s="91">
        <v>58.86</v>
      </c>
      <c r="T529" s="91">
        <v>59.08</v>
      </c>
      <c r="U529" s="91">
        <v>62.09</v>
      </c>
    </row>
    <row r="530" spans="1:21" x14ac:dyDescent="0.2">
      <c r="A530" s="48">
        <f t="shared" si="8"/>
        <v>522</v>
      </c>
      <c r="B530" s="43">
        <v>15</v>
      </c>
      <c r="C530" s="43">
        <v>4</v>
      </c>
      <c r="D530" s="38" t="s">
        <v>603</v>
      </c>
      <c r="E530" s="44" t="s">
        <v>119</v>
      </c>
      <c r="F530" s="44" t="s">
        <v>18</v>
      </c>
      <c r="G530" s="44" t="s">
        <v>108</v>
      </c>
      <c r="H530" s="44" t="s">
        <v>61</v>
      </c>
      <c r="I530" s="44" t="s">
        <v>116</v>
      </c>
      <c r="J530" s="44" t="s">
        <v>19</v>
      </c>
      <c r="K530" s="44" t="s">
        <v>120</v>
      </c>
      <c r="L530" s="40">
        <v>22752</v>
      </c>
      <c r="M530" s="41">
        <v>42250</v>
      </c>
      <c r="N530" s="40" t="s">
        <v>110</v>
      </c>
      <c r="O530" s="42"/>
      <c r="P530" s="40">
        <v>62</v>
      </c>
      <c r="Q530" s="91">
        <v>60.49</v>
      </c>
      <c r="R530" s="91">
        <v>59.1</v>
      </c>
      <c r="S530" s="91">
        <v>60.22</v>
      </c>
      <c r="T530" s="91">
        <v>60.72</v>
      </c>
      <c r="U530" s="91">
        <v>63.71</v>
      </c>
    </row>
    <row r="531" spans="1:21" x14ac:dyDescent="0.2">
      <c r="A531" s="48">
        <f t="shared" si="8"/>
        <v>523</v>
      </c>
      <c r="B531" s="43">
        <v>15</v>
      </c>
      <c r="C531" s="43">
        <v>5</v>
      </c>
      <c r="D531" s="38" t="s">
        <v>604</v>
      </c>
      <c r="E531" s="44" t="s">
        <v>122</v>
      </c>
      <c r="F531" s="44" t="s">
        <v>18</v>
      </c>
      <c r="G531" s="44" t="s">
        <v>108</v>
      </c>
      <c r="H531" s="44" t="s">
        <v>61</v>
      </c>
      <c r="I531" s="44" t="s">
        <v>116</v>
      </c>
      <c r="J531" s="44" t="s">
        <v>14</v>
      </c>
      <c r="K531" s="44" t="s">
        <v>123</v>
      </c>
      <c r="L531" s="40">
        <v>22753</v>
      </c>
      <c r="M531" s="41">
        <v>42250</v>
      </c>
      <c r="N531" s="40" t="s">
        <v>110</v>
      </c>
      <c r="O531" s="42"/>
      <c r="P531" s="40">
        <v>62</v>
      </c>
      <c r="Q531" s="91">
        <v>60.2</v>
      </c>
      <c r="R531" s="91">
        <v>58.07</v>
      </c>
      <c r="S531" s="91">
        <v>59.42</v>
      </c>
      <c r="T531" s="91">
        <v>59.68</v>
      </c>
      <c r="U531" s="91">
        <v>62.65</v>
      </c>
    </row>
    <row r="532" spans="1:21" x14ac:dyDescent="0.2">
      <c r="A532" s="48">
        <f t="shared" si="8"/>
        <v>524</v>
      </c>
      <c r="B532" s="43">
        <v>15</v>
      </c>
      <c r="C532" s="43">
        <v>6</v>
      </c>
      <c r="D532" s="38" t="s">
        <v>605</v>
      </c>
      <c r="E532" s="44" t="s">
        <v>125</v>
      </c>
      <c r="F532" s="44" t="s">
        <v>23</v>
      </c>
      <c r="G532" s="44" t="s">
        <v>126</v>
      </c>
      <c r="H532" s="44" t="s">
        <v>127</v>
      </c>
      <c r="I532" s="44" t="s">
        <v>27</v>
      </c>
      <c r="J532" s="44" t="s">
        <v>28</v>
      </c>
      <c r="K532" s="44" t="s">
        <v>128</v>
      </c>
      <c r="L532" s="40">
        <v>22754</v>
      </c>
      <c r="M532" s="41">
        <v>42250</v>
      </c>
      <c r="N532" s="40" t="s">
        <v>110</v>
      </c>
      <c r="O532" s="42"/>
      <c r="P532" s="40">
        <v>62</v>
      </c>
      <c r="Q532" s="91">
        <v>64.34</v>
      </c>
      <c r="R532" s="91">
        <v>62.31</v>
      </c>
      <c r="S532" s="91">
        <v>63.81</v>
      </c>
      <c r="T532" s="91">
        <v>63.62</v>
      </c>
      <c r="U532" s="91">
        <v>65.010000000000005</v>
      </c>
    </row>
    <row r="533" spans="1:21" x14ac:dyDescent="0.2">
      <c r="A533" s="48">
        <f t="shared" si="8"/>
        <v>525</v>
      </c>
      <c r="B533" s="43">
        <v>15</v>
      </c>
      <c r="C533" s="43">
        <v>7</v>
      </c>
      <c r="D533" s="38" t="s">
        <v>606</v>
      </c>
      <c r="E533" s="44" t="s">
        <v>130</v>
      </c>
      <c r="F533" s="44" t="s">
        <v>37</v>
      </c>
      <c r="G533" s="44" t="s">
        <v>108</v>
      </c>
      <c r="H533" s="44" t="s">
        <v>38</v>
      </c>
      <c r="I533" s="44" t="s">
        <v>38</v>
      </c>
      <c r="J533" s="44" t="s">
        <v>40</v>
      </c>
      <c r="K533" s="44" t="s">
        <v>123</v>
      </c>
      <c r="L533" s="40">
        <v>22756</v>
      </c>
      <c r="M533" s="41">
        <v>42250</v>
      </c>
      <c r="N533" s="40" t="s">
        <v>110</v>
      </c>
      <c r="O533" s="42"/>
      <c r="P533" s="40">
        <v>62</v>
      </c>
      <c r="Q533" s="91">
        <v>88.2</v>
      </c>
      <c r="R533" s="91">
        <v>80.2</v>
      </c>
      <c r="S533" s="91">
        <v>81.06</v>
      </c>
      <c r="T533" s="91">
        <v>79.92</v>
      </c>
      <c r="U533" s="91">
        <v>81.63</v>
      </c>
    </row>
    <row r="534" spans="1:21" x14ac:dyDescent="0.2">
      <c r="A534" s="48">
        <f t="shared" si="8"/>
        <v>526</v>
      </c>
      <c r="B534" s="43">
        <v>15</v>
      </c>
      <c r="C534" s="43">
        <v>8</v>
      </c>
      <c r="D534" s="38" t="s">
        <v>607</v>
      </c>
      <c r="E534" s="44" t="s">
        <v>132</v>
      </c>
      <c r="F534" s="44" t="s">
        <v>37</v>
      </c>
      <c r="G534" s="44" t="s">
        <v>108</v>
      </c>
      <c r="H534" s="44" t="s">
        <v>38</v>
      </c>
      <c r="I534" s="44" t="s">
        <v>38</v>
      </c>
      <c r="J534" s="44" t="s">
        <v>39</v>
      </c>
      <c r="K534" s="44" t="s">
        <v>120</v>
      </c>
      <c r="L534" s="40">
        <v>22755</v>
      </c>
      <c r="M534" s="41">
        <v>42250</v>
      </c>
      <c r="N534" s="40" t="s">
        <v>110</v>
      </c>
      <c r="O534" s="42"/>
      <c r="P534" s="40">
        <v>62</v>
      </c>
      <c r="Q534" s="91">
        <v>87.65</v>
      </c>
      <c r="R534" s="91">
        <v>81.14</v>
      </c>
      <c r="S534" s="91">
        <v>81.739999999999995</v>
      </c>
      <c r="T534" s="91">
        <v>80.930000000000007</v>
      </c>
      <c r="U534" s="91">
        <v>82.68</v>
      </c>
    </row>
    <row r="535" spans="1:21" x14ac:dyDescent="0.2">
      <c r="A535" s="48">
        <f t="shared" si="8"/>
        <v>527</v>
      </c>
      <c r="B535" s="43">
        <v>15</v>
      </c>
      <c r="C535" s="43">
        <v>9</v>
      </c>
      <c r="D535" s="38" t="s">
        <v>608</v>
      </c>
      <c r="E535" s="44" t="s">
        <v>134</v>
      </c>
      <c r="F535" s="44" t="s">
        <v>37</v>
      </c>
      <c r="G535" s="44" t="s">
        <v>108</v>
      </c>
      <c r="H535" s="44" t="s">
        <v>38</v>
      </c>
      <c r="I535" s="44" t="s">
        <v>38</v>
      </c>
      <c r="J535" s="44" t="s">
        <v>6</v>
      </c>
      <c r="K535" s="44" t="s">
        <v>117</v>
      </c>
      <c r="L535" s="40">
        <v>22757</v>
      </c>
      <c r="M535" s="41">
        <v>42250</v>
      </c>
      <c r="N535" s="40" t="s">
        <v>110</v>
      </c>
      <c r="O535" s="42"/>
      <c r="P535" s="40">
        <v>62</v>
      </c>
      <c r="Q535" s="91">
        <v>87.63</v>
      </c>
      <c r="R535" s="91">
        <v>79.459999999999994</v>
      </c>
      <c r="S535" s="91">
        <v>80.34</v>
      </c>
      <c r="T535" s="91">
        <v>79.099999999999994</v>
      </c>
      <c r="U535" s="91">
        <v>80.849999999999994</v>
      </c>
    </row>
    <row r="536" spans="1:21" x14ac:dyDescent="0.2">
      <c r="A536" s="48">
        <f t="shared" si="8"/>
        <v>528</v>
      </c>
      <c r="B536" s="43">
        <v>15</v>
      </c>
      <c r="C536" s="43">
        <v>10</v>
      </c>
      <c r="D536" s="38" t="s">
        <v>609</v>
      </c>
      <c r="E536" s="44" t="s">
        <v>136</v>
      </c>
      <c r="F536" s="44" t="s">
        <v>23</v>
      </c>
      <c r="G536" s="44" t="s">
        <v>108</v>
      </c>
      <c r="H536" s="44" t="s">
        <v>137</v>
      </c>
      <c r="I536" s="44" t="s">
        <v>24</v>
      </c>
      <c r="J536" s="44" t="s">
        <v>25</v>
      </c>
      <c r="K536" s="44" t="s">
        <v>138</v>
      </c>
      <c r="L536" s="40">
        <v>22758</v>
      </c>
      <c r="M536" s="41">
        <v>42250</v>
      </c>
      <c r="N536" s="40" t="s">
        <v>110</v>
      </c>
      <c r="O536" s="42"/>
      <c r="P536" s="40">
        <v>62</v>
      </c>
      <c r="Q536" s="91">
        <v>64.69</v>
      </c>
      <c r="R536" s="91">
        <v>63.38</v>
      </c>
      <c r="S536" s="91">
        <v>64.47</v>
      </c>
      <c r="T536" s="91">
        <v>66.209999999999994</v>
      </c>
      <c r="U536" s="91">
        <v>69.540000000000006</v>
      </c>
    </row>
    <row r="537" spans="1:21" x14ac:dyDescent="0.2">
      <c r="A537" s="48">
        <f t="shared" si="8"/>
        <v>529</v>
      </c>
      <c r="B537" s="43">
        <v>15</v>
      </c>
      <c r="C537" s="43">
        <v>11</v>
      </c>
      <c r="D537" s="38" t="s">
        <v>610</v>
      </c>
      <c r="E537" s="44" t="s">
        <v>140</v>
      </c>
      <c r="F537" s="44" t="s">
        <v>23</v>
      </c>
      <c r="G537" s="44" t="s">
        <v>108</v>
      </c>
      <c r="H537" s="44" t="s">
        <v>137</v>
      </c>
      <c r="I537" s="44" t="s">
        <v>24</v>
      </c>
      <c r="J537" s="44" t="s">
        <v>26</v>
      </c>
      <c r="K537" s="44" t="s">
        <v>141</v>
      </c>
      <c r="L537" s="40">
        <v>22759</v>
      </c>
      <c r="M537" s="41">
        <v>42250</v>
      </c>
      <c r="N537" s="40" t="s">
        <v>110</v>
      </c>
      <c r="O537" s="42"/>
      <c r="P537" s="40">
        <v>62</v>
      </c>
      <c r="Q537" s="91">
        <v>64.08</v>
      </c>
      <c r="R537" s="91">
        <v>62.58</v>
      </c>
      <c r="S537" s="91">
        <v>63.73</v>
      </c>
      <c r="T537" s="91">
        <v>65.41</v>
      </c>
      <c r="U537" s="91">
        <v>68.73</v>
      </c>
    </row>
    <row r="538" spans="1:21" x14ac:dyDescent="0.2">
      <c r="A538" s="48">
        <f t="shared" si="8"/>
        <v>530</v>
      </c>
      <c r="B538" s="43">
        <v>15</v>
      </c>
      <c r="C538" s="43">
        <v>12</v>
      </c>
      <c r="D538" s="38" t="s">
        <v>611</v>
      </c>
      <c r="E538" s="44" t="s">
        <v>143</v>
      </c>
      <c r="F538" s="44" t="s">
        <v>18</v>
      </c>
      <c r="G538" s="44" t="s">
        <v>108</v>
      </c>
      <c r="H538" s="44" t="s">
        <v>94</v>
      </c>
      <c r="I538" s="44" t="s">
        <v>144</v>
      </c>
      <c r="J538" s="44" t="s">
        <v>20</v>
      </c>
      <c r="K538" s="44" t="s">
        <v>145</v>
      </c>
      <c r="L538" s="40">
        <v>22760</v>
      </c>
      <c r="M538" s="41">
        <v>42250</v>
      </c>
      <c r="N538" s="40" t="s">
        <v>110</v>
      </c>
      <c r="O538" s="42"/>
      <c r="P538" s="40">
        <v>62</v>
      </c>
      <c r="Q538" s="91">
        <v>59.55</v>
      </c>
      <c r="R538" s="91">
        <v>58.85</v>
      </c>
      <c r="S538" s="91">
        <v>59.6</v>
      </c>
      <c r="T538" s="91">
        <v>60.31</v>
      </c>
      <c r="U538" s="91">
        <v>63.12</v>
      </c>
    </row>
    <row r="539" spans="1:21" x14ac:dyDescent="0.2">
      <c r="A539" s="48">
        <f t="shared" si="8"/>
        <v>531</v>
      </c>
      <c r="B539" s="43">
        <v>15</v>
      </c>
      <c r="C539" s="43">
        <v>13</v>
      </c>
      <c r="D539" s="38" t="s">
        <v>612</v>
      </c>
      <c r="E539" s="44" t="s">
        <v>147</v>
      </c>
      <c r="F539" s="44" t="s">
        <v>37</v>
      </c>
      <c r="G539" s="44" t="s">
        <v>108</v>
      </c>
      <c r="H539" s="44" t="s">
        <v>41</v>
      </c>
      <c r="I539" s="44" t="s">
        <v>41</v>
      </c>
      <c r="J539" s="44" t="s">
        <v>6</v>
      </c>
      <c r="K539" s="44" t="s">
        <v>128</v>
      </c>
      <c r="L539" s="40">
        <v>22761</v>
      </c>
      <c r="M539" s="41">
        <v>42250</v>
      </c>
      <c r="N539" s="40" t="s">
        <v>110</v>
      </c>
      <c r="O539" s="42"/>
      <c r="P539" s="40">
        <v>62</v>
      </c>
      <c r="Q539" s="91">
        <v>88.75</v>
      </c>
      <c r="R539" s="91">
        <v>79.41</v>
      </c>
      <c r="S539" s="91">
        <v>80.83</v>
      </c>
      <c r="T539" s="91">
        <v>81.349999999999994</v>
      </c>
      <c r="U539" s="91">
        <v>84.58</v>
      </c>
    </row>
    <row r="540" spans="1:21" x14ac:dyDescent="0.2">
      <c r="A540" s="48">
        <f t="shared" si="8"/>
        <v>532</v>
      </c>
      <c r="B540" s="43">
        <v>15</v>
      </c>
      <c r="C540" s="43">
        <v>14</v>
      </c>
      <c r="D540" s="38" t="s">
        <v>613</v>
      </c>
      <c r="E540" s="44" t="s">
        <v>149</v>
      </c>
      <c r="F540" s="44" t="s">
        <v>5</v>
      </c>
      <c r="G540" s="44" t="s">
        <v>108</v>
      </c>
      <c r="H540" s="44" t="s">
        <v>46</v>
      </c>
      <c r="I540" s="44" t="s">
        <v>46</v>
      </c>
      <c r="J540" s="44" t="s">
        <v>6</v>
      </c>
      <c r="K540" s="44" t="s">
        <v>128</v>
      </c>
      <c r="L540" s="40">
        <v>22762</v>
      </c>
      <c r="M540" s="41">
        <v>42250</v>
      </c>
      <c r="N540" s="40" t="s">
        <v>110</v>
      </c>
      <c r="O540" s="42"/>
      <c r="P540" s="40">
        <v>62</v>
      </c>
      <c r="Q540" s="91">
        <v>70.900000000000006</v>
      </c>
      <c r="R540" s="91">
        <v>69.38</v>
      </c>
      <c r="S540" s="91">
        <v>70.569999999999993</v>
      </c>
      <c r="T540" s="91">
        <v>71.05</v>
      </c>
      <c r="U540" s="91">
        <v>74.150000000000006</v>
      </c>
    </row>
    <row r="541" spans="1:21" x14ac:dyDescent="0.2">
      <c r="A541" s="48">
        <f t="shared" si="8"/>
        <v>533</v>
      </c>
      <c r="B541" s="43">
        <v>15</v>
      </c>
      <c r="C541" s="43">
        <v>15</v>
      </c>
      <c r="D541" s="38" t="s">
        <v>614</v>
      </c>
      <c r="E541" s="44" t="s">
        <v>151</v>
      </c>
      <c r="F541" s="44" t="s">
        <v>18</v>
      </c>
      <c r="G541" s="44" t="s">
        <v>108</v>
      </c>
      <c r="H541" s="44" t="s">
        <v>21</v>
      </c>
      <c r="I541" s="44" t="s">
        <v>152</v>
      </c>
      <c r="J541" s="44" t="s">
        <v>22</v>
      </c>
      <c r="K541" s="44" t="s">
        <v>128</v>
      </c>
      <c r="L541" s="40">
        <v>22763</v>
      </c>
      <c r="M541" s="41">
        <v>42250</v>
      </c>
      <c r="N541" s="40" t="s">
        <v>110</v>
      </c>
      <c r="O541" s="42"/>
      <c r="P541" s="40">
        <v>62</v>
      </c>
      <c r="Q541" s="91">
        <v>58.58</v>
      </c>
      <c r="R541" s="91">
        <v>57.51</v>
      </c>
      <c r="S541" s="91">
        <v>58.39</v>
      </c>
      <c r="T541" s="91">
        <v>58.88</v>
      </c>
      <c r="U541" s="91">
        <v>61.56</v>
      </c>
    </row>
    <row r="542" spans="1:21" x14ac:dyDescent="0.2">
      <c r="A542" s="48">
        <f t="shared" si="8"/>
        <v>534</v>
      </c>
      <c r="B542" s="43">
        <v>15</v>
      </c>
      <c r="C542" s="43">
        <v>16</v>
      </c>
      <c r="D542" s="38" t="s">
        <v>615</v>
      </c>
      <c r="E542" s="44" t="s">
        <v>154</v>
      </c>
      <c r="F542" s="44" t="s">
        <v>18</v>
      </c>
      <c r="G542" s="44" t="s">
        <v>108</v>
      </c>
      <c r="H542" s="44" t="s">
        <v>62</v>
      </c>
      <c r="I542" s="44" t="s">
        <v>155</v>
      </c>
      <c r="J542" s="44" t="s">
        <v>6</v>
      </c>
      <c r="K542" s="44" t="s">
        <v>128</v>
      </c>
      <c r="L542" s="40">
        <v>22764</v>
      </c>
      <c r="M542" s="41">
        <v>42250</v>
      </c>
      <c r="N542" s="40" t="s">
        <v>110</v>
      </c>
      <c r="O542" s="42"/>
      <c r="P542" s="40">
        <v>62</v>
      </c>
      <c r="Q542" s="91">
        <v>62.73</v>
      </c>
      <c r="R542" s="91">
        <v>61.11</v>
      </c>
      <c r="S542" s="91">
        <v>61.12</v>
      </c>
      <c r="T542" s="91">
        <v>61.74</v>
      </c>
      <c r="U542" s="91">
        <v>64.209999999999994</v>
      </c>
    </row>
    <row r="543" spans="1:21" x14ac:dyDescent="0.2">
      <c r="A543" s="48">
        <f t="shared" si="8"/>
        <v>535</v>
      </c>
      <c r="B543" s="43">
        <v>15</v>
      </c>
      <c r="C543" s="43">
        <v>17</v>
      </c>
      <c r="D543" s="38" t="s">
        <v>616</v>
      </c>
      <c r="E543" s="44" t="s">
        <v>157</v>
      </c>
      <c r="F543" s="44" t="s">
        <v>29</v>
      </c>
      <c r="G543" s="44" t="s">
        <v>108</v>
      </c>
      <c r="H543" s="44" t="s">
        <v>33</v>
      </c>
      <c r="I543" s="44" t="s">
        <v>33</v>
      </c>
      <c r="J543" s="44" t="s">
        <v>7</v>
      </c>
      <c r="K543" s="44" t="s">
        <v>123</v>
      </c>
      <c r="L543" s="40">
        <v>22765</v>
      </c>
      <c r="M543" s="41">
        <v>42250</v>
      </c>
      <c r="N543" s="40" t="s">
        <v>110</v>
      </c>
      <c r="O543" s="42"/>
      <c r="P543" s="40">
        <v>62</v>
      </c>
      <c r="Q543" s="91">
        <v>95.2</v>
      </c>
      <c r="R543" s="91">
        <v>84.78</v>
      </c>
      <c r="S543" s="91">
        <v>86.22</v>
      </c>
      <c r="T543" s="91">
        <v>86.27</v>
      </c>
      <c r="U543" s="91">
        <v>89.18</v>
      </c>
    </row>
    <row r="544" spans="1:21" x14ac:dyDescent="0.2">
      <c r="A544" s="48">
        <f t="shared" si="8"/>
        <v>536</v>
      </c>
      <c r="B544" s="43">
        <v>15</v>
      </c>
      <c r="C544" s="43">
        <v>18</v>
      </c>
      <c r="D544" s="38" t="s">
        <v>617</v>
      </c>
      <c r="E544" s="44" t="s">
        <v>159</v>
      </c>
      <c r="F544" s="44" t="s">
        <v>29</v>
      </c>
      <c r="G544" s="44" t="s">
        <v>108</v>
      </c>
      <c r="H544" s="44" t="s">
        <v>33</v>
      </c>
      <c r="I544" s="44" t="s">
        <v>33</v>
      </c>
      <c r="J544" s="44" t="s">
        <v>8</v>
      </c>
      <c r="K544" s="44" t="s">
        <v>120</v>
      </c>
      <c r="L544" s="40">
        <v>22766</v>
      </c>
      <c r="M544" s="41">
        <v>42250</v>
      </c>
      <c r="N544" s="40" t="s">
        <v>110</v>
      </c>
      <c r="O544" s="42"/>
      <c r="P544" s="40">
        <v>62</v>
      </c>
      <c r="Q544" s="91">
        <v>91.55</v>
      </c>
      <c r="R544" s="91">
        <v>88.05</v>
      </c>
      <c r="S544" s="91">
        <v>87.55</v>
      </c>
      <c r="T544" s="91">
        <v>89.59</v>
      </c>
      <c r="U544" s="91">
        <v>92.43</v>
      </c>
    </row>
    <row r="545" spans="1:21" x14ac:dyDescent="0.2">
      <c r="A545" s="48">
        <f t="shared" si="8"/>
        <v>537</v>
      </c>
      <c r="B545" s="43">
        <v>15</v>
      </c>
      <c r="C545" s="43">
        <v>19</v>
      </c>
      <c r="D545" s="38" t="s">
        <v>618</v>
      </c>
      <c r="E545" s="44" t="s">
        <v>161</v>
      </c>
      <c r="F545" s="44" t="s">
        <v>29</v>
      </c>
      <c r="G545" s="44" t="s">
        <v>108</v>
      </c>
      <c r="H545" s="44" t="s">
        <v>33</v>
      </c>
      <c r="I545" s="44" t="s">
        <v>33</v>
      </c>
      <c r="J545" s="44" t="s">
        <v>9</v>
      </c>
      <c r="K545" s="44" t="s">
        <v>117</v>
      </c>
      <c r="L545" s="40">
        <v>22767</v>
      </c>
      <c r="M545" s="41">
        <v>42250</v>
      </c>
      <c r="N545" s="40" t="s">
        <v>110</v>
      </c>
      <c r="O545" s="42"/>
      <c r="P545" s="40">
        <v>62</v>
      </c>
      <c r="Q545" s="91">
        <v>93.51</v>
      </c>
      <c r="R545" s="91">
        <v>85.94</v>
      </c>
      <c r="S545" s="91">
        <v>86.7</v>
      </c>
      <c r="T545" s="91">
        <v>87.43</v>
      </c>
      <c r="U545" s="91">
        <v>90.31</v>
      </c>
    </row>
    <row r="546" spans="1:21" x14ac:dyDescent="0.2">
      <c r="A546" s="48">
        <f t="shared" si="8"/>
        <v>538</v>
      </c>
      <c r="B546" s="43">
        <v>15</v>
      </c>
      <c r="C546" s="43">
        <v>20</v>
      </c>
      <c r="D546" s="38" t="s">
        <v>619</v>
      </c>
      <c r="E546" s="44" t="s">
        <v>163</v>
      </c>
      <c r="F546" s="44" t="s">
        <v>5</v>
      </c>
      <c r="G546" s="44" t="s">
        <v>108</v>
      </c>
      <c r="H546" s="44" t="s">
        <v>164</v>
      </c>
      <c r="I546" s="44" t="s">
        <v>165</v>
      </c>
      <c r="J546" s="44" t="s">
        <v>7</v>
      </c>
      <c r="K546" s="44" t="s">
        <v>123</v>
      </c>
      <c r="L546" s="40">
        <v>22769</v>
      </c>
      <c r="M546" s="41">
        <v>42250</v>
      </c>
      <c r="N546" s="40" t="s">
        <v>110</v>
      </c>
      <c r="O546" s="42"/>
      <c r="P546" s="40">
        <v>62</v>
      </c>
      <c r="Q546" s="91">
        <v>73.73</v>
      </c>
      <c r="R546" s="91">
        <v>64.36</v>
      </c>
      <c r="S546" s="91">
        <v>65.5</v>
      </c>
      <c r="T546" s="91">
        <v>64.45</v>
      </c>
      <c r="U546" s="91">
        <v>66.84</v>
      </c>
    </row>
    <row r="547" spans="1:21" x14ac:dyDescent="0.2">
      <c r="A547" s="48">
        <f t="shared" si="8"/>
        <v>539</v>
      </c>
      <c r="B547" s="43">
        <v>15</v>
      </c>
      <c r="C547" s="43">
        <v>21</v>
      </c>
      <c r="D547" s="38" t="s">
        <v>620</v>
      </c>
      <c r="E547" s="44" t="s">
        <v>167</v>
      </c>
      <c r="F547" s="44" t="s">
        <v>5</v>
      </c>
      <c r="G547" s="44" t="s">
        <v>108</v>
      </c>
      <c r="H547" s="44" t="s">
        <v>164</v>
      </c>
      <c r="I547" s="44" t="s">
        <v>165</v>
      </c>
      <c r="J547" s="44" t="s">
        <v>8</v>
      </c>
      <c r="K547" s="44" t="s">
        <v>120</v>
      </c>
      <c r="L547" s="40">
        <v>22768</v>
      </c>
      <c r="M547" s="41">
        <v>42250</v>
      </c>
      <c r="N547" s="40" t="s">
        <v>110</v>
      </c>
      <c r="O547" s="42"/>
      <c r="P547" s="40">
        <v>62</v>
      </c>
      <c r="Q547" s="91">
        <v>74.36</v>
      </c>
      <c r="R547" s="91">
        <v>65.489999999999995</v>
      </c>
      <c r="S547" s="91">
        <v>66.5</v>
      </c>
      <c r="T547" s="91">
        <v>65.569999999999993</v>
      </c>
      <c r="U547" s="91">
        <v>67.98</v>
      </c>
    </row>
    <row r="548" spans="1:21" x14ac:dyDescent="0.2">
      <c r="A548" s="48">
        <f t="shared" si="8"/>
        <v>540</v>
      </c>
      <c r="B548" s="43">
        <v>15</v>
      </c>
      <c r="C548" s="43">
        <v>22</v>
      </c>
      <c r="D548" s="38" t="s">
        <v>621</v>
      </c>
      <c r="E548" s="44" t="s">
        <v>169</v>
      </c>
      <c r="F548" s="44" t="s">
        <v>5</v>
      </c>
      <c r="G548" s="44" t="s">
        <v>108</v>
      </c>
      <c r="H548" s="44" t="s">
        <v>164</v>
      </c>
      <c r="I548" s="44" t="s">
        <v>165</v>
      </c>
      <c r="J548" s="44" t="s">
        <v>9</v>
      </c>
      <c r="K548" s="44" t="s">
        <v>117</v>
      </c>
      <c r="L548" s="40">
        <v>22770</v>
      </c>
      <c r="M548" s="41">
        <v>42250</v>
      </c>
      <c r="N548" s="40" t="s">
        <v>110</v>
      </c>
      <c r="O548" s="42"/>
      <c r="P548" s="40">
        <v>62</v>
      </c>
      <c r="Q548" s="91">
        <v>74.92</v>
      </c>
      <c r="R548" s="91">
        <v>64.930000000000007</v>
      </c>
      <c r="S548" s="91">
        <v>66.31</v>
      </c>
      <c r="T548" s="91">
        <v>65.010000000000005</v>
      </c>
      <c r="U548" s="91">
        <v>67.430000000000007</v>
      </c>
    </row>
    <row r="549" spans="1:21" x14ac:dyDescent="0.2">
      <c r="A549" s="48">
        <f t="shared" si="8"/>
        <v>541</v>
      </c>
      <c r="B549" s="43">
        <v>15</v>
      </c>
      <c r="C549" s="43">
        <v>23</v>
      </c>
      <c r="D549" s="38" t="s">
        <v>622</v>
      </c>
      <c r="E549" s="44" t="s">
        <v>171</v>
      </c>
      <c r="F549" s="44" t="s">
        <v>5</v>
      </c>
      <c r="G549" s="44" t="s">
        <v>108</v>
      </c>
      <c r="H549" s="44" t="s">
        <v>11</v>
      </c>
      <c r="I549" s="44" t="s">
        <v>11</v>
      </c>
      <c r="J549" s="44" t="s">
        <v>6</v>
      </c>
      <c r="K549" s="44" t="s">
        <v>128</v>
      </c>
      <c r="L549" s="40">
        <v>22771</v>
      </c>
      <c r="M549" s="41">
        <v>42250</v>
      </c>
      <c r="N549" s="40" t="s">
        <v>110</v>
      </c>
      <c r="O549" s="42"/>
      <c r="P549" s="40">
        <v>62</v>
      </c>
      <c r="Q549" s="91">
        <v>79.25</v>
      </c>
      <c r="R549" s="91">
        <v>68.55</v>
      </c>
      <c r="S549" s="91">
        <v>70.14</v>
      </c>
      <c r="T549" s="91">
        <v>69.94</v>
      </c>
      <c r="U549" s="91">
        <v>72.69</v>
      </c>
    </row>
    <row r="550" spans="1:21" x14ac:dyDescent="0.2">
      <c r="A550" s="48">
        <f t="shared" si="8"/>
        <v>542</v>
      </c>
      <c r="B550" s="43">
        <v>15</v>
      </c>
      <c r="C550" s="43">
        <v>24</v>
      </c>
      <c r="D550" s="38" t="s">
        <v>623</v>
      </c>
      <c r="E550" s="44" t="s">
        <v>173</v>
      </c>
      <c r="F550" s="44" t="s">
        <v>5</v>
      </c>
      <c r="G550" s="44" t="s">
        <v>108</v>
      </c>
      <c r="H550" s="44" t="s">
        <v>10</v>
      </c>
      <c r="I550" s="44" t="s">
        <v>174</v>
      </c>
      <c r="J550" s="44" t="s">
        <v>7</v>
      </c>
      <c r="K550" s="44" t="s">
        <v>123</v>
      </c>
      <c r="L550" s="40">
        <v>22772</v>
      </c>
      <c r="M550" s="41">
        <v>42250</v>
      </c>
      <c r="N550" s="40" t="s">
        <v>110</v>
      </c>
      <c r="O550" s="42"/>
      <c r="P550" s="40">
        <v>62</v>
      </c>
      <c r="Q550" s="91">
        <v>72.63</v>
      </c>
      <c r="R550" s="91">
        <v>66.37</v>
      </c>
      <c r="S550" s="91">
        <v>66.66</v>
      </c>
      <c r="T550" s="91">
        <v>66.13</v>
      </c>
      <c r="U550" s="91">
        <v>68.39</v>
      </c>
    </row>
    <row r="551" spans="1:21" x14ac:dyDescent="0.2">
      <c r="A551" s="48">
        <f t="shared" si="8"/>
        <v>543</v>
      </c>
      <c r="B551" s="43">
        <v>15</v>
      </c>
      <c r="C551" s="43">
        <v>25</v>
      </c>
      <c r="D551" s="38" t="s">
        <v>624</v>
      </c>
      <c r="E551" s="44" t="s">
        <v>176</v>
      </c>
      <c r="F551" s="44" t="s">
        <v>5</v>
      </c>
      <c r="G551" s="44" t="s">
        <v>108</v>
      </c>
      <c r="H551" s="44" t="s">
        <v>10</v>
      </c>
      <c r="I551" s="44" t="s">
        <v>174</v>
      </c>
      <c r="J551" s="44" t="s">
        <v>8</v>
      </c>
      <c r="K551" s="44" t="s">
        <v>120</v>
      </c>
      <c r="L551" s="40">
        <v>22773</v>
      </c>
      <c r="M551" s="41">
        <v>42250</v>
      </c>
      <c r="N551" s="40" t="s">
        <v>110</v>
      </c>
      <c r="O551" s="42"/>
      <c r="P551" s="40">
        <v>62</v>
      </c>
      <c r="Q551" s="91">
        <v>73.56</v>
      </c>
      <c r="R551" s="91">
        <v>67.59</v>
      </c>
      <c r="S551" s="91">
        <v>67.8</v>
      </c>
      <c r="T551" s="91">
        <v>67.349999999999994</v>
      </c>
      <c r="U551" s="91">
        <v>69.62</v>
      </c>
    </row>
    <row r="552" spans="1:21" x14ac:dyDescent="0.2">
      <c r="A552" s="48">
        <f t="shared" si="8"/>
        <v>544</v>
      </c>
      <c r="B552" s="43">
        <v>15</v>
      </c>
      <c r="C552" s="43">
        <v>26</v>
      </c>
      <c r="D552" s="38" t="s">
        <v>625</v>
      </c>
      <c r="E552" s="44" t="s">
        <v>178</v>
      </c>
      <c r="F552" s="44" t="s">
        <v>5</v>
      </c>
      <c r="G552" s="44" t="s">
        <v>108</v>
      </c>
      <c r="H552" s="44" t="s">
        <v>10</v>
      </c>
      <c r="I552" s="44" t="s">
        <v>174</v>
      </c>
      <c r="J552" s="44" t="s">
        <v>9</v>
      </c>
      <c r="K552" s="44" t="s">
        <v>117</v>
      </c>
      <c r="L552" s="40">
        <v>22774</v>
      </c>
      <c r="M552" s="41">
        <v>42250</v>
      </c>
      <c r="N552" s="40" t="s">
        <v>110</v>
      </c>
      <c r="O552" s="42"/>
      <c r="P552" s="40">
        <v>62</v>
      </c>
      <c r="Q552" s="91">
        <v>71.150000000000006</v>
      </c>
      <c r="R552" s="91">
        <v>67.53</v>
      </c>
      <c r="S552" s="91">
        <v>67.2</v>
      </c>
      <c r="T552" s="91">
        <v>67.34</v>
      </c>
      <c r="U552" s="91">
        <v>69.64</v>
      </c>
    </row>
    <row r="553" spans="1:21" x14ac:dyDescent="0.2">
      <c r="A553" s="48">
        <f t="shared" si="8"/>
        <v>545</v>
      </c>
      <c r="B553" s="43">
        <v>15</v>
      </c>
      <c r="C553" s="43">
        <v>27</v>
      </c>
      <c r="D553" s="38" t="s">
        <v>626</v>
      </c>
      <c r="E553" s="44" t="s">
        <v>180</v>
      </c>
      <c r="F553" s="44" t="s">
        <v>5</v>
      </c>
      <c r="G553" s="44" t="s">
        <v>108</v>
      </c>
      <c r="H553" s="44" t="s">
        <v>91</v>
      </c>
      <c r="I553" s="44" t="s">
        <v>181</v>
      </c>
      <c r="J553" s="44" t="s">
        <v>6</v>
      </c>
      <c r="K553" s="44" t="s">
        <v>128</v>
      </c>
      <c r="L553" s="40">
        <v>22775</v>
      </c>
      <c r="M553" s="41">
        <v>42250</v>
      </c>
      <c r="N553" s="40" t="s">
        <v>110</v>
      </c>
      <c r="O553" s="42"/>
      <c r="P553" s="40">
        <v>62</v>
      </c>
      <c r="Q553" s="91">
        <v>73.3</v>
      </c>
      <c r="R553" s="91">
        <v>72</v>
      </c>
      <c r="S553" s="91">
        <v>71.959999999999994</v>
      </c>
      <c r="T553" s="91">
        <v>72.7</v>
      </c>
      <c r="U553" s="91">
        <v>75.23</v>
      </c>
    </row>
    <row r="554" spans="1:21" x14ac:dyDescent="0.2">
      <c r="A554" s="48">
        <f t="shared" si="8"/>
        <v>546</v>
      </c>
      <c r="B554" s="43">
        <v>15</v>
      </c>
      <c r="C554" s="43">
        <v>28</v>
      </c>
      <c r="D554" s="38" t="s">
        <v>627</v>
      </c>
      <c r="E554" s="44" t="s">
        <v>183</v>
      </c>
      <c r="F554" s="44" t="s">
        <v>37</v>
      </c>
      <c r="G554" s="44" t="s">
        <v>108</v>
      </c>
      <c r="H554" s="44" t="s">
        <v>42</v>
      </c>
      <c r="I554" s="44" t="s">
        <v>42</v>
      </c>
      <c r="J554" s="44" t="s">
        <v>6</v>
      </c>
      <c r="K554" s="44" t="s">
        <v>128</v>
      </c>
      <c r="L554" s="40">
        <v>22776</v>
      </c>
      <c r="M554" s="41">
        <v>42250</v>
      </c>
      <c r="N554" s="40" t="s">
        <v>110</v>
      </c>
      <c r="O554" s="42"/>
      <c r="P554" s="40">
        <v>62</v>
      </c>
      <c r="Q554" s="91">
        <v>85.75</v>
      </c>
      <c r="R554" s="91">
        <v>79.34</v>
      </c>
      <c r="S554" s="91">
        <v>79.7</v>
      </c>
      <c r="T554" s="91">
        <v>79.12</v>
      </c>
      <c r="U554" s="91">
        <v>81.09</v>
      </c>
    </row>
    <row r="555" spans="1:21" x14ac:dyDescent="0.2">
      <c r="A555" s="48">
        <f t="shared" si="8"/>
        <v>547</v>
      </c>
      <c r="B555" s="43">
        <v>15</v>
      </c>
      <c r="C555" s="43">
        <v>29</v>
      </c>
      <c r="D555" s="38" t="s">
        <v>628</v>
      </c>
      <c r="E555" s="44" t="s">
        <v>185</v>
      </c>
      <c r="F555" s="44" t="s">
        <v>37</v>
      </c>
      <c r="G555" s="44" t="s">
        <v>108</v>
      </c>
      <c r="H555" s="44" t="s">
        <v>42</v>
      </c>
      <c r="I555" s="44" t="s">
        <v>42</v>
      </c>
      <c r="J555" s="44" t="s">
        <v>43</v>
      </c>
      <c r="K555" s="44" t="s">
        <v>186</v>
      </c>
      <c r="L555" s="40">
        <v>22777</v>
      </c>
      <c r="M555" s="41">
        <v>42250</v>
      </c>
      <c r="N555" s="40" t="s">
        <v>110</v>
      </c>
      <c r="O555" s="42"/>
      <c r="P555" s="40">
        <v>62</v>
      </c>
      <c r="Q555" s="91">
        <v>84.91</v>
      </c>
      <c r="R555" s="91">
        <v>77.16</v>
      </c>
      <c r="S555" s="91">
        <v>77.86</v>
      </c>
      <c r="T555" s="91">
        <v>76.900000000000006</v>
      </c>
      <c r="U555" s="91">
        <v>78.84</v>
      </c>
    </row>
    <row r="556" spans="1:21" x14ac:dyDescent="0.2">
      <c r="A556" s="48">
        <f t="shared" si="8"/>
        <v>548</v>
      </c>
      <c r="B556" s="43">
        <v>15</v>
      </c>
      <c r="C556" s="43">
        <v>30</v>
      </c>
      <c r="D556" s="38" t="s">
        <v>629</v>
      </c>
      <c r="E556" s="44" t="s">
        <v>188</v>
      </c>
      <c r="F556" s="44" t="s">
        <v>37</v>
      </c>
      <c r="G556" s="44" t="s">
        <v>108</v>
      </c>
      <c r="H556" s="44" t="s">
        <v>42</v>
      </c>
      <c r="I556" s="44" t="s">
        <v>42</v>
      </c>
      <c r="J556" s="44" t="s">
        <v>44</v>
      </c>
      <c r="K556" s="44" t="s">
        <v>44</v>
      </c>
      <c r="L556" s="40">
        <v>22778</v>
      </c>
      <c r="M556" s="41">
        <v>42250</v>
      </c>
      <c r="N556" s="40" t="s">
        <v>110</v>
      </c>
      <c r="O556" s="42"/>
      <c r="P556" s="40">
        <v>62</v>
      </c>
      <c r="Q556" s="91">
        <v>83.87</v>
      </c>
      <c r="R556" s="91">
        <v>77.11</v>
      </c>
      <c r="S556" s="91">
        <v>77.599999999999994</v>
      </c>
      <c r="T556" s="91">
        <v>76.81</v>
      </c>
      <c r="U556" s="91">
        <v>78.77</v>
      </c>
    </row>
    <row r="557" spans="1:21" x14ac:dyDescent="0.2">
      <c r="A557" s="48">
        <f t="shared" si="8"/>
        <v>549</v>
      </c>
      <c r="B557" s="43">
        <v>15</v>
      </c>
      <c r="C557" s="43">
        <v>31</v>
      </c>
      <c r="D557" s="38" t="s">
        <v>630</v>
      </c>
      <c r="E557" s="44" t="s">
        <v>190</v>
      </c>
      <c r="F557" s="44" t="s">
        <v>37</v>
      </c>
      <c r="G557" s="44" t="s">
        <v>108</v>
      </c>
      <c r="H557" s="44" t="s">
        <v>45</v>
      </c>
      <c r="I557" s="44" t="s">
        <v>45</v>
      </c>
      <c r="J557" s="44" t="s">
        <v>6</v>
      </c>
      <c r="K557" s="44" t="s">
        <v>128</v>
      </c>
      <c r="L557" s="40">
        <v>22779</v>
      </c>
      <c r="M557" s="41">
        <v>42250</v>
      </c>
      <c r="N557" s="40" t="s">
        <v>110</v>
      </c>
      <c r="O557" s="42"/>
      <c r="P557" s="40">
        <v>62</v>
      </c>
      <c r="Q557" s="91">
        <v>70.38</v>
      </c>
      <c r="R557" s="91">
        <v>71.260000000000005</v>
      </c>
      <c r="S557" s="91">
        <v>71.540000000000006</v>
      </c>
      <c r="T557" s="91">
        <v>73.010000000000005</v>
      </c>
      <c r="U557" s="91">
        <v>76.03</v>
      </c>
    </row>
    <row r="558" spans="1:21" x14ac:dyDescent="0.2">
      <c r="A558" s="48">
        <f t="shared" si="8"/>
        <v>550</v>
      </c>
      <c r="B558" s="43">
        <v>15</v>
      </c>
      <c r="C558" s="43">
        <v>32</v>
      </c>
      <c r="D558" s="38" t="s">
        <v>631</v>
      </c>
      <c r="E558" s="44" t="s">
        <v>192</v>
      </c>
      <c r="F558" s="44" t="s">
        <v>5</v>
      </c>
      <c r="G558" s="44" t="s">
        <v>108</v>
      </c>
      <c r="H558" s="44" t="s">
        <v>12</v>
      </c>
      <c r="I558" s="44" t="s">
        <v>12</v>
      </c>
      <c r="J558" s="44" t="s">
        <v>13</v>
      </c>
      <c r="K558" s="44" t="s">
        <v>117</v>
      </c>
      <c r="L558" s="40">
        <v>22780</v>
      </c>
      <c r="M558" s="41">
        <v>42250</v>
      </c>
      <c r="N558" s="40" t="s">
        <v>110</v>
      </c>
      <c r="O558" s="42"/>
      <c r="P558" s="40">
        <v>62</v>
      </c>
      <c r="Q558" s="91">
        <v>82.17</v>
      </c>
      <c r="R558" s="91">
        <v>73.09</v>
      </c>
      <c r="S558" s="91">
        <v>74.11</v>
      </c>
      <c r="T558" s="91">
        <v>72.58</v>
      </c>
      <c r="U558" s="91">
        <v>75.14</v>
      </c>
    </row>
    <row r="559" spans="1:21" x14ac:dyDescent="0.2">
      <c r="A559" s="48">
        <f t="shared" si="8"/>
        <v>551</v>
      </c>
      <c r="B559" s="43">
        <v>15</v>
      </c>
      <c r="C559" s="43">
        <v>33</v>
      </c>
      <c r="D559" s="38" t="s">
        <v>632</v>
      </c>
      <c r="E559" s="44" t="s">
        <v>194</v>
      </c>
      <c r="F559" s="44" t="s">
        <v>5</v>
      </c>
      <c r="G559" s="44" t="s">
        <v>108</v>
      </c>
      <c r="H559" s="44" t="s">
        <v>12</v>
      </c>
      <c r="I559" s="44" t="s">
        <v>12</v>
      </c>
      <c r="J559" s="44" t="s">
        <v>14</v>
      </c>
      <c r="K559" s="44" t="s">
        <v>123</v>
      </c>
      <c r="L559" s="40">
        <v>22781</v>
      </c>
      <c r="M559" s="41">
        <v>42250</v>
      </c>
      <c r="N559" s="40" t="s">
        <v>110</v>
      </c>
      <c r="O559" s="42"/>
      <c r="P559" s="40">
        <v>62</v>
      </c>
      <c r="Q559" s="91">
        <v>83.68</v>
      </c>
      <c r="R559" s="91">
        <v>74</v>
      </c>
      <c r="S559" s="91">
        <v>75.16</v>
      </c>
      <c r="T559" s="91">
        <v>73.569999999999993</v>
      </c>
      <c r="U559" s="91">
        <v>76.13</v>
      </c>
    </row>
    <row r="560" spans="1:21" x14ac:dyDescent="0.2">
      <c r="A560" s="48">
        <f t="shared" si="8"/>
        <v>552</v>
      </c>
      <c r="B560" s="43">
        <v>15</v>
      </c>
      <c r="C560" s="43">
        <v>34</v>
      </c>
      <c r="D560" s="38" t="s">
        <v>633</v>
      </c>
      <c r="E560" s="44" t="s">
        <v>196</v>
      </c>
      <c r="F560" s="44" t="s">
        <v>29</v>
      </c>
      <c r="G560" s="44" t="s">
        <v>108</v>
      </c>
      <c r="H560" s="44" t="s">
        <v>34</v>
      </c>
      <c r="I560" s="44" t="s">
        <v>34</v>
      </c>
      <c r="J560" s="44" t="s">
        <v>35</v>
      </c>
      <c r="K560" s="44" t="s">
        <v>197</v>
      </c>
      <c r="L560" s="40">
        <v>22782</v>
      </c>
      <c r="M560" s="41">
        <v>42250</v>
      </c>
      <c r="N560" s="40" t="s">
        <v>110</v>
      </c>
      <c r="O560" s="42"/>
      <c r="P560" s="40">
        <v>62</v>
      </c>
      <c r="Q560" s="91">
        <v>116.84</v>
      </c>
      <c r="R560" s="91">
        <v>105.26</v>
      </c>
      <c r="S560" s="91">
        <v>107.27</v>
      </c>
      <c r="T560" s="91">
        <v>104.99</v>
      </c>
      <c r="U560" s="91">
        <v>106.48</v>
      </c>
    </row>
    <row r="561" spans="1:21" x14ac:dyDescent="0.2">
      <c r="A561" s="48">
        <f t="shared" si="8"/>
        <v>553</v>
      </c>
      <c r="B561" s="43">
        <v>15</v>
      </c>
      <c r="C561" s="43">
        <v>35</v>
      </c>
      <c r="D561" s="38" t="s">
        <v>634</v>
      </c>
      <c r="E561" s="44" t="s">
        <v>199</v>
      </c>
      <c r="F561" s="44" t="s">
        <v>29</v>
      </c>
      <c r="G561" s="44" t="s">
        <v>108</v>
      </c>
      <c r="H561" s="44" t="s">
        <v>34</v>
      </c>
      <c r="I561" s="44" t="s">
        <v>34</v>
      </c>
      <c r="J561" s="44" t="s">
        <v>36</v>
      </c>
      <c r="K561" s="44" t="s">
        <v>200</v>
      </c>
      <c r="L561" s="40">
        <v>22783</v>
      </c>
      <c r="M561" s="41">
        <v>42250</v>
      </c>
      <c r="N561" s="40" t="s">
        <v>110</v>
      </c>
      <c r="O561" s="42"/>
      <c r="P561" s="40">
        <v>62</v>
      </c>
      <c r="Q561" s="91">
        <v>115.49</v>
      </c>
      <c r="R561" s="91">
        <v>103.72</v>
      </c>
      <c r="S561" s="91">
        <v>105.78</v>
      </c>
      <c r="T561" s="91">
        <v>103.45</v>
      </c>
      <c r="U561" s="91">
        <v>104.94</v>
      </c>
    </row>
    <row r="562" spans="1:21" x14ac:dyDescent="0.2">
      <c r="A562" s="48">
        <f t="shared" si="8"/>
        <v>554</v>
      </c>
      <c r="B562" s="43">
        <v>15</v>
      </c>
      <c r="C562" s="43">
        <v>36</v>
      </c>
      <c r="D562" s="38" t="s">
        <v>635</v>
      </c>
      <c r="E562" s="44" t="s">
        <v>202</v>
      </c>
      <c r="F562" s="44" t="s">
        <v>5</v>
      </c>
      <c r="G562" s="44" t="s">
        <v>108</v>
      </c>
      <c r="H562" s="44" t="s">
        <v>15</v>
      </c>
      <c r="I562" s="44" t="s">
        <v>203</v>
      </c>
      <c r="J562" s="44" t="s">
        <v>16</v>
      </c>
      <c r="K562" s="44" t="s">
        <v>128</v>
      </c>
      <c r="L562" s="40">
        <v>22784</v>
      </c>
      <c r="M562" s="41">
        <v>42250</v>
      </c>
      <c r="N562" s="40" t="s">
        <v>110</v>
      </c>
      <c r="O562" s="42"/>
      <c r="P562" s="40">
        <v>62</v>
      </c>
      <c r="Q562" s="91">
        <v>72.14</v>
      </c>
      <c r="R562" s="91">
        <v>69.72</v>
      </c>
      <c r="S562" s="91">
        <v>71.010000000000005</v>
      </c>
      <c r="T562" s="91">
        <v>71.180000000000007</v>
      </c>
      <c r="U562" s="91">
        <v>73.98</v>
      </c>
    </row>
    <row r="563" spans="1:21" x14ac:dyDescent="0.2">
      <c r="A563" s="48">
        <f t="shared" si="8"/>
        <v>555</v>
      </c>
      <c r="B563" s="20"/>
      <c r="C563" s="20"/>
      <c r="D563" s="20"/>
    </row>
    <row r="564" spans="1:21" x14ac:dyDescent="0.2">
      <c r="A564" s="48">
        <f t="shared" si="8"/>
        <v>556</v>
      </c>
      <c r="B564" s="43">
        <v>16</v>
      </c>
      <c r="C564" s="43">
        <v>1</v>
      </c>
      <c r="D564" s="38" t="s">
        <v>600</v>
      </c>
      <c r="E564" s="44" t="s">
        <v>107</v>
      </c>
      <c r="F564" s="44" t="s">
        <v>29</v>
      </c>
      <c r="G564" s="44" t="s">
        <v>108</v>
      </c>
      <c r="H564" s="44" t="s">
        <v>30</v>
      </c>
      <c r="I564" s="44" t="s">
        <v>30</v>
      </c>
      <c r="J564" s="44" t="s">
        <v>31</v>
      </c>
      <c r="K564" s="44" t="s">
        <v>109</v>
      </c>
      <c r="L564" s="40">
        <v>22749</v>
      </c>
      <c r="M564" s="41">
        <v>42250</v>
      </c>
      <c r="N564" s="40" t="s">
        <v>110</v>
      </c>
      <c r="O564" s="42"/>
      <c r="P564" s="40">
        <v>63</v>
      </c>
      <c r="Q564" s="91">
        <v>101.56</v>
      </c>
      <c r="R564" s="91">
        <v>91.45</v>
      </c>
      <c r="S564" s="91">
        <v>93.55</v>
      </c>
      <c r="T564" s="91">
        <v>93.03</v>
      </c>
      <c r="U564" s="91">
        <v>95.62</v>
      </c>
    </row>
    <row r="565" spans="1:21" x14ac:dyDescent="0.2">
      <c r="A565" s="48">
        <f t="shared" si="8"/>
        <v>557</v>
      </c>
      <c r="B565" s="43">
        <v>16</v>
      </c>
      <c r="C565" s="43">
        <v>2</v>
      </c>
      <c r="D565" s="38" t="s">
        <v>601</v>
      </c>
      <c r="E565" s="44" t="s">
        <v>112</v>
      </c>
      <c r="F565" s="44" t="s">
        <v>29</v>
      </c>
      <c r="G565" s="44" t="s">
        <v>108</v>
      </c>
      <c r="H565" s="44" t="s">
        <v>30</v>
      </c>
      <c r="I565" s="44" t="s">
        <v>30</v>
      </c>
      <c r="J565" s="44" t="s">
        <v>32</v>
      </c>
      <c r="K565" s="44" t="s">
        <v>113</v>
      </c>
      <c r="L565" s="40">
        <v>22750</v>
      </c>
      <c r="M565" s="41">
        <v>42250</v>
      </c>
      <c r="N565" s="40" t="s">
        <v>110</v>
      </c>
      <c r="O565" s="42"/>
      <c r="P565" s="40">
        <v>63</v>
      </c>
      <c r="Q565" s="91">
        <v>100.01</v>
      </c>
      <c r="R565" s="91">
        <v>90.95</v>
      </c>
      <c r="S565" s="91">
        <v>91.22</v>
      </c>
      <c r="T565" s="91">
        <v>90.01</v>
      </c>
      <c r="U565" s="91">
        <v>91.48</v>
      </c>
    </row>
    <row r="566" spans="1:21" x14ac:dyDescent="0.2">
      <c r="A566" s="48">
        <f t="shared" si="8"/>
        <v>558</v>
      </c>
      <c r="B566" s="43">
        <v>16</v>
      </c>
      <c r="C566" s="43">
        <v>3</v>
      </c>
      <c r="D566" s="38" t="s">
        <v>602</v>
      </c>
      <c r="E566" s="44" t="s">
        <v>115</v>
      </c>
      <c r="F566" s="44" t="s">
        <v>18</v>
      </c>
      <c r="G566" s="44" t="s">
        <v>108</v>
      </c>
      <c r="H566" s="44" t="s">
        <v>61</v>
      </c>
      <c r="I566" s="44" t="s">
        <v>116</v>
      </c>
      <c r="J566" s="44" t="s">
        <v>13</v>
      </c>
      <c r="K566" s="44" t="s">
        <v>117</v>
      </c>
      <c r="L566" s="40">
        <v>22751</v>
      </c>
      <c r="M566" s="41">
        <v>42250</v>
      </c>
      <c r="N566" s="40" t="s">
        <v>110</v>
      </c>
      <c r="O566" s="42"/>
      <c r="P566" s="40">
        <v>63</v>
      </c>
      <c r="Q566" s="91">
        <v>60.09</v>
      </c>
      <c r="R566" s="91">
        <v>57.45</v>
      </c>
      <c r="S566" s="91">
        <v>59.22</v>
      </c>
      <c r="T566" s="91">
        <v>59.32</v>
      </c>
      <c r="U566" s="91">
        <v>62.54</v>
      </c>
    </row>
    <row r="567" spans="1:21" x14ac:dyDescent="0.2">
      <c r="A567" s="48">
        <f t="shared" si="8"/>
        <v>559</v>
      </c>
      <c r="B567" s="43">
        <v>16</v>
      </c>
      <c r="C567" s="43">
        <v>4</v>
      </c>
      <c r="D567" s="38" t="s">
        <v>603</v>
      </c>
      <c r="E567" s="44" t="s">
        <v>119</v>
      </c>
      <c r="F567" s="44" t="s">
        <v>18</v>
      </c>
      <c r="G567" s="44" t="s">
        <v>108</v>
      </c>
      <c r="H567" s="44" t="s">
        <v>61</v>
      </c>
      <c r="I567" s="44" t="s">
        <v>116</v>
      </c>
      <c r="J567" s="44" t="s">
        <v>19</v>
      </c>
      <c r="K567" s="44" t="s">
        <v>120</v>
      </c>
      <c r="L567" s="40">
        <v>22752</v>
      </c>
      <c r="M567" s="41">
        <v>42250</v>
      </c>
      <c r="N567" s="40" t="s">
        <v>110</v>
      </c>
      <c r="O567" s="42"/>
      <c r="P567" s="40">
        <v>63</v>
      </c>
      <c r="Q567" s="91">
        <v>60.61</v>
      </c>
      <c r="R567" s="91">
        <v>59.11</v>
      </c>
      <c r="S567" s="91">
        <v>60.49</v>
      </c>
      <c r="T567" s="91">
        <v>60.96</v>
      </c>
      <c r="U567" s="91">
        <v>64.16</v>
      </c>
    </row>
    <row r="568" spans="1:21" x14ac:dyDescent="0.2">
      <c r="A568" s="48">
        <f t="shared" si="8"/>
        <v>560</v>
      </c>
      <c r="B568" s="43">
        <v>16</v>
      </c>
      <c r="C568" s="43">
        <v>5</v>
      </c>
      <c r="D568" s="38" t="s">
        <v>604</v>
      </c>
      <c r="E568" s="44" t="s">
        <v>122</v>
      </c>
      <c r="F568" s="44" t="s">
        <v>18</v>
      </c>
      <c r="G568" s="44" t="s">
        <v>108</v>
      </c>
      <c r="H568" s="44" t="s">
        <v>61</v>
      </c>
      <c r="I568" s="44" t="s">
        <v>116</v>
      </c>
      <c r="J568" s="44" t="s">
        <v>14</v>
      </c>
      <c r="K568" s="44" t="s">
        <v>123</v>
      </c>
      <c r="L568" s="40">
        <v>22753</v>
      </c>
      <c r="M568" s="41">
        <v>42250</v>
      </c>
      <c r="N568" s="40" t="s">
        <v>110</v>
      </c>
      <c r="O568" s="42"/>
      <c r="P568" s="40">
        <v>63</v>
      </c>
      <c r="Q568" s="91">
        <v>59.95</v>
      </c>
      <c r="R568" s="91">
        <v>58.09</v>
      </c>
      <c r="S568" s="91">
        <v>59.58</v>
      </c>
      <c r="T568" s="91">
        <v>59.92</v>
      </c>
      <c r="U568" s="91">
        <v>63.1</v>
      </c>
    </row>
    <row r="569" spans="1:21" x14ac:dyDescent="0.2">
      <c r="A569" s="48">
        <f t="shared" si="8"/>
        <v>561</v>
      </c>
      <c r="B569" s="43">
        <v>16</v>
      </c>
      <c r="C569" s="43">
        <v>6</v>
      </c>
      <c r="D569" s="38" t="s">
        <v>605</v>
      </c>
      <c r="E569" s="44" t="s">
        <v>125</v>
      </c>
      <c r="F569" s="44" t="s">
        <v>23</v>
      </c>
      <c r="G569" s="44" t="s">
        <v>126</v>
      </c>
      <c r="H569" s="44" t="s">
        <v>127</v>
      </c>
      <c r="I569" s="44" t="s">
        <v>27</v>
      </c>
      <c r="J569" s="44" t="s">
        <v>28</v>
      </c>
      <c r="K569" s="44" t="s">
        <v>128</v>
      </c>
      <c r="L569" s="40">
        <v>22754</v>
      </c>
      <c r="M569" s="41">
        <v>42250</v>
      </c>
      <c r="N569" s="40" t="s">
        <v>110</v>
      </c>
      <c r="O569" s="42"/>
      <c r="P569" s="40">
        <v>63</v>
      </c>
      <c r="Q569" s="91">
        <v>63.94</v>
      </c>
      <c r="R569" s="91">
        <v>62.33</v>
      </c>
      <c r="S569" s="91">
        <v>63.8</v>
      </c>
      <c r="T569" s="91">
        <v>63.73</v>
      </c>
      <c r="U569" s="91">
        <v>65.19</v>
      </c>
    </row>
    <row r="570" spans="1:21" x14ac:dyDescent="0.2">
      <c r="A570" s="48">
        <f t="shared" si="8"/>
        <v>562</v>
      </c>
      <c r="B570" s="43">
        <v>16</v>
      </c>
      <c r="C570" s="43">
        <v>7</v>
      </c>
      <c r="D570" s="38" t="s">
        <v>606</v>
      </c>
      <c r="E570" s="44" t="s">
        <v>130</v>
      </c>
      <c r="F570" s="44" t="s">
        <v>37</v>
      </c>
      <c r="G570" s="44" t="s">
        <v>108</v>
      </c>
      <c r="H570" s="44" t="s">
        <v>38</v>
      </c>
      <c r="I570" s="44" t="s">
        <v>38</v>
      </c>
      <c r="J570" s="44" t="s">
        <v>40</v>
      </c>
      <c r="K570" s="44" t="s">
        <v>123</v>
      </c>
      <c r="L570" s="40">
        <v>22756</v>
      </c>
      <c r="M570" s="41">
        <v>42250</v>
      </c>
      <c r="N570" s="40" t="s">
        <v>110</v>
      </c>
      <c r="O570" s="42"/>
      <c r="P570" s="40">
        <v>63</v>
      </c>
      <c r="Q570" s="91">
        <v>86.78</v>
      </c>
      <c r="R570" s="91">
        <v>79.650000000000006</v>
      </c>
      <c r="S570" s="91">
        <v>80.790000000000006</v>
      </c>
      <c r="T570" s="91">
        <v>79.849999999999994</v>
      </c>
      <c r="U570" s="91">
        <v>81.849999999999994</v>
      </c>
    </row>
    <row r="571" spans="1:21" x14ac:dyDescent="0.2">
      <c r="A571" s="48">
        <f t="shared" si="8"/>
        <v>563</v>
      </c>
      <c r="B571" s="43">
        <v>16</v>
      </c>
      <c r="C571" s="43">
        <v>8</v>
      </c>
      <c r="D571" s="38" t="s">
        <v>607</v>
      </c>
      <c r="E571" s="44" t="s">
        <v>132</v>
      </c>
      <c r="F571" s="44" t="s">
        <v>37</v>
      </c>
      <c r="G571" s="44" t="s">
        <v>108</v>
      </c>
      <c r="H571" s="44" t="s">
        <v>38</v>
      </c>
      <c r="I571" s="44" t="s">
        <v>38</v>
      </c>
      <c r="J571" s="44" t="s">
        <v>39</v>
      </c>
      <c r="K571" s="44" t="s">
        <v>120</v>
      </c>
      <c r="L571" s="40">
        <v>22755</v>
      </c>
      <c r="M571" s="41">
        <v>42250</v>
      </c>
      <c r="N571" s="40" t="s">
        <v>110</v>
      </c>
      <c r="O571" s="42"/>
      <c r="P571" s="40">
        <v>63</v>
      </c>
      <c r="Q571" s="91">
        <v>87</v>
      </c>
      <c r="R571" s="91">
        <v>80.75</v>
      </c>
      <c r="S571" s="91">
        <v>81.67</v>
      </c>
      <c r="T571" s="91">
        <v>80.95</v>
      </c>
      <c r="U571" s="91">
        <v>82.95</v>
      </c>
    </row>
    <row r="572" spans="1:21" x14ac:dyDescent="0.2">
      <c r="A572" s="48">
        <f t="shared" si="8"/>
        <v>564</v>
      </c>
      <c r="B572" s="43">
        <v>16</v>
      </c>
      <c r="C572" s="43">
        <v>9</v>
      </c>
      <c r="D572" s="38" t="s">
        <v>608</v>
      </c>
      <c r="E572" s="44" t="s">
        <v>134</v>
      </c>
      <c r="F572" s="44" t="s">
        <v>37</v>
      </c>
      <c r="G572" s="44" t="s">
        <v>108</v>
      </c>
      <c r="H572" s="44" t="s">
        <v>38</v>
      </c>
      <c r="I572" s="44" t="s">
        <v>38</v>
      </c>
      <c r="J572" s="44" t="s">
        <v>6</v>
      </c>
      <c r="K572" s="44" t="s">
        <v>117</v>
      </c>
      <c r="L572" s="40">
        <v>22757</v>
      </c>
      <c r="M572" s="41">
        <v>42250</v>
      </c>
      <c r="N572" s="40" t="s">
        <v>110</v>
      </c>
      <c r="O572" s="42"/>
      <c r="P572" s="40">
        <v>63</v>
      </c>
      <c r="Q572" s="91">
        <v>86.54</v>
      </c>
      <c r="R572" s="91">
        <v>78.84</v>
      </c>
      <c r="S572" s="91">
        <v>80.13</v>
      </c>
      <c r="T572" s="91">
        <v>79.010000000000005</v>
      </c>
      <c r="U572" s="91">
        <v>81.05</v>
      </c>
    </row>
    <row r="573" spans="1:21" x14ac:dyDescent="0.2">
      <c r="A573" s="48">
        <f t="shared" si="8"/>
        <v>565</v>
      </c>
      <c r="B573" s="43">
        <v>16</v>
      </c>
      <c r="C573" s="43">
        <v>10</v>
      </c>
      <c r="D573" s="38" t="s">
        <v>609</v>
      </c>
      <c r="E573" s="44" t="s">
        <v>136</v>
      </c>
      <c r="F573" s="44" t="s">
        <v>23</v>
      </c>
      <c r="G573" s="44" t="s">
        <v>108</v>
      </c>
      <c r="H573" s="44" t="s">
        <v>137</v>
      </c>
      <c r="I573" s="44" t="s">
        <v>24</v>
      </c>
      <c r="J573" s="44" t="s">
        <v>25</v>
      </c>
      <c r="K573" s="44" t="s">
        <v>138</v>
      </c>
      <c r="L573" s="40">
        <v>22758</v>
      </c>
      <c r="M573" s="41">
        <v>42250</v>
      </c>
      <c r="N573" s="40" t="s">
        <v>110</v>
      </c>
      <c r="O573" s="42"/>
      <c r="P573" s="40">
        <v>63</v>
      </c>
      <c r="Q573" s="91">
        <v>65.150000000000006</v>
      </c>
      <c r="R573" s="91">
        <v>63.41</v>
      </c>
      <c r="S573" s="91">
        <v>65.11</v>
      </c>
      <c r="T573" s="91">
        <v>66.67</v>
      </c>
      <c r="U573" s="91">
        <v>69.989999999999995</v>
      </c>
    </row>
    <row r="574" spans="1:21" x14ac:dyDescent="0.2">
      <c r="A574" s="48">
        <f t="shared" si="8"/>
        <v>566</v>
      </c>
      <c r="B574" s="43">
        <v>16</v>
      </c>
      <c r="C574" s="43">
        <v>11</v>
      </c>
      <c r="D574" s="38" t="s">
        <v>610</v>
      </c>
      <c r="E574" s="44" t="s">
        <v>140</v>
      </c>
      <c r="F574" s="44" t="s">
        <v>23</v>
      </c>
      <c r="G574" s="44" t="s">
        <v>108</v>
      </c>
      <c r="H574" s="44" t="s">
        <v>137</v>
      </c>
      <c r="I574" s="44" t="s">
        <v>24</v>
      </c>
      <c r="J574" s="44" t="s">
        <v>26</v>
      </c>
      <c r="K574" s="44" t="s">
        <v>141</v>
      </c>
      <c r="L574" s="40">
        <v>22759</v>
      </c>
      <c r="M574" s="41">
        <v>42250</v>
      </c>
      <c r="N574" s="40" t="s">
        <v>110</v>
      </c>
      <c r="O574" s="42"/>
      <c r="P574" s="40">
        <v>63</v>
      </c>
      <c r="Q574" s="91">
        <v>64.47</v>
      </c>
      <c r="R574" s="91">
        <v>62.62</v>
      </c>
      <c r="S574" s="91">
        <v>64.349999999999994</v>
      </c>
      <c r="T574" s="91">
        <v>65.87</v>
      </c>
      <c r="U574" s="91">
        <v>69.19</v>
      </c>
    </row>
    <row r="575" spans="1:21" x14ac:dyDescent="0.2">
      <c r="A575" s="48">
        <f t="shared" si="8"/>
        <v>567</v>
      </c>
      <c r="B575" s="43">
        <v>16</v>
      </c>
      <c r="C575" s="43">
        <v>12</v>
      </c>
      <c r="D575" s="38" t="s">
        <v>611</v>
      </c>
      <c r="E575" s="44" t="s">
        <v>143</v>
      </c>
      <c r="F575" s="44" t="s">
        <v>18</v>
      </c>
      <c r="G575" s="44" t="s">
        <v>108</v>
      </c>
      <c r="H575" s="44" t="s">
        <v>94</v>
      </c>
      <c r="I575" s="44" t="s">
        <v>144</v>
      </c>
      <c r="J575" s="44" t="s">
        <v>20</v>
      </c>
      <c r="K575" s="44" t="s">
        <v>145</v>
      </c>
      <c r="L575" s="40">
        <v>22760</v>
      </c>
      <c r="M575" s="41">
        <v>42250</v>
      </c>
      <c r="N575" s="40" t="s">
        <v>110</v>
      </c>
      <c r="O575" s="42"/>
      <c r="P575" s="40">
        <v>63</v>
      </c>
      <c r="Q575" s="91">
        <v>60.13</v>
      </c>
      <c r="R575" s="91">
        <v>58.85</v>
      </c>
      <c r="S575" s="91">
        <v>60.02</v>
      </c>
      <c r="T575" s="91">
        <v>60.52</v>
      </c>
      <c r="U575" s="91">
        <v>63.54</v>
      </c>
    </row>
    <row r="576" spans="1:21" x14ac:dyDescent="0.2">
      <c r="A576" s="48">
        <f t="shared" si="8"/>
        <v>568</v>
      </c>
      <c r="B576" s="43">
        <v>16</v>
      </c>
      <c r="C576" s="43">
        <v>13</v>
      </c>
      <c r="D576" s="38" t="s">
        <v>612</v>
      </c>
      <c r="E576" s="44" t="s">
        <v>147</v>
      </c>
      <c r="F576" s="44" t="s">
        <v>37</v>
      </c>
      <c r="G576" s="44" t="s">
        <v>108</v>
      </c>
      <c r="H576" s="44" t="s">
        <v>41</v>
      </c>
      <c r="I576" s="44" t="s">
        <v>41</v>
      </c>
      <c r="J576" s="44" t="s">
        <v>6</v>
      </c>
      <c r="K576" s="44" t="s">
        <v>128</v>
      </c>
      <c r="L576" s="40">
        <v>22761</v>
      </c>
      <c r="M576" s="41">
        <v>42250</v>
      </c>
      <c r="N576" s="40" t="s">
        <v>110</v>
      </c>
      <c r="O576" s="42"/>
      <c r="P576" s="40">
        <v>63</v>
      </c>
      <c r="Q576" s="91">
        <v>86.42</v>
      </c>
      <c r="R576" s="91">
        <v>78.900000000000006</v>
      </c>
      <c r="S576" s="91">
        <v>80.790000000000006</v>
      </c>
      <c r="T576" s="91">
        <v>81.66</v>
      </c>
      <c r="U576" s="91">
        <v>84.89</v>
      </c>
    </row>
    <row r="577" spans="1:21" x14ac:dyDescent="0.2">
      <c r="A577" s="48">
        <f t="shared" si="8"/>
        <v>569</v>
      </c>
      <c r="B577" s="43">
        <v>16</v>
      </c>
      <c r="C577" s="43">
        <v>14</v>
      </c>
      <c r="D577" s="38" t="s">
        <v>613</v>
      </c>
      <c r="E577" s="44" t="s">
        <v>149</v>
      </c>
      <c r="F577" s="44" t="s">
        <v>5</v>
      </c>
      <c r="G577" s="44" t="s">
        <v>108</v>
      </c>
      <c r="H577" s="44" t="s">
        <v>46</v>
      </c>
      <c r="I577" s="44" t="s">
        <v>46</v>
      </c>
      <c r="J577" s="44" t="s">
        <v>6</v>
      </c>
      <c r="K577" s="44" t="s">
        <v>128</v>
      </c>
      <c r="L577" s="40">
        <v>22762</v>
      </c>
      <c r="M577" s="41">
        <v>42250</v>
      </c>
      <c r="N577" s="40" t="s">
        <v>110</v>
      </c>
      <c r="O577" s="42"/>
      <c r="P577" s="40">
        <v>63</v>
      </c>
      <c r="Q577" s="91">
        <v>71.36</v>
      </c>
      <c r="R577" s="91">
        <v>69.400000000000006</v>
      </c>
      <c r="S577" s="91">
        <v>70.95</v>
      </c>
      <c r="T577" s="91">
        <v>71.3</v>
      </c>
      <c r="U577" s="91">
        <v>74.61</v>
      </c>
    </row>
    <row r="578" spans="1:21" x14ac:dyDescent="0.2">
      <c r="A578" s="48">
        <f t="shared" si="8"/>
        <v>570</v>
      </c>
      <c r="B578" s="43">
        <v>16</v>
      </c>
      <c r="C578" s="43">
        <v>15</v>
      </c>
      <c r="D578" s="38" t="s">
        <v>614</v>
      </c>
      <c r="E578" s="44" t="s">
        <v>151</v>
      </c>
      <c r="F578" s="44" t="s">
        <v>18</v>
      </c>
      <c r="G578" s="44" t="s">
        <v>108</v>
      </c>
      <c r="H578" s="44" t="s">
        <v>21</v>
      </c>
      <c r="I578" s="44" t="s">
        <v>152</v>
      </c>
      <c r="J578" s="44" t="s">
        <v>22</v>
      </c>
      <c r="K578" s="44" t="s">
        <v>128</v>
      </c>
      <c r="L578" s="40">
        <v>22763</v>
      </c>
      <c r="M578" s="41">
        <v>42250</v>
      </c>
      <c r="N578" s="40" t="s">
        <v>110</v>
      </c>
      <c r="O578" s="42"/>
      <c r="P578" s="40">
        <v>63</v>
      </c>
      <c r="Q578" s="91">
        <v>58.46</v>
      </c>
      <c r="R578" s="91">
        <v>57.51</v>
      </c>
      <c r="S578" s="91">
        <v>58.54</v>
      </c>
      <c r="T578" s="91">
        <v>59.08</v>
      </c>
      <c r="U578" s="91">
        <v>61.96</v>
      </c>
    </row>
    <row r="579" spans="1:21" x14ac:dyDescent="0.2">
      <c r="A579" s="48">
        <f t="shared" si="8"/>
        <v>571</v>
      </c>
      <c r="B579" s="43">
        <v>16</v>
      </c>
      <c r="C579" s="43">
        <v>16</v>
      </c>
      <c r="D579" s="38" t="s">
        <v>615</v>
      </c>
      <c r="E579" s="44" t="s">
        <v>154</v>
      </c>
      <c r="F579" s="44" t="s">
        <v>18</v>
      </c>
      <c r="G579" s="44" t="s">
        <v>108</v>
      </c>
      <c r="H579" s="44" t="s">
        <v>62</v>
      </c>
      <c r="I579" s="44" t="s">
        <v>155</v>
      </c>
      <c r="J579" s="44" t="s">
        <v>6</v>
      </c>
      <c r="K579" s="44" t="s">
        <v>128</v>
      </c>
      <c r="L579" s="40">
        <v>22764</v>
      </c>
      <c r="M579" s="41">
        <v>42250</v>
      </c>
      <c r="N579" s="40" t="s">
        <v>110</v>
      </c>
      <c r="O579" s="42"/>
      <c r="P579" s="40">
        <v>63</v>
      </c>
      <c r="Q579" s="91">
        <v>62.99</v>
      </c>
      <c r="R579" s="91">
        <v>60.8</v>
      </c>
      <c r="S579" s="91">
        <v>61.41</v>
      </c>
      <c r="T579" s="91">
        <v>61.8</v>
      </c>
      <c r="U579" s="91">
        <v>64.510000000000005</v>
      </c>
    </row>
    <row r="580" spans="1:21" x14ac:dyDescent="0.2">
      <c r="A580" s="48">
        <f t="shared" si="8"/>
        <v>572</v>
      </c>
      <c r="B580" s="43">
        <v>16</v>
      </c>
      <c r="C580" s="43">
        <v>17</v>
      </c>
      <c r="D580" s="38" t="s">
        <v>616</v>
      </c>
      <c r="E580" s="44" t="s">
        <v>157</v>
      </c>
      <c r="F580" s="44" t="s">
        <v>29</v>
      </c>
      <c r="G580" s="44" t="s">
        <v>108</v>
      </c>
      <c r="H580" s="44" t="s">
        <v>33</v>
      </c>
      <c r="I580" s="44" t="s">
        <v>33</v>
      </c>
      <c r="J580" s="44" t="s">
        <v>7</v>
      </c>
      <c r="K580" s="44" t="s">
        <v>123</v>
      </c>
      <c r="L580" s="40">
        <v>22765</v>
      </c>
      <c r="M580" s="41">
        <v>42250</v>
      </c>
      <c r="N580" s="40" t="s">
        <v>110</v>
      </c>
      <c r="O580" s="42"/>
      <c r="P580" s="40">
        <v>63</v>
      </c>
      <c r="Q580" s="91">
        <v>92.65</v>
      </c>
      <c r="R580" s="91">
        <v>84.14</v>
      </c>
      <c r="S580" s="91">
        <v>86.01</v>
      </c>
      <c r="T580" s="91">
        <v>86.49</v>
      </c>
      <c r="U580" s="91">
        <v>89.45</v>
      </c>
    </row>
    <row r="581" spans="1:21" x14ac:dyDescent="0.2">
      <c r="A581" s="48">
        <f t="shared" si="8"/>
        <v>573</v>
      </c>
      <c r="B581" s="43">
        <v>16</v>
      </c>
      <c r="C581" s="43">
        <v>18</v>
      </c>
      <c r="D581" s="38" t="s">
        <v>617</v>
      </c>
      <c r="E581" s="44" t="s">
        <v>159</v>
      </c>
      <c r="F581" s="44" t="s">
        <v>29</v>
      </c>
      <c r="G581" s="44" t="s">
        <v>108</v>
      </c>
      <c r="H581" s="44" t="s">
        <v>33</v>
      </c>
      <c r="I581" s="44" t="s">
        <v>33</v>
      </c>
      <c r="J581" s="44" t="s">
        <v>8</v>
      </c>
      <c r="K581" s="44" t="s">
        <v>120</v>
      </c>
      <c r="L581" s="40">
        <v>22766</v>
      </c>
      <c r="M581" s="41">
        <v>42250</v>
      </c>
      <c r="N581" s="40" t="s">
        <v>110</v>
      </c>
      <c r="O581" s="42"/>
      <c r="P581" s="40">
        <v>63</v>
      </c>
      <c r="Q581" s="91">
        <v>91.33</v>
      </c>
      <c r="R581" s="91">
        <v>87.46</v>
      </c>
      <c r="S581" s="91">
        <v>88</v>
      </c>
      <c r="T581" s="91">
        <v>89.81</v>
      </c>
      <c r="U581" s="91">
        <v>92.7</v>
      </c>
    </row>
    <row r="582" spans="1:21" x14ac:dyDescent="0.2">
      <c r="A582" s="48">
        <f t="shared" si="8"/>
        <v>574</v>
      </c>
      <c r="B582" s="43">
        <v>16</v>
      </c>
      <c r="C582" s="43">
        <v>19</v>
      </c>
      <c r="D582" s="38" t="s">
        <v>618</v>
      </c>
      <c r="E582" s="44" t="s">
        <v>161</v>
      </c>
      <c r="F582" s="44" t="s">
        <v>29</v>
      </c>
      <c r="G582" s="44" t="s">
        <v>108</v>
      </c>
      <c r="H582" s="44" t="s">
        <v>33</v>
      </c>
      <c r="I582" s="44" t="s">
        <v>33</v>
      </c>
      <c r="J582" s="44" t="s">
        <v>9</v>
      </c>
      <c r="K582" s="44" t="s">
        <v>117</v>
      </c>
      <c r="L582" s="40">
        <v>22767</v>
      </c>
      <c r="M582" s="41">
        <v>42250</v>
      </c>
      <c r="N582" s="40" t="s">
        <v>110</v>
      </c>
      <c r="O582" s="42"/>
      <c r="P582" s="40">
        <v>63</v>
      </c>
      <c r="Q582" s="91">
        <v>92.82</v>
      </c>
      <c r="R582" s="91">
        <v>85.26</v>
      </c>
      <c r="S582" s="91">
        <v>86.96</v>
      </c>
      <c r="T582" s="91">
        <v>87.63</v>
      </c>
      <c r="U582" s="91">
        <v>90.57</v>
      </c>
    </row>
    <row r="583" spans="1:21" x14ac:dyDescent="0.2">
      <c r="A583" s="48">
        <f t="shared" si="8"/>
        <v>575</v>
      </c>
      <c r="B583" s="43">
        <v>16</v>
      </c>
      <c r="C583" s="43">
        <v>20</v>
      </c>
      <c r="D583" s="38" t="s">
        <v>619</v>
      </c>
      <c r="E583" s="44" t="s">
        <v>163</v>
      </c>
      <c r="F583" s="44" t="s">
        <v>5</v>
      </c>
      <c r="G583" s="44" t="s">
        <v>108</v>
      </c>
      <c r="H583" s="44" t="s">
        <v>164</v>
      </c>
      <c r="I583" s="44" t="s">
        <v>165</v>
      </c>
      <c r="J583" s="44" t="s">
        <v>7</v>
      </c>
      <c r="K583" s="44" t="s">
        <v>123</v>
      </c>
      <c r="L583" s="40">
        <v>22769</v>
      </c>
      <c r="M583" s="41">
        <v>42250</v>
      </c>
      <c r="N583" s="40" t="s">
        <v>110</v>
      </c>
      <c r="O583" s="42"/>
      <c r="P583" s="40">
        <v>63</v>
      </c>
      <c r="Q583" s="91">
        <v>71.23</v>
      </c>
      <c r="R583" s="91">
        <v>63.8</v>
      </c>
      <c r="S583" s="91">
        <v>64.97</v>
      </c>
      <c r="T583" s="91">
        <v>64.42</v>
      </c>
      <c r="U583" s="91">
        <v>67.09</v>
      </c>
    </row>
    <row r="584" spans="1:21" x14ac:dyDescent="0.2">
      <c r="A584" s="48">
        <f t="shared" si="8"/>
        <v>576</v>
      </c>
      <c r="B584" s="43">
        <v>16</v>
      </c>
      <c r="C584" s="43">
        <v>21</v>
      </c>
      <c r="D584" s="38" t="s">
        <v>620</v>
      </c>
      <c r="E584" s="44" t="s">
        <v>167</v>
      </c>
      <c r="F584" s="44" t="s">
        <v>5</v>
      </c>
      <c r="G584" s="44" t="s">
        <v>108</v>
      </c>
      <c r="H584" s="44" t="s">
        <v>164</v>
      </c>
      <c r="I584" s="44" t="s">
        <v>165</v>
      </c>
      <c r="J584" s="44" t="s">
        <v>8</v>
      </c>
      <c r="K584" s="44" t="s">
        <v>120</v>
      </c>
      <c r="L584" s="40">
        <v>22768</v>
      </c>
      <c r="M584" s="41">
        <v>42250</v>
      </c>
      <c r="N584" s="40" t="s">
        <v>110</v>
      </c>
      <c r="O584" s="42"/>
      <c r="P584" s="40">
        <v>63</v>
      </c>
      <c r="Q584" s="91">
        <v>72.14</v>
      </c>
      <c r="R584" s="91">
        <v>64.92</v>
      </c>
      <c r="S584" s="91">
        <v>66.040000000000006</v>
      </c>
      <c r="T584" s="91">
        <v>65.540000000000006</v>
      </c>
      <c r="U584" s="91">
        <v>68.23</v>
      </c>
    </row>
    <row r="585" spans="1:21" x14ac:dyDescent="0.2">
      <c r="A585" s="48">
        <f t="shared" si="8"/>
        <v>577</v>
      </c>
      <c r="B585" s="43">
        <v>16</v>
      </c>
      <c r="C585" s="43">
        <v>22</v>
      </c>
      <c r="D585" s="38" t="s">
        <v>621</v>
      </c>
      <c r="E585" s="44" t="s">
        <v>169</v>
      </c>
      <c r="F585" s="44" t="s">
        <v>5</v>
      </c>
      <c r="G585" s="44" t="s">
        <v>108</v>
      </c>
      <c r="H585" s="44" t="s">
        <v>164</v>
      </c>
      <c r="I585" s="44" t="s">
        <v>165</v>
      </c>
      <c r="J585" s="44" t="s">
        <v>9</v>
      </c>
      <c r="K585" s="44" t="s">
        <v>117</v>
      </c>
      <c r="L585" s="40">
        <v>22770</v>
      </c>
      <c r="M585" s="41">
        <v>42250</v>
      </c>
      <c r="N585" s="40" t="s">
        <v>110</v>
      </c>
      <c r="O585" s="42"/>
      <c r="P585" s="40">
        <v>63</v>
      </c>
      <c r="Q585" s="91">
        <v>73.11</v>
      </c>
      <c r="R585" s="91">
        <v>64.349999999999994</v>
      </c>
      <c r="S585" s="91">
        <v>65.95</v>
      </c>
      <c r="T585" s="91">
        <v>64.98</v>
      </c>
      <c r="U585" s="91">
        <v>67.680000000000007</v>
      </c>
    </row>
    <row r="586" spans="1:21" x14ac:dyDescent="0.2">
      <c r="A586" s="48">
        <f t="shared" si="8"/>
        <v>578</v>
      </c>
      <c r="B586" s="43">
        <v>16</v>
      </c>
      <c r="C586" s="43">
        <v>23</v>
      </c>
      <c r="D586" s="38" t="s">
        <v>622</v>
      </c>
      <c r="E586" s="44" t="s">
        <v>171</v>
      </c>
      <c r="F586" s="44" t="s">
        <v>5</v>
      </c>
      <c r="G586" s="44" t="s">
        <v>108</v>
      </c>
      <c r="H586" s="44" t="s">
        <v>11</v>
      </c>
      <c r="I586" s="44" t="s">
        <v>11</v>
      </c>
      <c r="J586" s="44" t="s">
        <v>6</v>
      </c>
      <c r="K586" s="44" t="s">
        <v>128</v>
      </c>
      <c r="L586" s="40">
        <v>22771</v>
      </c>
      <c r="M586" s="41">
        <v>42250</v>
      </c>
      <c r="N586" s="40" t="s">
        <v>110</v>
      </c>
      <c r="O586" s="42"/>
      <c r="P586" s="40">
        <v>63</v>
      </c>
      <c r="Q586" s="91">
        <v>76.33</v>
      </c>
      <c r="R586" s="91">
        <v>67.95</v>
      </c>
      <c r="S586" s="91">
        <v>69.790000000000006</v>
      </c>
      <c r="T586" s="91">
        <v>70.099999999999994</v>
      </c>
      <c r="U586" s="91">
        <v>72.91</v>
      </c>
    </row>
    <row r="587" spans="1:21" x14ac:dyDescent="0.2">
      <c r="A587" s="48">
        <f t="shared" ref="A587:A650" si="9">A586+1</f>
        <v>579</v>
      </c>
      <c r="B587" s="43">
        <v>16</v>
      </c>
      <c r="C587" s="43">
        <v>24</v>
      </c>
      <c r="D587" s="38" t="s">
        <v>623</v>
      </c>
      <c r="E587" s="44" t="s">
        <v>173</v>
      </c>
      <c r="F587" s="44" t="s">
        <v>5</v>
      </c>
      <c r="G587" s="44" t="s">
        <v>108</v>
      </c>
      <c r="H587" s="44" t="s">
        <v>10</v>
      </c>
      <c r="I587" s="44" t="s">
        <v>174</v>
      </c>
      <c r="J587" s="44" t="s">
        <v>7</v>
      </c>
      <c r="K587" s="44" t="s">
        <v>123</v>
      </c>
      <c r="L587" s="40">
        <v>22772</v>
      </c>
      <c r="M587" s="41">
        <v>42250</v>
      </c>
      <c r="N587" s="40" t="s">
        <v>110</v>
      </c>
      <c r="O587" s="42"/>
      <c r="P587" s="40">
        <v>63</v>
      </c>
      <c r="Q587" s="91">
        <v>71.37</v>
      </c>
      <c r="R587" s="91">
        <v>65.790000000000006</v>
      </c>
      <c r="S587" s="91">
        <v>66.459999999999994</v>
      </c>
      <c r="T587" s="91">
        <v>66.06</v>
      </c>
      <c r="U587" s="91">
        <v>68.62</v>
      </c>
    </row>
    <row r="588" spans="1:21" x14ac:dyDescent="0.2">
      <c r="A588" s="48">
        <f t="shared" si="9"/>
        <v>580</v>
      </c>
      <c r="B588" s="43">
        <v>16</v>
      </c>
      <c r="C588" s="43">
        <v>25</v>
      </c>
      <c r="D588" s="38" t="s">
        <v>624</v>
      </c>
      <c r="E588" s="44" t="s">
        <v>176</v>
      </c>
      <c r="F588" s="44" t="s">
        <v>5</v>
      </c>
      <c r="G588" s="44" t="s">
        <v>108</v>
      </c>
      <c r="H588" s="44" t="s">
        <v>10</v>
      </c>
      <c r="I588" s="44" t="s">
        <v>174</v>
      </c>
      <c r="J588" s="44" t="s">
        <v>8</v>
      </c>
      <c r="K588" s="44" t="s">
        <v>120</v>
      </c>
      <c r="L588" s="40">
        <v>22773</v>
      </c>
      <c r="M588" s="41">
        <v>42250</v>
      </c>
      <c r="N588" s="40" t="s">
        <v>110</v>
      </c>
      <c r="O588" s="42"/>
      <c r="P588" s="40">
        <v>63</v>
      </c>
      <c r="Q588" s="91">
        <v>72.56</v>
      </c>
      <c r="R588" s="91">
        <v>67.010000000000005</v>
      </c>
      <c r="S588" s="91">
        <v>67.67</v>
      </c>
      <c r="T588" s="91">
        <v>67.28</v>
      </c>
      <c r="U588" s="91">
        <v>69.86</v>
      </c>
    </row>
    <row r="589" spans="1:21" x14ac:dyDescent="0.2">
      <c r="A589" s="48">
        <f t="shared" si="9"/>
        <v>581</v>
      </c>
      <c r="B589" s="43">
        <v>16</v>
      </c>
      <c r="C589" s="43">
        <v>26</v>
      </c>
      <c r="D589" s="38" t="s">
        <v>625</v>
      </c>
      <c r="E589" s="44" t="s">
        <v>178</v>
      </c>
      <c r="F589" s="44" t="s">
        <v>5</v>
      </c>
      <c r="G589" s="44" t="s">
        <v>108</v>
      </c>
      <c r="H589" s="44" t="s">
        <v>10</v>
      </c>
      <c r="I589" s="44" t="s">
        <v>174</v>
      </c>
      <c r="J589" s="44" t="s">
        <v>9</v>
      </c>
      <c r="K589" s="44" t="s">
        <v>117</v>
      </c>
      <c r="L589" s="40">
        <v>22774</v>
      </c>
      <c r="M589" s="41">
        <v>42250</v>
      </c>
      <c r="N589" s="40" t="s">
        <v>110</v>
      </c>
      <c r="O589" s="42"/>
      <c r="P589" s="40">
        <v>63</v>
      </c>
      <c r="Q589" s="91">
        <v>72.739999999999995</v>
      </c>
      <c r="R589" s="91">
        <v>66.930000000000007</v>
      </c>
      <c r="S589" s="91">
        <v>67.83</v>
      </c>
      <c r="T589" s="91">
        <v>67.27</v>
      </c>
      <c r="U589" s="91">
        <v>69.88</v>
      </c>
    </row>
    <row r="590" spans="1:21" x14ac:dyDescent="0.2">
      <c r="A590" s="48">
        <f t="shared" si="9"/>
        <v>582</v>
      </c>
      <c r="B590" s="43">
        <v>16</v>
      </c>
      <c r="C590" s="43">
        <v>27</v>
      </c>
      <c r="D590" s="38" t="s">
        <v>626</v>
      </c>
      <c r="E590" s="44" t="s">
        <v>180</v>
      </c>
      <c r="F590" s="44" t="s">
        <v>5</v>
      </c>
      <c r="G590" s="44" t="s">
        <v>108</v>
      </c>
      <c r="H590" s="44" t="s">
        <v>91</v>
      </c>
      <c r="I590" s="44" t="s">
        <v>181</v>
      </c>
      <c r="J590" s="44" t="s">
        <v>6</v>
      </c>
      <c r="K590" s="44" t="s">
        <v>128</v>
      </c>
      <c r="L590" s="40">
        <v>22775</v>
      </c>
      <c r="M590" s="41">
        <v>42250</v>
      </c>
      <c r="N590" s="40" t="s">
        <v>110</v>
      </c>
      <c r="O590" s="42"/>
      <c r="P590" s="40">
        <v>63</v>
      </c>
      <c r="Q590" s="91">
        <v>73.86</v>
      </c>
      <c r="R590" s="91">
        <v>71.73</v>
      </c>
      <c r="S590" s="91">
        <v>72.349999999999994</v>
      </c>
      <c r="T590" s="91">
        <v>72.78</v>
      </c>
      <c r="U590" s="91">
        <v>75.55</v>
      </c>
    </row>
    <row r="591" spans="1:21" x14ac:dyDescent="0.2">
      <c r="A591" s="48">
        <f t="shared" si="9"/>
        <v>583</v>
      </c>
      <c r="B591" s="43">
        <v>16</v>
      </c>
      <c r="C591" s="43">
        <v>28</v>
      </c>
      <c r="D591" s="38" t="s">
        <v>627</v>
      </c>
      <c r="E591" s="44" t="s">
        <v>183</v>
      </c>
      <c r="F591" s="44" t="s">
        <v>37</v>
      </c>
      <c r="G591" s="44" t="s">
        <v>108</v>
      </c>
      <c r="H591" s="44" t="s">
        <v>42</v>
      </c>
      <c r="I591" s="44" t="s">
        <v>42</v>
      </c>
      <c r="J591" s="44" t="s">
        <v>6</v>
      </c>
      <c r="K591" s="44" t="s">
        <v>128</v>
      </c>
      <c r="L591" s="40">
        <v>22776</v>
      </c>
      <c r="M591" s="41">
        <v>42250</v>
      </c>
      <c r="N591" s="40" t="s">
        <v>110</v>
      </c>
      <c r="O591" s="42"/>
      <c r="P591" s="40">
        <v>63</v>
      </c>
      <c r="Q591" s="91">
        <v>85.09</v>
      </c>
      <c r="R591" s="91">
        <v>78.81</v>
      </c>
      <c r="S591" s="91">
        <v>79.680000000000007</v>
      </c>
      <c r="T591" s="91">
        <v>79.05</v>
      </c>
      <c r="U591" s="91">
        <v>81.319999999999993</v>
      </c>
    </row>
    <row r="592" spans="1:21" x14ac:dyDescent="0.2">
      <c r="A592" s="48">
        <f t="shared" si="9"/>
        <v>584</v>
      </c>
      <c r="B592" s="43">
        <v>16</v>
      </c>
      <c r="C592" s="43">
        <v>29</v>
      </c>
      <c r="D592" s="38" t="s">
        <v>628</v>
      </c>
      <c r="E592" s="44" t="s">
        <v>185</v>
      </c>
      <c r="F592" s="44" t="s">
        <v>37</v>
      </c>
      <c r="G592" s="44" t="s">
        <v>108</v>
      </c>
      <c r="H592" s="44" t="s">
        <v>42</v>
      </c>
      <c r="I592" s="44" t="s">
        <v>42</v>
      </c>
      <c r="J592" s="44" t="s">
        <v>43</v>
      </c>
      <c r="K592" s="44" t="s">
        <v>186</v>
      </c>
      <c r="L592" s="40">
        <v>22777</v>
      </c>
      <c r="M592" s="41">
        <v>42250</v>
      </c>
      <c r="N592" s="40" t="s">
        <v>110</v>
      </c>
      <c r="O592" s="42"/>
      <c r="P592" s="40">
        <v>63</v>
      </c>
      <c r="Q592" s="91">
        <v>83.22</v>
      </c>
      <c r="R592" s="91">
        <v>76.62</v>
      </c>
      <c r="S592" s="91">
        <v>77.540000000000006</v>
      </c>
      <c r="T592" s="91">
        <v>76.8</v>
      </c>
      <c r="U592" s="91">
        <v>79.05</v>
      </c>
    </row>
    <row r="593" spans="1:21" x14ac:dyDescent="0.2">
      <c r="A593" s="48">
        <f t="shared" si="9"/>
        <v>585</v>
      </c>
      <c r="B593" s="43">
        <v>16</v>
      </c>
      <c r="C593" s="43">
        <v>30</v>
      </c>
      <c r="D593" s="38" t="s">
        <v>629</v>
      </c>
      <c r="E593" s="44" t="s">
        <v>188</v>
      </c>
      <c r="F593" s="44" t="s">
        <v>37</v>
      </c>
      <c r="G593" s="44" t="s">
        <v>108</v>
      </c>
      <c r="H593" s="44" t="s">
        <v>42</v>
      </c>
      <c r="I593" s="44" t="s">
        <v>42</v>
      </c>
      <c r="J593" s="44" t="s">
        <v>44</v>
      </c>
      <c r="K593" s="44" t="s">
        <v>44</v>
      </c>
      <c r="L593" s="40">
        <v>22778</v>
      </c>
      <c r="M593" s="41">
        <v>42250</v>
      </c>
      <c r="N593" s="40" t="s">
        <v>110</v>
      </c>
      <c r="O593" s="42"/>
      <c r="P593" s="40">
        <v>63</v>
      </c>
      <c r="Q593" s="91">
        <v>83.37</v>
      </c>
      <c r="R593" s="91">
        <v>76.55</v>
      </c>
      <c r="S593" s="91">
        <v>77.569999999999993</v>
      </c>
      <c r="T593" s="91">
        <v>76.739999999999995</v>
      </c>
      <c r="U593" s="91">
        <v>79</v>
      </c>
    </row>
    <row r="594" spans="1:21" x14ac:dyDescent="0.2">
      <c r="A594" s="48">
        <f t="shared" si="9"/>
        <v>586</v>
      </c>
      <c r="B594" s="43">
        <v>16</v>
      </c>
      <c r="C594" s="43">
        <v>31</v>
      </c>
      <c r="D594" s="38" t="s">
        <v>630</v>
      </c>
      <c r="E594" s="44" t="s">
        <v>190</v>
      </c>
      <c r="F594" s="44" t="s">
        <v>37</v>
      </c>
      <c r="G594" s="44" t="s">
        <v>108</v>
      </c>
      <c r="H594" s="44" t="s">
        <v>45</v>
      </c>
      <c r="I594" s="44" t="s">
        <v>45</v>
      </c>
      <c r="J594" s="44" t="s">
        <v>6</v>
      </c>
      <c r="K594" s="44" t="s">
        <v>128</v>
      </c>
      <c r="L594" s="40">
        <v>22779</v>
      </c>
      <c r="M594" s="41">
        <v>42250</v>
      </c>
      <c r="N594" s="40" t="s">
        <v>110</v>
      </c>
      <c r="O594" s="42"/>
      <c r="P594" s="40">
        <v>63</v>
      </c>
      <c r="Q594" s="91">
        <v>71.069999999999993</v>
      </c>
      <c r="R594" s="91">
        <v>71.31</v>
      </c>
      <c r="S594" s="91">
        <v>72.069999999999993</v>
      </c>
      <c r="T594" s="91">
        <v>73.27</v>
      </c>
      <c r="U594" s="91">
        <v>76.489999999999995</v>
      </c>
    </row>
    <row r="595" spans="1:21" x14ac:dyDescent="0.2">
      <c r="A595" s="48">
        <f t="shared" si="9"/>
        <v>587</v>
      </c>
      <c r="B595" s="43">
        <v>16</v>
      </c>
      <c r="C595" s="43">
        <v>32</v>
      </c>
      <c r="D595" s="38" t="s">
        <v>631</v>
      </c>
      <c r="E595" s="44" t="s">
        <v>192</v>
      </c>
      <c r="F595" s="44" t="s">
        <v>5</v>
      </c>
      <c r="G595" s="44" t="s">
        <v>108</v>
      </c>
      <c r="H595" s="44" t="s">
        <v>12</v>
      </c>
      <c r="I595" s="44" t="s">
        <v>12</v>
      </c>
      <c r="J595" s="44" t="s">
        <v>13</v>
      </c>
      <c r="K595" s="44" t="s">
        <v>117</v>
      </c>
      <c r="L595" s="40">
        <v>22780</v>
      </c>
      <c r="M595" s="41">
        <v>42250</v>
      </c>
      <c r="N595" s="40" t="s">
        <v>110</v>
      </c>
      <c r="O595" s="42"/>
      <c r="P595" s="40">
        <v>63</v>
      </c>
      <c r="Q595" s="91">
        <v>80.97</v>
      </c>
      <c r="R595" s="91">
        <v>72.41</v>
      </c>
      <c r="S595" s="91">
        <v>73.88</v>
      </c>
      <c r="T595" s="91">
        <v>72.52</v>
      </c>
      <c r="U595" s="91">
        <v>75.41</v>
      </c>
    </row>
    <row r="596" spans="1:21" x14ac:dyDescent="0.2">
      <c r="A596" s="48">
        <f t="shared" si="9"/>
        <v>588</v>
      </c>
      <c r="B596" s="43">
        <v>16</v>
      </c>
      <c r="C596" s="43">
        <v>33</v>
      </c>
      <c r="D596" s="38" t="s">
        <v>632</v>
      </c>
      <c r="E596" s="44" t="s">
        <v>194</v>
      </c>
      <c r="F596" s="44" t="s">
        <v>5</v>
      </c>
      <c r="G596" s="44" t="s">
        <v>108</v>
      </c>
      <c r="H596" s="44" t="s">
        <v>12</v>
      </c>
      <c r="I596" s="44" t="s">
        <v>12</v>
      </c>
      <c r="J596" s="44" t="s">
        <v>14</v>
      </c>
      <c r="K596" s="44" t="s">
        <v>123</v>
      </c>
      <c r="L596" s="40">
        <v>22781</v>
      </c>
      <c r="M596" s="41">
        <v>42250</v>
      </c>
      <c r="N596" s="40" t="s">
        <v>110</v>
      </c>
      <c r="O596" s="42"/>
      <c r="P596" s="40">
        <v>63</v>
      </c>
      <c r="Q596" s="91">
        <v>81.760000000000005</v>
      </c>
      <c r="R596" s="91">
        <v>73.349999999999994</v>
      </c>
      <c r="S596" s="91">
        <v>74.77</v>
      </c>
      <c r="T596" s="91">
        <v>73.52</v>
      </c>
      <c r="U596" s="91">
        <v>76.41</v>
      </c>
    </row>
    <row r="597" spans="1:21" x14ac:dyDescent="0.2">
      <c r="A597" s="48">
        <f t="shared" si="9"/>
        <v>589</v>
      </c>
      <c r="B597" s="43">
        <v>16</v>
      </c>
      <c r="C597" s="43">
        <v>34</v>
      </c>
      <c r="D597" s="38" t="s">
        <v>633</v>
      </c>
      <c r="E597" s="44" t="s">
        <v>196</v>
      </c>
      <c r="F597" s="44" t="s">
        <v>29</v>
      </c>
      <c r="G597" s="44" t="s">
        <v>108</v>
      </c>
      <c r="H597" s="44" t="s">
        <v>34</v>
      </c>
      <c r="I597" s="44" t="s">
        <v>34</v>
      </c>
      <c r="J597" s="44" t="s">
        <v>35</v>
      </c>
      <c r="K597" s="44" t="s">
        <v>197</v>
      </c>
      <c r="L597" s="40">
        <v>22782</v>
      </c>
      <c r="M597" s="41">
        <v>42250</v>
      </c>
      <c r="N597" s="40" t="s">
        <v>110</v>
      </c>
      <c r="O597" s="42"/>
      <c r="P597" s="40">
        <v>63</v>
      </c>
      <c r="Q597" s="91">
        <v>114.08</v>
      </c>
      <c r="R597" s="91">
        <v>104.78</v>
      </c>
      <c r="S597" s="91">
        <v>106.56</v>
      </c>
      <c r="T597" s="91">
        <v>104.95</v>
      </c>
      <c r="U597" s="91">
        <v>106.59</v>
      </c>
    </row>
    <row r="598" spans="1:21" x14ac:dyDescent="0.2">
      <c r="A598" s="48">
        <f t="shared" si="9"/>
        <v>590</v>
      </c>
      <c r="B598" s="43">
        <v>16</v>
      </c>
      <c r="C598" s="43">
        <v>35</v>
      </c>
      <c r="D598" s="38" t="s">
        <v>634</v>
      </c>
      <c r="E598" s="44" t="s">
        <v>199</v>
      </c>
      <c r="F598" s="44" t="s">
        <v>29</v>
      </c>
      <c r="G598" s="44" t="s">
        <v>108</v>
      </c>
      <c r="H598" s="44" t="s">
        <v>34</v>
      </c>
      <c r="I598" s="44" t="s">
        <v>34</v>
      </c>
      <c r="J598" s="44" t="s">
        <v>36</v>
      </c>
      <c r="K598" s="44" t="s">
        <v>200</v>
      </c>
      <c r="L598" s="40">
        <v>22783</v>
      </c>
      <c r="M598" s="41">
        <v>42250</v>
      </c>
      <c r="N598" s="40" t="s">
        <v>110</v>
      </c>
      <c r="O598" s="42"/>
      <c r="P598" s="40">
        <v>63</v>
      </c>
      <c r="Q598" s="91">
        <v>112.42</v>
      </c>
      <c r="R598" s="91">
        <v>103.25</v>
      </c>
      <c r="S598" s="91">
        <v>105</v>
      </c>
      <c r="T598" s="91">
        <v>103.41</v>
      </c>
      <c r="U598" s="91">
        <v>105.04</v>
      </c>
    </row>
    <row r="599" spans="1:21" x14ac:dyDescent="0.2">
      <c r="A599" s="48">
        <f t="shared" si="9"/>
        <v>591</v>
      </c>
      <c r="B599" s="43">
        <v>16</v>
      </c>
      <c r="C599" s="43">
        <v>36</v>
      </c>
      <c r="D599" s="38" t="s">
        <v>635</v>
      </c>
      <c r="E599" s="44" t="s">
        <v>202</v>
      </c>
      <c r="F599" s="44" t="s">
        <v>5</v>
      </c>
      <c r="G599" s="44" t="s">
        <v>108</v>
      </c>
      <c r="H599" s="44" t="s">
        <v>15</v>
      </c>
      <c r="I599" s="44" t="s">
        <v>203</v>
      </c>
      <c r="J599" s="44" t="s">
        <v>16</v>
      </c>
      <c r="K599" s="44" t="s">
        <v>128</v>
      </c>
      <c r="L599" s="40">
        <v>22784</v>
      </c>
      <c r="M599" s="41">
        <v>42250</v>
      </c>
      <c r="N599" s="40" t="s">
        <v>110</v>
      </c>
      <c r="O599" s="42"/>
      <c r="P599" s="40">
        <v>63</v>
      </c>
      <c r="Q599" s="91">
        <v>72.05</v>
      </c>
      <c r="R599" s="91">
        <v>69.709999999999994</v>
      </c>
      <c r="S599" s="91">
        <v>71.209999999999994</v>
      </c>
      <c r="T599" s="91">
        <v>71.39</v>
      </c>
      <c r="U599" s="91">
        <v>74.39</v>
      </c>
    </row>
    <row r="600" spans="1:21" x14ac:dyDescent="0.2">
      <c r="A600" s="48">
        <f t="shared" si="9"/>
        <v>592</v>
      </c>
      <c r="B600" s="20"/>
      <c r="C600" s="20"/>
      <c r="D600" s="20"/>
    </row>
    <row r="601" spans="1:21" x14ac:dyDescent="0.2">
      <c r="A601" s="48">
        <f t="shared" si="9"/>
        <v>593</v>
      </c>
      <c r="B601" s="43">
        <v>17</v>
      </c>
      <c r="C601" s="43">
        <v>1</v>
      </c>
      <c r="D601" s="38" t="s">
        <v>600</v>
      </c>
      <c r="E601" s="44" t="s">
        <v>107</v>
      </c>
      <c r="F601" s="44" t="s">
        <v>29</v>
      </c>
      <c r="G601" s="44" t="s">
        <v>108</v>
      </c>
      <c r="H601" s="44" t="s">
        <v>30</v>
      </c>
      <c r="I601" s="44" t="s">
        <v>30</v>
      </c>
      <c r="J601" s="44" t="s">
        <v>31</v>
      </c>
      <c r="K601" s="44" t="s">
        <v>109</v>
      </c>
      <c r="L601" s="40">
        <v>22749</v>
      </c>
      <c r="M601" s="41">
        <v>42250</v>
      </c>
      <c r="N601" s="40" t="s">
        <v>110</v>
      </c>
      <c r="O601" s="42"/>
      <c r="P601" s="40">
        <v>64</v>
      </c>
      <c r="Q601" s="91">
        <v>93.94</v>
      </c>
      <c r="R601" s="91">
        <v>91.02</v>
      </c>
      <c r="S601" s="91">
        <v>91.84</v>
      </c>
      <c r="T601" s="91">
        <v>93.32</v>
      </c>
      <c r="U601" s="91">
        <v>95.51</v>
      </c>
    </row>
    <row r="602" spans="1:21" x14ac:dyDescent="0.2">
      <c r="A602" s="48">
        <f t="shared" si="9"/>
        <v>594</v>
      </c>
      <c r="B602" s="43">
        <v>17</v>
      </c>
      <c r="C602" s="43">
        <v>2</v>
      </c>
      <c r="D602" s="38" t="s">
        <v>601</v>
      </c>
      <c r="E602" s="44" t="s">
        <v>112</v>
      </c>
      <c r="F602" s="44" t="s">
        <v>29</v>
      </c>
      <c r="G602" s="44" t="s">
        <v>108</v>
      </c>
      <c r="H602" s="44" t="s">
        <v>30</v>
      </c>
      <c r="I602" s="44" t="s">
        <v>30</v>
      </c>
      <c r="J602" s="44" t="s">
        <v>32</v>
      </c>
      <c r="K602" s="44" t="s">
        <v>113</v>
      </c>
      <c r="L602" s="40">
        <v>22750</v>
      </c>
      <c r="M602" s="41">
        <v>42250</v>
      </c>
      <c r="N602" s="40" t="s">
        <v>110</v>
      </c>
      <c r="O602" s="42"/>
      <c r="P602" s="40">
        <v>64</v>
      </c>
      <c r="Q602" s="91">
        <v>93.84</v>
      </c>
      <c r="R602" s="91">
        <v>90.48</v>
      </c>
      <c r="S602" s="91">
        <v>89.63</v>
      </c>
      <c r="T602" s="91">
        <v>90.25</v>
      </c>
      <c r="U602" s="91">
        <v>91.34</v>
      </c>
    </row>
    <row r="603" spans="1:21" x14ac:dyDescent="0.2">
      <c r="A603" s="48">
        <f t="shared" si="9"/>
        <v>595</v>
      </c>
      <c r="B603" s="43">
        <v>17</v>
      </c>
      <c r="C603" s="43">
        <v>3</v>
      </c>
      <c r="D603" s="38" t="s">
        <v>602</v>
      </c>
      <c r="E603" s="44" t="s">
        <v>115</v>
      </c>
      <c r="F603" s="44" t="s">
        <v>18</v>
      </c>
      <c r="G603" s="44" t="s">
        <v>108</v>
      </c>
      <c r="H603" s="44" t="s">
        <v>61</v>
      </c>
      <c r="I603" s="44" t="s">
        <v>116</v>
      </c>
      <c r="J603" s="44" t="s">
        <v>13</v>
      </c>
      <c r="K603" s="44" t="s">
        <v>117</v>
      </c>
      <c r="L603" s="40">
        <v>22751</v>
      </c>
      <c r="M603" s="41">
        <v>42250</v>
      </c>
      <c r="N603" s="40" t="s">
        <v>110</v>
      </c>
      <c r="O603" s="42"/>
      <c r="P603" s="40">
        <v>64</v>
      </c>
      <c r="Q603" s="91">
        <v>58.38</v>
      </c>
      <c r="R603" s="91">
        <v>57.78</v>
      </c>
      <c r="S603" s="91">
        <v>58.92</v>
      </c>
      <c r="T603" s="91">
        <v>59.72</v>
      </c>
      <c r="U603" s="91">
        <v>62.94</v>
      </c>
    </row>
    <row r="604" spans="1:21" x14ac:dyDescent="0.2">
      <c r="A604" s="48">
        <f t="shared" si="9"/>
        <v>596</v>
      </c>
      <c r="B604" s="43">
        <v>17</v>
      </c>
      <c r="C604" s="43">
        <v>4</v>
      </c>
      <c r="D604" s="38" t="s">
        <v>603</v>
      </c>
      <c r="E604" s="44" t="s">
        <v>119</v>
      </c>
      <c r="F604" s="44" t="s">
        <v>18</v>
      </c>
      <c r="G604" s="44" t="s">
        <v>108</v>
      </c>
      <c r="H604" s="44" t="s">
        <v>61</v>
      </c>
      <c r="I604" s="44" t="s">
        <v>116</v>
      </c>
      <c r="J604" s="44" t="s">
        <v>19</v>
      </c>
      <c r="K604" s="44" t="s">
        <v>120</v>
      </c>
      <c r="L604" s="40">
        <v>22752</v>
      </c>
      <c r="M604" s="41">
        <v>42250</v>
      </c>
      <c r="N604" s="40" t="s">
        <v>110</v>
      </c>
      <c r="O604" s="42"/>
      <c r="P604" s="40">
        <v>64</v>
      </c>
      <c r="Q604" s="91">
        <v>59.36</v>
      </c>
      <c r="R604" s="91">
        <v>59.45</v>
      </c>
      <c r="S604" s="91">
        <v>60.3</v>
      </c>
      <c r="T604" s="91">
        <v>61.36</v>
      </c>
      <c r="U604" s="91">
        <v>64.59</v>
      </c>
    </row>
    <row r="605" spans="1:21" x14ac:dyDescent="0.2">
      <c r="A605" s="48">
        <f t="shared" si="9"/>
        <v>597</v>
      </c>
      <c r="B605" s="43">
        <v>17</v>
      </c>
      <c r="C605" s="43">
        <v>5</v>
      </c>
      <c r="D605" s="38" t="s">
        <v>604</v>
      </c>
      <c r="E605" s="44" t="s">
        <v>122</v>
      </c>
      <c r="F605" s="44" t="s">
        <v>18</v>
      </c>
      <c r="G605" s="44" t="s">
        <v>108</v>
      </c>
      <c r="H605" s="44" t="s">
        <v>61</v>
      </c>
      <c r="I605" s="44" t="s">
        <v>116</v>
      </c>
      <c r="J605" s="44" t="s">
        <v>14</v>
      </c>
      <c r="K605" s="44" t="s">
        <v>123</v>
      </c>
      <c r="L605" s="40">
        <v>22753</v>
      </c>
      <c r="M605" s="41">
        <v>42250</v>
      </c>
      <c r="N605" s="40" t="s">
        <v>110</v>
      </c>
      <c r="O605" s="42"/>
      <c r="P605" s="40">
        <v>64</v>
      </c>
      <c r="Q605" s="91">
        <v>58.37</v>
      </c>
      <c r="R605" s="91">
        <v>58.41</v>
      </c>
      <c r="S605" s="91">
        <v>59.28</v>
      </c>
      <c r="T605" s="91">
        <v>60.31</v>
      </c>
      <c r="U605" s="91">
        <v>63.53</v>
      </c>
    </row>
    <row r="606" spans="1:21" x14ac:dyDescent="0.2">
      <c r="A606" s="48">
        <f t="shared" si="9"/>
        <v>598</v>
      </c>
      <c r="B606" s="43">
        <v>17</v>
      </c>
      <c r="C606" s="43">
        <v>6</v>
      </c>
      <c r="D606" s="38" t="s">
        <v>605</v>
      </c>
      <c r="E606" s="44" t="s">
        <v>125</v>
      </c>
      <c r="F606" s="44" t="s">
        <v>23</v>
      </c>
      <c r="G606" s="44" t="s">
        <v>126</v>
      </c>
      <c r="H606" s="44" t="s">
        <v>127</v>
      </c>
      <c r="I606" s="44" t="s">
        <v>27</v>
      </c>
      <c r="J606" s="44" t="s">
        <v>28</v>
      </c>
      <c r="K606" s="44" t="s">
        <v>128</v>
      </c>
      <c r="L606" s="40">
        <v>22754</v>
      </c>
      <c r="M606" s="41">
        <v>42250</v>
      </c>
      <c r="N606" s="40" t="s">
        <v>110</v>
      </c>
      <c r="O606" s="42"/>
      <c r="P606" s="40">
        <v>64</v>
      </c>
      <c r="Q606" s="91">
        <v>62.46</v>
      </c>
      <c r="R606" s="91">
        <v>62.7</v>
      </c>
      <c r="S606" s="91">
        <v>63.61</v>
      </c>
      <c r="T606" s="91">
        <v>64.06</v>
      </c>
      <c r="U606" s="91">
        <v>65.08</v>
      </c>
    </row>
    <row r="607" spans="1:21" x14ac:dyDescent="0.2">
      <c r="A607" s="48">
        <f t="shared" si="9"/>
        <v>599</v>
      </c>
      <c r="B607" s="43">
        <v>17</v>
      </c>
      <c r="C607" s="43">
        <v>7</v>
      </c>
      <c r="D607" s="38" t="s">
        <v>606</v>
      </c>
      <c r="E607" s="44" t="s">
        <v>130</v>
      </c>
      <c r="F607" s="44" t="s">
        <v>37</v>
      </c>
      <c r="G607" s="44" t="s">
        <v>108</v>
      </c>
      <c r="H607" s="44" t="s">
        <v>38</v>
      </c>
      <c r="I607" s="44" t="s">
        <v>38</v>
      </c>
      <c r="J607" s="44" t="s">
        <v>40</v>
      </c>
      <c r="K607" s="44" t="s">
        <v>123</v>
      </c>
      <c r="L607" s="40">
        <v>22756</v>
      </c>
      <c r="M607" s="41">
        <v>42250</v>
      </c>
      <c r="N607" s="40" t="s">
        <v>110</v>
      </c>
      <c r="O607" s="42"/>
      <c r="P607" s="40">
        <v>64</v>
      </c>
      <c r="Q607" s="91">
        <v>82.65</v>
      </c>
      <c r="R607" s="91">
        <v>79.36</v>
      </c>
      <c r="S607" s="91">
        <v>79.7</v>
      </c>
      <c r="T607" s="91">
        <v>79.760000000000005</v>
      </c>
      <c r="U607" s="91">
        <v>81.900000000000006</v>
      </c>
    </row>
    <row r="608" spans="1:21" x14ac:dyDescent="0.2">
      <c r="A608" s="48">
        <f t="shared" si="9"/>
        <v>600</v>
      </c>
      <c r="B608" s="43">
        <v>17</v>
      </c>
      <c r="C608" s="43">
        <v>8</v>
      </c>
      <c r="D608" s="38" t="s">
        <v>607</v>
      </c>
      <c r="E608" s="44" t="s">
        <v>132</v>
      </c>
      <c r="F608" s="44" t="s">
        <v>37</v>
      </c>
      <c r="G608" s="44" t="s">
        <v>108</v>
      </c>
      <c r="H608" s="44" t="s">
        <v>38</v>
      </c>
      <c r="I608" s="44" t="s">
        <v>38</v>
      </c>
      <c r="J608" s="44" t="s">
        <v>39</v>
      </c>
      <c r="K608" s="44" t="s">
        <v>120</v>
      </c>
      <c r="L608" s="40">
        <v>22755</v>
      </c>
      <c r="M608" s="41">
        <v>42250</v>
      </c>
      <c r="N608" s="40" t="s">
        <v>110</v>
      </c>
      <c r="O608" s="42"/>
      <c r="P608" s="40">
        <v>64</v>
      </c>
      <c r="Q608" s="91">
        <v>83.31</v>
      </c>
      <c r="R608" s="91">
        <v>80.44</v>
      </c>
      <c r="S608" s="91">
        <v>80.66</v>
      </c>
      <c r="T608" s="91">
        <v>80.849999999999994</v>
      </c>
      <c r="U608" s="91">
        <v>82.96</v>
      </c>
    </row>
    <row r="609" spans="1:21" x14ac:dyDescent="0.2">
      <c r="A609" s="48">
        <f t="shared" si="9"/>
        <v>601</v>
      </c>
      <c r="B609" s="43">
        <v>17</v>
      </c>
      <c r="C609" s="43">
        <v>9</v>
      </c>
      <c r="D609" s="38" t="s">
        <v>608</v>
      </c>
      <c r="E609" s="44" t="s">
        <v>134</v>
      </c>
      <c r="F609" s="44" t="s">
        <v>37</v>
      </c>
      <c r="G609" s="44" t="s">
        <v>108</v>
      </c>
      <c r="H609" s="44" t="s">
        <v>38</v>
      </c>
      <c r="I609" s="44" t="s">
        <v>38</v>
      </c>
      <c r="J609" s="44" t="s">
        <v>6</v>
      </c>
      <c r="K609" s="44" t="s">
        <v>117</v>
      </c>
      <c r="L609" s="40">
        <v>22757</v>
      </c>
      <c r="M609" s="41">
        <v>42250</v>
      </c>
      <c r="N609" s="40" t="s">
        <v>110</v>
      </c>
      <c r="O609" s="42"/>
      <c r="P609" s="40">
        <v>64</v>
      </c>
      <c r="Q609" s="91">
        <v>82.04</v>
      </c>
      <c r="R609" s="91">
        <v>78.52</v>
      </c>
      <c r="S609" s="91">
        <v>78.900000000000006</v>
      </c>
      <c r="T609" s="91">
        <v>78.92</v>
      </c>
      <c r="U609" s="91">
        <v>81.069999999999993</v>
      </c>
    </row>
    <row r="610" spans="1:21" x14ac:dyDescent="0.2">
      <c r="A610" s="48">
        <f t="shared" si="9"/>
        <v>602</v>
      </c>
      <c r="B610" s="43">
        <v>17</v>
      </c>
      <c r="C610" s="43">
        <v>10</v>
      </c>
      <c r="D610" s="38" t="s">
        <v>609</v>
      </c>
      <c r="E610" s="44" t="s">
        <v>136</v>
      </c>
      <c r="F610" s="44" t="s">
        <v>23</v>
      </c>
      <c r="G610" s="44" t="s">
        <v>108</v>
      </c>
      <c r="H610" s="44" t="s">
        <v>137</v>
      </c>
      <c r="I610" s="44" t="s">
        <v>24</v>
      </c>
      <c r="J610" s="44" t="s">
        <v>25</v>
      </c>
      <c r="K610" s="44" t="s">
        <v>138</v>
      </c>
      <c r="L610" s="40">
        <v>22758</v>
      </c>
      <c r="M610" s="41">
        <v>42250</v>
      </c>
      <c r="N610" s="40" t="s">
        <v>110</v>
      </c>
      <c r="O610" s="42"/>
      <c r="P610" s="40">
        <v>64</v>
      </c>
      <c r="Q610" s="91">
        <v>64.569999999999993</v>
      </c>
      <c r="R610" s="91">
        <v>63.74</v>
      </c>
      <c r="S610" s="91">
        <v>65.44</v>
      </c>
      <c r="T610" s="91">
        <v>67.27</v>
      </c>
      <c r="U610" s="91">
        <v>70.42</v>
      </c>
    </row>
    <row r="611" spans="1:21" x14ac:dyDescent="0.2">
      <c r="A611" s="48">
        <f t="shared" si="9"/>
        <v>603</v>
      </c>
      <c r="B611" s="43">
        <v>17</v>
      </c>
      <c r="C611" s="43">
        <v>11</v>
      </c>
      <c r="D611" s="38" t="s">
        <v>610</v>
      </c>
      <c r="E611" s="44" t="s">
        <v>140</v>
      </c>
      <c r="F611" s="44" t="s">
        <v>23</v>
      </c>
      <c r="G611" s="44" t="s">
        <v>108</v>
      </c>
      <c r="H611" s="44" t="s">
        <v>137</v>
      </c>
      <c r="I611" s="44" t="s">
        <v>24</v>
      </c>
      <c r="J611" s="44" t="s">
        <v>26</v>
      </c>
      <c r="K611" s="44" t="s">
        <v>141</v>
      </c>
      <c r="L611" s="40">
        <v>22759</v>
      </c>
      <c r="M611" s="41">
        <v>42250</v>
      </c>
      <c r="N611" s="40" t="s">
        <v>110</v>
      </c>
      <c r="O611" s="42"/>
      <c r="P611" s="40">
        <v>64</v>
      </c>
      <c r="Q611" s="91">
        <v>63.84</v>
      </c>
      <c r="R611" s="91">
        <v>62.94</v>
      </c>
      <c r="S611" s="91">
        <v>64.67</v>
      </c>
      <c r="T611" s="91">
        <v>66.47</v>
      </c>
      <c r="U611" s="91">
        <v>69.62</v>
      </c>
    </row>
    <row r="612" spans="1:21" x14ac:dyDescent="0.2">
      <c r="A612" s="48">
        <f t="shared" si="9"/>
        <v>604</v>
      </c>
      <c r="B612" s="43">
        <v>17</v>
      </c>
      <c r="C612" s="43">
        <v>12</v>
      </c>
      <c r="D612" s="38" t="s">
        <v>611</v>
      </c>
      <c r="E612" s="44" t="s">
        <v>143</v>
      </c>
      <c r="F612" s="44" t="s">
        <v>18</v>
      </c>
      <c r="G612" s="44" t="s">
        <v>108</v>
      </c>
      <c r="H612" s="44" t="s">
        <v>94</v>
      </c>
      <c r="I612" s="44" t="s">
        <v>144</v>
      </c>
      <c r="J612" s="44" t="s">
        <v>20</v>
      </c>
      <c r="K612" s="44" t="s">
        <v>145</v>
      </c>
      <c r="L612" s="40">
        <v>22760</v>
      </c>
      <c r="M612" s="41">
        <v>42250</v>
      </c>
      <c r="N612" s="40" t="s">
        <v>110</v>
      </c>
      <c r="O612" s="42"/>
      <c r="P612" s="40">
        <v>64</v>
      </c>
      <c r="Q612" s="91">
        <v>60.17</v>
      </c>
      <c r="R612" s="91">
        <v>59.14</v>
      </c>
      <c r="S612" s="91">
        <v>60.32</v>
      </c>
      <c r="T612" s="91">
        <v>60.86</v>
      </c>
      <c r="U612" s="91">
        <v>63.96</v>
      </c>
    </row>
    <row r="613" spans="1:21" x14ac:dyDescent="0.2">
      <c r="A613" s="48">
        <f t="shared" si="9"/>
        <v>605</v>
      </c>
      <c r="B613" s="43">
        <v>17</v>
      </c>
      <c r="C613" s="43">
        <v>13</v>
      </c>
      <c r="D613" s="38" t="s">
        <v>612</v>
      </c>
      <c r="E613" s="44" t="s">
        <v>147</v>
      </c>
      <c r="F613" s="44" t="s">
        <v>37</v>
      </c>
      <c r="G613" s="44" t="s">
        <v>108</v>
      </c>
      <c r="H613" s="44" t="s">
        <v>41</v>
      </c>
      <c r="I613" s="44" t="s">
        <v>41</v>
      </c>
      <c r="J613" s="44" t="s">
        <v>6</v>
      </c>
      <c r="K613" s="44" t="s">
        <v>128</v>
      </c>
      <c r="L613" s="40">
        <v>22761</v>
      </c>
      <c r="M613" s="41">
        <v>42250</v>
      </c>
      <c r="N613" s="40" t="s">
        <v>110</v>
      </c>
      <c r="O613" s="42"/>
      <c r="P613" s="40">
        <v>64</v>
      </c>
      <c r="Q613" s="91">
        <v>80.459999999999994</v>
      </c>
      <c r="R613" s="91">
        <v>78.61</v>
      </c>
      <c r="S613" s="91">
        <v>79.56</v>
      </c>
      <c r="T613" s="91">
        <v>81.96</v>
      </c>
      <c r="U613" s="91">
        <v>85.23</v>
      </c>
    </row>
    <row r="614" spans="1:21" x14ac:dyDescent="0.2">
      <c r="A614" s="48">
        <f t="shared" si="9"/>
        <v>606</v>
      </c>
      <c r="B614" s="43">
        <v>17</v>
      </c>
      <c r="C614" s="43">
        <v>14</v>
      </c>
      <c r="D614" s="38" t="s">
        <v>613</v>
      </c>
      <c r="E614" s="44" t="s">
        <v>149</v>
      </c>
      <c r="F614" s="44" t="s">
        <v>5</v>
      </c>
      <c r="G614" s="44" t="s">
        <v>108</v>
      </c>
      <c r="H614" s="44" t="s">
        <v>46</v>
      </c>
      <c r="I614" s="44" t="s">
        <v>46</v>
      </c>
      <c r="J614" s="44" t="s">
        <v>6</v>
      </c>
      <c r="K614" s="44" t="s">
        <v>128</v>
      </c>
      <c r="L614" s="40">
        <v>22762</v>
      </c>
      <c r="M614" s="41">
        <v>42250</v>
      </c>
      <c r="N614" s="40" t="s">
        <v>110</v>
      </c>
      <c r="O614" s="42"/>
      <c r="P614" s="40">
        <v>64</v>
      </c>
      <c r="Q614" s="91">
        <v>70.2</v>
      </c>
      <c r="R614" s="91">
        <v>69.73</v>
      </c>
      <c r="S614" s="91">
        <v>70.819999999999993</v>
      </c>
      <c r="T614" s="91">
        <v>71.709999999999994</v>
      </c>
      <c r="U614" s="91">
        <v>75.06</v>
      </c>
    </row>
    <row r="615" spans="1:21" x14ac:dyDescent="0.2">
      <c r="A615" s="48">
        <f t="shared" si="9"/>
        <v>607</v>
      </c>
      <c r="B615" s="43">
        <v>17</v>
      </c>
      <c r="C615" s="43">
        <v>15</v>
      </c>
      <c r="D615" s="38" t="s">
        <v>614</v>
      </c>
      <c r="E615" s="44" t="s">
        <v>151</v>
      </c>
      <c r="F615" s="44" t="s">
        <v>18</v>
      </c>
      <c r="G615" s="44" t="s">
        <v>108</v>
      </c>
      <c r="H615" s="44" t="s">
        <v>21</v>
      </c>
      <c r="I615" s="44" t="s">
        <v>152</v>
      </c>
      <c r="J615" s="44" t="s">
        <v>22</v>
      </c>
      <c r="K615" s="44" t="s">
        <v>128</v>
      </c>
      <c r="L615" s="40">
        <v>22763</v>
      </c>
      <c r="M615" s="41">
        <v>42250</v>
      </c>
      <c r="N615" s="40" t="s">
        <v>110</v>
      </c>
      <c r="O615" s="42"/>
      <c r="P615" s="40">
        <v>64</v>
      </c>
      <c r="Q615" s="91">
        <v>57.79</v>
      </c>
      <c r="R615" s="91">
        <v>57.79</v>
      </c>
      <c r="S615" s="91">
        <v>58.52</v>
      </c>
      <c r="T615" s="91">
        <v>59.43</v>
      </c>
      <c r="U615" s="91">
        <v>62.35</v>
      </c>
    </row>
    <row r="616" spans="1:21" x14ac:dyDescent="0.2">
      <c r="A616" s="48">
        <f t="shared" si="9"/>
        <v>608</v>
      </c>
      <c r="B616" s="43">
        <v>17</v>
      </c>
      <c r="C616" s="43">
        <v>16</v>
      </c>
      <c r="D616" s="38" t="s">
        <v>615</v>
      </c>
      <c r="E616" s="44" t="s">
        <v>154</v>
      </c>
      <c r="F616" s="44" t="s">
        <v>18</v>
      </c>
      <c r="G616" s="44" t="s">
        <v>108</v>
      </c>
      <c r="H616" s="44" t="s">
        <v>62</v>
      </c>
      <c r="I616" s="44" t="s">
        <v>155</v>
      </c>
      <c r="J616" s="44" t="s">
        <v>6</v>
      </c>
      <c r="K616" s="44" t="s">
        <v>128</v>
      </c>
      <c r="L616" s="40">
        <v>22764</v>
      </c>
      <c r="M616" s="41">
        <v>42250</v>
      </c>
      <c r="N616" s="40" t="s">
        <v>110</v>
      </c>
      <c r="O616" s="42"/>
      <c r="P616" s="40">
        <v>64</v>
      </c>
      <c r="Q616" s="91">
        <v>62.56</v>
      </c>
      <c r="R616" s="91">
        <v>60.82</v>
      </c>
      <c r="S616" s="91">
        <v>61.51</v>
      </c>
      <c r="T616" s="91">
        <v>62.03</v>
      </c>
      <c r="U616" s="91">
        <v>64.81</v>
      </c>
    </row>
    <row r="617" spans="1:21" x14ac:dyDescent="0.2">
      <c r="A617" s="48">
        <f t="shared" si="9"/>
        <v>609</v>
      </c>
      <c r="B617" s="43">
        <v>17</v>
      </c>
      <c r="C617" s="43">
        <v>17</v>
      </c>
      <c r="D617" s="38" t="s">
        <v>616</v>
      </c>
      <c r="E617" s="44" t="s">
        <v>157</v>
      </c>
      <c r="F617" s="44" t="s">
        <v>29</v>
      </c>
      <c r="G617" s="44" t="s">
        <v>108</v>
      </c>
      <c r="H617" s="44" t="s">
        <v>33</v>
      </c>
      <c r="I617" s="44" t="s">
        <v>33</v>
      </c>
      <c r="J617" s="44" t="s">
        <v>7</v>
      </c>
      <c r="K617" s="44" t="s">
        <v>123</v>
      </c>
      <c r="L617" s="40">
        <v>22765</v>
      </c>
      <c r="M617" s="41">
        <v>42250</v>
      </c>
      <c r="N617" s="40" t="s">
        <v>110</v>
      </c>
      <c r="O617" s="42"/>
      <c r="P617" s="40">
        <v>64</v>
      </c>
      <c r="Q617" s="91">
        <v>87.2</v>
      </c>
      <c r="R617" s="91">
        <v>83.84</v>
      </c>
      <c r="S617" s="91">
        <v>84.9</v>
      </c>
      <c r="T617" s="91">
        <v>86.74</v>
      </c>
      <c r="U617" s="91">
        <v>89.73</v>
      </c>
    </row>
    <row r="618" spans="1:21" x14ac:dyDescent="0.2">
      <c r="A618" s="48">
        <f t="shared" si="9"/>
        <v>610</v>
      </c>
      <c r="B618" s="43">
        <v>17</v>
      </c>
      <c r="C618" s="43">
        <v>18</v>
      </c>
      <c r="D618" s="38" t="s">
        <v>617</v>
      </c>
      <c r="E618" s="44" t="s">
        <v>159</v>
      </c>
      <c r="F618" s="44" t="s">
        <v>29</v>
      </c>
      <c r="G618" s="44" t="s">
        <v>108</v>
      </c>
      <c r="H618" s="44" t="s">
        <v>33</v>
      </c>
      <c r="I618" s="44" t="s">
        <v>33</v>
      </c>
      <c r="J618" s="44" t="s">
        <v>8</v>
      </c>
      <c r="K618" s="44" t="s">
        <v>120</v>
      </c>
      <c r="L618" s="40">
        <v>22766</v>
      </c>
      <c r="M618" s="41">
        <v>42250</v>
      </c>
      <c r="N618" s="40" t="s">
        <v>110</v>
      </c>
      <c r="O618" s="42"/>
      <c r="P618" s="40">
        <v>64</v>
      </c>
      <c r="Q618" s="91">
        <v>87.3</v>
      </c>
      <c r="R618" s="91">
        <v>87.2</v>
      </c>
      <c r="S618" s="91">
        <v>87.17</v>
      </c>
      <c r="T618" s="91">
        <v>90.07</v>
      </c>
      <c r="U618" s="91">
        <v>93.04</v>
      </c>
    </row>
    <row r="619" spans="1:21" x14ac:dyDescent="0.2">
      <c r="A619" s="48">
        <f t="shared" si="9"/>
        <v>611</v>
      </c>
      <c r="B619" s="43">
        <v>17</v>
      </c>
      <c r="C619" s="43">
        <v>19</v>
      </c>
      <c r="D619" s="38" t="s">
        <v>618</v>
      </c>
      <c r="E619" s="44" t="s">
        <v>161</v>
      </c>
      <c r="F619" s="44" t="s">
        <v>29</v>
      </c>
      <c r="G619" s="44" t="s">
        <v>108</v>
      </c>
      <c r="H619" s="44" t="s">
        <v>33</v>
      </c>
      <c r="I619" s="44" t="s">
        <v>33</v>
      </c>
      <c r="J619" s="44" t="s">
        <v>9</v>
      </c>
      <c r="K619" s="44" t="s">
        <v>117</v>
      </c>
      <c r="L619" s="40">
        <v>22767</v>
      </c>
      <c r="M619" s="41">
        <v>42250</v>
      </c>
      <c r="N619" s="40" t="s">
        <v>110</v>
      </c>
      <c r="O619" s="42"/>
      <c r="P619" s="40">
        <v>64</v>
      </c>
      <c r="Q619" s="91">
        <v>87.98</v>
      </c>
      <c r="R619" s="91">
        <v>84.96</v>
      </c>
      <c r="S619" s="91">
        <v>85.95</v>
      </c>
      <c r="T619" s="91">
        <v>87.88</v>
      </c>
      <c r="U619" s="91">
        <v>90.82</v>
      </c>
    </row>
    <row r="620" spans="1:21" x14ac:dyDescent="0.2">
      <c r="A620" s="48">
        <f t="shared" si="9"/>
        <v>612</v>
      </c>
      <c r="B620" s="43">
        <v>17</v>
      </c>
      <c r="C620" s="43">
        <v>20</v>
      </c>
      <c r="D620" s="38" t="s">
        <v>619</v>
      </c>
      <c r="E620" s="44" t="s">
        <v>163</v>
      </c>
      <c r="F620" s="44" t="s">
        <v>5</v>
      </c>
      <c r="G620" s="44" t="s">
        <v>108</v>
      </c>
      <c r="H620" s="44" t="s">
        <v>164</v>
      </c>
      <c r="I620" s="44" t="s">
        <v>165</v>
      </c>
      <c r="J620" s="44" t="s">
        <v>7</v>
      </c>
      <c r="K620" s="44" t="s">
        <v>123</v>
      </c>
      <c r="L620" s="40">
        <v>22769</v>
      </c>
      <c r="M620" s="41">
        <v>42250</v>
      </c>
      <c r="N620" s="40" t="s">
        <v>110</v>
      </c>
      <c r="O620" s="42"/>
      <c r="P620" s="40">
        <v>64</v>
      </c>
      <c r="Q620" s="91">
        <v>66.099999999999994</v>
      </c>
      <c r="R620" s="91">
        <v>63.43</v>
      </c>
      <c r="S620" s="91">
        <v>63.75</v>
      </c>
      <c r="T620" s="91">
        <v>64.400000000000006</v>
      </c>
      <c r="U620" s="91">
        <v>67.03</v>
      </c>
    </row>
    <row r="621" spans="1:21" x14ac:dyDescent="0.2">
      <c r="A621" s="48">
        <f t="shared" si="9"/>
        <v>613</v>
      </c>
      <c r="B621" s="43">
        <v>17</v>
      </c>
      <c r="C621" s="43">
        <v>21</v>
      </c>
      <c r="D621" s="38" t="s">
        <v>620</v>
      </c>
      <c r="E621" s="44" t="s">
        <v>167</v>
      </c>
      <c r="F621" s="44" t="s">
        <v>5</v>
      </c>
      <c r="G621" s="44" t="s">
        <v>108</v>
      </c>
      <c r="H621" s="44" t="s">
        <v>164</v>
      </c>
      <c r="I621" s="44" t="s">
        <v>165</v>
      </c>
      <c r="J621" s="44" t="s">
        <v>8</v>
      </c>
      <c r="K621" s="44" t="s">
        <v>120</v>
      </c>
      <c r="L621" s="40">
        <v>22768</v>
      </c>
      <c r="M621" s="41">
        <v>42250</v>
      </c>
      <c r="N621" s="40" t="s">
        <v>110</v>
      </c>
      <c r="O621" s="42"/>
      <c r="P621" s="40">
        <v>64</v>
      </c>
      <c r="Q621" s="91">
        <v>67.09</v>
      </c>
      <c r="R621" s="91">
        <v>64.55</v>
      </c>
      <c r="S621" s="91">
        <v>64.84</v>
      </c>
      <c r="T621" s="91">
        <v>65.52</v>
      </c>
      <c r="U621" s="91">
        <v>68.150000000000006</v>
      </c>
    </row>
    <row r="622" spans="1:21" x14ac:dyDescent="0.2">
      <c r="A622" s="48">
        <f t="shared" si="9"/>
        <v>614</v>
      </c>
      <c r="B622" s="43">
        <v>17</v>
      </c>
      <c r="C622" s="43">
        <v>22</v>
      </c>
      <c r="D622" s="38" t="s">
        <v>621</v>
      </c>
      <c r="E622" s="44" t="s">
        <v>169</v>
      </c>
      <c r="F622" s="44" t="s">
        <v>5</v>
      </c>
      <c r="G622" s="44" t="s">
        <v>108</v>
      </c>
      <c r="H622" s="44" t="s">
        <v>164</v>
      </c>
      <c r="I622" s="44" t="s">
        <v>165</v>
      </c>
      <c r="J622" s="44" t="s">
        <v>9</v>
      </c>
      <c r="K622" s="44" t="s">
        <v>117</v>
      </c>
      <c r="L622" s="40">
        <v>22770</v>
      </c>
      <c r="M622" s="41">
        <v>42250</v>
      </c>
      <c r="N622" s="40" t="s">
        <v>110</v>
      </c>
      <c r="O622" s="42"/>
      <c r="P622" s="40">
        <v>64</v>
      </c>
      <c r="Q622" s="91">
        <v>68.13</v>
      </c>
      <c r="R622" s="91">
        <v>63.98</v>
      </c>
      <c r="S622" s="91">
        <v>64.77</v>
      </c>
      <c r="T622" s="91">
        <v>64.95</v>
      </c>
      <c r="U622" s="91">
        <v>67.58</v>
      </c>
    </row>
    <row r="623" spans="1:21" x14ac:dyDescent="0.2">
      <c r="A623" s="48">
        <f t="shared" si="9"/>
        <v>615</v>
      </c>
      <c r="B623" s="43">
        <v>17</v>
      </c>
      <c r="C623" s="43">
        <v>23</v>
      </c>
      <c r="D623" s="38" t="s">
        <v>622</v>
      </c>
      <c r="E623" s="44" t="s">
        <v>171</v>
      </c>
      <c r="F623" s="44" t="s">
        <v>5</v>
      </c>
      <c r="G623" s="44" t="s">
        <v>108</v>
      </c>
      <c r="H623" s="44" t="s">
        <v>11</v>
      </c>
      <c r="I623" s="44" t="s">
        <v>11</v>
      </c>
      <c r="J623" s="44" t="s">
        <v>6</v>
      </c>
      <c r="K623" s="44" t="s">
        <v>128</v>
      </c>
      <c r="L623" s="40">
        <v>22771</v>
      </c>
      <c r="M623" s="41">
        <v>42250</v>
      </c>
      <c r="N623" s="40" t="s">
        <v>110</v>
      </c>
      <c r="O623" s="42"/>
      <c r="P623" s="40">
        <v>64</v>
      </c>
      <c r="Q623" s="91">
        <v>69.930000000000007</v>
      </c>
      <c r="R623" s="91">
        <v>67.55</v>
      </c>
      <c r="S623" s="91">
        <v>68.37</v>
      </c>
      <c r="T623" s="91">
        <v>70.349999999999994</v>
      </c>
      <c r="U623" s="91">
        <v>72.64</v>
      </c>
    </row>
    <row r="624" spans="1:21" x14ac:dyDescent="0.2">
      <c r="A624" s="48">
        <f t="shared" si="9"/>
        <v>616</v>
      </c>
      <c r="B624" s="43">
        <v>17</v>
      </c>
      <c r="C624" s="43">
        <v>24</v>
      </c>
      <c r="D624" s="38" t="s">
        <v>623</v>
      </c>
      <c r="E624" s="44" t="s">
        <v>173</v>
      </c>
      <c r="F624" s="44" t="s">
        <v>5</v>
      </c>
      <c r="G624" s="44" t="s">
        <v>108</v>
      </c>
      <c r="H624" s="44" t="s">
        <v>10</v>
      </c>
      <c r="I624" s="44" t="s">
        <v>174</v>
      </c>
      <c r="J624" s="44" t="s">
        <v>7</v>
      </c>
      <c r="K624" s="44" t="s">
        <v>123</v>
      </c>
      <c r="L624" s="40">
        <v>22772</v>
      </c>
      <c r="M624" s="41">
        <v>42250</v>
      </c>
      <c r="N624" s="40" t="s">
        <v>110</v>
      </c>
      <c r="O624" s="42"/>
      <c r="P624" s="40">
        <v>64</v>
      </c>
      <c r="Q624" s="91">
        <v>68.12</v>
      </c>
      <c r="R624" s="91">
        <v>65.430000000000007</v>
      </c>
      <c r="S624" s="91">
        <v>65.63</v>
      </c>
      <c r="T624" s="91">
        <v>66.06</v>
      </c>
      <c r="U624" s="91">
        <v>68.8</v>
      </c>
    </row>
    <row r="625" spans="1:21" x14ac:dyDescent="0.2">
      <c r="A625" s="48">
        <f t="shared" si="9"/>
        <v>617</v>
      </c>
      <c r="B625" s="43">
        <v>17</v>
      </c>
      <c r="C625" s="43">
        <v>25</v>
      </c>
      <c r="D625" s="38" t="s">
        <v>624</v>
      </c>
      <c r="E625" s="44" t="s">
        <v>176</v>
      </c>
      <c r="F625" s="44" t="s">
        <v>5</v>
      </c>
      <c r="G625" s="44" t="s">
        <v>108</v>
      </c>
      <c r="H625" s="44" t="s">
        <v>10</v>
      </c>
      <c r="I625" s="44" t="s">
        <v>174</v>
      </c>
      <c r="J625" s="44" t="s">
        <v>8</v>
      </c>
      <c r="K625" s="44" t="s">
        <v>120</v>
      </c>
      <c r="L625" s="40">
        <v>22773</v>
      </c>
      <c r="M625" s="41">
        <v>42250</v>
      </c>
      <c r="N625" s="40" t="s">
        <v>110</v>
      </c>
      <c r="O625" s="42"/>
      <c r="P625" s="40">
        <v>64</v>
      </c>
      <c r="Q625" s="91">
        <v>69.53</v>
      </c>
      <c r="R625" s="91">
        <v>66.650000000000006</v>
      </c>
      <c r="S625" s="91">
        <v>66.92</v>
      </c>
      <c r="T625" s="91">
        <v>67.290000000000006</v>
      </c>
      <c r="U625" s="91">
        <v>70.03</v>
      </c>
    </row>
    <row r="626" spans="1:21" x14ac:dyDescent="0.2">
      <c r="A626" s="48">
        <f t="shared" si="9"/>
        <v>618</v>
      </c>
      <c r="B626" s="43">
        <v>17</v>
      </c>
      <c r="C626" s="43">
        <v>26</v>
      </c>
      <c r="D626" s="38" t="s">
        <v>625</v>
      </c>
      <c r="E626" s="44" t="s">
        <v>178</v>
      </c>
      <c r="F626" s="44" t="s">
        <v>5</v>
      </c>
      <c r="G626" s="44" t="s">
        <v>108</v>
      </c>
      <c r="H626" s="44" t="s">
        <v>10</v>
      </c>
      <c r="I626" s="44" t="s">
        <v>174</v>
      </c>
      <c r="J626" s="44" t="s">
        <v>9</v>
      </c>
      <c r="K626" s="44" t="s">
        <v>117</v>
      </c>
      <c r="L626" s="40">
        <v>22774</v>
      </c>
      <c r="M626" s="41">
        <v>42250</v>
      </c>
      <c r="N626" s="40" t="s">
        <v>110</v>
      </c>
      <c r="O626" s="42"/>
      <c r="P626" s="40">
        <v>64</v>
      </c>
      <c r="Q626" s="91">
        <v>70.94</v>
      </c>
      <c r="R626" s="91">
        <v>66.56</v>
      </c>
      <c r="S626" s="91">
        <v>67.33</v>
      </c>
      <c r="T626" s="91">
        <v>67.27</v>
      </c>
      <c r="U626" s="91">
        <v>69.98</v>
      </c>
    </row>
    <row r="627" spans="1:21" x14ac:dyDescent="0.2">
      <c r="A627" s="48">
        <f t="shared" si="9"/>
        <v>619</v>
      </c>
      <c r="B627" s="43">
        <v>17</v>
      </c>
      <c r="C627" s="43">
        <v>27</v>
      </c>
      <c r="D627" s="38" t="s">
        <v>626</v>
      </c>
      <c r="E627" s="44" t="s">
        <v>180</v>
      </c>
      <c r="F627" s="44" t="s">
        <v>5</v>
      </c>
      <c r="G627" s="44" t="s">
        <v>108</v>
      </c>
      <c r="H627" s="44" t="s">
        <v>91</v>
      </c>
      <c r="I627" s="44" t="s">
        <v>181</v>
      </c>
      <c r="J627" s="44" t="s">
        <v>6</v>
      </c>
      <c r="K627" s="44" t="s">
        <v>128</v>
      </c>
      <c r="L627" s="40">
        <v>22775</v>
      </c>
      <c r="M627" s="41">
        <v>42250</v>
      </c>
      <c r="N627" s="40" t="s">
        <v>110</v>
      </c>
      <c r="O627" s="42"/>
      <c r="P627" s="40">
        <v>64</v>
      </c>
      <c r="Q627" s="91">
        <v>73.56</v>
      </c>
      <c r="R627" s="91">
        <v>71.77</v>
      </c>
      <c r="S627" s="91">
        <v>72.5</v>
      </c>
      <c r="T627" s="91">
        <v>73.02</v>
      </c>
      <c r="U627" s="91">
        <v>75.849999999999994</v>
      </c>
    </row>
    <row r="628" spans="1:21" x14ac:dyDescent="0.2">
      <c r="A628" s="48">
        <f t="shared" si="9"/>
        <v>620</v>
      </c>
      <c r="B628" s="43">
        <v>17</v>
      </c>
      <c r="C628" s="43">
        <v>28</v>
      </c>
      <c r="D628" s="38" t="s">
        <v>627</v>
      </c>
      <c r="E628" s="44" t="s">
        <v>183</v>
      </c>
      <c r="F628" s="44" t="s">
        <v>37</v>
      </c>
      <c r="G628" s="44" t="s">
        <v>108</v>
      </c>
      <c r="H628" s="44" t="s">
        <v>42</v>
      </c>
      <c r="I628" s="44" t="s">
        <v>42</v>
      </c>
      <c r="J628" s="44" t="s">
        <v>6</v>
      </c>
      <c r="K628" s="44" t="s">
        <v>128</v>
      </c>
      <c r="L628" s="40">
        <v>22776</v>
      </c>
      <c r="M628" s="41">
        <v>42250</v>
      </c>
      <c r="N628" s="40" t="s">
        <v>110</v>
      </c>
      <c r="O628" s="42"/>
      <c r="P628" s="40">
        <v>64</v>
      </c>
      <c r="Q628" s="91">
        <v>81.44</v>
      </c>
      <c r="R628" s="91">
        <v>78.41</v>
      </c>
      <c r="S628" s="91">
        <v>78.73</v>
      </c>
      <c r="T628" s="91">
        <v>78.94</v>
      </c>
      <c r="U628" s="91">
        <v>81.41</v>
      </c>
    </row>
    <row r="629" spans="1:21" x14ac:dyDescent="0.2">
      <c r="A629" s="48">
        <f t="shared" si="9"/>
        <v>621</v>
      </c>
      <c r="B629" s="43">
        <v>17</v>
      </c>
      <c r="C629" s="43">
        <v>29</v>
      </c>
      <c r="D629" s="38" t="s">
        <v>628</v>
      </c>
      <c r="E629" s="44" t="s">
        <v>185</v>
      </c>
      <c r="F629" s="44" t="s">
        <v>37</v>
      </c>
      <c r="G629" s="44" t="s">
        <v>108</v>
      </c>
      <c r="H629" s="44" t="s">
        <v>42</v>
      </c>
      <c r="I629" s="44" t="s">
        <v>42</v>
      </c>
      <c r="J629" s="44" t="s">
        <v>43</v>
      </c>
      <c r="K629" s="44" t="s">
        <v>186</v>
      </c>
      <c r="L629" s="40">
        <v>22777</v>
      </c>
      <c r="M629" s="41">
        <v>42250</v>
      </c>
      <c r="N629" s="40" t="s">
        <v>110</v>
      </c>
      <c r="O629" s="42"/>
      <c r="P629" s="40">
        <v>64</v>
      </c>
      <c r="Q629" s="91">
        <v>78.790000000000006</v>
      </c>
      <c r="R629" s="91">
        <v>76.2</v>
      </c>
      <c r="S629" s="91">
        <v>76.37</v>
      </c>
      <c r="T629" s="91">
        <v>76.69</v>
      </c>
      <c r="U629" s="91">
        <v>79.13</v>
      </c>
    </row>
    <row r="630" spans="1:21" x14ac:dyDescent="0.2">
      <c r="A630" s="48">
        <f t="shared" si="9"/>
        <v>622</v>
      </c>
      <c r="B630" s="43">
        <v>17</v>
      </c>
      <c r="C630" s="43">
        <v>30</v>
      </c>
      <c r="D630" s="38" t="s">
        <v>629</v>
      </c>
      <c r="E630" s="44" t="s">
        <v>188</v>
      </c>
      <c r="F630" s="44" t="s">
        <v>37</v>
      </c>
      <c r="G630" s="44" t="s">
        <v>108</v>
      </c>
      <c r="H630" s="44" t="s">
        <v>42</v>
      </c>
      <c r="I630" s="44" t="s">
        <v>42</v>
      </c>
      <c r="J630" s="44" t="s">
        <v>44</v>
      </c>
      <c r="K630" s="44" t="s">
        <v>44</v>
      </c>
      <c r="L630" s="40">
        <v>22778</v>
      </c>
      <c r="M630" s="41">
        <v>42250</v>
      </c>
      <c r="N630" s="40" t="s">
        <v>110</v>
      </c>
      <c r="O630" s="42"/>
      <c r="P630" s="40">
        <v>64</v>
      </c>
      <c r="Q630" s="91">
        <v>79.61</v>
      </c>
      <c r="R630" s="91">
        <v>76.12</v>
      </c>
      <c r="S630" s="91">
        <v>76.540000000000006</v>
      </c>
      <c r="T630" s="91">
        <v>76.62</v>
      </c>
      <c r="U630" s="91">
        <v>79.040000000000006</v>
      </c>
    </row>
    <row r="631" spans="1:21" x14ac:dyDescent="0.2">
      <c r="A631" s="48">
        <f t="shared" si="9"/>
        <v>623</v>
      </c>
      <c r="B631" s="43">
        <v>17</v>
      </c>
      <c r="C631" s="43">
        <v>31</v>
      </c>
      <c r="D631" s="38" t="s">
        <v>630</v>
      </c>
      <c r="E631" s="44" t="s">
        <v>190</v>
      </c>
      <c r="F631" s="44" t="s">
        <v>37</v>
      </c>
      <c r="G631" s="44" t="s">
        <v>108</v>
      </c>
      <c r="H631" s="44" t="s">
        <v>45</v>
      </c>
      <c r="I631" s="44" t="s">
        <v>45</v>
      </c>
      <c r="J631" s="44" t="s">
        <v>6</v>
      </c>
      <c r="K631" s="44" t="s">
        <v>128</v>
      </c>
      <c r="L631" s="40">
        <v>22779</v>
      </c>
      <c r="M631" s="41">
        <v>42250</v>
      </c>
      <c r="N631" s="40" t="s">
        <v>110</v>
      </c>
      <c r="O631" s="42"/>
      <c r="P631" s="40">
        <v>64</v>
      </c>
      <c r="Q631" s="91">
        <v>69.849999999999994</v>
      </c>
      <c r="R631" s="91">
        <v>71.599999999999994</v>
      </c>
      <c r="S631" s="91">
        <v>71.930000000000007</v>
      </c>
      <c r="T631" s="91">
        <v>73.63</v>
      </c>
      <c r="U631" s="91">
        <v>76.92</v>
      </c>
    </row>
    <row r="632" spans="1:21" x14ac:dyDescent="0.2">
      <c r="A632" s="48">
        <f t="shared" si="9"/>
        <v>624</v>
      </c>
      <c r="B632" s="43">
        <v>17</v>
      </c>
      <c r="C632" s="43">
        <v>32</v>
      </c>
      <c r="D632" s="38" t="s">
        <v>631</v>
      </c>
      <c r="E632" s="44" t="s">
        <v>192</v>
      </c>
      <c r="F632" s="44" t="s">
        <v>5</v>
      </c>
      <c r="G632" s="44" t="s">
        <v>108</v>
      </c>
      <c r="H632" s="44" t="s">
        <v>12</v>
      </c>
      <c r="I632" s="44" t="s">
        <v>12</v>
      </c>
      <c r="J632" s="44" t="s">
        <v>13</v>
      </c>
      <c r="K632" s="44" t="s">
        <v>117</v>
      </c>
      <c r="L632" s="40">
        <v>22780</v>
      </c>
      <c r="M632" s="41">
        <v>42250</v>
      </c>
      <c r="N632" s="40" t="s">
        <v>110</v>
      </c>
      <c r="O632" s="42"/>
      <c r="P632" s="40">
        <v>64</v>
      </c>
      <c r="Q632" s="91">
        <v>75.13</v>
      </c>
      <c r="R632" s="91">
        <v>71.97</v>
      </c>
      <c r="S632" s="91">
        <v>72.14</v>
      </c>
      <c r="T632" s="91">
        <v>72.430000000000007</v>
      </c>
      <c r="U632" s="91">
        <v>75.150000000000006</v>
      </c>
    </row>
    <row r="633" spans="1:21" x14ac:dyDescent="0.2">
      <c r="A633" s="48">
        <f t="shared" si="9"/>
        <v>625</v>
      </c>
      <c r="B633" s="43">
        <v>17</v>
      </c>
      <c r="C633" s="43">
        <v>33</v>
      </c>
      <c r="D633" s="38" t="s">
        <v>632</v>
      </c>
      <c r="E633" s="44" t="s">
        <v>194</v>
      </c>
      <c r="F633" s="44" t="s">
        <v>5</v>
      </c>
      <c r="G633" s="44" t="s">
        <v>108</v>
      </c>
      <c r="H633" s="44" t="s">
        <v>12</v>
      </c>
      <c r="I633" s="44" t="s">
        <v>12</v>
      </c>
      <c r="J633" s="44" t="s">
        <v>14</v>
      </c>
      <c r="K633" s="44" t="s">
        <v>123</v>
      </c>
      <c r="L633" s="40">
        <v>22781</v>
      </c>
      <c r="M633" s="41">
        <v>42250</v>
      </c>
      <c r="N633" s="40" t="s">
        <v>110</v>
      </c>
      <c r="O633" s="42"/>
      <c r="P633" s="40">
        <v>64</v>
      </c>
      <c r="Q633" s="91">
        <v>75.53</v>
      </c>
      <c r="R633" s="91">
        <v>72.91</v>
      </c>
      <c r="S633" s="91">
        <v>72.95</v>
      </c>
      <c r="T633" s="91">
        <v>73.430000000000007</v>
      </c>
      <c r="U633" s="91">
        <v>76.16</v>
      </c>
    </row>
    <row r="634" spans="1:21" x14ac:dyDescent="0.2">
      <c r="A634" s="48">
        <f t="shared" si="9"/>
        <v>626</v>
      </c>
      <c r="B634" s="43">
        <v>17</v>
      </c>
      <c r="C634" s="43">
        <v>34</v>
      </c>
      <c r="D634" s="38" t="s">
        <v>633</v>
      </c>
      <c r="E634" s="44" t="s">
        <v>196</v>
      </c>
      <c r="F634" s="44" t="s">
        <v>29</v>
      </c>
      <c r="G634" s="44" t="s">
        <v>108</v>
      </c>
      <c r="H634" s="44" t="s">
        <v>34</v>
      </c>
      <c r="I634" s="44" t="s">
        <v>34</v>
      </c>
      <c r="J634" s="44" t="s">
        <v>35</v>
      </c>
      <c r="K634" s="44" t="s">
        <v>197</v>
      </c>
      <c r="L634" s="40">
        <v>22782</v>
      </c>
      <c r="M634" s="41">
        <v>42250</v>
      </c>
      <c r="N634" s="40" t="s">
        <v>110</v>
      </c>
      <c r="O634" s="42"/>
      <c r="P634" s="40">
        <v>64</v>
      </c>
      <c r="Q634" s="91">
        <v>106.65</v>
      </c>
      <c r="R634" s="91">
        <v>104.38</v>
      </c>
      <c r="S634" s="91">
        <v>104.42</v>
      </c>
      <c r="T634" s="91">
        <v>104.96</v>
      </c>
      <c r="U634" s="91">
        <v>106.73</v>
      </c>
    </row>
    <row r="635" spans="1:21" x14ac:dyDescent="0.2">
      <c r="A635" s="48">
        <f t="shared" si="9"/>
        <v>627</v>
      </c>
      <c r="B635" s="43">
        <v>17</v>
      </c>
      <c r="C635" s="43">
        <v>35</v>
      </c>
      <c r="D635" s="38" t="s">
        <v>634</v>
      </c>
      <c r="E635" s="44" t="s">
        <v>199</v>
      </c>
      <c r="F635" s="44" t="s">
        <v>29</v>
      </c>
      <c r="G635" s="44" t="s">
        <v>108</v>
      </c>
      <c r="H635" s="44" t="s">
        <v>34</v>
      </c>
      <c r="I635" s="44" t="s">
        <v>34</v>
      </c>
      <c r="J635" s="44" t="s">
        <v>36</v>
      </c>
      <c r="K635" s="44" t="s">
        <v>200</v>
      </c>
      <c r="L635" s="40">
        <v>22783</v>
      </c>
      <c r="M635" s="41">
        <v>42250</v>
      </c>
      <c r="N635" s="40" t="s">
        <v>110</v>
      </c>
      <c r="O635" s="42"/>
      <c r="P635" s="40">
        <v>64</v>
      </c>
      <c r="Q635" s="91">
        <v>104.83</v>
      </c>
      <c r="R635" s="91">
        <v>102.84</v>
      </c>
      <c r="S635" s="91">
        <v>102.77</v>
      </c>
      <c r="T635" s="91">
        <v>103.41</v>
      </c>
      <c r="U635" s="91">
        <v>105.18</v>
      </c>
    </row>
    <row r="636" spans="1:21" x14ac:dyDescent="0.2">
      <c r="A636" s="48">
        <f t="shared" si="9"/>
        <v>628</v>
      </c>
      <c r="B636" s="43">
        <v>17</v>
      </c>
      <c r="C636" s="43">
        <v>36</v>
      </c>
      <c r="D636" s="38" t="s">
        <v>635</v>
      </c>
      <c r="E636" s="44" t="s">
        <v>202</v>
      </c>
      <c r="F636" s="44" t="s">
        <v>5</v>
      </c>
      <c r="G636" s="44" t="s">
        <v>108</v>
      </c>
      <c r="H636" s="44" t="s">
        <v>15</v>
      </c>
      <c r="I636" s="44" t="s">
        <v>203</v>
      </c>
      <c r="J636" s="44" t="s">
        <v>16</v>
      </c>
      <c r="K636" s="44" t="s">
        <v>128</v>
      </c>
      <c r="L636" s="40">
        <v>22784</v>
      </c>
      <c r="M636" s="41">
        <v>42250</v>
      </c>
      <c r="N636" s="40" t="s">
        <v>110</v>
      </c>
      <c r="O636" s="42"/>
      <c r="P636" s="40">
        <v>64</v>
      </c>
      <c r="Q636" s="91">
        <v>70.290000000000006</v>
      </c>
      <c r="R636" s="91">
        <v>69.94</v>
      </c>
      <c r="S636" s="91">
        <v>70.87</v>
      </c>
      <c r="T636" s="91">
        <v>71.69</v>
      </c>
      <c r="U636" s="91">
        <v>74.77</v>
      </c>
    </row>
    <row r="637" spans="1:21" x14ac:dyDescent="0.2">
      <c r="A637" s="48">
        <f t="shared" si="9"/>
        <v>629</v>
      </c>
      <c r="B637" s="20"/>
      <c r="C637" s="20"/>
      <c r="D637" s="20"/>
    </row>
    <row r="638" spans="1:21" x14ac:dyDescent="0.2">
      <c r="A638" s="48">
        <f t="shared" si="9"/>
        <v>630</v>
      </c>
      <c r="B638" s="43">
        <v>18</v>
      </c>
      <c r="C638" s="43">
        <v>1</v>
      </c>
      <c r="D638" s="38" t="s">
        <v>600</v>
      </c>
      <c r="E638" s="44" t="s">
        <v>107</v>
      </c>
      <c r="F638" s="44" t="s">
        <v>29</v>
      </c>
      <c r="G638" s="44" t="s">
        <v>108</v>
      </c>
      <c r="H638" s="44" t="s">
        <v>30</v>
      </c>
      <c r="I638" s="44" t="s">
        <v>30</v>
      </c>
      <c r="J638" s="44" t="s">
        <v>31</v>
      </c>
      <c r="K638" s="44" t="s">
        <v>109</v>
      </c>
      <c r="L638" s="40">
        <v>22749</v>
      </c>
      <c r="M638" s="41">
        <v>42250</v>
      </c>
      <c r="N638" s="40" t="s">
        <v>110</v>
      </c>
      <c r="O638" s="42"/>
      <c r="P638" s="40">
        <v>65</v>
      </c>
      <c r="Q638" s="91">
        <v>87.71</v>
      </c>
      <c r="R638" s="91">
        <v>90.63</v>
      </c>
      <c r="S638" s="91">
        <v>90.29</v>
      </c>
      <c r="T638" s="91">
        <v>93.56</v>
      </c>
      <c r="U638" s="91">
        <v>95.48</v>
      </c>
    </row>
    <row r="639" spans="1:21" x14ac:dyDescent="0.2">
      <c r="A639" s="48">
        <f t="shared" si="9"/>
        <v>631</v>
      </c>
      <c r="B639" s="43">
        <v>18</v>
      </c>
      <c r="C639" s="43">
        <v>2</v>
      </c>
      <c r="D639" s="38" t="s">
        <v>601</v>
      </c>
      <c r="E639" s="44" t="s">
        <v>112</v>
      </c>
      <c r="F639" s="44" t="s">
        <v>29</v>
      </c>
      <c r="G639" s="44" t="s">
        <v>108</v>
      </c>
      <c r="H639" s="44" t="s">
        <v>30</v>
      </c>
      <c r="I639" s="44" t="s">
        <v>30</v>
      </c>
      <c r="J639" s="44" t="s">
        <v>32</v>
      </c>
      <c r="K639" s="44" t="s">
        <v>113</v>
      </c>
      <c r="L639" s="40">
        <v>22750</v>
      </c>
      <c r="M639" s="41">
        <v>42250</v>
      </c>
      <c r="N639" s="40" t="s">
        <v>110</v>
      </c>
      <c r="O639" s="42"/>
      <c r="P639" s="40">
        <v>65</v>
      </c>
      <c r="Q639" s="91">
        <v>88.13</v>
      </c>
      <c r="R639" s="91">
        <v>89.97</v>
      </c>
      <c r="S639" s="91">
        <v>88.16</v>
      </c>
      <c r="T639" s="91">
        <v>90.41</v>
      </c>
      <c r="U639" s="91">
        <v>91.21</v>
      </c>
    </row>
    <row r="640" spans="1:21" x14ac:dyDescent="0.2">
      <c r="A640" s="48">
        <f t="shared" si="9"/>
        <v>632</v>
      </c>
      <c r="B640" s="43">
        <v>18</v>
      </c>
      <c r="C640" s="43">
        <v>3</v>
      </c>
      <c r="D640" s="38" t="s">
        <v>602</v>
      </c>
      <c r="E640" s="44" t="s">
        <v>115</v>
      </c>
      <c r="F640" s="44" t="s">
        <v>18</v>
      </c>
      <c r="G640" s="44" t="s">
        <v>108</v>
      </c>
      <c r="H640" s="44" t="s">
        <v>61</v>
      </c>
      <c r="I640" s="44" t="s">
        <v>116</v>
      </c>
      <c r="J640" s="44" t="s">
        <v>13</v>
      </c>
      <c r="K640" s="44" t="s">
        <v>117</v>
      </c>
      <c r="L640" s="40">
        <v>22751</v>
      </c>
      <c r="M640" s="41">
        <v>42250</v>
      </c>
      <c r="N640" s="40" t="s">
        <v>110</v>
      </c>
      <c r="O640" s="42"/>
      <c r="P640" s="40">
        <v>65</v>
      </c>
      <c r="Q640" s="91">
        <v>56.93</v>
      </c>
      <c r="R640" s="91">
        <v>58.1</v>
      </c>
      <c r="S640" s="91">
        <v>58.69</v>
      </c>
      <c r="T640" s="91">
        <v>60.08</v>
      </c>
      <c r="U640" s="91">
        <v>63.4</v>
      </c>
    </row>
    <row r="641" spans="1:21" x14ac:dyDescent="0.2">
      <c r="A641" s="48">
        <f t="shared" si="9"/>
        <v>633</v>
      </c>
      <c r="B641" s="43">
        <v>18</v>
      </c>
      <c r="C641" s="43">
        <v>4</v>
      </c>
      <c r="D641" s="38" t="s">
        <v>603</v>
      </c>
      <c r="E641" s="44" t="s">
        <v>119</v>
      </c>
      <c r="F641" s="44" t="s">
        <v>18</v>
      </c>
      <c r="G641" s="44" t="s">
        <v>108</v>
      </c>
      <c r="H641" s="44" t="s">
        <v>61</v>
      </c>
      <c r="I641" s="44" t="s">
        <v>116</v>
      </c>
      <c r="J641" s="44" t="s">
        <v>19</v>
      </c>
      <c r="K641" s="44" t="s">
        <v>120</v>
      </c>
      <c r="L641" s="40">
        <v>22752</v>
      </c>
      <c r="M641" s="41">
        <v>42250</v>
      </c>
      <c r="N641" s="40" t="s">
        <v>110</v>
      </c>
      <c r="O641" s="42"/>
      <c r="P641" s="40">
        <v>65</v>
      </c>
      <c r="Q641" s="91">
        <v>58.26</v>
      </c>
      <c r="R641" s="91">
        <v>59.77</v>
      </c>
      <c r="S641" s="91">
        <v>60.16</v>
      </c>
      <c r="T641" s="91">
        <v>61.71</v>
      </c>
      <c r="U641" s="91">
        <v>65.05</v>
      </c>
    </row>
    <row r="642" spans="1:21" x14ac:dyDescent="0.2">
      <c r="A642" s="48">
        <f t="shared" si="9"/>
        <v>634</v>
      </c>
      <c r="B642" s="43">
        <v>18</v>
      </c>
      <c r="C642" s="43">
        <v>5</v>
      </c>
      <c r="D642" s="38" t="s">
        <v>604</v>
      </c>
      <c r="E642" s="44" t="s">
        <v>122</v>
      </c>
      <c r="F642" s="44" t="s">
        <v>18</v>
      </c>
      <c r="G642" s="44" t="s">
        <v>108</v>
      </c>
      <c r="H642" s="44" t="s">
        <v>61</v>
      </c>
      <c r="I642" s="44" t="s">
        <v>116</v>
      </c>
      <c r="J642" s="44" t="s">
        <v>14</v>
      </c>
      <c r="K642" s="44" t="s">
        <v>123</v>
      </c>
      <c r="L642" s="40">
        <v>22753</v>
      </c>
      <c r="M642" s="41">
        <v>42250</v>
      </c>
      <c r="N642" s="40" t="s">
        <v>110</v>
      </c>
      <c r="O642" s="42"/>
      <c r="P642" s="40">
        <v>65</v>
      </c>
      <c r="Q642" s="91">
        <v>57.03</v>
      </c>
      <c r="R642" s="91">
        <v>58.72</v>
      </c>
      <c r="S642" s="91">
        <v>59.05</v>
      </c>
      <c r="T642" s="91">
        <v>60.66</v>
      </c>
      <c r="U642" s="91">
        <v>63.99</v>
      </c>
    </row>
    <row r="643" spans="1:21" x14ac:dyDescent="0.2">
      <c r="A643" s="48">
        <f t="shared" si="9"/>
        <v>635</v>
      </c>
      <c r="B643" s="43">
        <v>18</v>
      </c>
      <c r="C643" s="43">
        <v>6</v>
      </c>
      <c r="D643" s="38" t="s">
        <v>605</v>
      </c>
      <c r="E643" s="44" t="s">
        <v>125</v>
      </c>
      <c r="F643" s="44" t="s">
        <v>23</v>
      </c>
      <c r="G643" s="44" t="s">
        <v>126</v>
      </c>
      <c r="H643" s="44" t="s">
        <v>127</v>
      </c>
      <c r="I643" s="44" t="s">
        <v>27</v>
      </c>
      <c r="J643" s="44" t="s">
        <v>28</v>
      </c>
      <c r="K643" s="44" t="s">
        <v>128</v>
      </c>
      <c r="L643" s="40">
        <v>22754</v>
      </c>
      <c r="M643" s="41">
        <v>42250</v>
      </c>
      <c r="N643" s="40" t="s">
        <v>110</v>
      </c>
      <c r="O643" s="42"/>
      <c r="P643" s="40">
        <v>65</v>
      </c>
      <c r="Q643" s="91">
        <v>61.2</v>
      </c>
      <c r="R643" s="91">
        <v>63.05</v>
      </c>
      <c r="S643" s="91">
        <v>63.29</v>
      </c>
      <c r="T643" s="91">
        <v>64.37</v>
      </c>
      <c r="U643" s="91">
        <v>65.099999999999994</v>
      </c>
    </row>
    <row r="644" spans="1:21" x14ac:dyDescent="0.2">
      <c r="A644" s="48">
        <f t="shared" si="9"/>
        <v>636</v>
      </c>
      <c r="B644" s="43">
        <v>18</v>
      </c>
      <c r="C644" s="43">
        <v>7</v>
      </c>
      <c r="D644" s="38" t="s">
        <v>606</v>
      </c>
      <c r="E644" s="44" t="s">
        <v>130</v>
      </c>
      <c r="F644" s="44" t="s">
        <v>37</v>
      </c>
      <c r="G644" s="44" t="s">
        <v>108</v>
      </c>
      <c r="H644" s="44" t="s">
        <v>38</v>
      </c>
      <c r="I644" s="44" t="s">
        <v>38</v>
      </c>
      <c r="J644" s="44" t="s">
        <v>40</v>
      </c>
      <c r="K644" s="44" t="s">
        <v>123</v>
      </c>
      <c r="L644" s="40">
        <v>22756</v>
      </c>
      <c r="M644" s="41">
        <v>42250</v>
      </c>
      <c r="N644" s="40" t="s">
        <v>110</v>
      </c>
      <c r="O644" s="42"/>
      <c r="P644" s="40">
        <v>65</v>
      </c>
      <c r="Q644" s="91">
        <v>78.88</v>
      </c>
      <c r="R644" s="91">
        <v>79.099999999999994</v>
      </c>
      <c r="S644" s="91">
        <v>78.69</v>
      </c>
      <c r="T644" s="91">
        <v>79.73</v>
      </c>
      <c r="U644" s="91">
        <v>82.05</v>
      </c>
    </row>
    <row r="645" spans="1:21" x14ac:dyDescent="0.2">
      <c r="A645" s="48">
        <f t="shared" si="9"/>
        <v>637</v>
      </c>
      <c r="B645" s="43">
        <v>18</v>
      </c>
      <c r="C645" s="43">
        <v>8</v>
      </c>
      <c r="D645" s="38" t="s">
        <v>607</v>
      </c>
      <c r="E645" s="44" t="s">
        <v>132</v>
      </c>
      <c r="F645" s="44" t="s">
        <v>37</v>
      </c>
      <c r="G645" s="44" t="s">
        <v>108</v>
      </c>
      <c r="H645" s="44" t="s">
        <v>38</v>
      </c>
      <c r="I645" s="44" t="s">
        <v>38</v>
      </c>
      <c r="J645" s="44" t="s">
        <v>39</v>
      </c>
      <c r="K645" s="44" t="s">
        <v>120</v>
      </c>
      <c r="L645" s="40">
        <v>22755</v>
      </c>
      <c r="M645" s="41">
        <v>42250</v>
      </c>
      <c r="N645" s="40" t="s">
        <v>110</v>
      </c>
      <c r="O645" s="42"/>
      <c r="P645" s="40">
        <v>65</v>
      </c>
      <c r="Q645" s="91">
        <v>80</v>
      </c>
      <c r="R645" s="91">
        <v>80.19</v>
      </c>
      <c r="S645" s="91">
        <v>79.790000000000006</v>
      </c>
      <c r="T645" s="91">
        <v>80.8</v>
      </c>
      <c r="U645" s="91">
        <v>83.09</v>
      </c>
    </row>
    <row r="646" spans="1:21" x14ac:dyDescent="0.2">
      <c r="A646" s="48">
        <f t="shared" si="9"/>
        <v>638</v>
      </c>
      <c r="B646" s="43">
        <v>18</v>
      </c>
      <c r="C646" s="43">
        <v>9</v>
      </c>
      <c r="D646" s="38" t="s">
        <v>608</v>
      </c>
      <c r="E646" s="44" t="s">
        <v>134</v>
      </c>
      <c r="F646" s="44" t="s">
        <v>37</v>
      </c>
      <c r="G646" s="44" t="s">
        <v>108</v>
      </c>
      <c r="H646" s="44" t="s">
        <v>38</v>
      </c>
      <c r="I646" s="44" t="s">
        <v>38</v>
      </c>
      <c r="J646" s="44" t="s">
        <v>6</v>
      </c>
      <c r="K646" s="44" t="s">
        <v>117</v>
      </c>
      <c r="L646" s="40">
        <v>22757</v>
      </c>
      <c r="M646" s="41">
        <v>42250</v>
      </c>
      <c r="N646" s="40" t="s">
        <v>110</v>
      </c>
      <c r="O646" s="42"/>
      <c r="P646" s="40">
        <v>65</v>
      </c>
      <c r="Q646" s="91">
        <v>78.11</v>
      </c>
      <c r="R646" s="91">
        <v>78.27</v>
      </c>
      <c r="S646" s="91">
        <v>77.84</v>
      </c>
      <c r="T646" s="91">
        <v>78.88</v>
      </c>
      <c r="U646" s="91">
        <v>81.2</v>
      </c>
    </row>
    <row r="647" spans="1:21" x14ac:dyDescent="0.2">
      <c r="A647" s="48">
        <f t="shared" si="9"/>
        <v>639</v>
      </c>
      <c r="B647" s="43">
        <v>18</v>
      </c>
      <c r="C647" s="43">
        <v>10</v>
      </c>
      <c r="D647" s="38" t="s">
        <v>609</v>
      </c>
      <c r="E647" s="44" t="s">
        <v>136</v>
      </c>
      <c r="F647" s="44" t="s">
        <v>23</v>
      </c>
      <c r="G647" s="44" t="s">
        <v>108</v>
      </c>
      <c r="H647" s="44" t="s">
        <v>137</v>
      </c>
      <c r="I647" s="44" t="s">
        <v>24</v>
      </c>
      <c r="J647" s="44" t="s">
        <v>25</v>
      </c>
      <c r="K647" s="44" t="s">
        <v>138</v>
      </c>
      <c r="L647" s="40">
        <v>22758</v>
      </c>
      <c r="M647" s="41">
        <v>42250</v>
      </c>
      <c r="N647" s="40" t="s">
        <v>110</v>
      </c>
      <c r="O647" s="42"/>
      <c r="P647" s="40">
        <v>65</v>
      </c>
      <c r="Q647" s="91">
        <v>63.65</v>
      </c>
      <c r="R647" s="91">
        <v>64.05</v>
      </c>
      <c r="S647" s="91">
        <v>65.66</v>
      </c>
      <c r="T647" s="91">
        <v>67.819999999999993</v>
      </c>
      <c r="U647" s="91">
        <v>70.86</v>
      </c>
    </row>
    <row r="648" spans="1:21" x14ac:dyDescent="0.2">
      <c r="A648" s="48">
        <f t="shared" si="9"/>
        <v>640</v>
      </c>
      <c r="B648" s="43">
        <v>18</v>
      </c>
      <c r="C648" s="43">
        <v>11</v>
      </c>
      <c r="D648" s="38" t="s">
        <v>610</v>
      </c>
      <c r="E648" s="44" t="s">
        <v>140</v>
      </c>
      <c r="F648" s="44" t="s">
        <v>23</v>
      </c>
      <c r="G648" s="44" t="s">
        <v>108</v>
      </c>
      <c r="H648" s="44" t="s">
        <v>137</v>
      </c>
      <c r="I648" s="44" t="s">
        <v>24</v>
      </c>
      <c r="J648" s="44" t="s">
        <v>26</v>
      </c>
      <c r="K648" s="44" t="s">
        <v>141</v>
      </c>
      <c r="L648" s="40">
        <v>22759</v>
      </c>
      <c r="M648" s="41">
        <v>42250</v>
      </c>
      <c r="N648" s="40" t="s">
        <v>110</v>
      </c>
      <c r="O648" s="42"/>
      <c r="P648" s="40">
        <v>65</v>
      </c>
      <c r="Q648" s="91">
        <v>62.85</v>
      </c>
      <c r="R648" s="91">
        <v>63.26</v>
      </c>
      <c r="S648" s="91">
        <v>64.849999999999994</v>
      </c>
      <c r="T648" s="91">
        <v>67.02</v>
      </c>
      <c r="U648" s="91">
        <v>70.069999999999993</v>
      </c>
    </row>
    <row r="649" spans="1:21" x14ac:dyDescent="0.2">
      <c r="A649" s="48">
        <f t="shared" si="9"/>
        <v>641</v>
      </c>
      <c r="B649" s="43">
        <v>18</v>
      </c>
      <c r="C649" s="43">
        <v>12</v>
      </c>
      <c r="D649" s="38" t="s">
        <v>611</v>
      </c>
      <c r="E649" s="44" t="s">
        <v>143</v>
      </c>
      <c r="F649" s="44" t="s">
        <v>18</v>
      </c>
      <c r="G649" s="44" t="s">
        <v>108</v>
      </c>
      <c r="H649" s="44" t="s">
        <v>94</v>
      </c>
      <c r="I649" s="44" t="s">
        <v>144</v>
      </c>
      <c r="J649" s="44" t="s">
        <v>20</v>
      </c>
      <c r="K649" s="44" t="s">
        <v>145</v>
      </c>
      <c r="L649" s="40">
        <v>22760</v>
      </c>
      <c r="M649" s="41">
        <v>42250</v>
      </c>
      <c r="N649" s="40" t="s">
        <v>110</v>
      </c>
      <c r="O649" s="42"/>
      <c r="P649" s="40">
        <v>65</v>
      </c>
      <c r="Q649" s="91">
        <v>59.85</v>
      </c>
      <c r="R649" s="91">
        <v>59.46</v>
      </c>
      <c r="S649" s="91">
        <v>60.46</v>
      </c>
      <c r="T649" s="91">
        <v>61.21</v>
      </c>
      <c r="U649" s="91">
        <v>64.41</v>
      </c>
    </row>
    <row r="650" spans="1:21" x14ac:dyDescent="0.2">
      <c r="A650" s="48">
        <f t="shared" si="9"/>
        <v>642</v>
      </c>
      <c r="B650" s="43">
        <v>18</v>
      </c>
      <c r="C650" s="43">
        <v>13</v>
      </c>
      <c r="D650" s="38" t="s">
        <v>612</v>
      </c>
      <c r="E650" s="44" t="s">
        <v>147</v>
      </c>
      <c r="F650" s="44" t="s">
        <v>37</v>
      </c>
      <c r="G650" s="44" t="s">
        <v>108</v>
      </c>
      <c r="H650" s="44" t="s">
        <v>41</v>
      </c>
      <c r="I650" s="44" t="s">
        <v>41</v>
      </c>
      <c r="J650" s="44" t="s">
        <v>6</v>
      </c>
      <c r="K650" s="44" t="s">
        <v>128</v>
      </c>
      <c r="L650" s="40">
        <v>22761</v>
      </c>
      <c r="M650" s="41">
        <v>42250</v>
      </c>
      <c r="N650" s="40" t="s">
        <v>110</v>
      </c>
      <c r="O650" s="42"/>
      <c r="P650" s="40">
        <v>65</v>
      </c>
      <c r="Q650" s="91">
        <v>75.53</v>
      </c>
      <c r="R650" s="91">
        <v>78.400000000000006</v>
      </c>
      <c r="S650" s="91">
        <v>78.56</v>
      </c>
      <c r="T650" s="91">
        <v>82.26</v>
      </c>
      <c r="U650" s="91">
        <v>85.64</v>
      </c>
    </row>
    <row r="651" spans="1:21" x14ac:dyDescent="0.2">
      <c r="A651" s="48">
        <f t="shared" ref="A651:A714" si="10">A650+1</f>
        <v>643</v>
      </c>
      <c r="B651" s="43">
        <v>18</v>
      </c>
      <c r="C651" s="43">
        <v>14</v>
      </c>
      <c r="D651" s="38" t="s">
        <v>613</v>
      </c>
      <c r="E651" s="44" t="s">
        <v>149</v>
      </c>
      <c r="F651" s="44" t="s">
        <v>5</v>
      </c>
      <c r="G651" s="44" t="s">
        <v>108</v>
      </c>
      <c r="H651" s="44" t="s">
        <v>46</v>
      </c>
      <c r="I651" s="44" t="s">
        <v>46</v>
      </c>
      <c r="J651" s="44" t="s">
        <v>6</v>
      </c>
      <c r="K651" s="44" t="s">
        <v>128</v>
      </c>
      <c r="L651" s="40">
        <v>22762</v>
      </c>
      <c r="M651" s="41">
        <v>42250</v>
      </c>
      <c r="N651" s="40" t="s">
        <v>110</v>
      </c>
      <c r="O651" s="42"/>
      <c r="P651" s="40">
        <v>65</v>
      </c>
      <c r="Q651" s="91">
        <v>68.83</v>
      </c>
      <c r="R651" s="91">
        <v>70.06</v>
      </c>
      <c r="S651" s="91">
        <v>70.62</v>
      </c>
      <c r="T651" s="91">
        <v>72.069999999999993</v>
      </c>
      <c r="U651" s="91">
        <v>75.53</v>
      </c>
    </row>
    <row r="652" spans="1:21" x14ac:dyDescent="0.2">
      <c r="A652" s="48">
        <f t="shared" si="10"/>
        <v>644</v>
      </c>
      <c r="B652" s="43">
        <v>18</v>
      </c>
      <c r="C652" s="43">
        <v>15</v>
      </c>
      <c r="D652" s="38" t="s">
        <v>614</v>
      </c>
      <c r="E652" s="44" t="s">
        <v>151</v>
      </c>
      <c r="F652" s="44" t="s">
        <v>18</v>
      </c>
      <c r="G652" s="44" t="s">
        <v>108</v>
      </c>
      <c r="H652" s="44" t="s">
        <v>21</v>
      </c>
      <c r="I652" s="44" t="s">
        <v>152</v>
      </c>
      <c r="J652" s="44" t="s">
        <v>22</v>
      </c>
      <c r="K652" s="44" t="s">
        <v>128</v>
      </c>
      <c r="L652" s="40">
        <v>22763</v>
      </c>
      <c r="M652" s="41">
        <v>42250</v>
      </c>
      <c r="N652" s="40" t="s">
        <v>110</v>
      </c>
      <c r="O652" s="42"/>
      <c r="P652" s="40">
        <v>65</v>
      </c>
      <c r="Q652" s="91">
        <v>56.99</v>
      </c>
      <c r="R652" s="91">
        <v>58.07</v>
      </c>
      <c r="S652" s="91">
        <v>58.44</v>
      </c>
      <c r="T652" s="91">
        <v>59.75</v>
      </c>
      <c r="U652" s="91">
        <v>62.76</v>
      </c>
    </row>
    <row r="653" spans="1:21" x14ac:dyDescent="0.2">
      <c r="A653" s="48">
        <f t="shared" si="10"/>
        <v>645</v>
      </c>
      <c r="B653" s="43">
        <v>18</v>
      </c>
      <c r="C653" s="43">
        <v>16</v>
      </c>
      <c r="D653" s="38" t="s">
        <v>615</v>
      </c>
      <c r="E653" s="44" t="s">
        <v>154</v>
      </c>
      <c r="F653" s="44" t="s">
        <v>18</v>
      </c>
      <c r="G653" s="44" t="s">
        <v>108</v>
      </c>
      <c r="H653" s="44" t="s">
        <v>62</v>
      </c>
      <c r="I653" s="44" t="s">
        <v>155</v>
      </c>
      <c r="J653" s="44" t="s">
        <v>6</v>
      </c>
      <c r="K653" s="44" t="s">
        <v>128</v>
      </c>
      <c r="L653" s="40">
        <v>22764</v>
      </c>
      <c r="M653" s="41">
        <v>42250</v>
      </c>
      <c r="N653" s="40" t="s">
        <v>110</v>
      </c>
      <c r="O653" s="42"/>
      <c r="P653" s="40">
        <v>65</v>
      </c>
      <c r="Q653" s="91">
        <v>62.04</v>
      </c>
      <c r="R653" s="91">
        <v>60.89</v>
      </c>
      <c r="S653" s="91">
        <v>61.57</v>
      </c>
      <c r="T653" s="91">
        <v>62.25</v>
      </c>
      <c r="U653" s="91">
        <v>65.150000000000006</v>
      </c>
    </row>
    <row r="654" spans="1:21" x14ac:dyDescent="0.2">
      <c r="A654" s="48">
        <f t="shared" si="10"/>
        <v>646</v>
      </c>
      <c r="B654" s="43">
        <v>18</v>
      </c>
      <c r="C654" s="43">
        <v>17</v>
      </c>
      <c r="D654" s="38" t="s">
        <v>616</v>
      </c>
      <c r="E654" s="44" t="s">
        <v>157</v>
      </c>
      <c r="F654" s="44" t="s">
        <v>29</v>
      </c>
      <c r="G654" s="44" t="s">
        <v>108</v>
      </c>
      <c r="H654" s="44" t="s">
        <v>33</v>
      </c>
      <c r="I654" s="44" t="s">
        <v>33</v>
      </c>
      <c r="J654" s="44" t="s">
        <v>7</v>
      </c>
      <c r="K654" s="44" t="s">
        <v>123</v>
      </c>
      <c r="L654" s="40">
        <v>22765</v>
      </c>
      <c r="M654" s="41">
        <v>42250</v>
      </c>
      <c r="N654" s="40" t="s">
        <v>110</v>
      </c>
      <c r="O654" s="42"/>
      <c r="P654" s="40">
        <v>65</v>
      </c>
      <c r="Q654" s="91">
        <v>81.290000000000006</v>
      </c>
      <c r="R654" s="91">
        <v>83.52</v>
      </c>
      <c r="S654" s="91">
        <v>83.51</v>
      </c>
      <c r="T654" s="91">
        <v>86.93</v>
      </c>
      <c r="U654" s="91">
        <v>90.03</v>
      </c>
    </row>
    <row r="655" spans="1:21" x14ac:dyDescent="0.2">
      <c r="A655" s="48">
        <f t="shared" si="10"/>
        <v>647</v>
      </c>
      <c r="B655" s="43">
        <v>18</v>
      </c>
      <c r="C655" s="43">
        <v>18</v>
      </c>
      <c r="D655" s="38" t="s">
        <v>617</v>
      </c>
      <c r="E655" s="44" t="s">
        <v>159</v>
      </c>
      <c r="F655" s="44" t="s">
        <v>29</v>
      </c>
      <c r="G655" s="44" t="s">
        <v>108</v>
      </c>
      <c r="H655" s="44" t="s">
        <v>33</v>
      </c>
      <c r="I655" s="44" t="s">
        <v>33</v>
      </c>
      <c r="J655" s="44" t="s">
        <v>8</v>
      </c>
      <c r="K655" s="44" t="s">
        <v>120</v>
      </c>
      <c r="L655" s="40">
        <v>22766</v>
      </c>
      <c r="M655" s="41">
        <v>42250</v>
      </c>
      <c r="N655" s="40" t="s">
        <v>110</v>
      </c>
      <c r="O655" s="42"/>
      <c r="P655" s="40">
        <v>65</v>
      </c>
      <c r="Q655" s="91">
        <v>82.67</v>
      </c>
      <c r="R655" s="91">
        <v>86.9</v>
      </c>
      <c r="S655" s="91">
        <v>86.15</v>
      </c>
      <c r="T655" s="91">
        <v>90.27</v>
      </c>
      <c r="U655" s="91">
        <v>93.39</v>
      </c>
    </row>
    <row r="656" spans="1:21" x14ac:dyDescent="0.2">
      <c r="A656" s="48">
        <f t="shared" si="10"/>
        <v>648</v>
      </c>
      <c r="B656" s="43">
        <v>18</v>
      </c>
      <c r="C656" s="43">
        <v>19</v>
      </c>
      <c r="D656" s="38" t="s">
        <v>618</v>
      </c>
      <c r="E656" s="44" t="s">
        <v>161</v>
      </c>
      <c r="F656" s="44" t="s">
        <v>29</v>
      </c>
      <c r="G656" s="44" t="s">
        <v>108</v>
      </c>
      <c r="H656" s="44" t="s">
        <v>33</v>
      </c>
      <c r="I656" s="44" t="s">
        <v>33</v>
      </c>
      <c r="J656" s="44" t="s">
        <v>9</v>
      </c>
      <c r="K656" s="44" t="s">
        <v>117</v>
      </c>
      <c r="L656" s="40">
        <v>22767</v>
      </c>
      <c r="M656" s="41">
        <v>42250</v>
      </c>
      <c r="N656" s="40" t="s">
        <v>110</v>
      </c>
      <c r="O656" s="42"/>
      <c r="P656" s="40">
        <v>65</v>
      </c>
      <c r="Q656" s="91">
        <v>82.67</v>
      </c>
      <c r="R656" s="91">
        <v>84.64</v>
      </c>
      <c r="S656" s="91">
        <v>84.82</v>
      </c>
      <c r="T656" s="91">
        <v>88.05</v>
      </c>
      <c r="U656" s="91">
        <v>91.1</v>
      </c>
    </row>
    <row r="657" spans="1:21" x14ac:dyDescent="0.2">
      <c r="A657" s="48">
        <f t="shared" si="10"/>
        <v>649</v>
      </c>
      <c r="B657" s="43">
        <v>18</v>
      </c>
      <c r="C657" s="43">
        <v>20</v>
      </c>
      <c r="D657" s="38" t="s">
        <v>619</v>
      </c>
      <c r="E657" s="44" t="s">
        <v>163</v>
      </c>
      <c r="F657" s="44" t="s">
        <v>5</v>
      </c>
      <c r="G657" s="44" t="s">
        <v>108</v>
      </c>
      <c r="H657" s="44" t="s">
        <v>164</v>
      </c>
      <c r="I657" s="44" t="s">
        <v>165</v>
      </c>
      <c r="J657" s="44" t="s">
        <v>7</v>
      </c>
      <c r="K657" s="44" t="s">
        <v>123</v>
      </c>
      <c r="L657" s="40">
        <v>22769</v>
      </c>
      <c r="M657" s="41">
        <v>42250</v>
      </c>
      <c r="N657" s="40" t="s">
        <v>110</v>
      </c>
      <c r="O657" s="42"/>
      <c r="P657" s="40">
        <v>65</v>
      </c>
      <c r="Q657" s="91">
        <v>61.4</v>
      </c>
      <c r="R657" s="91">
        <v>63.11</v>
      </c>
      <c r="S657" s="91">
        <v>62.62</v>
      </c>
      <c r="T657" s="91">
        <v>64.37</v>
      </c>
      <c r="U657" s="91">
        <v>67.040000000000006</v>
      </c>
    </row>
    <row r="658" spans="1:21" x14ac:dyDescent="0.2">
      <c r="A658" s="48">
        <f t="shared" si="10"/>
        <v>650</v>
      </c>
      <c r="B658" s="43">
        <v>18</v>
      </c>
      <c r="C658" s="43">
        <v>21</v>
      </c>
      <c r="D658" s="38" t="s">
        <v>620</v>
      </c>
      <c r="E658" s="44" t="s">
        <v>167</v>
      </c>
      <c r="F658" s="44" t="s">
        <v>5</v>
      </c>
      <c r="G658" s="44" t="s">
        <v>108</v>
      </c>
      <c r="H658" s="44" t="s">
        <v>164</v>
      </c>
      <c r="I658" s="44" t="s">
        <v>165</v>
      </c>
      <c r="J658" s="44" t="s">
        <v>8</v>
      </c>
      <c r="K658" s="44" t="s">
        <v>120</v>
      </c>
      <c r="L658" s="40">
        <v>22768</v>
      </c>
      <c r="M658" s="41">
        <v>42250</v>
      </c>
      <c r="N658" s="40" t="s">
        <v>110</v>
      </c>
      <c r="O658" s="42"/>
      <c r="P658" s="40">
        <v>65</v>
      </c>
      <c r="Q658" s="91">
        <v>62.58</v>
      </c>
      <c r="R658" s="91">
        <v>64.22</v>
      </c>
      <c r="S658" s="91">
        <v>63.78</v>
      </c>
      <c r="T658" s="91">
        <v>65.48</v>
      </c>
      <c r="U658" s="91">
        <v>68.150000000000006</v>
      </c>
    </row>
    <row r="659" spans="1:21" x14ac:dyDescent="0.2">
      <c r="A659" s="48">
        <f t="shared" si="10"/>
        <v>651</v>
      </c>
      <c r="B659" s="43">
        <v>18</v>
      </c>
      <c r="C659" s="43">
        <v>22</v>
      </c>
      <c r="D659" s="38" t="s">
        <v>621</v>
      </c>
      <c r="E659" s="44" t="s">
        <v>169</v>
      </c>
      <c r="F659" s="44" t="s">
        <v>5</v>
      </c>
      <c r="G659" s="44" t="s">
        <v>108</v>
      </c>
      <c r="H659" s="44" t="s">
        <v>164</v>
      </c>
      <c r="I659" s="44" t="s">
        <v>165</v>
      </c>
      <c r="J659" s="44" t="s">
        <v>9</v>
      </c>
      <c r="K659" s="44" t="s">
        <v>117</v>
      </c>
      <c r="L659" s="40">
        <v>22770</v>
      </c>
      <c r="M659" s="41">
        <v>42250</v>
      </c>
      <c r="N659" s="40" t="s">
        <v>110</v>
      </c>
      <c r="O659" s="42"/>
      <c r="P659" s="40">
        <v>65</v>
      </c>
      <c r="Q659" s="91">
        <v>63.39</v>
      </c>
      <c r="R659" s="91">
        <v>63.66</v>
      </c>
      <c r="S659" s="91">
        <v>63.7</v>
      </c>
      <c r="T659" s="91">
        <v>64.92</v>
      </c>
      <c r="U659" s="91">
        <v>67.58</v>
      </c>
    </row>
    <row r="660" spans="1:21" x14ac:dyDescent="0.2">
      <c r="A660" s="48">
        <f t="shared" si="10"/>
        <v>652</v>
      </c>
      <c r="B660" s="43">
        <v>18</v>
      </c>
      <c r="C660" s="43">
        <v>23</v>
      </c>
      <c r="D660" s="38" t="s">
        <v>622</v>
      </c>
      <c r="E660" s="44" t="s">
        <v>171</v>
      </c>
      <c r="F660" s="44" t="s">
        <v>5</v>
      </c>
      <c r="G660" s="44" t="s">
        <v>108</v>
      </c>
      <c r="H660" s="44" t="s">
        <v>11</v>
      </c>
      <c r="I660" s="44" t="s">
        <v>11</v>
      </c>
      <c r="J660" s="44" t="s">
        <v>6</v>
      </c>
      <c r="K660" s="44" t="s">
        <v>128</v>
      </c>
      <c r="L660" s="40">
        <v>22771</v>
      </c>
      <c r="M660" s="41">
        <v>42250</v>
      </c>
      <c r="N660" s="40" t="s">
        <v>110</v>
      </c>
      <c r="O660" s="42"/>
      <c r="P660" s="40">
        <v>65</v>
      </c>
      <c r="Q660" s="91">
        <v>64.239999999999995</v>
      </c>
      <c r="R660" s="91">
        <v>67.23</v>
      </c>
      <c r="S660" s="91">
        <v>67.069999999999993</v>
      </c>
      <c r="T660" s="91">
        <v>70.5</v>
      </c>
      <c r="U660" s="91">
        <v>72.52</v>
      </c>
    </row>
    <row r="661" spans="1:21" x14ac:dyDescent="0.2">
      <c r="A661" s="48">
        <f t="shared" si="10"/>
        <v>653</v>
      </c>
      <c r="B661" s="43">
        <v>18</v>
      </c>
      <c r="C661" s="43">
        <v>24</v>
      </c>
      <c r="D661" s="38" t="s">
        <v>623</v>
      </c>
      <c r="E661" s="44" t="s">
        <v>173</v>
      </c>
      <c r="F661" s="44" t="s">
        <v>5</v>
      </c>
      <c r="G661" s="44" t="s">
        <v>108</v>
      </c>
      <c r="H661" s="44" t="s">
        <v>10</v>
      </c>
      <c r="I661" s="44" t="s">
        <v>174</v>
      </c>
      <c r="J661" s="44" t="s">
        <v>7</v>
      </c>
      <c r="K661" s="44" t="s">
        <v>123</v>
      </c>
      <c r="L661" s="40">
        <v>22772</v>
      </c>
      <c r="M661" s="41">
        <v>42250</v>
      </c>
      <c r="N661" s="40" t="s">
        <v>110</v>
      </c>
      <c r="O661" s="42"/>
      <c r="P661" s="40">
        <v>65</v>
      </c>
      <c r="Q661" s="91">
        <v>64.849999999999994</v>
      </c>
      <c r="R661" s="91">
        <v>65.13</v>
      </c>
      <c r="S661" s="91">
        <v>64.8</v>
      </c>
      <c r="T661" s="91">
        <v>66.069999999999993</v>
      </c>
      <c r="U661" s="91">
        <v>69.03</v>
      </c>
    </row>
    <row r="662" spans="1:21" x14ac:dyDescent="0.2">
      <c r="A662" s="48">
        <f t="shared" si="10"/>
        <v>654</v>
      </c>
      <c r="B662" s="43">
        <v>18</v>
      </c>
      <c r="C662" s="43">
        <v>25</v>
      </c>
      <c r="D662" s="38" t="s">
        <v>624</v>
      </c>
      <c r="E662" s="44" t="s">
        <v>176</v>
      </c>
      <c r="F662" s="44" t="s">
        <v>5</v>
      </c>
      <c r="G662" s="44" t="s">
        <v>108</v>
      </c>
      <c r="H662" s="44" t="s">
        <v>10</v>
      </c>
      <c r="I662" s="44" t="s">
        <v>174</v>
      </c>
      <c r="J662" s="44" t="s">
        <v>8</v>
      </c>
      <c r="K662" s="44" t="s">
        <v>120</v>
      </c>
      <c r="L662" s="40">
        <v>22773</v>
      </c>
      <c r="M662" s="41">
        <v>42250</v>
      </c>
      <c r="N662" s="40" t="s">
        <v>110</v>
      </c>
      <c r="O662" s="42"/>
      <c r="P662" s="40">
        <v>65</v>
      </c>
      <c r="Q662" s="91">
        <v>66.459999999999994</v>
      </c>
      <c r="R662" s="91">
        <v>66.34</v>
      </c>
      <c r="S662" s="91">
        <v>66.16</v>
      </c>
      <c r="T662" s="91">
        <v>67.290000000000006</v>
      </c>
      <c r="U662" s="91">
        <v>70.25</v>
      </c>
    </row>
    <row r="663" spans="1:21" x14ac:dyDescent="0.2">
      <c r="A663" s="48">
        <f t="shared" si="10"/>
        <v>655</v>
      </c>
      <c r="B663" s="43">
        <v>18</v>
      </c>
      <c r="C663" s="43">
        <v>26</v>
      </c>
      <c r="D663" s="38" t="s">
        <v>625</v>
      </c>
      <c r="E663" s="44" t="s">
        <v>178</v>
      </c>
      <c r="F663" s="44" t="s">
        <v>5</v>
      </c>
      <c r="G663" s="44" t="s">
        <v>108</v>
      </c>
      <c r="H663" s="44" t="s">
        <v>10</v>
      </c>
      <c r="I663" s="44" t="s">
        <v>174</v>
      </c>
      <c r="J663" s="44" t="s">
        <v>9</v>
      </c>
      <c r="K663" s="44" t="s">
        <v>117</v>
      </c>
      <c r="L663" s="40">
        <v>22774</v>
      </c>
      <c r="M663" s="41">
        <v>42250</v>
      </c>
      <c r="N663" s="40" t="s">
        <v>110</v>
      </c>
      <c r="O663" s="42"/>
      <c r="P663" s="40">
        <v>65</v>
      </c>
      <c r="Q663" s="91">
        <v>68.98</v>
      </c>
      <c r="R663" s="91">
        <v>66.260000000000005</v>
      </c>
      <c r="S663" s="91">
        <v>66.92</v>
      </c>
      <c r="T663" s="91">
        <v>67.260000000000005</v>
      </c>
      <c r="U663" s="91">
        <v>70.150000000000006</v>
      </c>
    </row>
    <row r="664" spans="1:21" x14ac:dyDescent="0.2">
      <c r="A664" s="48">
        <f t="shared" si="10"/>
        <v>656</v>
      </c>
      <c r="B664" s="43">
        <v>18</v>
      </c>
      <c r="C664" s="43">
        <v>27</v>
      </c>
      <c r="D664" s="38" t="s">
        <v>626</v>
      </c>
      <c r="E664" s="44" t="s">
        <v>180</v>
      </c>
      <c r="F664" s="44" t="s">
        <v>5</v>
      </c>
      <c r="G664" s="44" t="s">
        <v>108</v>
      </c>
      <c r="H664" s="44" t="s">
        <v>91</v>
      </c>
      <c r="I664" s="44" t="s">
        <v>181</v>
      </c>
      <c r="J664" s="44" t="s">
        <v>6</v>
      </c>
      <c r="K664" s="44" t="s">
        <v>128</v>
      </c>
      <c r="L664" s="40">
        <v>22775</v>
      </c>
      <c r="M664" s="41">
        <v>42250</v>
      </c>
      <c r="N664" s="40" t="s">
        <v>110</v>
      </c>
      <c r="O664" s="42"/>
      <c r="P664" s="40">
        <v>65</v>
      </c>
      <c r="Q664" s="91">
        <v>73.290000000000006</v>
      </c>
      <c r="R664" s="91">
        <v>71.84</v>
      </c>
      <c r="S664" s="91">
        <v>72.650000000000006</v>
      </c>
      <c r="T664" s="91">
        <v>73.239999999999995</v>
      </c>
      <c r="U664" s="91">
        <v>76.2</v>
      </c>
    </row>
    <row r="665" spans="1:21" x14ac:dyDescent="0.2">
      <c r="A665" s="48">
        <f t="shared" si="10"/>
        <v>657</v>
      </c>
      <c r="B665" s="43">
        <v>18</v>
      </c>
      <c r="C665" s="43">
        <v>28</v>
      </c>
      <c r="D665" s="38" t="s">
        <v>627</v>
      </c>
      <c r="E665" s="44" t="s">
        <v>183</v>
      </c>
      <c r="F665" s="44" t="s">
        <v>37</v>
      </c>
      <c r="G665" s="44" t="s">
        <v>108</v>
      </c>
      <c r="H665" s="44" t="s">
        <v>42</v>
      </c>
      <c r="I665" s="44" t="s">
        <v>42</v>
      </c>
      <c r="J665" s="44" t="s">
        <v>6</v>
      </c>
      <c r="K665" s="44" t="s">
        <v>128</v>
      </c>
      <c r="L665" s="40">
        <v>22776</v>
      </c>
      <c r="M665" s="41">
        <v>42250</v>
      </c>
      <c r="N665" s="40" t="s">
        <v>110</v>
      </c>
      <c r="O665" s="42"/>
      <c r="P665" s="40">
        <v>65</v>
      </c>
      <c r="Q665" s="91">
        <v>78.37</v>
      </c>
      <c r="R665" s="91">
        <v>78.099999999999994</v>
      </c>
      <c r="S665" s="91">
        <v>77.989999999999995</v>
      </c>
      <c r="T665" s="91">
        <v>78.86</v>
      </c>
      <c r="U665" s="91">
        <v>81.56</v>
      </c>
    </row>
    <row r="666" spans="1:21" x14ac:dyDescent="0.2">
      <c r="A666" s="48">
        <f t="shared" si="10"/>
        <v>658</v>
      </c>
      <c r="B666" s="43">
        <v>18</v>
      </c>
      <c r="C666" s="43">
        <v>29</v>
      </c>
      <c r="D666" s="38" t="s">
        <v>628</v>
      </c>
      <c r="E666" s="44" t="s">
        <v>185</v>
      </c>
      <c r="F666" s="44" t="s">
        <v>37</v>
      </c>
      <c r="G666" s="44" t="s">
        <v>108</v>
      </c>
      <c r="H666" s="44" t="s">
        <v>42</v>
      </c>
      <c r="I666" s="44" t="s">
        <v>42</v>
      </c>
      <c r="J666" s="44" t="s">
        <v>43</v>
      </c>
      <c r="K666" s="44" t="s">
        <v>186</v>
      </c>
      <c r="L666" s="40">
        <v>22777</v>
      </c>
      <c r="M666" s="41">
        <v>42250</v>
      </c>
      <c r="N666" s="40" t="s">
        <v>110</v>
      </c>
      <c r="O666" s="42"/>
      <c r="P666" s="40">
        <v>65</v>
      </c>
      <c r="Q666" s="91">
        <v>74.989999999999995</v>
      </c>
      <c r="R666" s="91">
        <v>75.89</v>
      </c>
      <c r="S666" s="91">
        <v>75.37</v>
      </c>
      <c r="T666" s="91">
        <v>76.61</v>
      </c>
      <c r="U666" s="91">
        <v>79.28</v>
      </c>
    </row>
    <row r="667" spans="1:21" x14ac:dyDescent="0.2">
      <c r="A667" s="48">
        <f t="shared" si="10"/>
        <v>659</v>
      </c>
      <c r="B667" s="43">
        <v>18</v>
      </c>
      <c r="C667" s="43">
        <v>30</v>
      </c>
      <c r="D667" s="38" t="s">
        <v>629</v>
      </c>
      <c r="E667" s="44" t="s">
        <v>188</v>
      </c>
      <c r="F667" s="44" t="s">
        <v>37</v>
      </c>
      <c r="G667" s="44" t="s">
        <v>108</v>
      </c>
      <c r="H667" s="44" t="s">
        <v>42</v>
      </c>
      <c r="I667" s="44" t="s">
        <v>42</v>
      </c>
      <c r="J667" s="44" t="s">
        <v>44</v>
      </c>
      <c r="K667" s="44" t="s">
        <v>44</v>
      </c>
      <c r="L667" s="40">
        <v>22778</v>
      </c>
      <c r="M667" s="41">
        <v>42250</v>
      </c>
      <c r="N667" s="40" t="s">
        <v>110</v>
      </c>
      <c r="O667" s="42"/>
      <c r="P667" s="40">
        <v>65</v>
      </c>
      <c r="Q667" s="91">
        <v>75.94</v>
      </c>
      <c r="R667" s="91">
        <v>75.8</v>
      </c>
      <c r="S667" s="91">
        <v>75.61</v>
      </c>
      <c r="T667" s="91">
        <v>76.540000000000006</v>
      </c>
      <c r="U667" s="91">
        <v>79.16</v>
      </c>
    </row>
    <row r="668" spans="1:21" x14ac:dyDescent="0.2">
      <c r="A668" s="48">
        <f t="shared" si="10"/>
        <v>660</v>
      </c>
      <c r="B668" s="43">
        <v>18</v>
      </c>
      <c r="C668" s="43">
        <v>31</v>
      </c>
      <c r="D668" s="38" t="s">
        <v>630</v>
      </c>
      <c r="E668" s="44" t="s">
        <v>190</v>
      </c>
      <c r="F668" s="44" t="s">
        <v>37</v>
      </c>
      <c r="G668" s="44" t="s">
        <v>108</v>
      </c>
      <c r="H668" s="44" t="s">
        <v>45</v>
      </c>
      <c r="I668" s="44" t="s">
        <v>45</v>
      </c>
      <c r="J668" s="44" t="s">
        <v>6</v>
      </c>
      <c r="K668" s="44" t="s">
        <v>128</v>
      </c>
      <c r="L668" s="40">
        <v>22779</v>
      </c>
      <c r="M668" s="41">
        <v>42250</v>
      </c>
      <c r="N668" s="40" t="s">
        <v>110</v>
      </c>
      <c r="O668" s="42"/>
      <c r="P668" s="40">
        <v>65</v>
      </c>
      <c r="Q668" s="91">
        <v>68.61</v>
      </c>
      <c r="R668" s="91">
        <v>71.89</v>
      </c>
      <c r="S668" s="91">
        <v>71.790000000000006</v>
      </c>
      <c r="T668" s="91">
        <v>73.95</v>
      </c>
      <c r="U668" s="91">
        <v>77.36</v>
      </c>
    </row>
    <row r="669" spans="1:21" x14ac:dyDescent="0.2">
      <c r="A669" s="48">
        <f t="shared" si="10"/>
        <v>661</v>
      </c>
      <c r="B669" s="43">
        <v>18</v>
      </c>
      <c r="C669" s="43">
        <v>32</v>
      </c>
      <c r="D669" s="38" t="s">
        <v>631</v>
      </c>
      <c r="E669" s="44" t="s">
        <v>192</v>
      </c>
      <c r="F669" s="44" t="s">
        <v>5</v>
      </c>
      <c r="G669" s="44" t="s">
        <v>108</v>
      </c>
      <c r="H669" s="44" t="s">
        <v>12</v>
      </c>
      <c r="I669" s="44" t="s">
        <v>12</v>
      </c>
      <c r="J669" s="44" t="s">
        <v>13</v>
      </c>
      <c r="K669" s="44" t="s">
        <v>117</v>
      </c>
      <c r="L669" s="40">
        <v>22780</v>
      </c>
      <c r="M669" s="41">
        <v>42250</v>
      </c>
      <c r="N669" s="40" t="s">
        <v>110</v>
      </c>
      <c r="O669" s="42"/>
      <c r="P669" s="40">
        <v>65</v>
      </c>
      <c r="Q669" s="91">
        <v>69.72</v>
      </c>
      <c r="R669" s="91">
        <v>71.56</v>
      </c>
      <c r="S669" s="91">
        <v>70.64</v>
      </c>
      <c r="T669" s="91">
        <v>72.33</v>
      </c>
      <c r="U669" s="91">
        <v>75.03</v>
      </c>
    </row>
    <row r="670" spans="1:21" x14ac:dyDescent="0.2">
      <c r="A670" s="48">
        <f t="shared" si="10"/>
        <v>662</v>
      </c>
      <c r="B670" s="43">
        <v>18</v>
      </c>
      <c r="C670" s="43">
        <v>33</v>
      </c>
      <c r="D670" s="38" t="s">
        <v>632</v>
      </c>
      <c r="E670" s="44" t="s">
        <v>194</v>
      </c>
      <c r="F670" s="44" t="s">
        <v>5</v>
      </c>
      <c r="G670" s="44" t="s">
        <v>108</v>
      </c>
      <c r="H670" s="44" t="s">
        <v>12</v>
      </c>
      <c r="I670" s="44" t="s">
        <v>12</v>
      </c>
      <c r="J670" s="44" t="s">
        <v>14</v>
      </c>
      <c r="K670" s="44" t="s">
        <v>123</v>
      </c>
      <c r="L670" s="40">
        <v>22781</v>
      </c>
      <c r="M670" s="41">
        <v>42250</v>
      </c>
      <c r="N670" s="40" t="s">
        <v>110</v>
      </c>
      <c r="O670" s="42"/>
      <c r="P670" s="40">
        <v>65</v>
      </c>
      <c r="Q670" s="91">
        <v>69.87</v>
      </c>
      <c r="R670" s="91">
        <v>72.510000000000005</v>
      </c>
      <c r="S670" s="91">
        <v>71.33</v>
      </c>
      <c r="T670" s="91">
        <v>73.34</v>
      </c>
      <c r="U670" s="91">
        <v>76.06</v>
      </c>
    </row>
    <row r="671" spans="1:21" x14ac:dyDescent="0.2">
      <c r="A671" s="48">
        <f t="shared" si="10"/>
        <v>663</v>
      </c>
      <c r="B671" s="43">
        <v>18</v>
      </c>
      <c r="C671" s="43">
        <v>34</v>
      </c>
      <c r="D671" s="38" t="s">
        <v>633</v>
      </c>
      <c r="E671" s="44" t="s">
        <v>196</v>
      </c>
      <c r="F671" s="44" t="s">
        <v>29</v>
      </c>
      <c r="G671" s="44" t="s">
        <v>108</v>
      </c>
      <c r="H671" s="44" t="s">
        <v>34</v>
      </c>
      <c r="I671" s="44" t="s">
        <v>34</v>
      </c>
      <c r="J671" s="44" t="s">
        <v>35</v>
      </c>
      <c r="K671" s="44" t="s">
        <v>197</v>
      </c>
      <c r="L671" s="40">
        <v>22782</v>
      </c>
      <c r="M671" s="41">
        <v>42250</v>
      </c>
      <c r="N671" s="40" t="s">
        <v>110</v>
      </c>
      <c r="O671" s="42"/>
      <c r="P671" s="40">
        <v>65</v>
      </c>
      <c r="Q671" s="91">
        <v>100.15</v>
      </c>
      <c r="R671" s="91">
        <v>104.03</v>
      </c>
      <c r="S671" s="91">
        <v>102.46</v>
      </c>
      <c r="T671" s="91">
        <v>104.96</v>
      </c>
      <c r="U671" s="91">
        <v>106.91</v>
      </c>
    </row>
    <row r="672" spans="1:21" x14ac:dyDescent="0.2">
      <c r="A672" s="48">
        <f t="shared" si="10"/>
        <v>664</v>
      </c>
      <c r="B672" s="43">
        <v>18</v>
      </c>
      <c r="C672" s="43">
        <v>35</v>
      </c>
      <c r="D672" s="38" t="s">
        <v>634</v>
      </c>
      <c r="E672" s="44" t="s">
        <v>199</v>
      </c>
      <c r="F672" s="44" t="s">
        <v>29</v>
      </c>
      <c r="G672" s="44" t="s">
        <v>108</v>
      </c>
      <c r="H672" s="44" t="s">
        <v>34</v>
      </c>
      <c r="I672" s="44" t="s">
        <v>34</v>
      </c>
      <c r="J672" s="44" t="s">
        <v>36</v>
      </c>
      <c r="K672" s="44" t="s">
        <v>200</v>
      </c>
      <c r="L672" s="40">
        <v>22783</v>
      </c>
      <c r="M672" s="41">
        <v>42250</v>
      </c>
      <c r="N672" s="40" t="s">
        <v>110</v>
      </c>
      <c r="O672" s="42"/>
      <c r="P672" s="40">
        <v>65</v>
      </c>
      <c r="Q672" s="91">
        <v>97.94</v>
      </c>
      <c r="R672" s="91">
        <v>102.49</v>
      </c>
      <c r="S672" s="91">
        <v>100.67</v>
      </c>
      <c r="T672" s="91">
        <v>103.41</v>
      </c>
      <c r="U672" s="91">
        <v>105.36</v>
      </c>
    </row>
    <row r="673" spans="1:21" x14ac:dyDescent="0.2">
      <c r="A673" s="48">
        <f t="shared" si="10"/>
        <v>665</v>
      </c>
      <c r="B673" s="43">
        <v>18</v>
      </c>
      <c r="C673" s="43">
        <v>36</v>
      </c>
      <c r="D673" s="38" t="s">
        <v>635</v>
      </c>
      <c r="E673" s="44" t="s">
        <v>202</v>
      </c>
      <c r="F673" s="44" t="s">
        <v>5</v>
      </c>
      <c r="G673" s="44" t="s">
        <v>108</v>
      </c>
      <c r="H673" s="44" t="s">
        <v>15</v>
      </c>
      <c r="I673" s="44" t="s">
        <v>203</v>
      </c>
      <c r="J673" s="44" t="s">
        <v>16</v>
      </c>
      <c r="K673" s="44" t="s">
        <v>128</v>
      </c>
      <c r="L673" s="40">
        <v>22784</v>
      </c>
      <c r="M673" s="41">
        <v>42250</v>
      </c>
      <c r="N673" s="40" t="s">
        <v>110</v>
      </c>
      <c r="O673" s="42"/>
      <c r="P673" s="40">
        <v>65</v>
      </c>
      <c r="Q673" s="91">
        <v>68.5</v>
      </c>
      <c r="R673" s="91">
        <v>70.16</v>
      </c>
      <c r="S673" s="91">
        <v>70.510000000000005</v>
      </c>
      <c r="T673" s="91">
        <v>71.97</v>
      </c>
      <c r="U673" s="91">
        <v>75.17</v>
      </c>
    </row>
    <row r="674" spans="1:21" x14ac:dyDescent="0.2">
      <c r="A674" s="48">
        <f t="shared" si="10"/>
        <v>666</v>
      </c>
      <c r="B674" s="20"/>
      <c r="C674" s="20"/>
      <c r="D674" s="20"/>
    </row>
    <row r="675" spans="1:21" x14ac:dyDescent="0.2">
      <c r="A675" s="48">
        <f t="shared" si="10"/>
        <v>667</v>
      </c>
      <c r="B675" s="43">
        <v>19</v>
      </c>
      <c r="C675" s="43">
        <v>1</v>
      </c>
      <c r="D675" s="38" t="s">
        <v>600</v>
      </c>
      <c r="E675" s="44" t="s">
        <v>107</v>
      </c>
      <c r="F675" s="44" t="s">
        <v>29</v>
      </c>
      <c r="G675" s="44" t="s">
        <v>108</v>
      </c>
      <c r="H675" s="44" t="s">
        <v>30</v>
      </c>
      <c r="I675" s="44" t="s">
        <v>30</v>
      </c>
      <c r="J675" s="44" t="s">
        <v>31</v>
      </c>
      <c r="K675" s="44" t="s">
        <v>109</v>
      </c>
      <c r="L675" s="40">
        <v>22749</v>
      </c>
      <c r="M675" s="41">
        <v>42250</v>
      </c>
      <c r="N675" s="40" t="s">
        <v>110</v>
      </c>
      <c r="O675" s="42"/>
      <c r="P675" s="40">
        <v>66</v>
      </c>
      <c r="Q675" s="91">
        <v>83.29</v>
      </c>
      <c r="R675" s="91">
        <v>89.82</v>
      </c>
      <c r="S675" s="91">
        <v>88.86</v>
      </c>
      <c r="T675" s="91">
        <v>93.56</v>
      </c>
      <c r="U675" s="91">
        <v>95.77</v>
      </c>
    </row>
    <row r="676" spans="1:21" x14ac:dyDescent="0.2">
      <c r="A676" s="48">
        <f t="shared" si="10"/>
        <v>668</v>
      </c>
      <c r="B676" s="43">
        <v>19</v>
      </c>
      <c r="C676" s="43">
        <v>2</v>
      </c>
      <c r="D676" s="38" t="s">
        <v>601</v>
      </c>
      <c r="E676" s="44" t="s">
        <v>112</v>
      </c>
      <c r="F676" s="44" t="s">
        <v>29</v>
      </c>
      <c r="G676" s="44" t="s">
        <v>108</v>
      </c>
      <c r="H676" s="44" t="s">
        <v>30</v>
      </c>
      <c r="I676" s="44" t="s">
        <v>30</v>
      </c>
      <c r="J676" s="44" t="s">
        <v>32</v>
      </c>
      <c r="K676" s="44" t="s">
        <v>113</v>
      </c>
      <c r="L676" s="40">
        <v>22750</v>
      </c>
      <c r="M676" s="41">
        <v>42250</v>
      </c>
      <c r="N676" s="40" t="s">
        <v>110</v>
      </c>
      <c r="O676" s="42"/>
      <c r="P676" s="40">
        <v>66</v>
      </c>
      <c r="Q676" s="91">
        <v>83.81</v>
      </c>
      <c r="R676" s="91">
        <v>88.95</v>
      </c>
      <c r="S676" s="91">
        <v>86.77</v>
      </c>
      <c r="T676" s="91">
        <v>90.27</v>
      </c>
      <c r="U676" s="91">
        <v>91.39</v>
      </c>
    </row>
    <row r="677" spans="1:21" x14ac:dyDescent="0.2">
      <c r="A677" s="48">
        <f t="shared" si="10"/>
        <v>669</v>
      </c>
      <c r="B677" s="43">
        <v>19</v>
      </c>
      <c r="C677" s="43">
        <v>3</v>
      </c>
      <c r="D677" s="38" t="s">
        <v>602</v>
      </c>
      <c r="E677" s="44" t="s">
        <v>115</v>
      </c>
      <c r="F677" s="44" t="s">
        <v>18</v>
      </c>
      <c r="G677" s="44" t="s">
        <v>108</v>
      </c>
      <c r="H677" s="44" t="s">
        <v>61</v>
      </c>
      <c r="I677" s="44" t="s">
        <v>116</v>
      </c>
      <c r="J677" s="44" t="s">
        <v>13</v>
      </c>
      <c r="K677" s="44" t="s">
        <v>117</v>
      </c>
      <c r="L677" s="40">
        <v>22751</v>
      </c>
      <c r="M677" s="41">
        <v>42250</v>
      </c>
      <c r="N677" s="40" t="s">
        <v>110</v>
      </c>
      <c r="O677" s="42"/>
      <c r="P677" s="40">
        <v>66</v>
      </c>
      <c r="Q677" s="91">
        <v>55.76</v>
      </c>
      <c r="R677" s="91">
        <v>58.1</v>
      </c>
      <c r="S677" s="91">
        <v>58.55</v>
      </c>
      <c r="T677" s="91">
        <v>60.25</v>
      </c>
      <c r="U677" s="91">
        <v>63.87</v>
      </c>
    </row>
    <row r="678" spans="1:21" x14ac:dyDescent="0.2">
      <c r="A678" s="48">
        <f t="shared" si="10"/>
        <v>670</v>
      </c>
      <c r="B678" s="43">
        <v>19</v>
      </c>
      <c r="C678" s="43">
        <v>4</v>
      </c>
      <c r="D678" s="38" t="s">
        <v>603</v>
      </c>
      <c r="E678" s="44" t="s">
        <v>119</v>
      </c>
      <c r="F678" s="44" t="s">
        <v>18</v>
      </c>
      <c r="G678" s="44" t="s">
        <v>108</v>
      </c>
      <c r="H678" s="44" t="s">
        <v>61</v>
      </c>
      <c r="I678" s="44" t="s">
        <v>116</v>
      </c>
      <c r="J678" s="44" t="s">
        <v>19</v>
      </c>
      <c r="K678" s="44" t="s">
        <v>120</v>
      </c>
      <c r="L678" s="40">
        <v>22752</v>
      </c>
      <c r="M678" s="41">
        <v>42250</v>
      </c>
      <c r="N678" s="40" t="s">
        <v>110</v>
      </c>
      <c r="O678" s="42"/>
      <c r="P678" s="40">
        <v>66</v>
      </c>
      <c r="Q678" s="91">
        <v>57.45</v>
      </c>
      <c r="R678" s="91">
        <v>59.72</v>
      </c>
      <c r="S678" s="91">
        <v>60.14</v>
      </c>
      <c r="T678" s="91">
        <v>61.87</v>
      </c>
      <c r="U678" s="91">
        <v>65.510000000000005</v>
      </c>
    </row>
    <row r="679" spans="1:21" x14ac:dyDescent="0.2">
      <c r="A679" s="48">
        <f t="shared" si="10"/>
        <v>671</v>
      </c>
      <c r="B679" s="43">
        <v>19</v>
      </c>
      <c r="C679" s="43">
        <v>5</v>
      </c>
      <c r="D679" s="38" t="s">
        <v>604</v>
      </c>
      <c r="E679" s="44" t="s">
        <v>122</v>
      </c>
      <c r="F679" s="44" t="s">
        <v>18</v>
      </c>
      <c r="G679" s="44" t="s">
        <v>108</v>
      </c>
      <c r="H679" s="44" t="s">
        <v>61</v>
      </c>
      <c r="I679" s="44" t="s">
        <v>116</v>
      </c>
      <c r="J679" s="44" t="s">
        <v>14</v>
      </c>
      <c r="K679" s="44" t="s">
        <v>123</v>
      </c>
      <c r="L679" s="40">
        <v>22753</v>
      </c>
      <c r="M679" s="41">
        <v>42250</v>
      </c>
      <c r="N679" s="40" t="s">
        <v>110</v>
      </c>
      <c r="O679" s="42"/>
      <c r="P679" s="40">
        <v>66</v>
      </c>
      <c r="Q679" s="91">
        <v>55.97</v>
      </c>
      <c r="R679" s="91">
        <v>58.7</v>
      </c>
      <c r="S679" s="91">
        <v>58.92</v>
      </c>
      <c r="T679" s="91">
        <v>60.82</v>
      </c>
      <c r="U679" s="91">
        <v>64.45</v>
      </c>
    </row>
    <row r="680" spans="1:21" x14ac:dyDescent="0.2">
      <c r="A680" s="48">
        <f t="shared" si="10"/>
        <v>672</v>
      </c>
      <c r="B680" s="43">
        <v>19</v>
      </c>
      <c r="C680" s="43">
        <v>6</v>
      </c>
      <c r="D680" s="38" t="s">
        <v>605</v>
      </c>
      <c r="E680" s="44" t="s">
        <v>125</v>
      </c>
      <c r="F680" s="44" t="s">
        <v>23</v>
      </c>
      <c r="G680" s="44" t="s">
        <v>126</v>
      </c>
      <c r="H680" s="44" t="s">
        <v>127</v>
      </c>
      <c r="I680" s="44" t="s">
        <v>27</v>
      </c>
      <c r="J680" s="44" t="s">
        <v>28</v>
      </c>
      <c r="K680" s="44" t="s">
        <v>128</v>
      </c>
      <c r="L680" s="40">
        <v>22754</v>
      </c>
      <c r="M680" s="41">
        <v>42250</v>
      </c>
      <c r="N680" s="40" t="s">
        <v>110</v>
      </c>
      <c r="O680" s="42"/>
      <c r="P680" s="40">
        <v>66</v>
      </c>
      <c r="Q680" s="91">
        <v>60.14</v>
      </c>
      <c r="R680" s="91">
        <v>62.99</v>
      </c>
      <c r="S680" s="91">
        <v>63.02</v>
      </c>
      <c r="T680" s="91">
        <v>64.37</v>
      </c>
      <c r="U680" s="91">
        <v>65.13</v>
      </c>
    </row>
    <row r="681" spans="1:21" x14ac:dyDescent="0.2">
      <c r="A681" s="48">
        <f t="shared" si="10"/>
        <v>673</v>
      </c>
      <c r="B681" s="43">
        <v>19</v>
      </c>
      <c r="C681" s="43">
        <v>7</v>
      </c>
      <c r="D681" s="38" t="s">
        <v>606</v>
      </c>
      <c r="E681" s="44" t="s">
        <v>130</v>
      </c>
      <c r="F681" s="44" t="s">
        <v>37</v>
      </c>
      <c r="G681" s="44" t="s">
        <v>108</v>
      </c>
      <c r="H681" s="44" t="s">
        <v>38</v>
      </c>
      <c r="I681" s="44" t="s">
        <v>38</v>
      </c>
      <c r="J681" s="44" t="s">
        <v>40</v>
      </c>
      <c r="K681" s="44" t="s">
        <v>123</v>
      </c>
      <c r="L681" s="40">
        <v>22756</v>
      </c>
      <c r="M681" s="41">
        <v>42250</v>
      </c>
      <c r="N681" s="40" t="s">
        <v>110</v>
      </c>
      <c r="O681" s="42"/>
      <c r="P681" s="40">
        <v>66</v>
      </c>
      <c r="Q681" s="91">
        <v>76.040000000000006</v>
      </c>
      <c r="R681" s="91">
        <v>78.510000000000005</v>
      </c>
      <c r="S681" s="91">
        <v>77.94</v>
      </c>
      <c r="T681" s="91">
        <v>79.53</v>
      </c>
      <c r="U681" s="91">
        <v>82.28</v>
      </c>
    </row>
    <row r="682" spans="1:21" x14ac:dyDescent="0.2">
      <c r="A682" s="48">
        <f t="shared" si="10"/>
        <v>674</v>
      </c>
      <c r="B682" s="43">
        <v>19</v>
      </c>
      <c r="C682" s="43">
        <v>8</v>
      </c>
      <c r="D682" s="38" t="s">
        <v>607</v>
      </c>
      <c r="E682" s="44" t="s">
        <v>132</v>
      </c>
      <c r="F682" s="44" t="s">
        <v>37</v>
      </c>
      <c r="G682" s="44" t="s">
        <v>108</v>
      </c>
      <c r="H682" s="44" t="s">
        <v>38</v>
      </c>
      <c r="I682" s="44" t="s">
        <v>38</v>
      </c>
      <c r="J682" s="44" t="s">
        <v>39</v>
      </c>
      <c r="K682" s="44" t="s">
        <v>120</v>
      </c>
      <c r="L682" s="40">
        <v>22755</v>
      </c>
      <c r="M682" s="41">
        <v>42250</v>
      </c>
      <c r="N682" s="40" t="s">
        <v>110</v>
      </c>
      <c r="O682" s="42"/>
      <c r="P682" s="40">
        <v>66</v>
      </c>
      <c r="Q682" s="91">
        <v>77.55</v>
      </c>
      <c r="R682" s="91">
        <v>79.59</v>
      </c>
      <c r="S682" s="91">
        <v>79.19</v>
      </c>
      <c r="T682" s="91">
        <v>80.599999999999994</v>
      </c>
      <c r="U682" s="91">
        <v>83.33</v>
      </c>
    </row>
    <row r="683" spans="1:21" x14ac:dyDescent="0.2">
      <c r="A683" s="48">
        <f t="shared" si="10"/>
        <v>675</v>
      </c>
      <c r="B683" s="43">
        <v>19</v>
      </c>
      <c r="C683" s="43">
        <v>9</v>
      </c>
      <c r="D683" s="38" t="s">
        <v>608</v>
      </c>
      <c r="E683" s="44" t="s">
        <v>134</v>
      </c>
      <c r="F683" s="44" t="s">
        <v>37</v>
      </c>
      <c r="G683" s="44" t="s">
        <v>108</v>
      </c>
      <c r="H683" s="44" t="s">
        <v>38</v>
      </c>
      <c r="I683" s="44" t="s">
        <v>38</v>
      </c>
      <c r="J683" s="44" t="s">
        <v>6</v>
      </c>
      <c r="K683" s="44" t="s">
        <v>117</v>
      </c>
      <c r="L683" s="40">
        <v>22757</v>
      </c>
      <c r="M683" s="41">
        <v>42250</v>
      </c>
      <c r="N683" s="40" t="s">
        <v>110</v>
      </c>
      <c r="O683" s="42"/>
      <c r="P683" s="40">
        <v>66</v>
      </c>
      <c r="Q683" s="91">
        <v>75.27</v>
      </c>
      <c r="R683" s="91">
        <v>77.680000000000007</v>
      </c>
      <c r="S683" s="91">
        <v>77.099999999999994</v>
      </c>
      <c r="T683" s="91">
        <v>78.67</v>
      </c>
      <c r="U683" s="91">
        <v>81.45</v>
      </c>
    </row>
    <row r="684" spans="1:21" x14ac:dyDescent="0.2">
      <c r="A684" s="48">
        <f t="shared" si="10"/>
        <v>676</v>
      </c>
      <c r="B684" s="43">
        <v>19</v>
      </c>
      <c r="C684" s="43">
        <v>10</v>
      </c>
      <c r="D684" s="38" t="s">
        <v>609</v>
      </c>
      <c r="E684" s="44" t="s">
        <v>136</v>
      </c>
      <c r="F684" s="44" t="s">
        <v>23</v>
      </c>
      <c r="G684" s="44" t="s">
        <v>108</v>
      </c>
      <c r="H684" s="44" t="s">
        <v>137</v>
      </c>
      <c r="I684" s="44" t="s">
        <v>24</v>
      </c>
      <c r="J684" s="44" t="s">
        <v>25</v>
      </c>
      <c r="K684" s="44" t="s">
        <v>138</v>
      </c>
      <c r="L684" s="40">
        <v>22758</v>
      </c>
      <c r="M684" s="41">
        <v>42250</v>
      </c>
      <c r="N684" s="40" t="s">
        <v>110</v>
      </c>
      <c r="O684" s="42"/>
      <c r="P684" s="40">
        <v>66</v>
      </c>
      <c r="Q684" s="91">
        <v>62.65</v>
      </c>
      <c r="R684" s="91">
        <v>64.02</v>
      </c>
      <c r="S684" s="91">
        <v>65.849999999999994</v>
      </c>
      <c r="T684" s="91">
        <v>68.19</v>
      </c>
      <c r="U684" s="91">
        <v>71.319999999999993</v>
      </c>
    </row>
    <row r="685" spans="1:21" x14ac:dyDescent="0.2">
      <c r="A685" s="48">
        <f t="shared" si="10"/>
        <v>677</v>
      </c>
      <c r="B685" s="43">
        <v>19</v>
      </c>
      <c r="C685" s="43">
        <v>11</v>
      </c>
      <c r="D685" s="38" t="s">
        <v>610</v>
      </c>
      <c r="E685" s="44" t="s">
        <v>140</v>
      </c>
      <c r="F685" s="44" t="s">
        <v>23</v>
      </c>
      <c r="G685" s="44" t="s">
        <v>108</v>
      </c>
      <c r="H685" s="44" t="s">
        <v>137</v>
      </c>
      <c r="I685" s="44" t="s">
        <v>24</v>
      </c>
      <c r="J685" s="44" t="s">
        <v>26</v>
      </c>
      <c r="K685" s="44" t="s">
        <v>141</v>
      </c>
      <c r="L685" s="40">
        <v>22759</v>
      </c>
      <c r="M685" s="41">
        <v>42250</v>
      </c>
      <c r="N685" s="40" t="s">
        <v>110</v>
      </c>
      <c r="O685" s="42"/>
      <c r="P685" s="40">
        <v>66</v>
      </c>
      <c r="Q685" s="91">
        <v>61.83</v>
      </c>
      <c r="R685" s="91">
        <v>63.22</v>
      </c>
      <c r="S685" s="91">
        <v>65.05</v>
      </c>
      <c r="T685" s="91">
        <v>67.400000000000006</v>
      </c>
      <c r="U685" s="91">
        <v>70.52</v>
      </c>
    </row>
    <row r="686" spans="1:21" x14ac:dyDescent="0.2">
      <c r="A686" s="48">
        <f t="shared" si="10"/>
        <v>678</v>
      </c>
      <c r="B686" s="43">
        <v>19</v>
      </c>
      <c r="C686" s="43">
        <v>12</v>
      </c>
      <c r="D686" s="38" t="s">
        <v>611</v>
      </c>
      <c r="E686" s="44" t="s">
        <v>143</v>
      </c>
      <c r="F686" s="44" t="s">
        <v>18</v>
      </c>
      <c r="G686" s="44" t="s">
        <v>108</v>
      </c>
      <c r="H686" s="44" t="s">
        <v>94</v>
      </c>
      <c r="I686" s="44" t="s">
        <v>144</v>
      </c>
      <c r="J686" s="44" t="s">
        <v>20</v>
      </c>
      <c r="K686" s="44" t="s">
        <v>145</v>
      </c>
      <c r="L686" s="40">
        <v>22760</v>
      </c>
      <c r="M686" s="41">
        <v>42250</v>
      </c>
      <c r="N686" s="40" t="s">
        <v>110</v>
      </c>
      <c r="O686" s="42"/>
      <c r="P686" s="40">
        <v>66</v>
      </c>
      <c r="Q686" s="91">
        <v>60.83</v>
      </c>
      <c r="R686" s="91">
        <v>59.26</v>
      </c>
      <c r="S686" s="91">
        <v>61.04</v>
      </c>
      <c r="T686" s="91">
        <v>61.29</v>
      </c>
      <c r="U686" s="91">
        <v>64.86</v>
      </c>
    </row>
    <row r="687" spans="1:21" x14ac:dyDescent="0.2">
      <c r="A687" s="48">
        <f t="shared" si="10"/>
        <v>679</v>
      </c>
      <c r="B687" s="43">
        <v>19</v>
      </c>
      <c r="C687" s="43">
        <v>13</v>
      </c>
      <c r="D687" s="38" t="s">
        <v>612</v>
      </c>
      <c r="E687" s="44" t="s">
        <v>147</v>
      </c>
      <c r="F687" s="44" t="s">
        <v>37</v>
      </c>
      <c r="G687" s="44" t="s">
        <v>108</v>
      </c>
      <c r="H687" s="44" t="s">
        <v>41</v>
      </c>
      <c r="I687" s="44" t="s">
        <v>41</v>
      </c>
      <c r="J687" s="44" t="s">
        <v>6</v>
      </c>
      <c r="K687" s="44" t="s">
        <v>128</v>
      </c>
      <c r="L687" s="40">
        <v>22761</v>
      </c>
      <c r="M687" s="41">
        <v>42250</v>
      </c>
      <c r="N687" s="40" t="s">
        <v>110</v>
      </c>
      <c r="O687" s="42"/>
      <c r="P687" s="40">
        <v>66</v>
      </c>
      <c r="Q687" s="91">
        <v>73.06</v>
      </c>
      <c r="R687" s="91">
        <v>77.83</v>
      </c>
      <c r="S687" s="91">
        <v>78.349999999999994</v>
      </c>
      <c r="T687" s="91">
        <v>82.45</v>
      </c>
      <c r="U687" s="91">
        <v>86.01</v>
      </c>
    </row>
    <row r="688" spans="1:21" x14ac:dyDescent="0.2">
      <c r="A688" s="48">
        <f t="shared" si="10"/>
        <v>680</v>
      </c>
      <c r="B688" s="43">
        <v>19</v>
      </c>
      <c r="C688" s="43">
        <v>14</v>
      </c>
      <c r="D688" s="38" t="s">
        <v>613</v>
      </c>
      <c r="E688" s="44" t="s">
        <v>149</v>
      </c>
      <c r="F688" s="44" t="s">
        <v>5</v>
      </c>
      <c r="G688" s="44" t="s">
        <v>108</v>
      </c>
      <c r="H688" s="44" t="s">
        <v>46</v>
      </c>
      <c r="I688" s="44" t="s">
        <v>46</v>
      </c>
      <c r="J688" s="44" t="s">
        <v>6</v>
      </c>
      <c r="K688" s="44" t="s">
        <v>128</v>
      </c>
      <c r="L688" s="40">
        <v>22762</v>
      </c>
      <c r="M688" s="41">
        <v>42250</v>
      </c>
      <c r="N688" s="40" t="s">
        <v>110</v>
      </c>
      <c r="O688" s="42"/>
      <c r="P688" s="40">
        <v>66</v>
      </c>
      <c r="Q688" s="91">
        <v>67.989999999999995</v>
      </c>
      <c r="R688" s="91">
        <v>70.05</v>
      </c>
      <c r="S688" s="91">
        <v>70.62</v>
      </c>
      <c r="T688" s="91">
        <v>72.260000000000005</v>
      </c>
      <c r="U688" s="91">
        <v>76.02</v>
      </c>
    </row>
    <row r="689" spans="1:21" x14ac:dyDescent="0.2">
      <c r="A689" s="48">
        <f t="shared" si="10"/>
        <v>681</v>
      </c>
      <c r="B689" s="43">
        <v>19</v>
      </c>
      <c r="C689" s="43">
        <v>15</v>
      </c>
      <c r="D689" s="38" t="s">
        <v>614</v>
      </c>
      <c r="E689" s="44" t="s">
        <v>151</v>
      </c>
      <c r="F689" s="44" t="s">
        <v>18</v>
      </c>
      <c r="G689" s="44" t="s">
        <v>108</v>
      </c>
      <c r="H689" s="44" t="s">
        <v>21</v>
      </c>
      <c r="I689" s="44" t="s">
        <v>152</v>
      </c>
      <c r="J689" s="44" t="s">
        <v>22</v>
      </c>
      <c r="K689" s="44" t="s">
        <v>128</v>
      </c>
      <c r="L689" s="40">
        <v>22763</v>
      </c>
      <c r="M689" s="41">
        <v>42250</v>
      </c>
      <c r="N689" s="40" t="s">
        <v>110</v>
      </c>
      <c r="O689" s="42"/>
      <c r="P689" s="40">
        <v>66</v>
      </c>
      <c r="Q689" s="91">
        <v>56.18</v>
      </c>
      <c r="R689" s="91">
        <v>58.01</v>
      </c>
      <c r="S689" s="91">
        <v>58.4</v>
      </c>
      <c r="T689" s="91">
        <v>59.87</v>
      </c>
      <c r="U689" s="91">
        <v>63.18</v>
      </c>
    </row>
    <row r="690" spans="1:21" x14ac:dyDescent="0.2">
      <c r="A690" s="48">
        <f t="shared" si="10"/>
        <v>682</v>
      </c>
      <c r="B690" s="43">
        <v>19</v>
      </c>
      <c r="C690" s="43">
        <v>16</v>
      </c>
      <c r="D690" s="38" t="s">
        <v>615</v>
      </c>
      <c r="E690" s="44" t="s">
        <v>154</v>
      </c>
      <c r="F690" s="44" t="s">
        <v>18</v>
      </c>
      <c r="G690" s="44" t="s">
        <v>108</v>
      </c>
      <c r="H690" s="44" t="s">
        <v>62</v>
      </c>
      <c r="I690" s="44" t="s">
        <v>155</v>
      </c>
      <c r="J690" s="44" t="s">
        <v>6</v>
      </c>
      <c r="K690" s="44" t="s">
        <v>128</v>
      </c>
      <c r="L690" s="40">
        <v>22764</v>
      </c>
      <c r="M690" s="41">
        <v>42250</v>
      </c>
      <c r="N690" s="40" t="s">
        <v>110</v>
      </c>
      <c r="O690" s="42"/>
      <c r="P690" s="40">
        <v>66</v>
      </c>
      <c r="Q690" s="91">
        <v>60.85</v>
      </c>
      <c r="R690" s="91">
        <v>60.55</v>
      </c>
      <c r="S690" s="91">
        <v>61.43</v>
      </c>
      <c r="T690" s="91">
        <v>62.23</v>
      </c>
      <c r="U690" s="91">
        <v>65.489999999999995</v>
      </c>
    </row>
    <row r="691" spans="1:21" x14ac:dyDescent="0.2">
      <c r="A691" s="48">
        <f t="shared" si="10"/>
        <v>683</v>
      </c>
      <c r="B691" s="43">
        <v>19</v>
      </c>
      <c r="C691" s="43">
        <v>17</v>
      </c>
      <c r="D691" s="38" t="s">
        <v>616</v>
      </c>
      <c r="E691" s="44" t="s">
        <v>157</v>
      </c>
      <c r="F691" s="44" t="s">
        <v>29</v>
      </c>
      <c r="G691" s="44" t="s">
        <v>108</v>
      </c>
      <c r="H691" s="44" t="s">
        <v>33</v>
      </c>
      <c r="I691" s="44" t="s">
        <v>33</v>
      </c>
      <c r="J691" s="44" t="s">
        <v>7</v>
      </c>
      <c r="K691" s="44" t="s">
        <v>123</v>
      </c>
      <c r="L691" s="40">
        <v>22765</v>
      </c>
      <c r="M691" s="41">
        <v>42250</v>
      </c>
      <c r="N691" s="40" t="s">
        <v>110</v>
      </c>
      <c r="O691" s="42"/>
      <c r="P691" s="40">
        <v>66</v>
      </c>
      <c r="Q691" s="91">
        <v>78.14</v>
      </c>
      <c r="R691" s="91">
        <v>82.86</v>
      </c>
      <c r="S691" s="91">
        <v>83.08</v>
      </c>
      <c r="T691" s="91">
        <v>87</v>
      </c>
      <c r="U691" s="91">
        <v>90.34</v>
      </c>
    </row>
    <row r="692" spans="1:21" x14ac:dyDescent="0.2">
      <c r="A692" s="48">
        <f t="shared" si="10"/>
        <v>684</v>
      </c>
      <c r="B692" s="43">
        <v>19</v>
      </c>
      <c r="C692" s="43">
        <v>18</v>
      </c>
      <c r="D692" s="38" t="s">
        <v>617</v>
      </c>
      <c r="E692" s="44" t="s">
        <v>159</v>
      </c>
      <c r="F692" s="44" t="s">
        <v>29</v>
      </c>
      <c r="G692" s="44" t="s">
        <v>108</v>
      </c>
      <c r="H692" s="44" t="s">
        <v>33</v>
      </c>
      <c r="I692" s="44" t="s">
        <v>33</v>
      </c>
      <c r="J692" s="44" t="s">
        <v>8</v>
      </c>
      <c r="K692" s="44" t="s">
        <v>120</v>
      </c>
      <c r="L692" s="40">
        <v>22766</v>
      </c>
      <c r="M692" s="41">
        <v>42250</v>
      </c>
      <c r="N692" s="40" t="s">
        <v>110</v>
      </c>
      <c r="O692" s="42"/>
      <c r="P692" s="40">
        <v>66</v>
      </c>
      <c r="Q692" s="91">
        <v>81.3</v>
      </c>
      <c r="R692" s="91">
        <v>86.12</v>
      </c>
      <c r="S692" s="91">
        <v>86.47</v>
      </c>
      <c r="T692" s="91">
        <v>90.28</v>
      </c>
      <c r="U692" s="91">
        <v>93.68</v>
      </c>
    </row>
    <row r="693" spans="1:21" x14ac:dyDescent="0.2">
      <c r="A693" s="48">
        <f t="shared" si="10"/>
        <v>685</v>
      </c>
      <c r="B693" s="43">
        <v>19</v>
      </c>
      <c r="C693" s="43">
        <v>19</v>
      </c>
      <c r="D693" s="38" t="s">
        <v>618</v>
      </c>
      <c r="E693" s="44" t="s">
        <v>161</v>
      </c>
      <c r="F693" s="44" t="s">
        <v>29</v>
      </c>
      <c r="G693" s="44" t="s">
        <v>108</v>
      </c>
      <c r="H693" s="44" t="s">
        <v>33</v>
      </c>
      <c r="I693" s="44" t="s">
        <v>33</v>
      </c>
      <c r="J693" s="44" t="s">
        <v>9</v>
      </c>
      <c r="K693" s="44" t="s">
        <v>117</v>
      </c>
      <c r="L693" s="40">
        <v>22767</v>
      </c>
      <c r="M693" s="41">
        <v>42250</v>
      </c>
      <c r="N693" s="40" t="s">
        <v>110</v>
      </c>
      <c r="O693" s="42"/>
      <c r="P693" s="40">
        <v>66</v>
      </c>
      <c r="Q693" s="91">
        <v>80.17</v>
      </c>
      <c r="R693" s="91">
        <v>83.98</v>
      </c>
      <c r="S693" s="91">
        <v>84.69</v>
      </c>
      <c r="T693" s="91">
        <v>88.11</v>
      </c>
      <c r="U693" s="91">
        <v>91.43</v>
      </c>
    </row>
    <row r="694" spans="1:21" x14ac:dyDescent="0.2">
      <c r="A694" s="48">
        <f t="shared" si="10"/>
        <v>686</v>
      </c>
      <c r="B694" s="43">
        <v>19</v>
      </c>
      <c r="C694" s="43">
        <v>20</v>
      </c>
      <c r="D694" s="38" t="s">
        <v>619</v>
      </c>
      <c r="E694" s="44" t="s">
        <v>163</v>
      </c>
      <c r="F694" s="44" t="s">
        <v>5</v>
      </c>
      <c r="G694" s="44" t="s">
        <v>108</v>
      </c>
      <c r="H694" s="44" t="s">
        <v>164</v>
      </c>
      <c r="I694" s="44" t="s">
        <v>165</v>
      </c>
      <c r="J694" s="44" t="s">
        <v>7</v>
      </c>
      <c r="K694" s="44" t="s">
        <v>123</v>
      </c>
      <c r="L694" s="40">
        <v>22769</v>
      </c>
      <c r="M694" s="41">
        <v>42250</v>
      </c>
      <c r="N694" s="40" t="s">
        <v>110</v>
      </c>
      <c r="O694" s="42"/>
      <c r="P694" s="40">
        <v>66</v>
      </c>
      <c r="Q694" s="91">
        <v>58.2</v>
      </c>
      <c r="R694" s="91">
        <v>62.41</v>
      </c>
      <c r="S694" s="91">
        <v>61.78</v>
      </c>
      <c r="T694" s="91">
        <v>64.180000000000007</v>
      </c>
      <c r="U694" s="91">
        <v>67.31</v>
      </c>
    </row>
    <row r="695" spans="1:21" x14ac:dyDescent="0.2">
      <c r="A695" s="48">
        <f t="shared" si="10"/>
        <v>687</v>
      </c>
      <c r="B695" s="43">
        <v>19</v>
      </c>
      <c r="C695" s="43">
        <v>21</v>
      </c>
      <c r="D695" s="38" t="s">
        <v>620</v>
      </c>
      <c r="E695" s="44" t="s">
        <v>167</v>
      </c>
      <c r="F695" s="44" t="s">
        <v>5</v>
      </c>
      <c r="G695" s="44" t="s">
        <v>108</v>
      </c>
      <c r="H695" s="44" t="s">
        <v>164</v>
      </c>
      <c r="I695" s="44" t="s">
        <v>165</v>
      </c>
      <c r="J695" s="44" t="s">
        <v>8</v>
      </c>
      <c r="K695" s="44" t="s">
        <v>120</v>
      </c>
      <c r="L695" s="40">
        <v>22768</v>
      </c>
      <c r="M695" s="41">
        <v>42250</v>
      </c>
      <c r="N695" s="40" t="s">
        <v>110</v>
      </c>
      <c r="O695" s="42"/>
      <c r="P695" s="40">
        <v>66</v>
      </c>
      <c r="Q695" s="91">
        <v>59.62</v>
      </c>
      <c r="R695" s="91">
        <v>63.55</v>
      </c>
      <c r="S695" s="91">
        <v>63.01</v>
      </c>
      <c r="T695" s="91">
        <v>65.31</v>
      </c>
      <c r="U695" s="91">
        <v>68.44</v>
      </c>
    </row>
    <row r="696" spans="1:21" x14ac:dyDescent="0.2">
      <c r="A696" s="48">
        <f t="shared" si="10"/>
        <v>688</v>
      </c>
      <c r="B696" s="43">
        <v>19</v>
      </c>
      <c r="C696" s="43">
        <v>22</v>
      </c>
      <c r="D696" s="38" t="s">
        <v>621</v>
      </c>
      <c r="E696" s="44" t="s">
        <v>169</v>
      </c>
      <c r="F696" s="44" t="s">
        <v>5</v>
      </c>
      <c r="G696" s="44" t="s">
        <v>108</v>
      </c>
      <c r="H696" s="44" t="s">
        <v>164</v>
      </c>
      <c r="I696" s="44" t="s">
        <v>165</v>
      </c>
      <c r="J696" s="44" t="s">
        <v>9</v>
      </c>
      <c r="K696" s="44" t="s">
        <v>117</v>
      </c>
      <c r="L696" s="40">
        <v>22770</v>
      </c>
      <c r="M696" s="41">
        <v>42250</v>
      </c>
      <c r="N696" s="40" t="s">
        <v>110</v>
      </c>
      <c r="O696" s="42"/>
      <c r="P696" s="40">
        <v>66</v>
      </c>
      <c r="Q696" s="91">
        <v>59.44</v>
      </c>
      <c r="R696" s="91">
        <v>63.02</v>
      </c>
      <c r="S696" s="91">
        <v>62.63</v>
      </c>
      <c r="T696" s="91">
        <v>64.760000000000005</v>
      </c>
      <c r="U696" s="91">
        <v>67.86</v>
      </c>
    </row>
    <row r="697" spans="1:21" x14ac:dyDescent="0.2">
      <c r="A697" s="48">
        <f t="shared" si="10"/>
        <v>689</v>
      </c>
      <c r="B697" s="43">
        <v>19</v>
      </c>
      <c r="C697" s="43">
        <v>23</v>
      </c>
      <c r="D697" s="38" t="s">
        <v>622</v>
      </c>
      <c r="E697" s="44" t="s">
        <v>171</v>
      </c>
      <c r="F697" s="44" t="s">
        <v>5</v>
      </c>
      <c r="G697" s="44" t="s">
        <v>108</v>
      </c>
      <c r="H697" s="44" t="s">
        <v>11</v>
      </c>
      <c r="I697" s="44" t="s">
        <v>11</v>
      </c>
      <c r="J697" s="44" t="s">
        <v>6</v>
      </c>
      <c r="K697" s="44" t="s">
        <v>128</v>
      </c>
      <c r="L697" s="40">
        <v>22771</v>
      </c>
      <c r="M697" s="41">
        <v>42250</v>
      </c>
      <c r="N697" s="40" t="s">
        <v>110</v>
      </c>
      <c r="O697" s="42"/>
      <c r="P697" s="40">
        <v>66</v>
      </c>
      <c r="Q697" s="91">
        <v>61.04</v>
      </c>
      <c r="R697" s="91">
        <v>66.59</v>
      </c>
      <c r="S697" s="91">
        <v>66.540000000000006</v>
      </c>
      <c r="T697" s="91">
        <v>70.58</v>
      </c>
      <c r="U697" s="91">
        <v>72.849999999999994</v>
      </c>
    </row>
    <row r="698" spans="1:21" x14ac:dyDescent="0.2">
      <c r="A698" s="48">
        <f t="shared" si="10"/>
        <v>690</v>
      </c>
      <c r="B698" s="43">
        <v>19</v>
      </c>
      <c r="C698" s="43">
        <v>24</v>
      </c>
      <c r="D698" s="38" t="s">
        <v>623</v>
      </c>
      <c r="E698" s="44" t="s">
        <v>173</v>
      </c>
      <c r="F698" s="44" t="s">
        <v>5</v>
      </c>
      <c r="G698" s="44" t="s">
        <v>108</v>
      </c>
      <c r="H698" s="44" t="s">
        <v>10</v>
      </c>
      <c r="I698" s="44" t="s">
        <v>174</v>
      </c>
      <c r="J698" s="44" t="s">
        <v>7</v>
      </c>
      <c r="K698" s="44" t="s">
        <v>123</v>
      </c>
      <c r="L698" s="40">
        <v>22772</v>
      </c>
      <c r="M698" s="41">
        <v>42250</v>
      </c>
      <c r="N698" s="40" t="s">
        <v>110</v>
      </c>
      <c r="O698" s="42"/>
      <c r="P698" s="40">
        <v>66</v>
      </c>
      <c r="Q698" s="91">
        <v>62.55</v>
      </c>
      <c r="R698" s="91">
        <v>64.48</v>
      </c>
      <c r="S698" s="91">
        <v>64.290000000000006</v>
      </c>
      <c r="T698" s="91">
        <v>65.92</v>
      </c>
      <c r="U698" s="91">
        <v>69.28</v>
      </c>
    </row>
    <row r="699" spans="1:21" x14ac:dyDescent="0.2">
      <c r="A699" s="48">
        <f t="shared" si="10"/>
        <v>691</v>
      </c>
      <c r="B699" s="43">
        <v>19</v>
      </c>
      <c r="C699" s="43">
        <v>25</v>
      </c>
      <c r="D699" s="38" t="s">
        <v>624</v>
      </c>
      <c r="E699" s="44" t="s">
        <v>176</v>
      </c>
      <c r="F699" s="44" t="s">
        <v>5</v>
      </c>
      <c r="G699" s="44" t="s">
        <v>108</v>
      </c>
      <c r="H699" s="44" t="s">
        <v>10</v>
      </c>
      <c r="I699" s="44" t="s">
        <v>174</v>
      </c>
      <c r="J699" s="44" t="s">
        <v>8</v>
      </c>
      <c r="K699" s="44" t="s">
        <v>120</v>
      </c>
      <c r="L699" s="40">
        <v>22773</v>
      </c>
      <c r="M699" s="41">
        <v>42250</v>
      </c>
      <c r="N699" s="40" t="s">
        <v>110</v>
      </c>
      <c r="O699" s="42"/>
      <c r="P699" s="40">
        <v>66</v>
      </c>
      <c r="Q699" s="91">
        <v>64.290000000000006</v>
      </c>
      <c r="R699" s="91">
        <v>65.7</v>
      </c>
      <c r="S699" s="91">
        <v>65.709999999999994</v>
      </c>
      <c r="T699" s="91">
        <v>67.14</v>
      </c>
      <c r="U699" s="91">
        <v>70.510000000000005</v>
      </c>
    </row>
    <row r="700" spans="1:21" x14ac:dyDescent="0.2">
      <c r="A700" s="48">
        <f t="shared" si="10"/>
        <v>692</v>
      </c>
      <c r="B700" s="43">
        <v>19</v>
      </c>
      <c r="C700" s="43">
        <v>26</v>
      </c>
      <c r="D700" s="38" t="s">
        <v>625</v>
      </c>
      <c r="E700" s="44" t="s">
        <v>178</v>
      </c>
      <c r="F700" s="44" t="s">
        <v>5</v>
      </c>
      <c r="G700" s="44" t="s">
        <v>108</v>
      </c>
      <c r="H700" s="44" t="s">
        <v>10</v>
      </c>
      <c r="I700" s="44" t="s">
        <v>174</v>
      </c>
      <c r="J700" s="44" t="s">
        <v>9</v>
      </c>
      <c r="K700" s="44" t="s">
        <v>117</v>
      </c>
      <c r="L700" s="40">
        <v>22774</v>
      </c>
      <c r="M700" s="41">
        <v>42250</v>
      </c>
      <c r="N700" s="40" t="s">
        <v>110</v>
      </c>
      <c r="O700" s="42"/>
      <c r="P700" s="40">
        <v>66</v>
      </c>
      <c r="Q700" s="91">
        <v>67.25</v>
      </c>
      <c r="R700" s="91">
        <v>65.680000000000007</v>
      </c>
      <c r="S700" s="91">
        <v>66.680000000000007</v>
      </c>
      <c r="T700" s="91">
        <v>67.13</v>
      </c>
      <c r="U700" s="91">
        <v>70.44</v>
      </c>
    </row>
    <row r="701" spans="1:21" x14ac:dyDescent="0.2">
      <c r="A701" s="48">
        <f t="shared" si="10"/>
        <v>693</v>
      </c>
      <c r="B701" s="43">
        <v>19</v>
      </c>
      <c r="C701" s="43">
        <v>27</v>
      </c>
      <c r="D701" s="38" t="s">
        <v>626</v>
      </c>
      <c r="E701" s="44" t="s">
        <v>180</v>
      </c>
      <c r="F701" s="44" t="s">
        <v>5</v>
      </c>
      <c r="G701" s="44" t="s">
        <v>108</v>
      </c>
      <c r="H701" s="44" t="s">
        <v>91</v>
      </c>
      <c r="I701" s="44" t="s">
        <v>181</v>
      </c>
      <c r="J701" s="44" t="s">
        <v>6</v>
      </c>
      <c r="K701" s="44" t="s">
        <v>128</v>
      </c>
      <c r="L701" s="40">
        <v>22775</v>
      </c>
      <c r="M701" s="41">
        <v>42250</v>
      </c>
      <c r="N701" s="40" t="s">
        <v>110</v>
      </c>
      <c r="O701" s="42"/>
      <c r="P701" s="40">
        <v>66</v>
      </c>
      <c r="Q701" s="91">
        <v>72.02</v>
      </c>
      <c r="R701" s="91">
        <v>71.510000000000005</v>
      </c>
      <c r="S701" s="91">
        <v>72.5</v>
      </c>
      <c r="T701" s="91">
        <v>73.25</v>
      </c>
      <c r="U701" s="91">
        <v>76.540000000000006</v>
      </c>
    </row>
    <row r="702" spans="1:21" x14ac:dyDescent="0.2">
      <c r="A702" s="48">
        <f t="shared" si="10"/>
        <v>694</v>
      </c>
      <c r="B702" s="43">
        <v>19</v>
      </c>
      <c r="C702" s="43">
        <v>28</v>
      </c>
      <c r="D702" s="38" t="s">
        <v>627</v>
      </c>
      <c r="E702" s="44" t="s">
        <v>183</v>
      </c>
      <c r="F702" s="44" t="s">
        <v>37</v>
      </c>
      <c r="G702" s="44" t="s">
        <v>108</v>
      </c>
      <c r="H702" s="44" t="s">
        <v>42</v>
      </c>
      <c r="I702" s="44" t="s">
        <v>42</v>
      </c>
      <c r="J702" s="44" t="s">
        <v>6</v>
      </c>
      <c r="K702" s="44" t="s">
        <v>128</v>
      </c>
      <c r="L702" s="40">
        <v>22776</v>
      </c>
      <c r="M702" s="41">
        <v>42250</v>
      </c>
      <c r="N702" s="40" t="s">
        <v>110</v>
      </c>
      <c r="O702" s="42"/>
      <c r="P702" s="40">
        <v>66</v>
      </c>
      <c r="Q702" s="91">
        <v>76.23</v>
      </c>
      <c r="R702" s="91">
        <v>77.45</v>
      </c>
      <c r="S702" s="91">
        <v>77.56</v>
      </c>
      <c r="T702" s="91">
        <v>78.650000000000006</v>
      </c>
      <c r="U702" s="91">
        <v>81.8</v>
      </c>
    </row>
    <row r="703" spans="1:21" x14ac:dyDescent="0.2">
      <c r="A703" s="48">
        <f t="shared" si="10"/>
        <v>695</v>
      </c>
      <c r="B703" s="43">
        <v>19</v>
      </c>
      <c r="C703" s="43">
        <v>29</v>
      </c>
      <c r="D703" s="38" t="s">
        <v>628</v>
      </c>
      <c r="E703" s="44" t="s">
        <v>185</v>
      </c>
      <c r="F703" s="44" t="s">
        <v>37</v>
      </c>
      <c r="G703" s="44" t="s">
        <v>108</v>
      </c>
      <c r="H703" s="44" t="s">
        <v>42</v>
      </c>
      <c r="I703" s="44" t="s">
        <v>42</v>
      </c>
      <c r="J703" s="44" t="s">
        <v>43</v>
      </c>
      <c r="K703" s="44" t="s">
        <v>186</v>
      </c>
      <c r="L703" s="40">
        <v>22777</v>
      </c>
      <c r="M703" s="41">
        <v>42250</v>
      </c>
      <c r="N703" s="40" t="s">
        <v>110</v>
      </c>
      <c r="O703" s="42"/>
      <c r="P703" s="40">
        <v>66</v>
      </c>
      <c r="Q703" s="91">
        <v>72.260000000000005</v>
      </c>
      <c r="R703" s="91">
        <v>75.260000000000005</v>
      </c>
      <c r="S703" s="91">
        <v>74.7</v>
      </c>
      <c r="T703" s="91">
        <v>76.41</v>
      </c>
      <c r="U703" s="91">
        <v>79.52</v>
      </c>
    </row>
    <row r="704" spans="1:21" x14ac:dyDescent="0.2">
      <c r="A704" s="48">
        <f t="shared" si="10"/>
        <v>696</v>
      </c>
      <c r="B704" s="43">
        <v>19</v>
      </c>
      <c r="C704" s="43">
        <v>30</v>
      </c>
      <c r="D704" s="38" t="s">
        <v>629</v>
      </c>
      <c r="E704" s="44" t="s">
        <v>188</v>
      </c>
      <c r="F704" s="44" t="s">
        <v>37</v>
      </c>
      <c r="G704" s="44" t="s">
        <v>108</v>
      </c>
      <c r="H704" s="44" t="s">
        <v>42</v>
      </c>
      <c r="I704" s="44" t="s">
        <v>42</v>
      </c>
      <c r="J704" s="44" t="s">
        <v>44</v>
      </c>
      <c r="K704" s="44" t="s">
        <v>44</v>
      </c>
      <c r="L704" s="40">
        <v>22778</v>
      </c>
      <c r="M704" s="41">
        <v>42250</v>
      </c>
      <c r="N704" s="40" t="s">
        <v>110</v>
      </c>
      <c r="O704" s="42"/>
      <c r="P704" s="40">
        <v>66</v>
      </c>
      <c r="Q704" s="91">
        <v>73.17</v>
      </c>
      <c r="R704" s="91">
        <v>75.17</v>
      </c>
      <c r="S704" s="91">
        <v>74.959999999999994</v>
      </c>
      <c r="T704" s="91">
        <v>76.31</v>
      </c>
      <c r="U704" s="91">
        <v>79.400000000000006</v>
      </c>
    </row>
    <row r="705" spans="1:21" x14ac:dyDescent="0.2">
      <c r="A705" s="48">
        <f t="shared" si="10"/>
        <v>697</v>
      </c>
      <c r="B705" s="43">
        <v>19</v>
      </c>
      <c r="C705" s="43">
        <v>31</v>
      </c>
      <c r="D705" s="38" t="s">
        <v>630</v>
      </c>
      <c r="E705" s="44" t="s">
        <v>190</v>
      </c>
      <c r="F705" s="44" t="s">
        <v>37</v>
      </c>
      <c r="G705" s="44" t="s">
        <v>108</v>
      </c>
      <c r="H705" s="44" t="s">
        <v>45</v>
      </c>
      <c r="I705" s="44" t="s">
        <v>45</v>
      </c>
      <c r="J705" s="44" t="s">
        <v>6</v>
      </c>
      <c r="K705" s="44" t="s">
        <v>128</v>
      </c>
      <c r="L705" s="40">
        <v>22779</v>
      </c>
      <c r="M705" s="41">
        <v>42250</v>
      </c>
      <c r="N705" s="40" t="s">
        <v>110</v>
      </c>
      <c r="O705" s="42"/>
      <c r="P705" s="40">
        <v>66</v>
      </c>
      <c r="Q705" s="91">
        <v>68.739999999999995</v>
      </c>
      <c r="R705" s="91">
        <v>71.77</v>
      </c>
      <c r="S705" s="91">
        <v>72.209999999999994</v>
      </c>
      <c r="T705" s="91">
        <v>74.099999999999994</v>
      </c>
      <c r="U705" s="91">
        <v>77.81</v>
      </c>
    </row>
    <row r="706" spans="1:21" x14ac:dyDescent="0.2">
      <c r="A706" s="48">
        <f t="shared" si="10"/>
        <v>698</v>
      </c>
      <c r="B706" s="43">
        <v>19</v>
      </c>
      <c r="C706" s="43">
        <v>32</v>
      </c>
      <c r="D706" s="38" t="s">
        <v>631</v>
      </c>
      <c r="E706" s="44" t="s">
        <v>192</v>
      </c>
      <c r="F706" s="44" t="s">
        <v>5</v>
      </c>
      <c r="G706" s="44" t="s">
        <v>108</v>
      </c>
      <c r="H706" s="44" t="s">
        <v>12</v>
      </c>
      <c r="I706" s="44" t="s">
        <v>12</v>
      </c>
      <c r="J706" s="44" t="s">
        <v>13</v>
      </c>
      <c r="K706" s="44" t="s">
        <v>117</v>
      </c>
      <c r="L706" s="40">
        <v>22780</v>
      </c>
      <c r="M706" s="41">
        <v>42250</v>
      </c>
      <c r="N706" s="40" t="s">
        <v>110</v>
      </c>
      <c r="O706" s="42"/>
      <c r="P706" s="40">
        <v>66</v>
      </c>
      <c r="Q706" s="91">
        <v>66.53</v>
      </c>
      <c r="R706" s="91">
        <v>70.94</v>
      </c>
      <c r="S706" s="91">
        <v>69.849999999999994</v>
      </c>
      <c r="T706" s="91">
        <v>72.150000000000006</v>
      </c>
      <c r="U706" s="91">
        <v>75.38</v>
      </c>
    </row>
    <row r="707" spans="1:21" x14ac:dyDescent="0.2">
      <c r="A707" s="48">
        <f t="shared" si="10"/>
        <v>699</v>
      </c>
      <c r="B707" s="43">
        <v>19</v>
      </c>
      <c r="C707" s="43">
        <v>33</v>
      </c>
      <c r="D707" s="38" t="s">
        <v>632</v>
      </c>
      <c r="E707" s="44" t="s">
        <v>194</v>
      </c>
      <c r="F707" s="44" t="s">
        <v>5</v>
      </c>
      <c r="G707" s="44" t="s">
        <v>108</v>
      </c>
      <c r="H707" s="44" t="s">
        <v>12</v>
      </c>
      <c r="I707" s="44" t="s">
        <v>12</v>
      </c>
      <c r="J707" s="44" t="s">
        <v>14</v>
      </c>
      <c r="K707" s="44" t="s">
        <v>123</v>
      </c>
      <c r="L707" s="40">
        <v>22781</v>
      </c>
      <c r="M707" s="41">
        <v>42250</v>
      </c>
      <c r="N707" s="40" t="s">
        <v>110</v>
      </c>
      <c r="O707" s="42"/>
      <c r="P707" s="40">
        <v>66</v>
      </c>
      <c r="Q707" s="91">
        <v>66.63</v>
      </c>
      <c r="R707" s="91">
        <v>71.88</v>
      </c>
      <c r="S707" s="91">
        <v>70.52</v>
      </c>
      <c r="T707" s="91">
        <v>73.16</v>
      </c>
      <c r="U707" s="91">
        <v>76.41</v>
      </c>
    </row>
    <row r="708" spans="1:21" x14ac:dyDescent="0.2">
      <c r="A708" s="48">
        <f t="shared" si="10"/>
        <v>700</v>
      </c>
      <c r="B708" s="43">
        <v>19</v>
      </c>
      <c r="C708" s="43">
        <v>34</v>
      </c>
      <c r="D708" s="38" t="s">
        <v>633</v>
      </c>
      <c r="E708" s="44" t="s">
        <v>196</v>
      </c>
      <c r="F708" s="44" t="s">
        <v>29</v>
      </c>
      <c r="G708" s="44" t="s">
        <v>108</v>
      </c>
      <c r="H708" s="44" t="s">
        <v>34</v>
      </c>
      <c r="I708" s="44" t="s">
        <v>34</v>
      </c>
      <c r="J708" s="44" t="s">
        <v>35</v>
      </c>
      <c r="K708" s="44" t="s">
        <v>197</v>
      </c>
      <c r="L708" s="40">
        <v>22782</v>
      </c>
      <c r="M708" s="41">
        <v>42250</v>
      </c>
      <c r="N708" s="40" t="s">
        <v>110</v>
      </c>
      <c r="O708" s="42"/>
      <c r="P708" s="40">
        <v>66</v>
      </c>
      <c r="Q708" s="91">
        <v>96.6</v>
      </c>
      <c r="R708" s="91">
        <v>103.41</v>
      </c>
      <c r="S708" s="91">
        <v>101.48</v>
      </c>
      <c r="T708" s="91">
        <v>104.84</v>
      </c>
      <c r="U708" s="91">
        <v>107.12</v>
      </c>
    </row>
    <row r="709" spans="1:21" x14ac:dyDescent="0.2">
      <c r="A709" s="48">
        <f t="shared" si="10"/>
        <v>701</v>
      </c>
      <c r="B709" s="43">
        <v>19</v>
      </c>
      <c r="C709" s="43">
        <v>35</v>
      </c>
      <c r="D709" s="38" t="s">
        <v>634</v>
      </c>
      <c r="E709" s="44" t="s">
        <v>199</v>
      </c>
      <c r="F709" s="44" t="s">
        <v>29</v>
      </c>
      <c r="G709" s="44" t="s">
        <v>108</v>
      </c>
      <c r="H709" s="44" t="s">
        <v>34</v>
      </c>
      <c r="I709" s="44" t="s">
        <v>34</v>
      </c>
      <c r="J709" s="44" t="s">
        <v>36</v>
      </c>
      <c r="K709" s="44" t="s">
        <v>200</v>
      </c>
      <c r="L709" s="40">
        <v>22783</v>
      </c>
      <c r="M709" s="41">
        <v>42250</v>
      </c>
      <c r="N709" s="40" t="s">
        <v>110</v>
      </c>
      <c r="O709" s="42"/>
      <c r="P709" s="40">
        <v>66</v>
      </c>
      <c r="Q709" s="91">
        <v>94.53</v>
      </c>
      <c r="R709" s="91">
        <v>101.86</v>
      </c>
      <c r="S709" s="91">
        <v>99.75</v>
      </c>
      <c r="T709" s="91">
        <v>103.3</v>
      </c>
      <c r="U709" s="91">
        <v>105.57</v>
      </c>
    </row>
    <row r="710" spans="1:21" x14ac:dyDescent="0.2">
      <c r="A710" s="48">
        <f t="shared" si="10"/>
        <v>702</v>
      </c>
      <c r="B710" s="43">
        <v>19</v>
      </c>
      <c r="C710" s="43">
        <v>36</v>
      </c>
      <c r="D710" s="38" t="s">
        <v>635</v>
      </c>
      <c r="E710" s="44" t="s">
        <v>202</v>
      </c>
      <c r="F710" s="44" t="s">
        <v>5</v>
      </c>
      <c r="G710" s="44" t="s">
        <v>108</v>
      </c>
      <c r="H710" s="44" t="s">
        <v>15</v>
      </c>
      <c r="I710" s="44" t="s">
        <v>203</v>
      </c>
      <c r="J710" s="44" t="s">
        <v>16</v>
      </c>
      <c r="K710" s="44" t="s">
        <v>128</v>
      </c>
      <c r="L710" s="40">
        <v>22784</v>
      </c>
      <c r="M710" s="41">
        <v>42250</v>
      </c>
      <c r="N710" s="40" t="s">
        <v>110</v>
      </c>
      <c r="O710" s="42"/>
      <c r="P710" s="40">
        <v>66</v>
      </c>
      <c r="Q710" s="91">
        <v>67.53</v>
      </c>
      <c r="R710" s="91">
        <v>70.099999999999994</v>
      </c>
      <c r="S710" s="91">
        <v>70.459999999999994</v>
      </c>
      <c r="T710" s="91">
        <v>72.12</v>
      </c>
      <c r="U710" s="91">
        <v>75.62</v>
      </c>
    </row>
    <row r="711" spans="1:21" x14ac:dyDescent="0.2">
      <c r="A711" s="48">
        <f t="shared" si="10"/>
        <v>703</v>
      </c>
      <c r="B711" s="20"/>
      <c r="C711" s="20"/>
      <c r="D711" s="20"/>
    </row>
    <row r="712" spans="1:21" x14ac:dyDescent="0.2">
      <c r="A712" s="48">
        <f t="shared" si="10"/>
        <v>704</v>
      </c>
      <c r="B712" s="43">
        <v>20</v>
      </c>
      <c r="C712" s="43">
        <v>1</v>
      </c>
      <c r="D712" s="38" t="s">
        <v>600</v>
      </c>
      <c r="E712" s="44" t="s">
        <v>107</v>
      </c>
      <c r="F712" s="44" t="s">
        <v>29</v>
      </c>
      <c r="G712" s="44" t="s">
        <v>108</v>
      </c>
      <c r="H712" s="44" t="s">
        <v>30</v>
      </c>
      <c r="I712" s="44" t="s">
        <v>30</v>
      </c>
      <c r="J712" s="44" t="s">
        <v>31</v>
      </c>
      <c r="K712" s="44" t="s">
        <v>109</v>
      </c>
      <c r="L712" s="40">
        <v>22749</v>
      </c>
      <c r="M712" s="41">
        <v>42250</v>
      </c>
      <c r="N712" s="40" t="s">
        <v>110</v>
      </c>
      <c r="O712" s="42"/>
      <c r="P712" s="40">
        <v>67</v>
      </c>
      <c r="Q712" s="91">
        <v>81.62</v>
      </c>
      <c r="R712" s="91">
        <v>89.17</v>
      </c>
      <c r="S712" s="91">
        <v>88.62</v>
      </c>
      <c r="T712" s="91">
        <v>93.63</v>
      </c>
      <c r="U712" s="91">
        <v>96.22</v>
      </c>
    </row>
    <row r="713" spans="1:21" x14ac:dyDescent="0.2">
      <c r="A713" s="48">
        <f t="shared" si="10"/>
        <v>705</v>
      </c>
      <c r="B713" s="43">
        <v>20</v>
      </c>
      <c r="C713" s="43">
        <v>2</v>
      </c>
      <c r="D713" s="38" t="s">
        <v>601</v>
      </c>
      <c r="E713" s="44" t="s">
        <v>112</v>
      </c>
      <c r="F713" s="44" t="s">
        <v>29</v>
      </c>
      <c r="G713" s="44" t="s">
        <v>108</v>
      </c>
      <c r="H713" s="44" t="s">
        <v>30</v>
      </c>
      <c r="I713" s="44" t="s">
        <v>30</v>
      </c>
      <c r="J713" s="44" t="s">
        <v>32</v>
      </c>
      <c r="K713" s="44" t="s">
        <v>113</v>
      </c>
      <c r="L713" s="40">
        <v>22750</v>
      </c>
      <c r="M713" s="41">
        <v>42250</v>
      </c>
      <c r="N713" s="40" t="s">
        <v>110</v>
      </c>
      <c r="O713" s="42"/>
      <c r="P713" s="40">
        <v>67</v>
      </c>
      <c r="Q713" s="91">
        <v>82.11</v>
      </c>
      <c r="R713" s="91">
        <v>87.92</v>
      </c>
      <c r="S713" s="91">
        <v>86.33</v>
      </c>
      <c r="T713" s="91">
        <v>90.1</v>
      </c>
      <c r="U713" s="91">
        <v>91.71</v>
      </c>
    </row>
    <row r="714" spans="1:21" x14ac:dyDescent="0.2">
      <c r="A714" s="48">
        <f t="shared" si="10"/>
        <v>706</v>
      </c>
      <c r="B714" s="43">
        <v>20</v>
      </c>
      <c r="C714" s="43">
        <v>3</v>
      </c>
      <c r="D714" s="38" t="s">
        <v>602</v>
      </c>
      <c r="E714" s="44" t="s">
        <v>115</v>
      </c>
      <c r="F714" s="44" t="s">
        <v>18</v>
      </c>
      <c r="G714" s="44" t="s">
        <v>108</v>
      </c>
      <c r="H714" s="44" t="s">
        <v>61</v>
      </c>
      <c r="I714" s="44" t="s">
        <v>116</v>
      </c>
      <c r="J714" s="44" t="s">
        <v>13</v>
      </c>
      <c r="K714" s="44" t="s">
        <v>117</v>
      </c>
      <c r="L714" s="40">
        <v>22751</v>
      </c>
      <c r="M714" s="41">
        <v>42250</v>
      </c>
      <c r="N714" s="40" t="s">
        <v>110</v>
      </c>
      <c r="O714" s="42"/>
      <c r="P714" s="40">
        <v>67</v>
      </c>
      <c r="Q714" s="91">
        <v>55.41</v>
      </c>
      <c r="R714" s="91">
        <v>58.21</v>
      </c>
      <c r="S714" s="91">
        <v>58.67</v>
      </c>
      <c r="T714" s="91">
        <v>60.47</v>
      </c>
      <c r="U714" s="91">
        <v>64.349999999999994</v>
      </c>
    </row>
    <row r="715" spans="1:21" x14ac:dyDescent="0.2">
      <c r="A715" s="48">
        <f t="shared" ref="A715:A778" si="11">A714+1</f>
        <v>707</v>
      </c>
      <c r="B715" s="43">
        <v>20</v>
      </c>
      <c r="C715" s="43">
        <v>4</v>
      </c>
      <c r="D715" s="38" t="s">
        <v>603</v>
      </c>
      <c r="E715" s="44" t="s">
        <v>119</v>
      </c>
      <c r="F715" s="44" t="s">
        <v>18</v>
      </c>
      <c r="G715" s="44" t="s">
        <v>108</v>
      </c>
      <c r="H715" s="44" t="s">
        <v>61</v>
      </c>
      <c r="I715" s="44" t="s">
        <v>116</v>
      </c>
      <c r="J715" s="44" t="s">
        <v>19</v>
      </c>
      <c r="K715" s="44" t="s">
        <v>120</v>
      </c>
      <c r="L715" s="40">
        <v>22752</v>
      </c>
      <c r="M715" s="41">
        <v>42250</v>
      </c>
      <c r="N715" s="40" t="s">
        <v>110</v>
      </c>
      <c r="O715" s="42"/>
      <c r="P715" s="40">
        <v>67</v>
      </c>
      <c r="Q715" s="91">
        <v>57.46</v>
      </c>
      <c r="R715" s="91">
        <v>59.79</v>
      </c>
      <c r="S715" s="91">
        <v>60.41</v>
      </c>
      <c r="T715" s="91">
        <v>62.07</v>
      </c>
      <c r="U715" s="91">
        <v>65.97</v>
      </c>
    </row>
    <row r="716" spans="1:21" x14ac:dyDescent="0.2">
      <c r="A716" s="48">
        <f t="shared" si="11"/>
        <v>708</v>
      </c>
      <c r="B716" s="43">
        <v>20</v>
      </c>
      <c r="C716" s="43">
        <v>5</v>
      </c>
      <c r="D716" s="38" t="s">
        <v>604</v>
      </c>
      <c r="E716" s="44" t="s">
        <v>122</v>
      </c>
      <c r="F716" s="44" t="s">
        <v>18</v>
      </c>
      <c r="G716" s="44" t="s">
        <v>108</v>
      </c>
      <c r="H716" s="44" t="s">
        <v>61</v>
      </c>
      <c r="I716" s="44" t="s">
        <v>116</v>
      </c>
      <c r="J716" s="44" t="s">
        <v>14</v>
      </c>
      <c r="K716" s="44" t="s">
        <v>123</v>
      </c>
      <c r="L716" s="40">
        <v>22753</v>
      </c>
      <c r="M716" s="41">
        <v>42250</v>
      </c>
      <c r="N716" s="40" t="s">
        <v>110</v>
      </c>
      <c r="O716" s="42"/>
      <c r="P716" s="40">
        <v>67</v>
      </c>
      <c r="Q716" s="91">
        <v>55.82</v>
      </c>
      <c r="R716" s="91">
        <v>58.78</v>
      </c>
      <c r="S716" s="91">
        <v>59.1</v>
      </c>
      <c r="T716" s="91">
        <v>61.02</v>
      </c>
      <c r="U716" s="91">
        <v>64.91</v>
      </c>
    </row>
    <row r="717" spans="1:21" x14ac:dyDescent="0.2">
      <c r="A717" s="48">
        <f t="shared" si="11"/>
        <v>709</v>
      </c>
      <c r="B717" s="43">
        <v>20</v>
      </c>
      <c r="C717" s="43">
        <v>6</v>
      </c>
      <c r="D717" s="38" t="s">
        <v>605</v>
      </c>
      <c r="E717" s="44" t="s">
        <v>125</v>
      </c>
      <c r="F717" s="44" t="s">
        <v>23</v>
      </c>
      <c r="G717" s="44" t="s">
        <v>126</v>
      </c>
      <c r="H717" s="44" t="s">
        <v>127</v>
      </c>
      <c r="I717" s="44" t="s">
        <v>27</v>
      </c>
      <c r="J717" s="44" t="s">
        <v>28</v>
      </c>
      <c r="K717" s="44" t="s">
        <v>128</v>
      </c>
      <c r="L717" s="40">
        <v>22754</v>
      </c>
      <c r="M717" s="41">
        <v>42250</v>
      </c>
      <c r="N717" s="40" t="s">
        <v>110</v>
      </c>
      <c r="O717" s="42"/>
      <c r="P717" s="40">
        <v>67</v>
      </c>
      <c r="Q717" s="91">
        <v>60.02</v>
      </c>
      <c r="R717" s="91">
        <v>63.08</v>
      </c>
      <c r="S717" s="91">
        <v>63.11</v>
      </c>
      <c r="T717" s="91">
        <v>64.47</v>
      </c>
      <c r="U717" s="91">
        <v>65.23</v>
      </c>
    </row>
    <row r="718" spans="1:21" x14ac:dyDescent="0.2">
      <c r="A718" s="48">
        <f t="shared" si="11"/>
        <v>710</v>
      </c>
      <c r="B718" s="43">
        <v>20</v>
      </c>
      <c r="C718" s="43">
        <v>7</v>
      </c>
      <c r="D718" s="38" t="s">
        <v>606</v>
      </c>
      <c r="E718" s="44" t="s">
        <v>130</v>
      </c>
      <c r="F718" s="44" t="s">
        <v>37</v>
      </c>
      <c r="G718" s="44" t="s">
        <v>108</v>
      </c>
      <c r="H718" s="44" t="s">
        <v>38</v>
      </c>
      <c r="I718" s="44" t="s">
        <v>38</v>
      </c>
      <c r="J718" s="44" t="s">
        <v>40</v>
      </c>
      <c r="K718" s="44" t="s">
        <v>123</v>
      </c>
      <c r="L718" s="40">
        <v>22756</v>
      </c>
      <c r="M718" s="41">
        <v>42250</v>
      </c>
      <c r="N718" s="40" t="s">
        <v>110</v>
      </c>
      <c r="O718" s="42"/>
      <c r="P718" s="40">
        <v>67</v>
      </c>
      <c r="Q718" s="91">
        <v>74.25</v>
      </c>
      <c r="R718" s="91">
        <v>78.05</v>
      </c>
      <c r="S718" s="91">
        <v>77.540000000000006</v>
      </c>
      <c r="T718" s="91">
        <v>79.400000000000006</v>
      </c>
      <c r="U718" s="91">
        <v>82.54</v>
      </c>
    </row>
    <row r="719" spans="1:21" x14ac:dyDescent="0.2">
      <c r="A719" s="48">
        <f t="shared" si="11"/>
        <v>711</v>
      </c>
      <c r="B719" s="43">
        <v>20</v>
      </c>
      <c r="C719" s="43">
        <v>8</v>
      </c>
      <c r="D719" s="38" t="s">
        <v>607</v>
      </c>
      <c r="E719" s="44" t="s">
        <v>132</v>
      </c>
      <c r="F719" s="44" t="s">
        <v>37</v>
      </c>
      <c r="G719" s="44" t="s">
        <v>108</v>
      </c>
      <c r="H719" s="44" t="s">
        <v>38</v>
      </c>
      <c r="I719" s="44" t="s">
        <v>38</v>
      </c>
      <c r="J719" s="44" t="s">
        <v>39</v>
      </c>
      <c r="K719" s="44" t="s">
        <v>120</v>
      </c>
      <c r="L719" s="40">
        <v>22755</v>
      </c>
      <c r="M719" s="41">
        <v>42250</v>
      </c>
      <c r="N719" s="40" t="s">
        <v>110</v>
      </c>
      <c r="O719" s="42"/>
      <c r="P719" s="40">
        <v>67</v>
      </c>
      <c r="Q719" s="91">
        <v>76.180000000000007</v>
      </c>
      <c r="R719" s="91">
        <v>79.14</v>
      </c>
      <c r="S719" s="91">
        <v>78.97</v>
      </c>
      <c r="T719" s="91">
        <v>80.47</v>
      </c>
      <c r="U719" s="91">
        <v>83.59</v>
      </c>
    </row>
    <row r="720" spans="1:21" x14ac:dyDescent="0.2">
      <c r="A720" s="48">
        <f t="shared" si="11"/>
        <v>712</v>
      </c>
      <c r="B720" s="43">
        <v>20</v>
      </c>
      <c r="C720" s="43">
        <v>9</v>
      </c>
      <c r="D720" s="38" t="s">
        <v>608</v>
      </c>
      <c r="E720" s="44" t="s">
        <v>134</v>
      </c>
      <c r="F720" s="44" t="s">
        <v>37</v>
      </c>
      <c r="G720" s="44" t="s">
        <v>108</v>
      </c>
      <c r="H720" s="44" t="s">
        <v>38</v>
      </c>
      <c r="I720" s="44" t="s">
        <v>38</v>
      </c>
      <c r="J720" s="44" t="s">
        <v>6</v>
      </c>
      <c r="K720" s="44" t="s">
        <v>117</v>
      </c>
      <c r="L720" s="40">
        <v>22757</v>
      </c>
      <c r="M720" s="41">
        <v>42250</v>
      </c>
      <c r="N720" s="40" t="s">
        <v>110</v>
      </c>
      <c r="O720" s="42"/>
      <c r="P720" s="40">
        <v>67</v>
      </c>
      <c r="Q720" s="91">
        <v>73.489999999999995</v>
      </c>
      <c r="R720" s="91">
        <v>77.239999999999995</v>
      </c>
      <c r="S720" s="91">
        <v>76.73</v>
      </c>
      <c r="T720" s="91">
        <v>78.56</v>
      </c>
      <c r="U720" s="91">
        <v>81.709999999999994</v>
      </c>
    </row>
    <row r="721" spans="1:21" x14ac:dyDescent="0.2">
      <c r="A721" s="48">
        <f t="shared" si="11"/>
        <v>713</v>
      </c>
      <c r="B721" s="43">
        <v>20</v>
      </c>
      <c r="C721" s="43">
        <v>10</v>
      </c>
      <c r="D721" s="38" t="s">
        <v>609</v>
      </c>
      <c r="E721" s="44" t="s">
        <v>136</v>
      </c>
      <c r="F721" s="44" t="s">
        <v>23</v>
      </c>
      <c r="G721" s="44" t="s">
        <v>108</v>
      </c>
      <c r="H721" s="44" t="s">
        <v>137</v>
      </c>
      <c r="I721" s="44" t="s">
        <v>24</v>
      </c>
      <c r="J721" s="44" t="s">
        <v>25</v>
      </c>
      <c r="K721" s="44" t="s">
        <v>138</v>
      </c>
      <c r="L721" s="40">
        <v>22758</v>
      </c>
      <c r="M721" s="41">
        <v>42250</v>
      </c>
      <c r="N721" s="40" t="s">
        <v>110</v>
      </c>
      <c r="O721" s="42"/>
      <c r="P721" s="40">
        <v>67</v>
      </c>
      <c r="Q721" s="91">
        <v>62.23</v>
      </c>
      <c r="R721" s="91">
        <v>64.08</v>
      </c>
      <c r="S721" s="91">
        <v>66.209999999999994</v>
      </c>
      <c r="T721" s="91">
        <v>68.59</v>
      </c>
      <c r="U721" s="91">
        <v>71.790000000000006</v>
      </c>
    </row>
    <row r="722" spans="1:21" x14ac:dyDescent="0.2">
      <c r="A722" s="48">
        <f t="shared" si="11"/>
        <v>714</v>
      </c>
      <c r="B722" s="43">
        <v>20</v>
      </c>
      <c r="C722" s="43">
        <v>11</v>
      </c>
      <c r="D722" s="38" t="s">
        <v>610</v>
      </c>
      <c r="E722" s="44" t="s">
        <v>140</v>
      </c>
      <c r="F722" s="44" t="s">
        <v>23</v>
      </c>
      <c r="G722" s="44" t="s">
        <v>108</v>
      </c>
      <c r="H722" s="44" t="s">
        <v>137</v>
      </c>
      <c r="I722" s="44" t="s">
        <v>24</v>
      </c>
      <c r="J722" s="44" t="s">
        <v>26</v>
      </c>
      <c r="K722" s="44" t="s">
        <v>141</v>
      </c>
      <c r="L722" s="40">
        <v>22759</v>
      </c>
      <c r="M722" s="41">
        <v>42250</v>
      </c>
      <c r="N722" s="40" t="s">
        <v>110</v>
      </c>
      <c r="O722" s="42"/>
      <c r="P722" s="40">
        <v>67</v>
      </c>
      <c r="Q722" s="91">
        <v>61.33</v>
      </c>
      <c r="R722" s="91">
        <v>63.27</v>
      </c>
      <c r="S722" s="91">
        <v>65.37</v>
      </c>
      <c r="T722" s="91">
        <v>67.78</v>
      </c>
      <c r="U722" s="91">
        <v>70.98</v>
      </c>
    </row>
    <row r="723" spans="1:21" x14ac:dyDescent="0.2">
      <c r="A723" s="48">
        <f t="shared" si="11"/>
        <v>715</v>
      </c>
      <c r="B723" s="43">
        <v>20</v>
      </c>
      <c r="C723" s="43">
        <v>12</v>
      </c>
      <c r="D723" s="38" t="s">
        <v>611</v>
      </c>
      <c r="E723" s="44" t="s">
        <v>143</v>
      </c>
      <c r="F723" s="44" t="s">
        <v>18</v>
      </c>
      <c r="G723" s="44" t="s">
        <v>108</v>
      </c>
      <c r="H723" s="44" t="s">
        <v>94</v>
      </c>
      <c r="I723" s="44" t="s">
        <v>144</v>
      </c>
      <c r="J723" s="44" t="s">
        <v>20</v>
      </c>
      <c r="K723" s="44" t="s">
        <v>145</v>
      </c>
      <c r="L723" s="40">
        <v>22760</v>
      </c>
      <c r="M723" s="41">
        <v>42250</v>
      </c>
      <c r="N723" s="40" t="s">
        <v>110</v>
      </c>
      <c r="O723" s="42"/>
      <c r="P723" s="40">
        <v>67</v>
      </c>
      <c r="Q723" s="91">
        <v>58.98</v>
      </c>
      <c r="R723" s="91">
        <v>59.36</v>
      </c>
      <c r="S723" s="91">
        <v>60.66</v>
      </c>
      <c r="T723" s="91">
        <v>61.49</v>
      </c>
      <c r="U723" s="91">
        <v>65.319999999999993</v>
      </c>
    </row>
    <row r="724" spans="1:21" x14ac:dyDescent="0.2">
      <c r="A724" s="48">
        <f t="shared" si="11"/>
        <v>716</v>
      </c>
      <c r="B724" s="43">
        <v>20</v>
      </c>
      <c r="C724" s="43">
        <v>13</v>
      </c>
      <c r="D724" s="38" t="s">
        <v>612</v>
      </c>
      <c r="E724" s="44" t="s">
        <v>147</v>
      </c>
      <c r="F724" s="44" t="s">
        <v>37</v>
      </c>
      <c r="G724" s="44" t="s">
        <v>108</v>
      </c>
      <c r="H724" s="44" t="s">
        <v>41</v>
      </c>
      <c r="I724" s="44" t="s">
        <v>41</v>
      </c>
      <c r="J724" s="44" t="s">
        <v>6</v>
      </c>
      <c r="K724" s="44" t="s">
        <v>128</v>
      </c>
      <c r="L724" s="40">
        <v>22761</v>
      </c>
      <c r="M724" s="41">
        <v>42250</v>
      </c>
      <c r="N724" s="40" t="s">
        <v>110</v>
      </c>
      <c r="O724" s="42"/>
      <c r="P724" s="40">
        <v>67</v>
      </c>
      <c r="Q724" s="91">
        <v>71.8</v>
      </c>
      <c r="R724" s="91">
        <v>77.400000000000006</v>
      </c>
      <c r="S724" s="91">
        <v>78.599999999999994</v>
      </c>
      <c r="T724" s="91">
        <v>82.69</v>
      </c>
      <c r="U724" s="91">
        <v>86.4</v>
      </c>
    </row>
    <row r="725" spans="1:21" x14ac:dyDescent="0.2">
      <c r="A725" s="48">
        <f t="shared" si="11"/>
        <v>717</v>
      </c>
      <c r="B725" s="43">
        <v>20</v>
      </c>
      <c r="C725" s="43">
        <v>14</v>
      </c>
      <c r="D725" s="38" t="s">
        <v>613</v>
      </c>
      <c r="E725" s="44" t="s">
        <v>149</v>
      </c>
      <c r="F725" s="44" t="s">
        <v>5</v>
      </c>
      <c r="G725" s="44" t="s">
        <v>108</v>
      </c>
      <c r="H725" s="44" t="s">
        <v>46</v>
      </c>
      <c r="I725" s="44" t="s">
        <v>46</v>
      </c>
      <c r="J725" s="44" t="s">
        <v>6</v>
      </c>
      <c r="K725" s="44" t="s">
        <v>128</v>
      </c>
      <c r="L725" s="40">
        <v>22762</v>
      </c>
      <c r="M725" s="41">
        <v>42250</v>
      </c>
      <c r="N725" s="40" t="s">
        <v>110</v>
      </c>
      <c r="O725" s="42"/>
      <c r="P725" s="40">
        <v>67</v>
      </c>
      <c r="Q725" s="91">
        <v>67.760000000000005</v>
      </c>
      <c r="R725" s="91">
        <v>70.11</v>
      </c>
      <c r="S725" s="91">
        <v>70.8</v>
      </c>
      <c r="T725" s="91">
        <v>72.47</v>
      </c>
      <c r="U725" s="91">
        <v>76.510000000000005</v>
      </c>
    </row>
    <row r="726" spans="1:21" x14ac:dyDescent="0.2">
      <c r="A726" s="48">
        <f t="shared" si="11"/>
        <v>718</v>
      </c>
      <c r="B726" s="43">
        <v>20</v>
      </c>
      <c r="C726" s="43">
        <v>15</v>
      </c>
      <c r="D726" s="38" t="s">
        <v>614</v>
      </c>
      <c r="E726" s="44" t="s">
        <v>151</v>
      </c>
      <c r="F726" s="44" t="s">
        <v>18</v>
      </c>
      <c r="G726" s="44" t="s">
        <v>108</v>
      </c>
      <c r="H726" s="44" t="s">
        <v>21</v>
      </c>
      <c r="I726" s="44" t="s">
        <v>152</v>
      </c>
      <c r="J726" s="44" t="s">
        <v>22</v>
      </c>
      <c r="K726" s="44" t="s">
        <v>128</v>
      </c>
      <c r="L726" s="40">
        <v>22763</v>
      </c>
      <c r="M726" s="41">
        <v>42250</v>
      </c>
      <c r="N726" s="40" t="s">
        <v>110</v>
      </c>
      <c r="O726" s="42"/>
      <c r="P726" s="40">
        <v>67</v>
      </c>
      <c r="Q726" s="91">
        <v>56.1</v>
      </c>
      <c r="R726" s="91">
        <v>58.04</v>
      </c>
      <c r="S726" s="91">
        <v>58.59</v>
      </c>
      <c r="T726" s="91">
        <v>60.03</v>
      </c>
      <c r="U726" s="91">
        <v>63.6</v>
      </c>
    </row>
    <row r="727" spans="1:21" x14ac:dyDescent="0.2">
      <c r="A727" s="48">
        <f t="shared" si="11"/>
        <v>719</v>
      </c>
      <c r="B727" s="43">
        <v>20</v>
      </c>
      <c r="C727" s="43">
        <v>16</v>
      </c>
      <c r="D727" s="38" t="s">
        <v>615</v>
      </c>
      <c r="E727" s="44" t="s">
        <v>154</v>
      </c>
      <c r="F727" s="44" t="s">
        <v>18</v>
      </c>
      <c r="G727" s="44" t="s">
        <v>108</v>
      </c>
      <c r="H727" s="44" t="s">
        <v>62</v>
      </c>
      <c r="I727" s="44" t="s">
        <v>155</v>
      </c>
      <c r="J727" s="44" t="s">
        <v>6</v>
      </c>
      <c r="K727" s="44" t="s">
        <v>128</v>
      </c>
      <c r="L727" s="40">
        <v>22764</v>
      </c>
      <c r="M727" s="41">
        <v>42250</v>
      </c>
      <c r="N727" s="40" t="s">
        <v>110</v>
      </c>
      <c r="O727" s="42"/>
      <c r="P727" s="40">
        <v>67</v>
      </c>
      <c r="Q727" s="91">
        <v>59.86</v>
      </c>
      <c r="R727" s="91">
        <v>60.32</v>
      </c>
      <c r="S727" s="91">
        <v>61.34</v>
      </c>
      <c r="T727" s="91">
        <v>62.26</v>
      </c>
      <c r="U727" s="91">
        <v>65.84</v>
      </c>
    </row>
    <row r="728" spans="1:21" x14ac:dyDescent="0.2">
      <c r="A728" s="48">
        <f t="shared" si="11"/>
        <v>720</v>
      </c>
      <c r="B728" s="43">
        <v>20</v>
      </c>
      <c r="C728" s="43">
        <v>17</v>
      </c>
      <c r="D728" s="38" t="s">
        <v>616</v>
      </c>
      <c r="E728" s="44" t="s">
        <v>157</v>
      </c>
      <c r="F728" s="44" t="s">
        <v>29</v>
      </c>
      <c r="G728" s="44" t="s">
        <v>108</v>
      </c>
      <c r="H728" s="44" t="s">
        <v>33</v>
      </c>
      <c r="I728" s="44" t="s">
        <v>33</v>
      </c>
      <c r="J728" s="44" t="s">
        <v>7</v>
      </c>
      <c r="K728" s="44" t="s">
        <v>123</v>
      </c>
      <c r="L728" s="40">
        <v>22765</v>
      </c>
      <c r="M728" s="41">
        <v>42250</v>
      </c>
      <c r="N728" s="40" t="s">
        <v>110</v>
      </c>
      <c r="O728" s="42"/>
      <c r="P728" s="40">
        <v>67</v>
      </c>
      <c r="Q728" s="91">
        <v>76.44</v>
      </c>
      <c r="R728" s="91">
        <v>82.34</v>
      </c>
      <c r="S728" s="91">
        <v>83.17</v>
      </c>
      <c r="T728" s="91">
        <v>87.11</v>
      </c>
      <c r="U728" s="91">
        <v>90.66</v>
      </c>
    </row>
    <row r="729" spans="1:21" x14ac:dyDescent="0.2">
      <c r="A729" s="48">
        <f t="shared" si="11"/>
        <v>721</v>
      </c>
      <c r="B729" s="43">
        <v>20</v>
      </c>
      <c r="C729" s="43">
        <v>18</v>
      </c>
      <c r="D729" s="38" t="s">
        <v>617</v>
      </c>
      <c r="E729" s="44" t="s">
        <v>159</v>
      </c>
      <c r="F729" s="44" t="s">
        <v>29</v>
      </c>
      <c r="G729" s="44" t="s">
        <v>108</v>
      </c>
      <c r="H729" s="44" t="s">
        <v>33</v>
      </c>
      <c r="I729" s="44" t="s">
        <v>33</v>
      </c>
      <c r="J729" s="44" t="s">
        <v>8</v>
      </c>
      <c r="K729" s="44" t="s">
        <v>120</v>
      </c>
      <c r="L729" s="40">
        <v>22766</v>
      </c>
      <c r="M729" s="41">
        <v>42250</v>
      </c>
      <c r="N729" s="40" t="s">
        <v>110</v>
      </c>
      <c r="O729" s="42"/>
      <c r="P729" s="40">
        <v>67</v>
      </c>
      <c r="Q729" s="91">
        <v>81.760000000000005</v>
      </c>
      <c r="R729" s="91">
        <v>85.51</v>
      </c>
      <c r="S729" s="91">
        <v>87.46</v>
      </c>
      <c r="T729" s="91">
        <v>90.31</v>
      </c>
      <c r="U729" s="91">
        <v>93.97</v>
      </c>
    </row>
    <row r="730" spans="1:21" x14ac:dyDescent="0.2">
      <c r="A730" s="48">
        <f t="shared" si="11"/>
        <v>722</v>
      </c>
      <c r="B730" s="43">
        <v>20</v>
      </c>
      <c r="C730" s="43">
        <v>19</v>
      </c>
      <c r="D730" s="38" t="s">
        <v>618</v>
      </c>
      <c r="E730" s="44" t="s">
        <v>161</v>
      </c>
      <c r="F730" s="44" t="s">
        <v>29</v>
      </c>
      <c r="G730" s="44" t="s">
        <v>108</v>
      </c>
      <c r="H730" s="44" t="s">
        <v>33</v>
      </c>
      <c r="I730" s="44" t="s">
        <v>33</v>
      </c>
      <c r="J730" s="44" t="s">
        <v>9</v>
      </c>
      <c r="K730" s="44" t="s">
        <v>117</v>
      </c>
      <c r="L730" s="40">
        <v>22767</v>
      </c>
      <c r="M730" s="41">
        <v>42250</v>
      </c>
      <c r="N730" s="40" t="s">
        <v>110</v>
      </c>
      <c r="O730" s="42"/>
      <c r="P730" s="40">
        <v>67</v>
      </c>
      <c r="Q730" s="91">
        <v>78.77</v>
      </c>
      <c r="R730" s="91">
        <v>83.48</v>
      </c>
      <c r="S730" s="91">
        <v>84.96</v>
      </c>
      <c r="T730" s="91">
        <v>88.23</v>
      </c>
      <c r="U730" s="91">
        <v>91.78</v>
      </c>
    </row>
    <row r="731" spans="1:21" x14ac:dyDescent="0.2">
      <c r="A731" s="48">
        <f t="shared" si="11"/>
        <v>723</v>
      </c>
      <c r="B731" s="43">
        <v>20</v>
      </c>
      <c r="C731" s="43">
        <v>20</v>
      </c>
      <c r="D731" s="38" t="s">
        <v>619</v>
      </c>
      <c r="E731" s="44" t="s">
        <v>163</v>
      </c>
      <c r="F731" s="44" t="s">
        <v>5</v>
      </c>
      <c r="G731" s="44" t="s">
        <v>108</v>
      </c>
      <c r="H731" s="44" t="s">
        <v>164</v>
      </c>
      <c r="I731" s="44" t="s">
        <v>165</v>
      </c>
      <c r="J731" s="44" t="s">
        <v>7</v>
      </c>
      <c r="K731" s="44" t="s">
        <v>123</v>
      </c>
      <c r="L731" s="40">
        <v>22769</v>
      </c>
      <c r="M731" s="41">
        <v>42250</v>
      </c>
      <c r="N731" s="40" t="s">
        <v>110</v>
      </c>
      <c r="O731" s="42"/>
      <c r="P731" s="40">
        <v>67</v>
      </c>
      <c r="Q731" s="91">
        <v>56.61</v>
      </c>
      <c r="R731" s="91">
        <v>61.9</v>
      </c>
      <c r="S731" s="91">
        <v>61.5</v>
      </c>
      <c r="T731" s="91">
        <v>64.069999999999993</v>
      </c>
      <c r="U731" s="91">
        <v>67.84</v>
      </c>
    </row>
    <row r="732" spans="1:21" x14ac:dyDescent="0.2">
      <c r="A732" s="48">
        <f t="shared" si="11"/>
        <v>724</v>
      </c>
      <c r="B732" s="43">
        <v>20</v>
      </c>
      <c r="C732" s="43">
        <v>21</v>
      </c>
      <c r="D732" s="38" t="s">
        <v>620</v>
      </c>
      <c r="E732" s="44" t="s">
        <v>167</v>
      </c>
      <c r="F732" s="44" t="s">
        <v>5</v>
      </c>
      <c r="G732" s="44" t="s">
        <v>108</v>
      </c>
      <c r="H732" s="44" t="s">
        <v>164</v>
      </c>
      <c r="I732" s="44" t="s">
        <v>165</v>
      </c>
      <c r="J732" s="44" t="s">
        <v>8</v>
      </c>
      <c r="K732" s="44" t="s">
        <v>120</v>
      </c>
      <c r="L732" s="40">
        <v>22768</v>
      </c>
      <c r="M732" s="41">
        <v>42250</v>
      </c>
      <c r="N732" s="40" t="s">
        <v>110</v>
      </c>
      <c r="O732" s="42"/>
      <c r="P732" s="40">
        <v>67</v>
      </c>
      <c r="Q732" s="91">
        <v>58.15</v>
      </c>
      <c r="R732" s="91">
        <v>63.06</v>
      </c>
      <c r="S732" s="91">
        <v>62.79</v>
      </c>
      <c r="T732" s="91">
        <v>65.209999999999994</v>
      </c>
      <c r="U732" s="91">
        <v>68.959999999999994</v>
      </c>
    </row>
    <row r="733" spans="1:21" x14ac:dyDescent="0.2">
      <c r="A733" s="48">
        <f t="shared" si="11"/>
        <v>725</v>
      </c>
      <c r="B733" s="43">
        <v>20</v>
      </c>
      <c r="C733" s="43">
        <v>22</v>
      </c>
      <c r="D733" s="38" t="s">
        <v>621</v>
      </c>
      <c r="E733" s="44" t="s">
        <v>169</v>
      </c>
      <c r="F733" s="44" t="s">
        <v>5</v>
      </c>
      <c r="G733" s="44" t="s">
        <v>108</v>
      </c>
      <c r="H733" s="44" t="s">
        <v>164</v>
      </c>
      <c r="I733" s="44" t="s">
        <v>165</v>
      </c>
      <c r="J733" s="44" t="s">
        <v>9</v>
      </c>
      <c r="K733" s="44" t="s">
        <v>117</v>
      </c>
      <c r="L733" s="40">
        <v>22770</v>
      </c>
      <c r="M733" s="41">
        <v>42250</v>
      </c>
      <c r="N733" s="40" t="s">
        <v>110</v>
      </c>
      <c r="O733" s="42"/>
      <c r="P733" s="40">
        <v>67</v>
      </c>
      <c r="Q733" s="91">
        <v>57.25</v>
      </c>
      <c r="R733" s="91">
        <v>62.54</v>
      </c>
      <c r="S733" s="91">
        <v>62.14</v>
      </c>
      <c r="T733" s="91">
        <v>64.67</v>
      </c>
      <c r="U733" s="91">
        <v>68.39</v>
      </c>
    </row>
    <row r="734" spans="1:21" x14ac:dyDescent="0.2">
      <c r="A734" s="48">
        <f t="shared" si="11"/>
        <v>726</v>
      </c>
      <c r="B734" s="43">
        <v>20</v>
      </c>
      <c r="C734" s="43">
        <v>23</v>
      </c>
      <c r="D734" s="38" t="s">
        <v>622</v>
      </c>
      <c r="E734" s="44" t="s">
        <v>171</v>
      </c>
      <c r="F734" s="44" t="s">
        <v>5</v>
      </c>
      <c r="G734" s="44" t="s">
        <v>108</v>
      </c>
      <c r="H734" s="44" t="s">
        <v>11</v>
      </c>
      <c r="I734" s="44" t="s">
        <v>11</v>
      </c>
      <c r="J734" s="44" t="s">
        <v>6</v>
      </c>
      <c r="K734" s="44" t="s">
        <v>128</v>
      </c>
      <c r="L734" s="40">
        <v>22771</v>
      </c>
      <c r="M734" s="41">
        <v>42250</v>
      </c>
      <c r="N734" s="40" t="s">
        <v>110</v>
      </c>
      <c r="O734" s="42"/>
      <c r="P734" s="40">
        <v>67</v>
      </c>
      <c r="Q734" s="91">
        <v>59.67</v>
      </c>
      <c r="R734" s="91">
        <v>66.12</v>
      </c>
      <c r="S734" s="91">
        <v>66.64</v>
      </c>
      <c r="T734" s="91">
        <v>70.739999999999995</v>
      </c>
      <c r="U734" s="91">
        <v>73.45</v>
      </c>
    </row>
    <row r="735" spans="1:21" x14ac:dyDescent="0.2">
      <c r="A735" s="48">
        <f t="shared" si="11"/>
        <v>727</v>
      </c>
      <c r="B735" s="43">
        <v>20</v>
      </c>
      <c r="C735" s="43">
        <v>24</v>
      </c>
      <c r="D735" s="38" t="s">
        <v>623</v>
      </c>
      <c r="E735" s="44" t="s">
        <v>173</v>
      </c>
      <c r="F735" s="44" t="s">
        <v>5</v>
      </c>
      <c r="G735" s="44" t="s">
        <v>108</v>
      </c>
      <c r="H735" s="44" t="s">
        <v>10</v>
      </c>
      <c r="I735" s="44" t="s">
        <v>174</v>
      </c>
      <c r="J735" s="44" t="s">
        <v>7</v>
      </c>
      <c r="K735" s="44" t="s">
        <v>123</v>
      </c>
      <c r="L735" s="40">
        <v>22772</v>
      </c>
      <c r="M735" s="41">
        <v>42250</v>
      </c>
      <c r="N735" s="40" t="s">
        <v>110</v>
      </c>
      <c r="O735" s="42"/>
      <c r="P735" s="40">
        <v>67</v>
      </c>
      <c r="Q735" s="91">
        <v>61.17</v>
      </c>
      <c r="R735" s="91">
        <v>63.98</v>
      </c>
      <c r="S735" s="91">
        <v>64.069999999999993</v>
      </c>
      <c r="T735" s="91">
        <v>65.81</v>
      </c>
      <c r="U735" s="91">
        <v>69.55</v>
      </c>
    </row>
    <row r="736" spans="1:21" x14ac:dyDescent="0.2">
      <c r="A736" s="48">
        <f t="shared" si="11"/>
        <v>728</v>
      </c>
      <c r="B736" s="43">
        <v>20</v>
      </c>
      <c r="C736" s="43">
        <v>25</v>
      </c>
      <c r="D736" s="38" t="s">
        <v>624</v>
      </c>
      <c r="E736" s="44" t="s">
        <v>176</v>
      </c>
      <c r="F736" s="44" t="s">
        <v>5</v>
      </c>
      <c r="G736" s="44" t="s">
        <v>108</v>
      </c>
      <c r="H736" s="44" t="s">
        <v>10</v>
      </c>
      <c r="I736" s="44" t="s">
        <v>174</v>
      </c>
      <c r="J736" s="44" t="s">
        <v>8</v>
      </c>
      <c r="K736" s="44" t="s">
        <v>120</v>
      </c>
      <c r="L736" s="40">
        <v>22773</v>
      </c>
      <c r="M736" s="41">
        <v>42250</v>
      </c>
      <c r="N736" s="40" t="s">
        <v>110</v>
      </c>
      <c r="O736" s="42"/>
      <c r="P736" s="40">
        <v>67</v>
      </c>
      <c r="Q736" s="91">
        <v>62.98</v>
      </c>
      <c r="R736" s="91">
        <v>65.209999999999994</v>
      </c>
      <c r="S736" s="91">
        <v>65.510000000000005</v>
      </c>
      <c r="T736" s="91">
        <v>67.05</v>
      </c>
      <c r="U736" s="91">
        <v>70.790000000000006</v>
      </c>
    </row>
    <row r="737" spans="1:21" x14ac:dyDescent="0.2">
      <c r="A737" s="48">
        <f t="shared" si="11"/>
        <v>729</v>
      </c>
      <c r="B737" s="43">
        <v>20</v>
      </c>
      <c r="C737" s="43">
        <v>26</v>
      </c>
      <c r="D737" s="38" t="s">
        <v>625</v>
      </c>
      <c r="E737" s="44" t="s">
        <v>178</v>
      </c>
      <c r="F737" s="44" t="s">
        <v>5</v>
      </c>
      <c r="G737" s="44" t="s">
        <v>108</v>
      </c>
      <c r="H737" s="44" t="s">
        <v>10</v>
      </c>
      <c r="I737" s="44" t="s">
        <v>174</v>
      </c>
      <c r="J737" s="44" t="s">
        <v>9</v>
      </c>
      <c r="K737" s="44" t="s">
        <v>117</v>
      </c>
      <c r="L737" s="40">
        <v>22774</v>
      </c>
      <c r="M737" s="41">
        <v>42250</v>
      </c>
      <c r="N737" s="40" t="s">
        <v>110</v>
      </c>
      <c r="O737" s="42"/>
      <c r="P737" s="40">
        <v>67</v>
      </c>
      <c r="Q737" s="91">
        <v>65.87</v>
      </c>
      <c r="R737" s="91">
        <v>65.22</v>
      </c>
      <c r="S737" s="91">
        <v>66.55</v>
      </c>
      <c r="T737" s="91">
        <v>67.08</v>
      </c>
      <c r="U737" s="91">
        <v>70.760000000000005</v>
      </c>
    </row>
    <row r="738" spans="1:21" x14ac:dyDescent="0.2">
      <c r="A738" s="48">
        <f t="shared" si="11"/>
        <v>730</v>
      </c>
      <c r="B738" s="43">
        <v>20</v>
      </c>
      <c r="C738" s="43">
        <v>27</v>
      </c>
      <c r="D738" s="38" t="s">
        <v>626</v>
      </c>
      <c r="E738" s="44" t="s">
        <v>180</v>
      </c>
      <c r="F738" s="44" t="s">
        <v>5</v>
      </c>
      <c r="G738" s="44" t="s">
        <v>108</v>
      </c>
      <c r="H738" s="44" t="s">
        <v>91</v>
      </c>
      <c r="I738" s="44" t="s">
        <v>181</v>
      </c>
      <c r="J738" s="44" t="s">
        <v>6</v>
      </c>
      <c r="K738" s="44" t="s">
        <v>128</v>
      </c>
      <c r="L738" s="40">
        <v>22775</v>
      </c>
      <c r="M738" s="41">
        <v>42250</v>
      </c>
      <c r="N738" s="40" t="s">
        <v>110</v>
      </c>
      <c r="O738" s="42"/>
      <c r="P738" s="40">
        <v>67</v>
      </c>
      <c r="Q738" s="91">
        <v>71.260000000000005</v>
      </c>
      <c r="R738" s="91">
        <v>71.290000000000006</v>
      </c>
      <c r="S738" s="91">
        <v>72.48</v>
      </c>
      <c r="T738" s="91">
        <v>73.28</v>
      </c>
      <c r="U738" s="91">
        <v>76.89</v>
      </c>
    </row>
    <row r="739" spans="1:21" x14ac:dyDescent="0.2">
      <c r="A739" s="48">
        <f t="shared" si="11"/>
        <v>731</v>
      </c>
      <c r="B739" s="43">
        <v>20</v>
      </c>
      <c r="C739" s="43">
        <v>28</v>
      </c>
      <c r="D739" s="38" t="s">
        <v>627</v>
      </c>
      <c r="E739" s="44" t="s">
        <v>183</v>
      </c>
      <c r="F739" s="44" t="s">
        <v>37</v>
      </c>
      <c r="G739" s="44" t="s">
        <v>108</v>
      </c>
      <c r="H739" s="44" t="s">
        <v>42</v>
      </c>
      <c r="I739" s="44" t="s">
        <v>42</v>
      </c>
      <c r="J739" s="44" t="s">
        <v>6</v>
      </c>
      <c r="K739" s="44" t="s">
        <v>128</v>
      </c>
      <c r="L739" s="40">
        <v>22776</v>
      </c>
      <c r="M739" s="41">
        <v>42250</v>
      </c>
      <c r="N739" s="40" t="s">
        <v>110</v>
      </c>
      <c r="O739" s="42"/>
      <c r="P739" s="40">
        <v>67</v>
      </c>
      <c r="Q739" s="91">
        <v>74.81</v>
      </c>
      <c r="R739" s="91">
        <v>76.95</v>
      </c>
      <c r="S739" s="91">
        <v>77.33</v>
      </c>
      <c r="T739" s="91">
        <v>78.489999999999995</v>
      </c>
      <c r="U739" s="91">
        <v>82.07</v>
      </c>
    </row>
    <row r="740" spans="1:21" x14ac:dyDescent="0.2">
      <c r="A740" s="48">
        <f t="shared" si="11"/>
        <v>732</v>
      </c>
      <c r="B740" s="43">
        <v>20</v>
      </c>
      <c r="C740" s="43">
        <v>29</v>
      </c>
      <c r="D740" s="38" t="s">
        <v>628</v>
      </c>
      <c r="E740" s="44" t="s">
        <v>185</v>
      </c>
      <c r="F740" s="44" t="s">
        <v>37</v>
      </c>
      <c r="G740" s="44" t="s">
        <v>108</v>
      </c>
      <c r="H740" s="44" t="s">
        <v>42</v>
      </c>
      <c r="I740" s="44" t="s">
        <v>42</v>
      </c>
      <c r="J740" s="44" t="s">
        <v>43</v>
      </c>
      <c r="K740" s="44" t="s">
        <v>186</v>
      </c>
      <c r="L740" s="40">
        <v>22777</v>
      </c>
      <c r="M740" s="41">
        <v>42250</v>
      </c>
      <c r="N740" s="40" t="s">
        <v>110</v>
      </c>
      <c r="O740" s="42"/>
      <c r="P740" s="40">
        <v>67</v>
      </c>
      <c r="Q740" s="91">
        <v>70.900000000000006</v>
      </c>
      <c r="R740" s="91">
        <v>74.77</v>
      </c>
      <c r="S740" s="91">
        <v>74.459999999999994</v>
      </c>
      <c r="T740" s="91">
        <v>76.260000000000005</v>
      </c>
      <c r="U740" s="91">
        <v>79.78</v>
      </c>
    </row>
    <row r="741" spans="1:21" x14ac:dyDescent="0.2">
      <c r="A741" s="48">
        <f t="shared" si="11"/>
        <v>733</v>
      </c>
      <c r="B741" s="43">
        <v>20</v>
      </c>
      <c r="C741" s="43">
        <v>30</v>
      </c>
      <c r="D741" s="38" t="s">
        <v>629</v>
      </c>
      <c r="E741" s="44" t="s">
        <v>188</v>
      </c>
      <c r="F741" s="44" t="s">
        <v>37</v>
      </c>
      <c r="G741" s="44" t="s">
        <v>108</v>
      </c>
      <c r="H741" s="44" t="s">
        <v>42</v>
      </c>
      <c r="I741" s="44" t="s">
        <v>42</v>
      </c>
      <c r="J741" s="44" t="s">
        <v>44</v>
      </c>
      <c r="K741" s="44" t="s">
        <v>44</v>
      </c>
      <c r="L741" s="40">
        <v>22778</v>
      </c>
      <c r="M741" s="41">
        <v>42250</v>
      </c>
      <c r="N741" s="40" t="s">
        <v>110</v>
      </c>
      <c r="O741" s="42"/>
      <c r="P741" s="40">
        <v>67</v>
      </c>
      <c r="Q741" s="91">
        <v>70.989999999999995</v>
      </c>
      <c r="R741" s="91">
        <v>74.7</v>
      </c>
      <c r="S741" s="91">
        <v>74.489999999999995</v>
      </c>
      <c r="T741" s="91">
        <v>76.2</v>
      </c>
      <c r="U741" s="91">
        <v>79.680000000000007</v>
      </c>
    </row>
    <row r="742" spans="1:21" x14ac:dyDescent="0.2">
      <c r="A742" s="48">
        <f t="shared" si="11"/>
        <v>734</v>
      </c>
      <c r="B742" s="43">
        <v>20</v>
      </c>
      <c r="C742" s="43">
        <v>31</v>
      </c>
      <c r="D742" s="38" t="s">
        <v>630</v>
      </c>
      <c r="E742" s="44" t="s">
        <v>190</v>
      </c>
      <c r="F742" s="44" t="s">
        <v>37</v>
      </c>
      <c r="G742" s="44" t="s">
        <v>108</v>
      </c>
      <c r="H742" s="44" t="s">
        <v>45</v>
      </c>
      <c r="I742" s="44" t="s">
        <v>45</v>
      </c>
      <c r="J742" s="44" t="s">
        <v>6</v>
      </c>
      <c r="K742" s="44" t="s">
        <v>128</v>
      </c>
      <c r="L742" s="40">
        <v>22779</v>
      </c>
      <c r="M742" s="41">
        <v>42250</v>
      </c>
      <c r="N742" s="40" t="s">
        <v>110</v>
      </c>
      <c r="O742" s="42"/>
      <c r="P742" s="40">
        <v>67</v>
      </c>
      <c r="Q742" s="91">
        <v>70.150000000000006</v>
      </c>
      <c r="R742" s="91">
        <v>71.81</v>
      </c>
      <c r="S742" s="91">
        <v>73.02</v>
      </c>
      <c r="T742" s="91">
        <v>74.27</v>
      </c>
      <c r="U742" s="91">
        <v>78.290000000000006</v>
      </c>
    </row>
    <row r="743" spans="1:21" x14ac:dyDescent="0.2">
      <c r="A743" s="48">
        <f t="shared" si="11"/>
        <v>735</v>
      </c>
      <c r="B743" s="43">
        <v>20</v>
      </c>
      <c r="C743" s="43">
        <v>32</v>
      </c>
      <c r="D743" s="38" t="s">
        <v>631</v>
      </c>
      <c r="E743" s="44" t="s">
        <v>192</v>
      </c>
      <c r="F743" s="44" t="s">
        <v>5</v>
      </c>
      <c r="G743" s="44" t="s">
        <v>108</v>
      </c>
      <c r="H743" s="44" t="s">
        <v>12</v>
      </c>
      <c r="I743" s="44" t="s">
        <v>12</v>
      </c>
      <c r="J743" s="44" t="s">
        <v>13</v>
      </c>
      <c r="K743" s="44" t="s">
        <v>117</v>
      </c>
      <c r="L743" s="40">
        <v>22780</v>
      </c>
      <c r="M743" s="41">
        <v>42250</v>
      </c>
      <c r="N743" s="40" t="s">
        <v>110</v>
      </c>
      <c r="O743" s="42"/>
      <c r="P743" s="40">
        <v>67</v>
      </c>
      <c r="Q743" s="91">
        <v>64.94</v>
      </c>
      <c r="R743" s="91">
        <v>70.39</v>
      </c>
      <c r="S743" s="91">
        <v>69.540000000000006</v>
      </c>
      <c r="T743" s="91">
        <v>72.040000000000006</v>
      </c>
      <c r="U743" s="91">
        <v>75.97</v>
      </c>
    </row>
    <row r="744" spans="1:21" x14ac:dyDescent="0.2">
      <c r="A744" s="48">
        <f t="shared" si="11"/>
        <v>736</v>
      </c>
      <c r="B744" s="43">
        <v>20</v>
      </c>
      <c r="C744" s="43">
        <v>33</v>
      </c>
      <c r="D744" s="38" t="s">
        <v>632</v>
      </c>
      <c r="E744" s="44" t="s">
        <v>194</v>
      </c>
      <c r="F744" s="44" t="s">
        <v>5</v>
      </c>
      <c r="G744" s="44" t="s">
        <v>108</v>
      </c>
      <c r="H744" s="44" t="s">
        <v>12</v>
      </c>
      <c r="I744" s="44" t="s">
        <v>12</v>
      </c>
      <c r="J744" s="44" t="s">
        <v>14</v>
      </c>
      <c r="K744" s="44" t="s">
        <v>123</v>
      </c>
      <c r="L744" s="40">
        <v>22781</v>
      </c>
      <c r="M744" s="41">
        <v>42250</v>
      </c>
      <c r="N744" s="40" t="s">
        <v>110</v>
      </c>
      <c r="O744" s="42"/>
      <c r="P744" s="40">
        <v>67</v>
      </c>
      <c r="Q744" s="91">
        <v>65.239999999999995</v>
      </c>
      <c r="R744" s="91">
        <v>71.319999999999993</v>
      </c>
      <c r="S744" s="91">
        <v>70.260000000000005</v>
      </c>
      <c r="T744" s="91">
        <v>73.03</v>
      </c>
      <c r="U744" s="91">
        <v>77</v>
      </c>
    </row>
    <row r="745" spans="1:21" x14ac:dyDescent="0.2">
      <c r="A745" s="48">
        <f t="shared" si="11"/>
        <v>737</v>
      </c>
      <c r="B745" s="43">
        <v>20</v>
      </c>
      <c r="C745" s="43">
        <v>34</v>
      </c>
      <c r="D745" s="38" t="s">
        <v>633</v>
      </c>
      <c r="E745" s="44" t="s">
        <v>196</v>
      </c>
      <c r="F745" s="44" t="s">
        <v>29</v>
      </c>
      <c r="G745" s="44" t="s">
        <v>108</v>
      </c>
      <c r="H745" s="44" t="s">
        <v>34</v>
      </c>
      <c r="I745" s="44" t="s">
        <v>34</v>
      </c>
      <c r="J745" s="44" t="s">
        <v>35</v>
      </c>
      <c r="K745" s="44" t="s">
        <v>197</v>
      </c>
      <c r="L745" s="40">
        <v>22782</v>
      </c>
      <c r="M745" s="41">
        <v>42250</v>
      </c>
      <c r="N745" s="40" t="s">
        <v>110</v>
      </c>
      <c r="O745" s="42"/>
      <c r="P745" s="40">
        <v>67</v>
      </c>
      <c r="Q745" s="91">
        <v>95.32</v>
      </c>
      <c r="R745" s="91">
        <v>102.98</v>
      </c>
      <c r="S745" s="91">
        <v>101.25</v>
      </c>
      <c r="T745" s="91">
        <v>104.76</v>
      </c>
      <c r="U745" s="91">
        <v>107.33</v>
      </c>
    </row>
    <row r="746" spans="1:21" x14ac:dyDescent="0.2">
      <c r="A746" s="48">
        <f t="shared" si="11"/>
        <v>738</v>
      </c>
      <c r="B746" s="43">
        <v>20</v>
      </c>
      <c r="C746" s="43">
        <v>35</v>
      </c>
      <c r="D746" s="38" t="s">
        <v>634</v>
      </c>
      <c r="E746" s="44" t="s">
        <v>199</v>
      </c>
      <c r="F746" s="44" t="s">
        <v>29</v>
      </c>
      <c r="G746" s="44" t="s">
        <v>108</v>
      </c>
      <c r="H746" s="44" t="s">
        <v>34</v>
      </c>
      <c r="I746" s="44" t="s">
        <v>34</v>
      </c>
      <c r="J746" s="44" t="s">
        <v>36</v>
      </c>
      <c r="K746" s="44" t="s">
        <v>200</v>
      </c>
      <c r="L746" s="40">
        <v>22783</v>
      </c>
      <c r="M746" s="41">
        <v>42250</v>
      </c>
      <c r="N746" s="40" t="s">
        <v>110</v>
      </c>
      <c r="O746" s="42"/>
      <c r="P746" s="40">
        <v>67</v>
      </c>
      <c r="Q746" s="91">
        <v>93.37</v>
      </c>
      <c r="R746" s="91">
        <v>101.41</v>
      </c>
      <c r="S746" s="91">
        <v>99.56</v>
      </c>
      <c r="T746" s="91">
        <v>103.2</v>
      </c>
      <c r="U746" s="91">
        <v>105.77</v>
      </c>
    </row>
    <row r="747" spans="1:21" x14ac:dyDescent="0.2">
      <c r="A747" s="48">
        <f t="shared" si="11"/>
        <v>739</v>
      </c>
      <c r="B747" s="43">
        <v>20</v>
      </c>
      <c r="C747" s="43">
        <v>36</v>
      </c>
      <c r="D747" s="38" t="s">
        <v>635</v>
      </c>
      <c r="E747" s="44" t="s">
        <v>202</v>
      </c>
      <c r="F747" s="44" t="s">
        <v>5</v>
      </c>
      <c r="G747" s="44" t="s">
        <v>108</v>
      </c>
      <c r="H747" s="44" t="s">
        <v>15</v>
      </c>
      <c r="I747" s="44" t="s">
        <v>203</v>
      </c>
      <c r="J747" s="44" t="s">
        <v>16</v>
      </c>
      <c r="K747" s="44" t="s">
        <v>128</v>
      </c>
      <c r="L747" s="40">
        <v>22784</v>
      </c>
      <c r="M747" s="41">
        <v>42250</v>
      </c>
      <c r="N747" s="40" t="s">
        <v>110</v>
      </c>
      <c r="O747" s="42"/>
      <c r="P747" s="40">
        <v>67</v>
      </c>
      <c r="Q747" s="91">
        <v>67.3</v>
      </c>
      <c r="R747" s="91">
        <v>70.16</v>
      </c>
      <c r="S747" s="91">
        <v>70.61</v>
      </c>
      <c r="T747" s="91">
        <v>72.290000000000006</v>
      </c>
      <c r="U747" s="91">
        <v>76.069999999999993</v>
      </c>
    </row>
    <row r="748" spans="1:21" x14ac:dyDescent="0.2">
      <c r="A748" s="48">
        <f t="shared" si="11"/>
        <v>740</v>
      </c>
      <c r="B748" s="20"/>
      <c r="C748" s="20"/>
      <c r="D748" s="20"/>
    </row>
    <row r="749" spans="1:21" x14ac:dyDescent="0.2">
      <c r="A749" s="48">
        <f t="shared" si="11"/>
        <v>741</v>
      </c>
      <c r="B749" s="43">
        <v>21</v>
      </c>
      <c r="C749" s="43">
        <v>1</v>
      </c>
      <c r="D749" s="38" t="s">
        <v>600</v>
      </c>
      <c r="E749" s="44" t="s">
        <v>107</v>
      </c>
      <c r="F749" s="44" t="s">
        <v>29</v>
      </c>
      <c r="G749" s="44" t="s">
        <v>108</v>
      </c>
      <c r="H749" s="44" t="s">
        <v>30</v>
      </c>
      <c r="I749" s="44" t="s">
        <v>30</v>
      </c>
      <c r="J749" s="44" t="s">
        <v>31</v>
      </c>
      <c r="K749" s="44" t="s">
        <v>109</v>
      </c>
      <c r="L749" s="40">
        <v>22749</v>
      </c>
      <c r="M749" s="41">
        <v>42250</v>
      </c>
      <c r="N749" s="40" t="s">
        <v>110</v>
      </c>
      <c r="O749" s="42"/>
      <c r="P749" s="40">
        <v>68</v>
      </c>
      <c r="Q749" s="91">
        <v>81.03</v>
      </c>
      <c r="R749" s="91">
        <v>89.25</v>
      </c>
      <c r="S749" s="91">
        <v>89.09</v>
      </c>
      <c r="T749" s="91">
        <v>94.08</v>
      </c>
      <c r="U749" s="91">
        <v>96.87</v>
      </c>
    </row>
    <row r="750" spans="1:21" x14ac:dyDescent="0.2">
      <c r="A750" s="48">
        <f t="shared" si="11"/>
        <v>742</v>
      </c>
      <c r="B750" s="43">
        <v>21</v>
      </c>
      <c r="C750" s="43">
        <v>2</v>
      </c>
      <c r="D750" s="38" t="s">
        <v>601</v>
      </c>
      <c r="E750" s="44" t="s">
        <v>112</v>
      </c>
      <c r="F750" s="44" t="s">
        <v>29</v>
      </c>
      <c r="G750" s="44" t="s">
        <v>108</v>
      </c>
      <c r="H750" s="44" t="s">
        <v>30</v>
      </c>
      <c r="I750" s="44" t="s">
        <v>30</v>
      </c>
      <c r="J750" s="44" t="s">
        <v>32</v>
      </c>
      <c r="K750" s="44" t="s">
        <v>113</v>
      </c>
      <c r="L750" s="40">
        <v>22750</v>
      </c>
      <c r="M750" s="41">
        <v>42250</v>
      </c>
      <c r="N750" s="40" t="s">
        <v>110</v>
      </c>
      <c r="O750" s="42"/>
      <c r="P750" s="40">
        <v>68</v>
      </c>
      <c r="Q750" s="91">
        <v>81.37</v>
      </c>
      <c r="R750" s="91">
        <v>87.3</v>
      </c>
      <c r="S750" s="91">
        <v>86.32</v>
      </c>
      <c r="T750" s="91">
        <v>90.1</v>
      </c>
      <c r="U750" s="91">
        <v>92.07</v>
      </c>
    </row>
    <row r="751" spans="1:21" x14ac:dyDescent="0.2">
      <c r="A751" s="48">
        <f t="shared" si="11"/>
        <v>743</v>
      </c>
      <c r="B751" s="43">
        <v>21</v>
      </c>
      <c r="C751" s="43">
        <v>3</v>
      </c>
      <c r="D751" s="38" t="s">
        <v>602</v>
      </c>
      <c r="E751" s="44" t="s">
        <v>115</v>
      </c>
      <c r="F751" s="44" t="s">
        <v>18</v>
      </c>
      <c r="G751" s="44" t="s">
        <v>108</v>
      </c>
      <c r="H751" s="44" t="s">
        <v>61</v>
      </c>
      <c r="I751" s="44" t="s">
        <v>116</v>
      </c>
      <c r="J751" s="44" t="s">
        <v>13</v>
      </c>
      <c r="K751" s="44" t="s">
        <v>117</v>
      </c>
      <c r="L751" s="40">
        <v>22751</v>
      </c>
      <c r="M751" s="41">
        <v>42250</v>
      </c>
      <c r="N751" s="40" t="s">
        <v>110</v>
      </c>
      <c r="O751" s="42"/>
      <c r="P751" s="40">
        <v>68</v>
      </c>
      <c r="Q751" s="91">
        <v>55.46</v>
      </c>
      <c r="R751" s="91">
        <v>58.48</v>
      </c>
      <c r="S751" s="91">
        <v>58.9</v>
      </c>
      <c r="T751" s="91">
        <v>60.76</v>
      </c>
      <c r="U751" s="91">
        <v>64.849999999999994</v>
      </c>
    </row>
    <row r="752" spans="1:21" x14ac:dyDescent="0.2">
      <c r="A752" s="48">
        <f t="shared" si="11"/>
        <v>744</v>
      </c>
      <c r="B752" s="43">
        <v>21</v>
      </c>
      <c r="C752" s="43">
        <v>4</v>
      </c>
      <c r="D752" s="38" t="s">
        <v>603</v>
      </c>
      <c r="E752" s="44" t="s">
        <v>119</v>
      </c>
      <c r="F752" s="44" t="s">
        <v>18</v>
      </c>
      <c r="G752" s="44" t="s">
        <v>108</v>
      </c>
      <c r="H752" s="44" t="s">
        <v>61</v>
      </c>
      <c r="I752" s="44" t="s">
        <v>116</v>
      </c>
      <c r="J752" s="44" t="s">
        <v>19</v>
      </c>
      <c r="K752" s="44" t="s">
        <v>120</v>
      </c>
      <c r="L752" s="40">
        <v>22752</v>
      </c>
      <c r="M752" s="41">
        <v>42250</v>
      </c>
      <c r="N752" s="40" t="s">
        <v>110</v>
      </c>
      <c r="O752" s="42"/>
      <c r="P752" s="40">
        <v>68</v>
      </c>
      <c r="Q752" s="91">
        <v>57.81</v>
      </c>
      <c r="R752" s="91">
        <v>60.09</v>
      </c>
      <c r="S752" s="91">
        <v>60.79</v>
      </c>
      <c r="T752" s="91">
        <v>62.35</v>
      </c>
      <c r="U752" s="91">
        <v>66.48</v>
      </c>
    </row>
    <row r="753" spans="1:21" x14ac:dyDescent="0.2">
      <c r="A753" s="48">
        <f t="shared" si="11"/>
        <v>745</v>
      </c>
      <c r="B753" s="43">
        <v>21</v>
      </c>
      <c r="C753" s="43">
        <v>5</v>
      </c>
      <c r="D753" s="38" t="s">
        <v>604</v>
      </c>
      <c r="E753" s="44" t="s">
        <v>122</v>
      </c>
      <c r="F753" s="44" t="s">
        <v>18</v>
      </c>
      <c r="G753" s="44" t="s">
        <v>108</v>
      </c>
      <c r="H753" s="44" t="s">
        <v>61</v>
      </c>
      <c r="I753" s="44" t="s">
        <v>116</v>
      </c>
      <c r="J753" s="44" t="s">
        <v>14</v>
      </c>
      <c r="K753" s="44" t="s">
        <v>123</v>
      </c>
      <c r="L753" s="40">
        <v>22753</v>
      </c>
      <c r="M753" s="41">
        <v>42250</v>
      </c>
      <c r="N753" s="40" t="s">
        <v>110</v>
      </c>
      <c r="O753" s="42"/>
      <c r="P753" s="40">
        <v>68</v>
      </c>
      <c r="Q753" s="91">
        <v>56.29</v>
      </c>
      <c r="R753" s="91">
        <v>59.07</v>
      </c>
      <c r="S753" s="91">
        <v>59.53</v>
      </c>
      <c r="T753" s="91">
        <v>61.3</v>
      </c>
      <c r="U753" s="91">
        <v>65.42</v>
      </c>
    </row>
    <row r="754" spans="1:21" x14ac:dyDescent="0.2">
      <c r="A754" s="48">
        <f t="shared" si="11"/>
        <v>746</v>
      </c>
      <c r="B754" s="43">
        <v>21</v>
      </c>
      <c r="C754" s="43">
        <v>6</v>
      </c>
      <c r="D754" s="38" t="s">
        <v>605</v>
      </c>
      <c r="E754" s="44" t="s">
        <v>125</v>
      </c>
      <c r="F754" s="44" t="s">
        <v>23</v>
      </c>
      <c r="G754" s="44" t="s">
        <v>126</v>
      </c>
      <c r="H754" s="44" t="s">
        <v>127</v>
      </c>
      <c r="I754" s="44" t="s">
        <v>27</v>
      </c>
      <c r="J754" s="44" t="s">
        <v>28</v>
      </c>
      <c r="K754" s="44" t="s">
        <v>128</v>
      </c>
      <c r="L754" s="40">
        <v>22754</v>
      </c>
      <c r="M754" s="41">
        <v>42250</v>
      </c>
      <c r="N754" s="40" t="s">
        <v>110</v>
      </c>
      <c r="O754" s="42"/>
      <c r="P754" s="40">
        <v>68</v>
      </c>
      <c r="Q754" s="91">
        <v>60.51</v>
      </c>
      <c r="R754" s="91">
        <v>63.56</v>
      </c>
      <c r="S754" s="91">
        <v>63.4</v>
      </c>
      <c r="T754" s="91">
        <v>64.77</v>
      </c>
      <c r="U754" s="91">
        <v>65.540000000000006</v>
      </c>
    </row>
    <row r="755" spans="1:21" x14ac:dyDescent="0.2">
      <c r="A755" s="48">
        <f t="shared" si="11"/>
        <v>747</v>
      </c>
      <c r="B755" s="43">
        <v>21</v>
      </c>
      <c r="C755" s="43">
        <v>7</v>
      </c>
      <c r="D755" s="38" t="s">
        <v>606</v>
      </c>
      <c r="E755" s="44" t="s">
        <v>130</v>
      </c>
      <c r="F755" s="44" t="s">
        <v>37</v>
      </c>
      <c r="G755" s="44" t="s">
        <v>108</v>
      </c>
      <c r="H755" s="44" t="s">
        <v>38</v>
      </c>
      <c r="I755" s="44" t="s">
        <v>38</v>
      </c>
      <c r="J755" s="44" t="s">
        <v>40</v>
      </c>
      <c r="K755" s="44" t="s">
        <v>123</v>
      </c>
      <c r="L755" s="40">
        <v>22756</v>
      </c>
      <c r="M755" s="41">
        <v>42250</v>
      </c>
      <c r="N755" s="40" t="s">
        <v>110</v>
      </c>
      <c r="O755" s="42"/>
      <c r="P755" s="40">
        <v>68</v>
      </c>
      <c r="Q755" s="91">
        <v>73.3</v>
      </c>
      <c r="R755" s="91">
        <v>77.760000000000005</v>
      </c>
      <c r="S755" s="91">
        <v>77.42</v>
      </c>
      <c r="T755" s="91">
        <v>79.3</v>
      </c>
      <c r="U755" s="91">
        <v>82.77</v>
      </c>
    </row>
    <row r="756" spans="1:21" x14ac:dyDescent="0.2">
      <c r="A756" s="48">
        <f t="shared" si="11"/>
        <v>748</v>
      </c>
      <c r="B756" s="43">
        <v>21</v>
      </c>
      <c r="C756" s="43">
        <v>8</v>
      </c>
      <c r="D756" s="38" t="s">
        <v>607</v>
      </c>
      <c r="E756" s="44" t="s">
        <v>132</v>
      </c>
      <c r="F756" s="44" t="s">
        <v>37</v>
      </c>
      <c r="G756" s="44" t="s">
        <v>108</v>
      </c>
      <c r="H756" s="44" t="s">
        <v>38</v>
      </c>
      <c r="I756" s="44" t="s">
        <v>38</v>
      </c>
      <c r="J756" s="44" t="s">
        <v>39</v>
      </c>
      <c r="K756" s="44" t="s">
        <v>120</v>
      </c>
      <c r="L756" s="40">
        <v>22755</v>
      </c>
      <c r="M756" s="41">
        <v>42250</v>
      </c>
      <c r="N756" s="40" t="s">
        <v>110</v>
      </c>
      <c r="O756" s="42"/>
      <c r="P756" s="40">
        <v>68</v>
      </c>
      <c r="Q756" s="91">
        <v>74.97</v>
      </c>
      <c r="R756" s="91">
        <v>78.84</v>
      </c>
      <c r="S756" s="91">
        <v>78.77</v>
      </c>
      <c r="T756" s="91">
        <v>80.38</v>
      </c>
      <c r="U756" s="91">
        <v>83.84</v>
      </c>
    </row>
    <row r="757" spans="1:21" x14ac:dyDescent="0.2">
      <c r="A757" s="48">
        <f t="shared" si="11"/>
        <v>749</v>
      </c>
      <c r="B757" s="43">
        <v>21</v>
      </c>
      <c r="C757" s="43">
        <v>9</v>
      </c>
      <c r="D757" s="38" t="s">
        <v>608</v>
      </c>
      <c r="E757" s="44" t="s">
        <v>134</v>
      </c>
      <c r="F757" s="44" t="s">
        <v>37</v>
      </c>
      <c r="G757" s="44" t="s">
        <v>108</v>
      </c>
      <c r="H757" s="44" t="s">
        <v>38</v>
      </c>
      <c r="I757" s="44" t="s">
        <v>38</v>
      </c>
      <c r="J757" s="44" t="s">
        <v>6</v>
      </c>
      <c r="K757" s="44" t="s">
        <v>117</v>
      </c>
      <c r="L757" s="40">
        <v>22757</v>
      </c>
      <c r="M757" s="41">
        <v>42250</v>
      </c>
      <c r="N757" s="40" t="s">
        <v>110</v>
      </c>
      <c r="O757" s="42"/>
      <c r="P757" s="40">
        <v>68</v>
      </c>
      <c r="Q757" s="91">
        <v>72.23</v>
      </c>
      <c r="R757" s="91">
        <v>76.930000000000007</v>
      </c>
      <c r="S757" s="91">
        <v>76.489999999999995</v>
      </c>
      <c r="T757" s="91">
        <v>78.47</v>
      </c>
      <c r="U757" s="91">
        <v>81.95</v>
      </c>
    </row>
    <row r="758" spans="1:21" x14ac:dyDescent="0.2">
      <c r="A758" s="48">
        <f t="shared" si="11"/>
        <v>750</v>
      </c>
      <c r="B758" s="43">
        <v>21</v>
      </c>
      <c r="C758" s="43">
        <v>10</v>
      </c>
      <c r="D758" s="38" t="s">
        <v>609</v>
      </c>
      <c r="E758" s="44" t="s">
        <v>136</v>
      </c>
      <c r="F758" s="44" t="s">
        <v>23</v>
      </c>
      <c r="G758" s="44" t="s">
        <v>108</v>
      </c>
      <c r="H758" s="44" t="s">
        <v>137</v>
      </c>
      <c r="I758" s="44" t="s">
        <v>24</v>
      </c>
      <c r="J758" s="44" t="s">
        <v>25</v>
      </c>
      <c r="K758" s="44" t="s">
        <v>138</v>
      </c>
      <c r="L758" s="40">
        <v>22758</v>
      </c>
      <c r="M758" s="41">
        <v>42250</v>
      </c>
      <c r="N758" s="40" t="s">
        <v>110</v>
      </c>
      <c r="O758" s="42"/>
      <c r="P758" s="40">
        <v>68</v>
      </c>
      <c r="Q758" s="91">
        <v>62.19</v>
      </c>
      <c r="R758" s="91">
        <v>64.37</v>
      </c>
      <c r="S758" s="91">
        <v>66.69</v>
      </c>
      <c r="T758" s="91">
        <v>69.08</v>
      </c>
      <c r="U758" s="91">
        <v>72.25</v>
      </c>
    </row>
    <row r="759" spans="1:21" x14ac:dyDescent="0.2">
      <c r="A759" s="48">
        <f t="shared" si="11"/>
        <v>751</v>
      </c>
      <c r="B759" s="43">
        <v>21</v>
      </c>
      <c r="C759" s="43">
        <v>11</v>
      </c>
      <c r="D759" s="38" t="s">
        <v>610</v>
      </c>
      <c r="E759" s="44" t="s">
        <v>140</v>
      </c>
      <c r="F759" s="44" t="s">
        <v>23</v>
      </c>
      <c r="G759" s="44" t="s">
        <v>108</v>
      </c>
      <c r="H759" s="44" t="s">
        <v>137</v>
      </c>
      <c r="I759" s="44" t="s">
        <v>24</v>
      </c>
      <c r="J759" s="44" t="s">
        <v>26</v>
      </c>
      <c r="K759" s="44" t="s">
        <v>141</v>
      </c>
      <c r="L759" s="40">
        <v>22759</v>
      </c>
      <c r="M759" s="41">
        <v>42250</v>
      </c>
      <c r="N759" s="40" t="s">
        <v>110</v>
      </c>
      <c r="O759" s="42"/>
      <c r="P759" s="40">
        <v>68</v>
      </c>
      <c r="Q759" s="91">
        <v>61.22</v>
      </c>
      <c r="R759" s="91">
        <v>63.56</v>
      </c>
      <c r="S759" s="91">
        <v>65.819999999999993</v>
      </c>
      <c r="T759" s="91">
        <v>68.28</v>
      </c>
      <c r="U759" s="91">
        <v>71.45</v>
      </c>
    </row>
    <row r="760" spans="1:21" x14ac:dyDescent="0.2">
      <c r="A760" s="48">
        <f t="shared" si="11"/>
        <v>752</v>
      </c>
      <c r="B760" s="43">
        <v>21</v>
      </c>
      <c r="C760" s="43">
        <v>12</v>
      </c>
      <c r="D760" s="38" t="s">
        <v>611</v>
      </c>
      <c r="E760" s="44" t="s">
        <v>143</v>
      </c>
      <c r="F760" s="44" t="s">
        <v>18</v>
      </c>
      <c r="G760" s="44" t="s">
        <v>108</v>
      </c>
      <c r="H760" s="44" t="s">
        <v>94</v>
      </c>
      <c r="I760" s="44" t="s">
        <v>144</v>
      </c>
      <c r="J760" s="44" t="s">
        <v>20</v>
      </c>
      <c r="K760" s="44" t="s">
        <v>145</v>
      </c>
      <c r="L760" s="40">
        <v>22760</v>
      </c>
      <c r="M760" s="41">
        <v>42250</v>
      </c>
      <c r="N760" s="40" t="s">
        <v>110</v>
      </c>
      <c r="O760" s="42"/>
      <c r="P760" s="40">
        <v>68</v>
      </c>
      <c r="Q760" s="91">
        <v>58.09</v>
      </c>
      <c r="R760" s="91">
        <v>59.63</v>
      </c>
      <c r="S760" s="91">
        <v>60.57</v>
      </c>
      <c r="T760" s="91">
        <v>61.75</v>
      </c>
      <c r="U760" s="91">
        <v>65.819999999999993</v>
      </c>
    </row>
    <row r="761" spans="1:21" x14ac:dyDescent="0.2">
      <c r="A761" s="48">
        <f t="shared" si="11"/>
        <v>753</v>
      </c>
      <c r="B761" s="43">
        <v>21</v>
      </c>
      <c r="C761" s="43">
        <v>13</v>
      </c>
      <c r="D761" s="38" t="s">
        <v>612</v>
      </c>
      <c r="E761" s="44" t="s">
        <v>147</v>
      </c>
      <c r="F761" s="44" t="s">
        <v>37</v>
      </c>
      <c r="G761" s="44" t="s">
        <v>108</v>
      </c>
      <c r="H761" s="44" t="s">
        <v>41</v>
      </c>
      <c r="I761" s="44" t="s">
        <v>41</v>
      </c>
      <c r="J761" s="44" t="s">
        <v>6</v>
      </c>
      <c r="K761" s="44" t="s">
        <v>128</v>
      </c>
      <c r="L761" s="40">
        <v>22761</v>
      </c>
      <c r="M761" s="41">
        <v>42250</v>
      </c>
      <c r="N761" s="40" t="s">
        <v>110</v>
      </c>
      <c r="O761" s="42"/>
      <c r="P761" s="40">
        <v>68</v>
      </c>
      <c r="Q761" s="91">
        <v>71.23</v>
      </c>
      <c r="R761" s="91">
        <v>77.13</v>
      </c>
      <c r="S761" s="91">
        <v>79.09</v>
      </c>
      <c r="T761" s="91">
        <v>83</v>
      </c>
      <c r="U761" s="91">
        <v>86.79</v>
      </c>
    </row>
    <row r="762" spans="1:21" x14ac:dyDescent="0.2">
      <c r="A762" s="48">
        <f t="shared" si="11"/>
        <v>754</v>
      </c>
      <c r="B762" s="43">
        <v>21</v>
      </c>
      <c r="C762" s="43">
        <v>14</v>
      </c>
      <c r="D762" s="38" t="s">
        <v>613</v>
      </c>
      <c r="E762" s="44" t="s">
        <v>149</v>
      </c>
      <c r="F762" s="44" t="s">
        <v>5</v>
      </c>
      <c r="G762" s="44" t="s">
        <v>108</v>
      </c>
      <c r="H762" s="44" t="s">
        <v>46</v>
      </c>
      <c r="I762" s="44" t="s">
        <v>46</v>
      </c>
      <c r="J762" s="44" t="s">
        <v>6</v>
      </c>
      <c r="K762" s="44" t="s">
        <v>128</v>
      </c>
      <c r="L762" s="40">
        <v>22762</v>
      </c>
      <c r="M762" s="41">
        <v>42250</v>
      </c>
      <c r="N762" s="40" t="s">
        <v>110</v>
      </c>
      <c r="O762" s="42"/>
      <c r="P762" s="40">
        <v>68</v>
      </c>
      <c r="Q762" s="91">
        <v>67.930000000000007</v>
      </c>
      <c r="R762" s="91">
        <v>70.400000000000006</v>
      </c>
      <c r="S762" s="91">
        <v>71.099999999999994</v>
      </c>
      <c r="T762" s="91">
        <v>72.760000000000005</v>
      </c>
      <c r="U762" s="91">
        <v>77.03</v>
      </c>
    </row>
    <row r="763" spans="1:21" x14ac:dyDescent="0.2">
      <c r="A763" s="48">
        <f t="shared" si="11"/>
        <v>755</v>
      </c>
      <c r="B763" s="43">
        <v>21</v>
      </c>
      <c r="C763" s="43">
        <v>15</v>
      </c>
      <c r="D763" s="38" t="s">
        <v>614</v>
      </c>
      <c r="E763" s="44" t="s">
        <v>151</v>
      </c>
      <c r="F763" s="44" t="s">
        <v>18</v>
      </c>
      <c r="G763" s="44" t="s">
        <v>108</v>
      </c>
      <c r="H763" s="44" t="s">
        <v>21</v>
      </c>
      <c r="I763" s="44" t="s">
        <v>152</v>
      </c>
      <c r="J763" s="44" t="s">
        <v>22</v>
      </c>
      <c r="K763" s="44" t="s">
        <v>128</v>
      </c>
      <c r="L763" s="40">
        <v>22763</v>
      </c>
      <c r="M763" s="41">
        <v>42250</v>
      </c>
      <c r="N763" s="40" t="s">
        <v>110</v>
      </c>
      <c r="O763" s="42"/>
      <c r="P763" s="40">
        <v>68</v>
      </c>
      <c r="Q763" s="91">
        <v>56.55</v>
      </c>
      <c r="R763" s="91">
        <v>58.3</v>
      </c>
      <c r="S763" s="91">
        <v>58.98</v>
      </c>
      <c r="T763" s="91">
        <v>60.27</v>
      </c>
      <c r="U763" s="91">
        <v>64.040000000000006</v>
      </c>
    </row>
    <row r="764" spans="1:21" x14ac:dyDescent="0.2">
      <c r="A764" s="48">
        <f t="shared" si="11"/>
        <v>756</v>
      </c>
      <c r="B764" s="43">
        <v>21</v>
      </c>
      <c r="C764" s="43">
        <v>16</v>
      </c>
      <c r="D764" s="38" t="s">
        <v>615</v>
      </c>
      <c r="E764" s="44" t="s">
        <v>154</v>
      </c>
      <c r="F764" s="44" t="s">
        <v>18</v>
      </c>
      <c r="G764" s="44" t="s">
        <v>108</v>
      </c>
      <c r="H764" s="44" t="s">
        <v>62</v>
      </c>
      <c r="I764" s="44" t="s">
        <v>155</v>
      </c>
      <c r="J764" s="44" t="s">
        <v>6</v>
      </c>
      <c r="K764" s="44" t="s">
        <v>128</v>
      </c>
      <c r="L764" s="40">
        <v>22764</v>
      </c>
      <c r="M764" s="41">
        <v>42250</v>
      </c>
      <c r="N764" s="40" t="s">
        <v>110</v>
      </c>
      <c r="O764" s="42"/>
      <c r="P764" s="40">
        <v>68</v>
      </c>
      <c r="Q764" s="91">
        <v>59.41</v>
      </c>
      <c r="R764" s="91">
        <v>60.3</v>
      </c>
      <c r="S764" s="91">
        <v>61.4</v>
      </c>
      <c r="T764" s="91">
        <v>62.38</v>
      </c>
      <c r="U764" s="91">
        <v>66.209999999999994</v>
      </c>
    </row>
    <row r="765" spans="1:21" x14ac:dyDescent="0.2">
      <c r="A765" s="48">
        <f t="shared" si="11"/>
        <v>757</v>
      </c>
      <c r="B765" s="43">
        <v>21</v>
      </c>
      <c r="C765" s="43">
        <v>17</v>
      </c>
      <c r="D765" s="38" t="s">
        <v>616</v>
      </c>
      <c r="E765" s="44" t="s">
        <v>157</v>
      </c>
      <c r="F765" s="44" t="s">
        <v>29</v>
      </c>
      <c r="G765" s="44" t="s">
        <v>108</v>
      </c>
      <c r="H765" s="44" t="s">
        <v>33</v>
      </c>
      <c r="I765" s="44" t="s">
        <v>33</v>
      </c>
      <c r="J765" s="44" t="s">
        <v>7</v>
      </c>
      <c r="K765" s="44" t="s">
        <v>123</v>
      </c>
      <c r="L765" s="40">
        <v>22765</v>
      </c>
      <c r="M765" s="41">
        <v>42250</v>
      </c>
      <c r="N765" s="40" t="s">
        <v>110</v>
      </c>
      <c r="O765" s="42"/>
      <c r="P765" s="40">
        <v>68</v>
      </c>
      <c r="Q765" s="91">
        <v>75.61</v>
      </c>
      <c r="R765" s="91">
        <v>82.02</v>
      </c>
      <c r="S765" s="91">
        <v>83.54</v>
      </c>
      <c r="T765" s="91">
        <v>87.3</v>
      </c>
      <c r="U765" s="91">
        <v>90.96</v>
      </c>
    </row>
    <row r="766" spans="1:21" x14ac:dyDescent="0.2">
      <c r="A766" s="48">
        <f t="shared" si="11"/>
        <v>758</v>
      </c>
      <c r="B766" s="43">
        <v>21</v>
      </c>
      <c r="C766" s="43">
        <v>18</v>
      </c>
      <c r="D766" s="38" t="s">
        <v>617</v>
      </c>
      <c r="E766" s="44" t="s">
        <v>159</v>
      </c>
      <c r="F766" s="44" t="s">
        <v>29</v>
      </c>
      <c r="G766" s="44" t="s">
        <v>108</v>
      </c>
      <c r="H766" s="44" t="s">
        <v>33</v>
      </c>
      <c r="I766" s="44" t="s">
        <v>33</v>
      </c>
      <c r="J766" s="44" t="s">
        <v>8</v>
      </c>
      <c r="K766" s="44" t="s">
        <v>120</v>
      </c>
      <c r="L766" s="40">
        <v>22766</v>
      </c>
      <c r="M766" s="41">
        <v>42250</v>
      </c>
      <c r="N766" s="40" t="s">
        <v>110</v>
      </c>
      <c r="O766" s="42"/>
      <c r="P766" s="40">
        <v>68</v>
      </c>
      <c r="Q766" s="91">
        <v>83.25</v>
      </c>
      <c r="R766" s="91">
        <v>85.24</v>
      </c>
      <c r="S766" s="91">
        <v>88.79</v>
      </c>
      <c r="T766" s="91">
        <v>90.51</v>
      </c>
      <c r="U766" s="91">
        <v>94.33</v>
      </c>
    </row>
    <row r="767" spans="1:21" x14ac:dyDescent="0.2">
      <c r="A767" s="48">
        <f t="shared" si="11"/>
        <v>759</v>
      </c>
      <c r="B767" s="43">
        <v>21</v>
      </c>
      <c r="C767" s="43">
        <v>19</v>
      </c>
      <c r="D767" s="38" t="s">
        <v>618</v>
      </c>
      <c r="E767" s="44" t="s">
        <v>161</v>
      </c>
      <c r="F767" s="44" t="s">
        <v>29</v>
      </c>
      <c r="G767" s="44" t="s">
        <v>108</v>
      </c>
      <c r="H767" s="44" t="s">
        <v>33</v>
      </c>
      <c r="I767" s="44" t="s">
        <v>33</v>
      </c>
      <c r="J767" s="44" t="s">
        <v>9</v>
      </c>
      <c r="K767" s="44" t="s">
        <v>117</v>
      </c>
      <c r="L767" s="40">
        <v>22767</v>
      </c>
      <c r="M767" s="41">
        <v>42250</v>
      </c>
      <c r="N767" s="40" t="s">
        <v>110</v>
      </c>
      <c r="O767" s="42"/>
      <c r="P767" s="40">
        <v>68</v>
      </c>
      <c r="Q767" s="91">
        <v>77.739999999999995</v>
      </c>
      <c r="R767" s="91">
        <v>83.16</v>
      </c>
      <c r="S767" s="91">
        <v>85.29</v>
      </c>
      <c r="T767" s="91">
        <v>88.44</v>
      </c>
      <c r="U767" s="91">
        <v>92.12</v>
      </c>
    </row>
    <row r="768" spans="1:21" x14ac:dyDescent="0.2">
      <c r="A768" s="48">
        <f t="shared" si="11"/>
        <v>760</v>
      </c>
      <c r="B768" s="43">
        <v>21</v>
      </c>
      <c r="C768" s="43">
        <v>20</v>
      </c>
      <c r="D768" s="38" t="s">
        <v>619</v>
      </c>
      <c r="E768" s="44" t="s">
        <v>163</v>
      </c>
      <c r="F768" s="44" t="s">
        <v>5</v>
      </c>
      <c r="G768" s="44" t="s">
        <v>108</v>
      </c>
      <c r="H768" s="44" t="s">
        <v>164</v>
      </c>
      <c r="I768" s="44" t="s">
        <v>165</v>
      </c>
      <c r="J768" s="44" t="s">
        <v>7</v>
      </c>
      <c r="K768" s="44" t="s">
        <v>123</v>
      </c>
      <c r="L768" s="40">
        <v>22769</v>
      </c>
      <c r="M768" s="41">
        <v>42250</v>
      </c>
      <c r="N768" s="40" t="s">
        <v>110</v>
      </c>
      <c r="O768" s="42"/>
      <c r="P768" s="40">
        <v>68</v>
      </c>
      <c r="Q768" s="91">
        <v>55.9</v>
      </c>
      <c r="R768" s="91">
        <v>61.59</v>
      </c>
      <c r="S768" s="91">
        <v>61.56</v>
      </c>
      <c r="T768" s="91">
        <v>64.03</v>
      </c>
      <c r="U768" s="91">
        <v>68.400000000000006</v>
      </c>
    </row>
    <row r="769" spans="1:21" x14ac:dyDescent="0.2">
      <c r="A769" s="48">
        <f t="shared" si="11"/>
        <v>761</v>
      </c>
      <c r="B769" s="43">
        <v>21</v>
      </c>
      <c r="C769" s="43">
        <v>21</v>
      </c>
      <c r="D769" s="38" t="s">
        <v>620</v>
      </c>
      <c r="E769" s="44" t="s">
        <v>167</v>
      </c>
      <c r="F769" s="44" t="s">
        <v>5</v>
      </c>
      <c r="G769" s="44" t="s">
        <v>108</v>
      </c>
      <c r="H769" s="44" t="s">
        <v>164</v>
      </c>
      <c r="I769" s="44" t="s">
        <v>165</v>
      </c>
      <c r="J769" s="44" t="s">
        <v>8</v>
      </c>
      <c r="K769" s="44" t="s">
        <v>120</v>
      </c>
      <c r="L769" s="40">
        <v>22768</v>
      </c>
      <c r="M769" s="41">
        <v>42250</v>
      </c>
      <c r="N769" s="40" t="s">
        <v>110</v>
      </c>
      <c r="O769" s="42"/>
      <c r="P769" s="40">
        <v>68</v>
      </c>
      <c r="Q769" s="91">
        <v>57.38</v>
      </c>
      <c r="R769" s="91">
        <v>62.74</v>
      </c>
      <c r="S769" s="91">
        <v>62.82</v>
      </c>
      <c r="T769" s="91">
        <v>65.180000000000007</v>
      </c>
      <c r="U769" s="91">
        <v>69.510000000000005</v>
      </c>
    </row>
    <row r="770" spans="1:21" x14ac:dyDescent="0.2">
      <c r="A770" s="48">
        <f t="shared" si="11"/>
        <v>762</v>
      </c>
      <c r="B770" s="43">
        <v>21</v>
      </c>
      <c r="C770" s="43">
        <v>22</v>
      </c>
      <c r="D770" s="38" t="s">
        <v>621</v>
      </c>
      <c r="E770" s="44" t="s">
        <v>169</v>
      </c>
      <c r="F770" s="44" t="s">
        <v>5</v>
      </c>
      <c r="G770" s="44" t="s">
        <v>108</v>
      </c>
      <c r="H770" s="44" t="s">
        <v>164</v>
      </c>
      <c r="I770" s="44" t="s">
        <v>165</v>
      </c>
      <c r="J770" s="44" t="s">
        <v>9</v>
      </c>
      <c r="K770" s="44" t="s">
        <v>117</v>
      </c>
      <c r="L770" s="40">
        <v>22770</v>
      </c>
      <c r="M770" s="41">
        <v>42250</v>
      </c>
      <c r="N770" s="40" t="s">
        <v>110</v>
      </c>
      <c r="O770" s="42"/>
      <c r="P770" s="40">
        <v>68</v>
      </c>
      <c r="Q770" s="91">
        <v>55.92</v>
      </c>
      <c r="R770" s="91">
        <v>62.23</v>
      </c>
      <c r="S770" s="91">
        <v>61.93</v>
      </c>
      <c r="T770" s="91">
        <v>64.650000000000006</v>
      </c>
      <c r="U770" s="91">
        <v>68.89</v>
      </c>
    </row>
    <row r="771" spans="1:21" x14ac:dyDescent="0.2">
      <c r="A771" s="48">
        <f t="shared" si="11"/>
        <v>763</v>
      </c>
      <c r="B771" s="43">
        <v>21</v>
      </c>
      <c r="C771" s="43">
        <v>23</v>
      </c>
      <c r="D771" s="38" t="s">
        <v>622</v>
      </c>
      <c r="E771" s="44" t="s">
        <v>171</v>
      </c>
      <c r="F771" s="44" t="s">
        <v>5</v>
      </c>
      <c r="G771" s="44" t="s">
        <v>108</v>
      </c>
      <c r="H771" s="44" t="s">
        <v>11</v>
      </c>
      <c r="I771" s="44" t="s">
        <v>11</v>
      </c>
      <c r="J771" s="44" t="s">
        <v>6</v>
      </c>
      <c r="K771" s="44" t="s">
        <v>128</v>
      </c>
      <c r="L771" s="40">
        <v>22771</v>
      </c>
      <c r="M771" s="41">
        <v>42250</v>
      </c>
      <c r="N771" s="40" t="s">
        <v>110</v>
      </c>
      <c r="O771" s="42"/>
      <c r="P771" s="40">
        <v>68</v>
      </c>
      <c r="Q771" s="91">
        <v>59.06</v>
      </c>
      <c r="R771" s="91">
        <v>65.87</v>
      </c>
      <c r="S771" s="91">
        <v>67.08</v>
      </c>
      <c r="T771" s="91">
        <v>70.98</v>
      </c>
      <c r="U771" s="91">
        <v>74.08</v>
      </c>
    </row>
    <row r="772" spans="1:21" x14ac:dyDescent="0.2">
      <c r="A772" s="48">
        <f t="shared" si="11"/>
        <v>764</v>
      </c>
      <c r="B772" s="43">
        <v>21</v>
      </c>
      <c r="C772" s="43">
        <v>24</v>
      </c>
      <c r="D772" s="38" t="s">
        <v>623</v>
      </c>
      <c r="E772" s="44" t="s">
        <v>173</v>
      </c>
      <c r="F772" s="44" t="s">
        <v>5</v>
      </c>
      <c r="G772" s="44" t="s">
        <v>108</v>
      </c>
      <c r="H772" s="44" t="s">
        <v>10</v>
      </c>
      <c r="I772" s="44" t="s">
        <v>174</v>
      </c>
      <c r="J772" s="44" t="s">
        <v>7</v>
      </c>
      <c r="K772" s="44" t="s">
        <v>123</v>
      </c>
      <c r="L772" s="40">
        <v>22772</v>
      </c>
      <c r="M772" s="41">
        <v>42250</v>
      </c>
      <c r="N772" s="40" t="s">
        <v>110</v>
      </c>
      <c r="O772" s="42"/>
      <c r="P772" s="40">
        <v>68</v>
      </c>
      <c r="Q772" s="91">
        <v>60.24</v>
      </c>
      <c r="R772" s="91">
        <v>63.7</v>
      </c>
      <c r="S772" s="91">
        <v>63.99</v>
      </c>
      <c r="T772" s="91">
        <v>65.8</v>
      </c>
      <c r="U772" s="91">
        <v>69.84</v>
      </c>
    </row>
    <row r="773" spans="1:21" x14ac:dyDescent="0.2">
      <c r="A773" s="48">
        <f t="shared" si="11"/>
        <v>765</v>
      </c>
      <c r="B773" s="43">
        <v>21</v>
      </c>
      <c r="C773" s="43">
        <v>25</v>
      </c>
      <c r="D773" s="38" t="s">
        <v>624</v>
      </c>
      <c r="E773" s="44" t="s">
        <v>176</v>
      </c>
      <c r="F773" s="44" t="s">
        <v>5</v>
      </c>
      <c r="G773" s="44" t="s">
        <v>108</v>
      </c>
      <c r="H773" s="44" t="s">
        <v>10</v>
      </c>
      <c r="I773" s="44" t="s">
        <v>174</v>
      </c>
      <c r="J773" s="44" t="s">
        <v>8</v>
      </c>
      <c r="K773" s="44" t="s">
        <v>120</v>
      </c>
      <c r="L773" s="40">
        <v>22773</v>
      </c>
      <c r="M773" s="41">
        <v>42250</v>
      </c>
      <c r="N773" s="40" t="s">
        <v>110</v>
      </c>
      <c r="O773" s="42"/>
      <c r="P773" s="40">
        <v>68</v>
      </c>
      <c r="Q773" s="91">
        <v>61.69</v>
      </c>
      <c r="R773" s="91">
        <v>64.930000000000007</v>
      </c>
      <c r="S773" s="91">
        <v>65.3</v>
      </c>
      <c r="T773" s="91">
        <v>67.040000000000006</v>
      </c>
      <c r="U773" s="91">
        <v>71.08</v>
      </c>
    </row>
    <row r="774" spans="1:21" x14ac:dyDescent="0.2">
      <c r="A774" s="48">
        <f t="shared" si="11"/>
        <v>766</v>
      </c>
      <c r="B774" s="43">
        <v>21</v>
      </c>
      <c r="C774" s="43">
        <v>26</v>
      </c>
      <c r="D774" s="38" t="s">
        <v>625</v>
      </c>
      <c r="E774" s="44" t="s">
        <v>178</v>
      </c>
      <c r="F774" s="44" t="s">
        <v>5</v>
      </c>
      <c r="G774" s="44" t="s">
        <v>108</v>
      </c>
      <c r="H774" s="44" t="s">
        <v>10</v>
      </c>
      <c r="I774" s="44" t="s">
        <v>174</v>
      </c>
      <c r="J774" s="44" t="s">
        <v>9</v>
      </c>
      <c r="K774" s="44" t="s">
        <v>117</v>
      </c>
      <c r="L774" s="40">
        <v>22774</v>
      </c>
      <c r="M774" s="41">
        <v>42250</v>
      </c>
      <c r="N774" s="40" t="s">
        <v>110</v>
      </c>
      <c r="O774" s="42"/>
      <c r="P774" s="40">
        <v>68</v>
      </c>
      <c r="Q774" s="91">
        <v>62.73</v>
      </c>
      <c r="R774" s="91">
        <v>64.930000000000007</v>
      </c>
      <c r="S774" s="91">
        <v>65.819999999999993</v>
      </c>
      <c r="T774" s="91">
        <v>67.09</v>
      </c>
      <c r="U774" s="91">
        <v>71.06</v>
      </c>
    </row>
    <row r="775" spans="1:21" x14ac:dyDescent="0.2">
      <c r="A775" s="48">
        <f t="shared" si="11"/>
        <v>767</v>
      </c>
      <c r="B775" s="43">
        <v>21</v>
      </c>
      <c r="C775" s="43">
        <v>27</v>
      </c>
      <c r="D775" s="38" t="s">
        <v>626</v>
      </c>
      <c r="E775" s="44" t="s">
        <v>180</v>
      </c>
      <c r="F775" s="44" t="s">
        <v>5</v>
      </c>
      <c r="G775" s="44" t="s">
        <v>108</v>
      </c>
      <c r="H775" s="44" t="s">
        <v>91</v>
      </c>
      <c r="I775" s="44" t="s">
        <v>181</v>
      </c>
      <c r="J775" s="44" t="s">
        <v>6</v>
      </c>
      <c r="K775" s="44" t="s">
        <v>128</v>
      </c>
      <c r="L775" s="40">
        <v>22775</v>
      </c>
      <c r="M775" s="41">
        <v>42250</v>
      </c>
      <c r="N775" s="40" t="s">
        <v>110</v>
      </c>
      <c r="O775" s="42"/>
      <c r="P775" s="40">
        <v>68</v>
      </c>
      <c r="Q775" s="91">
        <v>70.64</v>
      </c>
      <c r="R775" s="91">
        <v>71.28</v>
      </c>
      <c r="S775" s="91">
        <v>72.5</v>
      </c>
      <c r="T775" s="91">
        <v>73.41</v>
      </c>
      <c r="U775" s="91">
        <v>77.260000000000005</v>
      </c>
    </row>
    <row r="776" spans="1:21" x14ac:dyDescent="0.2">
      <c r="A776" s="48">
        <f t="shared" si="11"/>
        <v>768</v>
      </c>
      <c r="B776" s="43">
        <v>21</v>
      </c>
      <c r="C776" s="43">
        <v>28</v>
      </c>
      <c r="D776" s="38" t="s">
        <v>627</v>
      </c>
      <c r="E776" s="44" t="s">
        <v>183</v>
      </c>
      <c r="F776" s="44" t="s">
        <v>37</v>
      </c>
      <c r="G776" s="44" t="s">
        <v>108</v>
      </c>
      <c r="H776" s="44" t="s">
        <v>42</v>
      </c>
      <c r="I776" s="44" t="s">
        <v>42</v>
      </c>
      <c r="J776" s="44" t="s">
        <v>6</v>
      </c>
      <c r="K776" s="44" t="s">
        <v>128</v>
      </c>
      <c r="L776" s="40">
        <v>22776</v>
      </c>
      <c r="M776" s="41">
        <v>42250</v>
      </c>
      <c r="N776" s="40" t="s">
        <v>110</v>
      </c>
      <c r="O776" s="42"/>
      <c r="P776" s="40">
        <v>68</v>
      </c>
      <c r="Q776" s="91">
        <v>72.91</v>
      </c>
      <c r="R776" s="91">
        <v>76.67</v>
      </c>
      <c r="S776" s="91">
        <v>76.900000000000006</v>
      </c>
      <c r="T776" s="91">
        <v>78.44</v>
      </c>
      <c r="U776" s="91">
        <v>82.34</v>
      </c>
    </row>
    <row r="777" spans="1:21" x14ac:dyDescent="0.2">
      <c r="A777" s="48">
        <f t="shared" si="11"/>
        <v>769</v>
      </c>
      <c r="B777" s="43">
        <v>21</v>
      </c>
      <c r="C777" s="43">
        <v>29</v>
      </c>
      <c r="D777" s="38" t="s">
        <v>628</v>
      </c>
      <c r="E777" s="44" t="s">
        <v>185</v>
      </c>
      <c r="F777" s="44" t="s">
        <v>37</v>
      </c>
      <c r="G777" s="44" t="s">
        <v>108</v>
      </c>
      <c r="H777" s="44" t="s">
        <v>42</v>
      </c>
      <c r="I777" s="44" t="s">
        <v>42</v>
      </c>
      <c r="J777" s="44" t="s">
        <v>43</v>
      </c>
      <c r="K777" s="44" t="s">
        <v>186</v>
      </c>
      <c r="L777" s="40">
        <v>22777</v>
      </c>
      <c r="M777" s="41">
        <v>42250</v>
      </c>
      <c r="N777" s="40" t="s">
        <v>110</v>
      </c>
      <c r="O777" s="42"/>
      <c r="P777" s="40">
        <v>68</v>
      </c>
      <c r="Q777" s="91">
        <v>70.010000000000005</v>
      </c>
      <c r="R777" s="91">
        <v>74.47</v>
      </c>
      <c r="S777" s="91">
        <v>74.37</v>
      </c>
      <c r="T777" s="91">
        <v>76.180000000000007</v>
      </c>
      <c r="U777" s="91">
        <v>80.040000000000006</v>
      </c>
    </row>
    <row r="778" spans="1:21" x14ac:dyDescent="0.2">
      <c r="A778" s="48">
        <f t="shared" si="11"/>
        <v>770</v>
      </c>
      <c r="B778" s="43">
        <v>21</v>
      </c>
      <c r="C778" s="43">
        <v>30</v>
      </c>
      <c r="D778" s="38" t="s">
        <v>629</v>
      </c>
      <c r="E778" s="44" t="s">
        <v>188</v>
      </c>
      <c r="F778" s="44" t="s">
        <v>37</v>
      </c>
      <c r="G778" s="44" t="s">
        <v>108</v>
      </c>
      <c r="H778" s="44" t="s">
        <v>42</v>
      </c>
      <c r="I778" s="44" t="s">
        <v>42</v>
      </c>
      <c r="J778" s="44" t="s">
        <v>44</v>
      </c>
      <c r="K778" s="44" t="s">
        <v>44</v>
      </c>
      <c r="L778" s="40">
        <v>22778</v>
      </c>
      <c r="M778" s="41">
        <v>42250</v>
      </c>
      <c r="N778" s="40" t="s">
        <v>110</v>
      </c>
      <c r="O778" s="42"/>
      <c r="P778" s="40">
        <v>68</v>
      </c>
      <c r="Q778" s="91">
        <v>70.069999999999993</v>
      </c>
      <c r="R778" s="91">
        <v>74.39</v>
      </c>
      <c r="S778" s="91">
        <v>74.39</v>
      </c>
      <c r="T778" s="91">
        <v>76.13</v>
      </c>
      <c r="U778" s="91">
        <v>79.94</v>
      </c>
    </row>
    <row r="779" spans="1:21" x14ac:dyDescent="0.2">
      <c r="A779" s="48">
        <f t="shared" ref="A779:A842" si="12">A778+1</f>
        <v>771</v>
      </c>
      <c r="B779" s="43">
        <v>21</v>
      </c>
      <c r="C779" s="43">
        <v>31</v>
      </c>
      <c r="D779" s="38" t="s">
        <v>630</v>
      </c>
      <c r="E779" s="44" t="s">
        <v>190</v>
      </c>
      <c r="F779" s="44" t="s">
        <v>37</v>
      </c>
      <c r="G779" s="44" t="s">
        <v>108</v>
      </c>
      <c r="H779" s="44" t="s">
        <v>45</v>
      </c>
      <c r="I779" s="44" t="s">
        <v>45</v>
      </c>
      <c r="J779" s="44" t="s">
        <v>6</v>
      </c>
      <c r="K779" s="44" t="s">
        <v>128</v>
      </c>
      <c r="L779" s="40">
        <v>22779</v>
      </c>
      <c r="M779" s="41">
        <v>42250</v>
      </c>
      <c r="N779" s="40" t="s">
        <v>110</v>
      </c>
      <c r="O779" s="42"/>
      <c r="P779" s="40">
        <v>68</v>
      </c>
      <c r="Q779" s="91">
        <v>72.45</v>
      </c>
      <c r="R779" s="91">
        <v>72.209999999999994</v>
      </c>
      <c r="S779" s="91">
        <v>74.08</v>
      </c>
      <c r="T779" s="91">
        <v>74.599999999999994</v>
      </c>
      <c r="U779" s="91">
        <v>78.849999999999994</v>
      </c>
    </row>
    <row r="780" spans="1:21" x14ac:dyDescent="0.2">
      <c r="A780" s="48">
        <f t="shared" si="12"/>
        <v>772</v>
      </c>
      <c r="B780" s="43">
        <v>21</v>
      </c>
      <c r="C780" s="43">
        <v>32</v>
      </c>
      <c r="D780" s="38" t="s">
        <v>631</v>
      </c>
      <c r="E780" s="44" t="s">
        <v>192</v>
      </c>
      <c r="F780" s="44" t="s">
        <v>5</v>
      </c>
      <c r="G780" s="44" t="s">
        <v>108</v>
      </c>
      <c r="H780" s="44" t="s">
        <v>12</v>
      </c>
      <c r="I780" s="44" t="s">
        <v>12</v>
      </c>
      <c r="J780" s="44" t="s">
        <v>13</v>
      </c>
      <c r="K780" s="44" t="s">
        <v>117</v>
      </c>
      <c r="L780" s="40">
        <v>22780</v>
      </c>
      <c r="M780" s="41">
        <v>42250</v>
      </c>
      <c r="N780" s="40" t="s">
        <v>110</v>
      </c>
      <c r="O780" s="42"/>
      <c r="P780" s="40">
        <v>68</v>
      </c>
      <c r="Q780" s="91">
        <v>63.7</v>
      </c>
      <c r="R780" s="91">
        <v>70.010000000000005</v>
      </c>
      <c r="S780" s="91">
        <v>69.319999999999993</v>
      </c>
      <c r="T780" s="91">
        <v>71.989999999999995</v>
      </c>
      <c r="U780" s="91">
        <v>76.569999999999993</v>
      </c>
    </row>
    <row r="781" spans="1:21" x14ac:dyDescent="0.2">
      <c r="A781" s="48">
        <f t="shared" si="12"/>
        <v>773</v>
      </c>
      <c r="B781" s="43">
        <v>21</v>
      </c>
      <c r="C781" s="43">
        <v>33</v>
      </c>
      <c r="D781" s="38" t="s">
        <v>632</v>
      </c>
      <c r="E781" s="44" t="s">
        <v>194</v>
      </c>
      <c r="F781" s="44" t="s">
        <v>5</v>
      </c>
      <c r="G781" s="44" t="s">
        <v>108</v>
      </c>
      <c r="H781" s="44" t="s">
        <v>12</v>
      </c>
      <c r="I781" s="44" t="s">
        <v>12</v>
      </c>
      <c r="J781" s="44" t="s">
        <v>14</v>
      </c>
      <c r="K781" s="44" t="s">
        <v>123</v>
      </c>
      <c r="L781" s="40">
        <v>22781</v>
      </c>
      <c r="M781" s="41">
        <v>42250</v>
      </c>
      <c r="N781" s="40" t="s">
        <v>110</v>
      </c>
      <c r="O781" s="42"/>
      <c r="P781" s="40">
        <v>68</v>
      </c>
      <c r="Q781" s="91">
        <v>64.52</v>
      </c>
      <c r="R781" s="91">
        <v>70.95</v>
      </c>
      <c r="S781" s="91">
        <v>70.25</v>
      </c>
      <c r="T781" s="91">
        <v>72.98</v>
      </c>
      <c r="U781" s="91">
        <v>77.63</v>
      </c>
    </row>
    <row r="782" spans="1:21" x14ac:dyDescent="0.2">
      <c r="A782" s="48">
        <f t="shared" si="12"/>
        <v>774</v>
      </c>
      <c r="B782" s="43">
        <v>21</v>
      </c>
      <c r="C782" s="43">
        <v>34</v>
      </c>
      <c r="D782" s="38" t="s">
        <v>633</v>
      </c>
      <c r="E782" s="44" t="s">
        <v>196</v>
      </c>
      <c r="F782" s="44" t="s">
        <v>29</v>
      </c>
      <c r="G782" s="44" t="s">
        <v>108</v>
      </c>
      <c r="H782" s="44" t="s">
        <v>34</v>
      </c>
      <c r="I782" s="44" t="s">
        <v>34</v>
      </c>
      <c r="J782" s="44" t="s">
        <v>35</v>
      </c>
      <c r="K782" s="44" t="s">
        <v>197</v>
      </c>
      <c r="L782" s="40">
        <v>22782</v>
      </c>
      <c r="M782" s="41">
        <v>42250</v>
      </c>
      <c r="N782" s="40" t="s">
        <v>110</v>
      </c>
      <c r="O782" s="42"/>
      <c r="P782" s="40">
        <v>68</v>
      </c>
      <c r="Q782" s="91">
        <v>94.9</v>
      </c>
      <c r="R782" s="91">
        <v>102.75</v>
      </c>
      <c r="S782" s="91">
        <v>101.34</v>
      </c>
      <c r="T782" s="91">
        <v>104.74</v>
      </c>
      <c r="U782" s="91">
        <v>107.54</v>
      </c>
    </row>
    <row r="783" spans="1:21" x14ac:dyDescent="0.2">
      <c r="A783" s="48">
        <f t="shared" si="12"/>
        <v>775</v>
      </c>
      <c r="B783" s="43">
        <v>21</v>
      </c>
      <c r="C783" s="43">
        <v>35</v>
      </c>
      <c r="D783" s="38" t="s">
        <v>634</v>
      </c>
      <c r="E783" s="44" t="s">
        <v>199</v>
      </c>
      <c r="F783" s="44" t="s">
        <v>29</v>
      </c>
      <c r="G783" s="44" t="s">
        <v>108</v>
      </c>
      <c r="H783" s="44" t="s">
        <v>34</v>
      </c>
      <c r="I783" s="44" t="s">
        <v>34</v>
      </c>
      <c r="J783" s="44" t="s">
        <v>36</v>
      </c>
      <c r="K783" s="44" t="s">
        <v>200</v>
      </c>
      <c r="L783" s="40">
        <v>22783</v>
      </c>
      <c r="M783" s="41">
        <v>42250</v>
      </c>
      <c r="N783" s="40" t="s">
        <v>110</v>
      </c>
      <c r="O783" s="42"/>
      <c r="P783" s="40">
        <v>68</v>
      </c>
      <c r="Q783" s="91">
        <v>93.1</v>
      </c>
      <c r="R783" s="91">
        <v>101.18</v>
      </c>
      <c r="S783" s="91">
        <v>99.71</v>
      </c>
      <c r="T783" s="91">
        <v>103.19</v>
      </c>
      <c r="U783" s="91">
        <v>105.99</v>
      </c>
    </row>
    <row r="784" spans="1:21" x14ac:dyDescent="0.2">
      <c r="A784" s="48">
        <f t="shared" si="12"/>
        <v>776</v>
      </c>
      <c r="B784" s="43">
        <v>21</v>
      </c>
      <c r="C784" s="43">
        <v>36</v>
      </c>
      <c r="D784" s="38" t="s">
        <v>635</v>
      </c>
      <c r="E784" s="44" t="s">
        <v>202</v>
      </c>
      <c r="F784" s="44" t="s">
        <v>5</v>
      </c>
      <c r="G784" s="44" t="s">
        <v>108</v>
      </c>
      <c r="H784" s="44" t="s">
        <v>15</v>
      </c>
      <c r="I784" s="44" t="s">
        <v>203</v>
      </c>
      <c r="J784" s="44" t="s">
        <v>16</v>
      </c>
      <c r="K784" s="44" t="s">
        <v>128</v>
      </c>
      <c r="L784" s="40">
        <v>22784</v>
      </c>
      <c r="M784" s="41">
        <v>42250</v>
      </c>
      <c r="N784" s="40" t="s">
        <v>110</v>
      </c>
      <c r="O784" s="42"/>
      <c r="P784" s="40">
        <v>68</v>
      </c>
      <c r="Q784" s="91">
        <v>67.37</v>
      </c>
      <c r="R784" s="91">
        <v>70.459999999999994</v>
      </c>
      <c r="S784" s="91">
        <v>70.86</v>
      </c>
      <c r="T784" s="91">
        <v>72.569999999999993</v>
      </c>
      <c r="U784" s="91">
        <v>76.55</v>
      </c>
    </row>
    <row r="785" spans="1:21" x14ac:dyDescent="0.2">
      <c r="A785" s="48">
        <f t="shared" si="12"/>
        <v>777</v>
      </c>
      <c r="B785" s="20"/>
      <c r="C785" s="20"/>
      <c r="D785" s="20"/>
    </row>
    <row r="786" spans="1:21" x14ac:dyDescent="0.2">
      <c r="A786" s="48">
        <f t="shared" si="12"/>
        <v>778</v>
      </c>
      <c r="B786" s="43">
        <v>22</v>
      </c>
      <c r="C786" s="43">
        <v>1</v>
      </c>
      <c r="D786" s="38" t="s">
        <v>600</v>
      </c>
      <c r="E786" s="44" t="s">
        <v>107</v>
      </c>
      <c r="F786" s="44" t="s">
        <v>29</v>
      </c>
      <c r="G786" s="44" t="s">
        <v>108</v>
      </c>
      <c r="H786" s="44" t="s">
        <v>30</v>
      </c>
      <c r="I786" s="44" t="s">
        <v>30</v>
      </c>
      <c r="J786" s="44" t="s">
        <v>31</v>
      </c>
      <c r="K786" s="44" t="s">
        <v>109</v>
      </c>
      <c r="L786" s="40">
        <v>22749</v>
      </c>
      <c r="M786" s="41">
        <v>42250</v>
      </c>
      <c r="N786" s="40" t="s">
        <v>110</v>
      </c>
      <c r="O786" s="42"/>
      <c r="P786" s="40">
        <v>69</v>
      </c>
      <c r="Q786" s="91">
        <v>82.97</v>
      </c>
      <c r="R786" s="91">
        <v>89.95</v>
      </c>
      <c r="S786" s="91">
        <v>90.57</v>
      </c>
      <c r="T786" s="91">
        <v>94.49</v>
      </c>
      <c r="U786" s="91">
        <v>97.6</v>
      </c>
    </row>
    <row r="787" spans="1:21" x14ac:dyDescent="0.2">
      <c r="A787" s="48">
        <f t="shared" si="12"/>
        <v>779</v>
      </c>
      <c r="B787" s="43">
        <v>22</v>
      </c>
      <c r="C787" s="43">
        <v>2</v>
      </c>
      <c r="D787" s="38" t="s">
        <v>601</v>
      </c>
      <c r="E787" s="44" t="s">
        <v>112</v>
      </c>
      <c r="F787" s="44" t="s">
        <v>29</v>
      </c>
      <c r="G787" s="44" t="s">
        <v>108</v>
      </c>
      <c r="H787" s="44" t="s">
        <v>30</v>
      </c>
      <c r="I787" s="44" t="s">
        <v>30</v>
      </c>
      <c r="J787" s="44" t="s">
        <v>32</v>
      </c>
      <c r="K787" s="44" t="s">
        <v>113</v>
      </c>
      <c r="L787" s="40">
        <v>22750</v>
      </c>
      <c r="M787" s="41">
        <v>42250</v>
      </c>
      <c r="N787" s="40" t="s">
        <v>110</v>
      </c>
      <c r="O787" s="42"/>
      <c r="P787" s="40">
        <v>69</v>
      </c>
      <c r="Q787" s="91">
        <v>82.77</v>
      </c>
      <c r="R787" s="91">
        <v>87.4</v>
      </c>
      <c r="S787" s="91">
        <v>87.25</v>
      </c>
      <c r="T787" s="91">
        <v>90.2</v>
      </c>
      <c r="U787" s="91">
        <v>92.56</v>
      </c>
    </row>
    <row r="788" spans="1:21" x14ac:dyDescent="0.2">
      <c r="A788" s="48">
        <f t="shared" si="12"/>
        <v>780</v>
      </c>
      <c r="B788" s="43">
        <v>22</v>
      </c>
      <c r="C788" s="43">
        <v>3</v>
      </c>
      <c r="D788" s="38" t="s">
        <v>602</v>
      </c>
      <c r="E788" s="44" t="s">
        <v>115</v>
      </c>
      <c r="F788" s="44" t="s">
        <v>18</v>
      </c>
      <c r="G788" s="44" t="s">
        <v>108</v>
      </c>
      <c r="H788" s="44" t="s">
        <v>61</v>
      </c>
      <c r="I788" s="44" t="s">
        <v>116</v>
      </c>
      <c r="J788" s="44" t="s">
        <v>13</v>
      </c>
      <c r="K788" s="44" t="s">
        <v>117</v>
      </c>
      <c r="L788" s="40">
        <v>22751</v>
      </c>
      <c r="M788" s="41">
        <v>42250</v>
      </c>
      <c r="N788" s="40" t="s">
        <v>110</v>
      </c>
      <c r="O788" s="42"/>
      <c r="P788" s="40">
        <v>69</v>
      </c>
      <c r="Q788" s="91">
        <v>55.17</v>
      </c>
      <c r="R788" s="91">
        <v>58.82</v>
      </c>
      <c r="S788" s="91">
        <v>59.08</v>
      </c>
      <c r="T788" s="91">
        <v>61.3</v>
      </c>
      <c r="U788" s="91">
        <v>65.34</v>
      </c>
    </row>
    <row r="789" spans="1:21" x14ac:dyDescent="0.2">
      <c r="A789" s="48">
        <f t="shared" si="12"/>
        <v>781</v>
      </c>
      <c r="B789" s="43">
        <v>22</v>
      </c>
      <c r="C789" s="43">
        <v>4</v>
      </c>
      <c r="D789" s="38" t="s">
        <v>603</v>
      </c>
      <c r="E789" s="44" t="s">
        <v>119</v>
      </c>
      <c r="F789" s="44" t="s">
        <v>18</v>
      </c>
      <c r="G789" s="44" t="s">
        <v>108</v>
      </c>
      <c r="H789" s="44" t="s">
        <v>61</v>
      </c>
      <c r="I789" s="44" t="s">
        <v>116</v>
      </c>
      <c r="J789" s="44" t="s">
        <v>19</v>
      </c>
      <c r="K789" s="44" t="s">
        <v>120</v>
      </c>
      <c r="L789" s="40">
        <v>22752</v>
      </c>
      <c r="M789" s="41">
        <v>42250</v>
      </c>
      <c r="N789" s="40" t="s">
        <v>110</v>
      </c>
      <c r="O789" s="42"/>
      <c r="P789" s="40">
        <v>69</v>
      </c>
      <c r="Q789" s="91">
        <v>57.67</v>
      </c>
      <c r="R789" s="91">
        <v>60.43</v>
      </c>
      <c r="S789" s="91">
        <v>61.08</v>
      </c>
      <c r="T789" s="91">
        <v>62.89</v>
      </c>
      <c r="U789" s="91">
        <v>66.959999999999994</v>
      </c>
    </row>
    <row r="790" spans="1:21" x14ac:dyDescent="0.2">
      <c r="A790" s="48">
        <f t="shared" si="12"/>
        <v>782</v>
      </c>
      <c r="B790" s="43">
        <v>22</v>
      </c>
      <c r="C790" s="43">
        <v>5</v>
      </c>
      <c r="D790" s="38" t="s">
        <v>604</v>
      </c>
      <c r="E790" s="44" t="s">
        <v>122</v>
      </c>
      <c r="F790" s="44" t="s">
        <v>18</v>
      </c>
      <c r="G790" s="44" t="s">
        <v>108</v>
      </c>
      <c r="H790" s="44" t="s">
        <v>61</v>
      </c>
      <c r="I790" s="44" t="s">
        <v>116</v>
      </c>
      <c r="J790" s="44" t="s">
        <v>14</v>
      </c>
      <c r="K790" s="44" t="s">
        <v>123</v>
      </c>
      <c r="L790" s="40">
        <v>22753</v>
      </c>
      <c r="M790" s="41">
        <v>42250</v>
      </c>
      <c r="N790" s="40" t="s">
        <v>110</v>
      </c>
      <c r="O790" s="42"/>
      <c r="P790" s="40">
        <v>69</v>
      </c>
      <c r="Q790" s="91">
        <v>56.44</v>
      </c>
      <c r="R790" s="91">
        <v>59.4</v>
      </c>
      <c r="S790" s="91">
        <v>59.92</v>
      </c>
      <c r="T790" s="91">
        <v>61.84</v>
      </c>
      <c r="U790" s="91">
        <v>65.900000000000006</v>
      </c>
    </row>
    <row r="791" spans="1:21" x14ac:dyDescent="0.2">
      <c r="A791" s="48">
        <f t="shared" si="12"/>
        <v>783</v>
      </c>
      <c r="B791" s="43">
        <v>22</v>
      </c>
      <c r="C791" s="43">
        <v>6</v>
      </c>
      <c r="D791" s="38" t="s">
        <v>605</v>
      </c>
      <c r="E791" s="44" t="s">
        <v>125</v>
      </c>
      <c r="F791" s="44" t="s">
        <v>23</v>
      </c>
      <c r="G791" s="44" t="s">
        <v>126</v>
      </c>
      <c r="H791" s="44" t="s">
        <v>127</v>
      </c>
      <c r="I791" s="44" t="s">
        <v>27</v>
      </c>
      <c r="J791" s="44" t="s">
        <v>28</v>
      </c>
      <c r="K791" s="44" t="s">
        <v>128</v>
      </c>
      <c r="L791" s="40">
        <v>22754</v>
      </c>
      <c r="M791" s="41">
        <v>42250</v>
      </c>
      <c r="N791" s="40" t="s">
        <v>110</v>
      </c>
      <c r="O791" s="42"/>
      <c r="P791" s="40">
        <v>69</v>
      </c>
      <c r="Q791" s="91">
        <v>60.83</v>
      </c>
      <c r="R791" s="91">
        <v>63.74</v>
      </c>
      <c r="S791" s="91">
        <v>63.66</v>
      </c>
      <c r="T791" s="91">
        <v>65</v>
      </c>
      <c r="U791" s="91">
        <v>65.83</v>
      </c>
    </row>
    <row r="792" spans="1:21" x14ac:dyDescent="0.2">
      <c r="A792" s="48">
        <f t="shared" si="12"/>
        <v>784</v>
      </c>
      <c r="B792" s="43">
        <v>22</v>
      </c>
      <c r="C792" s="43">
        <v>7</v>
      </c>
      <c r="D792" s="38" t="s">
        <v>606</v>
      </c>
      <c r="E792" s="44" t="s">
        <v>130</v>
      </c>
      <c r="F792" s="44" t="s">
        <v>37</v>
      </c>
      <c r="G792" s="44" t="s">
        <v>108</v>
      </c>
      <c r="H792" s="44" t="s">
        <v>38</v>
      </c>
      <c r="I792" s="44" t="s">
        <v>38</v>
      </c>
      <c r="J792" s="44" t="s">
        <v>40</v>
      </c>
      <c r="K792" s="44" t="s">
        <v>123</v>
      </c>
      <c r="L792" s="40">
        <v>22756</v>
      </c>
      <c r="M792" s="41">
        <v>42250</v>
      </c>
      <c r="N792" s="40" t="s">
        <v>110</v>
      </c>
      <c r="O792" s="42"/>
      <c r="P792" s="40">
        <v>69</v>
      </c>
      <c r="Q792" s="91">
        <v>73.349999999999994</v>
      </c>
      <c r="R792" s="91">
        <v>77.98</v>
      </c>
      <c r="S792" s="91">
        <v>77.73</v>
      </c>
      <c r="T792" s="91">
        <v>79.739999999999995</v>
      </c>
      <c r="U792" s="91">
        <v>83.19</v>
      </c>
    </row>
    <row r="793" spans="1:21" x14ac:dyDescent="0.2">
      <c r="A793" s="48">
        <f t="shared" si="12"/>
        <v>785</v>
      </c>
      <c r="B793" s="43">
        <v>22</v>
      </c>
      <c r="C793" s="43">
        <v>8</v>
      </c>
      <c r="D793" s="38" t="s">
        <v>607</v>
      </c>
      <c r="E793" s="44" t="s">
        <v>132</v>
      </c>
      <c r="F793" s="44" t="s">
        <v>37</v>
      </c>
      <c r="G793" s="44" t="s">
        <v>108</v>
      </c>
      <c r="H793" s="44" t="s">
        <v>38</v>
      </c>
      <c r="I793" s="44" t="s">
        <v>38</v>
      </c>
      <c r="J793" s="44" t="s">
        <v>39</v>
      </c>
      <c r="K793" s="44" t="s">
        <v>120</v>
      </c>
      <c r="L793" s="40">
        <v>22755</v>
      </c>
      <c r="M793" s="41">
        <v>42250</v>
      </c>
      <c r="N793" s="40" t="s">
        <v>110</v>
      </c>
      <c r="O793" s="42"/>
      <c r="P793" s="40">
        <v>69</v>
      </c>
      <c r="Q793" s="91">
        <v>74.78</v>
      </c>
      <c r="R793" s="91">
        <v>79.06</v>
      </c>
      <c r="S793" s="91">
        <v>78.989999999999995</v>
      </c>
      <c r="T793" s="91">
        <v>80.81</v>
      </c>
      <c r="U793" s="91">
        <v>84.25</v>
      </c>
    </row>
    <row r="794" spans="1:21" x14ac:dyDescent="0.2">
      <c r="A794" s="48">
        <f t="shared" si="12"/>
        <v>786</v>
      </c>
      <c r="B794" s="43">
        <v>22</v>
      </c>
      <c r="C794" s="43">
        <v>9</v>
      </c>
      <c r="D794" s="38" t="s">
        <v>608</v>
      </c>
      <c r="E794" s="44" t="s">
        <v>134</v>
      </c>
      <c r="F794" s="44" t="s">
        <v>37</v>
      </c>
      <c r="G794" s="44" t="s">
        <v>108</v>
      </c>
      <c r="H794" s="44" t="s">
        <v>38</v>
      </c>
      <c r="I794" s="44" t="s">
        <v>38</v>
      </c>
      <c r="J794" s="44" t="s">
        <v>6</v>
      </c>
      <c r="K794" s="44" t="s">
        <v>117</v>
      </c>
      <c r="L794" s="40">
        <v>22757</v>
      </c>
      <c r="M794" s="41">
        <v>42250</v>
      </c>
      <c r="N794" s="40" t="s">
        <v>110</v>
      </c>
      <c r="O794" s="42"/>
      <c r="P794" s="40">
        <v>69</v>
      </c>
      <c r="Q794" s="91">
        <v>72.069999999999993</v>
      </c>
      <c r="R794" s="91">
        <v>77.13</v>
      </c>
      <c r="S794" s="91">
        <v>76.709999999999994</v>
      </c>
      <c r="T794" s="91">
        <v>78.900000000000006</v>
      </c>
      <c r="U794" s="91">
        <v>82.37</v>
      </c>
    </row>
    <row r="795" spans="1:21" x14ac:dyDescent="0.2">
      <c r="A795" s="48">
        <f t="shared" si="12"/>
        <v>787</v>
      </c>
      <c r="B795" s="43">
        <v>22</v>
      </c>
      <c r="C795" s="43">
        <v>10</v>
      </c>
      <c r="D795" s="38" t="s">
        <v>609</v>
      </c>
      <c r="E795" s="44" t="s">
        <v>136</v>
      </c>
      <c r="F795" s="44" t="s">
        <v>23</v>
      </c>
      <c r="G795" s="44" t="s">
        <v>108</v>
      </c>
      <c r="H795" s="44" t="s">
        <v>137</v>
      </c>
      <c r="I795" s="44" t="s">
        <v>24</v>
      </c>
      <c r="J795" s="44" t="s">
        <v>25</v>
      </c>
      <c r="K795" s="44" t="s">
        <v>138</v>
      </c>
      <c r="L795" s="40">
        <v>22758</v>
      </c>
      <c r="M795" s="41">
        <v>42250</v>
      </c>
      <c r="N795" s="40" t="s">
        <v>110</v>
      </c>
      <c r="O795" s="42"/>
      <c r="P795" s="40">
        <v>69</v>
      </c>
      <c r="Q795" s="91">
        <v>61.82</v>
      </c>
      <c r="R795" s="91">
        <v>65.099999999999994</v>
      </c>
      <c r="S795" s="91">
        <v>67.150000000000006</v>
      </c>
      <c r="T795" s="91">
        <v>69.61</v>
      </c>
      <c r="U795" s="91">
        <v>72.73</v>
      </c>
    </row>
    <row r="796" spans="1:21" x14ac:dyDescent="0.2">
      <c r="A796" s="48">
        <f t="shared" si="12"/>
        <v>788</v>
      </c>
      <c r="B796" s="43">
        <v>22</v>
      </c>
      <c r="C796" s="43">
        <v>11</v>
      </c>
      <c r="D796" s="38" t="s">
        <v>610</v>
      </c>
      <c r="E796" s="44" t="s">
        <v>140</v>
      </c>
      <c r="F796" s="44" t="s">
        <v>23</v>
      </c>
      <c r="G796" s="44" t="s">
        <v>108</v>
      </c>
      <c r="H796" s="44" t="s">
        <v>137</v>
      </c>
      <c r="I796" s="44" t="s">
        <v>24</v>
      </c>
      <c r="J796" s="44" t="s">
        <v>26</v>
      </c>
      <c r="K796" s="44" t="s">
        <v>141</v>
      </c>
      <c r="L796" s="40">
        <v>22759</v>
      </c>
      <c r="M796" s="41">
        <v>42250</v>
      </c>
      <c r="N796" s="40" t="s">
        <v>110</v>
      </c>
      <c r="O796" s="42"/>
      <c r="P796" s="40">
        <v>69</v>
      </c>
      <c r="Q796" s="91">
        <v>60.93</v>
      </c>
      <c r="R796" s="91">
        <v>64.3</v>
      </c>
      <c r="S796" s="91">
        <v>66.319999999999993</v>
      </c>
      <c r="T796" s="91">
        <v>68.81</v>
      </c>
      <c r="U796" s="91">
        <v>71.930000000000007</v>
      </c>
    </row>
    <row r="797" spans="1:21" x14ac:dyDescent="0.2">
      <c r="A797" s="48">
        <f t="shared" si="12"/>
        <v>789</v>
      </c>
      <c r="B797" s="43">
        <v>22</v>
      </c>
      <c r="C797" s="43">
        <v>12</v>
      </c>
      <c r="D797" s="38" t="s">
        <v>611</v>
      </c>
      <c r="E797" s="44" t="s">
        <v>143</v>
      </c>
      <c r="F797" s="44" t="s">
        <v>18</v>
      </c>
      <c r="G797" s="44" t="s">
        <v>108</v>
      </c>
      <c r="H797" s="44" t="s">
        <v>94</v>
      </c>
      <c r="I797" s="44" t="s">
        <v>144</v>
      </c>
      <c r="J797" s="44" t="s">
        <v>20</v>
      </c>
      <c r="K797" s="44" t="s">
        <v>145</v>
      </c>
      <c r="L797" s="40">
        <v>22760</v>
      </c>
      <c r="M797" s="41">
        <v>42250</v>
      </c>
      <c r="N797" s="40" t="s">
        <v>110</v>
      </c>
      <c r="O797" s="42"/>
      <c r="P797" s="40">
        <v>69</v>
      </c>
      <c r="Q797" s="91">
        <v>57.56</v>
      </c>
      <c r="R797" s="91">
        <v>59.97</v>
      </c>
      <c r="S797" s="91">
        <v>60.65</v>
      </c>
      <c r="T797" s="91">
        <v>62.32</v>
      </c>
      <c r="U797" s="91">
        <v>66.33</v>
      </c>
    </row>
    <row r="798" spans="1:21" x14ac:dyDescent="0.2">
      <c r="A798" s="48">
        <f t="shared" si="12"/>
        <v>790</v>
      </c>
      <c r="B798" s="43">
        <v>22</v>
      </c>
      <c r="C798" s="43">
        <v>13</v>
      </c>
      <c r="D798" s="38" t="s">
        <v>612</v>
      </c>
      <c r="E798" s="44" t="s">
        <v>147</v>
      </c>
      <c r="F798" s="44" t="s">
        <v>37</v>
      </c>
      <c r="G798" s="44" t="s">
        <v>108</v>
      </c>
      <c r="H798" s="44" t="s">
        <v>41</v>
      </c>
      <c r="I798" s="44" t="s">
        <v>41</v>
      </c>
      <c r="J798" s="44" t="s">
        <v>6</v>
      </c>
      <c r="K798" s="44" t="s">
        <v>128</v>
      </c>
      <c r="L798" s="40">
        <v>22761</v>
      </c>
      <c r="M798" s="41">
        <v>42250</v>
      </c>
      <c r="N798" s="40" t="s">
        <v>110</v>
      </c>
      <c r="O798" s="42"/>
      <c r="P798" s="40">
        <v>69</v>
      </c>
      <c r="Q798" s="91">
        <v>71.900000000000006</v>
      </c>
      <c r="R798" s="91">
        <v>78.08</v>
      </c>
      <c r="S798" s="91">
        <v>80.150000000000006</v>
      </c>
      <c r="T798" s="91">
        <v>83.58</v>
      </c>
      <c r="U798" s="91">
        <v>87.37</v>
      </c>
    </row>
    <row r="799" spans="1:21" x14ac:dyDescent="0.2">
      <c r="A799" s="48">
        <f t="shared" si="12"/>
        <v>791</v>
      </c>
      <c r="B799" s="43">
        <v>22</v>
      </c>
      <c r="C799" s="43">
        <v>14</v>
      </c>
      <c r="D799" s="38" t="s">
        <v>613</v>
      </c>
      <c r="E799" s="44" t="s">
        <v>149</v>
      </c>
      <c r="F799" s="44" t="s">
        <v>5</v>
      </c>
      <c r="G799" s="44" t="s">
        <v>108</v>
      </c>
      <c r="H799" s="44" t="s">
        <v>46</v>
      </c>
      <c r="I799" s="44" t="s">
        <v>46</v>
      </c>
      <c r="J799" s="44" t="s">
        <v>6</v>
      </c>
      <c r="K799" s="44" t="s">
        <v>128</v>
      </c>
      <c r="L799" s="40">
        <v>22762</v>
      </c>
      <c r="M799" s="41">
        <v>42250</v>
      </c>
      <c r="N799" s="40" t="s">
        <v>110</v>
      </c>
      <c r="O799" s="42"/>
      <c r="P799" s="40">
        <v>69</v>
      </c>
      <c r="Q799" s="91">
        <v>67.569999999999993</v>
      </c>
      <c r="R799" s="91">
        <v>70.760000000000005</v>
      </c>
      <c r="S799" s="91">
        <v>71.28</v>
      </c>
      <c r="T799" s="91">
        <v>73.33</v>
      </c>
      <c r="U799" s="91">
        <v>77.56</v>
      </c>
    </row>
    <row r="800" spans="1:21" x14ac:dyDescent="0.2">
      <c r="A800" s="48">
        <f t="shared" si="12"/>
        <v>792</v>
      </c>
      <c r="B800" s="43">
        <v>22</v>
      </c>
      <c r="C800" s="43">
        <v>15</v>
      </c>
      <c r="D800" s="38" t="s">
        <v>614</v>
      </c>
      <c r="E800" s="44" t="s">
        <v>151</v>
      </c>
      <c r="F800" s="44" t="s">
        <v>18</v>
      </c>
      <c r="G800" s="44" t="s">
        <v>108</v>
      </c>
      <c r="H800" s="44" t="s">
        <v>21</v>
      </c>
      <c r="I800" s="44" t="s">
        <v>152</v>
      </c>
      <c r="J800" s="44" t="s">
        <v>22</v>
      </c>
      <c r="K800" s="44" t="s">
        <v>128</v>
      </c>
      <c r="L800" s="40">
        <v>22763</v>
      </c>
      <c r="M800" s="41">
        <v>42250</v>
      </c>
      <c r="N800" s="40" t="s">
        <v>110</v>
      </c>
      <c r="O800" s="42"/>
      <c r="P800" s="40">
        <v>69</v>
      </c>
      <c r="Q800" s="91">
        <v>56.61</v>
      </c>
      <c r="R800" s="91">
        <v>58.58</v>
      </c>
      <c r="S800" s="91">
        <v>59.28</v>
      </c>
      <c r="T800" s="91">
        <v>60.75</v>
      </c>
      <c r="U800" s="91">
        <v>64.47</v>
      </c>
    </row>
    <row r="801" spans="1:21" x14ac:dyDescent="0.2">
      <c r="A801" s="48">
        <f t="shared" si="12"/>
        <v>793</v>
      </c>
      <c r="B801" s="43">
        <v>22</v>
      </c>
      <c r="C801" s="43">
        <v>16</v>
      </c>
      <c r="D801" s="38" t="s">
        <v>615</v>
      </c>
      <c r="E801" s="44" t="s">
        <v>154</v>
      </c>
      <c r="F801" s="44" t="s">
        <v>18</v>
      </c>
      <c r="G801" s="44" t="s">
        <v>108</v>
      </c>
      <c r="H801" s="44" t="s">
        <v>62</v>
      </c>
      <c r="I801" s="44" t="s">
        <v>155</v>
      </c>
      <c r="J801" s="44" t="s">
        <v>6</v>
      </c>
      <c r="K801" s="44" t="s">
        <v>128</v>
      </c>
      <c r="L801" s="40">
        <v>22764</v>
      </c>
      <c r="M801" s="41">
        <v>42250</v>
      </c>
      <c r="N801" s="40" t="s">
        <v>110</v>
      </c>
      <c r="O801" s="42"/>
      <c r="P801" s="40">
        <v>69</v>
      </c>
      <c r="Q801" s="91">
        <v>58.61</v>
      </c>
      <c r="R801" s="91">
        <v>60.62</v>
      </c>
      <c r="S801" s="91">
        <v>61.4</v>
      </c>
      <c r="T801" s="91">
        <v>62.91</v>
      </c>
      <c r="U801" s="91">
        <v>66.680000000000007</v>
      </c>
    </row>
    <row r="802" spans="1:21" x14ac:dyDescent="0.2">
      <c r="A802" s="48">
        <f t="shared" si="12"/>
        <v>794</v>
      </c>
      <c r="B802" s="43">
        <v>22</v>
      </c>
      <c r="C802" s="43">
        <v>17</v>
      </c>
      <c r="D802" s="38" t="s">
        <v>616</v>
      </c>
      <c r="E802" s="44" t="s">
        <v>157</v>
      </c>
      <c r="F802" s="44" t="s">
        <v>29</v>
      </c>
      <c r="G802" s="44" t="s">
        <v>108</v>
      </c>
      <c r="H802" s="44" t="s">
        <v>33</v>
      </c>
      <c r="I802" s="44" t="s">
        <v>33</v>
      </c>
      <c r="J802" s="44" t="s">
        <v>7</v>
      </c>
      <c r="K802" s="44" t="s">
        <v>123</v>
      </c>
      <c r="L802" s="40">
        <v>22765</v>
      </c>
      <c r="M802" s="41">
        <v>42250</v>
      </c>
      <c r="N802" s="40" t="s">
        <v>110</v>
      </c>
      <c r="O802" s="42"/>
      <c r="P802" s="40">
        <v>69</v>
      </c>
      <c r="Q802" s="91">
        <v>76.28</v>
      </c>
      <c r="R802" s="91">
        <v>82.82</v>
      </c>
      <c r="S802" s="91">
        <v>84.54</v>
      </c>
      <c r="T802" s="91">
        <v>87.91</v>
      </c>
      <c r="U802" s="91">
        <v>91.58</v>
      </c>
    </row>
    <row r="803" spans="1:21" x14ac:dyDescent="0.2">
      <c r="A803" s="48">
        <f t="shared" si="12"/>
        <v>795</v>
      </c>
      <c r="B803" s="43">
        <v>22</v>
      </c>
      <c r="C803" s="43">
        <v>18</v>
      </c>
      <c r="D803" s="38" t="s">
        <v>617</v>
      </c>
      <c r="E803" s="44" t="s">
        <v>159</v>
      </c>
      <c r="F803" s="44" t="s">
        <v>29</v>
      </c>
      <c r="G803" s="44" t="s">
        <v>108</v>
      </c>
      <c r="H803" s="44" t="s">
        <v>33</v>
      </c>
      <c r="I803" s="44" t="s">
        <v>33</v>
      </c>
      <c r="J803" s="44" t="s">
        <v>8</v>
      </c>
      <c r="K803" s="44" t="s">
        <v>120</v>
      </c>
      <c r="L803" s="40">
        <v>22766</v>
      </c>
      <c r="M803" s="41">
        <v>42250</v>
      </c>
      <c r="N803" s="40" t="s">
        <v>110</v>
      </c>
      <c r="O803" s="42"/>
      <c r="P803" s="40">
        <v>69</v>
      </c>
      <c r="Q803" s="91">
        <v>82.49</v>
      </c>
      <c r="R803" s="91">
        <v>86.13</v>
      </c>
      <c r="S803" s="91">
        <v>89.22</v>
      </c>
      <c r="T803" s="91">
        <v>91.16</v>
      </c>
      <c r="U803" s="91">
        <v>94.97</v>
      </c>
    </row>
    <row r="804" spans="1:21" x14ac:dyDescent="0.2">
      <c r="A804" s="48">
        <f t="shared" si="12"/>
        <v>796</v>
      </c>
      <c r="B804" s="43">
        <v>22</v>
      </c>
      <c r="C804" s="43">
        <v>19</v>
      </c>
      <c r="D804" s="38" t="s">
        <v>618</v>
      </c>
      <c r="E804" s="44" t="s">
        <v>161</v>
      </c>
      <c r="F804" s="44" t="s">
        <v>29</v>
      </c>
      <c r="G804" s="44" t="s">
        <v>108</v>
      </c>
      <c r="H804" s="44" t="s">
        <v>33</v>
      </c>
      <c r="I804" s="44" t="s">
        <v>33</v>
      </c>
      <c r="J804" s="44" t="s">
        <v>9</v>
      </c>
      <c r="K804" s="44" t="s">
        <v>117</v>
      </c>
      <c r="L804" s="40">
        <v>22767</v>
      </c>
      <c r="M804" s="41">
        <v>42250</v>
      </c>
      <c r="N804" s="40" t="s">
        <v>110</v>
      </c>
      <c r="O804" s="42"/>
      <c r="P804" s="40">
        <v>69</v>
      </c>
      <c r="Q804" s="91">
        <v>77.489999999999995</v>
      </c>
      <c r="R804" s="91">
        <v>83.99</v>
      </c>
      <c r="S804" s="91">
        <v>85.87</v>
      </c>
      <c r="T804" s="91">
        <v>89.06</v>
      </c>
      <c r="U804" s="91">
        <v>92.75</v>
      </c>
    </row>
    <row r="805" spans="1:21" x14ac:dyDescent="0.2">
      <c r="A805" s="48">
        <f t="shared" si="12"/>
        <v>797</v>
      </c>
      <c r="B805" s="43">
        <v>22</v>
      </c>
      <c r="C805" s="43">
        <v>20</v>
      </c>
      <c r="D805" s="38" t="s">
        <v>619</v>
      </c>
      <c r="E805" s="44" t="s">
        <v>163</v>
      </c>
      <c r="F805" s="44" t="s">
        <v>5</v>
      </c>
      <c r="G805" s="44" t="s">
        <v>108</v>
      </c>
      <c r="H805" s="44" t="s">
        <v>164</v>
      </c>
      <c r="I805" s="44" t="s">
        <v>165</v>
      </c>
      <c r="J805" s="44" t="s">
        <v>7</v>
      </c>
      <c r="K805" s="44" t="s">
        <v>123</v>
      </c>
      <c r="L805" s="40">
        <v>22769</v>
      </c>
      <c r="M805" s="41">
        <v>42250</v>
      </c>
      <c r="N805" s="40" t="s">
        <v>110</v>
      </c>
      <c r="O805" s="42"/>
      <c r="P805" s="40">
        <v>69</v>
      </c>
      <c r="Q805" s="91">
        <v>56.89</v>
      </c>
      <c r="R805" s="91">
        <v>61.95</v>
      </c>
      <c r="S805" s="91">
        <v>62.26</v>
      </c>
      <c r="T805" s="91">
        <v>64.569999999999993</v>
      </c>
      <c r="U805" s="91">
        <v>69.13</v>
      </c>
    </row>
    <row r="806" spans="1:21" x14ac:dyDescent="0.2">
      <c r="A806" s="48">
        <f t="shared" si="12"/>
        <v>798</v>
      </c>
      <c r="B806" s="43">
        <v>22</v>
      </c>
      <c r="C806" s="43">
        <v>21</v>
      </c>
      <c r="D806" s="38" t="s">
        <v>620</v>
      </c>
      <c r="E806" s="44" t="s">
        <v>167</v>
      </c>
      <c r="F806" s="44" t="s">
        <v>5</v>
      </c>
      <c r="G806" s="44" t="s">
        <v>108</v>
      </c>
      <c r="H806" s="44" t="s">
        <v>164</v>
      </c>
      <c r="I806" s="44" t="s">
        <v>165</v>
      </c>
      <c r="J806" s="44" t="s">
        <v>8</v>
      </c>
      <c r="K806" s="44" t="s">
        <v>120</v>
      </c>
      <c r="L806" s="40">
        <v>22768</v>
      </c>
      <c r="M806" s="41">
        <v>42250</v>
      </c>
      <c r="N806" s="40" t="s">
        <v>110</v>
      </c>
      <c r="O806" s="42"/>
      <c r="P806" s="40">
        <v>69</v>
      </c>
      <c r="Q806" s="91">
        <v>58.19</v>
      </c>
      <c r="R806" s="91">
        <v>63.09</v>
      </c>
      <c r="S806" s="91">
        <v>63.44</v>
      </c>
      <c r="T806" s="91">
        <v>65.7</v>
      </c>
      <c r="U806" s="91">
        <v>70.23</v>
      </c>
    </row>
    <row r="807" spans="1:21" x14ac:dyDescent="0.2">
      <c r="A807" s="48">
        <f t="shared" si="12"/>
        <v>799</v>
      </c>
      <c r="B807" s="43">
        <v>22</v>
      </c>
      <c r="C807" s="43">
        <v>22</v>
      </c>
      <c r="D807" s="38" t="s">
        <v>621</v>
      </c>
      <c r="E807" s="44" t="s">
        <v>169</v>
      </c>
      <c r="F807" s="44" t="s">
        <v>5</v>
      </c>
      <c r="G807" s="44" t="s">
        <v>108</v>
      </c>
      <c r="H807" s="44" t="s">
        <v>164</v>
      </c>
      <c r="I807" s="44" t="s">
        <v>165</v>
      </c>
      <c r="J807" s="44" t="s">
        <v>9</v>
      </c>
      <c r="K807" s="44" t="s">
        <v>117</v>
      </c>
      <c r="L807" s="40">
        <v>22770</v>
      </c>
      <c r="M807" s="41">
        <v>42250</v>
      </c>
      <c r="N807" s="40" t="s">
        <v>110</v>
      </c>
      <c r="O807" s="42"/>
      <c r="P807" s="40">
        <v>69</v>
      </c>
      <c r="Q807" s="91">
        <v>56.6</v>
      </c>
      <c r="R807" s="91">
        <v>62.59</v>
      </c>
      <c r="S807" s="91">
        <v>62.48</v>
      </c>
      <c r="T807" s="91">
        <v>65.2</v>
      </c>
      <c r="U807" s="91">
        <v>69.61</v>
      </c>
    </row>
    <row r="808" spans="1:21" x14ac:dyDescent="0.2">
      <c r="A808" s="48">
        <f t="shared" si="12"/>
        <v>800</v>
      </c>
      <c r="B808" s="43">
        <v>22</v>
      </c>
      <c r="C808" s="43">
        <v>23</v>
      </c>
      <c r="D808" s="38" t="s">
        <v>622</v>
      </c>
      <c r="E808" s="44" t="s">
        <v>171</v>
      </c>
      <c r="F808" s="44" t="s">
        <v>5</v>
      </c>
      <c r="G808" s="44" t="s">
        <v>108</v>
      </c>
      <c r="H808" s="44" t="s">
        <v>11</v>
      </c>
      <c r="I808" s="44" t="s">
        <v>11</v>
      </c>
      <c r="J808" s="44" t="s">
        <v>6</v>
      </c>
      <c r="K808" s="44" t="s">
        <v>128</v>
      </c>
      <c r="L808" s="40">
        <v>22771</v>
      </c>
      <c r="M808" s="41">
        <v>42250</v>
      </c>
      <c r="N808" s="40" t="s">
        <v>110</v>
      </c>
      <c r="O808" s="42"/>
      <c r="P808" s="40">
        <v>69</v>
      </c>
      <c r="Q808" s="91">
        <v>60.2</v>
      </c>
      <c r="R808" s="91">
        <v>66.650000000000006</v>
      </c>
      <c r="S808" s="91">
        <v>68.13</v>
      </c>
      <c r="T808" s="91">
        <v>71.52</v>
      </c>
      <c r="U808" s="91">
        <v>74.819999999999993</v>
      </c>
    </row>
    <row r="809" spans="1:21" x14ac:dyDescent="0.2">
      <c r="A809" s="48">
        <f t="shared" si="12"/>
        <v>801</v>
      </c>
      <c r="B809" s="43">
        <v>22</v>
      </c>
      <c r="C809" s="43">
        <v>24</v>
      </c>
      <c r="D809" s="38" t="s">
        <v>623</v>
      </c>
      <c r="E809" s="44" t="s">
        <v>173</v>
      </c>
      <c r="F809" s="44" t="s">
        <v>5</v>
      </c>
      <c r="G809" s="44" t="s">
        <v>108</v>
      </c>
      <c r="H809" s="44" t="s">
        <v>10</v>
      </c>
      <c r="I809" s="44" t="s">
        <v>174</v>
      </c>
      <c r="J809" s="44" t="s">
        <v>7</v>
      </c>
      <c r="K809" s="44" t="s">
        <v>123</v>
      </c>
      <c r="L809" s="40">
        <v>22772</v>
      </c>
      <c r="M809" s="41">
        <v>42250</v>
      </c>
      <c r="N809" s="40" t="s">
        <v>110</v>
      </c>
      <c r="O809" s="42"/>
      <c r="P809" s="40">
        <v>69</v>
      </c>
      <c r="Q809" s="91">
        <v>60.32</v>
      </c>
      <c r="R809" s="91">
        <v>64.03</v>
      </c>
      <c r="S809" s="91">
        <v>64.31</v>
      </c>
      <c r="T809" s="91">
        <v>66.349999999999994</v>
      </c>
      <c r="U809" s="91">
        <v>70.33</v>
      </c>
    </row>
    <row r="810" spans="1:21" x14ac:dyDescent="0.2">
      <c r="A810" s="48">
        <f t="shared" si="12"/>
        <v>802</v>
      </c>
      <c r="B810" s="43">
        <v>22</v>
      </c>
      <c r="C810" s="43">
        <v>25</v>
      </c>
      <c r="D810" s="38" t="s">
        <v>624</v>
      </c>
      <c r="E810" s="44" t="s">
        <v>176</v>
      </c>
      <c r="F810" s="44" t="s">
        <v>5</v>
      </c>
      <c r="G810" s="44" t="s">
        <v>108</v>
      </c>
      <c r="H810" s="44" t="s">
        <v>10</v>
      </c>
      <c r="I810" s="44" t="s">
        <v>174</v>
      </c>
      <c r="J810" s="44" t="s">
        <v>8</v>
      </c>
      <c r="K810" s="44" t="s">
        <v>120</v>
      </c>
      <c r="L810" s="40">
        <v>22773</v>
      </c>
      <c r="M810" s="41">
        <v>42250</v>
      </c>
      <c r="N810" s="40" t="s">
        <v>110</v>
      </c>
      <c r="O810" s="42"/>
      <c r="P810" s="40">
        <v>69</v>
      </c>
      <c r="Q810" s="91">
        <v>61.56</v>
      </c>
      <c r="R810" s="91">
        <v>65.260000000000005</v>
      </c>
      <c r="S810" s="91">
        <v>65.55</v>
      </c>
      <c r="T810" s="91">
        <v>67.59</v>
      </c>
      <c r="U810" s="91">
        <v>71.56</v>
      </c>
    </row>
    <row r="811" spans="1:21" x14ac:dyDescent="0.2">
      <c r="A811" s="48">
        <f t="shared" si="12"/>
        <v>803</v>
      </c>
      <c r="B811" s="43">
        <v>22</v>
      </c>
      <c r="C811" s="43">
        <v>26</v>
      </c>
      <c r="D811" s="38" t="s">
        <v>625</v>
      </c>
      <c r="E811" s="44" t="s">
        <v>178</v>
      </c>
      <c r="F811" s="44" t="s">
        <v>5</v>
      </c>
      <c r="G811" s="44" t="s">
        <v>108</v>
      </c>
      <c r="H811" s="44" t="s">
        <v>10</v>
      </c>
      <c r="I811" s="44" t="s">
        <v>174</v>
      </c>
      <c r="J811" s="44" t="s">
        <v>9</v>
      </c>
      <c r="K811" s="44" t="s">
        <v>117</v>
      </c>
      <c r="L811" s="40">
        <v>22774</v>
      </c>
      <c r="M811" s="41">
        <v>42250</v>
      </c>
      <c r="N811" s="40" t="s">
        <v>110</v>
      </c>
      <c r="O811" s="42"/>
      <c r="P811" s="40">
        <v>69</v>
      </c>
      <c r="Q811" s="91">
        <v>60.7</v>
      </c>
      <c r="R811" s="91">
        <v>65.28</v>
      </c>
      <c r="S811" s="91">
        <v>65.36</v>
      </c>
      <c r="T811" s="91">
        <v>67.650000000000006</v>
      </c>
      <c r="U811" s="91">
        <v>71.569999999999993</v>
      </c>
    </row>
    <row r="812" spans="1:21" x14ac:dyDescent="0.2">
      <c r="A812" s="48">
        <f t="shared" si="12"/>
        <v>804</v>
      </c>
      <c r="B812" s="43">
        <v>22</v>
      </c>
      <c r="C812" s="43">
        <v>27</v>
      </c>
      <c r="D812" s="38" t="s">
        <v>626</v>
      </c>
      <c r="E812" s="44" t="s">
        <v>180</v>
      </c>
      <c r="F812" s="44" t="s">
        <v>5</v>
      </c>
      <c r="G812" s="44" t="s">
        <v>108</v>
      </c>
      <c r="H812" s="44" t="s">
        <v>91</v>
      </c>
      <c r="I812" s="44" t="s">
        <v>181</v>
      </c>
      <c r="J812" s="44" t="s">
        <v>6</v>
      </c>
      <c r="K812" s="44" t="s">
        <v>128</v>
      </c>
      <c r="L812" s="40">
        <v>22775</v>
      </c>
      <c r="M812" s="41">
        <v>42250</v>
      </c>
      <c r="N812" s="40" t="s">
        <v>110</v>
      </c>
      <c r="O812" s="42"/>
      <c r="P812" s="40">
        <v>69</v>
      </c>
      <c r="Q812" s="91">
        <v>69.59</v>
      </c>
      <c r="R812" s="91">
        <v>71.599999999999994</v>
      </c>
      <c r="S812" s="91">
        <v>72.42</v>
      </c>
      <c r="T812" s="91">
        <v>73.930000000000007</v>
      </c>
      <c r="U812" s="91">
        <v>77.739999999999995</v>
      </c>
    </row>
    <row r="813" spans="1:21" x14ac:dyDescent="0.2">
      <c r="A813" s="48">
        <f t="shared" si="12"/>
        <v>805</v>
      </c>
      <c r="B813" s="43">
        <v>22</v>
      </c>
      <c r="C813" s="43">
        <v>28</v>
      </c>
      <c r="D813" s="38" t="s">
        <v>627</v>
      </c>
      <c r="E813" s="44" t="s">
        <v>183</v>
      </c>
      <c r="F813" s="44" t="s">
        <v>37</v>
      </c>
      <c r="G813" s="44" t="s">
        <v>108</v>
      </c>
      <c r="H813" s="44" t="s">
        <v>42</v>
      </c>
      <c r="I813" s="44" t="s">
        <v>42</v>
      </c>
      <c r="J813" s="44" t="s">
        <v>6</v>
      </c>
      <c r="K813" s="44" t="s">
        <v>128</v>
      </c>
      <c r="L813" s="40">
        <v>22776</v>
      </c>
      <c r="M813" s="41">
        <v>42250</v>
      </c>
      <c r="N813" s="40" t="s">
        <v>110</v>
      </c>
      <c r="O813" s="42"/>
      <c r="P813" s="40">
        <v>69</v>
      </c>
      <c r="Q813" s="91">
        <v>72.72</v>
      </c>
      <c r="R813" s="91">
        <v>77.010000000000005</v>
      </c>
      <c r="S813" s="91">
        <v>77.09</v>
      </c>
      <c r="T813" s="91">
        <v>78.97</v>
      </c>
      <c r="U813" s="91">
        <v>82.83</v>
      </c>
    </row>
    <row r="814" spans="1:21" x14ac:dyDescent="0.2">
      <c r="A814" s="48">
        <f t="shared" si="12"/>
        <v>806</v>
      </c>
      <c r="B814" s="43">
        <v>22</v>
      </c>
      <c r="C814" s="43">
        <v>29</v>
      </c>
      <c r="D814" s="38" t="s">
        <v>628</v>
      </c>
      <c r="E814" s="44" t="s">
        <v>185</v>
      </c>
      <c r="F814" s="44" t="s">
        <v>37</v>
      </c>
      <c r="G814" s="44" t="s">
        <v>108</v>
      </c>
      <c r="H814" s="44" t="s">
        <v>42</v>
      </c>
      <c r="I814" s="44" t="s">
        <v>42</v>
      </c>
      <c r="J814" s="44" t="s">
        <v>43</v>
      </c>
      <c r="K814" s="44" t="s">
        <v>186</v>
      </c>
      <c r="L814" s="40">
        <v>22777</v>
      </c>
      <c r="M814" s="41">
        <v>42250</v>
      </c>
      <c r="N814" s="40" t="s">
        <v>110</v>
      </c>
      <c r="O814" s="42"/>
      <c r="P814" s="40">
        <v>69</v>
      </c>
      <c r="Q814" s="91">
        <v>70.41</v>
      </c>
      <c r="R814" s="91">
        <v>74.790000000000006</v>
      </c>
      <c r="S814" s="91">
        <v>74.75</v>
      </c>
      <c r="T814" s="91">
        <v>76.7</v>
      </c>
      <c r="U814" s="91">
        <v>80.52</v>
      </c>
    </row>
    <row r="815" spans="1:21" x14ac:dyDescent="0.2">
      <c r="A815" s="48">
        <f t="shared" si="12"/>
        <v>807</v>
      </c>
      <c r="B815" s="43">
        <v>22</v>
      </c>
      <c r="C815" s="43">
        <v>30</v>
      </c>
      <c r="D815" s="38" t="s">
        <v>629</v>
      </c>
      <c r="E815" s="44" t="s">
        <v>188</v>
      </c>
      <c r="F815" s="44" t="s">
        <v>37</v>
      </c>
      <c r="G815" s="44" t="s">
        <v>108</v>
      </c>
      <c r="H815" s="44" t="s">
        <v>42</v>
      </c>
      <c r="I815" s="44" t="s">
        <v>42</v>
      </c>
      <c r="J815" s="44" t="s">
        <v>44</v>
      </c>
      <c r="K815" s="44" t="s">
        <v>44</v>
      </c>
      <c r="L815" s="40">
        <v>22778</v>
      </c>
      <c r="M815" s="41">
        <v>42250</v>
      </c>
      <c r="N815" s="40" t="s">
        <v>110</v>
      </c>
      <c r="O815" s="42"/>
      <c r="P815" s="40">
        <v>69</v>
      </c>
      <c r="Q815" s="91">
        <v>69.84</v>
      </c>
      <c r="R815" s="91">
        <v>74.7</v>
      </c>
      <c r="S815" s="91">
        <v>74.56</v>
      </c>
      <c r="T815" s="91">
        <v>76.650000000000006</v>
      </c>
      <c r="U815" s="91">
        <v>80.45</v>
      </c>
    </row>
    <row r="816" spans="1:21" x14ac:dyDescent="0.2">
      <c r="A816" s="48">
        <f t="shared" si="12"/>
        <v>808</v>
      </c>
      <c r="B816" s="43">
        <v>22</v>
      </c>
      <c r="C816" s="43">
        <v>31</v>
      </c>
      <c r="D816" s="38" t="s">
        <v>630</v>
      </c>
      <c r="E816" s="44" t="s">
        <v>190</v>
      </c>
      <c r="F816" s="44" t="s">
        <v>37</v>
      </c>
      <c r="G816" s="44" t="s">
        <v>108</v>
      </c>
      <c r="H816" s="44" t="s">
        <v>45</v>
      </c>
      <c r="I816" s="44" t="s">
        <v>45</v>
      </c>
      <c r="J816" s="44" t="s">
        <v>6</v>
      </c>
      <c r="K816" s="44" t="s">
        <v>128</v>
      </c>
      <c r="L816" s="40">
        <v>22779</v>
      </c>
      <c r="M816" s="41">
        <v>42250</v>
      </c>
      <c r="N816" s="40" t="s">
        <v>110</v>
      </c>
      <c r="O816" s="42"/>
      <c r="P816" s="40">
        <v>69</v>
      </c>
      <c r="Q816" s="91">
        <v>71.599999999999994</v>
      </c>
      <c r="R816" s="91">
        <v>72.63</v>
      </c>
      <c r="S816" s="91">
        <v>74.12</v>
      </c>
      <c r="T816" s="91">
        <v>75.209999999999994</v>
      </c>
      <c r="U816" s="91">
        <v>79.38</v>
      </c>
    </row>
    <row r="817" spans="1:21" x14ac:dyDescent="0.2">
      <c r="A817" s="48">
        <f t="shared" si="12"/>
        <v>809</v>
      </c>
      <c r="B817" s="43">
        <v>22</v>
      </c>
      <c r="C817" s="43">
        <v>32</v>
      </c>
      <c r="D817" s="38" t="s">
        <v>631</v>
      </c>
      <c r="E817" s="44" t="s">
        <v>192</v>
      </c>
      <c r="F817" s="44" t="s">
        <v>5</v>
      </c>
      <c r="G817" s="44" t="s">
        <v>108</v>
      </c>
      <c r="H817" s="44" t="s">
        <v>12</v>
      </c>
      <c r="I817" s="44" t="s">
        <v>12</v>
      </c>
      <c r="J817" s="44" t="s">
        <v>13</v>
      </c>
      <c r="K817" s="44" t="s">
        <v>117</v>
      </c>
      <c r="L817" s="40">
        <v>22780</v>
      </c>
      <c r="M817" s="41">
        <v>42250</v>
      </c>
      <c r="N817" s="40" t="s">
        <v>110</v>
      </c>
      <c r="O817" s="42"/>
      <c r="P817" s="40">
        <v>69</v>
      </c>
      <c r="Q817" s="91">
        <v>64.010000000000005</v>
      </c>
      <c r="R817" s="91">
        <v>70.37</v>
      </c>
      <c r="S817" s="91">
        <v>69.739999999999995</v>
      </c>
      <c r="T817" s="91">
        <v>72.62</v>
      </c>
      <c r="U817" s="91">
        <v>77.290000000000006</v>
      </c>
    </row>
    <row r="818" spans="1:21" x14ac:dyDescent="0.2">
      <c r="A818" s="48">
        <f t="shared" si="12"/>
        <v>810</v>
      </c>
      <c r="B818" s="43">
        <v>22</v>
      </c>
      <c r="C818" s="43">
        <v>33</v>
      </c>
      <c r="D818" s="38" t="s">
        <v>632</v>
      </c>
      <c r="E818" s="44" t="s">
        <v>194</v>
      </c>
      <c r="F818" s="44" t="s">
        <v>5</v>
      </c>
      <c r="G818" s="44" t="s">
        <v>108</v>
      </c>
      <c r="H818" s="44" t="s">
        <v>12</v>
      </c>
      <c r="I818" s="44" t="s">
        <v>12</v>
      </c>
      <c r="J818" s="44" t="s">
        <v>14</v>
      </c>
      <c r="K818" s="44" t="s">
        <v>123</v>
      </c>
      <c r="L818" s="40">
        <v>22781</v>
      </c>
      <c r="M818" s="41">
        <v>42250</v>
      </c>
      <c r="N818" s="40" t="s">
        <v>110</v>
      </c>
      <c r="O818" s="42"/>
      <c r="P818" s="40">
        <v>69</v>
      </c>
      <c r="Q818" s="91">
        <v>65.180000000000007</v>
      </c>
      <c r="R818" s="91">
        <v>71.33</v>
      </c>
      <c r="S818" s="91">
        <v>70.83</v>
      </c>
      <c r="T818" s="91">
        <v>73.61</v>
      </c>
      <c r="U818" s="91">
        <v>78.349999999999994</v>
      </c>
    </row>
    <row r="819" spans="1:21" x14ac:dyDescent="0.2">
      <c r="A819" s="48">
        <f t="shared" si="12"/>
        <v>811</v>
      </c>
      <c r="B819" s="43">
        <v>22</v>
      </c>
      <c r="C819" s="43">
        <v>34</v>
      </c>
      <c r="D819" s="38" t="s">
        <v>633</v>
      </c>
      <c r="E819" s="44" t="s">
        <v>196</v>
      </c>
      <c r="F819" s="44" t="s">
        <v>29</v>
      </c>
      <c r="G819" s="44" t="s">
        <v>108</v>
      </c>
      <c r="H819" s="44" t="s">
        <v>34</v>
      </c>
      <c r="I819" s="44" t="s">
        <v>34</v>
      </c>
      <c r="J819" s="44" t="s">
        <v>35</v>
      </c>
      <c r="K819" s="44" t="s">
        <v>197</v>
      </c>
      <c r="L819" s="40">
        <v>22782</v>
      </c>
      <c r="M819" s="41">
        <v>42250</v>
      </c>
      <c r="N819" s="40" t="s">
        <v>110</v>
      </c>
      <c r="O819" s="42"/>
      <c r="P819" s="40">
        <v>69</v>
      </c>
      <c r="Q819" s="91">
        <v>96.16</v>
      </c>
      <c r="R819" s="91">
        <v>102.95</v>
      </c>
      <c r="S819" s="91">
        <v>102.06</v>
      </c>
      <c r="T819" s="91">
        <v>105.04</v>
      </c>
      <c r="U819" s="91">
        <v>107.93</v>
      </c>
    </row>
    <row r="820" spans="1:21" x14ac:dyDescent="0.2">
      <c r="A820" s="48">
        <f t="shared" si="12"/>
        <v>812</v>
      </c>
      <c r="B820" s="43">
        <v>22</v>
      </c>
      <c r="C820" s="43">
        <v>35</v>
      </c>
      <c r="D820" s="38" t="s">
        <v>634</v>
      </c>
      <c r="E820" s="44" t="s">
        <v>199</v>
      </c>
      <c r="F820" s="44" t="s">
        <v>29</v>
      </c>
      <c r="G820" s="44" t="s">
        <v>108</v>
      </c>
      <c r="H820" s="44" t="s">
        <v>34</v>
      </c>
      <c r="I820" s="44" t="s">
        <v>34</v>
      </c>
      <c r="J820" s="44" t="s">
        <v>36</v>
      </c>
      <c r="K820" s="44" t="s">
        <v>200</v>
      </c>
      <c r="L820" s="40">
        <v>22783</v>
      </c>
      <c r="M820" s="41">
        <v>42250</v>
      </c>
      <c r="N820" s="40" t="s">
        <v>110</v>
      </c>
      <c r="O820" s="42"/>
      <c r="P820" s="40">
        <v>69</v>
      </c>
      <c r="Q820" s="91">
        <v>94.61</v>
      </c>
      <c r="R820" s="91">
        <v>101.41</v>
      </c>
      <c r="S820" s="91">
        <v>100.52</v>
      </c>
      <c r="T820" s="91">
        <v>103.5</v>
      </c>
      <c r="U820" s="91">
        <v>106.39</v>
      </c>
    </row>
    <row r="821" spans="1:21" x14ac:dyDescent="0.2">
      <c r="A821" s="48">
        <f t="shared" si="12"/>
        <v>813</v>
      </c>
      <c r="B821" s="43">
        <v>22</v>
      </c>
      <c r="C821" s="43">
        <v>36</v>
      </c>
      <c r="D821" s="38" t="s">
        <v>635</v>
      </c>
      <c r="E821" s="44" t="s">
        <v>202</v>
      </c>
      <c r="F821" s="44" t="s">
        <v>5</v>
      </c>
      <c r="G821" s="44" t="s">
        <v>108</v>
      </c>
      <c r="H821" s="44" t="s">
        <v>15</v>
      </c>
      <c r="I821" s="44" t="s">
        <v>203</v>
      </c>
      <c r="J821" s="44" t="s">
        <v>16</v>
      </c>
      <c r="K821" s="44" t="s">
        <v>128</v>
      </c>
      <c r="L821" s="40">
        <v>22784</v>
      </c>
      <c r="M821" s="41">
        <v>42250</v>
      </c>
      <c r="N821" s="40" t="s">
        <v>110</v>
      </c>
      <c r="O821" s="42"/>
      <c r="P821" s="40">
        <v>69</v>
      </c>
      <c r="Q821" s="91">
        <v>67.42</v>
      </c>
      <c r="R821" s="91">
        <v>70.78</v>
      </c>
      <c r="S821" s="91">
        <v>71.17</v>
      </c>
      <c r="T821" s="91">
        <v>73.11</v>
      </c>
      <c r="U821" s="91">
        <v>77.03</v>
      </c>
    </row>
    <row r="822" spans="1:21" x14ac:dyDescent="0.2">
      <c r="A822" s="48">
        <f t="shared" si="12"/>
        <v>814</v>
      </c>
      <c r="B822" s="20"/>
      <c r="C822" s="20"/>
      <c r="D822" s="20"/>
    </row>
    <row r="823" spans="1:21" x14ac:dyDescent="0.2">
      <c r="A823" s="48">
        <f t="shared" si="12"/>
        <v>815</v>
      </c>
      <c r="B823" s="43">
        <v>23</v>
      </c>
      <c r="C823" s="43">
        <v>1</v>
      </c>
      <c r="D823" s="38" t="s">
        <v>600</v>
      </c>
      <c r="E823" s="44" t="s">
        <v>107</v>
      </c>
      <c r="F823" s="44" t="s">
        <v>29</v>
      </c>
      <c r="G823" s="44" t="s">
        <v>108</v>
      </c>
      <c r="H823" s="44" t="s">
        <v>30</v>
      </c>
      <c r="I823" s="44" t="s">
        <v>30</v>
      </c>
      <c r="J823" s="44" t="s">
        <v>31</v>
      </c>
      <c r="K823" s="44" t="s">
        <v>109</v>
      </c>
      <c r="L823" s="40">
        <v>22749</v>
      </c>
      <c r="M823" s="41">
        <v>42250</v>
      </c>
      <c r="N823" s="40" t="s">
        <v>110</v>
      </c>
      <c r="O823" s="42"/>
      <c r="P823" s="40">
        <v>70</v>
      </c>
      <c r="Q823" s="91">
        <v>88.12</v>
      </c>
      <c r="R823" s="91">
        <v>90.8</v>
      </c>
      <c r="S823" s="91">
        <v>93.12</v>
      </c>
      <c r="T823" s="91">
        <v>95.16</v>
      </c>
      <c r="U823" s="91">
        <v>98.39</v>
      </c>
    </row>
    <row r="824" spans="1:21" x14ac:dyDescent="0.2">
      <c r="A824" s="48">
        <f t="shared" si="12"/>
        <v>816</v>
      </c>
      <c r="B824" s="43">
        <v>23</v>
      </c>
      <c r="C824" s="43">
        <v>2</v>
      </c>
      <c r="D824" s="38" t="s">
        <v>601</v>
      </c>
      <c r="E824" s="44" t="s">
        <v>112</v>
      </c>
      <c r="F824" s="44" t="s">
        <v>29</v>
      </c>
      <c r="G824" s="44" t="s">
        <v>108</v>
      </c>
      <c r="H824" s="44" t="s">
        <v>30</v>
      </c>
      <c r="I824" s="44" t="s">
        <v>30</v>
      </c>
      <c r="J824" s="44" t="s">
        <v>32</v>
      </c>
      <c r="K824" s="44" t="s">
        <v>113</v>
      </c>
      <c r="L824" s="40">
        <v>22750</v>
      </c>
      <c r="M824" s="41">
        <v>42250</v>
      </c>
      <c r="N824" s="40" t="s">
        <v>110</v>
      </c>
      <c r="O824" s="42"/>
      <c r="P824" s="40">
        <v>70</v>
      </c>
      <c r="Q824" s="91">
        <v>87.28</v>
      </c>
      <c r="R824" s="91">
        <v>87.74</v>
      </c>
      <c r="S824" s="91">
        <v>89.22</v>
      </c>
      <c r="T824" s="91">
        <v>90.55</v>
      </c>
      <c r="U824" s="91">
        <v>93.1</v>
      </c>
    </row>
    <row r="825" spans="1:21" x14ac:dyDescent="0.2">
      <c r="A825" s="48">
        <f t="shared" si="12"/>
        <v>817</v>
      </c>
      <c r="B825" s="43">
        <v>23</v>
      </c>
      <c r="C825" s="43">
        <v>3</v>
      </c>
      <c r="D825" s="38" t="s">
        <v>602</v>
      </c>
      <c r="E825" s="44" t="s">
        <v>115</v>
      </c>
      <c r="F825" s="44" t="s">
        <v>18</v>
      </c>
      <c r="G825" s="44" t="s">
        <v>108</v>
      </c>
      <c r="H825" s="44" t="s">
        <v>61</v>
      </c>
      <c r="I825" s="44" t="s">
        <v>116</v>
      </c>
      <c r="J825" s="44" t="s">
        <v>13</v>
      </c>
      <c r="K825" s="44" t="s">
        <v>117</v>
      </c>
      <c r="L825" s="40">
        <v>22751</v>
      </c>
      <c r="M825" s="41">
        <v>42250</v>
      </c>
      <c r="N825" s="40" t="s">
        <v>110</v>
      </c>
      <c r="O825" s="42"/>
      <c r="P825" s="40">
        <v>70</v>
      </c>
      <c r="Q825" s="91">
        <v>57.25</v>
      </c>
      <c r="R825" s="91">
        <v>59.17</v>
      </c>
      <c r="S825" s="91">
        <v>60.14</v>
      </c>
      <c r="T825" s="91">
        <v>61.94</v>
      </c>
      <c r="U825" s="91">
        <v>65.87</v>
      </c>
    </row>
    <row r="826" spans="1:21" x14ac:dyDescent="0.2">
      <c r="A826" s="48">
        <f t="shared" si="12"/>
        <v>818</v>
      </c>
      <c r="B826" s="43">
        <v>23</v>
      </c>
      <c r="C826" s="43">
        <v>4</v>
      </c>
      <c r="D826" s="38" t="s">
        <v>603</v>
      </c>
      <c r="E826" s="44" t="s">
        <v>119</v>
      </c>
      <c r="F826" s="44" t="s">
        <v>18</v>
      </c>
      <c r="G826" s="44" t="s">
        <v>108</v>
      </c>
      <c r="H826" s="44" t="s">
        <v>61</v>
      </c>
      <c r="I826" s="44" t="s">
        <v>116</v>
      </c>
      <c r="J826" s="44" t="s">
        <v>19</v>
      </c>
      <c r="K826" s="44" t="s">
        <v>120</v>
      </c>
      <c r="L826" s="40">
        <v>22752</v>
      </c>
      <c r="M826" s="41">
        <v>42250</v>
      </c>
      <c r="N826" s="40" t="s">
        <v>110</v>
      </c>
      <c r="O826" s="42"/>
      <c r="P826" s="40">
        <v>70</v>
      </c>
      <c r="Q826" s="91">
        <v>59.53</v>
      </c>
      <c r="R826" s="91">
        <v>60.78</v>
      </c>
      <c r="S826" s="91">
        <v>62.04</v>
      </c>
      <c r="T826" s="91">
        <v>63.52</v>
      </c>
      <c r="U826" s="91">
        <v>67.48</v>
      </c>
    </row>
    <row r="827" spans="1:21" x14ac:dyDescent="0.2">
      <c r="A827" s="48">
        <f t="shared" si="12"/>
        <v>819</v>
      </c>
      <c r="B827" s="43">
        <v>23</v>
      </c>
      <c r="C827" s="43">
        <v>5</v>
      </c>
      <c r="D827" s="38" t="s">
        <v>604</v>
      </c>
      <c r="E827" s="44" t="s">
        <v>122</v>
      </c>
      <c r="F827" s="44" t="s">
        <v>18</v>
      </c>
      <c r="G827" s="44" t="s">
        <v>108</v>
      </c>
      <c r="H827" s="44" t="s">
        <v>61</v>
      </c>
      <c r="I827" s="44" t="s">
        <v>116</v>
      </c>
      <c r="J827" s="44" t="s">
        <v>14</v>
      </c>
      <c r="K827" s="44" t="s">
        <v>123</v>
      </c>
      <c r="L827" s="40">
        <v>22753</v>
      </c>
      <c r="M827" s="41">
        <v>42250</v>
      </c>
      <c r="N827" s="40" t="s">
        <v>110</v>
      </c>
      <c r="O827" s="42"/>
      <c r="P827" s="40">
        <v>70</v>
      </c>
      <c r="Q827" s="91">
        <v>58.45</v>
      </c>
      <c r="R827" s="91">
        <v>59.74</v>
      </c>
      <c r="S827" s="91">
        <v>60.96</v>
      </c>
      <c r="T827" s="91">
        <v>62.47</v>
      </c>
      <c r="U827" s="91">
        <v>66.41</v>
      </c>
    </row>
    <row r="828" spans="1:21" x14ac:dyDescent="0.2">
      <c r="A828" s="48">
        <f t="shared" si="12"/>
        <v>820</v>
      </c>
      <c r="B828" s="43">
        <v>23</v>
      </c>
      <c r="C828" s="43">
        <v>6</v>
      </c>
      <c r="D828" s="38" t="s">
        <v>605</v>
      </c>
      <c r="E828" s="44" t="s">
        <v>125</v>
      </c>
      <c r="F828" s="44" t="s">
        <v>23</v>
      </c>
      <c r="G828" s="44" t="s">
        <v>126</v>
      </c>
      <c r="H828" s="44" t="s">
        <v>127</v>
      </c>
      <c r="I828" s="44" t="s">
        <v>27</v>
      </c>
      <c r="J828" s="44" t="s">
        <v>28</v>
      </c>
      <c r="K828" s="44" t="s">
        <v>128</v>
      </c>
      <c r="L828" s="40">
        <v>22754</v>
      </c>
      <c r="M828" s="41">
        <v>42250</v>
      </c>
      <c r="N828" s="40" t="s">
        <v>110</v>
      </c>
      <c r="O828" s="42"/>
      <c r="P828" s="40">
        <v>70</v>
      </c>
      <c r="Q828" s="91">
        <v>62.95</v>
      </c>
      <c r="R828" s="91">
        <v>64.2</v>
      </c>
      <c r="S828" s="91">
        <v>64.599999999999994</v>
      </c>
      <c r="T828" s="91">
        <v>65.38</v>
      </c>
      <c r="U828" s="91">
        <v>66.08</v>
      </c>
    </row>
    <row r="829" spans="1:21" x14ac:dyDescent="0.2">
      <c r="A829" s="48">
        <f t="shared" si="12"/>
        <v>821</v>
      </c>
      <c r="B829" s="43">
        <v>23</v>
      </c>
      <c r="C829" s="43">
        <v>7</v>
      </c>
      <c r="D829" s="38" t="s">
        <v>606</v>
      </c>
      <c r="E829" s="44" t="s">
        <v>130</v>
      </c>
      <c r="F829" s="44" t="s">
        <v>37</v>
      </c>
      <c r="G829" s="44" t="s">
        <v>108</v>
      </c>
      <c r="H829" s="44" t="s">
        <v>38</v>
      </c>
      <c r="I829" s="44" t="s">
        <v>38</v>
      </c>
      <c r="J829" s="44" t="s">
        <v>40</v>
      </c>
      <c r="K829" s="44" t="s">
        <v>123</v>
      </c>
      <c r="L829" s="40">
        <v>22756</v>
      </c>
      <c r="M829" s="41">
        <v>42250</v>
      </c>
      <c r="N829" s="40" t="s">
        <v>110</v>
      </c>
      <c r="O829" s="42"/>
      <c r="P829" s="40">
        <v>70</v>
      </c>
      <c r="Q829" s="91">
        <v>76.25</v>
      </c>
      <c r="R829" s="91">
        <v>78.27</v>
      </c>
      <c r="S829" s="91">
        <v>78.84</v>
      </c>
      <c r="T829" s="91">
        <v>80.2</v>
      </c>
      <c r="U829" s="91">
        <v>83.55</v>
      </c>
    </row>
    <row r="830" spans="1:21" x14ac:dyDescent="0.2">
      <c r="A830" s="48">
        <f t="shared" si="12"/>
        <v>822</v>
      </c>
      <c r="B830" s="43">
        <v>23</v>
      </c>
      <c r="C830" s="43">
        <v>8</v>
      </c>
      <c r="D830" s="38" t="s">
        <v>607</v>
      </c>
      <c r="E830" s="44" t="s">
        <v>132</v>
      </c>
      <c r="F830" s="44" t="s">
        <v>37</v>
      </c>
      <c r="G830" s="44" t="s">
        <v>108</v>
      </c>
      <c r="H830" s="44" t="s">
        <v>38</v>
      </c>
      <c r="I830" s="44" t="s">
        <v>38</v>
      </c>
      <c r="J830" s="44" t="s">
        <v>39</v>
      </c>
      <c r="K830" s="44" t="s">
        <v>120</v>
      </c>
      <c r="L830" s="40">
        <v>22755</v>
      </c>
      <c r="M830" s="41">
        <v>42250</v>
      </c>
      <c r="N830" s="40" t="s">
        <v>110</v>
      </c>
      <c r="O830" s="42"/>
      <c r="P830" s="40">
        <v>70</v>
      </c>
      <c r="Q830" s="91">
        <v>77.66</v>
      </c>
      <c r="R830" s="91">
        <v>79.36</v>
      </c>
      <c r="S830" s="91">
        <v>80.040000000000006</v>
      </c>
      <c r="T830" s="91">
        <v>81.290000000000006</v>
      </c>
      <c r="U830" s="91">
        <v>84.62</v>
      </c>
    </row>
    <row r="831" spans="1:21" x14ac:dyDescent="0.2">
      <c r="A831" s="48">
        <f t="shared" si="12"/>
        <v>823</v>
      </c>
      <c r="B831" s="43">
        <v>23</v>
      </c>
      <c r="C831" s="43">
        <v>9</v>
      </c>
      <c r="D831" s="38" t="s">
        <v>608</v>
      </c>
      <c r="E831" s="44" t="s">
        <v>134</v>
      </c>
      <c r="F831" s="44" t="s">
        <v>37</v>
      </c>
      <c r="G831" s="44" t="s">
        <v>108</v>
      </c>
      <c r="H831" s="44" t="s">
        <v>38</v>
      </c>
      <c r="I831" s="44" t="s">
        <v>38</v>
      </c>
      <c r="J831" s="44" t="s">
        <v>6</v>
      </c>
      <c r="K831" s="44" t="s">
        <v>117</v>
      </c>
      <c r="L831" s="40">
        <v>22757</v>
      </c>
      <c r="M831" s="41">
        <v>42250</v>
      </c>
      <c r="N831" s="40" t="s">
        <v>110</v>
      </c>
      <c r="O831" s="42"/>
      <c r="P831" s="40">
        <v>70</v>
      </c>
      <c r="Q831" s="91">
        <v>75.260000000000005</v>
      </c>
      <c r="R831" s="91">
        <v>77.39</v>
      </c>
      <c r="S831" s="91">
        <v>77.930000000000007</v>
      </c>
      <c r="T831" s="91">
        <v>79.38</v>
      </c>
      <c r="U831" s="91">
        <v>82.77</v>
      </c>
    </row>
    <row r="832" spans="1:21" x14ac:dyDescent="0.2">
      <c r="A832" s="48">
        <f t="shared" si="12"/>
        <v>824</v>
      </c>
      <c r="B832" s="43">
        <v>23</v>
      </c>
      <c r="C832" s="43">
        <v>10</v>
      </c>
      <c r="D832" s="38" t="s">
        <v>609</v>
      </c>
      <c r="E832" s="44" t="s">
        <v>136</v>
      </c>
      <c r="F832" s="44" t="s">
        <v>23</v>
      </c>
      <c r="G832" s="44" t="s">
        <v>108</v>
      </c>
      <c r="H832" s="44" t="s">
        <v>137</v>
      </c>
      <c r="I832" s="44" t="s">
        <v>24</v>
      </c>
      <c r="J832" s="44" t="s">
        <v>25</v>
      </c>
      <c r="K832" s="44" t="s">
        <v>138</v>
      </c>
      <c r="L832" s="40">
        <v>22758</v>
      </c>
      <c r="M832" s="41">
        <v>42250</v>
      </c>
      <c r="N832" s="40" t="s">
        <v>110</v>
      </c>
      <c r="O832" s="42"/>
      <c r="P832" s="40">
        <v>70</v>
      </c>
      <c r="Q832" s="91">
        <v>62.92</v>
      </c>
      <c r="R832" s="91">
        <v>65.87</v>
      </c>
      <c r="S832" s="91">
        <v>68.150000000000006</v>
      </c>
      <c r="T832" s="91">
        <v>70.22</v>
      </c>
      <c r="U832" s="91">
        <v>73.239999999999995</v>
      </c>
    </row>
    <row r="833" spans="1:21" x14ac:dyDescent="0.2">
      <c r="A833" s="48">
        <f t="shared" si="12"/>
        <v>825</v>
      </c>
      <c r="B833" s="43">
        <v>23</v>
      </c>
      <c r="C833" s="43">
        <v>11</v>
      </c>
      <c r="D833" s="38" t="s">
        <v>610</v>
      </c>
      <c r="E833" s="44" t="s">
        <v>140</v>
      </c>
      <c r="F833" s="44" t="s">
        <v>23</v>
      </c>
      <c r="G833" s="44" t="s">
        <v>108</v>
      </c>
      <c r="H833" s="44" t="s">
        <v>137</v>
      </c>
      <c r="I833" s="44" t="s">
        <v>24</v>
      </c>
      <c r="J833" s="44" t="s">
        <v>26</v>
      </c>
      <c r="K833" s="44" t="s">
        <v>141</v>
      </c>
      <c r="L833" s="40">
        <v>22759</v>
      </c>
      <c r="M833" s="41">
        <v>42250</v>
      </c>
      <c r="N833" s="40" t="s">
        <v>110</v>
      </c>
      <c r="O833" s="42"/>
      <c r="P833" s="40">
        <v>70</v>
      </c>
      <c r="Q833" s="91">
        <v>62.08</v>
      </c>
      <c r="R833" s="91">
        <v>65.069999999999993</v>
      </c>
      <c r="S833" s="91">
        <v>67.33</v>
      </c>
      <c r="T833" s="91">
        <v>69.42</v>
      </c>
      <c r="U833" s="91">
        <v>72.430000000000007</v>
      </c>
    </row>
    <row r="834" spans="1:21" x14ac:dyDescent="0.2">
      <c r="A834" s="48">
        <f t="shared" si="12"/>
        <v>826</v>
      </c>
      <c r="B834" s="43">
        <v>23</v>
      </c>
      <c r="C834" s="43">
        <v>12</v>
      </c>
      <c r="D834" s="38" t="s">
        <v>611</v>
      </c>
      <c r="E834" s="44" t="s">
        <v>143</v>
      </c>
      <c r="F834" s="44" t="s">
        <v>18</v>
      </c>
      <c r="G834" s="44" t="s">
        <v>108</v>
      </c>
      <c r="H834" s="44" t="s">
        <v>94</v>
      </c>
      <c r="I834" s="44" t="s">
        <v>144</v>
      </c>
      <c r="J834" s="44" t="s">
        <v>20</v>
      </c>
      <c r="K834" s="44" t="s">
        <v>145</v>
      </c>
      <c r="L834" s="40">
        <v>22760</v>
      </c>
      <c r="M834" s="41">
        <v>42250</v>
      </c>
      <c r="N834" s="40" t="s">
        <v>110</v>
      </c>
      <c r="O834" s="42"/>
      <c r="P834" s="40">
        <v>70</v>
      </c>
      <c r="Q834" s="91">
        <v>58.18</v>
      </c>
      <c r="R834" s="91">
        <v>60.39</v>
      </c>
      <c r="S834" s="91">
        <v>61.08</v>
      </c>
      <c r="T834" s="91">
        <v>62.93</v>
      </c>
      <c r="U834" s="91">
        <v>66.86</v>
      </c>
    </row>
    <row r="835" spans="1:21" x14ac:dyDescent="0.2">
      <c r="A835" s="48">
        <f t="shared" si="12"/>
        <v>827</v>
      </c>
      <c r="B835" s="43">
        <v>23</v>
      </c>
      <c r="C835" s="43">
        <v>13</v>
      </c>
      <c r="D835" s="38" t="s">
        <v>612</v>
      </c>
      <c r="E835" s="44" t="s">
        <v>147</v>
      </c>
      <c r="F835" s="44" t="s">
        <v>37</v>
      </c>
      <c r="G835" s="44" t="s">
        <v>108</v>
      </c>
      <c r="H835" s="44" t="s">
        <v>41</v>
      </c>
      <c r="I835" s="44" t="s">
        <v>41</v>
      </c>
      <c r="J835" s="44" t="s">
        <v>6</v>
      </c>
      <c r="K835" s="44" t="s">
        <v>128</v>
      </c>
      <c r="L835" s="40">
        <v>22761</v>
      </c>
      <c r="M835" s="41">
        <v>42250</v>
      </c>
      <c r="N835" s="40" t="s">
        <v>110</v>
      </c>
      <c r="O835" s="42"/>
      <c r="P835" s="40">
        <v>70</v>
      </c>
      <c r="Q835" s="91">
        <v>76.739999999999995</v>
      </c>
      <c r="R835" s="91">
        <v>79.11</v>
      </c>
      <c r="S835" s="91">
        <v>82.47</v>
      </c>
      <c r="T835" s="91">
        <v>84.33</v>
      </c>
      <c r="U835" s="91">
        <v>88.15</v>
      </c>
    </row>
    <row r="836" spans="1:21" x14ac:dyDescent="0.2">
      <c r="A836" s="48">
        <f t="shared" si="12"/>
        <v>828</v>
      </c>
      <c r="B836" s="43">
        <v>23</v>
      </c>
      <c r="C836" s="43">
        <v>14</v>
      </c>
      <c r="D836" s="38" t="s">
        <v>613</v>
      </c>
      <c r="E836" s="44" t="s">
        <v>149</v>
      </c>
      <c r="F836" s="44" t="s">
        <v>5</v>
      </c>
      <c r="G836" s="44" t="s">
        <v>108</v>
      </c>
      <c r="H836" s="44" t="s">
        <v>46</v>
      </c>
      <c r="I836" s="44" t="s">
        <v>46</v>
      </c>
      <c r="J836" s="44" t="s">
        <v>6</v>
      </c>
      <c r="K836" s="44" t="s">
        <v>128</v>
      </c>
      <c r="L836" s="40">
        <v>22762</v>
      </c>
      <c r="M836" s="41">
        <v>42250</v>
      </c>
      <c r="N836" s="40" t="s">
        <v>110</v>
      </c>
      <c r="O836" s="42"/>
      <c r="P836" s="40">
        <v>70</v>
      </c>
      <c r="Q836" s="91">
        <v>69.28</v>
      </c>
      <c r="R836" s="91">
        <v>71.12</v>
      </c>
      <c r="S836" s="91">
        <v>72.2</v>
      </c>
      <c r="T836" s="91">
        <v>73.98</v>
      </c>
      <c r="U836" s="91">
        <v>78.11</v>
      </c>
    </row>
    <row r="837" spans="1:21" x14ac:dyDescent="0.2">
      <c r="A837" s="48">
        <f t="shared" si="12"/>
        <v>829</v>
      </c>
      <c r="B837" s="43">
        <v>23</v>
      </c>
      <c r="C837" s="43">
        <v>15</v>
      </c>
      <c r="D837" s="38" t="s">
        <v>614</v>
      </c>
      <c r="E837" s="44" t="s">
        <v>151</v>
      </c>
      <c r="F837" s="44" t="s">
        <v>18</v>
      </c>
      <c r="G837" s="44" t="s">
        <v>108</v>
      </c>
      <c r="H837" s="44" t="s">
        <v>21</v>
      </c>
      <c r="I837" s="44" t="s">
        <v>152</v>
      </c>
      <c r="J837" s="44" t="s">
        <v>22</v>
      </c>
      <c r="K837" s="44" t="s">
        <v>128</v>
      </c>
      <c r="L837" s="40">
        <v>22763</v>
      </c>
      <c r="M837" s="41">
        <v>42250</v>
      </c>
      <c r="N837" s="40" t="s">
        <v>110</v>
      </c>
      <c r="O837" s="42"/>
      <c r="P837" s="40">
        <v>70</v>
      </c>
      <c r="Q837" s="91">
        <v>57.79</v>
      </c>
      <c r="R837" s="91">
        <v>58.89</v>
      </c>
      <c r="S837" s="91">
        <v>59.99</v>
      </c>
      <c r="T837" s="91">
        <v>61.33</v>
      </c>
      <c r="U837" s="91">
        <v>64.930000000000007</v>
      </c>
    </row>
    <row r="838" spans="1:21" x14ac:dyDescent="0.2">
      <c r="A838" s="48">
        <f t="shared" si="12"/>
        <v>830</v>
      </c>
      <c r="B838" s="43">
        <v>23</v>
      </c>
      <c r="C838" s="43">
        <v>16</v>
      </c>
      <c r="D838" s="38" t="s">
        <v>615</v>
      </c>
      <c r="E838" s="44" t="s">
        <v>154</v>
      </c>
      <c r="F838" s="44" t="s">
        <v>18</v>
      </c>
      <c r="G838" s="44" t="s">
        <v>108</v>
      </c>
      <c r="H838" s="44" t="s">
        <v>62</v>
      </c>
      <c r="I838" s="44" t="s">
        <v>155</v>
      </c>
      <c r="J838" s="44" t="s">
        <v>6</v>
      </c>
      <c r="K838" s="44" t="s">
        <v>128</v>
      </c>
      <c r="L838" s="40">
        <v>22764</v>
      </c>
      <c r="M838" s="41">
        <v>42250</v>
      </c>
      <c r="N838" s="40" t="s">
        <v>110</v>
      </c>
      <c r="O838" s="42"/>
      <c r="P838" s="40">
        <v>70</v>
      </c>
      <c r="Q838" s="91">
        <v>59.15</v>
      </c>
      <c r="R838" s="91">
        <v>60.99</v>
      </c>
      <c r="S838" s="91">
        <v>61.85</v>
      </c>
      <c r="T838" s="91">
        <v>63.51</v>
      </c>
      <c r="U838" s="91">
        <v>67.23</v>
      </c>
    </row>
    <row r="839" spans="1:21" x14ac:dyDescent="0.2">
      <c r="A839" s="48">
        <f t="shared" si="12"/>
        <v>831</v>
      </c>
      <c r="B839" s="43">
        <v>23</v>
      </c>
      <c r="C839" s="43">
        <v>17</v>
      </c>
      <c r="D839" s="38" t="s">
        <v>616</v>
      </c>
      <c r="E839" s="44" t="s">
        <v>157</v>
      </c>
      <c r="F839" s="44" t="s">
        <v>29</v>
      </c>
      <c r="G839" s="44" t="s">
        <v>108</v>
      </c>
      <c r="H839" s="44" t="s">
        <v>33</v>
      </c>
      <c r="I839" s="44" t="s">
        <v>33</v>
      </c>
      <c r="J839" s="44" t="s">
        <v>7</v>
      </c>
      <c r="K839" s="44" t="s">
        <v>123</v>
      </c>
      <c r="L839" s="40">
        <v>22765</v>
      </c>
      <c r="M839" s="41">
        <v>42250</v>
      </c>
      <c r="N839" s="40" t="s">
        <v>110</v>
      </c>
      <c r="O839" s="42"/>
      <c r="P839" s="40">
        <v>70</v>
      </c>
      <c r="Q839" s="91">
        <v>80.489999999999995</v>
      </c>
      <c r="R839" s="91">
        <v>83.75</v>
      </c>
      <c r="S839" s="91">
        <v>86.59</v>
      </c>
      <c r="T839" s="91">
        <v>88.61</v>
      </c>
      <c r="U839" s="91">
        <v>92.19</v>
      </c>
    </row>
    <row r="840" spans="1:21" x14ac:dyDescent="0.2">
      <c r="A840" s="48">
        <f t="shared" si="12"/>
        <v>832</v>
      </c>
      <c r="B840" s="43">
        <v>23</v>
      </c>
      <c r="C840" s="43">
        <v>18</v>
      </c>
      <c r="D840" s="38" t="s">
        <v>617</v>
      </c>
      <c r="E840" s="44" t="s">
        <v>159</v>
      </c>
      <c r="F840" s="44" t="s">
        <v>29</v>
      </c>
      <c r="G840" s="44" t="s">
        <v>108</v>
      </c>
      <c r="H840" s="44" t="s">
        <v>33</v>
      </c>
      <c r="I840" s="44" t="s">
        <v>33</v>
      </c>
      <c r="J840" s="44" t="s">
        <v>8</v>
      </c>
      <c r="K840" s="44" t="s">
        <v>120</v>
      </c>
      <c r="L840" s="40">
        <v>22766</v>
      </c>
      <c r="M840" s="41">
        <v>42250</v>
      </c>
      <c r="N840" s="40" t="s">
        <v>110</v>
      </c>
      <c r="O840" s="42"/>
      <c r="P840" s="40">
        <v>70</v>
      </c>
      <c r="Q840" s="91">
        <v>87.09</v>
      </c>
      <c r="R840" s="91">
        <v>87.1</v>
      </c>
      <c r="S840" s="91">
        <v>91.12</v>
      </c>
      <c r="T840" s="91">
        <v>91.88</v>
      </c>
      <c r="U840" s="91">
        <v>95.59</v>
      </c>
    </row>
    <row r="841" spans="1:21" x14ac:dyDescent="0.2">
      <c r="A841" s="48">
        <f t="shared" si="12"/>
        <v>833</v>
      </c>
      <c r="B841" s="43">
        <v>23</v>
      </c>
      <c r="C841" s="43">
        <v>19</v>
      </c>
      <c r="D841" s="38" t="s">
        <v>618</v>
      </c>
      <c r="E841" s="44" t="s">
        <v>161</v>
      </c>
      <c r="F841" s="44" t="s">
        <v>29</v>
      </c>
      <c r="G841" s="44" t="s">
        <v>108</v>
      </c>
      <c r="H841" s="44" t="s">
        <v>33</v>
      </c>
      <c r="I841" s="44" t="s">
        <v>33</v>
      </c>
      <c r="J841" s="44" t="s">
        <v>9</v>
      </c>
      <c r="K841" s="44" t="s">
        <v>117</v>
      </c>
      <c r="L841" s="40">
        <v>22767</v>
      </c>
      <c r="M841" s="41">
        <v>42250</v>
      </c>
      <c r="N841" s="40" t="s">
        <v>110</v>
      </c>
      <c r="O841" s="42"/>
      <c r="P841" s="40">
        <v>70</v>
      </c>
      <c r="Q841" s="91">
        <v>81.99</v>
      </c>
      <c r="R841" s="91">
        <v>84.94</v>
      </c>
      <c r="S841" s="91">
        <v>87.84</v>
      </c>
      <c r="T841" s="91">
        <v>89.77</v>
      </c>
      <c r="U841" s="91">
        <v>93.37</v>
      </c>
    </row>
    <row r="842" spans="1:21" x14ac:dyDescent="0.2">
      <c r="A842" s="48">
        <f t="shared" si="12"/>
        <v>834</v>
      </c>
      <c r="B842" s="43">
        <v>23</v>
      </c>
      <c r="C842" s="43">
        <v>20</v>
      </c>
      <c r="D842" s="38" t="s">
        <v>619</v>
      </c>
      <c r="E842" s="44" t="s">
        <v>163</v>
      </c>
      <c r="F842" s="44" t="s">
        <v>5</v>
      </c>
      <c r="G842" s="44" t="s">
        <v>108</v>
      </c>
      <c r="H842" s="44" t="s">
        <v>164</v>
      </c>
      <c r="I842" s="44" t="s">
        <v>165</v>
      </c>
      <c r="J842" s="44" t="s">
        <v>7</v>
      </c>
      <c r="K842" s="44" t="s">
        <v>123</v>
      </c>
      <c r="L842" s="40">
        <v>22769</v>
      </c>
      <c r="M842" s="41">
        <v>42250</v>
      </c>
      <c r="N842" s="40" t="s">
        <v>110</v>
      </c>
      <c r="O842" s="42"/>
      <c r="P842" s="40">
        <v>70</v>
      </c>
      <c r="Q842" s="91">
        <v>60.81</v>
      </c>
      <c r="R842" s="91">
        <v>62.58</v>
      </c>
      <c r="S842" s="91">
        <v>63.83</v>
      </c>
      <c r="T842" s="91">
        <v>65.37</v>
      </c>
      <c r="U842" s="91">
        <v>69.75</v>
      </c>
    </row>
    <row r="843" spans="1:21" x14ac:dyDescent="0.2">
      <c r="A843" s="48">
        <f t="shared" ref="A843:A895" si="13">A842+1</f>
        <v>835</v>
      </c>
      <c r="B843" s="43">
        <v>23</v>
      </c>
      <c r="C843" s="43">
        <v>21</v>
      </c>
      <c r="D843" s="38" t="s">
        <v>620</v>
      </c>
      <c r="E843" s="44" t="s">
        <v>167</v>
      </c>
      <c r="F843" s="44" t="s">
        <v>5</v>
      </c>
      <c r="G843" s="44" t="s">
        <v>108</v>
      </c>
      <c r="H843" s="44" t="s">
        <v>164</v>
      </c>
      <c r="I843" s="44" t="s">
        <v>165</v>
      </c>
      <c r="J843" s="44" t="s">
        <v>8</v>
      </c>
      <c r="K843" s="44" t="s">
        <v>120</v>
      </c>
      <c r="L843" s="40">
        <v>22768</v>
      </c>
      <c r="M843" s="41">
        <v>42250</v>
      </c>
      <c r="N843" s="40" t="s">
        <v>110</v>
      </c>
      <c r="O843" s="42"/>
      <c r="P843" s="40">
        <v>70</v>
      </c>
      <c r="Q843" s="91">
        <v>62.03</v>
      </c>
      <c r="R843" s="91">
        <v>63.72</v>
      </c>
      <c r="S843" s="91">
        <v>65</v>
      </c>
      <c r="T843" s="91">
        <v>66.52</v>
      </c>
      <c r="U843" s="91">
        <v>70.87</v>
      </c>
    </row>
    <row r="844" spans="1:21" x14ac:dyDescent="0.2">
      <c r="A844" s="48">
        <f t="shared" si="13"/>
        <v>836</v>
      </c>
      <c r="B844" s="43">
        <v>23</v>
      </c>
      <c r="C844" s="43">
        <v>22</v>
      </c>
      <c r="D844" s="38" t="s">
        <v>621</v>
      </c>
      <c r="E844" s="44" t="s">
        <v>169</v>
      </c>
      <c r="F844" s="44" t="s">
        <v>5</v>
      </c>
      <c r="G844" s="44" t="s">
        <v>108</v>
      </c>
      <c r="H844" s="44" t="s">
        <v>164</v>
      </c>
      <c r="I844" s="44" t="s">
        <v>165</v>
      </c>
      <c r="J844" s="44" t="s">
        <v>9</v>
      </c>
      <c r="K844" s="44" t="s">
        <v>117</v>
      </c>
      <c r="L844" s="40">
        <v>22770</v>
      </c>
      <c r="M844" s="41">
        <v>42250</v>
      </c>
      <c r="N844" s="40" t="s">
        <v>110</v>
      </c>
      <c r="O844" s="42"/>
      <c r="P844" s="40">
        <v>70</v>
      </c>
      <c r="Q844" s="91">
        <v>60.34</v>
      </c>
      <c r="R844" s="91">
        <v>63.2</v>
      </c>
      <c r="S844" s="91">
        <v>63.98</v>
      </c>
      <c r="T844" s="91">
        <v>65.98</v>
      </c>
      <c r="U844" s="91">
        <v>70.239999999999995</v>
      </c>
    </row>
    <row r="845" spans="1:21" x14ac:dyDescent="0.2">
      <c r="A845" s="48">
        <f t="shared" si="13"/>
        <v>837</v>
      </c>
      <c r="B845" s="43">
        <v>23</v>
      </c>
      <c r="C845" s="43">
        <v>23</v>
      </c>
      <c r="D845" s="38" t="s">
        <v>622</v>
      </c>
      <c r="E845" s="44" t="s">
        <v>171</v>
      </c>
      <c r="F845" s="44" t="s">
        <v>5</v>
      </c>
      <c r="G845" s="44" t="s">
        <v>108</v>
      </c>
      <c r="H845" s="44" t="s">
        <v>11</v>
      </c>
      <c r="I845" s="44" t="s">
        <v>11</v>
      </c>
      <c r="J845" s="44" t="s">
        <v>6</v>
      </c>
      <c r="K845" s="44" t="s">
        <v>128</v>
      </c>
      <c r="L845" s="40">
        <v>22771</v>
      </c>
      <c r="M845" s="41">
        <v>42250</v>
      </c>
      <c r="N845" s="40" t="s">
        <v>110</v>
      </c>
      <c r="O845" s="42"/>
      <c r="P845" s="40">
        <v>70</v>
      </c>
      <c r="Q845" s="91">
        <v>65.150000000000006</v>
      </c>
      <c r="R845" s="91">
        <v>67.59</v>
      </c>
      <c r="S845" s="91">
        <v>70.489999999999995</v>
      </c>
      <c r="T845" s="91">
        <v>72.180000000000007</v>
      </c>
      <c r="U845" s="91">
        <v>75.59</v>
      </c>
    </row>
    <row r="846" spans="1:21" x14ac:dyDescent="0.2">
      <c r="A846" s="48">
        <f t="shared" si="13"/>
        <v>838</v>
      </c>
      <c r="B846" s="43">
        <v>23</v>
      </c>
      <c r="C846" s="43">
        <v>24</v>
      </c>
      <c r="D846" s="38" t="s">
        <v>623</v>
      </c>
      <c r="E846" s="44" t="s">
        <v>173</v>
      </c>
      <c r="F846" s="44" t="s">
        <v>5</v>
      </c>
      <c r="G846" s="44" t="s">
        <v>108</v>
      </c>
      <c r="H846" s="44" t="s">
        <v>10</v>
      </c>
      <c r="I846" s="44" t="s">
        <v>174</v>
      </c>
      <c r="J846" s="44" t="s">
        <v>7</v>
      </c>
      <c r="K846" s="44" t="s">
        <v>123</v>
      </c>
      <c r="L846" s="40">
        <v>22772</v>
      </c>
      <c r="M846" s="41">
        <v>42250</v>
      </c>
      <c r="N846" s="40" t="s">
        <v>110</v>
      </c>
      <c r="O846" s="42"/>
      <c r="P846" s="40">
        <v>70</v>
      </c>
      <c r="Q846" s="91">
        <v>62.76</v>
      </c>
      <c r="R846" s="91">
        <v>64.400000000000006</v>
      </c>
      <c r="S846" s="91">
        <v>65.38</v>
      </c>
      <c r="T846" s="91">
        <v>66.98</v>
      </c>
      <c r="U846" s="91">
        <v>70.84</v>
      </c>
    </row>
    <row r="847" spans="1:21" x14ac:dyDescent="0.2">
      <c r="A847" s="48">
        <f t="shared" si="13"/>
        <v>839</v>
      </c>
      <c r="B847" s="43">
        <v>23</v>
      </c>
      <c r="C847" s="43">
        <v>25</v>
      </c>
      <c r="D847" s="38" t="s">
        <v>624</v>
      </c>
      <c r="E847" s="44" t="s">
        <v>176</v>
      </c>
      <c r="F847" s="44" t="s">
        <v>5</v>
      </c>
      <c r="G847" s="44" t="s">
        <v>108</v>
      </c>
      <c r="H847" s="44" t="s">
        <v>10</v>
      </c>
      <c r="I847" s="44" t="s">
        <v>174</v>
      </c>
      <c r="J847" s="44" t="s">
        <v>8</v>
      </c>
      <c r="K847" s="44" t="s">
        <v>120</v>
      </c>
      <c r="L847" s="40">
        <v>22773</v>
      </c>
      <c r="M847" s="41">
        <v>42250</v>
      </c>
      <c r="N847" s="40" t="s">
        <v>110</v>
      </c>
      <c r="O847" s="42"/>
      <c r="P847" s="40">
        <v>70</v>
      </c>
      <c r="Q847" s="91">
        <v>63.8</v>
      </c>
      <c r="R847" s="91">
        <v>65.63</v>
      </c>
      <c r="S847" s="91">
        <v>66.540000000000006</v>
      </c>
      <c r="T847" s="91">
        <v>68.22</v>
      </c>
      <c r="U847" s="91">
        <v>72.08</v>
      </c>
    </row>
    <row r="848" spans="1:21" x14ac:dyDescent="0.2">
      <c r="A848" s="48">
        <f t="shared" si="13"/>
        <v>840</v>
      </c>
      <c r="B848" s="43">
        <v>23</v>
      </c>
      <c r="C848" s="43">
        <v>26</v>
      </c>
      <c r="D848" s="38" t="s">
        <v>625</v>
      </c>
      <c r="E848" s="44" t="s">
        <v>178</v>
      </c>
      <c r="F848" s="44" t="s">
        <v>5</v>
      </c>
      <c r="G848" s="44" t="s">
        <v>108</v>
      </c>
      <c r="H848" s="44" t="s">
        <v>10</v>
      </c>
      <c r="I848" s="44" t="s">
        <v>174</v>
      </c>
      <c r="J848" s="44" t="s">
        <v>9</v>
      </c>
      <c r="K848" s="44" t="s">
        <v>117</v>
      </c>
      <c r="L848" s="40">
        <v>22774</v>
      </c>
      <c r="M848" s="41">
        <v>42250</v>
      </c>
      <c r="N848" s="40" t="s">
        <v>110</v>
      </c>
      <c r="O848" s="42"/>
      <c r="P848" s="40">
        <v>70</v>
      </c>
      <c r="Q848" s="91">
        <v>62.82</v>
      </c>
      <c r="R848" s="91">
        <v>65.67</v>
      </c>
      <c r="S848" s="91">
        <v>66.17</v>
      </c>
      <c r="T848" s="91">
        <v>68.3</v>
      </c>
      <c r="U848" s="91">
        <v>72.12</v>
      </c>
    </row>
    <row r="849" spans="1:21" x14ac:dyDescent="0.2">
      <c r="A849" s="48">
        <f t="shared" si="13"/>
        <v>841</v>
      </c>
      <c r="B849" s="43">
        <v>23</v>
      </c>
      <c r="C849" s="43">
        <v>27</v>
      </c>
      <c r="D849" s="38" t="s">
        <v>626</v>
      </c>
      <c r="E849" s="44" t="s">
        <v>180</v>
      </c>
      <c r="F849" s="44" t="s">
        <v>5</v>
      </c>
      <c r="G849" s="44" t="s">
        <v>108</v>
      </c>
      <c r="H849" s="44" t="s">
        <v>91</v>
      </c>
      <c r="I849" s="44" t="s">
        <v>181</v>
      </c>
      <c r="J849" s="44" t="s">
        <v>6</v>
      </c>
      <c r="K849" s="44" t="s">
        <v>128</v>
      </c>
      <c r="L849" s="40">
        <v>22775</v>
      </c>
      <c r="M849" s="41">
        <v>42250</v>
      </c>
      <c r="N849" s="40" t="s">
        <v>110</v>
      </c>
      <c r="O849" s="42"/>
      <c r="P849" s="40">
        <v>70</v>
      </c>
      <c r="Q849" s="91">
        <v>70.05</v>
      </c>
      <c r="R849" s="91">
        <v>71.97</v>
      </c>
      <c r="S849" s="91">
        <v>72.849999999999994</v>
      </c>
      <c r="T849" s="91">
        <v>74.55</v>
      </c>
      <c r="U849" s="91">
        <v>78.260000000000005</v>
      </c>
    </row>
    <row r="850" spans="1:21" x14ac:dyDescent="0.2">
      <c r="A850" s="48">
        <f t="shared" si="13"/>
        <v>842</v>
      </c>
      <c r="B850" s="43">
        <v>23</v>
      </c>
      <c r="C850" s="43">
        <v>28</v>
      </c>
      <c r="D850" s="38" t="s">
        <v>627</v>
      </c>
      <c r="E850" s="44" t="s">
        <v>183</v>
      </c>
      <c r="F850" s="44" t="s">
        <v>37</v>
      </c>
      <c r="G850" s="44" t="s">
        <v>108</v>
      </c>
      <c r="H850" s="44" t="s">
        <v>42</v>
      </c>
      <c r="I850" s="44" t="s">
        <v>42</v>
      </c>
      <c r="J850" s="44" t="s">
        <v>6</v>
      </c>
      <c r="K850" s="44" t="s">
        <v>128</v>
      </c>
      <c r="L850" s="40">
        <v>22776</v>
      </c>
      <c r="M850" s="41">
        <v>42250</v>
      </c>
      <c r="N850" s="40" t="s">
        <v>110</v>
      </c>
      <c r="O850" s="42"/>
      <c r="P850" s="40">
        <v>70</v>
      </c>
      <c r="Q850" s="91">
        <v>75.489999999999995</v>
      </c>
      <c r="R850" s="91">
        <v>77.400000000000006</v>
      </c>
      <c r="S850" s="91">
        <v>78.13</v>
      </c>
      <c r="T850" s="91">
        <v>79.59</v>
      </c>
      <c r="U850" s="91">
        <v>83.36</v>
      </c>
    </row>
    <row r="851" spans="1:21" x14ac:dyDescent="0.2">
      <c r="A851" s="48">
        <f t="shared" si="13"/>
        <v>843</v>
      </c>
      <c r="B851" s="43">
        <v>23</v>
      </c>
      <c r="C851" s="43">
        <v>29</v>
      </c>
      <c r="D851" s="38" t="s">
        <v>628</v>
      </c>
      <c r="E851" s="44" t="s">
        <v>185</v>
      </c>
      <c r="F851" s="44" t="s">
        <v>37</v>
      </c>
      <c r="G851" s="44" t="s">
        <v>108</v>
      </c>
      <c r="H851" s="44" t="s">
        <v>42</v>
      </c>
      <c r="I851" s="44" t="s">
        <v>42</v>
      </c>
      <c r="J851" s="44" t="s">
        <v>43</v>
      </c>
      <c r="K851" s="44" t="s">
        <v>186</v>
      </c>
      <c r="L851" s="40">
        <v>22777</v>
      </c>
      <c r="M851" s="41">
        <v>42250</v>
      </c>
      <c r="N851" s="40" t="s">
        <v>110</v>
      </c>
      <c r="O851" s="42"/>
      <c r="P851" s="40">
        <v>70</v>
      </c>
      <c r="Q851" s="91">
        <v>73.64</v>
      </c>
      <c r="R851" s="91">
        <v>75.17</v>
      </c>
      <c r="S851" s="91">
        <v>75.989999999999995</v>
      </c>
      <c r="T851" s="91">
        <v>77.31</v>
      </c>
      <c r="U851" s="91">
        <v>81.040000000000006</v>
      </c>
    </row>
    <row r="852" spans="1:21" x14ac:dyDescent="0.2">
      <c r="A852" s="48">
        <f t="shared" si="13"/>
        <v>844</v>
      </c>
      <c r="B852" s="43">
        <v>23</v>
      </c>
      <c r="C852" s="43">
        <v>30</v>
      </c>
      <c r="D852" s="38" t="s">
        <v>629</v>
      </c>
      <c r="E852" s="44" t="s">
        <v>188</v>
      </c>
      <c r="F852" s="44" t="s">
        <v>37</v>
      </c>
      <c r="G852" s="44" t="s">
        <v>108</v>
      </c>
      <c r="H852" s="44" t="s">
        <v>42</v>
      </c>
      <c r="I852" s="44" t="s">
        <v>42</v>
      </c>
      <c r="J852" s="44" t="s">
        <v>44</v>
      </c>
      <c r="K852" s="44" t="s">
        <v>44</v>
      </c>
      <c r="L852" s="40">
        <v>22778</v>
      </c>
      <c r="M852" s="41">
        <v>42250</v>
      </c>
      <c r="N852" s="40" t="s">
        <v>110</v>
      </c>
      <c r="O852" s="42"/>
      <c r="P852" s="40">
        <v>70</v>
      </c>
      <c r="Q852" s="91">
        <v>72.900000000000006</v>
      </c>
      <c r="R852" s="91">
        <v>75.069999999999993</v>
      </c>
      <c r="S852" s="91">
        <v>75.680000000000007</v>
      </c>
      <c r="T852" s="91">
        <v>77.27</v>
      </c>
      <c r="U852" s="91">
        <v>80.989999999999995</v>
      </c>
    </row>
    <row r="853" spans="1:21" x14ac:dyDescent="0.2">
      <c r="A853" s="48">
        <f t="shared" si="13"/>
        <v>845</v>
      </c>
      <c r="B853" s="43">
        <v>23</v>
      </c>
      <c r="C853" s="43">
        <v>31</v>
      </c>
      <c r="D853" s="38" t="s">
        <v>630</v>
      </c>
      <c r="E853" s="44" t="s">
        <v>190</v>
      </c>
      <c r="F853" s="44" t="s">
        <v>37</v>
      </c>
      <c r="G853" s="44" t="s">
        <v>108</v>
      </c>
      <c r="H853" s="44" t="s">
        <v>45</v>
      </c>
      <c r="I853" s="44" t="s">
        <v>45</v>
      </c>
      <c r="J853" s="44" t="s">
        <v>6</v>
      </c>
      <c r="K853" s="44" t="s">
        <v>128</v>
      </c>
      <c r="L853" s="40">
        <v>22779</v>
      </c>
      <c r="M853" s="41">
        <v>42250</v>
      </c>
      <c r="N853" s="40" t="s">
        <v>110</v>
      </c>
      <c r="O853" s="42"/>
      <c r="P853" s="40">
        <v>70</v>
      </c>
      <c r="Q853" s="91">
        <v>73.75</v>
      </c>
      <c r="R853" s="91">
        <v>73.08</v>
      </c>
      <c r="S853" s="91">
        <v>75.06</v>
      </c>
      <c r="T853" s="91">
        <v>75.89</v>
      </c>
      <c r="U853" s="91">
        <v>79.94</v>
      </c>
    </row>
    <row r="854" spans="1:21" x14ac:dyDescent="0.2">
      <c r="A854" s="48">
        <f t="shared" si="13"/>
        <v>846</v>
      </c>
      <c r="B854" s="43">
        <v>23</v>
      </c>
      <c r="C854" s="43">
        <v>32</v>
      </c>
      <c r="D854" s="38" t="s">
        <v>631</v>
      </c>
      <c r="E854" s="44" t="s">
        <v>192</v>
      </c>
      <c r="F854" s="44" t="s">
        <v>5</v>
      </c>
      <c r="G854" s="44" t="s">
        <v>108</v>
      </c>
      <c r="H854" s="44" t="s">
        <v>12</v>
      </c>
      <c r="I854" s="44" t="s">
        <v>12</v>
      </c>
      <c r="J854" s="44" t="s">
        <v>13</v>
      </c>
      <c r="K854" s="44" t="s">
        <v>117</v>
      </c>
      <c r="L854" s="40">
        <v>22780</v>
      </c>
      <c r="M854" s="41">
        <v>42250</v>
      </c>
      <c r="N854" s="40" t="s">
        <v>110</v>
      </c>
      <c r="O854" s="42"/>
      <c r="P854" s="40">
        <v>70</v>
      </c>
      <c r="Q854" s="91">
        <v>68.97</v>
      </c>
      <c r="R854" s="91">
        <v>70.69</v>
      </c>
      <c r="S854" s="91">
        <v>71.569999999999993</v>
      </c>
      <c r="T854" s="91">
        <v>73.349999999999994</v>
      </c>
      <c r="U854" s="91">
        <v>78.09</v>
      </c>
    </row>
    <row r="855" spans="1:21" x14ac:dyDescent="0.2">
      <c r="A855" s="48">
        <f t="shared" si="13"/>
        <v>847</v>
      </c>
      <c r="B855" s="43">
        <v>23</v>
      </c>
      <c r="C855" s="43">
        <v>33</v>
      </c>
      <c r="D855" s="38" t="s">
        <v>632</v>
      </c>
      <c r="E855" s="44" t="s">
        <v>194</v>
      </c>
      <c r="F855" s="44" t="s">
        <v>5</v>
      </c>
      <c r="G855" s="44" t="s">
        <v>108</v>
      </c>
      <c r="H855" s="44" t="s">
        <v>12</v>
      </c>
      <c r="I855" s="44" t="s">
        <v>12</v>
      </c>
      <c r="J855" s="44" t="s">
        <v>14</v>
      </c>
      <c r="K855" s="44" t="s">
        <v>123</v>
      </c>
      <c r="L855" s="40">
        <v>22781</v>
      </c>
      <c r="M855" s="41">
        <v>42250</v>
      </c>
      <c r="N855" s="40" t="s">
        <v>110</v>
      </c>
      <c r="O855" s="42"/>
      <c r="P855" s="40">
        <v>70</v>
      </c>
      <c r="Q855" s="91">
        <v>70.349999999999994</v>
      </c>
      <c r="R855" s="91">
        <v>71.67</v>
      </c>
      <c r="S855" s="91">
        <v>72.739999999999995</v>
      </c>
      <c r="T855" s="91">
        <v>74.36</v>
      </c>
      <c r="U855" s="91">
        <v>79.16</v>
      </c>
    </row>
    <row r="856" spans="1:21" x14ac:dyDescent="0.2">
      <c r="A856" s="48">
        <f t="shared" si="13"/>
        <v>848</v>
      </c>
      <c r="B856" s="43">
        <v>23</v>
      </c>
      <c r="C856" s="43">
        <v>34</v>
      </c>
      <c r="D856" s="38" t="s">
        <v>633</v>
      </c>
      <c r="E856" s="44" t="s">
        <v>196</v>
      </c>
      <c r="F856" s="44" t="s">
        <v>29</v>
      </c>
      <c r="G856" s="44" t="s">
        <v>108</v>
      </c>
      <c r="H856" s="44" t="s">
        <v>34</v>
      </c>
      <c r="I856" s="44" t="s">
        <v>34</v>
      </c>
      <c r="J856" s="44" t="s">
        <v>35</v>
      </c>
      <c r="K856" s="44" t="s">
        <v>197</v>
      </c>
      <c r="L856" s="40">
        <v>22782</v>
      </c>
      <c r="M856" s="41">
        <v>42250</v>
      </c>
      <c r="N856" s="40" t="s">
        <v>110</v>
      </c>
      <c r="O856" s="42"/>
      <c r="P856" s="40">
        <v>70</v>
      </c>
      <c r="Q856" s="91">
        <v>102.13</v>
      </c>
      <c r="R856" s="91">
        <v>103.3</v>
      </c>
      <c r="S856" s="91">
        <v>104.4</v>
      </c>
      <c r="T856" s="91">
        <v>105.49</v>
      </c>
      <c r="U856" s="91">
        <v>108.36</v>
      </c>
    </row>
    <row r="857" spans="1:21" x14ac:dyDescent="0.2">
      <c r="A857" s="48">
        <f t="shared" si="13"/>
        <v>849</v>
      </c>
      <c r="B857" s="43">
        <v>23</v>
      </c>
      <c r="C857" s="43">
        <v>35</v>
      </c>
      <c r="D857" s="38" t="s">
        <v>634</v>
      </c>
      <c r="E857" s="44" t="s">
        <v>199</v>
      </c>
      <c r="F857" s="44" t="s">
        <v>29</v>
      </c>
      <c r="G857" s="44" t="s">
        <v>108</v>
      </c>
      <c r="H857" s="44" t="s">
        <v>34</v>
      </c>
      <c r="I857" s="44" t="s">
        <v>34</v>
      </c>
      <c r="J857" s="44" t="s">
        <v>36</v>
      </c>
      <c r="K857" s="44" t="s">
        <v>200</v>
      </c>
      <c r="L857" s="40">
        <v>22783</v>
      </c>
      <c r="M857" s="41">
        <v>42250</v>
      </c>
      <c r="N857" s="40" t="s">
        <v>110</v>
      </c>
      <c r="O857" s="42"/>
      <c r="P857" s="40">
        <v>70</v>
      </c>
      <c r="Q857" s="91">
        <v>100.85</v>
      </c>
      <c r="R857" s="91">
        <v>101.74</v>
      </c>
      <c r="S857" s="91">
        <v>102.94</v>
      </c>
      <c r="T857" s="91">
        <v>103.93</v>
      </c>
      <c r="U857" s="91">
        <v>106.81</v>
      </c>
    </row>
    <row r="858" spans="1:21" x14ac:dyDescent="0.2">
      <c r="A858" s="48">
        <f t="shared" si="13"/>
        <v>850</v>
      </c>
      <c r="B858" s="43">
        <v>23</v>
      </c>
      <c r="C858" s="43">
        <v>36</v>
      </c>
      <c r="D858" s="38" t="s">
        <v>635</v>
      </c>
      <c r="E858" s="44" t="s">
        <v>202</v>
      </c>
      <c r="F858" s="44" t="s">
        <v>5</v>
      </c>
      <c r="G858" s="44" t="s">
        <v>108</v>
      </c>
      <c r="H858" s="44" t="s">
        <v>15</v>
      </c>
      <c r="I858" s="44" t="s">
        <v>203</v>
      </c>
      <c r="J858" s="44" t="s">
        <v>16</v>
      </c>
      <c r="K858" s="44" t="s">
        <v>128</v>
      </c>
      <c r="L858" s="40">
        <v>22784</v>
      </c>
      <c r="M858" s="41">
        <v>42250</v>
      </c>
      <c r="N858" s="40" t="s">
        <v>110</v>
      </c>
      <c r="O858" s="42"/>
      <c r="P858" s="40">
        <v>70</v>
      </c>
      <c r="Q858" s="91">
        <v>69.59</v>
      </c>
      <c r="R858" s="91">
        <v>71.16</v>
      </c>
      <c r="S858" s="91">
        <v>72.16</v>
      </c>
      <c r="T858" s="91">
        <v>73.73</v>
      </c>
      <c r="U858" s="91">
        <v>77.540000000000006</v>
      </c>
    </row>
    <row r="859" spans="1:21" x14ac:dyDescent="0.2">
      <c r="A859" s="48">
        <f t="shared" si="13"/>
        <v>851</v>
      </c>
      <c r="B859" s="20"/>
      <c r="C859" s="20"/>
      <c r="D859" s="20"/>
    </row>
    <row r="860" spans="1:21" x14ac:dyDescent="0.2">
      <c r="A860" s="48">
        <f t="shared" si="13"/>
        <v>852</v>
      </c>
      <c r="B860" s="43">
        <v>24</v>
      </c>
      <c r="C860" s="43">
        <v>1</v>
      </c>
      <c r="D860" s="38" t="s">
        <v>600</v>
      </c>
      <c r="E860" s="44" t="s">
        <v>107</v>
      </c>
      <c r="F860" s="44" t="s">
        <v>29</v>
      </c>
      <c r="G860" s="44" t="s">
        <v>108</v>
      </c>
      <c r="H860" s="44" t="s">
        <v>30</v>
      </c>
      <c r="I860" s="44" t="s">
        <v>30</v>
      </c>
      <c r="J860" s="44" t="s">
        <v>31</v>
      </c>
      <c r="K860" s="44" t="s">
        <v>109</v>
      </c>
      <c r="L860" s="40">
        <v>22749</v>
      </c>
      <c r="M860" s="41">
        <v>42250</v>
      </c>
      <c r="N860" s="40" t="s">
        <v>110</v>
      </c>
      <c r="O860" s="42"/>
      <c r="P860" s="40">
        <v>71</v>
      </c>
      <c r="Q860" s="91">
        <v>94.07</v>
      </c>
      <c r="R860" s="91">
        <v>91.69</v>
      </c>
      <c r="S860" s="91">
        <v>95.68</v>
      </c>
      <c r="T860" s="91">
        <v>95.67</v>
      </c>
      <c r="U860" s="91">
        <v>99.16</v>
      </c>
    </row>
    <row r="861" spans="1:21" x14ac:dyDescent="0.2">
      <c r="A861" s="48">
        <f t="shared" si="13"/>
        <v>853</v>
      </c>
      <c r="B861" s="43">
        <v>24</v>
      </c>
      <c r="C861" s="43">
        <v>2</v>
      </c>
      <c r="D861" s="38" t="s">
        <v>601</v>
      </c>
      <c r="E861" s="44" t="s">
        <v>112</v>
      </c>
      <c r="F861" s="44" t="s">
        <v>29</v>
      </c>
      <c r="G861" s="44" t="s">
        <v>108</v>
      </c>
      <c r="H861" s="44" t="s">
        <v>30</v>
      </c>
      <c r="I861" s="44" t="s">
        <v>30</v>
      </c>
      <c r="J861" s="44" t="s">
        <v>32</v>
      </c>
      <c r="K861" s="44" t="s">
        <v>113</v>
      </c>
      <c r="L861" s="40">
        <v>22750</v>
      </c>
      <c r="M861" s="41">
        <v>42250</v>
      </c>
      <c r="N861" s="40" t="s">
        <v>110</v>
      </c>
      <c r="O861" s="42"/>
      <c r="P861" s="40">
        <v>71</v>
      </c>
      <c r="Q861" s="91">
        <v>91.86</v>
      </c>
      <c r="R861" s="91">
        <v>88.17</v>
      </c>
      <c r="S861" s="91">
        <v>91.1</v>
      </c>
      <c r="T861" s="91">
        <v>90.81</v>
      </c>
      <c r="U861" s="91">
        <v>93.63</v>
      </c>
    </row>
    <row r="862" spans="1:21" x14ac:dyDescent="0.2">
      <c r="A862" s="48">
        <f t="shared" si="13"/>
        <v>854</v>
      </c>
      <c r="B862" s="43">
        <v>24</v>
      </c>
      <c r="C862" s="43">
        <v>3</v>
      </c>
      <c r="D862" s="38" t="s">
        <v>602</v>
      </c>
      <c r="E862" s="44" t="s">
        <v>115</v>
      </c>
      <c r="F862" s="44" t="s">
        <v>18</v>
      </c>
      <c r="G862" s="44" t="s">
        <v>108</v>
      </c>
      <c r="H862" s="44" t="s">
        <v>61</v>
      </c>
      <c r="I862" s="44" t="s">
        <v>116</v>
      </c>
      <c r="J862" s="44" t="s">
        <v>13</v>
      </c>
      <c r="K862" s="44" t="s">
        <v>117</v>
      </c>
      <c r="L862" s="40">
        <v>22751</v>
      </c>
      <c r="M862" s="41">
        <v>42250</v>
      </c>
      <c r="N862" s="40" t="s">
        <v>110</v>
      </c>
      <c r="O862" s="42"/>
      <c r="P862" s="40">
        <v>71</v>
      </c>
      <c r="Q862" s="91">
        <v>59.24</v>
      </c>
      <c r="R862" s="91">
        <v>59.56</v>
      </c>
      <c r="S862" s="91">
        <v>61.11</v>
      </c>
      <c r="T862" s="91">
        <v>62.55</v>
      </c>
      <c r="U862" s="91">
        <v>66.42</v>
      </c>
    </row>
    <row r="863" spans="1:21" x14ac:dyDescent="0.2">
      <c r="A863" s="48">
        <f t="shared" si="13"/>
        <v>855</v>
      </c>
      <c r="B863" s="43">
        <v>24</v>
      </c>
      <c r="C863" s="43">
        <v>4</v>
      </c>
      <c r="D863" s="38" t="s">
        <v>603</v>
      </c>
      <c r="E863" s="44" t="s">
        <v>119</v>
      </c>
      <c r="F863" s="44" t="s">
        <v>18</v>
      </c>
      <c r="G863" s="44" t="s">
        <v>108</v>
      </c>
      <c r="H863" s="44" t="s">
        <v>61</v>
      </c>
      <c r="I863" s="44" t="s">
        <v>116</v>
      </c>
      <c r="J863" s="44" t="s">
        <v>19</v>
      </c>
      <c r="K863" s="44" t="s">
        <v>120</v>
      </c>
      <c r="L863" s="40">
        <v>22752</v>
      </c>
      <c r="M863" s="41">
        <v>42250</v>
      </c>
      <c r="N863" s="40" t="s">
        <v>110</v>
      </c>
      <c r="O863" s="42"/>
      <c r="P863" s="40">
        <v>71</v>
      </c>
      <c r="Q863" s="91">
        <v>61.48</v>
      </c>
      <c r="R863" s="91">
        <v>61.17</v>
      </c>
      <c r="S863" s="91">
        <v>62.97</v>
      </c>
      <c r="T863" s="91">
        <v>64.14</v>
      </c>
      <c r="U863" s="91">
        <v>68.03</v>
      </c>
    </row>
    <row r="864" spans="1:21" x14ac:dyDescent="0.2">
      <c r="A864" s="48">
        <f t="shared" si="13"/>
        <v>856</v>
      </c>
      <c r="B864" s="43">
        <v>24</v>
      </c>
      <c r="C864" s="43">
        <v>5</v>
      </c>
      <c r="D864" s="38" t="s">
        <v>604</v>
      </c>
      <c r="E864" s="44" t="s">
        <v>122</v>
      </c>
      <c r="F864" s="44" t="s">
        <v>18</v>
      </c>
      <c r="G864" s="44" t="s">
        <v>108</v>
      </c>
      <c r="H864" s="44" t="s">
        <v>61</v>
      </c>
      <c r="I864" s="44" t="s">
        <v>116</v>
      </c>
      <c r="J864" s="44" t="s">
        <v>14</v>
      </c>
      <c r="K864" s="44" t="s">
        <v>123</v>
      </c>
      <c r="L864" s="40">
        <v>22753</v>
      </c>
      <c r="M864" s="41">
        <v>42250</v>
      </c>
      <c r="N864" s="40" t="s">
        <v>110</v>
      </c>
      <c r="O864" s="42"/>
      <c r="P864" s="40">
        <v>71</v>
      </c>
      <c r="Q864" s="91">
        <v>60.68</v>
      </c>
      <c r="R864" s="91">
        <v>60.13</v>
      </c>
      <c r="S864" s="91">
        <v>61.99</v>
      </c>
      <c r="T864" s="91">
        <v>63.08</v>
      </c>
      <c r="U864" s="91">
        <v>66.959999999999994</v>
      </c>
    </row>
    <row r="865" spans="1:21" x14ac:dyDescent="0.2">
      <c r="A865" s="48">
        <f t="shared" si="13"/>
        <v>857</v>
      </c>
      <c r="B865" s="43">
        <v>24</v>
      </c>
      <c r="C865" s="43">
        <v>6</v>
      </c>
      <c r="D865" s="38" t="s">
        <v>605</v>
      </c>
      <c r="E865" s="44" t="s">
        <v>125</v>
      </c>
      <c r="F865" s="44" t="s">
        <v>23</v>
      </c>
      <c r="G865" s="44" t="s">
        <v>126</v>
      </c>
      <c r="H865" s="44" t="s">
        <v>127</v>
      </c>
      <c r="I865" s="44" t="s">
        <v>27</v>
      </c>
      <c r="J865" s="44" t="s">
        <v>28</v>
      </c>
      <c r="K865" s="44" t="s">
        <v>128</v>
      </c>
      <c r="L865" s="40">
        <v>22754</v>
      </c>
      <c r="M865" s="41">
        <v>42250</v>
      </c>
      <c r="N865" s="40" t="s">
        <v>110</v>
      </c>
      <c r="O865" s="42"/>
      <c r="P865" s="40">
        <v>71</v>
      </c>
      <c r="Q865" s="91">
        <v>65.14</v>
      </c>
      <c r="R865" s="91">
        <v>64.430000000000007</v>
      </c>
      <c r="S865" s="91">
        <v>65.53</v>
      </c>
      <c r="T865" s="91">
        <v>65.63</v>
      </c>
      <c r="U865" s="91">
        <v>66.31</v>
      </c>
    </row>
    <row r="866" spans="1:21" x14ac:dyDescent="0.2">
      <c r="A866" s="48">
        <f t="shared" si="13"/>
        <v>858</v>
      </c>
      <c r="B866" s="43">
        <v>24</v>
      </c>
      <c r="C866" s="43">
        <v>7</v>
      </c>
      <c r="D866" s="38" t="s">
        <v>606</v>
      </c>
      <c r="E866" s="44" t="s">
        <v>130</v>
      </c>
      <c r="F866" s="44" t="s">
        <v>37</v>
      </c>
      <c r="G866" s="44" t="s">
        <v>108</v>
      </c>
      <c r="H866" s="44" t="s">
        <v>38</v>
      </c>
      <c r="I866" s="44" t="s">
        <v>38</v>
      </c>
      <c r="J866" s="44" t="s">
        <v>40</v>
      </c>
      <c r="K866" s="44" t="s">
        <v>123</v>
      </c>
      <c r="L866" s="40">
        <v>22756</v>
      </c>
      <c r="M866" s="41">
        <v>42250</v>
      </c>
      <c r="N866" s="40" t="s">
        <v>110</v>
      </c>
      <c r="O866" s="42"/>
      <c r="P866" s="40">
        <v>71</v>
      </c>
      <c r="Q866" s="91">
        <v>79.33</v>
      </c>
      <c r="R866" s="91">
        <v>78.59</v>
      </c>
      <c r="S866" s="91">
        <v>80.02</v>
      </c>
      <c r="T866" s="91">
        <v>80.66</v>
      </c>
      <c r="U866" s="91">
        <v>83.96</v>
      </c>
    </row>
    <row r="867" spans="1:21" x14ac:dyDescent="0.2">
      <c r="A867" s="48">
        <f t="shared" si="13"/>
        <v>859</v>
      </c>
      <c r="B867" s="43">
        <v>24</v>
      </c>
      <c r="C867" s="43">
        <v>8</v>
      </c>
      <c r="D867" s="38" t="s">
        <v>607</v>
      </c>
      <c r="E867" s="44" t="s">
        <v>132</v>
      </c>
      <c r="F867" s="44" t="s">
        <v>37</v>
      </c>
      <c r="G867" s="44" t="s">
        <v>108</v>
      </c>
      <c r="H867" s="44" t="s">
        <v>38</v>
      </c>
      <c r="I867" s="44" t="s">
        <v>38</v>
      </c>
      <c r="J867" s="44" t="s">
        <v>39</v>
      </c>
      <c r="K867" s="44" t="s">
        <v>120</v>
      </c>
      <c r="L867" s="40">
        <v>22755</v>
      </c>
      <c r="M867" s="41">
        <v>42250</v>
      </c>
      <c r="N867" s="40" t="s">
        <v>110</v>
      </c>
      <c r="O867" s="42"/>
      <c r="P867" s="40">
        <v>71</v>
      </c>
      <c r="Q867" s="91">
        <v>80.39</v>
      </c>
      <c r="R867" s="91">
        <v>79.69</v>
      </c>
      <c r="S867" s="91">
        <v>81.069999999999993</v>
      </c>
      <c r="T867" s="91">
        <v>81.739999999999995</v>
      </c>
      <c r="U867" s="91">
        <v>85.03</v>
      </c>
    </row>
    <row r="868" spans="1:21" x14ac:dyDescent="0.2">
      <c r="A868" s="48">
        <f t="shared" si="13"/>
        <v>860</v>
      </c>
      <c r="B868" s="43">
        <v>24</v>
      </c>
      <c r="C868" s="43">
        <v>9</v>
      </c>
      <c r="D868" s="38" t="s">
        <v>608</v>
      </c>
      <c r="E868" s="44" t="s">
        <v>134</v>
      </c>
      <c r="F868" s="44" t="s">
        <v>37</v>
      </c>
      <c r="G868" s="44" t="s">
        <v>108</v>
      </c>
      <c r="H868" s="44" t="s">
        <v>38</v>
      </c>
      <c r="I868" s="44" t="s">
        <v>38</v>
      </c>
      <c r="J868" s="44" t="s">
        <v>6</v>
      </c>
      <c r="K868" s="44" t="s">
        <v>117</v>
      </c>
      <c r="L868" s="40">
        <v>22757</v>
      </c>
      <c r="M868" s="41">
        <v>42250</v>
      </c>
      <c r="N868" s="40" t="s">
        <v>110</v>
      </c>
      <c r="O868" s="42"/>
      <c r="P868" s="40">
        <v>71</v>
      </c>
      <c r="Q868" s="91">
        <v>78.430000000000007</v>
      </c>
      <c r="R868" s="91">
        <v>77.709999999999994</v>
      </c>
      <c r="S868" s="91">
        <v>79.13</v>
      </c>
      <c r="T868" s="91">
        <v>79.84</v>
      </c>
      <c r="U868" s="91">
        <v>83.18</v>
      </c>
    </row>
    <row r="869" spans="1:21" x14ac:dyDescent="0.2">
      <c r="A869" s="48">
        <f t="shared" si="13"/>
        <v>861</v>
      </c>
      <c r="B869" s="43">
        <v>24</v>
      </c>
      <c r="C869" s="43">
        <v>10</v>
      </c>
      <c r="D869" s="38" t="s">
        <v>609</v>
      </c>
      <c r="E869" s="44" t="s">
        <v>136</v>
      </c>
      <c r="F869" s="44" t="s">
        <v>23</v>
      </c>
      <c r="G869" s="44" t="s">
        <v>108</v>
      </c>
      <c r="H869" s="44" t="s">
        <v>137</v>
      </c>
      <c r="I869" s="44" t="s">
        <v>24</v>
      </c>
      <c r="J869" s="44" t="s">
        <v>25</v>
      </c>
      <c r="K869" s="44" t="s">
        <v>138</v>
      </c>
      <c r="L869" s="40">
        <v>22758</v>
      </c>
      <c r="M869" s="41">
        <v>42250</v>
      </c>
      <c r="N869" s="40" t="s">
        <v>110</v>
      </c>
      <c r="O869" s="42"/>
      <c r="P869" s="40">
        <v>71</v>
      </c>
      <c r="Q869" s="91">
        <v>64.47</v>
      </c>
      <c r="R869" s="91">
        <v>66.680000000000007</v>
      </c>
      <c r="S869" s="91">
        <v>69.239999999999995</v>
      </c>
      <c r="T869" s="91">
        <v>70.83</v>
      </c>
      <c r="U869" s="91">
        <v>73.78</v>
      </c>
    </row>
    <row r="870" spans="1:21" x14ac:dyDescent="0.2">
      <c r="A870" s="48">
        <f t="shared" si="13"/>
        <v>862</v>
      </c>
      <c r="B870" s="43">
        <v>24</v>
      </c>
      <c r="C870" s="43">
        <v>11</v>
      </c>
      <c r="D870" s="38" t="s">
        <v>610</v>
      </c>
      <c r="E870" s="44" t="s">
        <v>140</v>
      </c>
      <c r="F870" s="44" t="s">
        <v>23</v>
      </c>
      <c r="G870" s="44" t="s">
        <v>108</v>
      </c>
      <c r="H870" s="44" t="s">
        <v>137</v>
      </c>
      <c r="I870" s="44" t="s">
        <v>24</v>
      </c>
      <c r="J870" s="44" t="s">
        <v>26</v>
      </c>
      <c r="K870" s="44" t="s">
        <v>141</v>
      </c>
      <c r="L870" s="40">
        <v>22759</v>
      </c>
      <c r="M870" s="41">
        <v>42250</v>
      </c>
      <c r="N870" s="40" t="s">
        <v>110</v>
      </c>
      <c r="O870" s="42"/>
      <c r="P870" s="40">
        <v>71</v>
      </c>
      <c r="Q870" s="91">
        <v>63.69</v>
      </c>
      <c r="R870" s="91">
        <v>65.87</v>
      </c>
      <c r="S870" s="91">
        <v>68.44</v>
      </c>
      <c r="T870" s="91">
        <v>70.02</v>
      </c>
      <c r="U870" s="91">
        <v>72.97</v>
      </c>
    </row>
    <row r="871" spans="1:21" x14ac:dyDescent="0.2">
      <c r="A871" s="48">
        <f t="shared" si="13"/>
        <v>863</v>
      </c>
      <c r="B871" s="43">
        <v>24</v>
      </c>
      <c r="C871" s="43">
        <v>12</v>
      </c>
      <c r="D871" s="38" t="s">
        <v>611</v>
      </c>
      <c r="E871" s="44" t="s">
        <v>143</v>
      </c>
      <c r="F871" s="44" t="s">
        <v>18</v>
      </c>
      <c r="G871" s="44" t="s">
        <v>108</v>
      </c>
      <c r="H871" s="44" t="s">
        <v>94</v>
      </c>
      <c r="I871" s="44" t="s">
        <v>144</v>
      </c>
      <c r="J871" s="44" t="s">
        <v>20</v>
      </c>
      <c r="K871" s="44" t="s">
        <v>145</v>
      </c>
      <c r="L871" s="40">
        <v>22760</v>
      </c>
      <c r="M871" s="41">
        <v>42250</v>
      </c>
      <c r="N871" s="40" t="s">
        <v>110</v>
      </c>
      <c r="O871" s="42"/>
      <c r="P871" s="40">
        <v>71</v>
      </c>
      <c r="Q871" s="91">
        <v>59.11</v>
      </c>
      <c r="R871" s="91">
        <v>60.75</v>
      </c>
      <c r="S871" s="91">
        <v>61.63</v>
      </c>
      <c r="T871" s="91">
        <v>63.53</v>
      </c>
      <c r="U871" s="91">
        <v>67.42</v>
      </c>
    </row>
    <row r="872" spans="1:21" x14ac:dyDescent="0.2">
      <c r="A872" s="48">
        <f t="shared" si="13"/>
        <v>864</v>
      </c>
      <c r="B872" s="43">
        <v>24</v>
      </c>
      <c r="C872" s="43">
        <v>13</v>
      </c>
      <c r="D872" s="38" t="s">
        <v>612</v>
      </c>
      <c r="E872" s="44" t="s">
        <v>147</v>
      </c>
      <c r="F872" s="44" t="s">
        <v>37</v>
      </c>
      <c r="G872" s="44" t="s">
        <v>108</v>
      </c>
      <c r="H872" s="44" t="s">
        <v>41</v>
      </c>
      <c r="I872" s="44" t="s">
        <v>41</v>
      </c>
      <c r="J872" s="44" t="s">
        <v>6</v>
      </c>
      <c r="K872" s="44" t="s">
        <v>128</v>
      </c>
      <c r="L872" s="40">
        <v>22761</v>
      </c>
      <c r="M872" s="41">
        <v>42250</v>
      </c>
      <c r="N872" s="40" t="s">
        <v>110</v>
      </c>
      <c r="O872" s="42"/>
      <c r="P872" s="40">
        <v>71</v>
      </c>
      <c r="Q872" s="91">
        <v>81.62</v>
      </c>
      <c r="R872" s="91">
        <v>80.16</v>
      </c>
      <c r="S872" s="91">
        <v>84.68</v>
      </c>
      <c r="T872" s="91">
        <v>85.02</v>
      </c>
      <c r="U872" s="91">
        <v>88.9</v>
      </c>
    </row>
    <row r="873" spans="1:21" x14ac:dyDescent="0.2">
      <c r="A873" s="48">
        <f t="shared" si="13"/>
        <v>865</v>
      </c>
      <c r="B873" s="43">
        <v>24</v>
      </c>
      <c r="C873" s="43">
        <v>14</v>
      </c>
      <c r="D873" s="38" t="s">
        <v>613</v>
      </c>
      <c r="E873" s="44" t="s">
        <v>149</v>
      </c>
      <c r="F873" s="44" t="s">
        <v>5</v>
      </c>
      <c r="G873" s="44" t="s">
        <v>108</v>
      </c>
      <c r="H873" s="44" t="s">
        <v>46</v>
      </c>
      <c r="I873" s="44" t="s">
        <v>46</v>
      </c>
      <c r="J873" s="44" t="s">
        <v>6</v>
      </c>
      <c r="K873" s="44" t="s">
        <v>128</v>
      </c>
      <c r="L873" s="40">
        <v>22762</v>
      </c>
      <c r="M873" s="41">
        <v>42250</v>
      </c>
      <c r="N873" s="40" t="s">
        <v>110</v>
      </c>
      <c r="O873" s="42"/>
      <c r="P873" s="40">
        <v>71</v>
      </c>
      <c r="Q873" s="91">
        <v>71.34</v>
      </c>
      <c r="R873" s="91">
        <v>71.53</v>
      </c>
      <c r="S873" s="91">
        <v>73.180000000000007</v>
      </c>
      <c r="T873" s="91">
        <v>74.63</v>
      </c>
      <c r="U873" s="91">
        <v>78.67</v>
      </c>
    </row>
    <row r="874" spans="1:21" x14ac:dyDescent="0.2">
      <c r="A874" s="48">
        <f t="shared" si="13"/>
        <v>866</v>
      </c>
      <c r="B874" s="43">
        <v>24</v>
      </c>
      <c r="C874" s="43">
        <v>15</v>
      </c>
      <c r="D874" s="38" t="s">
        <v>614</v>
      </c>
      <c r="E874" s="44" t="s">
        <v>151</v>
      </c>
      <c r="F874" s="44" t="s">
        <v>18</v>
      </c>
      <c r="G874" s="44" t="s">
        <v>108</v>
      </c>
      <c r="H874" s="44" t="s">
        <v>21</v>
      </c>
      <c r="I874" s="44" t="s">
        <v>152</v>
      </c>
      <c r="J874" s="44" t="s">
        <v>22</v>
      </c>
      <c r="K874" s="44" t="s">
        <v>128</v>
      </c>
      <c r="L874" s="40">
        <v>22763</v>
      </c>
      <c r="M874" s="41">
        <v>42250</v>
      </c>
      <c r="N874" s="40" t="s">
        <v>110</v>
      </c>
      <c r="O874" s="42"/>
      <c r="P874" s="40">
        <v>71</v>
      </c>
      <c r="Q874" s="91">
        <v>59.33</v>
      </c>
      <c r="R874" s="91">
        <v>59.22</v>
      </c>
      <c r="S874" s="91">
        <v>60.76</v>
      </c>
      <c r="T874" s="91">
        <v>61.89</v>
      </c>
      <c r="U874" s="91">
        <v>65.430000000000007</v>
      </c>
    </row>
    <row r="875" spans="1:21" x14ac:dyDescent="0.2">
      <c r="A875" s="48">
        <f t="shared" si="13"/>
        <v>867</v>
      </c>
      <c r="B875" s="43">
        <v>24</v>
      </c>
      <c r="C875" s="43">
        <v>16</v>
      </c>
      <c r="D875" s="38" t="s">
        <v>615</v>
      </c>
      <c r="E875" s="44" t="s">
        <v>154</v>
      </c>
      <c r="F875" s="44" t="s">
        <v>18</v>
      </c>
      <c r="G875" s="44" t="s">
        <v>108</v>
      </c>
      <c r="H875" s="44" t="s">
        <v>62</v>
      </c>
      <c r="I875" s="44" t="s">
        <v>155</v>
      </c>
      <c r="J875" s="44" t="s">
        <v>6</v>
      </c>
      <c r="K875" s="44" t="s">
        <v>128</v>
      </c>
      <c r="L875" s="40">
        <v>22764</v>
      </c>
      <c r="M875" s="41">
        <v>42250</v>
      </c>
      <c r="N875" s="40" t="s">
        <v>110</v>
      </c>
      <c r="O875" s="42"/>
      <c r="P875" s="40">
        <v>71</v>
      </c>
      <c r="Q875" s="91">
        <v>59.8</v>
      </c>
      <c r="R875" s="91">
        <v>61.35</v>
      </c>
      <c r="S875" s="91">
        <v>62.31</v>
      </c>
      <c r="T875" s="91">
        <v>64.08</v>
      </c>
      <c r="U875" s="91">
        <v>67.739999999999995</v>
      </c>
    </row>
    <row r="876" spans="1:21" x14ac:dyDescent="0.2">
      <c r="A876" s="48">
        <f t="shared" si="13"/>
        <v>868</v>
      </c>
      <c r="B876" s="43">
        <v>24</v>
      </c>
      <c r="C876" s="43">
        <v>17</v>
      </c>
      <c r="D876" s="38" t="s">
        <v>616</v>
      </c>
      <c r="E876" s="44" t="s">
        <v>157</v>
      </c>
      <c r="F876" s="44" t="s">
        <v>29</v>
      </c>
      <c r="G876" s="44" t="s">
        <v>108</v>
      </c>
      <c r="H876" s="44" t="s">
        <v>33</v>
      </c>
      <c r="I876" s="44" t="s">
        <v>33</v>
      </c>
      <c r="J876" s="44" t="s">
        <v>7</v>
      </c>
      <c r="K876" s="44" t="s">
        <v>123</v>
      </c>
      <c r="L876" s="40">
        <v>22765</v>
      </c>
      <c r="M876" s="41">
        <v>42250</v>
      </c>
      <c r="N876" s="40" t="s">
        <v>110</v>
      </c>
      <c r="O876" s="42"/>
      <c r="P876" s="40">
        <v>71</v>
      </c>
      <c r="Q876" s="91">
        <v>86</v>
      </c>
      <c r="R876" s="91">
        <v>84.68</v>
      </c>
      <c r="S876" s="91">
        <v>88.94</v>
      </c>
      <c r="T876" s="91">
        <v>89.27</v>
      </c>
      <c r="U876" s="91">
        <v>92.8</v>
      </c>
    </row>
    <row r="877" spans="1:21" x14ac:dyDescent="0.2">
      <c r="A877" s="48">
        <f t="shared" si="13"/>
        <v>869</v>
      </c>
      <c r="B877" s="43">
        <v>24</v>
      </c>
      <c r="C877" s="43">
        <v>18</v>
      </c>
      <c r="D877" s="38" t="s">
        <v>617</v>
      </c>
      <c r="E877" s="44" t="s">
        <v>159</v>
      </c>
      <c r="F877" s="44" t="s">
        <v>29</v>
      </c>
      <c r="G877" s="44" t="s">
        <v>108</v>
      </c>
      <c r="H877" s="44" t="s">
        <v>33</v>
      </c>
      <c r="I877" s="44" t="s">
        <v>33</v>
      </c>
      <c r="J877" s="44" t="s">
        <v>8</v>
      </c>
      <c r="K877" s="44" t="s">
        <v>120</v>
      </c>
      <c r="L877" s="40">
        <v>22766</v>
      </c>
      <c r="M877" s="41">
        <v>42250</v>
      </c>
      <c r="N877" s="40" t="s">
        <v>110</v>
      </c>
      <c r="O877" s="42"/>
      <c r="P877" s="40">
        <v>71</v>
      </c>
      <c r="Q877" s="91">
        <v>91.92</v>
      </c>
      <c r="R877" s="91">
        <v>88.04</v>
      </c>
      <c r="S877" s="91">
        <v>93.09</v>
      </c>
      <c r="T877" s="91">
        <v>92.54</v>
      </c>
      <c r="U877" s="91">
        <v>96.21</v>
      </c>
    </row>
    <row r="878" spans="1:21" x14ac:dyDescent="0.2">
      <c r="A878" s="48">
        <f t="shared" si="13"/>
        <v>870</v>
      </c>
      <c r="B878" s="43">
        <v>24</v>
      </c>
      <c r="C878" s="43">
        <v>19</v>
      </c>
      <c r="D878" s="38" t="s">
        <v>618</v>
      </c>
      <c r="E878" s="44" t="s">
        <v>161</v>
      </c>
      <c r="F878" s="44" t="s">
        <v>29</v>
      </c>
      <c r="G878" s="44" t="s">
        <v>108</v>
      </c>
      <c r="H878" s="44" t="s">
        <v>33</v>
      </c>
      <c r="I878" s="44" t="s">
        <v>33</v>
      </c>
      <c r="J878" s="44" t="s">
        <v>9</v>
      </c>
      <c r="K878" s="44" t="s">
        <v>117</v>
      </c>
      <c r="L878" s="40">
        <v>22767</v>
      </c>
      <c r="M878" s="41">
        <v>42250</v>
      </c>
      <c r="N878" s="40" t="s">
        <v>110</v>
      </c>
      <c r="O878" s="42"/>
      <c r="P878" s="40">
        <v>71</v>
      </c>
      <c r="Q878" s="91">
        <v>86.57</v>
      </c>
      <c r="R878" s="91">
        <v>85.88</v>
      </c>
      <c r="S878" s="91">
        <v>89.82</v>
      </c>
      <c r="T878" s="91">
        <v>90.44</v>
      </c>
      <c r="U878" s="91">
        <v>93.98</v>
      </c>
    </row>
    <row r="879" spans="1:21" x14ac:dyDescent="0.2">
      <c r="A879" s="48">
        <f t="shared" si="13"/>
        <v>871</v>
      </c>
      <c r="B879" s="43">
        <v>24</v>
      </c>
      <c r="C879" s="43">
        <v>20</v>
      </c>
      <c r="D879" s="38" t="s">
        <v>619</v>
      </c>
      <c r="E879" s="44" t="s">
        <v>163</v>
      </c>
      <c r="F879" s="44" t="s">
        <v>5</v>
      </c>
      <c r="G879" s="44" t="s">
        <v>108</v>
      </c>
      <c r="H879" s="44" t="s">
        <v>164</v>
      </c>
      <c r="I879" s="44" t="s">
        <v>165</v>
      </c>
      <c r="J879" s="44" t="s">
        <v>7</v>
      </c>
      <c r="K879" s="44" t="s">
        <v>123</v>
      </c>
      <c r="L879" s="40">
        <v>22769</v>
      </c>
      <c r="M879" s="41">
        <v>42250</v>
      </c>
      <c r="N879" s="40" t="s">
        <v>110</v>
      </c>
      <c r="O879" s="42"/>
      <c r="P879" s="40">
        <v>71</v>
      </c>
      <c r="Q879" s="91">
        <v>64.94</v>
      </c>
      <c r="R879" s="91">
        <v>63.26</v>
      </c>
      <c r="S879" s="91">
        <v>65.400000000000006</v>
      </c>
      <c r="T879" s="91">
        <v>66.150000000000006</v>
      </c>
      <c r="U879" s="91">
        <v>70.400000000000006</v>
      </c>
    </row>
    <row r="880" spans="1:21" x14ac:dyDescent="0.2">
      <c r="A880" s="48">
        <f t="shared" si="13"/>
        <v>872</v>
      </c>
      <c r="B880" s="43">
        <v>24</v>
      </c>
      <c r="C880" s="43">
        <v>21</v>
      </c>
      <c r="D880" s="38" t="s">
        <v>620</v>
      </c>
      <c r="E880" s="44" t="s">
        <v>167</v>
      </c>
      <c r="F880" s="44" t="s">
        <v>5</v>
      </c>
      <c r="G880" s="44" t="s">
        <v>108</v>
      </c>
      <c r="H880" s="44" t="s">
        <v>164</v>
      </c>
      <c r="I880" s="44" t="s">
        <v>165</v>
      </c>
      <c r="J880" s="44" t="s">
        <v>8</v>
      </c>
      <c r="K880" s="44" t="s">
        <v>120</v>
      </c>
      <c r="L880" s="40">
        <v>22768</v>
      </c>
      <c r="M880" s="41">
        <v>42250</v>
      </c>
      <c r="N880" s="40" t="s">
        <v>110</v>
      </c>
      <c r="O880" s="42"/>
      <c r="P880" s="40">
        <v>71</v>
      </c>
      <c r="Q880" s="91">
        <v>65.98</v>
      </c>
      <c r="R880" s="91">
        <v>64.400000000000006</v>
      </c>
      <c r="S880" s="91">
        <v>66.5</v>
      </c>
      <c r="T880" s="91">
        <v>67.3</v>
      </c>
      <c r="U880" s="91">
        <v>71.53</v>
      </c>
    </row>
    <row r="881" spans="1:21" x14ac:dyDescent="0.2">
      <c r="A881" s="48">
        <f t="shared" si="13"/>
        <v>873</v>
      </c>
      <c r="B881" s="43">
        <v>24</v>
      </c>
      <c r="C881" s="43">
        <v>22</v>
      </c>
      <c r="D881" s="38" t="s">
        <v>621</v>
      </c>
      <c r="E881" s="44" t="s">
        <v>169</v>
      </c>
      <c r="F881" s="44" t="s">
        <v>5</v>
      </c>
      <c r="G881" s="44" t="s">
        <v>108</v>
      </c>
      <c r="H881" s="44" t="s">
        <v>164</v>
      </c>
      <c r="I881" s="44" t="s">
        <v>165</v>
      </c>
      <c r="J881" s="44" t="s">
        <v>9</v>
      </c>
      <c r="K881" s="44" t="s">
        <v>117</v>
      </c>
      <c r="L881" s="40">
        <v>22770</v>
      </c>
      <c r="M881" s="41">
        <v>42250</v>
      </c>
      <c r="N881" s="40" t="s">
        <v>110</v>
      </c>
      <c r="O881" s="42"/>
      <c r="P881" s="40">
        <v>71</v>
      </c>
      <c r="Q881" s="91">
        <v>63.9</v>
      </c>
      <c r="R881" s="91">
        <v>63.85</v>
      </c>
      <c r="S881" s="91">
        <v>65.39</v>
      </c>
      <c r="T881" s="91">
        <v>66.739999999999995</v>
      </c>
      <c r="U881" s="91">
        <v>70.87</v>
      </c>
    </row>
    <row r="882" spans="1:21" x14ac:dyDescent="0.2">
      <c r="A882" s="48">
        <f t="shared" si="13"/>
        <v>874</v>
      </c>
      <c r="B882" s="43">
        <v>24</v>
      </c>
      <c r="C882" s="43">
        <v>23</v>
      </c>
      <c r="D882" s="38" t="s">
        <v>622</v>
      </c>
      <c r="E882" s="44" t="s">
        <v>171</v>
      </c>
      <c r="F882" s="44" t="s">
        <v>5</v>
      </c>
      <c r="G882" s="44" t="s">
        <v>108</v>
      </c>
      <c r="H882" s="44" t="s">
        <v>11</v>
      </c>
      <c r="I882" s="44" t="s">
        <v>11</v>
      </c>
      <c r="J882" s="44" t="s">
        <v>6</v>
      </c>
      <c r="K882" s="44" t="s">
        <v>128</v>
      </c>
      <c r="L882" s="40">
        <v>22771</v>
      </c>
      <c r="M882" s="41">
        <v>42250</v>
      </c>
      <c r="N882" s="40" t="s">
        <v>110</v>
      </c>
      <c r="O882" s="42"/>
      <c r="P882" s="40">
        <v>71</v>
      </c>
      <c r="Q882" s="91">
        <v>70.569999999999993</v>
      </c>
      <c r="R882" s="91">
        <v>68.56</v>
      </c>
      <c r="S882" s="91">
        <v>72.739999999999995</v>
      </c>
      <c r="T882" s="91">
        <v>72.81</v>
      </c>
      <c r="U882" s="91">
        <v>76.37</v>
      </c>
    </row>
    <row r="883" spans="1:21" x14ac:dyDescent="0.2">
      <c r="A883" s="48">
        <f t="shared" si="13"/>
        <v>875</v>
      </c>
      <c r="B883" s="43">
        <v>24</v>
      </c>
      <c r="C883" s="43">
        <v>24</v>
      </c>
      <c r="D883" s="38" t="s">
        <v>623</v>
      </c>
      <c r="E883" s="44" t="s">
        <v>173</v>
      </c>
      <c r="F883" s="44" t="s">
        <v>5</v>
      </c>
      <c r="G883" s="44" t="s">
        <v>108</v>
      </c>
      <c r="H883" s="44" t="s">
        <v>10</v>
      </c>
      <c r="I883" s="44" t="s">
        <v>174</v>
      </c>
      <c r="J883" s="44" t="s">
        <v>7</v>
      </c>
      <c r="K883" s="44" t="s">
        <v>123</v>
      </c>
      <c r="L883" s="40">
        <v>22772</v>
      </c>
      <c r="M883" s="41">
        <v>42250</v>
      </c>
      <c r="N883" s="40" t="s">
        <v>110</v>
      </c>
      <c r="O883" s="42"/>
      <c r="P883" s="40">
        <v>71</v>
      </c>
      <c r="Q883" s="91">
        <v>65.42</v>
      </c>
      <c r="R883" s="91">
        <v>64.77</v>
      </c>
      <c r="S883" s="91">
        <v>66.48</v>
      </c>
      <c r="T883" s="91">
        <v>67.58</v>
      </c>
      <c r="U883" s="91">
        <v>71.39</v>
      </c>
    </row>
    <row r="884" spans="1:21" x14ac:dyDescent="0.2">
      <c r="A884" s="48">
        <f t="shared" si="13"/>
        <v>876</v>
      </c>
      <c r="B884" s="43">
        <v>24</v>
      </c>
      <c r="C884" s="43">
        <v>25</v>
      </c>
      <c r="D884" s="38" t="s">
        <v>624</v>
      </c>
      <c r="E884" s="44" t="s">
        <v>176</v>
      </c>
      <c r="F884" s="44" t="s">
        <v>5</v>
      </c>
      <c r="G884" s="44" t="s">
        <v>108</v>
      </c>
      <c r="H884" s="44" t="s">
        <v>10</v>
      </c>
      <c r="I884" s="44" t="s">
        <v>174</v>
      </c>
      <c r="J884" s="44" t="s">
        <v>8</v>
      </c>
      <c r="K884" s="44" t="s">
        <v>120</v>
      </c>
      <c r="L884" s="40">
        <v>22773</v>
      </c>
      <c r="M884" s="41">
        <v>42250</v>
      </c>
      <c r="N884" s="40" t="s">
        <v>110</v>
      </c>
      <c r="O884" s="42"/>
      <c r="P884" s="40">
        <v>71</v>
      </c>
      <c r="Q884" s="91">
        <v>66.22</v>
      </c>
      <c r="R884" s="91">
        <v>66.010000000000005</v>
      </c>
      <c r="S884" s="91">
        <v>67.569999999999993</v>
      </c>
      <c r="T884" s="91">
        <v>68.819999999999993</v>
      </c>
      <c r="U884" s="91">
        <v>72.63</v>
      </c>
    </row>
    <row r="885" spans="1:21" x14ac:dyDescent="0.2">
      <c r="A885" s="48">
        <f t="shared" si="13"/>
        <v>877</v>
      </c>
      <c r="B885" s="43">
        <v>24</v>
      </c>
      <c r="C885" s="43">
        <v>26</v>
      </c>
      <c r="D885" s="38" t="s">
        <v>625</v>
      </c>
      <c r="E885" s="44" t="s">
        <v>178</v>
      </c>
      <c r="F885" s="44" t="s">
        <v>5</v>
      </c>
      <c r="G885" s="44" t="s">
        <v>108</v>
      </c>
      <c r="H885" s="44" t="s">
        <v>10</v>
      </c>
      <c r="I885" s="44" t="s">
        <v>174</v>
      </c>
      <c r="J885" s="44" t="s">
        <v>9</v>
      </c>
      <c r="K885" s="44" t="s">
        <v>117</v>
      </c>
      <c r="L885" s="40">
        <v>22774</v>
      </c>
      <c r="M885" s="41">
        <v>42250</v>
      </c>
      <c r="N885" s="40" t="s">
        <v>110</v>
      </c>
      <c r="O885" s="42"/>
      <c r="P885" s="40">
        <v>71</v>
      </c>
      <c r="Q885" s="91">
        <v>64.31</v>
      </c>
      <c r="R885" s="91">
        <v>66.06</v>
      </c>
      <c r="S885" s="91">
        <v>66.81</v>
      </c>
      <c r="T885" s="91">
        <v>68.92</v>
      </c>
      <c r="U885" s="91">
        <v>72.680000000000007</v>
      </c>
    </row>
    <row r="886" spans="1:21" x14ac:dyDescent="0.2">
      <c r="A886" s="48">
        <f t="shared" si="13"/>
        <v>878</v>
      </c>
      <c r="B886" s="43">
        <v>24</v>
      </c>
      <c r="C886" s="43">
        <v>27</v>
      </c>
      <c r="D886" s="38" t="s">
        <v>626</v>
      </c>
      <c r="E886" s="44" t="s">
        <v>180</v>
      </c>
      <c r="F886" s="44" t="s">
        <v>5</v>
      </c>
      <c r="G886" s="44" t="s">
        <v>108</v>
      </c>
      <c r="H886" s="44" t="s">
        <v>91</v>
      </c>
      <c r="I886" s="44" t="s">
        <v>181</v>
      </c>
      <c r="J886" s="44" t="s">
        <v>6</v>
      </c>
      <c r="K886" s="44" t="s">
        <v>128</v>
      </c>
      <c r="L886" s="40">
        <v>22775</v>
      </c>
      <c r="M886" s="41">
        <v>42250</v>
      </c>
      <c r="N886" s="40" t="s">
        <v>110</v>
      </c>
      <c r="O886" s="42"/>
      <c r="P886" s="40">
        <v>71</v>
      </c>
      <c r="Q886" s="91">
        <v>70.44</v>
      </c>
      <c r="R886" s="91">
        <v>72.34</v>
      </c>
      <c r="S886" s="91">
        <v>73.23</v>
      </c>
      <c r="T886" s="91">
        <v>75.13</v>
      </c>
      <c r="U886" s="91">
        <v>78.77</v>
      </c>
    </row>
    <row r="887" spans="1:21" x14ac:dyDescent="0.2">
      <c r="A887" s="48">
        <f t="shared" si="13"/>
        <v>879</v>
      </c>
      <c r="B887" s="43">
        <v>24</v>
      </c>
      <c r="C887" s="43">
        <v>28</v>
      </c>
      <c r="D887" s="38" t="s">
        <v>627</v>
      </c>
      <c r="E887" s="44" t="s">
        <v>183</v>
      </c>
      <c r="F887" s="44" t="s">
        <v>37</v>
      </c>
      <c r="G887" s="44" t="s">
        <v>108</v>
      </c>
      <c r="H887" s="44" t="s">
        <v>42</v>
      </c>
      <c r="I887" s="44" t="s">
        <v>42</v>
      </c>
      <c r="J887" s="44" t="s">
        <v>6</v>
      </c>
      <c r="K887" s="44" t="s">
        <v>128</v>
      </c>
      <c r="L887" s="40">
        <v>22776</v>
      </c>
      <c r="M887" s="41">
        <v>42250</v>
      </c>
      <c r="N887" s="40" t="s">
        <v>110</v>
      </c>
      <c r="O887" s="42"/>
      <c r="P887" s="40">
        <v>71</v>
      </c>
      <c r="Q887" s="91">
        <v>77.84</v>
      </c>
      <c r="R887" s="91">
        <v>77.8</v>
      </c>
      <c r="S887" s="91">
        <v>79.02</v>
      </c>
      <c r="T887" s="91">
        <v>80.16</v>
      </c>
      <c r="U887" s="91">
        <v>83.89</v>
      </c>
    </row>
    <row r="888" spans="1:21" x14ac:dyDescent="0.2">
      <c r="A888" s="48">
        <f t="shared" si="13"/>
        <v>880</v>
      </c>
      <c r="B888" s="43">
        <v>24</v>
      </c>
      <c r="C888" s="43">
        <v>29</v>
      </c>
      <c r="D888" s="38" t="s">
        <v>628</v>
      </c>
      <c r="E888" s="44" t="s">
        <v>185</v>
      </c>
      <c r="F888" s="44" t="s">
        <v>37</v>
      </c>
      <c r="G888" s="44" t="s">
        <v>108</v>
      </c>
      <c r="H888" s="44" t="s">
        <v>42</v>
      </c>
      <c r="I888" s="44" t="s">
        <v>42</v>
      </c>
      <c r="J888" s="44" t="s">
        <v>43</v>
      </c>
      <c r="K888" s="44" t="s">
        <v>186</v>
      </c>
      <c r="L888" s="40">
        <v>22777</v>
      </c>
      <c r="M888" s="41">
        <v>42250</v>
      </c>
      <c r="N888" s="40" t="s">
        <v>110</v>
      </c>
      <c r="O888" s="42"/>
      <c r="P888" s="40">
        <v>71</v>
      </c>
      <c r="Q888" s="91">
        <v>76.88</v>
      </c>
      <c r="R888" s="91">
        <v>75.56</v>
      </c>
      <c r="S888" s="91">
        <v>77.180000000000007</v>
      </c>
      <c r="T888" s="91">
        <v>77.88</v>
      </c>
      <c r="U888" s="91">
        <v>81.56</v>
      </c>
    </row>
    <row r="889" spans="1:21" x14ac:dyDescent="0.2">
      <c r="A889" s="48">
        <f t="shared" si="13"/>
        <v>881</v>
      </c>
      <c r="B889" s="43">
        <v>24</v>
      </c>
      <c r="C889" s="43">
        <v>30</v>
      </c>
      <c r="D889" s="38" t="s">
        <v>629</v>
      </c>
      <c r="E889" s="44" t="s">
        <v>188</v>
      </c>
      <c r="F889" s="44" t="s">
        <v>37</v>
      </c>
      <c r="G889" s="44" t="s">
        <v>108</v>
      </c>
      <c r="H889" s="44" t="s">
        <v>42</v>
      </c>
      <c r="I889" s="44" t="s">
        <v>42</v>
      </c>
      <c r="J889" s="44" t="s">
        <v>44</v>
      </c>
      <c r="K889" s="44" t="s">
        <v>44</v>
      </c>
      <c r="L889" s="40">
        <v>22778</v>
      </c>
      <c r="M889" s="41">
        <v>42250</v>
      </c>
      <c r="N889" s="40" t="s">
        <v>110</v>
      </c>
      <c r="O889" s="42"/>
      <c r="P889" s="40">
        <v>71</v>
      </c>
      <c r="Q889" s="91">
        <v>75.680000000000007</v>
      </c>
      <c r="R889" s="91">
        <v>75.45</v>
      </c>
      <c r="S889" s="91">
        <v>76.73</v>
      </c>
      <c r="T889" s="91">
        <v>77.849999999999994</v>
      </c>
      <c r="U889" s="91">
        <v>81.510000000000005</v>
      </c>
    </row>
    <row r="890" spans="1:21" x14ac:dyDescent="0.2">
      <c r="A890" s="48">
        <f t="shared" si="13"/>
        <v>882</v>
      </c>
      <c r="B890" s="43">
        <v>24</v>
      </c>
      <c r="C890" s="43">
        <v>31</v>
      </c>
      <c r="D890" s="38" t="s">
        <v>630</v>
      </c>
      <c r="E890" s="44" t="s">
        <v>190</v>
      </c>
      <c r="F890" s="44" t="s">
        <v>37</v>
      </c>
      <c r="G890" s="44" t="s">
        <v>108</v>
      </c>
      <c r="H890" s="44" t="s">
        <v>45</v>
      </c>
      <c r="I890" s="44" t="s">
        <v>45</v>
      </c>
      <c r="J890" s="44" t="s">
        <v>6</v>
      </c>
      <c r="K890" s="44" t="s">
        <v>128</v>
      </c>
      <c r="L890" s="40">
        <v>22779</v>
      </c>
      <c r="M890" s="41">
        <v>42250</v>
      </c>
      <c r="N890" s="40" t="s">
        <v>110</v>
      </c>
      <c r="O890" s="42"/>
      <c r="P890" s="40">
        <v>71</v>
      </c>
      <c r="Q890" s="91">
        <v>75.81</v>
      </c>
      <c r="R890" s="91">
        <v>73.52</v>
      </c>
      <c r="S890" s="91">
        <v>75.95</v>
      </c>
      <c r="T890" s="91">
        <v>76.53</v>
      </c>
      <c r="U890" s="91">
        <v>80.52</v>
      </c>
    </row>
    <row r="891" spans="1:21" x14ac:dyDescent="0.2">
      <c r="A891" s="48">
        <f t="shared" si="13"/>
        <v>883</v>
      </c>
      <c r="B891" s="43">
        <v>24</v>
      </c>
      <c r="C891" s="43">
        <v>32</v>
      </c>
      <c r="D891" s="38" t="s">
        <v>631</v>
      </c>
      <c r="E891" s="44" t="s">
        <v>192</v>
      </c>
      <c r="F891" s="44" t="s">
        <v>5</v>
      </c>
      <c r="G891" s="44" t="s">
        <v>108</v>
      </c>
      <c r="H891" s="44" t="s">
        <v>12</v>
      </c>
      <c r="I891" s="44" t="s">
        <v>12</v>
      </c>
      <c r="J891" s="44" t="s">
        <v>13</v>
      </c>
      <c r="K891" s="44" t="s">
        <v>117</v>
      </c>
      <c r="L891" s="40">
        <v>22780</v>
      </c>
      <c r="M891" s="41">
        <v>42250</v>
      </c>
      <c r="N891" s="40" t="s">
        <v>110</v>
      </c>
      <c r="O891" s="42"/>
      <c r="P891" s="40">
        <v>71</v>
      </c>
      <c r="Q891" s="91">
        <v>73.31</v>
      </c>
      <c r="R891" s="91">
        <v>71.08</v>
      </c>
      <c r="S891" s="91">
        <v>73.17</v>
      </c>
      <c r="T891" s="91">
        <v>74.069999999999993</v>
      </c>
      <c r="U891" s="91">
        <v>78.89</v>
      </c>
    </row>
    <row r="892" spans="1:21" x14ac:dyDescent="0.2">
      <c r="A892" s="48">
        <f t="shared" si="13"/>
        <v>884</v>
      </c>
      <c r="B892" s="43">
        <v>24</v>
      </c>
      <c r="C892" s="43">
        <v>33</v>
      </c>
      <c r="D892" s="38" t="s">
        <v>632</v>
      </c>
      <c r="E892" s="44" t="s">
        <v>194</v>
      </c>
      <c r="F892" s="44" t="s">
        <v>5</v>
      </c>
      <c r="G892" s="44" t="s">
        <v>108</v>
      </c>
      <c r="H892" s="44" t="s">
        <v>12</v>
      </c>
      <c r="I892" s="44" t="s">
        <v>12</v>
      </c>
      <c r="J892" s="44" t="s">
        <v>14</v>
      </c>
      <c r="K892" s="44" t="s">
        <v>123</v>
      </c>
      <c r="L892" s="40">
        <v>22781</v>
      </c>
      <c r="M892" s="41">
        <v>42250</v>
      </c>
      <c r="N892" s="40" t="s">
        <v>110</v>
      </c>
      <c r="O892" s="42"/>
      <c r="P892" s="40">
        <v>71</v>
      </c>
      <c r="Q892" s="91">
        <v>75.23</v>
      </c>
      <c r="R892" s="91">
        <v>72.069999999999993</v>
      </c>
      <c r="S892" s="91">
        <v>74.510000000000005</v>
      </c>
      <c r="T892" s="91">
        <v>75.08</v>
      </c>
      <c r="U892" s="91">
        <v>79.989999999999995</v>
      </c>
    </row>
    <row r="893" spans="1:21" x14ac:dyDescent="0.2">
      <c r="A893" s="48">
        <f t="shared" si="13"/>
        <v>885</v>
      </c>
      <c r="B893" s="43">
        <v>24</v>
      </c>
      <c r="C893" s="43">
        <v>34</v>
      </c>
      <c r="D893" s="38" t="s">
        <v>633</v>
      </c>
      <c r="E893" s="44" t="s">
        <v>196</v>
      </c>
      <c r="F893" s="44" t="s">
        <v>29</v>
      </c>
      <c r="G893" s="44" t="s">
        <v>108</v>
      </c>
      <c r="H893" s="44" t="s">
        <v>34</v>
      </c>
      <c r="I893" s="44" t="s">
        <v>34</v>
      </c>
      <c r="J893" s="44" t="s">
        <v>35</v>
      </c>
      <c r="K893" s="44" t="s">
        <v>197</v>
      </c>
      <c r="L893" s="40">
        <v>22782</v>
      </c>
      <c r="M893" s="41">
        <v>42250</v>
      </c>
      <c r="N893" s="40" t="s">
        <v>110</v>
      </c>
      <c r="O893" s="42"/>
      <c r="P893" s="40">
        <v>71</v>
      </c>
      <c r="Q893" s="91">
        <v>108.28</v>
      </c>
      <c r="R893" s="91">
        <v>103.66</v>
      </c>
      <c r="S893" s="91">
        <v>106.66</v>
      </c>
      <c r="T893" s="91">
        <v>105.88</v>
      </c>
      <c r="U893" s="91">
        <v>108.82</v>
      </c>
    </row>
    <row r="894" spans="1:21" x14ac:dyDescent="0.2">
      <c r="A894" s="48">
        <f t="shared" si="13"/>
        <v>886</v>
      </c>
      <c r="B894" s="43">
        <v>24</v>
      </c>
      <c r="C894" s="43">
        <v>35</v>
      </c>
      <c r="D894" s="38" t="s">
        <v>634</v>
      </c>
      <c r="E894" s="44" t="s">
        <v>199</v>
      </c>
      <c r="F894" s="44" t="s">
        <v>29</v>
      </c>
      <c r="G894" s="44" t="s">
        <v>108</v>
      </c>
      <c r="H894" s="44" t="s">
        <v>34</v>
      </c>
      <c r="I894" s="44" t="s">
        <v>34</v>
      </c>
      <c r="J894" s="44" t="s">
        <v>36</v>
      </c>
      <c r="K894" s="44" t="s">
        <v>200</v>
      </c>
      <c r="L894" s="40">
        <v>22783</v>
      </c>
      <c r="M894" s="41">
        <v>42250</v>
      </c>
      <c r="N894" s="40" t="s">
        <v>110</v>
      </c>
      <c r="O894" s="42"/>
      <c r="P894" s="40">
        <v>71</v>
      </c>
      <c r="Q894" s="91">
        <v>107.52</v>
      </c>
      <c r="R894" s="91">
        <v>102.1</v>
      </c>
      <c r="S894" s="91">
        <v>105.36</v>
      </c>
      <c r="T894" s="91">
        <v>104.34</v>
      </c>
      <c r="U894" s="91">
        <v>107.35</v>
      </c>
    </row>
    <row r="895" spans="1:21" x14ac:dyDescent="0.2">
      <c r="A895" s="48">
        <f t="shared" si="13"/>
        <v>887</v>
      </c>
      <c r="B895" s="43">
        <v>24</v>
      </c>
      <c r="C895" s="43">
        <v>36</v>
      </c>
      <c r="D895" s="38" t="s">
        <v>635</v>
      </c>
      <c r="E895" s="44" t="s">
        <v>202</v>
      </c>
      <c r="F895" s="44" t="s">
        <v>5</v>
      </c>
      <c r="G895" s="44" t="s">
        <v>108</v>
      </c>
      <c r="H895" s="44" t="s">
        <v>15</v>
      </c>
      <c r="I895" s="44" t="s">
        <v>203</v>
      </c>
      <c r="J895" s="44" t="s">
        <v>16</v>
      </c>
      <c r="K895" s="44" t="s">
        <v>128</v>
      </c>
      <c r="L895" s="40">
        <v>22784</v>
      </c>
      <c r="M895" s="41">
        <v>42250</v>
      </c>
      <c r="N895" s="40" t="s">
        <v>110</v>
      </c>
      <c r="O895" s="42"/>
      <c r="P895" s="40">
        <v>71</v>
      </c>
      <c r="Q895" s="91">
        <v>71.91</v>
      </c>
      <c r="R895" s="91">
        <v>71.540000000000006</v>
      </c>
      <c r="S895" s="91">
        <v>73.16</v>
      </c>
      <c r="T895" s="91">
        <v>74.33</v>
      </c>
      <c r="U895" s="91">
        <v>78.08</v>
      </c>
    </row>
  </sheetData>
  <sheetProtection algorithmName="SHA-512" hashValue="CxkrPoFqmXxDYq6vY8UVnYzp09PKbBWeUQdcwQwi2EWit3gcuAw6zI/lpkSD4t2G5FOPMv/wb4w6q4MJS/wmvg==" saltValue="vLEemN8NTxs9emERK2QerA==" spinCount="100000" sheet="1" scenarios="1" autoFilter="0"/>
  <autoFilter ref="B8:U895"/>
  <mergeCells count="4">
    <mergeCell ref="P2:Q2"/>
    <mergeCell ref="P3:Q3"/>
    <mergeCell ref="P4:Q4"/>
    <mergeCell ref="P5:Q5"/>
  </mergeCells>
  <conditionalFormatting sqref="Q9:U895">
    <cfRule type="cellIs" dxfId="3" priority="1" operator="equal">
      <formula>9999</formula>
    </cfRule>
  </conditionalFormatting>
  <pageMargins left="0" right="0" top="0" bottom="0.3" header="0" footer="0"/>
  <pageSetup scale="70" orientation="landscape" horizontalDpi="300" verticalDpi="300" r:id="rId1"/>
  <headerFooter>
    <oddFooter>&amp;LPage &amp;P of &amp;N        &amp;D  &amp;T&amp;R&amp;F &amp;F      &amp;A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5" tint="-0.249977111117893"/>
    <pageSetUpPr autoPageBreaks="0"/>
  </sheetPr>
  <dimension ref="A1:V895"/>
  <sheetViews>
    <sheetView showGridLines="0" workbookViewId="0">
      <pane xSplit="5" ySplit="8" topLeftCell="G9" activePane="bottomRight" state="frozen"/>
      <selection activeCell="A2" sqref="A2:F2"/>
      <selection pane="topRight" activeCell="A2" sqref="A2:F2"/>
      <selection pane="bottomLeft" activeCell="A2" sqref="A2:F2"/>
      <selection pane="bottomRight" activeCell="Q16" sqref="Q16"/>
    </sheetView>
  </sheetViews>
  <sheetFormatPr defaultRowHeight="11.25" x14ac:dyDescent="0.2"/>
  <cols>
    <col min="1" max="1" width="3.83203125" style="15" customWidth="1"/>
    <col min="2" max="4" width="9.33203125" style="15"/>
    <col min="5" max="5" width="22.6640625" style="15" customWidth="1"/>
    <col min="6" max="7" width="9.33203125" style="15"/>
    <col min="8" max="9" width="16.1640625" style="15" bestFit="1" customWidth="1"/>
    <col min="10" max="10" width="9.33203125" style="15"/>
    <col min="11" max="11" width="22.6640625" style="15" customWidth="1"/>
    <col min="12" max="16384" width="9.33203125" style="15"/>
  </cols>
  <sheetData>
    <row r="1" spans="1:22" ht="15.75" x14ac:dyDescent="0.25">
      <c r="B1" s="12" t="s">
        <v>86</v>
      </c>
      <c r="C1" s="13"/>
      <c r="D1" s="13"/>
      <c r="E1" s="13"/>
      <c r="F1" s="13"/>
      <c r="G1" s="13"/>
      <c r="H1" s="13"/>
      <c r="I1" s="13"/>
      <c r="J1" s="14" t="s">
        <v>87</v>
      </c>
      <c r="K1" s="13"/>
      <c r="O1" s="47"/>
      <c r="P1" s="14" t="s">
        <v>95</v>
      </c>
      <c r="Q1" s="13"/>
      <c r="S1" s="92" t="s">
        <v>96</v>
      </c>
      <c r="T1" s="93"/>
    </row>
    <row r="2" spans="1:22" x14ac:dyDescent="0.2">
      <c r="B2" s="13"/>
      <c r="C2" s="13"/>
      <c r="D2" s="13"/>
      <c r="E2" s="13"/>
      <c r="F2" s="13"/>
      <c r="G2" s="13"/>
      <c r="H2" s="13"/>
      <c r="I2" s="13"/>
      <c r="J2" s="16" t="s">
        <v>73</v>
      </c>
      <c r="K2" s="104">
        <v>41518</v>
      </c>
      <c r="N2" s="17"/>
      <c r="O2" s="16" t="s">
        <v>85</v>
      </c>
      <c r="P2" s="175" t="s">
        <v>97</v>
      </c>
      <c r="Q2" s="175"/>
      <c r="S2" s="94" t="s">
        <v>98</v>
      </c>
      <c r="T2" s="95">
        <v>41339</v>
      </c>
    </row>
    <row r="3" spans="1:22" x14ac:dyDescent="0.2">
      <c r="B3" s="18">
        <v>895</v>
      </c>
      <c r="C3" s="13" t="s">
        <v>78</v>
      </c>
      <c r="D3" s="13"/>
      <c r="E3" s="13"/>
      <c r="F3" s="13"/>
      <c r="G3" s="13"/>
      <c r="H3" s="13"/>
      <c r="I3" s="13"/>
      <c r="J3" s="16" t="s">
        <v>82</v>
      </c>
      <c r="K3" s="19">
        <v>41338.772094907406</v>
      </c>
      <c r="N3" s="17"/>
      <c r="O3" s="16" t="s">
        <v>99</v>
      </c>
      <c r="P3" s="176">
        <v>41339</v>
      </c>
      <c r="Q3" s="176"/>
      <c r="S3" s="94" t="s">
        <v>100</v>
      </c>
      <c r="T3" s="93">
        <v>36</v>
      </c>
    </row>
    <row r="4" spans="1:22" x14ac:dyDescent="0.2">
      <c r="B4" s="18">
        <v>36</v>
      </c>
      <c r="C4" s="13" t="s">
        <v>74</v>
      </c>
      <c r="D4" s="13"/>
      <c r="E4" s="13"/>
      <c r="F4" s="13"/>
      <c r="G4" s="13"/>
      <c r="H4" s="13"/>
      <c r="I4" s="13"/>
      <c r="J4" s="16" t="s">
        <v>85</v>
      </c>
      <c r="K4" s="98" t="s">
        <v>97</v>
      </c>
      <c r="N4" s="17"/>
      <c r="O4" s="16" t="s">
        <v>101</v>
      </c>
      <c r="P4" s="177">
        <v>41338.772094907406</v>
      </c>
      <c r="Q4" s="177"/>
      <c r="S4" s="96" t="s">
        <v>102</v>
      </c>
      <c r="T4" s="97">
        <v>41339</v>
      </c>
    </row>
    <row r="5" spans="1:22" x14ac:dyDescent="0.2">
      <c r="B5" s="21">
        <v>12</v>
      </c>
      <c r="C5" s="13" t="s">
        <v>103</v>
      </c>
      <c r="D5" s="13"/>
      <c r="E5" s="13"/>
      <c r="F5" s="13"/>
      <c r="G5" s="13"/>
      <c r="H5" s="13"/>
      <c r="I5" s="13"/>
      <c r="J5" s="16" t="s">
        <v>72</v>
      </c>
      <c r="K5" s="104">
        <f>K2</f>
        <v>41518</v>
      </c>
      <c r="N5" s="17"/>
      <c r="O5" s="16" t="s">
        <v>104</v>
      </c>
      <c r="P5" s="178">
        <v>41395</v>
      </c>
      <c r="Q5" s="178"/>
      <c r="S5" s="94" t="s">
        <v>105</v>
      </c>
      <c r="T5" s="93">
        <v>36</v>
      </c>
    </row>
    <row r="6" spans="1:22" x14ac:dyDescent="0.2">
      <c r="B6" s="21">
        <v>24</v>
      </c>
      <c r="C6" s="13" t="s">
        <v>88</v>
      </c>
      <c r="D6" s="13"/>
      <c r="E6" s="13"/>
      <c r="F6" s="13"/>
      <c r="G6" s="13"/>
      <c r="H6" s="13"/>
      <c r="I6" s="13"/>
      <c r="J6" s="16" t="s">
        <v>76</v>
      </c>
      <c r="K6" s="104">
        <f>EDATE(K5,11)</f>
        <v>41852</v>
      </c>
      <c r="N6" s="17"/>
      <c r="P6" s="22"/>
    </row>
    <row r="8" spans="1:22" ht="22.5" x14ac:dyDescent="0.2">
      <c r="B8" s="23" t="s">
        <v>77</v>
      </c>
      <c r="C8" s="23" t="s">
        <v>75</v>
      </c>
      <c r="D8" s="24" t="s">
        <v>79</v>
      </c>
      <c r="E8" s="25" t="s">
        <v>47</v>
      </c>
      <c r="F8" s="25" t="s">
        <v>2</v>
      </c>
      <c r="G8" s="25" t="s">
        <v>53</v>
      </c>
      <c r="H8" s="25" t="s">
        <v>63</v>
      </c>
      <c r="I8" s="25" t="s">
        <v>64</v>
      </c>
      <c r="J8" s="25" t="s">
        <v>4</v>
      </c>
      <c r="K8" s="25" t="s">
        <v>65</v>
      </c>
      <c r="L8" s="26" t="s">
        <v>83</v>
      </c>
      <c r="M8" s="26" t="s">
        <v>80</v>
      </c>
      <c r="N8" s="26" t="s">
        <v>81</v>
      </c>
      <c r="O8" s="27" t="s">
        <v>66</v>
      </c>
      <c r="P8" s="27" t="s">
        <v>84</v>
      </c>
      <c r="Q8" s="28" t="s">
        <v>67</v>
      </c>
      <c r="R8" s="28" t="s">
        <v>68</v>
      </c>
      <c r="S8" s="28" t="s">
        <v>69</v>
      </c>
      <c r="T8" s="28" t="s">
        <v>70</v>
      </c>
      <c r="U8" s="28" t="s">
        <v>71</v>
      </c>
      <c r="V8" s="28"/>
    </row>
    <row r="9" spans="1:22" x14ac:dyDescent="0.2">
      <c r="A9" s="48">
        <v>1</v>
      </c>
      <c r="B9" s="29">
        <v>1</v>
      </c>
      <c r="C9" s="29">
        <v>1</v>
      </c>
      <c r="D9" s="30" t="s">
        <v>106</v>
      </c>
      <c r="E9" s="31" t="s">
        <v>107</v>
      </c>
      <c r="F9" s="31" t="s">
        <v>29</v>
      </c>
      <c r="G9" s="31" t="s">
        <v>108</v>
      </c>
      <c r="H9" s="31" t="s">
        <v>30</v>
      </c>
      <c r="I9" s="31" t="s">
        <v>30</v>
      </c>
      <c r="J9" s="31" t="s">
        <v>31</v>
      </c>
      <c r="K9" s="31" t="s">
        <v>109</v>
      </c>
      <c r="L9" s="32">
        <v>1117</v>
      </c>
      <c r="M9" s="33">
        <v>41339</v>
      </c>
      <c r="N9" s="32" t="s">
        <v>110</v>
      </c>
      <c r="O9" s="34">
        <f>[3]Main!O9</f>
        <v>42309</v>
      </c>
      <c r="P9" s="35">
        <v>18</v>
      </c>
      <c r="Q9" s="120">
        <f>'[3]AECO LP_10V1_SMS'!G8</f>
        <v>55.608037840154267</v>
      </c>
      <c r="R9" s="120">
        <f>'[3]AECO LP_10V1_SMS'!H8</f>
        <v>46.393296450808812</v>
      </c>
      <c r="S9" s="120">
        <f>'[3]AECO LP_10V1_SMS'!I8</f>
        <v>49.257787350537981</v>
      </c>
      <c r="T9" s="120">
        <f>'[3]AECO LP_10V1_SMS'!J8</f>
        <v>47.003237673392107</v>
      </c>
      <c r="U9" s="120">
        <f>'[3]AECO LP_10V1_SMS'!K8</f>
        <v>47.646160486798777</v>
      </c>
      <c r="V9" s="91"/>
    </row>
    <row r="10" spans="1:22" x14ac:dyDescent="0.2">
      <c r="A10" s="48">
        <f>A9+1</f>
        <v>2</v>
      </c>
      <c r="B10" s="29">
        <v>1</v>
      </c>
      <c r="C10" s="29">
        <v>2</v>
      </c>
      <c r="D10" s="30" t="s">
        <v>111</v>
      </c>
      <c r="E10" s="31" t="s">
        <v>112</v>
      </c>
      <c r="F10" s="31" t="s">
        <v>29</v>
      </c>
      <c r="G10" s="31" t="s">
        <v>108</v>
      </c>
      <c r="H10" s="31" t="s">
        <v>30</v>
      </c>
      <c r="I10" s="31" t="s">
        <v>30</v>
      </c>
      <c r="J10" s="31" t="s">
        <v>32</v>
      </c>
      <c r="K10" s="31" t="s">
        <v>113</v>
      </c>
      <c r="L10" s="35">
        <v>1118</v>
      </c>
      <c r="M10" s="36">
        <v>41339</v>
      </c>
      <c r="N10" s="35" t="s">
        <v>110</v>
      </c>
      <c r="O10" s="34">
        <f t="shared" ref="O10:O44" si="0">O9</f>
        <v>42309</v>
      </c>
      <c r="P10" s="35">
        <v>18</v>
      </c>
      <c r="Q10" s="120">
        <f>'[3]AECO LP_14V1_MMS'!G8</f>
        <v>52.705365330115065</v>
      </c>
      <c r="R10" s="120">
        <f>'[3]AECO LP_14V1_MMS'!H8</f>
        <v>46.330169654311248</v>
      </c>
      <c r="S10" s="120">
        <f>'[3]AECO LP_14V1_MMS'!I8</f>
        <v>48.474313722384693</v>
      </c>
      <c r="T10" s="120">
        <f>'[3]AECO LP_14V1_MMS'!J8</f>
        <v>46.936427558274858</v>
      </c>
      <c r="U10" s="120">
        <f>'[3]AECO LP_14V1_MMS'!K8</f>
        <v>46.237974406486813</v>
      </c>
      <c r="V10" s="91"/>
    </row>
    <row r="11" spans="1:22" x14ac:dyDescent="0.2">
      <c r="A11" s="48">
        <f t="shared" ref="A11:A74" si="1">A10+1</f>
        <v>3</v>
      </c>
      <c r="B11" s="29">
        <v>1</v>
      </c>
      <c r="C11" s="29">
        <v>3</v>
      </c>
      <c r="D11" s="30" t="s">
        <v>114</v>
      </c>
      <c r="E11" s="31" t="s">
        <v>115</v>
      </c>
      <c r="F11" s="31" t="s">
        <v>18</v>
      </c>
      <c r="G11" s="31" t="s">
        <v>108</v>
      </c>
      <c r="H11" s="31" t="s">
        <v>61</v>
      </c>
      <c r="I11" s="31" t="s">
        <v>116</v>
      </c>
      <c r="J11" s="31" t="s">
        <v>13</v>
      </c>
      <c r="K11" s="31" t="s">
        <v>117</v>
      </c>
      <c r="L11" s="35">
        <v>1119</v>
      </c>
      <c r="M11" s="36">
        <v>41339</v>
      </c>
      <c r="N11" s="35" t="s">
        <v>110</v>
      </c>
      <c r="O11" s="34">
        <f t="shared" si="0"/>
        <v>42309</v>
      </c>
      <c r="P11" s="35">
        <v>18</v>
      </c>
      <c r="Q11" s="120">
        <f>'[3]AEP_OH_CS - test CSGS1MS'!G8</f>
        <v>23.303909695086546</v>
      </c>
      <c r="R11" s="120">
        <f>'[3]AEP_OH_CS - test CSGS1MS'!H8</f>
        <v>20.970315881614649</v>
      </c>
      <c r="S11" s="120">
        <f>'[3]AEP_OH_CS - test CSGS1MS'!I8</f>
        <v>20.429260109351279</v>
      </c>
      <c r="T11" s="120">
        <f>'[3]AEP_OH_CS - test CSGS1MS'!J8</f>
        <v>21.048197836125784</v>
      </c>
      <c r="U11" s="120">
        <f>'[3]AEP_OH_CS - test CSGS1MS'!K8</f>
        <v>22.506638808328464</v>
      </c>
      <c r="V11" s="91"/>
    </row>
    <row r="12" spans="1:22" x14ac:dyDescent="0.2">
      <c r="A12" s="48">
        <f t="shared" si="1"/>
        <v>4</v>
      </c>
      <c r="B12" s="29">
        <v>1</v>
      </c>
      <c r="C12" s="29">
        <v>4</v>
      </c>
      <c r="D12" s="30" t="s">
        <v>118</v>
      </c>
      <c r="E12" s="31" t="s">
        <v>119</v>
      </c>
      <c r="F12" s="31" t="s">
        <v>18</v>
      </c>
      <c r="G12" s="31" t="s">
        <v>108</v>
      </c>
      <c r="H12" s="31" t="s">
        <v>61</v>
      </c>
      <c r="I12" s="31" t="s">
        <v>116</v>
      </c>
      <c r="J12" s="31" t="s">
        <v>19</v>
      </c>
      <c r="K12" s="31" t="s">
        <v>120</v>
      </c>
      <c r="L12" s="35">
        <v>1120</v>
      </c>
      <c r="M12" s="36">
        <v>41339</v>
      </c>
      <c r="N12" s="35" t="s">
        <v>110</v>
      </c>
      <c r="O12" s="34">
        <f t="shared" si="0"/>
        <v>42309</v>
      </c>
      <c r="P12" s="35">
        <v>18</v>
      </c>
      <c r="Q12" s="120">
        <f>'[3]AEP_OH_CS - test CSGS2UMS'!G8</f>
        <v>23.898331281956782</v>
      </c>
      <c r="R12" s="120">
        <f>'[3]AEP_OH_CS - test CSGS2UMS'!H8</f>
        <v>21.069180518089727</v>
      </c>
      <c r="S12" s="120">
        <f>'[3]AEP_OH_CS - test CSGS2UMS'!I8</f>
        <v>20.624614112221071</v>
      </c>
      <c r="T12" s="120">
        <f>'[3]AEP_OH_CS - test CSGS2UMS'!J8</f>
        <v>21.134128800352929</v>
      </c>
      <c r="U12" s="120">
        <f>'[3]AEP_OH_CS - test CSGS2UMS'!K8</f>
        <v>22.592349009377678</v>
      </c>
      <c r="V12" s="91"/>
    </row>
    <row r="13" spans="1:22" x14ac:dyDescent="0.2">
      <c r="A13" s="48">
        <f t="shared" si="1"/>
        <v>5</v>
      </c>
      <c r="B13" s="29">
        <v>1</v>
      </c>
      <c r="C13" s="29">
        <v>5</v>
      </c>
      <c r="D13" s="30" t="s">
        <v>121</v>
      </c>
      <c r="E13" s="31" t="s">
        <v>122</v>
      </c>
      <c r="F13" s="31" t="s">
        <v>18</v>
      </c>
      <c r="G13" s="31" t="s">
        <v>108</v>
      </c>
      <c r="H13" s="31" t="s">
        <v>61</v>
      </c>
      <c r="I13" s="31" t="s">
        <v>116</v>
      </c>
      <c r="J13" s="31" t="s">
        <v>14</v>
      </c>
      <c r="K13" s="31" t="s">
        <v>123</v>
      </c>
      <c r="L13" s="35">
        <v>1121</v>
      </c>
      <c r="M13" s="36">
        <v>41339</v>
      </c>
      <c r="N13" s="35" t="s">
        <v>110</v>
      </c>
      <c r="O13" s="34">
        <f t="shared" si="0"/>
        <v>42309</v>
      </c>
      <c r="P13" s="35">
        <v>18</v>
      </c>
      <c r="Q13" s="120">
        <f>'[3]AEP_OH_CS - test CSGS3UMS'!G8</f>
        <v>23.898331281956782</v>
      </c>
      <c r="R13" s="120">
        <f>'[3]AEP_OH_CS - test CSGS3UMS'!H8</f>
        <v>21.069180518089727</v>
      </c>
      <c r="S13" s="120">
        <f>'[3]AEP_OH_CS - test CSGS3UMS'!I8</f>
        <v>20.624614112221071</v>
      </c>
      <c r="T13" s="120">
        <f>'[3]AEP_OH_CS - test CSGS3UMS'!J8</f>
        <v>21.134128800352929</v>
      </c>
      <c r="U13" s="120">
        <f>'[3]AEP_OH_CS - test CSGS3UMS'!K8</f>
        <v>22.592349009377678</v>
      </c>
      <c r="V13" s="91"/>
    </row>
    <row r="14" spans="1:22" x14ac:dyDescent="0.2">
      <c r="A14" s="48">
        <f t="shared" si="1"/>
        <v>6</v>
      </c>
      <c r="B14" s="29">
        <v>1</v>
      </c>
      <c r="C14" s="29">
        <v>6</v>
      </c>
      <c r="D14" s="30" t="s">
        <v>124</v>
      </c>
      <c r="E14" s="31" t="s">
        <v>125</v>
      </c>
      <c r="F14" s="31" t="s">
        <v>23</v>
      </c>
      <c r="G14" s="31" t="s">
        <v>126</v>
      </c>
      <c r="H14" s="31" t="s">
        <v>127</v>
      </c>
      <c r="I14" s="31" t="s">
        <v>27</v>
      </c>
      <c r="J14" s="31" t="s">
        <v>28</v>
      </c>
      <c r="K14" s="31" t="s">
        <v>128</v>
      </c>
      <c r="L14" s="35">
        <v>1122</v>
      </c>
      <c r="M14" s="36">
        <v>41339</v>
      </c>
      <c r="N14" s="35" t="s">
        <v>110</v>
      </c>
      <c r="O14" s="34">
        <f t="shared" si="0"/>
        <v>42309</v>
      </c>
      <c r="P14" s="35">
        <v>18</v>
      </c>
      <c r="Q14" s="120">
        <f>'[3]Ameren RateZnIII LP DS2HHMS'!G8</f>
        <v>27.537157125113261</v>
      </c>
      <c r="R14" s="120">
        <f>'[3]Ameren RateZnIII LP DS2HHMS'!H8</f>
        <v>24.464783634863903</v>
      </c>
      <c r="S14" s="120">
        <f>'[3]Ameren RateZnIII LP DS2HHMS'!I8</f>
        <v>24.392833591046369</v>
      </c>
      <c r="T14" s="120">
        <f>'[3]Ameren RateZnIII LP DS2HHMS'!J8</f>
        <v>23.897338460926285</v>
      </c>
      <c r="U14" s="120">
        <f>'[3]Ameren RateZnIII LP DS2HHMS'!K8</f>
        <v>24.027503462918947</v>
      </c>
      <c r="V14" s="91"/>
    </row>
    <row r="15" spans="1:22" x14ac:dyDescent="0.2">
      <c r="A15" s="48">
        <f t="shared" si="1"/>
        <v>7</v>
      </c>
      <c r="B15" s="29">
        <v>1</v>
      </c>
      <c r="C15" s="29">
        <v>7</v>
      </c>
      <c r="D15" s="30" t="s">
        <v>129</v>
      </c>
      <c r="E15" s="31" t="s">
        <v>130</v>
      </c>
      <c r="F15" s="31" t="s">
        <v>37</v>
      </c>
      <c r="G15" s="31" t="s">
        <v>108</v>
      </c>
      <c r="H15" s="31" t="s">
        <v>38</v>
      </c>
      <c r="I15" s="31" t="s">
        <v>38</v>
      </c>
      <c r="J15" s="31" t="s">
        <v>40</v>
      </c>
      <c r="K15" s="31" t="s">
        <v>123</v>
      </c>
      <c r="L15" s="35">
        <v>1124</v>
      </c>
      <c r="M15" s="36">
        <v>41339</v>
      </c>
      <c r="N15" s="35" t="s">
        <v>110</v>
      </c>
      <c r="O15" s="34">
        <f t="shared" si="0"/>
        <v>42309</v>
      </c>
      <c r="P15" s="35">
        <v>18</v>
      </c>
      <c r="Q15" s="120">
        <f>'[3]BGE LP_GLMS'!G8</f>
        <v>36.406136327210262</v>
      </c>
      <c r="R15" s="120">
        <f>'[3]BGE LP_GLMS'!H8</f>
        <v>34.21529218348239</v>
      </c>
      <c r="S15" s="120">
        <f>'[3]BGE LP_GLMS'!I8</f>
        <v>34.939515669283097</v>
      </c>
      <c r="T15" s="120">
        <f>'[3]BGE LP_GLMS'!J8</f>
        <v>34.235574248330188</v>
      </c>
      <c r="U15" s="120">
        <f>'[3]BGE LP_GLMS'!K8</f>
        <v>34.49957088917764</v>
      </c>
      <c r="V15" s="91"/>
    </row>
    <row r="16" spans="1:22" x14ac:dyDescent="0.2">
      <c r="A16" s="48">
        <f t="shared" si="1"/>
        <v>8</v>
      </c>
      <c r="B16" s="29">
        <v>1</v>
      </c>
      <c r="C16" s="29">
        <v>8</v>
      </c>
      <c r="D16" s="30" t="s">
        <v>131</v>
      </c>
      <c r="E16" s="31" t="s">
        <v>132</v>
      </c>
      <c r="F16" s="31" t="s">
        <v>37</v>
      </c>
      <c r="G16" s="31" t="s">
        <v>108</v>
      </c>
      <c r="H16" s="31" t="s">
        <v>38</v>
      </c>
      <c r="I16" s="31" t="s">
        <v>38</v>
      </c>
      <c r="J16" s="31" t="s">
        <v>39</v>
      </c>
      <c r="K16" s="31" t="s">
        <v>120</v>
      </c>
      <c r="L16" s="35">
        <v>1123</v>
      </c>
      <c r="M16" s="36">
        <v>41339</v>
      </c>
      <c r="N16" s="35" t="s">
        <v>110</v>
      </c>
      <c r="O16" s="34">
        <f t="shared" si="0"/>
        <v>42309</v>
      </c>
      <c r="P16" s="35">
        <v>18</v>
      </c>
      <c r="Q16" s="120">
        <f>'[3]BGE LP_GMS'!G8</f>
        <v>35.202944014093319</v>
      </c>
      <c r="R16" s="120">
        <f>'[3]BGE LP_GMS'!H8</f>
        <v>34.294308545064517</v>
      </c>
      <c r="S16" s="120">
        <f>'[3]BGE LP_GMS'!I8</f>
        <v>34.618907507610189</v>
      </c>
      <c r="T16" s="120">
        <f>'[3]BGE LP_GMS'!J8</f>
        <v>34.308632654678505</v>
      </c>
      <c r="U16" s="120">
        <f>'[3]BGE LP_GMS'!K8</f>
        <v>34.616035732573494</v>
      </c>
      <c r="V16" s="91"/>
    </row>
    <row r="17" spans="1:22" x14ac:dyDescent="0.2">
      <c r="A17" s="48">
        <f t="shared" si="1"/>
        <v>9</v>
      </c>
      <c r="B17" s="29">
        <v>1</v>
      </c>
      <c r="C17" s="29">
        <v>9</v>
      </c>
      <c r="D17" s="30" t="s">
        <v>133</v>
      </c>
      <c r="E17" s="31" t="s">
        <v>134</v>
      </c>
      <c r="F17" s="31" t="s">
        <v>37</v>
      </c>
      <c r="G17" s="31" t="s">
        <v>108</v>
      </c>
      <c r="H17" s="31" t="s">
        <v>38</v>
      </c>
      <c r="I17" s="31" t="s">
        <v>38</v>
      </c>
      <c r="J17" s="31" t="s">
        <v>6</v>
      </c>
      <c r="K17" s="31" t="s">
        <v>117</v>
      </c>
      <c r="L17" s="35">
        <v>1125</v>
      </c>
      <c r="M17" s="36">
        <v>41339</v>
      </c>
      <c r="N17" s="35" t="s">
        <v>110</v>
      </c>
      <c r="O17" s="34">
        <f t="shared" si="0"/>
        <v>42309</v>
      </c>
      <c r="P17" s="35">
        <v>18</v>
      </c>
      <c r="Q17" s="120">
        <f>'[3]BGE LP_GSMS'!G8</f>
        <v>36.643231960654219</v>
      </c>
      <c r="R17" s="120">
        <f>'[3]BGE LP_GSMS'!H8</f>
        <v>35.230184240298364</v>
      </c>
      <c r="S17" s="120">
        <f>'[3]BGE LP_GSMS'!I8</f>
        <v>35.716548566610328</v>
      </c>
      <c r="T17" s="120">
        <f>'[3]BGE LP_GSMS'!J8</f>
        <v>35.250221270024113</v>
      </c>
      <c r="U17" s="120">
        <f>'[3]BGE LP_GSMS'!K8</f>
        <v>35.474227514493002</v>
      </c>
      <c r="V17" s="91"/>
    </row>
    <row r="18" spans="1:22" x14ac:dyDescent="0.2">
      <c r="A18" s="48">
        <f t="shared" si="1"/>
        <v>10</v>
      </c>
      <c r="B18" s="29">
        <v>1</v>
      </c>
      <c r="C18" s="29">
        <v>10</v>
      </c>
      <c r="D18" s="30" t="s">
        <v>135</v>
      </c>
      <c r="E18" s="31" t="s">
        <v>136</v>
      </c>
      <c r="F18" s="31" t="s">
        <v>23</v>
      </c>
      <c r="G18" s="31" t="s">
        <v>108</v>
      </c>
      <c r="H18" s="31" t="s">
        <v>137</v>
      </c>
      <c r="I18" s="31" t="s">
        <v>24</v>
      </c>
      <c r="J18" s="31" t="s">
        <v>25</v>
      </c>
      <c r="K18" s="31" t="s">
        <v>138</v>
      </c>
      <c r="L18" s="35">
        <v>1126</v>
      </c>
      <c r="M18" s="36">
        <v>41339</v>
      </c>
      <c r="N18" s="35" t="s">
        <v>110</v>
      </c>
      <c r="O18" s="34">
        <f t="shared" si="0"/>
        <v>42309</v>
      </c>
      <c r="P18" s="35">
        <v>18</v>
      </c>
      <c r="Q18" s="120">
        <f>'[3]ComEd - test LP_28MS'!G8</f>
        <v>32.469589114171598</v>
      </c>
      <c r="R18" s="120">
        <f>'[3]ComEd - test LP_28MS'!H8</f>
        <v>29.960388844126811</v>
      </c>
      <c r="S18" s="120">
        <f>'[3]ComEd - test LP_28MS'!I8</f>
        <v>29.657161916312539</v>
      </c>
      <c r="T18" s="120">
        <f>'[3]ComEd - test LP_28MS'!J8</f>
        <v>30.28535888973105</v>
      </c>
      <c r="U18" s="120">
        <f>'[3]ComEd - test LP_28MS'!K8</f>
        <v>32.530369818186728</v>
      </c>
      <c r="V18" s="91"/>
    </row>
    <row r="19" spans="1:22" x14ac:dyDescent="0.2">
      <c r="A19" s="48">
        <f t="shared" si="1"/>
        <v>11</v>
      </c>
      <c r="B19" s="29">
        <v>1</v>
      </c>
      <c r="C19" s="29">
        <v>11</v>
      </c>
      <c r="D19" s="30" t="s">
        <v>139</v>
      </c>
      <c r="E19" s="31" t="s">
        <v>140</v>
      </c>
      <c r="F19" s="31" t="s">
        <v>23</v>
      </c>
      <c r="G19" s="31" t="s">
        <v>108</v>
      </c>
      <c r="H19" s="31" t="s">
        <v>137</v>
      </c>
      <c r="I19" s="31" t="s">
        <v>24</v>
      </c>
      <c r="J19" s="31" t="s">
        <v>26</v>
      </c>
      <c r="K19" s="31" t="s">
        <v>141</v>
      </c>
      <c r="L19" s="35">
        <v>1127</v>
      </c>
      <c r="M19" s="36">
        <v>41339</v>
      </c>
      <c r="N19" s="35" t="s">
        <v>110</v>
      </c>
      <c r="O19" s="34">
        <f t="shared" si="0"/>
        <v>42309</v>
      </c>
      <c r="P19" s="35">
        <v>18</v>
      </c>
      <c r="Q19" s="120">
        <f>'[3]ComEd - test LP_29MS'!G8</f>
        <v>31.571325009059144</v>
      </c>
      <c r="R19" s="120">
        <f>'[3]ComEd - test LP_29MS'!H8</f>
        <v>29.05419744365927</v>
      </c>
      <c r="S19" s="120">
        <f>'[3]ComEd - test LP_29MS'!I8</f>
        <v>28.752521471041664</v>
      </c>
      <c r="T19" s="120">
        <f>'[3]ComEd - test LP_29MS'!J8</f>
        <v>29.373085943317086</v>
      </c>
      <c r="U19" s="120">
        <f>'[3]ComEd - test LP_29MS'!K8</f>
        <v>31.616813225002282</v>
      </c>
      <c r="V19" s="91"/>
    </row>
    <row r="20" spans="1:22" x14ac:dyDescent="0.2">
      <c r="A20" s="48">
        <f t="shared" si="1"/>
        <v>12</v>
      </c>
      <c r="B20" s="29">
        <v>1</v>
      </c>
      <c r="C20" s="29">
        <v>12</v>
      </c>
      <c r="D20" s="30" t="s">
        <v>142</v>
      </c>
      <c r="E20" s="31" t="s">
        <v>143</v>
      </c>
      <c r="F20" s="31" t="s">
        <v>18</v>
      </c>
      <c r="G20" s="31" t="s">
        <v>108</v>
      </c>
      <c r="H20" s="31" t="s">
        <v>94</v>
      </c>
      <c r="I20" s="31" t="s">
        <v>144</v>
      </c>
      <c r="J20" s="31" t="s">
        <v>20</v>
      </c>
      <c r="K20" s="31" t="s">
        <v>145</v>
      </c>
      <c r="L20" s="35">
        <v>1128</v>
      </c>
      <c r="M20" s="36">
        <v>41339</v>
      </c>
      <c r="N20" s="35" t="s">
        <v>110</v>
      </c>
      <c r="O20" s="34">
        <f t="shared" si="0"/>
        <v>42309</v>
      </c>
      <c r="P20" s="35">
        <v>18</v>
      </c>
      <c r="Q20" s="120">
        <f>[3]DAY_RC_843MS!G8</f>
        <v>20.484799310619522</v>
      </c>
      <c r="R20" s="120">
        <f>[3]DAY_RC_843MS!H8</f>
        <v>20.114495701422438</v>
      </c>
      <c r="S20" s="120">
        <f>[3]DAY_RC_843MS!I8</f>
        <v>19.006310403009113</v>
      </c>
      <c r="T20" s="120">
        <f>[3]DAY_RC_843MS!J8</f>
        <v>20.16126746714432</v>
      </c>
      <c r="U20" s="120">
        <f>[3]DAY_RC_843MS!K8</f>
        <v>21.575391868833862</v>
      </c>
      <c r="V20" s="91"/>
    </row>
    <row r="21" spans="1:22" x14ac:dyDescent="0.2">
      <c r="A21" s="48">
        <f t="shared" si="1"/>
        <v>13</v>
      </c>
      <c r="B21" s="29">
        <v>1</v>
      </c>
      <c r="C21" s="29">
        <v>13</v>
      </c>
      <c r="D21" s="30" t="s">
        <v>146</v>
      </c>
      <c r="E21" s="31" t="s">
        <v>147</v>
      </c>
      <c r="F21" s="31" t="s">
        <v>37</v>
      </c>
      <c r="G21" s="31" t="s">
        <v>108</v>
      </c>
      <c r="H21" s="31" t="s">
        <v>41</v>
      </c>
      <c r="I21" s="31" t="s">
        <v>41</v>
      </c>
      <c r="J21" s="31" t="s">
        <v>6</v>
      </c>
      <c r="K21" s="31" t="s">
        <v>128</v>
      </c>
      <c r="L21" s="35">
        <v>1129</v>
      </c>
      <c r="M21" s="36">
        <v>41339</v>
      </c>
      <c r="N21" s="35" t="s">
        <v>110</v>
      </c>
      <c r="O21" s="34">
        <f t="shared" si="0"/>
        <v>42309</v>
      </c>
      <c r="P21" s="35">
        <v>18</v>
      </c>
      <c r="Q21" s="120">
        <f>'[3]Delmarva MD LP_MDGS_MMS'!G8</f>
        <v>40.667939354578472</v>
      </c>
      <c r="R21" s="120">
        <f>'[3]Delmarva MD LP_MDGS_MMS'!H8</f>
        <v>37.889452438076916</v>
      </c>
      <c r="S21" s="120">
        <f>'[3]Delmarva MD LP_MDGS_MMS'!I8</f>
        <v>38.719684945592689</v>
      </c>
      <c r="T21" s="120">
        <f>'[3]Delmarva MD LP_MDGS_MMS'!J8</f>
        <v>37.802944879975648</v>
      </c>
      <c r="U21" s="120">
        <f>'[3]Delmarva MD LP_MDGS_MMS'!K8</f>
        <v>39.188617849202494</v>
      </c>
      <c r="V21" s="91"/>
    </row>
    <row r="22" spans="1:22" x14ac:dyDescent="0.2">
      <c r="A22" s="48">
        <f t="shared" si="1"/>
        <v>14</v>
      </c>
      <c r="B22" s="29">
        <v>1</v>
      </c>
      <c r="C22" s="29">
        <v>14</v>
      </c>
      <c r="D22" s="30" t="s">
        <v>148</v>
      </c>
      <c r="E22" s="31" t="s">
        <v>149</v>
      </c>
      <c r="F22" s="31" t="s">
        <v>5</v>
      </c>
      <c r="G22" s="31" t="s">
        <v>108</v>
      </c>
      <c r="H22" s="31" t="s">
        <v>46</v>
      </c>
      <c r="I22" s="31" t="s">
        <v>46</v>
      </c>
      <c r="J22" s="31" t="s">
        <v>6</v>
      </c>
      <c r="K22" s="31" t="s">
        <v>128</v>
      </c>
      <c r="L22" s="35">
        <v>1130</v>
      </c>
      <c r="M22" s="36">
        <v>41339</v>
      </c>
      <c r="N22" s="35" t="s">
        <v>110</v>
      </c>
      <c r="O22" s="34">
        <f t="shared" si="0"/>
        <v>42309</v>
      </c>
      <c r="P22" s="35">
        <v>18</v>
      </c>
      <c r="Q22" s="120">
        <f>'[3]DQE LP_GSGM_MMS'!G8</f>
        <v>35.076465759098632</v>
      </c>
      <c r="R22" s="120">
        <f>'[3]DQE LP_GSGM_MMS'!H8</f>
        <v>32.792819103644547</v>
      </c>
      <c r="S22" s="120">
        <f>'[3]DQE LP_GSGM_MMS'!I8</f>
        <v>32.238558915071174</v>
      </c>
      <c r="T22" s="120">
        <f>'[3]DQE LP_GSGM_MMS'!J8</f>
        <v>32.971612290959577</v>
      </c>
      <c r="U22" s="120">
        <f>'[3]DQE LP_GSGM_MMS'!K8</f>
        <v>34.535847926005921</v>
      </c>
      <c r="V22" s="91"/>
    </row>
    <row r="23" spans="1:22" x14ac:dyDescent="0.2">
      <c r="A23" s="48">
        <f t="shared" si="1"/>
        <v>15</v>
      </c>
      <c r="B23" s="29">
        <v>1</v>
      </c>
      <c r="C23" s="29">
        <v>15</v>
      </c>
      <c r="D23" s="30" t="s">
        <v>150</v>
      </c>
      <c r="E23" s="31" t="s">
        <v>151</v>
      </c>
      <c r="F23" s="31" t="s">
        <v>18</v>
      </c>
      <c r="G23" s="31" t="s">
        <v>108</v>
      </c>
      <c r="H23" s="31" t="s">
        <v>21</v>
      </c>
      <c r="I23" s="31" t="s">
        <v>152</v>
      </c>
      <c r="J23" s="31" t="s">
        <v>22</v>
      </c>
      <c r="K23" s="31" t="s">
        <v>128</v>
      </c>
      <c r="L23" s="35">
        <v>1131</v>
      </c>
      <c r="M23" s="36">
        <v>41339</v>
      </c>
      <c r="N23" s="35" t="s">
        <v>110</v>
      </c>
      <c r="O23" s="34">
        <f t="shared" si="0"/>
        <v>42309</v>
      </c>
      <c r="P23" s="35">
        <v>18</v>
      </c>
      <c r="Q23" s="120">
        <f>[3]Duke_OH_RC_DS01MS!G8</f>
        <v>23.088224454265688</v>
      </c>
      <c r="R23" s="120">
        <f>[3]Duke_OH_RC_DS01MS!H8</f>
        <v>20.164658047997523</v>
      </c>
      <c r="S23" s="120">
        <f>[3]Duke_OH_RC_DS01MS!I8</f>
        <v>19.708928413872492</v>
      </c>
      <c r="T23" s="120">
        <f>[3]Duke_OH_RC_DS01MS!J8</f>
        <v>20.154050565149966</v>
      </c>
      <c r="U23" s="120">
        <f>[3]Duke_OH_RC_DS01MS!K8</f>
        <v>21.438881848148842</v>
      </c>
      <c r="V23" s="91"/>
    </row>
    <row r="24" spans="1:22" x14ac:dyDescent="0.2">
      <c r="A24" s="48">
        <f t="shared" si="1"/>
        <v>16</v>
      </c>
      <c r="B24" s="29">
        <v>1</v>
      </c>
      <c r="C24" s="29">
        <v>16</v>
      </c>
      <c r="D24" s="30" t="s">
        <v>153</v>
      </c>
      <c r="E24" s="31" t="s">
        <v>154</v>
      </c>
      <c r="F24" s="31" t="s">
        <v>18</v>
      </c>
      <c r="G24" s="31" t="s">
        <v>108</v>
      </c>
      <c r="H24" s="31" t="s">
        <v>62</v>
      </c>
      <c r="I24" s="31" t="s">
        <v>155</v>
      </c>
      <c r="J24" s="31" t="s">
        <v>6</v>
      </c>
      <c r="K24" s="31" t="s">
        <v>128</v>
      </c>
      <c r="L24" s="35">
        <v>1132</v>
      </c>
      <c r="M24" s="36">
        <v>41339</v>
      </c>
      <c r="N24" s="35" t="s">
        <v>110</v>
      </c>
      <c r="O24" s="34">
        <f t="shared" si="0"/>
        <v>42309</v>
      </c>
      <c r="P24" s="35">
        <v>18</v>
      </c>
      <c r="Q24" s="120">
        <f>'[3]FE_OE - test RC_GSFMS'!G8</f>
        <v>37.988656758036797</v>
      </c>
      <c r="R24" s="120">
        <f>'[3]FE_OE - test RC_GSFMS'!H8</f>
        <v>31.659332495529341</v>
      </c>
      <c r="S24" s="120">
        <f>'[3]FE_OE - test RC_GSFMS'!I8</f>
        <v>28.103665210699692</v>
      </c>
      <c r="T24" s="120">
        <f>'[3]FE_OE - test RC_GSFMS'!J8</f>
        <v>27.048746185210447</v>
      </c>
      <c r="U24" s="120">
        <f>'[3]FE_OE - test RC_GSFMS'!K8</f>
        <v>26.225856372042301</v>
      </c>
      <c r="V24" s="91"/>
    </row>
    <row r="25" spans="1:22" x14ac:dyDescent="0.2">
      <c r="A25" s="48">
        <f t="shared" si="1"/>
        <v>17</v>
      </c>
      <c r="B25" s="29">
        <v>1</v>
      </c>
      <c r="C25" s="29">
        <v>17</v>
      </c>
      <c r="D25" s="30" t="s">
        <v>156</v>
      </c>
      <c r="E25" s="31" t="s">
        <v>157</v>
      </c>
      <c r="F25" s="31" t="s">
        <v>29</v>
      </c>
      <c r="G25" s="31" t="s">
        <v>108</v>
      </c>
      <c r="H25" s="31" t="s">
        <v>33</v>
      </c>
      <c r="I25" s="31" t="s">
        <v>33</v>
      </c>
      <c r="J25" s="31" t="s">
        <v>7</v>
      </c>
      <c r="K25" s="31" t="s">
        <v>123</v>
      </c>
      <c r="L25" s="35">
        <v>1133</v>
      </c>
      <c r="M25" s="36">
        <v>41339</v>
      </c>
      <c r="N25" s="35" t="s">
        <v>110</v>
      </c>
      <c r="O25" s="34">
        <f t="shared" si="0"/>
        <v>42309</v>
      </c>
      <c r="P25" s="35">
        <v>18</v>
      </c>
      <c r="Q25" s="120">
        <f>'[3]JCPL LP_GSCLMS'!G8</f>
        <v>41.305077827877987</v>
      </c>
      <c r="R25" s="120">
        <f>'[3]JCPL LP_GSCLMS'!H8</f>
        <v>35.520913363956154</v>
      </c>
      <c r="S25" s="120">
        <f>'[3]JCPL LP_GSCLMS'!I8</f>
        <v>37.922353338853711</v>
      </c>
      <c r="T25" s="120">
        <f>'[3]JCPL LP_GSCLMS'!J8</f>
        <v>37.647146604008363</v>
      </c>
      <c r="U25" s="120">
        <f>'[3]JCPL LP_GSCLMS'!K8</f>
        <v>39.730794467537649</v>
      </c>
      <c r="V25" s="91"/>
    </row>
    <row r="26" spans="1:22" x14ac:dyDescent="0.2">
      <c r="A26" s="48">
        <f t="shared" si="1"/>
        <v>18</v>
      </c>
      <c r="B26" s="29">
        <v>1</v>
      </c>
      <c r="C26" s="29">
        <v>18</v>
      </c>
      <c r="D26" s="30" t="s">
        <v>158</v>
      </c>
      <c r="E26" s="31" t="s">
        <v>159</v>
      </c>
      <c r="F26" s="31" t="s">
        <v>29</v>
      </c>
      <c r="G26" s="31" t="s">
        <v>108</v>
      </c>
      <c r="H26" s="31" t="s">
        <v>33</v>
      </c>
      <c r="I26" s="31" t="s">
        <v>33</v>
      </c>
      <c r="J26" s="31" t="s">
        <v>8</v>
      </c>
      <c r="K26" s="31" t="s">
        <v>120</v>
      </c>
      <c r="L26" s="35">
        <v>1134</v>
      </c>
      <c r="M26" s="36">
        <v>41339</v>
      </c>
      <c r="N26" s="35" t="s">
        <v>110</v>
      </c>
      <c r="O26" s="34">
        <f t="shared" si="0"/>
        <v>42309</v>
      </c>
      <c r="P26" s="35">
        <v>18</v>
      </c>
      <c r="Q26" s="120">
        <f>'[3]JCPL LP_GSCMMS'!G8</f>
        <v>38.39422051915863</v>
      </c>
      <c r="R26" s="120">
        <f>'[3]JCPL LP_GSCMMS'!H8</f>
        <v>36.513346574090548</v>
      </c>
      <c r="S26" s="120">
        <f>'[3]JCPL LP_GSCMMS'!I8</f>
        <v>37.907042251469854</v>
      </c>
      <c r="T26" s="120">
        <f>'[3]JCPL LP_GSCMMS'!J8</f>
        <v>38.60587080933211</v>
      </c>
      <c r="U26" s="120">
        <f>'[3]JCPL LP_GSCMMS'!K8</f>
        <v>40.664126158507578</v>
      </c>
      <c r="V26" s="91"/>
    </row>
    <row r="27" spans="1:22" x14ac:dyDescent="0.2">
      <c r="A27" s="48">
        <f t="shared" si="1"/>
        <v>19</v>
      </c>
      <c r="B27" s="29">
        <v>1</v>
      </c>
      <c r="C27" s="29">
        <v>19</v>
      </c>
      <c r="D27" s="30" t="s">
        <v>160</v>
      </c>
      <c r="E27" s="31" t="s">
        <v>161</v>
      </c>
      <c r="F27" s="31" t="s">
        <v>29</v>
      </c>
      <c r="G27" s="31" t="s">
        <v>108</v>
      </c>
      <c r="H27" s="31" t="s">
        <v>33</v>
      </c>
      <c r="I27" s="31" t="s">
        <v>33</v>
      </c>
      <c r="J27" s="31" t="s">
        <v>9</v>
      </c>
      <c r="K27" s="31" t="s">
        <v>117</v>
      </c>
      <c r="L27" s="35">
        <v>1135</v>
      </c>
      <c r="M27" s="36">
        <v>41339</v>
      </c>
      <c r="N27" s="35" t="s">
        <v>110</v>
      </c>
      <c r="O27" s="34">
        <f t="shared" si="0"/>
        <v>42309</v>
      </c>
      <c r="P27" s="35">
        <v>18</v>
      </c>
      <c r="Q27" s="120">
        <f>'[3]JCPL LP_GSCSMS'!G8</f>
        <v>38.39422051915863</v>
      </c>
      <c r="R27" s="120">
        <f>'[3]JCPL LP_GSCSMS'!H8</f>
        <v>36.513346574090548</v>
      </c>
      <c r="S27" s="120">
        <f>'[3]JCPL LP_GSCSMS'!I8</f>
        <v>37.907042251469854</v>
      </c>
      <c r="T27" s="120">
        <f>'[3]JCPL LP_GSCSMS'!J8</f>
        <v>38.60587080933211</v>
      </c>
      <c r="U27" s="120">
        <f>'[3]JCPL LP_GSCSMS'!K8</f>
        <v>40.664126158507578</v>
      </c>
      <c r="V27" s="91"/>
    </row>
    <row r="28" spans="1:22" x14ac:dyDescent="0.2">
      <c r="A28" s="48">
        <f t="shared" si="1"/>
        <v>20</v>
      </c>
      <c r="B28" s="29">
        <v>1</v>
      </c>
      <c r="C28" s="29">
        <v>20</v>
      </c>
      <c r="D28" s="30" t="s">
        <v>162</v>
      </c>
      <c r="E28" s="31" t="s">
        <v>163</v>
      </c>
      <c r="F28" s="31" t="s">
        <v>5</v>
      </c>
      <c r="G28" s="31" t="s">
        <v>108</v>
      </c>
      <c r="H28" s="31" t="s">
        <v>164</v>
      </c>
      <c r="I28" s="31" t="s">
        <v>165</v>
      </c>
      <c r="J28" s="31" t="s">
        <v>7</v>
      </c>
      <c r="K28" s="31" t="s">
        <v>123</v>
      </c>
      <c r="L28" s="35">
        <v>1137</v>
      </c>
      <c r="M28" s="36">
        <v>41339</v>
      </c>
      <c r="N28" s="35" t="s">
        <v>110</v>
      </c>
      <c r="O28" s="34">
        <f t="shared" si="0"/>
        <v>42309</v>
      </c>
      <c r="P28" s="35">
        <v>18</v>
      </c>
      <c r="Q28" s="120">
        <f>'[3]MetEd RC_GSLFMS'!G8</f>
        <v>25.229400161742163</v>
      </c>
      <c r="R28" s="120">
        <f>'[3]MetEd RC_GSLFMS'!H8</f>
        <v>18.851131604050131</v>
      </c>
      <c r="S28" s="120">
        <f>'[3]MetEd RC_GSLFMS'!I8</f>
        <v>21.190639125532158</v>
      </c>
      <c r="T28" s="120">
        <f>'[3]MetEd RC_GSLFMS'!J8</f>
        <v>19.996931457024768</v>
      </c>
      <c r="U28" s="120">
        <f>'[3]MetEd RC_GSLFMS'!K8</f>
        <v>20.9671158914445</v>
      </c>
      <c r="V28" s="91"/>
    </row>
    <row r="29" spans="1:22" x14ac:dyDescent="0.2">
      <c r="A29" s="48">
        <f t="shared" si="1"/>
        <v>21</v>
      </c>
      <c r="B29" s="29">
        <v>1</v>
      </c>
      <c r="C29" s="29">
        <v>21</v>
      </c>
      <c r="D29" s="30" t="s">
        <v>166</v>
      </c>
      <c r="E29" s="31" t="s">
        <v>167</v>
      </c>
      <c r="F29" s="31" t="s">
        <v>5</v>
      </c>
      <c r="G29" s="31" t="s">
        <v>108</v>
      </c>
      <c r="H29" s="31" t="s">
        <v>164</v>
      </c>
      <c r="I29" s="31" t="s">
        <v>165</v>
      </c>
      <c r="J29" s="31" t="s">
        <v>8</v>
      </c>
      <c r="K29" s="31" t="s">
        <v>120</v>
      </c>
      <c r="L29" s="35">
        <v>1136</v>
      </c>
      <c r="M29" s="36">
        <v>41339</v>
      </c>
      <c r="N29" s="35" t="s">
        <v>110</v>
      </c>
      <c r="O29" s="34">
        <f t="shared" si="0"/>
        <v>42309</v>
      </c>
      <c r="P29" s="35">
        <v>18</v>
      </c>
      <c r="Q29" s="120">
        <f>'[3]MetEd RC_GSDFMS'!G8</f>
        <v>26.26778184170799</v>
      </c>
      <c r="R29" s="120">
        <f>'[3]MetEd RC_GSDFMS'!H8</f>
        <v>20.05111331622674</v>
      </c>
      <c r="S29" s="120">
        <f>'[3]MetEd RC_GSDFMS'!I8</f>
        <v>22.320729311511027</v>
      </c>
      <c r="T29" s="120">
        <f>'[3]MetEd RC_GSDFMS'!J8</f>
        <v>21.192667524161568</v>
      </c>
      <c r="U29" s="120">
        <f>'[3]MetEd RC_GSDFMS'!K8</f>
        <v>22.139087104299072</v>
      </c>
      <c r="V29" s="91"/>
    </row>
    <row r="30" spans="1:22" x14ac:dyDescent="0.2">
      <c r="A30" s="48">
        <f t="shared" si="1"/>
        <v>22</v>
      </c>
      <c r="B30" s="29">
        <v>1</v>
      </c>
      <c r="C30" s="29">
        <v>22</v>
      </c>
      <c r="D30" s="30" t="s">
        <v>168</v>
      </c>
      <c r="E30" s="31" t="s">
        <v>169</v>
      </c>
      <c r="F30" s="31" t="s">
        <v>5</v>
      </c>
      <c r="G30" s="31" t="s">
        <v>108</v>
      </c>
      <c r="H30" s="31" t="s">
        <v>164</v>
      </c>
      <c r="I30" s="31" t="s">
        <v>165</v>
      </c>
      <c r="J30" s="31" t="s">
        <v>9</v>
      </c>
      <c r="K30" s="31" t="s">
        <v>117</v>
      </c>
      <c r="L30" s="35">
        <v>1138</v>
      </c>
      <c r="M30" s="36">
        <v>41339</v>
      </c>
      <c r="N30" s="35" t="s">
        <v>110</v>
      </c>
      <c r="O30" s="34">
        <f t="shared" si="0"/>
        <v>42309</v>
      </c>
      <c r="P30" s="35">
        <v>18</v>
      </c>
      <c r="Q30" s="120">
        <f>'[3]MetEd RC_GSSFMS'!G8</f>
        <v>25.58189222695783</v>
      </c>
      <c r="R30" s="120">
        <f>'[3]MetEd RC_GSSFMS'!H8</f>
        <v>20.13345363881195</v>
      </c>
      <c r="S30" s="120">
        <f>'[3]MetEd RC_GSSFMS'!I8</f>
        <v>22.200842400001338</v>
      </c>
      <c r="T30" s="120">
        <f>'[3]MetEd RC_GSSFMS'!J8</f>
        <v>21.23474493725816</v>
      </c>
      <c r="U30" s="120">
        <f>'[3]MetEd RC_GSSFMS'!K8</f>
        <v>22.127128060118757</v>
      </c>
      <c r="V30" s="91"/>
    </row>
    <row r="31" spans="1:22" x14ac:dyDescent="0.2">
      <c r="A31" s="48">
        <f t="shared" si="1"/>
        <v>23</v>
      </c>
      <c r="B31" s="29">
        <v>1</v>
      </c>
      <c r="C31" s="29">
        <v>23</v>
      </c>
      <c r="D31" s="30" t="s">
        <v>170</v>
      </c>
      <c r="E31" s="31" t="s">
        <v>171</v>
      </c>
      <c r="F31" s="31" t="s">
        <v>5</v>
      </c>
      <c r="G31" s="31" t="s">
        <v>108</v>
      </c>
      <c r="H31" s="31" t="s">
        <v>11</v>
      </c>
      <c r="I31" s="31" t="s">
        <v>11</v>
      </c>
      <c r="J31" s="31" t="s">
        <v>6</v>
      </c>
      <c r="K31" s="31" t="s">
        <v>128</v>
      </c>
      <c r="L31" s="35">
        <v>1139</v>
      </c>
      <c r="M31" s="36">
        <v>41339</v>
      </c>
      <c r="N31" s="35" t="s">
        <v>110</v>
      </c>
      <c r="O31" s="34">
        <f t="shared" si="0"/>
        <v>42309</v>
      </c>
      <c r="P31" s="35">
        <v>18</v>
      </c>
      <c r="Q31" s="120">
        <f>'[3]PECO LP_GSMS'!G8</f>
        <v>31.734423741779278</v>
      </c>
      <c r="R31" s="120">
        <f>'[3]PECO LP_GSMS'!H8</f>
        <v>25.008582310383837</v>
      </c>
      <c r="S31" s="120">
        <f>'[3]PECO LP_GSMS'!I8</f>
        <v>26.974381370420012</v>
      </c>
      <c r="T31" s="120">
        <f>'[3]PECO LP_GSMS'!J8</f>
        <v>25.36343526404054</v>
      </c>
      <c r="U31" s="120">
        <f>'[3]PECO LP_GSMS'!K8</f>
        <v>26.603215332478197</v>
      </c>
      <c r="V31" s="91"/>
    </row>
    <row r="32" spans="1:22" x14ac:dyDescent="0.2">
      <c r="A32" s="48">
        <f t="shared" si="1"/>
        <v>24</v>
      </c>
      <c r="B32" s="29">
        <v>1</v>
      </c>
      <c r="C32" s="29">
        <v>24</v>
      </c>
      <c r="D32" s="30" t="s">
        <v>172</v>
      </c>
      <c r="E32" s="31" t="s">
        <v>173</v>
      </c>
      <c r="F32" s="31" t="s">
        <v>5</v>
      </c>
      <c r="G32" s="31" t="s">
        <v>108</v>
      </c>
      <c r="H32" s="31" t="s">
        <v>10</v>
      </c>
      <c r="I32" s="31" t="s">
        <v>174</v>
      </c>
      <c r="J32" s="31" t="s">
        <v>7</v>
      </c>
      <c r="K32" s="31" t="s">
        <v>123</v>
      </c>
      <c r="L32" s="35">
        <v>1140</v>
      </c>
      <c r="M32" s="36">
        <v>41339</v>
      </c>
      <c r="N32" s="35" t="s">
        <v>110</v>
      </c>
      <c r="O32" s="34">
        <f t="shared" si="0"/>
        <v>42309</v>
      </c>
      <c r="P32" s="35">
        <v>18</v>
      </c>
      <c r="Q32" s="120">
        <f>'[3]Penelec RC_GSLFMS'!G8</f>
        <v>26.740165205885571</v>
      </c>
      <c r="R32" s="120">
        <f>'[3]Penelec RC_GSLFMS'!H8</f>
        <v>25.896263993336728</v>
      </c>
      <c r="S32" s="120">
        <f>'[3]Penelec RC_GSLFMS'!I8</f>
        <v>25.943130313507158</v>
      </c>
      <c r="T32" s="120">
        <f>'[3]Penelec RC_GSLFMS'!J8</f>
        <v>25.740831478002825</v>
      </c>
      <c r="U32" s="120">
        <f>'[3]Penelec RC_GSLFMS'!K8</f>
        <v>25.97734634107298</v>
      </c>
      <c r="V32" s="91"/>
    </row>
    <row r="33" spans="1:22" x14ac:dyDescent="0.2">
      <c r="A33" s="48">
        <f t="shared" si="1"/>
        <v>25</v>
      </c>
      <c r="B33" s="29">
        <v>1</v>
      </c>
      <c r="C33" s="29">
        <v>25</v>
      </c>
      <c r="D33" s="30" t="s">
        <v>175</v>
      </c>
      <c r="E33" s="31" t="s">
        <v>176</v>
      </c>
      <c r="F33" s="31" t="s">
        <v>5</v>
      </c>
      <c r="G33" s="31" t="s">
        <v>108</v>
      </c>
      <c r="H33" s="31" t="s">
        <v>10</v>
      </c>
      <c r="I33" s="31" t="s">
        <v>174</v>
      </c>
      <c r="J33" s="31" t="s">
        <v>8</v>
      </c>
      <c r="K33" s="31" t="s">
        <v>120</v>
      </c>
      <c r="L33" s="35">
        <v>1141</v>
      </c>
      <c r="M33" s="36">
        <v>41339</v>
      </c>
      <c r="N33" s="35" t="s">
        <v>110</v>
      </c>
      <c r="O33" s="34">
        <f t="shared" si="0"/>
        <v>42309</v>
      </c>
      <c r="P33" s="35">
        <v>18</v>
      </c>
      <c r="Q33" s="120">
        <f>'[3]Penelec RC_GSMFMS'!G8</f>
        <v>27.495309135615219</v>
      </c>
      <c r="R33" s="120">
        <f>'[3]Penelec RC_GSMFMS'!H8</f>
        <v>27.014622962686392</v>
      </c>
      <c r="S33" s="120">
        <f>'[3]Penelec RC_GSMFMS'!I8</f>
        <v>26.938440292241101</v>
      </c>
      <c r="T33" s="120">
        <f>'[3]Penelec RC_GSMFMS'!J8</f>
        <v>26.855555847669748</v>
      </c>
      <c r="U33" s="120">
        <f>'[3]Penelec RC_GSMFMS'!K8</f>
        <v>27.082652171132203</v>
      </c>
      <c r="V33" s="91"/>
    </row>
    <row r="34" spans="1:22" x14ac:dyDescent="0.2">
      <c r="A34" s="48">
        <f t="shared" si="1"/>
        <v>26</v>
      </c>
      <c r="B34" s="29">
        <v>1</v>
      </c>
      <c r="C34" s="29">
        <v>26</v>
      </c>
      <c r="D34" s="30" t="s">
        <v>177</v>
      </c>
      <c r="E34" s="31" t="s">
        <v>178</v>
      </c>
      <c r="F34" s="31" t="s">
        <v>5</v>
      </c>
      <c r="G34" s="31" t="s">
        <v>108</v>
      </c>
      <c r="H34" s="31" t="s">
        <v>10</v>
      </c>
      <c r="I34" s="31" t="s">
        <v>174</v>
      </c>
      <c r="J34" s="31" t="s">
        <v>9</v>
      </c>
      <c r="K34" s="31" t="s">
        <v>117</v>
      </c>
      <c r="L34" s="35">
        <v>1142</v>
      </c>
      <c r="M34" s="36">
        <v>41339</v>
      </c>
      <c r="N34" s="35" t="s">
        <v>110</v>
      </c>
      <c r="O34" s="34">
        <f t="shared" si="0"/>
        <v>42309</v>
      </c>
      <c r="P34" s="35">
        <v>18</v>
      </c>
      <c r="Q34" s="120">
        <f>'[3]Penelec RC_GSSFMS'!G8</f>
        <v>23.991784688693347</v>
      </c>
      <c r="R34" s="120">
        <f>'[3]Penelec RC_GSSFMS'!H8</f>
        <v>27.097622148699749</v>
      </c>
      <c r="S34" s="120">
        <f>'[3]Penelec RC_GSSFMS'!I8</f>
        <v>25.689861631504893</v>
      </c>
      <c r="T34" s="120">
        <f>'[3]Penelec RC_GSSFMS'!J8</f>
        <v>26.901682420893486</v>
      </c>
      <c r="U34" s="120">
        <f>'[3]Penelec RC_GSSFMS'!K8</f>
        <v>27.105348838919298</v>
      </c>
      <c r="V34" s="91"/>
    </row>
    <row r="35" spans="1:22" x14ac:dyDescent="0.2">
      <c r="A35" s="48">
        <f t="shared" si="1"/>
        <v>27</v>
      </c>
      <c r="B35" s="29">
        <v>1</v>
      </c>
      <c r="C35" s="29">
        <v>27</v>
      </c>
      <c r="D35" s="30" t="s">
        <v>179</v>
      </c>
      <c r="E35" s="31" t="s">
        <v>180</v>
      </c>
      <c r="F35" s="31" t="s">
        <v>5</v>
      </c>
      <c r="G35" s="31" t="s">
        <v>108</v>
      </c>
      <c r="H35" s="31" t="s">
        <v>91</v>
      </c>
      <c r="I35" s="31" t="s">
        <v>181</v>
      </c>
      <c r="J35" s="31" t="s">
        <v>6</v>
      </c>
      <c r="K35" s="31" t="s">
        <v>128</v>
      </c>
      <c r="L35" s="35">
        <v>1143</v>
      </c>
      <c r="M35" s="36">
        <v>41339</v>
      </c>
      <c r="N35" s="35" t="s">
        <v>110</v>
      </c>
      <c r="O35" s="34">
        <f t="shared" si="0"/>
        <v>42309</v>
      </c>
      <c r="P35" s="35">
        <v>18</v>
      </c>
      <c r="Q35" s="120">
        <f>'[3]Penn Power RC_GMDMS'!G8</f>
        <v>48.382384506167149</v>
      </c>
      <c r="R35" s="120">
        <f>'[3]Penn Power RC_GMDMS'!H8</f>
        <v>42.537313137966052</v>
      </c>
      <c r="S35" s="120">
        <f>'[3]Penn Power RC_GMDMS'!I8</f>
        <v>38.910983007609317</v>
      </c>
      <c r="T35" s="120">
        <f>'[3]Penn Power RC_GMDMS'!J8</f>
        <v>38.032468849815729</v>
      </c>
      <c r="U35" s="120">
        <f>'[3]Penn Power RC_GMDMS'!K8</f>
        <v>37.260822317823823</v>
      </c>
      <c r="V35" s="91"/>
    </row>
    <row r="36" spans="1:22" x14ac:dyDescent="0.2">
      <c r="A36" s="48">
        <f t="shared" si="1"/>
        <v>28</v>
      </c>
      <c r="B36" s="29">
        <v>1</v>
      </c>
      <c r="C36" s="29">
        <v>28</v>
      </c>
      <c r="D36" s="30" t="s">
        <v>182</v>
      </c>
      <c r="E36" s="31" t="s">
        <v>183</v>
      </c>
      <c r="F36" s="31" t="s">
        <v>37</v>
      </c>
      <c r="G36" s="31" t="s">
        <v>108</v>
      </c>
      <c r="H36" s="31" t="s">
        <v>42</v>
      </c>
      <c r="I36" s="31" t="s">
        <v>42</v>
      </c>
      <c r="J36" s="31" t="s">
        <v>6</v>
      </c>
      <c r="K36" s="31" t="s">
        <v>128</v>
      </c>
      <c r="L36" s="35">
        <v>1144</v>
      </c>
      <c r="M36" s="36">
        <v>41339</v>
      </c>
      <c r="N36" s="35" t="s">
        <v>110</v>
      </c>
      <c r="O36" s="34">
        <f t="shared" si="0"/>
        <v>42309</v>
      </c>
      <c r="P36" s="35">
        <v>18</v>
      </c>
      <c r="Q36" s="120">
        <f>'[3]PEPCO MD LP_MDNDMS'!G8</f>
        <v>35.007775274986201</v>
      </c>
      <c r="R36" s="120">
        <f>'[3]PEPCO MD LP_MDNDMS'!H8</f>
        <v>35.12339021605851</v>
      </c>
      <c r="S36" s="120">
        <f>'[3]PEPCO MD LP_MDNDMS'!I8</f>
        <v>34.940841280731654</v>
      </c>
      <c r="T36" s="120">
        <f>'[3]PEPCO MD LP_MDNDMS'!J8</f>
        <v>34.93622013690846</v>
      </c>
      <c r="U36" s="120">
        <f>'[3]PEPCO MD LP_MDNDMS'!K8</f>
        <v>35.092522571081368</v>
      </c>
      <c r="V36" s="91"/>
    </row>
    <row r="37" spans="1:22" x14ac:dyDescent="0.2">
      <c r="A37" s="48">
        <f t="shared" si="1"/>
        <v>29</v>
      </c>
      <c r="B37" s="29">
        <v>1</v>
      </c>
      <c r="C37" s="29">
        <v>29</v>
      </c>
      <c r="D37" s="30" t="s">
        <v>184</v>
      </c>
      <c r="E37" s="31" t="s">
        <v>185</v>
      </c>
      <c r="F37" s="31" t="s">
        <v>37</v>
      </c>
      <c r="G37" s="31" t="s">
        <v>108</v>
      </c>
      <c r="H37" s="31" t="s">
        <v>42</v>
      </c>
      <c r="I37" s="31" t="s">
        <v>42</v>
      </c>
      <c r="J37" s="31" t="s">
        <v>43</v>
      </c>
      <c r="K37" s="31" t="s">
        <v>186</v>
      </c>
      <c r="L37" s="35">
        <v>1145</v>
      </c>
      <c r="M37" s="36">
        <v>41339</v>
      </c>
      <c r="N37" s="35" t="s">
        <v>110</v>
      </c>
      <c r="O37" s="34">
        <f t="shared" si="0"/>
        <v>42309</v>
      </c>
      <c r="P37" s="35">
        <v>18</v>
      </c>
      <c r="Q37" s="120">
        <f>'[3]PEPCO MD LP_MMGTL2AMS'!G8</f>
        <v>35.778670924687127</v>
      </c>
      <c r="R37" s="120">
        <f>'[3]PEPCO MD LP_MMGTL2AMS'!H8</f>
        <v>34.007733444847837</v>
      </c>
      <c r="S37" s="120">
        <f>'[3]PEPCO MD LP_MMGTL2AMS'!I8</f>
        <v>34.476443385911601</v>
      </c>
      <c r="T37" s="120">
        <f>'[3]PEPCO MD LP_MMGTL2AMS'!J8</f>
        <v>33.875113483602846</v>
      </c>
      <c r="U37" s="120">
        <f>'[3]PEPCO MD LP_MMGTL2AMS'!K8</f>
        <v>34.043810191925729</v>
      </c>
      <c r="V37" s="91"/>
    </row>
    <row r="38" spans="1:22" x14ac:dyDescent="0.2">
      <c r="A38" s="48">
        <f t="shared" si="1"/>
        <v>30</v>
      </c>
      <c r="B38" s="29">
        <v>1</v>
      </c>
      <c r="C38" s="29">
        <v>30</v>
      </c>
      <c r="D38" s="30" t="s">
        <v>187</v>
      </c>
      <c r="E38" s="31" t="s">
        <v>188</v>
      </c>
      <c r="F38" s="31" t="s">
        <v>37</v>
      </c>
      <c r="G38" s="31" t="s">
        <v>108</v>
      </c>
      <c r="H38" s="31" t="s">
        <v>42</v>
      </c>
      <c r="I38" s="31" t="s">
        <v>42</v>
      </c>
      <c r="J38" s="31" t="s">
        <v>44</v>
      </c>
      <c r="K38" s="31" t="s">
        <v>44</v>
      </c>
      <c r="L38" s="35">
        <v>1146</v>
      </c>
      <c r="M38" s="36">
        <v>41339</v>
      </c>
      <c r="N38" s="35" t="s">
        <v>110</v>
      </c>
      <c r="O38" s="34">
        <f t="shared" si="0"/>
        <v>42309</v>
      </c>
      <c r="P38" s="35">
        <v>18</v>
      </c>
      <c r="Q38" s="120">
        <f>'[3]PEPCO MD RC_3T7MS'!G8</f>
        <v>34.785544279163489</v>
      </c>
      <c r="R38" s="120">
        <f>'[3]PEPCO MD RC_3T7MS'!H8</f>
        <v>34.835111835365311</v>
      </c>
      <c r="S38" s="120">
        <f>'[3]PEPCO MD RC_3T7MS'!I8</f>
        <v>34.708034555882762</v>
      </c>
      <c r="T38" s="120">
        <f>'[3]PEPCO MD RC_3T7MS'!J8</f>
        <v>34.692580796315823</v>
      </c>
      <c r="U38" s="120">
        <f>'[3]PEPCO MD RC_3T7MS'!K8</f>
        <v>34.945130692008668</v>
      </c>
      <c r="V38" s="91"/>
    </row>
    <row r="39" spans="1:22" x14ac:dyDescent="0.2">
      <c r="A39" s="48">
        <f t="shared" si="1"/>
        <v>31</v>
      </c>
      <c r="B39" s="29">
        <v>1</v>
      </c>
      <c r="C39" s="29">
        <v>31</v>
      </c>
      <c r="D39" s="30" t="s">
        <v>189</v>
      </c>
      <c r="E39" s="31" t="s">
        <v>190</v>
      </c>
      <c r="F39" s="31" t="s">
        <v>37</v>
      </c>
      <c r="G39" s="31" t="s">
        <v>108</v>
      </c>
      <c r="H39" s="31" t="s">
        <v>45</v>
      </c>
      <c r="I39" s="31" t="s">
        <v>45</v>
      </c>
      <c r="J39" s="31" t="s">
        <v>6</v>
      </c>
      <c r="K39" s="31" t="s">
        <v>128</v>
      </c>
      <c r="L39" s="35">
        <v>1147</v>
      </c>
      <c r="M39" s="36">
        <v>41339</v>
      </c>
      <c r="N39" s="35" t="s">
        <v>110</v>
      </c>
      <c r="O39" s="34">
        <f t="shared" si="0"/>
        <v>42309</v>
      </c>
      <c r="P39" s="35">
        <v>18</v>
      </c>
      <c r="Q39" s="120">
        <f>'[3]Potomac Edison LP_GSCM_MMS'!G8</f>
        <v>27.38715050924397</v>
      </c>
      <c r="R39" s="120">
        <f>'[3]Potomac Edison LP_GSCM_MMS'!H8</f>
        <v>27.516131390977414</v>
      </c>
      <c r="S39" s="120">
        <f>'[3]Potomac Edison LP_GSCM_MMS'!I8</f>
        <v>26.634753490963135</v>
      </c>
      <c r="T39" s="120">
        <f>'[3]Potomac Edison LP_GSCM_MMS'!J8</f>
        <v>28.152739209844711</v>
      </c>
      <c r="U39" s="120">
        <f>'[3]Potomac Edison LP_GSCM_MMS'!K8</f>
        <v>30.123710139070351</v>
      </c>
      <c r="V39" s="91"/>
    </row>
    <row r="40" spans="1:22" x14ac:dyDescent="0.2">
      <c r="A40" s="48">
        <f t="shared" si="1"/>
        <v>32</v>
      </c>
      <c r="B40" s="29">
        <v>1</v>
      </c>
      <c r="C40" s="29">
        <v>32</v>
      </c>
      <c r="D40" s="30" t="s">
        <v>191</v>
      </c>
      <c r="E40" s="31" t="s">
        <v>192</v>
      </c>
      <c r="F40" s="31" t="s">
        <v>5</v>
      </c>
      <c r="G40" s="31" t="s">
        <v>108</v>
      </c>
      <c r="H40" s="31" t="s">
        <v>12</v>
      </c>
      <c r="I40" s="31" t="s">
        <v>12</v>
      </c>
      <c r="J40" s="31" t="s">
        <v>13</v>
      </c>
      <c r="K40" s="31" t="s">
        <v>117</v>
      </c>
      <c r="L40" s="35">
        <v>1148</v>
      </c>
      <c r="M40" s="36">
        <v>41339</v>
      </c>
      <c r="N40" s="35" t="s">
        <v>110</v>
      </c>
      <c r="O40" s="34">
        <f t="shared" si="0"/>
        <v>42309</v>
      </c>
      <c r="P40" s="35">
        <v>18</v>
      </c>
      <c r="Q40" s="120">
        <f>[3]PPL_RCGS1MS!G8</f>
        <v>32.510226601369155</v>
      </c>
      <c r="R40" s="120">
        <f>[3]PPL_RCGS1MS!H8</f>
        <v>28.486974540772383</v>
      </c>
      <c r="S40" s="120">
        <f>[3]PPL_RCGS1MS!I8</f>
        <v>29.676226042446622</v>
      </c>
      <c r="T40" s="120">
        <f>[3]PPL_RCGS1MS!J8</f>
        <v>28.724970197552299</v>
      </c>
      <c r="U40" s="120">
        <f>[3]PPL_RCGS1MS!K8</f>
        <v>28.952484939757497</v>
      </c>
      <c r="V40" s="91"/>
    </row>
    <row r="41" spans="1:22" x14ac:dyDescent="0.2">
      <c r="A41" s="48">
        <f t="shared" si="1"/>
        <v>33</v>
      </c>
      <c r="B41" s="29">
        <v>1</v>
      </c>
      <c r="C41" s="29">
        <v>33</v>
      </c>
      <c r="D41" s="30" t="s">
        <v>193</v>
      </c>
      <c r="E41" s="31" t="s">
        <v>194</v>
      </c>
      <c r="F41" s="31" t="s">
        <v>5</v>
      </c>
      <c r="G41" s="31" t="s">
        <v>108</v>
      </c>
      <c r="H41" s="31" t="s">
        <v>12</v>
      </c>
      <c r="I41" s="31" t="s">
        <v>12</v>
      </c>
      <c r="J41" s="31" t="s">
        <v>14</v>
      </c>
      <c r="K41" s="31" t="s">
        <v>123</v>
      </c>
      <c r="L41" s="35">
        <v>1149</v>
      </c>
      <c r="M41" s="36">
        <v>41339</v>
      </c>
      <c r="N41" s="35" t="s">
        <v>110</v>
      </c>
      <c r="O41" s="34">
        <f t="shared" si="0"/>
        <v>42309</v>
      </c>
      <c r="P41" s="35">
        <v>18</v>
      </c>
      <c r="Q41" s="120">
        <f>[3]PPL_RCGS3MS!G8</f>
        <v>33.848270959330179</v>
      </c>
      <c r="R41" s="120">
        <f>[3]PPL_RCGS3MS!H8</f>
        <v>28.37465100844301</v>
      </c>
      <c r="S41" s="120">
        <f>[3]PPL_RCGS3MS!I8</f>
        <v>29.966222034001252</v>
      </c>
      <c r="T41" s="120">
        <f>[3]PPL_RCGS3MS!J8</f>
        <v>28.608273919402507</v>
      </c>
      <c r="U41" s="120">
        <f>[3]PPL_RCGS3MS!K8</f>
        <v>28.921068950983649</v>
      </c>
      <c r="V41" s="91"/>
    </row>
    <row r="42" spans="1:22" x14ac:dyDescent="0.2">
      <c r="A42" s="48">
        <f t="shared" si="1"/>
        <v>34</v>
      </c>
      <c r="B42" s="29">
        <v>1</v>
      </c>
      <c r="C42" s="29">
        <v>34</v>
      </c>
      <c r="D42" s="30" t="s">
        <v>195</v>
      </c>
      <c r="E42" s="31" t="s">
        <v>196</v>
      </c>
      <c r="F42" s="31" t="s">
        <v>29</v>
      </c>
      <c r="G42" s="31" t="s">
        <v>108</v>
      </c>
      <c r="H42" s="31" t="s">
        <v>34</v>
      </c>
      <c r="I42" s="31" t="s">
        <v>34</v>
      </c>
      <c r="J42" s="31" t="s">
        <v>35</v>
      </c>
      <c r="K42" s="31" t="s">
        <v>197</v>
      </c>
      <c r="L42" s="35">
        <v>1150</v>
      </c>
      <c r="M42" s="36">
        <v>41339</v>
      </c>
      <c r="N42" s="35" t="s">
        <v>110</v>
      </c>
      <c r="O42" s="34">
        <f t="shared" si="0"/>
        <v>42309</v>
      </c>
      <c r="P42" s="35">
        <v>18</v>
      </c>
      <c r="Q42" s="120">
        <f>'[3]PSEG LP_GLP_MMS'!G8</f>
        <v>55.738564061686112</v>
      </c>
      <c r="R42" s="120">
        <f>'[3]PSEG LP_GLP_MMS'!H8</f>
        <v>52.546790764046143</v>
      </c>
      <c r="S42" s="120">
        <f>'[3]PSEG LP_GLP_MMS'!I8</f>
        <v>56.129267589502639</v>
      </c>
      <c r="T42" s="120">
        <f>'[3]PSEG LP_GLP_MMS'!J8</f>
        <v>55.676997667901524</v>
      </c>
      <c r="U42" s="120">
        <f>'[3]PSEG LP_GLP_MMS'!K8</f>
        <v>57.065376005186693</v>
      </c>
      <c r="V42" s="91"/>
    </row>
    <row r="43" spans="1:22" x14ac:dyDescent="0.2">
      <c r="A43" s="48">
        <f t="shared" si="1"/>
        <v>35</v>
      </c>
      <c r="B43" s="29">
        <v>1</v>
      </c>
      <c r="C43" s="29">
        <v>35</v>
      </c>
      <c r="D43" s="30" t="s">
        <v>198</v>
      </c>
      <c r="E43" s="31" t="s">
        <v>199</v>
      </c>
      <c r="F43" s="31" t="s">
        <v>29</v>
      </c>
      <c r="G43" s="31" t="s">
        <v>108</v>
      </c>
      <c r="H43" s="31" t="s">
        <v>34</v>
      </c>
      <c r="I43" s="31" t="s">
        <v>34</v>
      </c>
      <c r="J43" s="31" t="s">
        <v>36</v>
      </c>
      <c r="K43" s="31" t="s">
        <v>200</v>
      </c>
      <c r="L43" s="35">
        <v>1151</v>
      </c>
      <c r="M43" s="36">
        <v>41339</v>
      </c>
      <c r="N43" s="35" t="s">
        <v>110</v>
      </c>
      <c r="O43" s="34">
        <f t="shared" si="0"/>
        <v>42309</v>
      </c>
      <c r="P43" s="35">
        <v>18</v>
      </c>
      <c r="Q43" s="120">
        <f>'[3]PSEG LP_LPLMS'!G8</f>
        <v>54.795692151757535</v>
      </c>
      <c r="R43" s="120">
        <f>'[3]PSEG LP_LPLMS'!H8</f>
        <v>51.84545994354751</v>
      </c>
      <c r="S43" s="120">
        <f>'[3]PSEG LP_LPLMS'!I8</f>
        <v>55.395466295705369</v>
      </c>
      <c r="T43" s="120">
        <f>'[3]PSEG LP_LPLMS'!J8</f>
        <v>54.929132121850365</v>
      </c>
      <c r="U43" s="120">
        <f>'[3]PSEG LP_LPLMS'!K8</f>
        <v>56.304690907295736</v>
      </c>
      <c r="V43" s="91"/>
    </row>
    <row r="44" spans="1:22" x14ac:dyDescent="0.2">
      <c r="A44" s="48">
        <f t="shared" si="1"/>
        <v>36</v>
      </c>
      <c r="B44" s="29">
        <v>1</v>
      </c>
      <c r="C44" s="29">
        <v>36</v>
      </c>
      <c r="D44" s="30" t="s">
        <v>201</v>
      </c>
      <c r="E44" s="31" t="s">
        <v>202</v>
      </c>
      <c r="F44" s="31" t="s">
        <v>5</v>
      </c>
      <c r="G44" s="31" t="s">
        <v>108</v>
      </c>
      <c r="H44" s="31" t="s">
        <v>15</v>
      </c>
      <c r="I44" s="31" t="s">
        <v>203</v>
      </c>
      <c r="J44" s="31" t="s">
        <v>16</v>
      </c>
      <c r="K44" s="31" t="s">
        <v>128</v>
      </c>
      <c r="L44" s="35">
        <v>1152</v>
      </c>
      <c r="M44" s="36">
        <v>41339</v>
      </c>
      <c r="N44" s="35" t="s">
        <v>110</v>
      </c>
      <c r="O44" s="34">
        <f t="shared" si="0"/>
        <v>42309</v>
      </c>
      <c r="P44" s="35">
        <v>18</v>
      </c>
      <c r="Q44" s="120">
        <f>'[3]West Penn Power LP_GSCMMS'!G8</f>
        <v>29.317269907266926</v>
      </c>
      <c r="R44" s="120">
        <f>'[3]West Penn Power LP_GSCMMS'!H8</f>
        <v>27.949138099145728</v>
      </c>
      <c r="S44" s="120">
        <f>'[3]West Penn Power LP_GSCMMS'!I8</f>
        <v>27.412738441457712</v>
      </c>
      <c r="T44" s="120">
        <f>'[3]West Penn Power LP_GSCMMS'!J8</f>
        <v>28.426194708779843</v>
      </c>
      <c r="U44" s="120">
        <f>'[3]West Penn Power LP_GSCMMS'!K8</f>
        <v>30.137544982325345</v>
      </c>
      <c r="V44" s="91"/>
    </row>
    <row r="45" spans="1:22" x14ac:dyDescent="0.2">
      <c r="A45" s="48">
        <f t="shared" si="1"/>
        <v>37</v>
      </c>
      <c r="B45" s="20"/>
      <c r="C45" s="20"/>
      <c r="D45" s="20"/>
      <c r="O45" s="37"/>
      <c r="P45" s="37"/>
      <c r="Q45" s="121"/>
      <c r="R45" s="121"/>
      <c r="S45" s="121"/>
      <c r="T45" s="121"/>
      <c r="U45" s="121"/>
    </row>
    <row r="46" spans="1:22" x14ac:dyDescent="0.2">
      <c r="A46" s="48">
        <f t="shared" si="1"/>
        <v>38</v>
      </c>
      <c r="B46" s="38">
        <v>2</v>
      </c>
      <c r="C46" s="38">
        <v>1</v>
      </c>
      <c r="D46" s="38" t="s">
        <v>204</v>
      </c>
      <c r="E46" s="39" t="s">
        <v>107</v>
      </c>
      <c r="F46" s="39" t="s">
        <v>29</v>
      </c>
      <c r="G46" s="39" t="s">
        <v>108</v>
      </c>
      <c r="H46" s="39" t="s">
        <v>30</v>
      </c>
      <c r="I46" s="39" t="s">
        <v>30</v>
      </c>
      <c r="J46" s="39" t="s">
        <v>31</v>
      </c>
      <c r="K46" s="39" t="s">
        <v>109</v>
      </c>
      <c r="L46" s="40">
        <v>1117</v>
      </c>
      <c r="M46" s="41">
        <v>41339</v>
      </c>
      <c r="N46" s="40" t="s">
        <v>110</v>
      </c>
      <c r="O46" s="42">
        <f>EDATE(O9,1)</f>
        <v>42339</v>
      </c>
      <c r="P46" s="40">
        <v>19</v>
      </c>
      <c r="Q46" s="120">
        <f>'[3]AECO LP_10V1_SMS'!G9</f>
        <v>54.251185931179272</v>
      </c>
      <c r="R46" s="120">
        <f>'[3]AECO LP_10V1_SMS'!H9</f>
        <v>46.394664163105318</v>
      </c>
      <c r="S46" s="120">
        <f>'[3]AECO LP_10V1_SMS'!I9</f>
        <v>48.999948961018291</v>
      </c>
      <c r="T46" s="120">
        <f>'[3]AECO LP_10V1_SMS'!J9</f>
        <v>46.903839608438901</v>
      </c>
      <c r="U46" s="120">
        <f>'[3]AECO LP_10V1_SMS'!K9</f>
        <v>47.822602326134366</v>
      </c>
      <c r="V46" s="91"/>
    </row>
    <row r="47" spans="1:22" x14ac:dyDescent="0.2">
      <c r="A47" s="48">
        <f t="shared" si="1"/>
        <v>39</v>
      </c>
      <c r="B47" s="38">
        <v>2</v>
      </c>
      <c r="C47" s="38">
        <v>2</v>
      </c>
      <c r="D47" s="38" t="s">
        <v>205</v>
      </c>
      <c r="E47" s="39" t="s">
        <v>112</v>
      </c>
      <c r="F47" s="39" t="s">
        <v>29</v>
      </c>
      <c r="G47" s="39" t="s">
        <v>108</v>
      </c>
      <c r="H47" s="39" t="s">
        <v>30</v>
      </c>
      <c r="I47" s="39" t="s">
        <v>30</v>
      </c>
      <c r="J47" s="39" t="s">
        <v>32</v>
      </c>
      <c r="K47" s="39" t="s">
        <v>113</v>
      </c>
      <c r="L47" s="40">
        <v>1118</v>
      </c>
      <c r="M47" s="41">
        <v>41339</v>
      </c>
      <c r="N47" s="40" t="s">
        <v>110</v>
      </c>
      <c r="O47" s="42">
        <f>O46</f>
        <v>42339</v>
      </c>
      <c r="P47" s="40">
        <v>19</v>
      </c>
      <c r="Q47" s="120">
        <f>'[3]AECO LP_14V1_MMS'!G9</f>
        <v>51.615089674979693</v>
      </c>
      <c r="R47" s="120">
        <f>'[3]AECO LP_14V1_MMS'!H9</f>
        <v>46.330272413786588</v>
      </c>
      <c r="S47" s="120">
        <f>'[3]AECO LP_14V1_MMS'!I9</f>
        <v>48.270029522551283</v>
      </c>
      <c r="T47" s="120">
        <f>'[3]AECO LP_14V1_MMS'!J9</f>
        <v>46.847183808419942</v>
      </c>
      <c r="U47" s="120">
        <f>'[3]AECO LP_14V1_MMS'!K9</f>
        <v>46.227866760818195</v>
      </c>
      <c r="V47" s="91"/>
    </row>
    <row r="48" spans="1:22" x14ac:dyDescent="0.2">
      <c r="A48" s="48">
        <f t="shared" si="1"/>
        <v>40</v>
      </c>
      <c r="B48" s="38">
        <v>2</v>
      </c>
      <c r="C48" s="38">
        <v>3</v>
      </c>
      <c r="D48" s="38" t="s">
        <v>206</v>
      </c>
      <c r="E48" s="39" t="s">
        <v>115</v>
      </c>
      <c r="F48" s="39" t="s">
        <v>18</v>
      </c>
      <c r="G48" s="39" t="s">
        <v>108</v>
      </c>
      <c r="H48" s="39" t="s">
        <v>61</v>
      </c>
      <c r="I48" s="39" t="s">
        <v>116</v>
      </c>
      <c r="J48" s="39" t="s">
        <v>13</v>
      </c>
      <c r="K48" s="39" t="s">
        <v>117</v>
      </c>
      <c r="L48" s="40">
        <v>1119</v>
      </c>
      <c r="M48" s="41">
        <v>41339</v>
      </c>
      <c r="N48" s="40" t="s">
        <v>110</v>
      </c>
      <c r="O48" s="42">
        <f t="shared" ref="O48:O81" si="2">O47</f>
        <v>42339</v>
      </c>
      <c r="P48" s="40">
        <v>19</v>
      </c>
      <c r="Q48" s="120">
        <f>'[3]AEP_OH_CS - test CSGS1MS'!G9</f>
        <v>23.710529074796792</v>
      </c>
      <c r="R48" s="120">
        <f>'[3]AEP_OH_CS - test CSGS1MS'!H9</f>
        <v>20.628842723383261</v>
      </c>
      <c r="S48" s="120">
        <f>'[3]AEP_OH_CS - test CSGS1MS'!I9</f>
        <v>20.28546628252175</v>
      </c>
      <c r="T48" s="120">
        <f>'[3]AEP_OH_CS - test CSGS1MS'!J9</f>
        <v>21.110476820940459</v>
      </c>
      <c r="U48" s="120">
        <f>'[3]AEP_OH_CS - test CSGS1MS'!K9</f>
        <v>22.604011226585939</v>
      </c>
      <c r="V48" s="91"/>
    </row>
    <row r="49" spans="1:22" x14ac:dyDescent="0.2">
      <c r="A49" s="48">
        <f t="shared" si="1"/>
        <v>41</v>
      </c>
      <c r="B49" s="38">
        <v>2</v>
      </c>
      <c r="C49" s="38">
        <v>4</v>
      </c>
      <c r="D49" s="38" t="s">
        <v>207</v>
      </c>
      <c r="E49" s="39" t="s">
        <v>119</v>
      </c>
      <c r="F49" s="39" t="s">
        <v>18</v>
      </c>
      <c r="G49" s="39" t="s">
        <v>108</v>
      </c>
      <c r="H49" s="39" t="s">
        <v>61</v>
      </c>
      <c r="I49" s="39" t="s">
        <v>116</v>
      </c>
      <c r="J49" s="39" t="s">
        <v>19</v>
      </c>
      <c r="K49" s="39" t="s">
        <v>120</v>
      </c>
      <c r="L49" s="40">
        <v>1120</v>
      </c>
      <c r="M49" s="41">
        <v>41339</v>
      </c>
      <c r="N49" s="40" t="s">
        <v>110</v>
      </c>
      <c r="O49" s="42">
        <f t="shared" si="2"/>
        <v>42339</v>
      </c>
      <c r="P49" s="40">
        <v>19</v>
      </c>
      <c r="Q49" s="120">
        <f>'[3]AEP_OH_CS - test CSGS2UMS'!G9</f>
        <v>23.613828917844316</v>
      </c>
      <c r="R49" s="120">
        <f>'[3]AEP_OH_CS - test CSGS2UMS'!H9</f>
        <v>20.726561032340307</v>
      </c>
      <c r="S49" s="120">
        <f>'[3]AEP_OH_CS - test CSGS2UMS'!I9</f>
        <v>20.302706031472049</v>
      </c>
      <c r="T49" s="120">
        <f>'[3]AEP_OH_CS - test CSGS2UMS'!J9</f>
        <v>21.194820176486729</v>
      </c>
      <c r="U49" s="120">
        <f>'[3]AEP_OH_CS - test CSGS2UMS'!K9</f>
        <v>22.687816218875749</v>
      </c>
      <c r="V49" s="91"/>
    </row>
    <row r="50" spans="1:22" x14ac:dyDescent="0.2">
      <c r="A50" s="48">
        <f t="shared" si="1"/>
        <v>42</v>
      </c>
      <c r="B50" s="38">
        <v>2</v>
      </c>
      <c r="C50" s="38">
        <v>5</v>
      </c>
      <c r="D50" s="38" t="s">
        <v>208</v>
      </c>
      <c r="E50" s="39" t="s">
        <v>122</v>
      </c>
      <c r="F50" s="39" t="s">
        <v>18</v>
      </c>
      <c r="G50" s="39" t="s">
        <v>108</v>
      </c>
      <c r="H50" s="39" t="s">
        <v>61</v>
      </c>
      <c r="I50" s="39" t="s">
        <v>116</v>
      </c>
      <c r="J50" s="39" t="s">
        <v>14</v>
      </c>
      <c r="K50" s="39" t="s">
        <v>123</v>
      </c>
      <c r="L50" s="40">
        <v>1121</v>
      </c>
      <c r="M50" s="41">
        <v>41339</v>
      </c>
      <c r="N50" s="40" t="s">
        <v>110</v>
      </c>
      <c r="O50" s="42">
        <f t="shared" si="2"/>
        <v>42339</v>
      </c>
      <c r="P50" s="40">
        <v>19</v>
      </c>
      <c r="Q50" s="120">
        <f>'[3]AEP_OH_CS - test CSGS3UMS'!G9</f>
        <v>23.613828917844316</v>
      </c>
      <c r="R50" s="120">
        <f>'[3]AEP_OH_CS - test CSGS3UMS'!H9</f>
        <v>20.726561032340307</v>
      </c>
      <c r="S50" s="120">
        <f>'[3]AEP_OH_CS - test CSGS3UMS'!I9</f>
        <v>20.302706031472049</v>
      </c>
      <c r="T50" s="120">
        <f>'[3]AEP_OH_CS - test CSGS3UMS'!J9</f>
        <v>21.194820176486729</v>
      </c>
      <c r="U50" s="120">
        <f>'[3]AEP_OH_CS - test CSGS3UMS'!K9</f>
        <v>22.687816218875749</v>
      </c>
      <c r="V50" s="91"/>
    </row>
    <row r="51" spans="1:22" x14ac:dyDescent="0.2">
      <c r="A51" s="48">
        <f t="shared" si="1"/>
        <v>43</v>
      </c>
      <c r="B51" s="38">
        <v>2</v>
      </c>
      <c r="C51" s="38">
        <v>6</v>
      </c>
      <c r="D51" s="38" t="s">
        <v>209</v>
      </c>
      <c r="E51" s="39" t="s">
        <v>125</v>
      </c>
      <c r="F51" s="39" t="s">
        <v>23</v>
      </c>
      <c r="G51" s="39" t="s">
        <v>126</v>
      </c>
      <c r="H51" s="39" t="s">
        <v>127</v>
      </c>
      <c r="I51" s="39" t="s">
        <v>27</v>
      </c>
      <c r="J51" s="39" t="s">
        <v>28</v>
      </c>
      <c r="K51" s="39" t="s">
        <v>128</v>
      </c>
      <c r="L51" s="40">
        <v>1122</v>
      </c>
      <c r="M51" s="41">
        <v>41339</v>
      </c>
      <c r="N51" s="40" t="s">
        <v>110</v>
      </c>
      <c r="O51" s="42">
        <f t="shared" si="2"/>
        <v>42339</v>
      </c>
      <c r="P51" s="40">
        <v>19</v>
      </c>
      <c r="Q51" s="120">
        <f>'[3]Ameren RateZnIII LP DS2HHMS'!G9</f>
        <v>27.070639168268283</v>
      </c>
      <c r="R51" s="120">
        <f>'[3]Ameren RateZnIII LP DS2HHMS'!H9</f>
        <v>24.193284369841169</v>
      </c>
      <c r="S51" s="120">
        <f>'[3]Ameren RateZnIII LP DS2HHMS'!I9</f>
        <v>24.068311133823428</v>
      </c>
      <c r="T51" s="120">
        <f>'[3]Ameren RateZnIII LP DS2HHMS'!J9</f>
        <v>23.821464530626898</v>
      </c>
      <c r="U51" s="120">
        <f>'[3]Ameren RateZnIII LP DS2HHMS'!K9</f>
        <v>23.983488496324682</v>
      </c>
      <c r="V51" s="91"/>
    </row>
    <row r="52" spans="1:22" x14ac:dyDescent="0.2">
      <c r="A52" s="48">
        <f t="shared" si="1"/>
        <v>44</v>
      </c>
      <c r="B52" s="38">
        <v>2</v>
      </c>
      <c r="C52" s="38">
        <v>7</v>
      </c>
      <c r="D52" s="38" t="s">
        <v>210</v>
      </c>
      <c r="E52" s="39" t="s">
        <v>130</v>
      </c>
      <c r="F52" s="39" t="s">
        <v>37</v>
      </c>
      <c r="G52" s="39" t="s">
        <v>108</v>
      </c>
      <c r="H52" s="39" t="s">
        <v>38</v>
      </c>
      <c r="I52" s="39" t="s">
        <v>38</v>
      </c>
      <c r="J52" s="39" t="s">
        <v>40</v>
      </c>
      <c r="K52" s="39" t="s">
        <v>123</v>
      </c>
      <c r="L52" s="40">
        <v>1124</v>
      </c>
      <c r="M52" s="41">
        <v>41339</v>
      </c>
      <c r="N52" s="40" t="s">
        <v>110</v>
      </c>
      <c r="O52" s="42">
        <f t="shared" si="2"/>
        <v>42339</v>
      </c>
      <c r="P52" s="40">
        <v>19</v>
      </c>
      <c r="Q52" s="120">
        <f>'[3]BGE LP_GLMS'!G9</f>
        <v>36.462596751386975</v>
      </c>
      <c r="R52" s="120">
        <f>'[3]BGE LP_GLMS'!H9</f>
        <v>34.232465538729826</v>
      </c>
      <c r="S52" s="120">
        <f>'[3]BGE LP_GLMS'!I9</f>
        <v>34.934222988076144</v>
      </c>
      <c r="T52" s="120">
        <f>'[3]BGE LP_GLMS'!J9</f>
        <v>34.217635972747971</v>
      </c>
      <c r="U52" s="120">
        <f>'[3]BGE LP_GLMS'!K9</f>
        <v>34.533353779812451</v>
      </c>
      <c r="V52" s="91"/>
    </row>
    <row r="53" spans="1:22" x14ac:dyDescent="0.2">
      <c r="A53" s="48">
        <f t="shared" si="1"/>
        <v>45</v>
      </c>
      <c r="B53" s="38">
        <v>2</v>
      </c>
      <c r="C53" s="38">
        <v>8</v>
      </c>
      <c r="D53" s="38" t="s">
        <v>211</v>
      </c>
      <c r="E53" s="39" t="s">
        <v>132</v>
      </c>
      <c r="F53" s="39" t="s">
        <v>37</v>
      </c>
      <c r="G53" s="39" t="s">
        <v>108</v>
      </c>
      <c r="H53" s="39" t="s">
        <v>38</v>
      </c>
      <c r="I53" s="39" t="s">
        <v>38</v>
      </c>
      <c r="J53" s="39" t="s">
        <v>39</v>
      </c>
      <c r="K53" s="39" t="s">
        <v>120</v>
      </c>
      <c r="L53" s="40">
        <v>1123</v>
      </c>
      <c r="M53" s="41">
        <v>41339</v>
      </c>
      <c r="N53" s="40" t="s">
        <v>110</v>
      </c>
      <c r="O53" s="42">
        <f t="shared" si="2"/>
        <v>42339</v>
      </c>
      <c r="P53" s="40">
        <v>19</v>
      </c>
      <c r="Q53" s="120">
        <f>'[3]BGE LP_GMS'!G9</f>
        <v>35.338215569483694</v>
      </c>
      <c r="R53" s="120">
        <f>'[3]BGE LP_GMS'!H9</f>
        <v>34.298806207280208</v>
      </c>
      <c r="S53" s="120">
        <f>'[3]BGE LP_GMS'!I9</f>
        <v>34.638361759114872</v>
      </c>
      <c r="T53" s="120">
        <f>'[3]BGE LP_GMS'!J9</f>
        <v>34.274607993772008</v>
      </c>
      <c r="U53" s="120">
        <f>'[3]BGE LP_GMS'!K9</f>
        <v>34.636863377660276</v>
      </c>
      <c r="V53" s="91"/>
    </row>
    <row r="54" spans="1:22" x14ac:dyDescent="0.2">
      <c r="A54" s="48">
        <f t="shared" si="1"/>
        <v>46</v>
      </c>
      <c r="B54" s="38">
        <v>2</v>
      </c>
      <c r="C54" s="38">
        <v>9</v>
      </c>
      <c r="D54" s="38" t="s">
        <v>212</v>
      </c>
      <c r="E54" s="39" t="s">
        <v>134</v>
      </c>
      <c r="F54" s="39" t="s">
        <v>37</v>
      </c>
      <c r="G54" s="39" t="s">
        <v>108</v>
      </c>
      <c r="H54" s="39" t="s">
        <v>38</v>
      </c>
      <c r="I54" s="39" t="s">
        <v>38</v>
      </c>
      <c r="J54" s="39" t="s">
        <v>6</v>
      </c>
      <c r="K54" s="39" t="s">
        <v>117</v>
      </c>
      <c r="L54" s="40">
        <v>1125</v>
      </c>
      <c r="M54" s="41">
        <v>41339</v>
      </c>
      <c r="N54" s="40" t="s">
        <v>110</v>
      </c>
      <c r="O54" s="42">
        <f t="shared" si="2"/>
        <v>42339</v>
      </c>
      <c r="P54" s="40">
        <v>19</v>
      </c>
      <c r="Q54" s="120">
        <f>'[3]BGE LP_GSMS'!G9</f>
        <v>37.136542723846482</v>
      </c>
      <c r="R54" s="120">
        <f>'[3]BGE LP_GSMS'!H9</f>
        <v>35.265883491462795</v>
      </c>
      <c r="S54" s="120">
        <f>'[3]BGE LP_GSMS'!I9</f>
        <v>35.856166330121624</v>
      </c>
      <c r="T54" s="120">
        <f>'[3]BGE LP_GSMS'!J9</f>
        <v>35.211139141533899</v>
      </c>
      <c r="U54" s="120">
        <f>'[3]BGE LP_GSMS'!K9</f>
        <v>35.495072239094405</v>
      </c>
      <c r="V54" s="91"/>
    </row>
    <row r="55" spans="1:22" x14ac:dyDescent="0.2">
      <c r="A55" s="48">
        <f t="shared" si="1"/>
        <v>47</v>
      </c>
      <c r="B55" s="38">
        <v>2</v>
      </c>
      <c r="C55" s="38">
        <v>10</v>
      </c>
      <c r="D55" s="38" t="s">
        <v>213</v>
      </c>
      <c r="E55" s="39" t="s">
        <v>136</v>
      </c>
      <c r="F55" s="39" t="s">
        <v>23</v>
      </c>
      <c r="G55" s="39" t="s">
        <v>108</v>
      </c>
      <c r="H55" s="39" t="s">
        <v>137</v>
      </c>
      <c r="I55" s="39" t="s">
        <v>24</v>
      </c>
      <c r="J55" s="39" t="s">
        <v>25</v>
      </c>
      <c r="K55" s="39" t="s">
        <v>138</v>
      </c>
      <c r="L55" s="40">
        <v>1126</v>
      </c>
      <c r="M55" s="41">
        <v>41339</v>
      </c>
      <c r="N55" s="40" t="s">
        <v>110</v>
      </c>
      <c r="O55" s="42">
        <f t="shared" si="2"/>
        <v>42339</v>
      </c>
      <c r="P55" s="40">
        <v>19</v>
      </c>
      <c r="Q55" s="120">
        <f>'[3]ComEd - test LP_28MS'!G9</f>
        <v>32.766914225852425</v>
      </c>
      <c r="R55" s="120">
        <f>'[3]ComEd - test LP_28MS'!H9</f>
        <v>29.688548286368931</v>
      </c>
      <c r="S55" s="120">
        <f>'[3]ComEd - test LP_28MS'!I9</f>
        <v>29.542572944476728</v>
      </c>
      <c r="T55" s="120">
        <f>'[3]ComEd - test LP_28MS'!J9</f>
        <v>30.391522607690082</v>
      </c>
      <c r="U55" s="120">
        <f>'[3]ComEd - test LP_28MS'!K9</f>
        <v>32.787837037984708</v>
      </c>
      <c r="V55" s="91"/>
    </row>
    <row r="56" spans="1:22" x14ac:dyDescent="0.2">
      <c r="A56" s="48">
        <f t="shared" si="1"/>
        <v>48</v>
      </c>
      <c r="B56" s="38">
        <v>2</v>
      </c>
      <c r="C56" s="38">
        <v>11</v>
      </c>
      <c r="D56" s="38" t="s">
        <v>214</v>
      </c>
      <c r="E56" s="39" t="s">
        <v>140</v>
      </c>
      <c r="F56" s="39" t="s">
        <v>23</v>
      </c>
      <c r="G56" s="39" t="s">
        <v>108</v>
      </c>
      <c r="H56" s="39" t="s">
        <v>137</v>
      </c>
      <c r="I56" s="39" t="s">
        <v>24</v>
      </c>
      <c r="J56" s="39" t="s">
        <v>26</v>
      </c>
      <c r="K56" s="39" t="s">
        <v>141</v>
      </c>
      <c r="L56" s="40">
        <v>1127</v>
      </c>
      <c r="M56" s="41">
        <v>41339</v>
      </c>
      <c r="N56" s="40" t="s">
        <v>110</v>
      </c>
      <c r="O56" s="42">
        <f t="shared" si="2"/>
        <v>42339</v>
      </c>
      <c r="P56" s="40">
        <v>19</v>
      </c>
      <c r="Q56" s="120">
        <f>'[3]ComEd - test LP_29MS'!G9</f>
        <v>31.938145773362344</v>
      </c>
      <c r="R56" s="120">
        <f>'[3]ComEd - test LP_29MS'!H9</f>
        <v>28.776419725694222</v>
      </c>
      <c r="S56" s="120">
        <f>'[3]ComEd - test LP_29MS'!I9</f>
        <v>28.652203680093901</v>
      </c>
      <c r="T56" s="120">
        <f>'[3]ComEd - test LP_29MS'!J9</f>
        <v>29.479234087142473</v>
      </c>
      <c r="U56" s="120">
        <f>'[3]ComEd - test LP_29MS'!K9</f>
        <v>31.873602053615368</v>
      </c>
      <c r="V56" s="91"/>
    </row>
    <row r="57" spans="1:22" x14ac:dyDescent="0.2">
      <c r="A57" s="48">
        <f t="shared" si="1"/>
        <v>49</v>
      </c>
      <c r="B57" s="38">
        <v>2</v>
      </c>
      <c r="C57" s="38">
        <v>12</v>
      </c>
      <c r="D57" s="38" t="s">
        <v>215</v>
      </c>
      <c r="E57" s="39" t="s">
        <v>143</v>
      </c>
      <c r="F57" s="39" t="s">
        <v>18</v>
      </c>
      <c r="G57" s="39" t="s">
        <v>108</v>
      </c>
      <c r="H57" s="39" t="s">
        <v>94</v>
      </c>
      <c r="I57" s="39" t="s">
        <v>144</v>
      </c>
      <c r="J57" s="39" t="s">
        <v>20</v>
      </c>
      <c r="K57" s="39" t="s">
        <v>145</v>
      </c>
      <c r="L57" s="40">
        <v>1128</v>
      </c>
      <c r="M57" s="41">
        <v>41339</v>
      </c>
      <c r="N57" s="40" t="s">
        <v>110</v>
      </c>
      <c r="O57" s="42">
        <f t="shared" si="2"/>
        <v>42339</v>
      </c>
      <c r="P57" s="40">
        <v>19</v>
      </c>
      <c r="Q57" s="120">
        <f>[3]DAY_RC_843MS!G9</f>
        <v>21.227635270294261</v>
      </c>
      <c r="R57" s="120">
        <f>[3]DAY_RC_843MS!H9</f>
        <v>19.799835496126796</v>
      </c>
      <c r="S57" s="120">
        <f>[3]DAY_RC_843MS!I9</f>
        <v>19.015028419157609</v>
      </c>
      <c r="T57" s="120">
        <f>[3]DAY_RC_843MS!J9</f>
        <v>20.241323919958973</v>
      </c>
      <c r="U57" s="120">
        <f>[3]DAY_RC_843MS!K9</f>
        <v>21.686495890866855</v>
      </c>
      <c r="V57" s="91"/>
    </row>
    <row r="58" spans="1:22" x14ac:dyDescent="0.2">
      <c r="A58" s="48">
        <f t="shared" si="1"/>
        <v>50</v>
      </c>
      <c r="B58" s="38">
        <v>2</v>
      </c>
      <c r="C58" s="38">
        <v>13</v>
      </c>
      <c r="D58" s="38" t="s">
        <v>216</v>
      </c>
      <c r="E58" s="39" t="s">
        <v>147</v>
      </c>
      <c r="F58" s="39" t="s">
        <v>37</v>
      </c>
      <c r="G58" s="39" t="s">
        <v>108</v>
      </c>
      <c r="H58" s="39" t="s">
        <v>41</v>
      </c>
      <c r="I58" s="39" t="s">
        <v>41</v>
      </c>
      <c r="J58" s="39" t="s">
        <v>6</v>
      </c>
      <c r="K58" s="39" t="s">
        <v>128</v>
      </c>
      <c r="L58" s="40">
        <v>1129</v>
      </c>
      <c r="M58" s="41">
        <v>41339</v>
      </c>
      <c r="N58" s="40" t="s">
        <v>110</v>
      </c>
      <c r="O58" s="42">
        <f t="shared" si="2"/>
        <v>42339</v>
      </c>
      <c r="P58" s="40">
        <v>19</v>
      </c>
      <c r="Q58" s="120">
        <f>'[3]Delmarva MD LP_MDGS_MMS'!G9</f>
        <v>40.443590914392345</v>
      </c>
      <c r="R58" s="120">
        <f>'[3]Delmarva MD LP_MDGS_MMS'!H9</f>
        <v>37.853323955027925</v>
      </c>
      <c r="S58" s="120">
        <f>'[3]Delmarva MD LP_MDGS_MMS'!I9</f>
        <v>38.517748865232363</v>
      </c>
      <c r="T58" s="120">
        <f>'[3]Delmarva MD LP_MDGS_MMS'!J9</f>
        <v>37.780463089615978</v>
      </c>
      <c r="U58" s="120">
        <f>'[3]Delmarva MD LP_MDGS_MMS'!K9</f>
        <v>39.42758829906586</v>
      </c>
      <c r="V58" s="91"/>
    </row>
    <row r="59" spans="1:22" x14ac:dyDescent="0.2">
      <c r="A59" s="48">
        <f t="shared" si="1"/>
        <v>51</v>
      </c>
      <c r="B59" s="38">
        <v>2</v>
      </c>
      <c r="C59" s="38">
        <v>14</v>
      </c>
      <c r="D59" s="38" t="s">
        <v>217</v>
      </c>
      <c r="E59" s="39" t="s">
        <v>149</v>
      </c>
      <c r="F59" s="39" t="s">
        <v>5</v>
      </c>
      <c r="G59" s="39" t="s">
        <v>108</v>
      </c>
      <c r="H59" s="39" t="s">
        <v>46</v>
      </c>
      <c r="I59" s="39" t="s">
        <v>46</v>
      </c>
      <c r="J59" s="39" t="s">
        <v>6</v>
      </c>
      <c r="K59" s="39" t="s">
        <v>128</v>
      </c>
      <c r="L59" s="40">
        <v>1130</v>
      </c>
      <c r="M59" s="41">
        <v>41339</v>
      </c>
      <c r="N59" s="40" t="s">
        <v>110</v>
      </c>
      <c r="O59" s="42">
        <f t="shared" si="2"/>
        <v>42339</v>
      </c>
      <c r="P59" s="40">
        <v>19</v>
      </c>
      <c r="Q59" s="120">
        <f>'[3]DQE LP_GSGM_MMS'!G9</f>
        <v>35.317335441513571</v>
      </c>
      <c r="R59" s="120">
        <f>'[3]DQE LP_GSGM_MMS'!H9</f>
        <v>32.473377677519736</v>
      </c>
      <c r="S59" s="120">
        <f>'[3]DQE LP_GSGM_MMS'!I9</f>
        <v>32.064425114600212</v>
      </c>
      <c r="T59" s="120">
        <f>'[3]DQE LP_GSGM_MMS'!J9</f>
        <v>33.066791491877005</v>
      </c>
      <c r="U59" s="120">
        <f>'[3]DQE LP_GSGM_MMS'!K9</f>
        <v>34.65014371112995</v>
      </c>
      <c r="V59" s="91"/>
    </row>
    <row r="60" spans="1:22" x14ac:dyDescent="0.2">
      <c r="A60" s="48">
        <f t="shared" si="1"/>
        <v>52</v>
      </c>
      <c r="B60" s="38">
        <v>2</v>
      </c>
      <c r="C60" s="38">
        <v>15</v>
      </c>
      <c r="D60" s="38" t="s">
        <v>218</v>
      </c>
      <c r="E60" s="39" t="s">
        <v>151</v>
      </c>
      <c r="F60" s="39" t="s">
        <v>18</v>
      </c>
      <c r="G60" s="39" t="s">
        <v>108</v>
      </c>
      <c r="H60" s="39" t="s">
        <v>21</v>
      </c>
      <c r="I60" s="39" t="s">
        <v>152</v>
      </c>
      <c r="J60" s="39" t="s">
        <v>22</v>
      </c>
      <c r="K60" s="39" t="s">
        <v>128</v>
      </c>
      <c r="L60" s="40">
        <v>1131</v>
      </c>
      <c r="M60" s="41">
        <v>41339</v>
      </c>
      <c r="N60" s="40" t="s">
        <v>110</v>
      </c>
      <c r="O60" s="42">
        <f t="shared" si="2"/>
        <v>42339</v>
      </c>
      <c r="P60" s="40">
        <v>19</v>
      </c>
      <c r="Q60" s="120">
        <f>[3]Duke_OH_RC_DS01MS!G9</f>
        <v>22.728167235719152</v>
      </c>
      <c r="R60" s="120">
        <f>[3]Duke_OH_RC_DS01MS!H9</f>
        <v>19.820010235397213</v>
      </c>
      <c r="S60" s="120">
        <f>[3]Duke_OH_RC_DS01MS!I9</f>
        <v>19.382459629588787</v>
      </c>
      <c r="T60" s="120">
        <f>[3]Duke_OH_RC_DS01MS!J9</f>
        <v>20.20790896648262</v>
      </c>
      <c r="U60" s="120">
        <f>[3]Duke_OH_RC_DS01MS!K9</f>
        <v>21.514199380050623</v>
      </c>
      <c r="V60" s="91"/>
    </row>
    <row r="61" spans="1:22" x14ac:dyDescent="0.2">
      <c r="A61" s="48">
        <f t="shared" si="1"/>
        <v>53</v>
      </c>
      <c r="B61" s="38">
        <v>2</v>
      </c>
      <c r="C61" s="38">
        <v>16</v>
      </c>
      <c r="D61" s="38" t="s">
        <v>219</v>
      </c>
      <c r="E61" s="39" t="s">
        <v>154</v>
      </c>
      <c r="F61" s="39" t="s">
        <v>18</v>
      </c>
      <c r="G61" s="39" t="s">
        <v>108</v>
      </c>
      <c r="H61" s="39" t="s">
        <v>62</v>
      </c>
      <c r="I61" s="39" t="s">
        <v>155</v>
      </c>
      <c r="J61" s="39" t="s">
        <v>6</v>
      </c>
      <c r="K61" s="39" t="s">
        <v>128</v>
      </c>
      <c r="L61" s="40">
        <v>1132</v>
      </c>
      <c r="M61" s="41">
        <v>41339</v>
      </c>
      <c r="N61" s="40" t="s">
        <v>110</v>
      </c>
      <c r="O61" s="42">
        <f t="shared" si="2"/>
        <v>42339</v>
      </c>
      <c r="P61" s="40">
        <v>19</v>
      </c>
      <c r="Q61" s="120">
        <f>'[3]FE_OE - test RC_GSFMS'!G9</f>
        <v>38.365682995593353</v>
      </c>
      <c r="R61" s="120">
        <f>'[3]FE_OE - test RC_GSFMS'!H9</f>
        <v>30.190324603382027</v>
      </c>
      <c r="S61" s="120">
        <f>'[3]FE_OE - test RC_GSFMS'!I9</f>
        <v>27.242409573804384</v>
      </c>
      <c r="T61" s="120">
        <f>'[3]FE_OE - test RC_GSFMS'!J9</f>
        <v>26.43851200679612</v>
      </c>
      <c r="U61" s="120">
        <f>'[3]FE_OE - test RC_GSFMS'!K9</f>
        <v>25.868739525455219</v>
      </c>
      <c r="V61" s="91"/>
    </row>
    <row r="62" spans="1:22" x14ac:dyDescent="0.2">
      <c r="A62" s="48">
        <f t="shared" si="1"/>
        <v>54</v>
      </c>
      <c r="B62" s="38">
        <v>2</v>
      </c>
      <c r="C62" s="38">
        <v>17</v>
      </c>
      <c r="D62" s="38" t="s">
        <v>220</v>
      </c>
      <c r="E62" s="39" t="s">
        <v>157</v>
      </c>
      <c r="F62" s="39" t="s">
        <v>29</v>
      </c>
      <c r="G62" s="39" t="s">
        <v>108</v>
      </c>
      <c r="H62" s="39" t="s">
        <v>33</v>
      </c>
      <c r="I62" s="39" t="s">
        <v>33</v>
      </c>
      <c r="J62" s="39" t="s">
        <v>7</v>
      </c>
      <c r="K62" s="39" t="s">
        <v>123</v>
      </c>
      <c r="L62" s="40">
        <v>1133</v>
      </c>
      <c r="M62" s="41">
        <v>41339</v>
      </c>
      <c r="N62" s="40" t="s">
        <v>110</v>
      </c>
      <c r="O62" s="42">
        <f t="shared" si="2"/>
        <v>42339</v>
      </c>
      <c r="P62" s="40">
        <v>19</v>
      </c>
      <c r="Q62" s="120">
        <f>'[3]JCPL LP_GSCLMS'!G9</f>
        <v>40.379563182956993</v>
      </c>
      <c r="R62" s="120">
        <f>'[3]JCPL LP_GSCLMS'!H9</f>
        <v>35.674628602612685</v>
      </c>
      <c r="S62" s="120">
        <f>'[3]JCPL LP_GSCLMS'!I9</f>
        <v>38.093385143567012</v>
      </c>
      <c r="T62" s="120">
        <f>'[3]JCPL LP_GSCLMS'!J9</f>
        <v>37.787609432182975</v>
      </c>
      <c r="U62" s="120">
        <f>'[3]JCPL LP_GSCLMS'!K9</f>
        <v>40.142545566538942</v>
      </c>
      <c r="V62" s="91"/>
    </row>
    <row r="63" spans="1:22" x14ac:dyDescent="0.2">
      <c r="A63" s="48">
        <f t="shared" si="1"/>
        <v>55</v>
      </c>
      <c r="B63" s="38">
        <v>2</v>
      </c>
      <c r="C63" s="38">
        <v>18</v>
      </c>
      <c r="D63" s="38" t="s">
        <v>221</v>
      </c>
      <c r="E63" s="39" t="s">
        <v>159</v>
      </c>
      <c r="F63" s="39" t="s">
        <v>29</v>
      </c>
      <c r="G63" s="39" t="s">
        <v>108</v>
      </c>
      <c r="H63" s="39" t="s">
        <v>33</v>
      </c>
      <c r="I63" s="39" t="s">
        <v>33</v>
      </c>
      <c r="J63" s="39" t="s">
        <v>8</v>
      </c>
      <c r="K63" s="39" t="s">
        <v>120</v>
      </c>
      <c r="L63" s="40">
        <v>1134</v>
      </c>
      <c r="M63" s="41">
        <v>41339</v>
      </c>
      <c r="N63" s="40" t="s">
        <v>110</v>
      </c>
      <c r="O63" s="42">
        <f t="shared" si="2"/>
        <v>42339</v>
      </c>
      <c r="P63" s="40">
        <v>19</v>
      </c>
      <c r="Q63" s="120">
        <f>'[3]JCPL LP_GSCMMS'!G9</f>
        <v>35.617115190701981</v>
      </c>
      <c r="R63" s="120">
        <f>'[3]JCPL LP_GSCMMS'!H9</f>
        <v>36.621430917666345</v>
      </c>
      <c r="S63" s="120">
        <f>'[3]JCPL LP_GSCMMS'!I9</f>
        <v>37.466666162494363</v>
      </c>
      <c r="T63" s="120">
        <f>'[3]JCPL LP_GSCMMS'!J9</f>
        <v>38.703776140770735</v>
      </c>
      <c r="U63" s="120">
        <f>'[3]JCPL LP_GSCMMS'!K9</f>
        <v>41.028737407013637</v>
      </c>
      <c r="V63" s="91"/>
    </row>
    <row r="64" spans="1:22" x14ac:dyDescent="0.2">
      <c r="A64" s="48">
        <f t="shared" si="1"/>
        <v>56</v>
      </c>
      <c r="B64" s="38">
        <v>2</v>
      </c>
      <c r="C64" s="38">
        <v>19</v>
      </c>
      <c r="D64" s="38" t="s">
        <v>222</v>
      </c>
      <c r="E64" s="39" t="s">
        <v>161</v>
      </c>
      <c r="F64" s="39" t="s">
        <v>29</v>
      </c>
      <c r="G64" s="39" t="s">
        <v>108</v>
      </c>
      <c r="H64" s="39" t="s">
        <v>33</v>
      </c>
      <c r="I64" s="39" t="s">
        <v>33</v>
      </c>
      <c r="J64" s="39" t="s">
        <v>9</v>
      </c>
      <c r="K64" s="39" t="s">
        <v>117</v>
      </c>
      <c r="L64" s="40">
        <v>1135</v>
      </c>
      <c r="M64" s="41">
        <v>41339</v>
      </c>
      <c r="N64" s="40" t="s">
        <v>110</v>
      </c>
      <c r="O64" s="42">
        <f t="shared" si="2"/>
        <v>42339</v>
      </c>
      <c r="P64" s="40">
        <v>19</v>
      </c>
      <c r="Q64" s="120">
        <f>'[3]JCPL LP_GSCSMS'!G9</f>
        <v>35.617115190701981</v>
      </c>
      <c r="R64" s="120">
        <f>'[3]JCPL LP_GSCSMS'!H9</f>
        <v>36.621430917666345</v>
      </c>
      <c r="S64" s="120">
        <f>'[3]JCPL LP_GSCSMS'!I9</f>
        <v>37.466666162494363</v>
      </c>
      <c r="T64" s="120">
        <f>'[3]JCPL LP_GSCSMS'!J9</f>
        <v>38.703776140770735</v>
      </c>
      <c r="U64" s="120">
        <f>'[3]JCPL LP_GSCSMS'!K9</f>
        <v>41.028737407013637</v>
      </c>
      <c r="V64" s="91"/>
    </row>
    <row r="65" spans="1:22" x14ac:dyDescent="0.2">
      <c r="A65" s="48">
        <f t="shared" si="1"/>
        <v>57</v>
      </c>
      <c r="B65" s="38">
        <v>2</v>
      </c>
      <c r="C65" s="38">
        <v>20</v>
      </c>
      <c r="D65" s="38" t="s">
        <v>223</v>
      </c>
      <c r="E65" s="39" t="s">
        <v>163</v>
      </c>
      <c r="F65" s="39" t="s">
        <v>5</v>
      </c>
      <c r="G65" s="39" t="s">
        <v>108</v>
      </c>
      <c r="H65" s="39" t="s">
        <v>164</v>
      </c>
      <c r="I65" s="39" t="s">
        <v>165</v>
      </c>
      <c r="J65" s="39" t="s">
        <v>7</v>
      </c>
      <c r="K65" s="39" t="s">
        <v>123</v>
      </c>
      <c r="L65" s="40">
        <v>1137</v>
      </c>
      <c r="M65" s="41">
        <v>41339</v>
      </c>
      <c r="N65" s="40" t="s">
        <v>110</v>
      </c>
      <c r="O65" s="42">
        <f t="shared" si="2"/>
        <v>42339</v>
      </c>
      <c r="P65" s="40">
        <v>19</v>
      </c>
      <c r="Q65" s="120">
        <f>'[3]MetEd RC_GSLFMS'!G9</f>
        <v>24.23490683649397</v>
      </c>
      <c r="R65" s="120">
        <f>'[3]MetEd RC_GSLFMS'!H9</f>
        <v>18.947597260048028</v>
      </c>
      <c r="S65" s="120">
        <f>'[3]MetEd RC_GSLFMS'!I9</f>
        <v>21.027078934706122</v>
      </c>
      <c r="T65" s="120">
        <f>'[3]MetEd RC_GSLFMS'!J9</f>
        <v>19.967787808345687</v>
      </c>
      <c r="U65" s="120">
        <f>'[3]MetEd RC_GSLFMS'!K9</f>
        <v>21.064530055878642</v>
      </c>
      <c r="V65" s="91"/>
    </row>
    <row r="66" spans="1:22" x14ac:dyDescent="0.2">
      <c r="A66" s="48">
        <f t="shared" si="1"/>
        <v>58</v>
      </c>
      <c r="B66" s="38">
        <v>2</v>
      </c>
      <c r="C66" s="38">
        <v>21</v>
      </c>
      <c r="D66" s="38" t="s">
        <v>224</v>
      </c>
      <c r="E66" s="39" t="s">
        <v>167</v>
      </c>
      <c r="F66" s="39" t="s">
        <v>5</v>
      </c>
      <c r="G66" s="39" t="s">
        <v>108</v>
      </c>
      <c r="H66" s="39" t="s">
        <v>164</v>
      </c>
      <c r="I66" s="39" t="s">
        <v>165</v>
      </c>
      <c r="J66" s="39" t="s">
        <v>8</v>
      </c>
      <c r="K66" s="39" t="s">
        <v>120</v>
      </c>
      <c r="L66" s="40">
        <v>1136</v>
      </c>
      <c r="M66" s="41">
        <v>41339</v>
      </c>
      <c r="N66" s="40" t="s">
        <v>110</v>
      </c>
      <c r="O66" s="42">
        <f t="shared" si="2"/>
        <v>42339</v>
      </c>
      <c r="P66" s="40">
        <v>19</v>
      </c>
      <c r="Q66" s="120">
        <f>'[3]MetEd RC_GSDFMS'!G9</f>
        <v>25.335077222928142</v>
      </c>
      <c r="R66" s="120">
        <f>'[3]MetEd RC_GSDFMS'!H9</f>
        <v>20.138843883777206</v>
      </c>
      <c r="S66" s="120">
        <f>'[3]MetEd RC_GSDFMS'!I9</f>
        <v>22.165020336694386</v>
      </c>
      <c r="T66" s="120">
        <f>'[3]MetEd RC_GSDFMS'!J9</f>
        <v>21.156686450443978</v>
      </c>
      <c r="U66" s="120">
        <f>'[3]MetEd RC_GSDFMS'!K9</f>
        <v>22.228753568742366</v>
      </c>
      <c r="V66" s="91"/>
    </row>
    <row r="67" spans="1:22" x14ac:dyDescent="0.2">
      <c r="A67" s="48">
        <f t="shared" si="1"/>
        <v>59</v>
      </c>
      <c r="B67" s="38">
        <v>2</v>
      </c>
      <c r="C67" s="38">
        <v>22</v>
      </c>
      <c r="D67" s="38" t="s">
        <v>225</v>
      </c>
      <c r="E67" s="39" t="s">
        <v>169</v>
      </c>
      <c r="F67" s="39" t="s">
        <v>5</v>
      </c>
      <c r="G67" s="39" t="s">
        <v>108</v>
      </c>
      <c r="H67" s="39" t="s">
        <v>164</v>
      </c>
      <c r="I67" s="39" t="s">
        <v>165</v>
      </c>
      <c r="J67" s="39" t="s">
        <v>9</v>
      </c>
      <c r="K67" s="39" t="s">
        <v>117</v>
      </c>
      <c r="L67" s="40">
        <v>1138</v>
      </c>
      <c r="M67" s="41">
        <v>41339</v>
      </c>
      <c r="N67" s="40" t="s">
        <v>110</v>
      </c>
      <c r="O67" s="42">
        <f t="shared" si="2"/>
        <v>42339</v>
      </c>
      <c r="P67" s="40">
        <v>19</v>
      </c>
      <c r="Q67" s="120">
        <f>'[3]MetEd RC_GSSFMS'!G9</f>
        <v>25.770975448470971</v>
      </c>
      <c r="R67" s="120">
        <f>'[3]MetEd RC_GSSFMS'!H9</f>
        <v>20.235065993388524</v>
      </c>
      <c r="S67" s="120">
        <f>'[3]MetEd RC_GSSFMS'!I9</f>
        <v>22.349373015142589</v>
      </c>
      <c r="T67" s="120">
        <f>'[3]MetEd RC_GSSFMS'!J9</f>
        <v>21.214934442136091</v>
      </c>
      <c r="U67" s="120">
        <f>'[3]MetEd RC_GSSFMS'!K9</f>
        <v>22.234131855933462</v>
      </c>
      <c r="V67" s="91"/>
    </row>
    <row r="68" spans="1:22" x14ac:dyDescent="0.2">
      <c r="A68" s="48">
        <f t="shared" si="1"/>
        <v>60</v>
      </c>
      <c r="B68" s="38">
        <v>2</v>
      </c>
      <c r="C68" s="38">
        <v>23</v>
      </c>
      <c r="D68" s="38" t="s">
        <v>226</v>
      </c>
      <c r="E68" s="39" t="s">
        <v>171</v>
      </c>
      <c r="F68" s="39" t="s">
        <v>5</v>
      </c>
      <c r="G68" s="39" t="s">
        <v>108</v>
      </c>
      <c r="H68" s="39" t="s">
        <v>11</v>
      </c>
      <c r="I68" s="39" t="s">
        <v>11</v>
      </c>
      <c r="J68" s="39" t="s">
        <v>6</v>
      </c>
      <c r="K68" s="39" t="s">
        <v>128</v>
      </c>
      <c r="L68" s="40">
        <v>1139</v>
      </c>
      <c r="M68" s="41">
        <v>41339</v>
      </c>
      <c r="N68" s="40" t="s">
        <v>110</v>
      </c>
      <c r="O68" s="42">
        <f t="shared" si="2"/>
        <v>42339</v>
      </c>
      <c r="P68" s="40">
        <v>19</v>
      </c>
      <c r="Q68" s="120">
        <f>'[3]PECO LP_GSMS'!G9</f>
        <v>30.315827289285959</v>
      </c>
      <c r="R68" s="120">
        <f>'[3]PECO LP_GSMS'!H9</f>
        <v>24.634163133785506</v>
      </c>
      <c r="S68" s="120">
        <f>'[3]PECO LP_GSMS'!I9</f>
        <v>26.504692733372121</v>
      </c>
      <c r="T68" s="120">
        <f>'[3]PECO LP_GSMS'!J9</f>
        <v>25.125791264085471</v>
      </c>
      <c r="U68" s="120">
        <f>'[3]PECO LP_GSMS'!K9</f>
        <v>26.723618762680349</v>
      </c>
      <c r="V68" s="91"/>
    </row>
    <row r="69" spans="1:22" x14ac:dyDescent="0.2">
      <c r="A69" s="48">
        <f t="shared" si="1"/>
        <v>61</v>
      </c>
      <c r="B69" s="38">
        <v>2</v>
      </c>
      <c r="C69" s="38">
        <v>24</v>
      </c>
      <c r="D69" s="38" t="s">
        <v>227</v>
      </c>
      <c r="E69" s="39" t="s">
        <v>173</v>
      </c>
      <c r="F69" s="39" t="s">
        <v>5</v>
      </c>
      <c r="G69" s="39" t="s">
        <v>108</v>
      </c>
      <c r="H69" s="39" t="s">
        <v>10</v>
      </c>
      <c r="I69" s="39" t="s">
        <v>174</v>
      </c>
      <c r="J69" s="39" t="s">
        <v>7</v>
      </c>
      <c r="K69" s="39" t="s">
        <v>123</v>
      </c>
      <c r="L69" s="40">
        <v>1140</v>
      </c>
      <c r="M69" s="41">
        <v>41339</v>
      </c>
      <c r="N69" s="40" t="s">
        <v>110</v>
      </c>
      <c r="O69" s="42">
        <f t="shared" si="2"/>
        <v>42339</v>
      </c>
      <c r="P69" s="40">
        <v>19</v>
      </c>
      <c r="Q69" s="120">
        <f>'[3]Penelec RC_GSLFMS'!G9</f>
        <v>26.588966340613368</v>
      </c>
      <c r="R69" s="120">
        <f>'[3]Penelec RC_GSLFMS'!H9</f>
        <v>25.742360103730814</v>
      </c>
      <c r="S69" s="120">
        <f>'[3]Penelec RC_GSLFMS'!I9</f>
        <v>25.86777197790088</v>
      </c>
      <c r="T69" s="120">
        <f>'[3]Penelec RC_GSLFMS'!J9</f>
        <v>25.660610890661747</v>
      </c>
      <c r="U69" s="120">
        <f>'[3]Penelec RC_GSLFMS'!K9</f>
        <v>25.976438648004375</v>
      </c>
      <c r="V69" s="91"/>
    </row>
    <row r="70" spans="1:22" x14ac:dyDescent="0.2">
      <c r="A70" s="48">
        <f t="shared" si="1"/>
        <v>62</v>
      </c>
      <c r="B70" s="38">
        <v>2</v>
      </c>
      <c r="C70" s="38">
        <v>25</v>
      </c>
      <c r="D70" s="38" t="s">
        <v>228</v>
      </c>
      <c r="E70" s="39" t="s">
        <v>176</v>
      </c>
      <c r="F70" s="39" t="s">
        <v>5</v>
      </c>
      <c r="G70" s="39" t="s">
        <v>108</v>
      </c>
      <c r="H70" s="39" t="s">
        <v>10</v>
      </c>
      <c r="I70" s="39" t="s">
        <v>174</v>
      </c>
      <c r="J70" s="39" t="s">
        <v>8</v>
      </c>
      <c r="K70" s="39" t="s">
        <v>120</v>
      </c>
      <c r="L70" s="40">
        <v>1141</v>
      </c>
      <c r="M70" s="41">
        <v>41339</v>
      </c>
      <c r="N70" s="40" t="s">
        <v>110</v>
      </c>
      <c r="O70" s="42">
        <f t="shared" si="2"/>
        <v>42339</v>
      </c>
      <c r="P70" s="40">
        <v>19</v>
      </c>
      <c r="Q70" s="120">
        <f>'[3]Penelec RC_GSMFMS'!G9</f>
        <v>27.568089914646887</v>
      </c>
      <c r="R70" s="120">
        <f>'[3]Penelec RC_GSMFMS'!H9</f>
        <v>26.856711428510451</v>
      </c>
      <c r="S70" s="120">
        <f>'[3]Penelec RC_GSMFMS'!I9</f>
        <v>26.937655431994123</v>
      </c>
      <c r="T70" s="120">
        <f>'[3]Penelec RC_GSMFMS'!J9</f>
        <v>26.764107341309366</v>
      </c>
      <c r="U70" s="120">
        <f>'[3]Penelec RC_GSMFMS'!K9</f>
        <v>27.073820731512626</v>
      </c>
      <c r="V70" s="91"/>
    </row>
    <row r="71" spans="1:22" x14ac:dyDescent="0.2">
      <c r="A71" s="48">
        <f t="shared" si="1"/>
        <v>63</v>
      </c>
      <c r="B71" s="38">
        <v>2</v>
      </c>
      <c r="C71" s="38">
        <v>26</v>
      </c>
      <c r="D71" s="38" t="s">
        <v>229</v>
      </c>
      <c r="E71" s="39" t="s">
        <v>178</v>
      </c>
      <c r="F71" s="39" t="s">
        <v>5</v>
      </c>
      <c r="G71" s="39" t="s">
        <v>108</v>
      </c>
      <c r="H71" s="39" t="s">
        <v>10</v>
      </c>
      <c r="I71" s="39" t="s">
        <v>174</v>
      </c>
      <c r="J71" s="39" t="s">
        <v>9</v>
      </c>
      <c r="K71" s="39" t="s">
        <v>117</v>
      </c>
      <c r="L71" s="40">
        <v>1142</v>
      </c>
      <c r="M71" s="41">
        <v>41339</v>
      </c>
      <c r="N71" s="40" t="s">
        <v>110</v>
      </c>
      <c r="O71" s="42">
        <f t="shared" si="2"/>
        <v>42339</v>
      </c>
      <c r="P71" s="40">
        <v>19</v>
      </c>
      <c r="Q71" s="120">
        <f>'[3]Penelec RC_GSSFMS'!G9</f>
        <v>24.84511571310189</v>
      </c>
      <c r="R71" s="120">
        <f>'[3]Penelec RC_GSSFMS'!H9</f>
        <v>26.939895826159873</v>
      </c>
      <c r="S71" s="120">
        <f>'[3]Penelec RC_GSSFMS'!I9</f>
        <v>26.019826380916676</v>
      </c>
      <c r="T71" s="120">
        <f>'[3]Penelec RC_GSSFMS'!J9</f>
        <v>26.768869729355725</v>
      </c>
      <c r="U71" s="120">
        <f>'[3]Penelec RC_GSSFMS'!K9</f>
        <v>27.069683667385373</v>
      </c>
      <c r="V71" s="91"/>
    </row>
    <row r="72" spans="1:22" x14ac:dyDescent="0.2">
      <c r="A72" s="48">
        <f t="shared" si="1"/>
        <v>64</v>
      </c>
      <c r="B72" s="38">
        <v>2</v>
      </c>
      <c r="C72" s="38">
        <v>27</v>
      </c>
      <c r="D72" s="38" t="s">
        <v>230</v>
      </c>
      <c r="E72" s="39" t="s">
        <v>180</v>
      </c>
      <c r="F72" s="39" t="s">
        <v>5</v>
      </c>
      <c r="G72" s="39" t="s">
        <v>108</v>
      </c>
      <c r="H72" s="39" t="s">
        <v>91</v>
      </c>
      <c r="I72" s="39" t="s">
        <v>181</v>
      </c>
      <c r="J72" s="39" t="s">
        <v>6</v>
      </c>
      <c r="K72" s="39" t="s">
        <v>128</v>
      </c>
      <c r="L72" s="40">
        <v>1143</v>
      </c>
      <c r="M72" s="41">
        <v>41339</v>
      </c>
      <c r="N72" s="40" t="s">
        <v>110</v>
      </c>
      <c r="O72" s="42">
        <f t="shared" si="2"/>
        <v>42339</v>
      </c>
      <c r="P72" s="40">
        <v>19</v>
      </c>
      <c r="Q72" s="120">
        <f>'[3]Penn Power RC_GMDMS'!G9</f>
        <v>48.83012466183385</v>
      </c>
      <c r="R72" s="120">
        <f>'[3]Penn Power RC_GMDMS'!H9</f>
        <v>41.11377974554356</v>
      </c>
      <c r="S72" s="120">
        <f>'[3]Penn Power RC_GMDMS'!I9</f>
        <v>38.080209155176583</v>
      </c>
      <c r="T72" s="120">
        <f>'[3]Penn Power RC_GMDMS'!J9</f>
        <v>37.402662106298138</v>
      </c>
      <c r="U72" s="120">
        <f>'[3]Penn Power RC_GMDMS'!K9</f>
        <v>36.893937332436082</v>
      </c>
      <c r="V72" s="91"/>
    </row>
    <row r="73" spans="1:22" x14ac:dyDescent="0.2">
      <c r="A73" s="48">
        <f t="shared" si="1"/>
        <v>65</v>
      </c>
      <c r="B73" s="38">
        <v>2</v>
      </c>
      <c r="C73" s="38">
        <v>28</v>
      </c>
      <c r="D73" s="38" t="s">
        <v>231</v>
      </c>
      <c r="E73" s="39" t="s">
        <v>183</v>
      </c>
      <c r="F73" s="39" t="s">
        <v>37</v>
      </c>
      <c r="G73" s="39" t="s">
        <v>108</v>
      </c>
      <c r="H73" s="39" t="s">
        <v>42</v>
      </c>
      <c r="I73" s="39" t="s">
        <v>42</v>
      </c>
      <c r="J73" s="39" t="s">
        <v>6</v>
      </c>
      <c r="K73" s="39" t="s">
        <v>128</v>
      </c>
      <c r="L73" s="40">
        <v>1144</v>
      </c>
      <c r="M73" s="41">
        <v>41339</v>
      </c>
      <c r="N73" s="40" t="s">
        <v>110</v>
      </c>
      <c r="O73" s="42">
        <f t="shared" si="2"/>
        <v>42339</v>
      </c>
      <c r="P73" s="40">
        <v>19</v>
      </c>
      <c r="Q73" s="120">
        <f>'[3]PEPCO MD LP_MDNDMS'!G9</f>
        <v>35.658974366205342</v>
      </c>
      <c r="R73" s="120">
        <f>'[3]PEPCO MD LP_MDNDMS'!H9</f>
        <v>35.099866393815844</v>
      </c>
      <c r="S73" s="120">
        <f>'[3]PEPCO MD LP_MDNDMS'!I9</f>
        <v>35.112484652551771</v>
      </c>
      <c r="T73" s="120">
        <f>'[3]PEPCO MD LP_MDNDMS'!J9</f>
        <v>34.918779111085669</v>
      </c>
      <c r="U73" s="120">
        <f>'[3]PEPCO MD LP_MDNDMS'!K9</f>
        <v>35.119078202352249</v>
      </c>
      <c r="V73" s="91"/>
    </row>
    <row r="74" spans="1:22" x14ac:dyDescent="0.2">
      <c r="A74" s="48">
        <f t="shared" si="1"/>
        <v>66</v>
      </c>
      <c r="B74" s="38">
        <v>2</v>
      </c>
      <c r="C74" s="38">
        <v>29</v>
      </c>
      <c r="D74" s="38" t="s">
        <v>232</v>
      </c>
      <c r="E74" s="39" t="s">
        <v>185</v>
      </c>
      <c r="F74" s="39" t="s">
        <v>37</v>
      </c>
      <c r="G74" s="39" t="s">
        <v>108</v>
      </c>
      <c r="H74" s="39" t="s">
        <v>42</v>
      </c>
      <c r="I74" s="39" t="s">
        <v>42</v>
      </c>
      <c r="J74" s="39" t="s">
        <v>43</v>
      </c>
      <c r="K74" s="39" t="s">
        <v>186</v>
      </c>
      <c r="L74" s="40">
        <v>1145</v>
      </c>
      <c r="M74" s="41">
        <v>41339</v>
      </c>
      <c r="N74" s="40" t="s">
        <v>110</v>
      </c>
      <c r="O74" s="42">
        <f t="shared" si="2"/>
        <v>42339</v>
      </c>
      <c r="P74" s="40">
        <v>19</v>
      </c>
      <c r="Q74" s="120">
        <f>'[3]PEPCO MD LP_MMGTL2AMS'!G9</f>
        <v>35.61180708469103</v>
      </c>
      <c r="R74" s="120">
        <f>'[3]PEPCO MD LP_MMGTL2AMS'!H9</f>
        <v>33.992455935709302</v>
      </c>
      <c r="S74" s="120">
        <f>'[3]PEPCO MD LP_MMGTL2AMS'!I9</f>
        <v>34.384202640541233</v>
      </c>
      <c r="T74" s="120">
        <f>'[3]PEPCO MD LP_MMGTL2AMS'!J9</f>
        <v>33.853915672633377</v>
      </c>
      <c r="U74" s="120">
        <f>'[3]PEPCO MD LP_MMGTL2AMS'!K9</f>
        <v>34.060031733364539</v>
      </c>
      <c r="V74" s="91"/>
    </row>
    <row r="75" spans="1:22" x14ac:dyDescent="0.2">
      <c r="A75" s="48">
        <f t="shared" ref="A75:A138" si="3">A74+1</f>
        <v>67</v>
      </c>
      <c r="B75" s="38">
        <v>2</v>
      </c>
      <c r="C75" s="38">
        <v>30</v>
      </c>
      <c r="D75" s="38" t="s">
        <v>233</v>
      </c>
      <c r="E75" s="39" t="s">
        <v>188</v>
      </c>
      <c r="F75" s="39" t="s">
        <v>37</v>
      </c>
      <c r="G75" s="39" t="s">
        <v>108</v>
      </c>
      <c r="H75" s="39" t="s">
        <v>42</v>
      </c>
      <c r="I75" s="39" t="s">
        <v>42</v>
      </c>
      <c r="J75" s="39" t="s">
        <v>44</v>
      </c>
      <c r="K75" s="39" t="s">
        <v>44</v>
      </c>
      <c r="L75" s="40">
        <v>1146</v>
      </c>
      <c r="M75" s="41">
        <v>41339</v>
      </c>
      <c r="N75" s="40" t="s">
        <v>110</v>
      </c>
      <c r="O75" s="42">
        <f t="shared" si="2"/>
        <v>42339</v>
      </c>
      <c r="P75" s="40">
        <v>19</v>
      </c>
      <c r="Q75" s="120">
        <f>'[3]PEPCO MD RC_3T7MS'!G9</f>
        <v>35.191776837522355</v>
      </c>
      <c r="R75" s="120">
        <f>'[3]PEPCO MD RC_3T7MS'!H9</f>
        <v>34.823743444319533</v>
      </c>
      <c r="S75" s="120">
        <f>'[3]PEPCO MD RC_3T7MS'!I9</f>
        <v>34.811264825421169</v>
      </c>
      <c r="T75" s="120">
        <f>'[3]PEPCO MD RC_3T7MS'!J9</f>
        <v>34.781335229407929</v>
      </c>
      <c r="U75" s="120">
        <f>'[3]PEPCO MD RC_3T7MS'!K9</f>
        <v>35.031161808311474</v>
      </c>
      <c r="V75" s="91"/>
    </row>
    <row r="76" spans="1:22" x14ac:dyDescent="0.2">
      <c r="A76" s="48">
        <f t="shared" si="3"/>
        <v>68</v>
      </c>
      <c r="B76" s="38">
        <v>2</v>
      </c>
      <c r="C76" s="38">
        <v>31</v>
      </c>
      <c r="D76" s="38" t="s">
        <v>234</v>
      </c>
      <c r="E76" s="39" t="s">
        <v>190</v>
      </c>
      <c r="F76" s="39" t="s">
        <v>37</v>
      </c>
      <c r="G76" s="39" t="s">
        <v>108</v>
      </c>
      <c r="H76" s="39" t="s">
        <v>45</v>
      </c>
      <c r="I76" s="39" t="s">
        <v>45</v>
      </c>
      <c r="J76" s="39" t="s">
        <v>6</v>
      </c>
      <c r="K76" s="39" t="s">
        <v>128</v>
      </c>
      <c r="L76" s="40">
        <v>1147</v>
      </c>
      <c r="M76" s="41">
        <v>41339</v>
      </c>
      <c r="N76" s="40" t="s">
        <v>110</v>
      </c>
      <c r="O76" s="42">
        <f t="shared" si="2"/>
        <v>42339</v>
      </c>
      <c r="P76" s="40">
        <v>19</v>
      </c>
      <c r="Q76" s="120">
        <f>'[3]Potomac Edison LP_GSCM_MMS'!G9</f>
        <v>26.545176251910128</v>
      </c>
      <c r="R76" s="120">
        <f>'[3]Potomac Edison LP_GSCM_MMS'!H9</f>
        <v>27.283388225596067</v>
      </c>
      <c r="S76" s="120">
        <f>'[3]Potomac Edison LP_GSCM_MMS'!I9</f>
        <v>26.182390293677802</v>
      </c>
      <c r="T76" s="120">
        <f>'[3]Potomac Edison LP_GSCM_MMS'!J9</f>
        <v>28.299499323052583</v>
      </c>
      <c r="U76" s="120">
        <f>'[3]Potomac Edison LP_GSCM_MMS'!K9</f>
        <v>30.285814905394204</v>
      </c>
      <c r="V76" s="91"/>
    </row>
    <row r="77" spans="1:22" x14ac:dyDescent="0.2">
      <c r="A77" s="48">
        <f t="shared" si="3"/>
        <v>69</v>
      </c>
      <c r="B77" s="38">
        <v>2</v>
      </c>
      <c r="C77" s="38">
        <v>32</v>
      </c>
      <c r="D77" s="38" t="s">
        <v>235</v>
      </c>
      <c r="E77" s="39" t="s">
        <v>192</v>
      </c>
      <c r="F77" s="39" t="s">
        <v>5</v>
      </c>
      <c r="G77" s="39" t="s">
        <v>108</v>
      </c>
      <c r="H77" s="39" t="s">
        <v>12</v>
      </c>
      <c r="I77" s="39" t="s">
        <v>12</v>
      </c>
      <c r="J77" s="39" t="s">
        <v>13</v>
      </c>
      <c r="K77" s="39" t="s">
        <v>117</v>
      </c>
      <c r="L77" s="40">
        <v>1148</v>
      </c>
      <c r="M77" s="41">
        <v>41339</v>
      </c>
      <c r="N77" s="40" t="s">
        <v>110</v>
      </c>
      <c r="O77" s="42">
        <f t="shared" si="2"/>
        <v>42339</v>
      </c>
      <c r="P77" s="40">
        <v>19</v>
      </c>
      <c r="Q77" s="120">
        <f>[3]PPL_RCGS1MS!G9</f>
        <v>32.357860984803807</v>
      </c>
      <c r="R77" s="120">
        <f>[3]PPL_RCGS1MS!H9</f>
        <v>28.196190324222528</v>
      </c>
      <c r="S77" s="120">
        <f>[3]PPL_RCGS1MS!I9</f>
        <v>29.532929499932447</v>
      </c>
      <c r="T77" s="120">
        <f>[3]PPL_RCGS1MS!J9</f>
        <v>28.565371753090805</v>
      </c>
      <c r="U77" s="120">
        <f>[3]PPL_RCGS1MS!K9</f>
        <v>28.890782509611306</v>
      </c>
      <c r="V77" s="91"/>
    </row>
    <row r="78" spans="1:22" x14ac:dyDescent="0.2">
      <c r="A78" s="48">
        <f t="shared" si="3"/>
        <v>70</v>
      </c>
      <c r="B78" s="38">
        <v>2</v>
      </c>
      <c r="C78" s="38">
        <v>33</v>
      </c>
      <c r="D78" s="38" t="s">
        <v>236</v>
      </c>
      <c r="E78" s="39" t="s">
        <v>194</v>
      </c>
      <c r="F78" s="39" t="s">
        <v>5</v>
      </c>
      <c r="G78" s="39" t="s">
        <v>108</v>
      </c>
      <c r="H78" s="39" t="s">
        <v>12</v>
      </c>
      <c r="I78" s="39" t="s">
        <v>12</v>
      </c>
      <c r="J78" s="39" t="s">
        <v>14</v>
      </c>
      <c r="K78" s="39" t="s">
        <v>123</v>
      </c>
      <c r="L78" s="40">
        <v>1149</v>
      </c>
      <c r="M78" s="41">
        <v>41339</v>
      </c>
      <c r="N78" s="40" t="s">
        <v>110</v>
      </c>
      <c r="O78" s="42">
        <f t="shared" si="2"/>
        <v>42339</v>
      </c>
      <c r="P78" s="40">
        <v>19</v>
      </c>
      <c r="Q78" s="120">
        <f>[3]PPL_RCGS3MS!G9</f>
        <v>33.078560168118315</v>
      </c>
      <c r="R78" s="120">
        <f>[3]PPL_RCGS3MS!H9</f>
        <v>28.10009416599657</v>
      </c>
      <c r="S78" s="120">
        <f>[3]PPL_RCGS3MS!I9</f>
        <v>29.617382358704244</v>
      </c>
      <c r="T78" s="120">
        <f>[3]PPL_RCGS3MS!J9</f>
        <v>28.459180835592093</v>
      </c>
      <c r="U78" s="120">
        <f>[3]PPL_RCGS3MS!K9</f>
        <v>28.873614596970651</v>
      </c>
      <c r="V78" s="91"/>
    </row>
    <row r="79" spans="1:22" x14ac:dyDescent="0.2">
      <c r="A79" s="48">
        <f t="shared" si="3"/>
        <v>71</v>
      </c>
      <c r="B79" s="38">
        <v>2</v>
      </c>
      <c r="C79" s="38">
        <v>34</v>
      </c>
      <c r="D79" s="38" t="s">
        <v>237</v>
      </c>
      <c r="E79" s="39" t="s">
        <v>196</v>
      </c>
      <c r="F79" s="39" t="s">
        <v>29</v>
      </c>
      <c r="G79" s="39" t="s">
        <v>108</v>
      </c>
      <c r="H79" s="39" t="s">
        <v>34</v>
      </c>
      <c r="I79" s="39" t="s">
        <v>34</v>
      </c>
      <c r="J79" s="39" t="s">
        <v>35</v>
      </c>
      <c r="K79" s="39" t="s">
        <v>197</v>
      </c>
      <c r="L79" s="40">
        <v>1150</v>
      </c>
      <c r="M79" s="41">
        <v>41339</v>
      </c>
      <c r="N79" s="40" t="s">
        <v>110</v>
      </c>
      <c r="O79" s="42">
        <f t="shared" si="2"/>
        <v>42339</v>
      </c>
      <c r="P79" s="40">
        <v>19</v>
      </c>
      <c r="Q79" s="120">
        <f>'[3]PSEG LP_GLP_MMS'!G9</f>
        <v>54.386548432175438</v>
      </c>
      <c r="R79" s="120">
        <f>'[3]PSEG LP_GLP_MMS'!H9</f>
        <v>52.972586988015522</v>
      </c>
      <c r="S79" s="120">
        <f>'[3]PSEG LP_GLP_MMS'!I9</f>
        <v>56.330720324470796</v>
      </c>
      <c r="T79" s="120">
        <f>'[3]PSEG LP_GLP_MMS'!J9</f>
        <v>55.968011118454498</v>
      </c>
      <c r="U79" s="120">
        <f>'[3]PSEG LP_GLP_MMS'!K9</f>
        <v>57.332296607467946</v>
      </c>
      <c r="V79" s="91"/>
    </row>
    <row r="80" spans="1:22" x14ac:dyDescent="0.2">
      <c r="A80" s="48">
        <f t="shared" si="3"/>
        <v>72</v>
      </c>
      <c r="B80" s="38">
        <v>2</v>
      </c>
      <c r="C80" s="38">
        <v>35</v>
      </c>
      <c r="D80" s="38" t="s">
        <v>238</v>
      </c>
      <c r="E80" s="39" t="s">
        <v>199</v>
      </c>
      <c r="F80" s="39" t="s">
        <v>29</v>
      </c>
      <c r="G80" s="39" t="s">
        <v>108</v>
      </c>
      <c r="H80" s="39" t="s">
        <v>34</v>
      </c>
      <c r="I80" s="39" t="s">
        <v>34</v>
      </c>
      <c r="J80" s="39" t="s">
        <v>36</v>
      </c>
      <c r="K80" s="39" t="s">
        <v>200</v>
      </c>
      <c r="L80" s="40">
        <v>1151</v>
      </c>
      <c r="M80" s="41">
        <v>41339</v>
      </c>
      <c r="N80" s="40" t="s">
        <v>110</v>
      </c>
      <c r="O80" s="42">
        <f t="shared" si="2"/>
        <v>42339</v>
      </c>
      <c r="P80" s="40">
        <v>19</v>
      </c>
      <c r="Q80" s="120">
        <f>'[3]PSEG LP_LPLMS'!G9</f>
        <v>53.294191517255548</v>
      </c>
      <c r="R80" s="120">
        <f>'[3]PSEG LP_LPLMS'!H9</f>
        <v>52.261807690915091</v>
      </c>
      <c r="S80" s="120">
        <f>'[3]PSEG LP_LPLMS'!I9</f>
        <v>55.552688343514006</v>
      </c>
      <c r="T80" s="120">
        <f>'[3]PSEG LP_LPLMS'!J9</f>
        <v>55.213574169889384</v>
      </c>
      <c r="U80" s="120">
        <f>'[3]PSEG LP_LPLMS'!K9</f>
        <v>56.567880708166733</v>
      </c>
      <c r="V80" s="91"/>
    </row>
    <row r="81" spans="1:22" x14ac:dyDescent="0.2">
      <c r="A81" s="48">
        <f t="shared" si="3"/>
        <v>73</v>
      </c>
      <c r="B81" s="38">
        <v>2</v>
      </c>
      <c r="C81" s="38">
        <v>36</v>
      </c>
      <c r="D81" s="38" t="s">
        <v>239</v>
      </c>
      <c r="E81" s="39" t="s">
        <v>202</v>
      </c>
      <c r="F81" s="39" t="s">
        <v>5</v>
      </c>
      <c r="G81" s="39" t="s">
        <v>108</v>
      </c>
      <c r="H81" s="39" t="s">
        <v>15</v>
      </c>
      <c r="I81" s="39" t="s">
        <v>203</v>
      </c>
      <c r="J81" s="39" t="s">
        <v>16</v>
      </c>
      <c r="K81" s="39" t="s">
        <v>128</v>
      </c>
      <c r="L81" s="40">
        <v>1152</v>
      </c>
      <c r="M81" s="41">
        <v>41339</v>
      </c>
      <c r="N81" s="40" t="s">
        <v>110</v>
      </c>
      <c r="O81" s="42">
        <f t="shared" si="2"/>
        <v>42339</v>
      </c>
      <c r="P81" s="40">
        <v>19</v>
      </c>
      <c r="Q81" s="120">
        <f>'[3]West Penn Power LP_GSCMMS'!G9</f>
        <v>29.440983930248983</v>
      </c>
      <c r="R81" s="120">
        <f>'[3]West Penn Power LP_GSCMMS'!H9</f>
        <v>27.686035316541084</v>
      </c>
      <c r="S81" s="120">
        <f>'[3]West Penn Power LP_GSCMMS'!I9</f>
        <v>27.261810620207786</v>
      </c>
      <c r="T81" s="120">
        <f>'[3]West Penn Power LP_GSCMMS'!J9</f>
        <v>28.539785524532611</v>
      </c>
      <c r="U81" s="120">
        <f>'[3]West Penn Power LP_GSCMMS'!K9</f>
        <v>30.266183590763589</v>
      </c>
      <c r="V81" s="91"/>
    </row>
    <row r="82" spans="1:22" x14ac:dyDescent="0.2">
      <c r="A82" s="48">
        <f t="shared" si="3"/>
        <v>74</v>
      </c>
      <c r="B82" s="20"/>
      <c r="C82" s="20"/>
      <c r="D82" s="20"/>
      <c r="Q82" s="121"/>
      <c r="R82" s="121"/>
      <c r="S82" s="121"/>
      <c r="T82" s="121"/>
      <c r="U82" s="121"/>
    </row>
    <row r="83" spans="1:22" x14ac:dyDescent="0.2">
      <c r="A83" s="48">
        <f t="shared" si="3"/>
        <v>75</v>
      </c>
      <c r="B83" s="43">
        <v>3</v>
      </c>
      <c r="C83" s="43">
        <v>1</v>
      </c>
      <c r="D83" s="38" t="s">
        <v>240</v>
      </c>
      <c r="E83" s="44" t="s">
        <v>107</v>
      </c>
      <c r="F83" s="44" t="s">
        <v>29</v>
      </c>
      <c r="G83" s="44" t="s">
        <v>108</v>
      </c>
      <c r="H83" s="44" t="s">
        <v>30</v>
      </c>
      <c r="I83" s="44" t="s">
        <v>30</v>
      </c>
      <c r="J83" s="44" t="s">
        <v>31</v>
      </c>
      <c r="K83" s="44" t="s">
        <v>109</v>
      </c>
      <c r="L83" s="40">
        <v>1117</v>
      </c>
      <c r="M83" s="41">
        <v>41339</v>
      </c>
      <c r="N83" s="40" t="s">
        <v>110</v>
      </c>
      <c r="O83" s="42">
        <f>EDATE(O46,1)</f>
        <v>42370</v>
      </c>
      <c r="P83" s="40">
        <v>20</v>
      </c>
      <c r="Q83" s="120">
        <f>'[3]AECO LP_10V1_SMS'!G10</f>
        <v>50.987425728217481</v>
      </c>
      <c r="R83" s="120">
        <f>'[3]AECO LP_10V1_SMS'!H10</f>
        <v>46.422769835859924</v>
      </c>
      <c r="S83" s="120">
        <f>'[3]AECO LP_10V1_SMS'!I10</f>
        <v>48.094534278907872</v>
      </c>
      <c r="T83" s="120">
        <f>'[3]AECO LP_10V1_SMS'!J10</f>
        <v>46.90804020535785</v>
      </c>
      <c r="U83" s="120">
        <f>'[3]AECO LP_10V1_SMS'!K10</f>
        <v>48.041745520035583</v>
      </c>
      <c r="V83" s="91"/>
    </row>
    <row r="84" spans="1:22" x14ac:dyDescent="0.2">
      <c r="A84" s="48">
        <f t="shared" si="3"/>
        <v>76</v>
      </c>
      <c r="B84" s="43">
        <v>3</v>
      </c>
      <c r="C84" s="43">
        <v>2</v>
      </c>
      <c r="D84" s="38" t="s">
        <v>241</v>
      </c>
      <c r="E84" s="44" t="s">
        <v>112</v>
      </c>
      <c r="F84" s="44" t="s">
        <v>29</v>
      </c>
      <c r="G84" s="44" t="s">
        <v>108</v>
      </c>
      <c r="H84" s="44" t="s">
        <v>30</v>
      </c>
      <c r="I84" s="44" t="s">
        <v>30</v>
      </c>
      <c r="J84" s="44" t="s">
        <v>32</v>
      </c>
      <c r="K84" s="44" t="s">
        <v>113</v>
      </c>
      <c r="L84" s="40">
        <v>1118</v>
      </c>
      <c r="M84" s="41">
        <v>41339</v>
      </c>
      <c r="N84" s="40" t="s">
        <v>110</v>
      </c>
      <c r="O84" s="42">
        <f>O83</f>
        <v>42370</v>
      </c>
      <c r="P84" s="40">
        <v>20</v>
      </c>
      <c r="Q84" s="120">
        <f>'[3]AECO LP_14V1_MMS'!G10</f>
        <v>49.351237684656823</v>
      </c>
      <c r="R84" s="120">
        <f>'[3]AECO LP_14V1_MMS'!H10</f>
        <v>46.356956084397829</v>
      </c>
      <c r="S84" s="120">
        <f>'[3]AECO LP_14V1_MMS'!I10</f>
        <v>47.619286224682419</v>
      </c>
      <c r="T84" s="120">
        <f>'[3]AECO LP_14V1_MMS'!J10</f>
        <v>46.780758646974142</v>
      </c>
      <c r="U84" s="120">
        <f>'[3]AECO LP_14V1_MMS'!K10</f>
        <v>46.299722373672701</v>
      </c>
      <c r="V84" s="91"/>
    </row>
    <row r="85" spans="1:22" x14ac:dyDescent="0.2">
      <c r="A85" s="48">
        <f t="shared" si="3"/>
        <v>77</v>
      </c>
      <c r="B85" s="43">
        <v>3</v>
      </c>
      <c r="C85" s="43">
        <v>3</v>
      </c>
      <c r="D85" s="38" t="s">
        <v>242</v>
      </c>
      <c r="E85" s="44" t="s">
        <v>115</v>
      </c>
      <c r="F85" s="44" t="s">
        <v>18</v>
      </c>
      <c r="G85" s="44" t="s">
        <v>108</v>
      </c>
      <c r="H85" s="44" t="s">
        <v>61</v>
      </c>
      <c r="I85" s="44" t="s">
        <v>116</v>
      </c>
      <c r="J85" s="44" t="s">
        <v>13</v>
      </c>
      <c r="K85" s="44" t="s">
        <v>117</v>
      </c>
      <c r="L85" s="40">
        <v>1119</v>
      </c>
      <c r="M85" s="41">
        <v>41339</v>
      </c>
      <c r="N85" s="40" t="s">
        <v>110</v>
      </c>
      <c r="O85" s="42">
        <f t="shared" ref="O85:O118" si="4">O84</f>
        <v>42370</v>
      </c>
      <c r="P85" s="40">
        <v>20</v>
      </c>
      <c r="Q85" s="120">
        <f>'[3]AEP_OH_CS - test CSGS1MS'!G10</f>
        <v>23.17842008195046</v>
      </c>
      <c r="R85" s="120">
        <f>'[3]AEP_OH_CS - test CSGS1MS'!H10</f>
        <v>20.290031578907413</v>
      </c>
      <c r="S85" s="120">
        <f>'[3]AEP_OH_CS - test CSGS1MS'!I10</f>
        <v>20.41139997014518</v>
      </c>
      <c r="T85" s="120">
        <f>'[3]AEP_OH_CS - test CSGS1MS'!J10</f>
        <v>21.19295219769668</v>
      </c>
      <c r="U85" s="120">
        <f>'[3]AEP_OH_CS - test CSGS1MS'!K10</f>
        <v>22.725099745238204</v>
      </c>
      <c r="V85" s="91"/>
    </row>
    <row r="86" spans="1:22" x14ac:dyDescent="0.2">
      <c r="A86" s="48">
        <f t="shared" si="3"/>
        <v>78</v>
      </c>
      <c r="B86" s="43">
        <v>3</v>
      </c>
      <c r="C86" s="43">
        <v>4</v>
      </c>
      <c r="D86" s="38" t="s">
        <v>243</v>
      </c>
      <c r="E86" s="44" t="s">
        <v>119</v>
      </c>
      <c r="F86" s="44" t="s">
        <v>18</v>
      </c>
      <c r="G86" s="44" t="s">
        <v>108</v>
      </c>
      <c r="H86" s="44" t="s">
        <v>61</v>
      </c>
      <c r="I86" s="44" t="s">
        <v>116</v>
      </c>
      <c r="J86" s="44" t="s">
        <v>19</v>
      </c>
      <c r="K86" s="44" t="s">
        <v>120</v>
      </c>
      <c r="L86" s="40">
        <v>1120</v>
      </c>
      <c r="M86" s="41">
        <v>41339</v>
      </c>
      <c r="N86" s="40" t="s">
        <v>110</v>
      </c>
      <c r="O86" s="42">
        <f t="shared" si="4"/>
        <v>42370</v>
      </c>
      <c r="P86" s="40">
        <v>20</v>
      </c>
      <c r="Q86" s="120">
        <f>'[3]AEP_OH_CS - test CSGS2UMS'!G10</f>
        <v>22.526221960789766</v>
      </c>
      <c r="R86" s="120">
        <f>'[3]AEP_OH_CS - test CSGS2UMS'!H10</f>
        <v>20.376786772226453</v>
      </c>
      <c r="S86" s="120">
        <f>'[3]AEP_OH_CS - test CSGS2UMS'!I10</f>
        <v>20.285358323955233</v>
      </c>
      <c r="T86" s="120">
        <f>'[3]AEP_OH_CS - test CSGS2UMS'!J10</f>
        <v>21.270071341162922</v>
      </c>
      <c r="U86" s="120">
        <f>'[3]AEP_OH_CS - test CSGS2UMS'!K10</f>
        <v>22.805556713605192</v>
      </c>
      <c r="V86" s="91"/>
    </row>
    <row r="87" spans="1:22" x14ac:dyDescent="0.2">
      <c r="A87" s="48">
        <f t="shared" si="3"/>
        <v>79</v>
      </c>
      <c r="B87" s="43">
        <v>3</v>
      </c>
      <c r="C87" s="43">
        <v>5</v>
      </c>
      <c r="D87" s="38" t="s">
        <v>244</v>
      </c>
      <c r="E87" s="44" t="s">
        <v>122</v>
      </c>
      <c r="F87" s="44" t="s">
        <v>18</v>
      </c>
      <c r="G87" s="44" t="s">
        <v>108</v>
      </c>
      <c r="H87" s="44" t="s">
        <v>61</v>
      </c>
      <c r="I87" s="44" t="s">
        <v>116</v>
      </c>
      <c r="J87" s="44" t="s">
        <v>14</v>
      </c>
      <c r="K87" s="44" t="s">
        <v>123</v>
      </c>
      <c r="L87" s="40">
        <v>1121</v>
      </c>
      <c r="M87" s="41">
        <v>41339</v>
      </c>
      <c r="N87" s="40" t="s">
        <v>110</v>
      </c>
      <c r="O87" s="42">
        <f t="shared" si="4"/>
        <v>42370</v>
      </c>
      <c r="P87" s="40">
        <v>20</v>
      </c>
      <c r="Q87" s="120">
        <f>'[3]AEP_OH_CS - test CSGS3UMS'!G10</f>
        <v>22.526221960789766</v>
      </c>
      <c r="R87" s="120">
        <f>'[3]AEP_OH_CS - test CSGS3UMS'!H10</f>
        <v>20.376786772226453</v>
      </c>
      <c r="S87" s="120">
        <f>'[3]AEP_OH_CS - test CSGS3UMS'!I10</f>
        <v>20.285358323955233</v>
      </c>
      <c r="T87" s="120">
        <f>'[3]AEP_OH_CS - test CSGS3UMS'!J10</f>
        <v>21.270071341162922</v>
      </c>
      <c r="U87" s="120">
        <f>'[3]AEP_OH_CS - test CSGS3UMS'!K10</f>
        <v>22.805556713605192</v>
      </c>
      <c r="V87" s="91"/>
    </row>
    <row r="88" spans="1:22" x14ac:dyDescent="0.2">
      <c r="A88" s="48">
        <f t="shared" si="3"/>
        <v>80</v>
      </c>
      <c r="B88" s="43">
        <v>3</v>
      </c>
      <c r="C88" s="43">
        <v>6</v>
      </c>
      <c r="D88" s="38" t="s">
        <v>245</v>
      </c>
      <c r="E88" s="44" t="s">
        <v>125</v>
      </c>
      <c r="F88" s="44" t="s">
        <v>23</v>
      </c>
      <c r="G88" s="44" t="s">
        <v>126</v>
      </c>
      <c r="H88" s="44" t="s">
        <v>127</v>
      </c>
      <c r="I88" s="44" t="s">
        <v>27</v>
      </c>
      <c r="J88" s="44" t="s">
        <v>28</v>
      </c>
      <c r="K88" s="44" t="s">
        <v>128</v>
      </c>
      <c r="L88" s="40">
        <v>1122</v>
      </c>
      <c r="M88" s="41">
        <v>41339</v>
      </c>
      <c r="N88" s="40" t="s">
        <v>110</v>
      </c>
      <c r="O88" s="42">
        <f t="shared" si="4"/>
        <v>42370</v>
      </c>
      <c r="P88" s="40">
        <v>20</v>
      </c>
      <c r="Q88" s="120">
        <f>'[3]Ameren RateZnIII LP DS2HHMS'!G10</f>
        <v>25.966844285573423</v>
      </c>
      <c r="R88" s="120">
        <f>'[3]Ameren RateZnIII LP DS2HHMS'!H10</f>
        <v>23.942087395911763</v>
      </c>
      <c r="S88" s="120">
        <f>'[3]Ameren RateZnIII LP DS2HHMS'!I10</f>
        <v>23.801551410297247</v>
      </c>
      <c r="T88" s="120">
        <f>'[3]Ameren RateZnIII LP DS2HHMS'!J10</f>
        <v>23.762455519204426</v>
      </c>
      <c r="U88" s="120">
        <f>'[3]Ameren RateZnIII LP DS2HHMS'!K10</f>
        <v>23.940788613617507</v>
      </c>
      <c r="V88" s="91"/>
    </row>
    <row r="89" spans="1:22" x14ac:dyDescent="0.2">
      <c r="A89" s="48">
        <f t="shared" si="3"/>
        <v>81</v>
      </c>
      <c r="B89" s="43">
        <v>3</v>
      </c>
      <c r="C89" s="43">
        <v>7</v>
      </c>
      <c r="D89" s="38" t="s">
        <v>246</v>
      </c>
      <c r="E89" s="44" t="s">
        <v>130</v>
      </c>
      <c r="F89" s="44" t="s">
        <v>37</v>
      </c>
      <c r="G89" s="44" t="s">
        <v>108</v>
      </c>
      <c r="H89" s="44" t="s">
        <v>38</v>
      </c>
      <c r="I89" s="44" t="s">
        <v>38</v>
      </c>
      <c r="J89" s="44" t="s">
        <v>40</v>
      </c>
      <c r="K89" s="44" t="s">
        <v>123</v>
      </c>
      <c r="L89" s="40">
        <v>1124</v>
      </c>
      <c r="M89" s="41">
        <v>41339</v>
      </c>
      <c r="N89" s="40" t="s">
        <v>110</v>
      </c>
      <c r="O89" s="42">
        <f t="shared" si="4"/>
        <v>42370</v>
      </c>
      <c r="P89" s="40">
        <v>20</v>
      </c>
      <c r="Q89" s="120">
        <f>'[3]BGE LP_GLMS'!G10</f>
        <v>36.104936075700209</v>
      </c>
      <c r="R89" s="120">
        <f>'[3]BGE LP_GLMS'!H10</f>
        <v>34.272602644762593</v>
      </c>
      <c r="S89" s="120">
        <f>'[3]BGE LP_GLMS'!I10</f>
        <v>34.822044975212123</v>
      </c>
      <c r="T89" s="120">
        <f>'[3]BGE LP_GLMS'!J10</f>
        <v>34.229867382928845</v>
      </c>
      <c r="U89" s="120">
        <f>'[3]BGE LP_GLMS'!K10</f>
        <v>34.591147634344985</v>
      </c>
      <c r="V89" s="91"/>
    </row>
    <row r="90" spans="1:22" x14ac:dyDescent="0.2">
      <c r="A90" s="48">
        <f t="shared" si="3"/>
        <v>82</v>
      </c>
      <c r="B90" s="43">
        <v>3</v>
      </c>
      <c r="C90" s="43">
        <v>8</v>
      </c>
      <c r="D90" s="38" t="s">
        <v>247</v>
      </c>
      <c r="E90" s="44" t="s">
        <v>132</v>
      </c>
      <c r="F90" s="44" t="s">
        <v>37</v>
      </c>
      <c r="G90" s="44" t="s">
        <v>108</v>
      </c>
      <c r="H90" s="44" t="s">
        <v>38</v>
      </c>
      <c r="I90" s="44" t="s">
        <v>38</v>
      </c>
      <c r="J90" s="44" t="s">
        <v>39</v>
      </c>
      <c r="K90" s="44" t="s">
        <v>120</v>
      </c>
      <c r="L90" s="40">
        <v>1123</v>
      </c>
      <c r="M90" s="41">
        <v>41339</v>
      </c>
      <c r="N90" s="40" t="s">
        <v>110</v>
      </c>
      <c r="O90" s="42">
        <f t="shared" si="4"/>
        <v>42370</v>
      </c>
      <c r="P90" s="40">
        <v>20</v>
      </c>
      <c r="Q90" s="120">
        <f>'[3]BGE LP_GMS'!G10</f>
        <v>35.368369096924745</v>
      </c>
      <c r="R90" s="120">
        <f>'[3]BGE LP_GMS'!H10</f>
        <v>34.328292139778917</v>
      </c>
      <c r="S90" s="120">
        <f>'[3]BGE LP_GMS'!I10</f>
        <v>34.636941764438696</v>
      </c>
      <c r="T90" s="120">
        <f>'[3]BGE LP_GMS'!J10</f>
        <v>34.354258384337918</v>
      </c>
      <c r="U90" s="120">
        <f>'[3]BGE LP_GMS'!K10</f>
        <v>34.739216505860213</v>
      </c>
      <c r="V90" s="91"/>
    </row>
    <row r="91" spans="1:22" x14ac:dyDescent="0.2">
      <c r="A91" s="48">
        <f t="shared" si="3"/>
        <v>83</v>
      </c>
      <c r="B91" s="43">
        <v>3</v>
      </c>
      <c r="C91" s="43">
        <v>9</v>
      </c>
      <c r="D91" s="38" t="s">
        <v>248</v>
      </c>
      <c r="E91" s="44" t="s">
        <v>134</v>
      </c>
      <c r="F91" s="44" t="s">
        <v>37</v>
      </c>
      <c r="G91" s="44" t="s">
        <v>108</v>
      </c>
      <c r="H91" s="44" t="s">
        <v>38</v>
      </c>
      <c r="I91" s="44" t="s">
        <v>38</v>
      </c>
      <c r="J91" s="44" t="s">
        <v>6</v>
      </c>
      <c r="K91" s="44" t="s">
        <v>117</v>
      </c>
      <c r="L91" s="40">
        <v>1125</v>
      </c>
      <c r="M91" s="41">
        <v>41339</v>
      </c>
      <c r="N91" s="40" t="s">
        <v>110</v>
      </c>
      <c r="O91" s="42">
        <f t="shared" si="4"/>
        <v>42370</v>
      </c>
      <c r="P91" s="40">
        <v>20</v>
      </c>
      <c r="Q91" s="120">
        <f>'[3]BGE LP_GSMS'!G10</f>
        <v>37.099036180714847</v>
      </c>
      <c r="R91" s="120">
        <f>'[3]BGE LP_GSMS'!H10</f>
        <v>35.285714068902948</v>
      </c>
      <c r="S91" s="120">
        <f>'[3]BGE LP_GSMS'!I10</f>
        <v>35.835409937916204</v>
      </c>
      <c r="T91" s="120">
        <f>'[3]BGE LP_GSMS'!J10</f>
        <v>35.182603425648239</v>
      </c>
      <c r="U91" s="120">
        <f>'[3]BGE LP_GSMS'!K10</f>
        <v>35.530152933584091</v>
      </c>
      <c r="V91" s="91"/>
    </row>
    <row r="92" spans="1:22" x14ac:dyDescent="0.2">
      <c r="A92" s="48">
        <f t="shared" si="3"/>
        <v>84</v>
      </c>
      <c r="B92" s="43">
        <v>3</v>
      </c>
      <c r="C92" s="43">
        <v>10</v>
      </c>
      <c r="D92" s="38" t="s">
        <v>249</v>
      </c>
      <c r="E92" s="44" t="s">
        <v>136</v>
      </c>
      <c r="F92" s="44" t="s">
        <v>23</v>
      </c>
      <c r="G92" s="44" t="s">
        <v>108</v>
      </c>
      <c r="H92" s="44" t="s">
        <v>137</v>
      </c>
      <c r="I92" s="44" t="s">
        <v>24</v>
      </c>
      <c r="J92" s="44" t="s">
        <v>25</v>
      </c>
      <c r="K92" s="44" t="s">
        <v>138</v>
      </c>
      <c r="L92" s="40">
        <v>1126</v>
      </c>
      <c r="M92" s="41">
        <v>41339</v>
      </c>
      <c r="N92" s="40" t="s">
        <v>110</v>
      </c>
      <c r="O92" s="42">
        <f t="shared" si="4"/>
        <v>42370</v>
      </c>
      <c r="P92" s="40">
        <v>20</v>
      </c>
      <c r="Q92" s="120">
        <f>'[3]ComEd - test LP_28MS'!G10</f>
        <v>31.920534946351317</v>
      </c>
      <c r="R92" s="120">
        <f>'[3]ComEd - test LP_28MS'!H10</f>
        <v>29.41541968170802</v>
      </c>
      <c r="S92" s="120">
        <f>'[3]ComEd - test LP_28MS'!I10</f>
        <v>29.604904602539559</v>
      </c>
      <c r="T92" s="120">
        <f>'[3]ComEd - test LP_28MS'!J10</f>
        <v>30.516775040798493</v>
      </c>
      <c r="U92" s="120">
        <f>'[3]ComEd - test LP_28MS'!K10</f>
        <v>33.070095853316509</v>
      </c>
      <c r="V92" s="91"/>
    </row>
    <row r="93" spans="1:22" x14ac:dyDescent="0.2">
      <c r="A93" s="48">
        <f t="shared" si="3"/>
        <v>85</v>
      </c>
      <c r="B93" s="43">
        <v>3</v>
      </c>
      <c r="C93" s="43">
        <v>11</v>
      </c>
      <c r="D93" s="38" t="s">
        <v>250</v>
      </c>
      <c r="E93" s="44" t="s">
        <v>140</v>
      </c>
      <c r="F93" s="44" t="s">
        <v>23</v>
      </c>
      <c r="G93" s="44" t="s">
        <v>108</v>
      </c>
      <c r="H93" s="44" t="s">
        <v>137</v>
      </c>
      <c r="I93" s="44" t="s">
        <v>24</v>
      </c>
      <c r="J93" s="44" t="s">
        <v>26</v>
      </c>
      <c r="K93" s="44" t="s">
        <v>141</v>
      </c>
      <c r="L93" s="40">
        <v>1127</v>
      </c>
      <c r="M93" s="41">
        <v>41339</v>
      </c>
      <c r="N93" s="40" t="s">
        <v>110</v>
      </c>
      <c r="O93" s="42">
        <f t="shared" si="4"/>
        <v>42370</v>
      </c>
      <c r="P93" s="40">
        <v>20</v>
      </c>
      <c r="Q93" s="120">
        <f>'[3]ComEd - test LP_29MS'!G10</f>
        <v>31.065600738550849</v>
      </c>
      <c r="R93" s="120">
        <f>'[3]ComEd - test LP_29MS'!H10</f>
        <v>28.509892554344972</v>
      </c>
      <c r="S93" s="120">
        <f>'[3]ComEd - test LP_29MS'!I10</f>
        <v>28.707612134151208</v>
      </c>
      <c r="T93" s="120">
        <f>'[3]ComEd - test LP_29MS'!J10</f>
        <v>29.610507898379876</v>
      </c>
      <c r="U93" s="120">
        <f>'[3]ComEd - test LP_29MS'!K10</f>
        <v>32.161180307412494</v>
      </c>
      <c r="V93" s="91"/>
    </row>
    <row r="94" spans="1:22" x14ac:dyDescent="0.2">
      <c r="A94" s="48">
        <f t="shared" si="3"/>
        <v>86</v>
      </c>
      <c r="B94" s="43">
        <v>3</v>
      </c>
      <c r="C94" s="43">
        <v>12</v>
      </c>
      <c r="D94" s="38" t="s">
        <v>251</v>
      </c>
      <c r="E94" s="44" t="s">
        <v>143</v>
      </c>
      <c r="F94" s="44" t="s">
        <v>18</v>
      </c>
      <c r="G94" s="44" t="s">
        <v>108</v>
      </c>
      <c r="H94" s="44" t="s">
        <v>94</v>
      </c>
      <c r="I94" s="44" t="s">
        <v>144</v>
      </c>
      <c r="J94" s="44" t="s">
        <v>20</v>
      </c>
      <c r="K94" s="44" t="s">
        <v>145</v>
      </c>
      <c r="L94" s="40">
        <v>1128</v>
      </c>
      <c r="M94" s="41">
        <v>41339</v>
      </c>
      <c r="N94" s="40" t="s">
        <v>110</v>
      </c>
      <c r="O94" s="42">
        <f t="shared" si="4"/>
        <v>42370</v>
      </c>
      <c r="P94" s="40">
        <v>20</v>
      </c>
      <c r="Q94" s="120">
        <f>[3]DAY_RC_843MS!G10</f>
        <v>20.552792861983704</v>
      </c>
      <c r="R94" s="120">
        <f>[3]DAY_RC_843MS!H10</f>
        <v>19.453592248052065</v>
      </c>
      <c r="S94" s="120">
        <f>[3]DAY_RC_843MS!I10</f>
        <v>19.08753796918035</v>
      </c>
      <c r="T94" s="120">
        <f>[3]DAY_RC_843MS!J10</f>
        <v>20.319171383579814</v>
      </c>
      <c r="U94" s="120">
        <f>[3]DAY_RC_843MS!K10</f>
        <v>21.799547083423374</v>
      </c>
      <c r="V94" s="91"/>
    </row>
    <row r="95" spans="1:22" x14ac:dyDescent="0.2">
      <c r="A95" s="48">
        <f t="shared" si="3"/>
        <v>87</v>
      </c>
      <c r="B95" s="43">
        <v>3</v>
      </c>
      <c r="C95" s="43">
        <v>13</v>
      </c>
      <c r="D95" s="38" t="s">
        <v>252</v>
      </c>
      <c r="E95" s="44" t="s">
        <v>147</v>
      </c>
      <c r="F95" s="44" t="s">
        <v>37</v>
      </c>
      <c r="G95" s="44" t="s">
        <v>108</v>
      </c>
      <c r="H95" s="44" t="s">
        <v>41</v>
      </c>
      <c r="I95" s="44" t="s">
        <v>41</v>
      </c>
      <c r="J95" s="44" t="s">
        <v>6</v>
      </c>
      <c r="K95" s="44" t="s">
        <v>128</v>
      </c>
      <c r="L95" s="40">
        <v>1129</v>
      </c>
      <c r="M95" s="41">
        <v>41339</v>
      </c>
      <c r="N95" s="40" t="s">
        <v>110</v>
      </c>
      <c r="O95" s="42">
        <f t="shared" si="4"/>
        <v>42370</v>
      </c>
      <c r="P95" s="40">
        <v>20</v>
      </c>
      <c r="Q95" s="120">
        <f>'[3]Delmarva MD LP_MDGS_MMS'!G10</f>
        <v>39.484322516054704</v>
      </c>
      <c r="R95" s="120">
        <f>'[3]Delmarva MD LP_MDGS_MMS'!H10</f>
        <v>37.925947775316089</v>
      </c>
      <c r="S95" s="120">
        <f>'[3]Delmarva MD LP_MDGS_MMS'!I10</f>
        <v>38.208119841864786</v>
      </c>
      <c r="T95" s="120">
        <f>'[3]Delmarva MD LP_MDGS_MMS'!J10</f>
        <v>37.813977888290346</v>
      </c>
      <c r="U95" s="120">
        <f>'[3]Delmarva MD LP_MDGS_MMS'!K10</f>
        <v>39.722458236958836</v>
      </c>
      <c r="V95" s="91"/>
    </row>
    <row r="96" spans="1:22" x14ac:dyDescent="0.2">
      <c r="A96" s="48">
        <f t="shared" si="3"/>
        <v>88</v>
      </c>
      <c r="B96" s="43">
        <v>3</v>
      </c>
      <c r="C96" s="43">
        <v>14</v>
      </c>
      <c r="D96" s="38" t="s">
        <v>253</v>
      </c>
      <c r="E96" s="44" t="s">
        <v>149</v>
      </c>
      <c r="F96" s="44" t="s">
        <v>5</v>
      </c>
      <c r="G96" s="44" t="s">
        <v>108</v>
      </c>
      <c r="H96" s="44" t="s">
        <v>46</v>
      </c>
      <c r="I96" s="44" t="s">
        <v>46</v>
      </c>
      <c r="J96" s="44" t="s">
        <v>6</v>
      </c>
      <c r="K96" s="44" t="s">
        <v>128</v>
      </c>
      <c r="L96" s="40">
        <v>1130</v>
      </c>
      <c r="M96" s="41">
        <v>41339</v>
      </c>
      <c r="N96" s="40" t="s">
        <v>110</v>
      </c>
      <c r="O96" s="42">
        <f t="shared" si="4"/>
        <v>42370</v>
      </c>
      <c r="P96" s="40">
        <v>20</v>
      </c>
      <c r="Q96" s="120">
        <f>'[3]DQE LP_GSGM_MMS'!G10</f>
        <v>34.857657149932024</v>
      </c>
      <c r="R96" s="120">
        <f>'[3]DQE LP_GSGM_MMS'!H10</f>
        <v>32.177548726026707</v>
      </c>
      <c r="S96" s="120">
        <f>'[3]DQE LP_GSGM_MMS'!I10</f>
        <v>32.259039382561113</v>
      </c>
      <c r="T96" s="120">
        <f>'[3]DQE LP_GSGM_MMS'!J10</f>
        <v>33.193334953290524</v>
      </c>
      <c r="U96" s="120">
        <f>'[3]DQE LP_GSGM_MMS'!K10</f>
        <v>34.794490842374337</v>
      </c>
      <c r="V96" s="91"/>
    </row>
    <row r="97" spans="1:22" x14ac:dyDescent="0.2">
      <c r="A97" s="48">
        <f t="shared" si="3"/>
        <v>89</v>
      </c>
      <c r="B97" s="43">
        <v>3</v>
      </c>
      <c r="C97" s="43">
        <v>15</v>
      </c>
      <c r="D97" s="38" t="s">
        <v>254</v>
      </c>
      <c r="E97" s="44" t="s">
        <v>151</v>
      </c>
      <c r="F97" s="44" t="s">
        <v>18</v>
      </c>
      <c r="G97" s="44" t="s">
        <v>108</v>
      </c>
      <c r="H97" s="44" t="s">
        <v>21</v>
      </c>
      <c r="I97" s="44" t="s">
        <v>152</v>
      </c>
      <c r="J97" s="44" t="s">
        <v>22</v>
      </c>
      <c r="K97" s="44" t="s">
        <v>128</v>
      </c>
      <c r="L97" s="40">
        <v>1131</v>
      </c>
      <c r="M97" s="41">
        <v>41339</v>
      </c>
      <c r="N97" s="40" t="s">
        <v>110</v>
      </c>
      <c r="O97" s="42">
        <f t="shared" si="4"/>
        <v>42370</v>
      </c>
      <c r="P97" s="40">
        <v>20</v>
      </c>
      <c r="Q97" s="120">
        <f>[3]Duke_OH_RC_DS01MS!G10</f>
        <v>21.592490307513557</v>
      </c>
      <c r="R97" s="120">
        <f>[3]Duke_OH_RC_DS01MS!H10</f>
        <v>19.481767660729012</v>
      </c>
      <c r="S97" s="120">
        <f>[3]Duke_OH_RC_DS01MS!I10</f>
        <v>19.341807533352988</v>
      </c>
      <c r="T97" s="120">
        <f>[3]Duke_OH_RC_DS01MS!J10</f>
        <v>20.279282994316777</v>
      </c>
      <c r="U97" s="120">
        <f>[3]Duke_OH_RC_DS01MS!K10</f>
        <v>21.605122687003924</v>
      </c>
      <c r="V97" s="91"/>
    </row>
    <row r="98" spans="1:22" x14ac:dyDescent="0.2">
      <c r="A98" s="48">
        <f t="shared" si="3"/>
        <v>90</v>
      </c>
      <c r="B98" s="43">
        <v>3</v>
      </c>
      <c r="C98" s="43">
        <v>16</v>
      </c>
      <c r="D98" s="38" t="s">
        <v>255</v>
      </c>
      <c r="E98" s="44" t="s">
        <v>154</v>
      </c>
      <c r="F98" s="44" t="s">
        <v>18</v>
      </c>
      <c r="G98" s="44" t="s">
        <v>108</v>
      </c>
      <c r="H98" s="44" t="s">
        <v>62</v>
      </c>
      <c r="I98" s="44" t="s">
        <v>155</v>
      </c>
      <c r="J98" s="44" t="s">
        <v>6</v>
      </c>
      <c r="K98" s="44" t="s">
        <v>128</v>
      </c>
      <c r="L98" s="40">
        <v>1132</v>
      </c>
      <c r="M98" s="41">
        <v>41339</v>
      </c>
      <c r="N98" s="40" t="s">
        <v>110</v>
      </c>
      <c r="O98" s="42">
        <f t="shared" si="4"/>
        <v>42370</v>
      </c>
      <c r="P98" s="40">
        <v>20</v>
      </c>
      <c r="Q98" s="120">
        <f>'[3]FE_OE - test RC_GSFMS'!G10</f>
        <v>36.059103184466373</v>
      </c>
      <c r="R98" s="120">
        <f>'[3]FE_OE - test RC_GSFMS'!H10</f>
        <v>28.695749739764416</v>
      </c>
      <c r="S98" s="120">
        <f>'[3]FE_OE - test RC_GSFMS'!I10</f>
        <v>26.495730045952733</v>
      </c>
      <c r="T98" s="120">
        <f>'[3]FE_OE - test RC_GSFMS'!J10</f>
        <v>25.794778957591966</v>
      </c>
      <c r="U98" s="120">
        <f>'[3]FE_OE - test RC_GSFMS'!K10</f>
        <v>25.492274565513462</v>
      </c>
      <c r="V98" s="91"/>
    </row>
    <row r="99" spans="1:22" x14ac:dyDescent="0.2">
      <c r="A99" s="48">
        <f t="shared" si="3"/>
        <v>91</v>
      </c>
      <c r="B99" s="43">
        <v>3</v>
      </c>
      <c r="C99" s="43">
        <v>17</v>
      </c>
      <c r="D99" s="38" t="s">
        <v>256</v>
      </c>
      <c r="E99" s="44" t="s">
        <v>157</v>
      </c>
      <c r="F99" s="44" t="s">
        <v>29</v>
      </c>
      <c r="G99" s="44" t="s">
        <v>108</v>
      </c>
      <c r="H99" s="44" t="s">
        <v>33</v>
      </c>
      <c r="I99" s="44" t="s">
        <v>33</v>
      </c>
      <c r="J99" s="44" t="s">
        <v>7</v>
      </c>
      <c r="K99" s="44" t="s">
        <v>123</v>
      </c>
      <c r="L99" s="40">
        <v>1133</v>
      </c>
      <c r="M99" s="41">
        <v>41339</v>
      </c>
      <c r="N99" s="40" t="s">
        <v>110</v>
      </c>
      <c r="O99" s="42">
        <f t="shared" si="4"/>
        <v>42370</v>
      </c>
      <c r="P99" s="40">
        <v>20</v>
      </c>
      <c r="Q99" s="120">
        <f>'[3]JCPL LP_GSCLMS'!G10</f>
        <v>37.948742689923563</v>
      </c>
      <c r="R99" s="120">
        <f>'[3]JCPL LP_GSCLMS'!H10</f>
        <v>35.666493085679626</v>
      </c>
      <c r="S99" s="120">
        <f>'[3]JCPL LP_GSCLMS'!I10</f>
        <v>37.592370359198078</v>
      </c>
      <c r="T99" s="120">
        <f>'[3]JCPL LP_GSCLMS'!J10</f>
        <v>37.773032933872948</v>
      </c>
      <c r="U99" s="120">
        <f>'[3]JCPL LP_GSCLMS'!K10</f>
        <v>40.340778331738719</v>
      </c>
      <c r="V99" s="91"/>
    </row>
    <row r="100" spans="1:22" x14ac:dyDescent="0.2">
      <c r="A100" s="48">
        <f t="shared" si="3"/>
        <v>92</v>
      </c>
      <c r="B100" s="43">
        <v>3</v>
      </c>
      <c r="C100" s="43">
        <v>18</v>
      </c>
      <c r="D100" s="38" t="s">
        <v>257</v>
      </c>
      <c r="E100" s="44" t="s">
        <v>159</v>
      </c>
      <c r="F100" s="44" t="s">
        <v>29</v>
      </c>
      <c r="G100" s="44" t="s">
        <v>108</v>
      </c>
      <c r="H100" s="44" t="s">
        <v>33</v>
      </c>
      <c r="I100" s="44" t="s">
        <v>33</v>
      </c>
      <c r="J100" s="44" t="s">
        <v>8</v>
      </c>
      <c r="K100" s="44" t="s">
        <v>120</v>
      </c>
      <c r="L100" s="40">
        <v>1134</v>
      </c>
      <c r="M100" s="41">
        <v>41339</v>
      </c>
      <c r="N100" s="40" t="s">
        <v>110</v>
      </c>
      <c r="O100" s="42">
        <f t="shared" si="4"/>
        <v>42370</v>
      </c>
      <c r="P100" s="40">
        <v>20</v>
      </c>
      <c r="Q100" s="120">
        <f>'[3]JCPL LP_GSCMMS'!G10</f>
        <v>34.749286252613139</v>
      </c>
      <c r="R100" s="120">
        <f>'[3]JCPL LP_GSCMMS'!H10</f>
        <v>36.593186892538938</v>
      </c>
      <c r="S100" s="120">
        <f>'[3]JCPL LP_GSCMMS'!I10</f>
        <v>37.394809461552882</v>
      </c>
      <c r="T100" s="120">
        <f>'[3]JCPL LP_GSCMMS'!J10</f>
        <v>38.70138060382439</v>
      </c>
      <c r="U100" s="120">
        <f>'[3]JCPL LP_GSCMMS'!K10</f>
        <v>41.223657446581022</v>
      </c>
      <c r="V100" s="91"/>
    </row>
    <row r="101" spans="1:22" x14ac:dyDescent="0.2">
      <c r="A101" s="48">
        <f t="shared" si="3"/>
        <v>93</v>
      </c>
      <c r="B101" s="43">
        <v>3</v>
      </c>
      <c r="C101" s="43">
        <v>19</v>
      </c>
      <c r="D101" s="38" t="s">
        <v>258</v>
      </c>
      <c r="E101" s="44" t="s">
        <v>161</v>
      </c>
      <c r="F101" s="44" t="s">
        <v>29</v>
      </c>
      <c r="G101" s="44" t="s">
        <v>108</v>
      </c>
      <c r="H101" s="44" t="s">
        <v>33</v>
      </c>
      <c r="I101" s="44" t="s">
        <v>33</v>
      </c>
      <c r="J101" s="44" t="s">
        <v>9</v>
      </c>
      <c r="K101" s="44" t="s">
        <v>117</v>
      </c>
      <c r="L101" s="40">
        <v>1135</v>
      </c>
      <c r="M101" s="41">
        <v>41339</v>
      </c>
      <c r="N101" s="40" t="s">
        <v>110</v>
      </c>
      <c r="O101" s="42">
        <f t="shared" si="4"/>
        <v>42370</v>
      </c>
      <c r="P101" s="40">
        <v>20</v>
      </c>
      <c r="Q101" s="120">
        <f>'[3]JCPL LP_GSCSMS'!G10</f>
        <v>34.749286252613139</v>
      </c>
      <c r="R101" s="120">
        <f>'[3]JCPL LP_GSCSMS'!H10</f>
        <v>36.593186892538938</v>
      </c>
      <c r="S101" s="120">
        <f>'[3]JCPL LP_GSCSMS'!I10</f>
        <v>37.394809461552882</v>
      </c>
      <c r="T101" s="120">
        <f>'[3]JCPL LP_GSCSMS'!J10</f>
        <v>38.70138060382439</v>
      </c>
      <c r="U101" s="120">
        <f>'[3]JCPL LP_GSCSMS'!K10</f>
        <v>41.223657446581022</v>
      </c>
      <c r="V101" s="91"/>
    </row>
    <row r="102" spans="1:22" x14ac:dyDescent="0.2">
      <c r="A102" s="48">
        <f t="shared" si="3"/>
        <v>94</v>
      </c>
      <c r="B102" s="43">
        <v>3</v>
      </c>
      <c r="C102" s="43">
        <v>20</v>
      </c>
      <c r="D102" s="38" t="s">
        <v>259</v>
      </c>
      <c r="E102" s="44" t="s">
        <v>163</v>
      </c>
      <c r="F102" s="44" t="s">
        <v>5</v>
      </c>
      <c r="G102" s="44" t="s">
        <v>108</v>
      </c>
      <c r="H102" s="44" t="s">
        <v>164</v>
      </c>
      <c r="I102" s="44" t="s">
        <v>165</v>
      </c>
      <c r="J102" s="44" t="s">
        <v>7</v>
      </c>
      <c r="K102" s="44" t="s">
        <v>123</v>
      </c>
      <c r="L102" s="40">
        <v>1137</v>
      </c>
      <c r="M102" s="41">
        <v>41339</v>
      </c>
      <c r="N102" s="40" t="s">
        <v>110</v>
      </c>
      <c r="O102" s="42">
        <f t="shared" si="4"/>
        <v>42370</v>
      </c>
      <c r="P102" s="40">
        <v>20</v>
      </c>
      <c r="Q102" s="120">
        <f>'[3]MetEd RC_GSLFMS'!G10</f>
        <v>21.887189942106534</v>
      </c>
      <c r="R102" s="120">
        <f>'[3]MetEd RC_GSLFMS'!H10</f>
        <v>19.081825563965673</v>
      </c>
      <c r="S102" s="120">
        <f>'[3]MetEd RC_GSLFMS'!I10</f>
        <v>20.443997638104094</v>
      </c>
      <c r="T102" s="120">
        <f>'[3]MetEd RC_GSLFMS'!J10</f>
        <v>20.05285553443969</v>
      </c>
      <c r="U102" s="120">
        <f>'[3]MetEd RC_GSLFMS'!K10</f>
        <v>21.19817017885773</v>
      </c>
      <c r="V102" s="91"/>
    </row>
    <row r="103" spans="1:22" x14ac:dyDescent="0.2">
      <c r="A103" s="48">
        <f t="shared" si="3"/>
        <v>95</v>
      </c>
      <c r="B103" s="43">
        <v>3</v>
      </c>
      <c r="C103" s="43">
        <v>21</v>
      </c>
      <c r="D103" s="38" t="s">
        <v>260</v>
      </c>
      <c r="E103" s="44" t="s">
        <v>167</v>
      </c>
      <c r="F103" s="44" t="s">
        <v>5</v>
      </c>
      <c r="G103" s="44" t="s">
        <v>108</v>
      </c>
      <c r="H103" s="44" t="s">
        <v>164</v>
      </c>
      <c r="I103" s="44" t="s">
        <v>165</v>
      </c>
      <c r="J103" s="44" t="s">
        <v>8</v>
      </c>
      <c r="K103" s="44" t="s">
        <v>120</v>
      </c>
      <c r="L103" s="40">
        <v>1136</v>
      </c>
      <c r="M103" s="41">
        <v>41339</v>
      </c>
      <c r="N103" s="40" t="s">
        <v>110</v>
      </c>
      <c r="O103" s="42">
        <f t="shared" si="4"/>
        <v>42370</v>
      </c>
      <c r="P103" s="40">
        <v>20</v>
      </c>
      <c r="Q103" s="120">
        <f>'[3]MetEd RC_GSDFMS'!G10</f>
        <v>23.096103644921634</v>
      </c>
      <c r="R103" s="120">
        <f>'[3]MetEd RC_GSDFMS'!H10</f>
        <v>20.267716050296062</v>
      </c>
      <c r="S103" s="120">
        <f>'[3]MetEd RC_GSDFMS'!I10</f>
        <v>21.612810289981095</v>
      </c>
      <c r="T103" s="120">
        <f>'[3]MetEd RC_GSDFMS'!J10</f>
        <v>21.24163394942148</v>
      </c>
      <c r="U103" s="120">
        <f>'[3]MetEd RC_GSDFMS'!K10</f>
        <v>22.362079391662956</v>
      </c>
      <c r="V103" s="91"/>
    </row>
    <row r="104" spans="1:22" x14ac:dyDescent="0.2">
      <c r="A104" s="48">
        <f t="shared" si="3"/>
        <v>96</v>
      </c>
      <c r="B104" s="43">
        <v>3</v>
      </c>
      <c r="C104" s="43">
        <v>22</v>
      </c>
      <c r="D104" s="38" t="s">
        <v>261</v>
      </c>
      <c r="E104" s="44" t="s">
        <v>169</v>
      </c>
      <c r="F104" s="44" t="s">
        <v>5</v>
      </c>
      <c r="G104" s="44" t="s">
        <v>108</v>
      </c>
      <c r="H104" s="44" t="s">
        <v>164</v>
      </c>
      <c r="I104" s="44" t="s">
        <v>165</v>
      </c>
      <c r="J104" s="44" t="s">
        <v>9</v>
      </c>
      <c r="K104" s="44" t="s">
        <v>117</v>
      </c>
      <c r="L104" s="40">
        <v>1138</v>
      </c>
      <c r="M104" s="41">
        <v>41339</v>
      </c>
      <c r="N104" s="40" t="s">
        <v>110</v>
      </c>
      <c r="O104" s="42">
        <f t="shared" si="4"/>
        <v>42370</v>
      </c>
      <c r="P104" s="40">
        <v>20</v>
      </c>
      <c r="Q104" s="120">
        <f>'[3]MetEd RC_GSSFMS'!G10</f>
        <v>24.002229324470054</v>
      </c>
      <c r="R104" s="120">
        <f>'[3]MetEd RC_GSSFMS'!H10</f>
        <v>20.381703032668931</v>
      </c>
      <c r="S104" s="120">
        <f>'[3]MetEd RC_GSSFMS'!I10</f>
        <v>21.929001881029137</v>
      </c>
      <c r="T104" s="120">
        <f>'[3]MetEd RC_GSSFMS'!J10</f>
        <v>21.31064391908436</v>
      </c>
      <c r="U104" s="120">
        <f>'[3]MetEd RC_GSSFMS'!K10</f>
        <v>22.377048028116782</v>
      </c>
      <c r="V104" s="91"/>
    </row>
    <row r="105" spans="1:22" x14ac:dyDescent="0.2">
      <c r="A105" s="48">
        <f t="shared" si="3"/>
        <v>97</v>
      </c>
      <c r="B105" s="43">
        <v>3</v>
      </c>
      <c r="C105" s="43">
        <v>23</v>
      </c>
      <c r="D105" s="38" t="s">
        <v>262</v>
      </c>
      <c r="E105" s="44" t="s">
        <v>171</v>
      </c>
      <c r="F105" s="44" t="s">
        <v>5</v>
      </c>
      <c r="G105" s="44" t="s">
        <v>108</v>
      </c>
      <c r="H105" s="44" t="s">
        <v>11</v>
      </c>
      <c r="I105" s="44" t="s">
        <v>11</v>
      </c>
      <c r="J105" s="44" t="s">
        <v>6</v>
      </c>
      <c r="K105" s="44" t="s">
        <v>128</v>
      </c>
      <c r="L105" s="40">
        <v>1139</v>
      </c>
      <c r="M105" s="41">
        <v>41339</v>
      </c>
      <c r="N105" s="40" t="s">
        <v>110</v>
      </c>
      <c r="O105" s="42">
        <f t="shared" si="4"/>
        <v>42370</v>
      </c>
      <c r="P105" s="40">
        <v>20</v>
      </c>
      <c r="Q105" s="120">
        <f>'[3]PECO LP_GSMS'!G10</f>
        <v>28.052193826137351</v>
      </c>
      <c r="R105" s="120">
        <f>'[3]PECO LP_GSMS'!H10</f>
        <v>24.835646294733102</v>
      </c>
      <c r="S105" s="120">
        <f>'[3]PECO LP_GSMS'!I10</f>
        <v>25.911092241603733</v>
      </c>
      <c r="T105" s="120">
        <f>'[3]PECO LP_GSMS'!J10</f>
        <v>25.196534938953025</v>
      </c>
      <c r="U105" s="120">
        <f>'[3]PECO LP_GSMS'!K10</f>
        <v>26.980027466002927</v>
      </c>
      <c r="V105" s="91"/>
    </row>
    <row r="106" spans="1:22" x14ac:dyDescent="0.2">
      <c r="A106" s="48">
        <f t="shared" si="3"/>
        <v>98</v>
      </c>
      <c r="B106" s="43">
        <v>3</v>
      </c>
      <c r="C106" s="43">
        <v>24</v>
      </c>
      <c r="D106" s="38" t="s">
        <v>263</v>
      </c>
      <c r="E106" s="44" t="s">
        <v>173</v>
      </c>
      <c r="F106" s="44" t="s">
        <v>5</v>
      </c>
      <c r="G106" s="44" t="s">
        <v>108</v>
      </c>
      <c r="H106" s="44" t="s">
        <v>10</v>
      </c>
      <c r="I106" s="44" t="s">
        <v>174</v>
      </c>
      <c r="J106" s="44" t="s">
        <v>7</v>
      </c>
      <c r="K106" s="44" t="s">
        <v>123</v>
      </c>
      <c r="L106" s="40">
        <v>1140</v>
      </c>
      <c r="M106" s="41">
        <v>41339</v>
      </c>
      <c r="N106" s="40" t="s">
        <v>110</v>
      </c>
      <c r="O106" s="42">
        <f t="shared" si="4"/>
        <v>42370</v>
      </c>
      <c r="P106" s="40">
        <v>20</v>
      </c>
      <c r="Q106" s="120">
        <f>'[3]Penelec RC_GSLFMS'!G10</f>
        <v>26.1393784566724</v>
      </c>
      <c r="R106" s="120">
        <f>'[3]Penelec RC_GSLFMS'!H10</f>
        <v>25.610651127164168</v>
      </c>
      <c r="S106" s="120">
        <f>'[3]Penelec RC_GSLFMS'!I10</f>
        <v>25.7352619696379</v>
      </c>
      <c r="T106" s="120">
        <f>'[3]Penelec RC_GSLFMS'!J10</f>
        <v>25.605568399957413</v>
      </c>
      <c r="U106" s="120">
        <f>'[3]Penelec RC_GSLFMS'!K10</f>
        <v>25.996722139375223</v>
      </c>
      <c r="V106" s="91"/>
    </row>
    <row r="107" spans="1:22" x14ac:dyDescent="0.2">
      <c r="A107" s="48">
        <f t="shared" si="3"/>
        <v>99</v>
      </c>
      <c r="B107" s="43">
        <v>3</v>
      </c>
      <c r="C107" s="43">
        <v>25</v>
      </c>
      <c r="D107" s="38" t="s">
        <v>264</v>
      </c>
      <c r="E107" s="44" t="s">
        <v>176</v>
      </c>
      <c r="F107" s="44" t="s">
        <v>5</v>
      </c>
      <c r="G107" s="44" t="s">
        <v>108</v>
      </c>
      <c r="H107" s="44" t="s">
        <v>10</v>
      </c>
      <c r="I107" s="44" t="s">
        <v>174</v>
      </c>
      <c r="J107" s="44" t="s">
        <v>8</v>
      </c>
      <c r="K107" s="44" t="s">
        <v>120</v>
      </c>
      <c r="L107" s="40">
        <v>1141</v>
      </c>
      <c r="M107" s="41">
        <v>41339</v>
      </c>
      <c r="N107" s="40" t="s">
        <v>110</v>
      </c>
      <c r="O107" s="42">
        <f t="shared" si="4"/>
        <v>42370</v>
      </c>
      <c r="P107" s="40">
        <v>20</v>
      </c>
      <c r="Q107" s="120">
        <f>'[3]Penelec RC_GSMFMS'!G10</f>
        <v>27.232442952469388</v>
      </c>
      <c r="R107" s="120">
        <f>'[3]Penelec RC_GSMFMS'!H10</f>
        <v>26.715330574724184</v>
      </c>
      <c r="S107" s="120">
        <f>'[3]Penelec RC_GSMFMS'!I10</f>
        <v>26.834049222133732</v>
      </c>
      <c r="T107" s="120">
        <f>'[3]Penelec RC_GSMFMS'!J10</f>
        <v>26.704550848724466</v>
      </c>
      <c r="U107" s="120">
        <f>'[3]Penelec RC_GSMFMS'!K10</f>
        <v>27.091648518398536</v>
      </c>
      <c r="V107" s="91"/>
    </row>
    <row r="108" spans="1:22" x14ac:dyDescent="0.2">
      <c r="A108" s="48">
        <f t="shared" si="3"/>
        <v>100</v>
      </c>
      <c r="B108" s="43">
        <v>3</v>
      </c>
      <c r="C108" s="43">
        <v>26</v>
      </c>
      <c r="D108" s="38" t="s">
        <v>265</v>
      </c>
      <c r="E108" s="44" t="s">
        <v>178</v>
      </c>
      <c r="F108" s="44" t="s">
        <v>5</v>
      </c>
      <c r="G108" s="44" t="s">
        <v>108</v>
      </c>
      <c r="H108" s="44" t="s">
        <v>10</v>
      </c>
      <c r="I108" s="44" t="s">
        <v>174</v>
      </c>
      <c r="J108" s="44" t="s">
        <v>9</v>
      </c>
      <c r="K108" s="44" t="s">
        <v>117</v>
      </c>
      <c r="L108" s="40">
        <v>1142</v>
      </c>
      <c r="M108" s="41">
        <v>41339</v>
      </c>
      <c r="N108" s="40" t="s">
        <v>110</v>
      </c>
      <c r="O108" s="42">
        <f t="shared" si="4"/>
        <v>42370</v>
      </c>
      <c r="P108" s="40">
        <v>20</v>
      </c>
      <c r="Q108" s="120">
        <f>'[3]Penelec RC_GSSFMS'!G10</f>
        <v>26.207130404501036</v>
      </c>
      <c r="R108" s="120">
        <f>'[3]Penelec RC_GSSFMS'!H10</f>
        <v>26.721860593914073</v>
      </c>
      <c r="S108" s="120">
        <f>'[3]Penelec RC_GSSFMS'!I10</f>
        <v>26.533073036866341</v>
      </c>
      <c r="T108" s="120">
        <f>'[3]Penelec RC_GSSFMS'!J10</f>
        <v>26.69717562411309</v>
      </c>
      <c r="U108" s="120">
        <f>'[3]Penelec RC_GSSFMS'!K10</f>
        <v>27.081315930827998</v>
      </c>
      <c r="V108" s="91"/>
    </row>
    <row r="109" spans="1:22" x14ac:dyDescent="0.2">
      <c r="A109" s="48">
        <f t="shared" si="3"/>
        <v>101</v>
      </c>
      <c r="B109" s="43">
        <v>3</v>
      </c>
      <c r="C109" s="43">
        <v>27</v>
      </c>
      <c r="D109" s="38" t="s">
        <v>266</v>
      </c>
      <c r="E109" s="44" t="s">
        <v>180</v>
      </c>
      <c r="F109" s="44" t="s">
        <v>5</v>
      </c>
      <c r="G109" s="44" t="s">
        <v>108</v>
      </c>
      <c r="H109" s="44" t="s">
        <v>91</v>
      </c>
      <c r="I109" s="44" t="s">
        <v>181</v>
      </c>
      <c r="J109" s="44" t="s">
        <v>6</v>
      </c>
      <c r="K109" s="44" t="s">
        <v>128</v>
      </c>
      <c r="L109" s="40">
        <v>1143</v>
      </c>
      <c r="M109" s="41">
        <v>41339</v>
      </c>
      <c r="N109" s="40" t="s">
        <v>110</v>
      </c>
      <c r="O109" s="42">
        <f t="shared" si="4"/>
        <v>42370</v>
      </c>
      <c r="P109" s="40">
        <v>20</v>
      </c>
      <c r="Q109" s="120">
        <f>'[3]Penn Power RC_GMDMS'!G10</f>
        <v>46.947472058178576</v>
      </c>
      <c r="R109" s="120">
        <f>'[3]Penn Power RC_GMDMS'!H10</f>
        <v>39.669334994996497</v>
      </c>
      <c r="S109" s="120">
        <f>'[3]Penn Power RC_GMDMS'!I10</f>
        <v>37.475816163849856</v>
      </c>
      <c r="T109" s="120">
        <f>'[3]Penn Power RC_GMDMS'!J10</f>
        <v>36.802485191986584</v>
      </c>
      <c r="U109" s="120">
        <f>'[3]Penn Power RC_GMDMS'!K10</f>
        <v>36.547154661294392</v>
      </c>
      <c r="V109" s="91"/>
    </row>
    <row r="110" spans="1:22" x14ac:dyDescent="0.2">
      <c r="A110" s="48">
        <f t="shared" si="3"/>
        <v>102</v>
      </c>
      <c r="B110" s="43">
        <v>3</v>
      </c>
      <c r="C110" s="43">
        <v>28</v>
      </c>
      <c r="D110" s="38" t="s">
        <v>267</v>
      </c>
      <c r="E110" s="44" t="s">
        <v>183</v>
      </c>
      <c r="F110" s="44" t="s">
        <v>37</v>
      </c>
      <c r="G110" s="44" t="s">
        <v>108</v>
      </c>
      <c r="H110" s="44" t="s">
        <v>42</v>
      </c>
      <c r="I110" s="44" t="s">
        <v>42</v>
      </c>
      <c r="J110" s="44" t="s">
        <v>6</v>
      </c>
      <c r="K110" s="44" t="s">
        <v>128</v>
      </c>
      <c r="L110" s="40">
        <v>1144</v>
      </c>
      <c r="M110" s="41">
        <v>41339</v>
      </c>
      <c r="N110" s="40" t="s">
        <v>110</v>
      </c>
      <c r="O110" s="42">
        <f t="shared" si="4"/>
        <v>42370</v>
      </c>
      <c r="P110" s="40">
        <v>20</v>
      </c>
      <c r="Q110" s="120">
        <f>'[3]PEPCO MD LP_MDNDMS'!G10</f>
        <v>36.091591075668688</v>
      </c>
      <c r="R110" s="120">
        <f>'[3]PEPCO MD LP_MDNDMS'!H10</f>
        <v>35.130574695864723</v>
      </c>
      <c r="S110" s="120">
        <f>'[3]PEPCO MD LP_MDNDMS'!I10</f>
        <v>35.223188063102469</v>
      </c>
      <c r="T110" s="120">
        <f>'[3]PEPCO MD LP_MDNDMS'!J10</f>
        <v>34.943287471865844</v>
      </c>
      <c r="U110" s="120">
        <f>'[3]PEPCO MD LP_MDNDMS'!K10</f>
        <v>35.180328172164472</v>
      </c>
      <c r="V110" s="91"/>
    </row>
    <row r="111" spans="1:22" x14ac:dyDescent="0.2">
      <c r="A111" s="48">
        <f t="shared" si="3"/>
        <v>103</v>
      </c>
      <c r="B111" s="43">
        <v>3</v>
      </c>
      <c r="C111" s="43">
        <v>29</v>
      </c>
      <c r="D111" s="38" t="s">
        <v>268</v>
      </c>
      <c r="E111" s="44" t="s">
        <v>185</v>
      </c>
      <c r="F111" s="44" t="s">
        <v>37</v>
      </c>
      <c r="G111" s="44" t="s">
        <v>108</v>
      </c>
      <c r="H111" s="44" t="s">
        <v>42</v>
      </c>
      <c r="I111" s="44" t="s">
        <v>42</v>
      </c>
      <c r="J111" s="44" t="s">
        <v>43</v>
      </c>
      <c r="K111" s="44" t="s">
        <v>186</v>
      </c>
      <c r="L111" s="40">
        <v>1145</v>
      </c>
      <c r="M111" s="41">
        <v>41339</v>
      </c>
      <c r="N111" s="40" t="s">
        <v>110</v>
      </c>
      <c r="O111" s="42">
        <f t="shared" si="4"/>
        <v>42370</v>
      </c>
      <c r="P111" s="40">
        <v>20</v>
      </c>
      <c r="Q111" s="120">
        <f>'[3]PEPCO MD LP_MMGTL2AMS'!G10</f>
        <v>35.339871234427413</v>
      </c>
      <c r="R111" s="120">
        <f>'[3]PEPCO MD LP_MMGTL2AMS'!H10</f>
        <v>34.025272996880041</v>
      </c>
      <c r="S111" s="120">
        <f>'[3]PEPCO MD LP_MMGTL2AMS'!I10</f>
        <v>34.273872943790906</v>
      </c>
      <c r="T111" s="120">
        <f>'[3]PEPCO MD LP_MMGTL2AMS'!J10</f>
        <v>33.864382969285238</v>
      </c>
      <c r="U111" s="120">
        <f>'[3]PEPCO MD LP_MMGTL2AMS'!K10</f>
        <v>34.090974473034819</v>
      </c>
      <c r="V111" s="91"/>
    </row>
    <row r="112" spans="1:22" x14ac:dyDescent="0.2">
      <c r="A112" s="48">
        <f t="shared" si="3"/>
        <v>104</v>
      </c>
      <c r="B112" s="43">
        <v>3</v>
      </c>
      <c r="C112" s="43">
        <v>30</v>
      </c>
      <c r="D112" s="38" t="s">
        <v>269</v>
      </c>
      <c r="E112" s="44" t="s">
        <v>188</v>
      </c>
      <c r="F112" s="44" t="s">
        <v>37</v>
      </c>
      <c r="G112" s="44" t="s">
        <v>108</v>
      </c>
      <c r="H112" s="44" t="s">
        <v>42</v>
      </c>
      <c r="I112" s="44" t="s">
        <v>42</v>
      </c>
      <c r="J112" s="44" t="s">
        <v>44</v>
      </c>
      <c r="K112" s="44" t="s">
        <v>44</v>
      </c>
      <c r="L112" s="40">
        <v>1146</v>
      </c>
      <c r="M112" s="41">
        <v>41339</v>
      </c>
      <c r="N112" s="40" t="s">
        <v>110</v>
      </c>
      <c r="O112" s="42">
        <f t="shared" si="4"/>
        <v>42370</v>
      </c>
      <c r="P112" s="40">
        <v>20</v>
      </c>
      <c r="Q112" s="120">
        <f>'[3]PEPCO MD RC_3T7MS'!G10</f>
        <v>35.801278598663238</v>
      </c>
      <c r="R112" s="120">
        <f>'[3]PEPCO MD RC_3T7MS'!H10</f>
        <v>34.832323636379833</v>
      </c>
      <c r="S112" s="120">
        <f>'[3]PEPCO MD RC_3T7MS'!I10</f>
        <v>34.999004898144079</v>
      </c>
      <c r="T112" s="120">
        <f>'[3]PEPCO MD RC_3T7MS'!J10</f>
        <v>34.784103724130496</v>
      </c>
      <c r="U112" s="120">
        <f>'[3]PEPCO MD RC_3T7MS'!K10</f>
        <v>35.080199489573424</v>
      </c>
      <c r="V112" s="91"/>
    </row>
    <row r="113" spans="1:22" x14ac:dyDescent="0.2">
      <c r="A113" s="48">
        <f t="shared" si="3"/>
        <v>105</v>
      </c>
      <c r="B113" s="43">
        <v>3</v>
      </c>
      <c r="C113" s="43">
        <v>31</v>
      </c>
      <c r="D113" s="38" t="s">
        <v>270</v>
      </c>
      <c r="E113" s="44" t="s">
        <v>190</v>
      </c>
      <c r="F113" s="44" t="s">
        <v>37</v>
      </c>
      <c r="G113" s="44" t="s">
        <v>108</v>
      </c>
      <c r="H113" s="44" t="s">
        <v>45</v>
      </c>
      <c r="I113" s="44" t="s">
        <v>45</v>
      </c>
      <c r="J113" s="44" t="s">
        <v>6</v>
      </c>
      <c r="K113" s="44" t="s">
        <v>128</v>
      </c>
      <c r="L113" s="40">
        <v>1147</v>
      </c>
      <c r="M113" s="41">
        <v>41339</v>
      </c>
      <c r="N113" s="40" t="s">
        <v>110</v>
      </c>
      <c r="O113" s="42">
        <f t="shared" si="4"/>
        <v>42370</v>
      </c>
      <c r="P113" s="40">
        <v>20</v>
      </c>
      <c r="Q113" s="120">
        <f>'[3]Potomac Edison LP_GSCM_MMS'!G10</f>
        <v>26.325121370606656</v>
      </c>
      <c r="R113" s="120">
        <f>'[3]Potomac Edison LP_GSCM_MMS'!H10</f>
        <v>27.056285824361137</v>
      </c>
      <c r="S113" s="120">
        <f>'[3]Potomac Edison LP_GSCM_MMS'!I10</f>
        <v>26.469661030139161</v>
      </c>
      <c r="T113" s="120">
        <f>'[3]Potomac Edison LP_GSCM_MMS'!J10</f>
        <v>28.485197881765892</v>
      </c>
      <c r="U113" s="120">
        <f>'[3]Potomac Edison LP_GSCM_MMS'!K10</f>
        <v>30.477683004502957</v>
      </c>
      <c r="V113" s="91"/>
    </row>
    <row r="114" spans="1:22" x14ac:dyDescent="0.2">
      <c r="A114" s="48">
        <f t="shared" si="3"/>
        <v>106</v>
      </c>
      <c r="B114" s="43">
        <v>3</v>
      </c>
      <c r="C114" s="43">
        <v>32</v>
      </c>
      <c r="D114" s="38" t="s">
        <v>271</v>
      </c>
      <c r="E114" s="44" t="s">
        <v>192</v>
      </c>
      <c r="F114" s="44" t="s">
        <v>5</v>
      </c>
      <c r="G114" s="44" t="s">
        <v>108</v>
      </c>
      <c r="H114" s="44" t="s">
        <v>12</v>
      </c>
      <c r="I114" s="44" t="s">
        <v>12</v>
      </c>
      <c r="J114" s="44" t="s">
        <v>13</v>
      </c>
      <c r="K114" s="44" t="s">
        <v>117</v>
      </c>
      <c r="L114" s="40">
        <v>1148</v>
      </c>
      <c r="M114" s="41">
        <v>41339</v>
      </c>
      <c r="N114" s="40" t="s">
        <v>110</v>
      </c>
      <c r="O114" s="42">
        <f t="shared" si="4"/>
        <v>42370</v>
      </c>
      <c r="P114" s="40">
        <v>20</v>
      </c>
      <c r="Q114" s="120">
        <f>[3]PPL_RCGS1MS!G10</f>
        <v>31.276848629293315</v>
      </c>
      <c r="R114" s="120">
        <f>[3]PPL_RCGS1MS!H10</f>
        <v>28.381780402377824</v>
      </c>
      <c r="S114" s="120">
        <f>[3]PPL_RCGS1MS!I10</f>
        <v>29.293712328423833</v>
      </c>
      <c r="T114" s="120">
        <f>[3]PPL_RCGS1MS!J10</f>
        <v>28.635354593671781</v>
      </c>
      <c r="U114" s="120">
        <f>[3]PPL_RCGS1MS!K10</f>
        <v>28.963526644313685</v>
      </c>
      <c r="V114" s="91"/>
    </row>
    <row r="115" spans="1:22" x14ac:dyDescent="0.2">
      <c r="A115" s="48">
        <f t="shared" si="3"/>
        <v>107</v>
      </c>
      <c r="B115" s="43">
        <v>3</v>
      </c>
      <c r="C115" s="43">
        <v>33</v>
      </c>
      <c r="D115" s="38" t="s">
        <v>272</v>
      </c>
      <c r="E115" s="44" t="s">
        <v>194</v>
      </c>
      <c r="F115" s="44" t="s">
        <v>5</v>
      </c>
      <c r="G115" s="44" t="s">
        <v>108</v>
      </c>
      <c r="H115" s="44" t="s">
        <v>12</v>
      </c>
      <c r="I115" s="44" t="s">
        <v>12</v>
      </c>
      <c r="J115" s="44" t="s">
        <v>14</v>
      </c>
      <c r="K115" s="44" t="s">
        <v>123</v>
      </c>
      <c r="L115" s="40">
        <v>1149</v>
      </c>
      <c r="M115" s="41">
        <v>41339</v>
      </c>
      <c r="N115" s="40" t="s">
        <v>110</v>
      </c>
      <c r="O115" s="42">
        <f t="shared" si="4"/>
        <v>42370</v>
      </c>
      <c r="P115" s="40">
        <v>20</v>
      </c>
      <c r="Q115" s="120">
        <f>[3]PPL_RCGS3MS!G10</f>
        <v>31.345454405118179</v>
      </c>
      <c r="R115" s="120">
        <f>[3]PPL_RCGS3MS!H10</f>
        <v>28.262365011224013</v>
      </c>
      <c r="S115" s="120">
        <f>[3]PPL_RCGS3MS!I10</f>
        <v>29.194605444948113</v>
      </c>
      <c r="T115" s="120">
        <f>[3]PPL_RCGS3MS!J10</f>
        <v>28.521528268390604</v>
      </c>
      <c r="U115" s="120">
        <f>[3]PPL_RCGS3MS!K10</f>
        <v>28.940555068120485</v>
      </c>
      <c r="V115" s="91"/>
    </row>
    <row r="116" spans="1:22" x14ac:dyDescent="0.2">
      <c r="A116" s="48">
        <f t="shared" si="3"/>
        <v>108</v>
      </c>
      <c r="B116" s="43">
        <v>3</v>
      </c>
      <c r="C116" s="43">
        <v>34</v>
      </c>
      <c r="D116" s="38" t="s">
        <v>273</v>
      </c>
      <c r="E116" s="44" t="s">
        <v>196</v>
      </c>
      <c r="F116" s="44" t="s">
        <v>29</v>
      </c>
      <c r="G116" s="44" t="s">
        <v>108</v>
      </c>
      <c r="H116" s="44" t="s">
        <v>34</v>
      </c>
      <c r="I116" s="44" t="s">
        <v>34</v>
      </c>
      <c r="J116" s="44" t="s">
        <v>35</v>
      </c>
      <c r="K116" s="44" t="s">
        <v>197</v>
      </c>
      <c r="L116" s="40">
        <v>1150</v>
      </c>
      <c r="M116" s="41">
        <v>41339</v>
      </c>
      <c r="N116" s="40" t="s">
        <v>110</v>
      </c>
      <c r="O116" s="42">
        <f t="shared" si="4"/>
        <v>42370</v>
      </c>
      <c r="P116" s="40">
        <v>20</v>
      </c>
      <c r="Q116" s="120">
        <f>'[3]PSEG LP_GLP_MMS'!G10</f>
        <v>53.38308497315554</v>
      </c>
      <c r="R116" s="120">
        <f>'[3]PSEG LP_GLP_MMS'!H10</f>
        <v>53.638595362949594</v>
      </c>
      <c r="S116" s="120">
        <f>'[3]PSEG LP_GLP_MMS'!I10</f>
        <v>56.241853245578746</v>
      </c>
      <c r="T116" s="120">
        <f>'[3]PSEG LP_GLP_MMS'!J10</f>
        <v>56.297128157757435</v>
      </c>
      <c r="U116" s="120">
        <f>'[3]PSEG LP_GLP_MMS'!K10</f>
        <v>57.593529430903992</v>
      </c>
      <c r="V116" s="91"/>
    </row>
    <row r="117" spans="1:22" x14ac:dyDescent="0.2">
      <c r="A117" s="48">
        <f t="shared" si="3"/>
        <v>109</v>
      </c>
      <c r="B117" s="43">
        <v>3</v>
      </c>
      <c r="C117" s="43">
        <v>35</v>
      </c>
      <c r="D117" s="38" t="s">
        <v>274</v>
      </c>
      <c r="E117" s="44" t="s">
        <v>199</v>
      </c>
      <c r="F117" s="44" t="s">
        <v>29</v>
      </c>
      <c r="G117" s="44" t="s">
        <v>108</v>
      </c>
      <c r="H117" s="44" t="s">
        <v>34</v>
      </c>
      <c r="I117" s="44" t="s">
        <v>34</v>
      </c>
      <c r="J117" s="44" t="s">
        <v>36</v>
      </c>
      <c r="K117" s="44" t="s">
        <v>200</v>
      </c>
      <c r="L117" s="40">
        <v>1151</v>
      </c>
      <c r="M117" s="41">
        <v>41339</v>
      </c>
      <c r="N117" s="40" t="s">
        <v>110</v>
      </c>
      <c r="O117" s="42">
        <f t="shared" si="4"/>
        <v>42370</v>
      </c>
      <c r="P117" s="40">
        <v>20</v>
      </c>
      <c r="Q117" s="120">
        <f>'[3]PSEG LP_LPLMS'!G10</f>
        <v>52.214645259442669</v>
      </c>
      <c r="R117" s="120">
        <f>'[3]PSEG LP_LPLMS'!H10</f>
        <v>52.964947926418915</v>
      </c>
      <c r="S117" s="120">
        <f>'[3]PSEG LP_LPLMS'!I10</f>
        <v>55.444447630182758</v>
      </c>
      <c r="T117" s="120">
        <f>'[3]PSEG LP_LPLMS'!J10</f>
        <v>55.561867493926499</v>
      </c>
      <c r="U117" s="120">
        <f>'[3]PSEG LP_LPLMS'!K10</f>
        <v>56.837382897003828</v>
      </c>
      <c r="V117" s="91"/>
    </row>
    <row r="118" spans="1:22" x14ac:dyDescent="0.2">
      <c r="A118" s="48">
        <f t="shared" si="3"/>
        <v>110</v>
      </c>
      <c r="B118" s="43">
        <v>3</v>
      </c>
      <c r="C118" s="43">
        <v>36</v>
      </c>
      <c r="D118" s="38" t="s">
        <v>275</v>
      </c>
      <c r="E118" s="44" t="s">
        <v>202</v>
      </c>
      <c r="F118" s="44" t="s">
        <v>5</v>
      </c>
      <c r="G118" s="44" t="s">
        <v>108</v>
      </c>
      <c r="H118" s="44" t="s">
        <v>15</v>
      </c>
      <c r="I118" s="44" t="s">
        <v>203</v>
      </c>
      <c r="J118" s="44" t="s">
        <v>16</v>
      </c>
      <c r="K118" s="44" t="s">
        <v>128</v>
      </c>
      <c r="L118" s="40">
        <v>1152</v>
      </c>
      <c r="M118" s="41">
        <v>41339</v>
      </c>
      <c r="N118" s="40" t="s">
        <v>110</v>
      </c>
      <c r="O118" s="42">
        <f t="shared" si="4"/>
        <v>42370</v>
      </c>
      <c r="P118" s="40">
        <v>20</v>
      </c>
      <c r="Q118" s="120">
        <f>'[3]West Penn Power LP_GSCMMS'!G10</f>
        <v>28.675787264411564</v>
      </c>
      <c r="R118" s="120">
        <f>'[3]West Penn Power LP_GSCMMS'!H10</f>
        <v>27.44182889425338</v>
      </c>
      <c r="S118" s="120">
        <f>'[3]West Penn Power LP_GSCMMS'!I10</f>
        <v>27.358057054295081</v>
      </c>
      <c r="T118" s="120">
        <f>'[3]West Penn Power LP_GSCMMS'!J10</f>
        <v>28.691764500180401</v>
      </c>
      <c r="U118" s="120">
        <f>'[3]West Penn Power LP_GSCMMS'!K10</f>
        <v>30.423666224494738</v>
      </c>
      <c r="V118" s="91"/>
    </row>
    <row r="119" spans="1:22" x14ac:dyDescent="0.2">
      <c r="A119" s="48">
        <f t="shared" si="3"/>
        <v>111</v>
      </c>
      <c r="B119" s="20"/>
      <c r="C119" s="20"/>
      <c r="D119" s="20"/>
      <c r="Q119" s="121"/>
      <c r="R119" s="121"/>
      <c r="S119" s="121"/>
      <c r="T119" s="121"/>
      <c r="U119" s="121"/>
    </row>
    <row r="120" spans="1:22" x14ac:dyDescent="0.2">
      <c r="A120" s="48">
        <f t="shared" si="3"/>
        <v>112</v>
      </c>
      <c r="B120" s="43">
        <v>4</v>
      </c>
      <c r="C120" s="43">
        <v>1</v>
      </c>
      <c r="D120" s="38" t="s">
        <v>276</v>
      </c>
      <c r="E120" s="44" t="s">
        <v>107</v>
      </c>
      <c r="F120" s="44" t="s">
        <v>29</v>
      </c>
      <c r="G120" s="44" t="s">
        <v>108</v>
      </c>
      <c r="H120" s="44" t="s">
        <v>30</v>
      </c>
      <c r="I120" s="44" t="s">
        <v>30</v>
      </c>
      <c r="J120" s="44" t="s">
        <v>31</v>
      </c>
      <c r="K120" s="44" t="s">
        <v>109</v>
      </c>
      <c r="L120" s="40">
        <v>1117</v>
      </c>
      <c r="M120" s="41">
        <v>41339</v>
      </c>
      <c r="N120" s="40" t="s">
        <v>110</v>
      </c>
      <c r="O120" s="42">
        <f>EDATE(O83,1)</f>
        <v>42401</v>
      </c>
      <c r="P120" s="40">
        <v>21</v>
      </c>
      <c r="Q120" s="120">
        <f>'[3]AECO LP_10V1_SMS'!G11</f>
        <v>46.566756967218716</v>
      </c>
      <c r="R120" s="120">
        <f>'[3]AECO LP_10V1_SMS'!H11</f>
        <v>46.382240115644819</v>
      </c>
      <c r="S120" s="120">
        <f>'[3]AECO LP_10V1_SMS'!I11</f>
        <v>46.848340143097943</v>
      </c>
      <c r="T120" s="120">
        <f>'[3]AECO LP_10V1_SMS'!J11</f>
        <v>46.819716178386017</v>
      </c>
      <c r="U120" s="120">
        <f>'[3]AECO LP_10V1_SMS'!K11</f>
        <v>48.204246763848296</v>
      </c>
      <c r="V120" s="91"/>
    </row>
    <row r="121" spans="1:22" x14ac:dyDescent="0.2">
      <c r="A121" s="48">
        <f t="shared" si="3"/>
        <v>113</v>
      </c>
      <c r="B121" s="43">
        <v>4</v>
      </c>
      <c r="C121" s="43">
        <v>2</v>
      </c>
      <c r="D121" s="38" t="s">
        <v>277</v>
      </c>
      <c r="E121" s="44" t="s">
        <v>112</v>
      </c>
      <c r="F121" s="44" t="s">
        <v>29</v>
      </c>
      <c r="G121" s="44" t="s">
        <v>108</v>
      </c>
      <c r="H121" s="44" t="s">
        <v>30</v>
      </c>
      <c r="I121" s="44" t="s">
        <v>30</v>
      </c>
      <c r="J121" s="44" t="s">
        <v>32</v>
      </c>
      <c r="K121" s="44" t="s">
        <v>113</v>
      </c>
      <c r="L121" s="40">
        <v>1118</v>
      </c>
      <c r="M121" s="41">
        <v>41339</v>
      </c>
      <c r="N121" s="40" t="s">
        <v>110</v>
      </c>
      <c r="O121" s="42">
        <f>O120</f>
        <v>42401</v>
      </c>
      <c r="P121" s="40">
        <v>21</v>
      </c>
      <c r="Q121" s="120">
        <f>'[3]AECO LP_14V1_MMS'!G11</f>
        <v>46.725602303831685</v>
      </c>
      <c r="R121" s="120">
        <f>'[3]AECO LP_14V1_MMS'!H11</f>
        <v>46.315592029199088</v>
      </c>
      <c r="S121" s="120">
        <f>'[3]AECO LP_14V1_MMS'!I11</f>
        <v>46.888660941951734</v>
      </c>
      <c r="T121" s="120">
        <f>'[3]AECO LP_14V1_MMS'!J11</f>
        <v>46.592466769778284</v>
      </c>
      <c r="U121" s="120">
        <f>'[3]AECO LP_14V1_MMS'!K11</f>
        <v>46.39214545570438</v>
      </c>
      <c r="V121" s="91"/>
    </row>
    <row r="122" spans="1:22" x14ac:dyDescent="0.2">
      <c r="A122" s="48">
        <f t="shared" si="3"/>
        <v>114</v>
      </c>
      <c r="B122" s="43">
        <v>4</v>
      </c>
      <c r="C122" s="43">
        <v>3</v>
      </c>
      <c r="D122" s="38" t="s">
        <v>278</v>
      </c>
      <c r="E122" s="44" t="s">
        <v>115</v>
      </c>
      <c r="F122" s="44" t="s">
        <v>18</v>
      </c>
      <c r="G122" s="44" t="s">
        <v>108</v>
      </c>
      <c r="H122" s="44" t="s">
        <v>61</v>
      </c>
      <c r="I122" s="44" t="s">
        <v>116</v>
      </c>
      <c r="J122" s="44" t="s">
        <v>13</v>
      </c>
      <c r="K122" s="44" t="s">
        <v>117</v>
      </c>
      <c r="L122" s="40">
        <v>1119</v>
      </c>
      <c r="M122" s="41">
        <v>41339</v>
      </c>
      <c r="N122" s="40" t="s">
        <v>110</v>
      </c>
      <c r="O122" s="42">
        <f t="shared" ref="O122:O155" si="5">O121</f>
        <v>42401</v>
      </c>
      <c r="P122" s="40">
        <v>21</v>
      </c>
      <c r="Q122" s="120">
        <f>'[3]AEP_OH_CS - test CSGS1MS'!G11</f>
        <v>21.945292956684295</v>
      </c>
      <c r="R122" s="120">
        <f>'[3]AEP_OH_CS - test CSGS1MS'!H11</f>
        <v>19.986802320177691</v>
      </c>
      <c r="S122" s="120">
        <f>'[3]AEP_OH_CS - test CSGS1MS'!I11</f>
        <v>20.38920481744173</v>
      </c>
      <c r="T122" s="120">
        <f>'[3]AEP_OH_CS - test CSGS1MS'!J11</f>
        <v>21.289175729751825</v>
      </c>
      <c r="U122" s="120">
        <f>'[3]AEP_OH_CS - test CSGS1MS'!K11</f>
        <v>22.853477704065167</v>
      </c>
      <c r="V122" s="91"/>
    </row>
    <row r="123" spans="1:22" x14ac:dyDescent="0.2">
      <c r="A123" s="48">
        <f t="shared" si="3"/>
        <v>115</v>
      </c>
      <c r="B123" s="43">
        <v>4</v>
      </c>
      <c r="C123" s="43">
        <v>4</v>
      </c>
      <c r="D123" s="38" t="s">
        <v>279</v>
      </c>
      <c r="E123" s="44" t="s">
        <v>119</v>
      </c>
      <c r="F123" s="44" t="s">
        <v>18</v>
      </c>
      <c r="G123" s="44" t="s">
        <v>108</v>
      </c>
      <c r="H123" s="44" t="s">
        <v>61</v>
      </c>
      <c r="I123" s="44" t="s">
        <v>116</v>
      </c>
      <c r="J123" s="44" t="s">
        <v>19</v>
      </c>
      <c r="K123" s="44" t="s">
        <v>120</v>
      </c>
      <c r="L123" s="40">
        <v>1120</v>
      </c>
      <c r="M123" s="41">
        <v>41339</v>
      </c>
      <c r="N123" s="40" t="s">
        <v>110</v>
      </c>
      <c r="O123" s="42">
        <f t="shared" si="5"/>
        <v>42401</v>
      </c>
      <c r="P123" s="40">
        <v>21</v>
      </c>
      <c r="Q123" s="120">
        <f>'[3]AEP_OH_CS - test CSGS2UMS'!G11</f>
        <v>21.147974450463419</v>
      </c>
      <c r="R123" s="120">
        <f>'[3]AEP_OH_CS - test CSGS2UMS'!H11</f>
        <v>20.070281890238729</v>
      </c>
      <c r="S123" s="120">
        <f>'[3]AEP_OH_CS - test CSGS2UMS'!I11</f>
        <v>20.200373556341177</v>
      </c>
      <c r="T123" s="120">
        <f>'[3]AEP_OH_CS - test CSGS2UMS'!J11</f>
        <v>21.364752250397224</v>
      </c>
      <c r="U123" s="120">
        <f>'[3]AEP_OH_CS - test CSGS2UMS'!K11</f>
        <v>22.930025303383676</v>
      </c>
      <c r="V123" s="91"/>
    </row>
    <row r="124" spans="1:22" x14ac:dyDescent="0.2">
      <c r="A124" s="48">
        <f t="shared" si="3"/>
        <v>116</v>
      </c>
      <c r="B124" s="43">
        <v>4</v>
      </c>
      <c r="C124" s="43">
        <v>5</v>
      </c>
      <c r="D124" s="38" t="s">
        <v>280</v>
      </c>
      <c r="E124" s="44" t="s">
        <v>122</v>
      </c>
      <c r="F124" s="44" t="s">
        <v>18</v>
      </c>
      <c r="G124" s="44" t="s">
        <v>108</v>
      </c>
      <c r="H124" s="44" t="s">
        <v>61</v>
      </c>
      <c r="I124" s="44" t="s">
        <v>116</v>
      </c>
      <c r="J124" s="44" t="s">
        <v>14</v>
      </c>
      <c r="K124" s="44" t="s">
        <v>123</v>
      </c>
      <c r="L124" s="40">
        <v>1121</v>
      </c>
      <c r="M124" s="41">
        <v>41339</v>
      </c>
      <c r="N124" s="40" t="s">
        <v>110</v>
      </c>
      <c r="O124" s="42">
        <f t="shared" si="5"/>
        <v>42401</v>
      </c>
      <c r="P124" s="40">
        <v>21</v>
      </c>
      <c r="Q124" s="120">
        <f>'[3]AEP_OH_CS - test CSGS3UMS'!G11</f>
        <v>21.147974450463419</v>
      </c>
      <c r="R124" s="120">
        <f>'[3]AEP_OH_CS - test CSGS3UMS'!H11</f>
        <v>20.070281890238729</v>
      </c>
      <c r="S124" s="120">
        <f>'[3]AEP_OH_CS - test CSGS3UMS'!I11</f>
        <v>20.200373556341177</v>
      </c>
      <c r="T124" s="120">
        <f>'[3]AEP_OH_CS - test CSGS3UMS'!J11</f>
        <v>21.364752250397224</v>
      </c>
      <c r="U124" s="120">
        <f>'[3]AEP_OH_CS - test CSGS3UMS'!K11</f>
        <v>22.930025303383676</v>
      </c>
      <c r="V124" s="91"/>
    </row>
    <row r="125" spans="1:22" x14ac:dyDescent="0.2">
      <c r="A125" s="48">
        <f t="shared" si="3"/>
        <v>117</v>
      </c>
      <c r="B125" s="43">
        <v>4</v>
      </c>
      <c r="C125" s="43">
        <v>6</v>
      </c>
      <c r="D125" s="38" t="s">
        <v>281</v>
      </c>
      <c r="E125" s="44" t="s">
        <v>125</v>
      </c>
      <c r="F125" s="44" t="s">
        <v>23</v>
      </c>
      <c r="G125" s="44" t="s">
        <v>126</v>
      </c>
      <c r="H125" s="44" t="s">
        <v>127</v>
      </c>
      <c r="I125" s="44" t="s">
        <v>27</v>
      </c>
      <c r="J125" s="44" t="s">
        <v>28</v>
      </c>
      <c r="K125" s="44" t="s">
        <v>128</v>
      </c>
      <c r="L125" s="40">
        <v>1122</v>
      </c>
      <c r="M125" s="41">
        <v>41339</v>
      </c>
      <c r="N125" s="40" t="s">
        <v>110</v>
      </c>
      <c r="O125" s="42">
        <f t="shared" si="5"/>
        <v>42401</v>
      </c>
      <c r="P125" s="40">
        <v>21</v>
      </c>
      <c r="Q125" s="120">
        <f>'[3]Ameren RateZnIII LP DS2HHMS'!G11</f>
        <v>24.403901397622338</v>
      </c>
      <c r="R125" s="120">
        <f>'[3]Ameren RateZnIII LP DS2HHMS'!H11</f>
        <v>23.696679510683804</v>
      </c>
      <c r="S125" s="120">
        <f>'[3]Ameren RateZnIII LP DS2HHMS'!I11</f>
        <v>23.418418537129995</v>
      </c>
      <c r="T125" s="120">
        <f>'[3]Ameren RateZnIII LP DS2HHMS'!J11</f>
        <v>23.638736530233043</v>
      </c>
      <c r="U125" s="120">
        <f>'[3]Ameren RateZnIII LP DS2HHMS'!K11</f>
        <v>23.889103182262165</v>
      </c>
      <c r="V125" s="91"/>
    </row>
    <row r="126" spans="1:22" x14ac:dyDescent="0.2">
      <c r="A126" s="48">
        <f t="shared" si="3"/>
        <v>118</v>
      </c>
      <c r="B126" s="43">
        <v>4</v>
      </c>
      <c r="C126" s="43">
        <v>7</v>
      </c>
      <c r="D126" s="38" t="s">
        <v>282</v>
      </c>
      <c r="E126" s="44" t="s">
        <v>130</v>
      </c>
      <c r="F126" s="44" t="s">
        <v>37</v>
      </c>
      <c r="G126" s="44" t="s">
        <v>108</v>
      </c>
      <c r="H126" s="44" t="s">
        <v>38</v>
      </c>
      <c r="I126" s="44" t="s">
        <v>38</v>
      </c>
      <c r="J126" s="44" t="s">
        <v>40</v>
      </c>
      <c r="K126" s="44" t="s">
        <v>123</v>
      </c>
      <c r="L126" s="40">
        <v>1124</v>
      </c>
      <c r="M126" s="41">
        <v>41339</v>
      </c>
      <c r="N126" s="40" t="s">
        <v>110</v>
      </c>
      <c r="O126" s="42">
        <f t="shared" si="5"/>
        <v>42401</v>
      </c>
      <c r="P126" s="40">
        <v>21</v>
      </c>
      <c r="Q126" s="120">
        <f>'[3]BGE LP_GLMS'!G11</f>
        <v>34.951881481599521</v>
      </c>
      <c r="R126" s="120">
        <f>'[3]BGE LP_GLMS'!H11</f>
        <v>34.267356330645569</v>
      </c>
      <c r="S126" s="120">
        <f>'[3]BGE LP_GLMS'!I11</f>
        <v>34.4735031271357</v>
      </c>
      <c r="T126" s="120">
        <f>'[3]BGE LP_GLMS'!J11</f>
        <v>34.232378244555527</v>
      </c>
      <c r="U126" s="120">
        <f>'[3]BGE LP_GLMS'!K11</f>
        <v>34.637035974323979</v>
      </c>
      <c r="V126" s="91"/>
    </row>
    <row r="127" spans="1:22" x14ac:dyDescent="0.2">
      <c r="A127" s="48">
        <f t="shared" si="3"/>
        <v>119</v>
      </c>
      <c r="B127" s="43">
        <v>4</v>
      </c>
      <c r="C127" s="43">
        <v>8</v>
      </c>
      <c r="D127" s="38" t="s">
        <v>283</v>
      </c>
      <c r="E127" s="44" t="s">
        <v>132</v>
      </c>
      <c r="F127" s="44" t="s">
        <v>37</v>
      </c>
      <c r="G127" s="44" t="s">
        <v>108</v>
      </c>
      <c r="H127" s="44" t="s">
        <v>38</v>
      </c>
      <c r="I127" s="44" t="s">
        <v>38</v>
      </c>
      <c r="J127" s="44" t="s">
        <v>39</v>
      </c>
      <c r="K127" s="44" t="s">
        <v>120</v>
      </c>
      <c r="L127" s="40">
        <v>1123</v>
      </c>
      <c r="M127" s="41">
        <v>41339</v>
      </c>
      <c r="N127" s="40" t="s">
        <v>110</v>
      </c>
      <c r="O127" s="42">
        <f t="shared" si="5"/>
        <v>42401</v>
      </c>
      <c r="P127" s="40">
        <v>21</v>
      </c>
      <c r="Q127" s="120">
        <f>'[3]BGE LP_GMS'!G11</f>
        <v>34.777387354482379</v>
      </c>
      <c r="R127" s="120">
        <f>'[3]BGE LP_GMS'!H11</f>
        <v>34.326942941019972</v>
      </c>
      <c r="S127" s="120">
        <f>'[3]BGE LP_GMS'!I11</f>
        <v>34.464222724626794</v>
      </c>
      <c r="T127" s="120">
        <f>'[3]BGE LP_GMS'!J11</f>
        <v>34.363538292396271</v>
      </c>
      <c r="U127" s="120">
        <f>'[3]BGE LP_GMS'!K11</f>
        <v>34.793376427261535</v>
      </c>
      <c r="V127" s="91"/>
    </row>
    <row r="128" spans="1:22" x14ac:dyDescent="0.2">
      <c r="A128" s="48">
        <f t="shared" si="3"/>
        <v>120</v>
      </c>
      <c r="B128" s="43">
        <v>4</v>
      </c>
      <c r="C128" s="43">
        <v>9</v>
      </c>
      <c r="D128" s="38" t="s">
        <v>284</v>
      </c>
      <c r="E128" s="44" t="s">
        <v>134</v>
      </c>
      <c r="F128" s="44" t="s">
        <v>37</v>
      </c>
      <c r="G128" s="44" t="s">
        <v>108</v>
      </c>
      <c r="H128" s="44" t="s">
        <v>38</v>
      </c>
      <c r="I128" s="44" t="s">
        <v>38</v>
      </c>
      <c r="J128" s="44" t="s">
        <v>6</v>
      </c>
      <c r="K128" s="44" t="s">
        <v>117</v>
      </c>
      <c r="L128" s="40">
        <v>1125</v>
      </c>
      <c r="M128" s="41">
        <v>41339</v>
      </c>
      <c r="N128" s="40" t="s">
        <v>110</v>
      </c>
      <c r="O128" s="42">
        <f t="shared" si="5"/>
        <v>42401</v>
      </c>
      <c r="P128" s="40">
        <v>21</v>
      </c>
      <c r="Q128" s="120">
        <f>'[3]BGE LP_GSMS'!G11</f>
        <v>36.097480274768976</v>
      </c>
      <c r="R128" s="120">
        <f>'[3]BGE LP_GSMS'!H11</f>
        <v>35.288372998554543</v>
      </c>
      <c r="S128" s="120">
        <f>'[3]BGE LP_GSMS'!I11</f>
        <v>35.535736536259932</v>
      </c>
      <c r="T128" s="120">
        <f>'[3]BGE LP_GSMS'!J11</f>
        <v>35.19441561977937</v>
      </c>
      <c r="U128" s="120">
        <f>'[3]BGE LP_GSMS'!K11</f>
        <v>35.581880003893779</v>
      </c>
      <c r="V128" s="91"/>
    </row>
    <row r="129" spans="1:22" x14ac:dyDescent="0.2">
      <c r="A129" s="48">
        <f t="shared" si="3"/>
        <v>121</v>
      </c>
      <c r="B129" s="43">
        <v>4</v>
      </c>
      <c r="C129" s="43">
        <v>10</v>
      </c>
      <c r="D129" s="38" t="s">
        <v>285</v>
      </c>
      <c r="E129" s="44" t="s">
        <v>136</v>
      </c>
      <c r="F129" s="44" t="s">
        <v>23</v>
      </c>
      <c r="G129" s="44" t="s">
        <v>108</v>
      </c>
      <c r="H129" s="44" t="s">
        <v>137</v>
      </c>
      <c r="I129" s="44" t="s">
        <v>24</v>
      </c>
      <c r="J129" s="44" t="s">
        <v>25</v>
      </c>
      <c r="K129" s="44" t="s">
        <v>138</v>
      </c>
      <c r="L129" s="40">
        <v>1126</v>
      </c>
      <c r="M129" s="41">
        <v>41339</v>
      </c>
      <c r="N129" s="40" t="s">
        <v>110</v>
      </c>
      <c r="O129" s="42">
        <f t="shared" si="5"/>
        <v>42401</v>
      </c>
      <c r="P129" s="40">
        <v>21</v>
      </c>
      <c r="Q129" s="120">
        <f>'[3]ComEd - test LP_28MS'!G11</f>
        <v>30.596678362694202</v>
      </c>
      <c r="R129" s="120">
        <f>'[3]ComEd - test LP_28MS'!H11</f>
        <v>29.131073864920321</v>
      </c>
      <c r="S129" s="120">
        <f>'[3]ComEd - test LP_28MS'!I11</f>
        <v>29.54220699399972</v>
      </c>
      <c r="T129" s="120">
        <f>'[3]ComEd - test LP_28MS'!J11</f>
        <v>30.627740262945206</v>
      </c>
      <c r="U129" s="120">
        <f>'[3]ComEd - test LP_28MS'!K11</f>
        <v>33.340454303959234</v>
      </c>
      <c r="V129" s="91"/>
    </row>
    <row r="130" spans="1:22" x14ac:dyDescent="0.2">
      <c r="A130" s="48">
        <f t="shared" si="3"/>
        <v>122</v>
      </c>
      <c r="B130" s="43">
        <v>4</v>
      </c>
      <c r="C130" s="43">
        <v>11</v>
      </c>
      <c r="D130" s="38" t="s">
        <v>286</v>
      </c>
      <c r="E130" s="44" t="s">
        <v>140</v>
      </c>
      <c r="F130" s="44" t="s">
        <v>23</v>
      </c>
      <c r="G130" s="44" t="s">
        <v>108</v>
      </c>
      <c r="H130" s="44" t="s">
        <v>137</v>
      </c>
      <c r="I130" s="44" t="s">
        <v>24</v>
      </c>
      <c r="J130" s="44" t="s">
        <v>26</v>
      </c>
      <c r="K130" s="44" t="s">
        <v>141</v>
      </c>
      <c r="L130" s="40">
        <v>1127</v>
      </c>
      <c r="M130" s="41">
        <v>41339</v>
      </c>
      <c r="N130" s="40" t="s">
        <v>110</v>
      </c>
      <c r="O130" s="42">
        <f t="shared" si="5"/>
        <v>42401</v>
      </c>
      <c r="P130" s="40">
        <v>21</v>
      </c>
      <c r="Q130" s="120">
        <f>'[3]ComEd - test LP_29MS'!G11</f>
        <v>29.765018168529881</v>
      </c>
      <c r="R130" s="120">
        <f>'[3]ComEd - test LP_29MS'!H11</f>
        <v>28.22041254704617</v>
      </c>
      <c r="S130" s="120">
        <f>'[3]ComEd - test LP_29MS'!I11</f>
        <v>28.65424588052857</v>
      </c>
      <c r="T130" s="120">
        <f>'[3]ComEd - test LP_29MS'!J11</f>
        <v>29.716212896332546</v>
      </c>
      <c r="U130" s="120">
        <f>'[3]ComEd - test LP_29MS'!K11</f>
        <v>32.428747871153419</v>
      </c>
      <c r="V130" s="91"/>
    </row>
    <row r="131" spans="1:22" x14ac:dyDescent="0.2">
      <c r="A131" s="48">
        <f t="shared" si="3"/>
        <v>123</v>
      </c>
      <c r="B131" s="43">
        <v>4</v>
      </c>
      <c r="C131" s="43">
        <v>12</v>
      </c>
      <c r="D131" s="38" t="s">
        <v>287</v>
      </c>
      <c r="E131" s="44" t="s">
        <v>143</v>
      </c>
      <c r="F131" s="44" t="s">
        <v>18</v>
      </c>
      <c r="G131" s="44" t="s">
        <v>108</v>
      </c>
      <c r="H131" s="44" t="s">
        <v>94</v>
      </c>
      <c r="I131" s="44" t="s">
        <v>144</v>
      </c>
      <c r="J131" s="44" t="s">
        <v>20</v>
      </c>
      <c r="K131" s="44" t="s">
        <v>145</v>
      </c>
      <c r="L131" s="40">
        <v>1128</v>
      </c>
      <c r="M131" s="41">
        <v>41339</v>
      </c>
      <c r="N131" s="40" t="s">
        <v>110</v>
      </c>
      <c r="O131" s="42">
        <f t="shared" si="5"/>
        <v>42401</v>
      </c>
      <c r="P131" s="40">
        <v>21</v>
      </c>
      <c r="Q131" s="120">
        <f>[3]DAY_RC_843MS!G11</f>
        <v>20.859423934617087</v>
      </c>
      <c r="R131" s="120">
        <f>[3]DAY_RC_843MS!H11</f>
        <v>19.130880478690599</v>
      </c>
      <c r="S131" s="120">
        <f>[3]DAY_RC_843MS!I11</f>
        <v>19.479038454220774</v>
      </c>
      <c r="T131" s="120">
        <f>[3]DAY_RC_843MS!J11</f>
        <v>20.380959248205066</v>
      </c>
      <c r="U131" s="120">
        <f>[3]DAY_RC_843MS!K11</f>
        <v>21.886026883108563</v>
      </c>
      <c r="V131" s="91"/>
    </row>
    <row r="132" spans="1:22" x14ac:dyDescent="0.2">
      <c r="A132" s="48">
        <f t="shared" si="3"/>
        <v>124</v>
      </c>
      <c r="B132" s="43">
        <v>4</v>
      </c>
      <c r="C132" s="43">
        <v>13</v>
      </c>
      <c r="D132" s="38" t="s">
        <v>288</v>
      </c>
      <c r="E132" s="44" t="s">
        <v>147</v>
      </c>
      <c r="F132" s="44" t="s">
        <v>37</v>
      </c>
      <c r="G132" s="44" t="s">
        <v>108</v>
      </c>
      <c r="H132" s="44" t="s">
        <v>41</v>
      </c>
      <c r="I132" s="44" t="s">
        <v>41</v>
      </c>
      <c r="J132" s="44" t="s">
        <v>6</v>
      </c>
      <c r="K132" s="44" t="s">
        <v>128</v>
      </c>
      <c r="L132" s="40">
        <v>1129</v>
      </c>
      <c r="M132" s="41">
        <v>41339</v>
      </c>
      <c r="N132" s="40" t="s">
        <v>110</v>
      </c>
      <c r="O132" s="42">
        <f t="shared" si="5"/>
        <v>42401</v>
      </c>
      <c r="P132" s="40">
        <v>21</v>
      </c>
      <c r="Q132" s="120">
        <f>'[3]Delmarva MD LP_MDGS_MMS'!G11</f>
        <v>37.958868987274123</v>
      </c>
      <c r="R132" s="120">
        <f>'[3]Delmarva MD LP_MDGS_MMS'!H11</f>
        <v>37.959523559069211</v>
      </c>
      <c r="S132" s="120">
        <f>'[3]Delmarva MD LP_MDGS_MMS'!I11</f>
        <v>37.737151054142117</v>
      </c>
      <c r="T132" s="120">
        <f>'[3]Delmarva MD LP_MDGS_MMS'!J11</f>
        <v>37.839015314912018</v>
      </c>
      <c r="U132" s="120">
        <f>'[3]Delmarva MD LP_MDGS_MMS'!K11</f>
        <v>40.014233449136775</v>
      </c>
      <c r="V132" s="91"/>
    </row>
    <row r="133" spans="1:22" x14ac:dyDescent="0.2">
      <c r="A133" s="48">
        <f t="shared" si="3"/>
        <v>125</v>
      </c>
      <c r="B133" s="43">
        <v>4</v>
      </c>
      <c r="C133" s="43">
        <v>14</v>
      </c>
      <c r="D133" s="38" t="s">
        <v>289</v>
      </c>
      <c r="E133" s="44" t="s">
        <v>149</v>
      </c>
      <c r="F133" s="44" t="s">
        <v>5</v>
      </c>
      <c r="G133" s="44" t="s">
        <v>108</v>
      </c>
      <c r="H133" s="44" t="s">
        <v>46</v>
      </c>
      <c r="I133" s="44" t="s">
        <v>46</v>
      </c>
      <c r="J133" s="44" t="s">
        <v>6</v>
      </c>
      <c r="K133" s="44" t="s">
        <v>128</v>
      </c>
      <c r="L133" s="40">
        <v>1130</v>
      </c>
      <c r="M133" s="41">
        <v>41339</v>
      </c>
      <c r="N133" s="40" t="s">
        <v>110</v>
      </c>
      <c r="O133" s="42">
        <f t="shared" si="5"/>
        <v>42401</v>
      </c>
      <c r="P133" s="40">
        <v>21</v>
      </c>
      <c r="Q133" s="120">
        <f>'[3]DQE LP_GSGM_MMS'!G11</f>
        <v>33.687972901181681</v>
      </c>
      <c r="R133" s="120">
        <f>'[3]DQE LP_GSGM_MMS'!H11</f>
        <v>31.828637215910948</v>
      </c>
      <c r="S133" s="120">
        <f>'[3]DQE LP_GSGM_MMS'!I11</f>
        <v>32.251318038076533</v>
      </c>
      <c r="T133" s="120">
        <f>'[3]DQE LP_GSGM_MMS'!J11</f>
        <v>33.28255499430221</v>
      </c>
      <c r="U133" s="120">
        <f>'[3]DQE LP_GSGM_MMS'!K11</f>
        <v>34.918945334743348</v>
      </c>
      <c r="V133" s="91"/>
    </row>
    <row r="134" spans="1:22" x14ac:dyDescent="0.2">
      <c r="A134" s="48">
        <f t="shared" si="3"/>
        <v>126</v>
      </c>
      <c r="B134" s="43">
        <v>4</v>
      </c>
      <c r="C134" s="43">
        <v>15</v>
      </c>
      <c r="D134" s="38" t="s">
        <v>290</v>
      </c>
      <c r="E134" s="44" t="s">
        <v>151</v>
      </c>
      <c r="F134" s="44" t="s">
        <v>18</v>
      </c>
      <c r="G134" s="44" t="s">
        <v>108</v>
      </c>
      <c r="H134" s="44" t="s">
        <v>21</v>
      </c>
      <c r="I134" s="44" t="s">
        <v>152</v>
      </c>
      <c r="J134" s="44" t="s">
        <v>22</v>
      </c>
      <c r="K134" s="44" t="s">
        <v>128</v>
      </c>
      <c r="L134" s="40">
        <v>1131</v>
      </c>
      <c r="M134" s="41">
        <v>41339</v>
      </c>
      <c r="N134" s="40" t="s">
        <v>110</v>
      </c>
      <c r="O134" s="42">
        <f t="shared" si="5"/>
        <v>42401</v>
      </c>
      <c r="P134" s="40">
        <v>21</v>
      </c>
      <c r="Q134" s="120">
        <f>[3]Duke_OH_RC_DS01MS!G11</f>
        <v>20.249701992075494</v>
      </c>
      <c r="R134" s="120">
        <f>[3]Duke_OH_RC_DS01MS!H11</f>
        <v>19.138422562430438</v>
      </c>
      <c r="S134" s="120">
        <f>[3]Duke_OH_RC_DS01MS!I11</f>
        <v>19.245883630043796</v>
      </c>
      <c r="T134" s="120">
        <f>[3]Duke_OH_RC_DS01MS!J11</f>
        <v>20.340030881814933</v>
      </c>
      <c r="U134" s="120">
        <f>[3]Duke_OH_RC_DS01MS!K11</f>
        <v>21.689826546891251</v>
      </c>
      <c r="V134" s="91"/>
    </row>
    <row r="135" spans="1:22" x14ac:dyDescent="0.2">
      <c r="A135" s="48">
        <f t="shared" si="3"/>
        <v>127</v>
      </c>
      <c r="B135" s="43">
        <v>4</v>
      </c>
      <c r="C135" s="43">
        <v>16</v>
      </c>
      <c r="D135" s="38" t="s">
        <v>291</v>
      </c>
      <c r="E135" s="44" t="s">
        <v>154</v>
      </c>
      <c r="F135" s="44" t="s">
        <v>18</v>
      </c>
      <c r="G135" s="44" t="s">
        <v>108</v>
      </c>
      <c r="H135" s="44" t="s">
        <v>62</v>
      </c>
      <c r="I135" s="44" t="s">
        <v>155</v>
      </c>
      <c r="J135" s="44" t="s">
        <v>6</v>
      </c>
      <c r="K135" s="44" t="s">
        <v>128</v>
      </c>
      <c r="L135" s="40">
        <v>1132</v>
      </c>
      <c r="M135" s="41">
        <v>41339</v>
      </c>
      <c r="N135" s="40" t="s">
        <v>110</v>
      </c>
      <c r="O135" s="42">
        <f t="shared" si="5"/>
        <v>42401</v>
      </c>
      <c r="P135" s="40">
        <v>21</v>
      </c>
      <c r="Q135" s="120">
        <f>'[3]FE_OE - test RC_GSFMS'!G11</f>
        <v>33.67957351553612</v>
      </c>
      <c r="R135" s="120">
        <f>'[3]FE_OE - test RC_GSFMS'!H11</f>
        <v>27.230413949880436</v>
      </c>
      <c r="S135" s="120">
        <f>'[3]FE_OE - test RC_GSFMS'!I11</f>
        <v>25.772167785842573</v>
      </c>
      <c r="T135" s="120">
        <f>'[3]FE_OE - test RC_GSFMS'!J11</f>
        <v>25.145041682758407</v>
      </c>
      <c r="U135" s="120">
        <f>'[3]FE_OE - test RC_GSFMS'!K11</f>
        <v>25.111162910819505</v>
      </c>
      <c r="V135" s="91"/>
    </row>
    <row r="136" spans="1:22" x14ac:dyDescent="0.2">
      <c r="A136" s="48">
        <f t="shared" si="3"/>
        <v>128</v>
      </c>
      <c r="B136" s="43">
        <v>4</v>
      </c>
      <c r="C136" s="43">
        <v>17</v>
      </c>
      <c r="D136" s="38" t="s">
        <v>292</v>
      </c>
      <c r="E136" s="44" t="s">
        <v>157</v>
      </c>
      <c r="F136" s="44" t="s">
        <v>29</v>
      </c>
      <c r="G136" s="44" t="s">
        <v>108</v>
      </c>
      <c r="H136" s="44" t="s">
        <v>33</v>
      </c>
      <c r="I136" s="44" t="s">
        <v>33</v>
      </c>
      <c r="J136" s="44" t="s">
        <v>7</v>
      </c>
      <c r="K136" s="44" t="s">
        <v>123</v>
      </c>
      <c r="L136" s="40">
        <v>1133</v>
      </c>
      <c r="M136" s="41">
        <v>41339</v>
      </c>
      <c r="N136" s="40" t="s">
        <v>110</v>
      </c>
      <c r="O136" s="42">
        <f t="shared" si="5"/>
        <v>42401</v>
      </c>
      <c r="P136" s="40">
        <v>21</v>
      </c>
      <c r="Q136" s="120">
        <f>'[3]JCPL LP_GSCLMS'!G11</f>
        <v>35.574577729038822</v>
      </c>
      <c r="R136" s="120">
        <f>'[3]JCPL LP_GSCLMS'!H11</f>
        <v>35.650107314156593</v>
      </c>
      <c r="S136" s="120">
        <f>'[3]JCPL LP_GSCLMS'!I11</f>
        <v>37.38233133987724</v>
      </c>
      <c r="T136" s="120">
        <f>'[3]JCPL LP_GSCLMS'!J11</f>
        <v>37.739340503573388</v>
      </c>
      <c r="U136" s="120">
        <f>'[3]JCPL LP_GSCLMS'!K11</f>
        <v>40.51910774015299</v>
      </c>
      <c r="V136" s="91"/>
    </row>
    <row r="137" spans="1:22" x14ac:dyDescent="0.2">
      <c r="A137" s="48">
        <f t="shared" si="3"/>
        <v>129</v>
      </c>
      <c r="B137" s="43">
        <v>4</v>
      </c>
      <c r="C137" s="43">
        <v>18</v>
      </c>
      <c r="D137" s="38" t="s">
        <v>293</v>
      </c>
      <c r="E137" s="44" t="s">
        <v>159</v>
      </c>
      <c r="F137" s="44" t="s">
        <v>29</v>
      </c>
      <c r="G137" s="44" t="s">
        <v>108</v>
      </c>
      <c r="H137" s="44" t="s">
        <v>33</v>
      </c>
      <c r="I137" s="44" t="s">
        <v>33</v>
      </c>
      <c r="J137" s="44" t="s">
        <v>8</v>
      </c>
      <c r="K137" s="44" t="s">
        <v>120</v>
      </c>
      <c r="L137" s="40">
        <v>1134</v>
      </c>
      <c r="M137" s="41">
        <v>41339</v>
      </c>
      <c r="N137" s="40" t="s">
        <v>110</v>
      </c>
      <c r="O137" s="42">
        <f t="shared" si="5"/>
        <v>42401</v>
      </c>
      <c r="P137" s="40">
        <v>21</v>
      </c>
      <c r="Q137" s="120">
        <f>'[3]JCPL LP_GSCMMS'!G11</f>
        <v>34.078412175224969</v>
      </c>
      <c r="R137" s="120">
        <f>'[3]JCPL LP_GSCMMS'!H11</f>
        <v>36.575280169672787</v>
      </c>
      <c r="S137" s="120">
        <f>'[3]JCPL LP_GSCMMS'!I11</f>
        <v>37.61624541737622</v>
      </c>
      <c r="T137" s="120">
        <f>'[3]JCPL LP_GSCMMS'!J11</f>
        <v>38.663485131411257</v>
      </c>
      <c r="U137" s="120">
        <f>'[3]JCPL LP_GSCMMS'!K11</f>
        <v>41.400213943027374</v>
      </c>
      <c r="V137" s="91"/>
    </row>
    <row r="138" spans="1:22" x14ac:dyDescent="0.2">
      <c r="A138" s="48">
        <f t="shared" si="3"/>
        <v>130</v>
      </c>
      <c r="B138" s="43">
        <v>4</v>
      </c>
      <c r="C138" s="43">
        <v>19</v>
      </c>
      <c r="D138" s="38" t="s">
        <v>294</v>
      </c>
      <c r="E138" s="44" t="s">
        <v>161</v>
      </c>
      <c r="F138" s="44" t="s">
        <v>29</v>
      </c>
      <c r="G138" s="44" t="s">
        <v>108</v>
      </c>
      <c r="H138" s="44" t="s">
        <v>33</v>
      </c>
      <c r="I138" s="44" t="s">
        <v>33</v>
      </c>
      <c r="J138" s="44" t="s">
        <v>9</v>
      </c>
      <c r="K138" s="44" t="s">
        <v>117</v>
      </c>
      <c r="L138" s="40">
        <v>1135</v>
      </c>
      <c r="M138" s="41">
        <v>41339</v>
      </c>
      <c r="N138" s="40" t="s">
        <v>110</v>
      </c>
      <c r="O138" s="42">
        <f t="shared" si="5"/>
        <v>42401</v>
      </c>
      <c r="P138" s="40">
        <v>21</v>
      </c>
      <c r="Q138" s="120">
        <f>'[3]JCPL LP_GSCSMS'!G11</f>
        <v>34.078412175224969</v>
      </c>
      <c r="R138" s="120">
        <f>'[3]JCPL LP_GSCSMS'!H11</f>
        <v>36.575280169672787</v>
      </c>
      <c r="S138" s="120">
        <f>'[3]JCPL LP_GSCSMS'!I11</f>
        <v>37.61624541737622</v>
      </c>
      <c r="T138" s="120">
        <f>'[3]JCPL LP_GSCSMS'!J11</f>
        <v>38.663485131411257</v>
      </c>
      <c r="U138" s="120">
        <f>'[3]JCPL LP_GSCSMS'!K11</f>
        <v>41.400213943027374</v>
      </c>
      <c r="V138" s="91"/>
    </row>
    <row r="139" spans="1:22" x14ac:dyDescent="0.2">
      <c r="A139" s="48">
        <f t="shared" ref="A139:A202" si="6">A138+1</f>
        <v>131</v>
      </c>
      <c r="B139" s="43">
        <v>4</v>
      </c>
      <c r="C139" s="43">
        <v>20</v>
      </c>
      <c r="D139" s="38" t="s">
        <v>295</v>
      </c>
      <c r="E139" s="44" t="s">
        <v>163</v>
      </c>
      <c r="F139" s="44" t="s">
        <v>5</v>
      </c>
      <c r="G139" s="44" t="s">
        <v>108</v>
      </c>
      <c r="H139" s="44" t="s">
        <v>164</v>
      </c>
      <c r="I139" s="44" t="s">
        <v>165</v>
      </c>
      <c r="J139" s="44" t="s">
        <v>7</v>
      </c>
      <c r="K139" s="44" t="s">
        <v>123</v>
      </c>
      <c r="L139" s="40">
        <v>1137</v>
      </c>
      <c r="M139" s="41">
        <v>41339</v>
      </c>
      <c r="N139" s="40" t="s">
        <v>110</v>
      </c>
      <c r="O139" s="42">
        <f t="shared" si="5"/>
        <v>42401</v>
      </c>
      <c r="P139" s="40">
        <v>21</v>
      </c>
      <c r="Q139" s="120">
        <f>'[3]MetEd RC_GSLFMS'!G11</f>
        <v>18.610732201572954</v>
      </c>
      <c r="R139" s="120">
        <f>'[3]MetEd RC_GSLFMS'!H11</f>
        <v>19.017525745012712</v>
      </c>
      <c r="S139" s="120">
        <f>'[3]MetEd RC_GSLFMS'!I11</f>
        <v>19.662585671682635</v>
      </c>
      <c r="T139" s="120">
        <f>'[3]MetEd RC_GSLFMS'!J11</f>
        <v>20.005505169428812</v>
      </c>
      <c r="U139" s="120">
        <f>'[3]MetEd RC_GSLFMS'!K11</f>
        <v>21.209772803157428</v>
      </c>
      <c r="V139" s="91"/>
    </row>
    <row r="140" spans="1:22" x14ac:dyDescent="0.2">
      <c r="A140" s="48">
        <f t="shared" si="6"/>
        <v>132</v>
      </c>
      <c r="B140" s="43">
        <v>4</v>
      </c>
      <c r="C140" s="43">
        <v>21</v>
      </c>
      <c r="D140" s="38" t="s">
        <v>296</v>
      </c>
      <c r="E140" s="44" t="s">
        <v>167</v>
      </c>
      <c r="F140" s="44" t="s">
        <v>5</v>
      </c>
      <c r="G140" s="44" t="s">
        <v>108</v>
      </c>
      <c r="H140" s="44" t="s">
        <v>164</v>
      </c>
      <c r="I140" s="44" t="s">
        <v>165</v>
      </c>
      <c r="J140" s="44" t="s">
        <v>8</v>
      </c>
      <c r="K140" s="44" t="s">
        <v>120</v>
      </c>
      <c r="L140" s="40">
        <v>1136</v>
      </c>
      <c r="M140" s="41">
        <v>41339</v>
      </c>
      <c r="N140" s="40" t="s">
        <v>110</v>
      </c>
      <c r="O140" s="42">
        <f t="shared" si="5"/>
        <v>42401</v>
      </c>
      <c r="P140" s="40">
        <v>21</v>
      </c>
      <c r="Q140" s="120">
        <f>'[3]MetEd RC_GSDFMS'!G11</f>
        <v>19.678734623838963</v>
      </c>
      <c r="R140" s="120">
        <f>'[3]MetEd RC_GSDFMS'!H11</f>
        <v>20.205106267408361</v>
      </c>
      <c r="S140" s="120">
        <f>'[3]MetEd RC_GSDFMS'!I11</f>
        <v>20.81173071104174</v>
      </c>
      <c r="T140" s="120">
        <f>'[3]MetEd RC_GSDFMS'!J11</f>
        <v>21.196493920844926</v>
      </c>
      <c r="U140" s="120">
        <f>'[3]MetEd RC_GSDFMS'!K11</f>
        <v>22.376436765314313</v>
      </c>
      <c r="V140" s="91"/>
    </row>
    <row r="141" spans="1:22" x14ac:dyDescent="0.2">
      <c r="A141" s="48">
        <f t="shared" si="6"/>
        <v>133</v>
      </c>
      <c r="B141" s="43">
        <v>4</v>
      </c>
      <c r="C141" s="43">
        <v>22</v>
      </c>
      <c r="D141" s="38" t="s">
        <v>297</v>
      </c>
      <c r="E141" s="44" t="s">
        <v>169</v>
      </c>
      <c r="F141" s="44" t="s">
        <v>5</v>
      </c>
      <c r="G141" s="44" t="s">
        <v>108</v>
      </c>
      <c r="H141" s="44" t="s">
        <v>164</v>
      </c>
      <c r="I141" s="44" t="s">
        <v>165</v>
      </c>
      <c r="J141" s="44" t="s">
        <v>9</v>
      </c>
      <c r="K141" s="44" t="s">
        <v>117</v>
      </c>
      <c r="L141" s="40">
        <v>1138</v>
      </c>
      <c r="M141" s="41">
        <v>41339</v>
      </c>
      <c r="N141" s="40" t="s">
        <v>110</v>
      </c>
      <c r="O141" s="42">
        <f t="shared" si="5"/>
        <v>42401</v>
      </c>
      <c r="P141" s="40">
        <v>21</v>
      </c>
      <c r="Q141" s="120">
        <f>'[3]MetEd RC_GSSFMS'!G11</f>
        <v>21.277006248599069</v>
      </c>
      <c r="R141" s="120">
        <f>'[3]MetEd RC_GSSFMS'!H11</f>
        <v>20.319410777088883</v>
      </c>
      <c r="S141" s="120">
        <f>'[3]MetEd RC_GSSFMS'!I11</f>
        <v>21.325822022383218</v>
      </c>
      <c r="T141" s="120">
        <f>'[3]MetEd RC_GSSFMS'!J11</f>
        <v>21.265761368655536</v>
      </c>
      <c r="U141" s="120">
        <f>'[3]MetEd RC_GSSFMS'!K11</f>
        <v>22.392016709437581</v>
      </c>
      <c r="V141" s="91"/>
    </row>
    <row r="142" spans="1:22" x14ac:dyDescent="0.2">
      <c r="A142" s="48">
        <f t="shared" si="6"/>
        <v>134</v>
      </c>
      <c r="B142" s="43">
        <v>4</v>
      </c>
      <c r="C142" s="43">
        <v>23</v>
      </c>
      <c r="D142" s="38" t="s">
        <v>298</v>
      </c>
      <c r="E142" s="44" t="s">
        <v>171</v>
      </c>
      <c r="F142" s="44" t="s">
        <v>5</v>
      </c>
      <c r="G142" s="44" t="s">
        <v>108</v>
      </c>
      <c r="H142" s="44" t="s">
        <v>11</v>
      </c>
      <c r="I142" s="44" t="s">
        <v>11</v>
      </c>
      <c r="J142" s="44" t="s">
        <v>6</v>
      </c>
      <c r="K142" s="44" t="s">
        <v>128</v>
      </c>
      <c r="L142" s="40">
        <v>1139</v>
      </c>
      <c r="M142" s="41">
        <v>41339</v>
      </c>
      <c r="N142" s="40" t="s">
        <v>110</v>
      </c>
      <c r="O142" s="42">
        <f t="shared" si="5"/>
        <v>42401</v>
      </c>
      <c r="P142" s="40">
        <v>21</v>
      </c>
      <c r="Q142" s="120">
        <f>'[3]PECO LP_GSMS'!G11</f>
        <v>24.744157723388248</v>
      </c>
      <c r="R142" s="120">
        <f>'[3]PECO LP_GSMS'!H11</f>
        <v>24.76641132661447</v>
      </c>
      <c r="S142" s="120">
        <f>'[3]PECO LP_GSMS'!I11</f>
        <v>24.939812988136069</v>
      </c>
      <c r="T142" s="120">
        <f>'[3]PECO LP_GSMS'!J11</f>
        <v>25.133010685782832</v>
      </c>
      <c r="U142" s="120">
        <f>'[3]PECO LP_GSMS'!K11</f>
        <v>27.147340121568494</v>
      </c>
      <c r="V142" s="91"/>
    </row>
    <row r="143" spans="1:22" x14ac:dyDescent="0.2">
      <c r="A143" s="48">
        <f t="shared" si="6"/>
        <v>135</v>
      </c>
      <c r="B143" s="43">
        <v>4</v>
      </c>
      <c r="C143" s="43">
        <v>24</v>
      </c>
      <c r="D143" s="38" t="s">
        <v>299</v>
      </c>
      <c r="E143" s="44" t="s">
        <v>173</v>
      </c>
      <c r="F143" s="44" t="s">
        <v>5</v>
      </c>
      <c r="G143" s="44" t="s">
        <v>108</v>
      </c>
      <c r="H143" s="44" t="s">
        <v>10</v>
      </c>
      <c r="I143" s="44" t="s">
        <v>174</v>
      </c>
      <c r="J143" s="44" t="s">
        <v>7</v>
      </c>
      <c r="K143" s="44" t="s">
        <v>123</v>
      </c>
      <c r="L143" s="40">
        <v>1140</v>
      </c>
      <c r="M143" s="41">
        <v>41339</v>
      </c>
      <c r="N143" s="40" t="s">
        <v>110</v>
      </c>
      <c r="O143" s="42">
        <f t="shared" si="5"/>
        <v>42401</v>
      </c>
      <c r="P143" s="40">
        <v>21</v>
      </c>
      <c r="Q143" s="120">
        <f>'[3]Penelec RC_GSLFMS'!G11</f>
        <v>25.935358369125595</v>
      </c>
      <c r="R143" s="120">
        <f>'[3]Penelec RC_GSLFMS'!H11</f>
        <v>25.581605647042739</v>
      </c>
      <c r="S143" s="120">
        <f>'[3]Penelec RC_GSLFMS'!I11</f>
        <v>25.685587711150905</v>
      </c>
      <c r="T143" s="120">
        <f>'[3]Penelec RC_GSLFMS'!J11</f>
        <v>25.58351894212182</v>
      </c>
      <c r="U143" s="120">
        <f>'[3]Penelec RC_GSLFMS'!K11</f>
        <v>26.039450509952907</v>
      </c>
      <c r="V143" s="91"/>
    </row>
    <row r="144" spans="1:22" x14ac:dyDescent="0.2">
      <c r="A144" s="48">
        <f t="shared" si="6"/>
        <v>136</v>
      </c>
      <c r="B144" s="43">
        <v>4</v>
      </c>
      <c r="C144" s="43">
        <v>25</v>
      </c>
      <c r="D144" s="38" t="s">
        <v>300</v>
      </c>
      <c r="E144" s="44" t="s">
        <v>176</v>
      </c>
      <c r="F144" s="44" t="s">
        <v>5</v>
      </c>
      <c r="G144" s="44" t="s">
        <v>108</v>
      </c>
      <c r="H144" s="44" t="s">
        <v>10</v>
      </c>
      <c r="I144" s="44" t="s">
        <v>174</v>
      </c>
      <c r="J144" s="44" t="s">
        <v>8</v>
      </c>
      <c r="K144" s="44" t="s">
        <v>120</v>
      </c>
      <c r="L144" s="40">
        <v>1141</v>
      </c>
      <c r="M144" s="41">
        <v>41339</v>
      </c>
      <c r="N144" s="40" t="s">
        <v>110</v>
      </c>
      <c r="O144" s="42">
        <f t="shared" si="5"/>
        <v>42401</v>
      </c>
      <c r="P144" s="40">
        <v>21</v>
      </c>
      <c r="Q144" s="120">
        <f>'[3]Penelec RC_GSMFMS'!G11</f>
        <v>27.100262111581969</v>
      </c>
      <c r="R144" s="120">
        <f>'[3]Penelec RC_GSMFMS'!H11</f>
        <v>26.688988639379041</v>
      </c>
      <c r="S144" s="120">
        <f>'[3]Penelec RC_GSMFMS'!I11</f>
        <v>26.813369971529372</v>
      </c>
      <c r="T144" s="120">
        <f>'[3]Penelec RC_GSMFMS'!J11</f>
        <v>26.683290061418379</v>
      </c>
      <c r="U144" s="120">
        <f>'[3]Penelec RC_GSMFMS'!K11</f>
        <v>27.137323562111526</v>
      </c>
      <c r="V144" s="91"/>
    </row>
    <row r="145" spans="1:22" x14ac:dyDescent="0.2">
      <c r="A145" s="48">
        <f t="shared" si="6"/>
        <v>137</v>
      </c>
      <c r="B145" s="43">
        <v>4</v>
      </c>
      <c r="C145" s="43">
        <v>26</v>
      </c>
      <c r="D145" s="38" t="s">
        <v>301</v>
      </c>
      <c r="E145" s="44" t="s">
        <v>178</v>
      </c>
      <c r="F145" s="44" t="s">
        <v>5</v>
      </c>
      <c r="G145" s="44" t="s">
        <v>108</v>
      </c>
      <c r="H145" s="44" t="s">
        <v>10</v>
      </c>
      <c r="I145" s="44" t="s">
        <v>174</v>
      </c>
      <c r="J145" s="44" t="s">
        <v>9</v>
      </c>
      <c r="K145" s="44" t="s">
        <v>117</v>
      </c>
      <c r="L145" s="40">
        <v>1142</v>
      </c>
      <c r="M145" s="41">
        <v>41339</v>
      </c>
      <c r="N145" s="40" t="s">
        <v>110</v>
      </c>
      <c r="O145" s="42">
        <f t="shared" si="5"/>
        <v>42401</v>
      </c>
      <c r="P145" s="40">
        <v>21</v>
      </c>
      <c r="Q145" s="120">
        <f>'[3]Penelec RC_GSSFMS'!G11</f>
        <v>28.596924978802157</v>
      </c>
      <c r="R145" s="120">
        <f>'[3]Penelec RC_GSSFMS'!H11</f>
        <v>26.7120512913616</v>
      </c>
      <c r="S145" s="120">
        <f>'[3]Penelec RC_GSSFMS'!I11</f>
        <v>27.316237135353127</v>
      </c>
      <c r="T145" s="120">
        <f>'[3]Penelec RC_GSSFMS'!J11</f>
        <v>26.697436471100261</v>
      </c>
      <c r="U145" s="120">
        <f>'[3]Penelec RC_GSSFMS'!K11</f>
        <v>27.150923006089876</v>
      </c>
      <c r="V145" s="91"/>
    </row>
    <row r="146" spans="1:22" x14ac:dyDescent="0.2">
      <c r="A146" s="48">
        <f t="shared" si="6"/>
        <v>138</v>
      </c>
      <c r="B146" s="43">
        <v>4</v>
      </c>
      <c r="C146" s="43">
        <v>27</v>
      </c>
      <c r="D146" s="38" t="s">
        <v>302</v>
      </c>
      <c r="E146" s="44" t="s">
        <v>180</v>
      </c>
      <c r="F146" s="44" t="s">
        <v>5</v>
      </c>
      <c r="G146" s="44" t="s">
        <v>108</v>
      </c>
      <c r="H146" s="44" t="s">
        <v>91</v>
      </c>
      <c r="I146" s="44" t="s">
        <v>181</v>
      </c>
      <c r="J146" s="44" t="s">
        <v>6</v>
      </c>
      <c r="K146" s="44" t="s">
        <v>128</v>
      </c>
      <c r="L146" s="40">
        <v>1143</v>
      </c>
      <c r="M146" s="41">
        <v>41339</v>
      </c>
      <c r="N146" s="40" t="s">
        <v>110</v>
      </c>
      <c r="O146" s="42">
        <f t="shared" si="5"/>
        <v>42401</v>
      </c>
      <c r="P146" s="40">
        <v>21</v>
      </c>
      <c r="Q146" s="120">
        <f>'[3]Penn Power RC_GMDMS'!G11</f>
        <v>44.672155047307569</v>
      </c>
      <c r="R146" s="120">
        <f>'[3]Penn Power RC_GMDMS'!H11</f>
        <v>38.206713996564957</v>
      </c>
      <c r="S146" s="120">
        <f>'[3]Penn Power RC_GMDMS'!I11</f>
        <v>36.807248458182315</v>
      </c>
      <c r="T146" s="120">
        <f>'[3]Penn Power RC_GMDMS'!J11</f>
        <v>36.16673684644357</v>
      </c>
      <c r="U146" s="120">
        <f>'[3]Penn Power RC_GMDMS'!K11</f>
        <v>36.181350404436039</v>
      </c>
      <c r="V146" s="91"/>
    </row>
    <row r="147" spans="1:22" x14ac:dyDescent="0.2">
      <c r="A147" s="48">
        <f t="shared" si="6"/>
        <v>139</v>
      </c>
      <c r="B147" s="43">
        <v>4</v>
      </c>
      <c r="C147" s="43">
        <v>28</v>
      </c>
      <c r="D147" s="38" t="s">
        <v>303</v>
      </c>
      <c r="E147" s="44" t="s">
        <v>183</v>
      </c>
      <c r="F147" s="44" t="s">
        <v>37</v>
      </c>
      <c r="G147" s="44" t="s">
        <v>108</v>
      </c>
      <c r="H147" s="44" t="s">
        <v>42</v>
      </c>
      <c r="I147" s="44" t="s">
        <v>42</v>
      </c>
      <c r="J147" s="44" t="s">
        <v>6</v>
      </c>
      <c r="K147" s="44" t="s">
        <v>128</v>
      </c>
      <c r="L147" s="40">
        <v>1144</v>
      </c>
      <c r="M147" s="41">
        <v>41339</v>
      </c>
      <c r="N147" s="40" t="s">
        <v>110</v>
      </c>
      <c r="O147" s="42">
        <f t="shared" si="5"/>
        <v>42401</v>
      </c>
      <c r="P147" s="40">
        <v>21</v>
      </c>
      <c r="Q147" s="120">
        <f>'[3]PEPCO MD LP_MDNDMS'!G11</f>
        <v>35.715532151785943</v>
      </c>
      <c r="R147" s="120">
        <f>'[3]PEPCO MD LP_MDNDMS'!H11</f>
        <v>35.066686721658016</v>
      </c>
      <c r="S147" s="120">
        <f>'[3]PEPCO MD LP_MDNDMS'!I11</f>
        <v>35.111664080830522</v>
      </c>
      <c r="T147" s="120">
        <f>'[3]PEPCO MD LP_MDNDMS'!J11</f>
        <v>34.910145286985404</v>
      </c>
      <c r="U147" s="120">
        <f>'[3]PEPCO MD LP_MDNDMS'!K11</f>
        <v>35.194091141854258</v>
      </c>
      <c r="V147" s="91"/>
    </row>
    <row r="148" spans="1:22" x14ac:dyDescent="0.2">
      <c r="A148" s="48">
        <f t="shared" si="6"/>
        <v>140</v>
      </c>
      <c r="B148" s="43">
        <v>4</v>
      </c>
      <c r="C148" s="43">
        <v>29</v>
      </c>
      <c r="D148" s="38" t="s">
        <v>304</v>
      </c>
      <c r="E148" s="44" t="s">
        <v>185</v>
      </c>
      <c r="F148" s="44" t="s">
        <v>37</v>
      </c>
      <c r="G148" s="44" t="s">
        <v>108</v>
      </c>
      <c r="H148" s="44" t="s">
        <v>42</v>
      </c>
      <c r="I148" s="44" t="s">
        <v>42</v>
      </c>
      <c r="J148" s="44" t="s">
        <v>43</v>
      </c>
      <c r="K148" s="44" t="s">
        <v>186</v>
      </c>
      <c r="L148" s="40">
        <v>1145</v>
      </c>
      <c r="M148" s="41">
        <v>41339</v>
      </c>
      <c r="N148" s="40" t="s">
        <v>110</v>
      </c>
      <c r="O148" s="42">
        <f t="shared" si="5"/>
        <v>42401</v>
      </c>
      <c r="P148" s="40">
        <v>21</v>
      </c>
      <c r="Q148" s="120">
        <f>'[3]PEPCO MD LP_MMGTL2AMS'!G11</f>
        <v>34.304317824028907</v>
      </c>
      <c r="R148" s="120">
        <f>'[3]PEPCO MD LP_MMGTL2AMS'!H11</f>
        <v>33.985663518899059</v>
      </c>
      <c r="S148" s="120">
        <f>'[3]PEPCO MD LP_MMGTL2AMS'!I11</f>
        <v>33.948774754212607</v>
      </c>
      <c r="T148" s="120">
        <f>'[3]PEPCO MD LP_MMGTL2AMS'!J11</f>
        <v>33.847705390440673</v>
      </c>
      <c r="U148" s="120">
        <f>'[3]PEPCO MD LP_MMGTL2AMS'!K11</f>
        <v>34.120815993555681</v>
      </c>
      <c r="V148" s="91"/>
    </row>
    <row r="149" spans="1:22" x14ac:dyDescent="0.2">
      <c r="A149" s="48">
        <f t="shared" si="6"/>
        <v>141</v>
      </c>
      <c r="B149" s="43">
        <v>4</v>
      </c>
      <c r="C149" s="43">
        <v>30</v>
      </c>
      <c r="D149" s="38" t="s">
        <v>305</v>
      </c>
      <c r="E149" s="44" t="s">
        <v>188</v>
      </c>
      <c r="F149" s="44" t="s">
        <v>37</v>
      </c>
      <c r="G149" s="44" t="s">
        <v>108</v>
      </c>
      <c r="H149" s="44" t="s">
        <v>42</v>
      </c>
      <c r="I149" s="44" t="s">
        <v>42</v>
      </c>
      <c r="J149" s="44" t="s">
        <v>44</v>
      </c>
      <c r="K149" s="44" t="s">
        <v>44</v>
      </c>
      <c r="L149" s="40">
        <v>1146</v>
      </c>
      <c r="M149" s="41">
        <v>41339</v>
      </c>
      <c r="N149" s="40" t="s">
        <v>110</v>
      </c>
      <c r="O149" s="42">
        <f t="shared" si="5"/>
        <v>42401</v>
      </c>
      <c r="P149" s="40">
        <v>21</v>
      </c>
      <c r="Q149" s="120">
        <f>'[3]PEPCO MD RC_3T7MS'!G11</f>
        <v>36.215905924349535</v>
      </c>
      <c r="R149" s="120">
        <f>'[3]PEPCO MD RC_3T7MS'!H11</f>
        <v>34.796576277392809</v>
      </c>
      <c r="S149" s="120">
        <f>'[3]PEPCO MD RC_3T7MS'!I11</f>
        <v>35.123148942135529</v>
      </c>
      <c r="T149" s="120">
        <f>'[3]PEPCO MD RC_3T7MS'!J11</f>
        <v>34.775344317085086</v>
      </c>
      <c r="U149" s="120">
        <f>'[3]PEPCO MD RC_3T7MS'!K11</f>
        <v>35.110185596197951</v>
      </c>
      <c r="V149" s="91"/>
    </row>
    <row r="150" spans="1:22" x14ac:dyDescent="0.2">
      <c r="A150" s="48">
        <f t="shared" si="6"/>
        <v>142</v>
      </c>
      <c r="B150" s="43">
        <v>4</v>
      </c>
      <c r="C150" s="43">
        <v>31</v>
      </c>
      <c r="D150" s="38" t="s">
        <v>306</v>
      </c>
      <c r="E150" s="44" t="s">
        <v>190</v>
      </c>
      <c r="F150" s="44" t="s">
        <v>37</v>
      </c>
      <c r="G150" s="44" t="s">
        <v>108</v>
      </c>
      <c r="H150" s="44" t="s">
        <v>45</v>
      </c>
      <c r="I150" s="44" t="s">
        <v>45</v>
      </c>
      <c r="J150" s="44" t="s">
        <v>6</v>
      </c>
      <c r="K150" s="44" t="s">
        <v>128</v>
      </c>
      <c r="L150" s="40">
        <v>1147</v>
      </c>
      <c r="M150" s="41">
        <v>41339</v>
      </c>
      <c r="N150" s="40" t="s">
        <v>110</v>
      </c>
      <c r="O150" s="42">
        <f t="shared" si="5"/>
        <v>42401</v>
      </c>
      <c r="P150" s="40">
        <v>21</v>
      </c>
      <c r="Q150" s="120">
        <f>'[3]Potomac Edison LP_GSCM_MMS'!G11</f>
        <v>26.506865226609229</v>
      </c>
      <c r="R150" s="120">
        <f>'[3]Potomac Edison LP_GSCM_MMS'!H11</f>
        <v>26.851761167276045</v>
      </c>
      <c r="S150" s="120">
        <f>'[3]Potomac Edison LP_GSCM_MMS'!I11</f>
        <v>26.915830473476621</v>
      </c>
      <c r="T150" s="120">
        <f>'[3]Potomac Edison LP_GSCM_MMS'!J11</f>
        <v>28.685907332537329</v>
      </c>
      <c r="U150" s="120">
        <f>'[3]Potomac Edison LP_GSCM_MMS'!K11</f>
        <v>30.705139999362196</v>
      </c>
      <c r="V150" s="91"/>
    </row>
    <row r="151" spans="1:22" x14ac:dyDescent="0.2">
      <c r="A151" s="48">
        <f t="shared" si="6"/>
        <v>143</v>
      </c>
      <c r="B151" s="43">
        <v>4</v>
      </c>
      <c r="C151" s="43">
        <v>32</v>
      </c>
      <c r="D151" s="38" t="s">
        <v>307</v>
      </c>
      <c r="E151" s="44" t="s">
        <v>192</v>
      </c>
      <c r="F151" s="44" t="s">
        <v>5</v>
      </c>
      <c r="G151" s="44" t="s">
        <v>108</v>
      </c>
      <c r="H151" s="44" t="s">
        <v>12</v>
      </c>
      <c r="I151" s="44" t="s">
        <v>12</v>
      </c>
      <c r="J151" s="44" t="s">
        <v>13</v>
      </c>
      <c r="K151" s="44" t="s">
        <v>117</v>
      </c>
      <c r="L151" s="40">
        <v>1148</v>
      </c>
      <c r="M151" s="41">
        <v>41339</v>
      </c>
      <c r="N151" s="40" t="s">
        <v>110</v>
      </c>
      <c r="O151" s="42">
        <f t="shared" si="5"/>
        <v>42401</v>
      </c>
      <c r="P151" s="40">
        <v>21</v>
      </c>
      <c r="Q151" s="120">
        <f>[3]PPL_RCGS1MS!G11</f>
        <v>28.880718520696</v>
      </c>
      <c r="R151" s="120">
        <f>[3]PPL_RCGS1MS!H11</f>
        <v>28.323217297863287</v>
      </c>
      <c r="S151" s="120">
        <f>[3]PPL_RCGS1MS!I11</f>
        <v>28.671196833448587</v>
      </c>
      <c r="T151" s="120">
        <f>[3]PPL_RCGS1MS!J11</f>
        <v>28.578218252575287</v>
      </c>
      <c r="U151" s="120">
        <f>[3]PPL_RCGS1MS!K11</f>
        <v>28.949757469801966</v>
      </c>
      <c r="V151" s="91"/>
    </row>
    <row r="152" spans="1:22" x14ac:dyDescent="0.2">
      <c r="A152" s="48">
        <f t="shared" si="6"/>
        <v>144</v>
      </c>
      <c r="B152" s="43">
        <v>4</v>
      </c>
      <c r="C152" s="43">
        <v>33</v>
      </c>
      <c r="D152" s="38" t="s">
        <v>308</v>
      </c>
      <c r="E152" s="44" t="s">
        <v>194</v>
      </c>
      <c r="F152" s="44" t="s">
        <v>5</v>
      </c>
      <c r="G152" s="44" t="s">
        <v>108</v>
      </c>
      <c r="H152" s="44" t="s">
        <v>12</v>
      </c>
      <c r="I152" s="44" t="s">
        <v>12</v>
      </c>
      <c r="J152" s="44" t="s">
        <v>14</v>
      </c>
      <c r="K152" s="44" t="s">
        <v>123</v>
      </c>
      <c r="L152" s="40">
        <v>1149</v>
      </c>
      <c r="M152" s="41">
        <v>41339</v>
      </c>
      <c r="N152" s="40" t="s">
        <v>110</v>
      </c>
      <c r="O152" s="42">
        <f t="shared" si="5"/>
        <v>42401</v>
      </c>
      <c r="P152" s="40">
        <v>21</v>
      </c>
      <c r="Q152" s="120">
        <f>[3]PPL_RCGS3MS!G11</f>
        <v>28.284148805637461</v>
      </c>
      <c r="R152" s="120">
        <f>[3]PPL_RCGS3MS!H11</f>
        <v>28.199210174102305</v>
      </c>
      <c r="S152" s="120">
        <f>[3]PPL_RCGS3MS!I11</f>
        <v>28.379068237692461</v>
      </c>
      <c r="T152" s="120">
        <f>[3]PPL_RCGS3MS!J11</f>
        <v>28.462278851577203</v>
      </c>
      <c r="U152" s="120">
        <f>[3]PPL_RCGS3MS!K11</f>
        <v>28.924759659814004</v>
      </c>
      <c r="V152" s="91"/>
    </row>
    <row r="153" spans="1:22" x14ac:dyDescent="0.2">
      <c r="A153" s="48">
        <f t="shared" si="6"/>
        <v>145</v>
      </c>
      <c r="B153" s="43">
        <v>4</v>
      </c>
      <c r="C153" s="43">
        <v>34</v>
      </c>
      <c r="D153" s="38" t="s">
        <v>309</v>
      </c>
      <c r="E153" s="44" t="s">
        <v>196</v>
      </c>
      <c r="F153" s="44" t="s">
        <v>29</v>
      </c>
      <c r="G153" s="44" t="s">
        <v>108</v>
      </c>
      <c r="H153" s="44" t="s">
        <v>34</v>
      </c>
      <c r="I153" s="44" t="s">
        <v>34</v>
      </c>
      <c r="J153" s="44" t="s">
        <v>35</v>
      </c>
      <c r="K153" s="44" t="s">
        <v>197</v>
      </c>
      <c r="L153" s="40">
        <v>1150</v>
      </c>
      <c r="M153" s="41">
        <v>41339</v>
      </c>
      <c r="N153" s="40" t="s">
        <v>110</v>
      </c>
      <c r="O153" s="42">
        <f t="shared" si="5"/>
        <v>42401</v>
      </c>
      <c r="P153" s="40">
        <v>21</v>
      </c>
      <c r="Q153" s="120">
        <f>'[3]PSEG LP_GLP_MMS'!G11</f>
        <v>50.678850335153982</v>
      </c>
      <c r="R153" s="120">
        <f>'[3]PSEG LP_GLP_MMS'!H11</f>
        <v>54.190750129866224</v>
      </c>
      <c r="S153" s="120">
        <f>'[3]PSEG LP_GLP_MMS'!I11</f>
        <v>55.808246531720314</v>
      </c>
      <c r="T153" s="120">
        <f>'[3]PSEG LP_GLP_MMS'!J11</f>
        <v>56.537052626907872</v>
      </c>
      <c r="U153" s="120">
        <f>'[3]PSEG LP_GLP_MMS'!K11</f>
        <v>57.796373051482597</v>
      </c>
      <c r="V153" s="91"/>
    </row>
    <row r="154" spans="1:22" x14ac:dyDescent="0.2">
      <c r="A154" s="48">
        <f t="shared" si="6"/>
        <v>146</v>
      </c>
      <c r="B154" s="43">
        <v>4</v>
      </c>
      <c r="C154" s="43">
        <v>35</v>
      </c>
      <c r="D154" s="38" t="s">
        <v>310</v>
      </c>
      <c r="E154" s="44" t="s">
        <v>199</v>
      </c>
      <c r="F154" s="44" t="s">
        <v>29</v>
      </c>
      <c r="G154" s="44" t="s">
        <v>108</v>
      </c>
      <c r="H154" s="44" t="s">
        <v>34</v>
      </c>
      <c r="I154" s="44" t="s">
        <v>34</v>
      </c>
      <c r="J154" s="44" t="s">
        <v>36</v>
      </c>
      <c r="K154" s="44" t="s">
        <v>200</v>
      </c>
      <c r="L154" s="40">
        <v>1151</v>
      </c>
      <c r="M154" s="41">
        <v>41339</v>
      </c>
      <c r="N154" s="40" t="s">
        <v>110</v>
      </c>
      <c r="O154" s="42">
        <f t="shared" si="5"/>
        <v>42401</v>
      </c>
      <c r="P154" s="40">
        <v>21</v>
      </c>
      <c r="Q154" s="120">
        <f>'[3]PSEG LP_LPLMS'!G11</f>
        <v>49.607316491134426</v>
      </c>
      <c r="R154" s="120">
        <f>'[3]PSEG LP_LPLMS'!H11</f>
        <v>53.514143586070325</v>
      </c>
      <c r="S154" s="120">
        <f>'[3]PSEG LP_LPLMS'!I11</f>
        <v>55.020035957930574</v>
      </c>
      <c r="T154" s="120">
        <f>'[3]PSEG LP_LPLMS'!J11</f>
        <v>55.795254861617444</v>
      </c>
      <c r="U154" s="120">
        <f>'[3]PSEG LP_LPLMS'!K11</f>
        <v>57.036903880181228</v>
      </c>
      <c r="V154" s="91"/>
    </row>
    <row r="155" spans="1:22" x14ac:dyDescent="0.2">
      <c r="A155" s="48">
        <f t="shared" si="6"/>
        <v>147</v>
      </c>
      <c r="B155" s="43">
        <v>4</v>
      </c>
      <c r="C155" s="43">
        <v>36</v>
      </c>
      <c r="D155" s="38" t="s">
        <v>311</v>
      </c>
      <c r="E155" s="44" t="s">
        <v>202</v>
      </c>
      <c r="F155" s="44" t="s">
        <v>5</v>
      </c>
      <c r="G155" s="44" t="s">
        <v>108</v>
      </c>
      <c r="H155" s="44" t="s">
        <v>15</v>
      </c>
      <c r="I155" s="44" t="s">
        <v>203</v>
      </c>
      <c r="J155" s="44" t="s">
        <v>16</v>
      </c>
      <c r="K155" s="44" t="s">
        <v>128</v>
      </c>
      <c r="L155" s="40">
        <v>1152</v>
      </c>
      <c r="M155" s="41">
        <v>41339</v>
      </c>
      <c r="N155" s="40" t="s">
        <v>110</v>
      </c>
      <c r="O155" s="42">
        <f t="shared" si="5"/>
        <v>42401</v>
      </c>
      <c r="P155" s="40">
        <v>21</v>
      </c>
      <c r="Q155" s="120">
        <f>'[3]West Penn Power LP_GSCMMS'!G11</f>
        <v>28.182529955119762</v>
      </c>
      <c r="R155" s="120">
        <f>'[3]West Penn Power LP_GSCMMS'!H11</f>
        <v>27.197797436245502</v>
      </c>
      <c r="S155" s="120">
        <f>'[3]West Penn Power LP_GSCMMS'!I11</f>
        <v>27.593436009950455</v>
      </c>
      <c r="T155" s="120">
        <f>'[3]West Penn Power LP_GSCMMS'!J11</f>
        <v>28.846524633495086</v>
      </c>
      <c r="U155" s="120">
        <f>'[3]West Penn Power LP_GSCMMS'!K11</f>
        <v>30.603826532434979</v>
      </c>
      <c r="V155" s="91"/>
    </row>
    <row r="156" spans="1:22" x14ac:dyDescent="0.2">
      <c r="A156" s="48">
        <f t="shared" si="6"/>
        <v>148</v>
      </c>
      <c r="B156" s="20"/>
      <c r="C156" s="20"/>
      <c r="D156" s="20"/>
      <c r="Q156" s="121"/>
      <c r="R156" s="121"/>
      <c r="S156" s="121"/>
      <c r="T156" s="121"/>
      <c r="U156" s="121"/>
    </row>
    <row r="157" spans="1:22" x14ac:dyDescent="0.2">
      <c r="A157" s="48">
        <f t="shared" si="6"/>
        <v>149</v>
      </c>
      <c r="B157" s="43">
        <v>5</v>
      </c>
      <c r="C157" s="43">
        <v>1</v>
      </c>
      <c r="D157" s="38" t="s">
        <v>312</v>
      </c>
      <c r="E157" s="44" t="s">
        <v>107</v>
      </c>
      <c r="F157" s="44" t="s">
        <v>29</v>
      </c>
      <c r="G157" s="44" t="s">
        <v>108</v>
      </c>
      <c r="H157" s="44" t="s">
        <v>30</v>
      </c>
      <c r="I157" s="44" t="s">
        <v>30</v>
      </c>
      <c r="J157" s="44" t="s">
        <v>31</v>
      </c>
      <c r="K157" s="44" t="s">
        <v>109</v>
      </c>
      <c r="L157" s="40">
        <v>1117</v>
      </c>
      <c r="M157" s="41">
        <v>41339</v>
      </c>
      <c r="N157" s="40" t="s">
        <v>110</v>
      </c>
      <c r="O157" s="42">
        <f>EDATE(O120,1)</f>
        <v>42430</v>
      </c>
      <c r="P157" s="40">
        <v>22</v>
      </c>
      <c r="Q157" s="120">
        <f>'[3]AECO LP_10V1_SMS'!G12</f>
        <v>43.140622166375309</v>
      </c>
      <c r="R157" s="120">
        <f>'[3]AECO LP_10V1_SMS'!H12</f>
        <v>46.334469858052017</v>
      </c>
      <c r="S157" s="120">
        <f>'[3]AECO LP_10V1_SMS'!I12</f>
        <v>45.765652358616855</v>
      </c>
      <c r="T157" s="120">
        <f>'[3]AECO LP_10V1_SMS'!J12</f>
        <v>46.711497354705678</v>
      </c>
      <c r="U157" s="120">
        <f>'[3]AECO LP_10V1_SMS'!K12</f>
        <v>48.332131435008897</v>
      </c>
      <c r="V157" s="91"/>
    </row>
    <row r="158" spans="1:22" x14ac:dyDescent="0.2">
      <c r="A158" s="48">
        <f t="shared" si="6"/>
        <v>150</v>
      </c>
      <c r="B158" s="43">
        <v>5</v>
      </c>
      <c r="C158" s="43">
        <v>2</v>
      </c>
      <c r="D158" s="38" t="s">
        <v>313</v>
      </c>
      <c r="E158" s="44" t="s">
        <v>112</v>
      </c>
      <c r="F158" s="44" t="s">
        <v>29</v>
      </c>
      <c r="G158" s="44" t="s">
        <v>108</v>
      </c>
      <c r="H158" s="44" t="s">
        <v>30</v>
      </c>
      <c r="I158" s="44" t="s">
        <v>30</v>
      </c>
      <c r="J158" s="44" t="s">
        <v>32</v>
      </c>
      <c r="K158" s="44" t="s">
        <v>113</v>
      </c>
      <c r="L158" s="40">
        <v>1118</v>
      </c>
      <c r="M158" s="41">
        <v>41339</v>
      </c>
      <c r="N158" s="40" t="s">
        <v>110</v>
      </c>
      <c r="O158" s="42">
        <f>O157</f>
        <v>42430</v>
      </c>
      <c r="P158" s="40">
        <v>22</v>
      </c>
      <c r="Q158" s="120">
        <f>'[3]AECO LP_14V1_MMS'!G12</f>
        <v>44.246202818367458</v>
      </c>
      <c r="R158" s="120">
        <f>'[3]AECO LP_14V1_MMS'!H12</f>
        <v>46.271749900972758</v>
      </c>
      <c r="S158" s="120">
        <f>'[3]AECO LP_14V1_MMS'!I12</f>
        <v>46.147307711456278</v>
      </c>
      <c r="T158" s="120">
        <f>'[3]AECO LP_14V1_MMS'!J12</f>
        <v>46.305766605209179</v>
      </c>
      <c r="U158" s="120">
        <f>'[3]AECO LP_14V1_MMS'!K12</f>
        <v>46.396372162618221</v>
      </c>
      <c r="V158" s="91"/>
    </row>
    <row r="159" spans="1:22" x14ac:dyDescent="0.2">
      <c r="A159" s="48">
        <f t="shared" si="6"/>
        <v>151</v>
      </c>
      <c r="B159" s="43">
        <v>5</v>
      </c>
      <c r="C159" s="43">
        <v>3</v>
      </c>
      <c r="D159" s="38" t="s">
        <v>314</v>
      </c>
      <c r="E159" s="44" t="s">
        <v>115</v>
      </c>
      <c r="F159" s="44" t="s">
        <v>18</v>
      </c>
      <c r="G159" s="44" t="s">
        <v>108</v>
      </c>
      <c r="H159" s="44" t="s">
        <v>61</v>
      </c>
      <c r="I159" s="44" t="s">
        <v>116</v>
      </c>
      <c r="J159" s="44" t="s">
        <v>13</v>
      </c>
      <c r="K159" s="44" t="s">
        <v>117</v>
      </c>
      <c r="L159" s="40">
        <v>1119</v>
      </c>
      <c r="M159" s="41">
        <v>41339</v>
      </c>
      <c r="N159" s="40" t="s">
        <v>110</v>
      </c>
      <c r="O159" s="42">
        <f t="shared" ref="O159:O192" si="7">O158</f>
        <v>42430</v>
      </c>
      <c r="P159" s="40">
        <v>22</v>
      </c>
      <c r="Q159" s="120">
        <f>'[3]AEP_OH_CS - test CSGS1MS'!G12</f>
        <v>20.776215561821441</v>
      </c>
      <c r="R159" s="120">
        <f>'[3]AEP_OH_CS - test CSGS1MS'!H12</f>
        <v>19.690569731242679</v>
      </c>
      <c r="S159" s="120">
        <f>'[3]AEP_OH_CS - test CSGS1MS'!I12</f>
        <v>20.366972026312567</v>
      </c>
      <c r="T159" s="120">
        <f>'[3]AEP_OH_CS - test CSGS1MS'!J12</f>
        <v>21.3693816679253</v>
      </c>
      <c r="U159" s="120">
        <f>'[3]AEP_OH_CS - test CSGS1MS'!K12</f>
        <v>22.964629971974748</v>
      </c>
      <c r="V159" s="91"/>
    </row>
    <row r="160" spans="1:22" x14ac:dyDescent="0.2">
      <c r="A160" s="48">
        <f t="shared" si="6"/>
        <v>152</v>
      </c>
      <c r="B160" s="43">
        <v>5</v>
      </c>
      <c r="C160" s="43">
        <v>4</v>
      </c>
      <c r="D160" s="38" t="s">
        <v>315</v>
      </c>
      <c r="E160" s="44" t="s">
        <v>119</v>
      </c>
      <c r="F160" s="44" t="s">
        <v>18</v>
      </c>
      <c r="G160" s="44" t="s">
        <v>108</v>
      </c>
      <c r="H160" s="44" t="s">
        <v>61</v>
      </c>
      <c r="I160" s="44" t="s">
        <v>116</v>
      </c>
      <c r="J160" s="44" t="s">
        <v>19</v>
      </c>
      <c r="K160" s="44" t="s">
        <v>120</v>
      </c>
      <c r="L160" s="40">
        <v>1120</v>
      </c>
      <c r="M160" s="41">
        <v>41339</v>
      </c>
      <c r="N160" s="40" t="s">
        <v>110</v>
      </c>
      <c r="O160" s="42">
        <f t="shared" si="7"/>
        <v>42430</v>
      </c>
      <c r="P160" s="40">
        <v>22</v>
      </c>
      <c r="Q160" s="120">
        <f>'[3]AEP_OH_CS - test CSGS2UMS'!G12</f>
        <v>20.063039099032601</v>
      </c>
      <c r="R160" s="120">
        <f>'[3]AEP_OH_CS - test CSGS2UMS'!H12</f>
        <v>19.760004182793352</v>
      </c>
      <c r="S160" s="120">
        <f>'[3]AEP_OH_CS - test CSGS2UMS'!I12</f>
        <v>20.171237947749418</v>
      </c>
      <c r="T160" s="120">
        <f>'[3]AEP_OH_CS - test CSGS2UMS'!J12</f>
        <v>21.436845286147236</v>
      </c>
      <c r="U160" s="120">
        <f>'[3]AEP_OH_CS - test CSGS2UMS'!K12</f>
        <v>23.035259653944149</v>
      </c>
      <c r="V160" s="91"/>
    </row>
    <row r="161" spans="1:22" x14ac:dyDescent="0.2">
      <c r="A161" s="48">
        <f t="shared" si="6"/>
        <v>153</v>
      </c>
      <c r="B161" s="43">
        <v>5</v>
      </c>
      <c r="C161" s="43">
        <v>5</v>
      </c>
      <c r="D161" s="38" t="s">
        <v>316</v>
      </c>
      <c r="E161" s="44" t="s">
        <v>122</v>
      </c>
      <c r="F161" s="44" t="s">
        <v>18</v>
      </c>
      <c r="G161" s="44" t="s">
        <v>108</v>
      </c>
      <c r="H161" s="44" t="s">
        <v>61</v>
      </c>
      <c r="I161" s="44" t="s">
        <v>116</v>
      </c>
      <c r="J161" s="44" t="s">
        <v>14</v>
      </c>
      <c r="K161" s="44" t="s">
        <v>123</v>
      </c>
      <c r="L161" s="40">
        <v>1121</v>
      </c>
      <c r="M161" s="41">
        <v>41339</v>
      </c>
      <c r="N161" s="40" t="s">
        <v>110</v>
      </c>
      <c r="O161" s="42">
        <f t="shared" si="7"/>
        <v>42430</v>
      </c>
      <c r="P161" s="40">
        <v>22</v>
      </c>
      <c r="Q161" s="120">
        <f>'[3]AEP_OH_CS - test CSGS3UMS'!G12</f>
        <v>20.063039099032601</v>
      </c>
      <c r="R161" s="120">
        <f>'[3]AEP_OH_CS - test CSGS3UMS'!H12</f>
        <v>19.760004182793352</v>
      </c>
      <c r="S161" s="120">
        <f>'[3]AEP_OH_CS - test CSGS3UMS'!I12</f>
        <v>20.171237947749418</v>
      </c>
      <c r="T161" s="120">
        <f>'[3]AEP_OH_CS - test CSGS3UMS'!J12</f>
        <v>21.436845286147236</v>
      </c>
      <c r="U161" s="120">
        <f>'[3]AEP_OH_CS - test CSGS3UMS'!K12</f>
        <v>23.035259653944149</v>
      </c>
      <c r="V161" s="91"/>
    </row>
    <row r="162" spans="1:22" x14ac:dyDescent="0.2">
      <c r="A162" s="48">
        <f t="shared" si="6"/>
        <v>154</v>
      </c>
      <c r="B162" s="43">
        <v>5</v>
      </c>
      <c r="C162" s="43">
        <v>6</v>
      </c>
      <c r="D162" s="38" t="s">
        <v>317</v>
      </c>
      <c r="E162" s="44" t="s">
        <v>125</v>
      </c>
      <c r="F162" s="44" t="s">
        <v>23</v>
      </c>
      <c r="G162" s="44" t="s">
        <v>126</v>
      </c>
      <c r="H162" s="44" t="s">
        <v>127</v>
      </c>
      <c r="I162" s="44" t="s">
        <v>27</v>
      </c>
      <c r="J162" s="44" t="s">
        <v>28</v>
      </c>
      <c r="K162" s="44" t="s">
        <v>128</v>
      </c>
      <c r="L162" s="40">
        <v>1122</v>
      </c>
      <c r="M162" s="41">
        <v>41339</v>
      </c>
      <c r="N162" s="40" t="s">
        <v>110</v>
      </c>
      <c r="O162" s="42">
        <f t="shared" si="7"/>
        <v>42430</v>
      </c>
      <c r="P162" s="40">
        <v>22</v>
      </c>
      <c r="Q162" s="120">
        <f>'[3]Ameren RateZnIII LP DS2HHMS'!G12</f>
        <v>23.225456872977041</v>
      </c>
      <c r="R162" s="120">
        <f>'[3]Ameren RateZnIII LP DS2HHMS'!H12</f>
        <v>23.478669706349589</v>
      </c>
      <c r="S162" s="120">
        <f>'[3]Ameren RateZnIII LP DS2HHMS'!I12</f>
        <v>23.117492640213992</v>
      </c>
      <c r="T162" s="120">
        <f>'[3]Ameren RateZnIII LP DS2HHMS'!J12</f>
        <v>23.532839441533806</v>
      </c>
      <c r="U162" s="120">
        <f>'[3]Ameren RateZnIII LP DS2HHMS'!K12</f>
        <v>23.853431940733159</v>
      </c>
      <c r="V162" s="91"/>
    </row>
    <row r="163" spans="1:22" x14ac:dyDescent="0.2">
      <c r="A163" s="48">
        <f t="shared" si="6"/>
        <v>155</v>
      </c>
      <c r="B163" s="43">
        <v>5</v>
      </c>
      <c r="C163" s="43">
        <v>7</v>
      </c>
      <c r="D163" s="38" t="s">
        <v>318</v>
      </c>
      <c r="E163" s="44" t="s">
        <v>130</v>
      </c>
      <c r="F163" s="44" t="s">
        <v>37</v>
      </c>
      <c r="G163" s="44" t="s">
        <v>108</v>
      </c>
      <c r="H163" s="44" t="s">
        <v>38</v>
      </c>
      <c r="I163" s="44" t="s">
        <v>38</v>
      </c>
      <c r="J163" s="44" t="s">
        <v>40</v>
      </c>
      <c r="K163" s="44" t="s">
        <v>123</v>
      </c>
      <c r="L163" s="40">
        <v>1124</v>
      </c>
      <c r="M163" s="41">
        <v>41339</v>
      </c>
      <c r="N163" s="40" t="s">
        <v>110</v>
      </c>
      <c r="O163" s="42">
        <f t="shared" si="7"/>
        <v>42430</v>
      </c>
      <c r="P163" s="40">
        <v>22</v>
      </c>
      <c r="Q163" s="120">
        <f>'[3]BGE LP_GLMS'!G12</f>
        <v>33.776554694004034</v>
      </c>
      <c r="R163" s="120">
        <f>'[3]BGE LP_GLMS'!H12</f>
        <v>34.268690239090709</v>
      </c>
      <c r="S163" s="120">
        <f>'[3]BGE LP_GLMS'!I12</f>
        <v>34.093983659103991</v>
      </c>
      <c r="T163" s="120">
        <f>'[3]BGE LP_GLMS'!J12</f>
        <v>34.24337538802817</v>
      </c>
      <c r="U163" s="120">
        <f>'[3]BGE LP_GLMS'!K12</f>
        <v>34.684205243554388</v>
      </c>
      <c r="V163" s="91"/>
    </row>
    <row r="164" spans="1:22" x14ac:dyDescent="0.2">
      <c r="A164" s="48">
        <f t="shared" si="6"/>
        <v>156</v>
      </c>
      <c r="B164" s="43">
        <v>5</v>
      </c>
      <c r="C164" s="43">
        <v>8</v>
      </c>
      <c r="D164" s="38" t="s">
        <v>319</v>
      </c>
      <c r="E164" s="44" t="s">
        <v>132</v>
      </c>
      <c r="F164" s="44" t="s">
        <v>37</v>
      </c>
      <c r="G164" s="44" t="s">
        <v>108</v>
      </c>
      <c r="H164" s="44" t="s">
        <v>38</v>
      </c>
      <c r="I164" s="44" t="s">
        <v>38</v>
      </c>
      <c r="J164" s="44" t="s">
        <v>39</v>
      </c>
      <c r="K164" s="44" t="s">
        <v>120</v>
      </c>
      <c r="L164" s="40">
        <v>1123</v>
      </c>
      <c r="M164" s="41">
        <v>41339</v>
      </c>
      <c r="N164" s="40" t="s">
        <v>110</v>
      </c>
      <c r="O164" s="42">
        <f t="shared" si="7"/>
        <v>42430</v>
      </c>
      <c r="P164" s="40">
        <v>22</v>
      </c>
      <c r="Q164" s="120">
        <f>'[3]BGE LP_GMS'!G12</f>
        <v>34.129490299221047</v>
      </c>
      <c r="R164" s="120">
        <f>'[3]BGE LP_GMS'!H12</f>
        <v>34.337064253057981</v>
      </c>
      <c r="S164" s="120">
        <f>'[3]BGE LP_GMS'!I12</f>
        <v>34.259463433020549</v>
      </c>
      <c r="T164" s="120">
        <f>'[3]BGE LP_GMS'!J12</f>
        <v>34.379045747453205</v>
      </c>
      <c r="U164" s="120">
        <f>'[3]BGE LP_GMS'!K12</f>
        <v>34.84584677567166</v>
      </c>
      <c r="V164" s="91"/>
    </row>
    <row r="165" spans="1:22" x14ac:dyDescent="0.2">
      <c r="A165" s="48">
        <f t="shared" si="6"/>
        <v>157</v>
      </c>
      <c r="B165" s="43">
        <v>5</v>
      </c>
      <c r="C165" s="43">
        <v>9</v>
      </c>
      <c r="D165" s="38" t="s">
        <v>320</v>
      </c>
      <c r="E165" s="44" t="s">
        <v>134</v>
      </c>
      <c r="F165" s="44" t="s">
        <v>37</v>
      </c>
      <c r="G165" s="44" t="s">
        <v>108</v>
      </c>
      <c r="H165" s="44" t="s">
        <v>38</v>
      </c>
      <c r="I165" s="44" t="s">
        <v>38</v>
      </c>
      <c r="J165" s="44" t="s">
        <v>6</v>
      </c>
      <c r="K165" s="44" t="s">
        <v>117</v>
      </c>
      <c r="L165" s="40">
        <v>1125</v>
      </c>
      <c r="M165" s="41">
        <v>41339</v>
      </c>
      <c r="N165" s="40" t="s">
        <v>110</v>
      </c>
      <c r="O165" s="42">
        <f t="shared" si="7"/>
        <v>42430</v>
      </c>
      <c r="P165" s="40">
        <v>22</v>
      </c>
      <c r="Q165" s="120">
        <f>'[3]BGE LP_GSMS'!G12</f>
        <v>35.182382348227513</v>
      </c>
      <c r="R165" s="120">
        <f>'[3]BGE LP_GSMS'!H12</f>
        <v>35.290232880729981</v>
      </c>
      <c r="S165" s="120">
        <f>'[3]BGE LP_GSMS'!I12</f>
        <v>35.246668570490641</v>
      </c>
      <c r="T165" s="120">
        <f>'[3]BGE LP_GSMS'!J12</f>
        <v>35.205590037938407</v>
      </c>
      <c r="U165" s="120">
        <f>'[3]BGE LP_GSMS'!K12</f>
        <v>35.629121975126068</v>
      </c>
      <c r="V165" s="91"/>
    </row>
    <row r="166" spans="1:22" x14ac:dyDescent="0.2">
      <c r="A166" s="48">
        <f t="shared" si="6"/>
        <v>158</v>
      </c>
      <c r="B166" s="43">
        <v>5</v>
      </c>
      <c r="C166" s="43">
        <v>10</v>
      </c>
      <c r="D166" s="38" t="s">
        <v>321</v>
      </c>
      <c r="E166" s="44" t="s">
        <v>136</v>
      </c>
      <c r="F166" s="44" t="s">
        <v>23</v>
      </c>
      <c r="G166" s="44" t="s">
        <v>108</v>
      </c>
      <c r="H166" s="44" t="s">
        <v>137</v>
      </c>
      <c r="I166" s="44" t="s">
        <v>24</v>
      </c>
      <c r="J166" s="44" t="s">
        <v>25</v>
      </c>
      <c r="K166" s="44" t="s">
        <v>138</v>
      </c>
      <c r="L166" s="40">
        <v>1126</v>
      </c>
      <c r="M166" s="41">
        <v>41339</v>
      </c>
      <c r="N166" s="40" t="s">
        <v>110</v>
      </c>
      <c r="O166" s="42">
        <f t="shared" si="7"/>
        <v>42430</v>
      </c>
      <c r="P166" s="40">
        <v>22</v>
      </c>
      <c r="Q166" s="120">
        <f>'[3]ComEd - test LP_28MS'!G12</f>
        <v>29.4790134490413</v>
      </c>
      <c r="R166" s="120">
        <f>'[3]ComEd - test LP_28MS'!H12</f>
        <v>28.86797183760158</v>
      </c>
      <c r="S166" s="120">
        <f>'[3]ComEd - test LP_28MS'!I12</f>
        <v>29.525877103552205</v>
      </c>
      <c r="T166" s="120">
        <f>'[3]ComEd - test LP_28MS'!J12</f>
        <v>30.735420804882491</v>
      </c>
      <c r="U166" s="120">
        <f>'[3]ComEd - test LP_28MS'!K12</f>
        <v>33.592726346913203</v>
      </c>
      <c r="V166" s="91"/>
    </row>
    <row r="167" spans="1:22" x14ac:dyDescent="0.2">
      <c r="A167" s="48">
        <f t="shared" si="6"/>
        <v>159</v>
      </c>
      <c r="B167" s="43">
        <v>5</v>
      </c>
      <c r="C167" s="43">
        <v>11</v>
      </c>
      <c r="D167" s="38" t="s">
        <v>322</v>
      </c>
      <c r="E167" s="44" t="s">
        <v>140</v>
      </c>
      <c r="F167" s="44" t="s">
        <v>23</v>
      </c>
      <c r="G167" s="44" t="s">
        <v>108</v>
      </c>
      <c r="H167" s="44" t="s">
        <v>137</v>
      </c>
      <c r="I167" s="44" t="s">
        <v>24</v>
      </c>
      <c r="J167" s="44" t="s">
        <v>26</v>
      </c>
      <c r="K167" s="44" t="s">
        <v>141</v>
      </c>
      <c r="L167" s="40">
        <v>1127</v>
      </c>
      <c r="M167" s="41">
        <v>41339</v>
      </c>
      <c r="N167" s="40" t="s">
        <v>110</v>
      </c>
      <c r="O167" s="42">
        <f t="shared" si="7"/>
        <v>42430</v>
      </c>
      <c r="P167" s="40">
        <v>22</v>
      </c>
      <c r="Q167" s="120">
        <f>'[3]ComEd - test LP_29MS'!G12</f>
        <v>28.623033285784956</v>
      </c>
      <c r="R167" s="120">
        <f>'[3]ComEd - test LP_29MS'!H12</f>
        <v>27.956165213561682</v>
      </c>
      <c r="S167" s="120">
        <f>'[3]ComEd - test LP_29MS'!I12</f>
        <v>28.629860101837256</v>
      </c>
      <c r="T167" s="120">
        <f>'[3]ComEd - test LP_29MS'!J12</f>
        <v>29.823680616680452</v>
      </c>
      <c r="U167" s="120">
        <f>'[3]ComEd - test LP_29MS'!K12</f>
        <v>32.680363717164553</v>
      </c>
      <c r="V167" s="91"/>
    </row>
    <row r="168" spans="1:22" x14ac:dyDescent="0.2">
      <c r="A168" s="48">
        <f t="shared" si="6"/>
        <v>160</v>
      </c>
      <c r="B168" s="43">
        <v>5</v>
      </c>
      <c r="C168" s="43">
        <v>12</v>
      </c>
      <c r="D168" s="38" t="s">
        <v>323</v>
      </c>
      <c r="E168" s="44" t="s">
        <v>143</v>
      </c>
      <c r="F168" s="44" t="s">
        <v>18</v>
      </c>
      <c r="G168" s="44" t="s">
        <v>108</v>
      </c>
      <c r="H168" s="44" t="s">
        <v>94</v>
      </c>
      <c r="I168" s="44" t="s">
        <v>144</v>
      </c>
      <c r="J168" s="44" t="s">
        <v>20</v>
      </c>
      <c r="K168" s="44" t="s">
        <v>145</v>
      </c>
      <c r="L168" s="40">
        <v>1128</v>
      </c>
      <c r="M168" s="41">
        <v>41339</v>
      </c>
      <c r="N168" s="40" t="s">
        <v>110</v>
      </c>
      <c r="O168" s="42">
        <f t="shared" si="7"/>
        <v>42430</v>
      </c>
      <c r="P168" s="40">
        <v>22</v>
      </c>
      <c r="Q168" s="120">
        <f>[3]DAY_RC_843MS!G12</f>
        <v>20.632402363389577</v>
      </c>
      <c r="R168" s="120">
        <f>[3]DAY_RC_843MS!H12</f>
        <v>18.825963576261195</v>
      </c>
      <c r="S168" s="120">
        <f>[3]DAY_RC_843MS!I12</f>
        <v>19.713176632530342</v>
      </c>
      <c r="T168" s="120">
        <f>[3]DAY_RC_843MS!J12</f>
        <v>20.455284620920793</v>
      </c>
      <c r="U168" s="120">
        <f>[3]DAY_RC_843MS!K12</f>
        <v>21.992586413508285</v>
      </c>
      <c r="V168" s="91"/>
    </row>
    <row r="169" spans="1:22" x14ac:dyDescent="0.2">
      <c r="A169" s="48">
        <f t="shared" si="6"/>
        <v>161</v>
      </c>
      <c r="B169" s="43">
        <v>5</v>
      </c>
      <c r="C169" s="43">
        <v>13</v>
      </c>
      <c r="D169" s="38" t="s">
        <v>324</v>
      </c>
      <c r="E169" s="44" t="s">
        <v>147</v>
      </c>
      <c r="F169" s="44" t="s">
        <v>37</v>
      </c>
      <c r="G169" s="44" t="s">
        <v>108</v>
      </c>
      <c r="H169" s="44" t="s">
        <v>41</v>
      </c>
      <c r="I169" s="44" t="s">
        <v>41</v>
      </c>
      <c r="J169" s="44" t="s">
        <v>6</v>
      </c>
      <c r="K169" s="44" t="s">
        <v>128</v>
      </c>
      <c r="L169" s="40">
        <v>1129</v>
      </c>
      <c r="M169" s="41">
        <v>41339</v>
      </c>
      <c r="N169" s="40" t="s">
        <v>110</v>
      </c>
      <c r="O169" s="42">
        <f t="shared" si="7"/>
        <v>42430</v>
      </c>
      <c r="P169" s="40">
        <v>22</v>
      </c>
      <c r="Q169" s="120">
        <f>'[3]Delmarva MD LP_MDGS_MMS'!G12</f>
        <v>36.720026110960163</v>
      </c>
      <c r="R169" s="120">
        <f>'[3]Delmarva MD LP_MDGS_MMS'!H12</f>
        <v>37.976455228247012</v>
      </c>
      <c r="S169" s="120">
        <f>'[3]Delmarva MD LP_MDGS_MMS'!I12</f>
        <v>37.319394832705363</v>
      </c>
      <c r="T169" s="120">
        <f>'[3]Delmarva MD LP_MDGS_MMS'!J12</f>
        <v>37.857142979255983</v>
      </c>
      <c r="U169" s="120">
        <f>'[3]Delmarva MD LP_MDGS_MMS'!K12</f>
        <v>40.272711983444843</v>
      </c>
      <c r="V169" s="91"/>
    </row>
    <row r="170" spans="1:22" x14ac:dyDescent="0.2">
      <c r="A170" s="48">
        <f t="shared" si="6"/>
        <v>162</v>
      </c>
      <c r="B170" s="43">
        <v>5</v>
      </c>
      <c r="C170" s="43">
        <v>14</v>
      </c>
      <c r="D170" s="38" t="s">
        <v>325</v>
      </c>
      <c r="E170" s="44" t="s">
        <v>149</v>
      </c>
      <c r="F170" s="44" t="s">
        <v>5</v>
      </c>
      <c r="G170" s="44" t="s">
        <v>108</v>
      </c>
      <c r="H170" s="44" t="s">
        <v>46</v>
      </c>
      <c r="I170" s="44" t="s">
        <v>46</v>
      </c>
      <c r="J170" s="44" t="s">
        <v>6</v>
      </c>
      <c r="K170" s="44" t="s">
        <v>128</v>
      </c>
      <c r="L170" s="40">
        <v>1130</v>
      </c>
      <c r="M170" s="41">
        <v>41339</v>
      </c>
      <c r="N170" s="40" t="s">
        <v>110</v>
      </c>
      <c r="O170" s="42">
        <f t="shared" si="7"/>
        <v>42430</v>
      </c>
      <c r="P170" s="40">
        <v>22</v>
      </c>
      <c r="Q170" s="120">
        <f>'[3]DQE LP_GSGM_MMS'!G12</f>
        <v>32.371394467821816</v>
      </c>
      <c r="R170" s="120">
        <f>'[3]DQE LP_GSGM_MMS'!H12</f>
        <v>31.518571308982509</v>
      </c>
      <c r="S170" s="120">
        <f>'[3]DQE LP_GSGM_MMS'!I12</f>
        <v>32.185117130522883</v>
      </c>
      <c r="T170" s="120">
        <f>'[3]DQE LP_GSGM_MMS'!J12</f>
        <v>33.375209541542446</v>
      </c>
      <c r="U170" s="120">
        <f>'[3]DQE LP_GSGM_MMS'!K12</f>
        <v>35.02706286466843</v>
      </c>
      <c r="V170" s="91"/>
    </row>
    <row r="171" spans="1:22" x14ac:dyDescent="0.2">
      <c r="A171" s="48">
        <f t="shared" si="6"/>
        <v>163</v>
      </c>
      <c r="B171" s="43">
        <v>5</v>
      </c>
      <c r="C171" s="43">
        <v>15</v>
      </c>
      <c r="D171" s="38" t="s">
        <v>326</v>
      </c>
      <c r="E171" s="44" t="s">
        <v>151</v>
      </c>
      <c r="F171" s="44" t="s">
        <v>18</v>
      </c>
      <c r="G171" s="44" t="s">
        <v>108</v>
      </c>
      <c r="H171" s="44" t="s">
        <v>21</v>
      </c>
      <c r="I171" s="44" t="s">
        <v>152</v>
      </c>
      <c r="J171" s="44" t="s">
        <v>22</v>
      </c>
      <c r="K171" s="44" t="s">
        <v>128</v>
      </c>
      <c r="L171" s="40">
        <v>1131</v>
      </c>
      <c r="M171" s="41">
        <v>41339</v>
      </c>
      <c r="N171" s="40" t="s">
        <v>110</v>
      </c>
      <c r="O171" s="42">
        <f t="shared" si="7"/>
        <v>42430</v>
      </c>
      <c r="P171" s="40">
        <v>22</v>
      </c>
      <c r="Q171" s="120">
        <f>[3]Duke_OH_RC_DS01MS!G12</f>
        <v>19.189180913033937</v>
      </c>
      <c r="R171" s="120">
        <f>[3]Duke_OH_RC_DS01MS!H12</f>
        <v>18.825822873543789</v>
      </c>
      <c r="S171" s="120">
        <f>[3]Duke_OH_RC_DS01MS!I12</f>
        <v>19.202709992315629</v>
      </c>
      <c r="T171" s="120">
        <f>[3]Duke_OH_RC_DS01MS!J12</f>
        <v>20.40044694874036</v>
      </c>
      <c r="U171" s="120">
        <f>[3]Duke_OH_RC_DS01MS!K12</f>
        <v>21.770234908890195</v>
      </c>
      <c r="V171" s="91"/>
    </row>
    <row r="172" spans="1:22" x14ac:dyDescent="0.2">
      <c r="A172" s="48">
        <f t="shared" si="6"/>
        <v>164</v>
      </c>
      <c r="B172" s="43">
        <v>5</v>
      </c>
      <c r="C172" s="43">
        <v>16</v>
      </c>
      <c r="D172" s="38" t="s">
        <v>327</v>
      </c>
      <c r="E172" s="44" t="s">
        <v>154</v>
      </c>
      <c r="F172" s="44" t="s">
        <v>18</v>
      </c>
      <c r="G172" s="44" t="s">
        <v>108</v>
      </c>
      <c r="H172" s="44" t="s">
        <v>62</v>
      </c>
      <c r="I172" s="44" t="s">
        <v>155</v>
      </c>
      <c r="J172" s="44" t="s">
        <v>6</v>
      </c>
      <c r="K172" s="44" t="s">
        <v>128</v>
      </c>
      <c r="L172" s="40">
        <v>1132</v>
      </c>
      <c r="M172" s="41">
        <v>41339</v>
      </c>
      <c r="N172" s="40" t="s">
        <v>110</v>
      </c>
      <c r="O172" s="42">
        <f t="shared" si="7"/>
        <v>42430</v>
      </c>
      <c r="P172" s="40">
        <v>22</v>
      </c>
      <c r="Q172" s="120">
        <f>'[3]FE_OE - test RC_GSFMS'!G12</f>
        <v>31.04892978692229</v>
      </c>
      <c r="R172" s="120">
        <f>'[3]FE_OE - test RC_GSFMS'!H12</f>
        <v>25.880962452359778</v>
      </c>
      <c r="S172" s="120">
        <f>'[3]FE_OE - test RC_GSFMS'!I12</f>
        <v>25.015180961701812</v>
      </c>
      <c r="T172" s="120">
        <f>'[3]FE_OE - test RC_GSFMS'!J12</f>
        <v>24.558177500926263</v>
      </c>
      <c r="U172" s="120">
        <f>'[3]FE_OE - test RC_GSFMS'!K12</f>
        <v>24.771381166887213</v>
      </c>
      <c r="V172" s="91"/>
    </row>
    <row r="173" spans="1:22" x14ac:dyDescent="0.2">
      <c r="A173" s="48">
        <f t="shared" si="6"/>
        <v>165</v>
      </c>
      <c r="B173" s="43">
        <v>5</v>
      </c>
      <c r="C173" s="43">
        <v>17</v>
      </c>
      <c r="D173" s="38" t="s">
        <v>328</v>
      </c>
      <c r="E173" s="44" t="s">
        <v>157</v>
      </c>
      <c r="F173" s="44" t="s">
        <v>29</v>
      </c>
      <c r="G173" s="44" t="s">
        <v>108</v>
      </c>
      <c r="H173" s="44" t="s">
        <v>33</v>
      </c>
      <c r="I173" s="44" t="s">
        <v>33</v>
      </c>
      <c r="J173" s="44" t="s">
        <v>7</v>
      </c>
      <c r="K173" s="44" t="s">
        <v>123</v>
      </c>
      <c r="L173" s="40">
        <v>1133</v>
      </c>
      <c r="M173" s="41">
        <v>41339</v>
      </c>
      <c r="N173" s="40" t="s">
        <v>110</v>
      </c>
      <c r="O173" s="42">
        <f t="shared" si="7"/>
        <v>42430</v>
      </c>
      <c r="P173" s="40">
        <v>22</v>
      </c>
      <c r="Q173" s="120">
        <f>'[3]JCPL LP_GSCLMS'!G12</f>
        <v>32.769498012280991</v>
      </c>
      <c r="R173" s="120">
        <f>'[3]JCPL LP_GSCLMS'!H12</f>
        <v>35.621706780675396</v>
      </c>
      <c r="S173" s="120">
        <f>'[3]JCPL LP_GSCLMS'!I12</f>
        <v>36.758536149762435</v>
      </c>
      <c r="T173" s="120">
        <f>'[3]JCPL LP_GSCLMS'!J12</f>
        <v>37.713470162729301</v>
      </c>
      <c r="U173" s="120">
        <f>'[3]JCPL LP_GSCLMS'!K12</f>
        <v>40.680121663887618</v>
      </c>
      <c r="V173" s="91"/>
    </row>
    <row r="174" spans="1:22" x14ac:dyDescent="0.2">
      <c r="A174" s="48">
        <f t="shared" si="6"/>
        <v>166</v>
      </c>
      <c r="B174" s="43">
        <v>5</v>
      </c>
      <c r="C174" s="43">
        <v>18</v>
      </c>
      <c r="D174" s="38" t="s">
        <v>329</v>
      </c>
      <c r="E174" s="44" t="s">
        <v>159</v>
      </c>
      <c r="F174" s="44" t="s">
        <v>29</v>
      </c>
      <c r="G174" s="44" t="s">
        <v>108</v>
      </c>
      <c r="H174" s="44" t="s">
        <v>33</v>
      </c>
      <c r="I174" s="44" t="s">
        <v>33</v>
      </c>
      <c r="J174" s="44" t="s">
        <v>8</v>
      </c>
      <c r="K174" s="44" t="s">
        <v>120</v>
      </c>
      <c r="L174" s="40">
        <v>1134</v>
      </c>
      <c r="M174" s="41">
        <v>41339</v>
      </c>
      <c r="N174" s="40" t="s">
        <v>110</v>
      </c>
      <c r="O174" s="42">
        <f t="shared" si="7"/>
        <v>42430</v>
      </c>
      <c r="P174" s="40">
        <v>22</v>
      </c>
      <c r="Q174" s="120">
        <f>'[3]JCPL LP_GSCMMS'!G12</f>
        <v>32.693581572740229</v>
      </c>
      <c r="R174" s="120">
        <f>'[3]JCPL LP_GSCMMS'!H12</f>
        <v>36.576754696820032</v>
      </c>
      <c r="S174" s="120">
        <f>'[3]JCPL LP_GSCMMS'!I12</f>
        <v>37.426554939720241</v>
      </c>
      <c r="T174" s="120">
        <f>'[3]JCPL LP_GSCMMS'!J12</f>
        <v>38.651227419760637</v>
      </c>
      <c r="U174" s="120">
        <f>'[3]JCPL LP_GSCMMS'!K12</f>
        <v>41.562236516741564</v>
      </c>
      <c r="V174" s="91"/>
    </row>
    <row r="175" spans="1:22" x14ac:dyDescent="0.2">
      <c r="A175" s="48">
        <f t="shared" si="6"/>
        <v>167</v>
      </c>
      <c r="B175" s="43">
        <v>5</v>
      </c>
      <c r="C175" s="43">
        <v>19</v>
      </c>
      <c r="D175" s="38" t="s">
        <v>330</v>
      </c>
      <c r="E175" s="44" t="s">
        <v>161</v>
      </c>
      <c r="F175" s="44" t="s">
        <v>29</v>
      </c>
      <c r="G175" s="44" t="s">
        <v>108</v>
      </c>
      <c r="H175" s="44" t="s">
        <v>33</v>
      </c>
      <c r="I175" s="44" t="s">
        <v>33</v>
      </c>
      <c r="J175" s="44" t="s">
        <v>9</v>
      </c>
      <c r="K175" s="44" t="s">
        <v>117</v>
      </c>
      <c r="L175" s="40">
        <v>1135</v>
      </c>
      <c r="M175" s="41">
        <v>41339</v>
      </c>
      <c r="N175" s="40" t="s">
        <v>110</v>
      </c>
      <c r="O175" s="42">
        <f t="shared" si="7"/>
        <v>42430</v>
      </c>
      <c r="P175" s="40">
        <v>22</v>
      </c>
      <c r="Q175" s="120">
        <f>'[3]JCPL LP_GSCSMS'!G12</f>
        <v>32.693581572740229</v>
      </c>
      <c r="R175" s="120">
        <f>'[3]JCPL LP_GSCSMS'!H12</f>
        <v>36.576754696820032</v>
      </c>
      <c r="S175" s="120">
        <f>'[3]JCPL LP_GSCSMS'!I12</f>
        <v>37.426554939720241</v>
      </c>
      <c r="T175" s="120">
        <f>'[3]JCPL LP_GSCSMS'!J12</f>
        <v>38.651227419760637</v>
      </c>
      <c r="U175" s="120">
        <f>'[3]JCPL LP_GSCSMS'!K12</f>
        <v>41.562236516741564</v>
      </c>
      <c r="V175" s="91"/>
    </row>
    <row r="176" spans="1:22" x14ac:dyDescent="0.2">
      <c r="A176" s="48">
        <f t="shared" si="6"/>
        <v>168</v>
      </c>
      <c r="B176" s="43">
        <v>5</v>
      </c>
      <c r="C176" s="43">
        <v>20</v>
      </c>
      <c r="D176" s="38" t="s">
        <v>331</v>
      </c>
      <c r="E176" s="44" t="s">
        <v>163</v>
      </c>
      <c r="F176" s="44" t="s">
        <v>5</v>
      </c>
      <c r="G176" s="44" t="s">
        <v>108</v>
      </c>
      <c r="H176" s="44" t="s">
        <v>164</v>
      </c>
      <c r="I176" s="44" t="s">
        <v>165</v>
      </c>
      <c r="J176" s="44" t="s">
        <v>7</v>
      </c>
      <c r="K176" s="44" t="s">
        <v>123</v>
      </c>
      <c r="L176" s="40">
        <v>1137</v>
      </c>
      <c r="M176" s="41">
        <v>41339</v>
      </c>
      <c r="N176" s="40" t="s">
        <v>110</v>
      </c>
      <c r="O176" s="42">
        <f t="shared" si="7"/>
        <v>42430</v>
      </c>
      <c r="P176" s="40">
        <v>22</v>
      </c>
      <c r="Q176" s="120">
        <f>'[3]MetEd RC_GSLFMS'!G12</f>
        <v>15.56164787305968</v>
      </c>
      <c r="R176" s="120">
        <f>'[3]MetEd RC_GSLFMS'!H12</f>
        <v>18.932256858827611</v>
      </c>
      <c r="S176" s="120">
        <f>'[3]MetEd RC_GSLFMS'!I12</f>
        <v>18.910316292263854</v>
      </c>
      <c r="T176" s="120">
        <f>'[3]MetEd RC_GSLFMS'!J12</f>
        <v>19.954879351049822</v>
      </c>
      <c r="U176" s="120">
        <f>'[3]MetEd RC_GSLFMS'!K12</f>
        <v>21.216478192131557</v>
      </c>
      <c r="V176" s="91"/>
    </row>
    <row r="177" spans="1:22" x14ac:dyDescent="0.2">
      <c r="A177" s="48">
        <f t="shared" si="6"/>
        <v>169</v>
      </c>
      <c r="B177" s="43">
        <v>5</v>
      </c>
      <c r="C177" s="43">
        <v>21</v>
      </c>
      <c r="D177" s="38" t="s">
        <v>332</v>
      </c>
      <c r="E177" s="44" t="s">
        <v>167</v>
      </c>
      <c r="F177" s="44" t="s">
        <v>5</v>
      </c>
      <c r="G177" s="44" t="s">
        <v>108</v>
      </c>
      <c r="H177" s="44" t="s">
        <v>164</v>
      </c>
      <c r="I177" s="44" t="s">
        <v>165</v>
      </c>
      <c r="J177" s="44" t="s">
        <v>8</v>
      </c>
      <c r="K177" s="44" t="s">
        <v>120</v>
      </c>
      <c r="L177" s="40">
        <v>1136</v>
      </c>
      <c r="M177" s="41">
        <v>41339</v>
      </c>
      <c r="N177" s="40" t="s">
        <v>110</v>
      </c>
      <c r="O177" s="42">
        <f t="shared" si="7"/>
        <v>42430</v>
      </c>
      <c r="P177" s="40">
        <v>22</v>
      </c>
      <c r="Q177" s="120">
        <f>'[3]MetEd RC_GSDFMS'!G12</f>
        <v>16.637206166527196</v>
      </c>
      <c r="R177" s="120">
        <f>'[3]MetEd RC_GSDFMS'!H12</f>
        <v>20.118077380296398</v>
      </c>
      <c r="S177" s="120">
        <f>'[3]MetEd RC_GSDFMS'!I12</f>
        <v>20.07121794127751</v>
      </c>
      <c r="T177" s="120">
        <f>'[3]MetEd RC_GSDFMS'!J12</f>
        <v>21.144156745690665</v>
      </c>
      <c r="U177" s="120">
        <f>'[3]MetEd RC_GSDFMS'!K12</f>
        <v>22.382543703102751</v>
      </c>
      <c r="V177" s="91"/>
    </row>
    <row r="178" spans="1:22" x14ac:dyDescent="0.2">
      <c r="A178" s="48">
        <f t="shared" si="6"/>
        <v>170</v>
      </c>
      <c r="B178" s="43">
        <v>5</v>
      </c>
      <c r="C178" s="43">
        <v>22</v>
      </c>
      <c r="D178" s="38" t="s">
        <v>333</v>
      </c>
      <c r="E178" s="44" t="s">
        <v>169</v>
      </c>
      <c r="F178" s="44" t="s">
        <v>5</v>
      </c>
      <c r="G178" s="44" t="s">
        <v>108</v>
      </c>
      <c r="H178" s="44" t="s">
        <v>164</v>
      </c>
      <c r="I178" s="44" t="s">
        <v>165</v>
      </c>
      <c r="J178" s="44" t="s">
        <v>9</v>
      </c>
      <c r="K178" s="44" t="s">
        <v>117</v>
      </c>
      <c r="L178" s="40">
        <v>1138</v>
      </c>
      <c r="M178" s="41">
        <v>41339</v>
      </c>
      <c r="N178" s="40" t="s">
        <v>110</v>
      </c>
      <c r="O178" s="42">
        <f t="shared" si="7"/>
        <v>42430</v>
      </c>
      <c r="P178" s="40">
        <v>22</v>
      </c>
      <c r="Q178" s="120">
        <f>'[3]MetEd RC_GSSFMS'!G12</f>
        <v>18.452028182719506</v>
      </c>
      <c r="R178" s="120">
        <f>'[3]MetEd RC_GSSFMS'!H12</f>
        <v>20.233328560566793</v>
      </c>
      <c r="S178" s="120">
        <f>'[3]MetEd RC_GSSFMS'!I12</f>
        <v>20.703286575227384</v>
      </c>
      <c r="T178" s="120">
        <f>'[3]MetEd RC_GSSFMS'!J12</f>
        <v>21.213258662063851</v>
      </c>
      <c r="U178" s="120">
        <f>'[3]MetEd RC_GSSFMS'!K12</f>
        <v>22.3982960160718</v>
      </c>
      <c r="V178" s="91"/>
    </row>
    <row r="179" spans="1:22" x14ac:dyDescent="0.2">
      <c r="A179" s="48">
        <f t="shared" si="6"/>
        <v>171</v>
      </c>
      <c r="B179" s="43">
        <v>5</v>
      </c>
      <c r="C179" s="43">
        <v>23</v>
      </c>
      <c r="D179" s="38" t="s">
        <v>334</v>
      </c>
      <c r="E179" s="44" t="s">
        <v>171</v>
      </c>
      <c r="F179" s="44" t="s">
        <v>5</v>
      </c>
      <c r="G179" s="44" t="s">
        <v>108</v>
      </c>
      <c r="H179" s="44" t="s">
        <v>11</v>
      </c>
      <c r="I179" s="44" t="s">
        <v>11</v>
      </c>
      <c r="J179" s="44" t="s">
        <v>6</v>
      </c>
      <c r="K179" s="44" t="s">
        <v>128</v>
      </c>
      <c r="L179" s="40">
        <v>1139</v>
      </c>
      <c r="M179" s="41">
        <v>41339</v>
      </c>
      <c r="N179" s="40" t="s">
        <v>110</v>
      </c>
      <c r="O179" s="42">
        <f t="shared" si="7"/>
        <v>42430</v>
      </c>
      <c r="P179" s="40">
        <v>22</v>
      </c>
      <c r="Q179" s="120">
        <f>'[3]PECO LP_GSMS'!G12</f>
        <v>21.57103956591213</v>
      </c>
      <c r="R179" s="120">
        <f>'[3]PECO LP_GSMS'!H12</f>
        <v>24.678928288487356</v>
      </c>
      <c r="S179" s="120">
        <f>'[3]PECO LP_GSMS'!I12</f>
        <v>24.007953990981264</v>
      </c>
      <c r="T179" s="120">
        <f>'[3]PECO LP_GSMS'!J12</f>
        <v>25.069791567845758</v>
      </c>
      <c r="U179" s="120">
        <f>'[3]PECO LP_GSMS'!K12</f>
        <v>27.290783006748715</v>
      </c>
      <c r="V179" s="91"/>
    </row>
    <row r="180" spans="1:22" x14ac:dyDescent="0.2">
      <c r="A180" s="48">
        <f t="shared" si="6"/>
        <v>172</v>
      </c>
      <c r="B180" s="43">
        <v>5</v>
      </c>
      <c r="C180" s="43">
        <v>24</v>
      </c>
      <c r="D180" s="38" t="s">
        <v>335</v>
      </c>
      <c r="E180" s="44" t="s">
        <v>173</v>
      </c>
      <c r="F180" s="44" t="s">
        <v>5</v>
      </c>
      <c r="G180" s="44" t="s">
        <v>108</v>
      </c>
      <c r="H180" s="44" t="s">
        <v>10</v>
      </c>
      <c r="I180" s="44" t="s">
        <v>174</v>
      </c>
      <c r="J180" s="44" t="s">
        <v>7</v>
      </c>
      <c r="K180" s="44" t="s">
        <v>123</v>
      </c>
      <c r="L180" s="40">
        <v>1140</v>
      </c>
      <c r="M180" s="41">
        <v>41339</v>
      </c>
      <c r="N180" s="40" t="s">
        <v>110</v>
      </c>
      <c r="O180" s="42">
        <f t="shared" si="7"/>
        <v>42430</v>
      </c>
      <c r="P180" s="40">
        <v>22</v>
      </c>
      <c r="Q180" s="120">
        <f>'[3]Penelec RC_GSLFMS'!G12</f>
        <v>25.464559894171636</v>
      </c>
      <c r="R180" s="120">
        <f>'[3]Penelec RC_GSLFMS'!H12</f>
        <v>25.569850004900108</v>
      </c>
      <c r="S180" s="120">
        <f>'[3]Penelec RC_GSLFMS'!I12</f>
        <v>25.538804841343772</v>
      </c>
      <c r="T180" s="120">
        <f>'[3]Penelec RC_GSLFMS'!J12</f>
        <v>25.579609576810771</v>
      </c>
      <c r="U180" s="120">
        <f>'[3]Penelec RC_GSLFMS'!K12</f>
        <v>26.0884199877733</v>
      </c>
      <c r="V180" s="91"/>
    </row>
    <row r="181" spans="1:22" x14ac:dyDescent="0.2">
      <c r="A181" s="48">
        <f t="shared" si="6"/>
        <v>173</v>
      </c>
      <c r="B181" s="43">
        <v>5</v>
      </c>
      <c r="C181" s="43">
        <v>25</v>
      </c>
      <c r="D181" s="38" t="s">
        <v>336</v>
      </c>
      <c r="E181" s="44" t="s">
        <v>176</v>
      </c>
      <c r="F181" s="44" t="s">
        <v>5</v>
      </c>
      <c r="G181" s="44" t="s">
        <v>108</v>
      </c>
      <c r="H181" s="44" t="s">
        <v>10</v>
      </c>
      <c r="I181" s="44" t="s">
        <v>174</v>
      </c>
      <c r="J181" s="44" t="s">
        <v>8</v>
      </c>
      <c r="K181" s="44" t="s">
        <v>120</v>
      </c>
      <c r="L181" s="40">
        <v>1141</v>
      </c>
      <c r="M181" s="41">
        <v>41339</v>
      </c>
      <c r="N181" s="40" t="s">
        <v>110</v>
      </c>
      <c r="O181" s="42">
        <f t="shared" si="7"/>
        <v>42430</v>
      </c>
      <c r="P181" s="40">
        <v>22</v>
      </c>
      <c r="Q181" s="120">
        <f>'[3]Penelec RC_GSMFMS'!G12</f>
        <v>26.717942292863039</v>
      </c>
      <c r="R181" s="120">
        <f>'[3]Penelec RC_GSMFMS'!H12</f>
        <v>26.677327178989589</v>
      </c>
      <c r="S181" s="120">
        <f>'[3]Penelec RC_GSMFMS'!I12</f>
        <v>26.698702920448881</v>
      </c>
      <c r="T181" s="120">
        <f>'[3]Penelec RC_GSMFMS'!J12</f>
        <v>26.679497298321312</v>
      </c>
      <c r="U181" s="120">
        <f>'[3]Penelec RC_GSMFMS'!K12</f>
        <v>27.186588561912089</v>
      </c>
      <c r="V181" s="91"/>
    </row>
    <row r="182" spans="1:22" x14ac:dyDescent="0.2">
      <c r="A182" s="48">
        <f t="shared" si="6"/>
        <v>174</v>
      </c>
      <c r="B182" s="43">
        <v>5</v>
      </c>
      <c r="C182" s="43">
        <v>26</v>
      </c>
      <c r="D182" s="38" t="s">
        <v>337</v>
      </c>
      <c r="E182" s="44" t="s">
        <v>178</v>
      </c>
      <c r="F182" s="44" t="s">
        <v>5</v>
      </c>
      <c r="G182" s="44" t="s">
        <v>108</v>
      </c>
      <c r="H182" s="44" t="s">
        <v>10</v>
      </c>
      <c r="I182" s="44" t="s">
        <v>174</v>
      </c>
      <c r="J182" s="44" t="s">
        <v>9</v>
      </c>
      <c r="K182" s="44" t="s">
        <v>117</v>
      </c>
      <c r="L182" s="40">
        <v>1142</v>
      </c>
      <c r="M182" s="41">
        <v>41339</v>
      </c>
      <c r="N182" s="40" t="s">
        <v>110</v>
      </c>
      <c r="O182" s="42">
        <f t="shared" si="7"/>
        <v>42430</v>
      </c>
      <c r="P182" s="40">
        <v>22</v>
      </c>
      <c r="Q182" s="120">
        <f>'[3]Penelec RC_GSSFMS'!G12</f>
        <v>30.847437174903018</v>
      </c>
      <c r="R182" s="120">
        <f>'[3]Penelec RC_GSSFMS'!H12</f>
        <v>26.728122053142062</v>
      </c>
      <c r="S182" s="120">
        <f>'[3]Penelec RC_GSSFMS'!I12</f>
        <v>27.943935734160402</v>
      </c>
      <c r="T182" s="120">
        <f>'[3]Penelec RC_GSSFMS'!J12</f>
        <v>26.708829037801291</v>
      </c>
      <c r="U182" s="120">
        <f>'[3]Penelec RC_GSSFMS'!K12</f>
        <v>27.219704053989002</v>
      </c>
      <c r="V182" s="91"/>
    </row>
    <row r="183" spans="1:22" x14ac:dyDescent="0.2">
      <c r="A183" s="48">
        <f t="shared" si="6"/>
        <v>175</v>
      </c>
      <c r="B183" s="43">
        <v>5</v>
      </c>
      <c r="C183" s="43">
        <v>27</v>
      </c>
      <c r="D183" s="38" t="s">
        <v>338</v>
      </c>
      <c r="E183" s="44" t="s">
        <v>180</v>
      </c>
      <c r="F183" s="44" t="s">
        <v>5</v>
      </c>
      <c r="G183" s="44" t="s">
        <v>108</v>
      </c>
      <c r="H183" s="44" t="s">
        <v>91</v>
      </c>
      <c r="I183" s="44" t="s">
        <v>181</v>
      </c>
      <c r="J183" s="44" t="s">
        <v>6</v>
      </c>
      <c r="K183" s="44" t="s">
        <v>128</v>
      </c>
      <c r="L183" s="40">
        <v>1143</v>
      </c>
      <c r="M183" s="41">
        <v>41339</v>
      </c>
      <c r="N183" s="40" t="s">
        <v>110</v>
      </c>
      <c r="O183" s="42">
        <f t="shared" si="7"/>
        <v>42430</v>
      </c>
      <c r="P183" s="40">
        <v>22</v>
      </c>
      <c r="Q183" s="120">
        <f>'[3]Penn Power RC_GMDMS'!G12</f>
        <v>42.274574190262378</v>
      </c>
      <c r="R183" s="120">
        <f>'[3]Penn Power RC_GMDMS'!H12</f>
        <v>36.869523446936434</v>
      </c>
      <c r="S183" s="120">
        <f>'[3]Penn Power RC_GMDMS'!I12</f>
        <v>36.136755045895619</v>
      </c>
      <c r="T183" s="120">
        <f>'[3]Penn Power RC_GMDMS'!J12</f>
        <v>35.586122167896065</v>
      </c>
      <c r="U183" s="120">
        <f>'[3]Penn Power RC_GMDMS'!K12</f>
        <v>35.848673466307559</v>
      </c>
      <c r="V183" s="91"/>
    </row>
    <row r="184" spans="1:22" x14ac:dyDescent="0.2">
      <c r="A184" s="48">
        <f t="shared" si="6"/>
        <v>176</v>
      </c>
      <c r="B184" s="43">
        <v>5</v>
      </c>
      <c r="C184" s="43">
        <v>28</v>
      </c>
      <c r="D184" s="38" t="s">
        <v>339</v>
      </c>
      <c r="E184" s="44" t="s">
        <v>183</v>
      </c>
      <c r="F184" s="44" t="s">
        <v>37</v>
      </c>
      <c r="G184" s="44" t="s">
        <v>108</v>
      </c>
      <c r="H184" s="44" t="s">
        <v>42</v>
      </c>
      <c r="I184" s="44" t="s">
        <v>42</v>
      </c>
      <c r="J184" s="44" t="s">
        <v>6</v>
      </c>
      <c r="K184" s="44" t="s">
        <v>128</v>
      </c>
      <c r="L184" s="40">
        <v>1144</v>
      </c>
      <c r="M184" s="41">
        <v>41339</v>
      </c>
      <c r="N184" s="40" t="s">
        <v>110</v>
      </c>
      <c r="O184" s="42">
        <f t="shared" si="7"/>
        <v>42430</v>
      </c>
      <c r="P184" s="40">
        <v>22</v>
      </c>
      <c r="Q184" s="120">
        <f>'[3]PEPCO MD LP_MDNDMS'!G12</f>
        <v>35.400758513558451</v>
      </c>
      <c r="R184" s="120">
        <f>'[3]PEPCO MD LP_MDNDMS'!H12</f>
        <v>34.973583564762087</v>
      </c>
      <c r="S184" s="120">
        <f>'[3]PEPCO MD LP_MDNDMS'!I12</f>
        <v>34.987896283220792</v>
      </c>
      <c r="T184" s="120">
        <f>'[3]PEPCO MD LP_MDNDMS'!J12</f>
        <v>34.870992059654725</v>
      </c>
      <c r="U184" s="120">
        <f>'[3]PEPCO MD LP_MDNDMS'!K12</f>
        <v>35.20129097828805</v>
      </c>
      <c r="V184" s="91"/>
    </row>
    <row r="185" spans="1:22" x14ac:dyDescent="0.2">
      <c r="A185" s="48">
        <f t="shared" si="6"/>
        <v>177</v>
      </c>
      <c r="B185" s="43">
        <v>5</v>
      </c>
      <c r="C185" s="43">
        <v>29</v>
      </c>
      <c r="D185" s="38" t="s">
        <v>340</v>
      </c>
      <c r="E185" s="44" t="s">
        <v>185</v>
      </c>
      <c r="F185" s="44" t="s">
        <v>37</v>
      </c>
      <c r="G185" s="44" t="s">
        <v>108</v>
      </c>
      <c r="H185" s="44" t="s">
        <v>42</v>
      </c>
      <c r="I185" s="44" t="s">
        <v>42</v>
      </c>
      <c r="J185" s="44" t="s">
        <v>43</v>
      </c>
      <c r="K185" s="44" t="s">
        <v>186</v>
      </c>
      <c r="L185" s="40">
        <v>1145</v>
      </c>
      <c r="M185" s="41">
        <v>41339</v>
      </c>
      <c r="N185" s="40" t="s">
        <v>110</v>
      </c>
      <c r="O185" s="42">
        <f t="shared" si="7"/>
        <v>42430</v>
      </c>
      <c r="P185" s="40">
        <v>22</v>
      </c>
      <c r="Q185" s="120">
        <f>'[3]PEPCO MD LP_MMGTL2AMS'!G12</f>
        <v>33.242948120879568</v>
      </c>
      <c r="R185" s="120">
        <f>'[3]PEPCO MD LP_MMGTL2AMS'!H12</f>
        <v>33.943321002416788</v>
      </c>
      <c r="S185" s="120">
        <f>'[3]PEPCO MD LP_MMGTL2AMS'!I12</f>
        <v>33.583609651592589</v>
      </c>
      <c r="T185" s="120">
        <f>'[3]PEPCO MD LP_MMGTL2AMS'!J12</f>
        <v>33.830389590197086</v>
      </c>
      <c r="U185" s="120">
        <f>'[3]PEPCO MD LP_MMGTL2AMS'!K12</f>
        <v>34.138188881358765</v>
      </c>
      <c r="V185" s="91"/>
    </row>
    <row r="186" spans="1:22" x14ac:dyDescent="0.2">
      <c r="A186" s="48">
        <f t="shared" si="6"/>
        <v>178</v>
      </c>
      <c r="B186" s="43">
        <v>5</v>
      </c>
      <c r="C186" s="43">
        <v>30</v>
      </c>
      <c r="D186" s="38" t="s">
        <v>341</v>
      </c>
      <c r="E186" s="44" t="s">
        <v>188</v>
      </c>
      <c r="F186" s="44" t="s">
        <v>37</v>
      </c>
      <c r="G186" s="44" t="s">
        <v>108</v>
      </c>
      <c r="H186" s="44" t="s">
        <v>42</v>
      </c>
      <c r="I186" s="44" t="s">
        <v>42</v>
      </c>
      <c r="J186" s="44" t="s">
        <v>44</v>
      </c>
      <c r="K186" s="44" t="s">
        <v>44</v>
      </c>
      <c r="L186" s="40">
        <v>1146</v>
      </c>
      <c r="M186" s="41">
        <v>41339</v>
      </c>
      <c r="N186" s="40" t="s">
        <v>110</v>
      </c>
      <c r="O186" s="42">
        <f t="shared" si="7"/>
        <v>42430</v>
      </c>
      <c r="P186" s="40">
        <v>22</v>
      </c>
      <c r="Q186" s="120">
        <f>'[3]PEPCO MD RC_3T7MS'!G12</f>
        <v>36.046654243312446</v>
      </c>
      <c r="R186" s="120">
        <f>'[3]PEPCO MD RC_3T7MS'!H12</f>
        <v>34.761804381852727</v>
      </c>
      <c r="S186" s="120">
        <f>'[3]PEPCO MD RC_3T7MS'!I12</f>
        <v>35.064309849610702</v>
      </c>
      <c r="T186" s="120">
        <f>'[3]PEPCO MD RC_3T7MS'!J12</f>
        <v>34.774415377760874</v>
      </c>
      <c r="U186" s="120">
        <f>'[3]PEPCO MD RC_3T7MS'!K12</f>
        <v>35.144078059852554</v>
      </c>
      <c r="V186" s="91"/>
    </row>
    <row r="187" spans="1:22" x14ac:dyDescent="0.2">
      <c r="A187" s="48">
        <f t="shared" si="6"/>
        <v>179</v>
      </c>
      <c r="B187" s="43">
        <v>5</v>
      </c>
      <c r="C187" s="43">
        <v>31</v>
      </c>
      <c r="D187" s="38" t="s">
        <v>342</v>
      </c>
      <c r="E187" s="44" t="s">
        <v>190</v>
      </c>
      <c r="F187" s="44" t="s">
        <v>37</v>
      </c>
      <c r="G187" s="44" t="s">
        <v>108</v>
      </c>
      <c r="H187" s="44" t="s">
        <v>45</v>
      </c>
      <c r="I187" s="44" t="s">
        <v>45</v>
      </c>
      <c r="J187" s="44" t="s">
        <v>6</v>
      </c>
      <c r="K187" s="44" t="s">
        <v>128</v>
      </c>
      <c r="L187" s="40">
        <v>1147</v>
      </c>
      <c r="M187" s="41">
        <v>41339</v>
      </c>
      <c r="N187" s="40" t="s">
        <v>110</v>
      </c>
      <c r="O187" s="42">
        <f t="shared" si="7"/>
        <v>42430</v>
      </c>
      <c r="P187" s="40">
        <v>22</v>
      </c>
      <c r="Q187" s="120">
        <f>'[3]Potomac Edison LP_GSCM_MMS'!G12</f>
        <v>26.382860325290409</v>
      </c>
      <c r="R187" s="120">
        <f>'[3]Potomac Edison LP_GSCM_MMS'!H12</f>
        <v>26.674538044949404</v>
      </c>
      <c r="S187" s="120">
        <f>'[3]Potomac Edison LP_GSCM_MMS'!I12</f>
        <v>27.24109605943595</v>
      </c>
      <c r="T187" s="120">
        <f>'[3]Potomac Edison LP_GSCM_MMS'!J12</f>
        <v>28.88268710951127</v>
      </c>
      <c r="U187" s="120">
        <f>'[3]Potomac Edison LP_GSCM_MMS'!K12</f>
        <v>30.914697957682936</v>
      </c>
      <c r="V187" s="91"/>
    </row>
    <row r="188" spans="1:22" x14ac:dyDescent="0.2">
      <c r="A188" s="48">
        <f t="shared" si="6"/>
        <v>180</v>
      </c>
      <c r="B188" s="43">
        <v>5</v>
      </c>
      <c r="C188" s="43">
        <v>32</v>
      </c>
      <c r="D188" s="38" t="s">
        <v>343</v>
      </c>
      <c r="E188" s="44" t="s">
        <v>192</v>
      </c>
      <c r="F188" s="44" t="s">
        <v>5</v>
      </c>
      <c r="G188" s="44" t="s">
        <v>108</v>
      </c>
      <c r="H188" s="44" t="s">
        <v>12</v>
      </c>
      <c r="I188" s="44" t="s">
        <v>12</v>
      </c>
      <c r="J188" s="44" t="s">
        <v>13</v>
      </c>
      <c r="K188" s="44" t="s">
        <v>117</v>
      </c>
      <c r="L188" s="40">
        <v>1148</v>
      </c>
      <c r="M188" s="41">
        <v>41339</v>
      </c>
      <c r="N188" s="40" t="s">
        <v>110</v>
      </c>
      <c r="O188" s="42">
        <f t="shared" si="7"/>
        <v>42430</v>
      </c>
      <c r="P188" s="40">
        <v>22</v>
      </c>
      <c r="Q188" s="120">
        <f>[3]PPL_RCGS1MS!G12</f>
        <v>26.416049645963398</v>
      </c>
      <c r="R188" s="120">
        <f>[3]PPL_RCGS1MS!H12</f>
        <v>28.251985559041984</v>
      </c>
      <c r="S188" s="120">
        <f>[3]PPL_RCGS1MS!I12</f>
        <v>28.018892168033229</v>
      </c>
      <c r="T188" s="120">
        <f>[3]PPL_RCGS1MS!J12</f>
        <v>28.520186101942905</v>
      </c>
      <c r="U188" s="120">
        <f>[3]PPL_RCGS1MS!K12</f>
        <v>28.932348517097065</v>
      </c>
      <c r="V188" s="91"/>
    </row>
    <row r="189" spans="1:22" x14ac:dyDescent="0.2">
      <c r="A189" s="48">
        <f t="shared" si="6"/>
        <v>181</v>
      </c>
      <c r="B189" s="43">
        <v>5</v>
      </c>
      <c r="C189" s="43">
        <v>33</v>
      </c>
      <c r="D189" s="38" t="s">
        <v>344</v>
      </c>
      <c r="E189" s="44" t="s">
        <v>194</v>
      </c>
      <c r="F189" s="44" t="s">
        <v>5</v>
      </c>
      <c r="G189" s="44" t="s">
        <v>108</v>
      </c>
      <c r="H189" s="44" t="s">
        <v>12</v>
      </c>
      <c r="I189" s="44" t="s">
        <v>12</v>
      </c>
      <c r="J189" s="44" t="s">
        <v>14</v>
      </c>
      <c r="K189" s="44" t="s">
        <v>123</v>
      </c>
      <c r="L189" s="40">
        <v>1149</v>
      </c>
      <c r="M189" s="41">
        <v>41339</v>
      </c>
      <c r="N189" s="40" t="s">
        <v>110</v>
      </c>
      <c r="O189" s="42">
        <f t="shared" si="7"/>
        <v>42430</v>
      </c>
      <c r="P189" s="40">
        <v>22</v>
      </c>
      <c r="Q189" s="120">
        <f>[3]PPL_RCGS3MS!G12</f>
        <v>25.328072414624931</v>
      </c>
      <c r="R189" s="120">
        <f>[3]PPL_RCGS3MS!H12</f>
        <v>28.125591006415519</v>
      </c>
      <c r="S189" s="120">
        <f>[3]PPL_RCGS3MS!I12</f>
        <v>27.556783415588992</v>
      </c>
      <c r="T189" s="120">
        <f>[3]PPL_RCGS3MS!J12</f>
        <v>28.402569742047806</v>
      </c>
      <c r="U189" s="120">
        <f>[3]PPL_RCGS3MS!K12</f>
        <v>28.906026977641243</v>
      </c>
      <c r="V189" s="91"/>
    </row>
    <row r="190" spans="1:22" x14ac:dyDescent="0.2">
      <c r="A190" s="48">
        <f t="shared" si="6"/>
        <v>182</v>
      </c>
      <c r="B190" s="43">
        <v>5</v>
      </c>
      <c r="C190" s="43">
        <v>34</v>
      </c>
      <c r="D190" s="38" t="s">
        <v>345</v>
      </c>
      <c r="E190" s="44" t="s">
        <v>196</v>
      </c>
      <c r="F190" s="44" t="s">
        <v>29</v>
      </c>
      <c r="G190" s="44" t="s">
        <v>108</v>
      </c>
      <c r="H190" s="44" t="s">
        <v>34</v>
      </c>
      <c r="I190" s="44" t="s">
        <v>34</v>
      </c>
      <c r="J190" s="44" t="s">
        <v>35</v>
      </c>
      <c r="K190" s="44" t="s">
        <v>197</v>
      </c>
      <c r="L190" s="40">
        <v>1150</v>
      </c>
      <c r="M190" s="41">
        <v>41339</v>
      </c>
      <c r="N190" s="40" t="s">
        <v>110</v>
      </c>
      <c r="O190" s="42">
        <f t="shared" si="7"/>
        <v>42430</v>
      </c>
      <c r="P190" s="40">
        <v>22</v>
      </c>
      <c r="Q190" s="120">
        <f>'[3]PSEG LP_GLP_MMS'!G12</f>
        <v>49.727049685598864</v>
      </c>
      <c r="R190" s="120">
        <f>'[3]PSEG LP_GLP_MMS'!H12</f>
        <v>54.723777941751578</v>
      </c>
      <c r="S190" s="120">
        <f>'[3]PSEG LP_GLP_MMS'!I12</f>
        <v>55.370024899291202</v>
      </c>
      <c r="T190" s="120">
        <f>'[3]PSEG LP_GLP_MMS'!J12</f>
        <v>56.78713387372995</v>
      </c>
      <c r="U190" s="120">
        <f>'[3]PSEG LP_GLP_MMS'!K12</f>
        <v>58.004102671422046</v>
      </c>
      <c r="V190" s="91"/>
    </row>
    <row r="191" spans="1:22" x14ac:dyDescent="0.2">
      <c r="A191" s="48">
        <f t="shared" si="6"/>
        <v>183</v>
      </c>
      <c r="B191" s="43">
        <v>5</v>
      </c>
      <c r="C191" s="43">
        <v>35</v>
      </c>
      <c r="D191" s="38" t="s">
        <v>346</v>
      </c>
      <c r="E191" s="44" t="s">
        <v>199</v>
      </c>
      <c r="F191" s="44" t="s">
        <v>29</v>
      </c>
      <c r="G191" s="44" t="s">
        <v>108</v>
      </c>
      <c r="H191" s="44" t="s">
        <v>34</v>
      </c>
      <c r="I191" s="44" t="s">
        <v>34</v>
      </c>
      <c r="J191" s="44" t="s">
        <v>36</v>
      </c>
      <c r="K191" s="44" t="s">
        <v>200</v>
      </c>
      <c r="L191" s="40">
        <v>1151</v>
      </c>
      <c r="M191" s="41">
        <v>41339</v>
      </c>
      <c r="N191" s="40" t="s">
        <v>110</v>
      </c>
      <c r="O191" s="42">
        <f t="shared" si="7"/>
        <v>42430</v>
      </c>
      <c r="P191" s="40">
        <v>22</v>
      </c>
      <c r="Q191" s="120">
        <f>'[3]PSEG LP_LPLMS'!G12</f>
        <v>48.896480340808694</v>
      </c>
      <c r="R191" s="120">
        <f>'[3]PSEG LP_LPLMS'!H12</f>
        <v>54.063031011749061</v>
      </c>
      <c r="S191" s="120">
        <f>'[3]PSEG LP_LPLMS'!I12</f>
        <v>54.564440566302217</v>
      </c>
      <c r="T191" s="120">
        <f>'[3]PSEG LP_LPLMS'!J12</f>
        <v>56.053649153704825</v>
      </c>
      <c r="U191" s="120">
        <f>'[3]PSEG LP_LPLMS'!K12</f>
        <v>57.25042595635977</v>
      </c>
      <c r="V191" s="91"/>
    </row>
    <row r="192" spans="1:22" x14ac:dyDescent="0.2">
      <c r="A192" s="48">
        <f t="shared" si="6"/>
        <v>184</v>
      </c>
      <c r="B192" s="43">
        <v>5</v>
      </c>
      <c r="C192" s="43">
        <v>36</v>
      </c>
      <c r="D192" s="38" t="s">
        <v>347</v>
      </c>
      <c r="E192" s="44" t="s">
        <v>202</v>
      </c>
      <c r="F192" s="44" t="s">
        <v>5</v>
      </c>
      <c r="G192" s="44" t="s">
        <v>108</v>
      </c>
      <c r="H192" s="44" t="s">
        <v>15</v>
      </c>
      <c r="I192" s="44" t="s">
        <v>203</v>
      </c>
      <c r="J192" s="44" t="s">
        <v>16</v>
      </c>
      <c r="K192" s="44" t="s">
        <v>128</v>
      </c>
      <c r="L192" s="40">
        <v>1152</v>
      </c>
      <c r="M192" s="41">
        <v>41339</v>
      </c>
      <c r="N192" s="40" t="s">
        <v>110</v>
      </c>
      <c r="O192" s="42">
        <f t="shared" si="7"/>
        <v>42430</v>
      </c>
      <c r="P192" s="40">
        <v>22</v>
      </c>
      <c r="Q192" s="120">
        <f>'[3]West Penn Power LP_GSCMMS'!G12</f>
        <v>27.559247689361669</v>
      </c>
      <c r="R192" s="120">
        <f>'[3]West Penn Power LP_GSCMMS'!H12</f>
        <v>26.98801595790145</v>
      </c>
      <c r="S192" s="120">
        <f>'[3]West Penn Power LP_GSCMMS'!I12</f>
        <v>27.752864452661512</v>
      </c>
      <c r="T192" s="120">
        <f>'[3]West Penn Power LP_GSCMMS'!J12</f>
        <v>29.002003883233098</v>
      </c>
      <c r="U192" s="120">
        <f>'[3]West Penn Power LP_GSCMMS'!K12</f>
        <v>30.778329444587303</v>
      </c>
      <c r="V192" s="91"/>
    </row>
    <row r="193" spans="1:22" x14ac:dyDescent="0.2">
      <c r="A193" s="48">
        <f t="shared" si="6"/>
        <v>185</v>
      </c>
      <c r="B193" s="20"/>
      <c r="C193" s="20"/>
      <c r="D193" s="20"/>
      <c r="Q193" s="121"/>
      <c r="R193" s="121"/>
      <c r="S193" s="121"/>
      <c r="T193" s="121"/>
      <c r="U193" s="121"/>
    </row>
    <row r="194" spans="1:22" x14ac:dyDescent="0.2">
      <c r="A194" s="48">
        <f t="shared" si="6"/>
        <v>186</v>
      </c>
      <c r="B194" s="43">
        <v>6</v>
      </c>
      <c r="C194" s="43">
        <v>1</v>
      </c>
      <c r="D194" s="38" t="s">
        <v>348</v>
      </c>
      <c r="E194" s="44" t="s">
        <v>107</v>
      </c>
      <c r="F194" s="44" t="s">
        <v>29</v>
      </c>
      <c r="G194" s="44" t="s">
        <v>108</v>
      </c>
      <c r="H194" s="44" t="s">
        <v>30</v>
      </c>
      <c r="I194" s="44" t="s">
        <v>30</v>
      </c>
      <c r="J194" s="44" t="s">
        <v>31</v>
      </c>
      <c r="K194" s="44" t="s">
        <v>109</v>
      </c>
      <c r="L194" s="40">
        <v>1117</v>
      </c>
      <c r="M194" s="41">
        <v>41339</v>
      </c>
      <c r="N194" s="40" t="s">
        <v>110</v>
      </c>
      <c r="O194" s="42">
        <f>EDATE(O157,1)</f>
        <v>42461</v>
      </c>
      <c r="P194" s="40">
        <v>23</v>
      </c>
      <c r="Q194" s="120">
        <f>'[3]AECO LP_10V1_SMS'!G13</f>
        <v>39.934896858727093</v>
      </c>
      <c r="R194" s="120">
        <f>'[3]AECO LP_10V1_SMS'!H13</f>
        <v>46.371930388258804</v>
      </c>
      <c r="S194" s="120">
        <f>'[3]AECO LP_10V1_SMS'!I13</f>
        <v>44.763937127228303</v>
      </c>
      <c r="T194" s="120">
        <f>'[3]AECO LP_10V1_SMS'!J13</f>
        <v>46.676055369634106</v>
      </c>
      <c r="U194" s="120">
        <f>'[3]AECO LP_10V1_SMS'!K13</f>
        <v>48.486735405469261</v>
      </c>
      <c r="V194" s="91"/>
    </row>
    <row r="195" spans="1:22" x14ac:dyDescent="0.2">
      <c r="A195" s="48">
        <f t="shared" si="6"/>
        <v>187</v>
      </c>
      <c r="B195" s="43">
        <v>6</v>
      </c>
      <c r="C195" s="43">
        <v>2</v>
      </c>
      <c r="D195" s="38" t="s">
        <v>349</v>
      </c>
      <c r="E195" s="44" t="s">
        <v>112</v>
      </c>
      <c r="F195" s="44" t="s">
        <v>29</v>
      </c>
      <c r="G195" s="44" t="s">
        <v>108</v>
      </c>
      <c r="H195" s="44" t="s">
        <v>30</v>
      </c>
      <c r="I195" s="44" t="s">
        <v>30</v>
      </c>
      <c r="J195" s="44" t="s">
        <v>32</v>
      </c>
      <c r="K195" s="44" t="s">
        <v>113</v>
      </c>
      <c r="L195" s="40">
        <v>1118</v>
      </c>
      <c r="M195" s="41">
        <v>41339</v>
      </c>
      <c r="N195" s="40" t="s">
        <v>110</v>
      </c>
      <c r="O195" s="42">
        <f>O194</f>
        <v>42461</v>
      </c>
      <c r="P195" s="40">
        <v>23</v>
      </c>
      <c r="Q195" s="120">
        <f>'[3]AECO LP_14V1_MMS'!G13</f>
        <v>41.203499626216583</v>
      </c>
      <c r="R195" s="120">
        <f>'[3]AECO LP_14V1_MMS'!H13</f>
        <v>46.322284504768781</v>
      </c>
      <c r="S195" s="120">
        <f>'[3]AECO LP_14V1_MMS'!I13</f>
        <v>45.249614691361835</v>
      </c>
      <c r="T195" s="120">
        <f>'[3]AECO LP_14V1_MMS'!J13</f>
        <v>46.169282987002738</v>
      </c>
      <c r="U195" s="120">
        <f>'[3]AECO LP_14V1_MMS'!K13</f>
        <v>46.466496570021029</v>
      </c>
      <c r="V195" s="91"/>
    </row>
    <row r="196" spans="1:22" x14ac:dyDescent="0.2">
      <c r="A196" s="48">
        <f t="shared" si="6"/>
        <v>188</v>
      </c>
      <c r="B196" s="43">
        <v>6</v>
      </c>
      <c r="C196" s="43">
        <v>3</v>
      </c>
      <c r="D196" s="38" t="s">
        <v>350</v>
      </c>
      <c r="E196" s="44" t="s">
        <v>115</v>
      </c>
      <c r="F196" s="44" t="s">
        <v>18</v>
      </c>
      <c r="G196" s="44" t="s">
        <v>108</v>
      </c>
      <c r="H196" s="44" t="s">
        <v>61</v>
      </c>
      <c r="I196" s="44" t="s">
        <v>116</v>
      </c>
      <c r="J196" s="44" t="s">
        <v>13</v>
      </c>
      <c r="K196" s="44" t="s">
        <v>117</v>
      </c>
      <c r="L196" s="40">
        <v>1119</v>
      </c>
      <c r="M196" s="41">
        <v>41339</v>
      </c>
      <c r="N196" s="40" t="s">
        <v>110</v>
      </c>
      <c r="O196" s="42">
        <f t="shared" ref="O196:O229" si="8">O195</f>
        <v>42461</v>
      </c>
      <c r="P196" s="40">
        <v>23</v>
      </c>
      <c r="Q196" s="120">
        <f>'[3]AEP_OH_CS - test CSGS1MS'!G13</f>
        <v>19.644221481562752</v>
      </c>
      <c r="R196" s="120">
        <f>'[3]AEP_OH_CS - test CSGS1MS'!H13</f>
        <v>19.36574479510827</v>
      </c>
      <c r="S196" s="120">
        <f>'[3]AEP_OH_CS - test CSGS1MS'!I13</f>
        <v>20.307674301331261</v>
      </c>
      <c r="T196" s="120">
        <f>'[3]AEP_OH_CS - test CSGS1MS'!J13</f>
        <v>21.456623031512937</v>
      </c>
      <c r="U196" s="120">
        <f>'[3]AEP_OH_CS - test CSGS1MS'!K13</f>
        <v>23.08441417965204</v>
      </c>
      <c r="V196" s="91"/>
    </row>
    <row r="197" spans="1:22" x14ac:dyDescent="0.2">
      <c r="A197" s="48">
        <f t="shared" si="6"/>
        <v>189</v>
      </c>
      <c r="B197" s="43">
        <v>6</v>
      </c>
      <c r="C197" s="43">
        <v>4</v>
      </c>
      <c r="D197" s="38" t="s">
        <v>351</v>
      </c>
      <c r="E197" s="44" t="s">
        <v>119</v>
      </c>
      <c r="F197" s="44" t="s">
        <v>18</v>
      </c>
      <c r="G197" s="44" t="s">
        <v>108</v>
      </c>
      <c r="H197" s="44" t="s">
        <v>61</v>
      </c>
      <c r="I197" s="44" t="s">
        <v>116</v>
      </c>
      <c r="J197" s="44" t="s">
        <v>19</v>
      </c>
      <c r="K197" s="44" t="s">
        <v>120</v>
      </c>
      <c r="L197" s="40">
        <v>1120</v>
      </c>
      <c r="M197" s="41">
        <v>41339</v>
      </c>
      <c r="N197" s="40" t="s">
        <v>110</v>
      </c>
      <c r="O197" s="42">
        <f t="shared" si="8"/>
        <v>42461</v>
      </c>
      <c r="P197" s="40">
        <v>23</v>
      </c>
      <c r="Q197" s="120">
        <f>'[3]AEP_OH_CS - test CSGS2UMS'!G13</f>
        <v>19.183846671914104</v>
      </c>
      <c r="R197" s="120">
        <f>'[3]AEP_OH_CS - test CSGS2UMS'!H13</f>
        <v>19.433335645090139</v>
      </c>
      <c r="S197" s="120">
        <f>'[3]AEP_OH_CS - test CSGS2UMS'!I13</f>
        <v>20.177063694599415</v>
      </c>
      <c r="T197" s="120">
        <f>'[3]AEP_OH_CS - test CSGS2UMS'!J13</f>
        <v>21.52497598813941</v>
      </c>
      <c r="U197" s="120">
        <f>'[3]AEP_OH_CS - test CSGS2UMS'!K13</f>
        <v>23.156869599147829</v>
      </c>
      <c r="V197" s="91"/>
    </row>
    <row r="198" spans="1:22" x14ac:dyDescent="0.2">
      <c r="A198" s="48">
        <f t="shared" si="6"/>
        <v>190</v>
      </c>
      <c r="B198" s="43">
        <v>6</v>
      </c>
      <c r="C198" s="43">
        <v>5</v>
      </c>
      <c r="D198" s="38" t="s">
        <v>352</v>
      </c>
      <c r="E198" s="44" t="s">
        <v>122</v>
      </c>
      <c r="F198" s="44" t="s">
        <v>18</v>
      </c>
      <c r="G198" s="44" t="s">
        <v>108</v>
      </c>
      <c r="H198" s="44" t="s">
        <v>61</v>
      </c>
      <c r="I198" s="44" t="s">
        <v>116</v>
      </c>
      <c r="J198" s="44" t="s">
        <v>14</v>
      </c>
      <c r="K198" s="44" t="s">
        <v>123</v>
      </c>
      <c r="L198" s="40">
        <v>1121</v>
      </c>
      <c r="M198" s="41">
        <v>41339</v>
      </c>
      <c r="N198" s="40" t="s">
        <v>110</v>
      </c>
      <c r="O198" s="42">
        <f t="shared" si="8"/>
        <v>42461</v>
      </c>
      <c r="P198" s="40">
        <v>23</v>
      </c>
      <c r="Q198" s="120">
        <f>'[3]AEP_OH_CS - test CSGS3UMS'!G13</f>
        <v>19.183846671914104</v>
      </c>
      <c r="R198" s="120">
        <f>'[3]AEP_OH_CS - test CSGS3UMS'!H13</f>
        <v>19.433335645090139</v>
      </c>
      <c r="S198" s="120">
        <f>'[3]AEP_OH_CS - test CSGS3UMS'!I13</f>
        <v>20.177063694599415</v>
      </c>
      <c r="T198" s="120">
        <f>'[3]AEP_OH_CS - test CSGS3UMS'!J13</f>
        <v>21.52497598813941</v>
      </c>
      <c r="U198" s="120">
        <f>'[3]AEP_OH_CS - test CSGS3UMS'!K13</f>
        <v>23.156869599147829</v>
      </c>
      <c r="V198" s="91"/>
    </row>
    <row r="199" spans="1:22" x14ac:dyDescent="0.2">
      <c r="A199" s="48">
        <f t="shared" si="6"/>
        <v>191</v>
      </c>
      <c r="B199" s="43">
        <v>6</v>
      </c>
      <c r="C199" s="43">
        <v>6</v>
      </c>
      <c r="D199" s="38" t="s">
        <v>353</v>
      </c>
      <c r="E199" s="44" t="s">
        <v>125</v>
      </c>
      <c r="F199" s="44" t="s">
        <v>23</v>
      </c>
      <c r="G199" s="44" t="s">
        <v>126</v>
      </c>
      <c r="H199" s="44" t="s">
        <v>127</v>
      </c>
      <c r="I199" s="44" t="s">
        <v>27</v>
      </c>
      <c r="J199" s="44" t="s">
        <v>28</v>
      </c>
      <c r="K199" s="44" t="s">
        <v>128</v>
      </c>
      <c r="L199" s="40">
        <v>1122</v>
      </c>
      <c r="M199" s="41">
        <v>41339</v>
      </c>
      <c r="N199" s="40" t="s">
        <v>110</v>
      </c>
      <c r="O199" s="42">
        <f t="shared" si="8"/>
        <v>42461</v>
      </c>
      <c r="P199" s="40">
        <v>23</v>
      </c>
      <c r="Q199" s="120">
        <f>'[3]Ameren RateZnIII LP DS2HHMS'!G13</f>
        <v>22.37311278902596</v>
      </c>
      <c r="R199" s="120">
        <f>'[3]Ameren RateZnIII LP DS2HHMS'!H13</f>
        <v>23.205597487210284</v>
      </c>
      <c r="S199" s="120">
        <f>'[3]Ameren RateZnIII LP DS2HHMS'!I13</f>
        <v>22.909836882519503</v>
      </c>
      <c r="T199" s="120">
        <f>'[3]Ameren RateZnIII LP DS2HHMS'!J13</f>
        <v>23.412326188853438</v>
      </c>
      <c r="U199" s="120">
        <f>'[3]Ameren RateZnIII LP DS2HHMS'!K13</f>
        <v>23.809361734463348</v>
      </c>
      <c r="V199" s="91"/>
    </row>
    <row r="200" spans="1:22" x14ac:dyDescent="0.2">
      <c r="A200" s="48">
        <f t="shared" si="6"/>
        <v>192</v>
      </c>
      <c r="B200" s="43">
        <v>6</v>
      </c>
      <c r="C200" s="43">
        <v>7</v>
      </c>
      <c r="D200" s="38" t="s">
        <v>354</v>
      </c>
      <c r="E200" s="44" t="s">
        <v>130</v>
      </c>
      <c r="F200" s="44" t="s">
        <v>37</v>
      </c>
      <c r="G200" s="44" t="s">
        <v>108</v>
      </c>
      <c r="H200" s="44" t="s">
        <v>38</v>
      </c>
      <c r="I200" s="44" t="s">
        <v>38</v>
      </c>
      <c r="J200" s="44" t="s">
        <v>40</v>
      </c>
      <c r="K200" s="44" t="s">
        <v>123</v>
      </c>
      <c r="L200" s="40">
        <v>1124</v>
      </c>
      <c r="M200" s="41">
        <v>41339</v>
      </c>
      <c r="N200" s="40" t="s">
        <v>110</v>
      </c>
      <c r="O200" s="42">
        <f t="shared" si="8"/>
        <v>42461</v>
      </c>
      <c r="P200" s="40">
        <v>23</v>
      </c>
      <c r="Q200" s="120">
        <f>'[3]BGE LP_GLMS'!G13</f>
        <v>32.827859573566307</v>
      </c>
      <c r="R200" s="120">
        <f>'[3]BGE LP_GLMS'!H13</f>
        <v>34.258349464172234</v>
      </c>
      <c r="S200" s="120">
        <f>'[3]BGE LP_GLMS'!I13</f>
        <v>33.771105117875095</v>
      </c>
      <c r="T200" s="120">
        <f>'[3]BGE LP_GLMS'!J13</f>
        <v>34.25162516933311</v>
      </c>
      <c r="U200" s="120">
        <f>'[3]BGE LP_GLMS'!K13</f>
        <v>34.7335543506682</v>
      </c>
      <c r="V200" s="91"/>
    </row>
    <row r="201" spans="1:22" x14ac:dyDescent="0.2">
      <c r="A201" s="48">
        <f t="shared" si="6"/>
        <v>193</v>
      </c>
      <c r="B201" s="43">
        <v>6</v>
      </c>
      <c r="C201" s="43">
        <v>8</v>
      </c>
      <c r="D201" s="38" t="s">
        <v>355</v>
      </c>
      <c r="E201" s="44" t="s">
        <v>132</v>
      </c>
      <c r="F201" s="44" t="s">
        <v>37</v>
      </c>
      <c r="G201" s="44" t="s">
        <v>108</v>
      </c>
      <c r="H201" s="44" t="s">
        <v>38</v>
      </c>
      <c r="I201" s="44" t="s">
        <v>38</v>
      </c>
      <c r="J201" s="44" t="s">
        <v>39</v>
      </c>
      <c r="K201" s="44" t="s">
        <v>120</v>
      </c>
      <c r="L201" s="40">
        <v>1123</v>
      </c>
      <c r="M201" s="41">
        <v>41339</v>
      </c>
      <c r="N201" s="40" t="s">
        <v>110</v>
      </c>
      <c r="O201" s="42">
        <f t="shared" si="8"/>
        <v>42461</v>
      </c>
      <c r="P201" s="40">
        <v>23</v>
      </c>
      <c r="Q201" s="120">
        <f>'[3]BGE LP_GMS'!G13</f>
        <v>33.507055823308797</v>
      </c>
      <c r="R201" s="120">
        <f>'[3]BGE LP_GMS'!H13</f>
        <v>34.329361903612437</v>
      </c>
      <c r="S201" s="120">
        <f>'[3]BGE LP_GMS'!I13</f>
        <v>34.056314402624373</v>
      </c>
      <c r="T201" s="120">
        <f>'[3]BGE LP_GMS'!J13</f>
        <v>34.392020342873067</v>
      </c>
      <c r="U201" s="120">
        <f>'[3]BGE LP_GMS'!K13</f>
        <v>34.898604071394246</v>
      </c>
      <c r="V201" s="91"/>
    </row>
    <row r="202" spans="1:22" x14ac:dyDescent="0.2">
      <c r="A202" s="48">
        <f t="shared" si="6"/>
        <v>194</v>
      </c>
      <c r="B202" s="43">
        <v>6</v>
      </c>
      <c r="C202" s="43">
        <v>9</v>
      </c>
      <c r="D202" s="38" t="s">
        <v>356</v>
      </c>
      <c r="E202" s="44" t="s">
        <v>134</v>
      </c>
      <c r="F202" s="44" t="s">
        <v>37</v>
      </c>
      <c r="G202" s="44" t="s">
        <v>108</v>
      </c>
      <c r="H202" s="44" t="s">
        <v>38</v>
      </c>
      <c r="I202" s="44" t="s">
        <v>38</v>
      </c>
      <c r="J202" s="44" t="s">
        <v>6</v>
      </c>
      <c r="K202" s="44" t="s">
        <v>117</v>
      </c>
      <c r="L202" s="40">
        <v>1125</v>
      </c>
      <c r="M202" s="41">
        <v>41339</v>
      </c>
      <c r="N202" s="40" t="s">
        <v>110</v>
      </c>
      <c r="O202" s="42">
        <f t="shared" si="8"/>
        <v>42461</v>
      </c>
      <c r="P202" s="40">
        <v>23</v>
      </c>
      <c r="Q202" s="120">
        <f>'[3]BGE LP_GSMS'!G13</f>
        <v>34.405664734210987</v>
      </c>
      <c r="R202" s="120">
        <f>'[3]BGE LP_GSMS'!H13</f>
        <v>35.279123715287653</v>
      </c>
      <c r="S202" s="120">
        <f>'[3]BGE LP_GSMS'!I13</f>
        <v>34.984480832934707</v>
      </c>
      <c r="T202" s="120">
        <f>'[3]BGE LP_GSMS'!J13</f>
        <v>35.210825094001187</v>
      </c>
      <c r="U202" s="120">
        <f>'[3]BGE LP_GSMS'!K13</f>
        <v>35.673384441027487</v>
      </c>
      <c r="V202" s="91"/>
    </row>
    <row r="203" spans="1:22" x14ac:dyDescent="0.2">
      <c r="A203" s="48">
        <f t="shared" ref="A203:A266" si="9">A202+1</f>
        <v>195</v>
      </c>
      <c r="B203" s="43">
        <v>6</v>
      </c>
      <c r="C203" s="43">
        <v>10</v>
      </c>
      <c r="D203" s="38" t="s">
        <v>357</v>
      </c>
      <c r="E203" s="44" t="s">
        <v>136</v>
      </c>
      <c r="F203" s="44" t="s">
        <v>23</v>
      </c>
      <c r="G203" s="44" t="s">
        <v>108</v>
      </c>
      <c r="H203" s="44" t="s">
        <v>137</v>
      </c>
      <c r="I203" s="44" t="s">
        <v>24</v>
      </c>
      <c r="J203" s="44" t="s">
        <v>25</v>
      </c>
      <c r="K203" s="44" t="s">
        <v>138</v>
      </c>
      <c r="L203" s="40">
        <v>1126</v>
      </c>
      <c r="M203" s="41">
        <v>41339</v>
      </c>
      <c r="N203" s="40" t="s">
        <v>110</v>
      </c>
      <c r="O203" s="42">
        <f t="shared" si="8"/>
        <v>42461</v>
      </c>
      <c r="P203" s="40">
        <v>23</v>
      </c>
      <c r="Q203" s="120">
        <f>'[3]ComEd - test LP_28MS'!G13</f>
        <v>28.509699709101231</v>
      </c>
      <c r="R203" s="120">
        <f>'[3]ComEd - test LP_28MS'!H13</f>
        <v>28.582679553012284</v>
      </c>
      <c r="S203" s="120">
        <f>'[3]ComEd - test LP_28MS'!I13</f>
        <v>29.537289940459068</v>
      </c>
      <c r="T203" s="120">
        <f>'[3]ComEd - test LP_28MS'!J13</f>
        <v>30.855992212804587</v>
      </c>
      <c r="U203" s="120">
        <f>'[3]ComEd - test LP_28MS'!K13</f>
        <v>33.87154704801253</v>
      </c>
      <c r="V203" s="91"/>
    </row>
    <row r="204" spans="1:22" x14ac:dyDescent="0.2">
      <c r="A204" s="48">
        <f t="shared" si="9"/>
        <v>196</v>
      </c>
      <c r="B204" s="43">
        <v>6</v>
      </c>
      <c r="C204" s="43">
        <v>11</v>
      </c>
      <c r="D204" s="38" t="s">
        <v>358</v>
      </c>
      <c r="E204" s="44" t="s">
        <v>140</v>
      </c>
      <c r="F204" s="44" t="s">
        <v>23</v>
      </c>
      <c r="G204" s="44" t="s">
        <v>108</v>
      </c>
      <c r="H204" s="44" t="s">
        <v>137</v>
      </c>
      <c r="I204" s="44" t="s">
        <v>24</v>
      </c>
      <c r="J204" s="44" t="s">
        <v>26</v>
      </c>
      <c r="K204" s="44" t="s">
        <v>141</v>
      </c>
      <c r="L204" s="40">
        <v>1127</v>
      </c>
      <c r="M204" s="41">
        <v>41339</v>
      </c>
      <c r="N204" s="40" t="s">
        <v>110</v>
      </c>
      <c r="O204" s="42">
        <f t="shared" si="8"/>
        <v>42461</v>
      </c>
      <c r="P204" s="40">
        <v>23</v>
      </c>
      <c r="Q204" s="120">
        <f>'[3]ComEd - test LP_29MS'!G13</f>
        <v>27.63342025313495</v>
      </c>
      <c r="R204" s="120">
        <f>'[3]ComEd - test LP_29MS'!H13</f>
        <v>27.670060087728036</v>
      </c>
      <c r="S204" s="120">
        <f>'[3]ComEd - test LP_29MS'!I13</f>
        <v>28.639707417985857</v>
      </c>
      <c r="T204" s="120">
        <f>'[3]ComEd - test LP_29MS'!J13</f>
        <v>29.946600934259767</v>
      </c>
      <c r="U204" s="120">
        <f>'[3]ComEd - test LP_29MS'!K13</f>
        <v>32.963600390809241</v>
      </c>
      <c r="V204" s="91"/>
    </row>
    <row r="205" spans="1:22" x14ac:dyDescent="0.2">
      <c r="A205" s="48">
        <f t="shared" si="9"/>
        <v>197</v>
      </c>
      <c r="B205" s="43">
        <v>6</v>
      </c>
      <c r="C205" s="43">
        <v>12</v>
      </c>
      <c r="D205" s="38" t="s">
        <v>359</v>
      </c>
      <c r="E205" s="44" t="s">
        <v>143</v>
      </c>
      <c r="F205" s="44" t="s">
        <v>18</v>
      </c>
      <c r="G205" s="44" t="s">
        <v>108</v>
      </c>
      <c r="H205" s="44" t="s">
        <v>94</v>
      </c>
      <c r="I205" s="44" t="s">
        <v>144</v>
      </c>
      <c r="J205" s="44" t="s">
        <v>20</v>
      </c>
      <c r="K205" s="44" t="s">
        <v>145</v>
      </c>
      <c r="L205" s="40">
        <v>1128</v>
      </c>
      <c r="M205" s="41">
        <v>41339</v>
      </c>
      <c r="N205" s="40" t="s">
        <v>110</v>
      </c>
      <c r="O205" s="42">
        <f t="shared" si="8"/>
        <v>42461</v>
      </c>
      <c r="P205" s="40">
        <v>23</v>
      </c>
      <c r="Q205" s="120">
        <f>[3]DAY_RC_843MS!G13</f>
        <v>21.326907070860685</v>
      </c>
      <c r="R205" s="120">
        <f>[3]DAY_RC_843MS!H13</f>
        <v>18.484368605686122</v>
      </c>
      <c r="S205" s="120">
        <f>[3]DAY_RC_843MS!I13</f>
        <v>20.23092609860355</v>
      </c>
      <c r="T205" s="120">
        <f>[3]DAY_RC_843MS!J13</f>
        <v>20.530277315012984</v>
      </c>
      <c r="U205" s="120">
        <f>[3]DAY_RC_843MS!K13</f>
        <v>22.115402281015026</v>
      </c>
      <c r="V205" s="91"/>
    </row>
    <row r="206" spans="1:22" x14ac:dyDescent="0.2">
      <c r="A206" s="48">
        <f t="shared" si="9"/>
        <v>198</v>
      </c>
      <c r="B206" s="43">
        <v>6</v>
      </c>
      <c r="C206" s="43">
        <v>13</v>
      </c>
      <c r="D206" s="38" t="s">
        <v>360</v>
      </c>
      <c r="E206" s="44" t="s">
        <v>147</v>
      </c>
      <c r="F206" s="44" t="s">
        <v>37</v>
      </c>
      <c r="G206" s="44" t="s">
        <v>108</v>
      </c>
      <c r="H206" s="44" t="s">
        <v>41</v>
      </c>
      <c r="I206" s="44" t="s">
        <v>41</v>
      </c>
      <c r="J206" s="44" t="s">
        <v>6</v>
      </c>
      <c r="K206" s="44" t="s">
        <v>128</v>
      </c>
      <c r="L206" s="40">
        <v>1129</v>
      </c>
      <c r="M206" s="41">
        <v>41339</v>
      </c>
      <c r="N206" s="40" t="s">
        <v>110</v>
      </c>
      <c r="O206" s="42">
        <f t="shared" si="8"/>
        <v>42461</v>
      </c>
      <c r="P206" s="40">
        <v>23</v>
      </c>
      <c r="Q206" s="120">
        <f>'[3]Delmarva MD LP_MDGS_MMS'!G13</f>
        <v>35.915328841293686</v>
      </c>
      <c r="R206" s="120">
        <f>'[3]Delmarva MD LP_MDGS_MMS'!H13</f>
        <v>37.957594995474281</v>
      </c>
      <c r="S206" s="120">
        <f>'[3]Delmarva MD LP_MDGS_MMS'!I13</f>
        <v>37.046772147979581</v>
      </c>
      <c r="T206" s="120">
        <f>'[3]Delmarva MD LP_MDGS_MMS'!J13</f>
        <v>37.863855734480033</v>
      </c>
      <c r="U206" s="120">
        <f>'[3]Delmarva MD LP_MDGS_MMS'!K13</f>
        <v>40.527379912771565</v>
      </c>
      <c r="V206" s="91"/>
    </row>
    <row r="207" spans="1:22" x14ac:dyDescent="0.2">
      <c r="A207" s="48">
        <f t="shared" si="9"/>
        <v>199</v>
      </c>
      <c r="B207" s="43">
        <v>6</v>
      </c>
      <c r="C207" s="43">
        <v>14</v>
      </c>
      <c r="D207" s="38" t="s">
        <v>361</v>
      </c>
      <c r="E207" s="44" t="s">
        <v>149</v>
      </c>
      <c r="F207" s="44" t="s">
        <v>5</v>
      </c>
      <c r="G207" s="44" t="s">
        <v>108</v>
      </c>
      <c r="H207" s="44" t="s">
        <v>46</v>
      </c>
      <c r="I207" s="44" t="s">
        <v>46</v>
      </c>
      <c r="J207" s="44" t="s">
        <v>6</v>
      </c>
      <c r="K207" s="44" t="s">
        <v>128</v>
      </c>
      <c r="L207" s="40">
        <v>1130</v>
      </c>
      <c r="M207" s="41">
        <v>41339</v>
      </c>
      <c r="N207" s="40" t="s">
        <v>110</v>
      </c>
      <c r="O207" s="42">
        <f t="shared" si="8"/>
        <v>42461</v>
      </c>
      <c r="P207" s="40">
        <v>23</v>
      </c>
      <c r="Q207" s="120">
        <f>'[3]DQE LP_GSGM_MMS'!G13</f>
        <v>31.416932356229616</v>
      </c>
      <c r="R207" s="120">
        <f>'[3]DQE LP_GSGM_MMS'!H13</f>
        <v>31.17067493035686</v>
      </c>
      <c r="S207" s="120">
        <f>'[3]DQE LP_GSGM_MMS'!I13</f>
        <v>32.221515698086499</v>
      </c>
      <c r="T207" s="120">
        <f>'[3]DQE LP_GSGM_MMS'!J13</f>
        <v>33.479605823425004</v>
      </c>
      <c r="U207" s="120">
        <f>'[3]DQE LP_GSGM_MMS'!K13</f>
        <v>35.162180020978923</v>
      </c>
      <c r="V207" s="91"/>
    </row>
    <row r="208" spans="1:22" x14ac:dyDescent="0.2">
      <c r="A208" s="48">
        <f t="shared" si="9"/>
        <v>200</v>
      </c>
      <c r="B208" s="43">
        <v>6</v>
      </c>
      <c r="C208" s="43">
        <v>15</v>
      </c>
      <c r="D208" s="38" t="s">
        <v>362</v>
      </c>
      <c r="E208" s="44" t="s">
        <v>151</v>
      </c>
      <c r="F208" s="44" t="s">
        <v>18</v>
      </c>
      <c r="G208" s="44" t="s">
        <v>108</v>
      </c>
      <c r="H208" s="44" t="s">
        <v>21</v>
      </c>
      <c r="I208" s="44" t="s">
        <v>152</v>
      </c>
      <c r="J208" s="44" t="s">
        <v>22</v>
      </c>
      <c r="K208" s="44" t="s">
        <v>128</v>
      </c>
      <c r="L208" s="40">
        <v>1131</v>
      </c>
      <c r="M208" s="41">
        <v>41339</v>
      </c>
      <c r="N208" s="40" t="s">
        <v>110</v>
      </c>
      <c r="O208" s="42">
        <f t="shared" si="8"/>
        <v>42461</v>
      </c>
      <c r="P208" s="40">
        <v>23</v>
      </c>
      <c r="Q208" s="120">
        <f>[3]Duke_OH_RC_DS01MS!G13</f>
        <v>18.351634626300044</v>
      </c>
      <c r="R208" s="120">
        <f>[3]Duke_OH_RC_DS01MS!H13</f>
        <v>18.486764848840515</v>
      </c>
      <c r="S208" s="120">
        <f>[3]Duke_OH_RC_DS01MS!I13</f>
        <v>19.210024100929633</v>
      </c>
      <c r="T208" s="120">
        <f>[3]Duke_OH_RC_DS01MS!J13</f>
        <v>20.471364771469659</v>
      </c>
      <c r="U208" s="120">
        <f>[3]Duke_OH_RC_DS01MS!K13</f>
        <v>21.861544297986768</v>
      </c>
      <c r="V208" s="91"/>
    </row>
    <row r="209" spans="1:22" x14ac:dyDescent="0.2">
      <c r="A209" s="48">
        <f t="shared" si="9"/>
        <v>201</v>
      </c>
      <c r="B209" s="43">
        <v>6</v>
      </c>
      <c r="C209" s="43">
        <v>16</v>
      </c>
      <c r="D209" s="38" t="s">
        <v>363</v>
      </c>
      <c r="E209" s="44" t="s">
        <v>154</v>
      </c>
      <c r="F209" s="44" t="s">
        <v>18</v>
      </c>
      <c r="G209" s="44" t="s">
        <v>108</v>
      </c>
      <c r="H209" s="44" t="s">
        <v>62</v>
      </c>
      <c r="I209" s="44" t="s">
        <v>155</v>
      </c>
      <c r="J209" s="44" t="s">
        <v>6</v>
      </c>
      <c r="K209" s="44" t="s">
        <v>128</v>
      </c>
      <c r="L209" s="40">
        <v>1132</v>
      </c>
      <c r="M209" s="41">
        <v>41339</v>
      </c>
      <c r="N209" s="40" t="s">
        <v>110</v>
      </c>
      <c r="O209" s="42">
        <f t="shared" si="8"/>
        <v>42461</v>
      </c>
      <c r="P209" s="40">
        <v>23</v>
      </c>
      <c r="Q209" s="120">
        <f>'[3]FE_OE - test RC_GSFMS'!G13</f>
        <v>28.172847622282188</v>
      </c>
      <c r="R209" s="120">
        <f>'[3]FE_OE - test RC_GSFMS'!H13</f>
        <v>24.404025229815005</v>
      </c>
      <c r="S209" s="120">
        <f>'[3]FE_OE - test RC_GSFMS'!I13</f>
        <v>24.17603238533308</v>
      </c>
      <c r="T209" s="120">
        <f>'[3]FE_OE - test RC_GSFMS'!J13</f>
        <v>23.91895209432505</v>
      </c>
      <c r="U209" s="120">
        <f>'[3]FE_OE - test RC_GSFMS'!K13</f>
        <v>24.399258721011027</v>
      </c>
      <c r="V209" s="91"/>
    </row>
    <row r="210" spans="1:22" x14ac:dyDescent="0.2">
      <c r="A210" s="48">
        <f t="shared" si="9"/>
        <v>202</v>
      </c>
      <c r="B210" s="43">
        <v>6</v>
      </c>
      <c r="C210" s="43">
        <v>17</v>
      </c>
      <c r="D210" s="38" t="s">
        <v>364</v>
      </c>
      <c r="E210" s="44" t="s">
        <v>157</v>
      </c>
      <c r="F210" s="44" t="s">
        <v>29</v>
      </c>
      <c r="G210" s="44" t="s">
        <v>108</v>
      </c>
      <c r="H210" s="44" t="s">
        <v>33</v>
      </c>
      <c r="I210" s="44" t="s">
        <v>33</v>
      </c>
      <c r="J210" s="44" t="s">
        <v>7</v>
      </c>
      <c r="K210" s="44" t="s">
        <v>123</v>
      </c>
      <c r="L210" s="40">
        <v>1133</v>
      </c>
      <c r="M210" s="41">
        <v>41339</v>
      </c>
      <c r="N210" s="40" t="s">
        <v>110</v>
      </c>
      <c r="O210" s="42">
        <f t="shared" si="8"/>
        <v>42461</v>
      </c>
      <c r="P210" s="40">
        <v>23</v>
      </c>
      <c r="Q210" s="120">
        <f>'[3]JCPL LP_GSCLMS'!G13</f>
        <v>30.657170760188635</v>
      </c>
      <c r="R210" s="120">
        <f>'[3]JCPL LP_GSCLMS'!H13</f>
        <v>35.717675174708432</v>
      </c>
      <c r="S210" s="120">
        <f>'[3]JCPL LP_GSCLMS'!I13</f>
        <v>36.333759474921919</v>
      </c>
      <c r="T210" s="120">
        <f>'[3]JCPL LP_GSCLMS'!J13</f>
        <v>37.766127591439783</v>
      </c>
      <c r="U210" s="120">
        <f>'[3]JCPL LP_GSCLMS'!K13</f>
        <v>40.922206671589279</v>
      </c>
      <c r="V210" s="91"/>
    </row>
    <row r="211" spans="1:22" x14ac:dyDescent="0.2">
      <c r="A211" s="48">
        <f t="shared" si="9"/>
        <v>203</v>
      </c>
      <c r="B211" s="43">
        <v>6</v>
      </c>
      <c r="C211" s="43">
        <v>18</v>
      </c>
      <c r="D211" s="38" t="s">
        <v>365</v>
      </c>
      <c r="E211" s="44" t="s">
        <v>159</v>
      </c>
      <c r="F211" s="44" t="s">
        <v>29</v>
      </c>
      <c r="G211" s="44" t="s">
        <v>108</v>
      </c>
      <c r="H211" s="44" t="s">
        <v>33</v>
      </c>
      <c r="I211" s="44" t="s">
        <v>33</v>
      </c>
      <c r="J211" s="44" t="s">
        <v>8</v>
      </c>
      <c r="K211" s="44" t="s">
        <v>120</v>
      </c>
      <c r="L211" s="40">
        <v>1134</v>
      </c>
      <c r="M211" s="41">
        <v>41339</v>
      </c>
      <c r="N211" s="40" t="s">
        <v>110</v>
      </c>
      <c r="O211" s="42">
        <f t="shared" si="8"/>
        <v>42461</v>
      </c>
      <c r="P211" s="40">
        <v>23</v>
      </c>
      <c r="Q211" s="120">
        <f>'[3]JCPL LP_GSCMMS'!G13</f>
        <v>32.161968000835266</v>
      </c>
      <c r="R211" s="120">
        <f>'[3]JCPL LP_GSCMMS'!H13</f>
        <v>36.744705157062576</v>
      </c>
      <c r="S211" s="120">
        <f>'[3]JCPL LP_GSCMMS'!I13</f>
        <v>37.616019314054419</v>
      </c>
      <c r="T211" s="120">
        <f>'[3]JCPL LP_GSCMMS'!J13</f>
        <v>38.747143796936349</v>
      </c>
      <c r="U211" s="120">
        <f>'[3]JCPL LP_GSCMMS'!K13</f>
        <v>41.833628858969732</v>
      </c>
      <c r="V211" s="91"/>
    </row>
    <row r="212" spans="1:22" x14ac:dyDescent="0.2">
      <c r="A212" s="48">
        <f t="shared" si="9"/>
        <v>204</v>
      </c>
      <c r="B212" s="43">
        <v>6</v>
      </c>
      <c r="C212" s="43">
        <v>19</v>
      </c>
      <c r="D212" s="38" t="s">
        <v>366</v>
      </c>
      <c r="E212" s="44" t="s">
        <v>161</v>
      </c>
      <c r="F212" s="44" t="s">
        <v>29</v>
      </c>
      <c r="G212" s="44" t="s">
        <v>108</v>
      </c>
      <c r="H212" s="44" t="s">
        <v>33</v>
      </c>
      <c r="I212" s="44" t="s">
        <v>33</v>
      </c>
      <c r="J212" s="44" t="s">
        <v>9</v>
      </c>
      <c r="K212" s="44" t="s">
        <v>117</v>
      </c>
      <c r="L212" s="40">
        <v>1135</v>
      </c>
      <c r="M212" s="41">
        <v>41339</v>
      </c>
      <c r="N212" s="40" t="s">
        <v>110</v>
      </c>
      <c r="O212" s="42">
        <f t="shared" si="8"/>
        <v>42461</v>
      </c>
      <c r="P212" s="40">
        <v>23</v>
      </c>
      <c r="Q212" s="120">
        <f>'[3]JCPL LP_GSCSMS'!G13</f>
        <v>32.161968000835266</v>
      </c>
      <c r="R212" s="120">
        <f>'[3]JCPL LP_GSCSMS'!H13</f>
        <v>36.744705157062576</v>
      </c>
      <c r="S212" s="120">
        <f>'[3]JCPL LP_GSCSMS'!I13</f>
        <v>37.616019314054419</v>
      </c>
      <c r="T212" s="120">
        <f>'[3]JCPL LP_GSCSMS'!J13</f>
        <v>38.747143796936349</v>
      </c>
      <c r="U212" s="120">
        <f>'[3]JCPL LP_GSCSMS'!K13</f>
        <v>41.833628858969732</v>
      </c>
      <c r="V212" s="91"/>
    </row>
    <row r="213" spans="1:22" x14ac:dyDescent="0.2">
      <c r="A213" s="48">
        <f t="shared" si="9"/>
        <v>205</v>
      </c>
      <c r="B213" s="43">
        <v>6</v>
      </c>
      <c r="C213" s="43">
        <v>20</v>
      </c>
      <c r="D213" s="38" t="s">
        <v>367</v>
      </c>
      <c r="E213" s="44" t="s">
        <v>163</v>
      </c>
      <c r="F213" s="44" t="s">
        <v>5</v>
      </c>
      <c r="G213" s="44" t="s">
        <v>108</v>
      </c>
      <c r="H213" s="44" t="s">
        <v>164</v>
      </c>
      <c r="I213" s="44" t="s">
        <v>165</v>
      </c>
      <c r="J213" s="44" t="s">
        <v>7</v>
      </c>
      <c r="K213" s="44" t="s">
        <v>123</v>
      </c>
      <c r="L213" s="40">
        <v>1137</v>
      </c>
      <c r="M213" s="41">
        <v>41339</v>
      </c>
      <c r="N213" s="40" t="s">
        <v>110</v>
      </c>
      <c r="O213" s="42">
        <f t="shared" si="8"/>
        <v>42461</v>
      </c>
      <c r="P213" s="40">
        <v>23</v>
      </c>
      <c r="Q213" s="120">
        <f>'[3]MetEd RC_GSLFMS'!G13</f>
        <v>13.427938064622602</v>
      </c>
      <c r="R213" s="120">
        <f>'[3]MetEd RC_GSLFMS'!H13</f>
        <v>19.010181851298544</v>
      </c>
      <c r="S213" s="120">
        <f>'[3]MetEd RC_GSLFMS'!I13</f>
        <v>18.363859801353787</v>
      </c>
      <c r="T213" s="120">
        <f>'[3]MetEd RC_GSLFMS'!J13</f>
        <v>19.931822146022125</v>
      </c>
      <c r="U213" s="120">
        <f>'[3]MetEd RC_GSLFMS'!K13</f>
        <v>21.250753865990987</v>
      </c>
      <c r="V213" s="91"/>
    </row>
    <row r="214" spans="1:22" x14ac:dyDescent="0.2">
      <c r="A214" s="48">
        <f t="shared" si="9"/>
        <v>206</v>
      </c>
      <c r="B214" s="43">
        <v>6</v>
      </c>
      <c r="C214" s="43">
        <v>21</v>
      </c>
      <c r="D214" s="38" t="s">
        <v>368</v>
      </c>
      <c r="E214" s="44" t="s">
        <v>167</v>
      </c>
      <c r="F214" s="44" t="s">
        <v>5</v>
      </c>
      <c r="G214" s="44" t="s">
        <v>108</v>
      </c>
      <c r="H214" s="44" t="s">
        <v>164</v>
      </c>
      <c r="I214" s="44" t="s">
        <v>165</v>
      </c>
      <c r="J214" s="44" t="s">
        <v>8</v>
      </c>
      <c r="K214" s="44" t="s">
        <v>120</v>
      </c>
      <c r="L214" s="40">
        <v>1136</v>
      </c>
      <c r="M214" s="41">
        <v>41339</v>
      </c>
      <c r="N214" s="40" t="s">
        <v>110</v>
      </c>
      <c r="O214" s="42">
        <f t="shared" si="8"/>
        <v>42461</v>
      </c>
      <c r="P214" s="40">
        <v>23</v>
      </c>
      <c r="Q214" s="120">
        <f>'[3]MetEd RC_GSDFMS'!G13</f>
        <v>14.618053383649643</v>
      </c>
      <c r="R214" s="120">
        <f>'[3]MetEd RC_GSDFMS'!H13</f>
        <v>20.191179231729265</v>
      </c>
      <c r="S214" s="120">
        <f>'[3]MetEd RC_GSDFMS'!I13</f>
        <v>19.562234940278014</v>
      </c>
      <c r="T214" s="120">
        <f>'[3]MetEd RC_GSDFMS'!J13</f>
        <v>21.125647930405272</v>
      </c>
      <c r="U214" s="120">
        <f>'[3]MetEd RC_GSDFMS'!K13</f>
        <v>22.418572538201996</v>
      </c>
      <c r="V214" s="91"/>
    </row>
    <row r="215" spans="1:22" x14ac:dyDescent="0.2">
      <c r="A215" s="48">
        <f t="shared" si="9"/>
        <v>207</v>
      </c>
      <c r="B215" s="43">
        <v>6</v>
      </c>
      <c r="C215" s="43">
        <v>22</v>
      </c>
      <c r="D215" s="38" t="s">
        <v>369</v>
      </c>
      <c r="E215" s="44" t="s">
        <v>169</v>
      </c>
      <c r="F215" s="44" t="s">
        <v>5</v>
      </c>
      <c r="G215" s="44" t="s">
        <v>108</v>
      </c>
      <c r="H215" s="44" t="s">
        <v>164</v>
      </c>
      <c r="I215" s="44" t="s">
        <v>165</v>
      </c>
      <c r="J215" s="44" t="s">
        <v>9</v>
      </c>
      <c r="K215" s="44" t="s">
        <v>117</v>
      </c>
      <c r="L215" s="40">
        <v>1138</v>
      </c>
      <c r="M215" s="41">
        <v>41339</v>
      </c>
      <c r="N215" s="40" t="s">
        <v>110</v>
      </c>
      <c r="O215" s="42">
        <f t="shared" si="8"/>
        <v>42461</v>
      </c>
      <c r="P215" s="40">
        <v>23</v>
      </c>
      <c r="Q215" s="120">
        <f>'[3]MetEd RC_GSSFMS'!G13</f>
        <v>15.718656055385956</v>
      </c>
      <c r="R215" s="120">
        <f>'[3]MetEd RC_GSSFMS'!H13</f>
        <v>20.301982245046787</v>
      </c>
      <c r="S215" s="120">
        <f>'[3]MetEd RC_GSSFMS'!I13</f>
        <v>19.998125799961226</v>
      </c>
      <c r="T215" s="120">
        <f>'[3]MetEd RC_GSSFMS'!J13</f>
        <v>21.198896603655967</v>
      </c>
      <c r="U215" s="120">
        <f>'[3]MetEd RC_GSSFMS'!K13</f>
        <v>22.436703966708976</v>
      </c>
      <c r="V215" s="91"/>
    </row>
    <row r="216" spans="1:22" x14ac:dyDescent="0.2">
      <c r="A216" s="48">
        <f t="shared" si="9"/>
        <v>208</v>
      </c>
      <c r="B216" s="43">
        <v>6</v>
      </c>
      <c r="C216" s="43">
        <v>23</v>
      </c>
      <c r="D216" s="38" t="s">
        <v>370</v>
      </c>
      <c r="E216" s="44" t="s">
        <v>171</v>
      </c>
      <c r="F216" s="44" t="s">
        <v>5</v>
      </c>
      <c r="G216" s="44" t="s">
        <v>108</v>
      </c>
      <c r="H216" s="44" t="s">
        <v>11</v>
      </c>
      <c r="I216" s="44" t="s">
        <v>11</v>
      </c>
      <c r="J216" s="44" t="s">
        <v>6</v>
      </c>
      <c r="K216" s="44" t="s">
        <v>128</v>
      </c>
      <c r="L216" s="40">
        <v>1139</v>
      </c>
      <c r="M216" s="41">
        <v>41339</v>
      </c>
      <c r="N216" s="40" t="s">
        <v>110</v>
      </c>
      <c r="O216" s="42">
        <f t="shared" si="8"/>
        <v>42461</v>
      </c>
      <c r="P216" s="40">
        <v>23</v>
      </c>
      <c r="Q216" s="120">
        <f>'[3]PECO LP_GSMS'!G13</f>
        <v>19.448796055733062</v>
      </c>
      <c r="R216" s="120">
        <f>'[3]PECO LP_GSMS'!H13</f>
        <v>24.752631199794205</v>
      </c>
      <c r="S216" s="120">
        <f>'[3]PECO LP_GSMS'!I13</f>
        <v>23.515044387389214</v>
      </c>
      <c r="T216" s="120">
        <f>'[3]PECO LP_GSMS'!J13</f>
        <v>25.080840782766526</v>
      </c>
      <c r="U216" s="120">
        <f>'[3]PECO LP_GSMS'!K13</f>
        <v>27.508975083210444</v>
      </c>
      <c r="V216" s="91"/>
    </row>
    <row r="217" spans="1:22" x14ac:dyDescent="0.2">
      <c r="A217" s="48">
        <f t="shared" si="9"/>
        <v>209</v>
      </c>
      <c r="B217" s="43">
        <v>6</v>
      </c>
      <c r="C217" s="43">
        <v>24</v>
      </c>
      <c r="D217" s="38" t="s">
        <v>371</v>
      </c>
      <c r="E217" s="44" t="s">
        <v>173</v>
      </c>
      <c r="F217" s="44" t="s">
        <v>5</v>
      </c>
      <c r="G217" s="44" t="s">
        <v>108</v>
      </c>
      <c r="H217" s="44" t="s">
        <v>10</v>
      </c>
      <c r="I217" s="44" t="s">
        <v>174</v>
      </c>
      <c r="J217" s="44" t="s">
        <v>7</v>
      </c>
      <c r="K217" s="44" t="s">
        <v>123</v>
      </c>
      <c r="L217" s="40">
        <v>1140</v>
      </c>
      <c r="M217" s="41">
        <v>41339</v>
      </c>
      <c r="N217" s="40" t="s">
        <v>110</v>
      </c>
      <c r="O217" s="42">
        <f t="shared" si="8"/>
        <v>42461</v>
      </c>
      <c r="P217" s="40">
        <v>23</v>
      </c>
      <c r="Q217" s="120">
        <f>'[3]Penelec RC_GSLFMS'!G13</f>
        <v>25.217699377640233</v>
      </c>
      <c r="R217" s="120">
        <f>'[3]Penelec RC_GSLFMS'!H13</f>
        <v>25.551384746600213</v>
      </c>
      <c r="S217" s="120">
        <f>'[3]Penelec RC_GSLFMS'!I13</f>
        <v>25.468832942727396</v>
      </c>
      <c r="T217" s="120">
        <f>'[3]Penelec RC_GSLFMS'!J13</f>
        <v>25.578684056376144</v>
      </c>
      <c r="U217" s="120">
        <f>'[3]Penelec RC_GSLFMS'!K13</f>
        <v>26.148464793420931</v>
      </c>
      <c r="V217" s="91"/>
    </row>
    <row r="218" spans="1:22" x14ac:dyDescent="0.2">
      <c r="A218" s="48">
        <f t="shared" si="9"/>
        <v>210</v>
      </c>
      <c r="B218" s="43">
        <v>6</v>
      </c>
      <c r="C218" s="43">
        <v>25</v>
      </c>
      <c r="D218" s="38" t="s">
        <v>372</v>
      </c>
      <c r="E218" s="44" t="s">
        <v>176</v>
      </c>
      <c r="F218" s="44" t="s">
        <v>5</v>
      </c>
      <c r="G218" s="44" t="s">
        <v>108</v>
      </c>
      <c r="H218" s="44" t="s">
        <v>10</v>
      </c>
      <c r="I218" s="44" t="s">
        <v>174</v>
      </c>
      <c r="J218" s="44" t="s">
        <v>8</v>
      </c>
      <c r="K218" s="44" t="s">
        <v>120</v>
      </c>
      <c r="L218" s="40">
        <v>1141</v>
      </c>
      <c r="M218" s="41">
        <v>41339</v>
      </c>
      <c r="N218" s="40" t="s">
        <v>110</v>
      </c>
      <c r="O218" s="42">
        <f t="shared" si="8"/>
        <v>42461</v>
      </c>
      <c r="P218" s="40">
        <v>23</v>
      </c>
      <c r="Q218" s="120">
        <f>'[3]Penelec RC_GSMFMS'!G13</f>
        <v>26.558029049891072</v>
      </c>
      <c r="R218" s="120">
        <f>'[3]Penelec RC_GSMFMS'!H13</f>
        <v>26.658196443803511</v>
      </c>
      <c r="S218" s="120">
        <f>'[3]Penelec RC_GSMFMS'!I13</f>
        <v>26.65740076764871</v>
      </c>
      <c r="T218" s="120">
        <f>'[3]Penelec RC_GSMFMS'!J13</f>
        <v>26.67887115106414</v>
      </c>
      <c r="U218" s="120">
        <f>'[3]Penelec RC_GSMFMS'!K13</f>
        <v>27.246699651807759</v>
      </c>
      <c r="V218" s="91"/>
    </row>
    <row r="219" spans="1:22" x14ac:dyDescent="0.2">
      <c r="A219" s="48">
        <f t="shared" si="9"/>
        <v>211</v>
      </c>
      <c r="B219" s="43">
        <v>6</v>
      </c>
      <c r="C219" s="43">
        <v>26</v>
      </c>
      <c r="D219" s="38" t="s">
        <v>373</v>
      </c>
      <c r="E219" s="44" t="s">
        <v>178</v>
      </c>
      <c r="F219" s="44" t="s">
        <v>5</v>
      </c>
      <c r="G219" s="44" t="s">
        <v>108</v>
      </c>
      <c r="H219" s="44" t="s">
        <v>10</v>
      </c>
      <c r="I219" s="44" t="s">
        <v>174</v>
      </c>
      <c r="J219" s="44" t="s">
        <v>9</v>
      </c>
      <c r="K219" s="44" t="s">
        <v>117</v>
      </c>
      <c r="L219" s="40">
        <v>1142</v>
      </c>
      <c r="M219" s="41">
        <v>41339</v>
      </c>
      <c r="N219" s="40" t="s">
        <v>110</v>
      </c>
      <c r="O219" s="42">
        <f t="shared" si="8"/>
        <v>42461</v>
      </c>
      <c r="P219" s="40">
        <v>23</v>
      </c>
      <c r="Q219" s="120">
        <f>'[3]Penelec RC_GSSFMS'!G13</f>
        <v>31.588681446567033</v>
      </c>
      <c r="R219" s="120">
        <f>'[3]Penelec RC_GSSFMS'!H13</f>
        <v>26.72505449922393</v>
      </c>
      <c r="S219" s="120">
        <f>'[3]Penelec RC_GSSFMS'!I13</f>
        <v>28.114518623644226</v>
      </c>
      <c r="T219" s="120">
        <f>'[3]Penelec RC_GSSFMS'!J13</f>
        <v>26.723091738483824</v>
      </c>
      <c r="U219" s="120">
        <f>'[3]Penelec RC_GSSFMS'!K13</f>
        <v>27.288112640148565</v>
      </c>
      <c r="V219" s="91"/>
    </row>
    <row r="220" spans="1:22" x14ac:dyDescent="0.2">
      <c r="A220" s="48">
        <f t="shared" si="9"/>
        <v>212</v>
      </c>
      <c r="B220" s="43">
        <v>6</v>
      </c>
      <c r="C220" s="43">
        <v>27</v>
      </c>
      <c r="D220" s="38" t="s">
        <v>374</v>
      </c>
      <c r="E220" s="44" t="s">
        <v>180</v>
      </c>
      <c r="F220" s="44" t="s">
        <v>5</v>
      </c>
      <c r="G220" s="44" t="s">
        <v>108</v>
      </c>
      <c r="H220" s="44" t="s">
        <v>91</v>
      </c>
      <c r="I220" s="44" t="s">
        <v>181</v>
      </c>
      <c r="J220" s="44" t="s">
        <v>6</v>
      </c>
      <c r="K220" s="44" t="s">
        <v>128</v>
      </c>
      <c r="L220" s="40">
        <v>1143</v>
      </c>
      <c r="M220" s="41">
        <v>41339</v>
      </c>
      <c r="N220" s="40" t="s">
        <v>110</v>
      </c>
      <c r="O220" s="42">
        <f t="shared" si="8"/>
        <v>42461</v>
      </c>
      <c r="P220" s="40">
        <v>23</v>
      </c>
      <c r="Q220" s="120">
        <f>'[3]Penn Power RC_GMDMS'!G13</f>
        <v>39.309295115073631</v>
      </c>
      <c r="R220" s="120">
        <f>'[3]Penn Power RC_GMDMS'!H13</f>
        <v>35.416439245634045</v>
      </c>
      <c r="S220" s="120">
        <f>'[3]Penn Power RC_GMDMS'!I13</f>
        <v>35.284159927483216</v>
      </c>
      <c r="T220" s="120">
        <f>'[3]Penn Power RC_GMDMS'!J13</f>
        <v>34.966712111660165</v>
      </c>
      <c r="U220" s="120">
        <f>'[3]Penn Power RC_GMDMS'!K13</f>
        <v>35.494553036571055</v>
      </c>
      <c r="V220" s="91"/>
    </row>
    <row r="221" spans="1:22" x14ac:dyDescent="0.2">
      <c r="A221" s="48">
        <f t="shared" si="9"/>
        <v>213</v>
      </c>
      <c r="B221" s="43">
        <v>6</v>
      </c>
      <c r="C221" s="43">
        <v>28</v>
      </c>
      <c r="D221" s="38" t="s">
        <v>375</v>
      </c>
      <c r="E221" s="44" t="s">
        <v>183</v>
      </c>
      <c r="F221" s="44" t="s">
        <v>37</v>
      </c>
      <c r="G221" s="44" t="s">
        <v>108</v>
      </c>
      <c r="H221" s="44" t="s">
        <v>42</v>
      </c>
      <c r="I221" s="44" t="s">
        <v>42</v>
      </c>
      <c r="J221" s="44" t="s">
        <v>6</v>
      </c>
      <c r="K221" s="44" t="s">
        <v>128</v>
      </c>
      <c r="L221" s="40">
        <v>1144</v>
      </c>
      <c r="M221" s="41">
        <v>41339</v>
      </c>
      <c r="N221" s="40" t="s">
        <v>110</v>
      </c>
      <c r="O221" s="42">
        <f t="shared" si="8"/>
        <v>42461</v>
      </c>
      <c r="P221" s="40">
        <v>23</v>
      </c>
      <c r="Q221" s="120">
        <f>'[3]PEPCO MD LP_MDNDMS'!G13</f>
        <v>35.189021081262915</v>
      </c>
      <c r="R221" s="120">
        <f>'[3]PEPCO MD LP_MDNDMS'!H13</f>
        <v>34.929768067900852</v>
      </c>
      <c r="S221" s="120">
        <f>'[3]PEPCO MD LP_MDNDMS'!I13</f>
        <v>34.93043544231088</v>
      </c>
      <c r="T221" s="120">
        <f>'[3]PEPCO MD LP_MDNDMS'!J13</f>
        <v>34.866918241688339</v>
      </c>
      <c r="U221" s="120">
        <f>'[3]PEPCO MD LP_MDNDMS'!K13</f>
        <v>35.235944447760744</v>
      </c>
      <c r="V221" s="91"/>
    </row>
    <row r="222" spans="1:22" x14ac:dyDescent="0.2">
      <c r="A222" s="48">
        <f t="shared" si="9"/>
        <v>214</v>
      </c>
      <c r="B222" s="43">
        <v>6</v>
      </c>
      <c r="C222" s="43">
        <v>29</v>
      </c>
      <c r="D222" s="38" t="s">
        <v>376</v>
      </c>
      <c r="E222" s="44" t="s">
        <v>185</v>
      </c>
      <c r="F222" s="44" t="s">
        <v>37</v>
      </c>
      <c r="G222" s="44" t="s">
        <v>108</v>
      </c>
      <c r="H222" s="44" t="s">
        <v>42</v>
      </c>
      <c r="I222" s="44" t="s">
        <v>42</v>
      </c>
      <c r="J222" s="44" t="s">
        <v>43</v>
      </c>
      <c r="K222" s="44" t="s">
        <v>186</v>
      </c>
      <c r="L222" s="40">
        <v>1145</v>
      </c>
      <c r="M222" s="41">
        <v>41339</v>
      </c>
      <c r="N222" s="40" t="s">
        <v>110</v>
      </c>
      <c r="O222" s="42">
        <f t="shared" si="8"/>
        <v>42461</v>
      </c>
      <c r="P222" s="40">
        <v>23</v>
      </c>
      <c r="Q222" s="120">
        <f>'[3]PEPCO MD LP_MMGTL2AMS'!G13</f>
        <v>32.505809633824505</v>
      </c>
      <c r="R222" s="120">
        <f>'[3]PEPCO MD LP_MMGTL2AMS'!H13</f>
        <v>33.895154946794221</v>
      </c>
      <c r="S222" s="120">
        <f>'[3]PEPCO MD LP_MMGTL2AMS'!I13</f>
        <v>33.334072830391541</v>
      </c>
      <c r="T222" s="120">
        <f>'[3]PEPCO MD LP_MMGTL2AMS'!J13</f>
        <v>33.818535061638158</v>
      </c>
      <c r="U222" s="120">
        <f>'[3]PEPCO MD LP_MMGTL2AMS'!K13</f>
        <v>34.165360536804705</v>
      </c>
      <c r="V222" s="91"/>
    </row>
    <row r="223" spans="1:22" x14ac:dyDescent="0.2">
      <c r="A223" s="48">
        <f t="shared" si="9"/>
        <v>215</v>
      </c>
      <c r="B223" s="43">
        <v>6</v>
      </c>
      <c r="C223" s="43">
        <v>30</v>
      </c>
      <c r="D223" s="38" t="s">
        <v>377</v>
      </c>
      <c r="E223" s="44" t="s">
        <v>188</v>
      </c>
      <c r="F223" s="44" t="s">
        <v>37</v>
      </c>
      <c r="G223" s="44" t="s">
        <v>108</v>
      </c>
      <c r="H223" s="44" t="s">
        <v>42</v>
      </c>
      <c r="I223" s="44" t="s">
        <v>42</v>
      </c>
      <c r="J223" s="44" t="s">
        <v>44</v>
      </c>
      <c r="K223" s="44" t="s">
        <v>44</v>
      </c>
      <c r="L223" s="40">
        <v>1146</v>
      </c>
      <c r="M223" s="41">
        <v>41339</v>
      </c>
      <c r="N223" s="40" t="s">
        <v>110</v>
      </c>
      <c r="O223" s="42">
        <f t="shared" si="8"/>
        <v>42461</v>
      </c>
      <c r="P223" s="40">
        <v>23</v>
      </c>
      <c r="Q223" s="120">
        <f>'[3]PEPCO MD RC_3T7MS'!G13</f>
        <v>35.627950259793359</v>
      </c>
      <c r="R223" s="120">
        <f>'[3]PEPCO MD RC_3T7MS'!H13</f>
        <v>34.719430197008336</v>
      </c>
      <c r="S223" s="120">
        <f>'[3]PEPCO MD RC_3T7MS'!I13</f>
        <v>34.914990788526858</v>
      </c>
      <c r="T223" s="120">
        <f>'[3]PEPCO MD RC_3T7MS'!J13</f>
        <v>34.764121428525065</v>
      </c>
      <c r="U223" s="120">
        <f>'[3]PEPCO MD RC_3T7MS'!K13</f>
        <v>35.166389666688829</v>
      </c>
      <c r="V223" s="91"/>
    </row>
    <row r="224" spans="1:22" x14ac:dyDescent="0.2">
      <c r="A224" s="48">
        <f t="shared" si="9"/>
        <v>216</v>
      </c>
      <c r="B224" s="43">
        <v>6</v>
      </c>
      <c r="C224" s="43">
        <v>31</v>
      </c>
      <c r="D224" s="38" t="s">
        <v>378</v>
      </c>
      <c r="E224" s="44" t="s">
        <v>190</v>
      </c>
      <c r="F224" s="44" t="s">
        <v>37</v>
      </c>
      <c r="G224" s="44" t="s">
        <v>108</v>
      </c>
      <c r="H224" s="44" t="s">
        <v>45</v>
      </c>
      <c r="I224" s="44" t="s">
        <v>45</v>
      </c>
      <c r="J224" s="44" t="s">
        <v>6</v>
      </c>
      <c r="K224" s="44" t="s">
        <v>128</v>
      </c>
      <c r="L224" s="40">
        <v>1147</v>
      </c>
      <c r="M224" s="41">
        <v>41339</v>
      </c>
      <c r="N224" s="40" t="s">
        <v>110</v>
      </c>
      <c r="O224" s="42">
        <f t="shared" si="8"/>
        <v>42461</v>
      </c>
      <c r="P224" s="40">
        <v>23</v>
      </c>
      <c r="Q224" s="120">
        <f>'[3]Potomac Edison LP_GSCM_MMS'!G13</f>
        <v>26.916219263844713</v>
      </c>
      <c r="R224" s="120">
        <f>'[3]Potomac Edison LP_GSCM_MMS'!H13</f>
        <v>26.433185440486032</v>
      </c>
      <c r="S224" s="120">
        <f>'[3]Potomac Edison LP_GSCM_MMS'!I13</f>
        <v>27.802815102959471</v>
      </c>
      <c r="T224" s="120">
        <f>'[3]Potomac Edison LP_GSCM_MMS'!J13</f>
        <v>29.073735100902052</v>
      </c>
      <c r="U224" s="120">
        <f>'[3]Potomac Edison LP_GSCM_MMS'!K13</f>
        <v>31.130703825773711</v>
      </c>
      <c r="V224" s="91"/>
    </row>
    <row r="225" spans="1:22" x14ac:dyDescent="0.2">
      <c r="A225" s="48">
        <f t="shared" si="9"/>
        <v>217</v>
      </c>
      <c r="B225" s="43">
        <v>6</v>
      </c>
      <c r="C225" s="43">
        <v>32</v>
      </c>
      <c r="D225" s="38" t="s">
        <v>379</v>
      </c>
      <c r="E225" s="44" t="s">
        <v>192</v>
      </c>
      <c r="F225" s="44" t="s">
        <v>5</v>
      </c>
      <c r="G225" s="44" t="s">
        <v>108</v>
      </c>
      <c r="H225" s="44" t="s">
        <v>12</v>
      </c>
      <c r="I225" s="44" t="s">
        <v>12</v>
      </c>
      <c r="J225" s="44" t="s">
        <v>13</v>
      </c>
      <c r="K225" s="44" t="s">
        <v>117</v>
      </c>
      <c r="L225" s="40">
        <v>1148</v>
      </c>
      <c r="M225" s="41">
        <v>41339</v>
      </c>
      <c r="N225" s="40" t="s">
        <v>110</v>
      </c>
      <c r="O225" s="42">
        <f t="shared" si="8"/>
        <v>42461</v>
      </c>
      <c r="P225" s="40">
        <v>23</v>
      </c>
      <c r="Q225" s="120">
        <f>[3]PPL_RCGS1MS!G13</f>
        <v>24.583320125462144</v>
      </c>
      <c r="R225" s="120">
        <f>[3]PPL_RCGS1MS!H13</f>
        <v>28.254903394294736</v>
      </c>
      <c r="S225" s="120">
        <f>[3]PPL_RCGS1MS!I13</f>
        <v>27.478394600262657</v>
      </c>
      <c r="T225" s="120">
        <f>[3]PPL_RCGS1MS!J13</f>
        <v>28.549721685335918</v>
      </c>
      <c r="U225" s="120">
        <f>[3]PPL_RCGS1MS!K13</f>
        <v>28.979321407885823</v>
      </c>
      <c r="V225" s="91"/>
    </row>
    <row r="226" spans="1:22" x14ac:dyDescent="0.2">
      <c r="A226" s="48">
        <f t="shared" si="9"/>
        <v>218</v>
      </c>
      <c r="B226" s="43">
        <v>6</v>
      </c>
      <c r="C226" s="43">
        <v>33</v>
      </c>
      <c r="D226" s="38" t="s">
        <v>380</v>
      </c>
      <c r="E226" s="44" t="s">
        <v>194</v>
      </c>
      <c r="F226" s="44" t="s">
        <v>5</v>
      </c>
      <c r="G226" s="44" t="s">
        <v>108</v>
      </c>
      <c r="H226" s="44" t="s">
        <v>12</v>
      </c>
      <c r="I226" s="44" t="s">
        <v>12</v>
      </c>
      <c r="J226" s="44" t="s">
        <v>14</v>
      </c>
      <c r="K226" s="44" t="s">
        <v>123</v>
      </c>
      <c r="L226" s="40">
        <v>1149</v>
      </c>
      <c r="M226" s="41">
        <v>41339</v>
      </c>
      <c r="N226" s="40" t="s">
        <v>110</v>
      </c>
      <c r="O226" s="42">
        <f t="shared" si="8"/>
        <v>42461</v>
      </c>
      <c r="P226" s="40">
        <v>23</v>
      </c>
      <c r="Q226" s="120">
        <f>[3]PPL_RCGS3MS!G13</f>
        <v>23.328943031440417</v>
      </c>
      <c r="R226" s="120">
        <f>[3]PPL_RCGS3MS!H13</f>
        <v>28.099762747420016</v>
      </c>
      <c r="S226" s="120">
        <f>[3]PPL_RCGS3MS!I13</f>
        <v>26.944979531441177</v>
      </c>
      <c r="T226" s="120">
        <f>[3]PPL_RCGS3MS!J13</f>
        <v>28.42181364206494</v>
      </c>
      <c r="U226" s="120">
        <f>[3]PPL_RCGS3MS!K13</f>
        <v>28.9492910898872</v>
      </c>
      <c r="V226" s="91"/>
    </row>
    <row r="227" spans="1:22" x14ac:dyDescent="0.2">
      <c r="A227" s="48">
        <f t="shared" si="9"/>
        <v>219</v>
      </c>
      <c r="B227" s="43">
        <v>6</v>
      </c>
      <c r="C227" s="43">
        <v>34</v>
      </c>
      <c r="D227" s="38" t="s">
        <v>381</v>
      </c>
      <c r="E227" s="44" t="s">
        <v>196</v>
      </c>
      <c r="F227" s="44" t="s">
        <v>29</v>
      </c>
      <c r="G227" s="44" t="s">
        <v>108</v>
      </c>
      <c r="H227" s="44" t="s">
        <v>34</v>
      </c>
      <c r="I227" s="44" t="s">
        <v>34</v>
      </c>
      <c r="J227" s="44" t="s">
        <v>35</v>
      </c>
      <c r="K227" s="44" t="s">
        <v>197</v>
      </c>
      <c r="L227" s="40">
        <v>1150</v>
      </c>
      <c r="M227" s="41">
        <v>41339</v>
      </c>
      <c r="N227" s="40" t="s">
        <v>110</v>
      </c>
      <c r="O227" s="42">
        <f t="shared" si="8"/>
        <v>42461</v>
      </c>
      <c r="P227" s="40">
        <v>23</v>
      </c>
      <c r="Q227" s="120">
        <f>'[3]PSEG LP_GLP_MMS'!G13</f>
        <v>48.680935157546337</v>
      </c>
      <c r="R227" s="120">
        <f>'[3]PSEG LP_GLP_MMS'!H13</f>
        <v>55.301881480884113</v>
      </c>
      <c r="S227" s="120">
        <f>'[3]PSEG LP_GLP_MMS'!I13</f>
        <v>55.087296727020203</v>
      </c>
      <c r="T227" s="120">
        <f>'[3]PSEG LP_GLP_MMS'!J13</f>
        <v>57.027295851935868</v>
      </c>
      <c r="U227" s="120">
        <f>'[3]PSEG LP_GLP_MMS'!K13</f>
        <v>58.245605371447986</v>
      </c>
      <c r="V227" s="91"/>
    </row>
    <row r="228" spans="1:22" x14ac:dyDescent="0.2">
      <c r="A228" s="48">
        <f t="shared" si="9"/>
        <v>220</v>
      </c>
      <c r="B228" s="43">
        <v>6</v>
      </c>
      <c r="C228" s="43">
        <v>35</v>
      </c>
      <c r="D228" s="38" t="s">
        <v>382</v>
      </c>
      <c r="E228" s="44" t="s">
        <v>199</v>
      </c>
      <c r="F228" s="44" t="s">
        <v>29</v>
      </c>
      <c r="G228" s="44" t="s">
        <v>108</v>
      </c>
      <c r="H228" s="44" t="s">
        <v>34</v>
      </c>
      <c r="I228" s="44" t="s">
        <v>34</v>
      </c>
      <c r="J228" s="44" t="s">
        <v>36</v>
      </c>
      <c r="K228" s="44" t="s">
        <v>200</v>
      </c>
      <c r="L228" s="40">
        <v>1151</v>
      </c>
      <c r="M228" s="41">
        <v>41339</v>
      </c>
      <c r="N228" s="40" t="s">
        <v>110</v>
      </c>
      <c r="O228" s="42">
        <f t="shared" si="8"/>
        <v>42461</v>
      </c>
      <c r="P228" s="40">
        <v>23</v>
      </c>
      <c r="Q228" s="120">
        <f>'[3]PSEG LP_LPLMS'!G13</f>
        <v>47.986550680956164</v>
      </c>
      <c r="R228" s="120">
        <f>'[3]PSEG LP_LPLMS'!H13</f>
        <v>54.65031294308055</v>
      </c>
      <c r="S228" s="120">
        <f>'[3]PSEG LP_LPLMS'!I13</f>
        <v>54.343637661370977</v>
      </c>
      <c r="T228" s="120">
        <f>'[3]PSEG LP_LPLMS'!J13</f>
        <v>56.302781719030094</v>
      </c>
      <c r="U228" s="120">
        <f>'[3]PSEG LP_LPLMS'!K13</f>
        <v>57.500212322896843</v>
      </c>
      <c r="V228" s="91"/>
    </row>
    <row r="229" spans="1:22" x14ac:dyDescent="0.2">
      <c r="A229" s="48">
        <f t="shared" si="9"/>
        <v>221</v>
      </c>
      <c r="B229" s="43">
        <v>6</v>
      </c>
      <c r="C229" s="43">
        <v>36</v>
      </c>
      <c r="D229" s="38" t="s">
        <v>383</v>
      </c>
      <c r="E229" s="44" t="s">
        <v>202</v>
      </c>
      <c r="F229" s="44" t="s">
        <v>5</v>
      </c>
      <c r="G229" s="44" t="s">
        <v>108</v>
      </c>
      <c r="H229" s="44" t="s">
        <v>15</v>
      </c>
      <c r="I229" s="44" t="s">
        <v>203</v>
      </c>
      <c r="J229" s="44" t="s">
        <v>16</v>
      </c>
      <c r="K229" s="44" t="s">
        <v>128</v>
      </c>
      <c r="L229" s="40">
        <v>1152</v>
      </c>
      <c r="M229" s="41">
        <v>41339</v>
      </c>
      <c r="N229" s="40" t="s">
        <v>110</v>
      </c>
      <c r="O229" s="42">
        <f t="shared" si="8"/>
        <v>42461</v>
      </c>
      <c r="P229" s="40">
        <v>23</v>
      </c>
      <c r="Q229" s="120">
        <f>'[3]West Penn Power LP_GSCMMS'!G13</f>
        <v>27.075098563703694</v>
      </c>
      <c r="R229" s="120">
        <f>'[3]West Penn Power LP_GSCMMS'!H13</f>
        <v>26.720835206583498</v>
      </c>
      <c r="S229" s="120">
        <f>'[3]West Penn Power LP_GSCMMS'!I13</f>
        <v>27.945902589434471</v>
      </c>
      <c r="T229" s="120">
        <f>'[3]West Penn Power LP_GSCMMS'!J13</f>
        <v>29.147114716559496</v>
      </c>
      <c r="U229" s="120">
        <f>'[3]West Penn Power LP_GSCMMS'!K13</f>
        <v>30.942857327897784</v>
      </c>
      <c r="V229" s="91"/>
    </row>
    <row r="230" spans="1:22" x14ac:dyDescent="0.2">
      <c r="A230" s="48">
        <f t="shared" si="9"/>
        <v>222</v>
      </c>
      <c r="B230" s="20"/>
      <c r="C230" s="20"/>
      <c r="D230" s="20"/>
      <c r="Q230" s="121"/>
      <c r="R230" s="121"/>
      <c r="S230" s="121"/>
      <c r="T230" s="121"/>
      <c r="U230" s="121"/>
    </row>
    <row r="231" spans="1:22" x14ac:dyDescent="0.2">
      <c r="A231" s="48">
        <f t="shared" si="9"/>
        <v>223</v>
      </c>
      <c r="B231" s="43">
        <v>7</v>
      </c>
      <c r="C231" s="43">
        <v>1</v>
      </c>
      <c r="D231" s="38" t="s">
        <v>384</v>
      </c>
      <c r="E231" s="44" t="s">
        <v>107</v>
      </c>
      <c r="F231" s="44" t="s">
        <v>29</v>
      </c>
      <c r="G231" s="44" t="s">
        <v>108</v>
      </c>
      <c r="H231" s="44" t="s">
        <v>30</v>
      </c>
      <c r="I231" s="44" t="s">
        <v>30</v>
      </c>
      <c r="J231" s="44" t="s">
        <v>31</v>
      </c>
      <c r="K231" s="44" t="s">
        <v>109</v>
      </c>
      <c r="L231" s="40">
        <v>1117</v>
      </c>
      <c r="M231" s="41">
        <v>41339</v>
      </c>
      <c r="N231" s="40" t="s">
        <v>110</v>
      </c>
      <c r="O231" s="42">
        <f>EDATE(O194,1)</f>
        <v>42491</v>
      </c>
      <c r="P231" s="40">
        <v>24</v>
      </c>
      <c r="Q231" s="120">
        <f>'[3]AECO LP_10V1_SMS'!G14</f>
        <v>39.544260724014833</v>
      </c>
      <c r="R231" s="120">
        <f>'[3]AECO LP_10V1_SMS'!H14</f>
        <v>46.540936412110064</v>
      </c>
      <c r="S231" s="120">
        <f>'[3]AECO LP_10V1_SMS'!I14</f>
        <v>44.666523723185193</v>
      </c>
      <c r="T231" s="120">
        <f>'[3]AECO LP_10V1_SMS'!J14</f>
        <v>46.695829945762597</v>
      </c>
      <c r="U231" s="120">
        <f>'[3]AECO LP_10V1_SMS'!K14</f>
        <v>48.639103993429686</v>
      </c>
      <c r="V231" s="91"/>
    </row>
    <row r="232" spans="1:22" x14ac:dyDescent="0.2">
      <c r="A232" s="48">
        <f t="shared" si="9"/>
        <v>224</v>
      </c>
      <c r="B232" s="43">
        <v>7</v>
      </c>
      <c r="C232" s="43">
        <v>2</v>
      </c>
      <c r="D232" s="38" t="s">
        <v>385</v>
      </c>
      <c r="E232" s="44" t="s">
        <v>112</v>
      </c>
      <c r="F232" s="44" t="s">
        <v>29</v>
      </c>
      <c r="G232" s="44" t="s">
        <v>108</v>
      </c>
      <c r="H232" s="44" t="s">
        <v>30</v>
      </c>
      <c r="I232" s="44" t="s">
        <v>30</v>
      </c>
      <c r="J232" s="44" t="s">
        <v>32</v>
      </c>
      <c r="K232" s="44" t="s">
        <v>113</v>
      </c>
      <c r="L232" s="40">
        <v>1118</v>
      </c>
      <c r="M232" s="41">
        <v>41339</v>
      </c>
      <c r="N232" s="40" t="s">
        <v>110</v>
      </c>
      <c r="O232" s="42">
        <f>O231</f>
        <v>42491</v>
      </c>
      <c r="P232" s="40">
        <v>24</v>
      </c>
      <c r="Q232" s="120">
        <f>'[3]AECO LP_14V1_MMS'!G14</f>
        <v>40.919474136631806</v>
      </c>
      <c r="R232" s="120">
        <f>'[3]AECO LP_14V1_MMS'!H14</f>
        <v>46.525664841114299</v>
      </c>
      <c r="S232" s="120">
        <f>'[3]AECO LP_14V1_MMS'!I14</f>
        <v>45.214172049438773</v>
      </c>
      <c r="T232" s="120">
        <f>'[3]AECO LP_14V1_MMS'!J14</f>
        <v>46.0377007138434</v>
      </c>
      <c r="U232" s="120">
        <f>'[3]AECO LP_14V1_MMS'!K14</f>
        <v>46.48823182161042</v>
      </c>
      <c r="V232" s="91"/>
    </row>
    <row r="233" spans="1:22" x14ac:dyDescent="0.2">
      <c r="A233" s="48">
        <f t="shared" si="9"/>
        <v>225</v>
      </c>
      <c r="B233" s="43">
        <v>7</v>
      </c>
      <c r="C233" s="43">
        <v>3</v>
      </c>
      <c r="D233" s="38" t="s">
        <v>386</v>
      </c>
      <c r="E233" s="44" t="s">
        <v>115</v>
      </c>
      <c r="F233" s="44" t="s">
        <v>18</v>
      </c>
      <c r="G233" s="44" t="s">
        <v>108</v>
      </c>
      <c r="H233" s="44" t="s">
        <v>61</v>
      </c>
      <c r="I233" s="44" t="s">
        <v>116</v>
      </c>
      <c r="J233" s="44" t="s">
        <v>13</v>
      </c>
      <c r="K233" s="44" t="s">
        <v>117</v>
      </c>
      <c r="L233" s="40">
        <v>1119</v>
      </c>
      <c r="M233" s="41">
        <v>41339</v>
      </c>
      <c r="N233" s="40" t="s">
        <v>110</v>
      </c>
      <c r="O233" s="42">
        <f t="shared" ref="O233:O266" si="10">O232</f>
        <v>42491</v>
      </c>
      <c r="P233" s="40">
        <v>24</v>
      </c>
      <c r="Q233" s="120">
        <f>'[3]AEP_OH_CS - test CSGS1MS'!G14</f>
        <v>18.781575060439135</v>
      </c>
      <c r="R233" s="120">
        <f>'[3]AEP_OH_CS - test CSGS1MS'!H14</f>
        <v>19.033539925330487</v>
      </c>
      <c r="S233" s="120">
        <f>'[3]AEP_OH_CS - test CSGS1MS'!I14</f>
        <v>20.32688847210548</v>
      </c>
      <c r="T233" s="120">
        <f>'[3]AEP_OH_CS - test CSGS1MS'!J14</f>
        <v>21.533604229074889</v>
      </c>
      <c r="U233" s="120">
        <f>'[3]AEP_OH_CS - test CSGS1MS'!K14</f>
        <v>23.193152228596983</v>
      </c>
      <c r="V233" s="91"/>
    </row>
    <row r="234" spans="1:22" x14ac:dyDescent="0.2">
      <c r="A234" s="48">
        <f t="shared" si="9"/>
        <v>226</v>
      </c>
      <c r="B234" s="43">
        <v>7</v>
      </c>
      <c r="C234" s="43">
        <v>4</v>
      </c>
      <c r="D234" s="38" t="s">
        <v>387</v>
      </c>
      <c r="E234" s="44" t="s">
        <v>119</v>
      </c>
      <c r="F234" s="44" t="s">
        <v>18</v>
      </c>
      <c r="G234" s="44" t="s">
        <v>108</v>
      </c>
      <c r="H234" s="44" t="s">
        <v>61</v>
      </c>
      <c r="I234" s="44" t="s">
        <v>116</v>
      </c>
      <c r="J234" s="44" t="s">
        <v>19</v>
      </c>
      <c r="K234" s="44" t="s">
        <v>120</v>
      </c>
      <c r="L234" s="40">
        <v>1120</v>
      </c>
      <c r="M234" s="41">
        <v>41339</v>
      </c>
      <c r="N234" s="40" t="s">
        <v>110</v>
      </c>
      <c r="O234" s="42">
        <f t="shared" si="10"/>
        <v>42491</v>
      </c>
      <c r="P234" s="40">
        <v>24</v>
      </c>
      <c r="Q234" s="120">
        <f>'[3]AEP_OH_CS - test CSGS2UMS'!G14</f>
        <v>18.619053807420951</v>
      </c>
      <c r="R234" s="120">
        <f>'[3]AEP_OH_CS - test CSGS2UMS'!H14</f>
        <v>19.103014640132084</v>
      </c>
      <c r="S234" s="120">
        <f>'[3]AEP_OH_CS - test CSGS2UMS'!I14</f>
        <v>20.298009648530815</v>
      </c>
      <c r="T234" s="120">
        <f>'[3]AEP_OH_CS - test CSGS2UMS'!J14</f>
        <v>21.601248687879121</v>
      </c>
      <c r="U234" s="120">
        <f>'[3]AEP_OH_CS - test CSGS2UMS'!K14</f>
        <v>23.262639359980554</v>
      </c>
      <c r="V234" s="91"/>
    </row>
    <row r="235" spans="1:22" x14ac:dyDescent="0.2">
      <c r="A235" s="48">
        <f t="shared" si="9"/>
        <v>227</v>
      </c>
      <c r="B235" s="43">
        <v>7</v>
      </c>
      <c r="C235" s="43">
        <v>5</v>
      </c>
      <c r="D235" s="38" t="s">
        <v>388</v>
      </c>
      <c r="E235" s="44" t="s">
        <v>122</v>
      </c>
      <c r="F235" s="44" t="s">
        <v>18</v>
      </c>
      <c r="G235" s="44" t="s">
        <v>108</v>
      </c>
      <c r="H235" s="44" t="s">
        <v>61</v>
      </c>
      <c r="I235" s="44" t="s">
        <v>116</v>
      </c>
      <c r="J235" s="44" t="s">
        <v>14</v>
      </c>
      <c r="K235" s="44" t="s">
        <v>123</v>
      </c>
      <c r="L235" s="40">
        <v>1121</v>
      </c>
      <c r="M235" s="41">
        <v>41339</v>
      </c>
      <c r="N235" s="40" t="s">
        <v>110</v>
      </c>
      <c r="O235" s="42">
        <f t="shared" si="10"/>
        <v>42491</v>
      </c>
      <c r="P235" s="40">
        <v>24</v>
      </c>
      <c r="Q235" s="120">
        <f>'[3]AEP_OH_CS - test CSGS3UMS'!G14</f>
        <v>18.619053807420951</v>
      </c>
      <c r="R235" s="120">
        <f>'[3]AEP_OH_CS - test CSGS3UMS'!H14</f>
        <v>19.103014640132084</v>
      </c>
      <c r="S235" s="120">
        <f>'[3]AEP_OH_CS - test CSGS3UMS'!I14</f>
        <v>20.298009648530815</v>
      </c>
      <c r="T235" s="120">
        <f>'[3]AEP_OH_CS - test CSGS3UMS'!J14</f>
        <v>21.601248687879121</v>
      </c>
      <c r="U235" s="120">
        <f>'[3]AEP_OH_CS - test CSGS3UMS'!K14</f>
        <v>23.262639359980554</v>
      </c>
      <c r="V235" s="91"/>
    </row>
    <row r="236" spans="1:22" x14ac:dyDescent="0.2">
      <c r="A236" s="48">
        <f t="shared" si="9"/>
        <v>228</v>
      </c>
      <c r="B236" s="43">
        <v>7</v>
      </c>
      <c r="C236" s="43">
        <v>6</v>
      </c>
      <c r="D236" s="38" t="s">
        <v>389</v>
      </c>
      <c r="E236" s="44" t="s">
        <v>125</v>
      </c>
      <c r="F236" s="44" t="s">
        <v>23</v>
      </c>
      <c r="G236" s="44" t="s">
        <v>126</v>
      </c>
      <c r="H236" s="44" t="s">
        <v>127</v>
      </c>
      <c r="I236" s="44" t="s">
        <v>27</v>
      </c>
      <c r="J236" s="44" t="s">
        <v>28</v>
      </c>
      <c r="K236" s="44" t="s">
        <v>128</v>
      </c>
      <c r="L236" s="40">
        <v>1122</v>
      </c>
      <c r="M236" s="41">
        <v>41339</v>
      </c>
      <c r="N236" s="40" t="s">
        <v>110</v>
      </c>
      <c r="O236" s="42">
        <f t="shared" si="10"/>
        <v>42491</v>
      </c>
      <c r="P236" s="40">
        <v>24</v>
      </c>
      <c r="Q236" s="120">
        <f>'[3]Ameren RateZnIII LP DS2HHMS'!G14</f>
        <v>21.864479386722195</v>
      </c>
      <c r="R236" s="120">
        <f>'[3]Ameren RateZnIII LP DS2HHMS'!H14</f>
        <v>22.946860088441753</v>
      </c>
      <c r="S236" s="120">
        <f>'[3]Ameren RateZnIII LP DS2HHMS'!I14</f>
        <v>22.813077184978486</v>
      </c>
      <c r="T236" s="120">
        <f>'[3]Ameren RateZnIII LP DS2HHMS'!J14</f>
        <v>23.318020921764244</v>
      </c>
      <c r="U236" s="120">
        <f>'[3]Ameren RateZnIII LP DS2HHMS'!K14</f>
        <v>23.777876057592835</v>
      </c>
      <c r="V236" s="91"/>
    </row>
    <row r="237" spans="1:22" x14ac:dyDescent="0.2">
      <c r="A237" s="48">
        <f t="shared" si="9"/>
        <v>229</v>
      </c>
      <c r="B237" s="43">
        <v>7</v>
      </c>
      <c r="C237" s="43">
        <v>7</v>
      </c>
      <c r="D237" s="38" t="s">
        <v>390</v>
      </c>
      <c r="E237" s="44" t="s">
        <v>130</v>
      </c>
      <c r="F237" s="44" t="s">
        <v>37</v>
      </c>
      <c r="G237" s="44" t="s">
        <v>108</v>
      </c>
      <c r="H237" s="44" t="s">
        <v>38</v>
      </c>
      <c r="I237" s="44" t="s">
        <v>38</v>
      </c>
      <c r="J237" s="44" t="s">
        <v>40</v>
      </c>
      <c r="K237" s="44" t="s">
        <v>123</v>
      </c>
      <c r="L237" s="40">
        <v>1124</v>
      </c>
      <c r="M237" s="41">
        <v>41339</v>
      </c>
      <c r="N237" s="40" t="s">
        <v>110</v>
      </c>
      <c r="O237" s="42">
        <f t="shared" si="10"/>
        <v>42491</v>
      </c>
      <c r="P237" s="40">
        <v>24</v>
      </c>
      <c r="Q237" s="120">
        <f>'[3]BGE LP_GLMS'!G14</f>
        <v>32.344943098548363</v>
      </c>
      <c r="R237" s="120">
        <f>'[3]BGE LP_GLMS'!H14</f>
        <v>34.26154563107562</v>
      </c>
      <c r="S237" s="120">
        <f>'[3]BGE LP_GLMS'!I14</f>
        <v>33.584777502926954</v>
      </c>
      <c r="T237" s="120">
        <f>'[3]BGE LP_GLMS'!J14</f>
        <v>34.259093873852621</v>
      </c>
      <c r="U237" s="120">
        <f>'[3]BGE LP_GLMS'!K14</f>
        <v>34.77273208218331</v>
      </c>
      <c r="V237" s="91"/>
    </row>
    <row r="238" spans="1:22" x14ac:dyDescent="0.2">
      <c r="A238" s="48">
        <f t="shared" si="9"/>
        <v>230</v>
      </c>
      <c r="B238" s="43">
        <v>7</v>
      </c>
      <c r="C238" s="43">
        <v>8</v>
      </c>
      <c r="D238" s="38" t="s">
        <v>391</v>
      </c>
      <c r="E238" s="44" t="s">
        <v>132</v>
      </c>
      <c r="F238" s="44" t="s">
        <v>37</v>
      </c>
      <c r="G238" s="44" t="s">
        <v>108</v>
      </c>
      <c r="H238" s="44" t="s">
        <v>38</v>
      </c>
      <c r="I238" s="44" t="s">
        <v>38</v>
      </c>
      <c r="J238" s="44" t="s">
        <v>39</v>
      </c>
      <c r="K238" s="44" t="s">
        <v>120</v>
      </c>
      <c r="L238" s="40">
        <v>1123</v>
      </c>
      <c r="M238" s="41">
        <v>41339</v>
      </c>
      <c r="N238" s="40" t="s">
        <v>110</v>
      </c>
      <c r="O238" s="42">
        <f t="shared" si="10"/>
        <v>42491</v>
      </c>
      <c r="P238" s="40">
        <v>24</v>
      </c>
      <c r="Q238" s="120">
        <f>'[3]BGE LP_GMS'!G14</f>
        <v>33.436034455975069</v>
      </c>
      <c r="R238" s="120">
        <f>'[3]BGE LP_GMS'!H14</f>
        <v>34.334307380102913</v>
      </c>
      <c r="S238" s="120">
        <f>'[3]BGE LP_GMS'!I14</f>
        <v>34.021208088262028</v>
      </c>
      <c r="T238" s="120">
        <f>'[3]BGE LP_GMS'!J14</f>
        <v>34.403160823125631</v>
      </c>
      <c r="U238" s="120">
        <f>'[3]BGE LP_GMS'!K14</f>
        <v>34.942316357973453</v>
      </c>
      <c r="V238" s="91"/>
    </row>
    <row r="239" spans="1:22" x14ac:dyDescent="0.2">
      <c r="A239" s="48">
        <f t="shared" si="9"/>
        <v>231</v>
      </c>
      <c r="B239" s="43">
        <v>7</v>
      </c>
      <c r="C239" s="43">
        <v>9</v>
      </c>
      <c r="D239" s="38" t="s">
        <v>392</v>
      </c>
      <c r="E239" s="44" t="s">
        <v>134</v>
      </c>
      <c r="F239" s="44" t="s">
        <v>37</v>
      </c>
      <c r="G239" s="44" t="s">
        <v>108</v>
      </c>
      <c r="H239" s="44" t="s">
        <v>38</v>
      </c>
      <c r="I239" s="44" t="s">
        <v>38</v>
      </c>
      <c r="J239" s="44" t="s">
        <v>6</v>
      </c>
      <c r="K239" s="44" t="s">
        <v>117</v>
      </c>
      <c r="L239" s="40">
        <v>1125</v>
      </c>
      <c r="M239" s="41">
        <v>41339</v>
      </c>
      <c r="N239" s="40" t="s">
        <v>110</v>
      </c>
      <c r="O239" s="42">
        <f t="shared" si="10"/>
        <v>42491</v>
      </c>
      <c r="P239" s="40">
        <v>24</v>
      </c>
      <c r="Q239" s="120">
        <f>'[3]BGE LP_GSMS'!G14</f>
        <v>33.944551513919109</v>
      </c>
      <c r="R239" s="120">
        <f>'[3]BGE LP_GSMS'!H14</f>
        <v>35.273663658718178</v>
      </c>
      <c r="S239" s="120">
        <f>'[3]BGE LP_GSMS'!I14</f>
        <v>34.813801598960424</v>
      </c>
      <c r="T239" s="120">
        <f>'[3]BGE LP_GSMS'!J14</f>
        <v>35.219643768318896</v>
      </c>
      <c r="U239" s="120">
        <f>'[3]BGE LP_GSMS'!K14</f>
        <v>35.717754478837278</v>
      </c>
      <c r="V239" s="91"/>
    </row>
    <row r="240" spans="1:22" x14ac:dyDescent="0.2">
      <c r="A240" s="48">
        <f t="shared" si="9"/>
        <v>232</v>
      </c>
      <c r="B240" s="43">
        <v>7</v>
      </c>
      <c r="C240" s="43">
        <v>10</v>
      </c>
      <c r="D240" s="38" t="s">
        <v>393</v>
      </c>
      <c r="E240" s="44" t="s">
        <v>136</v>
      </c>
      <c r="F240" s="44" t="s">
        <v>23</v>
      </c>
      <c r="G240" s="44" t="s">
        <v>108</v>
      </c>
      <c r="H240" s="44" t="s">
        <v>137</v>
      </c>
      <c r="I240" s="44" t="s">
        <v>24</v>
      </c>
      <c r="J240" s="44" t="s">
        <v>25</v>
      </c>
      <c r="K240" s="44" t="s">
        <v>138</v>
      </c>
      <c r="L240" s="40">
        <v>1126</v>
      </c>
      <c r="M240" s="41">
        <v>41339</v>
      </c>
      <c r="N240" s="40" t="s">
        <v>110</v>
      </c>
      <c r="O240" s="42">
        <f t="shared" si="10"/>
        <v>42491</v>
      </c>
      <c r="P240" s="40">
        <v>24</v>
      </c>
      <c r="Q240" s="120">
        <f>'[3]ComEd - test LP_28MS'!G14</f>
        <v>27.668479838678564</v>
      </c>
      <c r="R240" s="120">
        <f>'[3]ComEd - test LP_28MS'!H14</f>
        <v>28.310657652910578</v>
      </c>
      <c r="S240" s="120">
        <f>'[3]ComEd - test LP_28MS'!I14</f>
        <v>29.599533364720347</v>
      </c>
      <c r="T240" s="120">
        <f>'[3]ComEd - test LP_28MS'!J14</f>
        <v>30.969728730341885</v>
      </c>
      <c r="U240" s="120">
        <f>'[3]ComEd - test LP_28MS'!K14</f>
        <v>34.130277165031863</v>
      </c>
      <c r="V240" s="91"/>
    </row>
    <row r="241" spans="1:22" x14ac:dyDescent="0.2">
      <c r="A241" s="48">
        <f t="shared" si="9"/>
        <v>233</v>
      </c>
      <c r="B241" s="43">
        <v>7</v>
      </c>
      <c r="C241" s="43">
        <v>11</v>
      </c>
      <c r="D241" s="38" t="s">
        <v>394</v>
      </c>
      <c r="E241" s="44" t="s">
        <v>140</v>
      </c>
      <c r="F241" s="44" t="s">
        <v>23</v>
      </c>
      <c r="G241" s="44" t="s">
        <v>108</v>
      </c>
      <c r="H241" s="44" t="s">
        <v>137</v>
      </c>
      <c r="I241" s="44" t="s">
        <v>24</v>
      </c>
      <c r="J241" s="44" t="s">
        <v>26</v>
      </c>
      <c r="K241" s="44" t="s">
        <v>141</v>
      </c>
      <c r="L241" s="40">
        <v>1127</v>
      </c>
      <c r="M241" s="41">
        <v>41339</v>
      </c>
      <c r="N241" s="40" t="s">
        <v>110</v>
      </c>
      <c r="O241" s="42">
        <f t="shared" si="10"/>
        <v>42491</v>
      </c>
      <c r="P241" s="40">
        <v>24</v>
      </c>
      <c r="Q241" s="120">
        <f>'[3]ComEd - test LP_29MS'!G14</f>
        <v>26.753142488582156</v>
      </c>
      <c r="R241" s="120">
        <f>'[3]ComEd - test LP_29MS'!H14</f>
        <v>27.402168839873337</v>
      </c>
      <c r="S241" s="120">
        <f>'[3]ComEd - test LP_29MS'!I14</f>
        <v>28.682551193645647</v>
      </c>
      <c r="T241" s="120">
        <f>'[3]ComEd - test LP_29MS'!J14</f>
        <v>30.058935993389444</v>
      </c>
      <c r="U241" s="120">
        <f>'[3]ComEd - test LP_29MS'!K14</f>
        <v>33.218619534085995</v>
      </c>
      <c r="V241" s="91"/>
    </row>
    <row r="242" spans="1:22" x14ac:dyDescent="0.2">
      <c r="A242" s="48">
        <f t="shared" si="9"/>
        <v>234</v>
      </c>
      <c r="B242" s="43">
        <v>7</v>
      </c>
      <c r="C242" s="43">
        <v>12</v>
      </c>
      <c r="D242" s="38" t="s">
        <v>395</v>
      </c>
      <c r="E242" s="44" t="s">
        <v>143</v>
      </c>
      <c r="F242" s="44" t="s">
        <v>18</v>
      </c>
      <c r="G242" s="44" t="s">
        <v>108</v>
      </c>
      <c r="H242" s="44" t="s">
        <v>94</v>
      </c>
      <c r="I242" s="44" t="s">
        <v>144</v>
      </c>
      <c r="J242" s="44" t="s">
        <v>20</v>
      </c>
      <c r="K242" s="44" t="s">
        <v>145</v>
      </c>
      <c r="L242" s="40">
        <v>1128</v>
      </c>
      <c r="M242" s="41">
        <v>41339</v>
      </c>
      <c r="N242" s="40" t="s">
        <v>110</v>
      </c>
      <c r="O242" s="42">
        <f t="shared" si="10"/>
        <v>42491</v>
      </c>
      <c r="P242" s="40">
        <v>24</v>
      </c>
      <c r="Q242" s="120">
        <f>[3]DAY_RC_843MS!G14</f>
        <v>19.677995199798499</v>
      </c>
      <c r="R242" s="120">
        <f>[3]DAY_RC_843MS!H14</f>
        <v>18.202135138411776</v>
      </c>
      <c r="S242" s="120">
        <f>[3]DAY_RC_843MS!I14</f>
        <v>20.041052304807327</v>
      </c>
      <c r="T242" s="120">
        <f>[3]DAY_RC_843MS!J14</f>
        <v>20.638996201614422</v>
      </c>
      <c r="U242" s="120">
        <f>[3]DAY_RC_843MS!K14</f>
        <v>22.236453753315274</v>
      </c>
      <c r="V242" s="91"/>
    </row>
    <row r="243" spans="1:22" x14ac:dyDescent="0.2">
      <c r="A243" s="48">
        <f t="shared" si="9"/>
        <v>235</v>
      </c>
      <c r="B243" s="43">
        <v>7</v>
      </c>
      <c r="C243" s="43">
        <v>13</v>
      </c>
      <c r="D243" s="38" t="s">
        <v>396</v>
      </c>
      <c r="E243" s="44" t="s">
        <v>147</v>
      </c>
      <c r="F243" s="44" t="s">
        <v>37</v>
      </c>
      <c r="G243" s="44" t="s">
        <v>108</v>
      </c>
      <c r="H243" s="44" t="s">
        <v>41</v>
      </c>
      <c r="I243" s="44" t="s">
        <v>41</v>
      </c>
      <c r="J243" s="44" t="s">
        <v>6</v>
      </c>
      <c r="K243" s="44" t="s">
        <v>128</v>
      </c>
      <c r="L243" s="40">
        <v>1129</v>
      </c>
      <c r="M243" s="41">
        <v>41339</v>
      </c>
      <c r="N243" s="40" t="s">
        <v>110</v>
      </c>
      <c r="O243" s="42">
        <f t="shared" si="10"/>
        <v>42491</v>
      </c>
      <c r="P243" s="40">
        <v>24</v>
      </c>
      <c r="Q243" s="120">
        <f>'[3]Delmarva MD LP_MDGS_MMS'!G14</f>
        <v>35.558141586190388</v>
      </c>
      <c r="R243" s="120">
        <f>'[3]Delmarva MD LP_MDGS_MMS'!H14</f>
        <v>37.827500981293312</v>
      </c>
      <c r="S243" s="120">
        <f>'[3]Delmarva MD LP_MDGS_MMS'!I14</f>
        <v>36.954153560480748</v>
      </c>
      <c r="T243" s="120">
        <f>'[3]Delmarva MD LP_MDGS_MMS'!J14</f>
        <v>37.815250109126247</v>
      </c>
      <c r="U243" s="120">
        <f>'[3]Delmarva MD LP_MDGS_MMS'!K14</f>
        <v>40.731055572624904</v>
      </c>
      <c r="V243" s="91"/>
    </row>
    <row r="244" spans="1:22" x14ac:dyDescent="0.2">
      <c r="A244" s="48">
        <f t="shared" si="9"/>
        <v>236</v>
      </c>
      <c r="B244" s="43">
        <v>7</v>
      </c>
      <c r="C244" s="43">
        <v>14</v>
      </c>
      <c r="D244" s="38" t="s">
        <v>397</v>
      </c>
      <c r="E244" s="44" t="s">
        <v>149</v>
      </c>
      <c r="F244" s="44" t="s">
        <v>5</v>
      </c>
      <c r="G244" s="44" t="s">
        <v>108</v>
      </c>
      <c r="H244" s="44" t="s">
        <v>46</v>
      </c>
      <c r="I244" s="44" t="s">
        <v>46</v>
      </c>
      <c r="J244" s="44" t="s">
        <v>6</v>
      </c>
      <c r="K244" s="44" t="s">
        <v>128</v>
      </c>
      <c r="L244" s="40">
        <v>1130</v>
      </c>
      <c r="M244" s="41">
        <v>41339</v>
      </c>
      <c r="N244" s="40" t="s">
        <v>110</v>
      </c>
      <c r="O244" s="42">
        <f t="shared" si="10"/>
        <v>42491</v>
      </c>
      <c r="P244" s="40">
        <v>24</v>
      </c>
      <c r="Q244" s="120">
        <f>'[3]DQE LP_GSGM_MMS'!G14</f>
        <v>30.6167485912441</v>
      </c>
      <c r="R244" s="120">
        <f>'[3]DQE LP_GSGM_MMS'!H14</f>
        <v>30.84936200154559</v>
      </c>
      <c r="S244" s="120">
        <f>'[3]DQE LP_GSGM_MMS'!I14</f>
        <v>32.291058184094716</v>
      </c>
      <c r="T244" s="120">
        <f>'[3]DQE LP_GSGM_MMS'!J14</f>
        <v>33.571189515877116</v>
      </c>
      <c r="U244" s="120">
        <f>'[3]DQE LP_GSGM_MMS'!K14</f>
        <v>35.272593669988161</v>
      </c>
      <c r="V244" s="91"/>
    </row>
    <row r="245" spans="1:22" x14ac:dyDescent="0.2">
      <c r="A245" s="48">
        <f t="shared" si="9"/>
        <v>237</v>
      </c>
      <c r="B245" s="43">
        <v>7</v>
      </c>
      <c r="C245" s="43">
        <v>15</v>
      </c>
      <c r="D245" s="38" t="s">
        <v>398</v>
      </c>
      <c r="E245" s="44" t="s">
        <v>151</v>
      </c>
      <c r="F245" s="44" t="s">
        <v>18</v>
      </c>
      <c r="G245" s="44" t="s">
        <v>108</v>
      </c>
      <c r="H245" s="44" t="s">
        <v>21</v>
      </c>
      <c r="I245" s="44" t="s">
        <v>152</v>
      </c>
      <c r="J245" s="44" t="s">
        <v>22</v>
      </c>
      <c r="K245" s="44" t="s">
        <v>128</v>
      </c>
      <c r="L245" s="40">
        <v>1131</v>
      </c>
      <c r="M245" s="41">
        <v>41339</v>
      </c>
      <c r="N245" s="40" t="s">
        <v>110</v>
      </c>
      <c r="O245" s="42">
        <f t="shared" si="10"/>
        <v>42491</v>
      </c>
      <c r="P245" s="40">
        <v>24</v>
      </c>
      <c r="Q245" s="120">
        <f>[3]Duke_OH_RC_DS01MS!G14</f>
        <v>17.703463778087631</v>
      </c>
      <c r="R245" s="120">
        <f>[3]Duke_OH_RC_DS01MS!H14</f>
        <v>18.160447160123827</v>
      </c>
      <c r="S245" s="120">
        <f>[3]Duke_OH_RC_DS01MS!I14</f>
        <v>19.283475823160945</v>
      </c>
      <c r="T245" s="120">
        <f>[3]Duke_OH_RC_DS01MS!J14</f>
        <v>20.533962424945759</v>
      </c>
      <c r="U245" s="120">
        <f>[3]Duke_OH_RC_DS01MS!K14</f>
        <v>21.939904152178407</v>
      </c>
      <c r="V245" s="91"/>
    </row>
    <row r="246" spans="1:22" x14ac:dyDescent="0.2">
      <c r="A246" s="48">
        <f t="shared" si="9"/>
        <v>238</v>
      </c>
      <c r="B246" s="43">
        <v>7</v>
      </c>
      <c r="C246" s="43">
        <v>16</v>
      </c>
      <c r="D246" s="38" t="s">
        <v>399</v>
      </c>
      <c r="E246" s="44" t="s">
        <v>154</v>
      </c>
      <c r="F246" s="44" t="s">
        <v>18</v>
      </c>
      <c r="G246" s="44" t="s">
        <v>108</v>
      </c>
      <c r="H246" s="44" t="s">
        <v>62</v>
      </c>
      <c r="I246" s="44" t="s">
        <v>155</v>
      </c>
      <c r="J246" s="44" t="s">
        <v>6</v>
      </c>
      <c r="K246" s="44" t="s">
        <v>128</v>
      </c>
      <c r="L246" s="40">
        <v>1132</v>
      </c>
      <c r="M246" s="41">
        <v>41339</v>
      </c>
      <c r="N246" s="40" t="s">
        <v>110</v>
      </c>
      <c r="O246" s="42">
        <f t="shared" si="10"/>
        <v>42491</v>
      </c>
      <c r="P246" s="40">
        <v>24</v>
      </c>
      <c r="Q246" s="120">
        <f>'[3]FE_OE - test RC_GSFMS'!G14</f>
        <v>24.920452217788</v>
      </c>
      <c r="R246" s="120">
        <f>'[3]FE_OE - test RC_GSFMS'!H14</f>
        <v>22.991631269624474</v>
      </c>
      <c r="S246" s="120">
        <f>'[3]FE_OE - test RC_GSFMS'!I14</f>
        <v>23.242489441063405</v>
      </c>
      <c r="T246" s="120">
        <f>'[3]FE_OE - test RC_GSFMS'!J14</f>
        <v>23.302251725869084</v>
      </c>
      <c r="U246" s="120">
        <f>'[3]FE_OE - test RC_GSFMS'!K14</f>
        <v>24.033558839284115</v>
      </c>
      <c r="V246" s="91"/>
    </row>
    <row r="247" spans="1:22" x14ac:dyDescent="0.2">
      <c r="A247" s="48">
        <f t="shared" si="9"/>
        <v>239</v>
      </c>
      <c r="B247" s="43">
        <v>7</v>
      </c>
      <c r="C247" s="43">
        <v>17</v>
      </c>
      <c r="D247" s="38" t="s">
        <v>400</v>
      </c>
      <c r="E247" s="44" t="s">
        <v>157</v>
      </c>
      <c r="F247" s="44" t="s">
        <v>29</v>
      </c>
      <c r="G247" s="44" t="s">
        <v>108</v>
      </c>
      <c r="H247" s="44" t="s">
        <v>33</v>
      </c>
      <c r="I247" s="44" t="s">
        <v>33</v>
      </c>
      <c r="J247" s="44" t="s">
        <v>7</v>
      </c>
      <c r="K247" s="44" t="s">
        <v>123</v>
      </c>
      <c r="L247" s="40">
        <v>1133</v>
      </c>
      <c r="M247" s="41">
        <v>41339</v>
      </c>
      <c r="N247" s="40" t="s">
        <v>110</v>
      </c>
      <c r="O247" s="42">
        <f t="shared" si="10"/>
        <v>42491</v>
      </c>
      <c r="P247" s="40">
        <v>24</v>
      </c>
      <c r="Q247" s="120">
        <f>'[3]JCPL LP_GSCLMS'!G14</f>
        <v>30.50531096808583</v>
      </c>
      <c r="R247" s="120">
        <f>'[3]JCPL LP_GSCLMS'!H14</f>
        <v>36.346784297834823</v>
      </c>
      <c r="S247" s="120">
        <f>'[3]JCPL LP_GSCLMS'!I14</f>
        <v>36.539072994513774</v>
      </c>
      <c r="T247" s="120">
        <f>'[3]JCPL LP_GSCLMS'!J14</f>
        <v>38.083918560306323</v>
      </c>
      <c r="U247" s="120">
        <f>'[3]JCPL LP_GSCLMS'!K14</f>
        <v>41.327597919779762</v>
      </c>
      <c r="V247" s="91"/>
    </row>
    <row r="248" spans="1:22" x14ac:dyDescent="0.2">
      <c r="A248" s="48">
        <f t="shared" si="9"/>
        <v>240</v>
      </c>
      <c r="B248" s="43">
        <v>7</v>
      </c>
      <c r="C248" s="43">
        <v>18</v>
      </c>
      <c r="D248" s="38" t="s">
        <v>401</v>
      </c>
      <c r="E248" s="44" t="s">
        <v>159</v>
      </c>
      <c r="F248" s="44" t="s">
        <v>29</v>
      </c>
      <c r="G248" s="44" t="s">
        <v>108</v>
      </c>
      <c r="H248" s="44" t="s">
        <v>33</v>
      </c>
      <c r="I248" s="44" t="s">
        <v>33</v>
      </c>
      <c r="J248" s="44" t="s">
        <v>8</v>
      </c>
      <c r="K248" s="44" t="s">
        <v>120</v>
      </c>
      <c r="L248" s="40">
        <v>1134</v>
      </c>
      <c r="M248" s="41">
        <v>41339</v>
      </c>
      <c r="N248" s="40" t="s">
        <v>110</v>
      </c>
      <c r="O248" s="42">
        <f t="shared" si="10"/>
        <v>42491</v>
      </c>
      <c r="P248" s="40">
        <v>24</v>
      </c>
      <c r="Q248" s="120">
        <f>'[3]JCPL LP_GSCMMS'!G14</f>
        <v>34.382182977941127</v>
      </c>
      <c r="R248" s="120">
        <f>'[3]JCPL LP_GSCMMS'!H14</f>
        <v>37.647736316871104</v>
      </c>
      <c r="S248" s="120">
        <f>'[3]JCPL LP_GSCMMS'!I14</f>
        <v>38.682523426422755</v>
      </c>
      <c r="T248" s="120">
        <f>'[3]JCPL LP_GSCMMS'!J14</f>
        <v>39.202768784788077</v>
      </c>
      <c r="U248" s="120">
        <f>'[3]JCPL LP_GSCMMS'!K14</f>
        <v>42.317794156799835</v>
      </c>
      <c r="V248" s="91"/>
    </row>
    <row r="249" spans="1:22" x14ac:dyDescent="0.2">
      <c r="A249" s="48">
        <f t="shared" si="9"/>
        <v>241</v>
      </c>
      <c r="B249" s="43">
        <v>7</v>
      </c>
      <c r="C249" s="43">
        <v>19</v>
      </c>
      <c r="D249" s="38" t="s">
        <v>402</v>
      </c>
      <c r="E249" s="44" t="s">
        <v>161</v>
      </c>
      <c r="F249" s="44" t="s">
        <v>29</v>
      </c>
      <c r="G249" s="44" t="s">
        <v>108</v>
      </c>
      <c r="H249" s="44" t="s">
        <v>33</v>
      </c>
      <c r="I249" s="44" t="s">
        <v>33</v>
      </c>
      <c r="J249" s="44" t="s">
        <v>9</v>
      </c>
      <c r="K249" s="44" t="s">
        <v>117</v>
      </c>
      <c r="L249" s="40">
        <v>1135</v>
      </c>
      <c r="M249" s="41">
        <v>41339</v>
      </c>
      <c r="N249" s="40" t="s">
        <v>110</v>
      </c>
      <c r="O249" s="42">
        <f t="shared" si="10"/>
        <v>42491</v>
      </c>
      <c r="P249" s="40">
        <v>24</v>
      </c>
      <c r="Q249" s="120">
        <f>'[3]JCPL LP_GSCSMS'!G14</f>
        <v>34.382182977941127</v>
      </c>
      <c r="R249" s="120">
        <f>'[3]JCPL LP_GSCSMS'!H14</f>
        <v>37.647736316871104</v>
      </c>
      <c r="S249" s="120">
        <f>'[3]JCPL LP_GSCSMS'!I14</f>
        <v>38.682523426422755</v>
      </c>
      <c r="T249" s="120">
        <f>'[3]JCPL LP_GSCSMS'!J14</f>
        <v>39.202768784788077</v>
      </c>
      <c r="U249" s="120">
        <f>'[3]JCPL LP_GSCSMS'!K14</f>
        <v>42.317794156799835</v>
      </c>
      <c r="V249" s="91"/>
    </row>
    <row r="250" spans="1:22" x14ac:dyDescent="0.2">
      <c r="A250" s="48">
        <f t="shared" si="9"/>
        <v>242</v>
      </c>
      <c r="B250" s="43">
        <v>7</v>
      </c>
      <c r="C250" s="43">
        <v>20</v>
      </c>
      <c r="D250" s="38" t="s">
        <v>403</v>
      </c>
      <c r="E250" s="44" t="s">
        <v>163</v>
      </c>
      <c r="F250" s="44" t="s">
        <v>5</v>
      </c>
      <c r="G250" s="44" t="s">
        <v>108</v>
      </c>
      <c r="H250" s="44" t="s">
        <v>164</v>
      </c>
      <c r="I250" s="44" t="s">
        <v>165</v>
      </c>
      <c r="J250" s="44" t="s">
        <v>7</v>
      </c>
      <c r="K250" s="44" t="s">
        <v>123</v>
      </c>
      <c r="L250" s="40">
        <v>1137</v>
      </c>
      <c r="M250" s="41">
        <v>41339</v>
      </c>
      <c r="N250" s="40" t="s">
        <v>110</v>
      </c>
      <c r="O250" s="42">
        <f t="shared" si="10"/>
        <v>42491</v>
      </c>
      <c r="P250" s="40">
        <v>24</v>
      </c>
      <c r="Q250" s="120">
        <f>'[3]MetEd RC_GSLFMS'!G14</f>
        <v>13.150128681703059</v>
      </c>
      <c r="R250" s="120">
        <f>'[3]MetEd RC_GSLFMS'!H14</f>
        <v>19.278766016530604</v>
      </c>
      <c r="S250" s="120">
        <f>'[3]MetEd RC_GSLFMS'!I14</f>
        <v>18.378200357692222</v>
      </c>
      <c r="T250" s="120">
        <f>'[3]MetEd RC_GSLFMS'!J14</f>
        <v>20.044316341177971</v>
      </c>
      <c r="U250" s="120">
        <f>'[3]MetEd RC_GSLFMS'!K14</f>
        <v>21.362391985502992</v>
      </c>
      <c r="V250" s="91"/>
    </row>
    <row r="251" spans="1:22" x14ac:dyDescent="0.2">
      <c r="A251" s="48">
        <f t="shared" si="9"/>
        <v>243</v>
      </c>
      <c r="B251" s="43">
        <v>7</v>
      </c>
      <c r="C251" s="43">
        <v>21</v>
      </c>
      <c r="D251" s="38" t="s">
        <v>404</v>
      </c>
      <c r="E251" s="44" t="s">
        <v>167</v>
      </c>
      <c r="F251" s="44" t="s">
        <v>5</v>
      </c>
      <c r="G251" s="44" t="s">
        <v>108</v>
      </c>
      <c r="H251" s="44" t="s">
        <v>164</v>
      </c>
      <c r="I251" s="44" t="s">
        <v>165</v>
      </c>
      <c r="J251" s="44" t="s">
        <v>8</v>
      </c>
      <c r="K251" s="44" t="s">
        <v>120</v>
      </c>
      <c r="L251" s="40">
        <v>1136</v>
      </c>
      <c r="M251" s="41">
        <v>41339</v>
      </c>
      <c r="N251" s="40" t="s">
        <v>110</v>
      </c>
      <c r="O251" s="42">
        <f t="shared" si="10"/>
        <v>42491</v>
      </c>
      <c r="P251" s="40">
        <v>24</v>
      </c>
      <c r="Q251" s="120">
        <f>'[3]MetEd RC_GSDFMS'!G14</f>
        <v>14.41802577842803</v>
      </c>
      <c r="R251" s="120">
        <f>'[3]MetEd RC_GSDFMS'!H14</f>
        <v>20.439015710380509</v>
      </c>
      <c r="S251" s="120">
        <f>'[3]MetEd RC_GSDFMS'!I14</f>
        <v>19.607528553812504</v>
      </c>
      <c r="T251" s="120">
        <f>'[3]MetEd RC_GSDFMS'!J14</f>
        <v>21.229776173432661</v>
      </c>
      <c r="U251" s="120">
        <f>'[3]MetEd RC_GSDFMS'!K14</f>
        <v>22.52625078814296</v>
      </c>
      <c r="V251" s="91"/>
    </row>
    <row r="252" spans="1:22" x14ac:dyDescent="0.2">
      <c r="A252" s="48">
        <f t="shared" si="9"/>
        <v>244</v>
      </c>
      <c r="B252" s="43">
        <v>7</v>
      </c>
      <c r="C252" s="43">
        <v>22</v>
      </c>
      <c r="D252" s="38" t="s">
        <v>405</v>
      </c>
      <c r="E252" s="44" t="s">
        <v>169</v>
      </c>
      <c r="F252" s="44" t="s">
        <v>5</v>
      </c>
      <c r="G252" s="44" t="s">
        <v>108</v>
      </c>
      <c r="H252" s="44" t="s">
        <v>164</v>
      </c>
      <c r="I252" s="44" t="s">
        <v>165</v>
      </c>
      <c r="J252" s="44" t="s">
        <v>9</v>
      </c>
      <c r="K252" s="44" t="s">
        <v>117</v>
      </c>
      <c r="L252" s="40">
        <v>1138</v>
      </c>
      <c r="M252" s="41">
        <v>41339</v>
      </c>
      <c r="N252" s="40" t="s">
        <v>110</v>
      </c>
      <c r="O252" s="42">
        <f t="shared" si="10"/>
        <v>42491</v>
      </c>
      <c r="P252" s="40">
        <v>24</v>
      </c>
      <c r="Q252" s="120">
        <f>'[3]MetEd RC_GSSFMS'!G14</f>
        <v>14.875755966010216</v>
      </c>
      <c r="R252" s="120">
        <f>'[3]MetEd RC_GSSFMS'!H14</f>
        <v>20.534094092944514</v>
      </c>
      <c r="S252" s="120">
        <f>'[3]MetEd RC_GSSFMS'!I14</f>
        <v>19.817140277392358</v>
      </c>
      <c r="T252" s="120">
        <f>'[3]MetEd RC_GSSFMS'!J14</f>
        <v>21.297919152200688</v>
      </c>
      <c r="U252" s="120">
        <f>'[3]MetEd RC_GSSFMS'!K14</f>
        <v>22.544085553587372</v>
      </c>
      <c r="V252" s="91"/>
    </row>
    <row r="253" spans="1:22" x14ac:dyDescent="0.2">
      <c r="A253" s="48">
        <f t="shared" si="9"/>
        <v>245</v>
      </c>
      <c r="B253" s="43">
        <v>7</v>
      </c>
      <c r="C253" s="43">
        <v>23</v>
      </c>
      <c r="D253" s="38" t="s">
        <v>406</v>
      </c>
      <c r="E253" s="44" t="s">
        <v>171</v>
      </c>
      <c r="F253" s="44" t="s">
        <v>5</v>
      </c>
      <c r="G253" s="44" t="s">
        <v>108</v>
      </c>
      <c r="H253" s="44" t="s">
        <v>11</v>
      </c>
      <c r="I253" s="44" t="s">
        <v>11</v>
      </c>
      <c r="J253" s="44" t="s">
        <v>6</v>
      </c>
      <c r="K253" s="44" t="s">
        <v>128</v>
      </c>
      <c r="L253" s="40">
        <v>1139</v>
      </c>
      <c r="M253" s="41">
        <v>41339</v>
      </c>
      <c r="N253" s="40" t="s">
        <v>110</v>
      </c>
      <c r="O253" s="42">
        <f t="shared" si="10"/>
        <v>42491</v>
      </c>
      <c r="P253" s="40">
        <v>24</v>
      </c>
      <c r="Q253" s="120">
        <f>'[3]PECO LP_GSMS'!G14</f>
        <v>19.196733648612323</v>
      </c>
      <c r="R253" s="120">
        <f>'[3]PECO LP_GSMS'!H14</f>
        <v>24.759980482100662</v>
      </c>
      <c r="S253" s="120">
        <f>'[3]PECO LP_GSMS'!I14</f>
        <v>23.437371430597814</v>
      </c>
      <c r="T253" s="120">
        <f>'[3]PECO LP_GSMS'!J14</f>
        <v>25.103107344922162</v>
      </c>
      <c r="U253" s="120">
        <f>'[3]PECO LP_GSMS'!K14</f>
        <v>27.730855714856126</v>
      </c>
      <c r="V253" s="91"/>
    </row>
    <row r="254" spans="1:22" x14ac:dyDescent="0.2">
      <c r="A254" s="48">
        <f t="shared" si="9"/>
        <v>246</v>
      </c>
      <c r="B254" s="43">
        <v>7</v>
      </c>
      <c r="C254" s="43">
        <v>24</v>
      </c>
      <c r="D254" s="38" t="s">
        <v>407</v>
      </c>
      <c r="E254" s="44" t="s">
        <v>173</v>
      </c>
      <c r="F254" s="44" t="s">
        <v>5</v>
      </c>
      <c r="G254" s="44" t="s">
        <v>108</v>
      </c>
      <c r="H254" s="44" t="s">
        <v>10</v>
      </c>
      <c r="I254" s="44" t="s">
        <v>174</v>
      </c>
      <c r="J254" s="44" t="s">
        <v>7</v>
      </c>
      <c r="K254" s="44" t="s">
        <v>123</v>
      </c>
      <c r="L254" s="40">
        <v>1140</v>
      </c>
      <c r="M254" s="41">
        <v>41339</v>
      </c>
      <c r="N254" s="40" t="s">
        <v>110</v>
      </c>
      <c r="O254" s="42">
        <f t="shared" si="10"/>
        <v>42491</v>
      </c>
      <c r="P254" s="40">
        <v>24</v>
      </c>
      <c r="Q254" s="120">
        <f>'[3]Penelec RC_GSLFMS'!G14</f>
        <v>25.083818209758483</v>
      </c>
      <c r="R254" s="120">
        <f>'[3]Penelec RC_GSLFMS'!H14</f>
        <v>25.551062678953382</v>
      </c>
      <c r="S254" s="120">
        <f>'[3]Penelec RC_GSLFMS'!I14</f>
        <v>25.415660683955757</v>
      </c>
      <c r="T254" s="120">
        <f>'[3]Penelec RC_GSLFMS'!J14</f>
        <v>25.57622607136911</v>
      </c>
      <c r="U254" s="120">
        <f>'[3]Penelec RC_GSLFMS'!K14</f>
        <v>26.193877191288689</v>
      </c>
      <c r="V254" s="91"/>
    </row>
    <row r="255" spans="1:22" x14ac:dyDescent="0.2">
      <c r="A255" s="48">
        <f t="shared" si="9"/>
        <v>247</v>
      </c>
      <c r="B255" s="43">
        <v>7</v>
      </c>
      <c r="C255" s="43">
        <v>25</v>
      </c>
      <c r="D255" s="38" t="s">
        <v>408</v>
      </c>
      <c r="E255" s="44" t="s">
        <v>176</v>
      </c>
      <c r="F255" s="44" t="s">
        <v>5</v>
      </c>
      <c r="G255" s="44" t="s">
        <v>108</v>
      </c>
      <c r="H255" s="44" t="s">
        <v>10</v>
      </c>
      <c r="I255" s="44" t="s">
        <v>174</v>
      </c>
      <c r="J255" s="44" t="s">
        <v>8</v>
      </c>
      <c r="K255" s="44" t="s">
        <v>120</v>
      </c>
      <c r="L255" s="40">
        <v>1141</v>
      </c>
      <c r="M255" s="41">
        <v>41339</v>
      </c>
      <c r="N255" s="40" t="s">
        <v>110</v>
      </c>
      <c r="O255" s="42">
        <f t="shared" si="10"/>
        <v>42491</v>
      </c>
      <c r="P255" s="40">
        <v>24</v>
      </c>
      <c r="Q255" s="120">
        <f>'[3]Penelec RC_GSMFMS'!G14</f>
        <v>26.536745526852417</v>
      </c>
      <c r="R255" s="120">
        <f>'[3]Penelec RC_GSMFMS'!H14</f>
        <v>26.660068057720331</v>
      </c>
      <c r="S255" s="120">
        <f>'[3]Penelec RC_GSMFMS'!I14</f>
        <v>26.642848936209635</v>
      </c>
      <c r="T255" s="120">
        <f>'[3]Penelec RC_GSMFMS'!J14</f>
        <v>26.680109816598655</v>
      </c>
      <c r="U255" s="120">
        <f>'[3]Penelec RC_GSMFMS'!K14</f>
        <v>27.295727314886417</v>
      </c>
      <c r="V255" s="91"/>
    </row>
    <row r="256" spans="1:22" x14ac:dyDescent="0.2">
      <c r="A256" s="48">
        <f t="shared" si="9"/>
        <v>248</v>
      </c>
      <c r="B256" s="43">
        <v>7</v>
      </c>
      <c r="C256" s="43">
        <v>26</v>
      </c>
      <c r="D256" s="38" t="s">
        <v>409</v>
      </c>
      <c r="E256" s="44" t="s">
        <v>178</v>
      </c>
      <c r="F256" s="44" t="s">
        <v>5</v>
      </c>
      <c r="G256" s="44" t="s">
        <v>108</v>
      </c>
      <c r="H256" s="44" t="s">
        <v>10</v>
      </c>
      <c r="I256" s="44" t="s">
        <v>174</v>
      </c>
      <c r="J256" s="44" t="s">
        <v>9</v>
      </c>
      <c r="K256" s="44" t="s">
        <v>117</v>
      </c>
      <c r="L256" s="40">
        <v>1142</v>
      </c>
      <c r="M256" s="41">
        <v>41339</v>
      </c>
      <c r="N256" s="40" t="s">
        <v>110</v>
      </c>
      <c r="O256" s="42">
        <f t="shared" si="10"/>
        <v>42491</v>
      </c>
      <c r="P256" s="40">
        <v>24</v>
      </c>
      <c r="Q256" s="120">
        <f>'[3]Penelec RC_GSSFMS'!G14</f>
        <v>31.820352034723662</v>
      </c>
      <c r="R256" s="120">
        <f>'[3]Penelec RC_GSSFMS'!H14</f>
        <v>26.717200107143913</v>
      </c>
      <c r="S256" s="120">
        <f>'[3]Penelec RC_GSSFMS'!I14</f>
        <v>28.160773023596676</v>
      </c>
      <c r="T256" s="120">
        <f>'[3]Penelec RC_GSSFMS'!J14</f>
        <v>26.726559925676387</v>
      </c>
      <c r="U256" s="120">
        <f>'[3]Penelec RC_GSSFMS'!K14</f>
        <v>27.346613178934351</v>
      </c>
      <c r="V256" s="91"/>
    </row>
    <row r="257" spans="1:22" x14ac:dyDescent="0.2">
      <c r="A257" s="48">
        <f t="shared" si="9"/>
        <v>249</v>
      </c>
      <c r="B257" s="43">
        <v>7</v>
      </c>
      <c r="C257" s="43">
        <v>27</v>
      </c>
      <c r="D257" s="38" t="s">
        <v>410</v>
      </c>
      <c r="E257" s="44" t="s">
        <v>180</v>
      </c>
      <c r="F257" s="44" t="s">
        <v>5</v>
      </c>
      <c r="G257" s="44" t="s">
        <v>108</v>
      </c>
      <c r="H257" s="44" t="s">
        <v>91</v>
      </c>
      <c r="I257" s="44" t="s">
        <v>181</v>
      </c>
      <c r="J257" s="44" t="s">
        <v>6</v>
      </c>
      <c r="K257" s="44" t="s">
        <v>128</v>
      </c>
      <c r="L257" s="40">
        <v>1143</v>
      </c>
      <c r="M257" s="41">
        <v>41339</v>
      </c>
      <c r="N257" s="40" t="s">
        <v>110</v>
      </c>
      <c r="O257" s="42">
        <f t="shared" si="10"/>
        <v>42491</v>
      </c>
      <c r="P257" s="40">
        <v>24</v>
      </c>
      <c r="Q257" s="120">
        <f>'[3]Penn Power RC_GMDMS'!G14</f>
        <v>36.323361016722991</v>
      </c>
      <c r="R257" s="120">
        <f>'[3]Penn Power RC_GMDMS'!H14</f>
        <v>34.01645018795309</v>
      </c>
      <c r="S257" s="120">
        <f>'[3]Penn Power RC_GMDMS'!I14</f>
        <v>34.435162777169843</v>
      </c>
      <c r="T257" s="120">
        <f>'[3]Penn Power RC_GMDMS'!J14</f>
        <v>34.360484554744978</v>
      </c>
      <c r="U257" s="120">
        <f>'[3]Penn Power RC_GMDMS'!K14</f>
        <v>35.13764642764874</v>
      </c>
      <c r="V257" s="91"/>
    </row>
    <row r="258" spans="1:22" x14ac:dyDescent="0.2">
      <c r="A258" s="48">
        <f t="shared" si="9"/>
        <v>250</v>
      </c>
      <c r="B258" s="43">
        <v>7</v>
      </c>
      <c r="C258" s="43">
        <v>28</v>
      </c>
      <c r="D258" s="38" t="s">
        <v>411</v>
      </c>
      <c r="E258" s="44" t="s">
        <v>183</v>
      </c>
      <c r="F258" s="44" t="s">
        <v>37</v>
      </c>
      <c r="G258" s="44" t="s">
        <v>108</v>
      </c>
      <c r="H258" s="44" t="s">
        <v>42</v>
      </c>
      <c r="I258" s="44" t="s">
        <v>42</v>
      </c>
      <c r="J258" s="44" t="s">
        <v>6</v>
      </c>
      <c r="K258" s="44" t="s">
        <v>128</v>
      </c>
      <c r="L258" s="40">
        <v>1144</v>
      </c>
      <c r="M258" s="41">
        <v>41339</v>
      </c>
      <c r="N258" s="40" t="s">
        <v>110</v>
      </c>
      <c r="O258" s="42">
        <f t="shared" si="10"/>
        <v>42491</v>
      </c>
      <c r="P258" s="40">
        <v>24</v>
      </c>
      <c r="Q258" s="120">
        <f>'[3]PEPCO MD LP_MDNDMS'!G14</f>
        <v>35.243307837527233</v>
      </c>
      <c r="R258" s="120">
        <f>'[3]PEPCO MD LP_MDNDMS'!H14</f>
        <v>34.906640298455727</v>
      </c>
      <c r="S258" s="120">
        <f>'[3]PEPCO MD LP_MDNDMS'!I14</f>
        <v>34.911764045762382</v>
      </c>
      <c r="T258" s="120">
        <f>'[3]PEPCO MD LP_MDNDMS'!J14</f>
        <v>34.855381554840704</v>
      </c>
      <c r="U258" s="120">
        <f>'[3]PEPCO MD LP_MDNDMS'!K14</f>
        <v>35.252384879687568</v>
      </c>
      <c r="V258" s="91"/>
    </row>
    <row r="259" spans="1:22" x14ac:dyDescent="0.2">
      <c r="A259" s="48">
        <f t="shared" si="9"/>
        <v>251</v>
      </c>
      <c r="B259" s="43">
        <v>7</v>
      </c>
      <c r="C259" s="43">
        <v>29</v>
      </c>
      <c r="D259" s="38" t="s">
        <v>412</v>
      </c>
      <c r="E259" s="44" t="s">
        <v>185</v>
      </c>
      <c r="F259" s="44" t="s">
        <v>37</v>
      </c>
      <c r="G259" s="44" t="s">
        <v>108</v>
      </c>
      <c r="H259" s="44" t="s">
        <v>42</v>
      </c>
      <c r="I259" s="44" t="s">
        <v>42</v>
      </c>
      <c r="J259" s="44" t="s">
        <v>43</v>
      </c>
      <c r="K259" s="44" t="s">
        <v>186</v>
      </c>
      <c r="L259" s="40">
        <v>1145</v>
      </c>
      <c r="M259" s="41">
        <v>41339</v>
      </c>
      <c r="N259" s="40" t="s">
        <v>110</v>
      </c>
      <c r="O259" s="42">
        <f t="shared" si="10"/>
        <v>42491</v>
      </c>
      <c r="P259" s="40">
        <v>24</v>
      </c>
      <c r="Q259" s="120">
        <f>'[3]PEPCO MD LP_MMGTL2AMS'!G14</f>
        <v>32.422418740407089</v>
      </c>
      <c r="R259" s="120">
        <f>'[3]PEPCO MD LP_MMGTL2AMS'!H14</f>
        <v>33.858589907471092</v>
      </c>
      <c r="S259" s="120">
        <f>'[3]PEPCO MD LP_MMGTL2AMS'!I14</f>
        <v>33.285178757604079</v>
      </c>
      <c r="T259" s="120">
        <f>'[3]PEPCO MD LP_MMGTL2AMS'!J14</f>
        <v>33.803113561483833</v>
      </c>
      <c r="U259" s="120">
        <f>'[3]PEPCO MD LP_MMGTL2AMS'!K14</f>
        <v>34.178621220504574</v>
      </c>
      <c r="V259" s="91"/>
    </row>
    <row r="260" spans="1:22" x14ac:dyDescent="0.2">
      <c r="A260" s="48">
        <f t="shared" si="9"/>
        <v>252</v>
      </c>
      <c r="B260" s="43">
        <v>7</v>
      </c>
      <c r="C260" s="43">
        <v>30</v>
      </c>
      <c r="D260" s="38" t="s">
        <v>413</v>
      </c>
      <c r="E260" s="44" t="s">
        <v>188</v>
      </c>
      <c r="F260" s="44" t="s">
        <v>37</v>
      </c>
      <c r="G260" s="44" t="s">
        <v>108</v>
      </c>
      <c r="H260" s="44" t="s">
        <v>42</v>
      </c>
      <c r="I260" s="44" t="s">
        <v>42</v>
      </c>
      <c r="J260" s="44" t="s">
        <v>44</v>
      </c>
      <c r="K260" s="44" t="s">
        <v>44</v>
      </c>
      <c r="L260" s="40">
        <v>1146</v>
      </c>
      <c r="M260" s="41">
        <v>41339</v>
      </c>
      <c r="N260" s="40" t="s">
        <v>110</v>
      </c>
      <c r="O260" s="42">
        <f t="shared" si="10"/>
        <v>42491</v>
      </c>
      <c r="P260" s="40">
        <v>24</v>
      </c>
      <c r="Q260" s="120">
        <f>'[3]PEPCO MD RC_3T7MS'!G14</f>
        <v>34.88656057777191</v>
      </c>
      <c r="R260" s="120">
        <f>'[3]PEPCO MD RC_3T7MS'!H14</f>
        <v>34.668439797877156</v>
      </c>
      <c r="S260" s="120">
        <f>'[3]PEPCO MD RC_3T7MS'!I14</f>
        <v>34.660773627708494</v>
      </c>
      <c r="T260" s="120">
        <f>'[3]PEPCO MD RC_3T7MS'!J14</f>
        <v>34.746922590563557</v>
      </c>
      <c r="U260" s="120">
        <f>'[3]PEPCO MD RC_3T7MS'!K14</f>
        <v>35.187492986754336</v>
      </c>
      <c r="V260" s="91"/>
    </row>
    <row r="261" spans="1:22" x14ac:dyDescent="0.2">
      <c r="A261" s="48">
        <f t="shared" si="9"/>
        <v>253</v>
      </c>
      <c r="B261" s="43">
        <v>7</v>
      </c>
      <c r="C261" s="43">
        <v>31</v>
      </c>
      <c r="D261" s="38" t="s">
        <v>414</v>
      </c>
      <c r="E261" s="44" t="s">
        <v>190</v>
      </c>
      <c r="F261" s="44" t="s">
        <v>37</v>
      </c>
      <c r="G261" s="44" t="s">
        <v>108</v>
      </c>
      <c r="H261" s="44" t="s">
        <v>45</v>
      </c>
      <c r="I261" s="44" t="s">
        <v>45</v>
      </c>
      <c r="J261" s="44" t="s">
        <v>6</v>
      </c>
      <c r="K261" s="44" t="s">
        <v>128</v>
      </c>
      <c r="L261" s="40">
        <v>1147</v>
      </c>
      <c r="M261" s="41">
        <v>41339</v>
      </c>
      <c r="N261" s="40" t="s">
        <v>110</v>
      </c>
      <c r="O261" s="42">
        <f t="shared" si="10"/>
        <v>42491</v>
      </c>
      <c r="P261" s="40">
        <v>24</v>
      </c>
      <c r="Q261" s="120">
        <f>'[3]Potomac Edison LP_GSCM_MMS'!G14</f>
        <v>27.659537080712408</v>
      </c>
      <c r="R261" s="120">
        <f>'[3]Potomac Edison LP_GSCM_MMS'!H14</f>
        <v>26.238019035300653</v>
      </c>
      <c r="S261" s="120">
        <f>'[3]Potomac Edison LP_GSCM_MMS'!I14</f>
        <v>28.426548798255325</v>
      </c>
      <c r="T261" s="120">
        <f>'[3]Potomac Edison LP_GSCM_MMS'!J14</f>
        <v>29.269377580060535</v>
      </c>
      <c r="U261" s="120">
        <f>'[3]Potomac Edison LP_GSCM_MMS'!K14</f>
        <v>31.325462086530134</v>
      </c>
      <c r="V261" s="91"/>
    </row>
    <row r="262" spans="1:22" x14ac:dyDescent="0.2">
      <c r="A262" s="48">
        <f t="shared" si="9"/>
        <v>254</v>
      </c>
      <c r="B262" s="43">
        <v>7</v>
      </c>
      <c r="C262" s="43">
        <v>32</v>
      </c>
      <c r="D262" s="38" t="s">
        <v>415</v>
      </c>
      <c r="E262" s="44" t="s">
        <v>192</v>
      </c>
      <c r="F262" s="44" t="s">
        <v>5</v>
      </c>
      <c r="G262" s="44" t="s">
        <v>108</v>
      </c>
      <c r="H262" s="44" t="s">
        <v>12</v>
      </c>
      <c r="I262" s="44" t="s">
        <v>12</v>
      </c>
      <c r="J262" s="44" t="s">
        <v>13</v>
      </c>
      <c r="K262" s="44" t="s">
        <v>117</v>
      </c>
      <c r="L262" s="40">
        <v>1148</v>
      </c>
      <c r="M262" s="41">
        <v>41339</v>
      </c>
      <c r="N262" s="40" t="s">
        <v>110</v>
      </c>
      <c r="O262" s="42">
        <f t="shared" si="10"/>
        <v>42491</v>
      </c>
      <c r="P262" s="40">
        <v>24</v>
      </c>
      <c r="Q262" s="120">
        <f>[3]PPL_RCGS1MS!G14</f>
        <v>24.219088990736523</v>
      </c>
      <c r="R262" s="120">
        <f>[3]PPL_RCGS1MS!H14</f>
        <v>28.21319691514687</v>
      </c>
      <c r="S262" s="120">
        <f>[3]PPL_RCGS1MS!I14</f>
        <v>27.410397253594411</v>
      </c>
      <c r="T262" s="120">
        <f>[3]PPL_RCGS1MS!J14</f>
        <v>28.490282120132569</v>
      </c>
      <c r="U262" s="120">
        <f>[3]PPL_RCGS1MS!K14</f>
        <v>28.997221297656502</v>
      </c>
      <c r="V262" s="91"/>
    </row>
    <row r="263" spans="1:22" x14ac:dyDescent="0.2">
      <c r="A263" s="48">
        <f t="shared" si="9"/>
        <v>255</v>
      </c>
      <c r="B263" s="43">
        <v>7</v>
      </c>
      <c r="C263" s="43">
        <v>33</v>
      </c>
      <c r="D263" s="38" t="s">
        <v>416</v>
      </c>
      <c r="E263" s="44" t="s">
        <v>194</v>
      </c>
      <c r="F263" s="44" t="s">
        <v>5</v>
      </c>
      <c r="G263" s="44" t="s">
        <v>108</v>
      </c>
      <c r="H263" s="44" t="s">
        <v>12</v>
      </c>
      <c r="I263" s="44" t="s">
        <v>12</v>
      </c>
      <c r="J263" s="44" t="s">
        <v>14</v>
      </c>
      <c r="K263" s="44" t="s">
        <v>123</v>
      </c>
      <c r="L263" s="40">
        <v>1149</v>
      </c>
      <c r="M263" s="41">
        <v>41339</v>
      </c>
      <c r="N263" s="40" t="s">
        <v>110</v>
      </c>
      <c r="O263" s="42">
        <f t="shared" si="10"/>
        <v>42491</v>
      </c>
      <c r="P263" s="40">
        <v>24</v>
      </c>
      <c r="Q263" s="120">
        <f>[3]PPL_RCGS3MS!G14</f>
        <v>23.088827262576167</v>
      </c>
      <c r="R263" s="120">
        <f>[3]PPL_RCGS3MS!H14</f>
        <v>28.05390049693991</v>
      </c>
      <c r="S263" s="120">
        <f>[3]PPL_RCGS3MS!I14</f>
        <v>26.898524768498628</v>
      </c>
      <c r="T263" s="120">
        <f>[3]PPL_RCGS3MS!J14</f>
        <v>28.36454015058214</v>
      </c>
      <c r="U263" s="120">
        <f>[3]PPL_RCGS3MS!K14</f>
        <v>28.960949155978973</v>
      </c>
      <c r="V263" s="91"/>
    </row>
    <row r="264" spans="1:22" x14ac:dyDescent="0.2">
      <c r="A264" s="48">
        <f t="shared" si="9"/>
        <v>256</v>
      </c>
      <c r="B264" s="43">
        <v>7</v>
      </c>
      <c r="C264" s="43">
        <v>34</v>
      </c>
      <c r="D264" s="38" t="s">
        <v>417</v>
      </c>
      <c r="E264" s="44" t="s">
        <v>196</v>
      </c>
      <c r="F264" s="44" t="s">
        <v>29</v>
      </c>
      <c r="G264" s="44" t="s">
        <v>108</v>
      </c>
      <c r="H264" s="44" t="s">
        <v>34</v>
      </c>
      <c r="I264" s="44" t="s">
        <v>34</v>
      </c>
      <c r="J264" s="44" t="s">
        <v>35</v>
      </c>
      <c r="K264" s="44" t="s">
        <v>197</v>
      </c>
      <c r="L264" s="40">
        <v>1150</v>
      </c>
      <c r="M264" s="41">
        <v>41339</v>
      </c>
      <c r="N264" s="40" t="s">
        <v>110</v>
      </c>
      <c r="O264" s="42">
        <f t="shared" si="10"/>
        <v>42491</v>
      </c>
      <c r="P264" s="40">
        <v>24</v>
      </c>
      <c r="Q264" s="120">
        <f>'[3]PSEG LP_GLP_MMS'!G14</f>
        <v>49.730871861250385</v>
      </c>
      <c r="R264" s="120">
        <f>'[3]PSEG LP_GLP_MMS'!H14</f>
        <v>56.313047561352988</v>
      </c>
      <c r="S264" s="120">
        <f>'[3]PSEG LP_GLP_MMS'!I14</f>
        <v>55.658164476413148</v>
      </c>
      <c r="T264" s="120">
        <f>'[3]PSEG LP_GLP_MMS'!J14</f>
        <v>57.521941551962406</v>
      </c>
      <c r="U264" s="120">
        <f>'[3]PSEG LP_GLP_MMS'!K14</f>
        <v>58.639224063888918</v>
      </c>
      <c r="V264" s="91"/>
    </row>
    <row r="265" spans="1:22" x14ac:dyDescent="0.2">
      <c r="A265" s="48">
        <f t="shared" si="9"/>
        <v>257</v>
      </c>
      <c r="B265" s="43">
        <v>7</v>
      </c>
      <c r="C265" s="43">
        <v>35</v>
      </c>
      <c r="D265" s="38" t="s">
        <v>418</v>
      </c>
      <c r="E265" s="44" t="s">
        <v>199</v>
      </c>
      <c r="F265" s="44" t="s">
        <v>29</v>
      </c>
      <c r="G265" s="44" t="s">
        <v>108</v>
      </c>
      <c r="H265" s="44" t="s">
        <v>34</v>
      </c>
      <c r="I265" s="44" t="s">
        <v>34</v>
      </c>
      <c r="J265" s="44" t="s">
        <v>36</v>
      </c>
      <c r="K265" s="44" t="s">
        <v>200</v>
      </c>
      <c r="L265" s="40">
        <v>1151</v>
      </c>
      <c r="M265" s="41">
        <v>41339</v>
      </c>
      <c r="N265" s="40" t="s">
        <v>110</v>
      </c>
      <c r="O265" s="42">
        <f t="shared" si="10"/>
        <v>42491</v>
      </c>
      <c r="P265" s="40">
        <v>24</v>
      </c>
      <c r="Q265" s="120">
        <f>'[3]PSEG LP_LPLMS'!G14</f>
        <v>49.208904200355796</v>
      </c>
      <c r="R265" s="120">
        <f>'[3]PSEG LP_LPLMS'!H14</f>
        <v>55.679580383976308</v>
      </c>
      <c r="S265" s="120">
        <f>'[3]PSEG LP_LPLMS'!I14</f>
        <v>54.970222683441627</v>
      </c>
      <c r="T265" s="120">
        <f>'[3]PSEG LP_LPLMS'!J14</f>
        <v>56.797625010663204</v>
      </c>
      <c r="U265" s="120">
        <f>'[3]PSEG LP_LPLMS'!K14</f>
        <v>57.890911689022815</v>
      </c>
      <c r="V265" s="91"/>
    </row>
    <row r="266" spans="1:22" x14ac:dyDescent="0.2">
      <c r="A266" s="48">
        <f t="shared" si="9"/>
        <v>258</v>
      </c>
      <c r="B266" s="43">
        <v>7</v>
      </c>
      <c r="C266" s="43">
        <v>36</v>
      </c>
      <c r="D266" s="38" t="s">
        <v>419</v>
      </c>
      <c r="E266" s="44" t="s">
        <v>202</v>
      </c>
      <c r="F266" s="44" t="s">
        <v>5</v>
      </c>
      <c r="G266" s="44" t="s">
        <v>108</v>
      </c>
      <c r="H266" s="44" t="s">
        <v>15</v>
      </c>
      <c r="I266" s="44" t="s">
        <v>203</v>
      </c>
      <c r="J266" s="44" t="s">
        <v>16</v>
      </c>
      <c r="K266" s="44" t="s">
        <v>128</v>
      </c>
      <c r="L266" s="40">
        <v>1152</v>
      </c>
      <c r="M266" s="41">
        <v>41339</v>
      </c>
      <c r="N266" s="40" t="s">
        <v>110</v>
      </c>
      <c r="O266" s="42">
        <f t="shared" si="10"/>
        <v>42491</v>
      </c>
      <c r="P266" s="40">
        <v>24</v>
      </c>
      <c r="Q266" s="120">
        <f>'[3]West Penn Power LP_GSCMMS'!G14</f>
        <v>26.633679058054273</v>
      </c>
      <c r="R266" s="120">
        <f>'[3]West Penn Power LP_GSCMMS'!H14</f>
        <v>26.476433575145649</v>
      </c>
      <c r="S266" s="120">
        <f>'[3]West Penn Power LP_GSCMMS'!I14</f>
        <v>28.136500756035087</v>
      </c>
      <c r="T266" s="120">
        <f>'[3]West Penn Power LP_GSCMMS'!J14</f>
        <v>29.284851849868211</v>
      </c>
      <c r="U266" s="120">
        <f>'[3]West Penn Power LP_GSCMMS'!K14</f>
        <v>31.087821314517239</v>
      </c>
      <c r="V266" s="91"/>
    </row>
    <row r="267" spans="1:22" x14ac:dyDescent="0.2">
      <c r="A267" s="48">
        <f t="shared" ref="A267:A330" si="11">A266+1</f>
        <v>259</v>
      </c>
      <c r="B267" s="20"/>
      <c r="C267" s="20"/>
      <c r="D267" s="20"/>
      <c r="Q267" s="121"/>
      <c r="R267" s="121"/>
      <c r="S267" s="121"/>
      <c r="T267" s="121"/>
      <c r="U267" s="121"/>
    </row>
    <row r="268" spans="1:22" x14ac:dyDescent="0.2">
      <c r="A268" s="48">
        <f t="shared" si="11"/>
        <v>260</v>
      </c>
      <c r="B268" s="43">
        <v>8</v>
      </c>
      <c r="C268" s="43">
        <v>1</v>
      </c>
      <c r="D268" s="38" t="s">
        <v>420</v>
      </c>
      <c r="E268" s="44" t="s">
        <v>107</v>
      </c>
      <c r="F268" s="44" t="s">
        <v>29</v>
      </c>
      <c r="G268" s="44" t="s">
        <v>108</v>
      </c>
      <c r="H268" s="44" t="s">
        <v>30</v>
      </c>
      <c r="I268" s="44" t="s">
        <v>30</v>
      </c>
      <c r="J268" s="44" t="s">
        <v>31</v>
      </c>
      <c r="K268" s="44" t="s">
        <v>109</v>
      </c>
      <c r="L268" s="40">
        <v>1117</v>
      </c>
      <c r="M268" s="41">
        <v>41339</v>
      </c>
      <c r="N268" s="40" t="s">
        <v>110</v>
      </c>
      <c r="O268" s="42">
        <f>EDATE(O231,1)</f>
        <v>42522</v>
      </c>
      <c r="P268" s="40">
        <v>25</v>
      </c>
      <c r="Q268" s="120">
        <f>'[3]AECO LP_10V1_SMS'!G15</f>
        <v>40.280620302644486</v>
      </c>
      <c r="R268" s="120">
        <f>'[3]AECO LP_10V1_SMS'!H15</f>
        <v>46.695655119713081</v>
      </c>
      <c r="S268" s="120">
        <f>'[3]AECO LP_10V1_SMS'!I15</f>
        <v>44.844223370528994</v>
      </c>
      <c r="T268" s="120">
        <f>'[3]AECO LP_10V1_SMS'!J15</f>
        <v>46.950388429959112</v>
      </c>
      <c r="U268" s="120">
        <f>'[3]AECO LP_10V1_SMS'!K15</f>
        <v>48.962202217637397</v>
      </c>
      <c r="V268" s="91"/>
    </row>
    <row r="269" spans="1:22" x14ac:dyDescent="0.2">
      <c r="A269" s="48">
        <f t="shared" si="11"/>
        <v>261</v>
      </c>
      <c r="B269" s="43">
        <v>8</v>
      </c>
      <c r="C269" s="43">
        <v>2</v>
      </c>
      <c r="D269" s="38" t="s">
        <v>421</v>
      </c>
      <c r="E269" s="44" t="s">
        <v>112</v>
      </c>
      <c r="F269" s="44" t="s">
        <v>29</v>
      </c>
      <c r="G269" s="44" t="s">
        <v>108</v>
      </c>
      <c r="H269" s="44" t="s">
        <v>30</v>
      </c>
      <c r="I269" s="44" t="s">
        <v>30</v>
      </c>
      <c r="J269" s="44" t="s">
        <v>32</v>
      </c>
      <c r="K269" s="44" t="s">
        <v>113</v>
      </c>
      <c r="L269" s="40">
        <v>1118</v>
      </c>
      <c r="M269" s="41">
        <v>41339</v>
      </c>
      <c r="N269" s="40" t="s">
        <v>110</v>
      </c>
      <c r="O269" s="42">
        <f>O268</f>
        <v>42522</v>
      </c>
      <c r="P269" s="40">
        <v>25</v>
      </c>
      <c r="Q269" s="120">
        <f>'[3]AECO LP_14V1_MMS'!G15</f>
        <v>41.670831611322761</v>
      </c>
      <c r="R269" s="120">
        <f>'[3]AECO LP_14V1_MMS'!H15</f>
        <v>46.698310823821203</v>
      </c>
      <c r="S269" s="120">
        <f>'[3]AECO LP_14V1_MMS'!I15</f>
        <v>45.386620182463979</v>
      </c>
      <c r="T269" s="120">
        <f>'[3]AECO LP_14V1_MMS'!J15</f>
        <v>45.995746654673944</v>
      </c>
      <c r="U269" s="120">
        <f>'[3]AECO LP_14V1_MMS'!K15</f>
        <v>46.571664378703659</v>
      </c>
      <c r="V269" s="91"/>
    </row>
    <row r="270" spans="1:22" x14ac:dyDescent="0.2">
      <c r="A270" s="48">
        <f t="shared" si="11"/>
        <v>262</v>
      </c>
      <c r="B270" s="43">
        <v>8</v>
      </c>
      <c r="C270" s="43">
        <v>3</v>
      </c>
      <c r="D270" s="38" t="s">
        <v>422</v>
      </c>
      <c r="E270" s="44" t="s">
        <v>115</v>
      </c>
      <c r="F270" s="44" t="s">
        <v>18</v>
      </c>
      <c r="G270" s="44" t="s">
        <v>108</v>
      </c>
      <c r="H270" s="44" t="s">
        <v>61</v>
      </c>
      <c r="I270" s="44" t="s">
        <v>116</v>
      </c>
      <c r="J270" s="44" t="s">
        <v>13</v>
      </c>
      <c r="K270" s="44" t="s">
        <v>117</v>
      </c>
      <c r="L270" s="40">
        <v>1119</v>
      </c>
      <c r="M270" s="41">
        <v>41339</v>
      </c>
      <c r="N270" s="40" t="s">
        <v>110</v>
      </c>
      <c r="O270" s="42">
        <f t="shared" ref="O270:O303" si="12">O269</f>
        <v>42522</v>
      </c>
      <c r="P270" s="40">
        <v>25</v>
      </c>
      <c r="Q270" s="120">
        <f>'[3]AEP_OH_CS - test CSGS1MS'!G15</f>
        <v>17.830085731249916</v>
      </c>
      <c r="R270" s="120">
        <f>'[3]AEP_OH_CS - test CSGS1MS'!H15</f>
        <v>18.649676226051568</v>
      </c>
      <c r="S270" s="120">
        <f>'[3]AEP_OH_CS - test CSGS1MS'!I15</f>
        <v>20.297258842173125</v>
      </c>
      <c r="T270" s="120">
        <f>'[3]AEP_OH_CS - test CSGS1MS'!J15</f>
        <v>21.593466055110522</v>
      </c>
      <c r="U270" s="120">
        <f>'[3]AEP_OH_CS - test CSGS1MS'!K15</f>
        <v>23.291018891218947</v>
      </c>
      <c r="V270" s="91"/>
    </row>
    <row r="271" spans="1:22" x14ac:dyDescent="0.2">
      <c r="A271" s="48">
        <f t="shared" si="11"/>
        <v>263</v>
      </c>
      <c r="B271" s="43">
        <v>8</v>
      </c>
      <c r="C271" s="43">
        <v>4</v>
      </c>
      <c r="D271" s="38" t="s">
        <v>423</v>
      </c>
      <c r="E271" s="44" t="s">
        <v>119</v>
      </c>
      <c r="F271" s="44" t="s">
        <v>18</v>
      </c>
      <c r="G271" s="44" t="s">
        <v>108</v>
      </c>
      <c r="H271" s="44" t="s">
        <v>61</v>
      </c>
      <c r="I271" s="44" t="s">
        <v>116</v>
      </c>
      <c r="J271" s="44" t="s">
        <v>19</v>
      </c>
      <c r="K271" s="44" t="s">
        <v>120</v>
      </c>
      <c r="L271" s="40">
        <v>1120</v>
      </c>
      <c r="M271" s="41">
        <v>41339</v>
      </c>
      <c r="N271" s="40" t="s">
        <v>110</v>
      </c>
      <c r="O271" s="42">
        <f t="shared" si="12"/>
        <v>42522</v>
      </c>
      <c r="P271" s="40">
        <v>25</v>
      </c>
      <c r="Q271" s="120">
        <f>'[3]AEP_OH_CS - test CSGS2UMS'!G15</f>
        <v>18.052650279468835</v>
      </c>
      <c r="R271" s="120">
        <f>'[3]AEP_OH_CS - test CSGS2UMS'!H15</f>
        <v>18.708582304690555</v>
      </c>
      <c r="S271" s="120">
        <f>'[3]AEP_OH_CS - test CSGS2UMS'!I15</f>
        <v>20.428729766410669</v>
      </c>
      <c r="T271" s="120">
        <f>'[3]AEP_OH_CS - test CSGS2UMS'!J15</f>
        <v>21.656068442634094</v>
      </c>
      <c r="U271" s="120">
        <f>'[3]AEP_OH_CS - test CSGS2UMS'!K15</f>
        <v>23.358519888659675</v>
      </c>
      <c r="V271" s="91"/>
    </row>
    <row r="272" spans="1:22" x14ac:dyDescent="0.2">
      <c r="A272" s="48">
        <f t="shared" si="11"/>
        <v>264</v>
      </c>
      <c r="B272" s="43">
        <v>8</v>
      </c>
      <c r="C272" s="43">
        <v>5</v>
      </c>
      <c r="D272" s="38" t="s">
        <v>424</v>
      </c>
      <c r="E272" s="44" t="s">
        <v>122</v>
      </c>
      <c r="F272" s="44" t="s">
        <v>18</v>
      </c>
      <c r="G272" s="44" t="s">
        <v>108</v>
      </c>
      <c r="H272" s="44" t="s">
        <v>61</v>
      </c>
      <c r="I272" s="44" t="s">
        <v>116</v>
      </c>
      <c r="J272" s="44" t="s">
        <v>14</v>
      </c>
      <c r="K272" s="44" t="s">
        <v>123</v>
      </c>
      <c r="L272" s="40">
        <v>1121</v>
      </c>
      <c r="M272" s="41">
        <v>41339</v>
      </c>
      <c r="N272" s="40" t="s">
        <v>110</v>
      </c>
      <c r="O272" s="42">
        <f t="shared" si="12"/>
        <v>42522</v>
      </c>
      <c r="P272" s="40">
        <v>25</v>
      </c>
      <c r="Q272" s="120">
        <f>'[3]AEP_OH_CS - test CSGS3UMS'!G15</f>
        <v>18.052650279468835</v>
      </c>
      <c r="R272" s="120">
        <f>'[3]AEP_OH_CS - test CSGS3UMS'!H15</f>
        <v>18.708582304690555</v>
      </c>
      <c r="S272" s="120">
        <f>'[3]AEP_OH_CS - test CSGS3UMS'!I15</f>
        <v>20.428729766410669</v>
      </c>
      <c r="T272" s="120">
        <f>'[3]AEP_OH_CS - test CSGS3UMS'!J15</f>
        <v>21.656068442634094</v>
      </c>
      <c r="U272" s="120">
        <f>'[3]AEP_OH_CS - test CSGS3UMS'!K15</f>
        <v>23.358519888659675</v>
      </c>
      <c r="V272" s="91"/>
    </row>
    <row r="273" spans="1:22" x14ac:dyDescent="0.2">
      <c r="A273" s="48">
        <f t="shared" si="11"/>
        <v>265</v>
      </c>
      <c r="B273" s="43">
        <v>8</v>
      </c>
      <c r="C273" s="43">
        <v>6</v>
      </c>
      <c r="D273" s="38" t="s">
        <v>425</v>
      </c>
      <c r="E273" s="44" t="s">
        <v>125</v>
      </c>
      <c r="F273" s="44" t="s">
        <v>23</v>
      </c>
      <c r="G273" s="44" t="s">
        <v>126</v>
      </c>
      <c r="H273" s="44" t="s">
        <v>127</v>
      </c>
      <c r="I273" s="44" t="s">
        <v>27</v>
      </c>
      <c r="J273" s="44" t="s">
        <v>28</v>
      </c>
      <c r="K273" s="44" t="s">
        <v>128</v>
      </c>
      <c r="L273" s="40">
        <v>1122</v>
      </c>
      <c r="M273" s="41">
        <v>41339</v>
      </c>
      <c r="N273" s="40" t="s">
        <v>110</v>
      </c>
      <c r="O273" s="42">
        <f t="shared" si="12"/>
        <v>42522</v>
      </c>
      <c r="P273" s="40">
        <v>25</v>
      </c>
      <c r="Q273" s="120">
        <f>'[3]Ameren RateZnIII LP DS2HHMS'!G15</f>
        <v>21.627623338443541</v>
      </c>
      <c r="R273" s="120">
        <f>'[3]Ameren RateZnIII LP DS2HHMS'!H15</f>
        <v>22.648584836288329</v>
      </c>
      <c r="S273" s="120">
        <f>'[3]Ameren RateZnIII LP DS2HHMS'!I15</f>
        <v>22.817185365763908</v>
      </c>
      <c r="T273" s="120">
        <f>'[3]Ameren RateZnIII LP DS2HHMS'!J15</f>
        <v>23.267054143039978</v>
      </c>
      <c r="U273" s="120">
        <f>'[3]Ameren RateZnIII LP DS2HHMS'!K15</f>
        <v>23.777568708282708</v>
      </c>
      <c r="V273" s="91"/>
    </row>
    <row r="274" spans="1:22" x14ac:dyDescent="0.2">
      <c r="A274" s="48">
        <f t="shared" si="11"/>
        <v>266</v>
      </c>
      <c r="B274" s="43">
        <v>8</v>
      </c>
      <c r="C274" s="43">
        <v>7</v>
      </c>
      <c r="D274" s="38" t="s">
        <v>426</v>
      </c>
      <c r="E274" s="44" t="s">
        <v>130</v>
      </c>
      <c r="F274" s="44" t="s">
        <v>37</v>
      </c>
      <c r="G274" s="44" t="s">
        <v>108</v>
      </c>
      <c r="H274" s="44" t="s">
        <v>38</v>
      </c>
      <c r="I274" s="44" t="s">
        <v>38</v>
      </c>
      <c r="J274" s="44" t="s">
        <v>40</v>
      </c>
      <c r="K274" s="44" t="s">
        <v>123</v>
      </c>
      <c r="L274" s="40">
        <v>1124</v>
      </c>
      <c r="M274" s="41">
        <v>41339</v>
      </c>
      <c r="N274" s="40" t="s">
        <v>110</v>
      </c>
      <c r="O274" s="42">
        <f t="shared" si="12"/>
        <v>42522</v>
      </c>
      <c r="P274" s="40">
        <v>25</v>
      </c>
      <c r="Q274" s="120">
        <f>'[3]BGE LP_GLMS'!G15</f>
        <v>32.289721910994693</v>
      </c>
      <c r="R274" s="120">
        <f>'[3]BGE LP_GLMS'!H15</f>
        <v>34.220584915321204</v>
      </c>
      <c r="S274" s="120">
        <f>'[3]BGE LP_GLMS'!I15</f>
        <v>33.535675187639917</v>
      </c>
      <c r="T274" s="120">
        <f>'[3]BGE LP_GLMS'!J15</f>
        <v>34.246305421032517</v>
      </c>
      <c r="U274" s="120">
        <f>'[3]BGE LP_GLMS'!K15</f>
        <v>34.801941882647363</v>
      </c>
      <c r="V274" s="91"/>
    </row>
    <row r="275" spans="1:22" x14ac:dyDescent="0.2">
      <c r="A275" s="48">
        <f t="shared" si="11"/>
        <v>267</v>
      </c>
      <c r="B275" s="43">
        <v>8</v>
      </c>
      <c r="C275" s="43">
        <v>8</v>
      </c>
      <c r="D275" s="38" t="s">
        <v>427</v>
      </c>
      <c r="E275" s="44" t="s">
        <v>132</v>
      </c>
      <c r="F275" s="44" t="s">
        <v>37</v>
      </c>
      <c r="G275" s="44" t="s">
        <v>108</v>
      </c>
      <c r="H275" s="44" t="s">
        <v>38</v>
      </c>
      <c r="I275" s="44" t="s">
        <v>38</v>
      </c>
      <c r="J275" s="44" t="s">
        <v>39</v>
      </c>
      <c r="K275" s="44" t="s">
        <v>120</v>
      </c>
      <c r="L275" s="40">
        <v>1123</v>
      </c>
      <c r="M275" s="41">
        <v>41339</v>
      </c>
      <c r="N275" s="40" t="s">
        <v>110</v>
      </c>
      <c r="O275" s="42">
        <f t="shared" si="12"/>
        <v>42522</v>
      </c>
      <c r="P275" s="40">
        <v>25</v>
      </c>
      <c r="Q275" s="120">
        <f>'[3]BGE LP_GMS'!G15</f>
        <v>33.303907339710371</v>
      </c>
      <c r="R275" s="120">
        <f>'[3]BGE LP_GMS'!H15</f>
        <v>34.295061683709534</v>
      </c>
      <c r="S275" s="120">
        <f>'[3]BGE LP_GMS'!I15</f>
        <v>33.930107256742545</v>
      </c>
      <c r="T275" s="120">
        <f>'[3]BGE LP_GMS'!J15</f>
        <v>34.390766003122472</v>
      </c>
      <c r="U275" s="120">
        <f>'[3]BGE LP_GMS'!K15</f>
        <v>34.970476115661839</v>
      </c>
      <c r="V275" s="91"/>
    </row>
    <row r="276" spans="1:22" x14ac:dyDescent="0.2">
      <c r="A276" s="48">
        <f t="shared" si="11"/>
        <v>268</v>
      </c>
      <c r="B276" s="43">
        <v>8</v>
      </c>
      <c r="C276" s="43">
        <v>9</v>
      </c>
      <c r="D276" s="38" t="s">
        <v>428</v>
      </c>
      <c r="E276" s="44" t="s">
        <v>134</v>
      </c>
      <c r="F276" s="44" t="s">
        <v>37</v>
      </c>
      <c r="G276" s="44" t="s">
        <v>108</v>
      </c>
      <c r="H276" s="44" t="s">
        <v>38</v>
      </c>
      <c r="I276" s="44" t="s">
        <v>38</v>
      </c>
      <c r="J276" s="44" t="s">
        <v>6</v>
      </c>
      <c r="K276" s="44" t="s">
        <v>117</v>
      </c>
      <c r="L276" s="40">
        <v>1125</v>
      </c>
      <c r="M276" s="41">
        <v>41339</v>
      </c>
      <c r="N276" s="40" t="s">
        <v>110</v>
      </c>
      <c r="O276" s="42">
        <f t="shared" si="12"/>
        <v>42522</v>
      </c>
      <c r="P276" s="40">
        <v>25</v>
      </c>
      <c r="Q276" s="120">
        <f>'[3]BGE LP_GSMS'!G15</f>
        <v>33.586289736069126</v>
      </c>
      <c r="R276" s="120">
        <f>'[3]BGE LP_GSMS'!H15</f>
        <v>35.248907802280705</v>
      </c>
      <c r="S276" s="120">
        <f>'[3]BGE LP_GSMS'!I15</f>
        <v>34.615317953626828</v>
      </c>
      <c r="T276" s="120">
        <f>'[3]BGE LP_GSMS'!J15</f>
        <v>35.215989298888083</v>
      </c>
      <c r="U276" s="120">
        <f>'[3]BGE LP_GSMS'!K15</f>
        <v>35.753492179962315</v>
      </c>
      <c r="V276" s="91"/>
    </row>
    <row r="277" spans="1:22" x14ac:dyDescent="0.2">
      <c r="A277" s="48">
        <f t="shared" si="11"/>
        <v>269</v>
      </c>
      <c r="B277" s="43">
        <v>8</v>
      </c>
      <c r="C277" s="43">
        <v>10</v>
      </c>
      <c r="D277" s="38" t="s">
        <v>429</v>
      </c>
      <c r="E277" s="44" t="s">
        <v>136</v>
      </c>
      <c r="F277" s="44" t="s">
        <v>23</v>
      </c>
      <c r="G277" s="44" t="s">
        <v>108</v>
      </c>
      <c r="H277" s="44" t="s">
        <v>137</v>
      </c>
      <c r="I277" s="44" t="s">
        <v>24</v>
      </c>
      <c r="J277" s="44" t="s">
        <v>25</v>
      </c>
      <c r="K277" s="44" t="s">
        <v>138</v>
      </c>
      <c r="L277" s="40">
        <v>1126</v>
      </c>
      <c r="M277" s="41">
        <v>41339</v>
      </c>
      <c r="N277" s="40" t="s">
        <v>110</v>
      </c>
      <c r="O277" s="42">
        <f t="shared" si="12"/>
        <v>42522</v>
      </c>
      <c r="P277" s="40">
        <v>25</v>
      </c>
      <c r="Q277" s="120">
        <f>'[3]ComEd - test LP_28MS'!G15</f>
        <v>26.886003158026288</v>
      </c>
      <c r="R277" s="120">
        <f>'[3]ComEd - test LP_28MS'!H15</f>
        <v>28.00179457575587</v>
      </c>
      <c r="S277" s="120">
        <f>'[3]ComEd - test LP_28MS'!I15</f>
        <v>29.647447006241858</v>
      </c>
      <c r="T277" s="120">
        <f>'[3]ComEd - test LP_28MS'!J15</f>
        <v>31.079082605173685</v>
      </c>
      <c r="U277" s="120">
        <f>'[3]ComEd - test LP_28MS'!K15</f>
        <v>34.395159157626814</v>
      </c>
      <c r="V277" s="91"/>
    </row>
    <row r="278" spans="1:22" x14ac:dyDescent="0.2">
      <c r="A278" s="48">
        <f t="shared" si="11"/>
        <v>270</v>
      </c>
      <c r="B278" s="43">
        <v>8</v>
      </c>
      <c r="C278" s="43">
        <v>11</v>
      </c>
      <c r="D278" s="38" t="s">
        <v>430</v>
      </c>
      <c r="E278" s="44" t="s">
        <v>140</v>
      </c>
      <c r="F278" s="44" t="s">
        <v>23</v>
      </c>
      <c r="G278" s="44" t="s">
        <v>108</v>
      </c>
      <c r="H278" s="44" t="s">
        <v>137</v>
      </c>
      <c r="I278" s="44" t="s">
        <v>24</v>
      </c>
      <c r="J278" s="44" t="s">
        <v>26</v>
      </c>
      <c r="K278" s="44" t="s">
        <v>141</v>
      </c>
      <c r="L278" s="40">
        <v>1127</v>
      </c>
      <c r="M278" s="41">
        <v>41339</v>
      </c>
      <c r="N278" s="40" t="s">
        <v>110</v>
      </c>
      <c r="O278" s="42">
        <f t="shared" si="12"/>
        <v>42522</v>
      </c>
      <c r="P278" s="40">
        <v>25</v>
      </c>
      <c r="Q278" s="120">
        <f>'[3]ComEd - test LP_29MS'!G15</f>
        <v>25.914337500220274</v>
      </c>
      <c r="R278" s="120">
        <f>'[3]ComEd - test LP_29MS'!H15</f>
        <v>27.086429912298172</v>
      </c>
      <c r="S278" s="120">
        <f>'[3]ComEd - test LP_29MS'!I15</f>
        <v>28.71180341917302</v>
      </c>
      <c r="T278" s="120">
        <f>'[3]ComEd - test LP_29MS'!J15</f>
        <v>30.164923624831669</v>
      </c>
      <c r="U278" s="120">
        <f>'[3]ComEd - test LP_29MS'!K15</f>
        <v>33.480464544404235</v>
      </c>
      <c r="V278" s="91"/>
    </row>
    <row r="279" spans="1:22" x14ac:dyDescent="0.2">
      <c r="A279" s="48">
        <f t="shared" si="11"/>
        <v>271</v>
      </c>
      <c r="B279" s="43">
        <v>8</v>
      </c>
      <c r="C279" s="43">
        <v>12</v>
      </c>
      <c r="D279" s="38" t="s">
        <v>431</v>
      </c>
      <c r="E279" s="44" t="s">
        <v>143</v>
      </c>
      <c r="F279" s="44" t="s">
        <v>18</v>
      </c>
      <c r="G279" s="44" t="s">
        <v>108</v>
      </c>
      <c r="H279" s="44" t="s">
        <v>94</v>
      </c>
      <c r="I279" s="44" t="s">
        <v>144</v>
      </c>
      <c r="J279" s="44" t="s">
        <v>20</v>
      </c>
      <c r="K279" s="44" t="s">
        <v>145</v>
      </c>
      <c r="L279" s="40">
        <v>1128</v>
      </c>
      <c r="M279" s="41">
        <v>41339</v>
      </c>
      <c r="N279" s="40" t="s">
        <v>110</v>
      </c>
      <c r="O279" s="42">
        <f t="shared" si="12"/>
        <v>42522</v>
      </c>
      <c r="P279" s="40">
        <v>25</v>
      </c>
      <c r="Q279" s="120">
        <f>[3]DAY_RC_843MS!G15</f>
        <v>18.253531764027485</v>
      </c>
      <c r="R279" s="120">
        <f>[3]DAY_RC_843MS!H15</f>
        <v>17.860146685566058</v>
      </c>
      <c r="S279" s="120">
        <f>[3]DAY_RC_843MS!I15</f>
        <v>19.894121785674429</v>
      </c>
      <c r="T279" s="120">
        <f>[3]DAY_RC_843MS!J15</f>
        <v>20.713259896312646</v>
      </c>
      <c r="U279" s="120">
        <f>[3]DAY_RC_843MS!K15</f>
        <v>22.332758857513525</v>
      </c>
      <c r="V279" s="91"/>
    </row>
    <row r="280" spans="1:22" x14ac:dyDescent="0.2">
      <c r="A280" s="48">
        <f t="shared" si="11"/>
        <v>272</v>
      </c>
      <c r="B280" s="43">
        <v>8</v>
      </c>
      <c r="C280" s="43">
        <v>13</v>
      </c>
      <c r="D280" s="38" t="s">
        <v>432</v>
      </c>
      <c r="E280" s="44" t="s">
        <v>147</v>
      </c>
      <c r="F280" s="44" t="s">
        <v>37</v>
      </c>
      <c r="G280" s="44" t="s">
        <v>108</v>
      </c>
      <c r="H280" s="44" t="s">
        <v>41</v>
      </c>
      <c r="I280" s="44" t="s">
        <v>41</v>
      </c>
      <c r="J280" s="44" t="s">
        <v>6</v>
      </c>
      <c r="K280" s="44" t="s">
        <v>128</v>
      </c>
      <c r="L280" s="40">
        <v>1129</v>
      </c>
      <c r="M280" s="41">
        <v>41339</v>
      </c>
      <c r="N280" s="40" t="s">
        <v>110</v>
      </c>
      <c r="O280" s="42">
        <f t="shared" si="12"/>
        <v>42522</v>
      </c>
      <c r="P280" s="40">
        <v>25</v>
      </c>
      <c r="Q280" s="120">
        <f>'[3]Delmarva MD LP_MDGS_MMS'!G15</f>
        <v>35.56174768561511</v>
      </c>
      <c r="R280" s="120">
        <f>'[3]Delmarva MD LP_MDGS_MMS'!H15</f>
        <v>37.610881179970363</v>
      </c>
      <c r="S280" s="120">
        <f>'[3]Delmarva MD LP_MDGS_MMS'!I15</f>
        <v>36.963100625792443</v>
      </c>
      <c r="T280" s="120">
        <f>'[3]Delmarva MD LP_MDGS_MMS'!J15</f>
        <v>37.720866801374882</v>
      </c>
      <c r="U280" s="120">
        <f>'[3]Delmarva MD LP_MDGS_MMS'!K15</f>
        <v>40.913814877740172</v>
      </c>
      <c r="V280" s="91"/>
    </row>
    <row r="281" spans="1:22" x14ac:dyDescent="0.2">
      <c r="A281" s="48">
        <f t="shared" si="11"/>
        <v>273</v>
      </c>
      <c r="B281" s="43">
        <v>8</v>
      </c>
      <c r="C281" s="43">
        <v>14</v>
      </c>
      <c r="D281" s="38" t="s">
        <v>433</v>
      </c>
      <c r="E281" s="44" t="s">
        <v>149</v>
      </c>
      <c r="F281" s="44" t="s">
        <v>5</v>
      </c>
      <c r="G281" s="44" t="s">
        <v>108</v>
      </c>
      <c r="H281" s="44" t="s">
        <v>46</v>
      </c>
      <c r="I281" s="44" t="s">
        <v>46</v>
      </c>
      <c r="J281" s="44" t="s">
        <v>6</v>
      </c>
      <c r="K281" s="44" t="s">
        <v>128</v>
      </c>
      <c r="L281" s="40">
        <v>1130</v>
      </c>
      <c r="M281" s="41">
        <v>41339</v>
      </c>
      <c r="N281" s="40" t="s">
        <v>110</v>
      </c>
      <c r="O281" s="42">
        <f t="shared" si="12"/>
        <v>42522</v>
      </c>
      <c r="P281" s="40">
        <v>25</v>
      </c>
      <c r="Q281" s="120">
        <f>'[3]DQE LP_GSGM_MMS'!G15</f>
        <v>29.749629802842602</v>
      </c>
      <c r="R281" s="120">
        <f>'[3]DQE LP_GSGM_MMS'!H15</f>
        <v>30.468735268241847</v>
      </c>
      <c r="S281" s="120">
        <f>'[3]DQE LP_GSGM_MMS'!I15</f>
        <v>32.336486998860444</v>
      </c>
      <c r="T281" s="120">
        <f>'[3]DQE LP_GSGM_MMS'!J15</f>
        <v>33.650700793903916</v>
      </c>
      <c r="U281" s="120">
        <f>'[3]DQE LP_GSGM_MMS'!K15</f>
        <v>35.375917468763859</v>
      </c>
      <c r="V281" s="91"/>
    </row>
    <row r="282" spans="1:22" x14ac:dyDescent="0.2">
      <c r="A282" s="48">
        <f t="shared" si="11"/>
        <v>274</v>
      </c>
      <c r="B282" s="43">
        <v>8</v>
      </c>
      <c r="C282" s="43">
        <v>15</v>
      </c>
      <c r="D282" s="38" t="s">
        <v>434</v>
      </c>
      <c r="E282" s="44" t="s">
        <v>151</v>
      </c>
      <c r="F282" s="44" t="s">
        <v>18</v>
      </c>
      <c r="G282" s="44" t="s">
        <v>108</v>
      </c>
      <c r="H282" s="44" t="s">
        <v>21</v>
      </c>
      <c r="I282" s="44" t="s">
        <v>152</v>
      </c>
      <c r="J282" s="44" t="s">
        <v>22</v>
      </c>
      <c r="K282" s="44" t="s">
        <v>128</v>
      </c>
      <c r="L282" s="40">
        <v>1131</v>
      </c>
      <c r="M282" s="41">
        <v>41339</v>
      </c>
      <c r="N282" s="40" t="s">
        <v>110</v>
      </c>
      <c r="O282" s="42">
        <f t="shared" si="12"/>
        <v>42522</v>
      </c>
      <c r="P282" s="40">
        <v>25</v>
      </c>
      <c r="Q282" s="120">
        <f>[3]Duke_OH_RC_DS01MS!G15</f>
        <v>17.220328925119375</v>
      </c>
      <c r="R282" s="120">
        <f>[3]Duke_OH_RC_DS01MS!H15</f>
        <v>17.799804453867591</v>
      </c>
      <c r="S282" s="120">
        <f>[3]Duke_OH_RC_DS01MS!I15</f>
        <v>19.427844672063006</v>
      </c>
      <c r="T282" s="120">
        <f>[3]Duke_OH_RC_DS01MS!J15</f>
        <v>20.592400709929905</v>
      </c>
      <c r="U282" s="120">
        <f>[3]Duke_OH_RC_DS01MS!K15</f>
        <v>22.019311980776322</v>
      </c>
      <c r="V282" s="91"/>
    </row>
    <row r="283" spans="1:22" x14ac:dyDescent="0.2">
      <c r="A283" s="48">
        <f t="shared" si="11"/>
        <v>275</v>
      </c>
      <c r="B283" s="43">
        <v>8</v>
      </c>
      <c r="C283" s="43">
        <v>16</v>
      </c>
      <c r="D283" s="38" t="s">
        <v>435</v>
      </c>
      <c r="E283" s="44" t="s">
        <v>154</v>
      </c>
      <c r="F283" s="44" t="s">
        <v>18</v>
      </c>
      <c r="G283" s="44" t="s">
        <v>108</v>
      </c>
      <c r="H283" s="44" t="s">
        <v>62</v>
      </c>
      <c r="I283" s="44" t="s">
        <v>155</v>
      </c>
      <c r="J283" s="44" t="s">
        <v>6</v>
      </c>
      <c r="K283" s="44" t="s">
        <v>128</v>
      </c>
      <c r="L283" s="40">
        <v>1132</v>
      </c>
      <c r="M283" s="41">
        <v>41339</v>
      </c>
      <c r="N283" s="40" t="s">
        <v>110</v>
      </c>
      <c r="O283" s="42">
        <f t="shared" si="12"/>
        <v>42522</v>
      </c>
      <c r="P283" s="40">
        <v>25</v>
      </c>
      <c r="Q283" s="120">
        <f>'[3]FE_OE - test RC_GSFMS'!G15</f>
        <v>21.501915475835617</v>
      </c>
      <c r="R283" s="120">
        <f>'[3]FE_OE - test RC_GSFMS'!H15</f>
        <v>21.494591299725101</v>
      </c>
      <c r="S283" s="120">
        <f>'[3]FE_OE - test RC_GSFMS'!I15</f>
        <v>22.296502803663842</v>
      </c>
      <c r="T283" s="120">
        <f>'[3]FE_OE - test RC_GSFMS'!J15</f>
        <v>22.654602167654907</v>
      </c>
      <c r="U283" s="120">
        <f>'[3]FE_OE - test RC_GSFMS'!K15</f>
        <v>23.650074531933281</v>
      </c>
      <c r="V283" s="91"/>
    </row>
    <row r="284" spans="1:22" x14ac:dyDescent="0.2">
      <c r="A284" s="48">
        <f t="shared" si="11"/>
        <v>276</v>
      </c>
      <c r="B284" s="43">
        <v>8</v>
      </c>
      <c r="C284" s="43">
        <v>17</v>
      </c>
      <c r="D284" s="38" t="s">
        <v>436</v>
      </c>
      <c r="E284" s="44" t="s">
        <v>157</v>
      </c>
      <c r="F284" s="44" t="s">
        <v>29</v>
      </c>
      <c r="G284" s="44" t="s">
        <v>108</v>
      </c>
      <c r="H284" s="44" t="s">
        <v>33</v>
      </c>
      <c r="I284" s="44" t="s">
        <v>33</v>
      </c>
      <c r="J284" s="44" t="s">
        <v>7</v>
      </c>
      <c r="K284" s="44" t="s">
        <v>123</v>
      </c>
      <c r="L284" s="40">
        <v>1133</v>
      </c>
      <c r="M284" s="41">
        <v>41339</v>
      </c>
      <c r="N284" s="40" t="s">
        <v>110</v>
      </c>
      <c r="O284" s="42">
        <f t="shared" si="12"/>
        <v>42522</v>
      </c>
      <c r="P284" s="40">
        <v>25</v>
      </c>
      <c r="Q284" s="120">
        <f>'[3]JCPL LP_GSCLMS'!G15</f>
        <v>31.509351450444949</v>
      </c>
      <c r="R284" s="120">
        <f>'[3]JCPL LP_GSCLMS'!H15</f>
        <v>37.016912746202294</v>
      </c>
      <c r="S284" s="120">
        <f>'[3]JCPL LP_GSCLMS'!I15</f>
        <v>36.990656864902597</v>
      </c>
      <c r="T284" s="120">
        <f>'[3]JCPL LP_GSCLMS'!J15</f>
        <v>38.405649867671698</v>
      </c>
      <c r="U284" s="120">
        <f>'[3]JCPL LP_GSCLMS'!K15</f>
        <v>41.738753927944131</v>
      </c>
      <c r="V284" s="91"/>
    </row>
    <row r="285" spans="1:22" x14ac:dyDescent="0.2">
      <c r="A285" s="48">
        <f t="shared" si="11"/>
        <v>277</v>
      </c>
      <c r="B285" s="43">
        <v>8</v>
      </c>
      <c r="C285" s="43">
        <v>18</v>
      </c>
      <c r="D285" s="38" t="s">
        <v>437</v>
      </c>
      <c r="E285" s="44" t="s">
        <v>159</v>
      </c>
      <c r="F285" s="44" t="s">
        <v>29</v>
      </c>
      <c r="G285" s="44" t="s">
        <v>108</v>
      </c>
      <c r="H285" s="44" t="s">
        <v>33</v>
      </c>
      <c r="I285" s="44" t="s">
        <v>33</v>
      </c>
      <c r="J285" s="44" t="s">
        <v>8</v>
      </c>
      <c r="K285" s="44" t="s">
        <v>120</v>
      </c>
      <c r="L285" s="40">
        <v>1134</v>
      </c>
      <c r="M285" s="41">
        <v>41339</v>
      </c>
      <c r="N285" s="40" t="s">
        <v>110</v>
      </c>
      <c r="O285" s="42">
        <f t="shared" si="12"/>
        <v>42522</v>
      </c>
      <c r="P285" s="40">
        <v>25</v>
      </c>
      <c r="Q285" s="120">
        <f>'[3]JCPL LP_GSCMMS'!G15</f>
        <v>37.99101087419583</v>
      </c>
      <c r="R285" s="120">
        <f>'[3]JCPL LP_GSCMMS'!H15</f>
        <v>38.534528815057264</v>
      </c>
      <c r="S285" s="120">
        <f>'[3]JCPL LP_GSCMMS'!I15</f>
        <v>39.957387230658952</v>
      </c>
      <c r="T285" s="120">
        <f>'[3]JCPL LP_GSCMMS'!J15</f>
        <v>39.643697809848284</v>
      </c>
      <c r="U285" s="120">
        <f>'[3]JCPL LP_GSCMMS'!K15</f>
        <v>42.817803736992062</v>
      </c>
      <c r="V285" s="91"/>
    </row>
    <row r="286" spans="1:22" x14ac:dyDescent="0.2">
      <c r="A286" s="48">
        <f t="shared" si="11"/>
        <v>278</v>
      </c>
      <c r="B286" s="43">
        <v>8</v>
      </c>
      <c r="C286" s="43">
        <v>19</v>
      </c>
      <c r="D286" s="38" t="s">
        <v>438</v>
      </c>
      <c r="E286" s="44" t="s">
        <v>161</v>
      </c>
      <c r="F286" s="44" t="s">
        <v>29</v>
      </c>
      <c r="G286" s="44" t="s">
        <v>108</v>
      </c>
      <c r="H286" s="44" t="s">
        <v>33</v>
      </c>
      <c r="I286" s="44" t="s">
        <v>33</v>
      </c>
      <c r="J286" s="44" t="s">
        <v>9</v>
      </c>
      <c r="K286" s="44" t="s">
        <v>117</v>
      </c>
      <c r="L286" s="40">
        <v>1135</v>
      </c>
      <c r="M286" s="41">
        <v>41339</v>
      </c>
      <c r="N286" s="40" t="s">
        <v>110</v>
      </c>
      <c r="O286" s="42">
        <f t="shared" si="12"/>
        <v>42522</v>
      </c>
      <c r="P286" s="40">
        <v>25</v>
      </c>
      <c r="Q286" s="120">
        <f>'[3]JCPL LP_GSCSMS'!G15</f>
        <v>37.99101087419583</v>
      </c>
      <c r="R286" s="120">
        <f>'[3]JCPL LP_GSCSMS'!H15</f>
        <v>38.534528815057264</v>
      </c>
      <c r="S286" s="120">
        <f>'[3]JCPL LP_GSCSMS'!I15</f>
        <v>39.957387230658952</v>
      </c>
      <c r="T286" s="120">
        <f>'[3]JCPL LP_GSCSMS'!J15</f>
        <v>39.643697809848284</v>
      </c>
      <c r="U286" s="120">
        <f>'[3]JCPL LP_GSCSMS'!K15</f>
        <v>42.817803736992062</v>
      </c>
      <c r="V286" s="91"/>
    </row>
    <row r="287" spans="1:22" x14ac:dyDescent="0.2">
      <c r="A287" s="48">
        <f t="shared" si="11"/>
        <v>279</v>
      </c>
      <c r="B287" s="43">
        <v>8</v>
      </c>
      <c r="C287" s="43">
        <v>20</v>
      </c>
      <c r="D287" s="38" t="s">
        <v>439</v>
      </c>
      <c r="E287" s="44" t="s">
        <v>163</v>
      </c>
      <c r="F287" s="44" t="s">
        <v>5</v>
      </c>
      <c r="G287" s="44" t="s">
        <v>108</v>
      </c>
      <c r="H287" s="44" t="s">
        <v>164</v>
      </c>
      <c r="I287" s="44" t="s">
        <v>165</v>
      </c>
      <c r="J287" s="44" t="s">
        <v>7</v>
      </c>
      <c r="K287" s="44" t="s">
        <v>123</v>
      </c>
      <c r="L287" s="40">
        <v>1137</v>
      </c>
      <c r="M287" s="41">
        <v>41339</v>
      </c>
      <c r="N287" s="40" t="s">
        <v>110</v>
      </c>
      <c r="O287" s="42">
        <f t="shared" si="12"/>
        <v>42522</v>
      </c>
      <c r="P287" s="40">
        <v>25</v>
      </c>
      <c r="Q287" s="120">
        <f>'[3]MetEd RC_GSLFMS'!G15</f>
        <v>14.146916841006437</v>
      </c>
      <c r="R287" s="120">
        <f>'[3]MetEd RC_GSLFMS'!H15</f>
        <v>19.496484309967499</v>
      </c>
      <c r="S287" s="120">
        <f>'[3]MetEd RC_GSLFMS'!I15</f>
        <v>18.633056975389206</v>
      </c>
      <c r="T287" s="120">
        <f>'[3]MetEd RC_GSLFMS'!J15</f>
        <v>20.13445107901115</v>
      </c>
      <c r="U287" s="120">
        <f>'[3]MetEd RC_GSLFMS'!K15</f>
        <v>21.463711644637836</v>
      </c>
      <c r="V287" s="91"/>
    </row>
    <row r="288" spans="1:22" x14ac:dyDescent="0.2">
      <c r="A288" s="48">
        <f t="shared" si="11"/>
        <v>280</v>
      </c>
      <c r="B288" s="43">
        <v>8</v>
      </c>
      <c r="C288" s="43">
        <v>21</v>
      </c>
      <c r="D288" s="38" t="s">
        <v>440</v>
      </c>
      <c r="E288" s="44" t="s">
        <v>167</v>
      </c>
      <c r="F288" s="44" t="s">
        <v>5</v>
      </c>
      <c r="G288" s="44" t="s">
        <v>108</v>
      </c>
      <c r="H288" s="44" t="s">
        <v>164</v>
      </c>
      <c r="I288" s="44" t="s">
        <v>165</v>
      </c>
      <c r="J288" s="44" t="s">
        <v>8</v>
      </c>
      <c r="K288" s="44" t="s">
        <v>120</v>
      </c>
      <c r="L288" s="40">
        <v>1136</v>
      </c>
      <c r="M288" s="41">
        <v>41339</v>
      </c>
      <c r="N288" s="40" t="s">
        <v>110</v>
      </c>
      <c r="O288" s="42">
        <f t="shared" si="12"/>
        <v>42522</v>
      </c>
      <c r="P288" s="40">
        <v>25</v>
      </c>
      <c r="Q288" s="120">
        <f>'[3]MetEd RC_GSDFMS'!G15</f>
        <v>15.362630159960311</v>
      </c>
      <c r="R288" s="120">
        <f>'[3]MetEd RC_GSDFMS'!H15</f>
        <v>20.643094166030743</v>
      </c>
      <c r="S288" s="120">
        <f>'[3]MetEd RC_GSDFMS'!I15</f>
        <v>19.83926127480516</v>
      </c>
      <c r="T288" s="120">
        <f>'[3]MetEd RC_GSDFMS'!J15</f>
        <v>21.312705647319362</v>
      </c>
      <c r="U288" s="120">
        <f>'[3]MetEd RC_GSDFMS'!K15</f>
        <v>22.622977600911788</v>
      </c>
      <c r="V288" s="91"/>
    </row>
    <row r="289" spans="1:22" x14ac:dyDescent="0.2">
      <c r="A289" s="48">
        <f t="shared" si="11"/>
        <v>281</v>
      </c>
      <c r="B289" s="43">
        <v>8</v>
      </c>
      <c r="C289" s="43">
        <v>22</v>
      </c>
      <c r="D289" s="38" t="s">
        <v>441</v>
      </c>
      <c r="E289" s="44" t="s">
        <v>169</v>
      </c>
      <c r="F289" s="44" t="s">
        <v>5</v>
      </c>
      <c r="G289" s="44" t="s">
        <v>108</v>
      </c>
      <c r="H289" s="44" t="s">
        <v>164</v>
      </c>
      <c r="I289" s="44" t="s">
        <v>165</v>
      </c>
      <c r="J289" s="44" t="s">
        <v>9</v>
      </c>
      <c r="K289" s="44" t="s">
        <v>117</v>
      </c>
      <c r="L289" s="40">
        <v>1138</v>
      </c>
      <c r="M289" s="41">
        <v>41339</v>
      </c>
      <c r="N289" s="40" t="s">
        <v>110</v>
      </c>
      <c r="O289" s="42">
        <f t="shared" si="12"/>
        <v>42522</v>
      </c>
      <c r="P289" s="40">
        <v>25</v>
      </c>
      <c r="Q289" s="120">
        <f>'[3]MetEd RC_GSSFMS'!G15</f>
        <v>15.208846639751759</v>
      </c>
      <c r="R289" s="120">
        <f>'[3]MetEd RC_GSSFMS'!H15</f>
        <v>20.715164471489118</v>
      </c>
      <c r="S289" s="120">
        <f>'[3]MetEd RC_GSSFMS'!I15</f>
        <v>19.789169451426837</v>
      </c>
      <c r="T289" s="120">
        <f>'[3]MetEd RC_GSSFMS'!J15</f>
        <v>21.37301350938689</v>
      </c>
      <c r="U289" s="120">
        <f>'[3]MetEd RC_GSSFMS'!K15</f>
        <v>22.631835569341021</v>
      </c>
      <c r="V289" s="91"/>
    </row>
    <row r="290" spans="1:22" x14ac:dyDescent="0.2">
      <c r="A290" s="48">
        <f t="shared" si="11"/>
        <v>282</v>
      </c>
      <c r="B290" s="43">
        <v>8</v>
      </c>
      <c r="C290" s="43">
        <v>23</v>
      </c>
      <c r="D290" s="38" t="s">
        <v>442</v>
      </c>
      <c r="E290" s="44" t="s">
        <v>171</v>
      </c>
      <c r="F290" s="44" t="s">
        <v>5</v>
      </c>
      <c r="G290" s="44" t="s">
        <v>108</v>
      </c>
      <c r="H290" s="44" t="s">
        <v>11</v>
      </c>
      <c r="I290" s="44" t="s">
        <v>11</v>
      </c>
      <c r="J290" s="44" t="s">
        <v>6</v>
      </c>
      <c r="K290" s="44" t="s">
        <v>128</v>
      </c>
      <c r="L290" s="40">
        <v>1139</v>
      </c>
      <c r="M290" s="41">
        <v>41339</v>
      </c>
      <c r="N290" s="40" t="s">
        <v>110</v>
      </c>
      <c r="O290" s="42">
        <f t="shared" si="12"/>
        <v>42522</v>
      </c>
      <c r="P290" s="40">
        <v>25</v>
      </c>
      <c r="Q290" s="120">
        <f>'[3]PECO LP_GSMS'!G15</f>
        <v>19.558252745753052</v>
      </c>
      <c r="R290" s="120">
        <f>'[3]PECO LP_GSMS'!H15</f>
        <v>24.700980956137382</v>
      </c>
      <c r="S290" s="120">
        <f>'[3]PECO LP_GSMS'!I15</f>
        <v>23.520443654913841</v>
      </c>
      <c r="T290" s="120">
        <f>'[3]PECO LP_GSMS'!J15</f>
        <v>25.100225371219107</v>
      </c>
      <c r="U290" s="120">
        <f>'[3]PECO LP_GSMS'!K15</f>
        <v>27.947707749919235</v>
      </c>
      <c r="V290" s="91"/>
    </row>
    <row r="291" spans="1:22" x14ac:dyDescent="0.2">
      <c r="A291" s="48">
        <f t="shared" si="11"/>
        <v>283</v>
      </c>
      <c r="B291" s="43">
        <v>8</v>
      </c>
      <c r="C291" s="43">
        <v>24</v>
      </c>
      <c r="D291" s="38" t="s">
        <v>443</v>
      </c>
      <c r="E291" s="44" t="s">
        <v>173</v>
      </c>
      <c r="F291" s="44" t="s">
        <v>5</v>
      </c>
      <c r="G291" s="44" t="s">
        <v>108</v>
      </c>
      <c r="H291" s="44" t="s">
        <v>10</v>
      </c>
      <c r="I291" s="44" t="s">
        <v>174</v>
      </c>
      <c r="J291" s="44" t="s">
        <v>7</v>
      </c>
      <c r="K291" s="44" t="s">
        <v>123</v>
      </c>
      <c r="L291" s="40">
        <v>1140</v>
      </c>
      <c r="M291" s="41">
        <v>41339</v>
      </c>
      <c r="N291" s="40" t="s">
        <v>110</v>
      </c>
      <c r="O291" s="42">
        <f t="shared" si="12"/>
        <v>42522</v>
      </c>
      <c r="P291" s="40">
        <v>25</v>
      </c>
      <c r="Q291" s="120">
        <f>'[3]Penelec RC_GSLFMS'!G15</f>
        <v>24.910079771501113</v>
      </c>
      <c r="R291" s="120">
        <f>'[3]Penelec RC_GSLFMS'!H15</f>
        <v>25.509270898054492</v>
      </c>
      <c r="S291" s="120">
        <f>'[3]Penelec RC_GSLFMS'!I15</f>
        <v>25.354144758212055</v>
      </c>
      <c r="T291" s="120">
        <f>'[3]Penelec RC_GSLFMS'!J15</f>
        <v>25.563065921089763</v>
      </c>
      <c r="U291" s="120">
        <f>'[3]Penelec RC_GSLFMS'!K15</f>
        <v>26.239001647757298</v>
      </c>
      <c r="V291" s="91"/>
    </row>
    <row r="292" spans="1:22" x14ac:dyDescent="0.2">
      <c r="A292" s="48">
        <f t="shared" si="11"/>
        <v>284</v>
      </c>
      <c r="B292" s="43">
        <v>8</v>
      </c>
      <c r="C292" s="43">
        <v>25</v>
      </c>
      <c r="D292" s="38" t="s">
        <v>444</v>
      </c>
      <c r="E292" s="44" t="s">
        <v>176</v>
      </c>
      <c r="F292" s="44" t="s">
        <v>5</v>
      </c>
      <c r="G292" s="44" t="s">
        <v>108</v>
      </c>
      <c r="H292" s="44" t="s">
        <v>10</v>
      </c>
      <c r="I292" s="44" t="s">
        <v>174</v>
      </c>
      <c r="J292" s="44" t="s">
        <v>8</v>
      </c>
      <c r="K292" s="44" t="s">
        <v>120</v>
      </c>
      <c r="L292" s="40">
        <v>1141</v>
      </c>
      <c r="M292" s="41">
        <v>41339</v>
      </c>
      <c r="N292" s="40" t="s">
        <v>110</v>
      </c>
      <c r="O292" s="42">
        <f t="shared" si="12"/>
        <v>42522</v>
      </c>
      <c r="P292" s="40">
        <v>25</v>
      </c>
      <c r="Q292" s="120">
        <f>'[3]Penelec RC_GSMFMS'!G15</f>
        <v>26.149563155003559</v>
      </c>
      <c r="R292" s="120">
        <f>'[3]Penelec RC_GSMFMS'!H15</f>
        <v>26.6224766107585</v>
      </c>
      <c r="S292" s="120">
        <f>'[3]Penelec RC_GSMFMS'!I15</f>
        <v>26.49691419939801</v>
      </c>
      <c r="T292" s="120">
        <f>'[3]Penelec RC_GSMFMS'!J15</f>
        <v>26.668986849418889</v>
      </c>
      <c r="U292" s="120">
        <f>'[3]Penelec RC_GSMFMS'!K15</f>
        <v>27.339974558302757</v>
      </c>
      <c r="V292" s="91"/>
    </row>
    <row r="293" spans="1:22" x14ac:dyDescent="0.2">
      <c r="A293" s="48">
        <f t="shared" si="11"/>
        <v>285</v>
      </c>
      <c r="B293" s="43">
        <v>8</v>
      </c>
      <c r="C293" s="43">
        <v>26</v>
      </c>
      <c r="D293" s="38" t="s">
        <v>445</v>
      </c>
      <c r="E293" s="44" t="s">
        <v>178</v>
      </c>
      <c r="F293" s="44" t="s">
        <v>5</v>
      </c>
      <c r="G293" s="44" t="s">
        <v>108</v>
      </c>
      <c r="H293" s="44" t="s">
        <v>10</v>
      </c>
      <c r="I293" s="44" t="s">
        <v>174</v>
      </c>
      <c r="J293" s="44" t="s">
        <v>9</v>
      </c>
      <c r="K293" s="44" t="s">
        <v>117</v>
      </c>
      <c r="L293" s="40">
        <v>1142</v>
      </c>
      <c r="M293" s="41">
        <v>41339</v>
      </c>
      <c r="N293" s="40" t="s">
        <v>110</v>
      </c>
      <c r="O293" s="42">
        <f t="shared" si="12"/>
        <v>42522</v>
      </c>
      <c r="P293" s="40">
        <v>25</v>
      </c>
      <c r="Q293" s="120">
        <f>'[3]Penelec RC_GSSFMS'!G15</f>
        <v>29.782170272277479</v>
      </c>
      <c r="R293" s="120">
        <f>'[3]Penelec RC_GSSFMS'!H15</f>
        <v>26.698656408155156</v>
      </c>
      <c r="S293" s="120">
        <f>'[3]Penelec RC_GSSFMS'!I15</f>
        <v>27.54501466438672</v>
      </c>
      <c r="T293" s="120">
        <f>'[3]Penelec RC_GSSFMS'!J15</f>
        <v>26.723256622178884</v>
      </c>
      <c r="U293" s="120">
        <f>'[3]Penelec RC_GSSFMS'!K15</f>
        <v>27.395067236416651</v>
      </c>
      <c r="V293" s="91"/>
    </row>
    <row r="294" spans="1:22" x14ac:dyDescent="0.2">
      <c r="A294" s="48">
        <f t="shared" si="11"/>
        <v>286</v>
      </c>
      <c r="B294" s="43">
        <v>8</v>
      </c>
      <c r="C294" s="43">
        <v>27</v>
      </c>
      <c r="D294" s="38" t="s">
        <v>446</v>
      </c>
      <c r="E294" s="44" t="s">
        <v>180</v>
      </c>
      <c r="F294" s="44" t="s">
        <v>5</v>
      </c>
      <c r="G294" s="44" t="s">
        <v>108</v>
      </c>
      <c r="H294" s="44" t="s">
        <v>91</v>
      </c>
      <c r="I294" s="44" t="s">
        <v>181</v>
      </c>
      <c r="J294" s="44" t="s">
        <v>6</v>
      </c>
      <c r="K294" s="44" t="s">
        <v>128</v>
      </c>
      <c r="L294" s="40">
        <v>1143</v>
      </c>
      <c r="M294" s="41">
        <v>41339</v>
      </c>
      <c r="N294" s="40" t="s">
        <v>110</v>
      </c>
      <c r="O294" s="42">
        <f t="shared" si="12"/>
        <v>42522</v>
      </c>
      <c r="P294" s="40">
        <v>25</v>
      </c>
      <c r="Q294" s="120">
        <f>'[3]Penn Power RC_GMDMS'!G15</f>
        <v>32.934212157309126</v>
      </c>
      <c r="R294" s="120">
        <f>'[3]Penn Power RC_GMDMS'!H15</f>
        <v>32.532538415838587</v>
      </c>
      <c r="S294" s="120">
        <f>'[3]Penn Power RC_GMDMS'!I15</f>
        <v>33.439667724178378</v>
      </c>
      <c r="T294" s="120">
        <f>'[3]Penn Power RC_GMDMS'!J15</f>
        <v>33.724254361787217</v>
      </c>
      <c r="U294" s="120">
        <f>'[3]Penn Power RC_GMDMS'!K15</f>
        <v>34.765839543405008</v>
      </c>
      <c r="V294" s="91"/>
    </row>
    <row r="295" spans="1:22" x14ac:dyDescent="0.2">
      <c r="A295" s="48">
        <f t="shared" si="11"/>
        <v>287</v>
      </c>
      <c r="B295" s="43">
        <v>8</v>
      </c>
      <c r="C295" s="43">
        <v>28</v>
      </c>
      <c r="D295" s="38" t="s">
        <v>447</v>
      </c>
      <c r="E295" s="44" t="s">
        <v>183</v>
      </c>
      <c r="F295" s="44" t="s">
        <v>37</v>
      </c>
      <c r="G295" s="44" t="s">
        <v>108</v>
      </c>
      <c r="H295" s="44" t="s">
        <v>42</v>
      </c>
      <c r="I295" s="44" t="s">
        <v>42</v>
      </c>
      <c r="J295" s="44" t="s">
        <v>6</v>
      </c>
      <c r="K295" s="44" t="s">
        <v>128</v>
      </c>
      <c r="L295" s="40">
        <v>1144</v>
      </c>
      <c r="M295" s="41">
        <v>41339</v>
      </c>
      <c r="N295" s="40" t="s">
        <v>110</v>
      </c>
      <c r="O295" s="42">
        <f t="shared" si="12"/>
        <v>42522</v>
      </c>
      <c r="P295" s="40">
        <v>25</v>
      </c>
      <c r="Q295" s="120">
        <f>'[3]PEPCO MD LP_MDNDMS'!G15</f>
        <v>34.533722467412069</v>
      </c>
      <c r="R295" s="120">
        <f>'[3]PEPCO MD LP_MDNDMS'!H15</f>
        <v>34.836502647331656</v>
      </c>
      <c r="S295" s="120">
        <f>'[3]PEPCO MD LP_MDNDMS'!I15</f>
        <v>34.669599563815034</v>
      </c>
      <c r="T295" s="120">
        <f>'[3]PEPCO MD LP_MDNDMS'!J15</f>
        <v>34.832132200364654</v>
      </c>
      <c r="U295" s="120">
        <f>'[3]PEPCO MD LP_MDNDMS'!K15</f>
        <v>35.267025033693919</v>
      </c>
      <c r="V295" s="91"/>
    </row>
    <row r="296" spans="1:22" x14ac:dyDescent="0.2">
      <c r="A296" s="48">
        <f t="shared" si="11"/>
        <v>288</v>
      </c>
      <c r="B296" s="43">
        <v>8</v>
      </c>
      <c r="C296" s="43">
        <v>29</v>
      </c>
      <c r="D296" s="38" t="s">
        <v>448</v>
      </c>
      <c r="E296" s="44" t="s">
        <v>185</v>
      </c>
      <c r="F296" s="44" t="s">
        <v>37</v>
      </c>
      <c r="G296" s="44" t="s">
        <v>108</v>
      </c>
      <c r="H296" s="44" t="s">
        <v>42</v>
      </c>
      <c r="I296" s="44" t="s">
        <v>42</v>
      </c>
      <c r="J296" s="44" t="s">
        <v>43</v>
      </c>
      <c r="K296" s="44" t="s">
        <v>186</v>
      </c>
      <c r="L296" s="40">
        <v>1145</v>
      </c>
      <c r="M296" s="41">
        <v>41339</v>
      </c>
      <c r="N296" s="40" t="s">
        <v>110</v>
      </c>
      <c r="O296" s="42">
        <f t="shared" si="12"/>
        <v>42522</v>
      </c>
      <c r="P296" s="40">
        <v>25</v>
      </c>
      <c r="Q296" s="120">
        <f>'[3]PEPCO MD LP_MMGTL2AMS'!G15</f>
        <v>32.482603048465336</v>
      </c>
      <c r="R296" s="120">
        <f>'[3]PEPCO MD LP_MMGTL2AMS'!H15</f>
        <v>33.789467477749305</v>
      </c>
      <c r="S296" s="120">
        <f>'[3]PEPCO MD LP_MMGTL2AMS'!I15</f>
        <v>33.293702869641983</v>
      </c>
      <c r="T296" s="120">
        <f>'[3]PEPCO MD LP_MMGTL2AMS'!J15</f>
        <v>33.77506765612025</v>
      </c>
      <c r="U296" s="120">
        <f>'[3]PEPCO MD LP_MMGTL2AMS'!K15</f>
        <v>34.190339747075917</v>
      </c>
      <c r="V296" s="91"/>
    </row>
    <row r="297" spans="1:22" x14ac:dyDescent="0.2">
      <c r="A297" s="48">
        <f t="shared" si="11"/>
        <v>289</v>
      </c>
      <c r="B297" s="43">
        <v>8</v>
      </c>
      <c r="C297" s="43">
        <v>30</v>
      </c>
      <c r="D297" s="38" t="s">
        <v>449</v>
      </c>
      <c r="E297" s="44" t="s">
        <v>188</v>
      </c>
      <c r="F297" s="44" t="s">
        <v>37</v>
      </c>
      <c r="G297" s="44" t="s">
        <v>108</v>
      </c>
      <c r="H297" s="44" t="s">
        <v>42</v>
      </c>
      <c r="I297" s="44" t="s">
        <v>42</v>
      </c>
      <c r="J297" s="44" t="s">
        <v>44</v>
      </c>
      <c r="K297" s="44" t="s">
        <v>44</v>
      </c>
      <c r="L297" s="40">
        <v>1146</v>
      </c>
      <c r="M297" s="41">
        <v>41339</v>
      </c>
      <c r="N297" s="40" t="s">
        <v>110</v>
      </c>
      <c r="O297" s="42">
        <f t="shared" si="12"/>
        <v>42522</v>
      </c>
      <c r="P297" s="40">
        <v>25</v>
      </c>
      <c r="Q297" s="120">
        <f>'[3]PEPCO MD RC_3T7MS'!G15</f>
        <v>34.443510812837744</v>
      </c>
      <c r="R297" s="120">
        <f>'[3]PEPCO MD RC_3T7MS'!H15</f>
        <v>34.617245046986099</v>
      </c>
      <c r="S297" s="120">
        <f>'[3]PEPCO MD RC_3T7MS'!I15</f>
        <v>34.640472270995815</v>
      </c>
      <c r="T297" s="120">
        <f>'[3]PEPCO MD RC_3T7MS'!J15</f>
        <v>34.729752729291164</v>
      </c>
      <c r="U297" s="120">
        <f>'[3]PEPCO MD RC_3T7MS'!K15</f>
        <v>35.207075829227712</v>
      </c>
      <c r="V297" s="91"/>
    </row>
    <row r="298" spans="1:22" x14ac:dyDescent="0.2">
      <c r="A298" s="48">
        <f t="shared" si="11"/>
        <v>290</v>
      </c>
      <c r="B298" s="43">
        <v>8</v>
      </c>
      <c r="C298" s="43">
        <v>31</v>
      </c>
      <c r="D298" s="38" t="s">
        <v>450</v>
      </c>
      <c r="E298" s="44" t="s">
        <v>190</v>
      </c>
      <c r="F298" s="44" t="s">
        <v>37</v>
      </c>
      <c r="G298" s="44" t="s">
        <v>108</v>
      </c>
      <c r="H298" s="44" t="s">
        <v>45</v>
      </c>
      <c r="I298" s="44" t="s">
        <v>45</v>
      </c>
      <c r="J298" s="44" t="s">
        <v>6</v>
      </c>
      <c r="K298" s="44" t="s">
        <v>128</v>
      </c>
      <c r="L298" s="40">
        <v>1147</v>
      </c>
      <c r="M298" s="41">
        <v>41339</v>
      </c>
      <c r="N298" s="40" t="s">
        <v>110</v>
      </c>
      <c r="O298" s="42">
        <f t="shared" si="12"/>
        <v>42522</v>
      </c>
      <c r="P298" s="40">
        <v>25</v>
      </c>
      <c r="Q298" s="120">
        <f>'[3]Potomac Edison LP_GSCM_MMS'!G15</f>
        <v>28.277241554704528</v>
      </c>
      <c r="R298" s="120">
        <f>'[3]Potomac Edison LP_GSCM_MMS'!H15</f>
        <v>25.974140373828785</v>
      </c>
      <c r="S298" s="120">
        <f>'[3]Potomac Edison LP_GSCM_MMS'!I15</f>
        <v>29.006340716938489</v>
      </c>
      <c r="T298" s="120">
        <f>'[3]Potomac Edison LP_GSCM_MMS'!J15</f>
        <v>29.447932261121952</v>
      </c>
      <c r="U298" s="120">
        <f>'[3]Potomac Edison LP_GSCM_MMS'!K15</f>
        <v>31.526240937163671</v>
      </c>
      <c r="V298" s="91"/>
    </row>
    <row r="299" spans="1:22" x14ac:dyDescent="0.2">
      <c r="A299" s="48">
        <f t="shared" si="11"/>
        <v>291</v>
      </c>
      <c r="B299" s="43">
        <v>8</v>
      </c>
      <c r="C299" s="43">
        <v>32</v>
      </c>
      <c r="D299" s="38" t="s">
        <v>451</v>
      </c>
      <c r="E299" s="44" t="s">
        <v>192</v>
      </c>
      <c r="F299" s="44" t="s">
        <v>5</v>
      </c>
      <c r="G299" s="44" t="s">
        <v>108</v>
      </c>
      <c r="H299" s="44" t="s">
        <v>12</v>
      </c>
      <c r="I299" s="44" t="s">
        <v>12</v>
      </c>
      <c r="J299" s="44" t="s">
        <v>13</v>
      </c>
      <c r="K299" s="44" t="s">
        <v>117</v>
      </c>
      <c r="L299" s="40">
        <v>1148</v>
      </c>
      <c r="M299" s="41">
        <v>41339</v>
      </c>
      <c r="N299" s="40" t="s">
        <v>110</v>
      </c>
      <c r="O299" s="42">
        <f t="shared" si="12"/>
        <v>42522</v>
      </c>
      <c r="P299" s="40">
        <v>25</v>
      </c>
      <c r="Q299" s="120">
        <f>[3]PPL_RCGS1MS!G15</f>
        <v>23.853324205603329</v>
      </c>
      <c r="R299" s="120">
        <f>[3]PPL_RCGS1MS!H15</f>
        <v>28.086366102153221</v>
      </c>
      <c r="S299" s="120">
        <f>[3]PPL_RCGS1MS!I15</f>
        <v>27.2644945164602</v>
      </c>
      <c r="T299" s="120">
        <f>[3]PPL_RCGS1MS!J15</f>
        <v>28.382467560050259</v>
      </c>
      <c r="U299" s="120">
        <f>[3]PPL_RCGS1MS!K15</f>
        <v>28.988300985164461</v>
      </c>
      <c r="V299" s="91"/>
    </row>
    <row r="300" spans="1:22" x14ac:dyDescent="0.2">
      <c r="A300" s="48">
        <f t="shared" si="11"/>
        <v>292</v>
      </c>
      <c r="B300" s="43">
        <v>8</v>
      </c>
      <c r="C300" s="43">
        <v>33</v>
      </c>
      <c r="D300" s="38" t="s">
        <v>452</v>
      </c>
      <c r="E300" s="44" t="s">
        <v>194</v>
      </c>
      <c r="F300" s="44" t="s">
        <v>5</v>
      </c>
      <c r="G300" s="44" t="s">
        <v>108</v>
      </c>
      <c r="H300" s="44" t="s">
        <v>12</v>
      </c>
      <c r="I300" s="44" t="s">
        <v>12</v>
      </c>
      <c r="J300" s="44" t="s">
        <v>14</v>
      </c>
      <c r="K300" s="44" t="s">
        <v>123</v>
      </c>
      <c r="L300" s="40">
        <v>1149</v>
      </c>
      <c r="M300" s="41">
        <v>41339</v>
      </c>
      <c r="N300" s="40" t="s">
        <v>110</v>
      </c>
      <c r="O300" s="42">
        <f t="shared" si="12"/>
        <v>42522</v>
      </c>
      <c r="P300" s="40">
        <v>25</v>
      </c>
      <c r="Q300" s="120">
        <f>[3]PPL_RCGS3MS!G15</f>
        <v>23.193966608031662</v>
      </c>
      <c r="R300" s="120">
        <f>[3]PPL_RCGS3MS!H15</f>
        <v>27.89532742720176</v>
      </c>
      <c r="S300" s="120">
        <f>[3]PPL_RCGS3MS!I15</f>
        <v>26.932979624079945</v>
      </c>
      <c r="T300" s="120">
        <f>[3]PPL_RCGS3MS!J15</f>
        <v>28.24537670538842</v>
      </c>
      <c r="U300" s="120">
        <f>[3]PPL_RCGS3MS!K15</f>
        <v>28.942826194212131</v>
      </c>
      <c r="V300" s="91"/>
    </row>
    <row r="301" spans="1:22" x14ac:dyDescent="0.2">
      <c r="A301" s="48">
        <f t="shared" si="11"/>
        <v>293</v>
      </c>
      <c r="B301" s="43">
        <v>8</v>
      </c>
      <c r="C301" s="43">
        <v>34</v>
      </c>
      <c r="D301" s="38" t="s">
        <v>453</v>
      </c>
      <c r="E301" s="44" t="s">
        <v>196</v>
      </c>
      <c r="F301" s="44" t="s">
        <v>29</v>
      </c>
      <c r="G301" s="44" t="s">
        <v>108</v>
      </c>
      <c r="H301" s="44" t="s">
        <v>34</v>
      </c>
      <c r="I301" s="44" t="s">
        <v>34</v>
      </c>
      <c r="J301" s="44" t="s">
        <v>35</v>
      </c>
      <c r="K301" s="44" t="s">
        <v>197</v>
      </c>
      <c r="L301" s="40">
        <v>1150</v>
      </c>
      <c r="M301" s="41">
        <v>41339</v>
      </c>
      <c r="N301" s="40" t="s">
        <v>110</v>
      </c>
      <c r="O301" s="42">
        <f t="shared" si="12"/>
        <v>42522</v>
      </c>
      <c r="P301" s="40">
        <v>25</v>
      </c>
      <c r="Q301" s="120">
        <f>'[3]PSEG LP_GLP_MMS'!G15</f>
        <v>51.69417182805001</v>
      </c>
      <c r="R301" s="120">
        <f>'[3]PSEG LP_GLP_MMS'!H15</f>
        <v>57.256414804253531</v>
      </c>
      <c r="S301" s="120">
        <f>'[3]PSEG LP_GLP_MMS'!I15</f>
        <v>56.460274558798083</v>
      </c>
      <c r="T301" s="120">
        <f>'[3]PSEG LP_GLP_MMS'!J15</f>
        <v>57.97221344294433</v>
      </c>
      <c r="U301" s="120">
        <f>'[3]PSEG LP_GLP_MMS'!K15</f>
        <v>59.005502467643694</v>
      </c>
      <c r="V301" s="91"/>
    </row>
    <row r="302" spans="1:22" x14ac:dyDescent="0.2">
      <c r="A302" s="48">
        <f t="shared" si="11"/>
        <v>294</v>
      </c>
      <c r="B302" s="43">
        <v>8</v>
      </c>
      <c r="C302" s="43">
        <v>35</v>
      </c>
      <c r="D302" s="38" t="s">
        <v>454</v>
      </c>
      <c r="E302" s="44" t="s">
        <v>199</v>
      </c>
      <c r="F302" s="44" t="s">
        <v>29</v>
      </c>
      <c r="G302" s="44" t="s">
        <v>108</v>
      </c>
      <c r="H302" s="44" t="s">
        <v>34</v>
      </c>
      <c r="I302" s="44" t="s">
        <v>34</v>
      </c>
      <c r="J302" s="44" t="s">
        <v>36</v>
      </c>
      <c r="K302" s="44" t="s">
        <v>200</v>
      </c>
      <c r="L302" s="40">
        <v>1151</v>
      </c>
      <c r="M302" s="41">
        <v>41339</v>
      </c>
      <c r="N302" s="40" t="s">
        <v>110</v>
      </c>
      <c r="O302" s="42">
        <f t="shared" si="12"/>
        <v>42522</v>
      </c>
      <c r="P302" s="40">
        <v>25</v>
      </c>
      <c r="Q302" s="120">
        <f>'[3]PSEG LP_LPLMS'!G15</f>
        <v>51.311439911143317</v>
      </c>
      <c r="R302" s="120">
        <f>'[3]PSEG LP_LPLMS'!H15</f>
        <v>56.638908693749848</v>
      </c>
      <c r="S302" s="120">
        <f>'[3]PSEG LP_LPLMS'!I15</f>
        <v>55.817238869715382</v>
      </c>
      <c r="T302" s="120">
        <f>'[3]PSEG LP_LPLMS'!J15</f>
        <v>57.258455758682821</v>
      </c>
      <c r="U302" s="120">
        <f>'[3]PSEG LP_LPLMS'!K15</f>
        <v>58.265946955990401</v>
      </c>
      <c r="V302" s="91"/>
    </row>
    <row r="303" spans="1:22" x14ac:dyDescent="0.2">
      <c r="A303" s="48">
        <f t="shared" si="11"/>
        <v>295</v>
      </c>
      <c r="B303" s="43">
        <v>8</v>
      </c>
      <c r="C303" s="43">
        <v>36</v>
      </c>
      <c r="D303" s="38" t="s">
        <v>455</v>
      </c>
      <c r="E303" s="44" t="s">
        <v>202</v>
      </c>
      <c r="F303" s="44" t="s">
        <v>5</v>
      </c>
      <c r="G303" s="44" t="s">
        <v>108</v>
      </c>
      <c r="H303" s="44" t="s">
        <v>15</v>
      </c>
      <c r="I303" s="44" t="s">
        <v>203</v>
      </c>
      <c r="J303" s="44" t="s">
        <v>16</v>
      </c>
      <c r="K303" s="44" t="s">
        <v>128</v>
      </c>
      <c r="L303" s="40">
        <v>1152</v>
      </c>
      <c r="M303" s="41">
        <v>41339</v>
      </c>
      <c r="N303" s="40" t="s">
        <v>110</v>
      </c>
      <c r="O303" s="42">
        <f t="shared" si="12"/>
        <v>42522</v>
      </c>
      <c r="P303" s="40">
        <v>25</v>
      </c>
      <c r="Q303" s="120">
        <f>'[3]West Penn Power LP_GSCMMS'!G15</f>
        <v>25.966134094107673</v>
      </c>
      <c r="R303" s="120">
        <f>'[3]West Penn Power LP_GSCMMS'!H15</f>
        <v>26.180140158401748</v>
      </c>
      <c r="S303" s="120">
        <f>'[3]West Penn Power LP_GSCMMS'!I15</f>
        <v>28.243064847206195</v>
      </c>
      <c r="T303" s="120">
        <f>'[3]West Penn Power LP_GSCMMS'!J15</f>
        <v>29.413007676723215</v>
      </c>
      <c r="U303" s="120">
        <f>'[3]West Penn Power LP_GSCMMS'!K15</f>
        <v>31.23009857815558</v>
      </c>
      <c r="V303" s="91"/>
    </row>
    <row r="304" spans="1:22" x14ac:dyDescent="0.2">
      <c r="A304" s="48">
        <f t="shared" si="11"/>
        <v>296</v>
      </c>
      <c r="B304" s="20"/>
      <c r="C304" s="20"/>
      <c r="D304" s="20"/>
      <c r="Q304" s="121"/>
      <c r="R304" s="121"/>
      <c r="S304" s="121"/>
      <c r="T304" s="121"/>
      <c r="U304" s="121"/>
    </row>
    <row r="305" spans="1:22" x14ac:dyDescent="0.2">
      <c r="A305" s="48">
        <f t="shared" si="11"/>
        <v>297</v>
      </c>
      <c r="B305" s="43">
        <v>9</v>
      </c>
      <c r="C305" s="43">
        <v>1</v>
      </c>
      <c r="D305" s="38" t="s">
        <v>456</v>
      </c>
      <c r="E305" s="44" t="s">
        <v>107</v>
      </c>
      <c r="F305" s="44" t="s">
        <v>29</v>
      </c>
      <c r="G305" s="44" t="s">
        <v>108</v>
      </c>
      <c r="H305" s="44" t="s">
        <v>30</v>
      </c>
      <c r="I305" s="44" t="s">
        <v>30</v>
      </c>
      <c r="J305" s="44" t="s">
        <v>31</v>
      </c>
      <c r="K305" s="44" t="s">
        <v>109</v>
      </c>
      <c r="L305" s="40">
        <v>1117</v>
      </c>
      <c r="M305" s="41">
        <v>41339</v>
      </c>
      <c r="N305" s="40" t="s">
        <v>110</v>
      </c>
      <c r="O305" s="42">
        <f>EDATE(O268,1)</f>
        <v>42552</v>
      </c>
      <c r="P305" s="40">
        <v>26</v>
      </c>
      <c r="Q305" s="120">
        <f>'[3]AECO LP_10V1_SMS'!G16</f>
        <v>42.578497830907637</v>
      </c>
      <c r="R305" s="120">
        <f>'[3]AECO LP_10V1_SMS'!H16</f>
        <v>46.771250824529957</v>
      </c>
      <c r="S305" s="120">
        <f>'[3]AECO LP_10V1_SMS'!I16</f>
        <v>45.699509564909285</v>
      </c>
      <c r="T305" s="120">
        <f>'[3]AECO LP_10V1_SMS'!J16</f>
        <v>47.210413144171056</v>
      </c>
      <c r="U305" s="120">
        <f>'[3]AECO LP_10V1_SMS'!K16</f>
        <v>49.183667059499946</v>
      </c>
      <c r="V305" s="91"/>
    </row>
    <row r="306" spans="1:22" x14ac:dyDescent="0.2">
      <c r="A306" s="48">
        <f t="shared" si="11"/>
        <v>298</v>
      </c>
      <c r="B306" s="43">
        <v>9</v>
      </c>
      <c r="C306" s="43">
        <v>2</v>
      </c>
      <c r="D306" s="38" t="s">
        <v>457</v>
      </c>
      <c r="E306" s="44" t="s">
        <v>112</v>
      </c>
      <c r="F306" s="44" t="s">
        <v>29</v>
      </c>
      <c r="G306" s="44" t="s">
        <v>108</v>
      </c>
      <c r="H306" s="44" t="s">
        <v>30</v>
      </c>
      <c r="I306" s="44" t="s">
        <v>30</v>
      </c>
      <c r="J306" s="44" t="s">
        <v>32</v>
      </c>
      <c r="K306" s="44" t="s">
        <v>113</v>
      </c>
      <c r="L306" s="40">
        <v>1118</v>
      </c>
      <c r="M306" s="41">
        <v>41339</v>
      </c>
      <c r="N306" s="40" t="s">
        <v>110</v>
      </c>
      <c r="O306" s="42">
        <f>O305</f>
        <v>42552</v>
      </c>
      <c r="P306" s="40">
        <v>26</v>
      </c>
      <c r="Q306" s="120">
        <f>'[3]AECO LP_14V1_MMS'!G16</f>
        <v>43.612621720802927</v>
      </c>
      <c r="R306" s="120">
        <f>'[3]AECO LP_14V1_MMS'!H16</f>
        <v>46.789761687792577</v>
      </c>
      <c r="S306" s="120">
        <f>'[3]AECO LP_14V1_MMS'!I16</f>
        <v>45.975378943069821</v>
      </c>
      <c r="T306" s="120">
        <f>'[3]AECO LP_14V1_MMS'!J16</f>
        <v>45.981504470244218</v>
      </c>
      <c r="U306" s="120">
        <f>'[3]AECO LP_14V1_MMS'!K16</f>
        <v>46.611761863493349</v>
      </c>
      <c r="V306" s="91"/>
    </row>
    <row r="307" spans="1:22" x14ac:dyDescent="0.2">
      <c r="A307" s="48">
        <f t="shared" si="11"/>
        <v>299</v>
      </c>
      <c r="B307" s="43">
        <v>9</v>
      </c>
      <c r="C307" s="43">
        <v>3</v>
      </c>
      <c r="D307" s="38" t="s">
        <v>458</v>
      </c>
      <c r="E307" s="44" t="s">
        <v>115</v>
      </c>
      <c r="F307" s="44" t="s">
        <v>18</v>
      </c>
      <c r="G307" s="44" t="s">
        <v>108</v>
      </c>
      <c r="H307" s="44" t="s">
        <v>61</v>
      </c>
      <c r="I307" s="44" t="s">
        <v>116</v>
      </c>
      <c r="J307" s="44" t="s">
        <v>13</v>
      </c>
      <c r="K307" s="44" t="s">
        <v>117</v>
      </c>
      <c r="L307" s="40">
        <v>1119</v>
      </c>
      <c r="M307" s="41">
        <v>41339</v>
      </c>
      <c r="N307" s="40" t="s">
        <v>110</v>
      </c>
      <c r="O307" s="42">
        <f t="shared" ref="O307:O340" si="13">O306</f>
        <v>42552</v>
      </c>
      <c r="P307" s="40">
        <v>26</v>
      </c>
      <c r="Q307" s="120">
        <f>'[3]AEP_OH_CS - test CSGS1MS'!G16</f>
        <v>17.788860359211885</v>
      </c>
      <c r="R307" s="120">
        <f>'[3]AEP_OH_CS - test CSGS1MS'!H16</f>
        <v>19.124659346552392</v>
      </c>
      <c r="S307" s="120">
        <f>'[3]AEP_OH_CS - test CSGS1MS'!I16</f>
        <v>20.591563995659804</v>
      </c>
      <c r="T307" s="120">
        <f>'[3]AEP_OH_CS - test CSGS1MS'!J16</f>
        <v>21.915446452277202</v>
      </c>
      <c r="U307" s="120">
        <f>'[3]AEP_OH_CS - test CSGS1MS'!K16</f>
        <v>23.782269943517164</v>
      </c>
      <c r="V307" s="91"/>
    </row>
    <row r="308" spans="1:22" x14ac:dyDescent="0.2">
      <c r="A308" s="48">
        <f t="shared" si="11"/>
        <v>300</v>
      </c>
      <c r="B308" s="43">
        <v>9</v>
      </c>
      <c r="C308" s="43">
        <v>4</v>
      </c>
      <c r="D308" s="38" t="s">
        <v>459</v>
      </c>
      <c r="E308" s="44" t="s">
        <v>119</v>
      </c>
      <c r="F308" s="44" t="s">
        <v>18</v>
      </c>
      <c r="G308" s="44" t="s">
        <v>108</v>
      </c>
      <c r="H308" s="44" t="s">
        <v>61</v>
      </c>
      <c r="I308" s="44" t="s">
        <v>116</v>
      </c>
      <c r="J308" s="44" t="s">
        <v>19</v>
      </c>
      <c r="K308" s="44" t="s">
        <v>120</v>
      </c>
      <c r="L308" s="40">
        <v>1120</v>
      </c>
      <c r="M308" s="41">
        <v>41339</v>
      </c>
      <c r="N308" s="40" t="s">
        <v>110</v>
      </c>
      <c r="O308" s="42">
        <f t="shared" si="13"/>
        <v>42552</v>
      </c>
      <c r="P308" s="40">
        <v>26</v>
      </c>
      <c r="Q308" s="120">
        <f>'[3]AEP_OH_CS - test CSGS2UMS'!G16</f>
        <v>18.315727613619014</v>
      </c>
      <c r="R308" s="120">
        <f>'[3]AEP_OH_CS - test CSGS2UMS'!H16</f>
        <v>19.187118895638744</v>
      </c>
      <c r="S308" s="120">
        <f>'[3]AEP_OH_CS - test CSGS2UMS'!I16</f>
        <v>20.862201705242736</v>
      </c>
      <c r="T308" s="120">
        <f>'[3]AEP_OH_CS - test CSGS2UMS'!J16</f>
        <v>21.984700370766461</v>
      </c>
      <c r="U308" s="120">
        <f>'[3]AEP_OH_CS - test CSGS2UMS'!K16</f>
        <v>23.857319862318125</v>
      </c>
      <c r="V308" s="91"/>
    </row>
    <row r="309" spans="1:22" x14ac:dyDescent="0.2">
      <c r="A309" s="48">
        <f t="shared" si="11"/>
        <v>301</v>
      </c>
      <c r="B309" s="43">
        <v>9</v>
      </c>
      <c r="C309" s="43">
        <v>5</v>
      </c>
      <c r="D309" s="38" t="s">
        <v>460</v>
      </c>
      <c r="E309" s="44" t="s">
        <v>122</v>
      </c>
      <c r="F309" s="44" t="s">
        <v>18</v>
      </c>
      <c r="G309" s="44" t="s">
        <v>108</v>
      </c>
      <c r="H309" s="44" t="s">
        <v>61</v>
      </c>
      <c r="I309" s="44" t="s">
        <v>116</v>
      </c>
      <c r="J309" s="44" t="s">
        <v>14</v>
      </c>
      <c r="K309" s="44" t="s">
        <v>123</v>
      </c>
      <c r="L309" s="40">
        <v>1121</v>
      </c>
      <c r="M309" s="41">
        <v>41339</v>
      </c>
      <c r="N309" s="40" t="s">
        <v>110</v>
      </c>
      <c r="O309" s="42">
        <f t="shared" si="13"/>
        <v>42552</v>
      </c>
      <c r="P309" s="40">
        <v>26</v>
      </c>
      <c r="Q309" s="120">
        <f>'[3]AEP_OH_CS - test CSGS3UMS'!G16</f>
        <v>18.315727613619014</v>
      </c>
      <c r="R309" s="120">
        <f>'[3]AEP_OH_CS - test CSGS3UMS'!H16</f>
        <v>19.187118895638744</v>
      </c>
      <c r="S309" s="120">
        <f>'[3]AEP_OH_CS - test CSGS3UMS'!I16</f>
        <v>20.862201705242736</v>
      </c>
      <c r="T309" s="120">
        <f>'[3]AEP_OH_CS - test CSGS3UMS'!J16</f>
        <v>21.984700370766461</v>
      </c>
      <c r="U309" s="120">
        <f>'[3]AEP_OH_CS - test CSGS3UMS'!K16</f>
        <v>23.857319862318125</v>
      </c>
      <c r="V309" s="91"/>
    </row>
    <row r="310" spans="1:22" x14ac:dyDescent="0.2">
      <c r="A310" s="48">
        <f t="shared" si="11"/>
        <v>302</v>
      </c>
      <c r="B310" s="43">
        <v>9</v>
      </c>
      <c r="C310" s="43">
        <v>6</v>
      </c>
      <c r="D310" s="38" t="s">
        <v>461</v>
      </c>
      <c r="E310" s="44" t="s">
        <v>125</v>
      </c>
      <c r="F310" s="44" t="s">
        <v>23</v>
      </c>
      <c r="G310" s="44" t="s">
        <v>126</v>
      </c>
      <c r="H310" s="44" t="s">
        <v>127</v>
      </c>
      <c r="I310" s="44" t="s">
        <v>27</v>
      </c>
      <c r="J310" s="44" t="s">
        <v>28</v>
      </c>
      <c r="K310" s="44" t="s">
        <v>128</v>
      </c>
      <c r="L310" s="40">
        <v>1122</v>
      </c>
      <c r="M310" s="41">
        <v>41339</v>
      </c>
      <c r="N310" s="40" t="s">
        <v>110</v>
      </c>
      <c r="O310" s="42">
        <f t="shared" si="13"/>
        <v>42552</v>
      </c>
      <c r="P310" s="40">
        <v>26</v>
      </c>
      <c r="Q310" s="120">
        <f>'[3]Ameren RateZnIII LP DS2HHMS'!G16</f>
        <v>22.062415566531524</v>
      </c>
      <c r="R310" s="120">
        <f>'[3]Ameren RateZnIII LP DS2HHMS'!H16</f>
        <v>22.757662299366189</v>
      </c>
      <c r="S310" s="120">
        <f>'[3]Ameren RateZnIII LP DS2HHMS'!I16</f>
        <v>23.062179209207102</v>
      </c>
      <c r="T310" s="120">
        <f>'[3]Ameren RateZnIII LP DS2HHMS'!J16</f>
        <v>23.342960207974542</v>
      </c>
      <c r="U310" s="120">
        <f>'[3]Ameren RateZnIII LP DS2HHMS'!K16</f>
        <v>23.891754133756955</v>
      </c>
      <c r="V310" s="91"/>
    </row>
    <row r="311" spans="1:22" x14ac:dyDescent="0.2">
      <c r="A311" s="48">
        <f t="shared" si="11"/>
        <v>303</v>
      </c>
      <c r="B311" s="43">
        <v>9</v>
      </c>
      <c r="C311" s="43">
        <v>7</v>
      </c>
      <c r="D311" s="38" t="s">
        <v>462</v>
      </c>
      <c r="E311" s="44" t="s">
        <v>130</v>
      </c>
      <c r="F311" s="44" t="s">
        <v>37</v>
      </c>
      <c r="G311" s="44" t="s">
        <v>108</v>
      </c>
      <c r="H311" s="44" t="s">
        <v>38</v>
      </c>
      <c r="I311" s="44" t="s">
        <v>38</v>
      </c>
      <c r="J311" s="44" t="s">
        <v>40</v>
      </c>
      <c r="K311" s="44" t="s">
        <v>123</v>
      </c>
      <c r="L311" s="40">
        <v>1124</v>
      </c>
      <c r="M311" s="41">
        <v>41339</v>
      </c>
      <c r="N311" s="40" t="s">
        <v>110</v>
      </c>
      <c r="O311" s="42">
        <f t="shared" si="13"/>
        <v>42552</v>
      </c>
      <c r="P311" s="40">
        <v>26</v>
      </c>
      <c r="Q311" s="120">
        <f>'[3]BGE LP_GLMS'!G16</f>
        <v>32.641652490785454</v>
      </c>
      <c r="R311" s="120">
        <f>'[3]BGE LP_GLMS'!H16</f>
        <v>34.216814551743276</v>
      </c>
      <c r="S311" s="120">
        <f>'[3]BGE LP_GLMS'!I16</f>
        <v>33.652135167609607</v>
      </c>
      <c r="T311" s="120">
        <f>'[3]BGE LP_GLMS'!J16</f>
        <v>34.324279527446322</v>
      </c>
      <c r="U311" s="120">
        <f>'[3]BGE LP_GLMS'!K16</f>
        <v>35.147759774245912</v>
      </c>
      <c r="V311" s="91"/>
    </row>
    <row r="312" spans="1:22" x14ac:dyDescent="0.2">
      <c r="A312" s="48">
        <f t="shared" si="11"/>
        <v>304</v>
      </c>
      <c r="B312" s="43">
        <v>9</v>
      </c>
      <c r="C312" s="43">
        <v>8</v>
      </c>
      <c r="D312" s="38" t="s">
        <v>463</v>
      </c>
      <c r="E312" s="44" t="s">
        <v>132</v>
      </c>
      <c r="F312" s="44" t="s">
        <v>37</v>
      </c>
      <c r="G312" s="44" t="s">
        <v>108</v>
      </c>
      <c r="H312" s="44" t="s">
        <v>38</v>
      </c>
      <c r="I312" s="44" t="s">
        <v>38</v>
      </c>
      <c r="J312" s="44" t="s">
        <v>39</v>
      </c>
      <c r="K312" s="44" t="s">
        <v>120</v>
      </c>
      <c r="L312" s="40">
        <v>1123</v>
      </c>
      <c r="M312" s="41">
        <v>41339</v>
      </c>
      <c r="N312" s="40" t="s">
        <v>110</v>
      </c>
      <c r="O312" s="42">
        <f t="shared" si="13"/>
        <v>42552</v>
      </c>
      <c r="P312" s="40">
        <v>26</v>
      </c>
      <c r="Q312" s="120">
        <f>'[3]BGE LP_GMS'!G16</f>
        <v>33.340283271845976</v>
      </c>
      <c r="R312" s="120">
        <f>'[3]BGE LP_GMS'!H16</f>
        <v>34.279902007843155</v>
      </c>
      <c r="S312" s="120">
        <f>'[3]BGE LP_GMS'!I16</f>
        <v>34.026224674224153</v>
      </c>
      <c r="T312" s="120">
        <f>'[3]BGE LP_GMS'!J16</f>
        <v>34.458620981483236</v>
      </c>
      <c r="U312" s="120">
        <f>'[3]BGE LP_GMS'!K16</f>
        <v>35.308085908065614</v>
      </c>
      <c r="V312" s="91"/>
    </row>
    <row r="313" spans="1:22" x14ac:dyDescent="0.2">
      <c r="A313" s="48">
        <f t="shared" si="11"/>
        <v>305</v>
      </c>
      <c r="B313" s="43">
        <v>9</v>
      </c>
      <c r="C313" s="43">
        <v>9</v>
      </c>
      <c r="D313" s="38" t="s">
        <v>464</v>
      </c>
      <c r="E313" s="44" t="s">
        <v>134</v>
      </c>
      <c r="F313" s="44" t="s">
        <v>37</v>
      </c>
      <c r="G313" s="44" t="s">
        <v>108</v>
      </c>
      <c r="H313" s="44" t="s">
        <v>38</v>
      </c>
      <c r="I313" s="44" t="s">
        <v>38</v>
      </c>
      <c r="J313" s="44" t="s">
        <v>6</v>
      </c>
      <c r="K313" s="44" t="s">
        <v>117</v>
      </c>
      <c r="L313" s="40">
        <v>1125</v>
      </c>
      <c r="M313" s="41">
        <v>41339</v>
      </c>
      <c r="N313" s="40" t="s">
        <v>110</v>
      </c>
      <c r="O313" s="42">
        <f t="shared" si="13"/>
        <v>42552</v>
      </c>
      <c r="P313" s="40">
        <v>26</v>
      </c>
      <c r="Q313" s="120">
        <f>'[3]BGE LP_GSMS'!G16</f>
        <v>33.666163717277492</v>
      </c>
      <c r="R313" s="120">
        <f>'[3]BGE LP_GSMS'!H16</f>
        <v>35.237997411997178</v>
      </c>
      <c r="S313" s="120">
        <f>'[3]BGE LP_GSMS'!I16</f>
        <v>34.592846437534725</v>
      </c>
      <c r="T313" s="120">
        <f>'[3]BGE LP_GSMS'!J16</f>
        <v>35.283108501042918</v>
      </c>
      <c r="U313" s="120">
        <f>'[3]BGE LP_GSMS'!K16</f>
        <v>36.086016032175095</v>
      </c>
      <c r="V313" s="91"/>
    </row>
    <row r="314" spans="1:22" x14ac:dyDescent="0.2">
      <c r="A314" s="48">
        <f t="shared" si="11"/>
        <v>306</v>
      </c>
      <c r="B314" s="43">
        <v>9</v>
      </c>
      <c r="C314" s="43">
        <v>10</v>
      </c>
      <c r="D314" s="38" t="s">
        <v>465</v>
      </c>
      <c r="E314" s="44" t="s">
        <v>136</v>
      </c>
      <c r="F314" s="44" t="s">
        <v>23</v>
      </c>
      <c r="G314" s="44" t="s">
        <v>108</v>
      </c>
      <c r="H314" s="44" t="s">
        <v>137</v>
      </c>
      <c r="I314" s="44" t="s">
        <v>24</v>
      </c>
      <c r="J314" s="44" t="s">
        <v>25</v>
      </c>
      <c r="K314" s="44" t="s">
        <v>138</v>
      </c>
      <c r="L314" s="40">
        <v>1126</v>
      </c>
      <c r="M314" s="41">
        <v>41339</v>
      </c>
      <c r="N314" s="40" t="s">
        <v>110</v>
      </c>
      <c r="O314" s="42">
        <f t="shared" si="13"/>
        <v>42552</v>
      </c>
      <c r="P314" s="40">
        <v>26</v>
      </c>
      <c r="Q314" s="120">
        <f>'[3]ComEd - test LP_28MS'!G16</f>
        <v>27.112683844919669</v>
      </c>
      <c r="R314" s="120">
        <f>'[3]ComEd - test LP_28MS'!H16</f>
        <v>28.493638345899495</v>
      </c>
      <c r="S314" s="120">
        <f>'[3]ComEd - test LP_28MS'!I16</f>
        <v>30.073876272452502</v>
      </c>
      <c r="T314" s="120">
        <f>'[3]ComEd - test LP_28MS'!J16</f>
        <v>31.603576600782461</v>
      </c>
      <c r="U314" s="120">
        <f>'[3]ComEd - test LP_28MS'!K16</f>
        <v>34.876709473365359</v>
      </c>
      <c r="V314" s="91"/>
    </row>
    <row r="315" spans="1:22" x14ac:dyDescent="0.2">
      <c r="A315" s="48">
        <f t="shared" si="11"/>
        <v>307</v>
      </c>
      <c r="B315" s="43">
        <v>9</v>
      </c>
      <c r="C315" s="43">
        <v>11</v>
      </c>
      <c r="D315" s="38" t="s">
        <v>466</v>
      </c>
      <c r="E315" s="44" t="s">
        <v>140</v>
      </c>
      <c r="F315" s="44" t="s">
        <v>23</v>
      </c>
      <c r="G315" s="44" t="s">
        <v>108</v>
      </c>
      <c r="H315" s="44" t="s">
        <v>137</v>
      </c>
      <c r="I315" s="44" t="s">
        <v>24</v>
      </c>
      <c r="J315" s="44" t="s">
        <v>26</v>
      </c>
      <c r="K315" s="44" t="s">
        <v>141</v>
      </c>
      <c r="L315" s="40">
        <v>1127</v>
      </c>
      <c r="M315" s="41">
        <v>41339</v>
      </c>
      <c r="N315" s="40" t="s">
        <v>110</v>
      </c>
      <c r="O315" s="42">
        <f t="shared" si="13"/>
        <v>42552</v>
      </c>
      <c r="P315" s="40">
        <v>26</v>
      </c>
      <c r="Q315" s="120">
        <f>'[3]ComEd - test LP_29MS'!G16</f>
        <v>26.167145201103132</v>
      </c>
      <c r="R315" s="120">
        <f>'[3]ComEd - test LP_29MS'!H16</f>
        <v>27.577919663537866</v>
      </c>
      <c r="S315" s="120">
        <f>'[3]ComEd - test LP_29MS'!I16</f>
        <v>29.152150662519468</v>
      </c>
      <c r="T315" s="120">
        <f>'[3]ComEd - test LP_29MS'!J16</f>
        <v>30.691446514543742</v>
      </c>
      <c r="U315" s="120">
        <f>'[3]ComEd - test LP_29MS'!K16</f>
        <v>33.966341817067899</v>
      </c>
      <c r="V315" s="91"/>
    </row>
    <row r="316" spans="1:22" x14ac:dyDescent="0.2">
      <c r="A316" s="48">
        <f t="shared" si="11"/>
        <v>308</v>
      </c>
      <c r="B316" s="43">
        <v>9</v>
      </c>
      <c r="C316" s="43">
        <v>12</v>
      </c>
      <c r="D316" s="38" t="s">
        <v>467</v>
      </c>
      <c r="E316" s="44" t="s">
        <v>143</v>
      </c>
      <c r="F316" s="44" t="s">
        <v>18</v>
      </c>
      <c r="G316" s="44" t="s">
        <v>108</v>
      </c>
      <c r="H316" s="44" t="s">
        <v>94</v>
      </c>
      <c r="I316" s="44" t="s">
        <v>144</v>
      </c>
      <c r="J316" s="44" t="s">
        <v>20</v>
      </c>
      <c r="K316" s="44" t="s">
        <v>145</v>
      </c>
      <c r="L316" s="40">
        <v>1128</v>
      </c>
      <c r="M316" s="41">
        <v>41339</v>
      </c>
      <c r="N316" s="40" t="s">
        <v>110</v>
      </c>
      <c r="O316" s="42">
        <f t="shared" si="13"/>
        <v>42552</v>
      </c>
      <c r="P316" s="40">
        <v>26</v>
      </c>
      <c r="Q316" s="120">
        <f>[3]DAY_RC_843MS!G16</f>
        <v>18.344855911910145</v>
      </c>
      <c r="R316" s="120">
        <f>[3]DAY_RC_843MS!H16</f>
        <v>18.349608126289493</v>
      </c>
      <c r="S316" s="120">
        <f>[3]DAY_RC_843MS!I16</f>
        <v>20.240666625570473</v>
      </c>
      <c r="T316" s="120">
        <f>[3]DAY_RC_843MS!J16</f>
        <v>21.042422159933647</v>
      </c>
      <c r="U316" s="120">
        <f>[3]DAY_RC_843MS!K16</f>
        <v>22.839380030944355</v>
      </c>
      <c r="V316" s="91"/>
    </row>
    <row r="317" spans="1:22" x14ac:dyDescent="0.2">
      <c r="A317" s="48">
        <f t="shared" si="11"/>
        <v>309</v>
      </c>
      <c r="B317" s="43">
        <v>9</v>
      </c>
      <c r="C317" s="43">
        <v>13</v>
      </c>
      <c r="D317" s="38" t="s">
        <v>468</v>
      </c>
      <c r="E317" s="44" t="s">
        <v>147</v>
      </c>
      <c r="F317" s="44" t="s">
        <v>37</v>
      </c>
      <c r="G317" s="44" t="s">
        <v>108</v>
      </c>
      <c r="H317" s="44" t="s">
        <v>41</v>
      </c>
      <c r="I317" s="44" t="s">
        <v>41</v>
      </c>
      <c r="J317" s="44" t="s">
        <v>6</v>
      </c>
      <c r="K317" s="44" t="s">
        <v>128</v>
      </c>
      <c r="L317" s="40">
        <v>1129</v>
      </c>
      <c r="M317" s="41">
        <v>41339</v>
      </c>
      <c r="N317" s="40" t="s">
        <v>110</v>
      </c>
      <c r="O317" s="42">
        <f t="shared" si="13"/>
        <v>42552</v>
      </c>
      <c r="P317" s="40">
        <v>26</v>
      </c>
      <c r="Q317" s="120">
        <f>'[3]Delmarva MD LP_MDGS_MMS'!G16</f>
        <v>36.469612473656497</v>
      </c>
      <c r="R317" s="120">
        <f>'[3]Delmarva MD LP_MDGS_MMS'!H16</f>
        <v>37.59056737571143</v>
      </c>
      <c r="S317" s="120">
        <f>'[3]Delmarva MD LP_MDGS_MMS'!I16</f>
        <v>37.281664592348072</v>
      </c>
      <c r="T317" s="120">
        <f>'[3]Delmarva MD LP_MDGS_MMS'!J16</f>
        <v>38.115884441239821</v>
      </c>
      <c r="U317" s="120">
        <f>'[3]Delmarva MD LP_MDGS_MMS'!K16</f>
        <v>41.317667956931977</v>
      </c>
      <c r="V317" s="91"/>
    </row>
    <row r="318" spans="1:22" x14ac:dyDescent="0.2">
      <c r="A318" s="48">
        <f t="shared" si="11"/>
        <v>310</v>
      </c>
      <c r="B318" s="43">
        <v>9</v>
      </c>
      <c r="C318" s="43">
        <v>14</v>
      </c>
      <c r="D318" s="38" t="s">
        <v>469</v>
      </c>
      <c r="E318" s="44" t="s">
        <v>149</v>
      </c>
      <c r="F318" s="44" t="s">
        <v>5</v>
      </c>
      <c r="G318" s="44" t="s">
        <v>108</v>
      </c>
      <c r="H318" s="44" t="s">
        <v>46</v>
      </c>
      <c r="I318" s="44" t="s">
        <v>46</v>
      </c>
      <c r="J318" s="44" t="s">
        <v>6</v>
      </c>
      <c r="K318" s="44" t="s">
        <v>128</v>
      </c>
      <c r="L318" s="40">
        <v>1130</v>
      </c>
      <c r="M318" s="41">
        <v>41339</v>
      </c>
      <c r="N318" s="40" t="s">
        <v>110</v>
      </c>
      <c r="O318" s="42">
        <f t="shared" si="13"/>
        <v>42552</v>
      </c>
      <c r="P318" s="40">
        <v>26</v>
      </c>
      <c r="Q318" s="120">
        <f>'[3]DQE LP_GSGM_MMS'!G16</f>
        <v>29.660421288977744</v>
      </c>
      <c r="R318" s="120">
        <f>'[3]DQE LP_GSGM_MMS'!H16</f>
        <v>30.99717838585542</v>
      </c>
      <c r="S318" s="120">
        <f>'[3]DQE LP_GSGM_MMS'!I16</f>
        <v>32.660238141389591</v>
      </c>
      <c r="T318" s="120">
        <f>'[3]DQE LP_GSGM_MMS'!J16</f>
        <v>33.998623747780321</v>
      </c>
      <c r="U318" s="120">
        <f>'[3]DQE LP_GSGM_MMS'!K16</f>
        <v>35.897375384197424</v>
      </c>
      <c r="V318" s="91"/>
    </row>
    <row r="319" spans="1:22" x14ac:dyDescent="0.2">
      <c r="A319" s="48">
        <f t="shared" si="11"/>
        <v>311</v>
      </c>
      <c r="B319" s="43">
        <v>9</v>
      </c>
      <c r="C319" s="43">
        <v>15</v>
      </c>
      <c r="D319" s="38" t="s">
        <v>470</v>
      </c>
      <c r="E319" s="44" t="s">
        <v>151</v>
      </c>
      <c r="F319" s="44" t="s">
        <v>18</v>
      </c>
      <c r="G319" s="44" t="s">
        <v>108</v>
      </c>
      <c r="H319" s="44" t="s">
        <v>21</v>
      </c>
      <c r="I319" s="44" t="s">
        <v>152</v>
      </c>
      <c r="J319" s="44" t="s">
        <v>22</v>
      </c>
      <c r="K319" s="44" t="s">
        <v>128</v>
      </c>
      <c r="L319" s="40">
        <v>1131</v>
      </c>
      <c r="M319" s="41">
        <v>41339</v>
      </c>
      <c r="N319" s="40" t="s">
        <v>110</v>
      </c>
      <c r="O319" s="42">
        <f t="shared" si="13"/>
        <v>42552</v>
      </c>
      <c r="P319" s="40">
        <v>26</v>
      </c>
      <c r="Q319" s="120">
        <f>[3]Duke_OH_RC_DS01MS!G16</f>
        <v>17.487482972304722</v>
      </c>
      <c r="R319" s="120">
        <f>[3]Duke_OH_RC_DS01MS!H16</f>
        <v>18.247132706516744</v>
      </c>
      <c r="S319" s="120">
        <f>[3]Duke_OH_RC_DS01MS!I16</f>
        <v>19.856909117801322</v>
      </c>
      <c r="T319" s="120">
        <f>[3]Duke_OH_RC_DS01MS!J16</f>
        <v>20.876495018893372</v>
      </c>
      <c r="U319" s="120">
        <f>[3]Duke_OH_RC_DS01MS!K16</f>
        <v>22.46302752540921</v>
      </c>
      <c r="V319" s="91"/>
    </row>
    <row r="320" spans="1:22" x14ac:dyDescent="0.2">
      <c r="A320" s="48">
        <f t="shared" si="11"/>
        <v>312</v>
      </c>
      <c r="B320" s="43">
        <v>9</v>
      </c>
      <c r="C320" s="43">
        <v>16</v>
      </c>
      <c r="D320" s="38" t="s">
        <v>471</v>
      </c>
      <c r="E320" s="44" t="s">
        <v>154</v>
      </c>
      <c r="F320" s="44" t="s">
        <v>18</v>
      </c>
      <c r="G320" s="44" t="s">
        <v>108</v>
      </c>
      <c r="H320" s="44" t="s">
        <v>62</v>
      </c>
      <c r="I320" s="44" t="s">
        <v>155</v>
      </c>
      <c r="J320" s="44" t="s">
        <v>6</v>
      </c>
      <c r="K320" s="44" t="s">
        <v>128</v>
      </c>
      <c r="L320" s="40">
        <v>1132</v>
      </c>
      <c r="M320" s="41">
        <v>41339</v>
      </c>
      <c r="N320" s="40" t="s">
        <v>110</v>
      </c>
      <c r="O320" s="42">
        <f t="shared" si="13"/>
        <v>42552</v>
      </c>
      <c r="P320" s="40">
        <v>26</v>
      </c>
      <c r="Q320" s="120">
        <f>'[3]FE_OE - test RC_GSFMS'!G16</f>
        <v>21.271414100664014</v>
      </c>
      <c r="R320" s="120">
        <f>'[3]FE_OE - test RC_GSFMS'!H16</f>
        <v>21.68157869638366</v>
      </c>
      <c r="S320" s="120">
        <f>'[3]FE_OE - test RC_GSFMS'!I16</f>
        <v>22.347328403506488</v>
      </c>
      <c r="T320" s="120">
        <f>'[3]FE_OE - test RC_GSFMS'!J16</f>
        <v>22.827779837566233</v>
      </c>
      <c r="U320" s="120">
        <f>'[3]FE_OE - test RC_GSFMS'!K16</f>
        <v>24.033251781392746</v>
      </c>
      <c r="V320" s="91"/>
    </row>
    <row r="321" spans="1:22" x14ac:dyDescent="0.2">
      <c r="A321" s="48">
        <f t="shared" si="11"/>
        <v>313</v>
      </c>
      <c r="B321" s="43">
        <v>9</v>
      </c>
      <c r="C321" s="43">
        <v>17</v>
      </c>
      <c r="D321" s="38" t="s">
        <v>472</v>
      </c>
      <c r="E321" s="44" t="s">
        <v>157</v>
      </c>
      <c r="F321" s="44" t="s">
        <v>29</v>
      </c>
      <c r="G321" s="44" t="s">
        <v>108</v>
      </c>
      <c r="H321" s="44" t="s">
        <v>33</v>
      </c>
      <c r="I321" s="44" t="s">
        <v>33</v>
      </c>
      <c r="J321" s="44" t="s">
        <v>7</v>
      </c>
      <c r="K321" s="44" t="s">
        <v>123</v>
      </c>
      <c r="L321" s="40">
        <v>1133</v>
      </c>
      <c r="M321" s="41">
        <v>41339</v>
      </c>
      <c r="N321" s="40" t="s">
        <v>110</v>
      </c>
      <c r="O321" s="42">
        <f t="shared" si="13"/>
        <v>42552</v>
      </c>
      <c r="P321" s="40">
        <v>26</v>
      </c>
      <c r="Q321" s="120">
        <f>'[3]JCPL LP_GSCLMS'!G16</f>
        <v>33.559456014432918</v>
      </c>
      <c r="R321" s="120">
        <f>'[3]JCPL LP_GSCLMS'!H16</f>
        <v>37.421052107719092</v>
      </c>
      <c r="S321" s="120">
        <f>'[3]JCPL LP_GSCLMS'!I16</f>
        <v>37.717417539038742</v>
      </c>
      <c r="T321" s="120">
        <f>'[3]JCPL LP_GSCLMS'!J16</f>
        <v>38.947072253025816</v>
      </c>
      <c r="U321" s="120">
        <f>'[3]JCPL LP_GSCLMS'!K16</f>
        <v>42.308125621937535</v>
      </c>
      <c r="V321" s="91"/>
    </row>
    <row r="322" spans="1:22" x14ac:dyDescent="0.2">
      <c r="A322" s="48">
        <f t="shared" si="11"/>
        <v>314</v>
      </c>
      <c r="B322" s="43">
        <v>9</v>
      </c>
      <c r="C322" s="43">
        <v>18</v>
      </c>
      <c r="D322" s="38" t="s">
        <v>473</v>
      </c>
      <c r="E322" s="44" t="s">
        <v>159</v>
      </c>
      <c r="F322" s="44" t="s">
        <v>29</v>
      </c>
      <c r="G322" s="44" t="s">
        <v>108</v>
      </c>
      <c r="H322" s="44" t="s">
        <v>33</v>
      </c>
      <c r="I322" s="44" t="s">
        <v>33</v>
      </c>
      <c r="J322" s="44" t="s">
        <v>8</v>
      </c>
      <c r="K322" s="44" t="s">
        <v>120</v>
      </c>
      <c r="L322" s="40">
        <v>1134</v>
      </c>
      <c r="M322" s="41">
        <v>41339</v>
      </c>
      <c r="N322" s="40" t="s">
        <v>110</v>
      </c>
      <c r="O322" s="42">
        <f t="shared" si="13"/>
        <v>42552</v>
      </c>
      <c r="P322" s="40">
        <v>26</v>
      </c>
      <c r="Q322" s="120">
        <f>'[3]JCPL LP_GSCMMS'!G16</f>
        <v>38.952573063408785</v>
      </c>
      <c r="R322" s="120">
        <f>'[3]JCPL LP_GSCMMS'!H16</f>
        <v>38.884399468121615</v>
      </c>
      <c r="S322" s="120">
        <f>'[3]JCPL LP_GSCMMS'!I16</f>
        <v>40.250504615753862</v>
      </c>
      <c r="T322" s="120">
        <f>'[3]JCPL LP_GSCMMS'!J16</f>
        <v>40.176195214452044</v>
      </c>
      <c r="U322" s="120">
        <f>'[3]JCPL LP_GSCMMS'!K16</f>
        <v>43.370192096068095</v>
      </c>
      <c r="V322" s="91"/>
    </row>
    <row r="323" spans="1:22" x14ac:dyDescent="0.2">
      <c r="A323" s="48">
        <f t="shared" si="11"/>
        <v>315</v>
      </c>
      <c r="B323" s="43">
        <v>9</v>
      </c>
      <c r="C323" s="43">
        <v>19</v>
      </c>
      <c r="D323" s="38" t="s">
        <v>474</v>
      </c>
      <c r="E323" s="44" t="s">
        <v>161</v>
      </c>
      <c r="F323" s="44" t="s">
        <v>29</v>
      </c>
      <c r="G323" s="44" t="s">
        <v>108</v>
      </c>
      <c r="H323" s="44" t="s">
        <v>33</v>
      </c>
      <c r="I323" s="44" t="s">
        <v>33</v>
      </c>
      <c r="J323" s="44" t="s">
        <v>9</v>
      </c>
      <c r="K323" s="44" t="s">
        <v>117</v>
      </c>
      <c r="L323" s="40">
        <v>1135</v>
      </c>
      <c r="M323" s="41">
        <v>41339</v>
      </c>
      <c r="N323" s="40" t="s">
        <v>110</v>
      </c>
      <c r="O323" s="42">
        <f t="shared" si="13"/>
        <v>42552</v>
      </c>
      <c r="P323" s="40">
        <v>26</v>
      </c>
      <c r="Q323" s="120">
        <f>'[3]JCPL LP_GSCSMS'!G16</f>
        <v>38.952573063408785</v>
      </c>
      <c r="R323" s="120">
        <f>'[3]JCPL LP_GSCSMS'!H16</f>
        <v>38.884399468121615</v>
      </c>
      <c r="S323" s="120">
        <f>'[3]JCPL LP_GSCSMS'!I16</f>
        <v>40.250504615753862</v>
      </c>
      <c r="T323" s="120">
        <f>'[3]JCPL LP_GSCSMS'!J16</f>
        <v>40.176195214452044</v>
      </c>
      <c r="U323" s="120">
        <f>'[3]JCPL LP_GSCSMS'!K16</f>
        <v>43.370192096068095</v>
      </c>
      <c r="V323" s="91"/>
    </row>
    <row r="324" spans="1:22" x14ac:dyDescent="0.2">
      <c r="A324" s="48">
        <f t="shared" si="11"/>
        <v>316</v>
      </c>
      <c r="B324" s="43">
        <v>9</v>
      </c>
      <c r="C324" s="43">
        <v>20</v>
      </c>
      <c r="D324" s="38" t="s">
        <v>475</v>
      </c>
      <c r="E324" s="44" t="s">
        <v>163</v>
      </c>
      <c r="F324" s="44" t="s">
        <v>5</v>
      </c>
      <c r="G324" s="44" t="s">
        <v>108</v>
      </c>
      <c r="H324" s="44" t="s">
        <v>164</v>
      </c>
      <c r="I324" s="44" t="s">
        <v>165</v>
      </c>
      <c r="J324" s="44" t="s">
        <v>7</v>
      </c>
      <c r="K324" s="44" t="s">
        <v>123</v>
      </c>
      <c r="L324" s="40">
        <v>1137</v>
      </c>
      <c r="M324" s="41">
        <v>41339</v>
      </c>
      <c r="N324" s="40" t="s">
        <v>110</v>
      </c>
      <c r="O324" s="42">
        <f t="shared" si="13"/>
        <v>42552</v>
      </c>
      <c r="P324" s="40">
        <v>26</v>
      </c>
      <c r="Q324" s="120">
        <f>'[3]MetEd RC_GSLFMS'!G16</f>
        <v>16.466757694436879</v>
      </c>
      <c r="R324" s="120">
        <f>'[3]MetEd RC_GSLFMS'!H16</f>
        <v>19.746625525648309</v>
      </c>
      <c r="S324" s="120">
        <f>'[3]MetEd RC_GSLFMS'!I16</f>
        <v>19.468513272614867</v>
      </c>
      <c r="T324" s="120">
        <f>'[3]MetEd RC_GSLFMS'!J16</f>
        <v>20.388632726019317</v>
      </c>
      <c r="U324" s="120">
        <f>'[3]MetEd RC_GSLFMS'!K16</f>
        <v>21.893943830251935</v>
      </c>
      <c r="V324" s="91"/>
    </row>
    <row r="325" spans="1:22" x14ac:dyDescent="0.2">
      <c r="A325" s="48">
        <f t="shared" si="11"/>
        <v>317</v>
      </c>
      <c r="B325" s="43">
        <v>9</v>
      </c>
      <c r="C325" s="43">
        <v>21</v>
      </c>
      <c r="D325" s="38" t="s">
        <v>476</v>
      </c>
      <c r="E325" s="44" t="s">
        <v>167</v>
      </c>
      <c r="F325" s="44" t="s">
        <v>5</v>
      </c>
      <c r="G325" s="44" t="s">
        <v>108</v>
      </c>
      <c r="H325" s="44" t="s">
        <v>164</v>
      </c>
      <c r="I325" s="44" t="s">
        <v>165</v>
      </c>
      <c r="J325" s="44" t="s">
        <v>8</v>
      </c>
      <c r="K325" s="44" t="s">
        <v>120</v>
      </c>
      <c r="L325" s="40">
        <v>1136</v>
      </c>
      <c r="M325" s="41">
        <v>41339</v>
      </c>
      <c r="N325" s="40" t="s">
        <v>110</v>
      </c>
      <c r="O325" s="42">
        <f t="shared" si="13"/>
        <v>42552</v>
      </c>
      <c r="P325" s="40">
        <v>26</v>
      </c>
      <c r="Q325" s="120">
        <f>'[3]MetEd RC_GSDFMS'!G16</f>
        <v>17.624579329038614</v>
      </c>
      <c r="R325" s="120">
        <f>'[3]MetEd RC_GSDFMS'!H16</f>
        <v>20.895109003032179</v>
      </c>
      <c r="S325" s="120">
        <f>'[3]MetEd RC_GSDFMS'!I16</f>
        <v>20.650061599047682</v>
      </c>
      <c r="T325" s="120">
        <f>'[3]MetEd RC_GSDFMS'!J16</f>
        <v>21.556700785110387</v>
      </c>
      <c r="U325" s="120">
        <f>'[3]MetEd RC_GSDFMS'!K16</f>
        <v>23.04038137857815</v>
      </c>
      <c r="V325" s="91"/>
    </row>
    <row r="326" spans="1:22" x14ac:dyDescent="0.2">
      <c r="A326" s="48">
        <f t="shared" si="11"/>
        <v>318</v>
      </c>
      <c r="B326" s="43">
        <v>9</v>
      </c>
      <c r="C326" s="43">
        <v>22</v>
      </c>
      <c r="D326" s="38" t="s">
        <v>477</v>
      </c>
      <c r="E326" s="44" t="s">
        <v>169</v>
      </c>
      <c r="F326" s="44" t="s">
        <v>5</v>
      </c>
      <c r="G326" s="44" t="s">
        <v>108</v>
      </c>
      <c r="H326" s="44" t="s">
        <v>164</v>
      </c>
      <c r="I326" s="44" t="s">
        <v>165</v>
      </c>
      <c r="J326" s="44" t="s">
        <v>9</v>
      </c>
      <c r="K326" s="44" t="s">
        <v>117</v>
      </c>
      <c r="L326" s="40">
        <v>1138</v>
      </c>
      <c r="M326" s="41">
        <v>41339</v>
      </c>
      <c r="N326" s="40" t="s">
        <v>110</v>
      </c>
      <c r="O326" s="42">
        <f t="shared" si="13"/>
        <v>42552</v>
      </c>
      <c r="P326" s="40">
        <v>26</v>
      </c>
      <c r="Q326" s="120">
        <f>'[3]MetEd RC_GSSFMS'!G16</f>
        <v>17.164794201661664</v>
      </c>
      <c r="R326" s="120">
        <f>'[3]MetEd RC_GSSFMS'!H16</f>
        <v>20.951271349340345</v>
      </c>
      <c r="S326" s="120">
        <f>'[3]MetEd RC_GSSFMS'!I16</f>
        <v>20.480872165188316</v>
      </c>
      <c r="T326" s="120">
        <f>'[3]MetEd RC_GSSFMS'!J16</f>
        <v>21.606853158791079</v>
      </c>
      <c r="U326" s="120">
        <f>'[3]MetEd RC_GSSFMS'!K16</f>
        <v>23.050770032971201</v>
      </c>
      <c r="V326" s="91"/>
    </row>
    <row r="327" spans="1:22" x14ac:dyDescent="0.2">
      <c r="A327" s="48">
        <f t="shared" si="11"/>
        <v>319</v>
      </c>
      <c r="B327" s="43">
        <v>9</v>
      </c>
      <c r="C327" s="43">
        <v>23</v>
      </c>
      <c r="D327" s="38" t="s">
        <v>478</v>
      </c>
      <c r="E327" s="44" t="s">
        <v>171</v>
      </c>
      <c r="F327" s="44" t="s">
        <v>5</v>
      </c>
      <c r="G327" s="44" t="s">
        <v>108</v>
      </c>
      <c r="H327" s="44" t="s">
        <v>11</v>
      </c>
      <c r="I327" s="44" t="s">
        <v>11</v>
      </c>
      <c r="J327" s="44" t="s">
        <v>6</v>
      </c>
      <c r="K327" s="44" t="s">
        <v>128</v>
      </c>
      <c r="L327" s="40">
        <v>1139</v>
      </c>
      <c r="M327" s="41">
        <v>41339</v>
      </c>
      <c r="N327" s="40" t="s">
        <v>110</v>
      </c>
      <c r="O327" s="42">
        <f t="shared" si="13"/>
        <v>42552</v>
      </c>
      <c r="P327" s="40">
        <v>26</v>
      </c>
      <c r="Q327" s="120">
        <f>'[3]PECO LP_GSMS'!G16</f>
        <v>21.856196666358674</v>
      </c>
      <c r="R327" s="120">
        <f>'[3]PECO LP_GSMS'!H16</f>
        <v>24.880140758485286</v>
      </c>
      <c r="S327" s="120">
        <f>'[3]PECO LP_GSMS'!I16</f>
        <v>24.291342386511879</v>
      </c>
      <c r="T327" s="120">
        <f>'[3]PECO LP_GSMS'!J16</f>
        <v>25.488922720085178</v>
      </c>
      <c r="U327" s="120">
        <f>'[3]PECO LP_GSMS'!K16</f>
        <v>28.353231587122352</v>
      </c>
      <c r="V327" s="91"/>
    </row>
    <row r="328" spans="1:22" x14ac:dyDescent="0.2">
      <c r="A328" s="48">
        <f t="shared" si="11"/>
        <v>320</v>
      </c>
      <c r="B328" s="43">
        <v>9</v>
      </c>
      <c r="C328" s="43">
        <v>24</v>
      </c>
      <c r="D328" s="38" t="s">
        <v>479</v>
      </c>
      <c r="E328" s="44" t="s">
        <v>173</v>
      </c>
      <c r="F328" s="44" t="s">
        <v>5</v>
      </c>
      <c r="G328" s="44" t="s">
        <v>108</v>
      </c>
      <c r="H328" s="44" t="s">
        <v>10</v>
      </c>
      <c r="I328" s="44" t="s">
        <v>174</v>
      </c>
      <c r="J328" s="44" t="s">
        <v>7</v>
      </c>
      <c r="K328" s="44" t="s">
        <v>123</v>
      </c>
      <c r="L328" s="40">
        <v>1140</v>
      </c>
      <c r="M328" s="41">
        <v>41339</v>
      </c>
      <c r="N328" s="40" t="s">
        <v>110</v>
      </c>
      <c r="O328" s="42">
        <f t="shared" si="13"/>
        <v>42552</v>
      </c>
      <c r="P328" s="40">
        <v>26</v>
      </c>
      <c r="Q328" s="120">
        <f>'[3]Penelec RC_GSLFMS'!G16</f>
        <v>25.091146355975035</v>
      </c>
      <c r="R328" s="120">
        <f>'[3]Penelec RC_GSLFMS'!H16</f>
        <v>25.534579428972059</v>
      </c>
      <c r="S328" s="120">
        <f>'[3]Penelec RC_GSLFMS'!I16</f>
        <v>25.429341974248207</v>
      </c>
      <c r="T328" s="120">
        <f>'[3]Penelec RC_GSLFMS'!J16</f>
        <v>25.662190668141381</v>
      </c>
      <c r="U328" s="120">
        <f>'[3]Penelec RC_GSLFMS'!K16</f>
        <v>26.589737988529002</v>
      </c>
      <c r="V328" s="91"/>
    </row>
    <row r="329" spans="1:22" x14ac:dyDescent="0.2">
      <c r="A329" s="48">
        <f t="shared" si="11"/>
        <v>321</v>
      </c>
      <c r="B329" s="43">
        <v>9</v>
      </c>
      <c r="C329" s="43">
        <v>25</v>
      </c>
      <c r="D329" s="38" t="s">
        <v>480</v>
      </c>
      <c r="E329" s="44" t="s">
        <v>176</v>
      </c>
      <c r="F329" s="44" t="s">
        <v>5</v>
      </c>
      <c r="G329" s="44" t="s">
        <v>108</v>
      </c>
      <c r="H329" s="44" t="s">
        <v>10</v>
      </c>
      <c r="I329" s="44" t="s">
        <v>174</v>
      </c>
      <c r="J329" s="44" t="s">
        <v>8</v>
      </c>
      <c r="K329" s="44" t="s">
        <v>120</v>
      </c>
      <c r="L329" s="40">
        <v>1141</v>
      </c>
      <c r="M329" s="41">
        <v>41339</v>
      </c>
      <c r="N329" s="40" t="s">
        <v>110</v>
      </c>
      <c r="O329" s="42">
        <f t="shared" si="13"/>
        <v>42552</v>
      </c>
      <c r="P329" s="40">
        <v>26</v>
      </c>
      <c r="Q329" s="120">
        <f>'[3]Penelec RC_GSMFMS'!G16</f>
        <v>26.207227713054959</v>
      </c>
      <c r="R329" s="120">
        <f>'[3]Penelec RC_GSMFMS'!H16</f>
        <v>26.636229085212364</v>
      </c>
      <c r="S329" s="120">
        <f>'[3]Penelec RC_GSMFMS'!I16</f>
        <v>26.530353630977608</v>
      </c>
      <c r="T329" s="120">
        <f>'[3]Penelec RC_GSMFMS'!J16</f>
        <v>26.757701042798171</v>
      </c>
      <c r="U329" s="120">
        <f>'[3]Penelec RC_GSMFMS'!K16</f>
        <v>27.684412315381813</v>
      </c>
      <c r="V329" s="91"/>
    </row>
    <row r="330" spans="1:22" x14ac:dyDescent="0.2">
      <c r="A330" s="48">
        <f t="shared" si="11"/>
        <v>322</v>
      </c>
      <c r="B330" s="43">
        <v>9</v>
      </c>
      <c r="C330" s="43">
        <v>26</v>
      </c>
      <c r="D330" s="38" t="s">
        <v>481</v>
      </c>
      <c r="E330" s="44" t="s">
        <v>178</v>
      </c>
      <c r="F330" s="44" t="s">
        <v>5</v>
      </c>
      <c r="G330" s="44" t="s">
        <v>108</v>
      </c>
      <c r="H330" s="44" t="s">
        <v>10</v>
      </c>
      <c r="I330" s="44" t="s">
        <v>174</v>
      </c>
      <c r="J330" s="44" t="s">
        <v>9</v>
      </c>
      <c r="K330" s="44" t="s">
        <v>117</v>
      </c>
      <c r="L330" s="40">
        <v>1142</v>
      </c>
      <c r="M330" s="41">
        <v>41339</v>
      </c>
      <c r="N330" s="40" t="s">
        <v>110</v>
      </c>
      <c r="O330" s="42">
        <f t="shared" si="13"/>
        <v>42552</v>
      </c>
      <c r="P330" s="40">
        <v>26</v>
      </c>
      <c r="Q330" s="120">
        <f>'[3]Penelec RC_GSSFMS'!G16</f>
        <v>27.282065366648208</v>
      </c>
      <c r="R330" s="120">
        <f>'[3]Penelec RC_GSSFMS'!H16</f>
        <v>26.70374712684406</v>
      </c>
      <c r="S330" s="120">
        <f>'[3]Penelec RC_GSSFMS'!I16</f>
        <v>26.870116157732216</v>
      </c>
      <c r="T330" s="120">
        <f>'[3]Penelec RC_GSSFMS'!J16</f>
        <v>26.803705057238286</v>
      </c>
      <c r="U330" s="120">
        <f>'[3]Penelec RC_GSSFMS'!K16</f>
        <v>27.727852535158576</v>
      </c>
      <c r="V330" s="91"/>
    </row>
    <row r="331" spans="1:22" x14ac:dyDescent="0.2">
      <c r="A331" s="48">
        <f t="shared" ref="A331:A394" si="14">A330+1</f>
        <v>323</v>
      </c>
      <c r="B331" s="43">
        <v>9</v>
      </c>
      <c r="C331" s="43">
        <v>27</v>
      </c>
      <c r="D331" s="38" t="s">
        <v>482</v>
      </c>
      <c r="E331" s="44" t="s">
        <v>180</v>
      </c>
      <c r="F331" s="44" t="s">
        <v>5</v>
      </c>
      <c r="G331" s="44" t="s">
        <v>108</v>
      </c>
      <c r="H331" s="44" t="s">
        <v>91</v>
      </c>
      <c r="I331" s="44" t="s">
        <v>181</v>
      </c>
      <c r="J331" s="44" t="s">
        <v>6</v>
      </c>
      <c r="K331" s="44" t="s">
        <v>128</v>
      </c>
      <c r="L331" s="40">
        <v>1143</v>
      </c>
      <c r="M331" s="41">
        <v>41339</v>
      </c>
      <c r="N331" s="40" t="s">
        <v>110</v>
      </c>
      <c r="O331" s="42">
        <f t="shared" si="13"/>
        <v>42552</v>
      </c>
      <c r="P331" s="40">
        <v>26</v>
      </c>
      <c r="Q331" s="120">
        <f>'[3]Penn Power RC_GMDMS'!G16</f>
        <v>32.344020746946455</v>
      </c>
      <c r="R331" s="120">
        <f>'[3]Penn Power RC_GMDMS'!H16</f>
        <v>32.712834075557822</v>
      </c>
      <c r="S331" s="120">
        <f>'[3]Penn Power RC_GMDMS'!I16</f>
        <v>33.397839677682967</v>
      </c>
      <c r="T331" s="120">
        <f>'[3]Penn Power RC_GMDMS'!J16</f>
        <v>33.893624955464048</v>
      </c>
      <c r="U331" s="120">
        <f>'[3]Penn Power RC_GMDMS'!K16</f>
        <v>35.145556964746277</v>
      </c>
      <c r="V331" s="91"/>
    </row>
    <row r="332" spans="1:22" x14ac:dyDescent="0.2">
      <c r="A332" s="48">
        <f t="shared" si="14"/>
        <v>324</v>
      </c>
      <c r="B332" s="43">
        <v>9</v>
      </c>
      <c r="C332" s="43">
        <v>28</v>
      </c>
      <c r="D332" s="38" t="s">
        <v>483</v>
      </c>
      <c r="E332" s="44" t="s">
        <v>183</v>
      </c>
      <c r="F332" s="44" t="s">
        <v>37</v>
      </c>
      <c r="G332" s="44" t="s">
        <v>108</v>
      </c>
      <c r="H332" s="44" t="s">
        <v>42</v>
      </c>
      <c r="I332" s="44" t="s">
        <v>42</v>
      </c>
      <c r="J332" s="44" t="s">
        <v>6</v>
      </c>
      <c r="K332" s="44" t="s">
        <v>128</v>
      </c>
      <c r="L332" s="40">
        <v>1144</v>
      </c>
      <c r="M332" s="41">
        <v>41339</v>
      </c>
      <c r="N332" s="40" t="s">
        <v>110</v>
      </c>
      <c r="O332" s="42">
        <f t="shared" si="13"/>
        <v>42552</v>
      </c>
      <c r="P332" s="40">
        <v>26</v>
      </c>
      <c r="Q332" s="120">
        <f>'[3]PEPCO MD LP_MDNDMS'!G16</f>
        <v>34.197645872207502</v>
      </c>
      <c r="R332" s="120">
        <f>'[3]PEPCO MD LP_MDNDMS'!H16</f>
        <v>34.794814042207513</v>
      </c>
      <c r="S332" s="120">
        <f>'[3]PEPCO MD LP_MDNDMS'!I16</f>
        <v>34.567442592773325</v>
      </c>
      <c r="T332" s="120">
        <f>'[3]PEPCO MD LP_MDNDMS'!J16</f>
        <v>34.875176455527445</v>
      </c>
      <c r="U332" s="120">
        <f>'[3]PEPCO MD LP_MDNDMS'!K16</f>
        <v>35.588182858569922</v>
      </c>
      <c r="V332" s="91"/>
    </row>
    <row r="333" spans="1:22" x14ac:dyDescent="0.2">
      <c r="A333" s="48">
        <f t="shared" si="14"/>
        <v>325</v>
      </c>
      <c r="B333" s="43">
        <v>9</v>
      </c>
      <c r="C333" s="43">
        <v>29</v>
      </c>
      <c r="D333" s="38" t="s">
        <v>484</v>
      </c>
      <c r="E333" s="44" t="s">
        <v>185</v>
      </c>
      <c r="F333" s="44" t="s">
        <v>37</v>
      </c>
      <c r="G333" s="44" t="s">
        <v>108</v>
      </c>
      <c r="H333" s="44" t="s">
        <v>42</v>
      </c>
      <c r="I333" s="44" t="s">
        <v>42</v>
      </c>
      <c r="J333" s="44" t="s">
        <v>43</v>
      </c>
      <c r="K333" s="44" t="s">
        <v>186</v>
      </c>
      <c r="L333" s="40">
        <v>1145</v>
      </c>
      <c r="M333" s="41">
        <v>41339</v>
      </c>
      <c r="N333" s="40" t="s">
        <v>110</v>
      </c>
      <c r="O333" s="42">
        <f t="shared" si="13"/>
        <v>42552</v>
      </c>
      <c r="P333" s="40">
        <v>26</v>
      </c>
      <c r="Q333" s="120">
        <f>'[3]PEPCO MD LP_MMGTL2AMS'!G16</f>
        <v>32.783851248111297</v>
      </c>
      <c r="R333" s="120">
        <f>'[3]PEPCO MD LP_MMGTL2AMS'!H16</f>
        <v>33.755295383887912</v>
      </c>
      <c r="S333" s="120">
        <f>'[3]PEPCO MD LP_MMGTL2AMS'!I16</f>
        <v>33.390497427773099</v>
      </c>
      <c r="T333" s="120">
        <f>'[3]PEPCO MD LP_MMGTL2AMS'!J16</f>
        <v>33.821154132444434</v>
      </c>
      <c r="U333" s="120">
        <f>'[3]PEPCO MD LP_MMGTL2AMS'!K16</f>
        <v>34.510577835198113</v>
      </c>
      <c r="V333" s="91"/>
    </row>
    <row r="334" spans="1:22" x14ac:dyDescent="0.2">
      <c r="A334" s="48">
        <f t="shared" si="14"/>
        <v>326</v>
      </c>
      <c r="B334" s="43">
        <v>9</v>
      </c>
      <c r="C334" s="43">
        <v>30</v>
      </c>
      <c r="D334" s="38" t="s">
        <v>485</v>
      </c>
      <c r="E334" s="44" t="s">
        <v>188</v>
      </c>
      <c r="F334" s="44" t="s">
        <v>37</v>
      </c>
      <c r="G334" s="44" t="s">
        <v>108</v>
      </c>
      <c r="H334" s="44" t="s">
        <v>42</v>
      </c>
      <c r="I334" s="44" t="s">
        <v>42</v>
      </c>
      <c r="J334" s="44" t="s">
        <v>44</v>
      </c>
      <c r="K334" s="44" t="s">
        <v>44</v>
      </c>
      <c r="L334" s="40">
        <v>1146</v>
      </c>
      <c r="M334" s="41">
        <v>41339</v>
      </c>
      <c r="N334" s="40" t="s">
        <v>110</v>
      </c>
      <c r="O334" s="42">
        <f t="shared" si="13"/>
        <v>42552</v>
      </c>
      <c r="P334" s="40">
        <v>26</v>
      </c>
      <c r="Q334" s="120">
        <f>'[3]PEPCO MD RC_3T7MS'!G16</f>
        <v>33.889757600822442</v>
      </c>
      <c r="R334" s="120">
        <f>'[3]PEPCO MD RC_3T7MS'!H16</f>
        <v>34.602186624720645</v>
      </c>
      <c r="S334" s="120">
        <f>'[3]PEPCO MD RC_3T7MS'!I16</f>
        <v>34.448743389202896</v>
      </c>
      <c r="T334" s="120">
        <f>'[3]PEPCO MD RC_3T7MS'!J16</f>
        <v>34.777666900208388</v>
      </c>
      <c r="U334" s="120">
        <f>'[3]PEPCO MD RC_3T7MS'!K16</f>
        <v>35.525015059599006</v>
      </c>
      <c r="V334" s="91"/>
    </row>
    <row r="335" spans="1:22" x14ac:dyDescent="0.2">
      <c r="A335" s="48">
        <f t="shared" si="14"/>
        <v>327</v>
      </c>
      <c r="B335" s="43">
        <v>9</v>
      </c>
      <c r="C335" s="43">
        <v>31</v>
      </c>
      <c r="D335" s="38" t="s">
        <v>486</v>
      </c>
      <c r="E335" s="44" t="s">
        <v>190</v>
      </c>
      <c r="F335" s="44" t="s">
        <v>37</v>
      </c>
      <c r="G335" s="44" t="s">
        <v>108</v>
      </c>
      <c r="H335" s="44" t="s">
        <v>45</v>
      </c>
      <c r="I335" s="44" t="s">
        <v>45</v>
      </c>
      <c r="J335" s="44" t="s">
        <v>6</v>
      </c>
      <c r="K335" s="44" t="s">
        <v>128</v>
      </c>
      <c r="L335" s="40">
        <v>1147</v>
      </c>
      <c r="M335" s="41">
        <v>41339</v>
      </c>
      <c r="N335" s="40" t="s">
        <v>110</v>
      </c>
      <c r="O335" s="42">
        <f t="shared" si="13"/>
        <v>42552</v>
      </c>
      <c r="P335" s="40">
        <v>26</v>
      </c>
      <c r="Q335" s="120">
        <f>'[3]Potomac Edison LP_GSCM_MMS'!G16</f>
        <v>27.989590237783258</v>
      </c>
      <c r="R335" s="120">
        <f>'[3]Potomac Edison LP_GSCM_MMS'!H16</f>
        <v>26.550923818254969</v>
      </c>
      <c r="S335" s="120">
        <f>'[3]Potomac Edison LP_GSCM_MMS'!I16</f>
        <v>29.33062253433188</v>
      </c>
      <c r="T335" s="120">
        <f>'[3]Potomac Edison LP_GSCM_MMS'!J16</f>
        <v>29.865337089490652</v>
      </c>
      <c r="U335" s="120">
        <f>'[3]Potomac Edison LP_GSCM_MMS'!K16</f>
        <v>32.09505923017182</v>
      </c>
      <c r="V335" s="91"/>
    </row>
    <row r="336" spans="1:22" x14ac:dyDescent="0.2">
      <c r="A336" s="48">
        <f t="shared" si="14"/>
        <v>328</v>
      </c>
      <c r="B336" s="43">
        <v>9</v>
      </c>
      <c r="C336" s="43">
        <v>32</v>
      </c>
      <c r="D336" s="38" t="s">
        <v>487</v>
      </c>
      <c r="E336" s="44" t="s">
        <v>192</v>
      </c>
      <c r="F336" s="44" t="s">
        <v>5</v>
      </c>
      <c r="G336" s="44" t="s">
        <v>108</v>
      </c>
      <c r="H336" s="44" t="s">
        <v>12</v>
      </c>
      <c r="I336" s="44" t="s">
        <v>12</v>
      </c>
      <c r="J336" s="44" t="s">
        <v>13</v>
      </c>
      <c r="K336" s="44" t="s">
        <v>117</v>
      </c>
      <c r="L336" s="40">
        <v>1148</v>
      </c>
      <c r="M336" s="41">
        <v>41339</v>
      </c>
      <c r="N336" s="40" t="s">
        <v>110</v>
      </c>
      <c r="O336" s="42">
        <f t="shared" si="13"/>
        <v>42552</v>
      </c>
      <c r="P336" s="40">
        <v>26</v>
      </c>
      <c r="Q336" s="120">
        <f>[3]PPL_RCGS1MS!G16</f>
        <v>25.520301895997111</v>
      </c>
      <c r="R336" s="120">
        <f>[3]PPL_RCGS1MS!H16</f>
        <v>28.305217423408227</v>
      </c>
      <c r="S336" s="120">
        <f>[3]PPL_RCGS1MS!I16</f>
        <v>27.760799269752741</v>
      </c>
      <c r="T336" s="120">
        <f>[3]PPL_RCGS1MS!J16</f>
        <v>28.616806473062983</v>
      </c>
      <c r="U336" s="120">
        <f>[3]PPL_RCGS1MS!K16</f>
        <v>29.440077714012329</v>
      </c>
      <c r="V336" s="91"/>
    </row>
    <row r="337" spans="1:22" x14ac:dyDescent="0.2">
      <c r="A337" s="48">
        <f t="shared" si="14"/>
        <v>329</v>
      </c>
      <c r="B337" s="43">
        <v>9</v>
      </c>
      <c r="C337" s="43">
        <v>33</v>
      </c>
      <c r="D337" s="38" t="s">
        <v>488</v>
      </c>
      <c r="E337" s="44" t="s">
        <v>194</v>
      </c>
      <c r="F337" s="44" t="s">
        <v>5</v>
      </c>
      <c r="G337" s="44" t="s">
        <v>108</v>
      </c>
      <c r="H337" s="44" t="s">
        <v>12</v>
      </c>
      <c r="I337" s="44" t="s">
        <v>12</v>
      </c>
      <c r="J337" s="44" t="s">
        <v>14</v>
      </c>
      <c r="K337" s="44" t="s">
        <v>123</v>
      </c>
      <c r="L337" s="40">
        <v>1149</v>
      </c>
      <c r="M337" s="41">
        <v>41339</v>
      </c>
      <c r="N337" s="40" t="s">
        <v>110</v>
      </c>
      <c r="O337" s="42">
        <f t="shared" si="13"/>
        <v>42552</v>
      </c>
      <c r="P337" s="40">
        <v>26</v>
      </c>
      <c r="Q337" s="120">
        <f>[3]PPL_RCGS3MS!G16</f>
        <v>25.261770617273147</v>
      </c>
      <c r="R337" s="120">
        <f>[3]PPL_RCGS3MS!H16</f>
        <v>28.131536701295303</v>
      </c>
      <c r="S337" s="120">
        <f>[3]PPL_RCGS3MS!I16</f>
        <v>27.595650403823296</v>
      </c>
      <c r="T337" s="120">
        <f>[3]PPL_RCGS3MS!J16</f>
        <v>28.519306843439875</v>
      </c>
      <c r="U337" s="120">
        <f>[3]PPL_RCGS3MS!K16</f>
        <v>29.412345196732744</v>
      </c>
      <c r="V337" s="91"/>
    </row>
    <row r="338" spans="1:22" x14ac:dyDescent="0.2">
      <c r="A338" s="48">
        <f t="shared" si="14"/>
        <v>330</v>
      </c>
      <c r="B338" s="43">
        <v>9</v>
      </c>
      <c r="C338" s="43">
        <v>34</v>
      </c>
      <c r="D338" s="38" t="s">
        <v>489</v>
      </c>
      <c r="E338" s="44" t="s">
        <v>196</v>
      </c>
      <c r="F338" s="44" t="s">
        <v>29</v>
      </c>
      <c r="G338" s="44" t="s">
        <v>108</v>
      </c>
      <c r="H338" s="44" t="s">
        <v>34</v>
      </c>
      <c r="I338" s="44" t="s">
        <v>34</v>
      </c>
      <c r="J338" s="44" t="s">
        <v>35</v>
      </c>
      <c r="K338" s="44" t="s">
        <v>197</v>
      </c>
      <c r="L338" s="40">
        <v>1150</v>
      </c>
      <c r="M338" s="41">
        <v>41339</v>
      </c>
      <c r="N338" s="40" t="s">
        <v>110</v>
      </c>
      <c r="O338" s="42">
        <f t="shared" si="13"/>
        <v>42552</v>
      </c>
      <c r="P338" s="40">
        <v>26</v>
      </c>
      <c r="Q338" s="120">
        <f>'[3]PSEG LP_GLP_MMS'!G16</f>
        <v>53.876914954137177</v>
      </c>
      <c r="R338" s="120">
        <f>'[3]PSEG LP_GLP_MMS'!H16</f>
        <v>57.623189419449652</v>
      </c>
      <c r="S338" s="120">
        <f>'[3]PSEG LP_GLP_MMS'!I16</f>
        <v>57.223650923661602</v>
      </c>
      <c r="T338" s="120">
        <f>'[3]PSEG LP_GLP_MMS'!J16</f>
        <v>58.195582154247091</v>
      </c>
      <c r="U338" s="120">
        <f>'[3]PSEG LP_GLP_MMS'!K16</f>
        <v>59.3539917250054</v>
      </c>
      <c r="V338" s="91"/>
    </row>
    <row r="339" spans="1:22" x14ac:dyDescent="0.2">
      <c r="A339" s="48">
        <f t="shared" si="14"/>
        <v>331</v>
      </c>
      <c r="B339" s="43">
        <v>9</v>
      </c>
      <c r="C339" s="43">
        <v>35</v>
      </c>
      <c r="D339" s="38" t="s">
        <v>490</v>
      </c>
      <c r="E339" s="44" t="s">
        <v>199</v>
      </c>
      <c r="F339" s="44" t="s">
        <v>29</v>
      </c>
      <c r="G339" s="44" t="s">
        <v>108</v>
      </c>
      <c r="H339" s="44" t="s">
        <v>34</v>
      </c>
      <c r="I339" s="44" t="s">
        <v>34</v>
      </c>
      <c r="J339" s="44" t="s">
        <v>36</v>
      </c>
      <c r="K339" s="44" t="s">
        <v>200</v>
      </c>
      <c r="L339" s="40">
        <v>1151</v>
      </c>
      <c r="M339" s="41">
        <v>41339</v>
      </c>
      <c r="N339" s="40" t="s">
        <v>110</v>
      </c>
      <c r="O339" s="42">
        <f t="shared" si="13"/>
        <v>42552</v>
      </c>
      <c r="P339" s="40">
        <v>26</v>
      </c>
      <c r="Q339" s="120">
        <f>'[3]PSEG LP_LPLMS'!G16</f>
        <v>53.680868943903313</v>
      </c>
      <c r="R339" s="120">
        <f>'[3]PSEG LP_LPLMS'!H16</f>
        <v>57.02375986049227</v>
      </c>
      <c r="S339" s="120">
        <f>'[3]PSEG LP_LPLMS'!I16</f>
        <v>56.639993468307821</v>
      </c>
      <c r="T339" s="120">
        <f>'[3]PSEG LP_LPLMS'!J16</f>
        <v>57.498853615875312</v>
      </c>
      <c r="U339" s="120">
        <f>'[3]PSEG LP_LPLMS'!K16</f>
        <v>58.628163332423618</v>
      </c>
      <c r="V339" s="91"/>
    </row>
    <row r="340" spans="1:22" x14ac:dyDescent="0.2">
      <c r="A340" s="48">
        <f t="shared" si="14"/>
        <v>332</v>
      </c>
      <c r="B340" s="43">
        <v>9</v>
      </c>
      <c r="C340" s="43">
        <v>36</v>
      </c>
      <c r="D340" s="38" t="s">
        <v>491</v>
      </c>
      <c r="E340" s="44" t="s">
        <v>202</v>
      </c>
      <c r="F340" s="44" t="s">
        <v>5</v>
      </c>
      <c r="G340" s="44" t="s">
        <v>108</v>
      </c>
      <c r="H340" s="44" t="s">
        <v>15</v>
      </c>
      <c r="I340" s="44" t="s">
        <v>203</v>
      </c>
      <c r="J340" s="44" t="s">
        <v>16</v>
      </c>
      <c r="K340" s="44" t="s">
        <v>128</v>
      </c>
      <c r="L340" s="40">
        <v>1152</v>
      </c>
      <c r="M340" s="41">
        <v>41339</v>
      </c>
      <c r="N340" s="40" t="s">
        <v>110</v>
      </c>
      <c r="O340" s="42">
        <f t="shared" si="13"/>
        <v>42552</v>
      </c>
      <c r="P340" s="40">
        <v>26</v>
      </c>
      <c r="Q340" s="120">
        <f>'[3]West Penn Power LP_GSCMMS'!G16</f>
        <v>26.232813632133031</v>
      </c>
      <c r="R340" s="120">
        <f>'[3]West Penn Power LP_GSCMMS'!H16</f>
        <v>26.70520954764131</v>
      </c>
      <c r="S340" s="120">
        <f>'[3]West Penn Power LP_GSCMMS'!I16</f>
        <v>28.697027537149406</v>
      </c>
      <c r="T340" s="120">
        <f>'[3]West Penn Power LP_GSCMMS'!J16</f>
        <v>29.768628090583562</v>
      </c>
      <c r="U340" s="120">
        <f>'[3]West Penn Power LP_GSCMMS'!K16</f>
        <v>31.748763600953829</v>
      </c>
      <c r="V340" s="91"/>
    </row>
    <row r="341" spans="1:22" x14ac:dyDescent="0.2">
      <c r="A341" s="48">
        <f t="shared" si="14"/>
        <v>333</v>
      </c>
      <c r="B341" s="20"/>
      <c r="C341" s="20"/>
      <c r="D341" s="20"/>
      <c r="Q341" s="121"/>
      <c r="R341" s="121"/>
      <c r="S341" s="121"/>
      <c r="T341" s="121"/>
      <c r="U341" s="121"/>
    </row>
    <row r="342" spans="1:22" x14ac:dyDescent="0.2">
      <c r="A342" s="48">
        <f t="shared" si="14"/>
        <v>334</v>
      </c>
      <c r="B342" s="43">
        <v>10</v>
      </c>
      <c r="C342" s="43">
        <v>1</v>
      </c>
      <c r="D342" s="38" t="s">
        <v>492</v>
      </c>
      <c r="E342" s="44" t="s">
        <v>107</v>
      </c>
      <c r="F342" s="44" t="s">
        <v>29</v>
      </c>
      <c r="G342" s="44" t="s">
        <v>108</v>
      </c>
      <c r="H342" s="44" t="s">
        <v>30</v>
      </c>
      <c r="I342" s="44" t="s">
        <v>30</v>
      </c>
      <c r="J342" s="44" t="s">
        <v>31</v>
      </c>
      <c r="K342" s="44" t="s">
        <v>109</v>
      </c>
      <c r="L342" s="40">
        <v>1117</v>
      </c>
      <c r="M342" s="41">
        <v>41339</v>
      </c>
      <c r="N342" s="40" t="s">
        <v>110</v>
      </c>
      <c r="O342" s="42">
        <f>EDATE(O305,1)</f>
        <v>42583</v>
      </c>
      <c r="P342" s="40">
        <v>27</v>
      </c>
      <c r="Q342" s="120">
        <f>'[3]AECO LP_10V1_SMS'!G17</f>
        <v>46.195955581434639</v>
      </c>
      <c r="R342" s="120">
        <f>'[3]AECO LP_10V1_SMS'!H17</f>
        <v>46.990034030514849</v>
      </c>
      <c r="S342" s="120">
        <f>'[3]AECO LP_10V1_SMS'!I17</f>
        <v>46.904312424817142</v>
      </c>
      <c r="T342" s="120">
        <f>'[3]AECO LP_10V1_SMS'!J17</f>
        <v>47.539287365696119</v>
      </c>
      <c r="U342" s="120">
        <f>'[3]AECO LP_10V1_SMS'!K17</f>
        <v>49.534487874657906</v>
      </c>
      <c r="V342" s="91"/>
    </row>
    <row r="343" spans="1:22" x14ac:dyDescent="0.2">
      <c r="A343" s="48">
        <f t="shared" si="14"/>
        <v>335</v>
      </c>
      <c r="B343" s="43">
        <v>10</v>
      </c>
      <c r="C343" s="43">
        <v>2</v>
      </c>
      <c r="D343" s="38" t="s">
        <v>493</v>
      </c>
      <c r="E343" s="44" t="s">
        <v>112</v>
      </c>
      <c r="F343" s="44" t="s">
        <v>29</v>
      </c>
      <c r="G343" s="44" t="s">
        <v>108</v>
      </c>
      <c r="H343" s="44" t="s">
        <v>30</v>
      </c>
      <c r="I343" s="44" t="s">
        <v>30</v>
      </c>
      <c r="J343" s="44" t="s">
        <v>32</v>
      </c>
      <c r="K343" s="44" t="s">
        <v>113</v>
      </c>
      <c r="L343" s="40">
        <v>1118</v>
      </c>
      <c r="M343" s="41">
        <v>41339</v>
      </c>
      <c r="N343" s="40" t="s">
        <v>110</v>
      </c>
      <c r="O343" s="42">
        <f>O342</f>
        <v>42583</v>
      </c>
      <c r="P343" s="40">
        <v>27</v>
      </c>
      <c r="Q343" s="120">
        <f>'[3]AECO LP_14V1_MMS'!G17</f>
        <v>45.907645214787529</v>
      </c>
      <c r="R343" s="120">
        <f>'[3]AECO LP_14V1_MMS'!H17</f>
        <v>46.970198450969775</v>
      </c>
      <c r="S343" s="120">
        <f>'[3]AECO LP_14V1_MMS'!I17</f>
        <v>46.54872406115075</v>
      </c>
      <c r="T343" s="120">
        <f>'[3]AECO LP_14V1_MMS'!J17</f>
        <v>46.007875630257665</v>
      </c>
      <c r="U343" s="120">
        <f>'[3]AECO LP_14V1_MMS'!K17</f>
        <v>46.747590621102106</v>
      </c>
      <c r="V343" s="91"/>
    </row>
    <row r="344" spans="1:22" x14ac:dyDescent="0.2">
      <c r="A344" s="48">
        <f t="shared" si="14"/>
        <v>336</v>
      </c>
      <c r="B344" s="43">
        <v>10</v>
      </c>
      <c r="C344" s="43">
        <v>3</v>
      </c>
      <c r="D344" s="38" t="s">
        <v>494</v>
      </c>
      <c r="E344" s="44" t="s">
        <v>115</v>
      </c>
      <c r="F344" s="44" t="s">
        <v>18</v>
      </c>
      <c r="G344" s="44" t="s">
        <v>108</v>
      </c>
      <c r="H344" s="44" t="s">
        <v>61</v>
      </c>
      <c r="I344" s="44" t="s">
        <v>116</v>
      </c>
      <c r="J344" s="44" t="s">
        <v>13</v>
      </c>
      <c r="K344" s="44" t="s">
        <v>117</v>
      </c>
      <c r="L344" s="40">
        <v>1119</v>
      </c>
      <c r="M344" s="41">
        <v>41339</v>
      </c>
      <c r="N344" s="40" t="s">
        <v>110</v>
      </c>
      <c r="O344" s="42">
        <f t="shared" ref="O344:O377" si="15">O343</f>
        <v>42583</v>
      </c>
      <c r="P344" s="40">
        <v>27</v>
      </c>
      <c r="Q344" s="120">
        <f>'[3]AEP_OH_CS - test CSGS1MS'!G17</f>
        <v>18.230062681035566</v>
      </c>
      <c r="R344" s="120">
        <f>'[3]AEP_OH_CS - test CSGS1MS'!H17</f>
        <v>19.650771211994307</v>
      </c>
      <c r="S344" s="120">
        <f>'[3]AEP_OH_CS - test CSGS1MS'!I17</f>
        <v>21.085433703212821</v>
      </c>
      <c r="T344" s="120">
        <f>'[3]AEP_OH_CS - test CSGS1MS'!J17</f>
        <v>22.263181361795677</v>
      </c>
      <c r="U344" s="120">
        <f>'[3]AEP_OH_CS - test CSGS1MS'!K17</f>
        <v>24.30972548668657</v>
      </c>
      <c r="V344" s="91"/>
    </row>
    <row r="345" spans="1:22" x14ac:dyDescent="0.2">
      <c r="A345" s="48">
        <f t="shared" si="14"/>
        <v>337</v>
      </c>
      <c r="B345" s="43">
        <v>10</v>
      </c>
      <c r="C345" s="43">
        <v>4</v>
      </c>
      <c r="D345" s="38" t="s">
        <v>495</v>
      </c>
      <c r="E345" s="44" t="s">
        <v>119</v>
      </c>
      <c r="F345" s="44" t="s">
        <v>18</v>
      </c>
      <c r="G345" s="44" t="s">
        <v>108</v>
      </c>
      <c r="H345" s="44" t="s">
        <v>61</v>
      </c>
      <c r="I345" s="44" t="s">
        <v>116</v>
      </c>
      <c r="J345" s="44" t="s">
        <v>19</v>
      </c>
      <c r="K345" s="44" t="s">
        <v>120</v>
      </c>
      <c r="L345" s="40">
        <v>1120</v>
      </c>
      <c r="M345" s="41">
        <v>41339</v>
      </c>
      <c r="N345" s="40" t="s">
        <v>110</v>
      </c>
      <c r="O345" s="42">
        <f t="shared" si="15"/>
        <v>42583</v>
      </c>
      <c r="P345" s="40">
        <v>27</v>
      </c>
      <c r="Q345" s="120">
        <f>'[3]AEP_OH_CS - test CSGS2UMS'!G17</f>
        <v>18.945983470695218</v>
      </c>
      <c r="R345" s="120">
        <f>'[3]AEP_OH_CS - test CSGS2UMS'!H17</f>
        <v>19.715398363897577</v>
      </c>
      <c r="S345" s="120">
        <f>'[3]AEP_OH_CS - test CSGS2UMS'!I17</f>
        <v>21.43920908195766</v>
      </c>
      <c r="T345" s="120">
        <f>'[3]AEP_OH_CS - test CSGS2UMS'!J17</f>
        <v>22.330957485266307</v>
      </c>
      <c r="U345" s="120">
        <f>'[3]AEP_OH_CS - test CSGS2UMS'!K17</f>
        <v>24.381676461137417</v>
      </c>
      <c r="V345" s="91"/>
    </row>
    <row r="346" spans="1:22" x14ac:dyDescent="0.2">
      <c r="A346" s="48">
        <f t="shared" si="14"/>
        <v>338</v>
      </c>
      <c r="B346" s="43">
        <v>10</v>
      </c>
      <c r="C346" s="43">
        <v>5</v>
      </c>
      <c r="D346" s="38" t="s">
        <v>496</v>
      </c>
      <c r="E346" s="44" t="s">
        <v>122</v>
      </c>
      <c r="F346" s="44" t="s">
        <v>18</v>
      </c>
      <c r="G346" s="44" t="s">
        <v>108</v>
      </c>
      <c r="H346" s="44" t="s">
        <v>61</v>
      </c>
      <c r="I346" s="44" t="s">
        <v>116</v>
      </c>
      <c r="J346" s="44" t="s">
        <v>14</v>
      </c>
      <c r="K346" s="44" t="s">
        <v>123</v>
      </c>
      <c r="L346" s="40">
        <v>1121</v>
      </c>
      <c r="M346" s="41">
        <v>41339</v>
      </c>
      <c r="N346" s="40" t="s">
        <v>110</v>
      </c>
      <c r="O346" s="42">
        <f t="shared" si="15"/>
        <v>42583</v>
      </c>
      <c r="P346" s="40">
        <v>27</v>
      </c>
      <c r="Q346" s="120">
        <f>'[3]AEP_OH_CS - test CSGS3UMS'!G17</f>
        <v>18.945983470695218</v>
      </c>
      <c r="R346" s="120">
        <f>'[3]AEP_OH_CS - test CSGS3UMS'!H17</f>
        <v>19.715398363897577</v>
      </c>
      <c r="S346" s="120">
        <f>'[3]AEP_OH_CS - test CSGS3UMS'!I17</f>
        <v>21.43920908195766</v>
      </c>
      <c r="T346" s="120">
        <f>'[3]AEP_OH_CS - test CSGS3UMS'!J17</f>
        <v>22.330957485266307</v>
      </c>
      <c r="U346" s="120">
        <f>'[3]AEP_OH_CS - test CSGS3UMS'!K17</f>
        <v>24.381676461137417</v>
      </c>
      <c r="V346" s="91"/>
    </row>
    <row r="347" spans="1:22" x14ac:dyDescent="0.2">
      <c r="A347" s="48">
        <f t="shared" si="14"/>
        <v>339</v>
      </c>
      <c r="B347" s="43">
        <v>10</v>
      </c>
      <c r="C347" s="43">
        <v>6</v>
      </c>
      <c r="D347" s="38" t="s">
        <v>497</v>
      </c>
      <c r="E347" s="44" t="s">
        <v>125</v>
      </c>
      <c r="F347" s="44" t="s">
        <v>23</v>
      </c>
      <c r="G347" s="44" t="s">
        <v>126</v>
      </c>
      <c r="H347" s="44" t="s">
        <v>127</v>
      </c>
      <c r="I347" s="44" t="s">
        <v>27</v>
      </c>
      <c r="J347" s="44" t="s">
        <v>28</v>
      </c>
      <c r="K347" s="44" t="s">
        <v>128</v>
      </c>
      <c r="L347" s="40">
        <v>1122</v>
      </c>
      <c r="M347" s="41">
        <v>41339</v>
      </c>
      <c r="N347" s="40" t="s">
        <v>110</v>
      </c>
      <c r="O347" s="42">
        <f t="shared" si="15"/>
        <v>42583</v>
      </c>
      <c r="P347" s="40">
        <v>27</v>
      </c>
      <c r="Q347" s="120">
        <f>'[3]Ameren RateZnIII LP DS2HHMS'!G17</f>
        <v>22.971085955745576</v>
      </c>
      <c r="R347" s="120">
        <f>'[3]Ameren RateZnIII LP DS2HHMS'!H17</f>
        <v>22.918421681258412</v>
      </c>
      <c r="S347" s="120">
        <f>'[3]Ameren RateZnIII LP DS2HHMS'!I17</f>
        <v>23.379208577443801</v>
      </c>
      <c r="T347" s="120">
        <f>'[3]Ameren RateZnIII LP DS2HHMS'!J17</f>
        <v>23.540841477419022</v>
      </c>
      <c r="U347" s="120">
        <f>'[3]Ameren RateZnIII LP DS2HHMS'!K17</f>
        <v>24.084722037582399</v>
      </c>
      <c r="V347" s="91"/>
    </row>
    <row r="348" spans="1:22" x14ac:dyDescent="0.2">
      <c r="A348" s="48">
        <f t="shared" si="14"/>
        <v>340</v>
      </c>
      <c r="B348" s="43">
        <v>10</v>
      </c>
      <c r="C348" s="43">
        <v>7</v>
      </c>
      <c r="D348" s="38" t="s">
        <v>498</v>
      </c>
      <c r="E348" s="44" t="s">
        <v>130</v>
      </c>
      <c r="F348" s="44" t="s">
        <v>37</v>
      </c>
      <c r="G348" s="44" t="s">
        <v>108</v>
      </c>
      <c r="H348" s="44" t="s">
        <v>38</v>
      </c>
      <c r="I348" s="44" t="s">
        <v>38</v>
      </c>
      <c r="J348" s="44" t="s">
        <v>40</v>
      </c>
      <c r="K348" s="44" t="s">
        <v>123</v>
      </c>
      <c r="L348" s="40">
        <v>1124</v>
      </c>
      <c r="M348" s="41">
        <v>41339</v>
      </c>
      <c r="N348" s="40" t="s">
        <v>110</v>
      </c>
      <c r="O348" s="42">
        <f t="shared" si="15"/>
        <v>42583</v>
      </c>
      <c r="P348" s="40">
        <v>27</v>
      </c>
      <c r="Q348" s="120">
        <f>'[3]BGE LP_GLMS'!G17</f>
        <v>33.613998790658037</v>
      </c>
      <c r="R348" s="120">
        <f>'[3]BGE LP_GLMS'!H17</f>
        <v>34.239241542254952</v>
      </c>
      <c r="S348" s="120">
        <f>'[3]BGE LP_GLMS'!I17</f>
        <v>33.999846377229126</v>
      </c>
      <c r="T348" s="120">
        <f>'[3]BGE LP_GLMS'!J17</f>
        <v>34.394712542856759</v>
      </c>
      <c r="U348" s="120">
        <f>'[3]BGE LP_GLMS'!K17</f>
        <v>35.502014150951069</v>
      </c>
      <c r="V348" s="91"/>
    </row>
    <row r="349" spans="1:22" x14ac:dyDescent="0.2">
      <c r="A349" s="48">
        <f t="shared" si="14"/>
        <v>341</v>
      </c>
      <c r="B349" s="43">
        <v>10</v>
      </c>
      <c r="C349" s="43">
        <v>8</v>
      </c>
      <c r="D349" s="38" t="s">
        <v>499</v>
      </c>
      <c r="E349" s="44" t="s">
        <v>132</v>
      </c>
      <c r="F349" s="44" t="s">
        <v>37</v>
      </c>
      <c r="G349" s="44" t="s">
        <v>108</v>
      </c>
      <c r="H349" s="44" t="s">
        <v>38</v>
      </c>
      <c r="I349" s="44" t="s">
        <v>38</v>
      </c>
      <c r="J349" s="44" t="s">
        <v>39</v>
      </c>
      <c r="K349" s="44" t="s">
        <v>120</v>
      </c>
      <c r="L349" s="40">
        <v>1123</v>
      </c>
      <c r="M349" s="41">
        <v>41339</v>
      </c>
      <c r="N349" s="40" t="s">
        <v>110</v>
      </c>
      <c r="O349" s="42">
        <f t="shared" si="15"/>
        <v>42583</v>
      </c>
      <c r="P349" s="40">
        <v>27</v>
      </c>
      <c r="Q349" s="120">
        <f>'[3]BGE LP_GMS'!G17</f>
        <v>33.888401715560725</v>
      </c>
      <c r="R349" s="120">
        <f>'[3]BGE LP_GMS'!H17</f>
        <v>34.309243510286905</v>
      </c>
      <c r="S349" s="120">
        <f>'[3]BGE LP_GMS'!I17</f>
        <v>34.227429151996553</v>
      </c>
      <c r="T349" s="120">
        <f>'[3]BGE LP_GMS'!J17</f>
        <v>34.537253281832236</v>
      </c>
      <c r="U349" s="120">
        <f>'[3]BGE LP_GMS'!K17</f>
        <v>35.671463536643749</v>
      </c>
      <c r="V349" s="91"/>
    </row>
    <row r="350" spans="1:22" x14ac:dyDescent="0.2">
      <c r="A350" s="48">
        <f t="shared" si="14"/>
        <v>342</v>
      </c>
      <c r="B350" s="43">
        <v>10</v>
      </c>
      <c r="C350" s="43">
        <v>9</v>
      </c>
      <c r="D350" s="38" t="s">
        <v>500</v>
      </c>
      <c r="E350" s="44" t="s">
        <v>134</v>
      </c>
      <c r="F350" s="44" t="s">
        <v>37</v>
      </c>
      <c r="G350" s="44" t="s">
        <v>108</v>
      </c>
      <c r="H350" s="44" t="s">
        <v>38</v>
      </c>
      <c r="I350" s="44" t="s">
        <v>38</v>
      </c>
      <c r="J350" s="44" t="s">
        <v>6</v>
      </c>
      <c r="K350" s="44" t="s">
        <v>117</v>
      </c>
      <c r="L350" s="40">
        <v>1125</v>
      </c>
      <c r="M350" s="41">
        <v>41339</v>
      </c>
      <c r="N350" s="40" t="s">
        <v>110</v>
      </c>
      <c r="O350" s="42">
        <f t="shared" si="15"/>
        <v>42583</v>
      </c>
      <c r="P350" s="40">
        <v>27</v>
      </c>
      <c r="Q350" s="120">
        <f>'[3]BGE LP_GSMS'!G17</f>
        <v>34.524861328719567</v>
      </c>
      <c r="R350" s="120">
        <f>'[3]BGE LP_GSMS'!H17</f>
        <v>35.262267578696054</v>
      </c>
      <c r="S350" s="120">
        <f>'[3]BGE LP_GSMS'!I17</f>
        <v>34.905834816472392</v>
      </c>
      <c r="T350" s="120">
        <f>'[3]BGE LP_GSMS'!J17</f>
        <v>35.359044660615986</v>
      </c>
      <c r="U350" s="120">
        <f>'[3]BGE LP_GSMS'!K17</f>
        <v>36.45019904725261</v>
      </c>
      <c r="V350" s="91"/>
    </row>
    <row r="351" spans="1:22" x14ac:dyDescent="0.2">
      <c r="A351" s="48">
        <f t="shared" si="14"/>
        <v>343</v>
      </c>
      <c r="B351" s="43">
        <v>10</v>
      </c>
      <c r="C351" s="43">
        <v>10</v>
      </c>
      <c r="D351" s="38" t="s">
        <v>501</v>
      </c>
      <c r="E351" s="44" t="s">
        <v>136</v>
      </c>
      <c r="F351" s="44" t="s">
        <v>23</v>
      </c>
      <c r="G351" s="44" t="s">
        <v>108</v>
      </c>
      <c r="H351" s="44" t="s">
        <v>137</v>
      </c>
      <c r="I351" s="44" t="s">
        <v>24</v>
      </c>
      <c r="J351" s="44" t="s">
        <v>25</v>
      </c>
      <c r="K351" s="44" t="s">
        <v>138</v>
      </c>
      <c r="L351" s="40">
        <v>1126</v>
      </c>
      <c r="M351" s="41">
        <v>41339</v>
      </c>
      <c r="N351" s="40" t="s">
        <v>110</v>
      </c>
      <c r="O351" s="42">
        <f t="shared" si="15"/>
        <v>42583</v>
      </c>
      <c r="P351" s="40">
        <v>27</v>
      </c>
      <c r="Q351" s="120">
        <f>'[3]ComEd - test LP_28MS'!G17</f>
        <v>27.705118412109986</v>
      </c>
      <c r="R351" s="120">
        <f>'[3]ComEd - test LP_28MS'!H17</f>
        <v>29.020974730444749</v>
      </c>
      <c r="S351" s="120">
        <f>'[3]ComEd - test LP_28MS'!I17</f>
        <v>30.637924859604215</v>
      </c>
      <c r="T351" s="120">
        <f>'[3]ComEd - test LP_28MS'!J17</f>
        <v>32.149268087782723</v>
      </c>
      <c r="U351" s="120">
        <f>'[3]ComEd - test LP_28MS'!K17</f>
        <v>35.379778123260806</v>
      </c>
      <c r="V351" s="91"/>
    </row>
    <row r="352" spans="1:22" x14ac:dyDescent="0.2">
      <c r="A352" s="48">
        <f t="shared" si="14"/>
        <v>344</v>
      </c>
      <c r="B352" s="43">
        <v>10</v>
      </c>
      <c r="C352" s="43">
        <v>11</v>
      </c>
      <c r="D352" s="38" t="s">
        <v>502</v>
      </c>
      <c r="E352" s="44" t="s">
        <v>140</v>
      </c>
      <c r="F352" s="44" t="s">
        <v>23</v>
      </c>
      <c r="G352" s="44" t="s">
        <v>108</v>
      </c>
      <c r="H352" s="44" t="s">
        <v>137</v>
      </c>
      <c r="I352" s="44" t="s">
        <v>24</v>
      </c>
      <c r="J352" s="44" t="s">
        <v>26</v>
      </c>
      <c r="K352" s="44" t="s">
        <v>141</v>
      </c>
      <c r="L352" s="40">
        <v>1127</v>
      </c>
      <c r="M352" s="41">
        <v>41339</v>
      </c>
      <c r="N352" s="40" t="s">
        <v>110</v>
      </c>
      <c r="O352" s="42">
        <f t="shared" si="15"/>
        <v>42583</v>
      </c>
      <c r="P352" s="40">
        <v>27</v>
      </c>
      <c r="Q352" s="120">
        <f>'[3]ComEd - test LP_29MS'!G17</f>
        <v>26.727289605929482</v>
      </c>
      <c r="R352" s="120">
        <f>'[3]ComEd - test LP_29MS'!H17</f>
        <v>28.106947794507967</v>
      </c>
      <c r="S352" s="120">
        <f>'[3]ComEd - test LP_29MS'!I17</f>
        <v>29.700275729802986</v>
      </c>
      <c r="T352" s="120">
        <f>'[3]ComEd - test LP_29MS'!J17</f>
        <v>31.234011472858764</v>
      </c>
      <c r="U352" s="120">
        <f>'[3]ComEd - test LP_29MS'!K17</f>
        <v>34.464448240874887</v>
      </c>
      <c r="V352" s="91"/>
    </row>
    <row r="353" spans="1:22" x14ac:dyDescent="0.2">
      <c r="A353" s="48">
        <f t="shared" si="14"/>
        <v>345</v>
      </c>
      <c r="B353" s="43">
        <v>10</v>
      </c>
      <c r="C353" s="43">
        <v>12</v>
      </c>
      <c r="D353" s="38" t="s">
        <v>503</v>
      </c>
      <c r="E353" s="44" t="s">
        <v>143</v>
      </c>
      <c r="F353" s="44" t="s">
        <v>18</v>
      </c>
      <c r="G353" s="44" t="s">
        <v>108</v>
      </c>
      <c r="H353" s="44" t="s">
        <v>94</v>
      </c>
      <c r="I353" s="44" t="s">
        <v>144</v>
      </c>
      <c r="J353" s="44" t="s">
        <v>20</v>
      </c>
      <c r="K353" s="44" t="s">
        <v>145</v>
      </c>
      <c r="L353" s="40">
        <v>1128</v>
      </c>
      <c r="M353" s="41">
        <v>41339</v>
      </c>
      <c r="N353" s="40" t="s">
        <v>110</v>
      </c>
      <c r="O353" s="42">
        <f t="shared" si="15"/>
        <v>42583</v>
      </c>
      <c r="P353" s="40">
        <v>27</v>
      </c>
      <c r="Q353" s="120">
        <f>[3]DAY_RC_843MS!G17</f>
        <v>17.518430589923753</v>
      </c>
      <c r="R353" s="120">
        <f>[3]DAY_RC_843MS!H17</f>
        <v>18.810342910306098</v>
      </c>
      <c r="S353" s="120">
        <f>[3]DAY_RC_843MS!I17</f>
        <v>20.228475128447897</v>
      </c>
      <c r="T353" s="120">
        <f>[3]DAY_RC_843MS!J17</f>
        <v>21.375217419846695</v>
      </c>
      <c r="U353" s="120">
        <f>[3]DAY_RC_843MS!K17</f>
        <v>23.321870947495839</v>
      </c>
      <c r="V353" s="91"/>
    </row>
    <row r="354" spans="1:22" x14ac:dyDescent="0.2">
      <c r="A354" s="48">
        <f t="shared" si="14"/>
        <v>346</v>
      </c>
      <c r="B354" s="43">
        <v>10</v>
      </c>
      <c r="C354" s="43">
        <v>13</v>
      </c>
      <c r="D354" s="38" t="s">
        <v>504</v>
      </c>
      <c r="E354" s="44" t="s">
        <v>147</v>
      </c>
      <c r="F354" s="44" t="s">
        <v>37</v>
      </c>
      <c r="G354" s="44" t="s">
        <v>108</v>
      </c>
      <c r="H354" s="44" t="s">
        <v>41</v>
      </c>
      <c r="I354" s="44" t="s">
        <v>41</v>
      </c>
      <c r="J354" s="44" t="s">
        <v>6</v>
      </c>
      <c r="K354" s="44" t="s">
        <v>128</v>
      </c>
      <c r="L354" s="40">
        <v>1129</v>
      </c>
      <c r="M354" s="41">
        <v>41339</v>
      </c>
      <c r="N354" s="40" t="s">
        <v>110</v>
      </c>
      <c r="O354" s="42">
        <f t="shared" si="15"/>
        <v>42583</v>
      </c>
      <c r="P354" s="40">
        <v>27</v>
      </c>
      <c r="Q354" s="120">
        <f>'[3]Delmarva MD LP_MDGS_MMS'!G17</f>
        <v>37.960191401355672</v>
      </c>
      <c r="R354" s="120">
        <f>'[3]Delmarva MD LP_MDGS_MMS'!H17</f>
        <v>37.624898558644908</v>
      </c>
      <c r="S354" s="120">
        <f>'[3]Delmarva MD LP_MDGS_MMS'!I17</f>
        <v>37.798506748051004</v>
      </c>
      <c r="T354" s="120">
        <f>'[3]Delmarva MD LP_MDGS_MMS'!J17</f>
        <v>38.541562792980329</v>
      </c>
      <c r="U354" s="120">
        <f>'[3]Delmarva MD LP_MDGS_MMS'!K17</f>
        <v>41.761584288753745</v>
      </c>
      <c r="V354" s="91"/>
    </row>
    <row r="355" spans="1:22" x14ac:dyDescent="0.2">
      <c r="A355" s="48">
        <f t="shared" si="14"/>
        <v>347</v>
      </c>
      <c r="B355" s="43">
        <v>10</v>
      </c>
      <c r="C355" s="43">
        <v>14</v>
      </c>
      <c r="D355" s="38" t="s">
        <v>505</v>
      </c>
      <c r="E355" s="44" t="s">
        <v>149</v>
      </c>
      <c r="F355" s="44" t="s">
        <v>5</v>
      </c>
      <c r="G355" s="44" t="s">
        <v>108</v>
      </c>
      <c r="H355" s="44" t="s">
        <v>46</v>
      </c>
      <c r="I355" s="44" t="s">
        <v>46</v>
      </c>
      <c r="J355" s="44" t="s">
        <v>6</v>
      </c>
      <c r="K355" s="44" t="s">
        <v>128</v>
      </c>
      <c r="L355" s="40">
        <v>1130</v>
      </c>
      <c r="M355" s="41">
        <v>41339</v>
      </c>
      <c r="N355" s="40" t="s">
        <v>110</v>
      </c>
      <c r="O355" s="42">
        <f t="shared" si="15"/>
        <v>42583</v>
      </c>
      <c r="P355" s="40">
        <v>27</v>
      </c>
      <c r="Q355" s="120">
        <f>'[3]DQE LP_GSGM_MMS'!G17</f>
        <v>30.030348037185444</v>
      </c>
      <c r="R355" s="120">
        <f>'[3]DQE LP_GSGM_MMS'!H17</f>
        <v>31.542975951876848</v>
      </c>
      <c r="S355" s="120">
        <f>'[3]DQE LP_GSGM_MMS'!I17</f>
        <v>33.150103490500314</v>
      </c>
      <c r="T355" s="120">
        <f>'[3]DQE LP_GSGM_MMS'!J17</f>
        <v>34.346400996995989</v>
      </c>
      <c r="U355" s="120">
        <f>'[3]DQE LP_GSGM_MMS'!K17</f>
        <v>36.425378690001331</v>
      </c>
      <c r="V355" s="91"/>
    </row>
    <row r="356" spans="1:22" x14ac:dyDescent="0.2">
      <c r="A356" s="48">
        <f t="shared" si="14"/>
        <v>348</v>
      </c>
      <c r="B356" s="43">
        <v>10</v>
      </c>
      <c r="C356" s="43">
        <v>15</v>
      </c>
      <c r="D356" s="38" t="s">
        <v>506</v>
      </c>
      <c r="E356" s="44" t="s">
        <v>151</v>
      </c>
      <c r="F356" s="44" t="s">
        <v>18</v>
      </c>
      <c r="G356" s="44" t="s">
        <v>108</v>
      </c>
      <c r="H356" s="44" t="s">
        <v>21</v>
      </c>
      <c r="I356" s="44" t="s">
        <v>152</v>
      </c>
      <c r="J356" s="44" t="s">
        <v>22</v>
      </c>
      <c r="K356" s="44" t="s">
        <v>128</v>
      </c>
      <c r="L356" s="40">
        <v>1131</v>
      </c>
      <c r="M356" s="41">
        <v>41339</v>
      </c>
      <c r="N356" s="40" t="s">
        <v>110</v>
      </c>
      <c r="O356" s="42">
        <f t="shared" si="15"/>
        <v>42583</v>
      </c>
      <c r="P356" s="40">
        <v>27</v>
      </c>
      <c r="Q356" s="120">
        <f>[3]Duke_OH_RC_DS01MS!G17</f>
        <v>17.977525525512508</v>
      </c>
      <c r="R356" s="120">
        <f>[3]Duke_OH_RC_DS01MS!H17</f>
        <v>18.731799311937557</v>
      </c>
      <c r="S356" s="120">
        <f>[3]Duke_OH_RC_DS01MS!I17</f>
        <v>20.371101906564174</v>
      </c>
      <c r="T356" s="120">
        <f>[3]Duke_OH_RC_DS01MS!J17</f>
        <v>21.174813711416434</v>
      </c>
      <c r="U356" s="120">
        <f>[3]Duke_OH_RC_DS01MS!K17</f>
        <v>22.928694580542842</v>
      </c>
      <c r="V356" s="91"/>
    </row>
    <row r="357" spans="1:22" x14ac:dyDescent="0.2">
      <c r="A357" s="48">
        <f t="shared" si="14"/>
        <v>349</v>
      </c>
      <c r="B357" s="43">
        <v>10</v>
      </c>
      <c r="C357" s="43">
        <v>16</v>
      </c>
      <c r="D357" s="38" t="s">
        <v>507</v>
      </c>
      <c r="E357" s="44" t="s">
        <v>154</v>
      </c>
      <c r="F357" s="44" t="s">
        <v>18</v>
      </c>
      <c r="G357" s="44" t="s">
        <v>108</v>
      </c>
      <c r="H357" s="44" t="s">
        <v>62</v>
      </c>
      <c r="I357" s="44" t="s">
        <v>155</v>
      </c>
      <c r="J357" s="44" t="s">
        <v>6</v>
      </c>
      <c r="K357" s="44" t="s">
        <v>128</v>
      </c>
      <c r="L357" s="40">
        <v>1132</v>
      </c>
      <c r="M357" s="41">
        <v>41339</v>
      </c>
      <c r="N357" s="40" t="s">
        <v>110</v>
      </c>
      <c r="O357" s="42">
        <f t="shared" si="15"/>
        <v>42583</v>
      </c>
      <c r="P357" s="40">
        <v>27</v>
      </c>
      <c r="Q357" s="120">
        <f>'[3]FE_OE - test RC_GSFMS'!G17</f>
        <v>20.952632620594024</v>
      </c>
      <c r="R357" s="120">
        <f>'[3]FE_OE - test RC_GSFMS'!H17</f>
        <v>21.859273796890221</v>
      </c>
      <c r="S357" s="120">
        <f>'[3]FE_OE - test RC_GSFMS'!I17</f>
        <v>22.345307354487051</v>
      </c>
      <c r="T357" s="120">
        <f>'[3]FE_OE - test RC_GSFMS'!J17</f>
        <v>22.990923179963435</v>
      </c>
      <c r="U357" s="120">
        <f>'[3]FE_OE - test RC_GSFMS'!K17</f>
        <v>24.403117211074868</v>
      </c>
      <c r="V357" s="91"/>
    </row>
    <row r="358" spans="1:22" x14ac:dyDescent="0.2">
      <c r="A358" s="48">
        <f t="shared" si="14"/>
        <v>350</v>
      </c>
      <c r="B358" s="43">
        <v>10</v>
      </c>
      <c r="C358" s="43">
        <v>17</v>
      </c>
      <c r="D358" s="38" t="s">
        <v>508</v>
      </c>
      <c r="E358" s="44" t="s">
        <v>157</v>
      </c>
      <c r="F358" s="44" t="s">
        <v>29</v>
      </c>
      <c r="G358" s="44" t="s">
        <v>108</v>
      </c>
      <c r="H358" s="44" t="s">
        <v>33</v>
      </c>
      <c r="I358" s="44" t="s">
        <v>33</v>
      </c>
      <c r="J358" s="44" t="s">
        <v>7</v>
      </c>
      <c r="K358" s="44" t="s">
        <v>123</v>
      </c>
      <c r="L358" s="40">
        <v>1133</v>
      </c>
      <c r="M358" s="41">
        <v>41339</v>
      </c>
      <c r="N358" s="40" t="s">
        <v>110</v>
      </c>
      <c r="O358" s="42">
        <f t="shared" si="15"/>
        <v>42583</v>
      </c>
      <c r="P358" s="40">
        <v>27</v>
      </c>
      <c r="Q358" s="120">
        <f>'[3]JCPL LP_GSCLMS'!G17</f>
        <v>35.725877632688821</v>
      </c>
      <c r="R358" s="120">
        <f>'[3]JCPL LP_GSCLMS'!H17</f>
        <v>38.289783445491807</v>
      </c>
      <c r="S358" s="120">
        <f>'[3]JCPL LP_GSCLMS'!I17</f>
        <v>38.463998466410644</v>
      </c>
      <c r="T358" s="120">
        <f>'[3]JCPL LP_GSCLMS'!J17</f>
        <v>39.724472078198318</v>
      </c>
      <c r="U358" s="120">
        <f>'[3]JCPL LP_GSCLMS'!K17</f>
        <v>42.956860389266296</v>
      </c>
      <c r="V358" s="91"/>
    </row>
    <row r="359" spans="1:22" x14ac:dyDescent="0.2">
      <c r="A359" s="48">
        <f t="shared" si="14"/>
        <v>351</v>
      </c>
      <c r="B359" s="43">
        <v>10</v>
      </c>
      <c r="C359" s="43">
        <v>18</v>
      </c>
      <c r="D359" s="38" t="s">
        <v>509</v>
      </c>
      <c r="E359" s="44" t="s">
        <v>159</v>
      </c>
      <c r="F359" s="44" t="s">
        <v>29</v>
      </c>
      <c r="G359" s="44" t="s">
        <v>108</v>
      </c>
      <c r="H359" s="44" t="s">
        <v>33</v>
      </c>
      <c r="I359" s="44" t="s">
        <v>33</v>
      </c>
      <c r="J359" s="44" t="s">
        <v>8</v>
      </c>
      <c r="K359" s="44" t="s">
        <v>120</v>
      </c>
      <c r="L359" s="40">
        <v>1134</v>
      </c>
      <c r="M359" s="41">
        <v>41339</v>
      </c>
      <c r="N359" s="40" t="s">
        <v>110</v>
      </c>
      <c r="O359" s="42">
        <f t="shared" si="15"/>
        <v>42583</v>
      </c>
      <c r="P359" s="40">
        <v>27</v>
      </c>
      <c r="Q359" s="120">
        <f>'[3]JCPL LP_GSCMMS'!G17</f>
        <v>39.601579806778922</v>
      </c>
      <c r="R359" s="120">
        <f>'[3]JCPL LP_GSCMMS'!H17</f>
        <v>39.562336876613244</v>
      </c>
      <c r="S359" s="120">
        <f>'[3]JCPL LP_GSCMMS'!I17</f>
        <v>40.400882926420543</v>
      </c>
      <c r="T359" s="120">
        <f>'[3]JCPL LP_GSCMMS'!J17</f>
        <v>40.857389481620849</v>
      </c>
      <c r="U359" s="120">
        <f>'[3]JCPL LP_GSCMMS'!K17</f>
        <v>43.950175630104255</v>
      </c>
      <c r="V359" s="91"/>
    </row>
    <row r="360" spans="1:22" x14ac:dyDescent="0.2">
      <c r="A360" s="48">
        <f t="shared" si="14"/>
        <v>352</v>
      </c>
      <c r="B360" s="43">
        <v>10</v>
      </c>
      <c r="C360" s="43">
        <v>19</v>
      </c>
      <c r="D360" s="38" t="s">
        <v>510</v>
      </c>
      <c r="E360" s="44" t="s">
        <v>161</v>
      </c>
      <c r="F360" s="44" t="s">
        <v>29</v>
      </c>
      <c r="G360" s="44" t="s">
        <v>108</v>
      </c>
      <c r="H360" s="44" t="s">
        <v>33</v>
      </c>
      <c r="I360" s="44" t="s">
        <v>33</v>
      </c>
      <c r="J360" s="44" t="s">
        <v>9</v>
      </c>
      <c r="K360" s="44" t="s">
        <v>117</v>
      </c>
      <c r="L360" s="40">
        <v>1135</v>
      </c>
      <c r="M360" s="41">
        <v>41339</v>
      </c>
      <c r="N360" s="40" t="s">
        <v>110</v>
      </c>
      <c r="O360" s="42">
        <f t="shared" si="15"/>
        <v>42583</v>
      </c>
      <c r="P360" s="40">
        <v>27</v>
      </c>
      <c r="Q360" s="120">
        <f>'[3]JCPL LP_GSCSMS'!G17</f>
        <v>39.601579806778922</v>
      </c>
      <c r="R360" s="120">
        <f>'[3]JCPL LP_GSCSMS'!H17</f>
        <v>39.562336876613244</v>
      </c>
      <c r="S360" s="120">
        <f>'[3]JCPL LP_GSCSMS'!I17</f>
        <v>40.400882926420543</v>
      </c>
      <c r="T360" s="120">
        <f>'[3]JCPL LP_GSCSMS'!J17</f>
        <v>40.857389481620849</v>
      </c>
      <c r="U360" s="120">
        <f>'[3]JCPL LP_GSCSMS'!K17</f>
        <v>43.950175630104255</v>
      </c>
      <c r="V360" s="91"/>
    </row>
    <row r="361" spans="1:22" x14ac:dyDescent="0.2">
      <c r="A361" s="48">
        <f t="shared" si="14"/>
        <v>353</v>
      </c>
      <c r="B361" s="43">
        <v>10</v>
      </c>
      <c r="C361" s="43">
        <v>20</v>
      </c>
      <c r="D361" s="38" t="s">
        <v>511</v>
      </c>
      <c r="E361" s="44" t="s">
        <v>163</v>
      </c>
      <c r="F361" s="44" t="s">
        <v>5</v>
      </c>
      <c r="G361" s="44" t="s">
        <v>108</v>
      </c>
      <c r="H361" s="44" t="s">
        <v>164</v>
      </c>
      <c r="I361" s="44" t="s">
        <v>165</v>
      </c>
      <c r="J361" s="44" t="s">
        <v>7</v>
      </c>
      <c r="K361" s="44" t="s">
        <v>123</v>
      </c>
      <c r="L361" s="40">
        <v>1137</v>
      </c>
      <c r="M361" s="41">
        <v>41339</v>
      </c>
      <c r="N361" s="40" t="s">
        <v>110</v>
      </c>
      <c r="O361" s="42">
        <f t="shared" si="15"/>
        <v>42583</v>
      </c>
      <c r="P361" s="40">
        <v>27</v>
      </c>
      <c r="Q361" s="120">
        <f>'[3]MetEd RC_GSLFMS'!G17</f>
        <v>19.420043801177563</v>
      </c>
      <c r="R361" s="120">
        <f>'[3]MetEd RC_GSLFMS'!H17</f>
        <v>20.187075921751184</v>
      </c>
      <c r="S361" s="120">
        <f>'[3]MetEd RC_GSLFMS'!I17</f>
        <v>20.468043316469554</v>
      </c>
      <c r="T361" s="120">
        <f>'[3]MetEd RC_GSLFMS'!J17</f>
        <v>20.943589064609313</v>
      </c>
      <c r="U361" s="120">
        <f>'[3]MetEd RC_GSLFMS'!K17</f>
        <v>22.606598593375363</v>
      </c>
      <c r="V361" s="91"/>
    </row>
    <row r="362" spans="1:22" x14ac:dyDescent="0.2">
      <c r="A362" s="48">
        <f t="shared" si="14"/>
        <v>354</v>
      </c>
      <c r="B362" s="43">
        <v>10</v>
      </c>
      <c r="C362" s="43">
        <v>21</v>
      </c>
      <c r="D362" s="38" t="s">
        <v>512</v>
      </c>
      <c r="E362" s="44" t="s">
        <v>167</v>
      </c>
      <c r="F362" s="44" t="s">
        <v>5</v>
      </c>
      <c r="G362" s="44" t="s">
        <v>108</v>
      </c>
      <c r="H362" s="44" t="s">
        <v>164</v>
      </c>
      <c r="I362" s="44" t="s">
        <v>165</v>
      </c>
      <c r="J362" s="44" t="s">
        <v>8</v>
      </c>
      <c r="K362" s="44" t="s">
        <v>120</v>
      </c>
      <c r="L362" s="40">
        <v>1136</v>
      </c>
      <c r="M362" s="41">
        <v>41339</v>
      </c>
      <c r="N362" s="40" t="s">
        <v>110</v>
      </c>
      <c r="O362" s="42">
        <f t="shared" si="15"/>
        <v>42583</v>
      </c>
      <c r="P362" s="40">
        <v>27</v>
      </c>
      <c r="Q362" s="120">
        <f>'[3]MetEd RC_GSDFMS'!G17</f>
        <v>20.729416172930588</v>
      </c>
      <c r="R362" s="120">
        <f>'[3]MetEd RC_GSDFMS'!H17</f>
        <v>21.378711626437113</v>
      </c>
      <c r="S362" s="120">
        <f>'[3]MetEd RC_GSDFMS'!I17</f>
        <v>21.70195115082165</v>
      </c>
      <c r="T362" s="120">
        <f>'[3]MetEd RC_GSDFMS'!J17</f>
        <v>22.129468048816744</v>
      </c>
      <c r="U362" s="120">
        <f>'[3]MetEd RC_GSDFMS'!K17</f>
        <v>23.777981309963206</v>
      </c>
      <c r="V362" s="91"/>
    </row>
    <row r="363" spans="1:22" x14ac:dyDescent="0.2">
      <c r="A363" s="48">
        <f t="shared" si="14"/>
        <v>355</v>
      </c>
      <c r="B363" s="43">
        <v>10</v>
      </c>
      <c r="C363" s="43">
        <v>22</v>
      </c>
      <c r="D363" s="38" t="s">
        <v>513</v>
      </c>
      <c r="E363" s="44" t="s">
        <v>169</v>
      </c>
      <c r="F363" s="44" t="s">
        <v>5</v>
      </c>
      <c r="G363" s="44" t="s">
        <v>108</v>
      </c>
      <c r="H363" s="44" t="s">
        <v>164</v>
      </c>
      <c r="I363" s="44" t="s">
        <v>165</v>
      </c>
      <c r="J363" s="44" t="s">
        <v>9</v>
      </c>
      <c r="K363" s="44" t="s">
        <v>117</v>
      </c>
      <c r="L363" s="40">
        <v>1138</v>
      </c>
      <c r="M363" s="41">
        <v>41339</v>
      </c>
      <c r="N363" s="40" t="s">
        <v>110</v>
      </c>
      <c r="O363" s="42">
        <f t="shared" si="15"/>
        <v>42583</v>
      </c>
      <c r="P363" s="40">
        <v>27</v>
      </c>
      <c r="Q363" s="120">
        <f>'[3]MetEd RC_GSSFMS'!G17</f>
        <v>19.47686111168688</v>
      </c>
      <c r="R363" s="120">
        <f>'[3]MetEd RC_GSSFMS'!H17</f>
        <v>21.348738322950048</v>
      </c>
      <c r="S363" s="120">
        <f>'[3]MetEd RC_GSSFMS'!I17</f>
        <v>21.262318085932236</v>
      </c>
      <c r="T363" s="120">
        <f>'[3]MetEd RC_GSSFMS'!J17</f>
        <v>22.100057720087523</v>
      </c>
      <c r="U363" s="120">
        <f>'[3]MetEd RC_GSSFMS'!K17</f>
        <v>23.717388067141108</v>
      </c>
      <c r="V363" s="91"/>
    </row>
    <row r="364" spans="1:22" x14ac:dyDescent="0.2">
      <c r="A364" s="48">
        <f t="shared" si="14"/>
        <v>356</v>
      </c>
      <c r="B364" s="43">
        <v>10</v>
      </c>
      <c r="C364" s="43">
        <v>23</v>
      </c>
      <c r="D364" s="38" t="s">
        <v>514</v>
      </c>
      <c r="E364" s="44" t="s">
        <v>171</v>
      </c>
      <c r="F364" s="44" t="s">
        <v>5</v>
      </c>
      <c r="G364" s="44" t="s">
        <v>108</v>
      </c>
      <c r="H364" s="44" t="s">
        <v>11</v>
      </c>
      <c r="I364" s="44" t="s">
        <v>11</v>
      </c>
      <c r="J364" s="44" t="s">
        <v>6</v>
      </c>
      <c r="K364" s="44" t="s">
        <v>128</v>
      </c>
      <c r="L364" s="40">
        <v>1139</v>
      </c>
      <c r="M364" s="41">
        <v>41339</v>
      </c>
      <c r="N364" s="40" t="s">
        <v>110</v>
      </c>
      <c r="O364" s="42">
        <f t="shared" si="15"/>
        <v>42583</v>
      </c>
      <c r="P364" s="40">
        <v>27</v>
      </c>
      <c r="Q364" s="120">
        <f>'[3]PECO LP_GSMS'!G17</f>
        <v>24.788917500409912</v>
      </c>
      <c r="R364" s="120">
        <f>'[3]PECO LP_GSMS'!H17</f>
        <v>25.038424038765893</v>
      </c>
      <c r="S364" s="120">
        <f>'[3]PECO LP_GSMS'!I17</f>
        <v>25.263779305836238</v>
      </c>
      <c r="T364" s="120">
        <f>'[3]PECO LP_GSMS'!J17</f>
        <v>25.951623909568575</v>
      </c>
      <c r="U364" s="120">
        <f>'[3]PECO LP_GSMS'!K17</f>
        <v>28.790096149075854</v>
      </c>
      <c r="V364" s="91"/>
    </row>
    <row r="365" spans="1:22" x14ac:dyDescent="0.2">
      <c r="A365" s="48">
        <f t="shared" si="14"/>
        <v>357</v>
      </c>
      <c r="B365" s="43">
        <v>10</v>
      </c>
      <c r="C365" s="43">
        <v>24</v>
      </c>
      <c r="D365" s="38" t="s">
        <v>515</v>
      </c>
      <c r="E365" s="44" t="s">
        <v>173</v>
      </c>
      <c r="F365" s="44" t="s">
        <v>5</v>
      </c>
      <c r="G365" s="44" t="s">
        <v>108</v>
      </c>
      <c r="H365" s="44" t="s">
        <v>10</v>
      </c>
      <c r="I365" s="44" t="s">
        <v>174</v>
      </c>
      <c r="J365" s="44" t="s">
        <v>7</v>
      </c>
      <c r="K365" s="44" t="s">
        <v>123</v>
      </c>
      <c r="L365" s="40">
        <v>1140</v>
      </c>
      <c r="M365" s="41">
        <v>41339</v>
      </c>
      <c r="N365" s="40" t="s">
        <v>110</v>
      </c>
      <c r="O365" s="42">
        <f t="shared" si="15"/>
        <v>42583</v>
      </c>
      <c r="P365" s="40">
        <v>27</v>
      </c>
      <c r="Q365" s="120">
        <f>'[3]Penelec RC_GSLFMS'!G17</f>
        <v>25.228832128950224</v>
      </c>
      <c r="R365" s="120">
        <f>'[3]Penelec RC_GSLFMS'!H17</f>
        <v>25.560511573993573</v>
      </c>
      <c r="S365" s="120">
        <f>'[3]Penelec RC_GSLFMS'!I17</f>
        <v>25.466215992808994</v>
      </c>
      <c r="T365" s="120">
        <f>'[3]Penelec RC_GSLFMS'!J17</f>
        <v>25.752838304103062</v>
      </c>
      <c r="U365" s="120">
        <f>'[3]Penelec RC_GSLFMS'!K17</f>
        <v>26.938885912209464</v>
      </c>
      <c r="V365" s="91"/>
    </row>
    <row r="366" spans="1:22" x14ac:dyDescent="0.2">
      <c r="A366" s="48">
        <f t="shared" si="14"/>
        <v>358</v>
      </c>
      <c r="B366" s="43">
        <v>10</v>
      </c>
      <c r="C366" s="43">
        <v>25</v>
      </c>
      <c r="D366" s="38" t="s">
        <v>516</v>
      </c>
      <c r="E366" s="44" t="s">
        <v>176</v>
      </c>
      <c r="F366" s="44" t="s">
        <v>5</v>
      </c>
      <c r="G366" s="44" t="s">
        <v>108</v>
      </c>
      <c r="H366" s="44" t="s">
        <v>10</v>
      </c>
      <c r="I366" s="44" t="s">
        <v>174</v>
      </c>
      <c r="J366" s="44" t="s">
        <v>8</v>
      </c>
      <c r="K366" s="44" t="s">
        <v>120</v>
      </c>
      <c r="L366" s="40">
        <v>1141</v>
      </c>
      <c r="M366" s="41">
        <v>41339</v>
      </c>
      <c r="N366" s="40" t="s">
        <v>110</v>
      </c>
      <c r="O366" s="42">
        <f t="shared" si="15"/>
        <v>42583</v>
      </c>
      <c r="P366" s="40">
        <v>27</v>
      </c>
      <c r="Q366" s="120">
        <f>'[3]Penelec RC_GSMFMS'!G17</f>
        <v>26.2805085475648</v>
      </c>
      <c r="R366" s="120">
        <f>'[3]Penelec RC_GSMFMS'!H17</f>
        <v>26.669974832621925</v>
      </c>
      <c r="S366" s="120">
        <f>'[3]Penelec RC_GSMFMS'!I17</f>
        <v>26.544711873257977</v>
      </c>
      <c r="T366" s="120">
        <f>'[3]Penelec RC_GSMFMS'!J17</f>
        <v>26.852771234324404</v>
      </c>
      <c r="U366" s="120">
        <f>'[3]Penelec RC_GSMFMS'!K17</f>
        <v>28.036996076907503</v>
      </c>
      <c r="V366" s="91"/>
    </row>
    <row r="367" spans="1:22" x14ac:dyDescent="0.2">
      <c r="A367" s="48">
        <f t="shared" si="14"/>
        <v>359</v>
      </c>
      <c r="B367" s="43">
        <v>10</v>
      </c>
      <c r="C367" s="43">
        <v>26</v>
      </c>
      <c r="D367" s="38" t="s">
        <v>517</v>
      </c>
      <c r="E367" s="44" t="s">
        <v>178</v>
      </c>
      <c r="F367" s="44" t="s">
        <v>5</v>
      </c>
      <c r="G367" s="44" t="s">
        <v>108</v>
      </c>
      <c r="H367" s="44" t="s">
        <v>10</v>
      </c>
      <c r="I367" s="44" t="s">
        <v>174</v>
      </c>
      <c r="J367" s="44" t="s">
        <v>9</v>
      </c>
      <c r="K367" s="44" t="s">
        <v>117</v>
      </c>
      <c r="L367" s="40">
        <v>1142</v>
      </c>
      <c r="M367" s="41">
        <v>41339</v>
      </c>
      <c r="N367" s="40" t="s">
        <v>110</v>
      </c>
      <c r="O367" s="42">
        <f t="shared" si="15"/>
        <v>42583</v>
      </c>
      <c r="P367" s="40">
        <v>27</v>
      </c>
      <c r="Q367" s="120">
        <f>'[3]Penelec RC_GSSFMS'!G17</f>
        <v>25.075219133697772</v>
      </c>
      <c r="R367" s="120">
        <f>'[3]Penelec RC_GSSFMS'!H17</f>
        <v>26.717701598623773</v>
      </c>
      <c r="S367" s="120">
        <f>'[3]Penelec RC_GSSFMS'!I17</f>
        <v>26.121431800659238</v>
      </c>
      <c r="T367" s="120">
        <f>'[3]Penelec RC_GSSFMS'!J17</f>
        <v>26.885271897754251</v>
      </c>
      <c r="U367" s="120">
        <f>'[3]Penelec RC_GSSFMS'!K17</f>
        <v>28.072229914291817</v>
      </c>
      <c r="V367" s="91"/>
    </row>
    <row r="368" spans="1:22" x14ac:dyDescent="0.2">
      <c r="A368" s="48">
        <f t="shared" si="14"/>
        <v>360</v>
      </c>
      <c r="B368" s="43">
        <v>10</v>
      </c>
      <c r="C368" s="43">
        <v>27</v>
      </c>
      <c r="D368" s="38" t="s">
        <v>518</v>
      </c>
      <c r="E368" s="44" t="s">
        <v>180</v>
      </c>
      <c r="F368" s="44" t="s">
        <v>5</v>
      </c>
      <c r="G368" s="44" t="s">
        <v>108</v>
      </c>
      <c r="H368" s="44" t="s">
        <v>91</v>
      </c>
      <c r="I368" s="44" t="s">
        <v>181</v>
      </c>
      <c r="J368" s="44" t="s">
        <v>6</v>
      </c>
      <c r="K368" s="44" t="s">
        <v>128</v>
      </c>
      <c r="L368" s="40">
        <v>1143</v>
      </c>
      <c r="M368" s="41">
        <v>41339</v>
      </c>
      <c r="N368" s="40" t="s">
        <v>110</v>
      </c>
      <c r="O368" s="42">
        <f t="shared" si="15"/>
        <v>42583</v>
      </c>
      <c r="P368" s="40">
        <v>27</v>
      </c>
      <c r="Q368" s="120">
        <f>'[3]Penn Power RC_GMDMS'!G17</f>
        <v>31.937041508459295</v>
      </c>
      <c r="R368" s="120">
        <f>'[3]Penn Power RC_GMDMS'!H17</f>
        <v>32.923021278470273</v>
      </c>
      <c r="S368" s="120">
        <f>'[3]Penn Power RC_GMDMS'!I17</f>
        <v>33.382576404268363</v>
      </c>
      <c r="T368" s="120">
        <f>'[3]Penn Power RC_GMDMS'!J17</f>
        <v>34.073981147618426</v>
      </c>
      <c r="U368" s="120">
        <f>'[3]Penn Power RC_GMDMS'!K17</f>
        <v>35.53387188010332</v>
      </c>
      <c r="V368" s="91"/>
    </row>
    <row r="369" spans="1:22" x14ac:dyDescent="0.2">
      <c r="A369" s="48">
        <f t="shared" si="14"/>
        <v>361</v>
      </c>
      <c r="B369" s="43">
        <v>10</v>
      </c>
      <c r="C369" s="43">
        <v>28</v>
      </c>
      <c r="D369" s="38" t="s">
        <v>519</v>
      </c>
      <c r="E369" s="44" t="s">
        <v>183</v>
      </c>
      <c r="F369" s="44" t="s">
        <v>37</v>
      </c>
      <c r="G369" s="44" t="s">
        <v>108</v>
      </c>
      <c r="H369" s="44" t="s">
        <v>42</v>
      </c>
      <c r="I369" s="44" t="s">
        <v>42</v>
      </c>
      <c r="J369" s="44" t="s">
        <v>6</v>
      </c>
      <c r="K369" s="44" t="s">
        <v>128</v>
      </c>
      <c r="L369" s="40">
        <v>1144</v>
      </c>
      <c r="M369" s="41">
        <v>41339</v>
      </c>
      <c r="N369" s="40" t="s">
        <v>110</v>
      </c>
      <c r="O369" s="42">
        <f t="shared" si="15"/>
        <v>42583</v>
      </c>
      <c r="P369" s="40">
        <v>27</v>
      </c>
      <c r="Q369" s="120">
        <f>'[3]PEPCO MD LP_MDNDMS'!G17</f>
        <v>34.436401401750103</v>
      </c>
      <c r="R369" s="120">
        <f>'[3]PEPCO MD LP_MDNDMS'!H17</f>
        <v>34.813064792700743</v>
      </c>
      <c r="S369" s="120">
        <f>'[3]PEPCO MD LP_MDNDMS'!I17</f>
        <v>34.64637895825846</v>
      </c>
      <c r="T369" s="120">
        <f>'[3]PEPCO MD LP_MDNDMS'!J17</f>
        <v>34.928770385084903</v>
      </c>
      <c r="U369" s="120">
        <f>'[3]PEPCO MD LP_MDNDMS'!K17</f>
        <v>35.925610507542544</v>
      </c>
      <c r="V369" s="91"/>
    </row>
    <row r="370" spans="1:22" x14ac:dyDescent="0.2">
      <c r="A370" s="48">
        <f t="shared" si="14"/>
        <v>362</v>
      </c>
      <c r="B370" s="43">
        <v>10</v>
      </c>
      <c r="C370" s="43">
        <v>29</v>
      </c>
      <c r="D370" s="38" t="s">
        <v>520</v>
      </c>
      <c r="E370" s="44" t="s">
        <v>185</v>
      </c>
      <c r="F370" s="44" t="s">
        <v>37</v>
      </c>
      <c r="G370" s="44" t="s">
        <v>108</v>
      </c>
      <c r="H370" s="44" t="s">
        <v>42</v>
      </c>
      <c r="I370" s="44" t="s">
        <v>42</v>
      </c>
      <c r="J370" s="44" t="s">
        <v>43</v>
      </c>
      <c r="K370" s="44" t="s">
        <v>186</v>
      </c>
      <c r="L370" s="40">
        <v>1145</v>
      </c>
      <c r="M370" s="41">
        <v>41339</v>
      </c>
      <c r="N370" s="40" t="s">
        <v>110</v>
      </c>
      <c r="O370" s="42">
        <f t="shared" si="15"/>
        <v>42583</v>
      </c>
      <c r="P370" s="40">
        <v>27</v>
      </c>
      <c r="Q370" s="120">
        <f>'[3]PEPCO MD LP_MMGTL2AMS'!G17</f>
        <v>33.667649956550704</v>
      </c>
      <c r="R370" s="120">
        <f>'[3]PEPCO MD LP_MMGTL2AMS'!H17</f>
        <v>33.770762305111475</v>
      </c>
      <c r="S370" s="120">
        <f>'[3]PEPCO MD LP_MMGTL2AMS'!I17</f>
        <v>33.695538877194025</v>
      </c>
      <c r="T370" s="120">
        <f>'[3]PEPCO MD LP_MMGTL2AMS'!J17</f>
        <v>33.886548640402978</v>
      </c>
      <c r="U370" s="120">
        <f>'[3]PEPCO MD LP_MMGTL2AMS'!K17</f>
        <v>34.860457412254839</v>
      </c>
      <c r="V370" s="91"/>
    </row>
    <row r="371" spans="1:22" x14ac:dyDescent="0.2">
      <c r="A371" s="48">
        <f t="shared" si="14"/>
        <v>363</v>
      </c>
      <c r="B371" s="43">
        <v>10</v>
      </c>
      <c r="C371" s="43">
        <v>30</v>
      </c>
      <c r="D371" s="38" t="s">
        <v>521</v>
      </c>
      <c r="E371" s="44" t="s">
        <v>188</v>
      </c>
      <c r="F371" s="44" t="s">
        <v>37</v>
      </c>
      <c r="G371" s="44" t="s">
        <v>108</v>
      </c>
      <c r="H371" s="44" t="s">
        <v>42</v>
      </c>
      <c r="I371" s="44" t="s">
        <v>42</v>
      </c>
      <c r="J371" s="44" t="s">
        <v>44</v>
      </c>
      <c r="K371" s="44" t="s">
        <v>44</v>
      </c>
      <c r="L371" s="40">
        <v>1146</v>
      </c>
      <c r="M371" s="41">
        <v>41339</v>
      </c>
      <c r="N371" s="40" t="s">
        <v>110</v>
      </c>
      <c r="O371" s="42">
        <f t="shared" si="15"/>
        <v>42583</v>
      </c>
      <c r="P371" s="40">
        <v>27</v>
      </c>
      <c r="Q371" s="120">
        <f>'[3]PEPCO MD RC_3T7MS'!G17</f>
        <v>33.499217799029601</v>
      </c>
      <c r="R371" s="120">
        <f>'[3]PEPCO MD RC_3T7MS'!H17</f>
        <v>34.599580804753529</v>
      </c>
      <c r="S371" s="120">
        <f>'[3]PEPCO MD RC_3T7MS'!I17</f>
        <v>34.320128971625721</v>
      </c>
      <c r="T371" s="120">
        <f>'[3]PEPCO MD RC_3T7MS'!J17</f>
        <v>34.834766718920932</v>
      </c>
      <c r="U371" s="120">
        <f>'[3]PEPCO MD RC_3T7MS'!K17</f>
        <v>35.865731541164095</v>
      </c>
      <c r="V371" s="91"/>
    </row>
    <row r="372" spans="1:22" x14ac:dyDescent="0.2">
      <c r="A372" s="48">
        <f t="shared" si="14"/>
        <v>364</v>
      </c>
      <c r="B372" s="43">
        <v>10</v>
      </c>
      <c r="C372" s="43">
        <v>31</v>
      </c>
      <c r="D372" s="38" t="s">
        <v>522</v>
      </c>
      <c r="E372" s="44" t="s">
        <v>190</v>
      </c>
      <c r="F372" s="44" t="s">
        <v>37</v>
      </c>
      <c r="G372" s="44" t="s">
        <v>108</v>
      </c>
      <c r="H372" s="44" t="s">
        <v>45</v>
      </c>
      <c r="I372" s="44" t="s">
        <v>45</v>
      </c>
      <c r="J372" s="44" t="s">
        <v>6</v>
      </c>
      <c r="K372" s="44" t="s">
        <v>128</v>
      </c>
      <c r="L372" s="40">
        <v>1147</v>
      </c>
      <c r="M372" s="41">
        <v>41339</v>
      </c>
      <c r="N372" s="40" t="s">
        <v>110</v>
      </c>
      <c r="O372" s="42">
        <f t="shared" si="15"/>
        <v>42583</v>
      </c>
      <c r="P372" s="40">
        <v>27</v>
      </c>
      <c r="Q372" s="120">
        <f>'[3]Potomac Edison LP_GSCM_MMS'!G17</f>
        <v>27.272087419329267</v>
      </c>
      <c r="R372" s="120">
        <f>'[3]Potomac Edison LP_GSCM_MMS'!H17</f>
        <v>27.141265382873019</v>
      </c>
      <c r="S372" s="120">
        <f>'[3]Potomac Edison LP_GSCM_MMS'!I17</f>
        <v>29.514396151910304</v>
      </c>
      <c r="T372" s="120">
        <f>'[3]Potomac Edison LP_GSCM_MMS'!J17</f>
        <v>30.276417838614698</v>
      </c>
      <c r="U372" s="120">
        <f>'[3]Potomac Edison LP_GSCM_MMS'!K17</f>
        <v>32.666762288485579</v>
      </c>
      <c r="V372" s="91"/>
    </row>
    <row r="373" spans="1:22" x14ac:dyDescent="0.2">
      <c r="A373" s="48">
        <f t="shared" si="14"/>
        <v>365</v>
      </c>
      <c r="B373" s="43">
        <v>10</v>
      </c>
      <c r="C373" s="43">
        <v>32</v>
      </c>
      <c r="D373" s="38" t="s">
        <v>523</v>
      </c>
      <c r="E373" s="44" t="s">
        <v>192</v>
      </c>
      <c r="F373" s="44" t="s">
        <v>5</v>
      </c>
      <c r="G373" s="44" t="s">
        <v>108</v>
      </c>
      <c r="H373" s="44" t="s">
        <v>12</v>
      </c>
      <c r="I373" s="44" t="s">
        <v>12</v>
      </c>
      <c r="J373" s="44" t="s">
        <v>13</v>
      </c>
      <c r="K373" s="44" t="s">
        <v>117</v>
      </c>
      <c r="L373" s="40">
        <v>1148</v>
      </c>
      <c r="M373" s="41">
        <v>41339</v>
      </c>
      <c r="N373" s="40" t="s">
        <v>110</v>
      </c>
      <c r="O373" s="42">
        <f t="shared" si="15"/>
        <v>42583</v>
      </c>
      <c r="P373" s="40">
        <v>27</v>
      </c>
      <c r="Q373" s="120">
        <f>[3]PPL_RCGS1MS!G17</f>
        <v>27.788748340776127</v>
      </c>
      <c r="R373" s="120">
        <f>[3]PPL_RCGS1MS!H17</f>
        <v>28.568240346827835</v>
      </c>
      <c r="S373" s="120">
        <f>[3]PPL_RCGS1MS!I17</f>
        <v>28.480096399026014</v>
      </c>
      <c r="T373" s="120">
        <f>[3]PPL_RCGS1MS!J17</f>
        <v>28.809295544177164</v>
      </c>
      <c r="U373" s="120">
        <f>[3]PPL_RCGS1MS!K17</f>
        <v>29.9337339124259</v>
      </c>
      <c r="V373" s="91"/>
    </row>
    <row r="374" spans="1:22" x14ac:dyDescent="0.2">
      <c r="A374" s="48">
        <f t="shared" si="14"/>
        <v>366</v>
      </c>
      <c r="B374" s="43">
        <v>10</v>
      </c>
      <c r="C374" s="43">
        <v>33</v>
      </c>
      <c r="D374" s="38" t="s">
        <v>524</v>
      </c>
      <c r="E374" s="44" t="s">
        <v>194</v>
      </c>
      <c r="F374" s="44" t="s">
        <v>5</v>
      </c>
      <c r="G374" s="44" t="s">
        <v>108</v>
      </c>
      <c r="H374" s="44" t="s">
        <v>12</v>
      </c>
      <c r="I374" s="44" t="s">
        <v>12</v>
      </c>
      <c r="J374" s="44" t="s">
        <v>14</v>
      </c>
      <c r="K374" s="44" t="s">
        <v>123</v>
      </c>
      <c r="L374" s="40">
        <v>1149</v>
      </c>
      <c r="M374" s="41">
        <v>41339</v>
      </c>
      <c r="N374" s="40" t="s">
        <v>110</v>
      </c>
      <c r="O374" s="42">
        <f t="shared" si="15"/>
        <v>42583</v>
      </c>
      <c r="P374" s="40">
        <v>27</v>
      </c>
      <c r="Q374" s="120">
        <f>[3]PPL_RCGS3MS!G17</f>
        <v>28.115027670522267</v>
      </c>
      <c r="R374" s="120">
        <f>[3]PPL_RCGS3MS!H17</f>
        <v>28.42649174798839</v>
      </c>
      <c r="S374" s="120">
        <f>[3]PPL_RCGS3MS!I17</f>
        <v>28.521401957259425</v>
      </c>
      <c r="T374" s="120">
        <f>[3]PPL_RCGS3MS!J17</f>
        <v>28.741215920284439</v>
      </c>
      <c r="U374" s="120">
        <f>[3]PPL_RCGS3MS!K17</f>
        <v>29.92765877280026</v>
      </c>
      <c r="V374" s="91"/>
    </row>
    <row r="375" spans="1:22" x14ac:dyDescent="0.2">
      <c r="A375" s="48">
        <f t="shared" si="14"/>
        <v>367</v>
      </c>
      <c r="B375" s="43">
        <v>10</v>
      </c>
      <c r="C375" s="43">
        <v>34</v>
      </c>
      <c r="D375" s="38" t="s">
        <v>525</v>
      </c>
      <c r="E375" s="44" t="s">
        <v>196</v>
      </c>
      <c r="F375" s="44" t="s">
        <v>29</v>
      </c>
      <c r="G375" s="44" t="s">
        <v>108</v>
      </c>
      <c r="H375" s="44" t="s">
        <v>34</v>
      </c>
      <c r="I375" s="44" t="s">
        <v>34</v>
      </c>
      <c r="J375" s="44" t="s">
        <v>35</v>
      </c>
      <c r="K375" s="44" t="s">
        <v>197</v>
      </c>
      <c r="L375" s="40">
        <v>1150</v>
      </c>
      <c r="M375" s="41">
        <v>41339</v>
      </c>
      <c r="N375" s="40" t="s">
        <v>110</v>
      </c>
      <c r="O375" s="42">
        <f t="shared" si="15"/>
        <v>42583</v>
      </c>
      <c r="P375" s="40">
        <v>27</v>
      </c>
      <c r="Q375" s="120">
        <f>'[3]PSEG LP_GLP_MMS'!G17</f>
        <v>57.719584628728143</v>
      </c>
      <c r="R375" s="120">
        <f>'[3]PSEG LP_GLP_MMS'!H17</f>
        <v>58.386393012938868</v>
      </c>
      <c r="S375" s="120">
        <f>'[3]PSEG LP_GLP_MMS'!I17</f>
        <v>58.495248328037434</v>
      </c>
      <c r="T375" s="120">
        <f>'[3]PSEG LP_GLP_MMS'!J17</f>
        <v>58.717638477181367</v>
      </c>
      <c r="U375" s="120">
        <f>'[3]PSEG LP_GLP_MMS'!K17</f>
        <v>59.882605268611563</v>
      </c>
      <c r="V375" s="91"/>
    </row>
    <row r="376" spans="1:22" x14ac:dyDescent="0.2">
      <c r="A376" s="48">
        <f t="shared" si="14"/>
        <v>368</v>
      </c>
      <c r="B376" s="43">
        <v>10</v>
      </c>
      <c r="C376" s="43">
        <v>35</v>
      </c>
      <c r="D376" s="38" t="s">
        <v>526</v>
      </c>
      <c r="E376" s="44" t="s">
        <v>199</v>
      </c>
      <c r="F376" s="44" t="s">
        <v>29</v>
      </c>
      <c r="G376" s="44" t="s">
        <v>108</v>
      </c>
      <c r="H376" s="44" t="s">
        <v>34</v>
      </c>
      <c r="I376" s="44" t="s">
        <v>34</v>
      </c>
      <c r="J376" s="44" t="s">
        <v>36</v>
      </c>
      <c r="K376" s="44" t="s">
        <v>200</v>
      </c>
      <c r="L376" s="40">
        <v>1151</v>
      </c>
      <c r="M376" s="41">
        <v>41339</v>
      </c>
      <c r="N376" s="40" t="s">
        <v>110</v>
      </c>
      <c r="O376" s="42">
        <f t="shared" si="15"/>
        <v>42583</v>
      </c>
      <c r="P376" s="40">
        <v>27</v>
      </c>
      <c r="Q376" s="120">
        <f>'[3]PSEG LP_LPLMS'!G17</f>
        <v>57.511865031672059</v>
      </c>
      <c r="R376" s="120">
        <f>'[3]PSEG LP_LPLMS'!H17</f>
        <v>57.766151623314407</v>
      </c>
      <c r="S376" s="120">
        <f>'[3]PSEG LP_LPLMS'!I17</f>
        <v>57.883764171667067</v>
      </c>
      <c r="T376" s="120">
        <f>'[3]PSEG LP_LPLMS'!J17</f>
        <v>58.005706607709961</v>
      </c>
      <c r="U376" s="120">
        <f>'[3]PSEG LP_LPLMS'!K17</f>
        <v>59.142984692229362</v>
      </c>
      <c r="V376" s="91"/>
    </row>
    <row r="377" spans="1:22" x14ac:dyDescent="0.2">
      <c r="A377" s="48">
        <f t="shared" si="14"/>
        <v>369</v>
      </c>
      <c r="B377" s="43">
        <v>10</v>
      </c>
      <c r="C377" s="43">
        <v>36</v>
      </c>
      <c r="D377" s="38" t="s">
        <v>527</v>
      </c>
      <c r="E377" s="44" t="s">
        <v>202</v>
      </c>
      <c r="F377" s="44" t="s">
        <v>5</v>
      </c>
      <c r="G377" s="44" t="s">
        <v>108</v>
      </c>
      <c r="H377" s="44" t="s">
        <v>15</v>
      </c>
      <c r="I377" s="44" t="s">
        <v>203</v>
      </c>
      <c r="J377" s="44" t="s">
        <v>16</v>
      </c>
      <c r="K377" s="44" t="s">
        <v>128</v>
      </c>
      <c r="L377" s="40">
        <v>1152</v>
      </c>
      <c r="M377" s="41">
        <v>41339</v>
      </c>
      <c r="N377" s="40" t="s">
        <v>110</v>
      </c>
      <c r="O377" s="42">
        <f t="shared" si="15"/>
        <v>42583</v>
      </c>
      <c r="P377" s="40">
        <v>27</v>
      </c>
      <c r="Q377" s="120">
        <f>'[3]West Penn Power LP_GSCMMS'!G17</f>
        <v>26.205575533845678</v>
      </c>
      <c r="R377" s="120">
        <f>'[3]West Penn Power LP_GSCMMS'!H17</f>
        <v>27.296968289722393</v>
      </c>
      <c r="S377" s="120">
        <f>'[3]West Penn Power LP_GSCMMS'!I17</f>
        <v>29.069369385556055</v>
      </c>
      <c r="T377" s="120">
        <f>'[3]West Penn Power LP_GSCMMS'!J17</f>
        <v>30.156643249409839</v>
      </c>
      <c r="U377" s="120">
        <f>'[3]West Penn Power LP_GSCMMS'!K17</f>
        <v>32.292877806618243</v>
      </c>
      <c r="V377" s="91"/>
    </row>
    <row r="378" spans="1:22" x14ac:dyDescent="0.2">
      <c r="A378" s="48">
        <f t="shared" si="14"/>
        <v>370</v>
      </c>
      <c r="B378" s="20"/>
      <c r="C378" s="20"/>
      <c r="D378" s="20"/>
      <c r="Q378" s="121"/>
      <c r="R378" s="121"/>
      <c r="S378" s="121"/>
      <c r="T378" s="121"/>
      <c r="U378" s="121"/>
    </row>
    <row r="379" spans="1:22" x14ac:dyDescent="0.2">
      <c r="A379" s="48">
        <f t="shared" si="14"/>
        <v>371</v>
      </c>
      <c r="B379" s="43">
        <v>11</v>
      </c>
      <c r="C379" s="43">
        <v>1</v>
      </c>
      <c r="D379" s="38" t="s">
        <v>528</v>
      </c>
      <c r="E379" s="44" t="s">
        <v>107</v>
      </c>
      <c r="F379" s="44" t="s">
        <v>29</v>
      </c>
      <c r="G379" s="44" t="s">
        <v>108</v>
      </c>
      <c r="H379" s="44" t="s">
        <v>30</v>
      </c>
      <c r="I379" s="44" t="s">
        <v>30</v>
      </c>
      <c r="J379" s="44" t="s">
        <v>31</v>
      </c>
      <c r="K379" s="44" t="s">
        <v>109</v>
      </c>
      <c r="L379" s="40">
        <v>1117</v>
      </c>
      <c r="M379" s="41">
        <v>41339</v>
      </c>
      <c r="N379" s="40" t="s">
        <v>110</v>
      </c>
      <c r="O379" s="42">
        <f>EDATE(O342,1)</f>
        <v>42614</v>
      </c>
      <c r="P379" s="40">
        <v>28</v>
      </c>
      <c r="Q379" s="120">
        <f>'[3]AECO LP_10V1_SMS'!G18</f>
        <v>50.208641916840506</v>
      </c>
      <c r="R379" s="120">
        <f>'[3]AECO LP_10V1_SMS'!H18</f>
        <v>47.203230702455613</v>
      </c>
      <c r="S379" s="120">
        <f>'[3]AECO LP_10V1_SMS'!I18</f>
        <v>48.047129349179556</v>
      </c>
      <c r="T379" s="120">
        <f>'[3]AECO LP_10V1_SMS'!J18</f>
        <v>47.938702379487587</v>
      </c>
      <c r="U379" s="120">
        <f>'[3]AECO LP_10V1_SMS'!K18</f>
        <v>49.812764880816815</v>
      </c>
      <c r="V379" s="91"/>
    </row>
    <row r="380" spans="1:22" x14ac:dyDescent="0.2">
      <c r="A380" s="48">
        <f t="shared" si="14"/>
        <v>372</v>
      </c>
      <c r="B380" s="43">
        <v>11</v>
      </c>
      <c r="C380" s="43">
        <v>2</v>
      </c>
      <c r="D380" s="38" t="s">
        <v>529</v>
      </c>
      <c r="E380" s="44" t="s">
        <v>112</v>
      </c>
      <c r="F380" s="44" t="s">
        <v>29</v>
      </c>
      <c r="G380" s="44" t="s">
        <v>108</v>
      </c>
      <c r="H380" s="44" t="s">
        <v>30</v>
      </c>
      <c r="I380" s="44" t="s">
        <v>30</v>
      </c>
      <c r="J380" s="44" t="s">
        <v>32</v>
      </c>
      <c r="K380" s="44" t="s">
        <v>113</v>
      </c>
      <c r="L380" s="40">
        <v>1118</v>
      </c>
      <c r="M380" s="41">
        <v>41339</v>
      </c>
      <c r="N380" s="40" t="s">
        <v>110</v>
      </c>
      <c r="O380" s="42">
        <f>O379</f>
        <v>42614</v>
      </c>
      <c r="P380" s="40">
        <v>28</v>
      </c>
      <c r="Q380" s="120">
        <f>'[3]AECO LP_14V1_MMS'!G18</f>
        <v>48.520182863731357</v>
      </c>
      <c r="R380" s="120">
        <f>'[3]AECO LP_14V1_MMS'!H18</f>
        <v>47.147350323260426</v>
      </c>
      <c r="S380" s="120">
        <f>'[3]AECO LP_14V1_MMS'!I18</f>
        <v>47.021203052841464</v>
      </c>
      <c r="T380" s="120">
        <f>'[3]AECO LP_14V1_MMS'!J18</f>
        <v>46.163767380360234</v>
      </c>
      <c r="U380" s="120">
        <f>'[3]AECO LP_14V1_MMS'!K18</f>
        <v>46.860380209863173</v>
      </c>
      <c r="V380" s="91"/>
    </row>
    <row r="381" spans="1:22" x14ac:dyDescent="0.2">
      <c r="A381" s="48">
        <f t="shared" si="14"/>
        <v>373</v>
      </c>
      <c r="B381" s="43">
        <v>11</v>
      </c>
      <c r="C381" s="43">
        <v>3</v>
      </c>
      <c r="D381" s="38" t="s">
        <v>530</v>
      </c>
      <c r="E381" s="44" t="s">
        <v>115</v>
      </c>
      <c r="F381" s="44" t="s">
        <v>18</v>
      </c>
      <c r="G381" s="44" t="s">
        <v>108</v>
      </c>
      <c r="H381" s="44" t="s">
        <v>61</v>
      </c>
      <c r="I381" s="44" t="s">
        <v>116</v>
      </c>
      <c r="J381" s="44" t="s">
        <v>13</v>
      </c>
      <c r="K381" s="44" t="s">
        <v>117</v>
      </c>
      <c r="L381" s="40">
        <v>1119</v>
      </c>
      <c r="M381" s="41">
        <v>41339</v>
      </c>
      <c r="N381" s="40" t="s">
        <v>110</v>
      </c>
      <c r="O381" s="42">
        <f t="shared" ref="O381:O414" si="16">O380</f>
        <v>42614</v>
      </c>
      <c r="P381" s="40">
        <v>28</v>
      </c>
      <c r="Q381" s="120">
        <f>'[3]AEP_OH_CS - test CSGS1MS'!G18</f>
        <v>18.637938849136702</v>
      </c>
      <c r="R381" s="120">
        <f>'[3]AEP_OH_CS - test CSGS1MS'!H18</f>
        <v>20.165536462547479</v>
      </c>
      <c r="S381" s="120">
        <f>'[3]AEP_OH_CS - test CSGS1MS'!I18</f>
        <v>21.563129229097711</v>
      </c>
      <c r="T381" s="120">
        <f>'[3]AEP_OH_CS - test CSGS1MS'!J18</f>
        <v>22.612400039212442</v>
      </c>
      <c r="U381" s="120">
        <f>'[3]AEP_OH_CS - test CSGS1MS'!K18</f>
        <v>24.836284527274291</v>
      </c>
      <c r="V381" s="91"/>
    </row>
    <row r="382" spans="1:22" x14ac:dyDescent="0.2">
      <c r="A382" s="48">
        <f t="shared" si="14"/>
        <v>374</v>
      </c>
      <c r="B382" s="43">
        <v>11</v>
      </c>
      <c r="C382" s="43">
        <v>4</v>
      </c>
      <c r="D382" s="38" t="s">
        <v>531</v>
      </c>
      <c r="E382" s="44" t="s">
        <v>119</v>
      </c>
      <c r="F382" s="44" t="s">
        <v>18</v>
      </c>
      <c r="G382" s="44" t="s">
        <v>108</v>
      </c>
      <c r="H382" s="44" t="s">
        <v>61</v>
      </c>
      <c r="I382" s="44" t="s">
        <v>116</v>
      </c>
      <c r="J382" s="44" t="s">
        <v>19</v>
      </c>
      <c r="K382" s="44" t="s">
        <v>120</v>
      </c>
      <c r="L382" s="40">
        <v>1120</v>
      </c>
      <c r="M382" s="41">
        <v>41339</v>
      </c>
      <c r="N382" s="40" t="s">
        <v>110</v>
      </c>
      <c r="O382" s="42">
        <f t="shared" si="16"/>
        <v>42614</v>
      </c>
      <c r="P382" s="40">
        <v>28</v>
      </c>
      <c r="Q382" s="120">
        <f>'[3]AEP_OH_CS - test CSGS2UMS'!G18</f>
        <v>19.41518846608966</v>
      </c>
      <c r="R382" s="120">
        <f>'[3]AEP_OH_CS - test CSGS2UMS'!H18</f>
        <v>20.22883126003261</v>
      </c>
      <c r="S382" s="120">
        <f>'[3]AEP_OH_CS - test CSGS2UMS'!I18</f>
        <v>21.935131632017622</v>
      </c>
      <c r="T382" s="120">
        <f>'[3]AEP_OH_CS - test CSGS2UMS'!J18</f>
        <v>22.679564433043723</v>
      </c>
      <c r="U382" s="120">
        <f>'[3]AEP_OH_CS - test CSGS2UMS'!K18</f>
        <v>24.911394624963638</v>
      </c>
      <c r="V382" s="91"/>
    </row>
    <row r="383" spans="1:22" x14ac:dyDescent="0.2">
      <c r="A383" s="48">
        <f t="shared" si="14"/>
        <v>375</v>
      </c>
      <c r="B383" s="43">
        <v>11</v>
      </c>
      <c r="C383" s="43">
        <v>5</v>
      </c>
      <c r="D383" s="38" t="s">
        <v>532</v>
      </c>
      <c r="E383" s="44" t="s">
        <v>122</v>
      </c>
      <c r="F383" s="44" t="s">
        <v>18</v>
      </c>
      <c r="G383" s="44" t="s">
        <v>108</v>
      </c>
      <c r="H383" s="44" t="s">
        <v>61</v>
      </c>
      <c r="I383" s="44" t="s">
        <v>116</v>
      </c>
      <c r="J383" s="44" t="s">
        <v>14</v>
      </c>
      <c r="K383" s="44" t="s">
        <v>123</v>
      </c>
      <c r="L383" s="40">
        <v>1121</v>
      </c>
      <c r="M383" s="41">
        <v>41339</v>
      </c>
      <c r="N383" s="40" t="s">
        <v>110</v>
      </c>
      <c r="O383" s="42">
        <f t="shared" si="16"/>
        <v>42614</v>
      </c>
      <c r="P383" s="40">
        <v>28</v>
      </c>
      <c r="Q383" s="120">
        <f>'[3]AEP_OH_CS - test CSGS3UMS'!G18</f>
        <v>19.41518846608966</v>
      </c>
      <c r="R383" s="120">
        <f>'[3]AEP_OH_CS - test CSGS3UMS'!H18</f>
        <v>20.22883126003261</v>
      </c>
      <c r="S383" s="120">
        <f>'[3]AEP_OH_CS - test CSGS3UMS'!I18</f>
        <v>21.935131632017622</v>
      </c>
      <c r="T383" s="120">
        <f>'[3]AEP_OH_CS - test CSGS3UMS'!J18</f>
        <v>22.679564433043723</v>
      </c>
      <c r="U383" s="120">
        <f>'[3]AEP_OH_CS - test CSGS3UMS'!K18</f>
        <v>24.911394624963638</v>
      </c>
      <c r="V383" s="91"/>
    </row>
    <row r="384" spans="1:22" x14ac:dyDescent="0.2">
      <c r="A384" s="48">
        <f t="shared" si="14"/>
        <v>376</v>
      </c>
      <c r="B384" s="43">
        <v>11</v>
      </c>
      <c r="C384" s="43">
        <v>6</v>
      </c>
      <c r="D384" s="38" t="s">
        <v>533</v>
      </c>
      <c r="E384" s="44" t="s">
        <v>125</v>
      </c>
      <c r="F384" s="44" t="s">
        <v>23</v>
      </c>
      <c r="G384" s="44" t="s">
        <v>126</v>
      </c>
      <c r="H384" s="44" t="s">
        <v>127</v>
      </c>
      <c r="I384" s="44" t="s">
        <v>27</v>
      </c>
      <c r="J384" s="44" t="s">
        <v>28</v>
      </c>
      <c r="K384" s="44" t="s">
        <v>128</v>
      </c>
      <c r="L384" s="40">
        <v>1122</v>
      </c>
      <c r="M384" s="41">
        <v>41339</v>
      </c>
      <c r="N384" s="40" t="s">
        <v>110</v>
      </c>
      <c r="O384" s="42">
        <f t="shared" si="16"/>
        <v>42614</v>
      </c>
      <c r="P384" s="40">
        <v>28</v>
      </c>
      <c r="Q384" s="120">
        <f>'[3]Ameren RateZnIII LP DS2HHMS'!G18</f>
        <v>23.765589693969702</v>
      </c>
      <c r="R384" s="120">
        <f>'[3]Ameren RateZnIII LP DS2HHMS'!H18</f>
        <v>23.060185207992738</v>
      </c>
      <c r="S384" s="120">
        <f>'[3]Ameren RateZnIII LP DS2HHMS'!I18</f>
        <v>23.643676027173559</v>
      </c>
      <c r="T384" s="120">
        <f>'[3]Ameren RateZnIII LP DS2HHMS'!J18</f>
        <v>23.637338677555082</v>
      </c>
      <c r="U384" s="120">
        <f>'[3]Ameren RateZnIII LP DS2HHMS'!K18</f>
        <v>24.216871942117439</v>
      </c>
      <c r="V384" s="91"/>
    </row>
    <row r="385" spans="1:22" x14ac:dyDescent="0.2">
      <c r="A385" s="48">
        <f t="shared" si="14"/>
        <v>377</v>
      </c>
      <c r="B385" s="43">
        <v>11</v>
      </c>
      <c r="C385" s="43">
        <v>7</v>
      </c>
      <c r="D385" s="38" t="s">
        <v>534</v>
      </c>
      <c r="E385" s="44" t="s">
        <v>130</v>
      </c>
      <c r="F385" s="44" t="s">
        <v>37</v>
      </c>
      <c r="G385" s="44" t="s">
        <v>108</v>
      </c>
      <c r="H385" s="44" t="s">
        <v>38</v>
      </c>
      <c r="I385" s="44" t="s">
        <v>38</v>
      </c>
      <c r="J385" s="44" t="s">
        <v>40</v>
      </c>
      <c r="K385" s="44" t="s">
        <v>123</v>
      </c>
      <c r="L385" s="40">
        <v>1124</v>
      </c>
      <c r="M385" s="41">
        <v>41339</v>
      </c>
      <c r="N385" s="40" t="s">
        <v>110</v>
      </c>
      <c r="O385" s="42">
        <f t="shared" si="16"/>
        <v>42614</v>
      </c>
      <c r="P385" s="40">
        <v>28</v>
      </c>
      <c r="Q385" s="120">
        <f>'[3]BGE LP_GLMS'!G18</f>
        <v>34.789782448934197</v>
      </c>
      <c r="R385" s="120">
        <f>'[3]BGE LP_GLMS'!H18</f>
        <v>34.257214536372182</v>
      </c>
      <c r="S385" s="120">
        <f>'[3]BGE LP_GLMS'!I18</f>
        <v>34.404692868507496</v>
      </c>
      <c r="T385" s="120">
        <f>'[3]BGE LP_GLMS'!J18</f>
        <v>34.483368084063684</v>
      </c>
      <c r="U385" s="120">
        <f>'[3]BGE LP_GLMS'!K18</f>
        <v>35.86785276639889</v>
      </c>
      <c r="V385" s="91"/>
    </row>
    <row r="386" spans="1:22" x14ac:dyDescent="0.2">
      <c r="A386" s="48">
        <f t="shared" si="14"/>
        <v>378</v>
      </c>
      <c r="B386" s="43">
        <v>11</v>
      </c>
      <c r="C386" s="43">
        <v>8</v>
      </c>
      <c r="D386" s="38" t="s">
        <v>535</v>
      </c>
      <c r="E386" s="44" t="s">
        <v>132</v>
      </c>
      <c r="F386" s="44" t="s">
        <v>37</v>
      </c>
      <c r="G386" s="44" t="s">
        <v>108</v>
      </c>
      <c r="H386" s="44" t="s">
        <v>38</v>
      </c>
      <c r="I386" s="44" t="s">
        <v>38</v>
      </c>
      <c r="J386" s="44" t="s">
        <v>39</v>
      </c>
      <c r="K386" s="44" t="s">
        <v>120</v>
      </c>
      <c r="L386" s="40">
        <v>1123</v>
      </c>
      <c r="M386" s="41">
        <v>41339</v>
      </c>
      <c r="N386" s="40" t="s">
        <v>110</v>
      </c>
      <c r="O386" s="42">
        <f t="shared" si="16"/>
        <v>42614</v>
      </c>
      <c r="P386" s="40">
        <v>28</v>
      </c>
      <c r="Q386" s="120">
        <f>'[3]BGE LP_GMS'!G18</f>
        <v>34.55087229788554</v>
      </c>
      <c r="R386" s="120">
        <f>'[3]BGE LP_GMS'!H18</f>
        <v>34.325409881105074</v>
      </c>
      <c r="S386" s="120">
        <f>'[3]BGE LP_GMS'!I18</f>
        <v>34.464052676338348</v>
      </c>
      <c r="T386" s="120">
        <f>'[3]BGE LP_GMS'!J18</f>
        <v>34.624412931152584</v>
      </c>
      <c r="U386" s="120">
        <f>'[3]BGE LP_GMS'!K18</f>
        <v>36.035882533204045</v>
      </c>
      <c r="V386" s="91"/>
    </row>
    <row r="387" spans="1:22" x14ac:dyDescent="0.2">
      <c r="A387" s="48">
        <f t="shared" si="14"/>
        <v>379</v>
      </c>
      <c r="B387" s="43">
        <v>11</v>
      </c>
      <c r="C387" s="43">
        <v>9</v>
      </c>
      <c r="D387" s="38" t="s">
        <v>536</v>
      </c>
      <c r="E387" s="44" t="s">
        <v>134</v>
      </c>
      <c r="F387" s="44" t="s">
        <v>37</v>
      </c>
      <c r="G387" s="44" t="s">
        <v>108</v>
      </c>
      <c r="H387" s="44" t="s">
        <v>38</v>
      </c>
      <c r="I387" s="44" t="s">
        <v>38</v>
      </c>
      <c r="J387" s="44" t="s">
        <v>6</v>
      </c>
      <c r="K387" s="44" t="s">
        <v>117</v>
      </c>
      <c r="L387" s="40">
        <v>1125</v>
      </c>
      <c r="M387" s="41">
        <v>41339</v>
      </c>
      <c r="N387" s="40" t="s">
        <v>110</v>
      </c>
      <c r="O387" s="42">
        <f t="shared" si="16"/>
        <v>42614</v>
      </c>
      <c r="P387" s="40">
        <v>28</v>
      </c>
      <c r="Q387" s="120">
        <f>'[3]BGE LP_GSMS'!G18</f>
        <v>35.400045076709503</v>
      </c>
      <c r="R387" s="120">
        <f>'[3]BGE LP_GSMS'!H18</f>
        <v>35.27909882381681</v>
      </c>
      <c r="S387" s="120">
        <f>'[3]BGE LP_GSMS'!I18</f>
        <v>35.213378378739534</v>
      </c>
      <c r="T387" s="120">
        <f>'[3]BGE LP_GSMS'!J18</f>
        <v>35.445430115285397</v>
      </c>
      <c r="U387" s="120">
        <f>'[3]BGE LP_GSMS'!K18</f>
        <v>36.810467245687398</v>
      </c>
      <c r="V387" s="91"/>
    </row>
    <row r="388" spans="1:22" x14ac:dyDescent="0.2">
      <c r="A388" s="48">
        <f t="shared" si="14"/>
        <v>380</v>
      </c>
      <c r="B388" s="43">
        <v>11</v>
      </c>
      <c r="C388" s="43">
        <v>10</v>
      </c>
      <c r="D388" s="38" t="s">
        <v>537</v>
      </c>
      <c r="E388" s="44" t="s">
        <v>136</v>
      </c>
      <c r="F388" s="44" t="s">
        <v>23</v>
      </c>
      <c r="G388" s="44" t="s">
        <v>108</v>
      </c>
      <c r="H388" s="44" t="s">
        <v>137</v>
      </c>
      <c r="I388" s="44" t="s">
        <v>24</v>
      </c>
      <c r="J388" s="44" t="s">
        <v>25</v>
      </c>
      <c r="K388" s="44" t="s">
        <v>138</v>
      </c>
      <c r="L388" s="40">
        <v>1126</v>
      </c>
      <c r="M388" s="41">
        <v>41339</v>
      </c>
      <c r="N388" s="40" t="s">
        <v>110</v>
      </c>
      <c r="O388" s="42">
        <f t="shared" si="16"/>
        <v>42614</v>
      </c>
      <c r="P388" s="40">
        <v>28</v>
      </c>
      <c r="Q388" s="120">
        <f>'[3]ComEd - test LP_28MS'!G18</f>
        <v>28.231711931982804</v>
      </c>
      <c r="R388" s="120">
        <f>'[3]ComEd - test LP_28MS'!H18</f>
        <v>29.549774360189385</v>
      </c>
      <c r="S388" s="120">
        <f>'[3]ComEd - test LP_28MS'!I18</f>
        <v>31.165619433482654</v>
      </c>
      <c r="T388" s="120">
        <f>'[3]ComEd - test LP_28MS'!J18</f>
        <v>32.705629543707175</v>
      </c>
      <c r="U388" s="120">
        <f>'[3]ComEd - test LP_28MS'!K18</f>
        <v>35.896425309301456</v>
      </c>
      <c r="V388" s="91"/>
    </row>
    <row r="389" spans="1:22" x14ac:dyDescent="0.2">
      <c r="A389" s="48">
        <f t="shared" si="14"/>
        <v>381</v>
      </c>
      <c r="B389" s="43">
        <v>11</v>
      </c>
      <c r="C389" s="43">
        <v>11</v>
      </c>
      <c r="D389" s="38" t="s">
        <v>538</v>
      </c>
      <c r="E389" s="44" t="s">
        <v>140</v>
      </c>
      <c r="F389" s="44" t="s">
        <v>23</v>
      </c>
      <c r="G389" s="44" t="s">
        <v>108</v>
      </c>
      <c r="H389" s="44" t="s">
        <v>137</v>
      </c>
      <c r="I389" s="44" t="s">
        <v>24</v>
      </c>
      <c r="J389" s="44" t="s">
        <v>26</v>
      </c>
      <c r="K389" s="44" t="s">
        <v>141</v>
      </c>
      <c r="L389" s="40">
        <v>1127</v>
      </c>
      <c r="M389" s="41">
        <v>41339</v>
      </c>
      <c r="N389" s="40" t="s">
        <v>110</v>
      </c>
      <c r="O389" s="42">
        <f t="shared" si="16"/>
        <v>42614</v>
      </c>
      <c r="P389" s="40">
        <v>28</v>
      </c>
      <c r="Q389" s="120">
        <f>'[3]ComEd - test LP_29MS'!G18</f>
        <v>27.26573210902934</v>
      </c>
      <c r="R389" s="120">
        <f>'[3]ComEd - test LP_29MS'!H18</f>
        <v>28.633331625587349</v>
      </c>
      <c r="S389" s="120">
        <f>'[3]ComEd - test LP_29MS'!I18</f>
        <v>30.233361172549756</v>
      </c>
      <c r="T389" s="120">
        <f>'[3]ComEd - test LP_29MS'!J18</f>
        <v>31.789587702899016</v>
      </c>
      <c r="U389" s="120">
        <f>'[3]ComEd - test LP_29MS'!K18</f>
        <v>34.983612558019395</v>
      </c>
      <c r="V389" s="91"/>
    </row>
    <row r="390" spans="1:22" x14ac:dyDescent="0.2">
      <c r="A390" s="48">
        <f t="shared" si="14"/>
        <v>382</v>
      </c>
      <c r="B390" s="43">
        <v>11</v>
      </c>
      <c r="C390" s="43">
        <v>12</v>
      </c>
      <c r="D390" s="38" t="s">
        <v>539</v>
      </c>
      <c r="E390" s="44" t="s">
        <v>143</v>
      </c>
      <c r="F390" s="44" t="s">
        <v>18</v>
      </c>
      <c r="G390" s="44" t="s">
        <v>108</v>
      </c>
      <c r="H390" s="44" t="s">
        <v>94</v>
      </c>
      <c r="I390" s="44" t="s">
        <v>144</v>
      </c>
      <c r="J390" s="44" t="s">
        <v>20</v>
      </c>
      <c r="K390" s="44" t="s">
        <v>145</v>
      </c>
      <c r="L390" s="40">
        <v>1128</v>
      </c>
      <c r="M390" s="41">
        <v>41339</v>
      </c>
      <c r="N390" s="40" t="s">
        <v>110</v>
      </c>
      <c r="O390" s="42">
        <f t="shared" si="16"/>
        <v>42614</v>
      </c>
      <c r="P390" s="40">
        <v>28</v>
      </c>
      <c r="Q390" s="120">
        <f>[3]DAY_RC_843MS!G18</f>
        <v>17.232545825989359</v>
      </c>
      <c r="R390" s="120">
        <f>[3]DAY_RC_843MS!H18</f>
        <v>19.282094647527511</v>
      </c>
      <c r="S390" s="120">
        <f>[3]DAY_RC_843MS!I18</f>
        <v>20.401074140512144</v>
      </c>
      <c r="T390" s="120">
        <f>[3]DAY_RC_843MS!J18</f>
        <v>21.69133724849036</v>
      </c>
      <c r="U390" s="120">
        <f>[3]DAY_RC_843MS!K18</f>
        <v>23.826302291897907</v>
      </c>
      <c r="V390" s="91"/>
    </row>
    <row r="391" spans="1:22" x14ac:dyDescent="0.2">
      <c r="A391" s="48">
        <f t="shared" si="14"/>
        <v>383</v>
      </c>
      <c r="B391" s="43">
        <v>11</v>
      </c>
      <c r="C391" s="43">
        <v>13</v>
      </c>
      <c r="D391" s="38" t="s">
        <v>540</v>
      </c>
      <c r="E391" s="44" t="s">
        <v>147</v>
      </c>
      <c r="F391" s="44" t="s">
        <v>37</v>
      </c>
      <c r="G391" s="44" t="s">
        <v>108</v>
      </c>
      <c r="H391" s="44" t="s">
        <v>41</v>
      </c>
      <c r="I391" s="44" t="s">
        <v>41</v>
      </c>
      <c r="J391" s="44" t="s">
        <v>6</v>
      </c>
      <c r="K391" s="44" t="s">
        <v>128</v>
      </c>
      <c r="L391" s="40">
        <v>1129</v>
      </c>
      <c r="M391" s="41">
        <v>41339</v>
      </c>
      <c r="N391" s="40" t="s">
        <v>110</v>
      </c>
      <c r="O391" s="42">
        <f t="shared" si="16"/>
        <v>42614</v>
      </c>
      <c r="P391" s="40">
        <v>28</v>
      </c>
      <c r="Q391" s="120">
        <f>'[3]Delmarva MD LP_MDGS_MMS'!G18</f>
        <v>39.39215674888095</v>
      </c>
      <c r="R391" s="120">
        <f>'[3]Delmarva MD LP_MDGS_MMS'!H18</f>
        <v>37.636920429462485</v>
      </c>
      <c r="S391" s="120">
        <f>'[3]Delmarva MD LP_MDGS_MMS'!I18</f>
        <v>38.266340591357881</v>
      </c>
      <c r="T391" s="120">
        <f>'[3]Delmarva MD LP_MDGS_MMS'!J18</f>
        <v>38.964251732159553</v>
      </c>
      <c r="U391" s="120">
        <f>'[3]Delmarva MD LP_MDGS_MMS'!K18</f>
        <v>42.195371286979437</v>
      </c>
      <c r="V391" s="91"/>
    </row>
    <row r="392" spans="1:22" x14ac:dyDescent="0.2">
      <c r="A392" s="48">
        <f t="shared" si="14"/>
        <v>384</v>
      </c>
      <c r="B392" s="43">
        <v>11</v>
      </c>
      <c r="C392" s="43">
        <v>14</v>
      </c>
      <c r="D392" s="38" t="s">
        <v>541</v>
      </c>
      <c r="E392" s="44" t="s">
        <v>149</v>
      </c>
      <c r="F392" s="44" t="s">
        <v>5</v>
      </c>
      <c r="G392" s="44" t="s">
        <v>108</v>
      </c>
      <c r="H392" s="44" t="s">
        <v>46</v>
      </c>
      <c r="I392" s="44" t="s">
        <v>46</v>
      </c>
      <c r="J392" s="44" t="s">
        <v>6</v>
      </c>
      <c r="K392" s="44" t="s">
        <v>128</v>
      </c>
      <c r="L392" s="40">
        <v>1130</v>
      </c>
      <c r="M392" s="41">
        <v>41339</v>
      </c>
      <c r="N392" s="40" t="s">
        <v>110</v>
      </c>
      <c r="O392" s="42">
        <f t="shared" si="16"/>
        <v>42614</v>
      </c>
      <c r="P392" s="40">
        <v>28</v>
      </c>
      <c r="Q392" s="120">
        <f>'[3]DQE LP_GSGM_MMS'!G18</f>
        <v>30.637958087876086</v>
      </c>
      <c r="R392" s="120">
        <f>'[3]DQE LP_GSGM_MMS'!H18</f>
        <v>32.090489413273396</v>
      </c>
      <c r="S392" s="120">
        <f>'[3]DQE LP_GSGM_MMS'!I18</f>
        <v>33.71712899942753</v>
      </c>
      <c r="T392" s="120">
        <f>'[3]DQE LP_GSGM_MMS'!J18</f>
        <v>34.704392175589113</v>
      </c>
      <c r="U392" s="120">
        <f>'[3]DQE LP_GSGM_MMS'!K18</f>
        <v>36.971544155478831</v>
      </c>
      <c r="V392" s="91"/>
    </row>
    <row r="393" spans="1:22" x14ac:dyDescent="0.2">
      <c r="A393" s="48">
        <f t="shared" si="14"/>
        <v>385</v>
      </c>
      <c r="B393" s="43">
        <v>11</v>
      </c>
      <c r="C393" s="43">
        <v>15</v>
      </c>
      <c r="D393" s="38" t="s">
        <v>542</v>
      </c>
      <c r="E393" s="44" t="s">
        <v>151</v>
      </c>
      <c r="F393" s="44" t="s">
        <v>18</v>
      </c>
      <c r="G393" s="44" t="s">
        <v>108</v>
      </c>
      <c r="H393" s="44" t="s">
        <v>21</v>
      </c>
      <c r="I393" s="44" t="s">
        <v>152</v>
      </c>
      <c r="J393" s="44" t="s">
        <v>22</v>
      </c>
      <c r="K393" s="44" t="s">
        <v>128</v>
      </c>
      <c r="L393" s="40">
        <v>1131</v>
      </c>
      <c r="M393" s="41">
        <v>41339</v>
      </c>
      <c r="N393" s="40" t="s">
        <v>110</v>
      </c>
      <c r="O393" s="42">
        <f t="shared" si="16"/>
        <v>42614</v>
      </c>
      <c r="P393" s="40">
        <v>28</v>
      </c>
      <c r="Q393" s="120">
        <f>[3]Duke_OH_RC_DS01MS!G18</f>
        <v>18.405618714639946</v>
      </c>
      <c r="R393" s="120">
        <f>[3]Duke_OH_RC_DS01MS!H18</f>
        <v>19.209963951896338</v>
      </c>
      <c r="S393" s="120">
        <f>[3]Duke_OH_RC_DS01MS!I18</f>
        <v>20.844544138555975</v>
      </c>
      <c r="T393" s="120">
        <f>[3]Duke_OH_RC_DS01MS!J18</f>
        <v>21.476683230117509</v>
      </c>
      <c r="U393" s="120">
        <f>[3]Duke_OH_RC_DS01MS!K18</f>
        <v>23.401503119723003</v>
      </c>
      <c r="V393" s="91"/>
    </row>
    <row r="394" spans="1:22" x14ac:dyDescent="0.2">
      <c r="A394" s="48">
        <f t="shared" si="14"/>
        <v>386</v>
      </c>
      <c r="B394" s="43">
        <v>11</v>
      </c>
      <c r="C394" s="43">
        <v>16</v>
      </c>
      <c r="D394" s="38" t="s">
        <v>543</v>
      </c>
      <c r="E394" s="44" t="s">
        <v>154</v>
      </c>
      <c r="F394" s="44" t="s">
        <v>18</v>
      </c>
      <c r="G394" s="44" t="s">
        <v>108</v>
      </c>
      <c r="H394" s="44" t="s">
        <v>62</v>
      </c>
      <c r="I394" s="44" t="s">
        <v>155</v>
      </c>
      <c r="J394" s="44" t="s">
        <v>6</v>
      </c>
      <c r="K394" s="44" t="s">
        <v>128</v>
      </c>
      <c r="L394" s="40">
        <v>1132</v>
      </c>
      <c r="M394" s="41">
        <v>41339</v>
      </c>
      <c r="N394" s="40" t="s">
        <v>110</v>
      </c>
      <c r="O394" s="42">
        <f t="shared" si="16"/>
        <v>42614</v>
      </c>
      <c r="P394" s="40">
        <v>28</v>
      </c>
      <c r="Q394" s="120">
        <f>'[3]FE_OE - test RC_GSFMS'!G18</f>
        <v>20.91728212887633</v>
      </c>
      <c r="R394" s="120">
        <f>'[3]FE_OE - test RC_GSFMS'!H18</f>
        <v>22.058498925698476</v>
      </c>
      <c r="S394" s="120">
        <f>'[3]FE_OE - test RC_GSFMS'!I18</f>
        <v>22.452341216649806</v>
      </c>
      <c r="T394" s="120">
        <f>'[3]FE_OE - test RC_GSFMS'!J18</f>
        <v>23.165878817317434</v>
      </c>
      <c r="U394" s="120">
        <f>'[3]FE_OE - test RC_GSFMS'!K18</f>
        <v>24.797343054312499</v>
      </c>
      <c r="V394" s="91"/>
    </row>
    <row r="395" spans="1:22" x14ac:dyDescent="0.2">
      <c r="A395" s="48">
        <f t="shared" ref="A395:A458" si="17">A394+1</f>
        <v>387</v>
      </c>
      <c r="B395" s="43">
        <v>11</v>
      </c>
      <c r="C395" s="43">
        <v>17</v>
      </c>
      <c r="D395" s="38" t="s">
        <v>544</v>
      </c>
      <c r="E395" s="44" t="s">
        <v>157</v>
      </c>
      <c r="F395" s="44" t="s">
        <v>29</v>
      </c>
      <c r="G395" s="44" t="s">
        <v>108</v>
      </c>
      <c r="H395" s="44" t="s">
        <v>33</v>
      </c>
      <c r="I395" s="44" t="s">
        <v>33</v>
      </c>
      <c r="J395" s="44" t="s">
        <v>7</v>
      </c>
      <c r="K395" s="44" t="s">
        <v>123</v>
      </c>
      <c r="L395" s="40">
        <v>1133</v>
      </c>
      <c r="M395" s="41">
        <v>41339</v>
      </c>
      <c r="N395" s="40" t="s">
        <v>110</v>
      </c>
      <c r="O395" s="42">
        <f t="shared" si="16"/>
        <v>42614</v>
      </c>
      <c r="P395" s="40">
        <v>28</v>
      </c>
      <c r="Q395" s="120">
        <f>'[3]JCPL LP_GSCLMS'!G18</f>
        <v>38.790642206163234</v>
      </c>
      <c r="R395" s="120">
        <f>'[3]JCPL LP_GSCLMS'!H18</f>
        <v>38.857410330192721</v>
      </c>
      <c r="S395" s="120">
        <f>'[3]JCPL LP_GSCLMS'!I18</f>
        <v>39.47951472076722</v>
      </c>
      <c r="T395" s="120">
        <f>'[3]JCPL LP_GSCLMS'!J18</f>
        <v>40.405783680978011</v>
      </c>
      <c r="U395" s="120">
        <f>'[3]JCPL LP_GSCLMS'!K18</f>
        <v>43.553530611315836</v>
      </c>
      <c r="V395" s="91"/>
    </row>
    <row r="396" spans="1:22" x14ac:dyDescent="0.2">
      <c r="A396" s="48">
        <f t="shared" si="17"/>
        <v>388</v>
      </c>
      <c r="B396" s="43">
        <v>11</v>
      </c>
      <c r="C396" s="43">
        <v>18</v>
      </c>
      <c r="D396" s="38" t="s">
        <v>545</v>
      </c>
      <c r="E396" s="44" t="s">
        <v>159</v>
      </c>
      <c r="F396" s="44" t="s">
        <v>29</v>
      </c>
      <c r="G396" s="44" t="s">
        <v>108</v>
      </c>
      <c r="H396" s="44" t="s">
        <v>33</v>
      </c>
      <c r="I396" s="44" t="s">
        <v>33</v>
      </c>
      <c r="J396" s="44" t="s">
        <v>8</v>
      </c>
      <c r="K396" s="44" t="s">
        <v>120</v>
      </c>
      <c r="L396" s="40">
        <v>1134</v>
      </c>
      <c r="M396" s="41">
        <v>41339</v>
      </c>
      <c r="N396" s="40" t="s">
        <v>110</v>
      </c>
      <c r="O396" s="42">
        <f t="shared" si="16"/>
        <v>42614</v>
      </c>
      <c r="P396" s="40">
        <v>28</v>
      </c>
      <c r="Q396" s="120">
        <f>'[3]JCPL LP_GSCMMS'!G18</f>
        <v>41.160493881974283</v>
      </c>
      <c r="R396" s="120">
        <f>'[3]JCPL LP_GSCMMS'!H18</f>
        <v>39.990696826754821</v>
      </c>
      <c r="S396" s="120">
        <f>'[3]JCPL LP_GSCMMS'!I18</f>
        <v>40.866267271477092</v>
      </c>
      <c r="T396" s="120">
        <f>'[3]JCPL LP_GSCMMS'!J18</f>
        <v>41.455955397855199</v>
      </c>
      <c r="U396" s="120">
        <f>'[3]JCPL LP_GSCMMS'!K18</f>
        <v>44.485953149273612</v>
      </c>
      <c r="V396" s="91"/>
    </row>
    <row r="397" spans="1:22" x14ac:dyDescent="0.2">
      <c r="A397" s="48">
        <f t="shared" si="17"/>
        <v>389</v>
      </c>
      <c r="B397" s="43">
        <v>11</v>
      </c>
      <c r="C397" s="43">
        <v>19</v>
      </c>
      <c r="D397" s="38" t="s">
        <v>546</v>
      </c>
      <c r="E397" s="44" t="s">
        <v>161</v>
      </c>
      <c r="F397" s="44" t="s">
        <v>29</v>
      </c>
      <c r="G397" s="44" t="s">
        <v>108</v>
      </c>
      <c r="H397" s="44" t="s">
        <v>33</v>
      </c>
      <c r="I397" s="44" t="s">
        <v>33</v>
      </c>
      <c r="J397" s="44" t="s">
        <v>9</v>
      </c>
      <c r="K397" s="44" t="s">
        <v>117</v>
      </c>
      <c r="L397" s="40">
        <v>1135</v>
      </c>
      <c r="M397" s="41">
        <v>41339</v>
      </c>
      <c r="N397" s="40" t="s">
        <v>110</v>
      </c>
      <c r="O397" s="42">
        <f t="shared" si="16"/>
        <v>42614</v>
      </c>
      <c r="P397" s="40">
        <v>28</v>
      </c>
      <c r="Q397" s="120">
        <f>'[3]JCPL LP_GSCSMS'!G18</f>
        <v>41.160493881974283</v>
      </c>
      <c r="R397" s="120">
        <f>'[3]JCPL LP_GSCSMS'!H18</f>
        <v>39.990696826754821</v>
      </c>
      <c r="S397" s="120">
        <f>'[3]JCPL LP_GSCSMS'!I18</f>
        <v>40.866267271477092</v>
      </c>
      <c r="T397" s="120">
        <f>'[3]JCPL LP_GSCSMS'!J18</f>
        <v>41.455955397855199</v>
      </c>
      <c r="U397" s="120">
        <f>'[3]JCPL LP_GSCSMS'!K18</f>
        <v>44.485953149273612</v>
      </c>
      <c r="V397" s="91"/>
    </row>
    <row r="398" spans="1:22" x14ac:dyDescent="0.2">
      <c r="A398" s="48">
        <f t="shared" si="17"/>
        <v>390</v>
      </c>
      <c r="B398" s="43">
        <v>11</v>
      </c>
      <c r="C398" s="43">
        <v>20</v>
      </c>
      <c r="D398" s="38" t="s">
        <v>547</v>
      </c>
      <c r="E398" s="44" t="s">
        <v>163</v>
      </c>
      <c r="F398" s="44" t="s">
        <v>5</v>
      </c>
      <c r="G398" s="44" t="s">
        <v>108</v>
      </c>
      <c r="H398" s="44" t="s">
        <v>164</v>
      </c>
      <c r="I398" s="44" t="s">
        <v>165</v>
      </c>
      <c r="J398" s="44" t="s">
        <v>7</v>
      </c>
      <c r="K398" s="44" t="s">
        <v>123</v>
      </c>
      <c r="L398" s="40">
        <v>1137</v>
      </c>
      <c r="M398" s="41">
        <v>41339</v>
      </c>
      <c r="N398" s="40" t="s">
        <v>110</v>
      </c>
      <c r="O398" s="42">
        <f t="shared" si="16"/>
        <v>42614</v>
      </c>
      <c r="P398" s="40">
        <v>28</v>
      </c>
      <c r="Q398" s="120">
        <f>'[3]MetEd RC_GSLFMS'!G18</f>
        <v>22.542025226290651</v>
      </c>
      <c r="R398" s="120">
        <f>'[3]MetEd RC_GSLFMS'!H18</f>
        <v>20.641798312806301</v>
      </c>
      <c r="S398" s="120">
        <f>'[3]MetEd RC_GSLFMS'!I18</f>
        <v>21.486926910618269</v>
      </c>
      <c r="T398" s="120">
        <f>'[3]MetEd RC_GSLFMS'!J18</f>
        <v>21.544213369799579</v>
      </c>
      <c r="U398" s="120">
        <f>'[3]MetEd RC_GSLFMS'!K18</f>
        <v>23.335877682705213</v>
      </c>
      <c r="V398" s="91"/>
    </row>
    <row r="399" spans="1:22" x14ac:dyDescent="0.2">
      <c r="A399" s="48">
        <f t="shared" si="17"/>
        <v>391</v>
      </c>
      <c r="B399" s="43">
        <v>11</v>
      </c>
      <c r="C399" s="43">
        <v>21</v>
      </c>
      <c r="D399" s="38" t="s">
        <v>548</v>
      </c>
      <c r="E399" s="44" t="s">
        <v>167</v>
      </c>
      <c r="F399" s="44" t="s">
        <v>5</v>
      </c>
      <c r="G399" s="44" t="s">
        <v>108</v>
      </c>
      <c r="H399" s="44" t="s">
        <v>164</v>
      </c>
      <c r="I399" s="44" t="s">
        <v>165</v>
      </c>
      <c r="J399" s="44" t="s">
        <v>8</v>
      </c>
      <c r="K399" s="44" t="s">
        <v>120</v>
      </c>
      <c r="L399" s="40">
        <v>1136</v>
      </c>
      <c r="M399" s="41">
        <v>41339</v>
      </c>
      <c r="N399" s="40" t="s">
        <v>110</v>
      </c>
      <c r="O399" s="42">
        <f t="shared" si="16"/>
        <v>42614</v>
      </c>
      <c r="P399" s="40">
        <v>28</v>
      </c>
      <c r="Q399" s="120">
        <f>'[3]MetEd RC_GSDFMS'!G18</f>
        <v>23.850218082655587</v>
      </c>
      <c r="R399" s="120">
        <f>'[3]MetEd RC_GSDFMS'!H18</f>
        <v>21.84828261950706</v>
      </c>
      <c r="S399" s="120">
        <f>'[3]MetEd RC_GSDFMS'!I18</f>
        <v>22.716489643969442</v>
      </c>
      <c r="T399" s="120">
        <f>'[3]MetEd RC_GSDFMS'!J18</f>
        <v>22.725658955200945</v>
      </c>
      <c r="U399" s="120">
        <f>'[3]MetEd RC_GSDFMS'!K18</f>
        <v>24.509125369680348</v>
      </c>
      <c r="V399" s="91"/>
    </row>
    <row r="400" spans="1:22" x14ac:dyDescent="0.2">
      <c r="A400" s="48">
        <f t="shared" si="17"/>
        <v>392</v>
      </c>
      <c r="B400" s="43">
        <v>11</v>
      </c>
      <c r="C400" s="43">
        <v>22</v>
      </c>
      <c r="D400" s="38" t="s">
        <v>549</v>
      </c>
      <c r="E400" s="44" t="s">
        <v>169</v>
      </c>
      <c r="F400" s="44" t="s">
        <v>5</v>
      </c>
      <c r="G400" s="44" t="s">
        <v>108</v>
      </c>
      <c r="H400" s="44" t="s">
        <v>164</v>
      </c>
      <c r="I400" s="44" t="s">
        <v>165</v>
      </c>
      <c r="J400" s="44" t="s">
        <v>9</v>
      </c>
      <c r="K400" s="44" t="s">
        <v>117</v>
      </c>
      <c r="L400" s="40">
        <v>1138</v>
      </c>
      <c r="M400" s="41">
        <v>41339</v>
      </c>
      <c r="N400" s="40" t="s">
        <v>110</v>
      </c>
      <c r="O400" s="42">
        <f t="shared" si="16"/>
        <v>42614</v>
      </c>
      <c r="P400" s="40">
        <v>28</v>
      </c>
      <c r="Q400" s="120">
        <f>'[3]MetEd RC_GSSFMS'!G18</f>
        <v>21.836419525194263</v>
      </c>
      <c r="R400" s="120">
        <f>'[3]MetEd RC_GSSFMS'!H18</f>
        <v>21.769703307337991</v>
      </c>
      <c r="S400" s="120">
        <f>'[3]MetEd RC_GSSFMS'!I18</f>
        <v>22.070274302039248</v>
      </c>
      <c r="T400" s="120">
        <f>'[3]MetEd RC_GSSFMS'!J18</f>
        <v>22.640557445606216</v>
      </c>
      <c r="U400" s="120">
        <f>'[3]MetEd RC_GSSFMS'!K18</f>
        <v>24.401600738334405</v>
      </c>
      <c r="V400" s="91"/>
    </row>
    <row r="401" spans="1:22" x14ac:dyDescent="0.2">
      <c r="A401" s="48">
        <f t="shared" si="17"/>
        <v>393</v>
      </c>
      <c r="B401" s="43">
        <v>11</v>
      </c>
      <c r="C401" s="43">
        <v>23</v>
      </c>
      <c r="D401" s="38" t="s">
        <v>550</v>
      </c>
      <c r="E401" s="44" t="s">
        <v>171</v>
      </c>
      <c r="F401" s="44" t="s">
        <v>5</v>
      </c>
      <c r="G401" s="44" t="s">
        <v>108</v>
      </c>
      <c r="H401" s="44" t="s">
        <v>11</v>
      </c>
      <c r="I401" s="44" t="s">
        <v>11</v>
      </c>
      <c r="J401" s="44" t="s">
        <v>6</v>
      </c>
      <c r="K401" s="44" t="s">
        <v>128</v>
      </c>
      <c r="L401" s="40">
        <v>1139</v>
      </c>
      <c r="M401" s="41">
        <v>41339</v>
      </c>
      <c r="N401" s="40" t="s">
        <v>110</v>
      </c>
      <c r="O401" s="42">
        <f t="shared" si="16"/>
        <v>42614</v>
      </c>
      <c r="P401" s="40">
        <v>28</v>
      </c>
      <c r="Q401" s="120">
        <f>'[3]PECO LP_GSMS'!G18</f>
        <v>28.156767724285942</v>
      </c>
      <c r="R401" s="120">
        <f>'[3]PECO LP_GSMS'!H18</f>
        <v>25.294487615197461</v>
      </c>
      <c r="S401" s="120">
        <f>'[3]PECO LP_GSMS'!I18</f>
        <v>26.324316766491808</v>
      </c>
      <c r="T401" s="120">
        <f>'[3]PECO LP_GSMS'!J18</f>
        <v>26.494692231144139</v>
      </c>
      <c r="U401" s="120">
        <f>'[3]PECO LP_GSMS'!K18</f>
        <v>29.27003355120279</v>
      </c>
      <c r="V401" s="91"/>
    </row>
    <row r="402" spans="1:22" x14ac:dyDescent="0.2">
      <c r="A402" s="48">
        <f t="shared" si="17"/>
        <v>394</v>
      </c>
      <c r="B402" s="43">
        <v>11</v>
      </c>
      <c r="C402" s="43">
        <v>24</v>
      </c>
      <c r="D402" s="38" t="s">
        <v>551</v>
      </c>
      <c r="E402" s="44" t="s">
        <v>173</v>
      </c>
      <c r="F402" s="44" t="s">
        <v>5</v>
      </c>
      <c r="G402" s="44" t="s">
        <v>108</v>
      </c>
      <c r="H402" s="44" t="s">
        <v>10</v>
      </c>
      <c r="I402" s="44" t="s">
        <v>174</v>
      </c>
      <c r="J402" s="44" t="s">
        <v>7</v>
      </c>
      <c r="K402" s="44" t="s">
        <v>123</v>
      </c>
      <c r="L402" s="40">
        <v>1140</v>
      </c>
      <c r="M402" s="41">
        <v>41339</v>
      </c>
      <c r="N402" s="40" t="s">
        <v>110</v>
      </c>
      <c r="O402" s="42">
        <f t="shared" si="16"/>
        <v>42614</v>
      </c>
      <c r="P402" s="40">
        <v>28</v>
      </c>
      <c r="Q402" s="120">
        <f>'[3]Penelec RC_GSLFMS'!G18</f>
        <v>25.679066202958452</v>
      </c>
      <c r="R402" s="120">
        <f>'[3]Penelec RC_GSLFMS'!H18</f>
        <v>25.576608633697923</v>
      </c>
      <c r="S402" s="120">
        <f>'[3]Penelec RC_GSLFMS'!I18</f>
        <v>25.618903664416973</v>
      </c>
      <c r="T402" s="120">
        <f>'[3]Penelec RC_GSLFMS'!J18</f>
        <v>25.845313090822042</v>
      </c>
      <c r="U402" s="120">
        <f>'[3]Penelec RC_GSLFMS'!K18</f>
        <v>27.296566735915516</v>
      </c>
      <c r="V402" s="91"/>
    </row>
    <row r="403" spans="1:22" x14ac:dyDescent="0.2">
      <c r="A403" s="48">
        <f t="shared" si="17"/>
        <v>395</v>
      </c>
      <c r="B403" s="43">
        <v>11</v>
      </c>
      <c r="C403" s="43">
        <v>25</v>
      </c>
      <c r="D403" s="38" t="s">
        <v>552</v>
      </c>
      <c r="E403" s="44" t="s">
        <v>176</v>
      </c>
      <c r="F403" s="44" t="s">
        <v>5</v>
      </c>
      <c r="G403" s="44" t="s">
        <v>108</v>
      </c>
      <c r="H403" s="44" t="s">
        <v>10</v>
      </c>
      <c r="I403" s="44" t="s">
        <v>174</v>
      </c>
      <c r="J403" s="44" t="s">
        <v>8</v>
      </c>
      <c r="K403" s="44" t="s">
        <v>120</v>
      </c>
      <c r="L403" s="40">
        <v>1141</v>
      </c>
      <c r="M403" s="41">
        <v>41339</v>
      </c>
      <c r="N403" s="40" t="s">
        <v>110</v>
      </c>
      <c r="O403" s="42">
        <f t="shared" si="16"/>
        <v>42614</v>
      </c>
      <c r="P403" s="40">
        <v>28</v>
      </c>
      <c r="Q403" s="120">
        <f>'[3]Penelec RC_GSMFMS'!G18</f>
        <v>26.635725206796383</v>
      </c>
      <c r="R403" s="120">
        <f>'[3]Penelec RC_GSMFMS'!H18</f>
        <v>26.688965434156277</v>
      </c>
      <c r="S403" s="120">
        <f>'[3]Penelec RC_GSMFMS'!I18</f>
        <v>26.666482654166916</v>
      </c>
      <c r="T403" s="120">
        <f>'[3]Penelec RC_GSMFMS'!J18</f>
        <v>26.945361370720843</v>
      </c>
      <c r="U403" s="120">
        <f>'[3]Penelec RC_GSMFMS'!K18</f>
        <v>28.394880649420102</v>
      </c>
      <c r="V403" s="91"/>
    </row>
    <row r="404" spans="1:22" x14ac:dyDescent="0.2">
      <c r="A404" s="48">
        <f t="shared" si="17"/>
        <v>396</v>
      </c>
      <c r="B404" s="43">
        <v>11</v>
      </c>
      <c r="C404" s="43">
        <v>26</v>
      </c>
      <c r="D404" s="38" t="s">
        <v>553</v>
      </c>
      <c r="E404" s="44" t="s">
        <v>178</v>
      </c>
      <c r="F404" s="44" t="s">
        <v>5</v>
      </c>
      <c r="G404" s="44" t="s">
        <v>108</v>
      </c>
      <c r="H404" s="44" t="s">
        <v>10</v>
      </c>
      <c r="I404" s="44" t="s">
        <v>174</v>
      </c>
      <c r="J404" s="44" t="s">
        <v>9</v>
      </c>
      <c r="K404" s="44" t="s">
        <v>117</v>
      </c>
      <c r="L404" s="40">
        <v>1142</v>
      </c>
      <c r="M404" s="41">
        <v>41339</v>
      </c>
      <c r="N404" s="40" t="s">
        <v>110</v>
      </c>
      <c r="O404" s="42">
        <f t="shared" si="16"/>
        <v>42614</v>
      </c>
      <c r="P404" s="40">
        <v>28</v>
      </c>
      <c r="Q404" s="120">
        <f>'[3]Penelec RC_GSSFMS'!G18</f>
        <v>23.755877278298239</v>
      </c>
      <c r="R404" s="120">
        <f>'[3]Penelec RC_GSSFMS'!H18</f>
        <v>26.724641489960632</v>
      </c>
      <c r="S404" s="120">
        <f>'[3]Penelec RC_GSSFMS'!I18</f>
        <v>25.612720099123376</v>
      </c>
      <c r="T404" s="120">
        <f>'[3]Penelec RC_GSSFMS'!J18</f>
        <v>26.967802640973311</v>
      </c>
      <c r="U404" s="120">
        <f>'[3]Penelec RC_GSSFMS'!K18</f>
        <v>28.422096172047326</v>
      </c>
      <c r="V404" s="91"/>
    </row>
    <row r="405" spans="1:22" x14ac:dyDescent="0.2">
      <c r="A405" s="48">
        <f t="shared" si="17"/>
        <v>397</v>
      </c>
      <c r="B405" s="43">
        <v>11</v>
      </c>
      <c r="C405" s="43">
        <v>27</v>
      </c>
      <c r="D405" s="38" t="s">
        <v>554</v>
      </c>
      <c r="E405" s="44" t="s">
        <v>180</v>
      </c>
      <c r="F405" s="44" t="s">
        <v>5</v>
      </c>
      <c r="G405" s="44" t="s">
        <v>108</v>
      </c>
      <c r="H405" s="44" t="s">
        <v>91</v>
      </c>
      <c r="I405" s="44" t="s">
        <v>181</v>
      </c>
      <c r="J405" s="44" t="s">
        <v>6</v>
      </c>
      <c r="K405" s="44" t="s">
        <v>128</v>
      </c>
      <c r="L405" s="40">
        <v>1143</v>
      </c>
      <c r="M405" s="41">
        <v>41339</v>
      </c>
      <c r="N405" s="40" t="s">
        <v>110</v>
      </c>
      <c r="O405" s="42">
        <f t="shared" si="16"/>
        <v>42614</v>
      </c>
      <c r="P405" s="40">
        <v>28</v>
      </c>
      <c r="Q405" s="120">
        <f>'[3]Penn Power RC_GMDMS'!G18</f>
        <v>31.686397766535862</v>
      </c>
      <c r="R405" s="120">
        <f>'[3]Penn Power RC_GMDMS'!H18</f>
        <v>33.131539500244941</v>
      </c>
      <c r="S405" s="120">
        <f>'[3]Penn Power RC_GMDMS'!I18</f>
        <v>33.417587056839309</v>
      </c>
      <c r="T405" s="120">
        <f>'[3]Penn Power RC_GMDMS'!J18</f>
        <v>34.259440937099583</v>
      </c>
      <c r="U405" s="120">
        <f>'[3]Penn Power RC_GMDMS'!K18</f>
        <v>35.93416961630674</v>
      </c>
      <c r="V405" s="91"/>
    </row>
    <row r="406" spans="1:22" x14ac:dyDescent="0.2">
      <c r="A406" s="48">
        <f t="shared" si="17"/>
        <v>398</v>
      </c>
      <c r="B406" s="43">
        <v>11</v>
      </c>
      <c r="C406" s="43">
        <v>28</v>
      </c>
      <c r="D406" s="38" t="s">
        <v>555</v>
      </c>
      <c r="E406" s="44" t="s">
        <v>183</v>
      </c>
      <c r="F406" s="44" t="s">
        <v>37</v>
      </c>
      <c r="G406" s="44" t="s">
        <v>108</v>
      </c>
      <c r="H406" s="44" t="s">
        <v>42</v>
      </c>
      <c r="I406" s="44" t="s">
        <v>42</v>
      </c>
      <c r="J406" s="44" t="s">
        <v>6</v>
      </c>
      <c r="K406" s="44" t="s">
        <v>128</v>
      </c>
      <c r="L406" s="40">
        <v>1144</v>
      </c>
      <c r="M406" s="41">
        <v>41339</v>
      </c>
      <c r="N406" s="40" t="s">
        <v>110</v>
      </c>
      <c r="O406" s="42">
        <f t="shared" si="16"/>
        <v>42614</v>
      </c>
      <c r="P406" s="40">
        <v>28</v>
      </c>
      <c r="Q406" s="120">
        <f>'[3]PEPCO MD LP_MDNDMS'!G18</f>
        <v>34.548304732567985</v>
      </c>
      <c r="R406" s="120">
        <f>'[3]PEPCO MD LP_MDNDMS'!H18</f>
        <v>34.782131779465693</v>
      </c>
      <c r="S406" s="120">
        <f>'[3]PEPCO MD LP_MDNDMS'!I18</f>
        <v>34.695007176680775</v>
      </c>
      <c r="T406" s="120">
        <f>'[3]PEPCO MD LP_MDNDMS'!J18</f>
        <v>34.97141081308888</v>
      </c>
      <c r="U406" s="120">
        <f>'[3]PEPCO MD LP_MDNDMS'!K18</f>
        <v>36.262902750891385</v>
      </c>
      <c r="V406" s="91"/>
    </row>
    <row r="407" spans="1:22" x14ac:dyDescent="0.2">
      <c r="A407" s="48">
        <f t="shared" si="17"/>
        <v>399</v>
      </c>
      <c r="B407" s="43">
        <v>11</v>
      </c>
      <c r="C407" s="43">
        <v>29</v>
      </c>
      <c r="D407" s="38" t="s">
        <v>556</v>
      </c>
      <c r="E407" s="44" t="s">
        <v>185</v>
      </c>
      <c r="F407" s="44" t="s">
        <v>37</v>
      </c>
      <c r="G407" s="44" t="s">
        <v>108</v>
      </c>
      <c r="H407" s="44" t="s">
        <v>42</v>
      </c>
      <c r="I407" s="44" t="s">
        <v>42</v>
      </c>
      <c r="J407" s="44" t="s">
        <v>43</v>
      </c>
      <c r="K407" s="44" t="s">
        <v>186</v>
      </c>
      <c r="L407" s="40">
        <v>1145</v>
      </c>
      <c r="M407" s="41">
        <v>41339</v>
      </c>
      <c r="N407" s="40" t="s">
        <v>110</v>
      </c>
      <c r="O407" s="42">
        <f t="shared" si="16"/>
        <v>42614</v>
      </c>
      <c r="P407" s="40">
        <v>28</v>
      </c>
      <c r="Q407" s="120">
        <f>'[3]PEPCO MD LP_MMGTL2AMS'!G18</f>
        <v>34.7059210151793</v>
      </c>
      <c r="R407" s="120">
        <f>'[3]PEPCO MD LP_MMGTL2AMS'!H18</f>
        <v>33.761032382307121</v>
      </c>
      <c r="S407" s="120">
        <f>'[3]PEPCO MD LP_MMGTL2AMS'!I18</f>
        <v>34.037256477378271</v>
      </c>
      <c r="T407" s="120">
        <f>'[3]PEPCO MD LP_MMGTL2AMS'!J18</f>
        <v>33.9429768444991</v>
      </c>
      <c r="U407" s="120">
        <f>'[3]PEPCO MD LP_MMGTL2AMS'!K18</f>
        <v>35.202060727652338</v>
      </c>
      <c r="V407" s="91"/>
    </row>
    <row r="408" spans="1:22" x14ac:dyDescent="0.2">
      <c r="A408" s="48">
        <f t="shared" si="17"/>
        <v>400</v>
      </c>
      <c r="B408" s="43">
        <v>11</v>
      </c>
      <c r="C408" s="43">
        <v>30</v>
      </c>
      <c r="D408" s="38" t="s">
        <v>557</v>
      </c>
      <c r="E408" s="44" t="s">
        <v>188</v>
      </c>
      <c r="F408" s="44" t="s">
        <v>37</v>
      </c>
      <c r="G408" s="44" t="s">
        <v>108</v>
      </c>
      <c r="H408" s="44" t="s">
        <v>42</v>
      </c>
      <c r="I408" s="44" t="s">
        <v>42</v>
      </c>
      <c r="J408" s="44" t="s">
        <v>44</v>
      </c>
      <c r="K408" s="44" t="s">
        <v>44</v>
      </c>
      <c r="L408" s="40">
        <v>1146</v>
      </c>
      <c r="M408" s="41">
        <v>41339</v>
      </c>
      <c r="N408" s="40" t="s">
        <v>110</v>
      </c>
      <c r="O408" s="42">
        <f t="shared" si="16"/>
        <v>42614</v>
      </c>
      <c r="P408" s="40">
        <v>28</v>
      </c>
      <c r="Q408" s="120">
        <f>'[3]PEPCO MD RC_3T7MS'!G18</f>
        <v>33.5800914833695</v>
      </c>
      <c r="R408" s="120">
        <f>'[3]PEPCO MD RC_3T7MS'!H18</f>
        <v>34.593643644885297</v>
      </c>
      <c r="S408" s="120">
        <f>'[3]PEPCO MD RC_3T7MS'!I18</f>
        <v>34.371337481030558</v>
      </c>
      <c r="T408" s="120">
        <f>'[3]PEPCO MD RC_3T7MS'!J18</f>
        <v>34.889546736624077</v>
      </c>
      <c r="U408" s="120">
        <f>'[3]PEPCO MD RC_3T7MS'!K18</f>
        <v>36.202139180931432</v>
      </c>
      <c r="V408" s="91"/>
    </row>
    <row r="409" spans="1:22" x14ac:dyDescent="0.2">
      <c r="A409" s="48">
        <f t="shared" si="17"/>
        <v>401</v>
      </c>
      <c r="B409" s="43">
        <v>11</v>
      </c>
      <c r="C409" s="43">
        <v>31</v>
      </c>
      <c r="D409" s="38" t="s">
        <v>558</v>
      </c>
      <c r="E409" s="44" t="s">
        <v>190</v>
      </c>
      <c r="F409" s="44" t="s">
        <v>37</v>
      </c>
      <c r="G409" s="44" t="s">
        <v>108</v>
      </c>
      <c r="H409" s="44" t="s">
        <v>45</v>
      </c>
      <c r="I409" s="44" t="s">
        <v>45</v>
      </c>
      <c r="J409" s="44" t="s">
        <v>6</v>
      </c>
      <c r="K409" s="44" t="s">
        <v>128</v>
      </c>
      <c r="L409" s="40">
        <v>1147</v>
      </c>
      <c r="M409" s="41">
        <v>41339</v>
      </c>
      <c r="N409" s="40" t="s">
        <v>110</v>
      </c>
      <c r="O409" s="42">
        <f t="shared" si="16"/>
        <v>42614</v>
      </c>
      <c r="P409" s="40">
        <v>28</v>
      </c>
      <c r="Q409" s="120">
        <f>'[3]Potomac Edison LP_GSCM_MMS'!G18</f>
        <v>27.022611717465001</v>
      </c>
      <c r="R409" s="120">
        <f>'[3]Potomac Edison LP_GSCM_MMS'!H18</f>
        <v>27.708241363396692</v>
      </c>
      <c r="S409" s="120">
        <f>'[3]Potomac Edison LP_GSCM_MMS'!I18</f>
        <v>29.818626963440369</v>
      </c>
      <c r="T409" s="120">
        <f>'[3]Potomac Edison LP_GSCM_MMS'!J18</f>
        <v>30.678112122308988</v>
      </c>
      <c r="U409" s="120">
        <f>'[3]Potomac Edison LP_GSCM_MMS'!K18</f>
        <v>33.232761763621966</v>
      </c>
      <c r="V409" s="91"/>
    </row>
    <row r="410" spans="1:22" x14ac:dyDescent="0.2">
      <c r="A410" s="48">
        <f t="shared" si="17"/>
        <v>402</v>
      </c>
      <c r="B410" s="43">
        <v>11</v>
      </c>
      <c r="C410" s="43">
        <v>32</v>
      </c>
      <c r="D410" s="38" t="s">
        <v>559</v>
      </c>
      <c r="E410" s="44" t="s">
        <v>192</v>
      </c>
      <c r="F410" s="44" t="s">
        <v>5</v>
      </c>
      <c r="G410" s="44" t="s">
        <v>108</v>
      </c>
      <c r="H410" s="44" t="s">
        <v>12</v>
      </c>
      <c r="I410" s="44" t="s">
        <v>12</v>
      </c>
      <c r="J410" s="44" t="s">
        <v>13</v>
      </c>
      <c r="K410" s="44" t="s">
        <v>117</v>
      </c>
      <c r="L410" s="40">
        <v>1148</v>
      </c>
      <c r="M410" s="41">
        <v>41339</v>
      </c>
      <c r="N410" s="40" t="s">
        <v>110</v>
      </c>
      <c r="O410" s="42">
        <f t="shared" si="16"/>
        <v>42614</v>
      </c>
      <c r="P410" s="40">
        <v>28</v>
      </c>
      <c r="Q410" s="120">
        <f>[3]PPL_RCGS1MS!G18</f>
        <v>30.003952876762469</v>
      </c>
      <c r="R410" s="120">
        <f>[3]PPL_RCGS1MS!H18</f>
        <v>28.802151504811849</v>
      </c>
      <c r="S410" s="120">
        <f>[3]PPL_RCGS1MS!I18</f>
        <v>29.199052714860617</v>
      </c>
      <c r="T410" s="120">
        <f>[3]PPL_RCGS1MS!J18</f>
        <v>29.025341873619197</v>
      </c>
      <c r="U410" s="120">
        <f>[3]PPL_RCGS1MS!K18</f>
        <v>30.430283957934833</v>
      </c>
      <c r="V410" s="91"/>
    </row>
    <row r="411" spans="1:22" x14ac:dyDescent="0.2">
      <c r="A411" s="48">
        <f t="shared" si="17"/>
        <v>403</v>
      </c>
      <c r="B411" s="43">
        <v>11</v>
      </c>
      <c r="C411" s="43">
        <v>33</v>
      </c>
      <c r="D411" s="38" t="s">
        <v>560</v>
      </c>
      <c r="E411" s="44" t="s">
        <v>194</v>
      </c>
      <c r="F411" s="44" t="s">
        <v>5</v>
      </c>
      <c r="G411" s="44" t="s">
        <v>108</v>
      </c>
      <c r="H411" s="44" t="s">
        <v>12</v>
      </c>
      <c r="I411" s="44" t="s">
        <v>12</v>
      </c>
      <c r="J411" s="44" t="s">
        <v>14</v>
      </c>
      <c r="K411" s="44" t="s">
        <v>123</v>
      </c>
      <c r="L411" s="40">
        <v>1149</v>
      </c>
      <c r="M411" s="41">
        <v>41339</v>
      </c>
      <c r="N411" s="40" t="s">
        <v>110</v>
      </c>
      <c r="O411" s="42">
        <f t="shared" si="16"/>
        <v>42614</v>
      </c>
      <c r="P411" s="40">
        <v>28</v>
      </c>
      <c r="Q411" s="120">
        <f>[3]PPL_RCGS3MS!G18</f>
        <v>31.014834829224387</v>
      </c>
      <c r="R411" s="120">
        <f>[3]PPL_RCGS3MS!H18</f>
        <v>28.689865089377701</v>
      </c>
      <c r="S411" s="120">
        <f>[3]PPL_RCGS3MS!I18</f>
        <v>29.448974195531544</v>
      </c>
      <c r="T411" s="120">
        <f>[3]PPL_RCGS3MS!J18</f>
        <v>28.991541196668596</v>
      </c>
      <c r="U411" s="120">
        <f>[3]PPL_RCGS3MS!K18</f>
        <v>30.446984660950655</v>
      </c>
      <c r="V411" s="91"/>
    </row>
    <row r="412" spans="1:22" x14ac:dyDescent="0.2">
      <c r="A412" s="48">
        <f t="shared" si="17"/>
        <v>404</v>
      </c>
      <c r="B412" s="43">
        <v>11</v>
      </c>
      <c r="C412" s="43">
        <v>34</v>
      </c>
      <c r="D412" s="38" t="s">
        <v>561</v>
      </c>
      <c r="E412" s="44" t="s">
        <v>196</v>
      </c>
      <c r="F412" s="44" t="s">
        <v>29</v>
      </c>
      <c r="G412" s="44" t="s">
        <v>108</v>
      </c>
      <c r="H412" s="44" t="s">
        <v>34</v>
      </c>
      <c r="I412" s="44" t="s">
        <v>34</v>
      </c>
      <c r="J412" s="44" t="s">
        <v>35</v>
      </c>
      <c r="K412" s="44" t="s">
        <v>197</v>
      </c>
      <c r="L412" s="40">
        <v>1150</v>
      </c>
      <c r="M412" s="41">
        <v>41339</v>
      </c>
      <c r="N412" s="40" t="s">
        <v>110</v>
      </c>
      <c r="O412" s="42">
        <f t="shared" si="16"/>
        <v>42614</v>
      </c>
      <c r="P412" s="40">
        <v>28</v>
      </c>
      <c r="Q412" s="120">
        <f>'[3]PSEG LP_GLP_MMS'!G18</f>
        <v>60.175750192491741</v>
      </c>
      <c r="R412" s="120">
        <f>'[3]PSEG LP_GLP_MMS'!H18</f>
        <v>58.306608643117812</v>
      </c>
      <c r="S412" s="120">
        <f>'[3]PSEG LP_GLP_MMS'!I18</f>
        <v>59.272910076732636</v>
      </c>
      <c r="T412" s="120">
        <f>'[3]PSEG LP_GLP_MMS'!J18</f>
        <v>58.81771952264284</v>
      </c>
      <c r="U412" s="120">
        <f>'[3]PSEG LP_GLP_MMS'!K18</f>
        <v>60.139469571413436</v>
      </c>
      <c r="V412" s="91"/>
    </row>
    <row r="413" spans="1:22" x14ac:dyDescent="0.2">
      <c r="A413" s="48">
        <f t="shared" si="17"/>
        <v>405</v>
      </c>
      <c r="B413" s="43">
        <v>11</v>
      </c>
      <c r="C413" s="43">
        <v>35</v>
      </c>
      <c r="D413" s="38" t="s">
        <v>562</v>
      </c>
      <c r="E413" s="44" t="s">
        <v>199</v>
      </c>
      <c r="F413" s="44" t="s">
        <v>29</v>
      </c>
      <c r="G413" s="44" t="s">
        <v>108</v>
      </c>
      <c r="H413" s="44" t="s">
        <v>34</v>
      </c>
      <c r="I413" s="44" t="s">
        <v>34</v>
      </c>
      <c r="J413" s="44" t="s">
        <v>36</v>
      </c>
      <c r="K413" s="44" t="s">
        <v>200</v>
      </c>
      <c r="L413" s="40">
        <v>1151</v>
      </c>
      <c r="M413" s="41">
        <v>41339</v>
      </c>
      <c r="N413" s="40" t="s">
        <v>110</v>
      </c>
      <c r="O413" s="42">
        <f t="shared" si="16"/>
        <v>42614</v>
      </c>
      <c r="P413" s="40">
        <v>28</v>
      </c>
      <c r="Q413" s="120">
        <f>'[3]PSEG LP_LPLMS'!G18</f>
        <v>59.719952197783371</v>
      </c>
      <c r="R413" s="120">
        <f>'[3]PSEG LP_LPLMS'!H18</f>
        <v>57.50774302076767</v>
      </c>
      <c r="S413" s="120">
        <f>'[3]PSEG LP_LPLMS'!I18</f>
        <v>58.572913176687514</v>
      </c>
      <c r="T413" s="120">
        <f>'[3]PSEG LP_LPLMS'!J18</f>
        <v>58.022052470642848</v>
      </c>
      <c r="U413" s="120">
        <f>'[3]PSEG LP_LPLMS'!K18</f>
        <v>59.350832809145217</v>
      </c>
      <c r="V413" s="91"/>
    </row>
    <row r="414" spans="1:22" x14ac:dyDescent="0.2">
      <c r="A414" s="48">
        <f t="shared" si="17"/>
        <v>406</v>
      </c>
      <c r="B414" s="43">
        <v>11</v>
      </c>
      <c r="C414" s="43">
        <v>36</v>
      </c>
      <c r="D414" s="38" t="s">
        <v>563</v>
      </c>
      <c r="E414" s="44" t="s">
        <v>202</v>
      </c>
      <c r="F414" s="44" t="s">
        <v>5</v>
      </c>
      <c r="G414" s="44" t="s">
        <v>108</v>
      </c>
      <c r="H414" s="44" t="s">
        <v>15</v>
      </c>
      <c r="I414" s="44" t="s">
        <v>203</v>
      </c>
      <c r="J414" s="44" t="s">
        <v>16</v>
      </c>
      <c r="K414" s="44" t="s">
        <v>128</v>
      </c>
      <c r="L414" s="40">
        <v>1152</v>
      </c>
      <c r="M414" s="41">
        <v>41339</v>
      </c>
      <c r="N414" s="40" t="s">
        <v>110</v>
      </c>
      <c r="O414" s="42">
        <f t="shared" si="16"/>
        <v>42614</v>
      </c>
      <c r="P414" s="40">
        <v>28</v>
      </c>
      <c r="Q414" s="120">
        <f>'[3]West Penn Power LP_GSCMMS'!G18</f>
        <v>26.389658222944938</v>
      </c>
      <c r="R414" s="120">
        <f>'[3]West Penn Power LP_GSCMMS'!H18</f>
        <v>27.851918290158231</v>
      </c>
      <c r="S414" s="120">
        <f>'[3]West Penn Power LP_GSCMMS'!I18</f>
        <v>29.497834578913341</v>
      </c>
      <c r="T414" s="120">
        <f>'[3]West Penn Power LP_GSCMMS'!J18</f>
        <v>30.532167953055755</v>
      </c>
      <c r="U414" s="120">
        <f>'[3]West Penn Power LP_GSCMMS'!K18</f>
        <v>32.837285507614403</v>
      </c>
      <c r="V414" s="91"/>
    </row>
    <row r="415" spans="1:22" x14ac:dyDescent="0.2">
      <c r="A415" s="48">
        <f t="shared" si="17"/>
        <v>407</v>
      </c>
      <c r="B415" s="20"/>
      <c r="C415" s="20"/>
      <c r="D415" s="20"/>
      <c r="Q415" s="121"/>
      <c r="R415" s="121"/>
      <c r="S415" s="121"/>
      <c r="T415" s="121"/>
      <c r="U415" s="121"/>
    </row>
    <row r="416" spans="1:22" x14ac:dyDescent="0.2">
      <c r="A416" s="48">
        <f t="shared" si="17"/>
        <v>408</v>
      </c>
      <c r="B416" s="43">
        <v>12</v>
      </c>
      <c r="C416" s="43">
        <v>1</v>
      </c>
      <c r="D416" s="38" t="s">
        <v>564</v>
      </c>
      <c r="E416" s="44" t="s">
        <v>107</v>
      </c>
      <c r="F416" s="44" t="s">
        <v>29</v>
      </c>
      <c r="G416" s="44" t="s">
        <v>108</v>
      </c>
      <c r="H416" s="44" t="s">
        <v>30</v>
      </c>
      <c r="I416" s="44" t="s">
        <v>30</v>
      </c>
      <c r="J416" s="44" t="s">
        <v>31</v>
      </c>
      <c r="K416" s="44" t="s">
        <v>109</v>
      </c>
      <c r="L416" s="40">
        <v>1117</v>
      </c>
      <c r="M416" s="41">
        <v>41339</v>
      </c>
      <c r="N416" s="40" t="s">
        <v>110</v>
      </c>
      <c r="O416" s="42">
        <f>EDATE(O379,1)</f>
        <v>42644</v>
      </c>
      <c r="P416" s="40">
        <v>29</v>
      </c>
      <c r="Q416" s="120">
        <f>'[3]AECO LP_10V1_SMS'!G19</f>
        <v>54.817785993223765</v>
      </c>
      <c r="R416" s="120">
        <f>'[3]AECO LP_10V1_SMS'!H19</f>
        <v>47.506194891857419</v>
      </c>
      <c r="S416" s="120">
        <f>'[3]AECO LP_10V1_SMS'!I19</f>
        <v>49.315207615213218</v>
      </c>
      <c r="T416" s="120">
        <f>'[3]AECO LP_10V1_SMS'!J19</f>
        <v>48.074370702607922</v>
      </c>
      <c r="U416" s="120">
        <f>'[3]AECO LP_10V1_SMS'!K19</f>
        <v>49.979121349570391</v>
      </c>
      <c r="V416" s="91"/>
    </row>
    <row r="417" spans="1:22" x14ac:dyDescent="0.2">
      <c r="A417" s="48">
        <f t="shared" si="17"/>
        <v>409</v>
      </c>
      <c r="B417" s="43">
        <v>12</v>
      </c>
      <c r="C417" s="43">
        <v>2</v>
      </c>
      <c r="D417" s="38" t="s">
        <v>565</v>
      </c>
      <c r="E417" s="44" t="s">
        <v>112</v>
      </c>
      <c r="F417" s="44" t="s">
        <v>29</v>
      </c>
      <c r="G417" s="44" t="s">
        <v>108</v>
      </c>
      <c r="H417" s="44" t="s">
        <v>30</v>
      </c>
      <c r="I417" s="44" t="s">
        <v>30</v>
      </c>
      <c r="J417" s="44" t="s">
        <v>32</v>
      </c>
      <c r="K417" s="44" t="s">
        <v>113</v>
      </c>
      <c r="L417" s="40">
        <v>1118</v>
      </c>
      <c r="M417" s="41">
        <v>41339</v>
      </c>
      <c r="N417" s="40" t="s">
        <v>110</v>
      </c>
      <c r="O417" s="42">
        <f>O416</f>
        <v>42644</v>
      </c>
      <c r="P417" s="40">
        <v>29</v>
      </c>
      <c r="Q417" s="120">
        <f>'[3]AECO LP_14V1_MMS'!G19</f>
        <v>52.257453779278954</v>
      </c>
      <c r="R417" s="120">
        <f>'[3]AECO LP_14V1_MMS'!H19</f>
        <v>47.423578026278513</v>
      </c>
      <c r="S417" s="120">
        <f>'[3]AECO LP_14V1_MMS'!I19</f>
        <v>47.928442345893075</v>
      </c>
      <c r="T417" s="120">
        <f>'[3]AECO LP_14V1_MMS'!J19</f>
        <v>46.173092698510054</v>
      </c>
      <c r="U417" s="120">
        <f>'[3]AECO LP_14V1_MMS'!K19</f>
        <v>46.935085086543189</v>
      </c>
      <c r="V417" s="91"/>
    </row>
    <row r="418" spans="1:22" x14ac:dyDescent="0.2">
      <c r="A418" s="48">
        <f t="shared" si="17"/>
        <v>410</v>
      </c>
      <c r="B418" s="43">
        <v>12</v>
      </c>
      <c r="C418" s="43">
        <v>3</v>
      </c>
      <c r="D418" s="38" t="s">
        <v>566</v>
      </c>
      <c r="E418" s="44" t="s">
        <v>115</v>
      </c>
      <c r="F418" s="44" t="s">
        <v>18</v>
      </c>
      <c r="G418" s="44" t="s">
        <v>108</v>
      </c>
      <c r="H418" s="44" t="s">
        <v>61</v>
      </c>
      <c r="I418" s="44" t="s">
        <v>116</v>
      </c>
      <c r="J418" s="44" t="s">
        <v>13</v>
      </c>
      <c r="K418" s="44" t="s">
        <v>117</v>
      </c>
      <c r="L418" s="40">
        <v>1119</v>
      </c>
      <c r="M418" s="41">
        <v>41339</v>
      </c>
      <c r="N418" s="40" t="s">
        <v>110</v>
      </c>
      <c r="O418" s="42">
        <f t="shared" ref="O418:O451" si="18">O417</f>
        <v>42644</v>
      </c>
      <c r="P418" s="40">
        <v>29</v>
      </c>
      <c r="Q418" s="120">
        <f>'[3]AEP_OH_CS - test CSGS1MS'!G19</f>
        <v>19.083502082039246</v>
      </c>
      <c r="R418" s="120">
        <f>'[3]AEP_OH_CS - test CSGS1MS'!H19</f>
        <v>20.641761690308275</v>
      </c>
      <c r="S418" s="120">
        <f>'[3]AEP_OH_CS - test CSGS1MS'!I19</f>
        <v>22.066446093313427</v>
      </c>
      <c r="T418" s="120">
        <f>'[3]AEP_OH_CS - test CSGS1MS'!J19</f>
        <v>22.945154089742431</v>
      </c>
      <c r="U418" s="120">
        <f>'[3]AEP_OH_CS - test CSGS1MS'!K19</f>
        <v>25.344378735882959</v>
      </c>
      <c r="V418" s="91"/>
    </row>
    <row r="419" spans="1:22" x14ac:dyDescent="0.2">
      <c r="A419" s="48">
        <f t="shared" si="17"/>
        <v>411</v>
      </c>
      <c r="B419" s="43">
        <v>12</v>
      </c>
      <c r="C419" s="43">
        <v>4</v>
      </c>
      <c r="D419" s="38" t="s">
        <v>567</v>
      </c>
      <c r="E419" s="44" t="s">
        <v>119</v>
      </c>
      <c r="F419" s="44" t="s">
        <v>18</v>
      </c>
      <c r="G419" s="44" t="s">
        <v>108</v>
      </c>
      <c r="H419" s="44" t="s">
        <v>61</v>
      </c>
      <c r="I419" s="44" t="s">
        <v>116</v>
      </c>
      <c r="J419" s="44" t="s">
        <v>19</v>
      </c>
      <c r="K419" s="44" t="s">
        <v>120</v>
      </c>
      <c r="L419" s="40">
        <v>1120</v>
      </c>
      <c r="M419" s="41">
        <v>41339</v>
      </c>
      <c r="N419" s="40" t="s">
        <v>110</v>
      </c>
      <c r="O419" s="42">
        <f t="shared" si="18"/>
        <v>42644</v>
      </c>
      <c r="P419" s="40">
        <v>29</v>
      </c>
      <c r="Q419" s="120">
        <f>'[3]AEP_OH_CS - test CSGS2UMS'!G19</f>
        <v>19.72126691537099</v>
      </c>
      <c r="R419" s="120">
        <f>'[3]AEP_OH_CS - test CSGS2UMS'!H19</f>
        <v>20.709696468914302</v>
      </c>
      <c r="S419" s="120">
        <f>'[3]AEP_OH_CS - test CSGS2UMS'!I19</f>
        <v>22.382022740844445</v>
      </c>
      <c r="T419" s="120">
        <f>'[3]AEP_OH_CS - test CSGS2UMS'!J19</f>
        <v>23.016837580836874</v>
      </c>
      <c r="U419" s="120">
        <f>'[3]AEP_OH_CS - test CSGS2UMS'!K19</f>
        <v>25.422380265934368</v>
      </c>
      <c r="V419" s="91"/>
    </row>
    <row r="420" spans="1:22" x14ac:dyDescent="0.2">
      <c r="A420" s="48">
        <f t="shared" si="17"/>
        <v>412</v>
      </c>
      <c r="B420" s="43">
        <v>12</v>
      </c>
      <c r="C420" s="43">
        <v>5</v>
      </c>
      <c r="D420" s="38" t="s">
        <v>568</v>
      </c>
      <c r="E420" s="44" t="s">
        <v>122</v>
      </c>
      <c r="F420" s="44" t="s">
        <v>18</v>
      </c>
      <c r="G420" s="44" t="s">
        <v>108</v>
      </c>
      <c r="H420" s="44" t="s">
        <v>61</v>
      </c>
      <c r="I420" s="44" t="s">
        <v>116</v>
      </c>
      <c r="J420" s="44" t="s">
        <v>14</v>
      </c>
      <c r="K420" s="44" t="s">
        <v>123</v>
      </c>
      <c r="L420" s="40">
        <v>1121</v>
      </c>
      <c r="M420" s="41">
        <v>41339</v>
      </c>
      <c r="N420" s="40" t="s">
        <v>110</v>
      </c>
      <c r="O420" s="42">
        <f t="shared" si="18"/>
        <v>42644</v>
      </c>
      <c r="P420" s="40">
        <v>29</v>
      </c>
      <c r="Q420" s="120">
        <f>'[3]AEP_OH_CS - test CSGS3UMS'!G19</f>
        <v>19.72126691537099</v>
      </c>
      <c r="R420" s="120">
        <f>'[3]AEP_OH_CS - test CSGS3UMS'!H19</f>
        <v>20.709696468914302</v>
      </c>
      <c r="S420" s="120">
        <f>'[3]AEP_OH_CS - test CSGS3UMS'!I19</f>
        <v>22.382022740844445</v>
      </c>
      <c r="T420" s="120">
        <f>'[3]AEP_OH_CS - test CSGS3UMS'!J19</f>
        <v>23.016837580836874</v>
      </c>
      <c r="U420" s="120">
        <f>'[3]AEP_OH_CS - test CSGS3UMS'!K19</f>
        <v>25.422380265934368</v>
      </c>
      <c r="V420" s="91"/>
    </row>
    <row r="421" spans="1:22" x14ac:dyDescent="0.2">
      <c r="A421" s="48">
        <f t="shared" si="17"/>
        <v>413</v>
      </c>
      <c r="B421" s="43">
        <v>12</v>
      </c>
      <c r="C421" s="43">
        <v>6</v>
      </c>
      <c r="D421" s="38" t="s">
        <v>569</v>
      </c>
      <c r="E421" s="44" t="s">
        <v>125</v>
      </c>
      <c r="F421" s="44" t="s">
        <v>23</v>
      </c>
      <c r="G421" s="44" t="s">
        <v>126</v>
      </c>
      <c r="H421" s="44" t="s">
        <v>127</v>
      </c>
      <c r="I421" s="44" t="s">
        <v>27</v>
      </c>
      <c r="J421" s="44" t="s">
        <v>28</v>
      </c>
      <c r="K421" s="44" t="s">
        <v>128</v>
      </c>
      <c r="L421" s="40">
        <v>1122</v>
      </c>
      <c r="M421" s="41">
        <v>41339</v>
      </c>
      <c r="N421" s="40" t="s">
        <v>110</v>
      </c>
      <c r="O421" s="42">
        <f t="shared" si="18"/>
        <v>42644</v>
      </c>
      <c r="P421" s="40">
        <v>29</v>
      </c>
      <c r="Q421" s="120">
        <f>'[3]Ameren RateZnIII LP DS2HHMS'!G19</f>
        <v>24.178871824211626</v>
      </c>
      <c r="R421" s="120">
        <f>'[3]Ameren RateZnIII LP DS2HHMS'!H19</f>
        <v>23.199198063552107</v>
      </c>
      <c r="S421" s="120">
        <f>'[3]Ameren RateZnIII LP DS2HHMS'!I19</f>
        <v>23.794403556072183</v>
      </c>
      <c r="T421" s="120">
        <f>'[3]Ameren RateZnIII LP DS2HHMS'!J19</f>
        <v>23.705491019771966</v>
      </c>
      <c r="U421" s="120">
        <f>'[3]Ameren RateZnIII LP DS2HHMS'!K19</f>
        <v>24.321610502192318</v>
      </c>
      <c r="V421" s="91"/>
    </row>
    <row r="422" spans="1:22" x14ac:dyDescent="0.2">
      <c r="A422" s="48">
        <f t="shared" si="17"/>
        <v>414</v>
      </c>
      <c r="B422" s="43">
        <v>12</v>
      </c>
      <c r="C422" s="43">
        <v>7</v>
      </c>
      <c r="D422" s="38" t="s">
        <v>570</v>
      </c>
      <c r="E422" s="44" t="s">
        <v>130</v>
      </c>
      <c r="F422" s="44" t="s">
        <v>37</v>
      </c>
      <c r="G422" s="44" t="s">
        <v>108</v>
      </c>
      <c r="H422" s="44" t="s">
        <v>38</v>
      </c>
      <c r="I422" s="44" t="s">
        <v>38</v>
      </c>
      <c r="J422" s="44" t="s">
        <v>40</v>
      </c>
      <c r="K422" s="44" t="s">
        <v>123</v>
      </c>
      <c r="L422" s="40">
        <v>1124</v>
      </c>
      <c r="M422" s="41">
        <v>41339</v>
      </c>
      <c r="N422" s="40" t="s">
        <v>110</v>
      </c>
      <c r="O422" s="42">
        <f t="shared" si="18"/>
        <v>42644</v>
      </c>
      <c r="P422" s="40">
        <v>29</v>
      </c>
      <c r="Q422" s="120">
        <f>'[3]BGE LP_GLMS'!G19</f>
        <v>35.869058697458236</v>
      </c>
      <c r="R422" s="120">
        <f>'[3]BGE LP_GLMS'!H19</f>
        <v>34.27097487054538</v>
      </c>
      <c r="S422" s="120">
        <f>'[3]BGE LP_GLMS'!I19</f>
        <v>34.763735181780255</v>
      </c>
      <c r="T422" s="120">
        <f>'[3]BGE LP_GLMS'!J19</f>
        <v>34.579299571982759</v>
      </c>
      <c r="U422" s="120">
        <f>'[3]BGE LP_GLMS'!K19</f>
        <v>36.230407566430728</v>
      </c>
      <c r="V422" s="91"/>
    </row>
    <row r="423" spans="1:22" x14ac:dyDescent="0.2">
      <c r="A423" s="48">
        <f t="shared" si="17"/>
        <v>415</v>
      </c>
      <c r="B423" s="43">
        <v>12</v>
      </c>
      <c r="C423" s="43">
        <v>8</v>
      </c>
      <c r="D423" s="38" t="s">
        <v>571</v>
      </c>
      <c r="E423" s="44" t="s">
        <v>132</v>
      </c>
      <c r="F423" s="44" t="s">
        <v>37</v>
      </c>
      <c r="G423" s="44" t="s">
        <v>108</v>
      </c>
      <c r="H423" s="44" t="s">
        <v>38</v>
      </c>
      <c r="I423" s="44" t="s">
        <v>38</v>
      </c>
      <c r="J423" s="44" t="s">
        <v>39</v>
      </c>
      <c r="K423" s="44" t="s">
        <v>120</v>
      </c>
      <c r="L423" s="40">
        <v>1123</v>
      </c>
      <c r="M423" s="41">
        <v>41339</v>
      </c>
      <c r="N423" s="40" t="s">
        <v>110</v>
      </c>
      <c r="O423" s="42">
        <f t="shared" si="18"/>
        <v>42644</v>
      </c>
      <c r="P423" s="40">
        <v>29</v>
      </c>
      <c r="Q423" s="120">
        <f>'[3]BGE LP_GMS'!G19</f>
        <v>35.201118637821892</v>
      </c>
      <c r="R423" s="120">
        <f>'[3]BGE LP_GMS'!H19</f>
        <v>34.339136385703029</v>
      </c>
      <c r="S423" s="120">
        <f>'[3]BGE LP_GMS'!I19</f>
        <v>34.69934124331018</v>
      </c>
      <c r="T423" s="120">
        <f>'[3]BGE LP_GMS'!J19</f>
        <v>34.719812032339377</v>
      </c>
      <c r="U423" s="120">
        <f>'[3]BGE LP_GMS'!K19</f>
        <v>36.401758282465998</v>
      </c>
      <c r="V423" s="91"/>
    </row>
    <row r="424" spans="1:22" x14ac:dyDescent="0.2">
      <c r="A424" s="48">
        <f t="shared" si="17"/>
        <v>416</v>
      </c>
      <c r="B424" s="43">
        <v>12</v>
      </c>
      <c r="C424" s="43">
        <v>9</v>
      </c>
      <c r="D424" s="38" t="s">
        <v>572</v>
      </c>
      <c r="E424" s="44" t="s">
        <v>134</v>
      </c>
      <c r="F424" s="44" t="s">
        <v>37</v>
      </c>
      <c r="G424" s="44" t="s">
        <v>108</v>
      </c>
      <c r="H424" s="44" t="s">
        <v>38</v>
      </c>
      <c r="I424" s="44" t="s">
        <v>38</v>
      </c>
      <c r="J424" s="44" t="s">
        <v>6</v>
      </c>
      <c r="K424" s="44" t="s">
        <v>117</v>
      </c>
      <c r="L424" s="40">
        <v>1125</v>
      </c>
      <c r="M424" s="41">
        <v>41339</v>
      </c>
      <c r="N424" s="40" t="s">
        <v>110</v>
      </c>
      <c r="O424" s="42">
        <f t="shared" si="18"/>
        <v>42644</v>
      </c>
      <c r="P424" s="40">
        <v>29</v>
      </c>
      <c r="Q424" s="120">
        <f>'[3]BGE LP_GSMS'!G19</f>
        <v>36.205670411651461</v>
      </c>
      <c r="R424" s="120">
        <f>'[3]BGE LP_GSMS'!H19</f>
        <v>35.282494743653018</v>
      </c>
      <c r="S424" s="120">
        <f>'[3]BGE LP_GSMS'!I19</f>
        <v>35.488433648052144</v>
      </c>
      <c r="T424" s="120">
        <f>'[3]BGE LP_GSMS'!J19</f>
        <v>35.528486280392663</v>
      </c>
      <c r="U424" s="120">
        <f>'[3]BGE LP_GSMS'!K19</f>
        <v>37.165214795243237</v>
      </c>
      <c r="V424" s="91"/>
    </row>
    <row r="425" spans="1:22" x14ac:dyDescent="0.2">
      <c r="A425" s="48">
        <f t="shared" si="17"/>
        <v>417</v>
      </c>
      <c r="B425" s="43">
        <v>12</v>
      </c>
      <c r="C425" s="43">
        <v>10</v>
      </c>
      <c r="D425" s="38" t="s">
        <v>573</v>
      </c>
      <c r="E425" s="44" t="s">
        <v>136</v>
      </c>
      <c r="F425" s="44" t="s">
        <v>23</v>
      </c>
      <c r="G425" s="44" t="s">
        <v>108</v>
      </c>
      <c r="H425" s="44" t="s">
        <v>137</v>
      </c>
      <c r="I425" s="44" t="s">
        <v>24</v>
      </c>
      <c r="J425" s="44" t="s">
        <v>25</v>
      </c>
      <c r="K425" s="44" t="s">
        <v>138</v>
      </c>
      <c r="L425" s="40">
        <v>1126</v>
      </c>
      <c r="M425" s="41">
        <v>41339</v>
      </c>
      <c r="N425" s="40" t="s">
        <v>110</v>
      </c>
      <c r="O425" s="42">
        <f t="shared" si="18"/>
        <v>42644</v>
      </c>
      <c r="P425" s="40">
        <v>29</v>
      </c>
      <c r="Q425" s="120">
        <f>'[3]ComEd - test LP_28MS'!G19</f>
        <v>28.660189416617271</v>
      </c>
      <c r="R425" s="120">
        <f>'[3]ComEd - test LP_28MS'!H19</f>
        <v>30.066697980622166</v>
      </c>
      <c r="S425" s="120">
        <f>'[3]ComEd - test LP_28MS'!I19</f>
        <v>31.670051375676096</v>
      </c>
      <c r="T425" s="120">
        <f>'[3]ComEd - test LP_28MS'!J19</f>
        <v>33.261299306463989</v>
      </c>
      <c r="U425" s="120">
        <f>'[3]ComEd - test LP_28MS'!K19</f>
        <v>36.400789428037726</v>
      </c>
      <c r="V425" s="91"/>
    </row>
    <row r="426" spans="1:22" x14ac:dyDescent="0.2">
      <c r="A426" s="48">
        <f t="shared" si="17"/>
        <v>418</v>
      </c>
      <c r="B426" s="43">
        <v>12</v>
      </c>
      <c r="C426" s="43">
        <v>11</v>
      </c>
      <c r="D426" s="38" t="s">
        <v>574</v>
      </c>
      <c r="E426" s="44" t="s">
        <v>140</v>
      </c>
      <c r="F426" s="44" t="s">
        <v>23</v>
      </c>
      <c r="G426" s="44" t="s">
        <v>108</v>
      </c>
      <c r="H426" s="44" t="s">
        <v>137</v>
      </c>
      <c r="I426" s="44" t="s">
        <v>24</v>
      </c>
      <c r="J426" s="44" t="s">
        <v>26</v>
      </c>
      <c r="K426" s="44" t="s">
        <v>141</v>
      </c>
      <c r="L426" s="40">
        <v>1127</v>
      </c>
      <c r="M426" s="41">
        <v>41339</v>
      </c>
      <c r="N426" s="40" t="s">
        <v>110</v>
      </c>
      <c r="O426" s="42">
        <f t="shared" si="18"/>
        <v>42644</v>
      </c>
      <c r="P426" s="40">
        <v>29</v>
      </c>
      <c r="Q426" s="120">
        <f>'[3]ComEd - test LP_29MS'!G19</f>
        <v>27.708797223663005</v>
      </c>
      <c r="R426" s="120">
        <f>'[3]ComEd - test LP_29MS'!H19</f>
        <v>29.157166785966538</v>
      </c>
      <c r="S426" s="120">
        <f>'[3]ComEd - test LP_29MS'!I19</f>
        <v>30.747166121528529</v>
      </c>
      <c r="T426" s="120">
        <f>'[3]ComEd - test LP_29MS'!J19</f>
        <v>32.352220969531224</v>
      </c>
      <c r="U426" s="120">
        <f>'[3]ComEd - test LP_29MS'!K19</f>
        <v>35.489984384754798</v>
      </c>
      <c r="V426" s="91"/>
    </row>
    <row r="427" spans="1:22" x14ac:dyDescent="0.2">
      <c r="A427" s="48">
        <f t="shared" si="17"/>
        <v>419</v>
      </c>
      <c r="B427" s="43">
        <v>12</v>
      </c>
      <c r="C427" s="43">
        <v>12</v>
      </c>
      <c r="D427" s="38" t="s">
        <v>575</v>
      </c>
      <c r="E427" s="44" t="s">
        <v>143</v>
      </c>
      <c r="F427" s="44" t="s">
        <v>18</v>
      </c>
      <c r="G427" s="44" t="s">
        <v>108</v>
      </c>
      <c r="H427" s="44" t="s">
        <v>94</v>
      </c>
      <c r="I427" s="44" t="s">
        <v>144</v>
      </c>
      <c r="J427" s="44" t="s">
        <v>20</v>
      </c>
      <c r="K427" s="44" t="s">
        <v>145</v>
      </c>
      <c r="L427" s="40">
        <v>1128</v>
      </c>
      <c r="M427" s="41">
        <v>41339</v>
      </c>
      <c r="N427" s="40" t="s">
        <v>110</v>
      </c>
      <c r="O427" s="42">
        <f t="shared" si="18"/>
        <v>42644</v>
      </c>
      <c r="P427" s="40">
        <v>29</v>
      </c>
      <c r="Q427" s="120">
        <f>[3]DAY_RC_843MS!G19</f>
        <v>16.427522019365469</v>
      </c>
      <c r="R427" s="120">
        <f>[3]DAY_RC_843MS!H19</f>
        <v>19.769823754053537</v>
      </c>
      <c r="S427" s="120">
        <f>[3]DAY_RC_843MS!I19</f>
        <v>20.318505855761959</v>
      </c>
      <c r="T427" s="120">
        <f>[3]DAY_RC_843MS!J19</f>
        <v>22.022546875379913</v>
      </c>
      <c r="U427" s="120">
        <f>[3]DAY_RC_843MS!K19</f>
        <v>24.304386099098583</v>
      </c>
      <c r="V427" s="91"/>
    </row>
    <row r="428" spans="1:22" x14ac:dyDescent="0.2">
      <c r="A428" s="48">
        <f t="shared" si="17"/>
        <v>420</v>
      </c>
      <c r="B428" s="43">
        <v>12</v>
      </c>
      <c r="C428" s="43">
        <v>13</v>
      </c>
      <c r="D428" s="38" t="s">
        <v>576</v>
      </c>
      <c r="E428" s="44" t="s">
        <v>147</v>
      </c>
      <c r="F428" s="44" t="s">
        <v>37</v>
      </c>
      <c r="G428" s="44" t="s">
        <v>108</v>
      </c>
      <c r="H428" s="44" t="s">
        <v>41</v>
      </c>
      <c r="I428" s="44" t="s">
        <v>41</v>
      </c>
      <c r="J428" s="44" t="s">
        <v>6</v>
      </c>
      <c r="K428" s="44" t="s">
        <v>128</v>
      </c>
      <c r="L428" s="40">
        <v>1129</v>
      </c>
      <c r="M428" s="41">
        <v>41339</v>
      </c>
      <c r="N428" s="40" t="s">
        <v>110</v>
      </c>
      <c r="O428" s="42">
        <f t="shared" si="18"/>
        <v>42644</v>
      </c>
      <c r="P428" s="40">
        <v>29</v>
      </c>
      <c r="Q428" s="120">
        <f>'[3]Delmarva MD LP_MDGS_MMS'!G19</f>
        <v>40.359197147832042</v>
      </c>
      <c r="R428" s="120">
        <f>'[3]Delmarva MD LP_MDGS_MMS'!H19</f>
        <v>37.65888839664936</v>
      </c>
      <c r="S428" s="120">
        <f>'[3]Delmarva MD LP_MDGS_MMS'!I19</f>
        <v>38.584380779529525</v>
      </c>
      <c r="T428" s="120">
        <f>'[3]Delmarva MD LP_MDGS_MMS'!J19</f>
        <v>39.395500508571594</v>
      </c>
      <c r="U428" s="120">
        <f>'[3]Delmarva MD LP_MDGS_MMS'!K19</f>
        <v>42.634767417789774</v>
      </c>
      <c r="V428" s="91"/>
    </row>
    <row r="429" spans="1:22" x14ac:dyDescent="0.2">
      <c r="A429" s="48">
        <f t="shared" si="17"/>
        <v>421</v>
      </c>
      <c r="B429" s="43">
        <v>12</v>
      </c>
      <c r="C429" s="43">
        <v>14</v>
      </c>
      <c r="D429" s="38" t="s">
        <v>577</v>
      </c>
      <c r="E429" s="44" t="s">
        <v>149</v>
      </c>
      <c r="F429" s="44" t="s">
        <v>5</v>
      </c>
      <c r="G429" s="44" t="s">
        <v>108</v>
      </c>
      <c r="H429" s="44" t="s">
        <v>46</v>
      </c>
      <c r="I429" s="44" t="s">
        <v>46</v>
      </c>
      <c r="J429" s="44" t="s">
        <v>6</v>
      </c>
      <c r="K429" s="44" t="s">
        <v>128</v>
      </c>
      <c r="L429" s="40">
        <v>1130</v>
      </c>
      <c r="M429" s="41">
        <v>41339</v>
      </c>
      <c r="N429" s="40" t="s">
        <v>110</v>
      </c>
      <c r="O429" s="42">
        <f t="shared" si="18"/>
        <v>42644</v>
      </c>
      <c r="P429" s="40">
        <v>29</v>
      </c>
      <c r="Q429" s="120">
        <f>'[3]DQE LP_GSGM_MMS'!G19</f>
        <v>30.915333082875602</v>
      </c>
      <c r="R429" s="120">
        <f>'[3]DQE LP_GSGM_MMS'!H19</f>
        <v>32.631475770870146</v>
      </c>
      <c r="S429" s="120">
        <f>'[3]DQE LP_GSGM_MMS'!I19</f>
        <v>34.184518380244711</v>
      </c>
      <c r="T429" s="120">
        <f>'[3]DQE LP_GSGM_MMS'!J19</f>
        <v>35.075387228151541</v>
      </c>
      <c r="U429" s="120">
        <f>'[3]DQE LP_GSGM_MMS'!K19</f>
        <v>37.493012130946902</v>
      </c>
      <c r="V429" s="91"/>
    </row>
    <row r="430" spans="1:22" x14ac:dyDescent="0.2">
      <c r="A430" s="48">
        <f t="shared" si="17"/>
        <v>422</v>
      </c>
      <c r="B430" s="43">
        <v>12</v>
      </c>
      <c r="C430" s="43">
        <v>15</v>
      </c>
      <c r="D430" s="38" t="s">
        <v>578</v>
      </c>
      <c r="E430" s="44" t="s">
        <v>151</v>
      </c>
      <c r="F430" s="44" t="s">
        <v>18</v>
      </c>
      <c r="G430" s="44" t="s">
        <v>108</v>
      </c>
      <c r="H430" s="44" t="s">
        <v>21</v>
      </c>
      <c r="I430" s="44" t="s">
        <v>152</v>
      </c>
      <c r="J430" s="44" t="s">
        <v>22</v>
      </c>
      <c r="K430" s="44" t="s">
        <v>128</v>
      </c>
      <c r="L430" s="40">
        <v>1131</v>
      </c>
      <c r="M430" s="41">
        <v>41339</v>
      </c>
      <c r="N430" s="40" t="s">
        <v>110</v>
      </c>
      <c r="O430" s="42">
        <f t="shared" si="18"/>
        <v>42644</v>
      </c>
      <c r="P430" s="40">
        <v>29</v>
      </c>
      <c r="Q430" s="120">
        <f>[3]Duke_OH_RC_DS01MS!G19</f>
        <v>18.646425275528021</v>
      </c>
      <c r="R430" s="120">
        <f>[3]Duke_OH_RC_DS01MS!H19</f>
        <v>19.675348156294309</v>
      </c>
      <c r="S430" s="120">
        <f>[3]Duke_OH_RC_DS01MS!I19</f>
        <v>21.259423265023795</v>
      </c>
      <c r="T430" s="120">
        <f>[3]Duke_OH_RC_DS01MS!J19</f>
        <v>21.784141669838547</v>
      </c>
      <c r="U430" s="120">
        <f>[3]Duke_OH_RC_DS01MS!K19</f>
        <v>23.866564695440804</v>
      </c>
      <c r="V430" s="91"/>
    </row>
    <row r="431" spans="1:22" x14ac:dyDescent="0.2">
      <c r="A431" s="48">
        <f t="shared" si="17"/>
        <v>423</v>
      </c>
      <c r="B431" s="43">
        <v>12</v>
      </c>
      <c r="C431" s="43">
        <v>16</v>
      </c>
      <c r="D431" s="38" t="s">
        <v>579</v>
      </c>
      <c r="E431" s="44" t="s">
        <v>154</v>
      </c>
      <c r="F431" s="44" t="s">
        <v>18</v>
      </c>
      <c r="G431" s="44" t="s">
        <v>108</v>
      </c>
      <c r="H431" s="44" t="s">
        <v>62</v>
      </c>
      <c r="I431" s="44" t="s">
        <v>155</v>
      </c>
      <c r="J431" s="44" t="s">
        <v>6</v>
      </c>
      <c r="K431" s="44" t="s">
        <v>128</v>
      </c>
      <c r="L431" s="40">
        <v>1132</v>
      </c>
      <c r="M431" s="41">
        <v>41339</v>
      </c>
      <c r="N431" s="40" t="s">
        <v>110</v>
      </c>
      <c r="O431" s="42">
        <f t="shared" si="18"/>
        <v>42644</v>
      </c>
      <c r="P431" s="40">
        <v>29</v>
      </c>
      <c r="Q431" s="120">
        <f>'[3]FE_OE - test RC_GSFMS'!G19</f>
        <v>20.86534182668991</v>
      </c>
      <c r="R431" s="120">
        <f>'[3]FE_OE - test RC_GSFMS'!H19</f>
        <v>22.239665363530598</v>
      </c>
      <c r="S431" s="120">
        <f>'[3]FE_OE - test RC_GSFMS'!I19</f>
        <v>22.559590934586105</v>
      </c>
      <c r="T431" s="120">
        <f>'[3]FE_OE - test RC_GSFMS'!J19</f>
        <v>23.337065874659221</v>
      </c>
      <c r="U431" s="120">
        <f>'[3]FE_OE - test RC_GSFMS'!K19</f>
        <v>25.159726618813469</v>
      </c>
      <c r="V431" s="91"/>
    </row>
    <row r="432" spans="1:22" x14ac:dyDescent="0.2">
      <c r="A432" s="48">
        <f t="shared" si="17"/>
        <v>424</v>
      </c>
      <c r="B432" s="43">
        <v>12</v>
      </c>
      <c r="C432" s="43">
        <v>17</v>
      </c>
      <c r="D432" s="38" t="s">
        <v>580</v>
      </c>
      <c r="E432" s="44" t="s">
        <v>157</v>
      </c>
      <c r="F432" s="44" t="s">
        <v>29</v>
      </c>
      <c r="G432" s="44" t="s">
        <v>108</v>
      </c>
      <c r="H432" s="44" t="s">
        <v>33</v>
      </c>
      <c r="I432" s="44" t="s">
        <v>33</v>
      </c>
      <c r="J432" s="44" t="s">
        <v>7</v>
      </c>
      <c r="K432" s="44" t="s">
        <v>123</v>
      </c>
      <c r="L432" s="40">
        <v>1133</v>
      </c>
      <c r="M432" s="41">
        <v>41339</v>
      </c>
      <c r="N432" s="40" t="s">
        <v>110</v>
      </c>
      <c r="O432" s="42">
        <f t="shared" si="18"/>
        <v>42644</v>
      </c>
      <c r="P432" s="40">
        <v>29</v>
      </c>
      <c r="Q432" s="120">
        <f>'[3]JCPL LP_GSCLMS'!G19</f>
        <v>41.47596482914377</v>
      </c>
      <c r="R432" s="120">
        <f>'[3]JCPL LP_GSCLMS'!H19</f>
        <v>39.356659694718637</v>
      </c>
      <c r="S432" s="120">
        <f>'[3]JCPL LP_GSCLMS'!I19</f>
        <v>40.345445323778925</v>
      </c>
      <c r="T432" s="120">
        <f>'[3]JCPL LP_GSCLMS'!J19</f>
        <v>41.111163202134179</v>
      </c>
      <c r="U432" s="120">
        <f>'[3]JCPL LP_GSCLMS'!K19</f>
        <v>44.192947553400963</v>
      </c>
      <c r="V432" s="91"/>
    </row>
    <row r="433" spans="1:22" x14ac:dyDescent="0.2">
      <c r="A433" s="48">
        <f t="shared" si="17"/>
        <v>425</v>
      </c>
      <c r="B433" s="43">
        <v>12</v>
      </c>
      <c r="C433" s="43">
        <v>18</v>
      </c>
      <c r="D433" s="38" t="s">
        <v>581</v>
      </c>
      <c r="E433" s="44" t="s">
        <v>159</v>
      </c>
      <c r="F433" s="44" t="s">
        <v>29</v>
      </c>
      <c r="G433" s="44" t="s">
        <v>108</v>
      </c>
      <c r="H433" s="44" t="s">
        <v>33</v>
      </c>
      <c r="I433" s="44" t="s">
        <v>33</v>
      </c>
      <c r="J433" s="44" t="s">
        <v>8</v>
      </c>
      <c r="K433" s="44" t="s">
        <v>120</v>
      </c>
      <c r="L433" s="40">
        <v>1134</v>
      </c>
      <c r="M433" s="41">
        <v>41339</v>
      </c>
      <c r="N433" s="40" t="s">
        <v>110</v>
      </c>
      <c r="O433" s="42">
        <f t="shared" si="18"/>
        <v>42644</v>
      </c>
      <c r="P433" s="40">
        <v>29</v>
      </c>
      <c r="Q433" s="120">
        <f>'[3]JCPL LP_GSCMMS'!G19</f>
        <v>41.436092419509329</v>
      </c>
      <c r="R433" s="120">
        <f>'[3]JCPL LP_GSCMMS'!H19</f>
        <v>40.380423269445281</v>
      </c>
      <c r="S433" s="120">
        <f>'[3]JCPL LP_GSCMMS'!I19</f>
        <v>40.982415038196933</v>
      </c>
      <c r="T433" s="120">
        <f>'[3]JCPL LP_GSCMMS'!J19</f>
        <v>42.100723424114037</v>
      </c>
      <c r="U433" s="120">
        <f>'[3]JCPL LP_GSCMMS'!K19</f>
        <v>45.068978268151461</v>
      </c>
      <c r="V433" s="91"/>
    </row>
    <row r="434" spans="1:22" x14ac:dyDescent="0.2">
      <c r="A434" s="48">
        <f t="shared" si="17"/>
        <v>426</v>
      </c>
      <c r="B434" s="43">
        <v>12</v>
      </c>
      <c r="C434" s="43">
        <v>19</v>
      </c>
      <c r="D434" s="38" t="s">
        <v>582</v>
      </c>
      <c r="E434" s="44" t="s">
        <v>161</v>
      </c>
      <c r="F434" s="44" t="s">
        <v>29</v>
      </c>
      <c r="G434" s="44" t="s">
        <v>108</v>
      </c>
      <c r="H434" s="44" t="s">
        <v>33</v>
      </c>
      <c r="I434" s="44" t="s">
        <v>33</v>
      </c>
      <c r="J434" s="44" t="s">
        <v>9</v>
      </c>
      <c r="K434" s="44" t="s">
        <v>117</v>
      </c>
      <c r="L434" s="40">
        <v>1135</v>
      </c>
      <c r="M434" s="41">
        <v>41339</v>
      </c>
      <c r="N434" s="40" t="s">
        <v>110</v>
      </c>
      <c r="O434" s="42">
        <f t="shared" si="18"/>
        <v>42644</v>
      </c>
      <c r="P434" s="40">
        <v>29</v>
      </c>
      <c r="Q434" s="120">
        <f>'[3]JCPL LP_GSCSMS'!G19</f>
        <v>41.436092419509329</v>
      </c>
      <c r="R434" s="120">
        <f>'[3]JCPL LP_GSCSMS'!H19</f>
        <v>40.380423269445281</v>
      </c>
      <c r="S434" s="120">
        <f>'[3]JCPL LP_GSCSMS'!I19</f>
        <v>40.982415038196933</v>
      </c>
      <c r="T434" s="120">
        <f>'[3]JCPL LP_GSCSMS'!J19</f>
        <v>42.100723424114037</v>
      </c>
      <c r="U434" s="120">
        <f>'[3]JCPL LP_GSCSMS'!K19</f>
        <v>45.068978268151461</v>
      </c>
      <c r="V434" s="91"/>
    </row>
    <row r="435" spans="1:22" x14ac:dyDescent="0.2">
      <c r="A435" s="48">
        <f t="shared" si="17"/>
        <v>427</v>
      </c>
      <c r="B435" s="43">
        <v>12</v>
      </c>
      <c r="C435" s="43">
        <v>20</v>
      </c>
      <c r="D435" s="38" t="s">
        <v>583</v>
      </c>
      <c r="E435" s="44" t="s">
        <v>163</v>
      </c>
      <c r="F435" s="44" t="s">
        <v>5</v>
      </c>
      <c r="G435" s="44" t="s">
        <v>108</v>
      </c>
      <c r="H435" s="44" t="s">
        <v>164</v>
      </c>
      <c r="I435" s="44" t="s">
        <v>165</v>
      </c>
      <c r="J435" s="44" t="s">
        <v>7</v>
      </c>
      <c r="K435" s="44" t="s">
        <v>123</v>
      </c>
      <c r="L435" s="40">
        <v>1137</v>
      </c>
      <c r="M435" s="41">
        <v>41339</v>
      </c>
      <c r="N435" s="40" t="s">
        <v>110</v>
      </c>
      <c r="O435" s="42">
        <f t="shared" si="18"/>
        <v>42644</v>
      </c>
      <c r="P435" s="40">
        <v>29</v>
      </c>
      <c r="Q435" s="120">
        <f>'[3]MetEd RC_GSLFMS'!G19</f>
        <v>25.12567259378287</v>
      </c>
      <c r="R435" s="120">
        <f>'[3]MetEd RC_GSLFMS'!H19</f>
        <v>20.94589068473185</v>
      </c>
      <c r="S435" s="120">
        <f>'[3]MetEd RC_GSLFMS'!I19</f>
        <v>22.234341609005693</v>
      </c>
      <c r="T435" s="120">
        <f>'[3]MetEd RC_GSLFMS'!J19</f>
        <v>21.782756643672219</v>
      </c>
      <c r="U435" s="120">
        <f>'[3]MetEd RC_GSLFMS'!K19</f>
        <v>23.862539840151513</v>
      </c>
      <c r="V435" s="91"/>
    </row>
    <row r="436" spans="1:22" x14ac:dyDescent="0.2">
      <c r="A436" s="48">
        <f t="shared" si="17"/>
        <v>428</v>
      </c>
      <c r="B436" s="43">
        <v>12</v>
      </c>
      <c r="C436" s="43">
        <v>21</v>
      </c>
      <c r="D436" s="38" t="s">
        <v>584</v>
      </c>
      <c r="E436" s="44" t="s">
        <v>167</v>
      </c>
      <c r="F436" s="44" t="s">
        <v>5</v>
      </c>
      <c r="G436" s="44" t="s">
        <v>108</v>
      </c>
      <c r="H436" s="44" t="s">
        <v>164</v>
      </c>
      <c r="I436" s="44" t="s">
        <v>165</v>
      </c>
      <c r="J436" s="44" t="s">
        <v>8</v>
      </c>
      <c r="K436" s="44" t="s">
        <v>120</v>
      </c>
      <c r="L436" s="40">
        <v>1136</v>
      </c>
      <c r="M436" s="41">
        <v>41339</v>
      </c>
      <c r="N436" s="40" t="s">
        <v>110</v>
      </c>
      <c r="O436" s="42">
        <f t="shared" si="18"/>
        <v>42644</v>
      </c>
      <c r="P436" s="40">
        <v>29</v>
      </c>
      <c r="Q436" s="120">
        <f>'[3]MetEd RC_GSDFMS'!G19</f>
        <v>26.260123463170611</v>
      </c>
      <c r="R436" s="120">
        <f>'[3]MetEd RC_GSDFMS'!H19</f>
        <v>22.141276015911696</v>
      </c>
      <c r="S436" s="120">
        <f>'[3]MetEd RC_GSDFMS'!I19</f>
        <v>23.419624840924989</v>
      </c>
      <c r="T436" s="120">
        <f>'[3]MetEd RC_GSDFMS'!J19</f>
        <v>22.947569663390784</v>
      </c>
      <c r="U436" s="120">
        <f>'[3]MetEd RC_GSDFMS'!K19</f>
        <v>25.027999184522344</v>
      </c>
      <c r="V436" s="91"/>
    </row>
    <row r="437" spans="1:22" x14ac:dyDescent="0.2">
      <c r="A437" s="48">
        <f t="shared" si="17"/>
        <v>429</v>
      </c>
      <c r="B437" s="43">
        <v>12</v>
      </c>
      <c r="C437" s="43">
        <v>22</v>
      </c>
      <c r="D437" s="38" t="s">
        <v>585</v>
      </c>
      <c r="E437" s="44" t="s">
        <v>169</v>
      </c>
      <c r="F437" s="44" t="s">
        <v>5</v>
      </c>
      <c r="G437" s="44" t="s">
        <v>108</v>
      </c>
      <c r="H437" s="44" t="s">
        <v>164</v>
      </c>
      <c r="I437" s="44" t="s">
        <v>165</v>
      </c>
      <c r="J437" s="44" t="s">
        <v>9</v>
      </c>
      <c r="K437" s="44" t="s">
        <v>117</v>
      </c>
      <c r="L437" s="40">
        <v>1138</v>
      </c>
      <c r="M437" s="41">
        <v>41339</v>
      </c>
      <c r="N437" s="40" t="s">
        <v>110</v>
      </c>
      <c r="O437" s="42">
        <f t="shared" si="18"/>
        <v>42644</v>
      </c>
      <c r="P437" s="40">
        <v>29</v>
      </c>
      <c r="Q437" s="120">
        <f>'[3]MetEd RC_GSSFMS'!G19</f>
        <v>24.725779332080968</v>
      </c>
      <c r="R437" s="120">
        <f>'[3]MetEd RC_GSSFMS'!H19</f>
        <v>22.099755640004165</v>
      </c>
      <c r="S437" s="120">
        <f>'[3]MetEd RC_GSSFMS'!I19</f>
        <v>22.983315202257799</v>
      </c>
      <c r="T437" s="120">
        <f>'[3]MetEd RC_GSSFMS'!J19</f>
        <v>22.855246078568534</v>
      </c>
      <c r="U437" s="120">
        <f>'[3]MetEd RC_GSSFMS'!K19</f>
        <v>24.941901451853379</v>
      </c>
      <c r="V437" s="91"/>
    </row>
    <row r="438" spans="1:22" x14ac:dyDescent="0.2">
      <c r="A438" s="48">
        <f t="shared" si="17"/>
        <v>430</v>
      </c>
      <c r="B438" s="43">
        <v>12</v>
      </c>
      <c r="C438" s="43">
        <v>23</v>
      </c>
      <c r="D438" s="38" t="s">
        <v>586</v>
      </c>
      <c r="E438" s="44" t="s">
        <v>171</v>
      </c>
      <c r="F438" s="44" t="s">
        <v>5</v>
      </c>
      <c r="G438" s="44" t="s">
        <v>108</v>
      </c>
      <c r="H438" s="44" t="s">
        <v>11</v>
      </c>
      <c r="I438" s="44" t="s">
        <v>11</v>
      </c>
      <c r="J438" s="44" t="s">
        <v>6</v>
      </c>
      <c r="K438" s="44" t="s">
        <v>128</v>
      </c>
      <c r="L438" s="40">
        <v>1139</v>
      </c>
      <c r="M438" s="41">
        <v>41339</v>
      </c>
      <c r="N438" s="40" t="s">
        <v>110</v>
      </c>
      <c r="O438" s="42">
        <f t="shared" si="18"/>
        <v>42644</v>
      </c>
      <c r="P438" s="40">
        <v>29</v>
      </c>
      <c r="Q438" s="120">
        <f>'[3]PECO LP_GSMS'!G19</f>
        <v>30.858169927159757</v>
      </c>
      <c r="R438" s="120">
        <f>'[3]PECO LP_GSMS'!H19</f>
        <v>25.692398601722026</v>
      </c>
      <c r="S438" s="120">
        <f>'[3]PECO LP_GSMS'!I19</f>
        <v>27.137717951943301</v>
      </c>
      <c r="T438" s="120">
        <f>'[3]PECO LP_GSMS'!J19</f>
        <v>27.032691895489588</v>
      </c>
      <c r="U438" s="120">
        <f>'[3]PECO LP_GSMS'!K19</f>
        <v>29.863783128770805</v>
      </c>
      <c r="V438" s="91"/>
    </row>
    <row r="439" spans="1:22" x14ac:dyDescent="0.2">
      <c r="A439" s="48">
        <f t="shared" si="17"/>
        <v>431</v>
      </c>
      <c r="B439" s="43">
        <v>12</v>
      </c>
      <c r="C439" s="43">
        <v>24</v>
      </c>
      <c r="D439" s="38" t="s">
        <v>587</v>
      </c>
      <c r="E439" s="44" t="s">
        <v>173</v>
      </c>
      <c r="F439" s="44" t="s">
        <v>5</v>
      </c>
      <c r="G439" s="44" t="s">
        <v>108</v>
      </c>
      <c r="H439" s="44" t="s">
        <v>10</v>
      </c>
      <c r="I439" s="44" t="s">
        <v>174</v>
      </c>
      <c r="J439" s="44" t="s">
        <v>7</v>
      </c>
      <c r="K439" s="44" t="s">
        <v>123</v>
      </c>
      <c r="L439" s="40">
        <v>1140</v>
      </c>
      <c r="M439" s="41">
        <v>41339</v>
      </c>
      <c r="N439" s="40" t="s">
        <v>110</v>
      </c>
      <c r="O439" s="42">
        <f t="shared" si="18"/>
        <v>42644</v>
      </c>
      <c r="P439" s="40">
        <v>29</v>
      </c>
      <c r="Q439" s="120">
        <f>'[3]Penelec RC_GSLFMS'!G19</f>
        <v>25.895076762997643</v>
      </c>
      <c r="R439" s="120">
        <f>'[3]Penelec RC_GSLFMS'!H19</f>
        <v>25.596348481263647</v>
      </c>
      <c r="S439" s="120">
        <f>'[3]Penelec RC_GSLFMS'!I19</f>
        <v>25.701456247347377</v>
      </c>
      <c r="T439" s="120">
        <f>'[3]Penelec RC_GSLFMS'!J19</f>
        <v>25.948711248120706</v>
      </c>
      <c r="U439" s="120">
        <f>'[3]Penelec RC_GSLFMS'!K19</f>
        <v>27.643153629046164</v>
      </c>
      <c r="V439" s="91"/>
    </row>
    <row r="440" spans="1:22" x14ac:dyDescent="0.2">
      <c r="A440" s="48">
        <f t="shared" si="17"/>
        <v>432</v>
      </c>
      <c r="B440" s="43">
        <v>12</v>
      </c>
      <c r="C440" s="43">
        <v>25</v>
      </c>
      <c r="D440" s="38" t="s">
        <v>588</v>
      </c>
      <c r="E440" s="44" t="s">
        <v>176</v>
      </c>
      <c r="F440" s="44" t="s">
        <v>5</v>
      </c>
      <c r="G440" s="44" t="s">
        <v>108</v>
      </c>
      <c r="H440" s="44" t="s">
        <v>10</v>
      </c>
      <c r="I440" s="44" t="s">
        <v>174</v>
      </c>
      <c r="J440" s="44" t="s">
        <v>8</v>
      </c>
      <c r="K440" s="44" t="s">
        <v>120</v>
      </c>
      <c r="L440" s="40">
        <v>1141</v>
      </c>
      <c r="M440" s="41">
        <v>41339</v>
      </c>
      <c r="N440" s="40" t="s">
        <v>110</v>
      </c>
      <c r="O440" s="42">
        <f t="shared" si="18"/>
        <v>42644</v>
      </c>
      <c r="P440" s="40">
        <v>29</v>
      </c>
      <c r="Q440" s="120">
        <f>'[3]Penelec RC_GSMFMS'!G19</f>
        <v>26.759237250035131</v>
      </c>
      <c r="R440" s="120">
        <f>'[3]Penelec RC_GSMFMS'!H19</f>
        <v>26.707342136998832</v>
      </c>
      <c r="S440" s="120">
        <f>'[3]Penelec RC_GSMFMS'!I19</f>
        <v>26.719381327767053</v>
      </c>
      <c r="T440" s="120">
        <f>'[3]Penelec RC_GSMFMS'!J19</f>
        <v>27.048677082915368</v>
      </c>
      <c r="U440" s="120">
        <f>'[3]Penelec RC_GSMFMS'!K19</f>
        <v>28.742988949177349</v>
      </c>
      <c r="V440" s="91"/>
    </row>
    <row r="441" spans="1:22" x14ac:dyDescent="0.2">
      <c r="A441" s="48">
        <f t="shared" si="17"/>
        <v>433</v>
      </c>
      <c r="B441" s="43">
        <v>12</v>
      </c>
      <c r="C441" s="43">
        <v>26</v>
      </c>
      <c r="D441" s="38" t="s">
        <v>589</v>
      </c>
      <c r="E441" s="44" t="s">
        <v>178</v>
      </c>
      <c r="F441" s="44" t="s">
        <v>5</v>
      </c>
      <c r="G441" s="44" t="s">
        <v>108</v>
      </c>
      <c r="H441" s="44" t="s">
        <v>10</v>
      </c>
      <c r="I441" s="44" t="s">
        <v>174</v>
      </c>
      <c r="J441" s="44" t="s">
        <v>9</v>
      </c>
      <c r="K441" s="44" t="s">
        <v>117</v>
      </c>
      <c r="L441" s="40">
        <v>1142</v>
      </c>
      <c r="M441" s="41">
        <v>41339</v>
      </c>
      <c r="N441" s="40" t="s">
        <v>110</v>
      </c>
      <c r="O441" s="42">
        <f t="shared" si="18"/>
        <v>42644</v>
      </c>
      <c r="P441" s="40">
        <v>29</v>
      </c>
      <c r="Q441" s="120">
        <f>'[3]Penelec RC_GSSFMS'!G19</f>
        <v>23.468087710376061</v>
      </c>
      <c r="R441" s="120">
        <f>'[3]Penelec RC_GSSFMS'!H19</f>
        <v>26.719687330921762</v>
      </c>
      <c r="S441" s="120">
        <f>'[3]Penelec RC_GSSFMS'!I19</f>
        <v>25.503699359627639</v>
      </c>
      <c r="T441" s="120">
        <f>'[3]Penelec RC_GSSFMS'!J19</f>
        <v>27.043087849450878</v>
      </c>
      <c r="U441" s="120">
        <f>'[3]Penelec RC_GSSFMS'!K19</f>
        <v>28.74560706892246</v>
      </c>
      <c r="V441" s="91"/>
    </row>
    <row r="442" spans="1:22" x14ac:dyDescent="0.2">
      <c r="A442" s="48">
        <f t="shared" si="17"/>
        <v>434</v>
      </c>
      <c r="B442" s="43">
        <v>12</v>
      </c>
      <c r="C442" s="43">
        <v>27</v>
      </c>
      <c r="D442" s="38" t="s">
        <v>590</v>
      </c>
      <c r="E442" s="44" t="s">
        <v>180</v>
      </c>
      <c r="F442" s="44" t="s">
        <v>5</v>
      </c>
      <c r="G442" s="44" t="s">
        <v>108</v>
      </c>
      <c r="H442" s="44" t="s">
        <v>91</v>
      </c>
      <c r="I442" s="44" t="s">
        <v>181</v>
      </c>
      <c r="J442" s="44" t="s">
        <v>6</v>
      </c>
      <c r="K442" s="44" t="s">
        <v>128</v>
      </c>
      <c r="L442" s="40">
        <v>1143</v>
      </c>
      <c r="M442" s="41">
        <v>41339</v>
      </c>
      <c r="N442" s="40" t="s">
        <v>110</v>
      </c>
      <c r="O442" s="42">
        <f t="shared" si="18"/>
        <v>42644</v>
      </c>
      <c r="P442" s="40">
        <v>29</v>
      </c>
      <c r="Q442" s="120">
        <f>'[3]Penn Power RC_GMDMS'!G19</f>
        <v>31.761167379530999</v>
      </c>
      <c r="R442" s="120">
        <f>'[3]Penn Power RC_GMDMS'!H19</f>
        <v>33.334010167565154</v>
      </c>
      <c r="S442" s="120">
        <f>'[3]Penn Power RC_GMDMS'!I19</f>
        <v>33.57834194430896</v>
      </c>
      <c r="T442" s="120">
        <f>'[3]Penn Power RC_GMDMS'!J19</f>
        <v>34.452575511998639</v>
      </c>
      <c r="U442" s="120">
        <f>'[3]Penn Power RC_GMDMS'!K19</f>
        <v>36.323477637012743</v>
      </c>
      <c r="V442" s="91"/>
    </row>
    <row r="443" spans="1:22" x14ac:dyDescent="0.2">
      <c r="A443" s="48">
        <f t="shared" si="17"/>
        <v>435</v>
      </c>
      <c r="B443" s="43">
        <v>12</v>
      </c>
      <c r="C443" s="43">
        <v>28</v>
      </c>
      <c r="D443" s="38" t="s">
        <v>591</v>
      </c>
      <c r="E443" s="44" t="s">
        <v>183</v>
      </c>
      <c r="F443" s="44" t="s">
        <v>37</v>
      </c>
      <c r="G443" s="44" t="s">
        <v>108</v>
      </c>
      <c r="H443" s="44" t="s">
        <v>42</v>
      </c>
      <c r="I443" s="44" t="s">
        <v>42</v>
      </c>
      <c r="J443" s="44" t="s">
        <v>6</v>
      </c>
      <c r="K443" s="44" t="s">
        <v>128</v>
      </c>
      <c r="L443" s="40">
        <v>1144</v>
      </c>
      <c r="M443" s="41">
        <v>41339</v>
      </c>
      <c r="N443" s="40" t="s">
        <v>110</v>
      </c>
      <c r="O443" s="42">
        <f t="shared" si="18"/>
        <v>42644</v>
      </c>
      <c r="P443" s="40">
        <v>29</v>
      </c>
      <c r="Q443" s="120">
        <f>'[3]PEPCO MD LP_MDNDMS'!G19</f>
        <v>34.675436106007211</v>
      </c>
      <c r="R443" s="120">
        <f>'[3]PEPCO MD LP_MDNDMS'!H19</f>
        <v>34.802348698592745</v>
      </c>
      <c r="S443" s="120">
        <f>'[3]PEPCO MD LP_MDNDMS'!I19</f>
        <v>34.760919100900431</v>
      </c>
      <c r="T443" s="120">
        <f>'[3]PEPCO MD LP_MDNDMS'!J19</f>
        <v>35.053398513039774</v>
      </c>
      <c r="U443" s="120">
        <f>'[3]PEPCO MD LP_MDNDMS'!K19</f>
        <v>36.605392741137273</v>
      </c>
      <c r="V443" s="91"/>
    </row>
    <row r="444" spans="1:22" x14ac:dyDescent="0.2">
      <c r="A444" s="48">
        <f t="shared" si="17"/>
        <v>436</v>
      </c>
      <c r="B444" s="43">
        <v>12</v>
      </c>
      <c r="C444" s="43">
        <v>29</v>
      </c>
      <c r="D444" s="38" t="s">
        <v>592</v>
      </c>
      <c r="E444" s="44" t="s">
        <v>185</v>
      </c>
      <c r="F444" s="44" t="s">
        <v>37</v>
      </c>
      <c r="G444" s="44" t="s">
        <v>108</v>
      </c>
      <c r="H444" s="44" t="s">
        <v>42</v>
      </c>
      <c r="I444" s="44" t="s">
        <v>42</v>
      </c>
      <c r="J444" s="44" t="s">
        <v>43</v>
      </c>
      <c r="K444" s="44" t="s">
        <v>186</v>
      </c>
      <c r="L444" s="40">
        <v>1145</v>
      </c>
      <c r="M444" s="41">
        <v>41339</v>
      </c>
      <c r="N444" s="40" t="s">
        <v>110</v>
      </c>
      <c r="O444" s="42">
        <f t="shared" si="18"/>
        <v>42644</v>
      </c>
      <c r="P444" s="40">
        <v>29</v>
      </c>
      <c r="Q444" s="120">
        <f>'[3]PEPCO MD LP_MMGTL2AMS'!G19</f>
        <v>35.459417867365403</v>
      </c>
      <c r="R444" s="120">
        <f>'[3]PEPCO MD LP_MMGTL2AMS'!H19</f>
        <v>33.772793766012988</v>
      </c>
      <c r="S444" s="120">
        <f>'[3]PEPCO MD LP_MMGTL2AMS'!I19</f>
        <v>34.291055739077258</v>
      </c>
      <c r="T444" s="120">
        <f>'[3]PEPCO MD LP_MMGTL2AMS'!J19</f>
        <v>34.023807467831958</v>
      </c>
      <c r="U444" s="120">
        <f>'[3]PEPCO MD LP_MMGTL2AMS'!K19</f>
        <v>35.5506472679495</v>
      </c>
      <c r="V444" s="91"/>
    </row>
    <row r="445" spans="1:22" x14ac:dyDescent="0.2">
      <c r="A445" s="48">
        <f t="shared" si="17"/>
        <v>437</v>
      </c>
      <c r="B445" s="43">
        <v>12</v>
      </c>
      <c r="C445" s="43">
        <v>30</v>
      </c>
      <c r="D445" s="38" t="s">
        <v>593</v>
      </c>
      <c r="E445" s="44" t="s">
        <v>188</v>
      </c>
      <c r="F445" s="44" t="s">
        <v>37</v>
      </c>
      <c r="G445" s="44" t="s">
        <v>108</v>
      </c>
      <c r="H445" s="44" t="s">
        <v>42</v>
      </c>
      <c r="I445" s="44" t="s">
        <v>42</v>
      </c>
      <c r="J445" s="44" t="s">
        <v>44</v>
      </c>
      <c r="K445" s="44" t="s">
        <v>44</v>
      </c>
      <c r="L445" s="40">
        <v>1146</v>
      </c>
      <c r="M445" s="41">
        <v>41339</v>
      </c>
      <c r="N445" s="40" t="s">
        <v>110</v>
      </c>
      <c r="O445" s="42">
        <f t="shared" si="18"/>
        <v>42644</v>
      </c>
      <c r="P445" s="40">
        <v>29</v>
      </c>
      <c r="Q445" s="120">
        <f>'[3]PEPCO MD RC_3T7MS'!G19</f>
        <v>33.883790741315359</v>
      </c>
      <c r="R445" s="120">
        <f>'[3]PEPCO MD RC_3T7MS'!H19</f>
        <v>34.57356205347606</v>
      </c>
      <c r="S445" s="120">
        <f>'[3]PEPCO MD RC_3T7MS'!I19</f>
        <v>34.490415024623921</v>
      </c>
      <c r="T445" s="120">
        <f>'[3]PEPCO MD RC_3T7MS'!J19</f>
        <v>34.93515942624618</v>
      </c>
      <c r="U445" s="120">
        <f>'[3]PEPCO MD RC_3T7MS'!K19</f>
        <v>36.530029203512981</v>
      </c>
      <c r="V445" s="91"/>
    </row>
    <row r="446" spans="1:22" x14ac:dyDescent="0.2">
      <c r="A446" s="48">
        <f t="shared" si="17"/>
        <v>438</v>
      </c>
      <c r="B446" s="43">
        <v>12</v>
      </c>
      <c r="C446" s="43">
        <v>31</v>
      </c>
      <c r="D446" s="38" t="s">
        <v>594</v>
      </c>
      <c r="E446" s="44" t="s">
        <v>190</v>
      </c>
      <c r="F446" s="44" t="s">
        <v>37</v>
      </c>
      <c r="G446" s="44" t="s">
        <v>108</v>
      </c>
      <c r="H446" s="44" t="s">
        <v>45</v>
      </c>
      <c r="I446" s="44" t="s">
        <v>45</v>
      </c>
      <c r="J446" s="44" t="s">
        <v>6</v>
      </c>
      <c r="K446" s="44" t="s">
        <v>128</v>
      </c>
      <c r="L446" s="40">
        <v>1147</v>
      </c>
      <c r="M446" s="41">
        <v>41339</v>
      </c>
      <c r="N446" s="40" t="s">
        <v>110</v>
      </c>
      <c r="O446" s="42">
        <f t="shared" si="18"/>
        <v>42644</v>
      </c>
      <c r="P446" s="40">
        <v>29</v>
      </c>
      <c r="Q446" s="120">
        <f>'[3]Potomac Edison LP_GSCM_MMS'!G19</f>
        <v>25.931059809075446</v>
      </c>
      <c r="R446" s="120">
        <f>'[3]Potomac Edison LP_GSCM_MMS'!H19</f>
        <v>28.255530590178555</v>
      </c>
      <c r="S446" s="120">
        <f>'[3]Potomac Edison LP_GSCM_MMS'!I19</f>
        <v>29.81356446601497</v>
      </c>
      <c r="T446" s="120">
        <f>'[3]Potomac Edison LP_GSCM_MMS'!J19</f>
        <v>31.072228606959875</v>
      </c>
      <c r="U446" s="120">
        <f>'[3]Potomac Edison LP_GSCM_MMS'!K19</f>
        <v>33.785819599557065</v>
      </c>
      <c r="V446" s="91"/>
    </row>
    <row r="447" spans="1:22" x14ac:dyDescent="0.2">
      <c r="A447" s="48">
        <f t="shared" si="17"/>
        <v>439</v>
      </c>
      <c r="B447" s="43">
        <v>12</v>
      </c>
      <c r="C447" s="43">
        <v>32</v>
      </c>
      <c r="D447" s="38" t="s">
        <v>595</v>
      </c>
      <c r="E447" s="44" t="s">
        <v>192</v>
      </c>
      <c r="F447" s="44" t="s">
        <v>5</v>
      </c>
      <c r="G447" s="44" t="s">
        <v>108</v>
      </c>
      <c r="H447" s="44" t="s">
        <v>12</v>
      </c>
      <c r="I447" s="44" t="s">
        <v>12</v>
      </c>
      <c r="J447" s="44" t="s">
        <v>13</v>
      </c>
      <c r="K447" s="44" t="s">
        <v>117</v>
      </c>
      <c r="L447" s="40">
        <v>1148</v>
      </c>
      <c r="M447" s="41">
        <v>41339</v>
      </c>
      <c r="N447" s="40" t="s">
        <v>110</v>
      </c>
      <c r="O447" s="42">
        <f t="shared" si="18"/>
        <v>42644</v>
      </c>
      <c r="P447" s="40">
        <v>29</v>
      </c>
      <c r="Q447" s="120">
        <f>[3]PPL_RCGS1MS!G19</f>
        <v>31.699865357041457</v>
      </c>
      <c r="R447" s="120">
        <f>[3]PPL_RCGS1MS!H19</f>
        <v>28.881264875325709</v>
      </c>
      <c r="S447" s="120">
        <f>[3]PPL_RCGS1MS!I19</f>
        <v>29.8151094319763</v>
      </c>
      <c r="T447" s="120">
        <f>[3]PPL_RCGS1MS!J19</f>
        <v>29.14003065943362</v>
      </c>
      <c r="U447" s="120">
        <f>[3]PPL_RCGS1MS!K19</f>
        <v>30.878002805754509</v>
      </c>
      <c r="V447" s="91"/>
    </row>
    <row r="448" spans="1:22" x14ac:dyDescent="0.2">
      <c r="A448" s="48">
        <f t="shared" si="17"/>
        <v>440</v>
      </c>
      <c r="B448" s="43">
        <v>12</v>
      </c>
      <c r="C448" s="43">
        <v>33</v>
      </c>
      <c r="D448" s="38" t="s">
        <v>596</v>
      </c>
      <c r="E448" s="44" t="s">
        <v>194</v>
      </c>
      <c r="F448" s="44" t="s">
        <v>5</v>
      </c>
      <c r="G448" s="44" t="s">
        <v>108</v>
      </c>
      <c r="H448" s="44" t="s">
        <v>12</v>
      </c>
      <c r="I448" s="44" t="s">
        <v>12</v>
      </c>
      <c r="J448" s="44" t="s">
        <v>14</v>
      </c>
      <c r="K448" s="44" t="s">
        <v>123</v>
      </c>
      <c r="L448" s="40">
        <v>1149</v>
      </c>
      <c r="M448" s="41">
        <v>41339</v>
      </c>
      <c r="N448" s="40" t="s">
        <v>110</v>
      </c>
      <c r="O448" s="42">
        <f t="shared" si="18"/>
        <v>42644</v>
      </c>
      <c r="P448" s="40">
        <v>29</v>
      </c>
      <c r="Q448" s="120">
        <f>[3]PPL_RCGS3MS!G19</f>
        <v>33.046621281693398</v>
      </c>
      <c r="R448" s="120">
        <f>[3]PPL_RCGS3MS!H19</f>
        <v>28.788487448168574</v>
      </c>
      <c r="S448" s="120">
        <f>[3]PPL_RCGS3MS!I19</f>
        <v>30.160434039898867</v>
      </c>
      <c r="T448" s="120">
        <f>[3]PPL_RCGS3MS!J19</f>
        <v>29.150641181366172</v>
      </c>
      <c r="U448" s="120">
        <f>[3]PPL_RCGS3MS!K19</f>
        <v>30.914938125681651</v>
      </c>
      <c r="V448" s="91"/>
    </row>
    <row r="449" spans="1:22" x14ac:dyDescent="0.2">
      <c r="A449" s="48">
        <f t="shared" si="17"/>
        <v>441</v>
      </c>
      <c r="B449" s="43">
        <v>12</v>
      </c>
      <c r="C449" s="43">
        <v>34</v>
      </c>
      <c r="D449" s="38" t="s">
        <v>597</v>
      </c>
      <c r="E449" s="44" t="s">
        <v>196</v>
      </c>
      <c r="F449" s="44" t="s">
        <v>29</v>
      </c>
      <c r="G449" s="44" t="s">
        <v>108</v>
      </c>
      <c r="H449" s="44" t="s">
        <v>34</v>
      </c>
      <c r="I449" s="44" t="s">
        <v>34</v>
      </c>
      <c r="J449" s="44" t="s">
        <v>35</v>
      </c>
      <c r="K449" s="44" t="s">
        <v>197</v>
      </c>
      <c r="L449" s="40">
        <v>1150</v>
      </c>
      <c r="M449" s="41">
        <v>41339</v>
      </c>
      <c r="N449" s="40" t="s">
        <v>110</v>
      </c>
      <c r="O449" s="42">
        <f t="shared" si="18"/>
        <v>42644</v>
      </c>
      <c r="P449" s="40">
        <v>29</v>
      </c>
      <c r="Q449" s="120">
        <f>'[3]PSEG LP_GLP_MMS'!G19</f>
        <v>62.736628239092866</v>
      </c>
      <c r="R449" s="120">
        <f>'[3]PSEG LP_GLP_MMS'!H19</f>
        <v>58.464943752865835</v>
      </c>
      <c r="S449" s="120">
        <f>'[3]PSEG LP_GLP_MMS'!I19</f>
        <v>60.021781989323898</v>
      </c>
      <c r="T449" s="120">
        <f>'[3]PSEG LP_GLP_MMS'!J19</f>
        <v>59.02814277538301</v>
      </c>
      <c r="U449" s="120">
        <f>'[3]PSEG LP_GLP_MMS'!K19</f>
        <v>60.49530818848546</v>
      </c>
      <c r="V449" s="91"/>
    </row>
    <row r="450" spans="1:22" x14ac:dyDescent="0.2">
      <c r="A450" s="48">
        <f t="shared" si="17"/>
        <v>442</v>
      </c>
      <c r="B450" s="43">
        <v>12</v>
      </c>
      <c r="C450" s="43">
        <v>35</v>
      </c>
      <c r="D450" s="38" t="s">
        <v>598</v>
      </c>
      <c r="E450" s="44" t="s">
        <v>199</v>
      </c>
      <c r="F450" s="44" t="s">
        <v>29</v>
      </c>
      <c r="G450" s="44" t="s">
        <v>108</v>
      </c>
      <c r="H450" s="44" t="s">
        <v>34</v>
      </c>
      <c r="I450" s="44" t="s">
        <v>34</v>
      </c>
      <c r="J450" s="44" t="s">
        <v>36</v>
      </c>
      <c r="K450" s="44" t="s">
        <v>200</v>
      </c>
      <c r="L450" s="40">
        <v>1151</v>
      </c>
      <c r="M450" s="41">
        <v>41339</v>
      </c>
      <c r="N450" s="40" t="s">
        <v>110</v>
      </c>
      <c r="O450" s="42">
        <f t="shared" si="18"/>
        <v>42644</v>
      </c>
      <c r="P450" s="40">
        <v>29</v>
      </c>
      <c r="Q450" s="120">
        <f>'[3]PSEG LP_LPLMS'!G19</f>
        <v>62.09832583320992</v>
      </c>
      <c r="R450" s="120">
        <f>'[3]PSEG LP_LPLMS'!H19</f>
        <v>57.676462582876162</v>
      </c>
      <c r="S450" s="120">
        <f>'[3]PSEG LP_LPLMS'!I19</f>
        <v>59.27038855725845</v>
      </c>
      <c r="T450" s="120">
        <f>'[3]PSEG LP_LPLMS'!J19</f>
        <v>58.239187491259436</v>
      </c>
      <c r="U450" s="120">
        <f>'[3]PSEG LP_LPLMS'!K19</f>
        <v>59.704744176200521</v>
      </c>
      <c r="V450" s="91"/>
    </row>
    <row r="451" spans="1:22" x14ac:dyDescent="0.2">
      <c r="A451" s="48">
        <f t="shared" si="17"/>
        <v>443</v>
      </c>
      <c r="B451" s="43">
        <v>12</v>
      </c>
      <c r="C451" s="43">
        <v>36</v>
      </c>
      <c r="D451" s="38" t="s">
        <v>599</v>
      </c>
      <c r="E451" s="44" t="s">
        <v>202</v>
      </c>
      <c r="F451" s="44" t="s">
        <v>5</v>
      </c>
      <c r="G451" s="44" t="s">
        <v>108</v>
      </c>
      <c r="H451" s="44" t="s">
        <v>15</v>
      </c>
      <c r="I451" s="44" t="s">
        <v>203</v>
      </c>
      <c r="J451" s="44" t="s">
        <v>16</v>
      </c>
      <c r="K451" s="44" t="s">
        <v>128</v>
      </c>
      <c r="L451" s="40">
        <v>1152</v>
      </c>
      <c r="M451" s="41">
        <v>41339</v>
      </c>
      <c r="N451" s="40" t="s">
        <v>110</v>
      </c>
      <c r="O451" s="42">
        <f t="shared" si="18"/>
        <v>42644</v>
      </c>
      <c r="P451" s="40">
        <v>29</v>
      </c>
      <c r="Q451" s="120">
        <f>'[3]West Penn Power LP_GSCMMS'!G19</f>
        <v>26.353957732301353</v>
      </c>
      <c r="R451" s="120">
        <f>'[3]West Penn Power LP_GSCMMS'!H19</f>
        <v>28.389179492628074</v>
      </c>
      <c r="S451" s="120">
        <f>'[3]West Penn Power LP_GSCMMS'!I19</f>
        <v>29.854077477709346</v>
      </c>
      <c r="T451" s="120">
        <f>'[3]West Penn Power LP_GSCMMS'!J19</f>
        <v>30.905084317239449</v>
      </c>
      <c r="U451" s="120">
        <f>'[3]West Penn Power LP_GSCMMS'!K19</f>
        <v>33.363319694492333</v>
      </c>
      <c r="V451" s="91"/>
    </row>
    <row r="452" spans="1:22" x14ac:dyDescent="0.2">
      <c r="A452" s="48">
        <f t="shared" si="17"/>
        <v>444</v>
      </c>
      <c r="B452" s="20"/>
      <c r="C452" s="20"/>
      <c r="D452" s="20"/>
      <c r="Q452" s="121"/>
      <c r="R452" s="121"/>
      <c r="S452" s="121"/>
      <c r="T452" s="121"/>
      <c r="U452" s="121"/>
    </row>
    <row r="453" spans="1:22" x14ac:dyDescent="0.2">
      <c r="A453" s="48">
        <f t="shared" si="17"/>
        <v>445</v>
      </c>
      <c r="B453" s="43">
        <v>13</v>
      </c>
      <c r="C453" s="43">
        <v>1</v>
      </c>
      <c r="D453" s="38" t="s">
        <v>600</v>
      </c>
      <c r="E453" s="44" t="s">
        <v>107</v>
      </c>
      <c r="F453" s="44" t="s">
        <v>29</v>
      </c>
      <c r="G453" s="44" t="s">
        <v>108</v>
      </c>
      <c r="H453" s="44" t="s">
        <v>30</v>
      </c>
      <c r="I453" s="44" t="s">
        <v>30</v>
      </c>
      <c r="J453" s="44" t="s">
        <v>31</v>
      </c>
      <c r="K453" s="44" t="s">
        <v>109</v>
      </c>
      <c r="L453" s="40">
        <v>1117</v>
      </c>
      <c r="M453" s="41">
        <v>41339</v>
      </c>
      <c r="N453" s="40" t="s">
        <v>110</v>
      </c>
      <c r="O453" s="42"/>
      <c r="P453" s="40"/>
      <c r="Q453" s="120">
        <f>'[3]AECO LP_10V1_SMS'!G20</f>
        <v>56.030707635713256</v>
      </c>
      <c r="R453" s="120">
        <f>'[3]AECO LP_10V1_SMS'!H20</f>
        <v>47.615365463102997</v>
      </c>
      <c r="S453" s="120">
        <f>'[3]AECO LP_10V1_SMS'!I20</f>
        <v>49.542918691988469</v>
      </c>
      <c r="T453" s="120">
        <f>'[3]AECO LP_10V1_SMS'!J20</f>
        <v>48.261955761461238</v>
      </c>
      <c r="U453" s="120">
        <f>'[3]AECO LP_10V1_SMS'!K20</f>
        <v>50.16997415809071</v>
      </c>
      <c r="V453" s="91"/>
    </row>
    <row r="454" spans="1:22" x14ac:dyDescent="0.2">
      <c r="A454" s="48">
        <f t="shared" si="17"/>
        <v>446</v>
      </c>
      <c r="B454" s="43">
        <v>13</v>
      </c>
      <c r="C454" s="43">
        <v>2</v>
      </c>
      <c r="D454" s="38" t="s">
        <v>601</v>
      </c>
      <c r="E454" s="44" t="s">
        <v>112</v>
      </c>
      <c r="F454" s="44" t="s">
        <v>29</v>
      </c>
      <c r="G454" s="44" t="s">
        <v>108</v>
      </c>
      <c r="H454" s="44" t="s">
        <v>30</v>
      </c>
      <c r="I454" s="44" t="s">
        <v>30</v>
      </c>
      <c r="J454" s="44" t="s">
        <v>32</v>
      </c>
      <c r="K454" s="44" t="s">
        <v>113</v>
      </c>
      <c r="L454" s="40">
        <v>1118</v>
      </c>
      <c r="M454" s="41">
        <v>41339</v>
      </c>
      <c r="N454" s="40" t="s">
        <v>110</v>
      </c>
      <c r="O454" s="42"/>
      <c r="P454" s="40"/>
      <c r="Q454" s="120">
        <f>'[3]AECO LP_14V1_MMS'!G20</f>
        <v>53.177659048275807</v>
      </c>
      <c r="R454" s="120">
        <f>'[3]AECO LP_14V1_MMS'!H20</f>
        <v>47.544605010433848</v>
      </c>
      <c r="S454" s="120">
        <f>'[3]AECO LP_14V1_MMS'!I20</f>
        <v>47.858545804903258</v>
      </c>
      <c r="T454" s="120">
        <f>'[3]AECO LP_14V1_MMS'!J20</f>
        <v>46.195394228374418</v>
      </c>
      <c r="U454" s="120">
        <f>'[3]AECO LP_14V1_MMS'!K20</f>
        <v>46.996742537855546</v>
      </c>
      <c r="V454" s="91"/>
    </row>
    <row r="455" spans="1:22" x14ac:dyDescent="0.2">
      <c r="A455" s="48">
        <f t="shared" si="17"/>
        <v>447</v>
      </c>
      <c r="B455" s="43">
        <v>13</v>
      </c>
      <c r="C455" s="43">
        <v>3</v>
      </c>
      <c r="D455" s="38" t="s">
        <v>602</v>
      </c>
      <c r="E455" s="44" t="s">
        <v>115</v>
      </c>
      <c r="F455" s="44" t="s">
        <v>18</v>
      </c>
      <c r="G455" s="44" t="s">
        <v>108</v>
      </c>
      <c r="H455" s="44" t="s">
        <v>61</v>
      </c>
      <c r="I455" s="44" t="s">
        <v>116</v>
      </c>
      <c r="J455" s="44" t="s">
        <v>13</v>
      </c>
      <c r="K455" s="44" t="s">
        <v>117</v>
      </c>
      <c r="L455" s="40">
        <v>1119</v>
      </c>
      <c r="M455" s="41">
        <v>41339</v>
      </c>
      <c r="N455" s="40" t="s">
        <v>110</v>
      </c>
      <c r="O455" s="42"/>
      <c r="P455" s="40"/>
      <c r="Q455" s="120">
        <f>'[3]AEP_OH_CS - test CSGS1MS'!G20</f>
        <v>19.303954955986711</v>
      </c>
      <c r="R455" s="120">
        <f>'[3]AEP_OH_CS - test CSGS1MS'!H20</f>
        <v>21.126273106068542</v>
      </c>
      <c r="S455" s="120">
        <f>'[3]AEP_OH_CS - test CSGS1MS'!I20</f>
        <v>22.494766987870673</v>
      </c>
      <c r="T455" s="120">
        <f>'[3]AEP_OH_CS - test CSGS1MS'!J20</f>
        <v>23.276857247025923</v>
      </c>
      <c r="U455" s="120">
        <f>'[3]AEP_OH_CS - test CSGS1MS'!K20</f>
        <v>25.856975608703053</v>
      </c>
      <c r="V455" s="91"/>
    </row>
    <row r="456" spans="1:22" x14ac:dyDescent="0.2">
      <c r="A456" s="48">
        <f t="shared" si="17"/>
        <v>448</v>
      </c>
      <c r="B456" s="43">
        <v>13</v>
      </c>
      <c r="C456" s="43">
        <v>4</v>
      </c>
      <c r="D456" s="38" t="s">
        <v>603</v>
      </c>
      <c r="E456" s="44" t="s">
        <v>119</v>
      </c>
      <c r="F456" s="44" t="s">
        <v>18</v>
      </c>
      <c r="G456" s="44" t="s">
        <v>108</v>
      </c>
      <c r="H456" s="44" t="s">
        <v>61</v>
      </c>
      <c r="I456" s="44" t="s">
        <v>116</v>
      </c>
      <c r="J456" s="44" t="s">
        <v>19</v>
      </c>
      <c r="K456" s="44" t="s">
        <v>120</v>
      </c>
      <c r="L456" s="40">
        <v>1120</v>
      </c>
      <c r="M456" s="41">
        <v>41339</v>
      </c>
      <c r="N456" s="40" t="s">
        <v>110</v>
      </c>
      <c r="O456" s="42"/>
      <c r="P456" s="40"/>
      <c r="Q456" s="120">
        <f>'[3]AEP_OH_CS - test CSGS2UMS'!G20</f>
        <v>19.663635210648305</v>
      </c>
      <c r="R456" s="120">
        <f>'[3]AEP_OH_CS - test CSGS2UMS'!H20</f>
        <v>21.199179738150004</v>
      </c>
      <c r="S456" s="120">
        <f>'[3]AEP_OH_CS - test CSGS2UMS'!I20</f>
        <v>22.694745149982538</v>
      </c>
      <c r="T456" s="120">
        <f>'[3]AEP_OH_CS - test CSGS2UMS'!J20</f>
        <v>23.355139923438387</v>
      </c>
      <c r="U456" s="120">
        <f>'[3]AEP_OH_CS - test CSGS2UMS'!K20</f>
        <v>25.939970739221412</v>
      </c>
      <c r="V456" s="91"/>
    </row>
    <row r="457" spans="1:22" x14ac:dyDescent="0.2">
      <c r="A457" s="48">
        <f t="shared" si="17"/>
        <v>449</v>
      </c>
      <c r="B457" s="43">
        <v>13</v>
      </c>
      <c r="C457" s="43">
        <v>5</v>
      </c>
      <c r="D457" s="38" t="s">
        <v>604</v>
      </c>
      <c r="E457" s="44" t="s">
        <v>122</v>
      </c>
      <c r="F457" s="44" t="s">
        <v>18</v>
      </c>
      <c r="G457" s="44" t="s">
        <v>108</v>
      </c>
      <c r="H457" s="44" t="s">
        <v>61</v>
      </c>
      <c r="I457" s="44" t="s">
        <v>116</v>
      </c>
      <c r="J457" s="44" t="s">
        <v>14</v>
      </c>
      <c r="K457" s="44" t="s">
        <v>123</v>
      </c>
      <c r="L457" s="40">
        <v>1121</v>
      </c>
      <c r="M457" s="41">
        <v>41339</v>
      </c>
      <c r="N457" s="40" t="s">
        <v>110</v>
      </c>
      <c r="O457" s="42"/>
      <c r="P457" s="40"/>
      <c r="Q457" s="120">
        <f>'[3]AEP_OH_CS - test CSGS3UMS'!G20</f>
        <v>19.663635210648305</v>
      </c>
      <c r="R457" s="120">
        <f>'[3]AEP_OH_CS - test CSGS3UMS'!H20</f>
        <v>21.199179738150004</v>
      </c>
      <c r="S457" s="120">
        <f>'[3]AEP_OH_CS - test CSGS3UMS'!I20</f>
        <v>22.694745149982538</v>
      </c>
      <c r="T457" s="120">
        <f>'[3]AEP_OH_CS - test CSGS3UMS'!J20</f>
        <v>23.355139923438387</v>
      </c>
      <c r="U457" s="120">
        <f>'[3]AEP_OH_CS - test CSGS3UMS'!K20</f>
        <v>25.939970739221412</v>
      </c>
      <c r="V457" s="91"/>
    </row>
    <row r="458" spans="1:22" x14ac:dyDescent="0.2">
      <c r="A458" s="48">
        <f t="shared" si="17"/>
        <v>450</v>
      </c>
      <c r="B458" s="43">
        <v>13</v>
      </c>
      <c r="C458" s="43">
        <v>6</v>
      </c>
      <c r="D458" s="38" t="s">
        <v>605</v>
      </c>
      <c r="E458" s="44" t="s">
        <v>125</v>
      </c>
      <c r="F458" s="44" t="s">
        <v>23</v>
      </c>
      <c r="G458" s="44" t="s">
        <v>126</v>
      </c>
      <c r="H458" s="44" t="s">
        <v>127</v>
      </c>
      <c r="I458" s="44" t="s">
        <v>27</v>
      </c>
      <c r="J458" s="44" t="s">
        <v>28</v>
      </c>
      <c r="K458" s="44" t="s">
        <v>128</v>
      </c>
      <c r="L458" s="40">
        <v>1122</v>
      </c>
      <c r="M458" s="41">
        <v>41339</v>
      </c>
      <c r="N458" s="40" t="s">
        <v>110</v>
      </c>
      <c r="O458" s="42"/>
      <c r="P458" s="40"/>
      <c r="Q458" s="120">
        <f>'[3]Ameren RateZnIII LP DS2HHMS'!G20</f>
        <v>24.234763916384733</v>
      </c>
      <c r="R458" s="120">
        <f>'[3]Ameren RateZnIII LP DS2HHMS'!H20</f>
        <v>23.328294170731734</v>
      </c>
      <c r="S458" s="120">
        <f>'[3]Ameren RateZnIII LP DS2HHMS'!I20</f>
        <v>23.858503755453061</v>
      </c>
      <c r="T458" s="120">
        <f>'[3]Ameren RateZnIII LP DS2HHMS'!J20</f>
        <v>23.805727142039558</v>
      </c>
      <c r="U458" s="120">
        <f>'[3]Ameren RateZnIII LP DS2HHMS'!K20</f>
        <v>24.453798085333862</v>
      </c>
      <c r="V458" s="91"/>
    </row>
    <row r="459" spans="1:22" x14ac:dyDescent="0.2">
      <c r="A459" s="48">
        <f t="shared" ref="A459:A522" si="19">A458+1</f>
        <v>451</v>
      </c>
      <c r="B459" s="43">
        <v>13</v>
      </c>
      <c r="C459" s="43">
        <v>7</v>
      </c>
      <c r="D459" s="38" t="s">
        <v>606</v>
      </c>
      <c r="E459" s="44" t="s">
        <v>130</v>
      </c>
      <c r="F459" s="44" t="s">
        <v>37</v>
      </c>
      <c r="G459" s="44" t="s">
        <v>108</v>
      </c>
      <c r="H459" s="44" t="s">
        <v>38</v>
      </c>
      <c r="I459" s="44" t="s">
        <v>38</v>
      </c>
      <c r="J459" s="44" t="s">
        <v>40</v>
      </c>
      <c r="K459" s="44" t="s">
        <v>123</v>
      </c>
      <c r="L459" s="40">
        <v>1124</v>
      </c>
      <c r="M459" s="41">
        <v>41339</v>
      </c>
      <c r="N459" s="40" t="s">
        <v>110</v>
      </c>
      <c r="O459" s="42"/>
      <c r="P459" s="40"/>
      <c r="Q459" s="120">
        <f>'[3]BGE LP_GLMS'!G20</f>
        <v>36.524908671473121</v>
      </c>
      <c r="R459" s="120">
        <f>'[3]BGE LP_GLMS'!H20</f>
        <v>34.255926361540567</v>
      </c>
      <c r="S459" s="120">
        <f>'[3]BGE LP_GLMS'!I20</f>
        <v>34.968317871060421</v>
      </c>
      <c r="T459" s="120">
        <f>'[3]BGE LP_GLMS'!J20</f>
        <v>34.641939273946413</v>
      </c>
      <c r="U459" s="120">
        <f>'[3]BGE LP_GLMS'!K20</f>
        <v>36.576970875122512</v>
      </c>
      <c r="V459" s="91"/>
    </row>
    <row r="460" spans="1:22" x14ac:dyDescent="0.2">
      <c r="A460" s="48">
        <f t="shared" si="19"/>
        <v>452</v>
      </c>
      <c r="B460" s="43">
        <v>13</v>
      </c>
      <c r="C460" s="43">
        <v>8</v>
      </c>
      <c r="D460" s="38" t="s">
        <v>607</v>
      </c>
      <c r="E460" s="44" t="s">
        <v>132</v>
      </c>
      <c r="F460" s="44" t="s">
        <v>37</v>
      </c>
      <c r="G460" s="44" t="s">
        <v>108</v>
      </c>
      <c r="H460" s="44" t="s">
        <v>38</v>
      </c>
      <c r="I460" s="44" t="s">
        <v>38</v>
      </c>
      <c r="J460" s="44" t="s">
        <v>39</v>
      </c>
      <c r="K460" s="44" t="s">
        <v>120</v>
      </c>
      <c r="L460" s="40">
        <v>1123</v>
      </c>
      <c r="M460" s="41">
        <v>41339</v>
      </c>
      <c r="N460" s="40" t="s">
        <v>110</v>
      </c>
      <c r="O460" s="42"/>
      <c r="P460" s="40"/>
      <c r="Q460" s="120">
        <f>'[3]BGE LP_GMS'!G20</f>
        <v>35.291556147043735</v>
      </c>
      <c r="R460" s="120">
        <f>'[3]BGE LP_GMS'!H20</f>
        <v>34.322997866953649</v>
      </c>
      <c r="S460" s="120">
        <f>'[3]BGE LP_GMS'!I20</f>
        <v>34.740015975318485</v>
      </c>
      <c r="T460" s="120">
        <f>'[3]BGE LP_GMS'!J20</f>
        <v>34.77755714599185</v>
      </c>
      <c r="U460" s="120">
        <f>'[3]BGE LP_GMS'!K20</f>
        <v>36.74331073289575</v>
      </c>
      <c r="V460" s="91"/>
    </row>
    <row r="461" spans="1:22" x14ac:dyDescent="0.2">
      <c r="A461" s="48">
        <f t="shared" si="19"/>
        <v>453</v>
      </c>
      <c r="B461" s="43">
        <v>13</v>
      </c>
      <c r="C461" s="43">
        <v>9</v>
      </c>
      <c r="D461" s="38" t="s">
        <v>608</v>
      </c>
      <c r="E461" s="44" t="s">
        <v>134</v>
      </c>
      <c r="F461" s="44" t="s">
        <v>37</v>
      </c>
      <c r="G461" s="44" t="s">
        <v>108</v>
      </c>
      <c r="H461" s="44" t="s">
        <v>38</v>
      </c>
      <c r="I461" s="44" t="s">
        <v>38</v>
      </c>
      <c r="J461" s="44" t="s">
        <v>6</v>
      </c>
      <c r="K461" s="44" t="s">
        <v>117</v>
      </c>
      <c r="L461" s="40">
        <v>1125</v>
      </c>
      <c r="M461" s="41">
        <v>41339</v>
      </c>
      <c r="N461" s="40" t="s">
        <v>110</v>
      </c>
      <c r="O461" s="42"/>
      <c r="P461" s="40"/>
      <c r="Q461" s="120">
        <f>'[3]BGE LP_GSMS'!G20</f>
        <v>36.744393697603591</v>
      </c>
      <c r="R461" s="120">
        <f>'[3]BGE LP_GSMS'!H20</f>
        <v>35.270318688424595</v>
      </c>
      <c r="S461" s="120">
        <f>'[3]BGE LP_GSMS'!I20</f>
        <v>35.671444850973195</v>
      </c>
      <c r="T461" s="120">
        <f>'[3]BGE LP_GSMS'!J20</f>
        <v>35.596089759180309</v>
      </c>
      <c r="U461" s="120">
        <f>'[3]BGE LP_GSMS'!K20</f>
        <v>37.513956703020853</v>
      </c>
      <c r="V461" s="91"/>
    </row>
    <row r="462" spans="1:22" x14ac:dyDescent="0.2">
      <c r="A462" s="48">
        <f t="shared" si="19"/>
        <v>454</v>
      </c>
      <c r="B462" s="43">
        <v>13</v>
      </c>
      <c r="C462" s="43">
        <v>10</v>
      </c>
      <c r="D462" s="38" t="s">
        <v>609</v>
      </c>
      <c r="E462" s="44" t="s">
        <v>136</v>
      </c>
      <c r="F462" s="44" t="s">
        <v>23</v>
      </c>
      <c r="G462" s="44" t="s">
        <v>108</v>
      </c>
      <c r="H462" s="44" t="s">
        <v>137</v>
      </c>
      <c r="I462" s="44" t="s">
        <v>24</v>
      </c>
      <c r="J462" s="44" t="s">
        <v>25</v>
      </c>
      <c r="K462" s="44" t="s">
        <v>138</v>
      </c>
      <c r="L462" s="40">
        <v>1126</v>
      </c>
      <c r="M462" s="41">
        <v>41339</v>
      </c>
      <c r="N462" s="40" t="s">
        <v>110</v>
      </c>
      <c r="O462" s="42"/>
      <c r="P462" s="40"/>
      <c r="Q462" s="120">
        <f>'[3]ComEd - test LP_28MS'!G20</f>
        <v>29.018048318125786</v>
      </c>
      <c r="R462" s="120">
        <f>'[3]ComEd - test LP_28MS'!H20</f>
        <v>30.611074787582972</v>
      </c>
      <c r="S462" s="120">
        <f>'[3]ComEd - test LP_28MS'!I20</f>
        <v>32.141726524679846</v>
      </c>
      <c r="T462" s="120">
        <f>'[3]ComEd - test LP_28MS'!J20</f>
        <v>33.817988018534336</v>
      </c>
      <c r="U462" s="120">
        <f>'[3]ComEd - test LP_28MS'!K20</f>
        <v>36.912759848178865</v>
      </c>
      <c r="V462" s="91"/>
    </row>
    <row r="463" spans="1:22" x14ac:dyDescent="0.2">
      <c r="A463" s="48">
        <f t="shared" si="19"/>
        <v>455</v>
      </c>
      <c r="B463" s="43">
        <v>13</v>
      </c>
      <c r="C463" s="43">
        <v>11</v>
      </c>
      <c r="D463" s="38" t="s">
        <v>610</v>
      </c>
      <c r="E463" s="44" t="s">
        <v>140</v>
      </c>
      <c r="F463" s="44" t="s">
        <v>23</v>
      </c>
      <c r="G463" s="44" t="s">
        <v>108</v>
      </c>
      <c r="H463" s="44" t="s">
        <v>137</v>
      </c>
      <c r="I463" s="44" t="s">
        <v>24</v>
      </c>
      <c r="J463" s="44" t="s">
        <v>26</v>
      </c>
      <c r="K463" s="44" t="s">
        <v>141</v>
      </c>
      <c r="L463" s="40">
        <v>1127</v>
      </c>
      <c r="M463" s="41">
        <v>41339</v>
      </c>
      <c r="N463" s="40" t="s">
        <v>110</v>
      </c>
      <c r="O463" s="42"/>
      <c r="P463" s="40"/>
      <c r="Q463" s="120">
        <f>'[3]ComEd - test LP_29MS'!G20</f>
        <v>28.116744624100896</v>
      </c>
      <c r="R463" s="120">
        <f>'[3]ComEd - test LP_29MS'!H20</f>
        <v>29.692648469301993</v>
      </c>
      <c r="S463" s="120">
        <f>'[3]ComEd - test LP_29MS'!I20</f>
        <v>31.23221455307986</v>
      </c>
      <c r="T463" s="120">
        <f>'[3]ComEd - test LP_29MS'!J20</f>
        <v>32.900728655628001</v>
      </c>
      <c r="U463" s="120">
        <f>'[3]ComEd - test LP_29MS'!K20</f>
        <v>35.995064296096885</v>
      </c>
      <c r="V463" s="91"/>
    </row>
    <row r="464" spans="1:22" x14ac:dyDescent="0.2">
      <c r="A464" s="48">
        <f t="shared" si="19"/>
        <v>456</v>
      </c>
      <c r="B464" s="43">
        <v>13</v>
      </c>
      <c r="C464" s="43">
        <v>12</v>
      </c>
      <c r="D464" s="38" t="s">
        <v>611</v>
      </c>
      <c r="E464" s="44" t="s">
        <v>143</v>
      </c>
      <c r="F464" s="44" t="s">
        <v>18</v>
      </c>
      <c r="G464" s="44" t="s">
        <v>108</v>
      </c>
      <c r="H464" s="44" t="s">
        <v>94</v>
      </c>
      <c r="I464" s="44" t="s">
        <v>144</v>
      </c>
      <c r="J464" s="44" t="s">
        <v>20</v>
      </c>
      <c r="K464" s="44" t="s">
        <v>145</v>
      </c>
      <c r="L464" s="40">
        <v>1128</v>
      </c>
      <c r="M464" s="41">
        <v>41339</v>
      </c>
      <c r="N464" s="40" t="s">
        <v>110</v>
      </c>
      <c r="O464" s="42"/>
      <c r="P464" s="40"/>
      <c r="Q464" s="120">
        <f>[3]DAY_RC_843MS!G20</f>
        <v>16.93766415010483</v>
      </c>
      <c r="R464" s="120">
        <f>[3]DAY_RC_843MS!H20</f>
        <v>20.208176775187557</v>
      </c>
      <c r="S464" s="120">
        <f>[3]DAY_RC_843MS!I20</f>
        <v>20.927081851076817</v>
      </c>
      <c r="T464" s="120">
        <f>[3]DAY_RC_843MS!J20</f>
        <v>22.308095650953632</v>
      </c>
      <c r="U464" s="120">
        <f>[3]DAY_RC_843MS!K20</f>
        <v>24.779453685698602</v>
      </c>
      <c r="V464" s="91"/>
    </row>
    <row r="465" spans="1:22" x14ac:dyDescent="0.2">
      <c r="A465" s="48">
        <f t="shared" si="19"/>
        <v>457</v>
      </c>
      <c r="B465" s="43">
        <v>13</v>
      </c>
      <c r="C465" s="43">
        <v>13</v>
      </c>
      <c r="D465" s="38" t="s">
        <v>612</v>
      </c>
      <c r="E465" s="44" t="s">
        <v>147</v>
      </c>
      <c r="F465" s="44" t="s">
        <v>37</v>
      </c>
      <c r="G465" s="44" t="s">
        <v>108</v>
      </c>
      <c r="H465" s="44" t="s">
        <v>41</v>
      </c>
      <c r="I465" s="44" t="s">
        <v>41</v>
      </c>
      <c r="J465" s="44" t="s">
        <v>6</v>
      </c>
      <c r="K465" s="44" t="s">
        <v>128</v>
      </c>
      <c r="L465" s="40">
        <v>1129</v>
      </c>
      <c r="M465" s="41">
        <v>41339</v>
      </c>
      <c r="N465" s="40" t="s">
        <v>110</v>
      </c>
      <c r="O465" s="42"/>
      <c r="P465" s="40"/>
      <c r="Q465" s="120">
        <f>'[3]Delmarva MD LP_MDGS_MMS'!G20</f>
        <v>40.554299825535061</v>
      </c>
      <c r="R465" s="120">
        <f>'[3]Delmarva MD LP_MDGS_MMS'!H20</f>
        <v>37.716110681828361</v>
      </c>
      <c r="S465" s="120">
        <f>'[3]Delmarva MD LP_MDGS_MMS'!I20</f>
        <v>38.660915414755735</v>
      </c>
      <c r="T465" s="120">
        <f>'[3]Delmarva MD LP_MDGS_MMS'!J20</f>
        <v>39.839832878234716</v>
      </c>
      <c r="U465" s="120">
        <f>'[3]Delmarva MD LP_MDGS_MMS'!K20</f>
        <v>43.061179109697484</v>
      </c>
      <c r="V465" s="91"/>
    </row>
    <row r="466" spans="1:22" x14ac:dyDescent="0.2">
      <c r="A466" s="48">
        <f t="shared" si="19"/>
        <v>458</v>
      </c>
      <c r="B466" s="43">
        <v>13</v>
      </c>
      <c r="C466" s="43">
        <v>14</v>
      </c>
      <c r="D466" s="38" t="s">
        <v>613</v>
      </c>
      <c r="E466" s="44" t="s">
        <v>149</v>
      </c>
      <c r="F466" s="44" t="s">
        <v>5</v>
      </c>
      <c r="G466" s="44" t="s">
        <v>108</v>
      </c>
      <c r="H466" s="44" t="s">
        <v>46</v>
      </c>
      <c r="I466" s="44" t="s">
        <v>46</v>
      </c>
      <c r="J466" s="44" t="s">
        <v>6</v>
      </c>
      <c r="K466" s="44" t="s">
        <v>128</v>
      </c>
      <c r="L466" s="40">
        <v>1130</v>
      </c>
      <c r="M466" s="41">
        <v>41339</v>
      </c>
      <c r="N466" s="40" t="s">
        <v>110</v>
      </c>
      <c r="O466" s="42"/>
      <c r="P466" s="40"/>
      <c r="Q466" s="120">
        <f>'[3]DQE LP_GSGM_MMS'!G20</f>
        <v>31.095095762592862</v>
      </c>
      <c r="R466" s="120">
        <f>'[3]DQE LP_GSGM_MMS'!H20</f>
        <v>33.150932161564647</v>
      </c>
      <c r="S466" s="120">
        <f>'[3]DQE LP_GSGM_MMS'!I20</f>
        <v>34.592363129967325</v>
      </c>
      <c r="T466" s="120">
        <f>'[3]DQE LP_GSGM_MMS'!J20</f>
        <v>35.410064693883555</v>
      </c>
      <c r="U466" s="120">
        <f>'[3]DQE LP_GSGM_MMS'!K20</f>
        <v>38.004825572474147</v>
      </c>
      <c r="V466" s="91"/>
    </row>
    <row r="467" spans="1:22" x14ac:dyDescent="0.2">
      <c r="A467" s="48">
        <f t="shared" si="19"/>
        <v>459</v>
      </c>
      <c r="B467" s="43">
        <v>13</v>
      </c>
      <c r="C467" s="43">
        <v>15</v>
      </c>
      <c r="D467" s="38" t="s">
        <v>614</v>
      </c>
      <c r="E467" s="44" t="s">
        <v>151</v>
      </c>
      <c r="F467" s="44" t="s">
        <v>18</v>
      </c>
      <c r="G467" s="44" t="s">
        <v>108</v>
      </c>
      <c r="H467" s="44" t="s">
        <v>21</v>
      </c>
      <c r="I467" s="44" t="s">
        <v>152</v>
      </c>
      <c r="J467" s="44" t="s">
        <v>22</v>
      </c>
      <c r="K467" s="44" t="s">
        <v>128</v>
      </c>
      <c r="L467" s="40">
        <v>1131</v>
      </c>
      <c r="M467" s="41">
        <v>41339</v>
      </c>
      <c r="N467" s="40" t="s">
        <v>110</v>
      </c>
      <c r="O467" s="42"/>
      <c r="P467" s="40"/>
      <c r="Q467" s="120">
        <f>[3]Duke_OH_RC_DS01MS!G20</f>
        <v>18.706303359876358</v>
      </c>
      <c r="R467" s="120">
        <f>[3]Duke_OH_RC_DS01MS!H20</f>
        <v>20.143417115312925</v>
      </c>
      <c r="S467" s="120">
        <f>[3]Duke_OH_RC_DS01MS!I20</f>
        <v>21.592431287587431</v>
      </c>
      <c r="T467" s="120">
        <f>[3]Duke_OH_RC_DS01MS!J20</f>
        <v>22.077557167022579</v>
      </c>
      <c r="U467" s="120">
        <f>[3]Duke_OH_RC_DS01MS!K20</f>
        <v>24.327845764354635</v>
      </c>
      <c r="V467" s="91"/>
    </row>
    <row r="468" spans="1:22" x14ac:dyDescent="0.2">
      <c r="A468" s="48">
        <f t="shared" si="19"/>
        <v>460</v>
      </c>
      <c r="B468" s="43">
        <v>13</v>
      </c>
      <c r="C468" s="43">
        <v>16</v>
      </c>
      <c r="D468" s="38" t="s">
        <v>615</v>
      </c>
      <c r="E468" s="44" t="s">
        <v>154</v>
      </c>
      <c r="F468" s="44" t="s">
        <v>18</v>
      </c>
      <c r="G468" s="44" t="s">
        <v>108</v>
      </c>
      <c r="H468" s="44" t="s">
        <v>62</v>
      </c>
      <c r="I468" s="44" t="s">
        <v>155</v>
      </c>
      <c r="J468" s="44" t="s">
        <v>6</v>
      </c>
      <c r="K468" s="44" t="s">
        <v>128</v>
      </c>
      <c r="L468" s="40">
        <v>1132</v>
      </c>
      <c r="M468" s="41">
        <v>41339</v>
      </c>
      <c r="N468" s="40" t="s">
        <v>110</v>
      </c>
      <c r="O468" s="42"/>
      <c r="P468" s="40"/>
      <c r="Q468" s="120">
        <f>'[3]FE_OE - test RC_GSFMS'!G20</f>
        <v>21.169916843935635</v>
      </c>
      <c r="R468" s="120">
        <f>'[3]FE_OE - test RC_GSFMS'!H20</f>
        <v>22.428013105679689</v>
      </c>
      <c r="S468" s="120">
        <f>'[3]FE_OE - test RC_GSFMS'!I20</f>
        <v>22.783433026919191</v>
      </c>
      <c r="T468" s="120">
        <f>'[3]FE_OE - test RC_GSFMS'!J20</f>
        <v>23.503303685666385</v>
      </c>
      <c r="U468" s="120">
        <f>'[3]FE_OE - test RC_GSFMS'!K20</f>
        <v>25.544460827920521</v>
      </c>
      <c r="V468" s="91"/>
    </row>
    <row r="469" spans="1:22" x14ac:dyDescent="0.2">
      <c r="A469" s="48">
        <f t="shared" si="19"/>
        <v>461</v>
      </c>
      <c r="B469" s="43">
        <v>13</v>
      </c>
      <c r="C469" s="43">
        <v>17</v>
      </c>
      <c r="D469" s="38" t="s">
        <v>616</v>
      </c>
      <c r="E469" s="44" t="s">
        <v>157</v>
      </c>
      <c r="F469" s="44" t="s">
        <v>29</v>
      </c>
      <c r="G469" s="44" t="s">
        <v>108</v>
      </c>
      <c r="H469" s="44" t="s">
        <v>33</v>
      </c>
      <c r="I469" s="44" t="s">
        <v>33</v>
      </c>
      <c r="J469" s="44" t="s">
        <v>7</v>
      </c>
      <c r="K469" s="44" t="s">
        <v>123</v>
      </c>
      <c r="L469" s="40">
        <v>1133</v>
      </c>
      <c r="M469" s="41">
        <v>41339</v>
      </c>
      <c r="N469" s="40" t="s">
        <v>110</v>
      </c>
      <c r="O469" s="42"/>
      <c r="P469" s="40"/>
      <c r="Q469" s="120">
        <f>'[3]JCPL LP_GSCLMS'!G20</f>
        <v>43.125728735241466</v>
      </c>
      <c r="R469" s="120">
        <f>'[3]JCPL LP_GSCLMS'!H20</f>
        <v>39.778632091332994</v>
      </c>
      <c r="S469" s="120">
        <f>'[3]JCPL LP_GSCLMS'!I20</f>
        <v>40.866174277162706</v>
      </c>
      <c r="T469" s="120">
        <f>'[3]JCPL LP_GSCLMS'!J20</f>
        <v>41.840826452422597</v>
      </c>
      <c r="U469" s="120">
        <f>'[3]JCPL LP_GSCLMS'!K20</f>
        <v>44.795934269737621</v>
      </c>
      <c r="V469" s="91"/>
    </row>
    <row r="470" spans="1:22" x14ac:dyDescent="0.2">
      <c r="A470" s="48">
        <f t="shared" si="19"/>
        <v>462</v>
      </c>
      <c r="B470" s="43">
        <v>13</v>
      </c>
      <c r="C470" s="43">
        <v>18</v>
      </c>
      <c r="D470" s="38" t="s">
        <v>617</v>
      </c>
      <c r="E470" s="44" t="s">
        <v>159</v>
      </c>
      <c r="F470" s="44" t="s">
        <v>29</v>
      </c>
      <c r="G470" s="44" t="s">
        <v>108</v>
      </c>
      <c r="H470" s="44" t="s">
        <v>33</v>
      </c>
      <c r="I470" s="44" t="s">
        <v>33</v>
      </c>
      <c r="J470" s="44" t="s">
        <v>8</v>
      </c>
      <c r="K470" s="44" t="s">
        <v>120</v>
      </c>
      <c r="L470" s="40">
        <v>1134</v>
      </c>
      <c r="M470" s="41">
        <v>41339</v>
      </c>
      <c r="N470" s="40" t="s">
        <v>110</v>
      </c>
      <c r="O470" s="42"/>
      <c r="P470" s="40"/>
      <c r="Q470" s="120">
        <f>'[3]JCPL LP_GSCMMS'!G20</f>
        <v>40.540707729085668</v>
      </c>
      <c r="R470" s="120">
        <f>'[3]JCPL LP_GSCMMS'!H20</f>
        <v>40.702797735409888</v>
      </c>
      <c r="S470" s="120">
        <f>'[3]JCPL LP_GSCMMS'!I20</f>
        <v>40.683530183156499</v>
      </c>
      <c r="T470" s="120">
        <f>'[3]JCPL LP_GSCMMS'!J20</f>
        <v>42.74622714509232</v>
      </c>
      <c r="U470" s="120">
        <f>'[3]JCPL LP_GSCMMS'!K20</f>
        <v>45.614369350231115</v>
      </c>
      <c r="V470" s="91"/>
    </row>
    <row r="471" spans="1:22" x14ac:dyDescent="0.2">
      <c r="A471" s="48">
        <f t="shared" si="19"/>
        <v>463</v>
      </c>
      <c r="B471" s="43">
        <v>13</v>
      </c>
      <c r="C471" s="43">
        <v>19</v>
      </c>
      <c r="D471" s="38" t="s">
        <v>618</v>
      </c>
      <c r="E471" s="44" t="s">
        <v>161</v>
      </c>
      <c r="F471" s="44" t="s">
        <v>29</v>
      </c>
      <c r="G471" s="44" t="s">
        <v>108</v>
      </c>
      <c r="H471" s="44" t="s">
        <v>33</v>
      </c>
      <c r="I471" s="44" t="s">
        <v>33</v>
      </c>
      <c r="J471" s="44" t="s">
        <v>9</v>
      </c>
      <c r="K471" s="44" t="s">
        <v>117</v>
      </c>
      <c r="L471" s="40">
        <v>1135</v>
      </c>
      <c r="M471" s="41">
        <v>41339</v>
      </c>
      <c r="N471" s="40" t="s">
        <v>110</v>
      </c>
      <c r="O471" s="42"/>
      <c r="P471" s="40"/>
      <c r="Q471" s="120">
        <f>'[3]JCPL LP_GSCSMS'!G20</f>
        <v>40.540707729085668</v>
      </c>
      <c r="R471" s="120">
        <f>'[3]JCPL LP_GSCSMS'!H20</f>
        <v>40.702797735409888</v>
      </c>
      <c r="S471" s="120">
        <f>'[3]JCPL LP_GSCSMS'!I20</f>
        <v>40.683530183156499</v>
      </c>
      <c r="T471" s="120">
        <f>'[3]JCPL LP_GSCSMS'!J20</f>
        <v>42.74622714509232</v>
      </c>
      <c r="U471" s="120">
        <f>'[3]JCPL LP_GSCSMS'!K20</f>
        <v>45.614369350231115</v>
      </c>
      <c r="V471" s="91"/>
    </row>
    <row r="472" spans="1:22" x14ac:dyDescent="0.2">
      <c r="A472" s="48">
        <f t="shared" si="19"/>
        <v>464</v>
      </c>
      <c r="B472" s="43">
        <v>13</v>
      </c>
      <c r="C472" s="43">
        <v>20</v>
      </c>
      <c r="D472" s="38" t="s">
        <v>619</v>
      </c>
      <c r="E472" s="44" t="s">
        <v>163</v>
      </c>
      <c r="F472" s="44" t="s">
        <v>5</v>
      </c>
      <c r="G472" s="44" t="s">
        <v>108</v>
      </c>
      <c r="H472" s="44" t="s">
        <v>164</v>
      </c>
      <c r="I472" s="44" t="s">
        <v>165</v>
      </c>
      <c r="J472" s="44" t="s">
        <v>7</v>
      </c>
      <c r="K472" s="44" t="s">
        <v>123</v>
      </c>
      <c r="L472" s="40">
        <v>1137</v>
      </c>
      <c r="M472" s="41">
        <v>41339</v>
      </c>
      <c r="N472" s="40" t="s">
        <v>110</v>
      </c>
      <c r="O472" s="42"/>
      <c r="P472" s="40"/>
      <c r="Q472" s="120">
        <f>'[3]MetEd RC_GSLFMS'!G20</f>
        <v>26.179183133762198</v>
      </c>
      <c r="R472" s="120">
        <f>'[3]MetEd RC_GSLFMS'!H20</f>
        <v>21.145520070889443</v>
      </c>
      <c r="S472" s="120">
        <f>'[3]MetEd RC_GSLFMS'!I20</f>
        <v>22.526312862897424</v>
      </c>
      <c r="T472" s="120">
        <f>'[3]MetEd RC_GSLFMS'!J20</f>
        <v>22.02742422108852</v>
      </c>
      <c r="U472" s="120">
        <f>'[3]MetEd RC_GSLFMS'!K20</f>
        <v>24.302520741292128</v>
      </c>
      <c r="V472" s="91"/>
    </row>
    <row r="473" spans="1:22" x14ac:dyDescent="0.2">
      <c r="A473" s="48">
        <f t="shared" si="19"/>
        <v>465</v>
      </c>
      <c r="B473" s="43">
        <v>13</v>
      </c>
      <c r="C473" s="43">
        <v>21</v>
      </c>
      <c r="D473" s="38" t="s">
        <v>620</v>
      </c>
      <c r="E473" s="44" t="s">
        <v>167</v>
      </c>
      <c r="F473" s="44" t="s">
        <v>5</v>
      </c>
      <c r="G473" s="44" t="s">
        <v>108</v>
      </c>
      <c r="H473" s="44" t="s">
        <v>164</v>
      </c>
      <c r="I473" s="44" t="s">
        <v>165</v>
      </c>
      <c r="J473" s="44" t="s">
        <v>8</v>
      </c>
      <c r="K473" s="44" t="s">
        <v>120</v>
      </c>
      <c r="L473" s="40">
        <v>1136</v>
      </c>
      <c r="M473" s="41">
        <v>41339</v>
      </c>
      <c r="N473" s="40" t="s">
        <v>110</v>
      </c>
      <c r="O473" s="42"/>
      <c r="P473" s="40"/>
      <c r="Q473" s="120">
        <f>'[3]MetEd RC_GSDFMS'!G20</f>
        <v>27.123980760286184</v>
      </c>
      <c r="R473" s="120">
        <f>'[3]MetEd RC_GSDFMS'!H20</f>
        <v>22.337221539644968</v>
      </c>
      <c r="S473" s="120">
        <f>'[3]MetEd RC_GSDFMS'!I20</f>
        <v>23.659654774093887</v>
      </c>
      <c r="T473" s="120">
        <f>'[3]MetEd RC_GSDFMS'!J20</f>
        <v>23.185125530006385</v>
      </c>
      <c r="U473" s="120">
        <f>'[3]MetEd RC_GSDFMS'!K20</f>
        <v>25.463220868031481</v>
      </c>
      <c r="V473" s="91"/>
    </row>
    <row r="474" spans="1:22" x14ac:dyDescent="0.2">
      <c r="A474" s="48">
        <f t="shared" si="19"/>
        <v>466</v>
      </c>
      <c r="B474" s="43">
        <v>13</v>
      </c>
      <c r="C474" s="43">
        <v>22</v>
      </c>
      <c r="D474" s="38" t="s">
        <v>621</v>
      </c>
      <c r="E474" s="44" t="s">
        <v>169</v>
      </c>
      <c r="F474" s="44" t="s">
        <v>5</v>
      </c>
      <c r="G474" s="44" t="s">
        <v>108</v>
      </c>
      <c r="H474" s="44" t="s">
        <v>164</v>
      </c>
      <c r="I474" s="44" t="s">
        <v>165</v>
      </c>
      <c r="J474" s="44" t="s">
        <v>9</v>
      </c>
      <c r="K474" s="44" t="s">
        <v>117</v>
      </c>
      <c r="L474" s="40">
        <v>1138</v>
      </c>
      <c r="M474" s="41">
        <v>41339</v>
      </c>
      <c r="N474" s="40" t="s">
        <v>110</v>
      </c>
      <c r="O474" s="42"/>
      <c r="P474" s="40"/>
      <c r="Q474" s="120">
        <f>'[3]MetEd RC_GSSFMS'!G20</f>
        <v>26.443493051155713</v>
      </c>
      <c r="R474" s="120">
        <f>'[3]MetEd RC_GSSFMS'!H20</f>
        <v>22.339297726249814</v>
      </c>
      <c r="S474" s="120">
        <f>'[3]MetEd RC_GSSFMS'!I20</f>
        <v>23.500732755472551</v>
      </c>
      <c r="T474" s="120">
        <f>'[3]MetEd RC_GSSFMS'!J20</f>
        <v>23.126935963853466</v>
      </c>
      <c r="U474" s="120">
        <f>'[3]MetEd RC_GSSFMS'!K20</f>
        <v>25.400537408828992</v>
      </c>
      <c r="V474" s="91"/>
    </row>
    <row r="475" spans="1:22" x14ac:dyDescent="0.2">
      <c r="A475" s="48">
        <f t="shared" si="19"/>
        <v>467</v>
      </c>
      <c r="B475" s="43">
        <v>13</v>
      </c>
      <c r="C475" s="43">
        <v>23</v>
      </c>
      <c r="D475" s="38" t="s">
        <v>622</v>
      </c>
      <c r="E475" s="44" t="s">
        <v>171</v>
      </c>
      <c r="F475" s="44" t="s">
        <v>5</v>
      </c>
      <c r="G475" s="44" t="s">
        <v>108</v>
      </c>
      <c r="H475" s="44" t="s">
        <v>11</v>
      </c>
      <c r="I475" s="44" t="s">
        <v>11</v>
      </c>
      <c r="J475" s="44" t="s">
        <v>6</v>
      </c>
      <c r="K475" s="44" t="s">
        <v>128</v>
      </c>
      <c r="L475" s="40">
        <v>1139</v>
      </c>
      <c r="M475" s="41">
        <v>41339</v>
      </c>
      <c r="N475" s="40" t="s">
        <v>110</v>
      </c>
      <c r="O475" s="42"/>
      <c r="P475" s="40"/>
      <c r="Q475" s="120">
        <f>'[3]PECO LP_GSMS'!G20</f>
        <v>31.247944761453752</v>
      </c>
      <c r="R475" s="120">
        <f>'[3]PECO LP_GSMS'!H20</f>
        <v>25.719402188538311</v>
      </c>
      <c r="S475" s="120">
        <f>'[3]PECO LP_GSMS'!I20</f>
        <v>27.276323583112543</v>
      </c>
      <c r="T475" s="120">
        <f>'[3]PECO LP_GSMS'!J20</f>
        <v>27.402405595343797</v>
      </c>
      <c r="U475" s="120">
        <f>'[3]PECO LP_GSMS'!K20</f>
        <v>30.206885930602272</v>
      </c>
      <c r="V475" s="91"/>
    </row>
    <row r="476" spans="1:22" x14ac:dyDescent="0.2">
      <c r="A476" s="48">
        <f t="shared" si="19"/>
        <v>468</v>
      </c>
      <c r="B476" s="43">
        <v>13</v>
      </c>
      <c r="C476" s="43">
        <v>24</v>
      </c>
      <c r="D476" s="38" t="s">
        <v>623</v>
      </c>
      <c r="E476" s="44" t="s">
        <v>173</v>
      </c>
      <c r="F476" s="44" t="s">
        <v>5</v>
      </c>
      <c r="G476" s="44" t="s">
        <v>108</v>
      </c>
      <c r="H476" s="44" t="s">
        <v>10</v>
      </c>
      <c r="I476" s="44" t="s">
        <v>174</v>
      </c>
      <c r="J476" s="44" t="s">
        <v>7</v>
      </c>
      <c r="K476" s="44" t="s">
        <v>123</v>
      </c>
      <c r="L476" s="40">
        <v>1140</v>
      </c>
      <c r="M476" s="41">
        <v>41339</v>
      </c>
      <c r="N476" s="40" t="s">
        <v>110</v>
      </c>
      <c r="O476" s="42"/>
      <c r="P476" s="40"/>
      <c r="Q476" s="120">
        <f>'[3]Penelec RC_GSLFMS'!G20</f>
        <v>26.039236373448922</v>
      </c>
      <c r="R476" s="120">
        <f>'[3]Penelec RC_GSLFMS'!H20</f>
        <v>25.585079932087673</v>
      </c>
      <c r="S476" s="120">
        <f>'[3]Penelec RC_GSLFMS'!I20</f>
        <v>25.74510823088216</v>
      </c>
      <c r="T476" s="120">
        <f>'[3]Penelec RC_GSLFMS'!J20</f>
        <v>26.017969428907989</v>
      </c>
      <c r="U476" s="120">
        <f>'[3]Penelec RC_GSLFMS'!K20</f>
        <v>27.980331064988999</v>
      </c>
      <c r="V476" s="91"/>
    </row>
    <row r="477" spans="1:22" x14ac:dyDescent="0.2">
      <c r="A477" s="48">
        <f t="shared" si="19"/>
        <v>469</v>
      </c>
      <c r="B477" s="43">
        <v>13</v>
      </c>
      <c r="C477" s="43">
        <v>25</v>
      </c>
      <c r="D477" s="38" t="s">
        <v>624</v>
      </c>
      <c r="E477" s="44" t="s">
        <v>176</v>
      </c>
      <c r="F477" s="44" t="s">
        <v>5</v>
      </c>
      <c r="G477" s="44" t="s">
        <v>108</v>
      </c>
      <c r="H477" s="44" t="s">
        <v>10</v>
      </c>
      <c r="I477" s="44" t="s">
        <v>174</v>
      </c>
      <c r="J477" s="44" t="s">
        <v>8</v>
      </c>
      <c r="K477" s="44" t="s">
        <v>120</v>
      </c>
      <c r="L477" s="40">
        <v>1141</v>
      </c>
      <c r="M477" s="41">
        <v>41339</v>
      </c>
      <c r="N477" s="40" t="s">
        <v>110</v>
      </c>
      <c r="O477" s="42"/>
      <c r="P477" s="40"/>
      <c r="Q477" s="120">
        <f>'[3]Penelec RC_GSMFMS'!G20</f>
        <v>26.784792766778551</v>
      </c>
      <c r="R477" s="120">
        <f>'[3]Penelec RC_GSMFMS'!H20</f>
        <v>26.696164533457132</v>
      </c>
      <c r="S477" s="120">
        <f>'[3]Penelec RC_GSMFMS'!I20</f>
        <v>26.72821216423316</v>
      </c>
      <c r="T477" s="120">
        <f>'[3]Penelec RC_GSMFMS'!J20</f>
        <v>27.116717172261538</v>
      </c>
      <c r="U477" s="120">
        <f>'[3]Penelec RC_GSMFMS'!K20</f>
        <v>29.077294044624171</v>
      </c>
      <c r="V477" s="91"/>
    </row>
    <row r="478" spans="1:22" x14ac:dyDescent="0.2">
      <c r="A478" s="48">
        <f t="shared" si="19"/>
        <v>470</v>
      </c>
      <c r="B478" s="43">
        <v>13</v>
      </c>
      <c r="C478" s="43">
        <v>26</v>
      </c>
      <c r="D478" s="38" t="s">
        <v>625</v>
      </c>
      <c r="E478" s="44" t="s">
        <v>178</v>
      </c>
      <c r="F478" s="44" t="s">
        <v>5</v>
      </c>
      <c r="G478" s="44" t="s">
        <v>108</v>
      </c>
      <c r="H478" s="44" t="s">
        <v>10</v>
      </c>
      <c r="I478" s="44" t="s">
        <v>174</v>
      </c>
      <c r="J478" s="44" t="s">
        <v>9</v>
      </c>
      <c r="K478" s="44" t="s">
        <v>117</v>
      </c>
      <c r="L478" s="40">
        <v>1142</v>
      </c>
      <c r="M478" s="41">
        <v>41339</v>
      </c>
      <c r="N478" s="40" t="s">
        <v>110</v>
      </c>
      <c r="O478" s="42"/>
      <c r="P478" s="40"/>
      <c r="Q478" s="120">
        <f>'[3]Penelec RC_GSSFMS'!G20</f>
        <v>23.345177780097753</v>
      </c>
      <c r="R478" s="120">
        <f>'[3]Penelec RC_GSSFMS'!H20</f>
        <v>26.705249555030399</v>
      </c>
      <c r="S478" s="120">
        <f>'[3]Penelec RC_GSSFMS'!I20</f>
        <v>25.46291960200108</v>
      </c>
      <c r="T478" s="120">
        <f>'[3]Penelec RC_GSSFMS'!J20</f>
        <v>27.109217701936682</v>
      </c>
      <c r="U478" s="120">
        <f>'[3]Penelec RC_GSSFMS'!K20</f>
        <v>29.075619774534093</v>
      </c>
      <c r="V478" s="91"/>
    </row>
    <row r="479" spans="1:22" x14ac:dyDescent="0.2">
      <c r="A479" s="48">
        <f t="shared" si="19"/>
        <v>471</v>
      </c>
      <c r="B479" s="43">
        <v>13</v>
      </c>
      <c r="C479" s="43">
        <v>27</v>
      </c>
      <c r="D479" s="38" t="s">
        <v>626</v>
      </c>
      <c r="E479" s="44" t="s">
        <v>180</v>
      </c>
      <c r="F479" s="44" t="s">
        <v>5</v>
      </c>
      <c r="G479" s="44" t="s">
        <v>108</v>
      </c>
      <c r="H479" s="44" t="s">
        <v>91</v>
      </c>
      <c r="I479" s="44" t="s">
        <v>181</v>
      </c>
      <c r="J479" s="44" t="s">
        <v>6</v>
      </c>
      <c r="K479" s="44" t="s">
        <v>128</v>
      </c>
      <c r="L479" s="40">
        <v>1143</v>
      </c>
      <c r="M479" s="41">
        <v>41339</v>
      </c>
      <c r="N479" s="40" t="s">
        <v>110</v>
      </c>
      <c r="O479" s="42"/>
      <c r="P479" s="40"/>
      <c r="Q479" s="120">
        <f>'[3]Penn Power RC_GMDMS'!G20</f>
        <v>31.834399881480326</v>
      </c>
      <c r="R479" s="120">
        <f>'[3]Penn Power RC_GMDMS'!H20</f>
        <v>33.51798483613932</v>
      </c>
      <c r="S479" s="120">
        <f>'[3]Penn Power RC_GMDMS'!I20</f>
        <v>33.730275548049271</v>
      </c>
      <c r="T479" s="120">
        <f>'[3]Penn Power RC_GMDMS'!J20</f>
        <v>34.616297666692695</v>
      </c>
      <c r="U479" s="120">
        <f>'[3]Penn Power RC_GMDMS'!K20</f>
        <v>36.704055681466002</v>
      </c>
      <c r="V479" s="91"/>
    </row>
    <row r="480" spans="1:22" x14ac:dyDescent="0.2">
      <c r="A480" s="48">
        <f t="shared" si="19"/>
        <v>472</v>
      </c>
      <c r="B480" s="43">
        <v>13</v>
      </c>
      <c r="C480" s="43">
        <v>28</v>
      </c>
      <c r="D480" s="38" t="s">
        <v>627</v>
      </c>
      <c r="E480" s="44" t="s">
        <v>183</v>
      </c>
      <c r="F480" s="44" t="s">
        <v>37</v>
      </c>
      <c r="G480" s="44" t="s">
        <v>108</v>
      </c>
      <c r="H480" s="44" t="s">
        <v>42</v>
      </c>
      <c r="I480" s="44" t="s">
        <v>42</v>
      </c>
      <c r="J480" s="44" t="s">
        <v>6</v>
      </c>
      <c r="K480" s="44" t="s">
        <v>128</v>
      </c>
      <c r="L480" s="40">
        <v>1144</v>
      </c>
      <c r="M480" s="41">
        <v>41339</v>
      </c>
      <c r="N480" s="40" t="s">
        <v>110</v>
      </c>
      <c r="O480" s="42"/>
      <c r="P480" s="40"/>
      <c r="Q480" s="120">
        <f>'[3]PEPCO MD LP_MDNDMS'!G20</f>
        <v>34.579750674677967</v>
      </c>
      <c r="R480" s="120">
        <f>'[3]PEPCO MD LP_MDNDMS'!H20</f>
        <v>34.748823192194124</v>
      </c>
      <c r="S480" s="120">
        <f>'[3]PEPCO MD LP_MDNDMS'!I20</f>
        <v>34.728758765016451</v>
      </c>
      <c r="T480" s="120">
        <f>'[3]PEPCO MD LP_MDNDMS'!J20</f>
        <v>35.077067546589745</v>
      </c>
      <c r="U480" s="120">
        <f>'[3]PEPCO MD LP_MDNDMS'!K20</f>
        <v>36.917815311856835</v>
      </c>
      <c r="V480" s="91"/>
    </row>
    <row r="481" spans="1:22" x14ac:dyDescent="0.2">
      <c r="A481" s="48">
        <f t="shared" si="19"/>
        <v>473</v>
      </c>
      <c r="B481" s="43">
        <v>13</v>
      </c>
      <c r="C481" s="43">
        <v>29</v>
      </c>
      <c r="D481" s="38" t="s">
        <v>628</v>
      </c>
      <c r="E481" s="44" t="s">
        <v>185</v>
      </c>
      <c r="F481" s="44" t="s">
        <v>37</v>
      </c>
      <c r="G481" s="44" t="s">
        <v>108</v>
      </c>
      <c r="H481" s="44" t="s">
        <v>42</v>
      </c>
      <c r="I481" s="44" t="s">
        <v>42</v>
      </c>
      <c r="J481" s="44" t="s">
        <v>43</v>
      </c>
      <c r="K481" s="44" t="s">
        <v>186</v>
      </c>
      <c r="L481" s="40">
        <v>1145</v>
      </c>
      <c r="M481" s="41">
        <v>41339</v>
      </c>
      <c r="N481" s="40" t="s">
        <v>110</v>
      </c>
      <c r="O481" s="42"/>
      <c r="P481" s="40"/>
      <c r="Q481" s="120">
        <f>'[3]PEPCO MD LP_MMGTL2AMS'!G20</f>
        <v>35.478185328010525</v>
      </c>
      <c r="R481" s="120">
        <f>'[3]PEPCO MD LP_MMGTL2AMS'!H20</f>
        <v>33.742025042025702</v>
      </c>
      <c r="S481" s="120">
        <f>'[3]PEPCO MD LP_MMGTL2AMS'!I20</f>
        <v>34.30026674887695</v>
      </c>
      <c r="T481" s="120">
        <f>'[3]PEPCO MD LP_MMGTL2AMS'!J20</f>
        <v>34.061901932251359</v>
      </c>
      <c r="U481" s="120">
        <f>'[3]PEPCO MD LP_MMGTL2AMS'!K20</f>
        <v>35.8754443499652</v>
      </c>
      <c r="V481" s="91"/>
    </row>
    <row r="482" spans="1:22" x14ac:dyDescent="0.2">
      <c r="A482" s="48">
        <f t="shared" si="19"/>
        <v>474</v>
      </c>
      <c r="B482" s="43">
        <v>13</v>
      </c>
      <c r="C482" s="43">
        <v>30</v>
      </c>
      <c r="D482" s="38" t="s">
        <v>629</v>
      </c>
      <c r="E482" s="44" t="s">
        <v>188</v>
      </c>
      <c r="F482" s="44" t="s">
        <v>37</v>
      </c>
      <c r="G482" s="44" t="s">
        <v>108</v>
      </c>
      <c r="H482" s="44" t="s">
        <v>42</v>
      </c>
      <c r="I482" s="44" t="s">
        <v>42</v>
      </c>
      <c r="J482" s="44" t="s">
        <v>44</v>
      </c>
      <c r="K482" s="44" t="s">
        <v>44</v>
      </c>
      <c r="L482" s="40">
        <v>1146</v>
      </c>
      <c r="M482" s="41">
        <v>41339</v>
      </c>
      <c r="N482" s="40" t="s">
        <v>110</v>
      </c>
      <c r="O482" s="42"/>
      <c r="P482" s="40"/>
      <c r="Q482" s="120">
        <f>'[3]PEPCO MD RC_3T7MS'!G20</f>
        <v>34.457055663303514</v>
      </c>
      <c r="R482" s="120">
        <f>'[3]PEPCO MD RC_3T7MS'!H20</f>
        <v>34.549747834812912</v>
      </c>
      <c r="S482" s="120">
        <f>'[3]PEPCO MD RC_3T7MS'!I20</f>
        <v>34.701076224112796</v>
      </c>
      <c r="T482" s="120">
        <f>'[3]PEPCO MD RC_3T7MS'!J20</f>
        <v>35.000552112589006</v>
      </c>
      <c r="U482" s="120">
        <f>'[3]PEPCO MD RC_3T7MS'!K20</f>
        <v>36.875925487947441</v>
      </c>
      <c r="V482" s="91"/>
    </row>
    <row r="483" spans="1:22" x14ac:dyDescent="0.2">
      <c r="A483" s="48">
        <f t="shared" si="19"/>
        <v>475</v>
      </c>
      <c r="B483" s="43">
        <v>13</v>
      </c>
      <c r="C483" s="43">
        <v>31</v>
      </c>
      <c r="D483" s="38" t="s">
        <v>630</v>
      </c>
      <c r="E483" s="44" t="s">
        <v>190</v>
      </c>
      <c r="F483" s="44" t="s">
        <v>37</v>
      </c>
      <c r="G483" s="44" t="s">
        <v>108</v>
      </c>
      <c r="H483" s="44" t="s">
        <v>45</v>
      </c>
      <c r="I483" s="44" t="s">
        <v>45</v>
      </c>
      <c r="J483" s="44" t="s">
        <v>6</v>
      </c>
      <c r="K483" s="44" t="s">
        <v>128</v>
      </c>
      <c r="L483" s="40">
        <v>1147</v>
      </c>
      <c r="M483" s="41">
        <v>41339</v>
      </c>
      <c r="N483" s="40" t="s">
        <v>110</v>
      </c>
      <c r="O483" s="42"/>
      <c r="P483" s="40"/>
      <c r="Q483" s="120">
        <f>'[3]Potomac Edison LP_GSCM_MMS'!G20</f>
        <v>24.955721097395166</v>
      </c>
      <c r="R483" s="120">
        <f>'[3]Potomac Edison LP_GSCM_MMS'!H20</f>
        <v>28.790274339805258</v>
      </c>
      <c r="S483" s="120">
        <f>'[3]Potomac Edison LP_GSCM_MMS'!I20</f>
        <v>29.770135125611326</v>
      </c>
      <c r="T483" s="120">
        <f>'[3]Potomac Edison LP_GSCM_MMS'!J20</f>
        <v>31.431052016212572</v>
      </c>
      <c r="U483" s="120">
        <f>'[3]Potomac Edison LP_GSCM_MMS'!K20</f>
        <v>34.314206813023965</v>
      </c>
      <c r="V483" s="91"/>
    </row>
    <row r="484" spans="1:22" x14ac:dyDescent="0.2">
      <c r="A484" s="48">
        <f t="shared" si="19"/>
        <v>476</v>
      </c>
      <c r="B484" s="43">
        <v>13</v>
      </c>
      <c r="C484" s="43">
        <v>32</v>
      </c>
      <c r="D484" s="38" t="s">
        <v>631</v>
      </c>
      <c r="E484" s="44" t="s">
        <v>192</v>
      </c>
      <c r="F484" s="44" t="s">
        <v>5</v>
      </c>
      <c r="G484" s="44" t="s">
        <v>108</v>
      </c>
      <c r="H484" s="44" t="s">
        <v>12</v>
      </c>
      <c r="I484" s="44" t="s">
        <v>12</v>
      </c>
      <c r="J484" s="44" t="s">
        <v>13</v>
      </c>
      <c r="K484" s="44" t="s">
        <v>117</v>
      </c>
      <c r="L484" s="40">
        <v>1148</v>
      </c>
      <c r="M484" s="41">
        <v>41339</v>
      </c>
      <c r="N484" s="40" t="s">
        <v>110</v>
      </c>
      <c r="O484" s="42"/>
      <c r="P484" s="40"/>
      <c r="Q484" s="120">
        <f>[3]PPL_RCGS1MS!G20</f>
        <v>31.999579535011968</v>
      </c>
      <c r="R484" s="120">
        <f>[3]PPL_RCGS1MS!H20</f>
        <v>28.96369131435122</v>
      </c>
      <c r="S484" s="120">
        <f>[3]PPL_RCGS1MS!I20</f>
        <v>29.861996550512927</v>
      </c>
      <c r="T484" s="120">
        <f>[3]PPL_RCGS1MS!J20</f>
        <v>29.185655630457283</v>
      </c>
      <c r="U484" s="120">
        <f>[3]PPL_RCGS1MS!K20</f>
        <v>31.251678617625991</v>
      </c>
      <c r="V484" s="91"/>
    </row>
    <row r="485" spans="1:22" x14ac:dyDescent="0.2">
      <c r="A485" s="48">
        <f t="shared" si="19"/>
        <v>477</v>
      </c>
      <c r="B485" s="43">
        <v>13</v>
      </c>
      <c r="C485" s="43">
        <v>33</v>
      </c>
      <c r="D485" s="38" t="s">
        <v>632</v>
      </c>
      <c r="E485" s="44" t="s">
        <v>194</v>
      </c>
      <c r="F485" s="44" t="s">
        <v>5</v>
      </c>
      <c r="G485" s="44" t="s">
        <v>108</v>
      </c>
      <c r="H485" s="44" t="s">
        <v>12</v>
      </c>
      <c r="I485" s="44" t="s">
        <v>12</v>
      </c>
      <c r="J485" s="44" t="s">
        <v>14</v>
      </c>
      <c r="K485" s="44" t="s">
        <v>123</v>
      </c>
      <c r="L485" s="40">
        <v>1149</v>
      </c>
      <c r="M485" s="41">
        <v>41339</v>
      </c>
      <c r="N485" s="40" t="s">
        <v>110</v>
      </c>
      <c r="O485" s="42"/>
      <c r="P485" s="40"/>
      <c r="Q485" s="120">
        <f>[3]PPL_RCGS3MS!G20</f>
        <v>33.223857291386466</v>
      </c>
      <c r="R485" s="120">
        <f>[3]PPL_RCGS3MS!H20</f>
        <v>28.84261997266843</v>
      </c>
      <c r="S485" s="120">
        <f>[3]PPL_RCGS3MS!I20</f>
        <v>30.169306415758324</v>
      </c>
      <c r="T485" s="120">
        <f>[3]PPL_RCGS3MS!J20</f>
        <v>29.194862761573855</v>
      </c>
      <c r="U485" s="120">
        <f>[3]PPL_RCGS3MS!K20</f>
        <v>31.280957819487799</v>
      </c>
      <c r="V485" s="91"/>
    </row>
    <row r="486" spans="1:22" x14ac:dyDescent="0.2">
      <c r="A486" s="48">
        <f t="shared" si="19"/>
        <v>478</v>
      </c>
      <c r="B486" s="43">
        <v>13</v>
      </c>
      <c r="C486" s="43">
        <v>34</v>
      </c>
      <c r="D486" s="38" t="s">
        <v>633</v>
      </c>
      <c r="E486" s="44" t="s">
        <v>196</v>
      </c>
      <c r="F486" s="44" t="s">
        <v>29</v>
      </c>
      <c r="G486" s="44" t="s">
        <v>108</v>
      </c>
      <c r="H486" s="44" t="s">
        <v>34</v>
      </c>
      <c r="I486" s="44" t="s">
        <v>34</v>
      </c>
      <c r="J486" s="44" t="s">
        <v>35</v>
      </c>
      <c r="K486" s="44" t="s">
        <v>197</v>
      </c>
      <c r="L486" s="40">
        <v>1150</v>
      </c>
      <c r="M486" s="41">
        <v>41339</v>
      </c>
      <c r="N486" s="40" t="s">
        <v>110</v>
      </c>
      <c r="O486" s="42"/>
      <c r="P486" s="40"/>
      <c r="Q486" s="120">
        <f>'[3]PSEG LP_GLP_MMS'!G20</f>
        <v>63.830489308519702</v>
      </c>
      <c r="R486" s="120">
        <f>'[3]PSEG LP_GLP_MMS'!H20</f>
        <v>58.804145616608146</v>
      </c>
      <c r="S486" s="120">
        <f>'[3]PSEG LP_GLP_MMS'!I20</f>
        <v>60.3455032367863</v>
      </c>
      <c r="T486" s="120">
        <f>'[3]PSEG LP_GLP_MMS'!J20</f>
        <v>59.321894278779872</v>
      </c>
      <c r="U486" s="120">
        <f>'[3]PSEG LP_GLP_MMS'!K20</f>
        <v>60.854722926826085</v>
      </c>
      <c r="V486" s="91"/>
    </row>
    <row r="487" spans="1:22" x14ac:dyDescent="0.2">
      <c r="A487" s="48">
        <f t="shared" si="19"/>
        <v>479</v>
      </c>
      <c r="B487" s="43">
        <v>13</v>
      </c>
      <c r="C487" s="43">
        <v>35</v>
      </c>
      <c r="D487" s="38" t="s">
        <v>634</v>
      </c>
      <c r="E487" s="44" t="s">
        <v>199</v>
      </c>
      <c r="F487" s="44" t="s">
        <v>29</v>
      </c>
      <c r="G487" s="44" t="s">
        <v>108</v>
      </c>
      <c r="H487" s="44" t="s">
        <v>34</v>
      </c>
      <c r="I487" s="44" t="s">
        <v>34</v>
      </c>
      <c r="J487" s="44" t="s">
        <v>36</v>
      </c>
      <c r="K487" s="44" t="s">
        <v>200</v>
      </c>
      <c r="L487" s="40">
        <v>1151</v>
      </c>
      <c r="M487" s="41">
        <v>41339</v>
      </c>
      <c r="N487" s="40" t="s">
        <v>110</v>
      </c>
      <c r="O487" s="42"/>
      <c r="P487" s="40"/>
      <c r="Q487" s="120">
        <f>'[3]PSEG LP_LPLMS'!G20</f>
        <v>62.978030917098366</v>
      </c>
      <c r="R487" s="120">
        <f>'[3]PSEG LP_LPLMS'!H20</f>
        <v>57.999017527990183</v>
      </c>
      <c r="S487" s="120">
        <f>'[3]PSEG LP_LPLMS'!I20</f>
        <v>59.518675674671812</v>
      </c>
      <c r="T487" s="120">
        <f>'[3]PSEG LP_LPLMS'!J20</f>
        <v>58.523800650903006</v>
      </c>
      <c r="U487" s="120">
        <f>'[3]PSEG LP_LPLMS'!K20</f>
        <v>60.057916863779226</v>
      </c>
      <c r="V487" s="91"/>
    </row>
    <row r="488" spans="1:22" x14ac:dyDescent="0.2">
      <c r="A488" s="48">
        <f t="shared" si="19"/>
        <v>480</v>
      </c>
      <c r="B488" s="43">
        <v>13</v>
      </c>
      <c r="C488" s="43">
        <v>36</v>
      </c>
      <c r="D488" s="38" t="s">
        <v>635</v>
      </c>
      <c r="E488" s="44" t="s">
        <v>202</v>
      </c>
      <c r="F488" s="44" t="s">
        <v>5</v>
      </c>
      <c r="G488" s="44" t="s">
        <v>108</v>
      </c>
      <c r="H488" s="44" t="s">
        <v>15</v>
      </c>
      <c r="I488" s="44" t="s">
        <v>203</v>
      </c>
      <c r="J488" s="44" t="s">
        <v>16</v>
      </c>
      <c r="K488" s="44" t="s">
        <v>128</v>
      </c>
      <c r="L488" s="40">
        <v>1152</v>
      </c>
      <c r="M488" s="41">
        <v>41339</v>
      </c>
      <c r="N488" s="40" t="s">
        <v>110</v>
      </c>
      <c r="O488" s="42"/>
      <c r="P488" s="40"/>
      <c r="Q488" s="120">
        <f>'[3]West Penn Power LP_GSCMMS'!G20</f>
        <v>26.311913194483871</v>
      </c>
      <c r="R488" s="120">
        <f>'[3]West Penn Power LP_GSCMMS'!H20</f>
        <v>28.904226927805965</v>
      </c>
      <c r="S488" s="120">
        <f>'[3]West Penn Power LP_GSCMMS'!I20</f>
        <v>30.194615239640598</v>
      </c>
      <c r="T488" s="120">
        <f>'[3]West Penn Power LP_GSCMMS'!J20</f>
        <v>31.233661918346083</v>
      </c>
      <c r="U488" s="120">
        <f>'[3]West Penn Power LP_GSCMMS'!K20</f>
        <v>33.86297753133384</v>
      </c>
      <c r="V488" s="91"/>
    </row>
    <row r="489" spans="1:22" x14ac:dyDescent="0.2">
      <c r="A489" s="48">
        <f t="shared" si="19"/>
        <v>481</v>
      </c>
      <c r="B489" s="20"/>
      <c r="C489" s="20"/>
      <c r="D489" s="20"/>
      <c r="Q489" s="121"/>
      <c r="R489" s="121"/>
      <c r="S489" s="121"/>
      <c r="T489" s="121"/>
      <c r="U489" s="121"/>
    </row>
    <row r="490" spans="1:22" x14ac:dyDescent="0.2">
      <c r="A490" s="48">
        <f t="shared" si="19"/>
        <v>482</v>
      </c>
      <c r="B490" s="43">
        <v>14</v>
      </c>
      <c r="C490" s="43">
        <v>1</v>
      </c>
      <c r="D490" s="38" t="s">
        <v>600</v>
      </c>
      <c r="E490" s="44" t="s">
        <v>107</v>
      </c>
      <c r="F490" s="44" t="s">
        <v>29</v>
      </c>
      <c r="G490" s="44" t="s">
        <v>108</v>
      </c>
      <c r="H490" s="44" t="s">
        <v>30</v>
      </c>
      <c r="I490" s="44" t="s">
        <v>30</v>
      </c>
      <c r="J490" s="44" t="s">
        <v>31</v>
      </c>
      <c r="K490" s="44" t="s">
        <v>109</v>
      </c>
      <c r="L490" s="40">
        <v>1117</v>
      </c>
      <c r="M490" s="41">
        <v>41339</v>
      </c>
      <c r="N490" s="40" t="s">
        <v>110</v>
      </c>
      <c r="O490" s="42"/>
      <c r="P490" s="40"/>
      <c r="Q490" s="120">
        <f>'[3]AECO LP_10V1_SMS'!G21</f>
        <v>42461</v>
      </c>
      <c r="R490" s="120">
        <f>'[3]AECO LP_10V1_SMS'!H21</f>
        <v>42491</v>
      </c>
      <c r="S490" s="120">
        <f>'[3]AECO LP_10V1_SMS'!I21</f>
        <v>42522</v>
      </c>
      <c r="T490" s="120">
        <f>'[3]AECO LP_10V1_SMS'!J21</f>
        <v>42552</v>
      </c>
      <c r="U490" s="120">
        <f>'[3]AECO LP_10V1_SMS'!K21</f>
        <v>42583</v>
      </c>
      <c r="V490" s="91"/>
    </row>
    <row r="491" spans="1:22" x14ac:dyDescent="0.2">
      <c r="A491" s="48">
        <f t="shared" si="19"/>
        <v>483</v>
      </c>
      <c r="B491" s="43">
        <v>14</v>
      </c>
      <c r="C491" s="43">
        <v>2</v>
      </c>
      <c r="D491" s="38" t="s">
        <v>601</v>
      </c>
      <c r="E491" s="44" t="s">
        <v>112</v>
      </c>
      <c r="F491" s="44" t="s">
        <v>29</v>
      </c>
      <c r="G491" s="44" t="s">
        <v>108</v>
      </c>
      <c r="H491" s="44" t="s">
        <v>30</v>
      </c>
      <c r="I491" s="44" t="s">
        <v>30</v>
      </c>
      <c r="J491" s="44" t="s">
        <v>32</v>
      </c>
      <c r="K491" s="44" t="s">
        <v>113</v>
      </c>
      <c r="L491" s="40">
        <v>1118</v>
      </c>
      <c r="M491" s="41">
        <v>41339</v>
      </c>
      <c r="N491" s="40" t="s">
        <v>110</v>
      </c>
      <c r="O491" s="42"/>
      <c r="P491" s="40"/>
      <c r="Q491" s="120">
        <f>'[3]AECO LP_14V1_MMS'!G21</f>
        <v>42461</v>
      </c>
      <c r="R491" s="120">
        <f>'[3]AECO LP_14V1_MMS'!H21</f>
        <v>42491</v>
      </c>
      <c r="S491" s="120">
        <f>'[3]AECO LP_14V1_MMS'!I21</f>
        <v>42522</v>
      </c>
      <c r="T491" s="120">
        <f>'[3]AECO LP_14V1_MMS'!J21</f>
        <v>42552</v>
      </c>
      <c r="U491" s="120">
        <f>'[3]AECO LP_14V1_MMS'!K21</f>
        <v>42583</v>
      </c>
      <c r="V491" s="91"/>
    </row>
    <row r="492" spans="1:22" x14ac:dyDescent="0.2">
      <c r="A492" s="48">
        <f t="shared" si="19"/>
        <v>484</v>
      </c>
      <c r="B492" s="43">
        <v>14</v>
      </c>
      <c r="C492" s="43">
        <v>3</v>
      </c>
      <c r="D492" s="38" t="s">
        <v>602</v>
      </c>
      <c r="E492" s="44" t="s">
        <v>115</v>
      </c>
      <c r="F492" s="44" t="s">
        <v>18</v>
      </c>
      <c r="G492" s="44" t="s">
        <v>108</v>
      </c>
      <c r="H492" s="44" t="s">
        <v>61</v>
      </c>
      <c r="I492" s="44" t="s">
        <v>116</v>
      </c>
      <c r="J492" s="44" t="s">
        <v>13</v>
      </c>
      <c r="K492" s="44" t="s">
        <v>117</v>
      </c>
      <c r="L492" s="40">
        <v>1119</v>
      </c>
      <c r="M492" s="41">
        <v>41339</v>
      </c>
      <c r="N492" s="40" t="s">
        <v>110</v>
      </c>
      <c r="O492" s="42"/>
      <c r="P492" s="40"/>
      <c r="Q492" s="120">
        <f>'[3]AEP_OH_CS - test CSGS1MS'!G21</f>
        <v>42461</v>
      </c>
      <c r="R492" s="120">
        <f>'[3]AEP_OH_CS - test CSGS1MS'!H21</f>
        <v>42491</v>
      </c>
      <c r="S492" s="120">
        <f>'[3]AEP_OH_CS - test CSGS1MS'!I21</f>
        <v>42522</v>
      </c>
      <c r="T492" s="120">
        <f>'[3]AEP_OH_CS - test CSGS1MS'!J21</f>
        <v>42552</v>
      </c>
      <c r="U492" s="120">
        <f>'[3]AEP_OH_CS - test CSGS1MS'!K21</f>
        <v>42583</v>
      </c>
      <c r="V492" s="91"/>
    </row>
    <row r="493" spans="1:22" x14ac:dyDescent="0.2">
      <c r="A493" s="48">
        <f t="shared" si="19"/>
        <v>485</v>
      </c>
      <c r="B493" s="43">
        <v>14</v>
      </c>
      <c r="C493" s="43">
        <v>4</v>
      </c>
      <c r="D493" s="38" t="s">
        <v>603</v>
      </c>
      <c r="E493" s="44" t="s">
        <v>119</v>
      </c>
      <c r="F493" s="44" t="s">
        <v>18</v>
      </c>
      <c r="G493" s="44" t="s">
        <v>108</v>
      </c>
      <c r="H493" s="44" t="s">
        <v>61</v>
      </c>
      <c r="I493" s="44" t="s">
        <v>116</v>
      </c>
      <c r="J493" s="44" t="s">
        <v>19</v>
      </c>
      <c r="K493" s="44" t="s">
        <v>120</v>
      </c>
      <c r="L493" s="40">
        <v>1120</v>
      </c>
      <c r="M493" s="41">
        <v>41339</v>
      </c>
      <c r="N493" s="40" t="s">
        <v>110</v>
      </c>
      <c r="O493" s="42"/>
      <c r="P493" s="40"/>
      <c r="Q493" s="120">
        <f>'[3]AEP_OH_CS - test CSGS2UMS'!G21</f>
        <v>42461</v>
      </c>
      <c r="R493" s="120">
        <f>'[3]AEP_OH_CS - test CSGS2UMS'!H21</f>
        <v>42491</v>
      </c>
      <c r="S493" s="120">
        <f>'[3]AEP_OH_CS - test CSGS2UMS'!I21</f>
        <v>42522</v>
      </c>
      <c r="T493" s="120">
        <f>'[3]AEP_OH_CS - test CSGS2UMS'!J21</f>
        <v>42552</v>
      </c>
      <c r="U493" s="120">
        <f>'[3]AEP_OH_CS - test CSGS2UMS'!K21</f>
        <v>42583</v>
      </c>
      <c r="V493" s="91"/>
    </row>
    <row r="494" spans="1:22" x14ac:dyDescent="0.2">
      <c r="A494" s="48">
        <f t="shared" si="19"/>
        <v>486</v>
      </c>
      <c r="B494" s="43">
        <v>14</v>
      </c>
      <c r="C494" s="43">
        <v>5</v>
      </c>
      <c r="D494" s="38" t="s">
        <v>604</v>
      </c>
      <c r="E494" s="44" t="s">
        <v>122</v>
      </c>
      <c r="F494" s="44" t="s">
        <v>18</v>
      </c>
      <c r="G494" s="44" t="s">
        <v>108</v>
      </c>
      <c r="H494" s="44" t="s">
        <v>61</v>
      </c>
      <c r="I494" s="44" t="s">
        <v>116</v>
      </c>
      <c r="J494" s="44" t="s">
        <v>14</v>
      </c>
      <c r="K494" s="44" t="s">
        <v>123</v>
      </c>
      <c r="L494" s="40">
        <v>1121</v>
      </c>
      <c r="M494" s="41">
        <v>41339</v>
      </c>
      <c r="N494" s="40" t="s">
        <v>110</v>
      </c>
      <c r="O494" s="42"/>
      <c r="P494" s="40"/>
      <c r="Q494" s="120">
        <f>'[3]AEP_OH_CS - test CSGS3UMS'!G21</f>
        <v>42461</v>
      </c>
      <c r="R494" s="120">
        <f>'[3]AEP_OH_CS - test CSGS3UMS'!H21</f>
        <v>42491</v>
      </c>
      <c r="S494" s="120">
        <f>'[3]AEP_OH_CS - test CSGS3UMS'!I21</f>
        <v>42522</v>
      </c>
      <c r="T494" s="120">
        <f>'[3]AEP_OH_CS - test CSGS3UMS'!J21</f>
        <v>42552</v>
      </c>
      <c r="U494" s="120">
        <f>'[3]AEP_OH_CS - test CSGS3UMS'!K21</f>
        <v>42583</v>
      </c>
      <c r="V494" s="91"/>
    </row>
    <row r="495" spans="1:22" x14ac:dyDescent="0.2">
      <c r="A495" s="48">
        <f t="shared" si="19"/>
        <v>487</v>
      </c>
      <c r="B495" s="43">
        <v>14</v>
      </c>
      <c r="C495" s="43">
        <v>6</v>
      </c>
      <c r="D495" s="38" t="s">
        <v>605</v>
      </c>
      <c r="E495" s="44" t="s">
        <v>125</v>
      </c>
      <c r="F495" s="44" t="s">
        <v>23</v>
      </c>
      <c r="G495" s="44" t="s">
        <v>126</v>
      </c>
      <c r="H495" s="44" t="s">
        <v>127</v>
      </c>
      <c r="I495" s="44" t="s">
        <v>27</v>
      </c>
      <c r="J495" s="44" t="s">
        <v>28</v>
      </c>
      <c r="K495" s="44" t="s">
        <v>128</v>
      </c>
      <c r="L495" s="40">
        <v>1122</v>
      </c>
      <c r="M495" s="41">
        <v>41339</v>
      </c>
      <c r="N495" s="40" t="s">
        <v>110</v>
      </c>
      <c r="O495" s="42"/>
      <c r="P495" s="40"/>
      <c r="Q495" s="120">
        <f>'[3]Ameren RateZnIII LP DS2HHMS'!G21</f>
        <v>42461</v>
      </c>
      <c r="R495" s="120">
        <f>'[3]Ameren RateZnIII LP DS2HHMS'!H21</f>
        <v>42491</v>
      </c>
      <c r="S495" s="120">
        <f>'[3]Ameren RateZnIII LP DS2HHMS'!I21</f>
        <v>42522</v>
      </c>
      <c r="T495" s="120">
        <f>'[3]Ameren RateZnIII LP DS2HHMS'!J21</f>
        <v>42552</v>
      </c>
      <c r="U495" s="120">
        <f>'[3]Ameren RateZnIII LP DS2HHMS'!K21</f>
        <v>42583</v>
      </c>
      <c r="V495" s="91"/>
    </row>
    <row r="496" spans="1:22" x14ac:dyDescent="0.2">
      <c r="A496" s="48">
        <f t="shared" si="19"/>
        <v>488</v>
      </c>
      <c r="B496" s="43">
        <v>14</v>
      </c>
      <c r="C496" s="43">
        <v>7</v>
      </c>
      <c r="D496" s="38" t="s">
        <v>606</v>
      </c>
      <c r="E496" s="44" t="s">
        <v>130</v>
      </c>
      <c r="F496" s="44" t="s">
        <v>37</v>
      </c>
      <c r="G496" s="44" t="s">
        <v>108</v>
      </c>
      <c r="H496" s="44" t="s">
        <v>38</v>
      </c>
      <c r="I496" s="44" t="s">
        <v>38</v>
      </c>
      <c r="J496" s="44" t="s">
        <v>40</v>
      </c>
      <c r="K496" s="44" t="s">
        <v>123</v>
      </c>
      <c r="L496" s="40">
        <v>1124</v>
      </c>
      <c r="M496" s="41">
        <v>41339</v>
      </c>
      <c r="N496" s="40" t="s">
        <v>110</v>
      </c>
      <c r="O496" s="42"/>
      <c r="P496" s="40"/>
      <c r="Q496" s="120">
        <f>'[3]BGE LP_GLMS'!G21</f>
        <v>42461</v>
      </c>
      <c r="R496" s="120">
        <f>'[3]BGE LP_GLMS'!H21</f>
        <v>42491</v>
      </c>
      <c r="S496" s="120">
        <f>'[3]BGE LP_GLMS'!I21</f>
        <v>42522</v>
      </c>
      <c r="T496" s="120">
        <f>'[3]BGE LP_GLMS'!J21</f>
        <v>42552</v>
      </c>
      <c r="U496" s="120">
        <f>'[3]BGE LP_GLMS'!K21</f>
        <v>42583</v>
      </c>
      <c r="V496" s="91"/>
    </row>
    <row r="497" spans="1:22" x14ac:dyDescent="0.2">
      <c r="A497" s="48">
        <f t="shared" si="19"/>
        <v>489</v>
      </c>
      <c r="B497" s="43">
        <v>14</v>
      </c>
      <c r="C497" s="43">
        <v>8</v>
      </c>
      <c r="D497" s="38" t="s">
        <v>607</v>
      </c>
      <c r="E497" s="44" t="s">
        <v>132</v>
      </c>
      <c r="F497" s="44" t="s">
        <v>37</v>
      </c>
      <c r="G497" s="44" t="s">
        <v>108</v>
      </c>
      <c r="H497" s="44" t="s">
        <v>38</v>
      </c>
      <c r="I497" s="44" t="s">
        <v>38</v>
      </c>
      <c r="J497" s="44" t="s">
        <v>39</v>
      </c>
      <c r="K497" s="44" t="s">
        <v>120</v>
      </c>
      <c r="L497" s="40">
        <v>1123</v>
      </c>
      <c r="M497" s="41">
        <v>41339</v>
      </c>
      <c r="N497" s="40" t="s">
        <v>110</v>
      </c>
      <c r="O497" s="42"/>
      <c r="P497" s="40"/>
      <c r="Q497" s="120">
        <f>'[3]BGE LP_GMS'!G21</f>
        <v>42461</v>
      </c>
      <c r="R497" s="120">
        <f>'[3]BGE LP_GMS'!H21</f>
        <v>42491</v>
      </c>
      <c r="S497" s="120">
        <f>'[3]BGE LP_GMS'!I21</f>
        <v>42522</v>
      </c>
      <c r="T497" s="120">
        <f>'[3]BGE LP_GMS'!J21</f>
        <v>42552</v>
      </c>
      <c r="U497" s="120">
        <f>'[3]BGE LP_GMS'!K21</f>
        <v>42583</v>
      </c>
      <c r="V497" s="91"/>
    </row>
    <row r="498" spans="1:22" x14ac:dyDescent="0.2">
      <c r="A498" s="48">
        <f t="shared" si="19"/>
        <v>490</v>
      </c>
      <c r="B498" s="43">
        <v>14</v>
      </c>
      <c r="C498" s="43">
        <v>9</v>
      </c>
      <c r="D498" s="38" t="s">
        <v>608</v>
      </c>
      <c r="E498" s="44" t="s">
        <v>134</v>
      </c>
      <c r="F498" s="44" t="s">
        <v>37</v>
      </c>
      <c r="G498" s="44" t="s">
        <v>108</v>
      </c>
      <c r="H498" s="44" t="s">
        <v>38</v>
      </c>
      <c r="I498" s="44" t="s">
        <v>38</v>
      </c>
      <c r="J498" s="44" t="s">
        <v>6</v>
      </c>
      <c r="K498" s="44" t="s">
        <v>117</v>
      </c>
      <c r="L498" s="40">
        <v>1125</v>
      </c>
      <c r="M498" s="41">
        <v>41339</v>
      </c>
      <c r="N498" s="40" t="s">
        <v>110</v>
      </c>
      <c r="O498" s="42"/>
      <c r="P498" s="40"/>
      <c r="Q498" s="120">
        <f>'[3]BGE LP_GSMS'!G21</f>
        <v>42461</v>
      </c>
      <c r="R498" s="120">
        <f>'[3]BGE LP_GSMS'!H21</f>
        <v>42491</v>
      </c>
      <c r="S498" s="120">
        <f>'[3]BGE LP_GSMS'!I21</f>
        <v>42522</v>
      </c>
      <c r="T498" s="120">
        <f>'[3]BGE LP_GSMS'!J21</f>
        <v>42552</v>
      </c>
      <c r="U498" s="120">
        <f>'[3]BGE LP_GSMS'!K21</f>
        <v>42583</v>
      </c>
      <c r="V498" s="91"/>
    </row>
    <row r="499" spans="1:22" x14ac:dyDescent="0.2">
      <c r="A499" s="48">
        <f t="shared" si="19"/>
        <v>491</v>
      </c>
      <c r="B499" s="43">
        <v>14</v>
      </c>
      <c r="C499" s="43">
        <v>10</v>
      </c>
      <c r="D499" s="38" t="s">
        <v>609</v>
      </c>
      <c r="E499" s="44" t="s">
        <v>136</v>
      </c>
      <c r="F499" s="44" t="s">
        <v>23</v>
      </c>
      <c r="G499" s="44" t="s">
        <v>108</v>
      </c>
      <c r="H499" s="44" t="s">
        <v>137</v>
      </c>
      <c r="I499" s="44" t="s">
        <v>24</v>
      </c>
      <c r="J499" s="44" t="s">
        <v>25</v>
      </c>
      <c r="K499" s="44" t="s">
        <v>138</v>
      </c>
      <c r="L499" s="40">
        <v>1126</v>
      </c>
      <c r="M499" s="41">
        <v>41339</v>
      </c>
      <c r="N499" s="40" t="s">
        <v>110</v>
      </c>
      <c r="O499" s="42"/>
      <c r="P499" s="40"/>
      <c r="Q499" s="120">
        <f>'[3]ComEd - test LP_28MS'!G21</f>
        <v>42461</v>
      </c>
      <c r="R499" s="120">
        <f>'[3]ComEd - test LP_28MS'!H21</f>
        <v>42491</v>
      </c>
      <c r="S499" s="120">
        <f>'[3]ComEd - test LP_28MS'!I21</f>
        <v>42522</v>
      </c>
      <c r="T499" s="120">
        <f>'[3]ComEd - test LP_28MS'!J21</f>
        <v>42552</v>
      </c>
      <c r="U499" s="120">
        <f>'[3]ComEd - test LP_28MS'!K21</f>
        <v>42583</v>
      </c>
      <c r="V499" s="91"/>
    </row>
    <row r="500" spans="1:22" x14ac:dyDescent="0.2">
      <c r="A500" s="48">
        <f t="shared" si="19"/>
        <v>492</v>
      </c>
      <c r="B500" s="43">
        <v>14</v>
      </c>
      <c r="C500" s="43">
        <v>11</v>
      </c>
      <c r="D500" s="38" t="s">
        <v>610</v>
      </c>
      <c r="E500" s="44" t="s">
        <v>140</v>
      </c>
      <c r="F500" s="44" t="s">
        <v>23</v>
      </c>
      <c r="G500" s="44" t="s">
        <v>108</v>
      </c>
      <c r="H500" s="44" t="s">
        <v>137</v>
      </c>
      <c r="I500" s="44" t="s">
        <v>24</v>
      </c>
      <c r="J500" s="44" t="s">
        <v>26</v>
      </c>
      <c r="K500" s="44" t="s">
        <v>141</v>
      </c>
      <c r="L500" s="40">
        <v>1127</v>
      </c>
      <c r="M500" s="41">
        <v>41339</v>
      </c>
      <c r="N500" s="40" t="s">
        <v>110</v>
      </c>
      <c r="O500" s="42"/>
      <c r="P500" s="40"/>
      <c r="Q500" s="120">
        <f>'[3]ComEd - test LP_29MS'!G21</f>
        <v>42461</v>
      </c>
      <c r="R500" s="120">
        <f>'[3]ComEd - test LP_29MS'!H21</f>
        <v>42491</v>
      </c>
      <c r="S500" s="120">
        <f>'[3]ComEd - test LP_29MS'!I21</f>
        <v>42522</v>
      </c>
      <c r="T500" s="120">
        <f>'[3]ComEd - test LP_29MS'!J21</f>
        <v>42552</v>
      </c>
      <c r="U500" s="120">
        <f>'[3]ComEd - test LP_29MS'!K21</f>
        <v>42583</v>
      </c>
      <c r="V500" s="91"/>
    </row>
    <row r="501" spans="1:22" x14ac:dyDescent="0.2">
      <c r="A501" s="48">
        <f t="shared" si="19"/>
        <v>493</v>
      </c>
      <c r="B501" s="43">
        <v>14</v>
      </c>
      <c r="C501" s="43">
        <v>12</v>
      </c>
      <c r="D501" s="38" t="s">
        <v>611</v>
      </c>
      <c r="E501" s="44" t="s">
        <v>143</v>
      </c>
      <c r="F501" s="44" t="s">
        <v>18</v>
      </c>
      <c r="G501" s="44" t="s">
        <v>108</v>
      </c>
      <c r="H501" s="44" t="s">
        <v>94</v>
      </c>
      <c r="I501" s="44" t="s">
        <v>144</v>
      </c>
      <c r="J501" s="44" t="s">
        <v>20</v>
      </c>
      <c r="K501" s="44" t="s">
        <v>145</v>
      </c>
      <c r="L501" s="40">
        <v>1128</v>
      </c>
      <c r="M501" s="41">
        <v>41339</v>
      </c>
      <c r="N501" s="40" t="s">
        <v>110</v>
      </c>
      <c r="O501" s="42"/>
      <c r="P501" s="40"/>
      <c r="Q501" s="120">
        <f>[3]DAY_RC_843MS!G21</f>
        <v>42461</v>
      </c>
      <c r="R501" s="120">
        <f>[3]DAY_RC_843MS!H21</f>
        <v>42491</v>
      </c>
      <c r="S501" s="120">
        <f>[3]DAY_RC_843MS!I21</f>
        <v>42522</v>
      </c>
      <c r="T501" s="120">
        <f>[3]DAY_RC_843MS!J21</f>
        <v>42552</v>
      </c>
      <c r="U501" s="120">
        <f>[3]DAY_RC_843MS!K21</f>
        <v>42583</v>
      </c>
      <c r="V501" s="91"/>
    </row>
    <row r="502" spans="1:22" x14ac:dyDescent="0.2">
      <c r="A502" s="48">
        <f t="shared" si="19"/>
        <v>494</v>
      </c>
      <c r="B502" s="43">
        <v>14</v>
      </c>
      <c r="C502" s="43">
        <v>13</v>
      </c>
      <c r="D502" s="38" t="s">
        <v>612</v>
      </c>
      <c r="E502" s="44" t="s">
        <v>147</v>
      </c>
      <c r="F502" s="44" t="s">
        <v>37</v>
      </c>
      <c r="G502" s="44" t="s">
        <v>108</v>
      </c>
      <c r="H502" s="44" t="s">
        <v>41</v>
      </c>
      <c r="I502" s="44" t="s">
        <v>41</v>
      </c>
      <c r="J502" s="44" t="s">
        <v>6</v>
      </c>
      <c r="K502" s="44" t="s">
        <v>128</v>
      </c>
      <c r="L502" s="40">
        <v>1129</v>
      </c>
      <c r="M502" s="41">
        <v>41339</v>
      </c>
      <c r="N502" s="40" t="s">
        <v>110</v>
      </c>
      <c r="O502" s="42"/>
      <c r="P502" s="40"/>
      <c r="Q502" s="120">
        <f>'[3]Delmarva MD LP_MDGS_MMS'!G21</f>
        <v>42461</v>
      </c>
      <c r="R502" s="120">
        <f>'[3]Delmarva MD LP_MDGS_MMS'!H21</f>
        <v>42491</v>
      </c>
      <c r="S502" s="120">
        <f>'[3]Delmarva MD LP_MDGS_MMS'!I21</f>
        <v>42522</v>
      </c>
      <c r="T502" s="120">
        <f>'[3]Delmarva MD LP_MDGS_MMS'!J21</f>
        <v>42552</v>
      </c>
      <c r="U502" s="120">
        <f>'[3]Delmarva MD LP_MDGS_MMS'!K21</f>
        <v>42583</v>
      </c>
      <c r="V502" s="91"/>
    </row>
    <row r="503" spans="1:22" x14ac:dyDescent="0.2">
      <c r="A503" s="48">
        <f t="shared" si="19"/>
        <v>495</v>
      </c>
      <c r="B503" s="43">
        <v>14</v>
      </c>
      <c r="C503" s="43">
        <v>14</v>
      </c>
      <c r="D503" s="38" t="s">
        <v>613</v>
      </c>
      <c r="E503" s="44" t="s">
        <v>149</v>
      </c>
      <c r="F503" s="44" t="s">
        <v>5</v>
      </c>
      <c r="G503" s="44" t="s">
        <v>108</v>
      </c>
      <c r="H503" s="44" t="s">
        <v>46</v>
      </c>
      <c r="I503" s="44" t="s">
        <v>46</v>
      </c>
      <c r="J503" s="44" t="s">
        <v>6</v>
      </c>
      <c r="K503" s="44" t="s">
        <v>128</v>
      </c>
      <c r="L503" s="40">
        <v>1130</v>
      </c>
      <c r="M503" s="41">
        <v>41339</v>
      </c>
      <c r="N503" s="40" t="s">
        <v>110</v>
      </c>
      <c r="O503" s="42"/>
      <c r="P503" s="40"/>
      <c r="Q503" s="120">
        <f>'[3]DQE LP_GSGM_MMS'!G21</f>
        <v>42461</v>
      </c>
      <c r="R503" s="120">
        <f>'[3]DQE LP_GSGM_MMS'!H21</f>
        <v>42491</v>
      </c>
      <c r="S503" s="120">
        <f>'[3]DQE LP_GSGM_MMS'!I21</f>
        <v>42522</v>
      </c>
      <c r="T503" s="120">
        <f>'[3]DQE LP_GSGM_MMS'!J21</f>
        <v>42552</v>
      </c>
      <c r="U503" s="120">
        <f>'[3]DQE LP_GSGM_MMS'!K21</f>
        <v>42583</v>
      </c>
      <c r="V503" s="91"/>
    </row>
    <row r="504" spans="1:22" x14ac:dyDescent="0.2">
      <c r="A504" s="48">
        <f t="shared" si="19"/>
        <v>496</v>
      </c>
      <c r="B504" s="43">
        <v>14</v>
      </c>
      <c r="C504" s="43">
        <v>15</v>
      </c>
      <c r="D504" s="38" t="s">
        <v>614</v>
      </c>
      <c r="E504" s="44" t="s">
        <v>151</v>
      </c>
      <c r="F504" s="44" t="s">
        <v>18</v>
      </c>
      <c r="G504" s="44" t="s">
        <v>108</v>
      </c>
      <c r="H504" s="44" t="s">
        <v>21</v>
      </c>
      <c r="I504" s="44" t="s">
        <v>152</v>
      </c>
      <c r="J504" s="44" t="s">
        <v>22</v>
      </c>
      <c r="K504" s="44" t="s">
        <v>128</v>
      </c>
      <c r="L504" s="40">
        <v>1131</v>
      </c>
      <c r="M504" s="41">
        <v>41339</v>
      </c>
      <c r="N504" s="40" t="s">
        <v>110</v>
      </c>
      <c r="O504" s="42"/>
      <c r="P504" s="40"/>
      <c r="Q504" s="120">
        <f>[3]Duke_OH_RC_DS01MS!G21</f>
        <v>42461</v>
      </c>
      <c r="R504" s="120">
        <f>[3]Duke_OH_RC_DS01MS!H21</f>
        <v>42491</v>
      </c>
      <c r="S504" s="120">
        <f>[3]Duke_OH_RC_DS01MS!I21</f>
        <v>42522</v>
      </c>
      <c r="T504" s="120">
        <f>[3]Duke_OH_RC_DS01MS!J21</f>
        <v>42552</v>
      </c>
      <c r="U504" s="120">
        <f>[3]Duke_OH_RC_DS01MS!K21</f>
        <v>42583</v>
      </c>
      <c r="V504" s="91"/>
    </row>
    <row r="505" spans="1:22" x14ac:dyDescent="0.2">
      <c r="A505" s="48">
        <f t="shared" si="19"/>
        <v>497</v>
      </c>
      <c r="B505" s="43">
        <v>14</v>
      </c>
      <c r="C505" s="43">
        <v>16</v>
      </c>
      <c r="D505" s="38" t="s">
        <v>615</v>
      </c>
      <c r="E505" s="44" t="s">
        <v>154</v>
      </c>
      <c r="F505" s="44" t="s">
        <v>18</v>
      </c>
      <c r="G505" s="44" t="s">
        <v>108</v>
      </c>
      <c r="H505" s="44" t="s">
        <v>62</v>
      </c>
      <c r="I505" s="44" t="s">
        <v>155</v>
      </c>
      <c r="J505" s="44" t="s">
        <v>6</v>
      </c>
      <c r="K505" s="44" t="s">
        <v>128</v>
      </c>
      <c r="L505" s="40">
        <v>1132</v>
      </c>
      <c r="M505" s="41">
        <v>41339</v>
      </c>
      <c r="N505" s="40" t="s">
        <v>110</v>
      </c>
      <c r="O505" s="42"/>
      <c r="P505" s="40"/>
      <c r="Q505" s="120">
        <f>'[3]FE_OE - test RC_GSFMS'!G21</f>
        <v>42461</v>
      </c>
      <c r="R505" s="120">
        <f>'[3]FE_OE - test RC_GSFMS'!H21</f>
        <v>42491</v>
      </c>
      <c r="S505" s="120">
        <f>'[3]FE_OE - test RC_GSFMS'!I21</f>
        <v>42522</v>
      </c>
      <c r="T505" s="120">
        <f>'[3]FE_OE - test RC_GSFMS'!J21</f>
        <v>42552</v>
      </c>
      <c r="U505" s="120">
        <f>'[3]FE_OE - test RC_GSFMS'!K21</f>
        <v>42583</v>
      </c>
      <c r="V505" s="91"/>
    </row>
    <row r="506" spans="1:22" x14ac:dyDescent="0.2">
      <c r="A506" s="48">
        <f t="shared" si="19"/>
        <v>498</v>
      </c>
      <c r="B506" s="43">
        <v>14</v>
      </c>
      <c r="C506" s="43">
        <v>17</v>
      </c>
      <c r="D506" s="38" t="s">
        <v>616</v>
      </c>
      <c r="E506" s="44" t="s">
        <v>157</v>
      </c>
      <c r="F506" s="44" t="s">
        <v>29</v>
      </c>
      <c r="G506" s="44" t="s">
        <v>108</v>
      </c>
      <c r="H506" s="44" t="s">
        <v>33</v>
      </c>
      <c r="I506" s="44" t="s">
        <v>33</v>
      </c>
      <c r="J506" s="44" t="s">
        <v>7</v>
      </c>
      <c r="K506" s="44" t="s">
        <v>123</v>
      </c>
      <c r="L506" s="40">
        <v>1133</v>
      </c>
      <c r="M506" s="41">
        <v>41339</v>
      </c>
      <c r="N506" s="40" t="s">
        <v>110</v>
      </c>
      <c r="O506" s="42"/>
      <c r="P506" s="40"/>
      <c r="Q506" s="120">
        <f>'[3]JCPL LP_GSCLMS'!G21</f>
        <v>42461</v>
      </c>
      <c r="R506" s="120">
        <f>'[3]JCPL LP_GSCLMS'!H21</f>
        <v>42491</v>
      </c>
      <c r="S506" s="120">
        <f>'[3]JCPL LP_GSCLMS'!I21</f>
        <v>42522</v>
      </c>
      <c r="T506" s="120">
        <f>'[3]JCPL LP_GSCLMS'!J21</f>
        <v>42552</v>
      </c>
      <c r="U506" s="120">
        <f>'[3]JCPL LP_GSCLMS'!K21</f>
        <v>42583</v>
      </c>
      <c r="V506" s="91"/>
    </row>
    <row r="507" spans="1:22" x14ac:dyDescent="0.2">
      <c r="A507" s="48">
        <f t="shared" si="19"/>
        <v>499</v>
      </c>
      <c r="B507" s="43">
        <v>14</v>
      </c>
      <c r="C507" s="43">
        <v>18</v>
      </c>
      <c r="D507" s="38" t="s">
        <v>617</v>
      </c>
      <c r="E507" s="44" t="s">
        <v>159</v>
      </c>
      <c r="F507" s="44" t="s">
        <v>29</v>
      </c>
      <c r="G507" s="44" t="s">
        <v>108</v>
      </c>
      <c r="H507" s="44" t="s">
        <v>33</v>
      </c>
      <c r="I507" s="44" t="s">
        <v>33</v>
      </c>
      <c r="J507" s="44" t="s">
        <v>8</v>
      </c>
      <c r="K507" s="44" t="s">
        <v>120</v>
      </c>
      <c r="L507" s="40">
        <v>1134</v>
      </c>
      <c r="M507" s="41">
        <v>41339</v>
      </c>
      <c r="N507" s="40" t="s">
        <v>110</v>
      </c>
      <c r="O507" s="42"/>
      <c r="P507" s="40"/>
      <c r="Q507" s="120">
        <f>'[3]JCPL LP_GSCMMS'!G21</f>
        <v>42461</v>
      </c>
      <c r="R507" s="120">
        <f>'[3]JCPL LP_GSCMMS'!H21</f>
        <v>42491</v>
      </c>
      <c r="S507" s="120">
        <f>'[3]JCPL LP_GSCMMS'!I21</f>
        <v>42522</v>
      </c>
      <c r="T507" s="120">
        <f>'[3]JCPL LP_GSCMMS'!J21</f>
        <v>42552</v>
      </c>
      <c r="U507" s="120">
        <f>'[3]JCPL LP_GSCMMS'!K21</f>
        <v>42583</v>
      </c>
      <c r="V507" s="91"/>
    </row>
    <row r="508" spans="1:22" x14ac:dyDescent="0.2">
      <c r="A508" s="48">
        <f t="shared" si="19"/>
        <v>500</v>
      </c>
      <c r="B508" s="43">
        <v>14</v>
      </c>
      <c r="C508" s="43">
        <v>19</v>
      </c>
      <c r="D508" s="38" t="s">
        <v>618</v>
      </c>
      <c r="E508" s="44" t="s">
        <v>161</v>
      </c>
      <c r="F508" s="44" t="s">
        <v>29</v>
      </c>
      <c r="G508" s="44" t="s">
        <v>108</v>
      </c>
      <c r="H508" s="44" t="s">
        <v>33</v>
      </c>
      <c r="I508" s="44" t="s">
        <v>33</v>
      </c>
      <c r="J508" s="44" t="s">
        <v>9</v>
      </c>
      <c r="K508" s="44" t="s">
        <v>117</v>
      </c>
      <c r="L508" s="40">
        <v>1135</v>
      </c>
      <c r="M508" s="41">
        <v>41339</v>
      </c>
      <c r="N508" s="40" t="s">
        <v>110</v>
      </c>
      <c r="O508" s="42"/>
      <c r="P508" s="40"/>
      <c r="Q508" s="120">
        <f>'[3]JCPL LP_GSCSMS'!G21</f>
        <v>42461</v>
      </c>
      <c r="R508" s="120">
        <f>'[3]JCPL LP_GSCSMS'!H21</f>
        <v>42491</v>
      </c>
      <c r="S508" s="120">
        <f>'[3]JCPL LP_GSCSMS'!I21</f>
        <v>42522</v>
      </c>
      <c r="T508" s="120">
        <f>'[3]JCPL LP_GSCSMS'!J21</f>
        <v>42552</v>
      </c>
      <c r="U508" s="120">
        <f>'[3]JCPL LP_GSCSMS'!K21</f>
        <v>42583</v>
      </c>
      <c r="V508" s="91"/>
    </row>
    <row r="509" spans="1:22" x14ac:dyDescent="0.2">
      <c r="A509" s="48">
        <f t="shared" si="19"/>
        <v>501</v>
      </c>
      <c r="B509" s="43">
        <v>14</v>
      </c>
      <c r="C509" s="43">
        <v>20</v>
      </c>
      <c r="D509" s="38" t="s">
        <v>619</v>
      </c>
      <c r="E509" s="44" t="s">
        <v>163</v>
      </c>
      <c r="F509" s="44" t="s">
        <v>5</v>
      </c>
      <c r="G509" s="44" t="s">
        <v>108</v>
      </c>
      <c r="H509" s="44" t="s">
        <v>164</v>
      </c>
      <c r="I509" s="44" t="s">
        <v>165</v>
      </c>
      <c r="J509" s="44" t="s">
        <v>7</v>
      </c>
      <c r="K509" s="44" t="s">
        <v>123</v>
      </c>
      <c r="L509" s="40">
        <v>1137</v>
      </c>
      <c r="M509" s="41">
        <v>41339</v>
      </c>
      <c r="N509" s="40" t="s">
        <v>110</v>
      </c>
      <c r="O509" s="42"/>
      <c r="P509" s="40"/>
      <c r="Q509" s="120">
        <f>'[3]MetEd RC_GSLFMS'!G21</f>
        <v>42461</v>
      </c>
      <c r="R509" s="120">
        <f>'[3]MetEd RC_GSLFMS'!H21</f>
        <v>42491</v>
      </c>
      <c r="S509" s="120">
        <f>'[3]MetEd RC_GSLFMS'!I21</f>
        <v>42522</v>
      </c>
      <c r="T509" s="120">
        <f>'[3]MetEd RC_GSLFMS'!J21</f>
        <v>42552</v>
      </c>
      <c r="U509" s="120">
        <f>'[3]MetEd RC_GSLFMS'!K21</f>
        <v>42583</v>
      </c>
      <c r="V509" s="91"/>
    </row>
    <row r="510" spans="1:22" x14ac:dyDescent="0.2">
      <c r="A510" s="48">
        <f t="shared" si="19"/>
        <v>502</v>
      </c>
      <c r="B510" s="43">
        <v>14</v>
      </c>
      <c r="C510" s="43">
        <v>21</v>
      </c>
      <c r="D510" s="38" t="s">
        <v>620</v>
      </c>
      <c r="E510" s="44" t="s">
        <v>167</v>
      </c>
      <c r="F510" s="44" t="s">
        <v>5</v>
      </c>
      <c r="G510" s="44" t="s">
        <v>108</v>
      </c>
      <c r="H510" s="44" t="s">
        <v>164</v>
      </c>
      <c r="I510" s="44" t="s">
        <v>165</v>
      </c>
      <c r="J510" s="44" t="s">
        <v>8</v>
      </c>
      <c r="K510" s="44" t="s">
        <v>120</v>
      </c>
      <c r="L510" s="40">
        <v>1136</v>
      </c>
      <c r="M510" s="41">
        <v>41339</v>
      </c>
      <c r="N510" s="40" t="s">
        <v>110</v>
      </c>
      <c r="O510" s="42"/>
      <c r="P510" s="40"/>
      <c r="Q510" s="120">
        <f>'[3]MetEd RC_GSDFMS'!G21</f>
        <v>42461</v>
      </c>
      <c r="R510" s="120">
        <f>'[3]MetEd RC_GSDFMS'!H21</f>
        <v>42491</v>
      </c>
      <c r="S510" s="120">
        <f>'[3]MetEd RC_GSDFMS'!I21</f>
        <v>42522</v>
      </c>
      <c r="T510" s="120">
        <f>'[3]MetEd RC_GSDFMS'!J21</f>
        <v>42552</v>
      </c>
      <c r="U510" s="120">
        <f>'[3]MetEd RC_GSDFMS'!K21</f>
        <v>42583</v>
      </c>
      <c r="V510" s="91"/>
    </row>
    <row r="511" spans="1:22" x14ac:dyDescent="0.2">
      <c r="A511" s="48">
        <f t="shared" si="19"/>
        <v>503</v>
      </c>
      <c r="B511" s="43">
        <v>14</v>
      </c>
      <c r="C511" s="43">
        <v>22</v>
      </c>
      <c r="D511" s="38" t="s">
        <v>621</v>
      </c>
      <c r="E511" s="44" t="s">
        <v>169</v>
      </c>
      <c r="F511" s="44" t="s">
        <v>5</v>
      </c>
      <c r="G511" s="44" t="s">
        <v>108</v>
      </c>
      <c r="H511" s="44" t="s">
        <v>164</v>
      </c>
      <c r="I511" s="44" t="s">
        <v>165</v>
      </c>
      <c r="J511" s="44" t="s">
        <v>9</v>
      </c>
      <c r="K511" s="44" t="s">
        <v>117</v>
      </c>
      <c r="L511" s="40">
        <v>1138</v>
      </c>
      <c r="M511" s="41">
        <v>41339</v>
      </c>
      <c r="N511" s="40" t="s">
        <v>110</v>
      </c>
      <c r="O511" s="42"/>
      <c r="P511" s="40"/>
      <c r="Q511" s="120">
        <f>'[3]MetEd RC_GSSFMS'!G21</f>
        <v>42461</v>
      </c>
      <c r="R511" s="120">
        <f>'[3]MetEd RC_GSSFMS'!H21</f>
        <v>42491</v>
      </c>
      <c r="S511" s="120">
        <f>'[3]MetEd RC_GSSFMS'!I21</f>
        <v>42522</v>
      </c>
      <c r="T511" s="120">
        <f>'[3]MetEd RC_GSSFMS'!J21</f>
        <v>42552</v>
      </c>
      <c r="U511" s="120">
        <f>'[3]MetEd RC_GSSFMS'!K21</f>
        <v>42583</v>
      </c>
      <c r="V511" s="91"/>
    </row>
    <row r="512" spans="1:22" x14ac:dyDescent="0.2">
      <c r="A512" s="48">
        <f t="shared" si="19"/>
        <v>504</v>
      </c>
      <c r="B512" s="43">
        <v>14</v>
      </c>
      <c r="C512" s="43">
        <v>23</v>
      </c>
      <c r="D512" s="38" t="s">
        <v>622</v>
      </c>
      <c r="E512" s="44" t="s">
        <v>171</v>
      </c>
      <c r="F512" s="44" t="s">
        <v>5</v>
      </c>
      <c r="G512" s="44" t="s">
        <v>108</v>
      </c>
      <c r="H512" s="44" t="s">
        <v>11</v>
      </c>
      <c r="I512" s="44" t="s">
        <v>11</v>
      </c>
      <c r="J512" s="44" t="s">
        <v>6</v>
      </c>
      <c r="K512" s="44" t="s">
        <v>128</v>
      </c>
      <c r="L512" s="40">
        <v>1139</v>
      </c>
      <c r="M512" s="41">
        <v>41339</v>
      </c>
      <c r="N512" s="40" t="s">
        <v>110</v>
      </c>
      <c r="O512" s="42"/>
      <c r="P512" s="40"/>
      <c r="Q512" s="120">
        <f>'[3]PECO LP_GSMS'!G21</f>
        <v>42461</v>
      </c>
      <c r="R512" s="120">
        <f>'[3]PECO LP_GSMS'!H21</f>
        <v>42491</v>
      </c>
      <c r="S512" s="120">
        <f>'[3]PECO LP_GSMS'!I21</f>
        <v>42522</v>
      </c>
      <c r="T512" s="120">
        <f>'[3]PECO LP_GSMS'!J21</f>
        <v>42552</v>
      </c>
      <c r="U512" s="120">
        <f>'[3]PECO LP_GSMS'!K21</f>
        <v>42583</v>
      </c>
      <c r="V512" s="91"/>
    </row>
    <row r="513" spans="1:22" x14ac:dyDescent="0.2">
      <c r="A513" s="48">
        <f t="shared" si="19"/>
        <v>505</v>
      </c>
      <c r="B513" s="43">
        <v>14</v>
      </c>
      <c r="C513" s="43">
        <v>24</v>
      </c>
      <c r="D513" s="38" t="s">
        <v>623</v>
      </c>
      <c r="E513" s="44" t="s">
        <v>173</v>
      </c>
      <c r="F513" s="44" t="s">
        <v>5</v>
      </c>
      <c r="G513" s="44" t="s">
        <v>108</v>
      </c>
      <c r="H513" s="44" t="s">
        <v>10</v>
      </c>
      <c r="I513" s="44" t="s">
        <v>174</v>
      </c>
      <c r="J513" s="44" t="s">
        <v>7</v>
      </c>
      <c r="K513" s="44" t="s">
        <v>123</v>
      </c>
      <c r="L513" s="40">
        <v>1140</v>
      </c>
      <c r="M513" s="41">
        <v>41339</v>
      </c>
      <c r="N513" s="40" t="s">
        <v>110</v>
      </c>
      <c r="O513" s="42"/>
      <c r="P513" s="40"/>
      <c r="Q513" s="120">
        <f>'[3]Penelec RC_GSLFMS'!G21</f>
        <v>42461</v>
      </c>
      <c r="R513" s="120">
        <f>'[3]Penelec RC_GSLFMS'!H21</f>
        <v>42491</v>
      </c>
      <c r="S513" s="120">
        <f>'[3]Penelec RC_GSLFMS'!I21</f>
        <v>42522</v>
      </c>
      <c r="T513" s="120">
        <f>'[3]Penelec RC_GSLFMS'!J21</f>
        <v>42552</v>
      </c>
      <c r="U513" s="120">
        <f>'[3]Penelec RC_GSLFMS'!K21</f>
        <v>42583</v>
      </c>
      <c r="V513" s="91"/>
    </row>
    <row r="514" spans="1:22" x14ac:dyDescent="0.2">
      <c r="A514" s="48">
        <f t="shared" si="19"/>
        <v>506</v>
      </c>
      <c r="B514" s="43">
        <v>14</v>
      </c>
      <c r="C514" s="43">
        <v>25</v>
      </c>
      <c r="D514" s="38" t="s">
        <v>624</v>
      </c>
      <c r="E514" s="44" t="s">
        <v>176</v>
      </c>
      <c r="F514" s="44" t="s">
        <v>5</v>
      </c>
      <c r="G514" s="44" t="s">
        <v>108</v>
      </c>
      <c r="H514" s="44" t="s">
        <v>10</v>
      </c>
      <c r="I514" s="44" t="s">
        <v>174</v>
      </c>
      <c r="J514" s="44" t="s">
        <v>8</v>
      </c>
      <c r="K514" s="44" t="s">
        <v>120</v>
      </c>
      <c r="L514" s="40">
        <v>1141</v>
      </c>
      <c r="M514" s="41">
        <v>41339</v>
      </c>
      <c r="N514" s="40" t="s">
        <v>110</v>
      </c>
      <c r="O514" s="42"/>
      <c r="P514" s="40"/>
      <c r="Q514" s="120">
        <f>'[3]Penelec RC_GSMFMS'!G21</f>
        <v>42461</v>
      </c>
      <c r="R514" s="120">
        <f>'[3]Penelec RC_GSMFMS'!H21</f>
        <v>42491</v>
      </c>
      <c r="S514" s="120">
        <f>'[3]Penelec RC_GSMFMS'!I21</f>
        <v>42522</v>
      </c>
      <c r="T514" s="120">
        <f>'[3]Penelec RC_GSMFMS'!J21</f>
        <v>42552</v>
      </c>
      <c r="U514" s="120">
        <f>'[3]Penelec RC_GSMFMS'!K21</f>
        <v>42583</v>
      </c>
      <c r="V514" s="91"/>
    </row>
    <row r="515" spans="1:22" x14ac:dyDescent="0.2">
      <c r="A515" s="48">
        <f t="shared" si="19"/>
        <v>507</v>
      </c>
      <c r="B515" s="43">
        <v>14</v>
      </c>
      <c r="C515" s="43">
        <v>26</v>
      </c>
      <c r="D515" s="38" t="s">
        <v>625</v>
      </c>
      <c r="E515" s="44" t="s">
        <v>178</v>
      </c>
      <c r="F515" s="44" t="s">
        <v>5</v>
      </c>
      <c r="G515" s="44" t="s">
        <v>108</v>
      </c>
      <c r="H515" s="44" t="s">
        <v>10</v>
      </c>
      <c r="I515" s="44" t="s">
        <v>174</v>
      </c>
      <c r="J515" s="44" t="s">
        <v>9</v>
      </c>
      <c r="K515" s="44" t="s">
        <v>117</v>
      </c>
      <c r="L515" s="40">
        <v>1142</v>
      </c>
      <c r="M515" s="41">
        <v>41339</v>
      </c>
      <c r="N515" s="40" t="s">
        <v>110</v>
      </c>
      <c r="O515" s="42"/>
      <c r="P515" s="40"/>
      <c r="Q515" s="120">
        <f>'[3]Penelec RC_GSSFMS'!G21</f>
        <v>42461</v>
      </c>
      <c r="R515" s="120">
        <f>'[3]Penelec RC_GSSFMS'!H21</f>
        <v>42491</v>
      </c>
      <c r="S515" s="120">
        <f>'[3]Penelec RC_GSSFMS'!I21</f>
        <v>42522</v>
      </c>
      <c r="T515" s="120">
        <f>'[3]Penelec RC_GSSFMS'!J21</f>
        <v>42552</v>
      </c>
      <c r="U515" s="120">
        <f>'[3]Penelec RC_GSSFMS'!K21</f>
        <v>42583</v>
      </c>
      <c r="V515" s="91"/>
    </row>
    <row r="516" spans="1:22" x14ac:dyDescent="0.2">
      <c r="A516" s="48">
        <f t="shared" si="19"/>
        <v>508</v>
      </c>
      <c r="B516" s="43">
        <v>14</v>
      </c>
      <c r="C516" s="43">
        <v>27</v>
      </c>
      <c r="D516" s="38" t="s">
        <v>626</v>
      </c>
      <c r="E516" s="44" t="s">
        <v>180</v>
      </c>
      <c r="F516" s="44" t="s">
        <v>5</v>
      </c>
      <c r="G516" s="44" t="s">
        <v>108</v>
      </c>
      <c r="H516" s="44" t="s">
        <v>91</v>
      </c>
      <c r="I516" s="44" t="s">
        <v>181</v>
      </c>
      <c r="J516" s="44" t="s">
        <v>6</v>
      </c>
      <c r="K516" s="44" t="s">
        <v>128</v>
      </c>
      <c r="L516" s="40">
        <v>1143</v>
      </c>
      <c r="M516" s="41">
        <v>41339</v>
      </c>
      <c r="N516" s="40" t="s">
        <v>110</v>
      </c>
      <c r="O516" s="42"/>
      <c r="P516" s="40"/>
      <c r="Q516" s="120">
        <f>'[3]Penn Power RC_GMDMS'!G21</f>
        <v>42461</v>
      </c>
      <c r="R516" s="120">
        <f>'[3]Penn Power RC_GMDMS'!H21</f>
        <v>42491</v>
      </c>
      <c r="S516" s="120">
        <f>'[3]Penn Power RC_GMDMS'!I21</f>
        <v>42522</v>
      </c>
      <c r="T516" s="120">
        <f>'[3]Penn Power RC_GMDMS'!J21</f>
        <v>42552</v>
      </c>
      <c r="U516" s="120">
        <f>'[3]Penn Power RC_GMDMS'!K21</f>
        <v>42583</v>
      </c>
      <c r="V516" s="91"/>
    </row>
    <row r="517" spans="1:22" x14ac:dyDescent="0.2">
      <c r="A517" s="48">
        <f t="shared" si="19"/>
        <v>509</v>
      </c>
      <c r="B517" s="43">
        <v>14</v>
      </c>
      <c r="C517" s="43">
        <v>28</v>
      </c>
      <c r="D517" s="38" t="s">
        <v>627</v>
      </c>
      <c r="E517" s="44" t="s">
        <v>183</v>
      </c>
      <c r="F517" s="44" t="s">
        <v>37</v>
      </c>
      <c r="G517" s="44" t="s">
        <v>108</v>
      </c>
      <c r="H517" s="44" t="s">
        <v>42</v>
      </c>
      <c r="I517" s="44" t="s">
        <v>42</v>
      </c>
      <c r="J517" s="44" t="s">
        <v>6</v>
      </c>
      <c r="K517" s="44" t="s">
        <v>128</v>
      </c>
      <c r="L517" s="40">
        <v>1144</v>
      </c>
      <c r="M517" s="41">
        <v>41339</v>
      </c>
      <c r="N517" s="40" t="s">
        <v>110</v>
      </c>
      <c r="O517" s="42"/>
      <c r="P517" s="40"/>
      <c r="Q517" s="120">
        <f>'[3]PEPCO MD LP_MDNDMS'!G21</f>
        <v>42461</v>
      </c>
      <c r="R517" s="120">
        <f>'[3]PEPCO MD LP_MDNDMS'!H21</f>
        <v>42491</v>
      </c>
      <c r="S517" s="120">
        <f>'[3]PEPCO MD LP_MDNDMS'!I21</f>
        <v>42522</v>
      </c>
      <c r="T517" s="120">
        <f>'[3]PEPCO MD LP_MDNDMS'!J21</f>
        <v>42552</v>
      </c>
      <c r="U517" s="120">
        <f>'[3]PEPCO MD LP_MDNDMS'!K21</f>
        <v>42583</v>
      </c>
      <c r="V517" s="91"/>
    </row>
    <row r="518" spans="1:22" x14ac:dyDescent="0.2">
      <c r="A518" s="48">
        <f t="shared" si="19"/>
        <v>510</v>
      </c>
      <c r="B518" s="43">
        <v>14</v>
      </c>
      <c r="C518" s="43">
        <v>29</v>
      </c>
      <c r="D518" s="38" t="s">
        <v>628</v>
      </c>
      <c r="E518" s="44" t="s">
        <v>185</v>
      </c>
      <c r="F518" s="44" t="s">
        <v>37</v>
      </c>
      <c r="G518" s="44" t="s">
        <v>108</v>
      </c>
      <c r="H518" s="44" t="s">
        <v>42</v>
      </c>
      <c r="I518" s="44" t="s">
        <v>42</v>
      </c>
      <c r="J518" s="44" t="s">
        <v>43</v>
      </c>
      <c r="K518" s="44" t="s">
        <v>186</v>
      </c>
      <c r="L518" s="40">
        <v>1145</v>
      </c>
      <c r="M518" s="41">
        <v>41339</v>
      </c>
      <c r="N518" s="40" t="s">
        <v>110</v>
      </c>
      <c r="O518" s="42"/>
      <c r="P518" s="40"/>
      <c r="Q518" s="120">
        <f>'[3]PEPCO MD LP_MMGTL2AMS'!G21</f>
        <v>42461</v>
      </c>
      <c r="R518" s="120">
        <f>'[3]PEPCO MD LP_MMGTL2AMS'!H21</f>
        <v>42491</v>
      </c>
      <c r="S518" s="120">
        <f>'[3]PEPCO MD LP_MMGTL2AMS'!I21</f>
        <v>42522</v>
      </c>
      <c r="T518" s="120">
        <f>'[3]PEPCO MD LP_MMGTL2AMS'!J21</f>
        <v>42552</v>
      </c>
      <c r="U518" s="120">
        <f>'[3]PEPCO MD LP_MMGTL2AMS'!K21</f>
        <v>42583</v>
      </c>
      <c r="V518" s="91"/>
    </row>
    <row r="519" spans="1:22" x14ac:dyDescent="0.2">
      <c r="A519" s="48">
        <f t="shared" si="19"/>
        <v>511</v>
      </c>
      <c r="B519" s="43">
        <v>14</v>
      </c>
      <c r="C519" s="43">
        <v>30</v>
      </c>
      <c r="D519" s="38" t="s">
        <v>629</v>
      </c>
      <c r="E519" s="44" t="s">
        <v>188</v>
      </c>
      <c r="F519" s="44" t="s">
        <v>37</v>
      </c>
      <c r="G519" s="44" t="s">
        <v>108</v>
      </c>
      <c r="H519" s="44" t="s">
        <v>42</v>
      </c>
      <c r="I519" s="44" t="s">
        <v>42</v>
      </c>
      <c r="J519" s="44" t="s">
        <v>44</v>
      </c>
      <c r="K519" s="44" t="s">
        <v>44</v>
      </c>
      <c r="L519" s="40">
        <v>1146</v>
      </c>
      <c r="M519" s="41">
        <v>41339</v>
      </c>
      <c r="N519" s="40" t="s">
        <v>110</v>
      </c>
      <c r="O519" s="42"/>
      <c r="P519" s="40"/>
      <c r="Q519" s="120">
        <f>'[3]PEPCO MD RC_3T7MS'!G21</f>
        <v>42461</v>
      </c>
      <c r="R519" s="120">
        <f>'[3]PEPCO MD RC_3T7MS'!H21</f>
        <v>42491</v>
      </c>
      <c r="S519" s="120">
        <f>'[3]PEPCO MD RC_3T7MS'!I21</f>
        <v>42522</v>
      </c>
      <c r="T519" s="120">
        <f>'[3]PEPCO MD RC_3T7MS'!J21</f>
        <v>42552</v>
      </c>
      <c r="U519" s="120">
        <f>'[3]PEPCO MD RC_3T7MS'!K21</f>
        <v>42583</v>
      </c>
      <c r="V519" s="91"/>
    </row>
    <row r="520" spans="1:22" x14ac:dyDescent="0.2">
      <c r="A520" s="48">
        <f t="shared" si="19"/>
        <v>512</v>
      </c>
      <c r="B520" s="43">
        <v>14</v>
      </c>
      <c r="C520" s="43">
        <v>31</v>
      </c>
      <c r="D520" s="38" t="s">
        <v>630</v>
      </c>
      <c r="E520" s="44" t="s">
        <v>190</v>
      </c>
      <c r="F520" s="44" t="s">
        <v>37</v>
      </c>
      <c r="G520" s="44" t="s">
        <v>108</v>
      </c>
      <c r="H520" s="44" t="s">
        <v>45</v>
      </c>
      <c r="I520" s="44" t="s">
        <v>45</v>
      </c>
      <c r="J520" s="44" t="s">
        <v>6</v>
      </c>
      <c r="K520" s="44" t="s">
        <v>128</v>
      </c>
      <c r="L520" s="40">
        <v>1147</v>
      </c>
      <c r="M520" s="41">
        <v>41339</v>
      </c>
      <c r="N520" s="40" t="s">
        <v>110</v>
      </c>
      <c r="O520" s="42"/>
      <c r="P520" s="40"/>
      <c r="Q520" s="120">
        <f>'[3]Potomac Edison LP_GSCM_MMS'!G21</f>
        <v>42461</v>
      </c>
      <c r="R520" s="120">
        <f>'[3]Potomac Edison LP_GSCM_MMS'!H21</f>
        <v>42491</v>
      </c>
      <c r="S520" s="120">
        <f>'[3]Potomac Edison LP_GSCM_MMS'!I21</f>
        <v>42522</v>
      </c>
      <c r="T520" s="120">
        <f>'[3]Potomac Edison LP_GSCM_MMS'!J21</f>
        <v>42552</v>
      </c>
      <c r="U520" s="120">
        <f>'[3]Potomac Edison LP_GSCM_MMS'!K21</f>
        <v>42583</v>
      </c>
      <c r="V520" s="91"/>
    </row>
    <row r="521" spans="1:22" x14ac:dyDescent="0.2">
      <c r="A521" s="48">
        <f t="shared" si="19"/>
        <v>513</v>
      </c>
      <c r="B521" s="43">
        <v>14</v>
      </c>
      <c r="C521" s="43">
        <v>32</v>
      </c>
      <c r="D521" s="38" t="s">
        <v>631</v>
      </c>
      <c r="E521" s="44" t="s">
        <v>192</v>
      </c>
      <c r="F521" s="44" t="s">
        <v>5</v>
      </c>
      <c r="G521" s="44" t="s">
        <v>108</v>
      </c>
      <c r="H521" s="44" t="s">
        <v>12</v>
      </c>
      <c r="I521" s="44" t="s">
        <v>12</v>
      </c>
      <c r="J521" s="44" t="s">
        <v>13</v>
      </c>
      <c r="K521" s="44" t="s">
        <v>117</v>
      </c>
      <c r="L521" s="40">
        <v>1148</v>
      </c>
      <c r="M521" s="41">
        <v>41339</v>
      </c>
      <c r="N521" s="40" t="s">
        <v>110</v>
      </c>
      <c r="O521" s="42"/>
      <c r="P521" s="40"/>
      <c r="Q521" s="120">
        <f>[3]PPL_RCGS1MS!G21</f>
        <v>42461</v>
      </c>
      <c r="R521" s="120">
        <f>[3]PPL_RCGS1MS!H21</f>
        <v>42491</v>
      </c>
      <c r="S521" s="120">
        <f>[3]PPL_RCGS1MS!I21</f>
        <v>42522</v>
      </c>
      <c r="T521" s="120">
        <f>[3]PPL_RCGS1MS!J21</f>
        <v>42552</v>
      </c>
      <c r="U521" s="120">
        <f>[3]PPL_RCGS1MS!K21</f>
        <v>42583</v>
      </c>
      <c r="V521" s="91"/>
    </row>
    <row r="522" spans="1:22" x14ac:dyDescent="0.2">
      <c r="A522" s="48">
        <f t="shared" si="19"/>
        <v>514</v>
      </c>
      <c r="B522" s="43">
        <v>14</v>
      </c>
      <c r="C522" s="43">
        <v>33</v>
      </c>
      <c r="D522" s="38" t="s">
        <v>632</v>
      </c>
      <c r="E522" s="44" t="s">
        <v>194</v>
      </c>
      <c r="F522" s="44" t="s">
        <v>5</v>
      </c>
      <c r="G522" s="44" t="s">
        <v>108</v>
      </c>
      <c r="H522" s="44" t="s">
        <v>12</v>
      </c>
      <c r="I522" s="44" t="s">
        <v>12</v>
      </c>
      <c r="J522" s="44" t="s">
        <v>14</v>
      </c>
      <c r="K522" s="44" t="s">
        <v>123</v>
      </c>
      <c r="L522" s="40">
        <v>1149</v>
      </c>
      <c r="M522" s="41">
        <v>41339</v>
      </c>
      <c r="N522" s="40" t="s">
        <v>110</v>
      </c>
      <c r="O522" s="42"/>
      <c r="P522" s="40"/>
      <c r="Q522" s="120">
        <f>[3]PPL_RCGS3MS!G21</f>
        <v>42461</v>
      </c>
      <c r="R522" s="120">
        <f>[3]PPL_RCGS3MS!H21</f>
        <v>42491</v>
      </c>
      <c r="S522" s="120">
        <f>[3]PPL_RCGS3MS!I21</f>
        <v>42522</v>
      </c>
      <c r="T522" s="120">
        <f>[3]PPL_RCGS3MS!J21</f>
        <v>42552</v>
      </c>
      <c r="U522" s="120">
        <f>[3]PPL_RCGS3MS!K21</f>
        <v>42583</v>
      </c>
      <c r="V522" s="91"/>
    </row>
    <row r="523" spans="1:22" x14ac:dyDescent="0.2">
      <c r="A523" s="48">
        <f t="shared" ref="A523:A586" si="20">A522+1</f>
        <v>515</v>
      </c>
      <c r="B523" s="43">
        <v>14</v>
      </c>
      <c r="C523" s="43">
        <v>34</v>
      </c>
      <c r="D523" s="38" t="s">
        <v>633</v>
      </c>
      <c r="E523" s="44" t="s">
        <v>196</v>
      </c>
      <c r="F523" s="44" t="s">
        <v>29</v>
      </c>
      <c r="G523" s="44" t="s">
        <v>108</v>
      </c>
      <c r="H523" s="44" t="s">
        <v>34</v>
      </c>
      <c r="I523" s="44" t="s">
        <v>34</v>
      </c>
      <c r="J523" s="44" t="s">
        <v>35</v>
      </c>
      <c r="K523" s="44" t="s">
        <v>197</v>
      </c>
      <c r="L523" s="40">
        <v>1150</v>
      </c>
      <c r="M523" s="41">
        <v>41339</v>
      </c>
      <c r="N523" s="40" t="s">
        <v>110</v>
      </c>
      <c r="O523" s="42"/>
      <c r="P523" s="40"/>
      <c r="Q523" s="120">
        <f>'[3]PSEG LP_GLP_MMS'!G21</f>
        <v>42461</v>
      </c>
      <c r="R523" s="120">
        <f>'[3]PSEG LP_GLP_MMS'!H21</f>
        <v>42491</v>
      </c>
      <c r="S523" s="120">
        <f>'[3]PSEG LP_GLP_MMS'!I21</f>
        <v>42522</v>
      </c>
      <c r="T523" s="120">
        <f>'[3]PSEG LP_GLP_MMS'!J21</f>
        <v>42552</v>
      </c>
      <c r="U523" s="120">
        <f>'[3]PSEG LP_GLP_MMS'!K21</f>
        <v>42583</v>
      </c>
      <c r="V523" s="91"/>
    </row>
    <row r="524" spans="1:22" x14ac:dyDescent="0.2">
      <c r="A524" s="48">
        <f t="shared" si="20"/>
        <v>516</v>
      </c>
      <c r="B524" s="43">
        <v>14</v>
      </c>
      <c r="C524" s="43">
        <v>35</v>
      </c>
      <c r="D524" s="38" t="s">
        <v>634</v>
      </c>
      <c r="E524" s="44" t="s">
        <v>199</v>
      </c>
      <c r="F524" s="44" t="s">
        <v>29</v>
      </c>
      <c r="G524" s="44" t="s">
        <v>108</v>
      </c>
      <c r="H524" s="44" t="s">
        <v>34</v>
      </c>
      <c r="I524" s="44" t="s">
        <v>34</v>
      </c>
      <c r="J524" s="44" t="s">
        <v>36</v>
      </c>
      <c r="K524" s="44" t="s">
        <v>200</v>
      </c>
      <c r="L524" s="40">
        <v>1151</v>
      </c>
      <c r="M524" s="41">
        <v>41339</v>
      </c>
      <c r="N524" s="40" t="s">
        <v>110</v>
      </c>
      <c r="O524" s="42"/>
      <c r="P524" s="40"/>
      <c r="Q524" s="120">
        <f>'[3]PSEG LP_LPLMS'!G21</f>
        <v>42461</v>
      </c>
      <c r="R524" s="120">
        <f>'[3]PSEG LP_LPLMS'!H21</f>
        <v>42491</v>
      </c>
      <c r="S524" s="120">
        <f>'[3]PSEG LP_LPLMS'!I21</f>
        <v>42522</v>
      </c>
      <c r="T524" s="120">
        <f>'[3]PSEG LP_LPLMS'!J21</f>
        <v>42552</v>
      </c>
      <c r="U524" s="120">
        <f>'[3]PSEG LP_LPLMS'!K21</f>
        <v>42583</v>
      </c>
      <c r="V524" s="91"/>
    </row>
    <row r="525" spans="1:22" x14ac:dyDescent="0.2">
      <c r="A525" s="48">
        <f t="shared" si="20"/>
        <v>517</v>
      </c>
      <c r="B525" s="43">
        <v>14</v>
      </c>
      <c r="C525" s="43">
        <v>36</v>
      </c>
      <c r="D525" s="38" t="s">
        <v>635</v>
      </c>
      <c r="E525" s="44" t="s">
        <v>202</v>
      </c>
      <c r="F525" s="44" t="s">
        <v>5</v>
      </c>
      <c r="G525" s="44" t="s">
        <v>108</v>
      </c>
      <c r="H525" s="44" t="s">
        <v>15</v>
      </c>
      <c r="I525" s="44" t="s">
        <v>203</v>
      </c>
      <c r="J525" s="44" t="s">
        <v>16</v>
      </c>
      <c r="K525" s="44" t="s">
        <v>128</v>
      </c>
      <c r="L525" s="40">
        <v>1152</v>
      </c>
      <c r="M525" s="41">
        <v>41339</v>
      </c>
      <c r="N525" s="40" t="s">
        <v>110</v>
      </c>
      <c r="O525" s="42"/>
      <c r="P525" s="40"/>
      <c r="Q525" s="120">
        <f>'[3]West Penn Power LP_GSCMMS'!G21</f>
        <v>42461</v>
      </c>
      <c r="R525" s="120">
        <f>'[3]West Penn Power LP_GSCMMS'!H21</f>
        <v>42491</v>
      </c>
      <c r="S525" s="120">
        <f>'[3]West Penn Power LP_GSCMMS'!I21</f>
        <v>42522</v>
      </c>
      <c r="T525" s="120">
        <f>'[3]West Penn Power LP_GSCMMS'!J21</f>
        <v>42552</v>
      </c>
      <c r="U525" s="120">
        <f>'[3]West Penn Power LP_GSCMMS'!K21</f>
        <v>42583</v>
      </c>
      <c r="V525" s="91"/>
    </row>
    <row r="526" spans="1:22" x14ac:dyDescent="0.2">
      <c r="A526" s="48">
        <f t="shared" si="20"/>
        <v>518</v>
      </c>
      <c r="B526" s="20"/>
      <c r="C526" s="20"/>
      <c r="D526" s="20"/>
      <c r="Q526" s="121"/>
      <c r="R526" s="121"/>
      <c r="S526" s="121"/>
      <c r="T526" s="121"/>
      <c r="U526" s="121"/>
    </row>
    <row r="527" spans="1:22" x14ac:dyDescent="0.2">
      <c r="A527" s="48">
        <f t="shared" si="20"/>
        <v>519</v>
      </c>
      <c r="B527" s="43">
        <v>15</v>
      </c>
      <c r="C527" s="43">
        <v>1</v>
      </c>
      <c r="D527" s="38" t="s">
        <v>600</v>
      </c>
      <c r="E527" s="44" t="s">
        <v>107</v>
      </c>
      <c r="F527" s="44" t="s">
        <v>29</v>
      </c>
      <c r="G527" s="44" t="s">
        <v>108</v>
      </c>
      <c r="H527" s="44" t="s">
        <v>30</v>
      </c>
      <c r="I527" s="44" t="s">
        <v>30</v>
      </c>
      <c r="J527" s="44" t="s">
        <v>31</v>
      </c>
      <c r="K527" s="44" t="s">
        <v>109</v>
      </c>
      <c r="L527" s="40">
        <v>1117</v>
      </c>
      <c r="M527" s="41">
        <v>41339</v>
      </c>
      <c r="N527" s="40" t="s">
        <v>110</v>
      </c>
      <c r="O527" s="42"/>
      <c r="P527" s="40"/>
      <c r="Q527" s="120">
        <f>'[3]AECO LP_10V1_SMS'!G526</f>
        <v>0</v>
      </c>
      <c r="R527" s="120">
        <f>'[3]AECO LP_10V1_SMS'!H526</f>
        <v>0</v>
      </c>
      <c r="S527" s="120">
        <f>'[3]AECO LP_10V1_SMS'!I526</f>
        <v>0</v>
      </c>
      <c r="T527" s="120">
        <f>'[3]AECO LP_10V1_SMS'!J526</f>
        <v>0</v>
      </c>
      <c r="U527" s="120">
        <f>'[3]AECO LP_10V1_SMS'!K526</f>
        <v>0</v>
      </c>
      <c r="V527" s="91"/>
    </row>
    <row r="528" spans="1:22" x14ac:dyDescent="0.2">
      <c r="A528" s="48">
        <f t="shared" si="20"/>
        <v>520</v>
      </c>
      <c r="B528" s="43">
        <v>15</v>
      </c>
      <c r="C528" s="43">
        <v>2</v>
      </c>
      <c r="D528" s="38" t="s">
        <v>601</v>
      </c>
      <c r="E528" s="44" t="s">
        <v>112</v>
      </c>
      <c r="F528" s="44" t="s">
        <v>29</v>
      </c>
      <c r="G528" s="44" t="s">
        <v>108</v>
      </c>
      <c r="H528" s="44" t="s">
        <v>30</v>
      </c>
      <c r="I528" s="44" t="s">
        <v>30</v>
      </c>
      <c r="J528" s="44" t="s">
        <v>32</v>
      </c>
      <c r="K528" s="44" t="s">
        <v>113</v>
      </c>
      <c r="L528" s="40">
        <v>1118</v>
      </c>
      <c r="M528" s="41">
        <v>41339</v>
      </c>
      <c r="N528" s="40" t="s">
        <v>110</v>
      </c>
      <c r="O528" s="42"/>
      <c r="P528" s="40"/>
      <c r="Q528" s="120">
        <f>'[3]AECO LP_14V1_MMS'!G526</f>
        <v>0</v>
      </c>
      <c r="R528" s="120">
        <f>'[3]AECO LP_14V1_MMS'!H526</f>
        <v>0</v>
      </c>
      <c r="S528" s="120">
        <f>'[3]AECO LP_14V1_MMS'!I526</f>
        <v>0</v>
      </c>
      <c r="T528" s="120">
        <f>'[3]AECO LP_14V1_MMS'!J526</f>
        <v>0</v>
      </c>
      <c r="U528" s="120">
        <f>'[3]AECO LP_14V1_MMS'!K526</f>
        <v>0</v>
      </c>
      <c r="V528" s="91"/>
    </row>
    <row r="529" spans="1:22" x14ac:dyDescent="0.2">
      <c r="A529" s="48">
        <f t="shared" si="20"/>
        <v>521</v>
      </c>
      <c r="B529" s="43">
        <v>15</v>
      </c>
      <c r="C529" s="43">
        <v>3</v>
      </c>
      <c r="D529" s="38" t="s">
        <v>602</v>
      </c>
      <c r="E529" s="44" t="s">
        <v>115</v>
      </c>
      <c r="F529" s="44" t="s">
        <v>18</v>
      </c>
      <c r="G529" s="44" t="s">
        <v>108</v>
      </c>
      <c r="H529" s="44" t="s">
        <v>61</v>
      </c>
      <c r="I529" s="44" t="s">
        <v>116</v>
      </c>
      <c r="J529" s="44" t="s">
        <v>13</v>
      </c>
      <c r="K529" s="44" t="s">
        <v>117</v>
      </c>
      <c r="L529" s="40">
        <v>1119</v>
      </c>
      <c r="M529" s="41">
        <v>41339</v>
      </c>
      <c r="N529" s="40" t="s">
        <v>110</v>
      </c>
      <c r="O529" s="42"/>
      <c r="P529" s="40"/>
      <c r="Q529" s="120">
        <f>'[3]AEP_OH_CS - test CSGS1MS'!G526</f>
        <v>0</v>
      </c>
      <c r="R529" s="120">
        <f>'[3]AEP_OH_CS - test CSGS1MS'!H526</f>
        <v>0</v>
      </c>
      <c r="S529" s="120">
        <f>'[3]AEP_OH_CS - test CSGS1MS'!I526</f>
        <v>0</v>
      </c>
      <c r="T529" s="120">
        <f>'[3]AEP_OH_CS - test CSGS1MS'!J526</f>
        <v>0</v>
      </c>
      <c r="U529" s="120">
        <f>'[3]AEP_OH_CS - test CSGS1MS'!K526</f>
        <v>0</v>
      </c>
      <c r="V529" s="91"/>
    </row>
    <row r="530" spans="1:22" x14ac:dyDescent="0.2">
      <c r="A530" s="48">
        <f t="shared" si="20"/>
        <v>522</v>
      </c>
      <c r="B530" s="43">
        <v>15</v>
      </c>
      <c r="C530" s="43">
        <v>4</v>
      </c>
      <c r="D530" s="38" t="s">
        <v>603</v>
      </c>
      <c r="E530" s="44" t="s">
        <v>119</v>
      </c>
      <c r="F530" s="44" t="s">
        <v>18</v>
      </c>
      <c r="G530" s="44" t="s">
        <v>108</v>
      </c>
      <c r="H530" s="44" t="s">
        <v>61</v>
      </c>
      <c r="I530" s="44" t="s">
        <v>116</v>
      </c>
      <c r="J530" s="44" t="s">
        <v>19</v>
      </c>
      <c r="K530" s="44" t="s">
        <v>120</v>
      </c>
      <c r="L530" s="40">
        <v>1120</v>
      </c>
      <c r="M530" s="41">
        <v>41339</v>
      </c>
      <c r="N530" s="40" t="s">
        <v>110</v>
      </c>
      <c r="O530" s="42"/>
      <c r="P530" s="40"/>
      <c r="Q530" s="120">
        <f>'[3]AEP_OH_CS - test CSGS2UMS'!G526</f>
        <v>0</v>
      </c>
      <c r="R530" s="120">
        <f>'[3]AEP_OH_CS - test CSGS2UMS'!H526</f>
        <v>0</v>
      </c>
      <c r="S530" s="120">
        <f>'[3]AEP_OH_CS - test CSGS2UMS'!I526</f>
        <v>0</v>
      </c>
      <c r="T530" s="120">
        <f>'[3]AEP_OH_CS - test CSGS2UMS'!J526</f>
        <v>0</v>
      </c>
      <c r="U530" s="120">
        <f>'[3]AEP_OH_CS - test CSGS2UMS'!K526</f>
        <v>0</v>
      </c>
      <c r="V530" s="91"/>
    </row>
    <row r="531" spans="1:22" x14ac:dyDescent="0.2">
      <c r="A531" s="48">
        <f t="shared" si="20"/>
        <v>523</v>
      </c>
      <c r="B531" s="43">
        <v>15</v>
      </c>
      <c r="C531" s="43">
        <v>5</v>
      </c>
      <c r="D531" s="38" t="s">
        <v>604</v>
      </c>
      <c r="E531" s="44" t="s">
        <v>122</v>
      </c>
      <c r="F531" s="44" t="s">
        <v>18</v>
      </c>
      <c r="G531" s="44" t="s">
        <v>108</v>
      </c>
      <c r="H531" s="44" t="s">
        <v>61</v>
      </c>
      <c r="I531" s="44" t="s">
        <v>116</v>
      </c>
      <c r="J531" s="44" t="s">
        <v>14</v>
      </c>
      <c r="K531" s="44" t="s">
        <v>123</v>
      </c>
      <c r="L531" s="40">
        <v>1121</v>
      </c>
      <c r="M531" s="41">
        <v>41339</v>
      </c>
      <c r="N531" s="40" t="s">
        <v>110</v>
      </c>
      <c r="O531" s="42"/>
      <c r="P531" s="40"/>
      <c r="Q531" s="120">
        <f>'[3]AEP_OH_CS - test CSGS3UMS'!G526</f>
        <v>0</v>
      </c>
      <c r="R531" s="120">
        <f>'[3]AEP_OH_CS - test CSGS3UMS'!H526</f>
        <v>0</v>
      </c>
      <c r="S531" s="120">
        <f>'[3]AEP_OH_CS - test CSGS3UMS'!I526</f>
        <v>0</v>
      </c>
      <c r="T531" s="120">
        <f>'[3]AEP_OH_CS - test CSGS3UMS'!J526</f>
        <v>0</v>
      </c>
      <c r="U531" s="120">
        <f>'[3]AEP_OH_CS - test CSGS3UMS'!K526</f>
        <v>0</v>
      </c>
      <c r="V531" s="91"/>
    </row>
    <row r="532" spans="1:22" x14ac:dyDescent="0.2">
      <c r="A532" s="48">
        <f t="shared" si="20"/>
        <v>524</v>
      </c>
      <c r="B532" s="43">
        <v>15</v>
      </c>
      <c r="C532" s="43">
        <v>6</v>
      </c>
      <c r="D532" s="38" t="s">
        <v>605</v>
      </c>
      <c r="E532" s="44" t="s">
        <v>125</v>
      </c>
      <c r="F532" s="44" t="s">
        <v>23</v>
      </c>
      <c r="G532" s="44" t="s">
        <v>126</v>
      </c>
      <c r="H532" s="44" t="s">
        <v>127</v>
      </c>
      <c r="I532" s="44" t="s">
        <v>27</v>
      </c>
      <c r="J532" s="44" t="s">
        <v>28</v>
      </c>
      <c r="K532" s="44" t="s">
        <v>128</v>
      </c>
      <c r="L532" s="40">
        <v>1122</v>
      </c>
      <c r="M532" s="41">
        <v>41339</v>
      </c>
      <c r="N532" s="40" t="s">
        <v>110</v>
      </c>
      <c r="O532" s="42"/>
      <c r="P532" s="40"/>
      <c r="Q532" s="120">
        <f>'[3]Ameren RateZnIII LP DS2HHMS'!G526</f>
        <v>0</v>
      </c>
      <c r="R532" s="120">
        <f>'[3]Ameren RateZnIII LP DS2HHMS'!H526</f>
        <v>0</v>
      </c>
      <c r="S532" s="120">
        <f>'[3]Ameren RateZnIII LP DS2HHMS'!I526</f>
        <v>0</v>
      </c>
      <c r="T532" s="120">
        <f>'[3]Ameren RateZnIII LP DS2HHMS'!J526</f>
        <v>0</v>
      </c>
      <c r="U532" s="120">
        <f>'[3]Ameren RateZnIII LP DS2HHMS'!K526</f>
        <v>0</v>
      </c>
      <c r="V532" s="91"/>
    </row>
    <row r="533" spans="1:22" x14ac:dyDescent="0.2">
      <c r="A533" s="48">
        <f t="shared" si="20"/>
        <v>525</v>
      </c>
      <c r="B533" s="43">
        <v>15</v>
      </c>
      <c r="C533" s="43">
        <v>7</v>
      </c>
      <c r="D533" s="38" t="s">
        <v>606</v>
      </c>
      <c r="E533" s="44" t="s">
        <v>130</v>
      </c>
      <c r="F533" s="44" t="s">
        <v>37</v>
      </c>
      <c r="G533" s="44" t="s">
        <v>108</v>
      </c>
      <c r="H533" s="44" t="s">
        <v>38</v>
      </c>
      <c r="I533" s="44" t="s">
        <v>38</v>
      </c>
      <c r="J533" s="44" t="s">
        <v>40</v>
      </c>
      <c r="K533" s="44" t="s">
        <v>123</v>
      </c>
      <c r="L533" s="40">
        <v>1124</v>
      </c>
      <c r="M533" s="41">
        <v>41339</v>
      </c>
      <c r="N533" s="40" t="s">
        <v>110</v>
      </c>
      <c r="O533" s="42"/>
      <c r="P533" s="40"/>
      <c r="Q533" s="120">
        <f>'[3]BGE LP_GLMS'!G526</f>
        <v>0</v>
      </c>
      <c r="R533" s="120">
        <f>'[3]BGE LP_GLMS'!H526</f>
        <v>0</v>
      </c>
      <c r="S533" s="120">
        <f>'[3]BGE LP_GLMS'!I526</f>
        <v>0</v>
      </c>
      <c r="T533" s="120">
        <f>'[3]BGE LP_GLMS'!J526</f>
        <v>0</v>
      </c>
      <c r="U533" s="120">
        <f>'[3]BGE LP_GLMS'!K526</f>
        <v>0</v>
      </c>
      <c r="V533" s="91"/>
    </row>
    <row r="534" spans="1:22" x14ac:dyDescent="0.2">
      <c r="A534" s="48">
        <f t="shared" si="20"/>
        <v>526</v>
      </c>
      <c r="B534" s="43">
        <v>15</v>
      </c>
      <c r="C534" s="43">
        <v>8</v>
      </c>
      <c r="D534" s="38" t="s">
        <v>607</v>
      </c>
      <c r="E534" s="44" t="s">
        <v>132</v>
      </c>
      <c r="F534" s="44" t="s">
        <v>37</v>
      </c>
      <c r="G534" s="44" t="s">
        <v>108</v>
      </c>
      <c r="H534" s="44" t="s">
        <v>38</v>
      </c>
      <c r="I534" s="44" t="s">
        <v>38</v>
      </c>
      <c r="J534" s="44" t="s">
        <v>39</v>
      </c>
      <c r="K534" s="44" t="s">
        <v>120</v>
      </c>
      <c r="L534" s="40">
        <v>1123</v>
      </c>
      <c r="M534" s="41">
        <v>41339</v>
      </c>
      <c r="N534" s="40" t="s">
        <v>110</v>
      </c>
      <c r="O534" s="42"/>
      <c r="P534" s="40"/>
      <c r="Q534" s="120">
        <f>'[3]BGE LP_GMS'!G526</f>
        <v>0</v>
      </c>
      <c r="R534" s="120">
        <f>'[3]BGE LP_GMS'!H526</f>
        <v>0</v>
      </c>
      <c r="S534" s="120">
        <f>'[3]BGE LP_GMS'!I526</f>
        <v>0</v>
      </c>
      <c r="T534" s="120">
        <f>'[3]BGE LP_GMS'!J526</f>
        <v>0</v>
      </c>
      <c r="U534" s="120">
        <f>'[3]BGE LP_GMS'!K526</f>
        <v>0</v>
      </c>
      <c r="V534" s="91"/>
    </row>
    <row r="535" spans="1:22" x14ac:dyDescent="0.2">
      <c r="A535" s="48">
        <f t="shared" si="20"/>
        <v>527</v>
      </c>
      <c r="B535" s="43">
        <v>15</v>
      </c>
      <c r="C535" s="43">
        <v>9</v>
      </c>
      <c r="D535" s="38" t="s">
        <v>608</v>
      </c>
      <c r="E535" s="44" t="s">
        <v>134</v>
      </c>
      <c r="F535" s="44" t="s">
        <v>37</v>
      </c>
      <c r="G535" s="44" t="s">
        <v>108</v>
      </c>
      <c r="H535" s="44" t="s">
        <v>38</v>
      </c>
      <c r="I535" s="44" t="s">
        <v>38</v>
      </c>
      <c r="J535" s="44" t="s">
        <v>6</v>
      </c>
      <c r="K535" s="44" t="s">
        <v>117</v>
      </c>
      <c r="L535" s="40">
        <v>1125</v>
      </c>
      <c r="M535" s="41">
        <v>41339</v>
      </c>
      <c r="N535" s="40" t="s">
        <v>110</v>
      </c>
      <c r="O535" s="42"/>
      <c r="P535" s="40"/>
      <c r="Q535" s="120">
        <f>'[3]BGE LP_GSMS'!G526</f>
        <v>0</v>
      </c>
      <c r="R535" s="120">
        <f>'[3]BGE LP_GSMS'!H526</f>
        <v>0</v>
      </c>
      <c r="S535" s="120">
        <f>'[3]BGE LP_GSMS'!I526</f>
        <v>0</v>
      </c>
      <c r="T535" s="120">
        <f>'[3]BGE LP_GSMS'!J526</f>
        <v>0</v>
      </c>
      <c r="U535" s="120">
        <f>'[3]BGE LP_GSMS'!K526</f>
        <v>0</v>
      </c>
      <c r="V535" s="91"/>
    </row>
    <row r="536" spans="1:22" x14ac:dyDescent="0.2">
      <c r="A536" s="48">
        <f t="shared" si="20"/>
        <v>528</v>
      </c>
      <c r="B536" s="43">
        <v>15</v>
      </c>
      <c r="C536" s="43">
        <v>10</v>
      </c>
      <c r="D536" s="38" t="s">
        <v>609</v>
      </c>
      <c r="E536" s="44" t="s">
        <v>136</v>
      </c>
      <c r="F536" s="44" t="s">
        <v>23</v>
      </c>
      <c r="G536" s="44" t="s">
        <v>108</v>
      </c>
      <c r="H536" s="44" t="s">
        <v>137</v>
      </c>
      <c r="I536" s="44" t="s">
        <v>24</v>
      </c>
      <c r="J536" s="44" t="s">
        <v>25</v>
      </c>
      <c r="K536" s="44" t="s">
        <v>138</v>
      </c>
      <c r="L536" s="40">
        <v>1126</v>
      </c>
      <c r="M536" s="41">
        <v>41339</v>
      </c>
      <c r="N536" s="40" t="s">
        <v>110</v>
      </c>
      <c r="O536" s="42"/>
      <c r="P536" s="40"/>
      <c r="Q536" s="120">
        <f>'[3]ComEd - test LP_28MS'!G526</f>
        <v>0</v>
      </c>
      <c r="R536" s="120">
        <f>'[3]ComEd - test LP_28MS'!H526</f>
        <v>0</v>
      </c>
      <c r="S536" s="120">
        <f>'[3]ComEd - test LP_28MS'!I526</f>
        <v>0</v>
      </c>
      <c r="T536" s="120">
        <f>'[3]ComEd - test LP_28MS'!J526</f>
        <v>0</v>
      </c>
      <c r="U536" s="120">
        <f>'[3]ComEd - test LP_28MS'!K526</f>
        <v>0</v>
      </c>
      <c r="V536" s="91"/>
    </row>
    <row r="537" spans="1:22" x14ac:dyDescent="0.2">
      <c r="A537" s="48">
        <f t="shared" si="20"/>
        <v>529</v>
      </c>
      <c r="B537" s="43">
        <v>15</v>
      </c>
      <c r="C537" s="43">
        <v>11</v>
      </c>
      <c r="D537" s="38" t="s">
        <v>610</v>
      </c>
      <c r="E537" s="44" t="s">
        <v>140</v>
      </c>
      <c r="F537" s="44" t="s">
        <v>23</v>
      </c>
      <c r="G537" s="44" t="s">
        <v>108</v>
      </c>
      <c r="H537" s="44" t="s">
        <v>137</v>
      </c>
      <c r="I537" s="44" t="s">
        <v>24</v>
      </c>
      <c r="J537" s="44" t="s">
        <v>26</v>
      </c>
      <c r="K537" s="44" t="s">
        <v>141</v>
      </c>
      <c r="L537" s="40">
        <v>1127</v>
      </c>
      <c r="M537" s="41">
        <v>41339</v>
      </c>
      <c r="N537" s="40" t="s">
        <v>110</v>
      </c>
      <c r="O537" s="42"/>
      <c r="P537" s="40"/>
      <c r="Q537" s="120">
        <f>'[3]ComEd - test LP_29MS'!G526</f>
        <v>0</v>
      </c>
      <c r="R537" s="120">
        <f>'[3]ComEd - test LP_29MS'!H526</f>
        <v>0</v>
      </c>
      <c r="S537" s="120">
        <f>'[3]ComEd - test LP_29MS'!I526</f>
        <v>0</v>
      </c>
      <c r="T537" s="120">
        <f>'[3]ComEd - test LP_29MS'!J526</f>
        <v>0</v>
      </c>
      <c r="U537" s="120">
        <f>'[3]ComEd - test LP_29MS'!K526</f>
        <v>0</v>
      </c>
      <c r="V537" s="91"/>
    </row>
    <row r="538" spans="1:22" x14ac:dyDescent="0.2">
      <c r="A538" s="48">
        <f t="shared" si="20"/>
        <v>530</v>
      </c>
      <c r="B538" s="43">
        <v>15</v>
      </c>
      <c r="C538" s="43">
        <v>12</v>
      </c>
      <c r="D538" s="38" t="s">
        <v>611</v>
      </c>
      <c r="E538" s="44" t="s">
        <v>143</v>
      </c>
      <c r="F538" s="44" t="s">
        <v>18</v>
      </c>
      <c r="G538" s="44" t="s">
        <v>108</v>
      </c>
      <c r="H538" s="44" t="s">
        <v>94</v>
      </c>
      <c r="I538" s="44" t="s">
        <v>144</v>
      </c>
      <c r="J538" s="44" t="s">
        <v>20</v>
      </c>
      <c r="K538" s="44" t="s">
        <v>145</v>
      </c>
      <c r="L538" s="40">
        <v>1128</v>
      </c>
      <c r="M538" s="41">
        <v>41339</v>
      </c>
      <c r="N538" s="40" t="s">
        <v>110</v>
      </c>
      <c r="O538" s="42"/>
      <c r="P538" s="40"/>
      <c r="Q538" s="120">
        <f>[3]DAY_RC_843MS!G526</f>
        <v>0</v>
      </c>
      <c r="R538" s="120">
        <f>[3]DAY_RC_843MS!H526</f>
        <v>0</v>
      </c>
      <c r="S538" s="120">
        <f>[3]DAY_RC_843MS!I526</f>
        <v>0</v>
      </c>
      <c r="T538" s="120">
        <f>[3]DAY_RC_843MS!J526</f>
        <v>0</v>
      </c>
      <c r="U538" s="120">
        <f>[3]DAY_RC_843MS!K526</f>
        <v>0</v>
      </c>
      <c r="V538" s="91"/>
    </row>
    <row r="539" spans="1:22" x14ac:dyDescent="0.2">
      <c r="A539" s="48">
        <f t="shared" si="20"/>
        <v>531</v>
      </c>
      <c r="B539" s="43">
        <v>15</v>
      </c>
      <c r="C539" s="43">
        <v>13</v>
      </c>
      <c r="D539" s="38" t="s">
        <v>612</v>
      </c>
      <c r="E539" s="44" t="s">
        <v>147</v>
      </c>
      <c r="F539" s="44" t="s">
        <v>37</v>
      </c>
      <c r="G539" s="44" t="s">
        <v>108</v>
      </c>
      <c r="H539" s="44" t="s">
        <v>41</v>
      </c>
      <c r="I539" s="44" t="s">
        <v>41</v>
      </c>
      <c r="J539" s="44" t="s">
        <v>6</v>
      </c>
      <c r="K539" s="44" t="s">
        <v>128</v>
      </c>
      <c r="L539" s="40">
        <v>1129</v>
      </c>
      <c r="M539" s="41">
        <v>41339</v>
      </c>
      <c r="N539" s="40" t="s">
        <v>110</v>
      </c>
      <c r="O539" s="42"/>
      <c r="P539" s="40"/>
      <c r="Q539" s="120">
        <f>'[3]Delmarva MD LP_MDGS_MMS'!G526</f>
        <v>0</v>
      </c>
      <c r="R539" s="120">
        <f>'[3]Delmarva MD LP_MDGS_MMS'!H526</f>
        <v>0</v>
      </c>
      <c r="S539" s="120">
        <f>'[3]Delmarva MD LP_MDGS_MMS'!I526</f>
        <v>0</v>
      </c>
      <c r="T539" s="120">
        <f>'[3]Delmarva MD LP_MDGS_MMS'!J526</f>
        <v>0</v>
      </c>
      <c r="U539" s="120">
        <f>'[3]Delmarva MD LP_MDGS_MMS'!K526</f>
        <v>0</v>
      </c>
      <c r="V539" s="91"/>
    </row>
    <row r="540" spans="1:22" x14ac:dyDescent="0.2">
      <c r="A540" s="48">
        <f t="shared" si="20"/>
        <v>532</v>
      </c>
      <c r="B540" s="43">
        <v>15</v>
      </c>
      <c r="C540" s="43">
        <v>14</v>
      </c>
      <c r="D540" s="38" t="s">
        <v>613</v>
      </c>
      <c r="E540" s="44" t="s">
        <v>149</v>
      </c>
      <c r="F540" s="44" t="s">
        <v>5</v>
      </c>
      <c r="G540" s="44" t="s">
        <v>108</v>
      </c>
      <c r="H540" s="44" t="s">
        <v>46</v>
      </c>
      <c r="I540" s="44" t="s">
        <v>46</v>
      </c>
      <c r="J540" s="44" t="s">
        <v>6</v>
      </c>
      <c r="K540" s="44" t="s">
        <v>128</v>
      </c>
      <c r="L540" s="40">
        <v>1130</v>
      </c>
      <c r="M540" s="41">
        <v>41339</v>
      </c>
      <c r="N540" s="40" t="s">
        <v>110</v>
      </c>
      <c r="O540" s="42"/>
      <c r="P540" s="40"/>
      <c r="Q540" s="120">
        <f>'[3]DQE LP_GSGM_MMS'!G526</f>
        <v>0</v>
      </c>
      <c r="R540" s="120">
        <f>'[3]DQE LP_GSGM_MMS'!H526</f>
        <v>0</v>
      </c>
      <c r="S540" s="120">
        <f>'[3]DQE LP_GSGM_MMS'!I526</f>
        <v>0</v>
      </c>
      <c r="T540" s="120">
        <f>'[3]DQE LP_GSGM_MMS'!J526</f>
        <v>0</v>
      </c>
      <c r="U540" s="120">
        <f>'[3]DQE LP_GSGM_MMS'!K526</f>
        <v>0</v>
      </c>
      <c r="V540" s="91"/>
    </row>
    <row r="541" spans="1:22" x14ac:dyDescent="0.2">
      <c r="A541" s="48">
        <f t="shared" si="20"/>
        <v>533</v>
      </c>
      <c r="B541" s="43">
        <v>15</v>
      </c>
      <c r="C541" s="43">
        <v>15</v>
      </c>
      <c r="D541" s="38" t="s">
        <v>614</v>
      </c>
      <c r="E541" s="44" t="s">
        <v>151</v>
      </c>
      <c r="F541" s="44" t="s">
        <v>18</v>
      </c>
      <c r="G541" s="44" t="s">
        <v>108</v>
      </c>
      <c r="H541" s="44" t="s">
        <v>21</v>
      </c>
      <c r="I541" s="44" t="s">
        <v>152</v>
      </c>
      <c r="J541" s="44" t="s">
        <v>22</v>
      </c>
      <c r="K541" s="44" t="s">
        <v>128</v>
      </c>
      <c r="L541" s="40">
        <v>1131</v>
      </c>
      <c r="M541" s="41">
        <v>41339</v>
      </c>
      <c r="N541" s="40" t="s">
        <v>110</v>
      </c>
      <c r="O541" s="42"/>
      <c r="P541" s="40"/>
      <c r="Q541" s="120">
        <f>[3]Duke_OH_RC_DS01MS!G526</f>
        <v>0</v>
      </c>
      <c r="R541" s="120">
        <f>[3]Duke_OH_RC_DS01MS!H526</f>
        <v>0</v>
      </c>
      <c r="S541" s="120">
        <f>[3]Duke_OH_RC_DS01MS!I526</f>
        <v>0</v>
      </c>
      <c r="T541" s="120">
        <f>[3]Duke_OH_RC_DS01MS!J526</f>
        <v>0</v>
      </c>
      <c r="U541" s="120">
        <f>[3]Duke_OH_RC_DS01MS!K526</f>
        <v>0</v>
      </c>
      <c r="V541" s="91"/>
    </row>
    <row r="542" spans="1:22" x14ac:dyDescent="0.2">
      <c r="A542" s="48">
        <f t="shared" si="20"/>
        <v>534</v>
      </c>
      <c r="B542" s="43">
        <v>15</v>
      </c>
      <c r="C542" s="43">
        <v>16</v>
      </c>
      <c r="D542" s="38" t="s">
        <v>615</v>
      </c>
      <c r="E542" s="44" t="s">
        <v>154</v>
      </c>
      <c r="F542" s="44" t="s">
        <v>18</v>
      </c>
      <c r="G542" s="44" t="s">
        <v>108</v>
      </c>
      <c r="H542" s="44" t="s">
        <v>62</v>
      </c>
      <c r="I542" s="44" t="s">
        <v>155</v>
      </c>
      <c r="J542" s="44" t="s">
        <v>6</v>
      </c>
      <c r="K542" s="44" t="s">
        <v>128</v>
      </c>
      <c r="L542" s="40">
        <v>1132</v>
      </c>
      <c r="M542" s="41">
        <v>41339</v>
      </c>
      <c r="N542" s="40" t="s">
        <v>110</v>
      </c>
      <c r="O542" s="42"/>
      <c r="P542" s="40"/>
      <c r="Q542" s="120">
        <f>'[3]FE_OE - test RC_GSFMS'!G526</f>
        <v>0</v>
      </c>
      <c r="R542" s="120">
        <f>'[3]FE_OE - test RC_GSFMS'!H526</f>
        <v>0</v>
      </c>
      <c r="S542" s="120">
        <f>'[3]FE_OE - test RC_GSFMS'!I526</f>
        <v>0</v>
      </c>
      <c r="T542" s="120">
        <f>'[3]FE_OE - test RC_GSFMS'!J526</f>
        <v>0</v>
      </c>
      <c r="U542" s="120">
        <f>'[3]FE_OE - test RC_GSFMS'!K526</f>
        <v>0</v>
      </c>
      <c r="V542" s="91"/>
    </row>
    <row r="543" spans="1:22" x14ac:dyDescent="0.2">
      <c r="A543" s="48">
        <f t="shared" si="20"/>
        <v>535</v>
      </c>
      <c r="B543" s="43">
        <v>15</v>
      </c>
      <c r="C543" s="43">
        <v>17</v>
      </c>
      <c r="D543" s="38" t="s">
        <v>616</v>
      </c>
      <c r="E543" s="44" t="s">
        <v>157</v>
      </c>
      <c r="F543" s="44" t="s">
        <v>29</v>
      </c>
      <c r="G543" s="44" t="s">
        <v>108</v>
      </c>
      <c r="H543" s="44" t="s">
        <v>33</v>
      </c>
      <c r="I543" s="44" t="s">
        <v>33</v>
      </c>
      <c r="J543" s="44" t="s">
        <v>7</v>
      </c>
      <c r="K543" s="44" t="s">
        <v>123</v>
      </c>
      <c r="L543" s="40">
        <v>1133</v>
      </c>
      <c r="M543" s="41">
        <v>41339</v>
      </c>
      <c r="N543" s="40" t="s">
        <v>110</v>
      </c>
      <c r="O543" s="42"/>
      <c r="P543" s="40"/>
      <c r="Q543" s="120">
        <f>'[3]JCPL LP_GSCLMS'!G526</f>
        <v>0</v>
      </c>
      <c r="R543" s="120">
        <f>'[3]JCPL LP_GSCLMS'!H526</f>
        <v>0</v>
      </c>
      <c r="S543" s="120">
        <f>'[3]JCPL LP_GSCLMS'!I526</f>
        <v>0</v>
      </c>
      <c r="T543" s="120">
        <f>'[3]JCPL LP_GSCLMS'!J526</f>
        <v>0</v>
      </c>
      <c r="U543" s="120">
        <f>'[3]JCPL LP_GSCLMS'!K526</f>
        <v>0</v>
      </c>
      <c r="V543" s="91"/>
    </row>
    <row r="544" spans="1:22" x14ac:dyDescent="0.2">
      <c r="A544" s="48">
        <f t="shared" si="20"/>
        <v>536</v>
      </c>
      <c r="B544" s="43">
        <v>15</v>
      </c>
      <c r="C544" s="43">
        <v>18</v>
      </c>
      <c r="D544" s="38" t="s">
        <v>617</v>
      </c>
      <c r="E544" s="44" t="s">
        <v>159</v>
      </c>
      <c r="F544" s="44" t="s">
        <v>29</v>
      </c>
      <c r="G544" s="44" t="s">
        <v>108</v>
      </c>
      <c r="H544" s="44" t="s">
        <v>33</v>
      </c>
      <c r="I544" s="44" t="s">
        <v>33</v>
      </c>
      <c r="J544" s="44" t="s">
        <v>8</v>
      </c>
      <c r="K544" s="44" t="s">
        <v>120</v>
      </c>
      <c r="L544" s="40">
        <v>1134</v>
      </c>
      <c r="M544" s="41">
        <v>41339</v>
      </c>
      <c r="N544" s="40" t="s">
        <v>110</v>
      </c>
      <c r="O544" s="42"/>
      <c r="P544" s="40"/>
      <c r="Q544" s="120">
        <f>'[3]JCPL LP_GSCMMS'!G526</f>
        <v>0</v>
      </c>
      <c r="R544" s="120">
        <f>'[3]JCPL LP_GSCMMS'!H526</f>
        <v>0</v>
      </c>
      <c r="S544" s="120">
        <f>'[3]JCPL LP_GSCMMS'!I526</f>
        <v>0</v>
      </c>
      <c r="T544" s="120">
        <f>'[3]JCPL LP_GSCMMS'!J526</f>
        <v>0</v>
      </c>
      <c r="U544" s="120">
        <f>'[3]JCPL LP_GSCMMS'!K526</f>
        <v>0</v>
      </c>
      <c r="V544" s="91"/>
    </row>
    <row r="545" spans="1:22" x14ac:dyDescent="0.2">
      <c r="A545" s="48">
        <f t="shared" si="20"/>
        <v>537</v>
      </c>
      <c r="B545" s="43">
        <v>15</v>
      </c>
      <c r="C545" s="43">
        <v>19</v>
      </c>
      <c r="D545" s="38" t="s">
        <v>618</v>
      </c>
      <c r="E545" s="44" t="s">
        <v>161</v>
      </c>
      <c r="F545" s="44" t="s">
        <v>29</v>
      </c>
      <c r="G545" s="44" t="s">
        <v>108</v>
      </c>
      <c r="H545" s="44" t="s">
        <v>33</v>
      </c>
      <c r="I545" s="44" t="s">
        <v>33</v>
      </c>
      <c r="J545" s="44" t="s">
        <v>9</v>
      </c>
      <c r="K545" s="44" t="s">
        <v>117</v>
      </c>
      <c r="L545" s="40">
        <v>1135</v>
      </c>
      <c r="M545" s="41">
        <v>41339</v>
      </c>
      <c r="N545" s="40" t="s">
        <v>110</v>
      </c>
      <c r="O545" s="42"/>
      <c r="P545" s="40"/>
      <c r="Q545" s="120">
        <f>'[3]JCPL LP_GSCSMS'!G526</f>
        <v>0</v>
      </c>
      <c r="R545" s="120">
        <f>'[3]JCPL LP_GSCSMS'!H526</f>
        <v>0</v>
      </c>
      <c r="S545" s="120">
        <f>'[3]JCPL LP_GSCSMS'!I526</f>
        <v>0</v>
      </c>
      <c r="T545" s="120">
        <f>'[3]JCPL LP_GSCSMS'!J526</f>
        <v>0</v>
      </c>
      <c r="U545" s="120">
        <f>'[3]JCPL LP_GSCSMS'!K526</f>
        <v>0</v>
      </c>
      <c r="V545" s="91"/>
    </row>
    <row r="546" spans="1:22" x14ac:dyDescent="0.2">
      <c r="A546" s="48">
        <f t="shared" si="20"/>
        <v>538</v>
      </c>
      <c r="B546" s="43">
        <v>15</v>
      </c>
      <c r="C546" s="43">
        <v>20</v>
      </c>
      <c r="D546" s="38" t="s">
        <v>619</v>
      </c>
      <c r="E546" s="44" t="s">
        <v>163</v>
      </c>
      <c r="F546" s="44" t="s">
        <v>5</v>
      </c>
      <c r="G546" s="44" t="s">
        <v>108</v>
      </c>
      <c r="H546" s="44" t="s">
        <v>164</v>
      </c>
      <c r="I546" s="44" t="s">
        <v>165</v>
      </c>
      <c r="J546" s="44" t="s">
        <v>7</v>
      </c>
      <c r="K546" s="44" t="s">
        <v>123</v>
      </c>
      <c r="L546" s="40">
        <v>1137</v>
      </c>
      <c r="M546" s="41">
        <v>41339</v>
      </c>
      <c r="N546" s="40" t="s">
        <v>110</v>
      </c>
      <c r="O546" s="42"/>
      <c r="P546" s="40"/>
      <c r="Q546" s="120">
        <f>'[3]MetEd RC_GSLFMS'!G526</f>
        <v>0</v>
      </c>
      <c r="R546" s="120">
        <f>'[3]MetEd RC_GSLFMS'!H526</f>
        <v>0</v>
      </c>
      <c r="S546" s="120">
        <f>'[3]MetEd RC_GSLFMS'!I526</f>
        <v>0</v>
      </c>
      <c r="T546" s="120">
        <f>'[3]MetEd RC_GSLFMS'!J526</f>
        <v>0</v>
      </c>
      <c r="U546" s="120">
        <f>'[3]MetEd RC_GSLFMS'!K526</f>
        <v>0</v>
      </c>
      <c r="V546" s="91"/>
    </row>
    <row r="547" spans="1:22" x14ac:dyDescent="0.2">
      <c r="A547" s="48">
        <f t="shared" si="20"/>
        <v>539</v>
      </c>
      <c r="B547" s="43">
        <v>15</v>
      </c>
      <c r="C547" s="43">
        <v>21</v>
      </c>
      <c r="D547" s="38" t="s">
        <v>620</v>
      </c>
      <c r="E547" s="44" t="s">
        <v>167</v>
      </c>
      <c r="F547" s="44" t="s">
        <v>5</v>
      </c>
      <c r="G547" s="44" t="s">
        <v>108</v>
      </c>
      <c r="H547" s="44" t="s">
        <v>164</v>
      </c>
      <c r="I547" s="44" t="s">
        <v>165</v>
      </c>
      <c r="J547" s="44" t="s">
        <v>8</v>
      </c>
      <c r="K547" s="44" t="s">
        <v>120</v>
      </c>
      <c r="L547" s="40">
        <v>1136</v>
      </c>
      <c r="M547" s="41">
        <v>41339</v>
      </c>
      <c r="N547" s="40" t="s">
        <v>110</v>
      </c>
      <c r="O547" s="42"/>
      <c r="P547" s="40"/>
      <c r="Q547" s="120">
        <f>'[3]MetEd RC_GSDFMS'!G526</f>
        <v>0</v>
      </c>
      <c r="R547" s="120">
        <f>'[3]MetEd RC_GSDFMS'!H526</f>
        <v>0</v>
      </c>
      <c r="S547" s="120">
        <f>'[3]MetEd RC_GSDFMS'!I526</f>
        <v>0</v>
      </c>
      <c r="T547" s="120">
        <f>'[3]MetEd RC_GSDFMS'!J526</f>
        <v>0</v>
      </c>
      <c r="U547" s="120">
        <f>'[3]MetEd RC_GSDFMS'!K526</f>
        <v>0</v>
      </c>
      <c r="V547" s="91"/>
    </row>
    <row r="548" spans="1:22" x14ac:dyDescent="0.2">
      <c r="A548" s="48">
        <f t="shared" si="20"/>
        <v>540</v>
      </c>
      <c r="B548" s="43">
        <v>15</v>
      </c>
      <c r="C548" s="43">
        <v>22</v>
      </c>
      <c r="D548" s="38" t="s">
        <v>621</v>
      </c>
      <c r="E548" s="44" t="s">
        <v>169</v>
      </c>
      <c r="F548" s="44" t="s">
        <v>5</v>
      </c>
      <c r="G548" s="44" t="s">
        <v>108</v>
      </c>
      <c r="H548" s="44" t="s">
        <v>164</v>
      </c>
      <c r="I548" s="44" t="s">
        <v>165</v>
      </c>
      <c r="J548" s="44" t="s">
        <v>9</v>
      </c>
      <c r="K548" s="44" t="s">
        <v>117</v>
      </c>
      <c r="L548" s="40">
        <v>1138</v>
      </c>
      <c r="M548" s="41">
        <v>41339</v>
      </c>
      <c r="N548" s="40" t="s">
        <v>110</v>
      </c>
      <c r="O548" s="42"/>
      <c r="P548" s="40"/>
      <c r="Q548" s="120">
        <f>'[3]MetEd RC_GSSFMS'!G526</f>
        <v>0</v>
      </c>
      <c r="R548" s="120">
        <f>'[3]MetEd RC_GSSFMS'!H526</f>
        <v>0</v>
      </c>
      <c r="S548" s="120">
        <f>'[3]MetEd RC_GSSFMS'!I526</f>
        <v>0</v>
      </c>
      <c r="T548" s="120">
        <f>'[3]MetEd RC_GSSFMS'!J526</f>
        <v>0</v>
      </c>
      <c r="U548" s="120">
        <f>'[3]MetEd RC_GSSFMS'!K526</f>
        <v>0</v>
      </c>
      <c r="V548" s="91"/>
    </row>
    <row r="549" spans="1:22" x14ac:dyDescent="0.2">
      <c r="A549" s="48">
        <f t="shared" si="20"/>
        <v>541</v>
      </c>
      <c r="B549" s="43">
        <v>15</v>
      </c>
      <c r="C549" s="43">
        <v>23</v>
      </c>
      <c r="D549" s="38" t="s">
        <v>622</v>
      </c>
      <c r="E549" s="44" t="s">
        <v>171</v>
      </c>
      <c r="F549" s="44" t="s">
        <v>5</v>
      </c>
      <c r="G549" s="44" t="s">
        <v>108</v>
      </c>
      <c r="H549" s="44" t="s">
        <v>11</v>
      </c>
      <c r="I549" s="44" t="s">
        <v>11</v>
      </c>
      <c r="J549" s="44" t="s">
        <v>6</v>
      </c>
      <c r="K549" s="44" t="s">
        <v>128</v>
      </c>
      <c r="L549" s="40">
        <v>1139</v>
      </c>
      <c r="M549" s="41">
        <v>41339</v>
      </c>
      <c r="N549" s="40" t="s">
        <v>110</v>
      </c>
      <c r="O549" s="42"/>
      <c r="P549" s="40"/>
      <c r="Q549" s="120">
        <f>'[3]PECO LP_GSMS'!G526</f>
        <v>0</v>
      </c>
      <c r="R549" s="120">
        <f>'[3]PECO LP_GSMS'!H526</f>
        <v>0</v>
      </c>
      <c r="S549" s="120">
        <f>'[3]PECO LP_GSMS'!I526</f>
        <v>0</v>
      </c>
      <c r="T549" s="120">
        <f>'[3]PECO LP_GSMS'!J526</f>
        <v>0</v>
      </c>
      <c r="U549" s="120">
        <f>'[3]PECO LP_GSMS'!K526</f>
        <v>0</v>
      </c>
      <c r="V549" s="91"/>
    </row>
    <row r="550" spans="1:22" x14ac:dyDescent="0.2">
      <c r="A550" s="48">
        <f t="shared" si="20"/>
        <v>542</v>
      </c>
      <c r="B550" s="43">
        <v>15</v>
      </c>
      <c r="C550" s="43">
        <v>24</v>
      </c>
      <c r="D550" s="38" t="s">
        <v>623</v>
      </c>
      <c r="E550" s="44" t="s">
        <v>173</v>
      </c>
      <c r="F550" s="44" t="s">
        <v>5</v>
      </c>
      <c r="G550" s="44" t="s">
        <v>108</v>
      </c>
      <c r="H550" s="44" t="s">
        <v>10</v>
      </c>
      <c r="I550" s="44" t="s">
        <v>174</v>
      </c>
      <c r="J550" s="44" t="s">
        <v>7</v>
      </c>
      <c r="K550" s="44" t="s">
        <v>123</v>
      </c>
      <c r="L550" s="40">
        <v>1140</v>
      </c>
      <c r="M550" s="41">
        <v>41339</v>
      </c>
      <c r="N550" s="40" t="s">
        <v>110</v>
      </c>
      <c r="O550" s="42"/>
      <c r="P550" s="40"/>
      <c r="Q550" s="120">
        <f>'[3]Penelec RC_GSLFMS'!G526</f>
        <v>0</v>
      </c>
      <c r="R550" s="120">
        <f>'[3]Penelec RC_GSLFMS'!H526</f>
        <v>0</v>
      </c>
      <c r="S550" s="120">
        <f>'[3]Penelec RC_GSLFMS'!I526</f>
        <v>0</v>
      </c>
      <c r="T550" s="120">
        <f>'[3]Penelec RC_GSLFMS'!J526</f>
        <v>0</v>
      </c>
      <c r="U550" s="120">
        <f>'[3]Penelec RC_GSLFMS'!K526</f>
        <v>0</v>
      </c>
      <c r="V550" s="91"/>
    </row>
    <row r="551" spans="1:22" x14ac:dyDescent="0.2">
      <c r="A551" s="48">
        <f t="shared" si="20"/>
        <v>543</v>
      </c>
      <c r="B551" s="43">
        <v>15</v>
      </c>
      <c r="C551" s="43">
        <v>25</v>
      </c>
      <c r="D551" s="38" t="s">
        <v>624</v>
      </c>
      <c r="E551" s="44" t="s">
        <v>176</v>
      </c>
      <c r="F551" s="44" t="s">
        <v>5</v>
      </c>
      <c r="G551" s="44" t="s">
        <v>108</v>
      </c>
      <c r="H551" s="44" t="s">
        <v>10</v>
      </c>
      <c r="I551" s="44" t="s">
        <v>174</v>
      </c>
      <c r="J551" s="44" t="s">
        <v>8</v>
      </c>
      <c r="K551" s="44" t="s">
        <v>120</v>
      </c>
      <c r="L551" s="40">
        <v>1141</v>
      </c>
      <c r="M551" s="41">
        <v>41339</v>
      </c>
      <c r="N551" s="40" t="s">
        <v>110</v>
      </c>
      <c r="O551" s="42"/>
      <c r="P551" s="40"/>
      <c r="Q551" s="120">
        <f>'[3]Penelec RC_GSMFMS'!G526</f>
        <v>0</v>
      </c>
      <c r="R551" s="120">
        <f>'[3]Penelec RC_GSMFMS'!H526</f>
        <v>0</v>
      </c>
      <c r="S551" s="120">
        <f>'[3]Penelec RC_GSMFMS'!I526</f>
        <v>0</v>
      </c>
      <c r="T551" s="120">
        <f>'[3]Penelec RC_GSMFMS'!J526</f>
        <v>0</v>
      </c>
      <c r="U551" s="120">
        <f>'[3]Penelec RC_GSMFMS'!K526</f>
        <v>0</v>
      </c>
      <c r="V551" s="91"/>
    </row>
    <row r="552" spans="1:22" x14ac:dyDescent="0.2">
      <c r="A552" s="48">
        <f t="shared" si="20"/>
        <v>544</v>
      </c>
      <c r="B552" s="43">
        <v>15</v>
      </c>
      <c r="C552" s="43">
        <v>26</v>
      </c>
      <c r="D552" s="38" t="s">
        <v>625</v>
      </c>
      <c r="E552" s="44" t="s">
        <v>178</v>
      </c>
      <c r="F552" s="44" t="s">
        <v>5</v>
      </c>
      <c r="G552" s="44" t="s">
        <v>108</v>
      </c>
      <c r="H552" s="44" t="s">
        <v>10</v>
      </c>
      <c r="I552" s="44" t="s">
        <v>174</v>
      </c>
      <c r="J552" s="44" t="s">
        <v>9</v>
      </c>
      <c r="K552" s="44" t="s">
        <v>117</v>
      </c>
      <c r="L552" s="40">
        <v>1142</v>
      </c>
      <c r="M552" s="41">
        <v>41339</v>
      </c>
      <c r="N552" s="40" t="s">
        <v>110</v>
      </c>
      <c r="O552" s="42"/>
      <c r="P552" s="40"/>
      <c r="Q552" s="120">
        <f>'[3]Penelec RC_GSSFMS'!G526</f>
        <v>0</v>
      </c>
      <c r="R552" s="120">
        <f>'[3]Penelec RC_GSSFMS'!H526</f>
        <v>0</v>
      </c>
      <c r="S552" s="120">
        <f>'[3]Penelec RC_GSSFMS'!I526</f>
        <v>0</v>
      </c>
      <c r="T552" s="120">
        <f>'[3]Penelec RC_GSSFMS'!J526</f>
        <v>0</v>
      </c>
      <c r="U552" s="120">
        <f>'[3]Penelec RC_GSSFMS'!K526</f>
        <v>0</v>
      </c>
      <c r="V552" s="91"/>
    </row>
    <row r="553" spans="1:22" x14ac:dyDescent="0.2">
      <c r="A553" s="48">
        <f t="shared" si="20"/>
        <v>545</v>
      </c>
      <c r="B553" s="43">
        <v>15</v>
      </c>
      <c r="C553" s="43">
        <v>27</v>
      </c>
      <c r="D553" s="38" t="s">
        <v>626</v>
      </c>
      <c r="E553" s="44" t="s">
        <v>180</v>
      </c>
      <c r="F553" s="44" t="s">
        <v>5</v>
      </c>
      <c r="G553" s="44" t="s">
        <v>108</v>
      </c>
      <c r="H553" s="44" t="s">
        <v>91</v>
      </c>
      <c r="I553" s="44" t="s">
        <v>181</v>
      </c>
      <c r="J553" s="44" t="s">
        <v>6</v>
      </c>
      <c r="K553" s="44" t="s">
        <v>128</v>
      </c>
      <c r="L553" s="40">
        <v>1143</v>
      </c>
      <c r="M553" s="41">
        <v>41339</v>
      </c>
      <c r="N553" s="40" t="s">
        <v>110</v>
      </c>
      <c r="O553" s="42"/>
      <c r="P553" s="40"/>
      <c r="Q553" s="120">
        <f>'[3]Penn Power RC_GMDMS'!G526</f>
        <v>0</v>
      </c>
      <c r="R553" s="120">
        <f>'[3]Penn Power RC_GMDMS'!H526</f>
        <v>0</v>
      </c>
      <c r="S553" s="120">
        <f>'[3]Penn Power RC_GMDMS'!I526</f>
        <v>0</v>
      </c>
      <c r="T553" s="120">
        <f>'[3]Penn Power RC_GMDMS'!J526</f>
        <v>0</v>
      </c>
      <c r="U553" s="120">
        <f>'[3]Penn Power RC_GMDMS'!K526</f>
        <v>0</v>
      </c>
      <c r="V553" s="91"/>
    </row>
    <row r="554" spans="1:22" x14ac:dyDescent="0.2">
      <c r="A554" s="48">
        <f t="shared" si="20"/>
        <v>546</v>
      </c>
      <c r="B554" s="43">
        <v>15</v>
      </c>
      <c r="C554" s="43">
        <v>28</v>
      </c>
      <c r="D554" s="38" t="s">
        <v>627</v>
      </c>
      <c r="E554" s="44" t="s">
        <v>183</v>
      </c>
      <c r="F554" s="44" t="s">
        <v>37</v>
      </c>
      <c r="G554" s="44" t="s">
        <v>108</v>
      </c>
      <c r="H554" s="44" t="s">
        <v>42</v>
      </c>
      <c r="I554" s="44" t="s">
        <v>42</v>
      </c>
      <c r="J554" s="44" t="s">
        <v>6</v>
      </c>
      <c r="K554" s="44" t="s">
        <v>128</v>
      </c>
      <c r="L554" s="40">
        <v>1144</v>
      </c>
      <c r="M554" s="41">
        <v>41339</v>
      </c>
      <c r="N554" s="40" t="s">
        <v>110</v>
      </c>
      <c r="O554" s="42"/>
      <c r="P554" s="40"/>
      <c r="Q554" s="120">
        <f>'[3]PEPCO MD LP_MDNDMS'!G526</f>
        <v>0</v>
      </c>
      <c r="R554" s="120">
        <f>'[3]PEPCO MD LP_MDNDMS'!H526</f>
        <v>0</v>
      </c>
      <c r="S554" s="120">
        <f>'[3]PEPCO MD LP_MDNDMS'!I526</f>
        <v>0</v>
      </c>
      <c r="T554" s="120">
        <f>'[3]PEPCO MD LP_MDNDMS'!J526</f>
        <v>0</v>
      </c>
      <c r="U554" s="120">
        <f>'[3]PEPCO MD LP_MDNDMS'!K526</f>
        <v>0</v>
      </c>
      <c r="V554" s="91"/>
    </row>
    <row r="555" spans="1:22" x14ac:dyDescent="0.2">
      <c r="A555" s="48">
        <f t="shared" si="20"/>
        <v>547</v>
      </c>
      <c r="B555" s="43">
        <v>15</v>
      </c>
      <c r="C555" s="43">
        <v>29</v>
      </c>
      <c r="D555" s="38" t="s">
        <v>628</v>
      </c>
      <c r="E555" s="44" t="s">
        <v>185</v>
      </c>
      <c r="F555" s="44" t="s">
        <v>37</v>
      </c>
      <c r="G555" s="44" t="s">
        <v>108</v>
      </c>
      <c r="H555" s="44" t="s">
        <v>42</v>
      </c>
      <c r="I555" s="44" t="s">
        <v>42</v>
      </c>
      <c r="J555" s="44" t="s">
        <v>43</v>
      </c>
      <c r="K555" s="44" t="s">
        <v>186</v>
      </c>
      <c r="L555" s="40">
        <v>1145</v>
      </c>
      <c r="M555" s="41">
        <v>41339</v>
      </c>
      <c r="N555" s="40" t="s">
        <v>110</v>
      </c>
      <c r="O555" s="42"/>
      <c r="P555" s="40"/>
      <c r="Q555" s="120">
        <f>'[3]PEPCO MD LP_MMGTL2AMS'!G526</f>
        <v>0</v>
      </c>
      <c r="R555" s="120">
        <f>'[3]PEPCO MD LP_MMGTL2AMS'!H526</f>
        <v>0</v>
      </c>
      <c r="S555" s="120">
        <f>'[3]PEPCO MD LP_MMGTL2AMS'!I526</f>
        <v>0</v>
      </c>
      <c r="T555" s="120">
        <f>'[3]PEPCO MD LP_MMGTL2AMS'!J526</f>
        <v>0</v>
      </c>
      <c r="U555" s="120">
        <f>'[3]PEPCO MD LP_MMGTL2AMS'!K526</f>
        <v>0</v>
      </c>
      <c r="V555" s="91"/>
    </row>
    <row r="556" spans="1:22" x14ac:dyDescent="0.2">
      <c r="A556" s="48">
        <f t="shared" si="20"/>
        <v>548</v>
      </c>
      <c r="B556" s="43">
        <v>15</v>
      </c>
      <c r="C556" s="43">
        <v>30</v>
      </c>
      <c r="D556" s="38" t="s">
        <v>629</v>
      </c>
      <c r="E556" s="44" t="s">
        <v>188</v>
      </c>
      <c r="F556" s="44" t="s">
        <v>37</v>
      </c>
      <c r="G556" s="44" t="s">
        <v>108</v>
      </c>
      <c r="H556" s="44" t="s">
        <v>42</v>
      </c>
      <c r="I556" s="44" t="s">
        <v>42</v>
      </c>
      <c r="J556" s="44" t="s">
        <v>44</v>
      </c>
      <c r="K556" s="44" t="s">
        <v>44</v>
      </c>
      <c r="L556" s="40">
        <v>1146</v>
      </c>
      <c r="M556" s="41">
        <v>41339</v>
      </c>
      <c r="N556" s="40" t="s">
        <v>110</v>
      </c>
      <c r="O556" s="42"/>
      <c r="P556" s="40"/>
      <c r="Q556" s="120">
        <f>'[3]PEPCO MD RC_3T7MS'!G526</f>
        <v>0</v>
      </c>
      <c r="R556" s="120">
        <f>'[3]PEPCO MD RC_3T7MS'!H526</f>
        <v>0</v>
      </c>
      <c r="S556" s="120">
        <f>'[3]PEPCO MD RC_3T7MS'!I526</f>
        <v>0</v>
      </c>
      <c r="T556" s="120">
        <f>'[3]PEPCO MD RC_3T7MS'!J526</f>
        <v>0</v>
      </c>
      <c r="U556" s="120">
        <f>'[3]PEPCO MD RC_3T7MS'!K526</f>
        <v>0</v>
      </c>
      <c r="V556" s="91"/>
    </row>
    <row r="557" spans="1:22" x14ac:dyDescent="0.2">
      <c r="A557" s="48">
        <f t="shared" si="20"/>
        <v>549</v>
      </c>
      <c r="B557" s="43">
        <v>15</v>
      </c>
      <c r="C557" s="43">
        <v>31</v>
      </c>
      <c r="D557" s="38" t="s">
        <v>630</v>
      </c>
      <c r="E557" s="44" t="s">
        <v>190</v>
      </c>
      <c r="F557" s="44" t="s">
        <v>37</v>
      </c>
      <c r="G557" s="44" t="s">
        <v>108</v>
      </c>
      <c r="H557" s="44" t="s">
        <v>45</v>
      </c>
      <c r="I557" s="44" t="s">
        <v>45</v>
      </c>
      <c r="J557" s="44" t="s">
        <v>6</v>
      </c>
      <c r="K557" s="44" t="s">
        <v>128</v>
      </c>
      <c r="L557" s="40">
        <v>1147</v>
      </c>
      <c r="M557" s="41">
        <v>41339</v>
      </c>
      <c r="N557" s="40" t="s">
        <v>110</v>
      </c>
      <c r="O557" s="42"/>
      <c r="P557" s="40"/>
      <c r="Q557" s="120">
        <f>'[3]Potomac Edison LP_GSCM_MMS'!G526</f>
        <v>0</v>
      </c>
      <c r="R557" s="120">
        <f>'[3]Potomac Edison LP_GSCM_MMS'!H526</f>
        <v>0</v>
      </c>
      <c r="S557" s="120">
        <f>'[3]Potomac Edison LP_GSCM_MMS'!I526</f>
        <v>0</v>
      </c>
      <c r="T557" s="120">
        <f>'[3]Potomac Edison LP_GSCM_MMS'!J526</f>
        <v>0</v>
      </c>
      <c r="U557" s="120">
        <f>'[3]Potomac Edison LP_GSCM_MMS'!K526</f>
        <v>0</v>
      </c>
      <c r="V557" s="91"/>
    </row>
    <row r="558" spans="1:22" x14ac:dyDescent="0.2">
      <c r="A558" s="48">
        <f t="shared" si="20"/>
        <v>550</v>
      </c>
      <c r="B558" s="43">
        <v>15</v>
      </c>
      <c r="C558" s="43">
        <v>32</v>
      </c>
      <c r="D558" s="38" t="s">
        <v>631</v>
      </c>
      <c r="E558" s="44" t="s">
        <v>192</v>
      </c>
      <c r="F558" s="44" t="s">
        <v>5</v>
      </c>
      <c r="G558" s="44" t="s">
        <v>108</v>
      </c>
      <c r="H558" s="44" t="s">
        <v>12</v>
      </c>
      <c r="I558" s="44" t="s">
        <v>12</v>
      </c>
      <c r="J558" s="44" t="s">
        <v>13</v>
      </c>
      <c r="K558" s="44" t="s">
        <v>117</v>
      </c>
      <c r="L558" s="40">
        <v>1148</v>
      </c>
      <c r="M558" s="41">
        <v>41339</v>
      </c>
      <c r="N558" s="40" t="s">
        <v>110</v>
      </c>
      <c r="O558" s="42"/>
      <c r="P558" s="40"/>
      <c r="Q558" s="120">
        <f>[3]PPL_RCGS1MS!G526</f>
        <v>0</v>
      </c>
      <c r="R558" s="120">
        <f>[3]PPL_RCGS1MS!H526</f>
        <v>0</v>
      </c>
      <c r="S558" s="120">
        <f>[3]PPL_RCGS1MS!I526</f>
        <v>0</v>
      </c>
      <c r="T558" s="120">
        <f>[3]PPL_RCGS1MS!J526</f>
        <v>0</v>
      </c>
      <c r="U558" s="120">
        <f>[3]PPL_RCGS1MS!K526</f>
        <v>0</v>
      </c>
      <c r="V558" s="91"/>
    </row>
    <row r="559" spans="1:22" x14ac:dyDescent="0.2">
      <c r="A559" s="48">
        <f t="shared" si="20"/>
        <v>551</v>
      </c>
      <c r="B559" s="43">
        <v>15</v>
      </c>
      <c r="C559" s="43">
        <v>33</v>
      </c>
      <c r="D559" s="38" t="s">
        <v>632</v>
      </c>
      <c r="E559" s="44" t="s">
        <v>194</v>
      </c>
      <c r="F559" s="44" t="s">
        <v>5</v>
      </c>
      <c r="G559" s="44" t="s">
        <v>108</v>
      </c>
      <c r="H559" s="44" t="s">
        <v>12</v>
      </c>
      <c r="I559" s="44" t="s">
        <v>12</v>
      </c>
      <c r="J559" s="44" t="s">
        <v>14</v>
      </c>
      <c r="K559" s="44" t="s">
        <v>123</v>
      </c>
      <c r="L559" s="40">
        <v>1149</v>
      </c>
      <c r="M559" s="41">
        <v>41339</v>
      </c>
      <c r="N559" s="40" t="s">
        <v>110</v>
      </c>
      <c r="O559" s="42"/>
      <c r="P559" s="40"/>
      <c r="Q559" s="120">
        <f>[3]PPL_RCGS3MS!G526</f>
        <v>0</v>
      </c>
      <c r="R559" s="120">
        <f>[3]PPL_RCGS3MS!H526</f>
        <v>0</v>
      </c>
      <c r="S559" s="120">
        <f>[3]PPL_RCGS3MS!I526</f>
        <v>0</v>
      </c>
      <c r="T559" s="120">
        <f>[3]PPL_RCGS3MS!J526</f>
        <v>0</v>
      </c>
      <c r="U559" s="120">
        <f>[3]PPL_RCGS3MS!K526</f>
        <v>0</v>
      </c>
      <c r="V559" s="91"/>
    </row>
    <row r="560" spans="1:22" x14ac:dyDescent="0.2">
      <c r="A560" s="48">
        <f t="shared" si="20"/>
        <v>552</v>
      </c>
      <c r="B560" s="43">
        <v>15</v>
      </c>
      <c r="C560" s="43">
        <v>34</v>
      </c>
      <c r="D560" s="38" t="s">
        <v>633</v>
      </c>
      <c r="E560" s="44" t="s">
        <v>196</v>
      </c>
      <c r="F560" s="44" t="s">
        <v>29</v>
      </c>
      <c r="G560" s="44" t="s">
        <v>108</v>
      </c>
      <c r="H560" s="44" t="s">
        <v>34</v>
      </c>
      <c r="I560" s="44" t="s">
        <v>34</v>
      </c>
      <c r="J560" s="44" t="s">
        <v>35</v>
      </c>
      <c r="K560" s="44" t="s">
        <v>197</v>
      </c>
      <c r="L560" s="40">
        <v>1150</v>
      </c>
      <c r="M560" s="41">
        <v>41339</v>
      </c>
      <c r="N560" s="40" t="s">
        <v>110</v>
      </c>
      <c r="O560" s="42"/>
      <c r="P560" s="40"/>
      <c r="Q560" s="120">
        <f>'[3]PSEG LP_GLP_MMS'!G526</f>
        <v>0</v>
      </c>
      <c r="R560" s="120">
        <f>'[3]PSEG LP_GLP_MMS'!H526</f>
        <v>0</v>
      </c>
      <c r="S560" s="120">
        <f>'[3]PSEG LP_GLP_MMS'!I526</f>
        <v>0</v>
      </c>
      <c r="T560" s="120">
        <f>'[3]PSEG LP_GLP_MMS'!J526</f>
        <v>0</v>
      </c>
      <c r="U560" s="120">
        <f>'[3]PSEG LP_GLP_MMS'!K526</f>
        <v>0</v>
      </c>
      <c r="V560" s="91"/>
    </row>
    <row r="561" spans="1:22" x14ac:dyDescent="0.2">
      <c r="A561" s="48">
        <f t="shared" si="20"/>
        <v>553</v>
      </c>
      <c r="B561" s="43">
        <v>15</v>
      </c>
      <c r="C561" s="43">
        <v>35</v>
      </c>
      <c r="D561" s="38" t="s">
        <v>634</v>
      </c>
      <c r="E561" s="44" t="s">
        <v>199</v>
      </c>
      <c r="F561" s="44" t="s">
        <v>29</v>
      </c>
      <c r="G561" s="44" t="s">
        <v>108</v>
      </c>
      <c r="H561" s="44" t="s">
        <v>34</v>
      </c>
      <c r="I561" s="44" t="s">
        <v>34</v>
      </c>
      <c r="J561" s="44" t="s">
        <v>36</v>
      </c>
      <c r="K561" s="44" t="s">
        <v>200</v>
      </c>
      <c r="L561" s="40">
        <v>1151</v>
      </c>
      <c r="M561" s="41">
        <v>41339</v>
      </c>
      <c r="N561" s="40" t="s">
        <v>110</v>
      </c>
      <c r="O561" s="42"/>
      <c r="P561" s="40"/>
      <c r="Q561" s="120">
        <f>'[3]PSEG LP_LPLMS'!G526</f>
        <v>0</v>
      </c>
      <c r="R561" s="120">
        <f>'[3]PSEG LP_LPLMS'!H526</f>
        <v>0</v>
      </c>
      <c r="S561" s="120">
        <f>'[3]PSEG LP_LPLMS'!I526</f>
        <v>0</v>
      </c>
      <c r="T561" s="120">
        <f>'[3]PSEG LP_LPLMS'!J526</f>
        <v>0</v>
      </c>
      <c r="U561" s="120">
        <f>'[3]PSEG LP_LPLMS'!K526</f>
        <v>0</v>
      </c>
      <c r="V561" s="91"/>
    </row>
    <row r="562" spans="1:22" x14ac:dyDescent="0.2">
      <c r="A562" s="48">
        <f t="shared" si="20"/>
        <v>554</v>
      </c>
      <c r="B562" s="43">
        <v>15</v>
      </c>
      <c r="C562" s="43">
        <v>36</v>
      </c>
      <c r="D562" s="38" t="s">
        <v>635</v>
      </c>
      <c r="E562" s="44" t="s">
        <v>202</v>
      </c>
      <c r="F562" s="44" t="s">
        <v>5</v>
      </c>
      <c r="G562" s="44" t="s">
        <v>108</v>
      </c>
      <c r="H562" s="44" t="s">
        <v>15</v>
      </c>
      <c r="I562" s="44" t="s">
        <v>203</v>
      </c>
      <c r="J562" s="44" t="s">
        <v>16</v>
      </c>
      <c r="K562" s="44" t="s">
        <v>128</v>
      </c>
      <c r="L562" s="40">
        <v>1152</v>
      </c>
      <c r="M562" s="41">
        <v>41339</v>
      </c>
      <c r="N562" s="40" t="s">
        <v>110</v>
      </c>
      <c r="O562" s="42"/>
      <c r="P562" s="40"/>
      <c r="Q562" s="120">
        <f>'[3]West Penn Power LP_GSCMMS'!G526</f>
        <v>0</v>
      </c>
      <c r="R562" s="120">
        <f>'[3]West Penn Power LP_GSCMMS'!H526</f>
        <v>0</v>
      </c>
      <c r="S562" s="120">
        <f>'[3]West Penn Power LP_GSCMMS'!I526</f>
        <v>0</v>
      </c>
      <c r="T562" s="120">
        <f>'[3]West Penn Power LP_GSCMMS'!J526</f>
        <v>0</v>
      </c>
      <c r="U562" s="120">
        <f>'[3]West Penn Power LP_GSCMMS'!K526</f>
        <v>0</v>
      </c>
      <c r="V562" s="91"/>
    </row>
    <row r="563" spans="1:22" x14ac:dyDescent="0.2">
      <c r="A563" s="48">
        <f t="shared" si="20"/>
        <v>555</v>
      </c>
      <c r="B563" s="20"/>
      <c r="C563" s="20"/>
      <c r="D563" s="20"/>
      <c r="Q563" s="121"/>
      <c r="R563" s="121"/>
      <c r="S563" s="121"/>
      <c r="T563" s="121"/>
      <c r="U563" s="121"/>
    </row>
    <row r="564" spans="1:22" x14ac:dyDescent="0.2">
      <c r="A564" s="48">
        <f t="shared" si="20"/>
        <v>556</v>
      </c>
      <c r="B564" s="43">
        <v>16</v>
      </c>
      <c r="C564" s="43">
        <v>1</v>
      </c>
      <c r="D564" s="38" t="s">
        <v>600</v>
      </c>
      <c r="E564" s="44" t="s">
        <v>107</v>
      </c>
      <c r="F564" s="44" t="s">
        <v>29</v>
      </c>
      <c r="G564" s="44" t="s">
        <v>108</v>
      </c>
      <c r="H564" s="44" t="s">
        <v>30</v>
      </c>
      <c r="I564" s="44" t="s">
        <v>30</v>
      </c>
      <c r="J564" s="44" t="s">
        <v>31</v>
      </c>
      <c r="K564" s="44" t="s">
        <v>109</v>
      </c>
      <c r="L564" s="40">
        <v>1117</v>
      </c>
      <c r="M564" s="41">
        <v>41339</v>
      </c>
      <c r="N564" s="40" t="s">
        <v>110</v>
      </c>
      <c r="O564" s="42"/>
      <c r="P564" s="40"/>
      <c r="Q564" s="120">
        <f>'[3]AECO LP_10V1_SMS'!G563</f>
        <v>0</v>
      </c>
      <c r="R564" s="120">
        <f>'[3]AECO LP_10V1_SMS'!H563</f>
        <v>0</v>
      </c>
      <c r="S564" s="120">
        <f>'[3]AECO LP_10V1_SMS'!I563</f>
        <v>0</v>
      </c>
      <c r="T564" s="120">
        <f>'[3]AECO LP_10V1_SMS'!J563</f>
        <v>0</v>
      </c>
      <c r="U564" s="120">
        <f>'[3]AECO LP_10V1_SMS'!K563</f>
        <v>0</v>
      </c>
      <c r="V564" s="91"/>
    </row>
    <row r="565" spans="1:22" x14ac:dyDescent="0.2">
      <c r="A565" s="48">
        <f t="shared" si="20"/>
        <v>557</v>
      </c>
      <c r="B565" s="43">
        <v>16</v>
      </c>
      <c r="C565" s="43">
        <v>2</v>
      </c>
      <c r="D565" s="38" t="s">
        <v>601</v>
      </c>
      <c r="E565" s="44" t="s">
        <v>112</v>
      </c>
      <c r="F565" s="44" t="s">
        <v>29</v>
      </c>
      <c r="G565" s="44" t="s">
        <v>108</v>
      </c>
      <c r="H565" s="44" t="s">
        <v>30</v>
      </c>
      <c r="I565" s="44" t="s">
        <v>30</v>
      </c>
      <c r="J565" s="44" t="s">
        <v>32</v>
      </c>
      <c r="K565" s="44" t="s">
        <v>113</v>
      </c>
      <c r="L565" s="40">
        <v>1118</v>
      </c>
      <c r="M565" s="41">
        <v>41339</v>
      </c>
      <c r="N565" s="40" t="s">
        <v>110</v>
      </c>
      <c r="O565" s="42"/>
      <c r="P565" s="40"/>
      <c r="Q565" s="120">
        <f>'[3]AECO LP_14V1_MMS'!G563</f>
        <v>0</v>
      </c>
      <c r="R565" s="120">
        <f>'[3]AECO LP_14V1_MMS'!H563</f>
        <v>0</v>
      </c>
      <c r="S565" s="120">
        <f>'[3]AECO LP_14V1_MMS'!I563</f>
        <v>0</v>
      </c>
      <c r="T565" s="120">
        <f>'[3]AECO LP_14V1_MMS'!J563</f>
        <v>0</v>
      </c>
      <c r="U565" s="120">
        <f>'[3]AECO LP_14V1_MMS'!K563</f>
        <v>0</v>
      </c>
      <c r="V565" s="91"/>
    </row>
    <row r="566" spans="1:22" x14ac:dyDescent="0.2">
      <c r="A566" s="48">
        <f t="shared" si="20"/>
        <v>558</v>
      </c>
      <c r="B566" s="43">
        <v>16</v>
      </c>
      <c r="C566" s="43">
        <v>3</v>
      </c>
      <c r="D566" s="38" t="s">
        <v>602</v>
      </c>
      <c r="E566" s="44" t="s">
        <v>115</v>
      </c>
      <c r="F566" s="44" t="s">
        <v>18</v>
      </c>
      <c r="G566" s="44" t="s">
        <v>108</v>
      </c>
      <c r="H566" s="44" t="s">
        <v>61</v>
      </c>
      <c r="I566" s="44" t="s">
        <v>116</v>
      </c>
      <c r="J566" s="44" t="s">
        <v>13</v>
      </c>
      <c r="K566" s="44" t="s">
        <v>117</v>
      </c>
      <c r="L566" s="40">
        <v>1119</v>
      </c>
      <c r="M566" s="41">
        <v>41339</v>
      </c>
      <c r="N566" s="40" t="s">
        <v>110</v>
      </c>
      <c r="O566" s="42"/>
      <c r="P566" s="40"/>
      <c r="Q566" s="120">
        <f>'[3]AEP_OH_CS - test CSGS1MS'!G563</f>
        <v>0</v>
      </c>
      <c r="R566" s="120">
        <f>'[3]AEP_OH_CS - test CSGS1MS'!H563</f>
        <v>0</v>
      </c>
      <c r="S566" s="120">
        <f>'[3]AEP_OH_CS - test CSGS1MS'!I563</f>
        <v>0</v>
      </c>
      <c r="T566" s="120">
        <f>'[3]AEP_OH_CS - test CSGS1MS'!J563</f>
        <v>0</v>
      </c>
      <c r="U566" s="120">
        <f>'[3]AEP_OH_CS - test CSGS1MS'!K563</f>
        <v>0</v>
      </c>
      <c r="V566" s="91"/>
    </row>
    <row r="567" spans="1:22" x14ac:dyDescent="0.2">
      <c r="A567" s="48">
        <f t="shared" si="20"/>
        <v>559</v>
      </c>
      <c r="B567" s="43">
        <v>16</v>
      </c>
      <c r="C567" s="43">
        <v>4</v>
      </c>
      <c r="D567" s="38" t="s">
        <v>603</v>
      </c>
      <c r="E567" s="44" t="s">
        <v>119</v>
      </c>
      <c r="F567" s="44" t="s">
        <v>18</v>
      </c>
      <c r="G567" s="44" t="s">
        <v>108</v>
      </c>
      <c r="H567" s="44" t="s">
        <v>61</v>
      </c>
      <c r="I567" s="44" t="s">
        <v>116</v>
      </c>
      <c r="J567" s="44" t="s">
        <v>19</v>
      </c>
      <c r="K567" s="44" t="s">
        <v>120</v>
      </c>
      <c r="L567" s="40">
        <v>1120</v>
      </c>
      <c r="M567" s="41">
        <v>41339</v>
      </c>
      <c r="N567" s="40" t="s">
        <v>110</v>
      </c>
      <c r="O567" s="42"/>
      <c r="P567" s="40"/>
      <c r="Q567" s="120">
        <f>'[3]AEP_OH_CS - test CSGS2UMS'!G563</f>
        <v>0</v>
      </c>
      <c r="R567" s="120">
        <f>'[3]AEP_OH_CS - test CSGS2UMS'!H563</f>
        <v>0</v>
      </c>
      <c r="S567" s="120">
        <f>'[3]AEP_OH_CS - test CSGS2UMS'!I563</f>
        <v>0</v>
      </c>
      <c r="T567" s="120">
        <f>'[3]AEP_OH_CS - test CSGS2UMS'!J563</f>
        <v>0</v>
      </c>
      <c r="U567" s="120">
        <f>'[3]AEP_OH_CS - test CSGS2UMS'!K563</f>
        <v>0</v>
      </c>
      <c r="V567" s="91"/>
    </row>
    <row r="568" spans="1:22" x14ac:dyDescent="0.2">
      <c r="A568" s="48">
        <f t="shared" si="20"/>
        <v>560</v>
      </c>
      <c r="B568" s="43">
        <v>16</v>
      </c>
      <c r="C568" s="43">
        <v>5</v>
      </c>
      <c r="D568" s="38" t="s">
        <v>604</v>
      </c>
      <c r="E568" s="44" t="s">
        <v>122</v>
      </c>
      <c r="F568" s="44" t="s">
        <v>18</v>
      </c>
      <c r="G568" s="44" t="s">
        <v>108</v>
      </c>
      <c r="H568" s="44" t="s">
        <v>61</v>
      </c>
      <c r="I568" s="44" t="s">
        <v>116</v>
      </c>
      <c r="J568" s="44" t="s">
        <v>14</v>
      </c>
      <c r="K568" s="44" t="s">
        <v>123</v>
      </c>
      <c r="L568" s="40">
        <v>1121</v>
      </c>
      <c r="M568" s="41">
        <v>41339</v>
      </c>
      <c r="N568" s="40" t="s">
        <v>110</v>
      </c>
      <c r="O568" s="42"/>
      <c r="P568" s="40"/>
      <c r="Q568" s="120">
        <f>'[3]AEP_OH_CS - test CSGS3UMS'!G563</f>
        <v>0</v>
      </c>
      <c r="R568" s="120">
        <f>'[3]AEP_OH_CS - test CSGS3UMS'!H563</f>
        <v>0</v>
      </c>
      <c r="S568" s="120">
        <f>'[3]AEP_OH_CS - test CSGS3UMS'!I563</f>
        <v>0</v>
      </c>
      <c r="T568" s="120">
        <f>'[3]AEP_OH_CS - test CSGS3UMS'!J563</f>
        <v>0</v>
      </c>
      <c r="U568" s="120">
        <f>'[3]AEP_OH_CS - test CSGS3UMS'!K563</f>
        <v>0</v>
      </c>
      <c r="V568" s="91"/>
    </row>
    <row r="569" spans="1:22" x14ac:dyDescent="0.2">
      <c r="A569" s="48">
        <f t="shared" si="20"/>
        <v>561</v>
      </c>
      <c r="B569" s="43">
        <v>16</v>
      </c>
      <c r="C569" s="43">
        <v>6</v>
      </c>
      <c r="D569" s="38" t="s">
        <v>605</v>
      </c>
      <c r="E569" s="44" t="s">
        <v>125</v>
      </c>
      <c r="F569" s="44" t="s">
        <v>23</v>
      </c>
      <c r="G569" s="44" t="s">
        <v>126</v>
      </c>
      <c r="H569" s="44" t="s">
        <v>127</v>
      </c>
      <c r="I569" s="44" t="s">
        <v>27</v>
      </c>
      <c r="J569" s="44" t="s">
        <v>28</v>
      </c>
      <c r="K569" s="44" t="s">
        <v>128</v>
      </c>
      <c r="L569" s="40">
        <v>1122</v>
      </c>
      <c r="M569" s="41">
        <v>41339</v>
      </c>
      <c r="N569" s="40" t="s">
        <v>110</v>
      </c>
      <c r="O569" s="42"/>
      <c r="P569" s="40"/>
      <c r="Q569" s="120">
        <f>'[3]Ameren RateZnIII LP DS2HHMS'!G563</f>
        <v>0</v>
      </c>
      <c r="R569" s="120">
        <f>'[3]Ameren RateZnIII LP DS2HHMS'!H563</f>
        <v>0</v>
      </c>
      <c r="S569" s="120">
        <f>'[3]Ameren RateZnIII LP DS2HHMS'!I563</f>
        <v>0</v>
      </c>
      <c r="T569" s="120">
        <f>'[3]Ameren RateZnIII LP DS2HHMS'!J563</f>
        <v>0</v>
      </c>
      <c r="U569" s="120">
        <f>'[3]Ameren RateZnIII LP DS2HHMS'!K563</f>
        <v>0</v>
      </c>
      <c r="V569" s="91"/>
    </row>
    <row r="570" spans="1:22" x14ac:dyDescent="0.2">
      <c r="A570" s="48">
        <f t="shared" si="20"/>
        <v>562</v>
      </c>
      <c r="B570" s="43">
        <v>16</v>
      </c>
      <c r="C570" s="43">
        <v>7</v>
      </c>
      <c r="D570" s="38" t="s">
        <v>606</v>
      </c>
      <c r="E570" s="44" t="s">
        <v>130</v>
      </c>
      <c r="F570" s="44" t="s">
        <v>37</v>
      </c>
      <c r="G570" s="44" t="s">
        <v>108</v>
      </c>
      <c r="H570" s="44" t="s">
        <v>38</v>
      </c>
      <c r="I570" s="44" t="s">
        <v>38</v>
      </c>
      <c r="J570" s="44" t="s">
        <v>40</v>
      </c>
      <c r="K570" s="44" t="s">
        <v>123</v>
      </c>
      <c r="L570" s="40">
        <v>1124</v>
      </c>
      <c r="M570" s="41">
        <v>41339</v>
      </c>
      <c r="N570" s="40" t="s">
        <v>110</v>
      </c>
      <c r="O570" s="42"/>
      <c r="P570" s="40"/>
      <c r="Q570" s="120">
        <f>'[3]BGE LP_GLMS'!G563</f>
        <v>0</v>
      </c>
      <c r="R570" s="120">
        <f>'[3]BGE LP_GLMS'!H563</f>
        <v>0</v>
      </c>
      <c r="S570" s="120">
        <f>'[3]BGE LP_GLMS'!I563</f>
        <v>0</v>
      </c>
      <c r="T570" s="120">
        <f>'[3]BGE LP_GLMS'!J563</f>
        <v>0</v>
      </c>
      <c r="U570" s="120">
        <f>'[3]BGE LP_GLMS'!K563</f>
        <v>0</v>
      </c>
      <c r="V570" s="91"/>
    </row>
    <row r="571" spans="1:22" x14ac:dyDescent="0.2">
      <c r="A571" s="48">
        <f t="shared" si="20"/>
        <v>563</v>
      </c>
      <c r="B571" s="43">
        <v>16</v>
      </c>
      <c r="C571" s="43">
        <v>8</v>
      </c>
      <c r="D571" s="38" t="s">
        <v>607</v>
      </c>
      <c r="E571" s="44" t="s">
        <v>132</v>
      </c>
      <c r="F571" s="44" t="s">
        <v>37</v>
      </c>
      <c r="G571" s="44" t="s">
        <v>108</v>
      </c>
      <c r="H571" s="44" t="s">
        <v>38</v>
      </c>
      <c r="I571" s="44" t="s">
        <v>38</v>
      </c>
      <c r="J571" s="44" t="s">
        <v>39</v>
      </c>
      <c r="K571" s="44" t="s">
        <v>120</v>
      </c>
      <c r="L571" s="40">
        <v>1123</v>
      </c>
      <c r="M571" s="41">
        <v>41339</v>
      </c>
      <c r="N571" s="40" t="s">
        <v>110</v>
      </c>
      <c r="O571" s="42"/>
      <c r="P571" s="40"/>
      <c r="Q571" s="120">
        <f>'[3]BGE LP_GMS'!G563</f>
        <v>0</v>
      </c>
      <c r="R571" s="120">
        <f>'[3]BGE LP_GMS'!H563</f>
        <v>0</v>
      </c>
      <c r="S571" s="120">
        <f>'[3]BGE LP_GMS'!I563</f>
        <v>0</v>
      </c>
      <c r="T571" s="120">
        <f>'[3]BGE LP_GMS'!J563</f>
        <v>0</v>
      </c>
      <c r="U571" s="120">
        <f>'[3]BGE LP_GMS'!K563</f>
        <v>0</v>
      </c>
      <c r="V571" s="91"/>
    </row>
    <row r="572" spans="1:22" x14ac:dyDescent="0.2">
      <c r="A572" s="48">
        <f t="shared" si="20"/>
        <v>564</v>
      </c>
      <c r="B572" s="43">
        <v>16</v>
      </c>
      <c r="C572" s="43">
        <v>9</v>
      </c>
      <c r="D572" s="38" t="s">
        <v>608</v>
      </c>
      <c r="E572" s="44" t="s">
        <v>134</v>
      </c>
      <c r="F572" s="44" t="s">
        <v>37</v>
      </c>
      <c r="G572" s="44" t="s">
        <v>108</v>
      </c>
      <c r="H572" s="44" t="s">
        <v>38</v>
      </c>
      <c r="I572" s="44" t="s">
        <v>38</v>
      </c>
      <c r="J572" s="44" t="s">
        <v>6</v>
      </c>
      <c r="K572" s="44" t="s">
        <v>117</v>
      </c>
      <c r="L572" s="40">
        <v>1125</v>
      </c>
      <c r="M572" s="41">
        <v>41339</v>
      </c>
      <c r="N572" s="40" t="s">
        <v>110</v>
      </c>
      <c r="O572" s="42"/>
      <c r="P572" s="40"/>
      <c r="Q572" s="120">
        <f>'[3]BGE LP_GSMS'!G563</f>
        <v>0</v>
      </c>
      <c r="R572" s="120">
        <f>'[3]BGE LP_GSMS'!H563</f>
        <v>0</v>
      </c>
      <c r="S572" s="120">
        <f>'[3]BGE LP_GSMS'!I563</f>
        <v>0</v>
      </c>
      <c r="T572" s="120">
        <f>'[3]BGE LP_GSMS'!J563</f>
        <v>0</v>
      </c>
      <c r="U572" s="120">
        <f>'[3]BGE LP_GSMS'!K563</f>
        <v>0</v>
      </c>
      <c r="V572" s="91"/>
    </row>
    <row r="573" spans="1:22" x14ac:dyDescent="0.2">
      <c r="A573" s="48">
        <f t="shared" si="20"/>
        <v>565</v>
      </c>
      <c r="B573" s="43">
        <v>16</v>
      </c>
      <c r="C573" s="43">
        <v>10</v>
      </c>
      <c r="D573" s="38" t="s">
        <v>609</v>
      </c>
      <c r="E573" s="44" t="s">
        <v>136</v>
      </c>
      <c r="F573" s="44" t="s">
        <v>23</v>
      </c>
      <c r="G573" s="44" t="s">
        <v>108</v>
      </c>
      <c r="H573" s="44" t="s">
        <v>137</v>
      </c>
      <c r="I573" s="44" t="s">
        <v>24</v>
      </c>
      <c r="J573" s="44" t="s">
        <v>25</v>
      </c>
      <c r="K573" s="44" t="s">
        <v>138</v>
      </c>
      <c r="L573" s="40">
        <v>1126</v>
      </c>
      <c r="M573" s="41">
        <v>41339</v>
      </c>
      <c r="N573" s="40" t="s">
        <v>110</v>
      </c>
      <c r="O573" s="42"/>
      <c r="P573" s="40"/>
      <c r="Q573" s="120">
        <f>'[3]ComEd - test LP_28MS'!G563</f>
        <v>0</v>
      </c>
      <c r="R573" s="120">
        <f>'[3]ComEd - test LP_28MS'!H563</f>
        <v>0</v>
      </c>
      <c r="S573" s="120">
        <f>'[3]ComEd - test LP_28MS'!I563</f>
        <v>0</v>
      </c>
      <c r="T573" s="120">
        <f>'[3]ComEd - test LP_28MS'!J563</f>
        <v>0</v>
      </c>
      <c r="U573" s="120">
        <f>'[3]ComEd - test LP_28MS'!K563</f>
        <v>0</v>
      </c>
      <c r="V573" s="91"/>
    </row>
    <row r="574" spans="1:22" x14ac:dyDescent="0.2">
      <c r="A574" s="48">
        <f t="shared" si="20"/>
        <v>566</v>
      </c>
      <c r="B574" s="43">
        <v>16</v>
      </c>
      <c r="C574" s="43">
        <v>11</v>
      </c>
      <c r="D574" s="38" t="s">
        <v>610</v>
      </c>
      <c r="E574" s="44" t="s">
        <v>140</v>
      </c>
      <c r="F574" s="44" t="s">
        <v>23</v>
      </c>
      <c r="G574" s="44" t="s">
        <v>108</v>
      </c>
      <c r="H574" s="44" t="s">
        <v>137</v>
      </c>
      <c r="I574" s="44" t="s">
        <v>24</v>
      </c>
      <c r="J574" s="44" t="s">
        <v>26</v>
      </c>
      <c r="K574" s="44" t="s">
        <v>141</v>
      </c>
      <c r="L574" s="40">
        <v>1127</v>
      </c>
      <c r="M574" s="41">
        <v>41339</v>
      </c>
      <c r="N574" s="40" t="s">
        <v>110</v>
      </c>
      <c r="O574" s="42"/>
      <c r="P574" s="40"/>
      <c r="Q574" s="120">
        <f>'[3]ComEd - test LP_29MS'!G563</f>
        <v>0</v>
      </c>
      <c r="R574" s="120">
        <f>'[3]ComEd - test LP_29MS'!H563</f>
        <v>0</v>
      </c>
      <c r="S574" s="120">
        <f>'[3]ComEd - test LP_29MS'!I563</f>
        <v>0</v>
      </c>
      <c r="T574" s="120">
        <f>'[3]ComEd - test LP_29MS'!J563</f>
        <v>0</v>
      </c>
      <c r="U574" s="120">
        <f>'[3]ComEd - test LP_29MS'!K563</f>
        <v>0</v>
      </c>
      <c r="V574" s="91"/>
    </row>
    <row r="575" spans="1:22" x14ac:dyDescent="0.2">
      <c r="A575" s="48">
        <f t="shared" si="20"/>
        <v>567</v>
      </c>
      <c r="B575" s="43">
        <v>16</v>
      </c>
      <c r="C575" s="43">
        <v>12</v>
      </c>
      <c r="D575" s="38" t="s">
        <v>611</v>
      </c>
      <c r="E575" s="44" t="s">
        <v>143</v>
      </c>
      <c r="F575" s="44" t="s">
        <v>18</v>
      </c>
      <c r="G575" s="44" t="s">
        <v>108</v>
      </c>
      <c r="H575" s="44" t="s">
        <v>94</v>
      </c>
      <c r="I575" s="44" t="s">
        <v>144</v>
      </c>
      <c r="J575" s="44" t="s">
        <v>20</v>
      </c>
      <c r="K575" s="44" t="s">
        <v>145</v>
      </c>
      <c r="L575" s="40">
        <v>1128</v>
      </c>
      <c r="M575" s="41">
        <v>41339</v>
      </c>
      <c r="N575" s="40" t="s">
        <v>110</v>
      </c>
      <c r="O575" s="42"/>
      <c r="P575" s="40"/>
      <c r="Q575" s="120">
        <f>[3]DAY_RC_843MS!G563</f>
        <v>0</v>
      </c>
      <c r="R575" s="120">
        <f>[3]DAY_RC_843MS!H563</f>
        <v>0</v>
      </c>
      <c r="S575" s="120">
        <f>[3]DAY_RC_843MS!I563</f>
        <v>0</v>
      </c>
      <c r="T575" s="120">
        <f>[3]DAY_RC_843MS!J563</f>
        <v>0</v>
      </c>
      <c r="U575" s="120">
        <f>[3]DAY_RC_843MS!K563</f>
        <v>0</v>
      </c>
      <c r="V575" s="91"/>
    </row>
    <row r="576" spans="1:22" x14ac:dyDescent="0.2">
      <c r="A576" s="48">
        <f t="shared" si="20"/>
        <v>568</v>
      </c>
      <c r="B576" s="43">
        <v>16</v>
      </c>
      <c r="C576" s="43">
        <v>13</v>
      </c>
      <c r="D576" s="38" t="s">
        <v>612</v>
      </c>
      <c r="E576" s="44" t="s">
        <v>147</v>
      </c>
      <c r="F576" s="44" t="s">
        <v>37</v>
      </c>
      <c r="G576" s="44" t="s">
        <v>108</v>
      </c>
      <c r="H576" s="44" t="s">
        <v>41</v>
      </c>
      <c r="I576" s="44" t="s">
        <v>41</v>
      </c>
      <c r="J576" s="44" t="s">
        <v>6</v>
      </c>
      <c r="K576" s="44" t="s">
        <v>128</v>
      </c>
      <c r="L576" s="40">
        <v>1129</v>
      </c>
      <c r="M576" s="41">
        <v>41339</v>
      </c>
      <c r="N576" s="40" t="s">
        <v>110</v>
      </c>
      <c r="O576" s="42"/>
      <c r="P576" s="40"/>
      <c r="Q576" s="120">
        <f>'[3]Delmarva MD LP_MDGS_MMS'!G563</f>
        <v>0</v>
      </c>
      <c r="R576" s="120">
        <f>'[3]Delmarva MD LP_MDGS_MMS'!H563</f>
        <v>0</v>
      </c>
      <c r="S576" s="120">
        <f>'[3]Delmarva MD LP_MDGS_MMS'!I563</f>
        <v>0</v>
      </c>
      <c r="T576" s="120">
        <f>'[3]Delmarva MD LP_MDGS_MMS'!J563</f>
        <v>0</v>
      </c>
      <c r="U576" s="120">
        <f>'[3]Delmarva MD LP_MDGS_MMS'!K563</f>
        <v>0</v>
      </c>
      <c r="V576" s="91"/>
    </row>
    <row r="577" spans="1:22" x14ac:dyDescent="0.2">
      <c r="A577" s="48">
        <f t="shared" si="20"/>
        <v>569</v>
      </c>
      <c r="B577" s="43">
        <v>16</v>
      </c>
      <c r="C577" s="43">
        <v>14</v>
      </c>
      <c r="D577" s="38" t="s">
        <v>613</v>
      </c>
      <c r="E577" s="44" t="s">
        <v>149</v>
      </c>
      <c r="F577" s="44" t="s">
        <v>5</v>
      </c>
      <c r="G577" s="44" t="s">
        <v>108</v>
      </c>
      <c r="H577" s="44" t="s">
        <v>46</v>
      </c>
      <c r="I577" s="44" t="s">
        <v>46</v>
      </c>
      <c r="J577" s="44" t="s">
        <v>6</v>
      </c>
      <c r="K577" s="44" t="s">
        <v>128</v>
      </c>
      <c r="L577" s="40">
        <v>1130</v>
      </c>
      <c r="M577" s="41">
        <v>41339</v>
      </c>
      <c r="N577" s="40" t="s">
        <v>110</v>
      </c>
      <c r="O577" s="42"/>
      <c r="P577" s="40"/>
      <c r="Q577" s="120">
        <f>'[3]DQE LP_GSGM_MMS'!G563</f>
        <v>0</v>
      </c>
      <c r="R577" s="120">
        <f>'[3]DQE LP_GSGM_MMS'!H563</f>
        <v>0</v>
      </c>
      <c r="S577" s="120">
        <f>'[3]DQE LP_GSGM_MMS'!I563</f>
        <v>0</v>
      </c>
      <c r="T577" s="120">
        <f>'[3]DQE LP_GSGM_MMS'!J563</f>
        <v>0</v>
      </c>
      <c r="U577" s="120">
        <f>'[3]DQE LP_GSGM_MMS'!K563</f>
        <v>0</v>
      </c>
      <c r="V577" s="91"/>
    </row>
    <row r="578" spans="1:22" x14ac:dyDescent="0.2">
      <c r="A578" s="48">
        <f t="shared" si="20"/>
        <v>570</v>
      </c>
      <c r="B578" s="43">
        <v>16</v>
      </c>
      <c r="C578" s="43">
        <v>15</v>
      </c>
      <c r="D578" s="38" t="s">
        <v>614</v>
      </c>
      <c r="E578" s="44" t="s">
        <v>151</v>
      </c>
      <c r="F578" s="44" t="s">
        <v>18</v>
      </c>
      <c r="G578" s="44" t="s">
        <v>108</v>
      </c>
      <c r="H578" s="44" t="s">
        <v>21</v>
      </c>
      <c r="I578" s="44" t="s">
        <v>152</v>
      </c>
      <c r="J578" s="44" t="s">
        <v>22</v>
      </c>
      <c r="K578" s="44" t="s">
        <v>128</v>
      </c>
      <c r="L578" s="40">
        <v>1131</v>
      </c>
      <c r="M578" s="41">
        <v>41339</v>
      </c>
      <c r="N578" s="40" t="s">
        <v>110</v>
      </c>
      <c r="O578" s="42"/>
      <c r="P578" s="40"/>
      <c r="Q578" s="120">
        <f>[3]Duke_OH_RC_DS01MS!G563</f>
        <v>0</v>
      </c>
      <c r="R578" s="120">
        <f>[3]Duke_OH_RC_DS01MS!H563</f>
        <v>0</v>
      </c>
      <c r="S578" s="120">
        <f>[3]Duke_OH_RC_DS01MS!I563</f>
        <v>0</v>
      </c>
      <c r="T578" s="120">
        <f>[3]Duke_OH_RC_DS01MS!J563</f>
        <v>0</v>
      </c>
      <c r="U578" s="120">
        <f>[3]Duke_OH_RC_DS01MS!K563</f>
        <v>0</v>
      </c>
      <c r="V578" s="91"/>
    </row>
    <row r="579" spans="1:22" x14ac:dyDescent="0.2">
      <c r="A579" s="48">
        <f t="shared" si="20"/>
        <v>571</v>
      </c>
      <c r="B579" s="43">
        <v>16</v>
      </c>
      <c r="C579" s="43">
        <v>16</v>
      </c>
      <c r="D579" s="38" t="s">
        <v>615</v>
      </c>
      <c r="E579" s="44" t="s">
        <v>154</v>
      </c>
      <c r="F579" s="44" t="s">
        <v>18</v>
      </c>
      <c r="G579" s="44" t="s">
        <v>108</v>
      </c>
      <c r="H579" s="44" t="s">
        <v>62</v>
      </c>
      <c r="I579" s="44" t="s">
        <v>155</v>
      </c>
      <c r="J579" s="44" t="s">
        <v>6</v>
      </c>
      <c r="K579" s="44" t="s">
        <v>128</v>
      </c>
      <c r="L579" s="40">
        <v>1132</v>
      </c>
      <c r="M579" s="41">
        <v>41339</v>
      </c>
      <c r="N579" s="40" t="s">
        <v>110</v>
      </c>
      <c r="O579" s="42"/>
      <c r="P579" s="40"/>
      <c r="Q579" s="120">
        <f>'[3]FE_OE - test RC_GSFMS'!G563</f>
        <v>0</v>
      </c>
      <c r="R579" s="120">
        <f>'[3]FE_OE - test RC_GSFMS'!H563</f>
        <v>0</v>
      </c>
      <c r="S579" s="120">
        <f>'[3]FE_OE - test RC_GSFMS'!I563</f>
        <v>0</v>
      </c>
      <c r="T579" s="120">
        <f>'[3]FE_OE - test RC_GSFMS'!J563</f>
        <v>0</v>
      </c>
      <c r="U579" s="120">
        <f>'[3]FE_OE - test RC_GSFMS'!K563</f>
        <v>0</v>
      </c>
      <c r="V579" s="91"/>
    </row>
    <row r="580" spans="1:22" x14ac:dyDescent="0.2">
      <c r="A580" s="48">
        <f t="shared" si="20"/>
        <v>572</v>
      </c>
      <c r="B580" s="43">
        <v>16</v>
      </c>
      <c r="C580" s="43">
        <v>17</v>
      </c>
      <c r="D580" s="38" t="s">
        <v>616</v>
      </c>
      <c r="E580" s="44" t="s">
        <v>157</v>
      </c>
      <c r="F580" s="44" t="s">
        <v>29</v>
      </c>
      <c r="G580" s="44" t="s">
        <v>108</v>
      </c>
      <c r="H580" s="44" t="s">
        <v>33</v>
      </c>
      <c r="I580" s="44" t="s">
        <v>33</v>
      </c>
      <c r="J580" s="44" t="s">
        <v>7</v>
      </c>
      <c r="K580" s="44" t="s">
        <v>123</v>
      </c>
      <c r="L580" s="40">
        <v>1133</v>
      </c>
      <c r="M580" s="41">
        <v>41339</v>
      </c>
      <c r="N580" s="40" t="s">
        <v>110</v>
      </c>
      <c r="O580" s="42"/>
      <c r="P580" s="40"/>
      <c r="Q580" s="120">
        <f>'[3]JCPL LP_GSCLMS'!G563</f>
        <v>0</v>
      </c>
      <c r="R580" s="120">
        <f>'[3]JCPL LP_GSCLMS'!H563</f>
        <v>0</v>
      </c>
      <c r="S580" s="120">
        <f>'[3]JCPL LP_GSCLMS'!I563</f>
        <v>0</v>
      </c>
      <c r="T580" s="120">
        <f>'[3]JCPL LP_GSCLMS'!J563</f>
        <v>0</v>
      </c>
      <c r="U580" s="120">
        <f>'[3]JCPL LP_GSCLMS'!K563</f>
        <v>0</v>
      </c>
      <c r="V580" s="91"/>
    </row>
    <row r="581" spans="1:22" x14ac:dyDescent="0.2">
      <c r="A581" s="48">
        <f t="shared" si="20"/>
        <v>573</v>
      </c>
      <c r="B581" s="43">
        <v>16</v>
      </c>
      <c r="C581" s="43">
        <v>18</v>
      </c>
      <c r="D581" s="38" t="s">
        <v>617</v>
      </c>
      <c r="E581" s="44" t="s">
        <v>159</v>
      </c>
      <c r="F581" s="44" t="s">
        <v>29</v>
      </c>
      <c r="G581" s="44" t="s">
        <v>108</v>
      </c>
      <c r="H581" s="44" t="s">
        <v>33</v>
      </c>
      <c r="I581" s="44" t="s">
        <v>33</v>
      </c>
      <c r="J581" s="44" t="s">
        <v>8</v>
      </c>
      <c r="K581" s="44" t="s">
        <v>120</v>
      </c>
      <c r="L581" s="40">
        <v>1134</v>
      </c>
      <c r="M581" s="41">
        <v>41339</v>
      </c>
      <c r="N581" s="40" t="s">
        <v>110</v>
      </c>
      <c r="O581" s="42"/>
      <c r="P581" s="40"/>
      <c r="Q581" s="120">
        <f>'[3]JCPL LP_GSCMMS'!G563</f>
        <v>0</v>
      </c>
      <c r="R581" s="120">
        <f>'[3]JCPL LP_GSCMMS'!H563</f>
        <v>0</v>
      </c>
      <c r="S581" s="120">
        <f>'[3]JCPL LP_GSCMMS'!I563</f>
        <v>0</v>
      </c>
      <c r="T581" s="120">
        <f>'[3]JCPL LP_GSCMMS'!J563</f>
        <v>0</v>
      </c>
      <c r="U581" s="120">
        <f>'[3]JCPL LP_GSCMMS'!K563</f>
        <v>0</v>
      </c>
      <c r="V581" s="91"/>
    </row>
    <row r="582" spans="1:22" x14ac:dyDescent="0.2">
      <c r="A582" s="48">
        <f t="shared" si="20"/>
        <v>574</v>
      </c>
      <c r="B582" s="43">
        <v>16</v>
      </c>
      <c r="C582" s="43">
        <v>19</v>
      </c>
      <c r="D582" s="38" t="s">
        <v>618</v>
      </c>
      <c r="E582" s="44" t="s">
        <v>161</v>
      </c>
      <c r="F582" s="44" t="s">
        <v>29</v>
      </c>
      <c r="G582" s="44" t="s">
        <v>108</v>
      </c>
      <c r="H582" s="44" t="s">
        <v>33</v>
      </c>
      <c r="I582" s="44" t="s">
        <v>33</v>
      </c>
      <c r="J582" s="44" t="s">
        <v>9</v>
      </c>
      <c r="K582" s="44" t="s">
        <v>117</v>
      </c>
      <c r="L582" s="40">
        <v>1135</v>
      </c>
      <c r="M582" s="41">
        <v>41339</v>
      </c>
      <c r="N582" s="40" t="s">
        <v>110</v>
      </c>
      <c r="O582" s="42"/>
      <c r="P582" s="40"/>
      <c r="Q582" s="120">
        <f>'[3]JCPL LP_GSCSMS'!G563</f>
        <v>0</v>
      </c>
      <c r="R582" s="120">
        <f>'[3]JCPL LP_GSCSMS'!H563</f>
        <v>0</v>
      </c>
      <c r="S582" s="120">
        <f>'[3]JCPL LP_GSCSMS'!I563</f>
        <v>0</v>
      </c>
      <c r="T582" s="120">
        <f>'[3]JCPL LP_GSCSMS'!J563</f>
        <v>0</v>
      </c>
      <c r="U582" s="120">
        <f>'[3]JCPL LP_GSCSMS'!K563</f>
        <v>0</v>
      </c>
      <c r="V582" s="91"/>
    </row>
    <row r="583" spans="1:22" x14ac:dyDescent="0.2">
      <c r="A583" s="48">
        <f t="shared" si="20"/>
        <v>575</v>
      </c>
      <c r="B583" s="43">
        <v>16</v>
      </c>
      <c r="C583" s="43">
        <v>20</v>
      </c>
      <c r="D583" s="38" t="s">
        <v>619</v>
      </c>
      <c r="E583" s="44" t="s">
        <v>163</v>
      </c>
      <c r="F583" s="44" t="s">
        <v>5</v>
      </c>
      <c r="G583" s="44" t="s">
        <v>108</v>
      </c>
      <c r="H583" s="44" t="s">
        <v>164</v>
      </c>
      <c r="I583" s="44" t="s">
        <v>165</v>
      </c>
      <c r="J583" s="44" t="s">
        <v>7</v>
      </c>
      <c r="K583" s="44" t="s">
        <v>123</v>
      </c>
      <c r="L583" s="40">
        <v>1137</v>
      </c>
      <c r="M583" s="41">
        <v>41339</v>
      </c>
      <c r="N583" s="40" t="s">
        <v>110</v>
      </c>
      <c r="O583" s="42"/>
      <c r="P583" s="40"/>
      <c r="Q583" s="120">
        <f>'[3]MetEd RC_GSLFMS'!G563</f>
        <v>0</v>
      </c>
      <c r="R583" s="120">
        <f>'[3]MetEd RC_GSLFMS'!H563</f>
        <v>0</v>
      </c>
      <c r="S583" s="120">
        <f>'[3]MetEd RC_GSLFMS'!I563</f>
        <v>0</v>
      </c>
      <c r="T583" s="120">
        <f>'[3]MetEd RC_GSLFMS'!J563</f>
        <v>0</v>
      </c>
      <c r="U583" s="120">
        <f>'[3]MetEd RC_GSLFMS'!K563</f>
        <v>0</v>
      </c>
      <c r="V583" s="91"/>
    </row>
    <row r="584" spans="1:22" x14ac:dyDescent="0.2">
      <c r="A584" s="48">
        <f t="shared" si="20"/>
        <v>576</v>
      </c>
      <c r="B584" s="43">
        <v>16</v>
      </c>
      <c r="C584" s="43">
        <v>21</v>
      </c>
      <c r="D584" s="38" t="s">
        <v>620</v>
      </c>
      <c r="E584" s="44" t="s">
        <v>167</v>
      </c>
      <c r="F584" s="44" t="s">
        <v>5</v>
      </c>
      <c r="G584" s="44" t="s">
        <v>108</v>
      </c>
      <c r="H584" s="44" t="s">
        <v>164</v>
      </c>
      <c r="I584" s="44" t="s">
        <v>165</v>
      </c>
      <c r="J584" s="44" t="s">
        <v>8</v>
      </c>
      <c r="K584" s="44" t="s">
        <v>120</v>
      </c>
      <c r="L584" s="40">
        <v>1136</v>
      </c>
      <c r="M584" s="41">
        <v>41339</v>
      </c>
      <c r="N584" s="40" t="s">
        <v>110</v>
      </c>
      <c r="O584" s="42"/>
      <c r="P584" s="40"/>
      <c r="Q584" s="120">
        <f>'[3]MetEd RC_GSDFMS'!G563</f>
        <v>0</v>
      </c>
      <c r="R584" s="120">
        <f>'[3]MetEd RC_GSDFMS'!H563</f>
        <v>0</v>
      </c>
      <c r="S584" s="120">
        <f>'[3]MetEd RC_GSDFMS'!I563</f>
        <v>0</v>
      </c>
      <c r="T584" s="120">
        <f>'[3]MetEd RC_GSDFMS'!J563</f>
        <v>0</v>
      </c>
      <c r="U584" s="120">
        <f>'[3]MetEd RC_GSDFMS'!K563</f>
        <v>0</v>
      </c>
      <c r="V584" s="91"/>
    </row>
    <row r="585" spans="1:22" x14ac:dyDescent="0.2">
      <c r="A585" s="48">
        <f t="shared" si="20"/>
        <v>577</v>
      </c>
      <c r="B585" s="43">
        <v>16</v>
      </c>
      <c r="C585" s="43">
        <v>22</v>
      </c>
      <c r="D585" s="38" t="s">
        <v>621</v>
      </c>
      <c r="E585" s="44" t="s">
        <v>169</v>
      </c>
      <c r="F585" s="44" t="s">
        <v>5</v>
      </c>
      <c r="G585" s="44" t="s">
        <v>108</v>
      </c>
      <c r="H585" s="44" t="s">
        <v>164</v>
      </c>
      <c r="I585" s="44" t="s">
        <v>165</v>
      </c>
      <c r="J585" s="44" t="s">
        <v>9</v>
      </c>
      <c r="K585" s="44" t="s">
        <v>117</v>
      </c>
      <c r="L585" s="40">
        <v>1138</v>
      </c>
      <c r="M585" s="41">
        <v>41339</v>
      </c>
      <c r="N585" s="40" t="s">
        <v>110</v>
      </c>
      <c r="O585" s="42"/>
      <c r="P585" s="40"/>
      <c r="Q585" s="120">
        <f>'[3]MetEd RC_GSSFMS'!G563</f>
        <v>0</v>
      </c>
      <c r="R585" s="120">
        <f>'[3]MetEd RC_GSSFMS'!H563</f>
        <v>0</v>
      </c>
      <c r="S585" s="120">
        <f>'[3]MetEd RC_GSSFMS'!I563</f>
        <v>0</v>
      </c>
      <c r="T585" s="120">
        <f>'[3]MetEd RC_GSSFMS'!J563</f>
        <v>0</v>
      </c>
      <c r="U585" s="120">
        <f>'[3]MetEd RC_GSSFMS'!K563</f>
        <v>0</v>
      </c>
      <c r="V585" s="91"/>
    </row>
    <row r="586" spans="1:22" x14ac:dyDescent="0.2">
      <c r="A586" s="48">
        <f t="shared" si="20"/>
        <v>578</v>
      </c>
      <c r="B586" s="43">
        <v>16</v>
      </c>
      <c r="C586" s="43">
        <v>23</v>
      </c>
      <c r="D586" s="38" t="s">
        <v>622</v>
      </c>
      <c r="E586" s="44" t="s">
        <v>171</v>
      </c>
      <c r="F586" s="44" t="s">
        <v>5</v>
      </c>
      <c r="G586" s="44" t="s">
        <v>108</v>
      </c>
      <c r="H586" s="44" t="s">
        <v>11</v>
      </c>
      <c r="I586" s="44" t="s">
        <v>11</v>
      </c>
      <c r="J586" s="44" t="s">
        <v>6</v>
      </c>
      <c r="K586" s="44" t="s">
        <v>128</v>
      </c>
      <c r="L586" s="40">
        <v>1139</v>
      </c>
      <c r="M586" s="41">
        <v>41339</v>
      </c>
      <c r="N586" s="40" t="s">
        <v>110</v>
      </c>
      <c r="O586" s="42"/>
      <c r="P586" s="40"/>
      <c r="Q586" s="120">
        <f>'[3]PECO LP_GSMS'!G563</f>
        <v>0</v>
      </c>
      <c r="R586" s="120">
        <f>'[3]PECO LP_GSMS'!H563</f>
        <v>0</v>
      </c>
      <c r="S586" s="120">
        <f>'[3]PECO LP_GSMS'!I563</f>
        <v>0</v>
      </c>
      <c r="T586" s="120">
        <f>'[3]PECO LP_GSMS'!J563</f>
        <v>0</v>
      </c>
      <c r="U586" s="120">
        <f>'[3]PECO LP_GSMS'!K563</f>
        <v>0</v>
      </c>
      <c r="V586" s="91"/>
    </row>
    <row r="587" spans="1:22" x14ac:dyDescent="0.2">
      <c r="A587" s="48">
        <f t="shared" ref="A587:A650" si="21">A586+1</f>
        <v>579</v>
      </c>
      <c r="B587" s="43">
        <v>16</v>
      </c>
      <c r="C587" s="43">
        <v>24</v>
      </c>
      <c r="D587" s="38" t="s">
        <v>623</v>
      </c>
      <c r="E587" s="44" t="s">
        <v>173</v>
      </c>
      <c r="F587" s="44" t="s">
        <v>5</v>
      </c>
      <c r="G587" s="44" t="s">
        <v>108</v>
      </c>
      <c r="H587" s="44" t="s">
        <v>10</v>
      </c>
      <c r="I587" s="44" t="s">
        <v>174</v>
      </c>
      <c r="J587" s="44" t="s">
        <v>7</v>
      </c>
      <c r="K587" s="44" t="s">
        <v>123</v>
      </c>
      <c r="L587" s="40">
        <v>1140</v>
      </c>
      <c r="M587" s="41">
        <v>41339</v>
      </c>
      <c r="N587" s="40" t="s">
        <v>110</v>
      </c>
      <c r="O587" s="42"/>
      <c r="P587" s="40"/>
      <c r="Q587" s="120">
        <f>'[3]Penelec RC_GSLFMS'!G563</f>
        <v>0</v>
      </c>
      <c r="R587" s="120">
        <f>'[3]Penelec RC_GSLFMS'!H563</f>
        <v>0</v>
      </c>
      <c r="S587" s="120">
        <f>'[3]Penelec RC_GSLFMS'!I563</f>
        <v>0</v>
      </c>
      <c r="T587" s="120">
        <f>'[3]Penelec RC_GSLFMS'!J563</f>
        <v>0</v>
      </c>
      <c r="U587" s="120">
        <f>'[3]Penelec RC_GSLFMS'!K563</f>
        <v>0</v>
      </c>
      <c r="V587" s="91"/>
    </row>
    <row r="588" spans="1:22" x14ac:dyDescent="0.2">
      <c r="A588" s="48">
        <f t="shared" si="21"/>
        <v>580</v>
      </c>
      <c r="B588" s="43">
        <v>16</v>
      </c>
      <c r="C588" s="43">
        <v>25</v>
      </c>
      <c r="D588" s="38" t="s">
        <v>624</v>
      </c>
      <c r="E588" s="44" t="s">
        <v>176</v>
      </c>
      <c r="F588" s="44" t="s">
        <v>5</v>
      </c>
      <c r="G588" s="44" t="s">
        <v>108</v>
      </c>
      <c r="H588" s="44" t="s">
        <v>10</v>
      </c>
      <c r="I588" s="44" t="s">
        <v>174</v>
      </c>
      <c r="J588" s="44" t="s">
        <v>8</v>
      </c>
      <c r="K588" s="44" t="s">
        <v>120</v>
      </c>
      <c r="L588" s="40">
        <v>1141</v>
      </c>
      <c r="M588" s="41">
        <v>41339</v>
      </c>
      <c r="N588" s="40" t="s">
        <v>110</v>
      </c>
      <c r="O588" s="42"/>
      <c r="P588" s="40"/>
      <c r="Q588" s="120">
        <f>'[3]Penelec RC_GSMFMS'!G563</f>
        <v>0</v>
      </c>
      <c r="R588" s="120">
        <f>'[3]Penelec RC_GSMFMS'!H563</f>
        <v>0</v>
      </c>
      <c r="S588" s="120">
        <f>'[3]Penelec RC_GSMFMS'!I563</f>
        <v>0</v>
      </c>
      <c r="T588" s="120">
        <f>'[3]Penelec RC_GSMFMS'!J563</f>
        <v>0</v>
      </c>
      <c r="U588" s="120">
        <f>'[3]Penelec RC_GSMFMS'!K563</f>
        <v>0</v>
      </c>
      <c r="V588" s="91"/>
    </row>
    <row r="589" spans="1:22" x14ac:dyDescent="0.2">
      <c r="A589" s="48">
        <f t="shared" si="21"/>
        <v>581</v>
      </c>
      <c r="B589" s="43">
        <v>16</v>
      </c>
      <c r="C589" s="43">
        <v>26</v>
      </c>
      <c r="D589" s="38" t="s">
        <v>625</v>
      </c>
      <c r="E589" s="44" t="s">
        <v>178</v>
      </c>
      <c r="F589" s="44" t="s">
        <v>5</v>
      </c>
      <c r="G589" s="44" t="s">
        <v>108</v>
      </c>
      <c r="H589" s="44" t="s">
        <v>10</v>
      </c>
      <c r="I589" s="44" t="s">
        <v>174</v>
      </c>
      <c r="J589" s="44" t="s">
        <v>9</v>
      </c>
      <c r="K589" s="44" t="s">
        <v>117</v>
      </c>
      <c r="L589" s="40">
        <v>1142</v>
      </c>
      <c r="M589" s="41">
        <v>41339</v>
      </c>
      <c r="N589" s="40" t="s">
        <v>110</v>
      </c>
      <c r="O589" s="42"/>
      <c r="P589" s="40"/>
      <c r="Q589" s="120">
        <f>'[3]Penelec RC_GSSFMS'!G563</f>
        <v>0</v>
      </c>
      <c r="R589" s="120">
        <f>'[3]Penelec RC_GSSFMS'!H563</f>
        <v>0</v>
      </c>
      <c r="S589" s="120">
        <f>'[3]Penelec RC_GSSFMS'!I563</f>
        <v>0</v>
      </c>
      <c r="T589" s="120">
        <f>'[3]Penelec RC_GSSFMS'!J563</f>
        <v>0</v>
      </c>
      <c r="U589" s="120">
        <f>'[3]Penelec RC_GSSFMS'!K563</f>
        <v>0</v>
      </c>
      <c r="V589" s="91"/>
    </row>
    <row r="590" spans="1:22" x14ac:dyDescent="0.2">
      <c r="A590" s="48">
        <f t="shared" si="21"/>
        <v>582</v>
      </c>
      <c r="B590" s="43">
        <v>16</v>
      </c>
      <c r="C590" s="43">
        <v>27</v>
      </c>
      <c r="D590" s="38" t="s">
        <v>626</v>
      </c>
      <c r="E590" s="44" t="s">
        <v>180</v>
      </c>
      <c r="F590" s="44" t="s">
        <v>5</v>
      </c>
      <c r="G590" s="44" t="s">
        <v>108</v>
      </c>
      <c r="H590" s="44" t="s">
        <v>91</v>
      </c>
      <c r="I590" s="44" t="s">
        <v>181</v>
      </c>
      <c r="J590" s="44" t="s">
        <v>6</v>
      </c>
      <c r="K590" s="44" t="s">
        <v>128</v>
      </c>
      <c r="L590" s="40">
        <v>1143</v>
      </c>
      <c r="M590" s="41">
        <v>41339</v>
      </c>
      <c r="N590" s="40" t="s">
        <v>110</v>
      </c>
      <c r="O590" s="42"/>
      <c r="P590" s="40"/>
      <c r="Q590" s="120">
        <f>'[3]Penn Power RC_GMDMS'!G563</f>
        <v>0</v>
      </c>
      <c r="R590" s="120">
        <f>'[3]Penn Power RC_GMDMS'!H563</f>
        <v>0</v>
      </c>
      <c r="S590" s="120">
        <f>'[3]Penn Power RC_GMDMS'!I563</f>
        <v>0</v>
      </c>
      <c r="T590" s="120">
        <f>'[3]Penn Power RC_GMDMS'!J563</f>
        <v>0</v>
      </c>
      <c r="U590" s="120">
        <f>'[3]Penn Power RC_GMDMS'!K563</f>
        <v>0</v>
      </c>
      <c r="V590" s="91"/>
    </row>
    <row r="591" spans="1:22" x14ac:dyDescent="0.2">
      <c r="A591" s="48">
        <f t="shared" si="21"/>
        <v>583</v>
      </c>
      <c r="B591" s="43">
        <v>16</v>
      </c>
      <c r="C591" s="43">
        <v>28</v>
      </c>
      <c r="D591" s="38" t="s">
        <v>627</v>
      </c>
      <c r="E591" s="44" t="s">
        <v>183</v>
      </c>
      <c r="F591" s="44" t="s">
        <v>37</v>
      </c>
      <c r="G591" s="44" t="s">
        <v>108</v>
      </c>
      <c r="H591" s="44" t="s">
        <v>42</v>
      </c>
      <c r="I591" s="44" t="s">
        <v>42</v>
      </c>
      <c r="J591" s="44" t="s">
        <v>6</v>
      </c>
      <c r="K591" s="44" t="s">
        <v>128</v>
      </c>
      <c r="L591" s="40">
        <v>1144</v>
      </c>
      <c r="M591" s="41">
        <v>41339</v>
      </c>
      <c r="N591" s="40" t="s">
        <v>110</v>
      </c>
      <c r="O591" s="42"/>
      <c r="P591" s="40"/>
      <c r="Q591" s="120">
        <f>'[3]PEPCO MD LP_MDNDMS'!G563</f>
        <v>0</v>
      </c>
      <c r="R591" s="120">
        <f>'[3]PEPCO MD LP_MDNDMS'!H563</f>
        <v>0</v>
      </c>
      <c r="S591" s="120">
        <f>'[3]PEPCO MD LP_MDNDMS'!I563</f>
        <v>0</v>
      </c>
      <c r="T591" s="120">
        <f>'[3]PEPCO MD LP_MDNDMS'!J563</f>
        <v>0</v>
      </c>
      <c r="U591" s="120">
        <f>'[3]PEPCO MD LP_MDNDMS'!K563</f>
        <v>0</v>
      </c>
      <c r="V591" s="91"/>
    </row>
    <row r="592" spans="1:22" x14ac:dyDescent="0.2">
      <c r="A592" s="48">
        <f t="shared" si="21"/>
        <v>584</v>
      </c>
      <c r="B592" s="43">
        <v>16</v>
      </c>
      <c r="C592" s="43">
        <v>29</v>
      </c>
      <c r="D592" s="38" t="s">
        <v>628</v>
      </c>
      <c r="E592" s="44" t="s">
        <v>185</v>
      </c>
      <c r="F592" s="44" t="s">
        <v>37</v>
      </c>
      <c r="G592" s="44" t="s">
        <v>108</v>
      </c>
      <c r="H592" s="44" t="s">
        <v>42</v>
      </c>
      <c r="I592" s="44" t="s">
        <v>42</v>
      </c>
      <c r="J592" s="44" t="s">
        <v>43</v>
      </c>
      <c r="K592" s="44" t="s">
        <v>186</v>
      </c>
      <c r="L592" s="40">
        <v>1145</v>
      </c>
      <c r="M592" s="41">
        <v>41339</v>
      </c>
      <c r="N592" s="40" t="s">
        <v>110</v>
      </c>
      <c r="O592" s="42"/>
      <c r="P592" s="40"/>
      <c r="Q592" s="120">
        <f>'[3]PEPCO MD LP_MMGTL2AMS'!G563</f>
        <v>0</v>
      </c>
      <c r="R592" s="120">
        <f>'[3]PEPCO MD LP_MMGTL2AMS'!H563</f>
        <v>0</v>
      </c>
      <c r="S592" s="120">
        <f>'[3]PEPCO MD LP_MMGTL2AMS'!I563</f>
        <v>0</v>
      </c>
      <c r="T592" s="120">
        <f>'[3]PEPCO MD LP_MMGTL2AMS'!J563</f>
        <v>0</v>
      </c>
      <c r="U592" s="120">
        <f>'[3]PEPCO MD LP_MMGTL2AMS'!K563</f>
        <v>0</v>
      </c>
      <c r="V592" s="91"/>
    </row>
    <row r="593" spans="1:22" x14ac:dyDescent="0.2">
      <c r="A593" s="48">
        <f t="shared" si="21"/>
        <v>585</v>
      </c>
      <c r="B593" s="43">
        <v>16</v>
      </c>
      <c r="C593" s="43">
        <v>30</v>
      </c>
      <c r="D593" s="38" t="s">
        <v>629</v>
      </c>
      <c r="E593" s="44" t="s">
        <v>188</v>
      </c>
      <c r="F593" s="44" t="s">
        <v>37</v>
      </c>
      <c r="G593" s="44" t="s">
        <v>108</v>
      </c>
      <c r="H593" s="44" t="s">
        <v>42</v>
      </c>
      <c r="I593" s="44" t="s">
        <v>42</v>
      </c>
      <c r="J593" s="44" t="s">
        <v>44</v>
      </c>
      <c r="K593" s="44" t="s">
        <v>44</v>
      </c>
      <c r="L593" s="40">
        <v>1146</v>
      </c>
      <c r="M593" s="41">
        <v>41339</v>
      </c>
      <c r="N593" s="40" t="s">
        <v>110</v>
      </c>
      <c r="O593" s="42"/>
      <c r="P593" s="40"/>
      <c r="Q593" s="120">
        <f>'[3]PEPCO MD RC_3T7MS'!G563</f>
        <v>0</v>
      </c>
      <c r="R593" s="120">
        <f>'[3]PEPCO MD RC_3T7MS'!H563</f>
        <v>0</v>
      </c>
      <c r="S593" s="120">
        <f>'[3]PEPCO MD RC_3T7MS'!I563</f>
        <v>0</v>
      </c>
      <c r="T593" s="120">
        <f>'[3]PEPCO MD RC_3T7MS'!J563</f>
        <v>0</v>
      </c>
      <c r="U593" s="120">
        <f>'[3]PEPCO MD RC_3T7MS'!K563</f>
        <v>0</v>
      </c>
      <c r="V593" s="91"/>
    </row>
    <row r="594" spans="1:22" x14ac:dyDescent="0.2">
      <c r="A594" s="48">
        <f t="shared" si="21"/>
        <v>586</v>
      </c>
      <c r="B594" s="43">
        <v>16</v>
      </c>
      <c r="C594" s="43">
        <v>31</v>
      </c>
      <c r="D594" s="38" t="s">
        <v>630</v>
      </c>
      <c r="E594" s="44" t="s">
        <v>190</v>
      </c>
      <c r="F594" s="44" t="s">
        <v>37</v>
      </c>
      <c r="G594" s="44" t="s">
        <v>108</v>
      </c>
      <c r="H594" s="44" t="s">
        <v>45</v>
      </c>
      <c r="I594" s="44" t="s">
        <v>45</v>
      </c>
      <c r="J594" s="44" t="s">
        <v>6</v>
      </c>
      <c r="K594" s="44" t="s">
        <v>128</v>
      </c>
      <c r="L594" s="40">
        <v>1147</v>
      </c>
      <c r="M594" s="41">
        <v>41339</v>
      </c>
      <c r="N594" s="40" t="s">
        <v>110</v>
      </c>
      <c r="O594" s="42"/>
      <c r="P594" s="40"/>
      <c r="Q594" s="120">
        <f>'[3]Potomac Edison LP_GSCM_MMS'!G563</f>
        <v>0</v>
      </c>
      <c r="R594" s="120">
        <f>'[3]Potomac Edison LP_GSCM_MMS'!H563</f>
        <v>0</v>
      </c>
      <c r="S594" s="120">
        <f>'[3]Potomac Edison LP_GSCM_MMS'!I563</f>
        <v>0</v>
      </c>
      <c r="T594" s="120">
        <f>'[3]Potomac Edison LP_GSCM_MMS'!J563</f>
        <v>0</v>
      </c>
      <c r="U594" s="120">
        <f>'[3]Potomac Edison LP_GSCM_MMS'!K563</f>
        <v>0</v>
      </c>
      <c r="V594" s="91"/>
    </row>
    <row r="595" spans="1:22" x14ac:dyDescent="0.2">
      <c r="A595" s="48">
        <f t="shared" si="21"/>
        <v>587</v>
      </c>
      <c r="B595" s="43">
        <v>16</v>
      </c>
      <c r="C595" s="43">
        <v>32</v>
      </c>
      <c r="D595" s="38" t="s">
        <v>631</v>
      </c>
      <c r="E595" s="44" t="s">
        <v>192</v>
      </c>
      <c r="F595" s="44" t="s">
        <v>5</v>
      </c>
      <c r="G595" s="44" t="s">
        <v>108</v>
      </c>
      <c r="H595" s="44" t="s">
        <v>12</v>
      </c>
      <c r="I595" s="44" t="s">
        <v>12</v>
      </c>
      <c r="J595" s="44" t="s">
        <v>13</v>
      </c>
      <c r="K595" s="44" t="s">
        <v>117</v>
      </c>
      <c r="L595" s="40">
        <v>1148</v>
      </c>
      <c r="M595" s="41">
        <v>41339</v>
      </c>
      <c r="N595" s="40" t="s">
        <v>110</v>
      </c>
      <c r="O595" s="42"/>
      <c r="P595" s="40"/>
      <c r="Q595" s="120">
        <f>[3]PPL_RCGS1MS!G563</f>
        <v>0</v>
      </c>
      <c r="R595" s="120">
        <f>[3]PPL_RCGS1MS!H563</f>
        <v>0</v>
      </c>
      <c r="S595" s="120">
        <f>[3]PPL_RCGS1MS!I563</f>
        <v>0</v>
      </c>
      <c r="T595" s="120">
        <f>[3]PPL_RCGS1MS!J563</f>
        <v>0</v>
      </c>
      <c r="U595" s="120">
        <f>[3]PPL_RCGS1MS!K563</f>
        <v>0</v>
      </c>
      <c r="V595" s="91"/>
    </row>
    <row r="596" spans="1:22" x14ac:dyDescent="0.2">
      <c r="A596" s="48">
        <f t="shared" si="21"/>
        <v>588</v>
      </c>
      <c r="B596" s="43">
        <v>16</v>
      </c>
      <c r="C596" s="43">
        <v>33</v>
      </c>
      <c r="D596" s="38" t="s">
        <v>632</v>
      </c>
      <c r="E596" s="44" t="s">
        <v>194</v>
      </c>
      <c r="F596" s="44" t="s">
        <v>5</v>
      </c>
      <c r="G596" s="44" t="s">
        <v>108</v>
      </c>
      <c r="H596" s="44" t="s">
        <v>12</v>
      </c>
      <c r="I596" s="44" t="s">
        <v>12</v>
      </c>
      <c r="J596" s="44" t="s">
        <v>14</v>
      </c>
      <c r="K596" s="44" t="s">
        <v>123</v>
      </c>
      <c r="L596" s="40">
        <v>1149</v>
      </c>
      <c r="M596" s="41">
        <v>41339</v>
      </c>
      <c r="N596" s="40" t="s">
        <v>110</v>
      </c>
      <c r="O596" s="42"/>
      <c r="P596" s="40"/>
      <c r="Q596" s="120">
        <f>[3]PPL_RCGS3MS!G563</f>
        <v>0</v>
      </c>
      <c r="R596" s="120">
        <f>[3]PPL_RCGS3MS!H563</f>
        <v>0</v>
      </c>
      <c r="S596" s="120">
        <f>[3]PPL_RCGS3MS!I563</f>
        <v>0</v>
      </c>
      <c r="T596" s="120">
        <f>[3]PPL_RCGS3MS!J563</f>
        <v>0</v>
      </c>
      <c r="U596" s="120">
        <f>[3]PPL_RCGS3MS!K563</f>
        <v>0</v>
      </c>
      <c r="V596" s="91"/>
    </row>
    <row r="597" spans="1:22" x14ac:dyDescent="0.2">
      <c r="A597" s="48">
        <f t="shared" si="21"/>
        <v>589</v>
      </c>
      <c r="B597" s="43">
        <v>16</v>
      </c>
      <c r="C597" s="43">
        <v>34</v>
      </c>
      <c r="D597" s="38" t="s">
        <v>633</v>
      </c>
      <c r="E597" s="44" t="s">
        <v>196</v>
      </c>
      <c r="F597" s="44" t="s">
        <v>29</v>
      </c>
      <c r="G597" s="44" t="s">
        <v>108</v>
      </c>
      <c r="H597" s="44" t="s">
        <v>34</v>
      </c>
      <c r="I597" s="44" t="s">
        <v>34</v>
      </c>
      <c r="J597" s="44" t="s">
        <v>35</v>
      </c>
      <c r="K597" s="44" t="s">
        <v>197</v>
      </c>
      <c r="L597" s="40">
        <v>1150</v>
      </c>
      <c r="M597" s="41">
        <v>41339</v>
      </c>
      <c r="N597" s="40" t="s">
        <v>110</v>
      </c>
      <c r="O597" s="42"/>
      <c r="P597" s="40"/>
      <c r="Q597" s="120">
        <f>'[3]PSEG LP_GLP_MMS'!G563</f>
        <v>0</v>
      </c>
      <c r="R597" s="120">
        <f>'[3]PSEG LP_GLP_MMS'!H563</f>
        <v>0</v>
      </c>
      <c r="S597" s="120">
        <f>'[3]PSEG LP_GLP_MMS'!I563</f>
        <v>0</v>
      </c>
      <c r="T597" s="120">
        <f>'[3]PSEG LP_GLP_MMS'!J563</f>
        <v>0</v>
      </c>
      <c r="U597" s="120">
        <f>'[3]PSEG LP_GLP_MMS'!K563</f>
        <v>0</v>
      </c>
      <c r="V597" s="91"/>
    </row>
    <row r="598" spans="1:22" x14ac:dyDescent="0.2">
      <c r="A598" s="48">
        <f t="shared" si="21"/>
        <v>590</v>
      </c>
      <c r="B598" s="43">
        <v>16</v>
      </c>
      <c r="C598" s="43">
        <v>35</v>
      </c>
      <c r="D598" s="38" t="s">
        <v>634</v>
      </c>
      <c r="E598" s="44" t="s">
        <v>199</v>
      </c>
      <c r="F598" s="44" t="s">
        <v>29</v>
      </c>
      <c r="G598" s="44" t="s">
        <v>108</v>
      </c>
      <c r="H598" s="44" t="s">
        <v>34</v>
      </c>
      <c r="I598" s="44" t="s">
        <v>34</v>
      </c>
      <c r="J598" s="44" t="s">
        <v>36</v>
      </c>
      <c r="K598" s="44" t="s">
        <v>200</v>
      </c>
      <c r="L598" s="40">
        <v>1151</v>
      </c>
      <c r="M598" s="41">
        <v>41339</v>
      </c>
      <c r="N598" s="40" t="s">
        <v>110</v>
      </c>
      <c r="O598" s="42"/>
      <c r="P598" s="40"/>
      <c r="Q598" s="120">
        <f>'[3]PSEG LP_LPLMS'!G563</f>
        <v>0</v>
      </c>
      <c r="R598" s="120">
        <f>'[3]PSEG LP_LPLMS'!H563</f>
        <v>0</v>
      </c>
      <c r="S598" s="120">
        <f>'[3]PSEG LP_LPLMS'!I563</f>
        <v>0</v>
      </c>
      <c r="T598" s="120">
        <f>'[3]PSEG LP_LPLMS'!J563</f>
        <v>0</v>
      </c>
      <c r="U598" s="120">
        <f>'[3]PSEG LP_LPLMS'!K563</f>
        <v>0</v>
      </c>
      <c r="V598" s="91"/>
    </row>
    <row r="599" spans="1:22" x14ac:dyDescent="0.2">
      <c r="A599" s="48">
        <f t="shared" si="21"/>
        <v>591</v>
      </c>
      <c r="B599" s="43">
        <v>16</v>
      </c>
      <c r="C599" s="43">
        <v>36</v>
      </c>
      <c r="D599" s="38" t="s">
        <v>635</v>
      </c>
      <c r="E599" s="44" t="s">
        <v>202</v>
      </c>
      <c r="F599" s="44" t="s">
        <v>5</v>
      </c>
      <c r="G599" s="44" t="s">
        <v>108</v>
      </c>
      <c r="H599" s="44" t="s">
        <v>15</v>
      </c>
      <c r="I599" s="44" t="s">
        <v>203</v>
      </c>
      <c r="J599" s="44" t="s">
        <v>16</v>
      </c>
      <c r="K599" s="44" t="s">
        <v>128</v>
      </c>
      <c r="L599" s="40">
        <v>1152</v>
      </c>
      <c r="M599" s="41">
        <v>41339</v>
      </c>
      <c r="N599" s="40" t="s">
        <v>110</v>
      </c>
      <c r="O599" s="42"/>
      <c r="P599" s="40"/>
      <c r="Q599" s="120">
        <f>'[3]West Penn Power LP_GSCMMS'!G563</f>
        <v>0</v>
      </c>
      <c r="R599" s="120">
        <f>'[3]West Penn Power LP_GSCMMS'!H563</f>
        <v>0</v>
      </c>
      <c r="S599" s="120">
        <f>'[3]West Penn Power LP_GSCMMS'!I563</f>
        <v>0</v>
      </c>
      <c r="T599" s="120">
        <f>'[3]West Penn Power LP_GSCMMS'!J563</f>
        <v>0</v>
      </c>
      <c r="U599" s="120">
        <f>'[3]West Penn Power LP_GSCMMS'!K563</f>
        <v>0</v>
      </c>
      <c r="V599" s="91"/>
    </row>
    <row r="600" spans="1:22" x14ac:dyDescent="0.2">
      <c r="A600" s="48">
        <f t="shared" si="21"/>
        <v>592</v>
      </c>
      <c r="B600" s="20"/>
      <c r="C600" s="20"/>
      <c r="D600" s="20"/>
      <c r="Q600" s="121"/>
      <c r="R600" s="121"/>
      <c r="S600" s="121"/>
      <c r="T600" s="121"/>
      <c r="U600" s="121"/>
    </row>
    <row r="601" spans="1:22" x14ac:dyDescent="0.2">
      <c r="A601" s="48">
        <f t="shared" si="21"/>
        <v>593</v>
      </c>
      <c r="B601" s="43">
        <v>17</v>
      </c>
      <c r="C601" s="43">
        <v>1</v>
      </c>
      <c r="D601" s="38" t="s">
        <v>600</v>
      </c>
      <c r="E601" s="44" t="s">
        <v>107</v>
      </c>
      <c r="F601" s="44" t="s">
        <v>29</v>
      </c>
      <c r="G601" s="44" t="s">
        <v>108</v>
      </c>
      <c r="H601" s="44" t="s">
        <v>30</v>
      </c>
      <c r="I601" s="44" t="s">
        <v>30</v>
      </c>
      <c r="J601" s="44" t="s">
        <v>31</v>
      </c>
      <c r="K601" s="44" t="s">
        <v>109</v>
      </c>
      <c r="L601" s="40">
        <v>1117</v>
      </c>
      <c r="M601" s="41">
        <v>41339</v>
      </c>
      <c r="N601" s="40" t="s">
        <v>110</v>
      </c>
      <c r="O601" s="42"/>
      <c r="P601" s="40"/>
      <c r="Q601" s="120">
        <f>'[3]AECO LP_10V1_SMS'!G600</f>
        <v>0</v>
      </c>
      <c r="R601" s="120">
        <f>'[3]AECO LP_10V1_SMS'!H600</f>
        <v>0</v>
      </c>
      <c r="S601" s="120">
        <f>'[3]AECO LP_10V1_SMS'!I600</f>
        <v>0</v>
      </c>
      <c r="T601" s="120">
        <f>'[3]AECO LP_10V1_SMS'!J600</f>
        <v>0</v>
      </c>
      <c r="U601" s="120">
        <f>'[3]AECO LP_10V1_SMS'!K600</f>
        <v>0</v>
      </c>
      <c r="V601" s="91"/>
    </row>
    <row r="602" spans="1:22" x14ac:dyDescent="0.2">
      <c r="A602" s="48">
        <f t="shared" si="21"/>
        <v>594</v>
      </c>
      <c r="B602" s="43">
        <v>17</v>
      </c>
      <c r="C602" s="43">
        <v>2</v>
      </c>
      <c r="D602" s="38" t="s">
        <v>601</v>
      </c>
      <c r="E602" s="44" t="s">
        <v>112</v>
      </c>
      <c r="F602" s="44" t="s">
        <v>29</v>
      </c>
      <c r="G602" s="44" t="s">
        <v>108</v>
      </c>
      <c r="H602" s="44" t="s">
        <v>30</v>
      </c>
      <c r="I602" s="44" t="s">
        <v>30</v>
      </c>
      <c r="J602" s="44" t="s">
        <v>32</v>
      </c>
      <c r="K602" s="44" t="s">
        <v>113</v>
      </c>
      <c r="L602" s="40">
        <v>1118</v>
      </c>
      <c r="M602" s="41">
        <v>41339</v>
      </c>
      <c r="N602" s="40" t="s">
        <v>110</v>
      </c>
      <c r="O602" s="42"/>
      <c r="P602" s="40"/>
      <c r="Q602" s="120">
        <f>'[3]AECO LP_14V1_MMS'!G600</f>
        <v>0</v>
      </c>
      <c r="R602" s="120">
        <f>'[3]AECO LP_14V1_MMS'!H600</f>
        <v>0</v>
      </c>
      <c r="S602" s="120">
        <f>'[3]AECO LP_14V1_MMS'!I600</f>
        <v>0</v>
      </c>
      <c r="T602" s="120">
        <f>'[3]AECO LP_14V1_MMS'!J600</f>
        <v>0</v>
      </c>
      <c r="U602" s="120">
        <f>'[3]AECO LP_14V1_MMS'!K600</f>
        <v>0</v>
      </c>
      <c r="V602" s="91"/>
    </row>
    <row r="603" spans="1:22" x14ac:dyDescent="0.2">
      <c r="A603" s="48">
        <f t="shared" si="21"/>
        <v>595</v>
      </c>
      <c r="B603" s="43">
        <v>17</v>
      </c>
      <c r="C603" s="43">
        <v>3</v>
      </c>
      <c r="D603" s="38" t="s">
        <v>602</v>
      </c>
      <c r="E603" s="44" t="s">
        <v>115</v>
      </c>
      <c r="F603" s="44" t="s">
        <v>18</v>
      </c>
      <c r="G603" s="44" t="s">
        <v>108</v>
      </c>
      <c r="H603" s="44" t="s">
        <v>61</v>
      </c>
      <c r="I603" s="44" t="s">
        <v>116</v>
      </c>
      <c r="J603" s="44" t="s">
        <v>13</v>
      </c>
      <c r="K603" s="44" t="s">
        <v>117</v>
      </c>
      <c r="L603" s="40">
        <v>1119</v>
      </c>
      <c r="M603" s="41">
        <v>41339</v>
      </c>
      <c r="N603" s="40" t="s">
        <v>110</v>
      </c>
      <c r="O603" s="42"/>
      <c r="P603" s="40"/>
      <c r="Q603" s="120">
        <f>'[3]AEP_OH_CS - test CSGS1MS'!G600</f>
        <v>0</v>
      </c>
      <c r="R603" s="120">
        <f>'[3]AEP_OH_CS - test CSGS1MS'!H600</f>
        <v>0</v>
      </c>
      <c r="S603" s="120">
        <f>'[3]AEP_OH_CS - test CSGS1MS'!I600</f>
        <v>0</v>
      </c>
      <c r="T603" s="120">
        <f>'[3]AEP_OH_CS - test CSGS1MS'!J600</f>
        <v>0</v>
      </c>
      <c r="U603" s="120">
        <f>'[3]AEP_OH_CS - test CSGS1MS'!K600</f>
        <v>0</v>
      </c>
      <c r="V603" s="91"/>
    </row>
    <row r="604" spans="1:22" x14ac:dyDescent="0.2">
      <c r="A604" s="48">
        <f t="shared" si="21"/>
        <v>596</v>
      </c>
      <c r="B604" s="43">
        <v>17</v>
      </c>
      <c r="C604" s="43">
        <v>4</v>
      </c>
      <c r="D604" s="38" t="s">
        <v>603</v>
      </c>
      <c r="E604" s="44" t="s">
        <v>119</v>
      </c>
      <c r="F604" s="44" t="s">
        <v>18</v>
      </c>
      <c r="G604" s="44" t="s">
        <v>108</v>
      </c>
      <c r="H604" s="44" t="s">
        <v>61</v>
      </c>
      <c r="I604" s="44" t="s">
        <v>116</v>
      </c>
      <c r="J604" s="44" t="s">
        <v>19</v>
      </c>
      <c r="K604" s="44" t="s">
        <v>120</v>
      </c>
      <c r="L604" s="40">
        <v>1120</v>
      </c>
      <c r="M604" s="41">
        <v>41339</v>
      </c>
      <c r="N604" s="40" t="s">
        <v>110</v>
      </c>
      <c r="O604" s="42"/>
      <c r="P604" s="40"/>
      <c r="Q604" s="120">
        <f>'[3]AEP_OH_CS - test CSGS2UMS'!G600</f>
        <v>0</v>
      </c>
      <c r="R604" s="120">
        <f>'[3]AEP_OH_CS - test CSGS2UMS'!H600</f>
        <v>0</v>
      </c>
      <c r="S604" s="120">
        <f>'[3]AEP_OH_CS - test CSGS2UMS'!I600</f>
        <v>0</v>
      </c>
      <c r="T604" s="120">
        <f>'[3]AEP_OH_CS - test CSGS2UMS'!J600</f>
        <v>0</v>
      </c>
      <c r="U604" s="120">
        <f>'[3]AEP_OH_CS - test CSGS2UMS'!K600</f>
        <v>0</v>
      </c>
      <c r="V604" s="91"/>
    </row>
    <row r="605" spans="1:22" x14ac:dyDescent="0.2">
      <c r="A605" s="48">
        <f t="shared" si="21"/>
        <v>597</v>
      </c>
      <c r="B605" s="43">
        <v>17</v>
      </c>
      <c r="C605" s="43">
        <v>5</v>
      </c>
      <c r="D605" s="38" t="s">
        <v>604</v>
      </c>
      <c r="E605" s="44" t="s">
        <v>122</v>
      </c>
      <c r="F605" s="44" t="s">
        <v>18</v>
      </c>
      <c r="G605" s="44" t="s">
        <v>108</v>
      </c>
      <c r="H605" s="44" t="s">
        <v>61</v>
      </c>
      <c r="I605" s="44" t="s">
        <v>116</v>
      </c>
      <c r="J605" s="44" t="s">
        <v>14</v>
      </c>
      <c r="K605" s="44" t="s">
        <v>123</v>
      </c>
      <c r="L605" s="40">
        <v>1121</v>
      </c>
      <c r="M605" s="41">
        <v>41339</v>
      </c>
      <c r="N605" s="40" t="s">
        <v>110</v>
      </c>
      <c r="O605" s="42"/>
      <c r="P605" s="40"/>
      <c r="Q605" s="120">
        <f>'[3]AEP_OH_CS - test CSGS3UMS'!G600</f>
        <v>0</v>
      </c>
      <c r="R605" s="120">
        <f>'[3]AEP_OH_CS - test CSGS3UMS'!H600</f>
        <v>0</v>
      </c>
      <c r="S605" s="120">
        <f>'[3]AEP_OH_CS - test CSGS3UMS'!I600</f>
        <v>0</v>
      </c>
      <c r="T605" s="120">
        <f>'[3]AEP_OH_CS - test CSGS3UMS'!J600</f>
        <v>0</v>
      </c>
      <c r="U605" s="120">
        <f>'[3]AEP_OH_CS - test CSGS3UMS'!K600</f>
        <v>0</v>
      </c>
      <c r="V605" s="91"/>
    </row>
    <row r="606" spans="1:22" x14ac:dyDescent="0.2">
      <c r="A606" s="48">
        <f t="shared" si="21"/>
        <v>598</v>
      </c>
      <c r="B606" s="43">
        <v>17</v>
      </c>
      <c r="C606" s="43">
        <v>6</v>
      </c>
      <c r="D606" s="38" t="s">
        <v>605</v>
      </c>
      <c r="E606" s="44" t="s">
        <v>125</v>
      </c>
      <c r="F606" s="44" t="s">
        <v>23</v>
      </c>
      <c r="G606" s="44" t="s">
        <v>126</v>
      </c>
      <c r="H606" s="44" t="s">
        <v>127</v>
      </c>
      <c r="I606" s="44" t="s">
        <v>27</v>
      </c>
      <c r="J606" s="44" t="s">
        <v>28</v>
      </c>
      <c r="K606" s="44" t="s">
        <v>128</v>
      </c>
      <c r="L606" s="40">
        <v>1122</v>
      </c>
      <c r="M606" s="41">
        <v>41339</v>
      </c>
      <c r="N606" s="40" t="s">
        <v>110</v>
      </c>
      <c r="O606" s="42"/>
      <c r="P606" s="40"/>
      <c r="Q606" s="120">
        <f>'[3]Ameren RateZnIII LP DS2HHMS'!G600</f>
        <v>0</v>
      </c>
      <c r="R606" s="120">
        <f>'[3]Ameren RateZnIII LP DS2HHMS'!H600</f>
        <v>0</v>
      </c>
      <c r="S606" s="120">
        <f>'[3]Ameren RateZnIII LP DS2HHMS'!I600</f>
        <v>0</v>
      </c>
      <c r="T606" s="120">
        <f>'[3]Ameren RateZnIII LP DS2HHMS'!J600</f>
        <v>0</v>
      </c>
      <c r="U606" s="120">
        <f>'[3]Ameren RateZnIII LP DS2HHMS'!K600</f>
        <v>0</v>
      </c>
      <c r="V606" s="91"/>
    </row>
    <row r="607" spans="1:22" x14ac:dyDescent="0.2">
      <c r="A607" s="48">
        <f t="shared" si="21"/>
        <v>599</v>
      </c>
      <c r="B607" s="43">
        <v>17</v>
      </c>
      <c r="C607" s="43">
        <v>7</v>
      </c>
      <c r="D607" s="38" t="s">
        <v>606</v>
      </c>
      <c r="E607" s="44" t="s">
        <v>130</v>
      </c>
      <c r="F607" s="44" t="s">
        <v>37</v>
      </c>
      <c r="G607" s="44" t="s">
        <v>108</v>
      </c>
      <c r="H607" s="44" t="s">
        <v>38</v>
      </c>
      <c r="I607" s="44" t="s">
        <v>38</v>
      </c>
      <c r="J607" s="44" t="s">
        <v>40</v>
      </c>
      <c r="K607" s="44" t="s">
        <v>123</v>
      </c>
      <c r="L607" s="40">
        <v>1124</v>
      </c>
      <c r="M607" s="41">
        <v>41339</v>
      </c>
      <c r="N607" s="40" t="s">
        <v>110</v>
      </c>
      <c r="O607" s="42"/>
      <c r="P607" s="40"/>
      <c r="Q607" s="120">
        <f>'[3]BGE LP_GLMS'!G600</f>
        <v>0</v>
      </c>
      <c r="R607" s="120">
        <f>'[3]BGE LP_GLMS'!H600</f>
        <v>0</v>
      </c>
      <c r="S607" s="120">
        <f>'[3]BGE LP_GLMS'!I600</f>
        <v>0</v>
      </c>
      <c r="T607" s="120">
        <f>'[3]BGE LP_GLMS'!J600</f>
        <v>0</v>
      </c>
      <c r="U607" s="120">
        <f>'[3]BGE LP_GLMS'!K600</f>
        <v>0</v>
      </c>
      <c r="V607" s="91"/>
    </row>
    <row r="608" spans="1:22" x14ac:dyDescent="0.2">
      <c r="A608" s="48">
        <f t="shared" si="21"/>
        <v>600</v>
      </c>
      <c r="B608" s="43">
        <v>17</v>
      </c>
      <c r="C608" s="43">
        <v>8</v>
      </c>
      <c r="D608" s="38" t="s">
        <v>607</v>
      </c>
      <c r="E608" s="44" t="s">
        <v>132</v>
      </c>
      <c r="F608" s="44" t="s">
        <v>37</v>
      </c>
      <c r="G608" s="44" t="s">
        <v>108</v>
      </c>
      <c r="H608" s="44" t="s">
        <v>38</v>
      </c>
      <c r="I608" s="44" t="s">
        <v>38</v>
      </c>
      <c r="J608" s="44" t="s">
        <v>39</v>
      </c>
      <c r="K608" s="44" t="s">
        <v>120</v>
      </c>
      <c r="L608" s="40">
        <v>1123</v>
      </c>
      <c r="M608" s="41">
        <v>41339</v>
      </c>
      <c r="N608" s="40" t="s">
        <v>110</v>
      </c>
      <c r="O608" s="42"/>
      <c r="P608" s="40"/>
      <c r="Q608" s="120">
        <f>'[3]BGE LP_GMS'!G600</f>
        <v>0</v>
      </c>
      <c r="R608" s="120">
        <f>'[3]BGE LP_GMS'!H600</f>
        <v>0</v>
      </c>
      <c r="S608" s="120">
        <f>'[3]BGE LP_GMS'!I600</f>
        <v>0</v>
      </c>
      <c r="T608" s="120">
        <f>'[3]BGE LP_GMS'!J600</f>
        <v>0</v>
      </c>
      <c r="U608" s="120">
        <f>'[3]BGE LP_GMS'!K600</f>
        <v>0</v>
      </c>
      <c r="V608" s="91"/>
    </row>
    <row r="609" spans="1:22" x14ac:dyDescent="0.2">
      <c r="A609" s="48">
        <f t="shared" si="21"/>
        <v>601</v>
      </c>
      <c r="B609" s="43">
        <v>17</v>
      </c>
      <c r="C609" s="43">
        <v>9</v>
      </c>
      <c r="D609" s="38" t="s">
        <v>608</v>
      </c>
      <c r="E609" s="44" t="s">
        <v>134</v>
      </c>
      <c r="F609" s="44" t="s">
        <v>37</v>
      </c>
      <c r="G609" s="44" t="s">
        <v>108</v>
      </c>
      <c r="H609" s="44" t="s">
        <v>38</v>
      </c>
      <c r="I609" s="44" t="s">
        <v>38</v>
      </c>
      <c r="J609" s="44" t="s">
        <v>6</v>
      </c>
      <c r="K609" s="44" t="s">
        <v>117</v>
      </c>
      <c r="L609" s="40">
        <v>1125</v>
      </c>
      <c r="M609" s="41">
        <v>41339</v>
      </c>
      <c r="N609" s="40" t="s">
        <v>110</v>
      </c>
      <c r="O609" s="42"/>
      <c r="P609" s="40"/>
      <c r="Q609" s="120">
        <f>'[3]BGE LP_GSMS'!G600</f>
        <v>0</v>
      </c>
      <c r="R609" s="120">
        <f>'[3]BGE LP_GSMS'!H600</f>
        <v>0</v>
      </c>
      <c r="S609" s="120">
        <f>'[3]BGE LP_GSMS'!I600</f>
        <v>0</v>
      </c>
      <c r="T609" s="120">
        <f>'[3]BGE LP_GSMS'!J600</f>
        <v>0</v>
      </c>
      <c r="U609" s="120">
        <f>'[3]BGE LP_GSMS'!K600</f>
        <v>0</v>
      </c>
      <c r="V609" s="91"/>
    </row>
    <row r="610" spans="1:22" x14ac:dyDescent="0.2">
      <c r="A610" s="48">
        <f t="shared" si="21"/>
        <v>602</v>
      </c>
      <c r="B610" s="43">
        <v>17</v>
      </c>
      <c r="C610" s="43">
        <v>10</v>
      </c>
      <c r="D610" s="38" t="s">
        <v>609</v>
      </c>
      <c r="E610" s="44" t="s">
        <v>136</v>
      </c>
      <c r="F610" s="44" t="s">
        <v>23</v>
      </c>
      <c r="G610" s="44" t="s">
        <v>108</v>
      </c>
      <c r="H610" s="44" t="s">
        <v>137</v>
      </c>
      <c r="I610" s="44" t="s">
        <v>24</v>
      </c>
      <c r="J610" s="44" t="s">
        <v>25</v>
      </c>
      <c r="K610" s="44" t="s">
        <v>138</v>
      </c>
      <c r="L610" s="40">
        <v>1126</v>
      </c>
      <c r="M610" s="41">
        <v>41339</v>
      </c>
      <c r="N610" s="40" t="s">
        <v>110</v>
      </c>
      <c r="O610" s="42"/>
      <c r="P610" s="40"/>
      <c r="Q610" s="120">
        <f>'[3]ComEd - test LP_28MS'!G600</f>
        <v>0</v>
      </c>
      <c r="R610" s="120">
        <f>'[3]ComEd - test LP_28MS'!H600</f>
        <v>0</v>
      </c>
      <c r="S610" s="120">
        <f>'[3]ComEd - test LP_28MS'!I600</f>
        <v>0</v>
      </c>
      <c r="T610" s="120">
        <f>'[3]ComEd - test LP_28MS'!J600</f>
        <v>0</v>
      </c>
      <c r="U610" s="120">
        <f>'[3]ComEd - test LP_28MS'!K600</f>
        <v>0</v>
      </c>
      <c r="V610" s="91"/>
    </row>
    <row r="611" spans="1:22" x14ac:dyDescent="0.2">
      <c r="A611" s="48">
        <f t="shared" si="21"/>
        <v>603</v>
      </c>
      <c r="B611" s="43">
        <v>17</v>
      </c>
      <c r="C611" s="43">
        <v>11</v>
      </c>
      <c r="D611" s="38" t="s">
        <v>610</v>
      </c>
      <c r="E611" s="44" t="s">
        <v>140</v>
      </c>
      <c r="F611" s="44" t="s">
        <v>23</v>
      </c>
      <c r="G611" s="44" t="s">
        <v>108</v>
      </c>
      <c r="H611" s="44" t="s">
        <v>137</v>
      </c>
      <c r="I611" s="44" t="s">
        <v>24</v>
      </c>
      <c r="J611" s="44" t="s">
        <v>26</v>
      </c>
      <c r="K611" s="44" t="s">
        <v>141</v>
      </c>
      <c r="L611" s="40">
        <v>1127</v>
      </c>
      <c r="M611" s="41">
        <v>41339</v>
      </c>
      <c r="N611" s="40" t="s">
        <v>110</v>
      </c>
      <c r="O611" s="42"/>
      <c r="P611" s="40"/>
      <c r="Q611" s="120">
        <f>'[3]ComEd - test LP_29MS'!G600</f>
        <v>0</v>
      </c>
      <c r="R611" s="120">
        <f>'[3]ComEd - test LP_29MS'!H600</f>
        <v>0</v>
      </c>
      <c r="S611" s="120">
        <f>'[3]ComEd - test LP_29MS'!I600</f>
        <v>0</v>
      </c>
      <c r="T611" s="120">
        <f>'[3]ComEd - test LP_29MS'!J600</f>
        <v>0</v>
      </c>
      <c r="U611" s="120">
        <f>'[3]ComEd - test LP_29MS'!K600</f>
        <v>0</v>
      </c>
      <c r="V611" s="91"/>
    </row>
    <row r="612" spans="1:22" x14ac:dyDescent="0.2">
      <c r="A612" s="48">
        <f t="shared" si="21"/>
        <v>604</v>
      </c>
      <c r="B612" s="43">
        <v>17</v>
      </c>
      <c r="C612" s="43">
        <v>12</v>
      </c>
      <c r="D612" s="38" t="s">
        <v>611</v>
      </c>
      <c r="E612" s="44" t="s">
        <v>143</v>
      </c>
      <c r="F612" s="44" t="s">
        <v>18</v>
      </c>
      <c r="G612" s="44" t="s">
        <v>108</v>
      </c>
      <c r="H612" s="44" t="s">
        <v>94</v>
      </c>
      <c r="I612" s="44" t="s">
        <v>144</v>
      </c>
      <c r="J612" s="44" t="s">
        <v>20</v>
      </c>
      <c r="K612" s="44" t="s">
        <v>145</v>
      </c>
      <c r="L612" s="40">
        <v>1128</v>
      </c>
      <c r="M612" s="41">
        <v>41339</v>
      </c>
      <c r="N612" s="40" t="s">
        <v>110</v>
      </c>
      <c r="O612" s="42"/>
      <c r="P612" s="40"/>
      <c r="Q612" s="120">
        <f>[3]DAY_RC_843MS!G600</f>
        <v>0</v>
      </c>
      <c r="R612" s="120">
        <f>[3]DAY_RC_843MS!H600</f>
        <v>0</v>
      </c>
      <c r="S612" s="120">
        <f>[3]DAY_RC_843MS!I600</f>
        <v>0</v>
      </c>
      <c r="T612" s="120">
        <f>[3]DAY_RC_843MS!J600</f>
        <v>0</v>
      </c>
      <c r="U612" s="120">
        <f>[3]DAY_RC_843MS!K600</f>
        <v>0</v>
      </c>
      <c r="V612" s="91"/>
    </row>
    <row r="613" spans="1:22" x14ac:dyDescent="0.2">
      <c r="A613" s="48">
        <f t="shared" si="21"/>
        <v>605</v>
      </c>
      <c r="B613" s="43">
        <v>17</v>
      </c>
      <c r="C613" s="43">
        <v>13</v>
      </c>
      <c r="D613" s="38" t="s">
        <v>612</v>
      </c>
      <c r="E613" s="44" t="s">
        <v>147</v>
      </c>
      <c r="F613" s="44" t="s">
        <v>37</v>
      </c>
      <c r="G613" s="44" t="s">
        <v>108</v>
      </c>
      <c r="H613" s="44" t="s">
        <v>41</v>
      </c>
      <c r="I613" s="44" t="s">
        <v>41</v>
      </c>
      <c r="J613" s="44" t="s">
        <v>6</v>
      </c>
      <c r="K613" s="44" t="s">
        <v>128</v>
      </c>
      <c r="L613" s="40">
        <v>1129</v>
      </c>
      <c r="M613" s="41">
        <v>41339</v>
      </c>
      <c r="N613" s="40" t="s">
        <v>110</v>
      </c>
      <c r="O613" s="42"/>
      <c r="P613" s="40"/>
      <c r="Q613" s="120">
        <f>'[3]Delmarva MD LP_MDGS_MMS'!G600</f>
        <v>0</v>
      </c>
      <c r="R613" s="120">
        <f>'[3]Delmarva MD LP_MDGS_MMS'!H600</f>
        <v>0</v>
      </c>
      <c r="S613" s="120">
        <f>'[3]Delmarva MD LP_MDGS_MMS'!I600</f>
        <v>0</v>
      </c>
      <c r="T613" s="120">
        <f>'[3]Delmarva MD LP_MDGS_MMS'!J600</f>
        <v>0</v>
      </c>
      <c r="U613" s="120">
        <f>'[3]Delmarva MD LP_MDGS_MMS'!K600</f>
        <v>0</v>
      </c>
      <c r="V613" s="91"/>
    </row>
    <row r="614" spans="1:22" x14ac:dyDescent="0.2">
      <c r="A614" s="48">
        <f t="shared" si="21"/>
        <v>606</v>
      </c>
      <c r="B614" s="43">
        <v>17</v>
      </c>
      <c r="C614" s="43">
        <v>14</v>
      </c>
      <c r="D614" s="38" t="s">
        <v>613</v>
      </c>
      <c r="E614" s="44" t="s">
        <v>149</v>
      </c>
      <c r="F614" s="44" t="s">
        <v>5</v>
      </c>
      <c r="G614" s="44" t="s">
        <v>108</v>
      </c>
      <c r="H614" s="44" t="s">
        <v>46</v>
      </c>
      <c r="I614" s="44" t="s">
        <v>46</v>
      </c>
      <c r="J614" s="44" t="s">
        <v>6</v>
      </c>
      <c r="K614" s="44" t="s">
        <v>128</v>
      </c>
      <c r="L614" s="40">
        <v>1130</v>
      </c>
      <c r="M614" s="41">
        <v>41339</v>
      </c>
      <c r="N614" s="40" t="s">
        <v>110</v>
      </c>
      <c r="O614" s="42"/>
      <c r="P614" s="40"/>
      <c r="Q614" s="120">
        <f>'[3]DQE LP_GSGM_MMS'!G600</f>
        <v>0</v>
      </c>
      <c r="R614" s="120">
        <f>'[3]DQE LP_GSGM_MMS'!H600</f>
        <v>0</v>
      </c>
      <c r="S614" s="120">
        <f>'[3]DQE LP_GSGM_MMS'!I600</f>
        <v>0</v>
      </c>
      <c r="T614" s="120">
        <f>'[3]DQE LP_GSGM_MMS'!J600</f>
        <v>0</v>
      </c>
      <c r="U614" s="120">
        <f>'[3]DQE LP_GSGM_MMS'!K600</f>
        <v>0</v>
      </c>
      <c r="V614" s="91"/>
    </row>
    <row r="615" spans="1:22" x14ac:dyDescent="0.2">
      <c r="A615" s="48">
        <f t="shared" si="21"/>
        <v>607</v>
      </c>
      <c r="B615" s="43">
        <v>17</v>
      </c>
      <c r="C615" s="43">
        <v>15</v>
      </c>
      <c r="D615" s="38" t="s">
        <v>614</v>
      </c>
      <c r="E615" s="44" t="s">
        <v>151</v>
      </c>
      <c r="F615" s="44" t="s">
        <v>18</v>
      </c>
      <c r="G615" s="44" t="s">
        <v>108</v>
      </c>
      <c r="H615" s="44" t="s">
        <v>21</v>
      </c>
      <c r="I615" s="44" t="s">
        <v>152</v>
      </c>
      <c r="J615" s="44" t="s">
        <v>22</v>
      </c>
      <c r="K615" s="44" t="s">
        <v>128</v>
      </c>
      <c r="L615" s="40">
        <v>1131</v>
      </c>
      <c r="M615" s="41">
        <v>41339</v>
      </c>
      <c r="N615" s="40" t="s">
        <v>110</v>
      </c>
      <c r="O615" s="42"/>
      <c r="P615" s="40"/>
      <c r="Q615" s="120">
        <f>[3]Duke_OH_RC_DS01MS!G600</f>
        <v>0</v>
      </c>
      <c r="R615" s="120">
        <f>[3]Duke_OH_RC_DS01MS!H600</f>
        <v>0</v>
      </c>
      <c r="S615" s="120">
        <f>[3]Duke_OH_RC_DS01MS!I600</f>
        <v>0</v>
      </c>
      <c r="T615" s="120">
        <f>[3]Duke_OH_RC_DS01MS!J600</f>
        <v>0</v>
      </c>
      <c r="U615" s="120">
        <f>[3]Duke_OH_RC_DS01MS!K600</f>
        <v>0</v>
      </c>
      <c r="V615" s="91"/>
    </row>
    <row r="616" spans="1:22" x14ac:dyDescent="0.2">
      <c r="A616" s="48">
        <f t="shared" si="21"/>
        <v>608</v>
      </c>
      <c r="B616" s="43">
        <v>17</v>
      </c>
      <c r="C616" s="43">
        <v>16</v>
      </c>
      <c r="D616" s="38" t="s">
        <v>615</v>
      </c>
      <c r="E616" s="44" t="s">
        <v>154</v>
      </c>
      <c r="F616" s="44" t="s">
        <v>18</v>
      </c>
      <c r="G616" s="44" t="s">
        <v>108</v>
      </c>
      <c r="H616" s="44" t="s">
        <v>62</v>
      </c>
      <c r="I616" s="44" t="s">
        <v>155</v>
      </c>
      <c r="J616" s="44" t="s">
        <v>6</v>
      </c>
      <c r="K616" s="44" t="s">
        <v>128</v>
      </c>
      <c r="L616" s="40">
        <v>1132</v>
      </c>
      <c r="M616" s="41">
        <v>41339</v>
      </c>
      <c r="N616" s="40" t="s">
        <v>110</v>
      </c>
      <c r="O616" s="42"/>
      <c r="P616" s="40"/>
      <c r="Q616" s="120">
        <f>'[3]FE_OE - test RC_GSFMS'!G600</f>
        <v>0</v>
      </c>
      <c r="R616" s="120">
        <f>'[3]FE_OE - test RC_GSFMS'!H600</f>
        <v>0</v>
      </c>
      <c r="S616" s="120">
        <f>'[3]FE_OE - test RC_GSFMS'!I600</f>
        <v>0</v>
      </c>
      <c r="T616" s="120">
        <f>'[3]FE_OE - test RC_GSFMS'!J600</f>
        <v>0</v>
      </c>
      <c r="U616" s="120">
        <f>'[3]FE_OE - test RC_GSFMS'!K600</f>
        <v>0</v>
      </c>
      <c r="V616" s="91"/>
    </row>
    <row r="617" spans="1:22" x14ac:dyDescent="0.2">
      <c r="A617" s="48">
        <f t="shared" si="21"/>
        <v>609</v>
      </c>
      <c r="B617" s="43">
        <v>17</v>
      </c>
      <c r="C617" s="43">
        <v>17</v>
      </c>
      <c r="D617" s="38" t="s">
        <v>616</v>
      </c>
      <c r="E617" s="44" t="s">
        <v>157</v>
      </c>
      <c r="F617" s="44" t="s">
        <v>29</v>
      </c>
      <c r="G617" s="44" t="s">
        <v>108</v>
      </c>
      <c r="H617" s="44" t="s">
        <v>33</v>
      </c>
      <c r="I617" s="44" t="s">
        <v>33</v>
      </c>
      <c r="J617" s="44" t="s">
        <v>7</v>
      </c>
      <c r="K617" s="44" t="s">
        <v>123</v>
      </c>
      <c r="L617" s="40">
        <v>1133</v>
      </c>
      <c r="M617" s="41">
        <v>41339</v>
      </c>
      <c r="N617" s="40" t="s">
        <v>110</v>
      </c>
      <c r="O617" s="42"/>
      <c r="P617" s="40"/>
      <c r="Q617" s="120">
        <f>'[3]JCPL LP_GSCLMS'!G600</f>
        <v>0</v>
      </c>
      <c r="R617" s="120">
        <f>'[3]JCPL LP_GSCLMS'!H600</f>
        <v>0</v>
      </c>
      <c r="S617" s="120">
        <f>'[3]JCPL LP_GSCLMS'!I600</f>
        <v>0</v>
      </c>
      <c r="T617" s="120">
        <f>'[3]JCPL LP_GSCLMS'!J600</f>
        <v>0</v>
      </c>
      <c r="U617" s="120">
        <f>'[3]JCPL LP_GSCLMS'!K600</f>
        <v>0</v>
      </c>
      <c r="V617" s="91"/>
    </row>
    <row r="618" spans="1:22" x14ac:dyDescent="0.2">
      <c r="A618" s="48">
        <f t="shared" si="21"/>
        <v>610</v>
      </c>
      <c r="B618" s="43">
        <v>17</v>
      </c>
      <c r="C618" s="43">
        <v>18</v>
      </c>
      <c r="D618" s="38" t="s">
        <v>617</v>
      </c>
      <c r="E618" s="44" t="s">
        <v>159</v>
      </c>
      <c r="F618" s="44" t="s">
        <v>29</v>
      </c>
      <c r="G618" s="44" t="s">
        <v>108</v>
      </c>
      <c r="H618" s="44" t="s">
        <v>33</v>
      </c>
      <c r="I618" s="44" t="s">
        <v>33</v>
      </c>
      <c r="J618" s="44" t="s">
        <v>8</v>
      </c>
      <c r="K618" s="44" t="s">
        <v>120</v>
      </c>
      <c r="L618" s="40">
        <v>1134</v>
      </c>
      <c r="M618" s="41">
        <v>41339</v>
      </c>
      <c r="N618" s="40" t="s">
        <v>110</v>
      </c>
      <c r="O618" s="42"/>
      <c r="P618" s="40"/>
      <c r="Q618" s="120">
        <f>'[3]JCPL LP_GSCMMS'!G600</f>
        <v>0</v>
      </c>
      <c r="R618" s="120">
        <f>'[3]JCPL LP_GSCMMS'!H600</f>
        <v>0</v>
      </c>
      <c r="S618" s="120">
        <f>'[3]JCPL LP_GSCMMS'!I600</f>
        <v>0</v>
      </c>
      <c r="T618" s="120">
        <f>'[3]JCPL LP_GSCMMS'!J600</f>
        <v>0</v>
      </c>
      <c r="U618" s="120">
        <f>'[3]JCPL LP_GSCMMS'!K600</f>
        <v>0</v>
      </c>
      <c r="V618" s="91"/>
    </row>
    <row r="619" spans="1:22" x14ac:dyDescent="0.2">
      <c r="A619" s="48">
        <f t="shared" si="21"/>
        <v>611</v>
      </c>
      <c r="B619" s="43">
        <v>17</v>
      </c>
      <c r="C619" s="43">
        <v>19</v>
      </c>
      <c r="D619" s="38" t="s">
        <v>618</v>
      </c>
      <c r="E619" s="44" t="s">
        <v>161</v>
      </c>
      <c r="F619" s="44" t="s">
        <v>29</v>
      </c>
      <c r="G619" s="44" t="s">
        <v>108</v>
      </c>
      <c r="H619" s="44" t="s">
        <v>33</v>
      </c>
      <c r="I619" s="44" t="s">
        <v>33</v>
      </c>
      <c r="J619" s="44" t="s">
        <v>9</v>
      </c>
      <c r="K619" s="44" t="s">
        <v>117</v>
      </c>
      <c r="L619" s="40">
        <v>1135</v>
      </c>
      <c r="M619" s="41">
        <v>41339</v>
      </c>
      <c r="N619" s="40" t="s">
        <v>110</v>
      </c>
      <c r="O619" s="42"/>
      <c r="P619" s="40"/>
      <c r="Q619" s="120">
        <f>'[3]JCPL LP_GSCSMS'!G600</f>
        <v>0</v>
      </c>
      <c r="R619" s="120">
        <f>'[3]JCPL LP_GSCSMS'!H600</f>
        <v>0</v>
      </c>
      <c r="S619" s="120">
        <f>'[3]JCPL LP_GSCSMS'!I600</f>
        <v>0</v>
      </c>
      <c r="T619" s="120">
        <f>'[3]JCPL LP_GSCSMS'!J600</f>
        <v>0</v>
      </c>
      <c r="U619" s="120">
        <f>'[3]JCPL LP_GSCSMS'!K600</f>
        <v>0</v>
      </c>
      <c r="V619" s="91"/>
    </row>
    <row r="620" spans="1:22" x14ac:dyDescent="0.2">
      <c r="A620" s="48">
        <f t="shared" si="21"/>
        <v>612</v>
      </c>
      <c r="B620" s="43">
        <v>17</v>
      </c>
      <c r="C620" s="43">
        <v>20</v>
      </c>
      <c r="D620" s="38" t="s">
        <v>619</v>
      </c>
      <c r="E620" s="44" t="s">
        <v>163</v>
      </c>
      <c r="F620" s="44" t="s">
        <v>5</v>
      </c>
      <c r="G620" s="44" t="s">
        <v>108</v>
      </c>
      <c r="H620" s="44" t="s">
        <v>164</v>
      </c>
      <c r="I620" s="44" t="s">
        <v>165</v>
      </c>
      <c r="J620" s="44" t="s">
        <v>7</v>
      </c>
      <c r="K620" s="44" t="s">
        <v>123</v>
      </c>
      <c r="L620" s="40">
        <v>1137</v>
      </c>
      <c r="M620" s="41">
        <v>41339</v>
      </c>
      <c r="N620" s="40" t="s">
        <v>110</v>
      </c>
      <c r="O620" s="42"/>
      <c r="P620" s="40"/>
      <c r="Q620" s="120">
        <f>'[3]MetEd RC_GSLFMS'!G600</f>
        <v>0</v>
      </c>
      <c r="R620" s="120">
        <f>'[3]MetEd RC_GSLFMS'!H600</f>
        <v>0</v>
      </c>
      <c r="S620" s="120">
        <f>'[3]MetEd RC_GSLFMS'!I600</f>
        <v>0</v>
      </c>
      <c r="T620" s="120">
        <f>'[3]MetEd RC_GSLFMS'!J600</f>
        <v>0</v>
      </c>
      <c r="U620" s="120">
        <f>'[3]MetEd RC_GSLFMS'!K600</f>
        <v>0</v>
      </c>
      <c r="V620" s="91"/>
    </row>
    <row r="621" spans="1:22" x14ac:dyDescent="0.2">
      <c r="A621" s="48">
        <f t="shared" si="21"/>
        <v>613</v>
      </c>
      <c r="B621" s="43">
        <v>17</v>
      </c>
      <c r="C621" s="43">
        <v>21</v>
      </c>
      <c r="D621" s="38" t="s">
        <v>620</v>
      </c>
      <c r="E621" s="44" t="s">
        <v>167</v>
      </c>
      <c r="F621" s="44" t="s">
        <v>5</v>
      </c>
      <c r="G621" s="44" t="s">
        <v>108</v>
      </c>
      <c r="H621" s="44" t="s">
        <v>164</v>
      </c>
      <c r="I621" s="44" t="s">
        <v>165</v>
      </c>
      <c r="J621" s="44" t="s">
        <v>8</v>
      </c>
      <c r="K621" s="44" t="s">
        <v>120</v>
      </c>
      <c r="L621" s="40">
        <v>1136</v>
      </c>
      <c r="M621" s="41">
        <v>41339</v>
      </c>
      <c r="N621" s="40" t="s">
        <v>110</v>
      </c>
      <c r="O621" s="42"/>
      <c r="P621" s="40"/>
      <c r="Q621" s="120">
        <f>'[3]MetEd RC_GSDFMS'!G600</f>
        <v>0</v>
      </c>
      <c r="R621" s="120">
        <f>'[3]MetEd RC_GSDFMS'!H600</f>
        <v>0</v>
      </c>
      <c r="S621" s="120">
        <f>'[3]MetEd RC_GSDFMS'!I600</f>
        <v>0</v>
      </c>
      <c r="T621" s="120">
        <f>'[3]MetEd RC_GSDFMS'!J600</f>
        <v>0</v>
      </c>
      <c r="U621" s="120">
        <f>'[3]MetEd RC_GSDFMS'!K600</f>
        <v>0</v>
      </c>
      <c r="V621" s="91"/>
    </row>
    <row r="622" spans="1:22" x14ac:dyDescent="0.2">
      <c r="A622" s="48">
        <f t="shared" si="21"/>
        <v>614</v>
      </c>
      <c r="B622" s="43">
        <v>17</v>
      </c>
      <c r="C622" s="43">
        <v>22</v>
      </c>
      <c r="D622" s="38" t="s">
        <v>621</v>
      </c>
      <c r="E622" s="44" t="s">
        <v>169</v>
      </c>
      <c r="F622" s="44" t="s">
        <v>5</v>
      </c>
      <c r="G622" s="44" t="s">
        <v>108</v>
      </c>
      <c r="H622" s="44" t="s">
        <v>164</v>
      </c>
      <c r="I622" s="44" t="s">
        <v>165</v>
      </c>
      <c r="J622" s="44" t="s">
        <v>9</v>
      </c>
      <c r="K622" s="44" t="s">
        <v>117</v>
      </c>
      <c r="L622" s="40">
        <v>1138</v>
      </c>
      <c r="M622" s="41">
        <v>41339</v>
      </c>
      <c r="N622" s="40" t="s">
        <v>110</v>
      </c>
      <c r="O622" s="42"/>
      <c r="P622" s="40"/>
      <c r="Q622" s="120">
        <f>'[3]MetEd RC_GSSFMS'!G600</f>
        <v>0</v>
      </c>
      <c r="R622" s="120">
        <f>'[3]MetEd RC_GSSFMS'!H600</f>
        <v>0</v>
      </c>
      <c r="S622" s="120">
        <f>'[3]MetEd RC_GSSFMS'!I600</f>
        <v>0</v>
      </c>
      <c r="T622" s="120">
        <f>'[3]MetEd RC_GSSFMS'!J600</f>
        <v>0</v>
      </c>
      <c r="U622" s="120">
        <f>'[3]MetEd RC_GSSFMS'!K600</f>
        <v>0</v>
      </c>
      <c r="V622" s="91"/>
    </row>
    <row r="623" spans="1:22" x14ac:dyDescent="0.2">
      <c r="A623" s="48">
        <f t="shared" si="21"/>
        <v>615</v>
      </c>
      <c r="B623" s="43">
        <v>17</v>
      </c>
      <c r="C623" s="43">
        <v>23</v>
      </c>
      <c r="D623" s="38" t="s">
        <v>622</v>
      </c>
      <c r="E623" s="44" t="s">
        <v>171</v>
      </c>
      <c r="F623" s="44" t="s">
        <v>5</v>
      </c>
      <c r="G623" s="44" t="s">
        <v>108</v>
      </c>
      <c r="H623" s="44" t="s">
        <v>11</v>
      </c>
      <c r="I623" s="44" t="s">
        <v>11</v>
      </c>
      <c r="J623" s="44" t="s">
        <v>6</v>
      </c>
      <c r="K623" s="44" t="s">
        <v>128</v>
      </c>
      <c r="L623" s="40">
        <v>1139</v>
      </c>
      <c r="M623" s="41">
        <v>41339</v>
      </c>
      <c r="N623" s="40" t="s">
        <v>110</v>
      </c>
      <c r="O623" s="42"/>
      <c r="P623" s="40"/>
      <c r="Q623" s="120">
        <f>'[3]PECO LP_GSMS'!G600</f>
        <v>0</v>
      </c>
      <c r="R623" s="120">
        <f>'[3]PECO LP_GSMS'!H600</f>
        <v>0</v>
      </c>
      <c r="S623" s="120">
        <f>'[3]PECO LP_GSMS'!I600</f>
        <v>0</v>
      </c>
      <c r="T623" s="120">
        <f>'[3]PECO LP_GSMS'!J600</f>
        <v>0</v>
      </c>
      <c r="U623" s="120">
        <f>'[3]PECO LP_GSMS'!K600</f>
        <v>0</v>
      </c>
      <c r="V623" s="91"/>
    </row>
    <row r="624" spans="1:22" x14ac:dyDescent="0.2">
      <c r="A624" s="48">
        <f t="shared" si="21"/>
        <v>616</v>
      </c>
      <c r="B624" s="43">
        <v>17</v>
      </c>
      <c r="C624" s="43">
        <v>24</v>
      </c>
      <c r="D624" s="38" t="s">
        <v>623</v>
      </c>
      <c r="E624" s="44" t="s">
        <v>173</v>
      </c>
      <c r="F624" s="44" t="s">
        <v>5</v>
      </c>
      <c r="G624" s="44" t="s">
        <v>108</v>
      </c>
      <c r="H624" s="44" t="s">
        <v>10</v>
      </c>
      <c r="I624" s="44" t="s">
        <v>174</v>
      </c>
      <c r="J624" s="44" t="s">
        <v>7</v>
      </c>
      <c r="K624" s="44" t="s">
        <v>123</v>
      </c>
      <c r="L624" s="40">
        <v>1140</v>
      </c>
      <c r="M624" s="41">
        <v>41339</v>
      </c>
      <c r="N624" s="40" t="s">
        <v>110</v>
      </c>
      <c r="O624" s="42"/>
      <c r="P624" s="40"/>
      <c r="Q624" s="120">
        <f>'[3]Penelec RC_GSLFMS'!G600</f>
        <v>0</v>
      </c>
      <c r="R624" s="120">
        <f>'[3]Penelec RC_GSLFMS'!H600</f>
        <v>0</v>
      </c>
      <c r="S624" s="120">
        <f>'[3]Penelec RC_GSLFMS'!I600</f>
        <v>0</v>
      </c>
      <c r="T624" s="120">
        <f>'[3]Penelec RC_GSLFMS'!J600</f>
        <v>0</v>
      </c>
      <c r="U624" s="120">
        <f>'[3]Penelec RC_GSLFMS'!K600</f>
        <v>0</v>
      </c>
      <c r="V624" s="91"/>
    </row>
    <row r="625" spans="1:22" x14ac:dyDescent="0.2">
      <c r="A625" s="48">
        <f t="shared" si="21"/>
        <v>617</v>
      </c>
      <c r="B625" s="43">
        <v>17</v>
      </c>
      <c r="C625" s="43">
        <v>25</v>
      </c>
      <c r="D625" s="38" t="s">
        <v>624</v>
      </c>
      <c r="E625" s="44" t="s">
        <v>176</v>
      </c>
      <c r="F625" s="44" t="s">
        <v>5</v>
      </c>
      <c r="G625" s="44" t="s">
        <v>108</v>
      </c>
      <c r="H625" s="44" t="s">
        <v>10</v>
      </c>
      <c r="I625" s="44" t="s">
        <v>174</v>
      </c>
      <c r="J625" s="44" t="s">
        <v>8</v>
      </c>
      <c r="K625" s="44" t="s">
        <v>120</v>
      </c>
      <c r="L625" s="40">
        <v>1141</v>
      </c>
      <c r="M625" s="41">
        <v>41339</v>
      </c>
      <c r="N625" s="40" t="s">
        <v>110</v>
      </c>
      <c r="O625" s="42"/>
      <c r="P625" s="40"/>
      <c r="Q625" s="120">
        <f>'[3]Penelec RC_GSMFMS'!G600</f>
        <v>0</v>
      </c>
      <c r="R625" s="120">
        <f>'[3]Penelec RC_GSMFMS'!H600</f>
        <v>0</v>
      </c>
      <c r="S625" s="120">
        <f>'[3]Penelec RC_GSMFMS'!I600</f>
        <v>0</v>
      </c>
      <c r="T625" s="120">
        <f>'[3]Penelec RC_GSMFMS'!J600</f>
        <v>0</v>
      </c>
      <c r="U625" s="120">
        <f>'[3]Penelec RC_GSMFMS'!K600</f>
        <v>0</v>
      </c>
      <c r="V625" s="91"/>
    </row>
    <row r="626" spans="1:22" x14ac:dyDescent="0.2">
      <c r="A626" s="48">
        <f t="shared" si="21"/>
        <v>618</v>
      </c>
      <c r="B626" s="43">
        <v>17</v>
      </c>
      <c r="C626" s="43">
        <v>26</v>
      </c>
      <c r="D626" s="38" t="s">
        <v>625</v>
      </c>
      <c r="E626" s="44" t="s">
        <v>178</v>
      </c>
      <c r="F626" s="44" t="s">
        <v>5</v>
      </c>
      <c r="G626" s="44" t="s">
        <v>108</v>
      </c>
      <c r="H626" s="44" t="s">
        <v>10</v>
      </c>
      <c r="I626" s="44" t="s">
        <v>174</v>
      </c>
      <c r="J626" s="44" t="s">
        <v>9</v>
      </c>
      <c r="K626" s="44" t="s">
        <v>117</v>
      </c>
      <c r="L626" s="40">
        <v>1142</v>
      </c>
      <c r="M626" s="41">
        <v>41339</v>
      </c>
      <c r="N626" s="40" t="s">
        <v>110</v>
      </c>
      <c r="O626" s="42"/>
      <c r="P626" s="40"/>
      <c r="Q626" s="120">
        <f>'[3]Penelec RC_GSSFMS'!G600</f>
        <v>0</v>
      </c>
      <c r="R626" s="120">
        <f>'[3]Penelec RC_GSSFMS'!H600</f>
        <v>0</v>
      </c>
      <c r="S626" s="120">
        <f>'[3]Penelec RC_GSSFMS'!I600</f>
        <v>0</v>
      </c>
      <c r="T626" s="120">
        <f>'[3]Penelec RC_GSSFMS'!J600</f>
        <v>0</v>
      </c>
      <c r="U626" s="120">
        <f>'[3]Penelec RC_GSSFMS'!K600</f>
        <v>0</v>
      </c>
      <c r="V626" s="91"/>
    </row>
    <row r="627" spans="1:22" x14ac:dyDescent="0.2">
      <c r="A627" s="48">
        <f t="shared" si="21"/>
        <v>619</v>
      </c>
      <c r="B627" s="43">
        <v>17</v>
      </c>
      <c r="C627" s="43">
        <v>27</v>
      </c>
      <c r="D627" s="38" t="s">
        <v>626</v>
      </c>
      <c r="E627" s="44" t="s">
        <v>180</v>
      </c>
      <c r="F627" s="44" t="s">
        <v>5</v>
      </c>
      <c r="G627" s="44" t="s">
        <v>108</v>
      </c>
      <c r="H627" s="44" t="s">
        <v>91</v>
      </c>
      <c r="I627" s="44" t="s">
        <v>181</v>
      </c>
      <c r="J627" s="44" t="s">
        <v>6</v>
      </c>
      <c r="K627" s="44" t="s">
        <v>128</v>
      </c>
      <c r="L627" s="40">
        <v>1143</v>
      </c>
      <c r="M627" s="41">
        <v>41339</v>
      </c>
      <c r="N627" s="40" t="s">
        <v>110</v>
      </c>
      <c r="O627" s="42"/>
      <c r="P627" s="40"/>
      <c r="Q627" s="120">
        <f>'[3]Penn Power RC_GMDMS'!G600</f>
        <v>0</v>
      </c>
      <c r="R627" s="120">
        <f>'[3]Penn Power RC_GMDMS'!H600</f>
        <v>0</v>
      </c>
      <c r="S627" s="120">
        <f>'[3]Penn Power RC_GMDMS'!I600</f>
        <v>0</v>
      </c>
      <c r="T627" s="120">
        <f>'[3]Penn Power RC_GMDMS'!J600</f>
        <v>0</v>
      </c>
      <c r="U627" s="120">
        <f>'[3]Penn Power RC_GMDMS'!K600</f>
        <v>0</v>
      </c>
      <c r="V627" s="91"/>
    </row>
    <row r="628" spans="1:22" x14ac:dyDescent="0.2">
      <c r="A628" s="48">
        <f t="shared" si="21"/>
        <v>620</v>
      </c>
      <c r="B628" s="43">
        <v>17</v>
      </c>
      <c r="C628" s="43">
        <v>28</v>
      </c>
      <c r="D628" s="38" t="s">
        <v>627</v>
      </c>
      <c r="E628" s="44" t="s">
        <v>183</v>
      </c>
      <c r="F628" s="44" t="s">
        <v>37</v>
      </c>
      <c r="G628" s="44" t="s">
        <v>108</v>
      </c>
      <c r="H628" s="44" t="s">
        <v>42</v>
      </c>
      <c r="I628" s="44" t="s">
        <v>42</v>
      </c>
      <c r="J628" s="44" t="s">
        <v>6</v>
      </c>
      <c r="K628" s="44" t="s">
        <v>128</v>
      </c>
      <c r="L628" s="40">
        <v>1144</v>
      </c>
      <c r="M628" s="41">
        <v>41339</v>
      </c>
      <c r="N628" s="40" t="s">
        <v>110</v>
      </c>
      <c r="O628" s="42"/>
      <c r="P628" s="40"/>
      <c r="Q628" s="120">
        <f>'[3]PEPCO MD LP_MDNDMS'!G600</f>
        <v>0</v>
      </c>
      <c r="R628" s="120">
        <f>'[3]PEPCO MD LP_MDNDMS'!H600</f>
        <v>0</v>
      </c>
      <c r="S628" s="120">
        <f>'[3]PEPCO MD LP_MDNDMS'!I600</f>
        <v>0</v>
      </c>
      <c r="T628" s="120">
        <f>'[3]PEPCO MD LP_MDNDMS'!J600</f>
        <v>0</v>
      </c>
      <c r="U628" s="120">
        <f>'[3]PEPCO MD LP_MDNDMS'!K600</f>
        <v>0</v>
      </c>
      <c r="V628" s="91"/>
    </row>
    <row r="629" spans="1:22" x14ac:dyDescent="0.2">
      <c r="A629" s="48">
        <f t="shared" si="21"/>
        <v>621</v>
      </c>
      <c r="B629" s="43">
        <v>17</v>
      </c>
      <c r="C629" s="43">
        <v>29</v>
      </c>
      <c r="D629" s="38" t="s">
        <v>628</v>
      </c>
      <c r="E629" s="44" t="s">
        <v>185</v>
      </c>
      <c r="F629" s="44" t="s">
        <v>37</v>
      </c>
      <c r="G629" s="44" t="s">
        <v>108</v>
      </c>
      <c r="H629" s="44" t="s">
        <v>42</v>
      </c>
      <c r="I629" s="44" t="s">
        <v>42</v>
      </c>
      <c r="J629" s="44" t="s">
        <v>43</v>
      </c>
      <c r="K629" s="44" t="s">
        <v>186</v>
      </c>
      <c r="L629" s="40">
        <v>1145</v>
      </c>
      <c r="M629" s="41">
        <v>41339</v>
      </c>
      <c r="N629" s="40" t="s">
        <v>110</v>
      </c>
      <c r="O629" s="42"/>
      <c r="P629" s="40"/>
      <c r="Q629" s="120">
        <f>'[3]PEPCO MD LP_MMGTL2AMS'!G600</f>
        <v>0</v>
      </c>
      <c r="R629" s="120">
        <f>'[3]PEPCO MD LP_MMGTL2AMS'!H600</f>
        <v>0</v>
      </c>
      <c r="S629" s="120">
        <f>'[3]PEPCO MD LP_MMGTL2AMS'!I600</f>
        <v>0</v>
      </c>
      <c r="T629" s="120">
        <f>'[3]PEPCO MD LP_MMGTL2AMS'!J600</f>
        <v>0</v>
      </c>
      <c r="U629" s="120">
        <f>'[3]PEPCO MD LP_MMGTL2AMS'!K600</f>
        <v>0</v>
      </c>
      <c r="V629" s="91"/>
    </row>
    <row r="630" spans="1:22" x14ac:dyDescent="0.2">
      <c r="A630" s="48">
        <f t="shared" si="21"/>
        <v>622</v>
      </c>
      <c r="B630" s="43">
        <v>17</v>
      </c>
      <c r="C630" s="43">
        <v>30</v>
      </c>
      <c r="D630" s="38" t="s">
        <v>629</v>
      </c>
      <c r="E630" s="44" t="s">
        <v>188</v>
      </c>
      <c r="F630" s="44" t="s">
        <v>37</v>
      </c>
      <c r="G630" s="44" t="s">
        <v>108</v>
      </c>
      <c r="H630" s="44" t="s">
        <v>42</v>
      </c>
      <c r="I630" s="44" t="s">
        <v>42</v>
      </c>
      <c r="J630" s="44" t="s">
        <v>44</v>
      </c>
      <c r="K630" s="44" t="s">
        <v>44</v>
      </c>
      <c r="L630" s="40">
        <v>1146</v>
      </c>
      <c r="M630" s="41">
        <v>41339</v>
      </c>
      <c r="N630" s="40" t="s">
        <v>110</v>
      </c>
      <c r="O630" s="42"/>
      <c r="P630" s="40"/>
      <c r="Q630" s="120">
        <f>'[3]PEPCO MD RC_3T7MS'!G600</f>
        <v>0</v>
      </c>
      <c r="R630" s="120">
        <f>'[3]PEPCO MD RC_3T7MS'!H600</f>
        <v>0</v>
      </c>
      <c r="S630" s="120">
        <f>'[3]PEPCO MD RC_3T7MS'!I600</f>
        <v>0</v>
      </c>
      <c r="T630" s="120">
        <f>'[3]PEPCO MD RC_3T7MS'!J600</f>
        <v>0</v>
      </c>
      <c r="U630" s="120">
        <f>'[3]PEPCO MD RC_3T7MS'!K600</f>
        <v>0</v>
      </c>
      <c r="V630" s="91"/>
    </row>
    <row r="631" spans="1:22" x14ac:dyDescent="0.2">
      <c r="A631" s="48">
        <f t="shared" si="21"/>
        <v>623</v>
      </c>
      <c r="B631" s="43">
        <v>17</v>
      </c>
      <c r="C631" s="43">
        <v>31</v>
      </c>
      <c r="D631" s="38" t="s">
        <v>630</v>
      </c>
      <c r="E631" s="44" t="s">
        <v>190</v>
      </c>
      <c r="F631" s="44" t="s">
        <v>37</v>
      </c>
      <c r="G631" s="44" t="s">
        <v>108</v>
      </c>
      <c r="H631" s="44" t="s">
        <v>45</v>
      </c>
      <c r="I631" s="44" t="s">
        <v>45</v>
      </c>
      <c r="J631" s="44" t="s">
        <v>6</v>
      </c>
      <c r="K631" s="44" t="s">
        <v>128</v>
      </c>
      <c r="L631" s="40">
        <v>1147</v>
      </c>
      <c r="M631" s="41">
        <v>41339</v>
      </c>
      <c r="N631" s="40" t="s">
        <v>110</v>
      </c>
      <c r="O631" s="42"/>
      <c r="P631" s="40"/>
      <c r="Q631" s="120">
        <f>'[3]Potomac Edison LP_GSCM_MMS'!G600</f>
        <v>0</v>
      </c>
      <c r="R631" s="120">
        <f>'[3]Potomac Edison LP_GSCM_MMS'!H600</f>
        <v>0</v>
      </c>
      <c r="S631" s="120">
        <f>'[3]Potomac Edison LP_GSCM_MMS'!I600</f>
        <v>0</v>
      </c>
      <c r="T631" s="120">
        <f>'[3]Potomac Edison LP_GSCM_MMS'!J600</f>
        <v>0</v>
      </c>
      <c r="U631" s="120">
        <f>'[3]Potomac Edison LP_GSCM_MMS'!K600</f>
        <v>0</v>
      </c>
      <c r="V631" s="91"/>
    </row>
    <row r="632" spans="1:22" x14ac:dyDescent="0.2">
      <c r="A632" s="48">
        <f t="shared" si="21"/>
        <v>624</v>
      </c>
      <c r="B632" s="43">
        <v>17</v>
      </c>
      <c r="C632" s="43">
        <v>32</v>
      </c>
      <c r="D632" s="38" t="s">
        <v>631</v>
      </c>
      <c r="E632" s="44" t="s">
        <v>192</v>
      </c>
      <c r="F632" s="44" t="s">
        <v>5</v>
      </c>
      <c r="G632" s="44" t="s">
        <v>108</v>
      </c>
      <c r="H632" s="44" t="s">
        <v>12</v>
      </c>
      <c r="I632" s="44" t="s">
        <v>12</v>
      </c>
      <c r="J632" s="44" t="s">
        <v>13</v>
      </c>
      <c r="K632" s="44" t="s">
        <v>117</v>
      </c>
      <c r="L632" s="40">
        <v>1148</v>
      </c>
      <c r="M632" s="41">
        <v>41339</v>
      </c>
      <c r="N632" s="40" t="s">
        <v>110</v>
      </c>
      <c r="O632" s="42"/>
      <c r="P632" s="40"/>
      <c r="Q632" s="120">
        <f>[3]PPL_RCGS1MS!G600</f>
        <v>0</v>
      </c>
      <c r="R632" s="120">
        <f>[3]PPL_RCGS1MS!H600</f>
        <v>0</v>
      </c>
      <c r="S632" s="120">
        <f>[3]PPL_RCGS1MS!I600</f>
        <v>0</v>
      </c>
      <c r="T632" s="120">
        <f>[3]PPL_RCGS1MS!J600</f>
        <v>0</v>
      </c>
      <c r="U632" s="120">
        <f>[3]PPL_RCGS1MS!K600</f>
        <v>0</v>
      </c>
      <c r="V632" s="91"/>
    </row>
    <row r="633" spans="1:22" x14ac:dyDescent="0.2">
      <c r="A633" s="48">
        <f t="shared" si="21"/>
        <v>625</v>
      </c>
      <c r="B633" s="43">
        <v>17</v>
      </c>
      <c r="C633" s="43">
        <v>33</v>
      </c>
      <c r="D633" s="38" t="s">
        <v>632</v>
      </c>
      <c r="E633" s="44" t="s">
        <v>194</v>
      </c>
      <c r="F633" s="44" t="s">
        <v>5</v>
      </c>
      <c r="G633" s="44" t="s">
        <v>108</v>
      </c>
      <c r="H633" s="44" t="s">
        <v>12</v>
      </c>
      <c r="I633" s="44" t="s">
        <v>12</v>
      </c>
      <c r="J633" s="44" t="s">
        <v>14</v>
      </c>
      <c r="K633" s="44" t="s">
        <v>123</v>
      </c>
      <c r="L633" s="40">
        <v>1149</v>
      </c>
      <c r="M633" s="41">
        <v>41339</v>
      </c>
      <c r="N633" s="40" t="s">
        <v>110</v>
      </c>
      <c r="O633" s="42"/>
      <c r="P633" s="40"/>
      <c r="Q633" s="120">
        <f>[3]PPL_RCGS3MS!G600</f>
        <v>0</v>
      </c>
      <c r="R633" s="120">
        <f>[3]PPL_RCGS3MS!H600</f>
        <v>0</v>
      </c>
      <c r="S633" s="120">
        <f>[3]PPL_RCGS3MS!I600</f>
        <v>0</v>
      </c>
      <c r="T633" s="120">
        <f>[3]PPL_RCGS3MS!J600</f>
        <v>0</v>
      </c>
      <c r="U633" s="120">
        <f>[3]PPL_RCGS3MS!K600</f>
        <v>0</v>
      </c>
      <c r="V633" s="91"/>
    </row>
    <row r="634" spans="1:22" x14ac:dyDescent="0.2">
      <c r="A634" s="48">
        <f t="shared" si="21"/>
        <v>626</v>
      </c>
      <c r="B634" s="43">
        <v>17</v>
      </c>
      <c r="C634" s="43">
        <v>34</v>
      </c>
      <c r="D634" s="38" t="s">
        <v>633</v>
      </c>
      <c r="E634" s="44" t="s">
        <v>196</v>
      </c>
      <c r="F634" s="44" t="s">
        <v>29</v>
      </c>
      <c r="G634" s="44" t="s">
        <v>108</v>
      </c>
      <c r="H634" s="44" t="s">
        <v>34</v>
      </c>
      <c r="I634" s="44" t="s">
        <v>34</v>
      </c>
      <c r="J634" s="44" t="s">
        <v>35</v>
      </c>
      <c r="K634" s="44" t="s">
        <v>197</v>
      </c>
      <c r="L634" s="40">
        <v>1150</v>
      </c>
      <c r="M634" s="41">
        <v>41339</v>
      </c>
      <c r="N634" s="40" t="s">
        <v>110</v>
      </c>
      <c r="O634" s="42"/>
      <c r="P634" s="40"/>
      <c r="Q634" s="120">
        <f>'[3]PSEG LP_GLP_MMS'!G600</f>
        <v>0</v>
      </c>
      <c r="R634" s="120">
        <f>'[3]PSEG LP_GLP_MMS'!H600</f>
        <v>0</v>
      </c>
      <c r="S634" s="120">
        <f>'[3]PSEG LP_GLP_MMS'!I600</f>
        <v>0</v>
      </c>
      <c r="T634" s="120">
        <f>'[3]PSEG LP_GLP_MMS'!J600</f>
        <v>0</v>
      </c>
      <c r="U634" s="120">
        <f>'[3]PSEG LP_GLP_MMS'!K600</f>
        <v>0</v>
      </c>
      <c r="V634" s="91"/>
    </row>
    <row r="635" spans="1:22" x14ac:dyDescent="0.2">
      <c r="A635" s="48">
        <f t="shared" si="21"/>
        <v>627</v>
      </c>
      <c r="B635" s="43">
        <v>17</v>
      </c>
      <c r="C635" s="43">
        <v>35</v>
      </c>
      <c r="D635" s="38" t="s">
        <v>634</v>
      </c>
      <c r="E635" s="44" t="s">
        <v>199</v>
      </c>
      <c r="F635" s="44" t="s">
        <v>29</v>
      </c>
      <c r="G635" s="44" t="s">
        <v>108</v>
      </c>
      <c r="H635" s="44" t="s">
        <v>34</v>
      </c>
      <c r="I635" s="44" t="s">
        <v>34</v>
      </c>
      <c r="J635" s="44" t="s">
        <v>36</v>
      </c>
      <c r="K635" s="44" t="s">
        <v>200</v>
      </c>
      <c r="L635" s="40">
        <v>1151</v>
      </c>
      <c r="M635" s="41">
        <v>41339</v>
      </c>
      <c r="N635" s="40" t="s">
        <v>110</v>
      </c>
      <c r="O635" s="42"/>
      <c r="P635" s="40"/>
      <c r="Q635" s="120">
        <f>'[3]PSEG LP_LPLMS'!G600</f>
        <v>0</v>
      </c>
      <c r="R635" s="120">
        <f>'[3]PSEG LP_LPLMS'!H600</f>
        <v>0</v>
      </c>
      <c r="S635" s="120">
        <f>'[3]PSEG LP_LPLMS'!I600</f>
        <v>0</v>
      </c>
      <c r="T635" s="120">
        <f>'[3]PSEG LP_LPLMS'!J600</f>
        <v>0</v>
      </c>
      <c r="U635" s="120">
        <f>'[3]PSEG LP_LPLMS'!K600</f>
        <v>0</v>
      </c>
      <c r="V635" s="91"/>
    </row>
    <row r="636" spans="1:22" x14ac:dyDescent="0.2">
      <c r="A636" s="48">
        <f t="shared" si="21"/>
        <v>628</v>
      </c>
      <c r="B636" s="43">
        <v>17</v>
      </c>
      <c r="C636" s="43">
        <v>36</v>
      </c>
      <c r="D636" s="38" t="s">
        <v>635</v>
      </c>
      <c r="E636" s="44" t="s">
        <v>202</v>
      </c>
      <c r="F636" s="44" t="s">
        <v>5</v>
      </c>
      <c r="G636" s="44" t="s">
        <v>108</v>
      </c>
      <c r="H636" s="44" t="s">
        <v>15</v>
      </c>
      <c r="I636" s="44" t="s">
        <v>203</v>
      </c>
      <c r="J636" s="44" t="s">
        <v>16</v>
      </c>
      <c r="K636" s="44" t="s">
        <v>128</v>
      </c>
      <c r="L636" s="40">
        <v>1152</v>
      </c>
      <c r="M636" s="41">
        <v>41339</v>
      </c>
      <c r="N636" s="40" t="s">
        <v>110</v>
      </c>
      <c r="O636" s="42"/>
      <c r="P636" s="40"/>
      <c r="Q636" s="120">
        <f>'[3]West Penn Power LP_GSCMMS'!G600</f>
        <v>0</v>
      </c>
      <c r="R636" s="120">
        <f>'[3]West Penn Power LP_GSCMMS'!H600</f>
        <v>0</v>
      </c>
      <c r="S636" s="120">
        <f>'[3]West Penn Power LP_GSCMMS'!I600</f>
        <v>0</v>
      </c>
      <c r="T636" s="120">
        <f>'[3]West Penn Power LP_GSCMMS'!J600</f>
        <v>0</v>
      </c>
      <c r="U636" s="120">
        <f>'[3]West Penn Power LP_GSCMMS'!K600</f>
        <v>0</v>
      </c>
      <c r="V636" s="91"/>
    </row>
    <row r="637" spans="1:22" x14ac:dyDescent="0.2">
      <c r="A637" s="48">
        <f t="shared" si="21"/>
        <v>629</v>
      </c>
      <c r="B637" s="20"/>
      <c r="C637" s="20"/>
      <c r="D637" s="20"/>
      <c r="Q637" s="121"/>
      <c r="R637" s="121"/>
      <c r="S637" s="121"/>
      <c r="T637" s="121"/>
      <c r="U637" s="121"/>
    </row>
    <row r="638" spans="1:22" x14ac:dyDescent="0.2">
      <c r="A638" s="48">
        <f t="shared" si="21"/>
        <v>630</v>
      </c>
      <c r="B638" s="43">
        <v>18</v>
      </c>
      <c r="C638" s="43">
        <v>1</v>
      </c>
      <c r="D638" s="38" t="s">
        <v>600</v>
      </c>
      <c r="E638" s="44" t="s">
        <v>107</v>
      </c>
      <c r="F638" s="44" t="s">
        <v>29</v>
      </c>
      <c r="G638" s="44" t="s">
        <v>108</v>
      </c>
      <c r="H638" s="44" t="s">
        <v>30</v>
      </c>
      <c r="I638" s="44" t="s">
        <v>30</v>
      </c>
      <c r="J638" s="44" t="s">
        <v>31</v>
      </c>
      <c r="K638" s="44" t="s">
        <v>109</v>
      </c>
      <c r="L638" s="40">
        <v>1117</v>
      </c>
      <c r="M638" s="41">
        <v>41339</v>
      </c>
      <c r="N638" s="40" t="s">
        <v>110</v>
      </c>
      <c r="O638" s="42"/>
      <c r="P638" s="40"/>
      <c r="Q638" s="120">
        <f>'[3]AECO LP_10V1_SMS'!G637</f>
        <v>0</v>
      </c>
      <c r="R638" s="120">
        <f>'[3]AECO LP_10V1_SMS'!H637</f>
        <v>0</v>
      </c>
      <c r="S638" s="120">
        <f>'[3]AECO LP_10V1_SMS'!I637</f>
        <v>0</v>
      </c>
      <c r="T638" s="120">
        <f>'[3]AECO LP_10V1_SMS'!J637</f>
        <v>0</v>
      </c>
      <c r="U638" s="120">
        <f>'[3]AECO LP_10V1_SMS'!K637</f>
        <v>0</v>
      </c>
      <c r="V638" s="91"/>
    </row>
    <row r="639" spans="1:22" x14ac:dyDescent="0.2">
      <c r="A639" s="48">
        <f t="shared" si="21"/>
        <v>631</v>
      </c>
      <c r="B639" s="43">
        <v>18</v>
      </c>
      <c r="C639" s="43">
        <v>2</v>
      </c>
      <c r="D639" s="38" t="s">
        <v>601</v>
      </c>
      <c r="E639" s="44" t="s">
        <v>112</v>
      </c>
      <c r="F639" s="44" t="s">
        <v>29</v>
      </c>
      <c r="G639" s="44" t="s">
        <v>108</v>
      </c>
      <c r="H639" s="44" t="s">
        <v>30</v>
      </c>
      <c r="I639" s="44" t="s">
        <v>30</v>
      </c>
      <c r="J639" s="44" t="s">
        <v>32</v>
      </c>
      <c r="K639" s="44" t="s">
        <v>113</v>
      </c>
      <c r="L639" s="40">
        <v>1118</v>
      </c>
      <c r="M639" s="41">
        <v>41339</v>
      </c>
      <c r="N639" s="40" t="s">
        <v>110</v>
      </c>
      <c r="O639" s="42"/>
      <c r="P639" s="40"/>
      <c r="Q639" s="120">
        <f>'[3]AECO LP_14V1_MMS'!G637</f>
        <v>0</v>
      </c>
      <c r="R639" s="120">
        <f>'[3]AECO LP_14V1_MMS'!H637</f>
        <v>0</v>
      </c>
      <c r="S639" s="120">
        <f>'[3]AECO LP_14V1_MMS'!I637</f>
        <v>0</v>
      </c>
      <c r="T639" s="120">
        <f>'[3]AECO LP_14V1_MMS'!J637</f>
        <v>0</v>
      </c>
      <c r="U639" s="120">
        <f>'[3]AECO LP_14V1_MMS'!K637</f>
        <v>0</v>
      </c>
      <c r="V639" s="91"/>
    </row>
    <row r="640" spans="1:22" x14ac:dyDescent="0.2">
      <c r="A640" s="48">
        <f t="shared" si="21"/>
        <v>632</v>
      </c>
      <c r="B640" s="43">
        <v>18</v>
      </c>
      <c r="C640" s="43">
        <v>3</v>
      </c>
      <c r="D640" s="38" t="s">
        <v>602</v>
      </c>
      <c r="E640" s="44" t="s">
        <v>115</v>
      </c>
      <c r="F640" s="44" t="s">
        <v>18</v>
      </c>
      <c r="G640" s="44" t="s">
        <v>108</v>
      </c>
      <c r="H640" s="44" t="s">
        <v>61</v>
      </c>
      <c r="I640" s="44" t="s">
        <v>116</v>
      </c>
      <c r="J640" s="44" t="s">
        <v>13</v>
      </c>
      <c r="K640" s="44" t="s">
        <v>117</v>
      </c>
      <c r="L640" s="40">
        <v>1119</v>
      </c>
      <c r="M640" s="41">
        <v>41339</v>
      </c>
      <c r="N640" s="40" t="s">
        <v>110</v>
      </c>
      <c r="O640" s="42"/>
      <c r="P640" s="40"/>
      <c r="Q640" s="120">
        <f>'[3]AEP_OH_CS - test CSGS1MS'!G637</f>
        <v>0</v>
      </c>
      <c r="R640" s="120">
        <f>'[3]AEP_OH_CS - test CSGS1MS'!H637</f>
        <v>0</v>
      </c>
      <c r="S640" s="120">
        <f>'[3]AEP_OH_CS - test CSGS1MS'!I637</f>
        <v>0</v>
      </c>
      <c r="T640" s="120">
        <f>'[3]AEP_OH_CS - test CSGS1MS'!J637</f>
        <v>0</v>
      </c>
      <c r="U640" s="120">
        <f>'[3]AEP_OH_CS - test CSGS1MS'!K637</f>
        <v>0</v>
      </c>
      <c r="V640" s="91"/>
    </row>
    <row r="641" spans="1:22" x14ac:dyDescent="0.2">
      <c r="A641" s="48">
        <f t="shared" si="21"/>
        <v>633</v>
      </c>
      <c r="B641" s="43">
        <v>18</v>
      </c>
      <c r="C641" s="43">
        <v>4</v>
      </c>
      <c r="D641" s="38" t="s">
        <v>603</v>
      </c>
      <c r="E641" s="44" t="s">
        <v>119</v>
      </c>
      <c r="F641" s="44" t="s">
        <v>18</v>
      </c>
      <c r="G641" s="44" t="s">
        <v>108</v>
      </c>
      <c r="H641" s="44" t="s">
        <v>61</v>
      </c>
      <c r="I641" s="44" t="s">
        <v>116</v>
      </c>
      <c r="J641" s="44" t="s">
        <v>19</v>
      </c>
      <c r="K641" s="44" t="s">
        <v>120</v>
      </c>
      <c r="L641" s="40">
        <v>1120</v>
      </c>
      <c r="M641" s="41">
        <v>41339</v>
      </c>
      <c r="N641" s="40" t="s">
        <v>110</v>
      </c>
      <c r="O641" s="42"/>
      <c r="P641" s="40"/>
      <c r="Q641" s="120">
        <f>'[3]AEP_OH_CS - test CSGS2UMS'!G637</f>
        <v>0</v>
      </c>
      <c r="R641" s="120">
        <f>'[3]AEP_OH_CS - test CSGS2UMS'!H637</f>
        <v>0</v>
      </c>
      <c r="S641" s="120">
        <f>'[3]AEP_OH_CS - test CSGS2UMS'!I637</f>
        <v>0</v>
      </c>
      <c r="T641" s="120">
        <f>'[3]AEP_OH_CS - test CSGS2UMS'!J637</f>
        <v>0</v>
      </c>
      <c r="U641" s="120">
        <f>'[3]AEP_OH_CS - test CSGS2UMS'!K637</f>
        <v>0</v>
      </c>
      <c r="V641" s="91"/>
    </row>
    <row r="642" spans="1:22" x14ac:dyDescent="0.2">
      <c r="A642" s="48">
        <f t="shared" si="21"/>
        <v>634</v>
      </c>
      <c r="B642" s="43">
        <v>18</v>
      </c>
      <c r="C642" s="43">
        <v>5</v>
      </c>
      <c r="D642" s="38" t="s">
        <v>604</v>
      </c>
      <c r="E642" s="44" t="s">
        <v>122</v>
      </c>
      <c r="F642" s="44" t="s">
        <v>18</v>
      </c>
      <c r="G642" s="44" t="s">
        <v>108</v>
      </c>
      <c r="H642" s="44" t="s">
        <v>61</v>
      </c>
      <c r="I642" s="44" t="s">
        <v>116</v>
      </c>
      <c r="J642" s="44" t="s">
        <v>14</v>
      </c>
      <c r="K642" s="44" t="s">
        <v>123</v>
      </c>
      <c r="L642" s="40">
        <v>1121</v>
      </c>
      <c r="M642" s="41">
        <v>41339</v>
      </c>
      <c r="N642" s="40" t="s">
        <v>110</v>
      </c>
      <c r="O642" s="42"/>
      <c r="P642" s="40"/>
      <c r="Q642" s="120">
        <f>'[3]AEP_OH_CS - test CSGS3UMS'!G637</f>
        <v>0</v>
      </c>
      <c r="R642" s="120">
        <f>'[3]AEP_OH_CS - test CSGS3UMS'!H637</f>
        <v>0</v>
      </c>
      <c r="S642" s="120">
        <f>'[3]AEP_OH_CS - test CSGS3UMS'!I637</f>
        <v>0</v>
      </c>
      <c r="T642" s="120">
        <f>'[3]AEP_OH_CS - test CSGS3UMS'!J637</f>
        <v>0</v>
      </c>
      <c r="U642" s="120">
        <f>'[3]AEP_OH_CS - test CSGS3UMS'!K637</f>
        <v>0</v>
      </c>
      <c r="V642" s="91"/>
    </row>
    <row r="643" spans="1:22" x14ac:dyDescent="0.2">
      <c r="A643" s="48">
        <f t="shared" si="21"/>
        <v>635</v>
      </c>
      <c r="B643" s="43">
        <v>18</v>
      </c>
      <c r="C643" s="43">
        <v>6</v>
      </c>
      <c r="D643" s="38" t="s">
        <v>605</v>
      </c>
      <c r="E643" s="44" t="s">
        <v>125</v>
      </c>
      <c r="F643" s="44" t="s">
        <v>23</v>
      </c>
      <c r="G643" s="44" t="s">
        <v>126</v>
      </c>
      <c r="H643" s="44" t="s">
        <v>127</v>
      </c>
      <c r="I643" s="44" t="s">
        <v>27</v>
      </c>
      <c r="J643" s="44" t="s">
        <v>28</v>
      </c>
      <c r="K643" s="44" t="s">
        <v>128</v>
      </c>
      <c r="L643" s="40">
        <v>1122</v>
      </c>
      <c r="M643" s="41">
        <v>41339</v>
      </c>
      <c r="N643" s="40" t="s">
        <v>110</v>
      </c>
      <c r="O643" s="42"/>
      <c r="P643" s="40"/>
      <c r="Q643" s="120">
        <f>'[3]Ameren RateZnIII LP DS2HHMS'!G637</f>
        <v>0</v>
      </c>
      <c r="R643" s="120">
        <f>'[3]Ameren RateZnIII LP DS2HHMS'!H637</f>
        <v>0</v>
      </c>
      <c r="S643" s="120">
        <f>'[3]Ameren RateZnIII LP DS2HHMS'!I637</f>
        <v>0</v>
      </c>
      <c r="T643" s="120">
        <f>'[3]Ameren RateZnIII LP DS2HHMS'!J637</f>
        <v>0</v>
      </c>
      <c r="U643" s="120">
        <f>'[3]Ameren RateZnIII LP DS2HHMS'!K637</f>
        <v>0</v>
      </c>
      <c r="V643" s="91"/>
    </row>
    <row r="644" spans="1:22" x14ac:dyDescent="0.2">
      <c r="A644" s="48">
        <f t="shared" si="21"/>
        <v>636</v>
      </c>
      <c r="B644" s="43">
        <v>18</v>
      </c>
      <c r="C644" s="43">
        <v>7</v>
      </c>
      <c r="D644" s="38" t="s">
        <v>606</v>
      </c>
      <c r="E644" s="44" t="s">
        <v>130</v>
      </c>
      <c r="F644" s="44" t="s">
        <v>37</v>
      </c>
      <c r="G644" s="44" t="s">
        <v>108</v>
      </c>
      <c r="H644" s="44" t="s">
        <v>38</v>
      </c>
      <c r="I644" s="44" t="s">
        <v>38</v>
      </c>
      <c r="J644" s="44" t="s">
        <v>40</v>
      </c>
      <c r="K644" s="44" t="s">
        <v>123</v>
      </c>
      <c r="L644" s="40">
        <v>1124</v>
      </c>
      <c r="M644" s="41">
        <v>41339</v>
      </c>
      <c r="N644" s="40" t="s">
        <v>110</v>
      </c>
      <c r="O644" s="42"/>
      <c r="P644" s="40"/>
      <c r="Q644" s="120">
        <f>'[3]BGE LP_GLMS'!G637</f>
        <v>0</v>
      </c>
      <c r="R644" s="120">
        <f>'[3]BGE LP_GLMS'!H637</f>
        <v>0</v>
      </c>
      <c r="S644" s="120">
        <f>'[3]BGE LP_GLMS'!I637</f>
        <v>0</v>
      </c>
      <c r="T644" s="120">
        <f>'[3]BGE LP_GLMS'!J637</f>
        <v>0</v>
      </c>
      <c r="U644" s="120">
        <f>'[3]BGE LP_GLMS'!K637</f>
        <v>0</v>
      </c>
      <c r="V644" s="91"/>
    </row>
    <row r="645" spans="1:22" x14ac:dyDescent="0.2">
      <c r="A645" s="48">
        <f t="shared" si="21"/>
        <v>637</v>
      </c>
      <c r="B645" s="43">
        <v>18</v>
      </c>
      <c r="C645" s="43">
        <v>8</v>
      </c>
      <c r="D645" s="38" t="s">
        <v>607</v>
      </c>
      <c r="E645" s="44" t="s">
        <v>132</v>
      </c>
      <c r="F645" s="44" t="s">
        <v>37</v>
      </c>
      <c r="G645" s="44" t="s">
        <v>108</v>
      </c>
      <c r="H645" s="44" t="s">
        <v>38</v>
      </c>
      <c r="I645" s="44" t="s">
        <v>38</v>
      </c>
      <c r="J645" s="44" t="s">
        <v>39</v>
      </c>
      <c r="K645" s="44" t="s">
        <v>120</v>
      </c>
      <c r="L645" s="40">
        <v>1123</v>
      </c>
      <c r="M645" s="41">
        <v>41339</v>
      </c>
      <c r="N645" s="40" t="s">
        <v>110</v>
      </c>
      <c r="O645" s="42"/>
      <c r="P645" s="40"/>
      <c r="Q645" s="120">
        <f>'[3]BGE LP_GMS'!G637</f>
        <v>0</v>
      </c>
      <c r="R645" s="120">
        <f>'[3]BGE LP_GMS'!H637</f>
        <v>0</v>
      </c>
      <c r="S645" s="120">
        <f>'[3]BGE LP_GMS'!I637</f>
        <v>0</v>
      </c>
      <c r="T645" s="120">
        <f>'[3]BGE LP_GMS'!J637</f>
        <v>0</v>
      </c>
      <c r="U645" s="120">
        <f>'[3]BGE LP_GMS'!K637</f>
        <v>0</v>
      </c>
      <c r="V645" s="91"/>
    </row>
    <row r="646" spans="1:22" x14ac:dyDescent="0.2">
      <c r="A646" s="48">
        <f t="shared" si="21"/>
        <v>638</v>
      </c>
      <c r="B646" s="43">
        <v>18</v>
      </c>
      <c r="C646" s="43">
        <v>9</v>
      </c>
      <c r="D646" s="38" t="s">
        <v>608</v>
      </c>
      <c r="E646" s="44" t="s">
        <v>134</v>
      </c>
      <c r="F646" s="44" t="s">
        <v>37</v>
      </c>
      <c r="G646" s="44" t="s">
        <v>108</v>
      </c>
      <c r="H646" s="44" t="s">
        <v>38</v>
      </c>
      <c r="I646" s="44" t="s">
        <v>38</v>
      </c>
      <c r="J646" s="44" t="s">
        <v>6</v>
      </c>
      <c r="K646" s="44" t="s">
        <v>117</v>
      </c>
      <c r="L646" s="40">
        <v>1125</v>
      </c>
      <c r="M646" s="41">
        <v>41339</v>
      </c>
      <c r="N646" s="40" t="s">
        <v>110</v>
      </c>
      <c r="O646" s="42"/>
      <c r="P646" s="40"/>
      <c r="Q646" s="120">
        <f>'[3]BGE LP_GSMS'!G637</f>
        <v>0</v>
      </c>
      <c r="R646" s="120">
        <f>'[3]BGE LP_GSMS'!H637</f>
        <v>0</v>
      </c>
      <c r="S646" s="120">
        <f>'[3]BGE LP_GSMS'!I637</f>
        <v>0</v>
      </c>
      <c r="T646" s="120">
        <f>'[3]BGE LP_GSMS'!J637</f>
        <v>0</v>
      </c>
      <c r="U646" s="120">
        <f>'[3]BGE LP_GSMS'!K637</f>
        <v>0</v>
      </c>
      <c r="V646" s="91"/>
    </row>
    <row r="647" spans="1:22" x14ac:dyDescent="0.2">
      <c r="A647" s="48">
        <f t="shared" si="21"/>
        <v>639</v>
      </c>
      <c r="B647" s="43">
        <v>18</v>
      </c>
      <c r="C647" s="43">
        <v>10</v>
      </c>
      <c r="D647" s="38" t="s">
        <v>609</v>
      </c>
      <c r="E647" s="44" t="s">
        <v>136</v>
      </c>
      <c r="F647" s="44" t="s">
        <v>23</v>
      </c>
      <c r="G647" s="44" t="s">
        <v>108</v>
      </c>
      <c r="H647" s="44" t="s">
        <v>137</v>
      </c>
      <c r="I647" s="44" t="s">
        <v>24</v>
      </c>
      <c r="J647" s="44" t="s">
        <v>25</v>
      </c>
      <c r="K647" s="44" t="s">
        <v>138</v>
      </c>
      <c r="L647" s="40">
        <v>1126</v>
      </c>
      <c r="M647" s="41">
        <v>41339</v>
      </c>
      <c r="N647" s="40" t="s">
        <v>110</v>
      </c>
      <c r="O647" s="42"/>
      <c r="P647" s="40"/>
      <c r="Q647" s="120">
        <f>'[3]ComEd - test LP_28MS'!G637</f>
        <v>0</v>
      </c>
      <c r="R647" s="120">
        <f>'[3]ComEd - test LP_28MS'!H637</f>
        <v>0</v>
      </c>
      <c r="S647" s="120">
        <f>'[3]ComEd - test LP_28MS'!I637</f>
        <v>0</v>
      </c>
      <c r="T647" s="120">
        <f>'[3]ComEd - test LP_28MS'!J637</f>
        <v>0</v>
      </c>
      <c r="U647" s="120">
        <f>'[3]ComEd - test LP_28MS'!K637</f>
        <v>0</v>
      </c>
      <c r="V647" s="91"/>
    </row>
    <row r="648" spans="1:22" x14ac:dyDescent="0.2">
      <c r="A648" s="48">
        <f t="shared" si="21"/>
        <v>640</v>
      </c>
      <c r="B648" s="43">
        <v>18</v>
      </c>
      <c r="C648" s="43">
        <v>11</v>
      </c>
      <c r="D648" s="38" t="s">
        <v>610</v>
      </c>
      <c r="E648" s="44" t="s">
        <v>140</v>
      </c>
      <c r="F648" s="44" t="s">
        <v>23</v>
      </c>
      <c r="G648" s="44" t="s">
        <v>108</v>
      </c>
      <c r="H648" s="44" t="s">
        <v>137</v>
      </c>
      <c r="I648" s="44" t="s">
        <v>24</v>
      </c>
      <c r="J648" s="44" t="s">
        <v>26</v>
      </c>
      <c r="K648" s="44" t="s">
        <v>141</v>
      </c>
      <c r="L648" s="40">
        <v>1127</v>
      </c>
      <c r="M648" s="41">
        <v>41339</v>
      </c>
      <c r="N648" s="40" t="s">
        <v>110</v>
      </c>
      <c r="O648" s="42"/>
      <c r="P648" s="40"/>
      <c r="Q648" s="120">
        <f>'[3]ComEd - test LP_29MS'!G637</f>
        <v>0</v>
      </c>
      <c r="R648" s="120">
        <f>'[3]ComEd - test LP_29MS'!H637</f>
        <v>0</v>
      </c>
      <c r="S648" s="120">
        <f>'[3]ComEd - test LP_29MS'!I637</f>
        <v>0</v>
      </c>
      <c r="T648" s="120">
        <f>'[3]ComEd - test LP_29MS'!J637</f>
        <v>0</v>
      </c>
      <c r="U648" s="120">
        <f>'[3]ComEd - test LP_29MS'!K637</f>
        <v>0</v>
      </c>
      <c r="V648" s="91"/>
    </row>
    <row r="649" spans="1:22" x14ac:dyDescent="0.2">
      <c r="A649" s="48">
        <f t="shared" si="21"/>
        <v>641</v>
      </c>
      <c r="B649" s="43">
        <v>18</v>
      </c>
      <c r="C649" s="43">
        <v>12</v>
      </c>
      <c r="D649" s="38" t="s">
        <v>611</v>
      </c>
      <c r="E649" s="44" t="s">
        <v>143</v>
      </c>
      <c r="F649" s="44" t="s">
        <v>18</v>
      </c>
      <c r="G649" s="44" t="s">
        <v>108</v>
      </c>
      <c r="H649" s="44" t="s">
        <v>94</v>
      </c>
      <c r="I649" s="44" t="s">
        <v>144</v>
      </c>
      <c r="J649" s="44" t="s">
        <v>20</v>
      </c>
      <c r="K649" s="44" t="s">
        <v>145</v>
      </c>
      <c r="L649" s="40">
        <v>1128</v>
      </c>
      <c r="M649" s="41">
        <v>41339</v>
      </c>
      <c r="N649" s="40" t="s">
        <v>110</v>
      </c>
      <c r="O649" s="42"/>
      <c r="P649" s="40"/>
      <c r="Q649" s="120">
        <f>[3]DAY_RC_843MS!G637</f>
        <v>0</v>
      </c>
      <c r="R649" s="120">
        <f>[3]DAY_RC_843MS!H637</f>
        <v>0</v>
      </c>
      <c r="S649" s="120">
        <f>[3]DAY_RC_843MS!I637</f>
        <v>0</v>
      </c>
      <c r="T649" s="120">
        <f>[3]DAY_RC_843MS!J637</f>
        <v>0</v>
      </c>
      <c r="U649" s="120">
        <f>[3]DAY_RC_843MS!K637</f>
        <v>0</v>
      </c>
      <c r="V649" s="91"/>
    </row>
    <row r="650" spans="1:22" x14ac:dyDescent="0.2">
      <c r="A650" s="48">
        <f t="shared" si="21"/>
        <v>642</v>
      </c>
      <c r="B650" s="43">
        <v>18</v>
      </c>
      <c r="C650" s="43">
        <v>13</v>
      </c>
      <c r="D650" s="38" t="s">
        <v>612</v>
      </c>
      <c r="E650" s="44" t="s">
        <v>147</v>
      </c>
      <c r="F650" s="44" t="s">
        <v>37</v>
      </c>
      <c r="G650" s="44" t="s">
        <v>108</v>
      </c>
      <c r="H650" s="44" t="s">
        <v>41</v>
      </c>
      <c r="I650" s="44" t="s">
        <v>41</v>
      </c>
      <c r="J650" s="44" t="s">
        <v>6</v>
      </c>
      <c r="K650" s="44" t="s">
        <v>128</v>
      </c>
      <c r="L650" s="40">
        <v>1129</v>
      </c>
      <c r="M650" s="41">
        <v>41339</v>
      </c>
      <c r="N650" s="40" t="s">
        <v>110</v>
      </c>
      <c r="O650" s="42"/>
      <c r="P650" s="40"/>
      <c r="Q650" s="120">
        <f>'[3]Delmarva MD LP_MDGS_MMS'!G637</f>
        <v>0</v>
      </c>
      <c r="R650" s="120">
        <f>'[3]Delmarva MD LP_MDGS_MMS'!H637</f>
        <v>0</v>
      </c>
      <c r="S650" s="120">
        <f>'[3]Delmarva MD LP_MDGS_MMS'!I637</f>
        <v>0</v>
      </c>
      <c r="T650" s="120">
        <f>'[3]Delmarva MD LP_MDGS_MMS'!J637</f>
        <v>0</v>
      </c>
      <c r="U650" s="120">
        <f>'[3]Delmarva MD LP_MDGS_MMS'!K637</f>
        <v>0</v>
      </c>
      <c r="V650" s="91"/>
    </row>
    <row r="651" spans="1:22" x14ac:dyDescent="0.2">
      <c r="A651" s="48">
        <f t="shared" ref="A651:A714" si="22">A650+1</f>
        <v>643</v>
      </c>
      <c r="B651" s="43">
        <v>18</v>
      </c>
      <c r="C651" s="43">
        <v>14</v>
      </c>
      <c r="D651" s="38" t="s">
        <v>613</v>
      </c>
      <c r="E651" s="44" t="s">
        <v>149</v>
      </c>
      <c r="F651" s="44" t="s">
        <v>5</v>
      </c>
      <c r="G651" s="44" t="s">
        <v>108</v>
      </c>
      <c r="H651" s="44" t="s">
        <v>46</v>
      </c>
      <c r="I651" s="44" t="s">
        <v>46</v>
      </c>
      <c r="J651" s="44" t="s">
        <v>6</v>
      </c>
      <c r="K651" s="44" t="s">
        <v>128</v>
      </c>
      <c r="L651" s="40">
        <v>1130</v>
      </c>
      <c r="M651" s="41">
        <v>41339</v>
      </c>
      <c r="N651" s="40" t="s">
        <v>110</v>
      </c>
      <c r="O651" s="42"/>
      <c r="P651" s="40"/>
      <c r="Q651" s="120">
        <f>'[3]DQE LP_GSGM_MMS'!G637</f>
        <v>0</v>
      </c>
      <c r="R651" s="120">
        <f>'[3]DQE LP_GSGM_MMS'!H637</f>
        <v>0</v>
      </c>
      <c r="S651" s="120">
        <f>'[3]DQE LP_GSGM_MMS'!I637</f>
        <v>0</v>
      </c>
      <c r="T651" s="120">
        <f>'[3]DQE LP_GSGM_MMS'!J637</f>
        <v>0</v>
      </c>
      <c r="U651" s="120">
        <f>'[3]DQE LP_GSGM_MMS'!K637</f>
        <v>0</v>
      </c>
      <c r="V651" s="91"/>
    </row>
    <row r="652" spans="1:22" x14ac:dyDescent="0.2">
      <c r="A652" s="48">
        <f t="shared" si="22"/>
        <v>644</v>
      </c>
      <c r="B652" s="43">
        <v>18</v>
      </c>
      <c r="C652" s="43">
        <v>15</v>
      </c>
      <c r="D652" s="38" t="s">
        <v>614</v>
      </c>
      <c r="E652" s="44" t="s">
        <v>151</v>
      </c>
      <c r="F652" s="44" t="s">
        <v>18</v>
      </c>
      <c r="G652" s="44" t="s">
        <v>108</v>
      </c>
      <c r="H652" s="44" t="s">
        <v>21</v>
      </c>
      <c r="I652" s="44" t="s">
        <v>152</v>
      </c>
      <c r="J652" s="44" t="s">
        <v>22</v>
      </c>
      <c r="K652" s="44" t="s">
        <v>128</v>
      </c>
      <c r="L652" s="40">
        <v>1131</v>
      </c>
      <c r="M652" s="41">
        <v>41339</v>
      </c>
      <c r="N652" s="40" t="s">
        <v>110</v>
      </c>
      <c r="O652" s="42"/>
      <c r="P652" s="40"/>
      <c r="Q652" s="120">
        <f>[3]Duke_OH_RC_DS01MS!G637</f>
        <v>0</v>
      </c>
      <c r="R652" s="120">
        <f>[3]Duke_OH_RC_DS01MS!H637</f>
        <v>0</v>
      </c>
      <c r="S652" s="120">
        <f>[3]Duke_OH_RC_DS01MS!I637</f>
        <v>0</v>
      </c>
      <c r="T652" s="120">
        <f>[3]Duke_OH_RC_DS01MS!J637</f>
        <v>0</v>
      </c>
      <c r="U652" s="120">
        <f>[3]Duke_OH_RC_DS01MS!K637</f>
        <v>0</v>
      </c>
      <c r="V652" s="91"/>
    </row>
    <row r="653" spans="1:22" x14ac:dyDescent="0.2">
      <c r="A653" s="48">
        <f t="shared" si="22"/>
        <v>645</v>
      </c>
      <c r="B653" s="43">
        <v>18</v>
      </c>
      <c r="C653" s="43">
        <v>16</v>
      </c>
      <c r="D653" s="38" t="s">
        <v>615</v>
      </c>
      <c r="E653" s="44" t="s">
        <v>154</v>
      </c>
      <c r="F653" s="44" t="s">
        <v>18</v>
      </c>
      <c r="G653" s="44" t="s">
        <v>108</v>
      </c>
      <c r="H653" s="44" t="s">
        <v>62</v>
      </c>
      <c r="I653" s="44" t="s">
        <v>155</v>
      </c>
      <c r="J653" s="44" t="s">
        <v>6</v>
      </c>
      <c r="K653" s="44" t="s">
        <v>128</v>
      </c>
      <c r="L653" s="40">
        <v>1132</v>
      </c>
      <c r="M653" s="41">
        <v>41339</v>
      </c>
      <c r="N653" s="40" t="s">
        <v>110</v>
      </c>
      <c r="O653" s="42"/>
      <c r="P653" s="40"/>
      <c r="Q653" s="120">
        <f>'[3]FE_OE - test RC_GSFMS'!G637</f>
        <v>0</v>
      </c>
      <c r="R653" s="120">
        <f>'[3]FE_OE - test RC_GSFMS'!H637</f>
        <v>0</v>
      </c>
      <c r="S653" s="120">
        <f>'[3]FE_OE - test RC_GSFMS'!I637</f>
        <v>0</v>
      </c>
      <c r="T653" s="120">
        <f>'[3]FE_OE - test RC_GSFMS'!J637</f>
        <v>0</v>
      </c>
      <c r="U653" s="120">
        <f>'[3]FE_OE - test RC_GSFMS'!K637</f>
        <v>0</v>
      </c>
      <c r="V653" s="91"/>
    </row>
    <row r="654" spans="1:22" x14ac:dyDescent="0.2">
      <c r="A654" s="48">
        <f t="shared" si="22"/>
        <v>646</v>
      </c>
      <c r="B654" s="43">
        <v>18</v>
      </c>
      <c r="C654" s="43">
        <v>17</v>
      </c>
      <c r="D654" s="38" t="s">
        <v>616</v>
      </c>
      <c r="E654" s="44" t="s">
        <v>157</v>
      </c>
      <c r="F654" s="44" t="s">
        <v>29</v>
      </c>
      <c r="G654" s="44" t="s">
        <v>108</v>
      </c>
      <c r="H654" s="44" t="s">
        <v>33</v>
      </c>
      <c r="I654" s="44" t="s">
        <v>33</v>
      </c>
      <c r="J654" s="44" t="s">
        <v>7</v>
      </c>
      <c r="K654" s="44" t="s">
        <v>123</v>
      </c>
      <c r="L654" s="40">
        <v>1133</v>
      </c>
      <c r="M654" s="41">
        <v>41339</v>
      </c>
      <c r="N654" s="40" t="s">
        <v>110</v>
      </c>
      <c r="O654" s="42"/>
      <c r="P654" s="40"/>
      <c r="Q654" s="120">
        <f>'[3]JCPL LP_GSCLMS'!G637</f>
        <v>0</v>
      </c>
      <c r="R654" s="120">
        <f>'[3]JCPL LP_GSCLMS'!H637</f>
        <v>0</v>
      </c>
      <c r="S654" s="120">
        <f>'[3]JCPL LP_GSCLMS'!I637</f>
        <v>0</v>
      </c>
      <c r="T654" s="120">
        <f>'[3]JCPL LP_GSCLMS'!J637</f>
        <v>0</v>
      </c>
      <c r="U654" s="120">
        <f>'[3]JCPL LP_GSCLMS'!K637</f>
        <v>0</v>
      </c>
      <c r="V654" s="91"/>
    </row>
    <row r="655" spans="1:22" x14ac:dyDescent="0.2">
      <c r="A655" s="48">
        <f t="shared" si="22"/>
        <v>647</v>
      </c>
      <c r="B655" s="43">
        <v>18</v>
      </c>
      <c r="C655" s="43">
        <v>18</v>
      </c>
      <c r="D655" s="38" t="s">
        <v>617</v>
      </c>
      <c r="E655" s="44" t="s">
        <v>159</v>
      </c>
      <c r="F655" s="44" t="s">
        <v>29</v>
      </c>
      <c r="G655" s="44" t="s">
        <v>108</v>
      </c>
      <c r="H655" s="44" t="s">
        <v>33</v>
      </c>
      <c r="I655" s="44" t="s">
        <v>33</v>
      </c>
      <c r="J655" s="44" t="s">
        <v>8</v>
      </c>
      <c r="K655" s="44" t="s">
        <v>120</v>
      </c>
      <c r="L655" s="40">
        <v>1134</v>
      </c>
      <c r="M655" s="41">
        <v>41339</v>
      </c>
      <c r="N655" s="40" t="s">
        <v>110</v>
      </c>
      <c r="O655" s="42"/>
      <c r="P655" s="40"/>
      <c r="Q655" s="120">
        <f>'[3]JCPL LP_GSCMMS'!G637</f>
        <v>0</v>
      </c>
      <c r="R655" s="120">
        <f>'[3]JCPL LP_GSCMMS'!H637</f>
        <v>0</v>
      </c>
      <c r="S655" s="120">
        <f>'[3]JCPL LP_GSCMMS'!I637</f>
        <v>0</v>
      </c>
      <c r="T655" s="120">
        <f>'[3]JCPL LP_GSCMMS'!J637</f>
        <v>0</v>
      </c>
      <c r="U655" s="120">
        <f>'[3]JCPL LP_GSCMMS'!K637</f>
        <v>0</v>
      </c>
      <c r="V655" s="91"/>
    </row>
    <row r="656" spans="1:22" x14ac:dyDescent="0.2">
      <c r="A656" s="48">
        <f t="shared" si="22"/>
        <v>648</v>
      </c>
      <c r="B656" s="43">
        <v>18</v>
      </c>
      <c r="C656" s="43">
        <v>19</v>
      </c>
      <c r="D656" s="38" t="s">
        <v>618</v>
      </c>
      <c r="E656" s="44" t="s">
        <v>161</v>
      </c>
      <c r="F656" s="44" t="s">
        <v>29</v>
      </c>
      <c r="G656" s="44" t="s">
        <v>108</v>
      </c>
      <c r="H656" s="44" t="s">
        <v>33</v>
      </c>
      <c r="I656" s="44" t="s">
        <v>33</v>
      </c>
      <c r="J656" s="44" t="s">
        <v>9</v>
      </c>
      <c r="K656" s="44" t="s">
        <v>117</v>
      </c>
      <c r="L656" s="40">
        <v>1135</v>
      </c>
      <c r="M656" s="41">
        <v>41339</v>
      </c>
      <c r="N656" s="40" t="s">
        <v>110</v>
      </c>
      <c r="O656" s="42"/>
      <c r="P656" s="40"/>
      <c r="Q656" s="120">
        <f>'[3]JCPL LP_GSCSMS'!G637</f>
        <v>0</v>
      </c>
      <c r="R656" s="120">
        <f>'[3]JCPL LP_GSCSMS'!H637</f>
        <v>0</v>
      </c>
      <c r="S656" s="120">
        <f>'[3]JCPL LP_GSCSMS'!I637</f>
        <v>0</v>
      </c>
      <c r="T656" s="120">
        <f>'[3]JCPL LP_GSCSMS'!J637</f>
        <v>0</v>
      </c>
      <c r="U656" s="120">
        <f>'[3]JCPL LP_GSCSMS'!K637</f>
        <v>0</v>
      </c>
      <c r="V656" s="91"/>
    </row>
    <row r="657" spans="1:22" x14ac:dyDescent="0.2">
      <c r="A657" s="48">
        <f t="shared" si="22"/>
        <v>649</v>
      </c>
      <c r="B657" s="43">
        <v>18</v>
      </c>
      <c r="C657" s="43">
        <v>20</v>
      </c>
      <c r="D657" s="38" t="s">
        <v>619</v>
      </c>
      <c r="E657" s="44" t="s">
        <v>163</v>
      </c>
      <c r="F657" s="44" t="s">
        <v>5</v>
      </c>
      <c r="G657" s="44" t="s">
        <v>108</v>
      </c>
      <c r="H657" s="44" t="s">
        <v>164</v>
      </c>
      <c r="I657" s="44" t="s">
        <v>165</v>
      </c>
      <c r="J657" s="44" t="s">
        <v>7</v>
      </c>
      <c r="K657" s="44" t="s">
        <v>123</v>
      </c>
      <c r="L657" s="40">
        <v>1137</v>
      </c>
      <c r="M657" s="41">
        <v>41339</v>
      </c>
      <c r="N657" s="40" t="s">
        <v>110</v>
      </c>
      <c r="O657" s="42"/>
      <c r="P657" s="40"/>
      <c r="Q657" s="120">
        <f>'[3]MetEd RC_GSLFMS'!G637</f>
        <v>0</v>
      </c>
      <c r="R657" s="120">
        <f>'[3]MetEd RC_GSLFMS'!H637</f>
        <v>0</v>
      </c>
      <c r="S657" s="120">
        <f>'[3]MetEd RC_GSLFMS'!I637</f>
        <v>0</v>
      </c>
      <c r="T657" s="120">
        <f>'[3]MetEd RC_GSLFMS'!J637</f>
        <v>0</v>
      </c>
      <c r="U657" s="120">
        <f>'[3]MetEd RC_GSLFMS'!K637</f>
        <v>0</v>
      </c>
      <c r="V657" s="91"/>
    </row>
    <row r="658" spans="1:22" x14ac:dyDescent="0.2">
      <c r="A658" s="48">
        <f t="shared" si="22"/>
        <v>650</v>
      </c>
      <c r="B658" s="43">
        <v>18</v>
      </c>
      <c r="C658" s="43">
        <v>21</v>
      </c>
      <c r="D658" s="38" t="s">
        <v>620</v>
      </c>
      <c r="E658" s="44" t="s">
        <v>167</v>
      </c>
      <c r="F658" s="44" t="s">
        <v>5</v>
      </c>
      <c r="G658" s="44" t="s">
        <v>108</v>
      </c>
      <c r="H658" s="44" t="s">
        <v>164</v>
      </c>
      <c r="I658" s="44" t="s">
        <v>165</v>
      </c>
      <c r="J658" s="44" t="s">
        <v>8</v>
      </c>
      <c r="K658" s="44" t="s">
        <v>120</v>
      </c>
      <c r="L658" s="40">
        <v>1136</v>
      </c>
      <c r="M658" s="41">
        <v>41339</v>
      </c>
      <c r="N658" s="40" t="s">
        <v>110</v>
      </c>
      <c r="O658" s="42"/>
      <c r="P658" s="40"/>
      <c r="Q658" s="120">
        <f>'[3]MetEd RC_GSDFMS'!G637</f>
        <v>0</v>
      </c>
      <c r="R658" s="120">
        <f>'[3]MetEd RC_GSDFMS'!H637</f>
        <v>0</v>
      </c>
      <c r="S658" s="120">
        <f>'[3]MetEd RC_GSDFMS'!I637</f>
        <v>0</v>
      </c>
      <c r="T658" s="120">
        <f>'[3]MetEd RC_GSDFMS'!J637</f>
        <v>0</v>
      </c>
      <c r="U658" s="120">
        <f>'[3]MetEd RC_GSDFMS'!K637</f>
        <v>0</v>
      </c>
      <c r="V658" s="91"/>
    </row>
    <row r="659" spans="1:22" x14ac:dyDescent="0.2">
      <c r="A659" s="48">
        <f t="shared" si="22"/>
        <v>651</v>
      </c>
      <c r="B659" s="43">
        <v>18</v>
      </c>
      <c r="C659" s="43">
        <v>22</v>
      </c>
      <c r="D659" s="38" t="s">
        <v>621</v>
      </c>
      <c r="E659" s="44" t="s">
        <v>169</v>
      </c>
      <c r="F659" s="44" t="s">
        <v>5</v>
      </c>
      <c r="G659" s="44" t="s">
        <v>108</v>
      </c>
      <c r="H659" s="44" t="s">
        <v>164</v>
      </c>
      <c r="I659" s="44" t="s">
        <v>165</v>
      </c>
      <c r="J659" s="44" t="s">
        <v>9</v>
      </c>
      <c r="K659" s="44" t="s">
        <v>117</v>
      </c>
      <c r="L659" s="40">
        <v>1138</v>
      </c>
      <c r="M659" s="41">
        <v>41339</v>
      </c>
      <c r="N659" s="40" t="s">
        <v>110</v>
      </c>
      <c r="O659" s="42"/>
      <c r="P659" s="40"/>
      <c r="Q659" s="120">
        <f>'[3]MetEd RC_GSSFMS'!G637</f>
        <v>0</v>
      </c>
      <c r="R659" s="120">
        <f>'[3]MetEd RC_GSSFMS'!H637</f>
        <v>0</v>
      </c>
      <c r="S659" s="120">
        <f>'[3]MetEd RC_GSSFMS'!I637</f>
        <v>0</v>
      </c>
      <c r="T659" s="120">
        <f>'[3]MetEd RC_GSSFMS'!J637</f>
        <v>0</v>
      </c>
      <c r="U659" s="120">
        <f>'[3]MetEd RC_GSSFMS'!K637</f>
        <v>0</v>
      </c>
      <c r="V659" s="91"/>
    </row>
    <row r="660" spans="1:22" x14ac:dyDescent="0.2">
      <c r="A660" s="48">
        <f t="shared" si="22"/>
        <v>652</v>
      </c>
      <c r="B660" s="43">
        <v>18</v>
      </c>
      <c r="C660" s="43">
        <v>23</v>
      </c>
      <c r="D660" s="38" t="s">
        <v>622</v>
      </c>
      <c r="E660" s="44" t="s">
        <v>171</v>
      </c>
      <c r="F660" s="44" t="s">
        <v>5</v>
      </c>
      <c r="G660" s="44" t="s">
        <v>108</v>
      </c>
      <c r="H660" s="44" t="s">
        <v>11</v>
      </c>
      <c r="I660" s="44" t="s">
        <v>11</v>
      </c>
      <c r="J660" s="44" t="s">
        <v>6</v>
      </c>
      <c r="K660" s="44" t="s">
        <v>128</v>
      </c>
      <c r="L660" s="40">
        <v>1139</v>
      </c>
      <c r="M660" s="41">
        <v>41339</v>
      </c>
      <c r="N660" s="40" t="s">
        <v>110</v>
      </c>
      <c r="O660" s="42"/>
      <c r="P660" s="40"/>
      <c r="Q660" s="120">
        <f>'[3]PECO LP_GSMS'!G637</f>
        <v>0</v>
      </c>
      <c r="R660" s="120">
        <f>'[3]PECO LP_GSMS'!H637</f>
        <v>0</v>
      </c>
      <c r="S660" s="120">
        <f>'[3]PECO LP_GSMS'!I637</f>
        <v>0</v>
      </c>
      <c r="T660" s="120">
        <f>'[3]PECO LP_GSMS'!J637</f>
        <v>0</v>
      </c>
      <c r="U660" s="120">
        <f>'[3]PECO LP_GSMS'!K637</f>
        <v>0</v>
      </c>
      <c r="V660" s="91"/>
    </row>
    <row r="661" spans="1:22" x14ac:dyDescent="0.2">
      <c r="A661" s="48">
        <f t="shared" si="22"/>
        <v>653</v>
      </c>
      <c r="B661" s="43">
        <v>18</v>
      </c>
      <c r="C661" s="43">
        <v>24</v>
      </c>
      <c r="D661" s="38" t="s">
        <v>623</v>
      </c>
      <c r="E661" s="44" t="s">
        <v>173</v>
      </c>
      <c r="F661" s="44" t="s">
        <v>5</v>
      </c>
      <c r="G661" s="44" t="s">
        <v>108</v>
      </c>
      <c r="H661" s="44" t="s">
        <v>10</v>
      </c>
      <c r="I661" s="44" t="s">
        <v>174</v>
      </c>
      <c r="J661" s="44" t="s">
        <v>7</v>
      </c>
      <c r="K661" s="44" t="s">
        <v>123</v>
      </c>
      <c r="L661" s="40">
        <v>1140</v>
      </c>
      <c r="M661" s="41">
        <v>41339</v>
      </c>
      <c r="N661" s="40" t="s">
        <v>110</v>
      </c>
      <c r="O661" s="42"/>
      <c r="P661" s="40"/>
      <c r="Q661" s="120">
        <f>'[3]Penelec RC_GSLFMS'!G637</f>
        <v>0</v>
      </c>
      <c r="R661" s="120">
        <f>'[3]Penelec RC_GSLFMS'!H637</f>
        <v>0</v>
      </c>
      <c r="S661" s="120">
        <f>'[3]Penelec RC_GSLFMS'!I637</f>
        <v>0</v>
      </c>
      <c r="T661" s="120">
        <f>'[3]Penelec RC_GSLFMS'!J637</f>
        <v>0</v>
      </c>
      <c r="U661" s="120">
        <f>'[3]Penelec RC_GSLFMS'!K637</f>
        <v>0</v>
      </c>
      <c r="V661" s="91"/>
    </row>
    <row r="662" spans="1:22" x14ac:dyDescent="0.2">
      <c r="A662" s="48">
        <f t="shared" si="22"/>
        <v>654</v>
      </c>
      <c r="B662" s="43">
        <v>18</v>
      </c>
      <c r="C662" s="43">
        <v>25</v>
      </c>
      <c r="D662" s="38" t="s">
        <v>624</v>
      </c>
      <c r="E662" s="44" t="s">
        <v>176</v>
      </c>
      <c r="F662" s="44" t="s">
        <v>5</v>
      </c>
      <c r="G662" s="44" t="s">
        <v>108</v>
      </c>
      <c r="H662" s="44" t="s">
        <v>10</v>
      </c>
      <c r="I662" s="44" t="s">
        <v>174</v>
      </c>
      <c r="J662" s="44" t="s">
        <v>8</v>
      </c>
      <c r="K662" s="44" t="s">
        <v>120</v>
      </c>
      <c r="L662" s="40">
        <v>1141</v>
      </c>
      <c r="M662" s="41">
        <v>41339</v>
      </c>
      <c r="N662" s="40" t="s">
        <v>110</v>
      </c>
      <c r="O662" s="42"/>
      <c r="P662" s="40"/>
      <c r="Q662" s="120">
        <f>'[3]Penelec RC_GSMFMS'!G637</f>
        <v>0</v>
      </c>
      <c r="R662" s="120">
        <f>'[3]Penelec RC_GSMFMS'!H637</f>
        <v>0</v>
      </c>
      <c r="S662" s="120">
        <f>'[3]Penelec RC_GSMFMS'!I637</f>
        <v>0</v>
      </c>
      <c r="T662" s="120">
        <f>'[3]Penelec RC_GSMFMS'!J637</f>
        <v>0</v>
      </c>
      <c r="U662" s="120">
        <f>'[3]Penelec RC_GSMFMS'!K637</f>
        <v>0</v>
      </c>
      <c r="V662" s="91"/>
    </row>
    <row r="663" spans="1:22" x14ac:dyDescent="0.2">
      <c r="A663" s="48">
        <f t="shared" si="22"/>
        <v>655</v>
      </c>
      <c r="B663" s="43">
        <v>18</v>
      </c>
      <c r="C663" s="43">
        <v>26</v>
      </c>
      <c r="D663" s="38" t="s">
        <v>625</v>
      </c>
      <c r="E663" s="44" t="s">
        <v>178</v>
      </c>
      <c r="F663" s="44" t="s">
        <v>5</v>
      </c>
      <c r="G663" s="44" t="s">
        <v>108</v>
      </c>
      <c r="H663" s="44" t="s">
        <v>10</v>
      </c>
      <c r="I663" s="44" t="s">
        <v>174</v>
      </c>
      <c r="J663" s="44" t="s">
        <v>9</v>
      </c>
      <c r="K663" s="44" t="s">
        <v>117</v>
      </c>
      <c r="L663" s="40">
        <v>1142</v>
      </c>
      <c r="M663" s="41">
        <v>41339</v>
      </c>
      <c r="N663" s="40" t="s">
        <v>110</v>
      </c>
      <c r="O663" s="42"/>
      <c r="P663" s="40"/>
      <c r="Q663" s="120">
        <f>'[3]Penelec RC_GSSFMS'!G637</f>
        <v>0</v>
      </c>
      <c r="R663" s="120">
        <f>'[3]Penelec RC_GSSFMS'!H637</f>
        <v>0</v>
      </c>
      <c r="S663" s="120">
        <f>'[3]Penelec RC_GSSFMS'!I637</f>
        <v>0</v>
      </c>
      <c r="T663" s="120">
        <f>'[3]Penelec RC_GSSFMS'!J637</f>
        <v>0</v>
      </c>
      <c r="U663" s="120">
        <f>'[3]Penelec RC_GSSFMS'!K637</f>
        <v>0</v>
      </c>
      <c r="V663" s="91"/>
    </row>
    <row r="664" spans="1:22" x14ac:dyDescent="0.2">
      <c r="A664" s="48">
        <f t="shared" si="22"/>
        <v>656</v>
      </c>
      <c r="B664" s="43">
        <v>18</v>
      </c>
      <c r="C664" s="43">
        <v>27</v>
      </c>
      <c r="D664" s="38" t="s">
        <v>626</v>
      </c>
      <c r="E664" s="44" t="s">
        <v>180</v>
      </c>
      <c r="F664" s="44" t="s">
        <v>5</v>
      </c>
      <c r="G664" s="44" t="s">
        <v>108</v>
      </c>
      <c r="H664" s="44" t="s">
        <v>91</v>
      </c>
      <c r="I664" s="44" t="s">
        <v>181</v>
      </c>
      <c r="J664" s="44" t="s">
        <v>6</v>
      </c>
      <c r="K664" s="44" t="s">
        <v>128</v>
      </c>
      <c r="L664" s="40">
        <v>1143</v>
      </c>
      <c r="M664" s="41">
        <v>41339</v>
      </c>
      <c r="N664" s="40" t="s">
        <v>110</v>
      </c>
      <c r="O664" s="42"/>
      <c r="P664" s="40"/>
      <c r="Q664" s="120">
        <f>'[3]Penn Power RC_GMDMS'!G637</f>
        <v>0</v>
      </c>
      <c r="R664" s="120">
        <f>'[3]Penn Power RC_GMDMS'!H637</f>
        <v>0</v>
      </c>
      <c r="S664" s="120">
        <f>'[3]Penn Power RC_GMDMS'!I637</f>
        <v>0</v>
      </c>
      <c r="T664" s="120">
        <f>'[3]Penn Power RC_GMDMS'!J637</f>
        <v>0</v>
      </c>
      <c r="U664" s="120">
        <f>'[3]Penn Power RC_GMDMS'!K637</f>
        <v>0</v>
      </c>
      <c r="V664" s="91"/>
    </row>
    <row r="665" spans="1:22" x14ac:dyDescent="0.2">
      <c r="A665" s="48">
        <f t="shared" si="22"/>
        <v>657</v>
      </c>
      <c r="B665" s="43">
        <v>18</v>
      </c>
      <c r="C665" s="43">
        <v>28</v>
      </c>
      <c r="D665" s="38" t="s">
        <v>627</v>
      </c>
      <c r="E665" s="44" t="s">
        <v>183</v>
      </c>
      <c r="F665" s="44" t="s">
        <v>37</v>
      </c>
      <c r="G665" s="44" t="s">
        <v>108</v>
      </c>
      <c r="H665" s="44" t="s">
        <v>42</v>
      </c>
      <c r="I665" s="44" t="s">
        <v>42</v>
      </c>
      <c r="J665" s="44" t="s">
        <v>6</v>
      </c>
      <c r="K665" s="44" t="s">
        <v>128</v>
      </c>
      <c r="L665" s="40">
        <v>1144</v>
      </c>
      <c r="M665" s="41">
        <v>41339</v>
      </c>
      <c r="N665" s="40" t="s">
        <v>110</v>
      </c>
      <c r="O665" s="42"/>
      <c r="P665" s="40"/>
      <c r="Q665" s="120">
        <f>'[3]PEPCO MD LP_MDNDMS'!G637</f>
        <v>0</v>
      </c>
      <c r="R665" s="120">
        <f>'[3]PEPCO MD LP_MDNDMS'!H637</f>
        <v>0</v>
      </c>
      <c r="S665" s="120">
        <f>'[3]PEPCO MD LP_MDNDMS'!I637</f>
        <v>0</v>
      </c>
      <c r="T665" s="120">
        <f>'[3]PEPCO MD LP_MDNDMS'!J637</f>
        <v>0</v>
      </c>
      <c r="U665" s="120">
        <f>'[3]PEPCO MD LP_MDNDMS'!K637</f>
        <v>0</v>
      </c>
      <c r="V665" s="91"/>
    </row>
    <row r="666" spans="1:22" x14ac:dyDescent="0.2">
      <c r="A666" s="48">
        <f t="shared" si="22"/>
        <v>658</v>
      </c>
      <c r="B666" s="43">
        <v>18</v>
      </c>
      <c r="C666" s="43">
        <v>29</v>
      </c>
      <c r="D666" s="38" t="s">
        <v>628</v>
      </c>
      <c r="E666" s="44" t="s">
        <v>185</v>
      </c>
      <c r="F666" s="44" t="s">
        <v>37</v>
      </c>
      <c r="G666" s="44" t="s">
        <v>108</v>
      </c>
      <c r="H666" s="44" t="s">
        <v>42</v>
      </c>
      <c r="I666" s="44" t="s">
        <v>42</v>
      </c>
      <c r="J666" s="44" t="s">
        <v>43</v>
      </c>
      <c r="K666" s="44" t="s">
        <v>186</v>
      </c>
      <c r="L666" s="40">
        <v>1145</v>
      </c>
      <c r="M666" s="41">
        <v>41339</v>
      </c>
      <c r="N666" s="40" t="s">
        <v>110</v>
      </c>
      <c r="O666" s="42"/>
      <c r="P666" s="40"/>
      <c r="Q666" s="120">
        <f>'[3]PEPCO MD LP_MMGTL2AMS'!G637</f>
        <v>0</v>
      </c>
      <c r="R666" s="120">
        <f>'[3]PEPCO MD LP_MMGTL2AMS'!H637</f>
        <v>0</v>
      </c>
      <c r="S666" s="120">
        <f>'[3]PEPCO MD LP_MMGTL2AMS'!I637</f>
        <v>0</v>
      </c>
      <c r="T666" s="120">
        <f>'[3]PEPCO MD LP_MMGTL2AMS'!J637</f>
        <v>0</v>
      </c>
      <c r="U666" s="120">
        <f>'[3]PEPCO MD LP_MMGTL2AMS'!K637</f>
        <v>0</v>
      </c>
      <c r="V666" s="91"/>
    </row>
    <row r="667" spans="1:22" x14ac:dyDescent="0.2">
      <c r="A667" s="48">
        <f t="shared" si="22"/>
        <v>659</v>
      </c>
      <c r="B667" s="43">
        <v>18</v>
      </c>
      <c r="C667" s="43">
        <v>30</v>
      </c>
      <c r="D667" s="38" t="s">
        <v>629</v>
      </c>
      <c r="E667" s="44" t="s">
        <v>188</v>
      </c>
      <c r="F667" s="44" t="s">
        <v>37</v>
      </c>
      <c r="G667" s="44" t="s">
        <v>108</v>
      </c>
      <c r="H667" s="44" t="s">
        <v>42</v>
      </c>
      <c r="I667" s="44" t="s">
        <v>42</v>
      </c>
      <c r="J667" s="44" t="s">
        <v>44</v>
      </c>
      <c r="K667" s="44" t="s">
        <v>44</v>
      </c>
      <c r="L667" s="40">
        <v>1146</v>
      </c>
      <c r="M667" s="41">
        <v>41339</v>
      </c>
      <c r="N667" s="40" t="s">
        <v>110</v>
      </c>
      <c r="O667" s="42"/>
      <c r="P667" s="40"/>
      <c r="Q667" s="120">
        <f>'[3]PEPCO MD RC_3T7MS'!G637</f>
        <v>0</v>
      </c>
      <c r="R667" s="120">
        <f>'[3]PEPCO MD RC_3T7MS'!H637</f>
        <v>0</v>
      </c>
      <c r="S667" s="120">
        <f>'[3]PEPCO MD RC_3T7MS'!I637</f>
        <v>0</v>
      </c>
      <c r="T667" s="120">
        <f>'[3]PEPCO MD RC_3T7MS'!J637</f>
        <v>0</v>
      </c>
      <c r="U667" s="120">
        <f>'[3]PEPCO MD RC_3T7MS'!K637</f>
        <v>0</v>
      </c>
      <c r="V667" s="91"/>
    </row>
    <row r="668" spans="1:22" x14ac:dyDescent="0.2">
      <c r="A668" s="48">
        <f t="shared" si="22"/>
        <v>660</v>
      </c>
      <c r="B668" s="43">
        <v>18</v>
      </c>
      <c r="C668" s="43">
        <v>31</v>
      </c>
      <c r="D668" s="38" t="s">
        <v>630</v>
      </c>
      <c r="E668" s="44" t="s">
        <v>190</v>
      </c>
      <c r="F668" s="44" t="s">
        <v>37</v>
      </c>
      <c r="G668" s="44" t="s">
        <v>108</v>
      </c>
      <c r="H668" s="44" t="s">
        <v>45</v>
      </c>
      <c r="I668" s="44" t="s">
        <v>45</v>
      </c>
      <c r="J668" s="44" t="s">
        <v>6</v>
      </c>
      <c r="K668" s="44" t="s">
        <v>128</v>
      </c>
      <c r="L668" s="40">
        <v>1147</v>
      </c>
      <c r="M668" s="41">
        <v>41339</v>
      </c>
      <c r="N668" s="40" t="s">
        <v>110</v>
      </c>
      <c r="O668" s="42"/>
      <c r="P668" s="40"/>
      <c r="Q668" s="120">
        <f>'[3]Potomac Edison LP_GSCM_MMS'!G637</f>
        <v>0</v>
      </c>
      <c r="R668" s="120">
        <f>'[3]Potomac Edison LP_GSCM_MMS'!H637</f>
        <v>0</v>
      </c>
      <c r="S668" s="120">
        <f>'[3]Potomac Edison LP_GSCM_MMS'!I637</f>
        <v>0</v>
      </c>
      <c r="T668" s="120">
        <f>'[3]Potomac Edison LP_GSCM_MMS'!J637</f>
        <v>0</v>
      </c>
      <c r="U668" s="120">
        <f>'[3]Potomac Edison LP_GSCM_MMS'!K637</f>
        <v>0</v>
      </c>
      <c r="V668" s="91"/>
    </row>
    <row r="669" spans="1:22" x14ac:dyDescent="0.2">
      <c r="A669" s="48">
        <f t="shared" si="22"/>
        <v>661</v>
      </c>
      <c r="B669" s="43">
        <v>18</v>
      </c>
      <c r="C669" s="43">
        <v>32</v>
      </c>
      <c r="D669" s="38" t="s">
        <v>631</v>
      </c>
      <c r="E669" s="44" t="s">
        <v>192</v>
      </c>
      <c r="F669" s="44" t="s">
        <v>5</v>
      </c>
      <c r="G669" s="44" t="s">
        <v>108</v>
      </c>
      <c r="H669" s="44" t="s">
        <v>12</v>
      </c>
      <c r="I669" s="44" t="s">
        <v>12</v>
      </c>
      <c r="J669" s="44" t="s">
        <v>13</v>
      </c>
      <c r="K669" s="44" t="s">
        <v>117</v>
      </c>
      <c r="L669" s="40">
        <v>1148</v>
      </c>
      <c r="M669" s="41">
        <v>41339</v>
      </c>
      <c r="N669" s="40" t="s">
        <v>110</v>
      </c>
      <c r="O669" s="42"/>
      <c r="P669" s="40"/>
      <c r="Q669" s="120">
        <f>[3]PPL_RCGS1MS!G637</f>
        <v>0</v>
      </c>
      <c r="R669" s="120">
        <f>[3]PPL_RCGS1MS!H637</f>
        <v>0</v>
      </c>
      <c r="S669" s="120">
        <f>[3]PPL_RCGS1MS!I637</f>
        <v>0</v>
      </c>
      <c r="T669" s="120">
        <f>[3]PPL_RCGS1MS!J637</f>
        <v>0</v>
      </c>
      <c r="U669" s="120">
        <f>[3]PPL_RCGS1MS!K637</f>
        <v>0</v>
      </c>
      <c r="V669" s="91"/>
    </row>
    <row r="670" spans="1:22" x14ac:dyDescent="0.2">
      <c r="A670" s="48">
        <f t="shared" si="22"/>
        <v>662</v>
      </c>
      <c r="B670" s="43">
        <v>18</v>
      </c>
      <c r="C670" s="43">
        <v>33</v>
      </c>
      <c r="D670" s="38" t="s">
        <v>632</v>
      </c>
      <c r="E670" s="44" t="s">
        <v>194</v>
      </c>
      <c r="F670" s="44" t="s">
        <v>5</v>
      </c>
      <c r="G670" s="44" t="s">
        <v>108</v>
      </c>
      <c r="H670" s="44" t="s">
        <v>12</v>
      </c>
      <c r="I670" s="44" t="s">
        <v>12</v>
      </c>
      <c r="J670" s="44" t="s">
        <v>14</v>
      </c>
      <c r="K670" s="44" t="s">
        <v>123</v>
      </c>
      <c r="L670" s="40">
        <v>1149</v>
      </c>
      <c r="M670" s="41">
        <v>41339</v>
      </c>
      <c r="N670" s="40" t="s">
        <v>110</v>
      </c>
      <c r="O670" s="42"/>
      <c r="P670" s="40"/>
      <c r="Q670" s="120">
        <f>[3]PPL_RCGS3MS!G637</f>
        <v>0</v>
      </c>
      <c r="R670" s="120">
        <f>[3]PPL_RCGS3MS!H637</f>
        <v>0</v>
      </c>
      <c r="S670" s="120">
        <f>[3]PPL_RCGS3MS!I637</f>
        <v>0</v>
      </c>
      <c r="T670" s="120">
        <f>[3]PPL_RCGS3MS!J637</f>
        <v>0</v>
      </c>
      <c r="U670" s="120">
        <f>[3]PPL_RCGS3MS!K637</f>
        <v>0</v>
      </c>
      <c r="V670" s="91"/>
    </row>
    <row r="671" spans="1:22" x14ac:dyDescent="0.2">
      <c r="A671" s="48">
        <f t="shared" si="22"/>
        <v>663</v>
      </c>
      <c r="B671" s="43">
        <v>18</v>
      </c>
      <c r="C671" s="43">
        <v>34</v>
      </c>
      <c r="D671" s="38" t="s">
        <v>633</v>
      </c>
      <c r="E671" s="44" t="s">
        <v>196</v>
      </c>
      <c r="F671" s="44" t="s">
        <v>29</v>
      </c>
      <c r="G671" s="44" t="s">
        <v>108</v>
      </c>
      <c r="H671" s="44" t="s">
        <v>34</v>
      </c>
      <c r="I671" s="44" t="s">
        <v>34</v>
      </c>
      <c r="J671" s="44" t="s">
        <v>35</v>
      </c>
      <c r="K671" s="44" t="s">
        <v>197</v>
      </c>
      <c r="L671" s="40">
        <v>1150</v>
      </c>
      <c r="M671" s="41">
        <v>41339</v>
      </c>
      <c r="N671" s="40" t="s">
        <v>110</v>
      </c>
      <c r="O671" s="42"/>
      <c r="P671" s="40"/>
      <c r="Q671" s="120">
        <f>'[3]PSEG LP_GLP_MMS'!G637</f>
        <v>0</v>
      </c>
      <c r="R671" s="120">
        <f>'[3]PSEG LP_GLP_MMS'!H637</f>
        <v>0</v>
      </c>
      <c r="S671" s="120">
        <f>'[3]PSEG LP_GLP_MMS'!I637</f>
        <v>0</v>
      </c>
      <c r="T671" s="120">
        <f>'[3]PSEG LP_GLP_MMS'!J637</f>
        <v>0</v>
      </c>
      <c r="U671" s="120">
        <f>'[3]PSEG LP_GLP_MMS'!K637</f>
        <v>0</v>
      </c>
      <c r="V671" s="91"/>
    </row>
    <row r="672" spans="1:22" x14ac:dyDescent="0.2">
      <c r="A672" s="48">
        <f t="shared" si="22"/>
        <v>664</v>
      </c>
      <c r="B672" s="43">
        <v>18</v>
      </c>
      <c r="C672" s="43">
        <v>35</v>
      </c>
      <c r="D672" s="38" t="s">
        <v>634</v>
      </c>
      <c r="E672" s="44" t="s">
        <v>199</v>
      </c>
      <c r="F672" s="44" t="s">
        <v>29</v>
      </c>
      <c r="G672" s="44" t="s">
        <v>108</v>
      </c>
      <c r="H672" s="44" t="s">
        <v>34</v>
      </c>
      <c r="I672" s="44" t="s">
        <v>34</v>
      </c>
      <c r="J672" s="44" t="s">
        <v>36</v>
      </c>
      <c r="K672" s="44" t="s">
        <v>200</v>
      </c>
      <c r="L672" s="40">
        <v>1151</v>
      </c>
      <c r="M672" s="41">
        <v>41339</v>
      </c>
      <c r="N672" s="40" t="s">
        <v>110</v>
      </c>
      <c r="O672" s="42"/>
      <c r="P672" s="40"/>
      <c r="Q672" s="120">
        <f>'[3]PSEG LP_LPLMS'!G637</f>
        <v>0</v>
      </c>
      <c r="R672" s="120">
        <f>'[3]PSEG LP_LPLMS'!H637</f>
        <v>0</v>
      </c>
      <c r="S672" s="120">
        <f>'[3]PSEG LP_LPLMS'!I637</f>
        <v>0</v>
      </c>
      <c r="T672" s="120">
        <f>'[3]PSEG LP_LPLMS'!J637</f>
        <v>0</v>
      </c>
      <c r="U672" s="120">
        <f>'[3]PSEG LP_LPLMS'!K637</f>
        <v>0</v>
      </c>
      <c r="V672" s="91"/>
    </row>
    <row r="673" spans="1:22" x14ac:dyDescent="0.2">
      <c r="A673" s="48">
        <f t="shared" si="22"/>
        <v>665</v>
      </c>
      <c r="B673" s="43">
        <v>18</v>
      </c>
      <c r="C673" s="43">
        <v>36</v>
      </c>
      <c r="D673" s="38" t="s">
        <v>635</v>
      </c>
      <c r="E673" s="44" t="s">
        <v>202</v>
      </c>
      <c r="F673" s="44" t="s">
        <v>5</v>
      </c>
      <c r="G673" s="44" t="s">
        <v>108</v>
      </c>
      <c r="H673" s="44" t="s">
        <v>15</v>
      </c>
      <c r="I673" s="44" t="s">
        <v>203</v>
      </c>
      <c r="J673" s="44" t="s">
        <v>16</v>
      </c>
      <c r="K673" s="44" t="s">
        <v>128</v>
      </c>
      <c r="L673" s="40">
        <v>1152</v>
      </c>
      <c r="M673" s="41">
        <v>41339</v>
      </c>
      <c r="N673" s="40" t="s">
        <v>110</v>
      </c>
      <c r="O673" s="42"/>
      <c r="P673" s="40"/>
      <c r="Q673" s="120">
        <f>'[3]West Penn Power LP_GSCMMS'!G637</f>
        <v>0</v>
      </c>
      <c r="R673" s="120">
        <f>'[3]West Penn Power LP_GSCMMS'!H637</f>
        <v>0</v>
      </c>
      <c r="S673" s="120">
        <f>'[3]West Penn Power LP_GSCMMS'!I637</f>
        <v>0</v>
      </c>
      <c r="T673" s="120">
        <f>'[3]West Penn Power LP_GSCMMS'!J637</f>
        <v>0</v>
      </c>
      <c r="U673" s="120">
        <f>'[3]West Penn Power LP_GSCMMS'!K637</f>
        <v>0</v>
      </c>
      <c r="V673" s="91"/>
    </row>
    <row r="674" spans="1:22" x14ac:dyDescent="0.2">
      <c r="A674" s="48">
        <f t="shared" si="22"/>
        <v>666</v>
      </c>
      <c r="B674" s="20"/>
      <c r="C674" s="20"/>
      <c r="D674" s="20"/>
      <c r="Q674" s="121"/>
      <c r="R674" s="121"/>
      <c r="S674" s="121"/>
      <c r="T674" s="121"/>
      <c r="U674" s="121"/>
    </row>
    <row r="675" spans="1:22" x14ac:dyDescent="0.2">
      <c r="A675" s="48">
        <f t="shared" si="22"/>
        <v>667</v>
      </c>
      <c r="B675" s="43">
        <v>19</v>
      </c>
      <c r="C675" s="43">
        <v>1</v>
      </c>
      <c r="D675" s="38" t="s">
        <v>600</v>
      </c>
      <c r="E675" s="44" t="s">
        <v>107</v>
      </c>
      <c r="F675" s="44" t="s">
        <v>29</v>
      </c>
      <c r="G675" s="44" t="s">
        <v>108</v>
      </c>
      <c r="H675" s="44" t="s">
        <v>30</v>
      </c>
      <c r="I675" s="44" t="s">
        <v>30</v>
      </c>
      <c r="J675" s="44" t="s">
        <v>31</v>
      </c>
      <c r="K675" s="44" t="s">
        <v>109</v>
      </c>
      <c r="L675" s="40">
        <v>1117</v>
      </c>
      <c r="M675" s="41">
        <v>41339</v>
      </c>
      <c r="N675" s="40" t="s">
        <v>110</v>
      </c>
      <c r="O675" s="42"/>
      <c r="P675" s="40"/>
      <c r="Q675" s="120">
        <f>'[3]AECO LP_10V1_SMS'!G674</f>
        <v>0</v>
      </c>
      <c r="R675" s="120">
        <f>'[3]AECO LP_10V1_SMS'!H674</f>
        <v>0</v>
      </c>
      <c r="S675" s="120">
        <f>'[3]AECO LP_10V1_SMS'!I674</f>
        <v>0</v>
      </c>
      <c r="T675" s="120">
        <f>'[3]AECO LP_10V1_SMS'!J674</f>
        <v>0</v>
      </c>
      <c r="U675" s="120">
        <f>'[3]AECO LP_10V1_SMS'!K674</f>
        <v>0</v>
      </c>
      <c r="V675" s="91"/>
    </row>
    <row r="676" spans="1:22" x14ac:dyDescent="0.2">
      <c r="A676" s="48">
        <f t="shared" si="22"/>
        <v>668</v>
      </c>
      <c r="B676" s="43">
        <v>19</v>
      </c>
      <c r="C676" s="43">
        <v>2</v>
      </c>
      <c r="D676" s="38" t="s">
        <v>601</v>
      </c>
      <c r="E676" s="44" t="s">
        <v>112</v>
      </c>
      <c r="F676" s="44" t="s">
        <v>29</v>
      </c>
      <c r="G676" s="44" t="s">
        <v>108</v>
      </c>
      <c r="H676" s="44" t="s">
        <v>30</v>
      </c>
      <c r="I676" s="44" t="s">
        <v>30</v>
      </c>
      <c r="J676" s="44" t="s">
        <v>32</v>
      </c>
      <c r="K676" s="44" t="s">
        <v>113</v>
      </c>
      <c r="L676" s="40">
        <v>1118</v>
      </c>
      <c r="M676" s="41">
        <v>41339</v>
      </c>
      <c r="N676" s="40" t="s">
        <v>110</v>
      </c>
      <c r="O676" s="42"/>
      <c r="P676" s="40"/>
      <c r="Q676" s="120">
        <f>'[3]AECO LP_14V1_MMS'!G674</f>
        <v>0</v>
      </c>
      <c r="R676" s="120">
        <f>'[3]AECO LP_14V1_MMS'!H674</f>
        <v>0</v>
      </c>
      <c r="S676" s="120">
        <f>'[3]AECO LP_14V1_MMS'!I674</f>
        <v>0</v>
      </c>
      <c r="T676" s="120">
        <f>'[3]AECO LP_14V1_MMS'!J674</f>
        <v>0</v>
      </c>
      <c r="U676" s="120">
        <f>'[3]AECO LP_14V1_MMS'!K674</f>
        <v>0</v>
      </c>
      <c r="V676" s="91"/>
    </row>
    <row r="677" spans="1:22" x14ac:dyDescent="0.2">
      <c r="A677" s="48">
        <f t="shared" si="22"/>
        <v>669</v>
      </c>
      <c r="B677" s="43">
        <v>19</v>
      </c>
      <c r="C677" s="43">
        <v>3</v>
      </c>
      <c r="D677" s="38" t="s">
        <v>602</v>
      </c>
      <c r="E677" s="44" t="s">
        <v>115</v>
      </c>
      <c r="F677" s="44" t="s">
        <v>18</v>
      </c>
      <c r="G677" s="44" t="s">
        <v>108</v>
      </c>
      <c r="H677" s="44" t="s">
        <v>61</v>
      </c>
      <c r="I677" s="44" t="s">
        <v>116</v>
      </c>
      <c r="J677" s="44" t="s">
        <v>13</v>
      </c>
      <c r="K677" s="44" t="s">
        <v>117</v>
      </c>
      <c r="L677" s="40">
        <v>1119</v>
      </c>
      <c r="M677" s="41">
        <v>41339</v>
      </c>
      <c r="N677" s="40" t="s">
        <v>110</v>
      </c>
      <c r="O677" s="42"/>
      <c r="P677" s="40"/>
      <c r="Q677" s="120">
        <f>'[3]AEP_OH_CS - test CSGS1MS'!G674</f>
        <v>0</v>
      </c>
      <c r="R677" s="120">
        <f>'[3]AEP_OH_CS - test CSGS1MS'!H674</f>
        <v>0</v>
      </c>
      <c r="S677" s="120">
        <f>'[3]AEP_OH_CS - test CSGS1MS'!I674</f>
        <v>0</v>
      </c>
      <c r="T677" s="120">
        <f>'[3]AEP_OH_CS - test CSGS1MS'!J674</f>
        <v>0</v>
      </c>
      <c r="U677" s="120">
        <f>'[3]AEP_OH_CS - test CSGS1MS'!K674</f>
        <v>0</v>
      </c>
      <c r="V677" s="91"/>
    </row>
    <row r="678" spans="1:22" x14ac:dyDescent="0.2">
      <c r="A678" s="48">
        <f t="shared" si="22"/>
        <v>670</v>
      </c>
      <c r="B678" s="43">
        <v>19</v>
      </c>
      <c r="C678" s="43">
        <v>4</v>
      </c>
      <c r="D678" s="38" t="s">
        <v>603</v>
      </c>
      <c r="E678" s="44" t="s">
        <v>119</v>
      </c>
      <c r="F678" s="44" t="s">
        <v>18</v>
      </c>
      <c r="G678" s="44" t="s">
        <v>108</v>
      </c>
      <c r="H678" s="44" t="s">
        <v>61</v>
      </c>
      <c r="I678" s="44" t="s">
        <v>116</v>
      </c>
      <c r="J678" s="44" t="s">
        <v>19</v>
      </c>
      <c r="K678" s="44" t="s">
        <v>120</v>
      </c>
      <c r="L678" s="40">
        <v>1120</v>
      </c>
      <c r="M678" s="41">
        <v>41339</v>
      </c>
      <c r="N678" s="40" t="s">
        <v>110</v>
      </c>
      <c r="O678" s="42"/>
      <c r="P678" s="40"/>
      <c r="Q678" s="120">
        <f>'[3]AEP_OH_CS - test CSGS2UMS'!G674</f>
        <v>0</v>
      </c>
      <c r="R678" s="120">
        <f>'[3]AEP_OH_CS - test CSGS2UMS'!H674</f>
        <v>0</v>
      </c>
      <c r="S678" s="120">
        <f>'[3]AEP_OH_CS - test CSGS2UMS'!I674</f>
        <v>0</v>
      </c>
      <c r="T678" s="120">
        <f>'[3]AEP_OH_CS - test CSGS2UMS'!J674</f>
        <v>0</v>
      </c>
      <c r="U678" s="120">
        <f>'[3]AEP_OH_CS - test CSGS2UMS'!K674</f>
        <v>0</v>
      </c>
      <c r="V678" s="91"/>
    </row>
    <row r="679" spans="1:22" x14ac:dyDescent="0.2">
      <c r="A679" s="48">
        <f t="shared" si="22"/>
        <v>671</v>
      </c>
      <c r="B679" s="43">
        <v>19</v>
      </c>
      <c r="C679" s="43">
        <v>5</v>
      </c>
      <c r="D679" s="38" t="s">
        <v>604</v>
      </c>
      <c r="E679" s="44" t="s">
        <v>122</v>
      </c>
      <c r="F679" s="44" t="s">
        <v>18</v>
      </c>
      <c r="G679" s="44" t="s">
        <v>108</v>
      </c>
      <c r="H679" s="44" t="s">
        <v>61</v>
      </c>
      <c r="I679" s="44" t="s">
        <v>116</v>
      </c>
      <c r="J679" s="44" t="s">
        <v>14</v>
      </c>
      <c r="K679" s="44" t="s">
        <v>123</v>
      </c>
      <c r="L679" s="40">
        <v>1121</v>
      </c>
      <c r="M679" s="41">
        <v>41339</v>
      </c>
      <c r="N679" s="40" t="s">
        <v>110</v>
      </c>
      <c r="O679" s="42"/>
      <c r="P679" s="40"/>
      <c r="Q679" s="120">
        <f>'[3]AEP_OH_CS - test CSGS3UMS'!G674</f>
        <v>0</v>
      </c>
      <c r="R679" s="120">
        <f>'[3]AEP_OH_CS - test CSGS3UMS'!H674</f>
        <v>0</v>
      </c>
      <c r="S679" s="120">
        <f>'[3]AEP_OH_CS - test CSGS3UMS'!I674</f>
        <v>0</v>
      </c>
      <c r="T679" s="120">
        <f>'[3]AEP_OH_CS - test CSGS3UMS'!J674</f>
        <v>0</v>
      </c>
      <c r="U679" s="120">
        <f>'[3]AEP_OH_CS - test CSGS3UMS'!K674</f>
        <v>0</v>
      </c>
      <c r="V679" s="91"/>
    </row>
    <row r="680" spans="1:22" x14ac:dyDescent="0.2">
      <c r="A680" s="48">
        <f t="shared" si="22"/>
        <v>672</v>
      </c>
      <c r="B680" s="43">
        <v>19</v>
      </c>
      <c r="C680" s="43">
        <v>6</v>
      </c>
      <c r="D680" s="38" t="s">
        <v>605</v>
      </c>
      <c r="E680" s="44" t="s">
        <v>125</v>
      </c>
      <c r="F680" s="44" t="s">
        <v>23</v>
      </c>
      <c r="G680" s="44" t="s">
        <v>126</v>
      </c>
      <c r="H680" s="44" t="s">
        <v>127</v>
      </c>
      <c r="I680" s="44" t="s">
        <v>27</v>
      </c>
      <c r="J680" s="44" t="s">
        <v>28</v>
      </c>
      <c r="K680" s="44" t="s">
        <v>128</v>
      </c>
      <c r="L680" s="40">
        <v>1122</v>
      </c>
      <c r="M680" s="41">
        <v>41339</v>
      </c>
      <c r="N680" s="40" t="s">
        <v>110</v>
      </c>
      <c r="O680" s="42"/>
      <c r="P680" s="40"/>
      <c r="Q680" s="120">
        <f>'[3]Ameren RateZnIII LP DS2HHMS'!G674</f>
        <v>0</v>
      </c>
      <c r="R680" s="120">
        <f>'[3]Ameren RateZnIII LP DS2HHMS'!H674</f>
        <v>0</v>
      </c>
      <c r="S680" s="120">
        <f>'[3]Ameren RateZnIII LP DS2HHMS'!I674</f>
        <v>0</v>
      </c>
      <c r="T680" s="120">
        <f>'[3]Ameren RateZnIII LP DS2HHMS'!J674</f>
        <v>0</v>
      </c>
      <c r="U680" s="120">
        <f>'[3]Ameren RateZnIII LP DS2HHMS'!K674</f>
        <v>0</v>
      </c>
      <c r="V680" s="91"/>
    </row>
    <row r="681" spans="1:22" x14ac:dyDescent="0.2">
      <c r="A681" s="48">
        <f t="shared" si="22"/>
        <v>673</v>
      </c>
      <c r="B681" s="43">
        <v>19</v>
      </c>
      <c r="C681" s="43">
        <v>7</v>
      </c>
      <c r="D681" s="38" t="s">
        <v>606</v>
      </c>
      <c r="E681" s="44" t="s">
        <v>130</v>
      </c>
      <c r="F681" s="44" t="s">
        <v>37</v>
      </c>
      <c r="G681" s="44" t="s">
        <v>108</v>
      </c>
      <c r="H681" s="44" t="s">
        <v>38</v>
      </c>
      <c r="I681" s="44" t="s">
        <v>38</v>
      </c>
      <c r="J681" s="44" t="s">
        <v>40</v>
      </c>
      <c r="K681" s="44" t="s">
        <v>123</v>
      </c>
      <c r="L681" s="40">
        <v>1124</v>
      </c>
      <c r="M681" s="41">
        <v>41339</v>
      </c>
      <c r="N681" s="40" t="s">
        <v>110</v>
      </c>
      <c r="O681" s="42"/>
      <c r="P681" s="40"/>
      <c r="Q681" s="120">
        <f>'[3]BGE LP_GLMS'!G674</f>
        <v>0</v>
      </c>
      <c r="R681" s="120">
        <f>'[3]BGE LP_GLMS'!H674</f>
        <v>0</v>
      </c>
      <c r="S681" s="120">
        <f>'[3]BGE LP_GLMS'!I674</f>
        <v>0</v>
      </c>
      <c r="T681" s="120">
        <f>'[3]BGE LP_GLMS'!J674</f>
        <v>0</v>
      </c>
      <c r="U681" s="120">
        <f>'[3]BGE LP_GLMS'!K674</f>
        <v>0</v>
      </c>
      <c r="V681" s="91"/>
    </row>
    <row r="682" spans="1:22" x14ac:dyDescent="0.2">
      <c r="A682" s="48">
        <f t="shared" si="22"/>
        <v>674</v>
      </c>
      <c r="B682" s="43">
        <v>19</v>
      </c>
      <c r="C682" s="43">
        <v>8</v>
      </c>
      <c r="D682" s="38" t="s">
        <v>607</v>
      </c>
      <c r="E682" s="44" t="s">
        <v>132</v>
      </c>
      <c r="F682" s="44" t="s">
        <v>37</v>
      </c>
      <c r="G682" s="44" t="s">
        <v>108</v>
      </c>
      <c r="H682" s="44" t="s">
        <v>38</v>
      </c>
      <c r="I682" s="44" t="s">
        <v>38</v>
      </c>
      <c r="J682" s="44" t="s">
        <v>39</v>
      </c>
      <c r="K682" s="44" t="s">
        <v>120</v>
      </c>
      <c r="L682" s="40">
        <v>1123</v>
      </c>
      <c r="M682" s="41">
        <v>41339</v>
      </c>
      <c r="N682" s="40" t="s">
        <v>110</v>
      </c>
      <c r="O682" s="42"/>
      <c r="P682" s="40"/>
      <c r="Q682" s="120">
        <f>'[3]BGE LP_GMS'!G674</f>
        <v>0</v>
      </c>
      <c r="R682" s="120">
        <f>'[3]BGE LP_GMS'!H674</f>
        <v>0</v>
      </c>
      <c r="S682" s="120">
        <f>'[3]BGE LP_GMS'!I674</f>
        <v>0</v>
      </c>
      <c r="T682" s="120">
        <f>'[3]BGE LP_GMS'!J674</f>
        <v>0</v>
      </c>
      <c r="U682" s="120">
        <f>'[3]BGE LP_GMS'!K674</f>
        <v>0</v>
      </c>
      <c r="V682" s="91"/>
    </row>
    <row r="683" spans="1:22" x14ac:dyDescent="0.2">
      <c r="A683" s="48">
        <f t="shared" si="22"/>
        <v>675</v>
      </c>
      <c r="B683" s="43">
        <v>19</v>
      </c>
      <c r="C683" s="43">
        <v>9</v>
      </c>
      <c r="D683" s="38" t="s">
        <v>608</v>
      </c>
      <c r="E683" s="44" t="s">
        <v>134</v>
      </c>
      <c r="F683" s="44" t="s">
        <v>37</v>
      </c>
      <c r="G683" s="44" t="s">
        <v>108</v>
      </c>
      <c r="H683" s="44" t="s">
        <v>38</v>
      </c>
      <c r="I683" s="44" t="s">
        <v>38</v>
      </c>
      <c r="J683" s="44" t="s">
        <v>6</v>
      </c>
      <c r="K683" s="44" t="s">
        <v>117</v>
      </c>
      <c r="L683" s="40">
        <v>1125</v>
      </c>
      <c r="M683" s="41">
        <v>41339</v>
      </c>
      <c r="N683" s="40" t="s">
        <v>110</v>
      </c>
      <c r="O683" s="42"/>
      <c r="P683" s="40"/>
      <c r="Q683" s="120">
        <f>'[3]BGE LP_GSMS'!G674</f>
        <v>0</v>
      </c>
      <c r="R683" s="120">
        <f>'[3]BGE LP_GSMS'!H674</f>
        <v>0</v>
      </c>
      <c r="S683" s="120">
        <f>'[3]BGE LP_GSMS'!I674</f>
        <v>0</v>
      </c>
      <c r="T683" s="120">
        <f>'[3]BGE LP_GSMS'!J674</f>
        <v>0</v>
      </c>
      <c r="U683" s="120">
        <f>'[3]BGE LP_GSMS'!K674</f>
        <v>0</v>
      </c>
      <c r="V683" s="91"/>
    </row>
    <row r="684" spans="1:22" x14ac:dyDescent="0.2">
      <c r="A684" s="48">
        <f t="shared" si="22"/>
        <v>676</v>
      </c>
      <c r="B684" s="43">
        <v>19</v>
      </c>
      <c r="C684" s="43">
        <v>10</v>
      </c>
      <c r="D684" s="38" t="s">
        <v>609</v>
      </c>
      <c r="E684" s="44" t="s">
        <v>136</v>
      </c>
      <c r="F684" s="44" t="s">
        <v>23</v>
      </c>
      <c r="G684" s="44" t="s">
        <v>108</v>
      </c>
      <c r="H684" s="44" t="s">
        <v>137</v>
      </c>
      <c r="I684" s="44" t="s">
        <v>24</v>
      </c>
      <c r="J684" s="44" t="s">
        <v>25</v>
      </c>
      <c r="K684" s="44" t="s">
        <v>138</v>
      </c>
      <c r="L684" s="40">
        <v>1126</v>
      </c>
      <c r="M684" s="41">
        <v>41339</v>
      </c>
      <c r="N684" s="40" t="s">
        <v>110</v>
      </c>
      <c r="O684" s="42"/>
      <c r="P684" s="40"/>
      <c r="Q684" s="120">
        <f>'[3]ComEd - test LP_28MS'!G674</f>
        <v>0</v>
      </c>
      <c r="R684" s="120">
        <f>'[3]ComEd - test LP_28MS'!H674</f>
        <v>0</v>
      </c>
      <c r="S684" s="120">
        <f>'[3]ComEd - test LP_28MS'!I674</f>
        <v>0</v>
      </c>
      <c r="T684" s="120">
        <f>'[3]ComEd - test LP_28MS'!J674</f>
        <v>0</v>
      </c>
      <c r="U684" s="120">
        <f>'[3]ComEd - test LP_28MS'!K674</f>
        <v>0</v>
      </c>
      <c r="V684" s="91"/>
    </row>
    <row r="685" spans="1:22" x14ac:dyDescent="0.2">
      <c r="A685" s="48">
        <f t="shared" si="22"/>
        <v>677</v>
      </c>
      <c r="B685" s="43">
        <v>19</v>
      </c>
      <c r="C685" s="43">
        <v>11</v>
      </c>
      <c r="D685" s="38" t="s">
        <v>610</v>
      </c>
      <c r="E685" s="44" t="s">
        <v>140</v>
      </c>
      <c r="F685" s="44" t="s">
        <v>23</v>
      </c>
      <c r="G685" s="44" t="s">
        <v>108</v>
      </c>
      <c r="H685" s="44" t="s">
        <v>137</v>
      </c>
      <c r="I685" s="44" t="s">
        <v>24</v>
      </c>
      <c r="J685" s="44" t="s">
        <v>26</v>
      </c>
      <c r="K685" s="44" t="s">
        <v>141</v>
      </c>
      <c r="L685" s="40">
        <v>1127</v>
      </c>
      <c r="M685" s="41">
        <v>41339</v>
      </c>
      <c r="N685" s="40" t="s">
        <v>110</v>
      </c>
      <c r="O685" s="42"/>
      <c r="P685" s="40"/>
      <c r="Q685" s="120">
        <f>'[3]ComEd - test LP_29MS'!G674</f>
        <v>0</v>
      </c>
      <c r="R685" s="120">
        <f>'[3]ComEd - test LP_29MS'!H674</f>
        <v>0</v>
      </c>
      <c r="S685" s="120">
        <f>'[3]ComEd - test LP_29MS'!I674</f>
        <v>0</v>
      </c>
      <c r="T685" s="120">
        <f>'[3]ComEd - test LP_29MS'!J674</f>
        <v>0</v>
      </c>
      <c r="U685" s="120">
        <f>'[3]ComEd - test LP_29MS'!K674</f>
        <v>0</v>
      </c>
      <c r="V685" s="91"/>
    </row>
    <row r="686" spans="1:22" x14ac:dyDescent="0.2">
      <c r="A686" s="48">
        <f t="shared" si="22"/>
        <v>678</v>
      </c>
      <c r="B686" s="43">
        <v>19</v>
      </c>
      <c r="C686" s="43">
        <v>12</v>
      </c>
      <c r="D686" s="38" t="s">
        <v>611</v>
      </c>
      <c r="E686" s="44" t="s">
        <v>143</v>
      </c>
      <c r="F686" s="44" t="s">
        <v>18</v>
      </c>
      <c r="G686" s="44" t="s">
        <v>108</v>
      </c>
      <c r="H686" s="44" t="s">
        <v>94</v>
      </c>
      <c r="I686" s="44" t="s">
        <v>144</v>
      </c>
      <c r="J686" s="44" t="s">
        <v>20</v>
      </c>
      <c r="K686" s="44" t="s">
        <v>145</v>
      </c>
      <c r="L686" s="40">
        <v>1128</v>
      </c>
      <c r="M686" s="41">
        <v>41339</v>
      </c>
      <c r="N686" s="40" t="s">
        <v>110</v>
      </c>
      <c r="O686" s="42"/>
      <c r="P686" s="40"/>
      <c r="Q686" s="120">
        <f>[3]DAY_RC_843MS!G674</f>
        <v>0</v>
      </c>
      <c r="R686" s="120">
        <f>[3]DAY_RC_843MS!H674</f>
        <v>0</v>
      </c>
      <c r="S686" s="120">
        <f>[3]DAY_RC_843MS!I674</f>
        <v>0</v>
      </c>
      <c r="T686" s="120">
        <f>[3]DAY_RC_843MS!J674</f>
        <v>0</v>
      </c>
      <c r="U686" s="120">
        <f>[3]DAY_RC_843MS!K674</f>
        <v>0</v>
      </c>
      <c r="V686" s="91"/>
    </row>
    <row r="687" spans="1:22" x14ac:dyDescent="0.2">
      <c r="A687" s="48">
        <f t="shared" si="22"/>
        <v>679</v>
      </c>
      <c r="B687" s="43">
        <v>19</v>
      </c>
      <c r="C687" s="43">
        <v>13</v>
      </c>
      <c r="D687" s="38" t="s">
        <v>612</v>
      </c>
      <c r="E687" s="44" t="s">
        <v>147</v>
      </c>
      <c r="F687" s="44" t="s">
        <v>37</v>
      </c>
      <c r="G687" s="44" t="s">
        <v>108</v>
      </c>
      <c r="H687" s="44" t="s">
        <v>41</v>
      </c>
      <c r="I687" s="44" t="s">
        <v>41</v>
      </c>
      <c r="J687" s="44" t="s">
        <v>6</v>
      </c>
      <c r="K687" s="44" t="s">
        <v>128</v>
      </c>
      <c r="L687" s="40">
        <v>1129</v>
      </c>
      <c r="M687" s="41">
        <v>41339</v>
      </c>
      <c r="N687" s="40" t="s">
        <v>110</v>
      </c>
      <c r="O687" s="42"/>
      <c r="P687" s="40"/>
      <c r="Q687" s="120">
        <f>'[3]Delmarva MD LP_MDGS_MMS'!G674</f>
        <v>0</v>
      </c>
      <c r="R687" s="120">
        <f>'[3]Delmarva MD LP_MDGS_MMS'!H674</f>
        <v>0</v>
      </c>
      <c r="S687" s="120">
        <f>'[3]Delmarva MD LP_MDGS_MMS'!I674</f>
        <v>0</v>
      </c>
      <c r="T687" s="120">
        <f>'[3]Delmarva MD LP_MDGS_MMS'!J674</f>
        <v>0</v>
      </c>
      <c r="U687" s="120">
        <f>'[3]Delmarva MD LP_MDGS_MMS'!K674</f>
        <v>0</v>
      </c>
      <c r="V687" s="91"/>
    </row>
    <row r="688" spans="1:22" x14ac:dyDescent="0.2">
      <c r="A688" s="48">
        <f t="shared" si="22"/>
        <v>680</v>
      </c>
      <c r="B688" s="43">
        <v>19</v>
      </c>
      <c r="C688" s="43">
        <v>14</v>
      </c>
      <c r="D688" s="38" t="s">
        <v>613</v>
      </c>
      <c r="E688" s="44" t="s">
        <v>149</v>
      </c>
      <c r="F688" s="44" t="s">
        <v>5</v>
      </c>
      <c r="G688" s="44" t="s">
        <v>108</v>
      </c>
      <c r="H688" s="44" t="s">
        <v>46</v>
      </c>
      <c r="I688" s="44" t="s">
        <v>46</v>
      </c>
      <c r="J688" s="44" t="s">
        <v>6</v>
      </c>
      <c r="K688" s="44" t="s">
        <v>128</v>
      </c>
      <c r="L688" s="40">
        <v>1130</v>
      </c>
      <c r="M688" s="41">
        <v>41339</v>
      </c>
      <c r="N688" s="40" t="s">
        <v>110</v>
      </c>
      <c r="O688" s="42"/>
      <c r="P688" s="40"/>
      <c r="Q688" s="120">
        <f>'[3]DQE LP_GSGM_MMS'!G674</f>
        <v>0</v>
      </c>
      <c r="R688" s="120">
        <f>'[3]DQE LP_GSGM_MMS'!H674</f>
        <v>0</v>
      </c>
      <c r="S688" s="120">
        <f>'[3]DQE LP_GSGM_MMS'!I674</f>
        <v>0</v>
      </c>
      <c r="T688" s="120">
        <f>'[3]DQE LP_GSGM_MMS'!J674</f>
        <v>0</v>
      </c>
      <c r="U688" s="120">
        <f>'[3]DQE LP_GSGM_MMS'!K674</f>
        <v>0</v>
      </c>
      <c r="V688" s="91"/>
    </row>
    <row r="689" spans="1:22" x14ac:dyDescent="0.2">
      <c r="A689" s="48">
        <f t="shared" si="22"/>
        <v>681</v>
      </c>
      <c r="B689" s="43">
        <v>19</v>
      </c>
      <c r="C689" s="43">
        <v>15</v>
      </c>
      <c r="D689" s="38" t="s">
        <v>614</v>
      </c>
      <c r="E689" s="44" t="s">
        <v>151</v>
      </c>
      <c r="F689" s="44" t="s">
        <v>18</v>
      </c>
      <c r="G689" s="44" t="s">
        <v>108</v>
      </c>
      <c r="H689" s="44" t="s">
        <v>21</v>
      </c>
      <c r="I689" s="44" t="s">
        <v>152</v>
      </c>
      <c r="J689" s="44" t="s">
        <v>22</v>
      </c>
      <c r="K689" s="44" t="s">
        <v>128</v>
      </c>
      <c r="L689" s="40">
        <v>1131</v>
      </c>
      <c r="M689" s="41">
        <v>41339</v>
      </c>
      <c r="N689" s="40" t="s">
        <v>110</v>
      </c>
      <c r="O689" s="42"/>
      <c r="P689" s="40"/>
      <c r="Q689" s="120">
        <f>[3]Duke_OH_RC_DS01MS!G674</f>
        <v>0</v>
      </c>
      <c r="R689" s="120">
        <f>[3]Duke_OH_RC_DS01MS!H674</f>
        <v>0</v>
      </c>
      <c r="S689" s="120">
        <f>[3]Duke_OH_RC_DS01MS!I674</f>
        <v>0</v>
      </c>
      <c r="T689" s="120">
        <f>[3]Duke_OH_RC_DS01MS!J674</f>
        <v>0</v>
      </c>
      <c r="U689" s="120">
        <f>[3]Duke_OH_RC_DS01MS!K674</f>
        <v>0</v>
      </c>
      <c r="V689" s="91"/>
    </row>
    <row r="690" spans="1:22" x14ac:dyDescent="0.2">
      <c r="A690" s="48">
        <f t="shared" si="22"/>
        <v>682</v>
      </c>
      <c r="B690" s="43">
        <v>19</v>
      </c>
      <c r="C690" s="43">
        <v>16</v>
      </c>
      <c r="D690" s="38" t="s">
        <v>615</v>
      </c>
      <c r="E690" s="44" t="s">
        <v>154</v>
      </c>
      <c r="F690" s="44" t="s">
        <v>18</v>
      </c>
      <c r="G690" s="44" t="s">
        <v>108</v>
      </c>
      <c r="H690" s="44" t="s">
        <v>62</v>
      </c>
      <c r="I690" s="44" t="s">
        <v>155</v>
      </c>
      <c r="J690" s="44" t="s">
        <v>6</v>
      </c>
      <c r="K690" s="44" t="s">
        <v>128</v>
      </c>
      <c r="L690" s="40">
        <v>1132</v>
      </c>
      <c r="M690" s="41">
        <v>41339</v>
      </c>
      <c r="N690" s="40" t="s">
        <v>110</v>
      </c>
      <c r="O690" s="42"/>
      <c r="P690" s="40"/>
      <c r="Q690" s="120">
        <f>'[3]FE_OE - test RC_GSFMS'!G674</f>
        <v>0</v>
      </c>
      <c r="R690" s="120">
        <f>'[3]FE_OE - test RC_GSFMS'!H674</f>
        <v>0</v>
      </c>
      <c r="S690" s="120">
        <f>'[3]FE_OE - test RC_GSFMS'!I674</f>
        <v>0</v>
      </c>
      <c r="T690" s="120">
        <f>'[3]FE_OE - test RC_GSFMS'!J674</f>
        <v>0</v>
      </c>
      <c r="U690" s="120">
        <f>'[3]FE_OE - test RC_GSFMS'!K674</f>
        <v>0</v>
      </c>
      <c r="V690" s="91"/>
    </row>
    <row r="691" spans="1:22" x14ac:dyDescent="0.2">
      <c r="A691" s="48">
        <f t="shared" si="22"/>
        <v>683</v>
      </c>
      <c r="B691" s="43">
        <v>19</v>
      </c>
      <c r="C691" s="43">
        <v>17</v>
      </c>
      <c r="D691" s="38" t="s">
        <v>616</v>
      </c>
      <c r="E691" s="44" t="s">
        <v>157</v>
      </c>
      <c r="F691" s="44" t="s">
        <v>29</v>
      </c>
      <c r="G691" s="44" t="s">
        <v>108</v>
      </c>
      <c r="H691" s="44" t="s">
        <v>33</v>
      </c>
      <c r="I691" s="44" t="s">
        <v>33</v>
      </c>
      <c r="J691" s="44" t="s">
        <v>7</v>
      </c>
      <c r="K691" s="44" t="s">
        <v>123</v>
      </c>
      <c r="L691" s="40">
        <v>1133</v>
      </c>
      <c r="M691" s="41">
        <v>41339</v>
      </c>
      <c r="N691" s="40" t="s">
        <v>110</v>
      </c>
      <c r="O691" s="42"/>
      <c r="P691" s="40"/>
      <c r="Q691" s="120">
        <f>'[3]JCPL LP_GSCLMS'!G674</f>
        <v>0</v>
      </c>
      <c r="R691" s="120">
        <f>'[3]JCPL LP_GSCLMS'!H674</f>
        <v>0</v>
      </c>
      <c r="S691" s="120">
        <f>'[3]JCPL LP_GSCLMS'!I674</f>
        <v>0</v>
      </c>
      <c r="T691" s="120">
        <f>'[3]JCPL LP_GSCLMS'!J674</f>
        <v>0</v>
      </c>
      <c r="U691" s="120">
        <f>'[3]JCPL LP_GSCLMS'!K674</f>
        <v>0</v>
      </c>
      <c r="V691" s="91"/>
    </row>
    <row r="692" spans="1:22" x14ac:dyDescent="0.2">
      <c r="A692" s="48">
        <f t="shared" si="22"/>
        <v>684</v>
      </c>
      <c r="B692" s="43">
        <v>19</v>
      </c>
      <c r="C692" s="43">
        <v>18</v>
      </c>
      <c r="D692" s="38" t="s">
        <v>617</v>
      </c>
      <c r="E692" s="44" t="s">
        <v>159</v>
      </c>
      <c r="F692" s="44" t="s">
        <v>29</v>
      </c>
      <c r="G692" s="44" t="s">
        <v>108</v>
      </c>
      <c r="H692" s="44" t="s">
        <v>33</v>
      </c>
      <c r="I692" s="44" t="s">
        <v>33</v>
      </c>
      <c r="J692" s="44" t="s">
        <v>8</v>
      </c>
      <c r="K692" s="44" t="s">
        <v>120</v>
      </c>
      <c r="L692" s="40">
        <v>1134</v>
      </c>
      <c r="M692" s="41">
        <v>41339</v>
      </c>
      <c r="N692" s="40" t="s">
        <v>110</v>
      </c>
      <c r="O692" s="42"/>
      <c r="P692" s="40"/>
      <c r="Q692" s="120">
        <f>'[3]JCPL LP_GSCMMS'!G674</f>
        <v>0</v>
      </c>
      <c r="R692" s="120">
        <f>'[3]JCPL LP_GSCMMS'!H674</f>
        <v>0</v>
      </c>
      <c r="S692" s="120">
        <f>'[3]JCPL LP_GSCMMS'!I674</f>
        <v>0</v>
      </c>
      <c r="T692" s="120">
        <f>'[3]JCPL LP_GSCMMS'!J674</f>
        <v>0</v>
      </c>
      <c r="U692" s="120">
        <f>'[3]JCPL LP_GSCMMS'!K674</f>
        <v>0</v>
      </c>
      <c r="V692" s="91"/>
    </row>
    <row r="693" spans="1:22" x14ac:dyDescent="0.2">
      <c r="A693" s="48">
        <f t="shared" si="22"/>
        <v>685</v>
      </c>
      <c r="B693" s="43">
        <v>19</v>
      </c>
      <c r="C693" s="43">
        <v>19</v>
      </c>
      <c r="D693" s="38" t="s">
        <v>618</v>
      </c>
      <c r="E693" s="44" t="s">
        <v>161</v>
      </c>
      <c r="F693" s="44" t="s">
        <v>29</v>
      </c>
      <c r="G693" s="44" t="s">
        <v>108</v>
      </c>
      <c r="H693" s="44" t="s">
        <v>33</v>
      </c>
      <c r="I693" s="44" t="s">
        <v>33</v>
      </c>
      <c r="J693" s="44" t="s">
        <v>9</v>
      </c>
      <c r="K693" s="44" t="s">
        <v>117</v>
      </c>
      <c r="L693" s="40">
        <v>1135</v>
      </c>
      <c r="M693" s="41">
        <v>41339</v>
      </c>
      <c r="N693" s="40" t="s">
        <v>110</v>
      </c>
      <c r="O693" s="42"/>
      <c r="P693" s="40"/>
      <c r="Q693" s="120">
        <f>'[3]JCPL LP_GSCSMS'!G674</f>
        <v>0</v>
      </c>
      <c r="R693" s="120">
        <f>'[3]JCPL LP_GSCSMS'!H674</f>
        <v>0</v>
      </c>
      <c r="S693" s="120">
        <f>'[3]JCPL LP_GSCSMS'!I674</f>
        <v>0</v>
      </c>
      <c r="T693" s="120">
        <f>'[3]JCPL LP_GSCSMS'!J674</f>
        <v>0</v>
      </c>
      <c r="U693" s="120">
        <f>'[3]JCPL LP_GSCSMS'!K674</f>
        <v>0</v>
      </c>
      <c r="V693" s="91"/>
    </row>
    <row r="694" spans="1:22" x14ac:dyDescent="0.2">
      <c r="A694" s="48">
        <f t="shared" si="22"/>
        <v>686</v>
      </c>
      <c r="B694" s="43">
        <v>19</v>
      </c>
      <c r="C694" s="43">
        <v>20</v>
      </c>
      <c r="D694" s="38" t="s">
        <v>619</v>
      </c>
      <c r="E694" s="44" t="s">
        <v>163</v>
      </c>
      <c r="F694" s="44" t="s">
        <v>5</v>
      </c>
      <c r="G694" s="44" t="s">
        <v>108</v>
      </c>
      <c r="H694" s="44" t="s">
        <v>164</v>
      </c>
      <c r="I694" s="44" t="s">
        <v>165</v>
      </c>
      <c r="J694" s="44" t="s">
        <v>7</v>
      </c>
      <c r="K694" s="44" t="s">
        <v>123</v>
      </c>
      <c r="L694" s="40">
        <v>1137</v>
      </c>
      <c r="M694" s="41">
        <v>41339</v>
      </c>
      <c r="N694" s="40" t="s">
        <v>110</v>
      </c>
      <c r="O694" s="42"/>
      <c r="P694" s="40"/>
      <c r="Q694" s="120">
        <f>'[3]MetEd RC_GSLFMS'!G674</f>
        <v>0</v>
      </c>
      <c r="R694" s="120">
        <f>'[3]MetEd RC_GSLFMS'!H674</f>
        <v>0</v>
      </c>
      <c r="S694" s="120">
        <f>'[3]MetEd RC_GSLFMS'!I674</f>
        <v>0</v>
      </c>
      <c r="T694" s="120">
        <f>'[3]MetEd RC_GSLFMS'!J674</f>
        <v>0</v>
      </c>
      <c r="U694" s="120">
        <f>'[3]MetEd RC_GSLFMS'!K674</f>
        <v>0</v>
      </c>
      <c r="V694" s="91"/>
    </row>
    <row r="695" spans="1:22" x14ac:dyDescent="0.2">
      <c r="A695" s="48">
        <f t="shared" si="22"/>
        <v>687</v>
      </c>
      <c r="B695" s="43">
        <v>19</v>
      </c>
      <c r="C695" s="43">
        <v>21</v>
      </c>
      <c r="D695" s="38" t="s">
        <v>620</v>
      </c>
      <c r="E695" s="44" t="s">
        <v>167</v>
      </c>
      <c r="F695" s="44" t="s">
        <v>5</v>
      </c>
      <c r="G695" s="44" t="s">
        <v>108</v>
      </c>
      <c r="H695" s="44" t="s">
        <v>164</v>
      </c>
      <c r="I695" s="44" t="s">
        <v>165</v>
      </c>
      <c r="J695" s="44" t="s">
        <v>8</v>
      </c>
      <c r="K695" s="44" t="s">
        <v>120</v>
      </c>
      <c r="L695" s="40">
        <v>1136</v>
      </c>
      <c r="M695" s="41">
        <v>41339</v>
      </c>
      <c r="N695" s="40" t="s">
        <v>110</v>
      </c>
      <c r="O695" s="42"/>
      <c r="P695" s="40"/>
      <c r="Q695" s="120">
        <f>'[3]MetEd RC_GSDFMS'!G674</f>
        <v>0</v>
      </c>
      <c r="R695" s="120">
        <f>'[3]MetEd RC_GSDFMS'!H674</f>
        <v>0</v>
      </c>
      <c r="S695" s="120">
        <f>'[3]MetEd RC_GSDFMS'!I674</f>
        <v>0</v>
      </c>
      <c r="T695" s="120">
        <f>'[3]MetEd RC_GSDFMS'!J674</f>
        <v>0</v>
      </c>
      <c r="U695" s="120">
        <f>'[3]MetEd RC_GSDFMS'!K674</f>
        <v>0</v>
      </c>
      <c r="V695" s="91"/>
    </row>
    <row r="696" spans="1:22" x14ac:dyDescent="0.2">
      <c r="A696" s="48">
        <f t="shared" si="22"/>
        <v>688</v>
      </c>
      <c r="B696" s="43">
        <v>19</v>
      </c>
      <c r="C696" s="43">
        <v>22</v>
      </c>
      <c r="D696" s="38" t="s">
        <v>621</v>
      </c>
      <c r="E696" s="44" t="s">
        <v>169</v>
      </c>
      <c r="F696" s="44" t="s">
        <v>5</v>
      </c>
      <c r="G696" s="44" t="s">
        <v>108</v>
      </c>
      <c r="H696" s="44" t="s">
        <v>164</v>
      </c>
      <c r="I696" s="44" t="s">
        <v>165</v>
      </c>
      <c r="J696" s="44" t="s">
        <v>9</v>
      </c>
      <c r="K696" s="44" t="s">
        <v>117</v>
      </c>
      <c r="L696" s="40">
        <v>1138</v>
      </c>
      <c r="M696" s="41">
        <v>41339</v>
      </c>
      <c r="N696" s="40" t="s">
        <v>110</v>
      </c>
      <c r="O696" s="42"/>
      <c r="P696" s="40"/>
      <c r="Q696" s="120">
        <f>'[3]MetEd RC_GSSFMS'!G674</f>
        <v>0</v>
      </c>
      <c r="R696" s="120">
        <f>'[3]MetEd RC_GSSFMS'!H674</f>
        <v>0</v>
      </c>
      <c r="S696" s="120">
        <f>'[3]MetEd RC_GSSFMS'!I674</f>
        <v>0</v>
      </c>
      <c r="T696" s="120">
        <f>'[3]MetEd RC_GSSFMS'!J674</f>
        <v>0</v>
      </c>
      <c r="U696" s="120">
        <f>'[3]MetEd RC_GSSFMS'!K674</f>
        <v>0</v>
      </c>
      <c r="V696" s="91"/>
    </row>
    <row r="697" spans="1:22" x14ac:dyDescent="0.2">
      <c r="A697" s="48">
        <f t="shared" si="22"/>
        <v>689</v>
      </c>
      <c r="B697" s="43">
        <v>19</v>
      </c>
      <c r="C697" s="43">
        <v>23</v>
      </c>
      <c r="D697" s="38" t="s">
        <v>622</v>
      </c>
      <c r="E697" s="44" t="s">
        <v>171</v>
      </c>
      <c r="F697" s="44" t="s">
        <v>5</v>
      </c>
      <c r="G697" s="44" t="s">
        <v>108</v>
      </c>
      <c r="H697" s="44" t="s">
        <v>11</v>
      </c>
      <c r="I697" s="44" t="s">
        <v>11</v>
      </c>
      <c r="J697" s="44" t="s">
        <v>6</v>
      </c>
      <c r="K697" s="44" t="s">
        <v>128</v>
      </c>
      <c r="L697" s="40">
        <v>1139</v>
      </c>
      <c r="M697" s="41">
        <v>41339</v>
      </c>
      <c r="N697" s="40" t="s">
        <v>110</v>
      </c>
      <c r="O697" s="42"/>
      <c r="P697" s="40"/>
      <c r="Q697" s="120">
        <f>'[3]PECO LP_GSMS'!G674</f>
        <v>0</v>
      </c>
      <c r="R697" s="120">
        <f>'[3]PECO LP_GSMS'!H674</f>
        <v>0</v>
      </c>
      <c r="S697" s="120">
        <f>'[3]PECO LP_GSMS'!I674</f>
        <v>0</v>
      </c>
      <c r="T697" s="120">
        <f>'[3]PECO LP_GSMS'!J674</f>
        <v>0</v>
      </c>
      <c r="U697" s="120">
        <f>'[3]PECO LP_GSMS'!K674</f>
        <v>0</v>
      </c>
      <c r="V697" s="91"/>
    </row>
    <row r="698" spans="1:22" x14ac:dyDescent="0.2">
      <c r="A698" s="48">
        <f t="shared" si="22"/>
        <v>690</v>
      </c>
      <c r="B698" s="43">
        <v>19</v>
      </c>
      <c r="C698" s="43">
        <v>24</v>
      </c>
      <c r="D698" s="38" t="s">
        <v>623</v>
      </c>
      <c r="E698" s="44" t="s">
        <v>173</v>
      </c>
      <c r="F698" s="44" t="s">
        <v>5</v>
      </c>
      <c r="G698" s="44" t="s">
        <v>108</v>
      </c>
      <c r="H698" s="44" t="s">
        <v>10</v>
      </c>
      <c r="I698" s="44" t="s">
        <v>174</v>
      </c>
      <c r="J698" s="44" t="s">
        <v>7</v>
      </c>
      <c r="K698" s="44" t="s">
        <v>123</v>
      </c>
      <c r="L698" s="40">
        <v>1140</v>
      </c>
      <c r="M698" s="41">
        <v>41339</v>
      </c>
      <c r="N698" s="40" t="s">
        <v>110</v>
      </c>
      <c r="O698" s="42"/>
      <c r="P698" s="40"/>
      <c r="Q698" s="120">
        <f>'[3]Penelec RC_GSLFMS'!G674</f>
        <v>0</v>
      </c>
      <c r="R698" s="120">
        <f>'[3]Penelec RC_GSLFMS'!H674</f>
        <v>0</v>
      </c>
      <c r="S698" s="120">
        <f>'[3]Penelec RC_GSLFMS'!I674</f>
        <v>0</v>
      </c>
      <c r="T698" s="120">
        <f>'[3]Penelec RC_GSLFMS'!J674</f>
        <v>0</v>
      </c>
      <c r="U698" s="120">
        <f>'[3]Penelec RC_GSLFMS'!K674</f>
        <v>0</v>
      </c>
      <c r="V698" s="91"/>
    </row>
    <row r="699" spans="1:22" x14ac:dyDescent="0.2">
      <c r="A699" s="48">
        <f t="shared" si="22"/>
        <v>691</v>
      </c>
      <c r="B699" s="43">
        <v>19</v>
      </c>
      <c r="C699" s="43">
        <v>25</v>
      </c>
      <c r="D699" s="38" t="s">
        <v>624</v>
      </c>
      <c r="E699" s="44" t="s">
        <v>176</v>
      </c>
      <c r="F699" s="44" t="s">
        <v>5</v>
      </c>
      <c r="G699" s="44" t="s">
        <v>108</v>
      </c>
      <c r="H699" s="44" t="s">
        <v>10</v>
      </c>
      <c r="I699" s="44" t="s">
        <v>174</v>
      </c>
      <c r="J699" s="44" t="s">
        <v>8</v>
      </c>
      <c r="K699" s="44" t="s">
        <v>120</v>
      </c>
      <c r="L699" s="40">
        <v>1141</v>
      </c>
      <c r="M699" s="41">
        <v>41339</v>
      </c>
      <c r="N699" s="40" t="s">
        <v>110</v>
      </c>
      <c r="O699" s="42"/>
      <c r="P699" s="40"/>
      <c r="Q699" s="120">
        <f>'[3]Penelec RC_GSMFMS'!G674</f>
        <v>0</v>
      </c>
      <c r="R699" s="120">
        <f>'[3]Penelec RC_GSMFMS'!H674</f>
        <v>0</v>
      </c>
      <c r="S699" s="120">
        <f>'[3]Penelec RC_GSMFMS'!I674</f>
        <v>0</v>
      </c>
      <c r="T699" s="120">
        <f>'[3]Penelec RC_GSMFMS'!J674</f>
        <v>0</v>
      </c>
      <c r="U699" s="120">
        <f>'[3]Penelec RC_GSMFMS'!K674</f>
        <v>0</v>
      </c>
      <c r="V699" s="91"/>
    </row>
    <row r="700" spans="1:22" x14ac:dyDescent="0.2">
      <c r="A700" s="48">
        <f t="shared" si="22"/>
        <v>692</v>
      </c>
      <c r="B700" s="43">
        <v>19</v>
      </c>
      <c r="C700" s="43">
        <v>26</v>
      </c>
      <c r="D700" s="38" t="s">
        <v>625</v>
      </c>
      <c r="E700" s="44" t="s">
        <v>178</v>
      </c>
      <c r="F700" s="44" t="s">
        <v>5</v>
      </c>
      <c r="G700" s="44" t="s">
        <v>108</v>
      </c>
      <c r="H700" s="44" t="s">
        <v>10</v>
      </c>
      <c r="I700" s="44" t="s">
        <v>174</v>
      </c>
      <c r="J700" s="44" t="s">
        <v>9</v>
      </c>
      <c r="K700" s="44" t="s">
        <v>117</v>
      </c>
      <c r="L700" s="40">
        <v>1142</v>
      </c>
      <c r="M700" s="41">
        <v>41339</v>
      </c>
      <c r="N700" s="40" t="s">
        <v>110</v>
      </c>
      <c r="O700" s="42"/>
      <c r="P700" s="40"/>
      <c r="Q700" s="120">
        <f>'[3]Penelec RC_GSSFMS'!G674</f>
        <v>0</v>
      </c>
      <c r="R700" s="120">
        <f>'[3]Penelec RC_GSSFMS'!H674</f>
        <v>0</v>
      </c>
      <c r="S700" s="120">
        <f>'[3]Penelec RC_GSSFMS'!I674</f>
        <v>0</v>
      </c>
      <c r="T700" s="120">
        <f>'[3]Penelec RC_GSSFMS'!J674</f>
        <v>0</v>
      </c>
      <c r="U700" s="120">
        <f>'[3]Penelec RC_GSSFMS'!K674</f>
        <v>0</v>
      </c>
      <c r="V700" s="91"/>
    </row>
    <row r="701" spans="1:22" x14ac:dyDescent="0.2">
      <c r="A701" s="48">
        <f t="shared" si="22"/>
        <v>693</v>
      </c>
      <c r="B701" s="43">
        <v>19</v>
      </c>
      <c r="C701" s="43">
        <v>27</v>
      </c>
      <c r="D701" s="38" t="s">
        <v>626</v>
      </c>
      <c r="E701" s="44" t="s">
        <v>180</v>
      </c>
      <c r="F701" s="44" t="s">
        <v>5</v>
      </c>
      <c r="G701" s="44" t="s">
        <v>108</v>
      </c>
      <c r="H701" s="44" t="s">
        <v>91</v>
      </c>
      <c r="I701" s="44" t="s">
        <v>181</v>
      </c>
      <c r="J701" s="44" t="s">
        <v>6</v>
      </c>
      <c r="K701" s="44" t="s">
        <v>128</v>
      </c>
      <c r="L701" s="40">
        <v>1143</v>
      </c>
      <c r="M701" s="41">
        <v>41339</v>
      </c>
      <c r="N701" s="40" t="s">
        <v>110</v>
      </c>
      <c r="O701" s="42"/>
      <c r="P701" s="40"/>
      <c r="Q701" s="120">
        <f>'[3]Penn Power RC_GMDMS'!G674</f>
        <v>0</v>
      </c>
      <c r="R701" s="120">
        <f>'[3]Penn Power RC_GMDMS'!H674</f>
        <v>0</v>
      </c>
      <c r="S701" s="120">
        <f>'[3]Penn Power RC_GMDMS'!I674</f>
        <v>0</v>
      </c>
      <c r="T701" s="120">
        <f>'[3]Penn Power RC_GMDMS'!J674</f>
        <v>0</v>
      </c>
      <c r="U701" s="120">
        <f>'[3]Penn Power RC_GMDMS'!K674</f>
        <v>0</v>
      </c>
      <c r="V701" s="91"/>
    </row>
    <row r="702" spans="1:22" x14ac:dyDescent="0.2">
      <c r="A702" s="48">
        <f t="shared" si="22"/>
        <v>694</v>
      </c>
      <c r="B702" s="43">
        <v>19</v>
      </c>
      <c r="C702" s="43">
        <v>28</v>
      </c>
      <c r="D702" s="38" t="s">
        <v>627</v>
      </c>
      <c r="E702" s="44" t="s">
        <v>183</v>
      </c>
      <c r="F702" s="44" t="s">
        <v>37</v>
      </c>
      <c r="G702" s="44" t="s">
        <v>108</v>
      </c>
      <c r="H702" s="44" t="s">
        <v>42</v>
      </c>
      <c r="I702" s="44" t="s">
        <v>42</v>
      </c>
      <c r="J702" s="44" t="s">
        <v>6</v>
      </c>
      <c r="K702" s="44" t="s">
        <v>128</v>
      </c>
      <c r="L702" s="40">
        <v>1144</v>
      </c>
      <c r="M702" s="41">
        <v>41339</v>
      </c>
      <c r="N702" s="40" t="s">
        <v>110</v>
      </c>
      <c r="O702" s="42"/>
      <c r="P702" s="40"/>
      <c r="Q702" s="120">
        <f>'[3]PEPCO MD LP_MDNDMS'!G674</f>
        <v>0</v>
      </c>
      <c r="R702" s="120">
        <f>'[3]PEPCO MD LP_MDNDMS'!H674</f>
        <v>0</v>
      </c>
      <c r="S702" s="120">
        <f>'[3]PEPCO MD LP_MDNDMS'!I674</f>
        <v>0</v>
      </c>
      <c r="T702" s="120">
        <f>'[3]PEPCO MD LP_MDNDMS'!J674</f>
        <v>0</v>
      </c>
      <c r="U702" s="120">
        <f>'[3]PEPCO MD LP_MDNDMS'!K674</f>
        <v>0</v>
      </c>
      <c r="V702" s="91"/>
    </row>
    <row r="703" spans="1:22" x14ac:dyDescent="0.2">
      <c r="A703" s="48">
        <f t="shared" si="22"/>
        <v>695</v>
      </c>
      <c r="B703" s="43">
        <v>19</v>
      </c>
      <c r="C703" s="43">
        <v>29</v>
      </c>
      <c r="D703" s="38" t="s">
        <v>628</v>
      </c>
      <c r="E703" s="44" t="s">
        <v>185</v>
      </c>
      <c r="F703" s="44" t="s">
        <v>37</v>
      </c>
      <c r="G703" s="44" t="s">
        <v>108</v>
      </c>
      <c r="H703" s="44" t="s">
        <v>42</v>
      </c>
      <c r="I703" s="44" t="s">
        <v>42</v>
      </c>
      <c r="J703" s="44" t="s">
        <v>43</v>
      </c>
      <c r="K703" s="44" t="s">
        <v>186</v>
      </c>
      <c r="L703" s="40">
        <v>1145</v>
      </c>
      <c r="M703" s="41">
        <v>41339</v>
      </c>
      <c r="N703" s="40" t="s">
        <v>110</v>
      </c>
      <c r="O703" s="42"/>
      <c r="P703" s="40"/>
      <c r="Q703" s="120">
        <f>'[3]PEPCO MD LP_MMGTL2AMS'!G674</f>
        <v>0</v>
      </c>
      <c r="R703" s="120">
        <f>'[3]PEPCO MD LP_MMGTL2AMS'!H674</f>
        <v>0</v>
      </c>
      <c r="S703" s="120">
        <f>'[3]PEPCO MD LP_MMGTL2AMS'!I674</f>
        <v>0</v>
      </c>
      <c r="T703" s="120">
        <f>'[3]PEPCO MD LP_MMGTL2AMS'!J674</f>
        <v>0</v>
      </c>
      <c r="U703" s="120">
        <f>'[3]PEPCO MD LP_MMGTL2AMS'!K674</f>
        <v>0</v>
      </c>
      <c r="V703" s="91"/>
    </row>
    <row r="704" spans="1:22" x14ac:dyDescent="0.2">
      <c r="A704" s="48">
        <f t="shared" si="22"/>
        <v>696</v>
      </c>
      <c r="B704" s="43">
        <v>19</v>
      </c>
      <c r="C704" s="43">
        <v>30</v>
      </c>
      <c r="D704" s="38" t="s">
        <v>629</v>
      </c>
      <c r="E704" s="44" t="s">
        <v>188</v>
      </c>
      <c r="F704" s="44" t="s">
        <v>37</v>
      </c>
      <c r="G704" s="44" t="s">
        <v>108</v>
      </c>
      <c r="H704" s="44" t="s">
        <v>42</v>
      </c>
      <c r="I704" s="44" t="s">
        <v>42</v>
      </c>
      <c r="J704" s="44" t="s">
        <v>44</v>
      </c>
      <c r="K704" s="44" t="s">
        <v>44</v>
      </c>
      <c r="L704" s="40">
        <v>1146</v>
      </c>
      <c r="M704" s="41">
        <v>41339</v>
      </c>
      <c r="N704" s="40" t="s">
        <v>110</v>
      </c>
      <c r="O704" s="42"/>
      <c r="P704" s="40"/>
      <c r="Q704" s="120">
        <f>'[3]PEPCO MD RC_3T7MS'!G674</f>
        <v>0</v>
      </c>
      <c r="R704" s="120">
        <f>'[3]PEPCO MD RC_3T7MS'!H674</f>
        <v>0</v>
      </c>
      <c r="S704" s="120">
        <f>'[3]PEPCO MD RC_3T7MS'!I674</f>
        <v>0</v>
      </c>
      <c r="T704" s="120">
        <f>'[3]PEPCO MD RC_3T7MS'!J674</f>
        <v>0</v>
      </c>
      <c r="U704" s="120">
        <f>'[3]PEPCO MD RC_3T7MS'!K674</f>
        <v>0</v>
      </c>
      <c r="V704" s="91"/>
    </row>
    <row r="705" spans="1:22" x14ac:dyDescent="0.2">
      <c r="A705" s="48">
        <f t="shared" si="22"/>
        <v>697</v>
      </c>
      <c r="B705" s="43">
        <v>19</v>
      </c>
      <c r="C705" s="43">
        <v>31</v>
      </c>
      <c r="D705" s="38" t="s">
        <v>630</v>
      </c>
      <c r="E705" s="44" t="s">
        <v>190</v>
      </c>
      <c r="F705" s="44" t="s">
        <v>37</v>
      </c>
      <c r="G705" s="44" t="s">
        <v>108</v>
      </c>
      <c r="H705" s="44" t="s">
        <v>45</v>
      </c>
      <c r="I705" s="44" t="s">
        <v>45</v>
      </c>
      <c r="J705" s="44" t="s">
        <v>6</v>
      </c>
      <c r="K705" s="44" t="s">
        <v>128</v>
      </c>
      <c r="L705" s="40">
        <v>1147</v>
      </c>
      <c r="M705" s="41">
        <v>41339</v>
      </c>
      <c r="N705" s="40" t="s">
        <v>110</v>
      </c>
      <c r="O705" s="42"/>
      <c r="P705" s="40"/>
      <c r="Q705" s="120">
        <f>'[3]Potomac Edison LP_GSCM_MMS'!G674</f>
        <v>0</v>
      </c>
      <c r="R705" s="120">
        <f>'[3]Potomac Edison LP_GSCM_MMS'!H674</f>
        <v>0</v>
      </c>
      <c r="S705" s="120">
        <f>'[3]Potomac Edison LP_GSCM_MMS'!I674</f>
        <v>0</v>
      </c>
      <c r="T705" s="120">
        <f>'[3]Potomac Edison LP_GSCM_MMS'!J674</f>
        <v>0</v>
      </c>
      <c r="U705" s="120">
        <f>'[3]Potomac Edison LP_GSCM_MMS'!K674</f>
        <v>0</v>
      </c>
      <c r="V705" s="91"/>
    </row>
    <row r="706" spans="1:22" x14ac:dyDescent="0.2">
      <c r="A706" s="48">
        <f t="shared" si="22"/>
        <v>698</v>
      </c>
      <c r="B706" s="43">
        <v>19</v>
      </c>
      <c r="C706" s="43">
        <v>32</v>
      </c>
      <c r="D706" s="38" t="s">
        <v>631</v>
      </c>
      <c r="E706" s="44" t="s">
        <v>192</v>
      </c>
      <c r="F706" s="44" t="s">
        <v>5</v>
      </c>
      <c r="G706" s="44" t="s">
        <v>108</v>
      </c>
      <c r="H706" s="44" t="s">
        <v>12</v>
      </c>
      <c r="I706" s="44" t="s">
        <v>12</v>
      </c>
      <c r="J706" s="44" t="s">
        <v>13</v>
      </c>
      <c r="K706" s="44" t="s">
        <v>117</v>
      </c>
      <c r="L706" s="40">
        <v>1148</v>
      </c>
      <c r="M706" s="41">
        <v>41339</v>
      </c>
      <c r="N706" s="40" t="s">
        <v>110</v>
      </c>
      <c r="O706" s="42"/>
      <c r="P706" s="40"/>
      <c r="Q706" s="120">
        <f>[3]PPL_RCGS1MS!G674</f>
        <v>0</v>
      </c>
      <c r="R706" s="120">
        <f>[3]PPL_RCGS1MS!H674</f>
        <v>0</v>
      </c>
      <c r="S706" s="120">
        <f>[3]PPL_RCGS1MS!I674</f>
        <v>0</v>
      </c>
      <c r="T706" s="120">
        <f>[3]PPL_RCGS1MS!J674</f>
        <v>0</v>
      </c>
      <c r="U706" s="120">
        <f>[3]PPL_RCGS1MS!K674</f>
        <v>0</v>
      </c>
      <c r="V706" s="91"/>
    </row>
    <row r="707" spans="1:22" x14ac:dyDescent="0.2">
      <c r="A707" s="48">
        <f t="shared" si="22"/>
        <v>699</v>
      </c>
      <c r="B707" s="43">
        <v>19</v>
      </c>
      <c r="C707" s="43">
        <v>33</v>
      </c>
      <c r="D707" s="38" t="s">
        <v>632</v>
      </c>
      <c r="E707" s="44" t="s">
        <v>194</v>
      </c>
      <c r="F707" s="44" t="s">
        <v>5</v>
      </c>
      <c r="G707" s="44" t="s">
        <v>108</v>
      </c>
      <c r="H707" s="44" t="s">
        <v>12</v>
      </c>
      <c r="I707" s="44" t="s">
        <v>12</v>
      </c>
      <c r="J707" s="44" t="s">
        <v>14</v>
      </c>
      <c r="K707" s="44" t="s">
        <v>123</v>
      </c>
      <c r="L707" s="40">
        <v>1149</v>
      </c>
      <c r="M707" s="41">
        <v>41339</v>
      </c>
      <c r="N707" s="40" t="s">
        <v>110</v>
      </c>
      <c r="O707" s="42"/>
      <c r="P707" s="40"/>
      <c r="Q707" s="120">
        <f>[3]PPL_RCGS3MS!G674</f>
        <v>0</v>
      </c>
      <c r="R707" s="120">
        <f>[3]PPL_RCGS3MS!H674</f>
        <v>0</v>
      </c>
      <c r="S707" s="120">
        <f>[3]PPL_RCGS3MS!I674</f>
        <v>0</v>
      </c>
      <c r="T707" s="120">
        <f>[3]PPL_RCGS3MS!J674</f>
        <v>0</v>
      </c>
      <c r="U707" s="120">
        <f>[3]PPL_RCGS3MS!K674</f>
        <v>0</v>
      </c>
      <c r="V707" s="91"/>
    </row>
    <row r="708" spans="1:22" x14ac:dyDescent="0.2">
      <c r="A708" s="48">
        <f t="shared" si="22"/>
        <v>700</v>
      </c>
      <c r="B708" s="43">
        <v>19</v>
      </c>
      <c r="C708" s="43">
        <v>34</v>
      </c>
      <c r="D708" s="38" t="s">
        <v>633</v>
      </c>
      <c r="E708" s="44" t="s">
        <v>196</v>
      </c>
      <c r="F708" s="44" t="s">
        <v>29</v>
      </c>
      <c r="G708" s="44" t="s">
        <v>108</v>
      </c>
      <c r="H708" s="44" t="s">
        <v>34</v>
      </c>
      <c r="I708" s="44" t="s">
        <v>34</v>
      </c>
      <c r="J708" s="44" t="s">
        <v>35</v>
      </c>
      <c r="K708" s="44" t="s">
        <v>197</v>
      </c>
      <c r="L708" s="40">
        <v>1150</v>
      </c>
      <c r="M708" s="41">
        <v>41339</v>
      </c>
      <c r="N708" s="40" t="s">
        <v>110</v>
      </c>
      <c r="O708" s="42"/>
      <c r="P708" s="40"/>
      <c r="Q708" s="120">
        <f>'[3]PSEG LP_GLP_MMS'!G674</f>
        <v>0</v>
      </c>
      <c r="R708" s="120">
        <f>'[3]PSEG LP_GLP_MMS'!H674</f>
        <v>0</v>
      </c>
      <c r="S708" s="120">
        <f>'[3]PSEG LP_GLP_MMS'!I674</f>
        <v>0</v>
      </c>
      <c r="T708" s="120">
        <f>'[3]PSEG LP_GLP_MMS'!J674</f>
        <v>0</v>
      </c>
      <c r="U708" s="120">
        <f>'[3]PSEG LP_GLP_MMS'!K674</f>
        <v>0</v>
      </c>
      <c r="V708" s="91"/>
    </row>
    <row r="709" spans="1:22" x14ac:dyDescent="0.2">
      <c r="A709" s="48">
        <f t="shared" si="22"/>
        <v>701</v>
      </c>
      <c r="B709" s="43">
        <v>19</v>
      </c>
      <c r="C709" s="43">
        <v>35</v>
      </c>
      <c r="D709" s="38" t="s">
        <v>634</v>
      </c>
      <c r="E709" s="44" t="s">
        <v>199</v>
      </c>
      <c r="F709" s="44" t="s">
        <v>29</v>
      </c>
      <c r="G709" s="44" t="s">
        <v>108</v>
      </c>
      <c r="H709" s="44" t="s">
        <v>34</v>
      </c>
      <c r="I709" s="44" t="s">
        <v>34</v>
      </c>
      <c r="J709" s="44" t="s">
        <v>36</v>
      </c>
      <c r="K709" s="44" t="s">
        <v>200</v>
      </c>
      <c r="L709" s="40">
        <v>1151</v>
      </c>
      <c r="M709" s="41">
        <v>41339</v>
      </c>
      <c r="N709" s="40" t="s">
        <v>110</v>
      </c>
      <c r="O709" s="42"/>
      <c r="P709" s="40"/>
      <c r="Q709" s="120">
        <f>'[3]PSEG LP_LPLMS'!G674</f>
        <v>0</v>
      </c>
      <c r="R709" s="120">
        <f>'[3]PSEG LP_LPLMS'!H674</f>
        <v>0</v>
      </c>
      <c r="S709" s="120">
        <f>'[3]PSEG LP_LPLMS'!I674</f>
        <v>0</v>
      </c>
      <c r="T709" s="120">
        <f>'[3]PSEG LP_LPLMS'!J674</f>
        <v>0</v>
      </c>
      <c r="U709" s="120">
        <f>'[3]PSEG LP_LPLMS'!K674</f>
        <v>0</v>
      </c>
      <c r="V709" s="91"/>
    </row>
    <row r="710" spans="1:22" x14ac:dyDescent="0.2">
      <c r="A710" s="48">
        <f t="shared" si="22"/>
        <v>702</v>
      </c>
      <c r="B710" s="43">
        <v>19</v>
      </c>
      <c r="C710" s="43">
        <v>36</v>
      </c>
      <c r="D710" s="38" t="s">
        <v>635</v>
      </c>
      <c r="E710" s="44" t="s">
        <v>202</v>
      </c>
      <c r="F710" s="44" t="s">
        <v>5</v>
      </c>
      <c r="G710" s="44" t="s">
        <v>108</v>
      </c>
      <c r="H710" s="44" t="s">
        <v>15</v>
      </c>
      <c r="I710" s="44" t="s">
        <v>203</v>
      </c>
      <c r="J710" s="44" t="s">
        <v>16</v>
      </c>
      <c r="K710" s="44" t="s">
        <v>128</v>
      </c>
      <c r="L710" s="40">
        <v>1152</v>
      </c>
      <c r="M710" s="41">
        <v>41339</v>
      </c>
      <c r="N710" s="40" t="s">
        <v>110</v>
      </c>
      <c r="O710" s="42"/>
      <c r="P710" s="40"/>
      <c r="Q710" s="120">
        <f>'[3]West Penn Power LP_GSCMMS'!G674</f>
        <v>0</v>
      </c>
      <c r="R710" s="120">
        <f>'[3]West Penn Power LP_GSCMMS'!H674</f>
        <v>0</v>
      </c>
      <c r="S710" s="120">
        <f>'[3]West Penn Power LP_GSCMMS'!I674</f>
        <v>0</v>
      </c>
      <c r="T710" s="120">
        <f>'[3]West Penn Power LP_GSCMMS'!J674</f>
        <v>0</v>
      </c>
      <c r="U710" s="120">
        <f>'[3]West Penn Power LP_GSCMMS'!K674</f>
        <v>0</v>
      </c>
      <c r="V710" s="91"/>
    </row>
    <row r="711" spans="1:22" x14ac:dyDescent="0.2">
      <c r="A711" s="48">
        <f t="shared" si="22"/>
        <v>703</v>
      </c>
      <c r="B711" s="20"/>
      <c r="C711" s="20"/>
      <c r="D711" s="20"/>
      <c r="Q711" s="121"/>
      <c r="R711" s="121"/>
      <c r="S711" s="121"/>
      <c r="T711" s="121"/>
      <c r="U711" s="121"/>
    </row>
    <row r="712" spans="1:22" x14ac:dyDescent="0.2">
      <c r="A712" s="48">
        <f t="shared" si="22"/>
        <v>704</v>
      </c>
      <c r="B712" s="43">
        <v>20</v>
      </c>
      <c r="C712" s="43">
        <v>1</v>
      </c>
      <c r="D712" s="38" t="s">
        <v>600</v>
      </c>
      <c r="E712" s="44" t="s">
        <v>107</v>
      </c>
      <c r="F712" s="44" t="s">
        <v>29</v>
      </c>
      <c r="G712" s="44" t="s">
        <v>108</v>
      </c>
      <c r="H712" s="44" t="s">
        <v>30</v>
      </c>
      <c r="I712" s="44" t="s">
        <v>30</v>
      </c>
      <c r="J712" s="44" t="s">
        <v>31</v>
      </c>
      <c r="K712" s="44" t="s">
        <v>109</v>
      </c>
      <c r="L712" s="40">
        <v>1117</v>
      </c>
      <c r="M712" s="41">
        <v>41339</v>
      </c>
      <c r="N712" s="40" t="s">
        <v>110</v>
      </c>
      <c r="O712" s="42"/>
      <c r="P712" s="40"/>
      <c r="Q712" s="120">
        <f>'[3]AECO LP_10V1_SMS'!G711</f>
        <v>0</v>
      </c>
      <c r="R712" s="120">
        <f>'[3]AECO LP_10V1_SMS'!H711</f>
        <v>0</v>
      </c>
      <c r="S712" s="120">
        <f>'[3]AECO LP_10V1_SMS'!I711</f>
        <v>0</v>
      </c>
      <c r="T712" s="120">
        <f>'[3]AECO LP_10V1_SMS'!J711</f>
        <v>0</v>
      </c>
      <c r="U712" s="120">
        <f>'[3]AECO LP_10V1_SMS'!K711</f>
        <v>0</v>
      </c>
      <c r="V712" s="91"/>
    </row>
    <row r="713" spans="1:22" x14ac:dyDescent="0.2">
      <c r="A713" s="48">
        <f t="shared" si="22"/>
        <v>705</v>
      </c>
      <c r="B713" s="43">
        <v>20</v>
      </c>
      <c r="C713" s="43">
        <v>2</v>
      </c>
      <c r="D713" s="38" t="s">
        <v>601</v>
      </c>
      <c r="E713" s="44" t="s">
        <v>112</v>
      </c>
      <c r="F713" s="44" t="s">
        <v>29</v>
      </c>
      <c r="G713" s="44" t="s">
        <v>108</v>
      </c>
      <c r="H713" s="44" t="s">
        <v>30</v>
      </c>
      <c r="I713" s="44" t="s">
        <v>30</v>
      </c>
      <c r="J713" s="44" t="s">
        <v>32</v>
      </c>
      <c r="K713" s="44" t="s">
        <v>113</v>
      </c>
      <c r="L713" s="40">
        <v>1118</v>
      </c>
      <c r="M713" s="41">
        <v>41339</v>
      </c>
      <c r="N713" s="40" t="s">
        <v>110</v>
      </c>
      <c r="O713" s="42"/>
      <c r="P713" s="40"/>
      <c r="Q713" s="120">
        <f>'[3]AECO LP_14V1_MMS'!G711</f>
        <v>0</v>
      </c>
      <c r="R713" s="120">
        <f>'[3]AECO LP_14V1_MMS'!H711</f>
        <v>0</v>
      </c>
      <c r="S713" s="120">
        <f>'[3]AECO LP_14V1_MMS'!I711</f>
        <v>0</v>
      </c>
      <c r="T713" s="120">
        <f>'[3]AECO LP_14V1_MMS'!J711</f>
        <v>0</v>
      </c>
      <c r="U713" s="120">
        <f>'[3]AECO LP_14V1_MMS'!K711</f>
        <v>0</v>
      </c>
      <c r="V713" s="91"/>
    </row>
    <row r="714" spans="1:22" x14ac:dyDescent="0.2">
      <c r="A714" s="48">
        <f t="shared" si="22"/>
        <v>706</v>
      </c>
      <c r="B714" s="43">
        <v>20</v>
      </c>
      <c r="C714" s="43">
        <v>3</v>
      </c>
      <c r="D714" s="38" t="s">
        <v>602</v>
      </c>
      <c r="E714" s="44" t="s">
        <v>115</v>
      </c>
      <c r="F714" s="44" t="s">
        <v>18</v>
      </c>
      <c r="G714" s="44" t="s">
        <v>108</v>
      </c>
      <c r="H714" s="44" t="s">
        <v>61</v>
      </c>
      <c r="I714" s="44" t="s">
        <v>116</v>
      </c>
      <c r="J714" s="44" t="s">
        <v>13</v>
      </c>
      <c r="K714" s="44" t="s">
        <v>117</v>
      </c>
      <c r="L714" s="40">
        <v>1119</v>
      </c>
      <c r="M714" s="41">
        <v>41339</v>
      </c>
      <c r="N714" s="40" t="s">
        <v>110</v>
      </c>
      <c r="O714" s="42"/>
      <c r="P714" s="40"/>
      <c r="Q714" s="120">
        <f>'[3]AEP_OH_CS - test CSGS1MS'!G711</f>
        <v>0</v>
      </c>
      <c r="R714" s="120">
        <f>'[3]AEP_OH_CS - test CSGS1MS'!H711</f>
        <v>0</v>
      </c>
      <c r="S714" s="120">
        <f>'[3]AEP_OH_CS - test CSGS1MS'!I711</f>
        <v>0</v>
      </c>
      <c r="T714" s="120">
        <f>'[3]AEP_OH_CS - test CSGS1MS'!J711</f>
        <v>0</v>
      </c>
      <c r="U714" s="120">
        <f>'[3]AEP_OH_CS - test CSGS1MS'!K711</f>
        <v>0</v>
      </c>
      <c r="V714" s="91"/>
    </row>
    <row r="715" spans="1:22" x14ac:dyDescent="0.2">
      <c r="A715" s="48">
        <f t="shared" ref="A715:A778" si="23">A714+1</f>
        <v>707</v>
      </c>
      <c r="B715" s="43">
        <v>20</v>
      </c>
      <c r="C715" s="43">
        <v>4</v>
      </c>
      <c r="D715" s="38" t="s">
        <v>603</v>
      </c>
      <c r="E715" s="44" t="s">
        <v>119</v>
      </c>
      <c r="F715" s="44" t="s">
        <v>18</v>
      </c>
      <c r="G715" s="44" t="s">
        <v>108</v>
      </c>
      <c r="H715" s="44" t="s">
        <v>61</v>
      </c>
      <c r="I715" s="44" t="s">
        <v>116</v>
      </c>
      <c r="J715" s="44" t="s">
        <v>19</v>
      </c>
      <c r="K715" s="44" t="s">
        <v>120</v>
      </c>
      <c r="L715" s="40">
        <v>1120</v>
      </c>
      <c r="M715" s="41">
        <v>41339</v>
      </c>
      <c r="N715" s="40" t="s">
        <v>110</v>
      </c>
      <c r="O715" s="42"/>
      <c r="P715" s="40"/>
      <c r="Q715" s="120">
        <f>'[3]AEP_OH_CS - test CSGS2UMS'!G711</f>
        <v>0</v>
      </c>
      <c r="R715" s="120">
        <f>'[3]AEP_OH_CS - test CSGS2UMS'!H711</f>
        <v>0</v>
      </c>
      <c r="S715" s="120">
        <f>'[3]AEP_OH_CS - test CSGS2UMS'!I711</f>
        <v>0</v>
      </c>
      <c r="T715" s="120">
        <f>'[3]AEP_OH_CS - test CSGS2UMS'!J711</f>
        <v>0</v>
      </c>
      <c r="U715" s="120">
        <f>'[3]AEP_OH_CS - test CSGS2UMS'!K711</f>
        <v>0</v>
      </c>
      <c r="V715" s="91"/>
    </row>
    <row r="716" spans="1:22" x14ac:dyDescent="0.2">
      <c r="A716" s="48">
        <f t="shared" si="23"/>
        <v>708</v>
      </c>
      <c r="B716" s="43">
        <v>20</v>
      </c>
      <c r="C716" s="43">
        <v>5</v>
      </c>
      <c r="D716" s="38" t="s">
        <v>604</v>
      </c>
      <c r="E716" s="44" t="s">
        <v>122</v>
      </c>
      <c r="F716" s="44" t="s">
        <v>18</v>
      </c>
      <c r="G716" s="44" t="s">
        <v>108</v>
      </c>
      <c r="H716" s="44" t="s">
        <v>61</v>
      </c>
      <c r="I716" s="44" t="s">
        <v>116</v>
      </c>
      <c r="J716" s="44" t="s">
        <v>14</v>
      </c>
      <c r="K716" s="44" t="s">
        <v>123</v>
      </c>
      <c r="L716" s="40">
        <v>1121</v>
      </c>
      <c r="M716" s="41">
        <v>41339</v>
      </c>
      <c r="N716" s="40" t="s">
        <v>110</v>
      </c>
      <c r="O716" s="42"/>
      <c r="P716" s="40"/>
      <c r="Q716" s="120">
        <f>'[3]AEP_OH_CS - test CSGS3UMS'!G711</f>
        <v>0</v>
      </c>
      <c r="R716" s="120">
        <f>'[3]AEP_OH_CS - test CSGS3UMS'!H711</f>
        <v>0</v>
      </c>
      <c r="S716" s="120">
        <f>'[3]AEP_OH_CS - test CSGS3UMS'!I711</f>
        <v>0</v>
      </c>
      <c r="T716" s="120">
        <f>'[3]AEP_OH_CS - test CSGS3UMS'!J711</f>
        <v>0</v>
      </c>
      <c r="U716" s="120">
        <f>'[3]AEP_OH_CS - test CSGS3UMS'!K711</f>
        <v>0</v>
      </c>
      <c r="V716" s="91"/>
    </row>
    <row r="717" spans="1:22" x14ac:dyDescent="0.2">
      <c r="A717" s="48">
        <f t="shared" si="23"/>
        <v>709</v>
      </c>
      <c r="B717" s="43">
        <v>20</v>
      </c>
      <c r="C717" s="43">
        <v>6</v>
      </c>
      <c r="D717" s="38" t="s">
        <v>605</v>
      </c>
      <c r="E717" s="44" t="s">
        <v>125</v>
      </c>
      <c r="F717" s="44" t="s">
        <v>23</v>
      </c>
      <c r="G717" s="44" t="s">
        <v>126</v>
      </c>
      <c r="H717" s="44" t="s">
        <v>127</v>
      </c>
      <c r="I717" s="44" t="s">
        <v>27</v>
      </c>
      <c r="J717" s="44" t="s">
        <v>28</v>
      </c>
      <c r="K717" s="44" t="s">
        <v>128</v>
      </c>
      <c r="L717" s="40">
        <v>1122</v>
      </c>
      <c r="M717" s="41">
        <v>41339</v>
      </c>
      <c r="N717" s="40" t="s">
        <v>110</v>
      </c>
      <c r="O717" s="42"/>
      <c r="P717" s="40"/>
      <c r="Q717" s="120">
        <f>'[3]Ameren RateZnIII LP DS2HHMS'!G711</f>
        <v>0</v>
      </c>
      <c r="R717" s="120">
        <f>'[3]Ameren RateZnIII LP DS2HHMS'!H711</f>
        <v>0</v>
      </c>
      <c r="S717" s="120">
        <f>'[3]Ameren RateZnIII LP DS2HHMS'!I711</f>
        <v>0</v>
      </c>
      <c r="T717" s="120">
        <f>'[3]Ameren RateZnIII LP DS2HHMS'!J711</f>
        <v>0</v>
      </c>
      <c r="U717" s="120">
        <f>'[3]Ameren RateZnIII LP DS2HHMS'!K711</f>
        <v>0</v>
      </c>
      <c r="V717" s="91"/>
    </row>
    <row r="718" spans="1:22" x14ac:dyDescent="0.2">
      <c r="A718" s="48">
        <f t="shared" si="23"/>
        <v>710</v>
      </c>
      <c r="B718" s="43">
        <v>20</v>
      </c>
      <c r="C718" s="43">
        <v>7</v>
      </c>
      <c r="D718" s="38" t="s">
        <v>606</v>
      </c>
      <c r="E718" s="44" t="s">
        <v>130</v>
      </c>
      <c r="F718" s="44" t="s">
        <v>37</v>
      </c>
      <c r="G718" s="44" t="s">
        <v>108</v>
      </c>
      <c r="H718" s="44" t="s">
        <v>38</v>
      </c>
      <c r="I718" s="44" t="s">
        <v>38</v>
      </c>
      <c r="J718" s="44" t="s">
        <v>40</v>
      </c>
      <c r="K718" s="44" t="s">
        <v>123</v>
      </c>
      <c r="L718" s="40">
        <v>1124</v>
      </c>
      <c r="M718" s="41">
        <v>41339</v>
      </c>
      <c r="N718" s="40" t="s">
        <v>110</v>
      </c>
      <c r="O718" s="42"/>
      <c r="P718" s="40"/>
      <c r="Q718" s="120">
        <f>'[3]BGE LP_GLMS'!G711</f>
        <v>0</v>
      </c>
      <c r="R718" s="120">
        <f>'[3]BGE LP_GLMS'!H711</f>
        <v>0</v>
      </c>
      <c r="S718" s="120">
        <f>'[3]BGE LP_GLMS'!I711</f>
        <v>0</v>
      </c>
      <c r="T718" s="120">
        <f>'[3]BGE LP_GLMS'!J711</f>
        <v>0</v>
      </c>
      <c r="U718" s="120">
        <f>'[3]BGE LP_GLMS'!K711</f>
        <v>0</v>
      </c>
      <c r="V718" s="91"/>
    </row>
    <row r="719" spans="1:22" x14ac:dyDescent="0.2">
      <c r="A719" s="48">
        <f t="shared" si="23"/>
        <v>711</v>
      </c>
      <c r="B719" s="43">
        <v>20</v>
      </c>
      <c r="C719" s="43">
        <v>8</v>
      </c>
      <c r="D719" s="38" t="s">
        <v>607</v>
      </c>
      <c r="E719" s="44" t="s">
        <v>132</v>
      </c>
      <c r="F719" s="44" t="s">
        <v>37</v>
      </c>
      <c r="G719" s="44" t="s">
        <v>108</v>
      </c>
      <c r="H719" s="44" t="s">
        <v>38</v>
      </c>
      <c r="I719" s="44" t="s">
        <v>38</v>
      </c>
      <c r="J719" s="44" t="s">
        <v>39</v>
      </c>
      <c r="K719" s="44" t="s">
        <v>120</v>
      </c>
      <c r="L719" s="40">
        <v>1123</v>
      </c>
      <c r="M719" s="41">
        <v>41339</v>
      </c>
      <c r="N719" s="40" t="s">
        <v>110</v>
      </c>
      <c r="O719" s="42"/>
      <c r="P719" s="40"/>
      <c r="Q719" s="120">
        <f>'[3]BGE LP_GMS'!G711</f>
        <v>0</v>
      </c>
      <c r="R719" s="120">
        <f>'[3]BGE LP_GMS'!H711</f>
        <v>0</v>
      </c>
      <c r="S719" s="120">
        <f>'[3]BGE LP_GMS'!I711</f>
        <v>0</v>
      </c>
      <c r="T719" s="120">
        <f>'[3]BGE LP_GMS'!J711</f>
        <v>0</v>
      </c>
      <c r="U719" s="120">
        <f>'[3]BGE LP_GMS'!K711</f>
        <v>0</v>
      </c>
      <c r="V719" s="91"/>
    </row>
    <row r="720" spans="1:22" x14ac:dyDescent="0.2">
      <c r="A720" s="48">
        <f t="shared" si="23"/>
        <v>712</v>
      </c>
      <c r="B720" s="43">
        <v>20</v>
      </c>
      <c r="C720" s="43">
        <v>9</v>
      </c>
      <c r="D720" s="38" t="s">
        <v>608</v>
      </c>
      <c r="E720" s="44" t="s">
        <v>134</v>
      </c>
      <c r="F720" s="44" t="s">
        <v>37</v>
      </c>
      <c r="G720" s="44" t="s">
        <v>108</v>
      </c>
      <c r="H720" s="44" t="s">
        <v>38</v>
      </c>
      <c r="I720" s="44" t="s">
        <v>38</v>
      </c>
      <c r="J720" s="44" t="s">
        <v>6</v>
      </c>
      <c r="K720" s="44" t="s">
        <v>117</v>
      </c>
      <c r="L720" s="40">
        <v>1125</v>
      </c>
      <c r="M720" s="41">
        <v>41339</v>
      </c>
      <c r="N720" s="40" t="s">
        <v>110</v>
      </c>
      <c r="O720" s="42"/>
      <c r="P720" s="40"/>
      <c r="Q720" s="120">
        <f>'[3]BGE LP_GSMS'!G711</f>
        <v>0</v>
      </c>
      <c r="R720" s="120">
        <f>'[3]BGE LP_GSMS'!H711</f>
        <v>0</v>
      </c>
      <c r="S720" s="120">
        <f>'[3]BGE LP_GSMS'!I711</f>
        <v>0</v>
      </c>
      <c r="T720" s="120">
        <f>'[3]BGE LP_GSMS'!J711</f>
        <v>0</v>
      </c>
      <c r="U720" s="120">
        <f>'[3]BGE LP_GSMS'!K711</f>
        <v>0</v>
      </c>
      <c r="V720" s="91"/>
    </row>
    <row r="721" spans="1:22" x14ac:dyDescent="0.2">
      <c r="A721" s="48">
        <f t="shared" si="23"/>
        <v>713</v>
      </c>
      <c r="B721" s="43">
        <v>20</v>
      </c>
      <c r="C721" s="43">
        <v>10</v>
      </c>
      <c r="D721" s="38" t="s">
        <v>609</v>
      </c>
      <c r="E721" s="44" t="s">
        <v>136</v>
      </c>
      <c r="F721" s="44" t="s">
        <v>23</v>
      </c>
      <c r="G721" s="44" t="s">
        <v>108</v>
      </c>
      <c r="H721" s="44" t="s">
        <v>137</v>
      </c>
      <c r="I721" s="44" t="s">
        <v>24</v>
      </c>
      <c r="J721" s="44" t="s">
        <v>25</v>
      </c>
      <c r="K721" s="44" t="s">
        <v>138</v>
      </c>
      <c r="L721" s="40">
        <v>1126</v>
      </c>
      <c r="M721" s="41">
        <v>41339</v>
      </c>
      <c r="N721" s="40" t="s">
        <v>110</v>
      </c>
      <c r="O721" s="42"/>
      <c r="P721" s="40"/>
      <c r="Q721" s="120">
        <f>'[3]ComEd - test LP_28MS'!G711</f>
        <v>0</v>
      </c>
      <c r="R721" s="120">
        <f>'[3]ComEd - test LP_28MS'!H711</f>
        <v>0</v>
      </c>
      <c r="S721" s="120">
        <f>'[3]ComEd - test LP_28MS'!I711</f>
        <v>0</v>
      </c>
      <c r="T721" s="120">
        <f>'[3]ComEd - test LP_28MS'!J711</f>
        <v>0</v>
      </c>
      <c r="U721" s="120">
        <f>'[3]ComEd - test LP_28MS'!K711</f>
        <v>0</v>
      </c>
      <c r="V721" s="91"/>
    </row>
    <row r="722" spans="1:22" x14ac:dyDescent="0.2">
      <c r="A722" s="48">
        <f t="shared" si="23"/>
        <v>714</v>
      </c>
      <c r="B722" s="43">
        <v>20</v>
      </c>
      <c r="C722" s="43">
        <v>11</v>
      </c>
      <c r="D722" s="38" t="s">
        <v>610</v>
      </c>
      <c r="E722" s="44" t="s">
        <v>140</v>
      </c>
      <c r="F722" s="44" t="s">
        <v>23</v>
      </c>
      <c r="G722" s="44" t="s">
        <v>108</v>
      </c>
      <c r="H722" s="44" t="s">
        <v>137</v>
      </c>
      <c r="I722" s="44" t="s">
        <v>24</v>
      </c>
      <c r="J722" s="44" t="s">
        <v>26</v>
      </c>
      <c r="K722" s="44" t="s">
        <v>141</v>
      </c>
      <c r="L722" s="40">
        <v>1127</v>
      </c>
      <c r="M722" s="41">
        <v>41339</v>
      </c>
      <c r="N722" s="40" t="s">
        <v>110</v>
      </c>
      <c r="O722" s="42"/>
      <c r="P722" s="40"/>
      <c r="Q722" s="120">
        <f>'[3]ComEd - test LP_29MS'!G711</f>
        <v>0</v>
      </c>
      <c r="R722" s="120">
        <f>'[3]ComEd - test LP_29MS'!H711</f>
        <v>0</v>
      </c>
      <c r="S722" s="120">
        <f>'[3]ComEd - test LP_29MS'!I711</f>
        <v>0</v>
      </c>
      <c r="T722" s="120">
        <f>'[3]ComEd - test LP_29MS'!J711</f>
        <v>0</v>
      </c>
      <c r="U722" s="120">
        <f>'[3]ComEd - test LP_29MS'!K711</f>
        <v>0</v>
      </c>
      <c r="V722" s="91"/>
    </row>
    <row r="723" spans="1:22" x14ac:dyDescent="0.2">
      <c r="A723" s="48">
        <f t="shared" si="23"/>
        <v>715</v>
      </c>
      <c r="B723" s="43">
        <v>20</v>
      </c>
      <c r="C723" s="43">
        <v>12</v>
      </c>
      <c r="D723" s="38" t="s">
        <v>611</v>
      </c>
      <c r="E723" s="44" t="s">
        <v>143</v>
      </c>
      <c r="F723" s="44" t="s">
        <v>18</v>
      </c>
      <c r="G723" s="44" t="s">
        <v>108</v>
      </c>
      <c r="H723" s="44" t="s">
        <v>94</v>
      </c>
      <c r="I723" s="44" t="s">
        <v>144</v>
      </c>
      <c r="J723" s="44" t="s">
        <v>20</v>
      </c>
      <c r="K723" s="44" t="s">
        <v>145</v>
      </c>
      <c r="L723" s="40">
        <v>1128</v>
      </c>
      <c r="M723" s="41">
        <v>41339</v>
      </c>
      <c r="N723" s="40" t="s">
        <v>110</v>
      </c>
      <c r="O723" s="42"/>
      <c r="P723" s="40"/>
      <c r="Q723" s="120">
        <f>[3]DAY_RC_843MS!G711</f>
        <v>0</v>
      </c>
      <c r="R723" s="120">
        <f>[3]DAY_RC_843MS!H711</f>
        <v>0</v>
      </c>
      <c r="S723" s="120">
        <f>[3]DAY_RC_843MS!I711</f>
        <v>0</v>
      </c>
      <c r="T723" s="120">
        <f>[3]DAY_RC_843MS!J711</f>
        <v>0</v>
      </c>
      <c r="U723" s="120">
        <f>[3]DAY_RC_843MS!K711</f>
        <v>0</v>
      </c>
      <c r="V723" s="91"/>
    </row>
    <row r="724" spans="1:22" x14ac:dyDescent="0.2">
      <c r="A724" s="48">
        <f t="shared" si="23"/>
        <v>716</v>
      </c>
      <c r="B724" s="43">
        <v>20</v>
      </c>
      <c r="C724" s="43">
        <v>13</v>
      </c>
      <c r="D724" s="38" t="s">
        <v>612</v>
      </c>
      <c r="E724" s="44" t="s">
        <v>147</v>
      </c>
      <c r="F724" s="44" t="s">
        <v>37</v>
      </c>
      <c r="G724" s="44" t="s">
        <v>108</v>
      </c>
      <c r="H724" s="44" t="s">
        <v>41</v>
      </c>
      <c r="I724" s="44" t="s">
        <v>41</v>
      </c>
      <c r="J724" s="44" t="s">
        <v>6</v>
      </c>
      <c r="K724" s="44" t="s">
        <v>128</v>
      </c>
      <c r="L724" s="40">
        <v>1129</v>
      </c>
      <c r="M724" s="41">
        <v>41339</v>
      </c>
      <c r="N724" s="40" t="s">
        <v>110</v>
      </c>
      <c r="O724" s="42"/>
      <c r="P724" s="40"/>
      <c r="Q724" s="120">
        <f>'[3]Delmarva MD LP_MDGS_MMS'!G711</f>
        <v>0</v>
      </c>
      <c r="R724" s="120">
        <f>'[3]Delmarva MD LP_MDGS_MMS'!H711</f>
        <v>0</v>
      </c>
      <c r="S724" s="120">
        <f>'[3]Delmarva MD LP_MDGS_MMS'!I711</f>
        <v>0</v>
      </c>
      <c r="T724" s="120">
        <f>'[3]Delmarva MD LP_MDGS_MMS'!J711</f>
        <v>0</v>
      </c>
      <c r="U724" s="120">
        <f>'[3]Delmarva MD LP_MDGS_MMS'!K711</f>
        <v>0</v>
      </c>
      <c r="V724" s="91"/>
    </row>
    <row r="725" spans="1:22" x14ac:dyDescent="0.2">
      <c r="A725" s="48">
        <f t="shared" si="23"/>
        <v>717</v>
      </c>
      <c r="B725" s="43">
        <v>20</v>
      </c>
      <c r="C725" s="43">
        <v>14</v>
      </c>
      <c r="D725" s="38" t="s">
        <v>613</v>
      </c>
      <c r="E725" s="44" t="s">
        <v>149</v>
      </c>
      <c r="F725" s="44" t="s">
        <v>5</v>
      </c>
      <c r="G725" s="44" t="s">
        <v>108</v>
      </c>
      <c r="H725" s="44" t="s">
        <v>46</v>
      </c>
      <c r="I725" s="44" t="s">
        <v>46</v>
      </c>
      <c r="J725" s="44" t="s">
        <v>6</v>
      </c>
      <c r="K725" s="44" t="s">
        <v>128</v>
      </c>
      <c r="L725" s="40">
        <v>1130</v>
      </c>
      <c r="M725" s="41">
        <v>41339</v>
      </c>
      <c r="N725" s="40" t="s">
        <v>110</v>
      </c>
      <c r="O725" s="42"/>
      <c r="P725" s="40"/>
      <c r="Q725" s="120">
        <f>'[3]DQE LP_GSGM_MMS'!G711</f>
        <v>0</v>
      </c>
      <c r="R725" s="120">
        <f>'[3]DQE LP_GSGM_MMS'!H711</f>
        <v>0</v>
      </c>
      <c r="S725" s="120">
        <f>'[3]DQE LP_GSGM_MMS'!I711</f>
        <v>0</v>
      </c>
      <c r="T725" s="120">
        <f>'[3]DQE LP_GSGM_MMS'!J711</f>
        <v>0</v>
      </c>
      <c r="U725" s="120">
        <f>'[3]DQE LP_GSGM_MMS'!K711</f>
        <v>0</v>
      </c>
      <c r="V725" s="91"/>
    </row>
    <row r="726" spans="1:22" x14ac:dyDescent="0.2">
      <c r="A726" s="48">
        <f t="shared" si="23"/>
        <v>718</v>
      </c>
      <c r="B726" s="43">
        <v>20</v>
      </c>
      <c r="C726" s="43">
        <v>15</v>
      </c>
      <c r="D726" s="38" t="s">
        <v>614</v>
      </c>
      <c r="E726" s="44" t="s">
        <v>151</v>
      </c>
      <c r="F726" s="44" t="s">
        <v>18</v>
      </c>
      <c r="G726" s="44" t="s">
        <v>108</v>
      </c>
      <c r="H726" s="44" t="s">
        <v>21</v>
      </c>
      <c r="I726" s="44" t="s">
        <v>152</v>
      </c>
      <c r="J726" s="44" t="s">
        <v>22</v>
      </c>
      <c r="K726" s="44" t="s">
        <v>128</v>
      </c>
      <c r="L726" s="40">
        <v>1131</v>
      </c>
      <c r="M726" s="41">
        <v>41339</v>
      </c>
      <c r="N726" s="40" t="s">
        <v>110</v>
      </c>
      <c r="O726" s="42"/>
      <c r="P726" s="40"/>
      <c r="Q726" s="120">
        <f>[3]Duke_OH_RC_DS01MS!G711</f>
        <v>0</v>
      </c>
      <c r="R726" s="120">
        <f>[3]Duke_OH_RC_DS01MS!H711</f>
        <v>0</v>
      </c>
      <c r="S726" s="120">
        <f>[3]Duke_OH_RC_DS01MS!I711</f>
        <v>0</v>
      </c>
      <c r="T726" s="120">
        <f>[3]Duke_OH_RC_DS01MS!J711</f>
        <v>0</v>
      </c>
      <c r="U726" s="120">
        <f>[3]Duke_OH_RC_DS01MS!K711</f>
        <v>0</v>
      </c>
      <c r="V726" s="91"/>
    </row>
    <row r="727" spans="1:22" x14ac:dyDescent="0.2">
      <c r="A727" s="48">
        <f t="shared" si="23"/>
        <v>719</v>
      </c>
      <c r="B727" s="43">
        <v>20</v>
      </c>
      <c r="C727" s="43">
        <v>16</v>
      </c>
      <c r="D727" s="38" t="s">
        <v>615</v>
      </c>
      <c r="E727" s="44" t="s">
        <v>154</v>
      </c>
      <c r="F727" s="44" t="s">
        <v>18</v>
      </c>
      <c r="G727" s="44" t="s">
        <v>108</v>
      </c>
      <c r="H727" s="44" t="s">
        <v>62</v>
      </c>
      <c r="I727" s="44" t="s">
        <v>155</v>
      </c>
      <c r="J727" s="44" t="s">
        <v>6</v>
      </c>
      <c r="K727" s="44" t="s">
        <v>128</v>
      </c>
      <c r="L727" s="40">
        <v>1132</v>
      </c>
      <c r="M727" s="41">
        <v>41339</v>
      </c>
      <c r="N727" s="40" t="s">
        <v>110</v>
      </c>
      <c r="O727" s="42"/>
      <c r="P727" s="40"/>
      <c r="Q727" s="120">
        <f>'[3]FE_OE - test RC_GSFMS'!G711</f>
        <v>0</v>
      </c>
      <c r="R727" s="120">
        <f>'[3]FE_OE - test RC_GSFMS'!H711</f>
        <v>0</v>
      </c>
      <c r="S727" s="120">
        <f>'[3]FE_OE - test RC_GSFMS'!I711</f>
        <v>0</v>
      </c>
      <c r="T727" s="120">
        <f>'[3]FE_OE - test RC_GSFMS'!J711</f>
        <v>0</v>
      </c>
      <c r="U727" s="120">
        <f>'[3]FE_OE - test RC_GSFMS'!K711</f>
        <v>0</v>
      </c>
      <c r="V727" s="91"/>
    </row>
    <row r="728" spans="1:22" x14ac:dyDescent="0.2">
      <c r="A728" s="48">
        <f t="shared" si="23"/>
        <v>720</v>
      </c>
      <c r="B728" s="43">
        <v>20</v>
      </c>
      <c r="C728" s="43">
        <v>17</v>
      </c>
      <c r="D728" s="38" t="s">
        <v>616</v>
      </c>
      <c r="E728" s="44" t="s">
        <v>157</v>
      </c>
      <c r="F728" s="44" t="s">
        <v>29</v>
      </c>
      <c r="G728" s="44" t="s">
        <v>108</v>
      </c>
      <c r="H728" s="44" t="s">
        <v>33</v>
      </c>
      <c r="I728" s="44" t="s">
        <v>33</v>
      </c>
      <c r="J728" s="44" t="s">
        <v>7</v>
      </c>
      <c r="K728" s="44" t="s">
        <v>123</v>
      </c>
      <c r="L728" s="40">
        <v>1133</v>
      </c>
      <c r="M728" s="41">
        <v>41339</v>
      </c>
      <c r="N728" s="40" t="s">
        <v>110</v>
      </c>
      <c r="O728" s="42"/>
      <c r="P728" s="40"/>
      <c r="Q728" s="120">
        <f>'[3]JCPL LP_GSCLMS'!G711</f>
        <v>0</v>
      </c>
      <c r="R728" s="120">
        <f>'[3]JCPL LP_GSCLMS'!H711</f>
        <v>0</v>
      </c>
      <c r="S728" s="120">
        <f>'[3]JCPL LP_GSCLMS'!I711</f>
        <v>0</v>
      </c>
      <c r="T728" s="120">
        <f>'[3]JCPL LP_GSCLMS'!J711</f>
        <v>0</v>
      </c>
      <c r="U728" s="120">
        <f>'[3]JCPL LP_GSCLMS'!K711</f>
        <v>0</v>
      </c>
      <c r="V728" s="91"/>
    </row>
    <row r="729" spans="1:22" x14ac:dyDescent="0.2">
      <c r="A729" s="48">
        <f t="shared" si="23"/>
        <v>721</v>
      </c>
      <c r="B729" s="43">
        <v>20</v>
      </c>
      <c r="C729" s="43">
        <v>18</v>
      </c>
      <c r="D729" s="38" t="s">
        <v>617</v>
      </c>
      <c r="E729" s="44" t="s">
        <v>159</v>
      </c>
      <c r="F729" s="44" t="s">
        <v>29</v>
      </c>
      <c r="G729" s="44" t="s">
        <v>108</v>
      </c>
      <c r="H729" s="44" t="s">
        <v>33</v>
      </c>
      <c r="I729" s="44" t="s">
        <v>33</v>
      </c>
      <c r="J729" s="44" t="s">
        <v>8</v>
      </c>
      <c r="K729" s="44" t="s">
        <v>120</v>
      </c>
      <c r="L729" s="40">
        <v>1134</v>
      </c>
      <c r="M729" s="41">
        <v>41339</v>
      </c>
      <c r="N729" s="40" t="s">
        <v>110</v>
      </c>
      <c r="O729" s="42"/>
      <c r="P729" s="40"/>
      <c r="Q729" s="120">
        <f>'[3]JCPL LP_GSCMMS'!G711</f>
        <v>0</v>
      </c>
      <c r="R729" s="120">
        <f>'[3]JCPL LP_GSCMMS'!H711</f>
        <v>0</v>
      </c>
      <c r="S729" s="120">
        <f>'[3]JCPL LP_GSCMMS'!I711</f>
        <v>0</v>
      </c>
      <c r="T729" s="120">
        <f>'[3]JCPL LP_GSCMMS'!J711</f>
        <v>0</v>
      </c>
      <c r="U729" s="120">
        <f>'[3]JCPL LP_GSCMMS'!K711</f>
        <v>0</v>
      </c>
      <c r="V729" s="91"/>
    </row>
    <row r="730" spans="1:22" x14ac:dyDescent="0.2">
      <c r="A730" s="48">
        <f t="shared" si="23"/>
        <v>722</v>
      </c>
      <c r="B730" s="43">
        <v>20</v>
      </c>
      <c r="C730" s="43">
        <v>19</v>
      </c>
      <c r="D730" s="38" t="s">
        <v>618</v>
      </c>
      <c r="E730" s="44" t="s">
        <v>161</v>
      </c>
      <c r="F730" s="44" t="s">
        <v>29</v>
      </c>
      <c r="G730" s="44" t="s">
        <v>108</v>
      </c>
      <c r="H730" s="44" t="s">
        <v>33</v>
      </c>
      <c r="I730" s="44" t="s">
        <v>33</v>
      </c>
      <c r="J730" s="44" t="s">
        <v>9</v>
      </c>
      <c r="K730" s="44" t="s">
        <v>117</v>
      </c>
      <c r="L730" s="40">
        <v>1135</v>
      </c>
      <c r="M730" s="41">
        <v>41339</v>
      </c>
      <c r="N730" s="40" t="s">
        <v>110</v>
      </c>
      <c r="O730" s="42"/>
      <c r="P730" s="40"/>
      <c r="Q730" s="120">
        <f>'[3]JCPL LP_GSCSMS'!G711</f>
        <v>0</v>
      </c>
      <c r="R730" s="120">
        <f>'[3]JCPL LP_GSCSMS'!H711</f>
        <v>0</v>
      </c>
      <c r="S730" s="120">
        <f>'[3]JCPL LP_GSCSMS'!I711</f>
        <v>0</v>
      </c>
      <c r="T730" s="120">
        <f>'[3]JCPL LP_GSCSMS'!J711</f>
        <v>0</v>
      </c>
      <c r="U730" s="120">
        <f>'[3]JCPL LP_GSCSMS'!K711</f>
        <v>0</v>
      </c>
      <c r="V730" s="91"/>
    </row>
    <row r="731" spans="1:22" x14ac:dyDescent="0.2">
      <c r="A731" s="48">
        <f t="shared" si="23"/>
        <v>723</v>
      </c>
      <c r="B731" s="43">
        <v>20</v>
      </c>
      <c r="C731" s="43">
        <v>20</v>
      </c>
      <c r="D731" s="38" t="s">
        <v>619</v>
      </c>
      <c r="E731" s="44" t="s">
        <v>163</v>
      </c>
      <c r="F731" s="44" t="s">
        <v>5</v>
      </c>
      <c r="G731" s="44" t="s">
        <v>108</v>
      </c>
      <c r="H731" s="44" t="s">
        <v>164</v>
      </c>
      <c r="I731" s="44" t="s">
        <v>165</v>
      </c>
      <c r="J731" s="44" t="s">
        <v>7</v>
      </c>
      <c r="K731" s="44" t="s">
        <v>123</v>
      </c>
      <c r="L731" s="40">
        <v>1137</v>
      </c>
      <c r="M731" s="41">
        <v>41339</v>
      </c>
      <c r="N731" s="40" t="s">
        <v>110</v>
      </c>
      <c r="O731" s="42"/>
      <c r="P731" s="40"/>
      <c r="Q731" s="120">
        <f>'[3]MetEd RC_GSLFMS'!G711</f>
        <v>0</v>
      </c>
      <c r="R731" s="120">
        <f>'[3]MetEd RC_GSLFMS'!H711</f>
        <v>0</v>
      </c>
      <c r="S731" s="120">
        <f>'[3]MetEd RC_GSLFMS'!I711</f>
        <v>0</v>
      </c>
      <c r="T731" s="120">
        <f>'[3]MetEd RC_GSLFMS'!J711</f>
        <v>0</v>
      </c>
      <c r="U731" s="120">
        <f>'[3]MetEd RC_GSLFMS'!K711</f>
        <v>0</v>
      </c>
      <c r="V731" s="91"/>
    </row>
    <row r="732" spans="1:22" x14ac:dyDescent="0.2">
      <c r="A732" s="48">
        <f t="shared" si="23"/>
        <v>724</v>
      </c>
      <c r="B732" s="43">
        <v>20</v>
      </c>
      <c r="C732" s="43">
        <v>21</v>
      </c>
      <c r="D732" s="38" t="s">
        <v>620</v>
      </c>
      <c r="E732" s="44" t="s">
        <v>167</v>
      </c>
      <c r="F732" s="44" t="s">
        <v>5</v>
      </c>
      <c r="G732" s="44" t="s">
        <v>108</v>
      </c>
      <c r="H732" s="44" t="s">
        <v>164</v>
      </c>
      <c r="I732" s="44" t="s">
        <v>165</v>
      </c>
      <c r="J732" s="44" t="s">
        <v>8</v>
      </c>
      <c r="K732" s="44" t="s">
        <v>120</v>
      </c>
      <c r="L732" s="40">
        <v>1136</v>
      </c>
      <c r="M732" s="41">
        <v>41339</v>
      </c>
      <c r="N732" s="40" t="s">
        <v>110</v>
      </c>
      <c r="O732" s="42"/>
      <c r="P732" s="40"/>
      <c r="Q732" s="120">
        <f>'[3]MetEd RC_GSDFMS'!G711</f>
        <v>0</v>
      </c>
      <c r="R732" s="120">
        <f>'[3]MetEd RC_GSDFMS'!H711</f>
        <v>0</v>
      </c>
      <c r="S732" s="120">
        <f>'[3]MetEd RC_GSDFMS'!I711</f>
        <v>0</v>
      </c>
      <c r="T732" s="120">
        <f>'[3]MetEd RC_GSDFMS'!J711</f>
        <v>0</v>
      </c>
      <c r="U732" s="120">
        <f>'[3]MetEd RC_GSDFMS'!K711</f>
        <v>0</v>
      </c>
      <c r="V732" s="91"/>
    </row>
    <row r="733" spans="1:22" x14ac:dyDescent="0.2">
      <c r="A733" s="48">
        <f t="shared" si="23"/>
        <v>725</v>
      </c>
      <c r="B733" s="43">
        <v>20</v>
      </c>
      <c r="C733" s="43">
        <v>22</v>
      </c>
      <c r="D733" s="38" t="s">
        <v>621</v>
      </c>
      <c r="E733" s="44" t="s">
        <v>169</v>
      </c>
      <c r="F733" s="44" t="s">
        <v>5</v>
      </c>
      <c r="G733" s="44" t="s">
        <v>108</v>
      </c>
      <c r="H733" s="44" t="s">
        <v>164</v>
      </c>
      <c r="I733" s="44" t="s">
        <v>165</v>
      </c>
      <c r="J733" s="44" t="s">
        <v>9</v>
      </c>
      <c r="K733" s="44" t="s">
        <v>117</v>
      </c>
      <c r="L733" s="40">
        <v>1138</v>
      </c>
      <c r="M733" s="41">
        <v>41339</v>
      </c>
      <c r="N733" s="40" t="s">
        <v>110</v>
      </c>
      <c r="O733" s="42"/>
      <c r="P733" s="40"/>
      <c r="Q733" s="120">
        <f>'[3]MetEd RC_GSSFMS'!G711</f>
        <v>0</v>
      </c>
      <c r="R733" s="120">
        <f>'[3]MetEd RC_GSSFMS'!H711</f>
        <v>0</v>
      </c>
      <c r="S733" s="120">
        <f>'[3]MetEd RC_GSSFMS'!I711</f>
        <v>0</v>
      </c>
      <c r="T733" s="120">
        <f>'[3]MetEd RC_GSSFMS'!J711</f>
        <v>0</v>
      </c>
      <c r="U733" s="120">
        <f>'[3]MetEd RC_GSSFMS'!K711</f>
        <v>0</v>
      </c>
      <c r="V733" s="91"/>
    </row>
    <row r="734" spans="1:22" x14ac:dyDescent="0.2">
      <c r="A734" s="48">
        <f t="shared" si="23"/>
        <v>726</v>
      </c>
      <c r="B734" s="43">
        <v>20</v>
      </c>
      <c r="C734" s="43">
        <v>23</v>
      </c>
      <c r="D734" s="38" t="s">
        <v>622</v>
      </c>
      <c r="E734" s="44" t="s">
        <v>171</v>
      </c>
      <c r="F734" s="44" t="s">
        <v>5</v>
      </c>
      <c r="G734" s="44" t="s">
        <v>108</v>
      </c>
      <c r="H734" s="44" t="s">
        <v>11</v>
      </c>
      <c r="I734" s="44" t="s">
        <v>11</v>
      </c>
      <c r="J734" s="44" t="s">
        <v>6</v>
      </c>
      <c r="K734" s="44" t="s">
        <v>128</v>
      </c>
      <c r="L734" s="40">
        <v>1139</v>
      </c>
      <c r="M734" s="41">
        <v>41339</v>
      </c>
      <c r="N734" s="40" t="s">
        <v>110</v>
      </c>
      <c r="O734" s="42"/>
      <c r="P734" s="40"/>
      <c r="Q734" s="120">
        <f>'[3]PECO LP_GSMS'!G711</f>
        <v>0</v>
      </c>
      <c r="R734" s="120">
        <f>'[3]PECO LP_GSMS'!H711</f>
        <v>0</v>
      </c>
      <c r="S734" s="120">
        <f>'[3]PECO LP_GSMS'!I711</f>
        <v>0</v>
      </c>
      <c r="T734" s="120">
        <f>'[3]PECO LP_GSMS'!J711</f>
        <v>0</v>
      </c>
      <c r="U734" s="120">
        <f>'[3]PECO LP_GSMS'!K711</f>
        <v>0</v>
      </c>
      <c r="V734" s="91"/>
    </row>
    <row r="735" spans="1:22" x14ac:dyDescent="0.2">
      <c r="A735" s="48">
        <f t="shared" si="23"/>
        <v>727</v>
      </c>
      <c r="B735" s="43">
        <v>20</v>
      </c>
      <c r="C735" s="43">
        <v>24</v>
      </c>
      <c r="D735" s="38" t="s">
        <v>623</v>
      </c>
      <c r="E735" s="44" t="s">
        <v>173</v>
      </c>
      <c r="F735" s="44" t="s">
        <v>5</v>
      </c>
      <c r="G735" s="44" t="s">
        <v>108</v>
      </c>
      <c r="H735" s="44" t="s">
        <v>10</v>
      </c>
      <c r="I735" s="44" t="s">
        <v>174</v>
      </c>
      <c r="J735" s="44" t="s">
        <v>7</v>
      </c>
      <c r="K735" s="44" t="s">
        <v>123</v>
      </c>
      <c r="L735" s="40">
        <v>1140</v>
      </c>
      <c r="M735" s="41">
        <v>41339</v>
      </c>
      <c r="N735" s="40" t="s">
        <v>110</v>
      </c>
      <c r="O735" s="42"/>
      <c r="P735" s="40"/>
      <c r="Q735" s="120">
        <f>'[3]Penelec RC_GSLFMS'!G711</f>
        <v>0</v>
      </c>
      <c r="R735" s="120">
        <f>'[3]Penelec RC_GSLFMS'!H711</f>
        <v>0</v>
      </c>
      <c r="S735" s="120">
        <f>'[3]Penelec RC_GSLFMS'!I711</f>
        <v>0</v>
      </c>
      <c r="T735" s="120">
        <f>'[3]Penelec RC_GSLFMS'!J711</f>
        <v>0</v>
      </c>
      <c r="U735" s="120">
        <f>'[3]Penelec RC_GSLFMS'!K711</f>
        <v>0</v>
      </c>
      <c r="V735" s="91"/>
    </row>
    <row r="736" spans="1:22" x14ac:dyDescent="0.2">
      <c r="A736" s="48">
        <f t="shared" si="23"/>
        <v>728</v>
      </c>
      <c r="B736" s="43">
        <v>20</v>
      </c>
      <c r="C736" s="43">
        <v>25</v>
      </c>
      <c r="D736" s="38" t="s">
        <v>624</v>
      </c>
      <c r="E736" s="44" t="s">
        <v>176</v>
      </c>
      <c r="F736" s="44" t="s">
        <v>5</v>
      </c>
      <c r="G736" s="44" t="s">
        <v>108</v>
      </c>
      <c r="H736" s="44" t="s">
        <v>10</v>
      </c>
      <c r="I736" s="44" t="s">
        <v>174</v>
      </c>
      <c r="J736" s="44" t="s">
        <v>8</v>
      </c>
      <c r="K736" s="44" t="s">
        <v>120</v>
      </c>
      <c r="L736" s="40">
        <v>1141</v>
      </c>
      <c r="M736" s="41">
        <v>41339</v>
      </c>
      <c r="N736" s="40" t="s">
        <v>110</v>
      </c>
      <c r="O736" s="42"/>
      <c r="P736" s="40"/>
      <c r="Q736" s="120">
        <f>'[3]Penelec RC_GSMFMS'!G711</f>
        <v>0</v>
      </c>
      <c r="R736" s="120">
        <f>'[3]Penelec RC_GSMFMS'!H711</f>
        <v>0</v>
      </c>
      <c r="S736" s="120">
        <f>'[3]Penelec RC_GSMFMS'!I711</f>
        <v>0</v>
      </c>
      <c r="T736" s="120">
        <f>'[3]Penelec RC_GSMFMS'!J711</f>
        <v>0</v>
      </c>
      <c r="U736" s="120">
        <f>'[3]Penelec RC_GSMFMS'!K711</f>
        <v>0</v>
      </c>
      <c r="V736" s="91"/>
    </row>
    <row r="737" spans="1:22" x14ac:dyDescent="0.2">
      <c r="A737" s="48">
        <f t="shared" si="23"/>
        <v>729</v>
      </c>
      <c r="B737" s="43">
        <v>20</v>
      </c>
      <c r="C737" s="43">
        <v>26</v>
      </c>
      <c r="D737" s="38" t="s">
        <v>625</v>
      </c>
      <c r="E737" s="44" t="s">
        <v>178</v>
      </c>
      <c r="F737" s="44" t="s">
        <v>5</v>
      </c>
      <c r="G737" s="44" t="s">
        <v>108</v>
      </c>
      <c r="H737" s="44" t="s">
        <v>10</v>
      </c>
      <c r="I737" s="44" t="s">
        <v>174</v>
      </c>
      <c r="J737" s="44" t="s">
        <v>9</v>
      </c>
      <c r="K737" s="44" t="s">
        <v>117</v>
      </c>
      <c r="L737" s="40">
        <v>1142</v>
      </c>
      <c r="M737" s="41">
        <v>41339</v>
      </c>
      <c r="N737" s="40" t="s">
        <v>110</v>
      </c>
      <c r="O737" s="42"/>
      <c r="P737" s="40"/>
      <c r="Q737" s="120">
        <f>'[3]Penelec RC_GSSFMS'!G711</f>
        <v>0</v>
      </c>
      <c r="R737" s="120">
        <f>'[3]Penelec RC_GSSFMS'!H711</f>
        <v>0</v>
      </c>
      <c r="S737" s="120">
        <f>'[3]Penelec RC_GSSFMS'!I711</f>
        <v>0</v>
      </c>
      <c r="T737" s="120">
        <f>'[3]Penelec RC_GSSFMS'!J711</f>
        <v>0</v>
      </c>
      <c r="U737" s="120">
        <f>'[3]Penelec RC_GSSFMS'!K711</f>
        <v>0</v>
      </c>
      <c r="V737" s="91"/>
    </row>
    <row r="738" spans="1:22" x14ac:dyDescent="0.2">
      <c r="A738" s="48">
        <f t="shared" si="23"/>
        <v>730</v>
      </c>
      <c r="B738" s="43">
        <v>20</v>
      </c>
      <c r="C738" s="43">
        <v>27</v>
      </c>
      <c r="D738" s="38" t="s">
        <v>626</v>
      </c>
      <c r="E738" s="44" t="s">
        <v>180</v>
      </c>
      <c r="F738" s="44" t="s">
        <v>5</v>
      </c>
      <c r="G738" s="44" t="s">
        <v>108</v>
      </c>
      <c r="H738" s="44" t="s">
        <v>91</v>
      </c>
      <c r="I738" s="44" t="s">
        <v>181</v>
      </c>
      <c r="J738" s="44" t="s">
        <v>6</v>
      </c>
      <c r="K738" s="44" t="s">
        <v>128</v>
      </c>
      <c r="L738" s="40">
        <v>1143</v>
      </c>
      <c r="M738" s="41">
        <v>41339</v>
      </c>
      <c r="N738" s="40" t="s">
        <v>110</v>
      </c>
      <c r="O738" s="42"/>
      <c r="P738" s="40"/>
      <c r="Q738" s="120">
        <f>'[3]Penn Power RC_GMDMS'!G711</f>
        <v>0</v>
      </c>
      <c r="R738" s="120">
        <f>'[3]Penn Power RC_GMDMS'!H711</f>
        <v>0</v>
      </c>
      <c r="S738" s="120">
        <f>'[3]Penn Power RC_GMDMS'!I711</f>
        <v>0</v>
      </c>
      <c r="T738" s="120">
        <f>'[3]Penn Power RC_GMDMS'!J711</f>
        <v>0</v>
      </c>
      <c r="U738" s="120">
        <f>'[3]Penn Power RC_GMDMS'!K711</f>
        <v>0</v>
      </c>
      <c r="V738" s="91"/>
    </row>
    <row r="739" spans="1:22" x14ac:dyDescent="0.2">
      <c r="A739" s="48">
        <f t="shared" si="23"/>
        <v>731</v>
      </c>
      <c r="B739" s="43">
        <v>20</v>
      </c>
      <c r="C739" s="43">
        <v>28</v>
      </c>
      <c r="D739" s="38" t="s">
        <v>627</v>
      </c>
      <c r="E739" s="44" t="s">
        <v>183</v>
      </c>
      <c r="F739" s="44" t="s">
        <v>37</v>
      </c>
      <c r="G739" s="44" t="s">
        <v>108</v>
      </c>
      <c r="H739" s="44" t="s">
        <v>42</v>
      </c>
      <c r="I739" s="44" t="s">
        <v>42</v>
      </c>
      <c r="J739" s="44" t="s">
        <v>6</v>
      </c>
      <c r="K739" s="44" t="s">
        <v>128</v>
      </c>
      <c r="L739" s="40">
        <v>1144</v>
      </c>
      <c r="M739" s="41">
        <v>41339</v>
      </c>
      <c r="N739" s="40" t="s">
        <v>110</v>
      </c>
      <c r="O739" s="42"/>
      <c r="P739" s="40"/>
      <c r="Q739" s="120">
        <f>'[3]PEPCO MD LP_MDNDMS'!G711</f>
        <v>0</v>
      </c>
      <c r="R739" s="120">
        <f>'[3]PEPCO MD LP_MDNDMS'!H711</f>
        <v>0</v>
      </c>
      <c r="S739" s="120">
        <f>'[3]PEPCO MD LP_MDNDMS'!I711</f>
        <v>0</v>
      </c>
      <c r="T739" s="120">
        <f>'[3]PEPCO MD LP_MDNDMS'!J711</f>
        <v>0</v>
      </c>
      <c r="U739" s="120">
        <f>'[3]PEPCO MD LP_MDNDMS'!K711</f>
        <v>0</v>
      </c>
      <c r="V739" s="91"/>
    </row>
    <row r="740" spans="1:22" x14ac:dyDescent="0.2">
      <c r="A740" s="48">
        <f t="shared" si="23"/>
        <v>732</v>
      </c>
      <c r="B740" s="43">
        <v>20</v>
      </c>
      <c r="C740" s="43">
        <v>29</v>
      </c>
      <c r="D740" s="38" t="s">
        <v>628</v>
      </c>
      <c r="E740" s="44" t="s">
        <v>185</v>
      </c>
      <c r="F740" s="44" t="s">
        <v>37</v>
      </c>
      <c r="G740" s="44" t="s">
        <v>108</v>
      </c>
      <c r="H740" s="44" t="s">
        <v>42</v>
      </c>
      <c r="I740" s="44" t="s">
        <v>42</v>
      </c>
      <c r="J740" s="44" t="s">
        <v>43</v>
      </c>
      <c r="K740" s="44" t="s">
        <v>186</v>
      </c>
      <c r="L740" s="40">
        <v>1145</v>
      </c>
      <c r="M740" s="41">
        <v>41339</v>
      </c>
      <c r="N740" s="40" t="s">
        <v>110</v>
      </c>
      <c r="O740" s="42"/>
      <c r="P740" s="40"/>
      <c r="Q740" s="120">
        <f>'[3]PEPCO MD LP_MMGTL2AMS'!G711</f>
        <v>0</v>
      </c>
      <c r="R740" s="120">
        <f>'[3]PEPCO MD LP_MMGTL2AMS'!H711</f>
        <v>0</v>
      </c>
      <c r="S740" s="120">
        <f>'[3]PEPCO MD LP_MMGTL2AMS'!I711</f>
        <v>0</v>
      </c>
      <c r="T740" s="120">
        <f>'[3]PEPCO MD LP_MMGTL2AMS'!J711</f>
        <v>0</v>
      </c>
      <c r="U740" s="120">
        <f>'[3]PEPCO MD LP_MMGTL2AMS'!K711</f>
        <v>0</v>
      </c>
      <c r="V740" s="91"/>
    </row>
    <row r="741" spans="1:22" x14ac:dyDescent="0.2">
      <c r="A741" s="48">
        <f t="shared" si="23"/>
        <v>733</v>
      </c>
      <c r="B741" s="43">
        <v>20</v>
      </c>
      <c r="C741" s="43">
        <v>30</v>
      </c>
      <c r="D741" s="38" t="s">
        <v>629</v>
      </c>
      <c r="E741" s="44" t="s">
        <v>188</v>
      </c>
      <c r="F741" s="44" t="s">
        <v>37</v>
      </c>
      <c r="G741" s="44" t="s">
        <v>108</v>
      </c>
      <c r="H741" s="44" t="s">
        <v>42</v>
      </c>
      <c r="I741" s="44" t="s">
        <v>42</v>
      </c>
      <c r="J741" s="44" t="s">
        <v>44</v>
      </c>
      <c r="K741" s="44" t="s">
        <v>44</v>
      </c>
      <c r="L741" s="40">
        <v>1146</v>
      </c>
      <c r="M741" s="41">
        <v>41339</v>
      </c>
      <c r="N741" s="40" t="s">
        <v>110</v>
      </c>
      <c r="O741" s="42"/>
      <c r="P741" s="40"/>
      <c r="Q741" s="120">
        <f>'[3]PEPCO MD RC_3T7MS'!G711</f>
        <v>0</v>
      </c>
      <c r="R741" s="120">
        <f>'[3]PEPCO MD RC_3T7MS'!H711</f>
        <v>0</v>
      </c>
      <c r="S741" s="120">
        <f>'[3]PEPCO MD RC_3T7MS'!I711</f>
        <v>0</v>
      </c>
      <c r="T741" s="120">
        <f>'[3]PEPCO MD RC_3T7MS'!J711</f>
        <v>0</v>
      </c>
      <c r="U741" s="120">
        <f>'[3]PEPCO MD RC_3T7MS'!K711</f>
        <v>0</v>
      </c>
      <c r="V741" s="91"/>
    </row>
    <row r="742" spans="1:22" x14ac:dyDescent="0.2">
      <c r="A742" s="48">
        <f t="shared" si="23"/>
        <v>734</v>
      </c>
      <c r="B742" s="43">
        <v>20</v>
      </c>
      <c r="C742" s="43">
        <v>31</v>
      </c>
      <c r="D742" s="38" t="s">
        <v>630</v>
      </c>
      <c r="E742" s="44" t="s">
        <v>190</v>
      </c>
      <c r="F742" s="44" t="s">
        <v>37</v>
      </c>
      <c r="G742" s="44" t="s">
        <v>108</v>
      </c>
      <c r="H742" s="44" t="s">
        <v>45</v>
      </c>
      <c r="I742" s="44" t="s">
        <v>45</v>
      </c>
      <c r="J742" s="44" t="s">
        <v>6</v>
      </c>
      <c r="K742" s="44" t="s">
        <v>128</v>
      </c>
      <c r="L742" s="40">
        <v>1147</v>
      </c>
      <c r="M742" s="41">
        <v>41339</v>
      </c>
      <c r="N742" s="40" t="s">
        <v>110</v>
      </c>
      <c r="O742" s="42"/>
      <c r="P742" s="40"/>
      <c r="Q742" s="120">
        <f>'[3]Potomac Edison LP_GSCM_MMS'!G711</f>
        <v>0</v>
      </c>
      <c r="R742" s="120">
        <f>'[3]Potomac Edison LP_GSCM_MMS'!H711</f>
        <v>0</v>
      </c>
      <c r="S742" s="120">
        <f>'[3]Potomac Edison LP_GSCM_MMS'!I711</f>
        <v>0</v>
      </c>
      <c r="T742" s="120">
        <f>'[3]Potomac Edison LP_GSCM_MMS'!J711</f>
        <v>0</v>
      </c>
      <c r="U742" s="120">
        <f>'[3]Potomac Edison LP_GSCM_MMS'!K711</f>
        <v>0</v>
      </c>
      <c r="V742" s="91"/>
    </row>
    <row r="743" spans="1:22" x14ac:dyDescent="0.2">
      <c r="A743" s="48">
        <f t="shared" si="23"/>
        <v>735</v>
      </c>
      <c r="B743" s="43">
        <v>20</v>
      </c>
      <c r="C743" s="43">
        <v>32</v>
      </c>
      <c r="D743" s="38" t="s">
        <v>631</v>
      </c>
      <c r="E743" s="44" t="s">
        <v>192</v>
      </c>
      <c r="F743" s="44" t="s">
        <v>5</v>
      </c>
      <c r="G743" s="44" t="s">
        <v>108</v>
      </c>
      <c r="H743" s="44" t="s">
        <v>12</v>
      </c>
      <c r="I743" s="44" t="s">
        <v>12</v>
      </c>
      <c r="J743" s="44" t="s">
        <v>13</v>
      </c>
      <c r="K743" s="44" t="s">
        <v>117</v>
      </c>
      <c r="L743" s="40">
        <v>1148</v>
      </c>
      <c r="M743" s="41">
        <v>41339</v>
      </c>
      <c r="N743" s="40" t="s">
        <v>110</v>
      </c>
      <c r="O743" s="42"/>
      <c r="P743" s="40"/>
      <c r="Q743" s="120">
        <f>[3]PPL_RCGS1MS!G711</f>
        <v>0</v>
      </c>
      <c r="R743" s="120">
        <f>[3]PPL_RCGS1MS!H711</f>
        <v>0</v>
      </c>
      <c r="S743" s="120">
        <f>[3]PPL_RCGS1MS!I711</f>
        <v>0</v>
      </c>
      <c r="T743" s="120">
        <f>[3]PPL_RCGS1MS!J711</f>
        <v>0</v>
      </c>
      <c r="U743" s="120">
        <f>[3]PPL_RCGS1MS!K711</f>
        <v>0</v>
      </c>
      <c r="V743" s="91"/>
    </row>
    <row r="744" spans="1:22" x14ac:dyDescent="0.2">
      <c r="A744" s="48">
        <f t="shared" si="23"/>
        <v>736</v>
      </c>
      <c r="B744" s="43">
        <v>20</v>
      </c>
      <c r="C744" s="43">
        <v>33</v>
      </c>
      <c r="D744" s="38" t="s">
        <v>632</v>
      </c>
      <c r="E744" s="44" t="s">
        <v>194</v>
      </c>
      <c r="F744" s="44" t="s">
        <v>5</v>
      </c>
      <c r="G744" s="44" t="s">
        <v>108</v>
      </c>
      <c r="H744" s="44" t="s">
        <v>12</v>
      </c>
      <c r="I744" s="44" t="s">
        <v>12</v>
      </c>
      <c r="J744" s="44" t="s">
        <v>14</v>
      </c>
      <c r="K744" s="44" t="s">
        <v>123</v>
      </c>
      <c r="L744" s="40">
        <v>1149</v>
      </c>
      <c r="M744" s="41">
        <v>41339</v>
      </c>
      <c r="N744" s="40" t="s">
        <v>110</v>
      </c>
      <c r="O744" s="42"/>
      <c r="P744" s="40"/>
      <c r="Q744" s="120">
        <f>[3]PPL_RCGS3MS!G711</f>
        <v>0</v>
      </c>
      <c r="R744" s="120">
        <f>[3]PPL_RCGS3MS!H711</f>
        <v>0</v>
      </c>
      <c r="S744" s="120">
        <f>[3]PPL_RCGS3MS!I711</f>
        <v>0</v>
      </c>
      <c r="T744" s="120">
        <f>[3]PPL_RCGS3MS!J711</f>
        <v>0</v>
      </c>
      <c r="U744" s="120">
        <f>[3]PPL_RCGS3MS!K711</f>
        <v>0</v>
      </c>
      <c r="V744" s="91"/>
    </row>
    <row r="745" spans="1:22" x14ac:dyDescent="0.2">
      <c r="A745" s="48">
        <f t="shared" si="23"/>
        <v>737</v>
      </c>
      <c r="B745" s="43">
        <v>20</v>
      </c>
      <c r="C745" s="43">
        <v>34</v>
      </c>
      <c r="D745" s="38" t="s">
        <v>633</v>
      </c>
      <c r="E745" s="44" t="s">
        <v>196</v>
      </c>
      <c r="F745" s="44" t="s">
        <v>29</v>
      </c>
      <c r="G745" s="44" t="s">
        <v>108</v>
      </c>
      <c r="H745" s="44" t="s">
        <v>34</v>
      </c>
      <c r="I745" s="44" t="s">
        <v>34</v>
      </c>
      <c r="J745" s="44" t="s">
        <v>35</v>
      </c>
      <c r="K745" s="44" t="s">
        <v>197</v>
      </c>
      <c r="L745" s="40">
        <v>1150</v>
      </c>
      <c r="M745" s="41">
        <v>41339</v>
      </c>
      <c r="N745" s="40" t="s">
        <v>110</v>
      </c>
      <c r="O745" s="42"/>
      <c r="P745" s="40"/>
      <c r="Q745" s="120">
        <f>'[3]PSEG LP_GLP_MMS'!G711</f>
        <v>0</v>
      </c>
      <c r="R745" s="120">
        <f>'[3]PSEG LP_GLP_MMS'!H711</f>
        <v>0</v>
      </c>
      <c r="S745" s="120">
        <f>'[3]PSEG LP_GLP_MMS'!I711</f>
        <v>0</v>
      </c>
      <c r="T745" s="120">
        <f>'[3]PSEG LP_GLP_MMS'!J711</f>
        <v>0</v>
      </c>
      <c r="U745" s="120">
        <f>'[3]PSEG LP_GLP_MMS'!K711</f>
        <v>0</v>
      </c>
      <c r="V745" s="91"/>
    </row>
    <row r="746" spans="1:22" x14ac:dyDescent="0.2">
      <c r="A746" s="48">
        <f t="shared" si="23"/>
        <v>738</v>
      </c>
      <c r="B746" s="43">
        <v>20</v>
      </c>
      <c r="C746" s="43">
        <v>35</v>
      </c>
      <c r="D746" s="38" t="s">
        <v>634</v>
      </c>
      <c r="E746" s="44" t="s">
        <v>199</v>
      </c>
      <c r="F746" s="44" t="s">
        <v>29</v>
      </c>
      <c r="G746" s="44" t="s">
        <v>108</v>
      </c>
      <c r="H746" s="44" t="s">
        <v>34</v>
      </c>
      <c r="I746" s="44" t="s">
        <v>34</v>
      </c>
      <c r="J746" s="44" t="s">
        <v>36</v>
      </c>
      <c r="K746" s="44" t="s">
        <v>200</v>
      </c>
      <c r="L746" s="40">
        <v>1151</v>
      </c>
      <c r="M746" s="41">
        <v>41339</v>
      </c>
      <c r="N746" s="40" t="s">
        <v>110</v>
      </c>
      <c r="O746" s="42"/>
      <c r="P746" s="40"/>
      <c r="Q746" s="120">
        <f>'[3]PSEG LP_LPLMS'!G711</f>
        <v>0</v>
      </c>
      <c r="R746" s="120">
        <f>'[3]PSEG LP_LPLMS'!H711</f>
        <v>0</v>
      </c>
      <c r="S746" s="120">
        <f>'[3]PSEG LP_LPLMS'!I711</f>
        <v>0</v>
      </c>
      <c r="T746" s="120">
        <f>'[3]PSEG LP_LPLMS'!J711</f>
        <v>0</v>
      </c>
      <c r="U746" s="120">
        <f>'[3]PSEG LP_LPLMS'!K711</f>
        <v>0</v>
      </c>
      <c r="V746" s="91"/>
    </row>
    <row r="747" spans="1:22" x14ac:dyDescent="0.2">
      <c r="A747" s="48">
        <f t="shared" si="23"/>
        <v>739</v>
      </c>
      <c r="B747" s="43">
        <v>20</v>
      </c>
      <c r="C747" s="43">
        <v>36</v>
      </c>
      <c r="D747" s="38" t="s">
        <v>635</v>
      </c>
      <c r="E747" s="44" t="s">
        <v>202</v>
      </c>
      <c r="F747" s="44" t="s">
        <v>5</v>
      </c>
      <c r="G747" s="44" t="s">
        <v>108</v>
      </c>
      <c r="H747" s="44" t="s">
        <v>15</v>
      </c>
      <c r="I747" s="44" t="s">
        <v>203</v>
      </c>
      <c r="J747" s="44" t="s">
        <v>16</v>
      </c>
      <c r="K747" s="44" t="s">
        <v>128</v>
      </c>
      <c r="L747" s="40">
        <v>1152</v>
      </c>
      <c r="M747" s="41">
        <v>41339</v>
      </c>
      <c r="N747" s="40" t="s">
        <v>110</v>
      </c>
      <c r="O747" s="42"/>
      <c r="P747" s="40"/>
      <c r="Q747" s="120">
        <f>'[3]West Penn Power LP_GSCMMS'!G711</f>
        <v>0</v>
      </c>
      <c r="R747" s="120">
        <f>'[3]West Penn Power LP_GSCMMS'!H711</f>
        <v>0</v>
      </c>
      <c r="S747" s="120">
        <f>'[3]West Penn Power LP_GSCMMS'!I711</f>
        <v>0</v>
      </c>
      <c r="T747" s="120">
        <f>'[3]West Penn Power LP_GSCMMS'!J711</f>
        <v>0</v>
      </c>
      <c r="U747" s="120">
        <f>'[3]West Penn Power LP_GSCMMS'!K711</f>
        <v>0</v>
      </c>
      <c r="V747" s="91"/>
    </row>
    <row r="748" spans="1:22" x14ac:dyDescent="0.2">
      <c r="A748" s="48">
        <f t="shared" si="23"/>
        <v>740</v>
      </c>
      <c r="B748" s="20"/>
      <c r="C748" s="20"/>
      <c r="D748" s="20"/>
      <c r="Q748" s="121"/>
      <c r="R748" s="121"/>
      <c r="S748" s="121"/>
      <c r="T748" s="121"/>
      <c r="U748" s="121"/>
    </row>
    <row r="749" spans="1:22" x14ac:dyDescent="0.2">
      <c r="A749" s="48">
        <f t="shared" si="23"/>
        <v>741</v>
      </c>
      <c r="B749" s="43">
        <v>21</v>
      </c>
      <c r="C749" s="43">
        <v>1</v>
      </c>
      <c r="D749" s="38" t="s">
        <v>600</v>
      </c>
      <c r="E749" s="44" t="s">
        <v>107</v>
      </c>
      <c r="F749" s="44" t="s">
        <v>29</v>
      </c>
      <c r="G749" s="44" t="s">
        <v>108</v>
      </c>
      <c r="H749" s="44" t="s">
        <v>30</v>
      </c>
      <c r="I749" s="44" t="s">
        <v>30</v>
      </c>
      <c r="J749" s="44" t="s">
        <v>31</v>
      </c>
      <c r="K749" s="44" t="s">
        <v>109</v>
      </c>
      <c r="L749" s="40">
        <v>1117</v>
      </c>
      <c r="M749" s="41">
        <v>41339</v>
      </c>
      <c r="N749" s="40" t="s">
        <v>110</v>
      </c>
      <c r="O749" s="42"/>
      <c r="P749" s="40"/>
      <c r="Q749" s="120">
        <f>'[3]AECO LP_10V1_SMS'!G748</f>
        <v>0</v>
      </c>
      <c r="R749" s="120">
        <f>'[3]AECO LP_10V1_SMS'!H748</f>
        <v>0</v>
      </c>
      <c r="S749" s="120">
        <f>'[3]AECO LP_10V1_SMS'!I748</f>
        <v>0</v>
      </c>
      <c r="T749" s="120">
        <f>'[3]AECO LP_10V1_SMS'!J748</f>
        <v>0</v>
      </c>
      <c r="U749" s="120">
        <f>'[3]AECO LP_10V1_SMS'!K748</f>
        <v>0</v>
      </c>
      <c r="V749" s="91"/>
    </row>
    <row r="750" spans="1:22" x14ac:dyDescent="0.2">
      <c r="A750" s="48">
        <f t="shared" si="23"/>
        <v>742</v>
      </c>
      <c r="B750" s="43">
        <v>21</v>
      </c>
      <c r="C750" s="43">
        <v>2</v>
      </c>
      <c r="D750" s="38" t="s">
        <v>601</v>
      </c>
      <c r="E750" s="44" t="s">
        <v>112</v>
      </c>
      <c r="F750" s="44" t="s">
        <v>29</v>
      </c>
      <c r="G750" s="44" t="s">
        <v>108</v>
      </c>
      <c r="H750" s="44" t="s">
        <v>30</v>
      </c>
      <c r="I750" s="44" t="s">
        <v>30</v>
      </c>
      <c r="J750" s="44" t="s">
        <v>32</v>
      </c>
      <c r="K750" s="44" t="s">
        <v>113</v>
      </c>
      <c r="L750" s="40">
        <v>1118</v>
      </c>
      <c r="M750" s="41">
        <v>41339</v>
      </c>
      <c r="N750" s="40" t="s">
        <v>110</v>
      </c>
      <c r="O750" s="42"/>
      <c r="P750" s="40"/>
      <c r="Q750" s="120">
        <f>'[3]AECO LP_14V1_MMS'!G748</f>
        <v>0</v>
      </c>
      <c r="R750" s="120">
        <f>'[3]AECO LP_14V1_MMS'!H748</f>
        <v>0</v>
      </c>
      <c r="S750" s="120">
        <f>'[3]AECO LP_14V1_MMS'!I748</f>
        <v>0</v>
      </c>
      <c r="T750" s="120">
        <f>'[3]AECO LP_14V1_MMS'!J748</f>
        <v>0</v>
      </c>
      <c r="U750" s="120">
        <f>'[3]AECO LP_14V1_MMS'!K748</f>
        <v>0</v>
      </c>
      <c r="V750" s="91"/>
    </row>
    <row r="751" spans="1:22" x14ac:dyDescent="0.2">
      <c r="A751" s="48">
        <f t="shared" si="23"/>
        <v>743</v>
      </c>
      <c r="B751" s="43">
        <v>21</v>
      </c>
      <c r="C751" s="43">
        <v>3</v>
      </c>
      <c r="D751" s="38" t="s">
        <v>602</v>
      </c>
      <c r="E751" s="44" t="s">
        <v>115</v>
      </c>
      <c r="F751" s="44" t="s">
        <v>18</v>
      </c>
      <c r="G751" s="44" t="s">
        <v>108</v>
      </c>
      <c r="H751" s="44" t="s">
        <v>61</v>
      </c>
      <c r="I751" s="44" t="s">
        <v>116</v>
      </c>
      <c r="J751" s="44" t="s">
        <v>13</v>
      </c>
      <c r="K751" s="44" t="s">
        <v>117</v>
      </c>
      <c r="L751" s="40">
        <v>1119</v>
      </c>
      <c r="M751" s="41">
        <v>41339</v>
      </c>
      <c r="N751" s="40" t="s">
        <v>110</v>
      </c>
      <c r="O751" s="42"/>
      <c r="P751" s="40"/>
      <c r="Q751" s="120">
        <f>'[3]AEP_OH_CS - test CSGS1MS'!G748</f>
        <v>0</v>
      </c>
      <c r="R751" s="120">
        <f>'[3]AEP_OH_CS - test CSGS1MS'!H748</f>
        <v>0</v>
      </c>
      <c r="S751" s="120">
        <f>'[3]AEP_OH_CS - test CSGS1MS'!I748</f>
        <v>0</v>
      </c>
      <c r="T751" s="120">
        <f>'[3]AEP_OH_CS - test CSGS1MS'!J748</f>
        <v>0</v>
      </c>
      <c r="U751" s="120">
        <f>'[3]AEP_OH_CS - test CSGS1MS'!K748</f>
        <v>0</v>
      </c>
      <c r="V751" s="91"/>
    </row>
    <row r="752" spans="1:22" x14ac:dyDescent="0.2">
      <c r="A752" s="48">
        <f t="shared" si="23"/>
        <v>744</v>
      </c>
      <c r="B752" s="43">
        <v>21</v>
      </c>
      <c r="C752" s="43">
        <v>4</v>
      </c>
      <c r="D752" s="38" t="s">
        <v>603</v>
      </c>
      <c r="E752" s="44" t="s">
        <v>119</v>
      </c>
      <c r="F752" s="44" t="s">
        <v>18</v>
      </c>
      <c r="G752" s="44" t="s">
        <v>108</v>
      </c>
      <c r="H752" s="44" t="s">
        <v>61</v>
      </c>
      <c r="I752" s="44" t="s">
        <v>116</v>
      </c>
      <c r="J752" s="44" t="s">
        <v>19</v>
      </c>
      <c r="K752" s="44" t="s">
        <v>120</v>
      </c>
      <c r="L752" s="40">
        <v>1120</v>
      </c>
      <c r="M752" s="41">
        <v>41339</v>
      </c>
      <c r="N752" s="40" t="s">
        <v>110</v>
      </c>
      <c r="O752" s="42"/>
      <c r="P752" s="40"/>
      <c r="Q752" s="120">
        <f>'[3]AEP_OH_CS - test CSGS2UMS'!G748</f>
        <v>0</v>
      </c>
      <c r="R752" s="120">
        <f>'[3]AEP_OH_CS - test CSGS2UMS'!H748</f>
        <v>0</v>
      </c>
      <c r="S752" s="120">
        <f>'[3]AEP_OH_CS - test CSGS2UMS'!I748</f>
        <v>0</v>
      </c>
      <c r="T752" s="120">
        <f>'[3]AEP_OH_CS - test CSGS2UMS'!J748</f>
        <v>0</v>
      </c>
      <c r="U752" s="120">
        <f>'[3]AEP_OH_CS - test CSGS2UMS'!K748</f>
        <v>0</v>
      </c>
      <c r="V752" s="91"/>
    </row>
    <row r="753" spans="1:22" x14ac:dyDescent="0.2">
      <c r="A753" s="48">
        <f t="shared" si="23"/>
        <v>745</v>
      </c>
      <c r="B753" s="43">
        <v>21</v>
      </c>
      <c r="C753" s="43">
        <v>5</v>
      </c>
      <c r="D753" s="38" t="s">
        <v>604</v>
      </c>
      <c r="E753" s="44" t="s">
        <v>122</v>
      </c>
      <c r="F753" s="44" t="s">
        <v>18</v>
      </c>
      <c r="G753" s="44" t="s">
        <v>108</v>
      </c>
      <c r="H753" s="44" t="s">
        <v>61</v>
      </c>
      <c r="I753" s="44" t="s">
        <v>116</v>
      </c>
      <c r="J753" s="44" t="s">
        <v>14</v>
      </c>
      <c r="K753" s="44" t="s">
        <v>123</v>
      </c>
      <c r="L753" s="40">
        <v>1121</v>
      </c>
      <c r="M753" s="41">
        <v>41339</v>
      </c>
      <c r="N753" s="40" t="s">
        <v>110</v>
      </c>
      <c r="O753" s="42"/>
      <c r="P753" s="40"/>
      <c r="Q753" s="120">
        <f>'[3]AEP_OH_CS - test CSGS3UMS'!G748</f>
        <v>0</v>
      </c>
      <c r="R753" s="120">
        <f>'[3]AEP_OH_CS - test CSGS3UMS'!H748</f>
        <v>0</v>
      </c>
      <c r="S753" s="120">
        <f>'[3]AEP_OH_CS - test CSGS3UMS'!I748</f>
        <v>0</v>
      </c>
      <c r="T753" s="120">
        <f>'[3]AEP_OH_CS - test CSGS3UMS'!J748</f>
        <v>0</v>
      </c>
      <c r="U753" s="120">
        <f>'[3]AEP_OH_CS - test CSGS3UMS'!K748</f>
        <v>0</v>
      </c>
      <c r="V753" s="91"/>
    </row>
    <row r="754" spans="1:22" x14ac:dyDescent="0.2">
      <c r="A754" s="48">
        <f t="shared" si="23"/>
        <v>746</v>
      </c>
      <c r="B754" s="43">
        <v>21</v>
      </c>
      <c r="C754" s="43">
        <v>6</v>
      </c>
      <c r="D754" s="38" t="s">
        <v>605</v>
      </c>
      <c r="E754" s="44" t="s">
        <v>125</v>
      </c>
      <c r="F754" s="44" t="s">
        <v>23</v>
      </c>
      <c r="G754" s="44" t="s">
        <v>126</v>
      </c>
      <c r="H754" s="44" t="s">
        <v>127</v>
      </c>
      <c r="I754" s="44" t="s">
        <v>27</v>
      </c>
      <c r="J754" s="44" t="s">
        <v>28</v>
      </c>
      <c r="K754" s="44" t="s">
        <v>128</v>
      </c>
      <c r="L754" s="40">
        <v>1122</v>
      </c>
      <c r="M754" s="41">
        <v>41339</v>
      </c>
      <c r="N754" s="40" t="s">
        <v>110</v>
      </c>
      <c r="O754" s="42"/>
      <c r="P754" s="40"/>
      <c r="Q754" s="120">
        <f>'[3]Ameren RateZnIII LP DS2HHMS'!G748</f>
        <v>0</v>
      </c>
      <c r="R754" s="120">
        <f>'[3]Ameren RateZnIII LP DS2HHMS'!H748</f>
        <v>0</v>
      </c>
      <c r="S754" s="120">
        <f>'[3]Ameren RateZnIII LP DS2HHMS'!I748</f>
        <v>0</v>
      </c>
      <c r="T754" s="120">
        <f>'[3]Ameren RateZnIII LP DS2HHMS'!J748</f>
        <v>0</v>
      </c>
      <c r="U754" s="120">
        <f>'[3]Ameren RateZnIII LP DS2HHMS'!K748</f>
        <v>0</v>
      </c>
      <c r="V754" s="91"/>
    </row>
    <row r="755" spans="1:22" x14ac:dyDescent="0.2">
      <c r="A755" s="48">
        <f t="shared" si="23"/>
        <v>747</v>
      </c>
      <c r="B755" s="43">
        <v>21</v>
      </c>
      <c r="C755" s="43">
        <v>7</v>
      </c>
      <c r="D755" s="38" t="s">
        <v>606</v>
      </c>
      <c r="E755" s="44" t="s">
        <v>130</v>
      </c>
      <c r="F755" s="44" t="s">
        <v>37</v>
      </c>
      <c r="G755" s="44" t="s">
        <v>108</v>
      </c>
      <c r="H755" s="44" t="s">
        <v>38</v>
      </c>
      <c r="I755" s="44" t="s">
        <v>38</v>
      </c>
      <c r="J755" s="44" t="s">
        <v>40</v>
      </c>
      <c r="K755" s="44" t="s">
        <v>123</v>
      </c>
      <c r="L755" s="40">
        <v>1124</v>
      </c>
      <c r="M755" s="41">
        <v>41339</v>
      </c>
      <c r="N755" s="40" t="s">
        <v>110</v>
      </c>
      <c r="O755" s="42"/>
      <c r="P755" s="40"/>
      <c r="Q755" s="120">
        <f>'[3]BGE LP_GLMS'!G748</f>
        <v>0</v>
      </c>
      <c r="R755" s="120">
        <f>'[3]BGE LP_GLMS'!H748</f>
        <v>0</v>
      </c>
      <c r="S755" s="120">
        <f>'[3]BGE LP_GLMS'!I748</f>
        <v>0</v>
      </c>
      <c r="T755" s="120">
        <f>'[3]BGE LP_GLMS'!J748</f>
        <v>0</v>
      </c>
      <c r="U755" s="120">
        <f>'[3]BGE LP_GLMS'!K748</f>
        <v>0</v>
      </c>
      <c r="V755" s="91"/>
    </row>
    <row r="756" spans="1:22" x14ac:dyDescent="0.2">
      <c r="A756" s="48">
        <f t="shared" si="23"/>
        <v>748</v>
      </c>
      <c r="B756" s="43">
        <v>21</v>
      </c>
      <c r="C756" s="43">
        <v>8</v>
      </c>
      <c r="D756" s="38" t="s">
        <v>607</v>
      </c>
      <c r="E756" s="44" t="s">
        <v>132</v>
      </c>
      <c r="F756" s="44" t="s">
        <v>37</v>
      </c>
      <c r="G756" s="44" t="s">
        <v>108</v>
      </c>
      <c r="H756" s="44" t="s">
        <v>38</v>
      </c>
      <c r="I756" s="44" t="s">
        <v>38</v>
      </c>
      <c r="J756" s="44" t="s">
        <v>39</v>
      </c>
      <c r="K756" s="44" t="s">
        <v>120</v>
      </c>
      <c r="L756" s="40">
        <v>1123</v>
      </c>
      <c r="M756" s="41">
        <v>41339</v>
      </c>
      <c r="N756" s="40" t="s">
        <v>110</v>
      </c>
      <c r="O756" s="42"/>
      <c r="P756" s="40"/>
      <c r="Q756" s="120">
        <f>'[3]BGE LP_GMS'!G748</f>
        <v>0</v>
      </c>
      <c r="R756" s="120">
        <f>'[3]BGE LP_GMS'!H748</f>
        <v>0</v>
      </c>
      <c r="S756" s="120">
        <f>'[3]BGE LP_GMS'!I748</f>
        <v>0</v>
      </c>
      <c r="T756" s="120">
        <f>'[3]BGE LP_GMS'!J748</f>
        <v>0</v>
      </c>
      <c r="U756" s="120">
        <f>'[3]BGE LP_GMS'!K748</f>
        <v>0</v>
      </c>
      <c r="V756" s="91"/>
    </row>
    <row r="757" spans="1:22" x14ac:dyDescent="0.2">
      <c r="A757" s="48">
        <f t="shared" si="23"/>
        <v>749</v>
      </c>
      <c r="B757" s="43">
        <v>21</v>
      </c>
      <c r="C757" s="43">
        <v>9</v>
      </c>
      <c r="D757" s="38" t="s">
        <v>608</v>
      </c>
      <c r="E757" s="44" t="s">
        <v>134</v>
      </c>
      <c r="F757" s="44" t="s">
        <v>37</v>
      </c>
      <c r="G757" s="44" t="s">
        <v>108</v>
      </c>
      <c r="H757" s="44" t="s">
        <v>38</v>
      </c>
      <c r="I757" s="44" t="s">
        <v>38</v>
      </c>
      <c r="J757" s="44" t="s">
        <v>6</v>
      </c>
      <c r="K757" s="44" t="s">
        <v>117</v>
      </c>
      <c r="L757" s="40">
        <v>1125</v>
      </c>
      <c r="M757" s="41">
        <v>41339</v>
      </c>
      <c r="N757" s="40" t="s">
        <v>110</v>
      </c>
      <c r="O757" s="42"/>
      <c r="P757" s="40"/>
      <c r="Q757" s="120">
        <f>'[3]BGE LP_GSMS'!G748</f>
        <v>0</v>
      </c>
      <c r="R757" s="120">
        <f>'[3]BGE LP_GSMS'!H748</f>
        <v>0</v>
      </c>
      <c r="S757" s="120">
        <f>'[3]BGE LP_GSMS'!I748</f>
        <v>0</v>
      </c>
      <c r="T757" s="120">
        <f>'[3]BGE LP_GSMS'!J748</f>
        <v>0</v>
      </c>
      <c r="U757" s="120">
        <f>'[3]BGE LP_GSMS'!K748</f>
        <v>0</v>
      </c>
      <c r="V757" s="91"/>
    </row>
    <row r="758" spans="1:22" x14ac:dyDescent="0.2">
      <c r="A758" s="48">
        <f t="shared" si="23"/>
        <v>750</v>
      </c>
      <c r="B758" s="43">
        <v>21</v>
      </c>
      <c r="C758" s="43">
        <v>10</v>
      </c>
      <c r="D758" s="38" t="s">
        <v>609</v>
      </c>
      <c r="E758" s="44" t="s">
        <v>136</v>
      </c>
      <c r="F758" s="44" t="s">
        <v>23</v>
      </c>
      <c r="G758" s="44" t="s">
        <v>108</v>
      </c>
      <c r="H758" s="44" t="s">
        <v>137</v>
      </c>
      <c r="I758" s="44" t="s">
        <v>24</v>
      </c>
      <c r="J758" s="44" t="s">
        <v>25</v>
      </c>
      <c r="K758" s="44" t="s">
        <v>138</v>
      </c>
      <c r="L758" s="40">
        <v>1126</v>
      </c>
      <c r="M758" s="41">
        <v>41339</v>
      </c>
      <c r="N758" s="40" t="s">
        <v>110</v>
      </c>
      <c r="O758" s="42"/>
      <c r="P758" s="40"/>
      <c r="Q758" s="120">
        <f>'[3]ComEd - test LP_28MS'!G748</f>
        <v>0</v>
      </c>
      <c r="R758" s="120">
        <f>'[3]ComEd - test LP_28MS'!H748</f>
        <v>0</v>
      </c>
      <c r="S758" s="120">
        <f>'[3]ComEd - test LP_28MS'!I748</f>
        <v>0</v>
      </c>
      <c r="T758" s="120">
        <f>'[3]ComEd - test LP_28MS'!J748</f>
        <v>0</v>
      </c>
      <c r="U758" s="120">
        <f>'[3]ComEd - test LP_28MS'!K748</f>
        <v>0</v>
      </c>
      <c r="V758" s="91"/>
    </row>
    <row r="759" spans="1:22" x14ac:dyDescent="0.2">
      <c r="A759" s="48">
        <f t="shared" si="23"/>
        <v>751</v>
      </c>
      <c r="B759" s="43">
        <v>21</v>
      </c>
      <c r="C759" s="43">
        <v>11</v>
      </c>
      <c r="D759" s="38" t="s">
        <v>610</v>
      </c>
      <c r="E759" s="44" t="s">
        <v>140</v>
      </c>
      <c r="F759" s="44" t="s">
        <v>23</v>
      </c>
      <c r="G759" s="44" t="s">
        <v>108</v>
      </c>
      <c r="H759" s="44" t="s">
        <v>137</v>
      </c>
      <c r="I759" s="44" t="s">
        <v>24</v>
      </c>
      <c r="J759" s="44" t="s">
        <v>26</v>
      </c>
      <c r="K759" s="44" t="s">
        <v>141</v>
      </c>
      <c r="L759" s="40">
        <v>1127</v>
      </c>
      <c r="M759" s="41">
        <v>41339</v>
      </c>
      <c r="N759" s="40" t="s">
        <v>110</v>
      </c>
      <c r="O759" s="42"/>
      <c r="P759" s="40"/>
      <c r="Q759" s="120">
        <f>'[3]ComEd - test LP_29MS'!G748</f>
        <v>0</v>
      </c>
      <c r="R759" s="120">
        <f>'[3]ComEd - test LP_29MS'!H748</f>
        <v>0</v>
      </c>
      <c r="S759" s="120">
        <f>'[3]ComEd - test LP_29MS'!I748</f>
        <v>0</v>
      </c>
      <c r="T759" s="120">
        <f>'[3]ComEd - test LP_29MS'!J748</f>
        <v>0</v>
      </c>
      <c r="U759" s="120">
        <f>'[3]ComEd - test LP_29MS'!K748</f>
        <v>0</v>
      </c>
      <c r="V759" s="91"/>
    </row>
    <row r="760" spans="1:22" x14ac:dyDescent="0.2">
      <c r="A760" s="48">
        <f t="shared" si="23"/>
        <v>752</v>
      </c>
      <c r="B760" s="43">
        <v>21</v>
      </c>
      <c r="C760" s="43">
        <v>12</v>
      </c>
      <c r="D760" s="38" t="s">
        <v>611</v>
      </c>
      <c r="E760" s="44" t="s">
        <v>143</v>
      </c>
      <c r="F760" s="44" t="s">
        <v>18</v>
      </c>
      <c r="G760" s="44" t="s">
        <v>108</v>
      </c>
      <c r="H760" s="44" t="s">
        <v>94</v>
      </c>
      <c r="I760" s="44" t="s">
        <v>144</v>
      </c>
      <c r="J760" s="44" t="s">
        <v>20</v>
      </c>
      <c r="K760" s="44" t="s">
        <v>145</v>
      </c>
      <c r="L760" s="40">
        <v>1128</v>
      </c>
      <c r="M760" s="41">
        <v>41339</v>
      </c>
      <c r="N760" s="40" t="s">
        <v>110</v>
      </c>
      <c r="O760" s="42"/>
      <c r="P760" s="40"/>
      <c r="Q760" s="120">
        <f>[3]DAY_RC_843MS!G748</f>
        <v>0</v>
      </c>
      <c r="R760" s="120">
        <f>[3]DAY_RC_843MS!H748</f>
        <v>0</v>
      </c>
      <c r="S760" s="120">
        <f>[3]DAY_RC_843MS!I748</f>
        <v>0</v>
      </c>
      <c r="T760" s="120">
        <f>[3]DAY_RC_843MS!J748</f>
        <v>0</v>
      </c>
      <c r="U760" s="120">
        <f>[3]DAY_RC_843MS!K748</f>
        <v>0</v>
      </c>
      <c r="V760" s="91"/>
    </row>
    <row r="761" spans="1:22" x14ac:dyDescent="0.2">
      <c r="A761" s="48">
        <f t="shared" si="23"/>
        <v>753</v>
      </c>
      <c r="B761" s="43">
        <v>21</v>
      </c>
      <c r="C761" s="43">
        <v>13</v>
      </c>
      <c r="D761" s="38" t="s">
        <v>612</v>
      </c>
      <c r="E761" s="44" t="s">
        <v>147</v>
      </c>
      <c r="F761" s="44" t="s">
        <v>37</v>
      </c>
      <c r="G761" s="44" t="s">
        <v>108</v>
      </c>
      <c r="H761" s="44" t="s">
        <v>41</v>
      </c>
      <c r="I761" s="44" t="s">
        <v>41</v>
      </c>
      <c r="J761" s="44" t="s">
        <v>6</v>
      </c>
      <c r="K761" s="44" t="s">
        <v>128</v>
      </c>
      <c r="L761" s="40">
        <v>1129</v>
      </c>
      <c r="M761" s="41">
        <v>41339</v>
      </c>
      <c r="N761" s="40" t="s">
        <v>110</v>
      </c>
      <c r="O761" s="42"/>
      <c r="P761" s="40"/>
      <c r="Q761" s="120">
        <f>'[3]Delmarva MD LP_MDGS_MMS'!G748</f>
        <v>0</v>
      </c>
      <c r="R761" s="120">
        <f>'[3]Delmarva MD LP_MDGS_MMS'!H748</f>
        <v>0</v>
      </c>
      <c r="S761" s="120">
        <f>'[3]Delmarva MD LP_MDGS_MMS'!I748</f>
        <v>0</v>
      </c>
      <c r="T761" s="120">
        <f>'[3]Delmarva MD LP_MDGS_MMS'!J748</f>
        <v>0</v>
      </c>
      <c r="U761" s="120">
        <f>'[3]Delmarva MD LP_MDGS_MMS'!K748</f>
        <v>0</v>
      </c>
      <c r="V761" s="91"/>
    </row>
    <row r="762" spans="1:22" x14ac:dyDescent="0.2">
      <c r="A762" s="48">
        <f t="shared" si="23"/>
        <v>754</v>
      </c>
      <c r="B762" s="43">
        <v>21</v>
      </c>
      <c r="C762" s="43">
        <v>14</v>
      </c>
      <c r="D762" s="38" t="s">
        <v>613</v>
      </c>
      <c r="E762" s="44" t="s">
        <v>149</v>
      </c>
      <c r="F762" s="44" t="s">
        <v>5</v>
      </c>
      <c r="G762" s="44" t="s">
        <v>108</v>
      </c>
      <c r="H762" s="44" t="s">
        <v>46</v>
      </c>
      <c r="I762" s="44" t="s">
        <v>46</v>
      </c>
      <c r="J762" s="44" t="s">
        <v>6</v>
      </c>
      <c r="K762" s="44" t="s">
        <v>128</v>
      </c>
      <c r="L762" s="40">
        <v>1130</v>
      </c>
      <c r="M762" s="41">
        <v>41339</v>
      </c>
      <c r="N762" s="40" t="s">
        <v>110</v>
      </c>
      <c r="O762" s="42"/>
      <c r="P762" s="40"/>
      <c r="Q762" s="120">
        <f>'[3]DQE LP_GSGM_MMS'!G748</f>
        <v>0</v>
      </c>
      <c r="R762" s="120">
        <f>'[3]DQE LP_GSGM_MMS'!H748</f>
        <v>0</v>
      </c>
      <c r="S762" s="120">
        <f>'[3]DQE LP_GSGM_MMS'!I748</f>
        <v>0</v>
      </c>
      <c r="T762" s="120">
        <f>'[3]DQE LP_GSGM_MMS'!J748</f>
        <v>0</v>
      </c>
      <c r="U762" s="120">
        <f>'[3]DQE LP_GSGM_MMS'!K748</f>
        <v>0</v>
      </c>
      <c r="V762" s="91"/>
    </row>
    <row r="763" spans="1:22" x14ac:dyDescent="0.2">
      <c r="A763" s="48">
        <f t="shared" si="23"/>
        <v>755</v>
      </c>
      <c r="B763" s="43">
        <v>21</v>
      </c>
      <c r="C763" s="43">
        <v>15</v>
      </c>
      <c r="D763" s="38" t="s">
        <v>614</v>
      </c>
      <c r="E763" s="44" t="s">
        <v>151</v>
      </c>
      <c r="F763" s="44" t="s">
        <v>18</v>
      </c>
      <c r="G763" s="44" t="s">
        <v>108</v>
      </c>
      <c r="H763" s="44" t="s">
        <v>21</v>
      </c>
      <c r="I763" s="44" t="s">
        <v>152</v>
      </c>
      <c r="J763" s="44" t="s">
        <v>22</v>
      </c>
      <c r="K763" s="44" t="s">
        <v>128</v>
      </c>
      <c r="L763" s="40">
        <v>1131</v>
      </c>
      <c r="M763" s="41">
        <v>41339</v>
      </c>
      <c r="N763" s="40" t="s">
        <v>110</v>
      </c>
      <c r="O763" s="42"/>
      <c r="P763" s="40"/>
      <c r="Q763" s="120">
        <f>[3]Duke_OH_RC_DS01MS!G748</f>
        <v>0</v>
      </c>
      <c r="R763" s="120">
        <f>[3]Duke_OH_RC_DS01MS!H748</f>
        <v>0</v>
      </c>
      <c r="S763" s="120">
        <f>[3]Duke_OH_RC_DS01MS!I748</f>
        <v>0</v>
      </c>
      <c r="T763" s="120">
        <f>[3]Duke_OH_RC_DS01MS!J748</f>
        <v>0</v>
      </c>
      <c r="U763" s="120">
        <f>[3]Duke_OH_RC_DS01MS!K748</f>
        <v>0</v>
      </c>
      <c r="V763" s="91"/>
    </row>
    <row r="764" spans="1:22" x14ac:dyDescent="0.2">
      <c r="A764" s="48">
        <f t="shared" si="23"/>
        <v>756</v>
      </c>
      <c r="B764" s="43">
        <v>21</v>
      </c>
      <c r="C764" s="43">
        <v>16</v>
      </c>
      <c r="D764" s="38" t="s">
        <v>615</v>
      </c>
      <c r="E764" s="44" t="s">
        <v>154</v>
      </c>
      <c r="F764" s="44" t="s">
        <v>18</v>
      </c>
      <c r="G764" s="44" t="s">
        <v>108</v>
      </c>
      <c r="H764" s="44" t="s">
        <v>62</v>
      </c>
      <c r="I764" s="44" t="s">
        <v>155</v>
      </c>
      <c r="J764" s="44" t="s">
        <v>6</v>
      </c>
      <c r="K764" s="44" t="s">
        <v>128</v>
      </c>
      <c r="L764" s="40">
        <v>1132</v>
      </c>
      <c r="M764" s="41">
        <v>41339</v>
      </c>
      <c r="N764" s="40" t="s">
        <v>110</v>
      </c>
      <c r="O764" s="42"/>
      <c r="P764" s="40"/>
      <c r="Q764" s="120">
        <f>'[3]FE_OE - test RC_GSFMS'!G748</f>
        <v>0</v>
      </c>
      <c r="R764" s="120">
        <f>'[3]FE_OE - test RC_GSFMS'!H748</f>
        <v>0</v>
      </c>
      <c r="S764" s="120">
        <f>'[3]FE_OE - test RC_GSFMS'!I748</f>
        <v>0</v>
      </c>
      <c r="T764" s="120">
        <f>'[3]FE_OE - test RC_GSFMS'!J748</f>
        <v>0</v>
      </c>
      <c r="U764" s="120">
        <f>'[3]FE_OE - test RC_GSFMS'!K748</f>
        <v>0</v>
      </c>
      <c r="V764" s="91"/>
    </row>
    <row r="765" spans="1:22" x14ac:dyDescent="0.2">
      <c r="A765" s="48">
        <f t="shared" si="23"/>
        <v>757</v>
      </c>
      <c r="B765" s="43">
        <v>21</v>
      </c>
      <c r="C765" s="43">
        <v>17</v>
      </c>
      <c r="D765" s="38" t="s">
        <v>616</v>
      </c>
      <c r="E765" s="44" t="s">
        <v>157</v>
      </c>
      <c r="F765" s="44" t="s">
        <v>29</v>
      </c>
      <c r="G765" s="44" t="s">
        <v>108</v>
      </c>
      <c r="H765" s="44" t="s">
        <v>33</v>
      </c>
      <c r="I765" s="44" t="s">
        <v>33</v>
      </c>
      <c r="J765" s="44" t="s">
        <v>7</v>
      </c>
      <c r="K765" s="44" t="s">
        <v>123</v>
      </c>
      <c r="L765" s="40">
        <v>1133</v>
      </c>
      <c r="M765" s="41">
        <v>41339</v>
      </c>
      <c r="N765" s="40" t="s">
        <v>110</v>
      </c>
      <c r="O765" s="42"/>
      <c r="P765" s="40"/>
      <c r="Q765" s="120">
        <f>'[3]JCPL LP_GSCLMS'!G748</f>
        <v>0</v>
      </c>
      <c r="R765" s="120">
        <f>'[3]JCPL LP_GSCLMS'!H748</f>
        <v>0</v>
      </c>
      <c r="S765" s="120">
        <f>'[3]JCPL LP_GSCLMS'!I748</f>
        <v>0</v>
      </c>
      <c r="T765" s="120">
        <f>'[3]JCPL LP_GSCLMS'!J748</f>
        <v>0</v>
      </c>
      <c r="U765" s="120">
        <f>'[3]JCPL LP_GSCLMS'!K748</f>
        <v>0</v>
      </c>
      <c r="V765" s="91"/>
    </row>
    <row r="766" spans="1:22" x14ac:dyDescent="0.2">
      <c r="A766" s="48">
        <f t="shared" si="23"/>
        <v>758</v>
      </c>
      <c r="B766" s="43">
        <v>21</v>
      </c>
      <c r="C766" s="43">
        <v>18</v>
      </c>
      <c r="D766" s="38" t="s">
        <v>617</v>
      </c>
      <c r="E766" s="44" t="s">
        <v>159</v>
      </c>
      <c r="F766" s="44" t="s">
        <v>29</v>
      </c>
      <c r="G766" s="44" t="s">
        <v>108</v>
      </c>
      <c r="H766" s="44" t="s">
        <v>33</v>
      </c>
      <c r="I766" s="44" t="s">
        <v>33</v>
      </c>
      <c r="J766" s="44" t="s">
        <v>8</v>
      </c>
      <c r="K766" s="44" t="s">
        <v>120</v>
      </c>
      <c r="L766" s="40">
        <v>1134</v>
      </c>
      <c r="M766" s="41">
        <v>41339</v>
      </c>
      <c r="N766" s="40" t="s">
        <v>110</v>
      </c>
      <c r="O766" s="42"/>
      <c r="P766" s="40"/>
      <c r="Q766" s="120">
        <f>'[3]JCPL LP_GSCMMS'!G748</f>
        <v>0</v>
      </c>
      <c r="R766" s="120">
        <f>'[3]JCPL LP_GSCMMS'!H748</f>
        <v>0</v>
      </c>
      <c r="S766" s="120">
        <f>'[3]JCPL LP_GSCMMS'!I748</f>
        <v>0</v>
      </c>
      <c r="T766" s="120">
        <f>'[3]JCPL LP_GSCMMS'!J748</f>
        <v>0</v>
      </c>
      <c r="U766" s="120">
        <f>'[3]JCPL LP_GSCMMS'!K748</f>
        <v>0</v>
      </c>
      <c r="V766" s="91"/>
    </row>
    <row r="767" spans="1:22" x14ac:dyDescent="0.2">
      <c r="A767" s="48">
        <f t="shared" si="23"/>
        <v>759</v>
      </c>
      <c r="B767" s="43">
        <v>21</v>
      </c>
      <c r="C767" s="43">
        <v>19</v>
      </c>
      <c r="D767" s="38" t="s">
        <v>618</v>
      </c>
      <c r="E767" s="44" t="s">
        <v>161</v>
      </c>
      <c r="F767" s="44" t="s">
        <v>29</v>
      </c>
      <c r="G767" s="44" t="s">
        <v>108</v>
      </c>
      <c r="H767" s="44" t="s">
        <v>33</v>
      </c>
      <c r="I767" s="44" t="s">
        <v>33</v>
      </c>
      <c r="J767" s="44" t="s">
        <v>9</v>
      </c>
      <c r="K767" s="44" t="s">
        <v>117</v>
      </c>
      <c r="L767" s="40">
        <v>1135</v>
      </c>
      <c r="M767" s="41">
        <v>41339</v>
      </c>
      <c r="N767" s="40" t="s">
        <v>110</v>
      </c>
      <c r="O767" s="42"/>
      <c r="P767" s="40"/>
      <c r="Q767" s="120">
        <f>'[3]JCPL LP_GSCSMS'!G748</f>
        <v>0</v>
      </c>
      <c r="R767" s="120">
        <f>'[3]JCPL LP_GSCSMS'!H748</f>
        <v>0</v>
      </c>
      <c r="S767" s="120">
        <f>'[3]JCPL LP_GSCSMS'!I748</f>
        <v>0</v>
      </c>
      <c r="T767" s="120">
        <f>'[3]JCPL LP_GSCSMS'!J748</f>
        <v>0</v>
      </c>
      <c r="U767" s="120">
        <f>'[3]JCPL LP_GSCSMS'!K748</f>
        <v>0</v>
      </c>
      <c r="V767" s="91"/>
    </row>
    <row r="768" spans="1:22" x14ac:dyDescent="0.2">
      <c r="A768" s="48">
        <f t="shared" si="23"/>
        <v>760</v>
      </c>
      <c r="B768" s="43">
        <v>21</v>
      </c>
      <c r="C768" s="43">
        <v>20</v>
      </c>
      <c r="D768" s="38" t="s">
        <v>619</v>
      </c>
      <c r="E768" s="44" t="s">
        <v>163</v>
      </c>
      <c r="F768" s="44" t="s">
        <v>5</v>
      </c>
      <c r="G768" s="44" t="s">
        <v>108</v>
      </c>
      <c r="H768" s="44" t="s">
        <v>164</v>
      </c>
      <c r="I768" s="44" t="s">
        <v>165</v>
      </c>
      <c r="J768" s="44" t="s">
        <v>7</v>
      </c>
      <c r="K768" s="44" t="s">
        <v>123</v>
      </c>
      <c r="L768" s="40">
        <v>1137</v>
      </c>
      <c r="M768" s="41">
        <v>41339</v>
      </c>
      <c r="N768" s="40" t="s">
        <v>110</v>
      </c>
      <c r="O768" s="42"/>
      <c r="P768" s="40"/>
      <c r="Q768" s="120">
        <f>'[3]MetEd RC_GSLFMS'!G748</f>
        <v>0</v>
      </c>
      <c r="R768" s="120">
        <f>'[3]MetEd RC_GSLFMS'!H748</f>
        <v>0</v>
      </c>
      <c r="S768" s="120">
        <f>'[3]MetEd RC_GSLFMS'!I748</f>
        <v>0</v>
      </c>
      <c r="T768" s="120">
        <f>'[3]MetEd RC_GSLFMS'!J748</f>
        <v>0</v>
      </c>
      <c r="U768" s="120">
        <f>'[3]MetEd RC_GSLFMS'!K748</f>
        <v>0</v>
      </c>
      <c r="V768" s="91"/>
    </row>
    <row r="769" spans="1:22" x14ac:dyDescent="0.2">
      <c r="A769" s="48">
        <f t="shared" si="23"/>
        <v>761</v>
      </c>
      <c r="B769" s="43">
        <v>21</v>
      </c>
      <c r="C769" s="43">
        <v>21</v>
      </c>
      <c r="D769" s="38" t="s">
        <v>620</v>
      </c>
      <c r="E769" s="44" t="s">
        <v>167</v>
      </c>
      <c r="F769" s="44" t="s">
        <v>5</v>
      </c>
      <c r="G769" s="44" t="s">
        <v>108</v>
      </c>
      <c r="H769" s="44" t="s">
        <v>164</v>
      </c>
      <c r="I769" s="44" t="s">
        <v>165</v>
      </c>
      <c r="J769" s="44" t="s">
        <v>8</v>
      </c>
      <c r="K769" s="44" t="s">
        <v>120</v>
      </c>
      <c r="L769" s="40">
        <v>1136</v>
      </c>
      <c r="M769" s="41">
        <v>41339</v>
      </c>
      <c r="N769" s="40" t="s">
        <v>110</v>
      </c>
      <c r="O769" s="42"/>
      <c r="P769" s="40"/>
      <c r="Q769" s="120">
        <f>'[3]MetEd RC_GSDFMS'!G748</f>
        <v>0</v>
      </c>
      <c r="R769" s="120">
        <f>'[3]MetEd RC_GSDFMS'!H748</f>
        <v>0</v>
      </c>
      <c r="S769" s="120">
        <f>'[3]MetEd RC_GSDFMS'!I748</f>
        <v>0</v>
      </c>
      <c r="T769" s="120">
        <f>'[3]MetEd RC_GSDFMS'!J748</f>
        <v>0</v>
      </c>
      <c r="U769" s="120">
        <f>'[3]MetEd RC_GSDFMS'!K748</f>
        <v>0</v>
      </c>
      <c r="V769" s="91"/>
    </row>
    <row r="770" spans="1:22" x14ac:dyDescent="0.2">
      <c r="A770" s="48">
        <f t="shared" si="23"/>
        <v>762</v>
      </c>
      <c r="B770" s="43">
        <v>21</v>
      </c>
      <c r="C770" s="43">
        <v>22</v>
      </c>
      <c r="D770" s="38" t="s">
        <v>621</v>
      </c>
      <c r="E770" s="44" t="s">
        <v>169</v>
      </c>
      <c r="F770" s="44" t="s">
        <v>5</v>
      </c>
      <c r="G770" s="44" t="s">
        <v>108</v>
      </c>
      <c r="H770" s="44" t="s">
        <v>164</v>
      </c>
      <c r="I770" s="44" t="s">
        <v>165</v>
      </c>
      <c r="J770" s="44" t="s">
        <v>9</v>
      </c>
      <c r="K770" s="44" t="s">
        <v>117</v>
      </c>
      <c r="L770" s="40">
        <v>1138</v>
      </c>
      <c r="M770" s="41">
        <v>41339</v>
      </c>
      <c r="N770" s="40" t="s">
        <v>110</v>
      </c>
      <c r="O770" s="42"/>
      <c r="P770" s="40"/>
      <c r="Q770" s="120">
        <f>'[3]MetEd RC_GSSFMS'!G748</f>
        <v>0</v>
      </c>
      <c r="R770" s="120">
        <f>'[3]MetEd RC_GSSFMS'!H748</f>
        <v>0</v>
      </c>
      <c r="S770" s="120">
        <f>'[3]MetEd RC_GSSFMS'!I748</f>
        <v>0</v>
      </c>
      <c r="T770" s="120">
        <f>'[3]MetEd RC_GSSFMS'!J748</f>
        <v>0</v>
      </c>
      <c r="U770" s="120">
        <f>'[3]MetEd RC_GSSFMS'!K748</f>
        <v>0</v>
      </c>
      <c r="V770" s="91"/>
    </row>
    <row r="771" spans="1:22" x14ac:dyDescent="0.2">
      <c r="A771" s="48">
        <f t="shared" si="23"/>
        <v>763</v>
      </c>
      <c r="B771" s="43">
        <v>21</v>
      </c>
      <c r="C771" s="43">
        <v>23</v>
      </c>
      <c r="D771" s="38" t="s">
        <v>622</v>
      </c>
      <c r="E771" s="44" t="s">
        <v>171</v>
      </c>
      <c r="F771" s="44" t="s">
        <v>5</v>
      </c>
      <c r="G771" s="44" t="s">
        <v>108</v>
      </c>
      <c r="H771" s="44" t="s">
        <v>11</v>
      </c>
      <c r="I771" s="44" t="s">
        <v>11</v>
      </c>
      <c r="J771" s="44" t="s">
        <v>6</v>
      </c>
      <c r="K771" s="44" t="s">
        <v>128</v>
      </c>
      <c r="L771" s="40">
        <v>1139</v>
      </c>
      <c r="M771" s="41">
        <v>41339</v>
      </c>
      <c r="N771" s="40" t="s">
        <v>110</v>
      </c>
      <c r="O771" s="42"/>
      <c r="P771" s="40"/>
      <c r="Q771" s="120">
        <f>'[3]PECO LP_GSMS'!G748</f>
        <v>0</v>
      </c>
      <c r="R771" s="120">
        <f>'[3]PECO LP_GSMS'!H748</f>
        <v>0</v>
      </c>
      <c r="S771" s="120">
        <f>'[3]PECO LP_GSMS'!I748</f>
        <v>0</v>
      </c>
      <c r="T771" s="120">
        <f>'[3]PECO LP_GSMS'!J748</f>
        <v>0</v>
      </c>
      <c r="U771" s="120">
        <f>'[3]PECO LP_GSMS'!K748</f>
        <v>0</v>
      </c>
      <c r="V771" s="91"/>
    </row>
    <row r="772" spans="1:22" x14ac:dyDescent="0.2">
      <c r="A772" s="48">
        <f t="shared" si="23"/>
        <v>764</v>
      </c>
      <c r="B772" s="43">
        <v>21</v>
      </c>
      <c r="C772" s="43">
        <v>24</v>
      </c>
      <c r="D772" s="38" t="s">
        <v>623</v>
      </c>
      <c r="E772" s="44" t="s">
        <v>173</v>
      </c>
      <c r="F772" s="44" t="s">
        <v>5</v>
      </c>
      <c r="G772" s="44" t="s">
        <v>108</v>
      </c>
      <c r="H772" s="44" t="s">
        <v>10</v>
      </c>
      <c r="I772" s="44" t="s">
        <v>174</v>
      </c>
      <c r="J772" s="44" t="s">
        <v>7</v>
      </c>
      <c r="K772" s="44" t="s">
        <v>123</v>
      </c>
      <c r="L772" s="40">
        <v>1140</v>
      </c>
      <c r="M772" s="41">
        <v>41339</v>
      </c>
      <c r="N772" s="40" t="s">
        <v>110</v>
      </c>
      <c r="O772" s="42"/>
      <c r="P772" s="40"/>
      <c r="Q772" s="120">
        <f>'[3]Penelec RC_GSLFMS'!G748</f>
        <v>0</v>
      </c>
      <c r="R772" s="120">
        <f>'[3]Penelec RC_GSLFMS'!H748</f>
        <v>0</v>
      </c>
      <c r="S772" s="120">
        <f>'[3]Penelec RC_GSLFMS'!I748</f>
        <v>0</v>
      </c>
      <c r="T772" s="120">
        <f>'[3]Penelec RC_GSLFMS'!J748</f>
        <v>0</v>
      </c>
      <c r="U772" s="120">
        <f>'[3]Penelec RC_GSLFMS'!K748</f>
        <v>0</v>
      </c>
      <c r="V772" s="91"/>
    </row>
    <row r="773" spans="1:22" x14ac:dyDescent="0.2">
      <c r="A773" s="48">
        <f t="shared" si="23"/>
        <v>765</v>
      </c>
      <c r="B773" s="43">
        <v>21</v>
      </c>
      <c r="C773" s="43">
        <v>25</v>
      </c>
      <c r="D773" s="38" t="s">
        <v>624</v>
      </c>
      <c r="E773" s="44" t="s">
        <v>176</v>
      </c>
      <c r="F773" s="44" t="s">
        <v>5</v>
      </c>
      <c r="G773" s="44" t="s">
        <v>108</v>
      </c>
      <c r="H773" s="44" t="s">
        <v>10</v>
      </c>
      <c r="I773" s="44" t="s">
        <v>174</v>
      </c>
      <c r="J773" s="44" t="s">
        <v>8</v>
      </c>
      <c r="K773" s="44" t="s">
        <v>120</v>
      </c>
      <c r="L773" s="40">
        <v>1141</v>
      </c>
      <c r="M773" s="41">
        <v>41339</v>
      </c>
      <c r="N773" s="40" t="s">
        <v>110</v>
      </c>
      <c r="O773" s="42"/>
      <c r="P773" s="40"/>
      <c r="Q773" s="120">
        <f>'[3]Penelec RC_GSMFMS'!G748</f>
        <v>0</v>
      </c>
      <c r="R773" s="120">
        <f>'[3]Penelec RC_GSMFMS'!H748</f>
        <v>0</v>
      </c>
      <c r="S773" s="120">
        <f>'[3]Penelec RC_GSMFMS'!I748</f>
        <v>0</v>
      </c>
      <c r="T773" s="120">
        <f>'[3]Penelec RC_GSMFMS'!J748</f>
        <v>0</v>
      </c>
      <c r="U773" s="120">
        <f>'[3]Penelec RC_GSMFMS'!K748</f>
        <v>0</v>
      </c>
      <c r="V773" s="91"/>
    </row>
    <row r="774" spans="1:22" x14ac:dyDescent="0.2">
      <c r="A774" s="48">
        <f t="shared" si="23"/>
        <v>766</v>
      </c>
      <c r="B774" s="43">
        <v>21</v>
      </c>
      <c r="C774" s="43">
        <v>26</v>
      </c>
      <c r="D774" s="38" t="s">
        <v>625</v>
      </c>
      <c r="E774" s="44" t="s">
        <v>178</v>
      </c>
      <c r="F774" s="44" t="s">
        <v>5</v>
      </c>
      <c r="G774" s="44" t="s">
        <v>108</v>
      </c>
      <c r="H774" s="44" t="s">
        <v>10</v>
      </c>
      <c r="I774" s="44" t="s">
        <v>174</v>
      </c>
      <c r="J774" s="44" t="s">
        <v>9</v>
      </c>
      <c r="K774" s="44" t="s">
        <v>117</v>
      </c>
      <c r="L774" s="40">
        <v>1142</v>
      </c>
      <c r="M774" s="41">
        <v>41339</v>
      </c>
      <c r="N774" s="40" t="s">
        <v>110</v>
      </c>
      <c r="O774" s="42"/>
      <c r="P774" s="40"/>
      <c r="Q774" s="120">
        <f>'[3]Penelec RC_GSSFMS'!G748</f>
        <v>0</v>
      </c>
      <c r="R774" s="120">
        <f>'[3]Penelec RC_GSSFMS'!H748</f>
        <v>0</v>
      </c>
      <c r="S774" s="120">
        <f>'[3]Penelec RC_GSSFMS'!I748</f>
        <v>0</v>
      </c>
      <c r="T774" s="120">
        <f>'[3]Penelec RC_GSSFMS'!J748</f>
        <v>0</v>
      </c>
      <c r="U774" s="120">
        <f>'[3]Penelec RC_GSSFMS'!K748</f>
        <v>0</v>
      </c>
      <c r="V774" s="91"/>
    </row>
    <row r="775" spans="1:22" x14ac:dyDescent="0.2">
      <c r="A775" s="48">
        <f t="shared" si="23"/>
        <v>767</v>
      </c>
      <c r="B775" s="43">
        <v>21</v>
      </c>
      <c r="C775" s="43">
        <v>27</v>
      </c>
      <c r="D775" s="38" t="s">
        <v>626</v>
      </c>
      <c r="E775" s="44" t="s">
        <v>180</v>
      </c>
      <c r="F775" s="44" t="s">
        <v>5</v>
      </c>
      <c r="G775" s="44" t="s">
        <v>108</v>
      </c>
      <c r="H775" s="44" t="s">
        <v>91</v>
      </c>
      <c r="I775" s="44" t="s">
        <v>181</v>
      </c>
      <c r="J775" s="44" t="s">
        <v>6</v>
      </c>
      <c r="K775" s="44" t="s">
        <v>128</v>
      </c>
      <c r="L775" s="40">
        <v>1143</v>
      </c>
      <c r="M775" s="41">
        <v>41339</v>
      </c>
      <c r="N775" s="40" t="s">
        <v>110</v>
      </c>
      <c r="O775" s="42"/>
      <c r="P775" s="40"/>
      <c r="Q775" s="120">
        <f>'[3]Penn Power RC_GMDMS'!G748</f>
        <v>0</v>
      </c>
      <c r="R775" s="120">
        <f>'[3]Penn Power RC_GMDMS'!H748</f>
        <v>0</v>
      </c>
      <c r="S775" s="120">
        <f>'[3]Penn Power RC_GMDMS'!I748</f>
        <v>0</v>
      </c>
      <c r="T775" s="120">
        <f>'[3]Penn Power RC_GMDMS'!J748</f>
        <v>0</v>
      </c>
      <c r="U775" s="120">
        <f>'[3]Penn Power RC_GMDMS'!K748</f>
        <v>0</v>
      </c>
      <c r="V775" s="91"/>
    </row>
    <row r="776" spans="1:22" x14ac:dyDescent="0.2">
      <c r="A776" s="48">
        <f t="shared" si="23"/>
        <v>768</v>
      </c>
      <c r="B776" s="43">
        <v>21</v>
      </c>
      <c r="C776" s="43">
        <v>28</v>
      </c>
      <c r="D776" s="38" t="s">
        <v>627</v>
      </c>
      <c r="E776" s="44" t="s">
        <v>183</v>
      </c>
      <c r="F776" s="44" t="s">
        <v>37</v>
      </c>
      <c r="G776" s="44" t="s">
        <v>108</v>
      </c>
      <c r="H776" s="44" t="s">
        <v>42</v>
      </c>
      <c r="I776" s="44" t="s">
        <v>42</v>
      </c>
      <c r="J776" s="44" t="s">
        <v>6</v>
      </c>
      <c r="K776" s="44" t="s">
        <v>128</v>
      </c>
      <c r="L776" s="40">
        <v>1144</v>
      </c>
      <c r="M776" s="41">
        <v>41339</v>
      </c>
      <c r="N776" s="40" t="s">
        <v>110</v>
      </c>
      <c r="O776" s="42"/>
      <c r="P776" s="40"/>
      <c r="Q776" s="120">
        <f>'[3]PEPCO MD LP_MDNDMS'!G748</f>
        <v>0</v>
      </c>
      <c r="R776" s="120">
        <f>'[3]PEPCO MD LP_MDNDMS'!H748</f>
        <v>0</v>
      </c>
      <c r="S776" s="120">
        <f>'[3]PEPCO MD LP_MDNDMS'!I748</f>
        <v>0</v>
      </c>
      <c r="T776" s="120">
        <f>'[3]PEPCO MD LP_MDNDMS'!J748</f>
        <v>0</v>
      </c>
      <c r="U776" s="120">
        <f>'[3]PEPCO MD LP_MDNDMS'!K748</f>
        <v>0</v>
      </c>
      <c r="V776" s="91"/>
    </row>
    <row r="777" spans="1:22" x14ac:dyDescent="0.2">
      <c r="A777" s="48">
        <f t="shared" si="23"/>
        <v>769</v>
      </c>
      <c r="B777" s="43">
        <v>21</v>
      </c>
      <c r="C777" s="43">
        <v>29</v>
      </c>
      <c r="D777" s="38" t="s">
        <v>628</v>
      </c>
      <c r="E777" s="44" t="s">
        <v>185</v>
      </c>
      <c r="F777" s="44" t="s">
        <v>37</v>
      </c>
      <c r="G777" s="44" t="s">
        <v>108</v>
      </c>
      <c r="H777" s="44" t="s">
        <v>42</v>
      </c>
      <c r="I777" s="44" t="s">
        <v>42</v>
      </c>
      <c r="J777" s="44" t="s">
        <v>43</v>
      </c>
      <c r="K777" s="44" t="s">
        <v>186</v>
      </c>
      <c r="L777" s="40">
        <v>1145</v>
      </c>
      <c r="M777" s="41">
        <v>41339</v>
      </c>
      <c r="N777" s="40" t="s">
        <v>110</v>
      </c>
      <c r="O777" s="42"/>
      <c r="P777" s="40"/>
      <c r="Q777" s="120">
        <f>'[3]PEPCO MD LP_MMGTL2AMS'!G748</f>
        <v>0</v>
      </c>
      <c r="R777" s="120">
        <f>'[3]PEPCO MD LP_MMGTL2AMS'!H748</f>
        <v>0</v>
      </c>
      <c r="S777" s="120">
        <f>'[3]PEPCO MD LP_MMGTL2AMS'!I748</f>
        <v>0</v>
      </c>
      <c r="T777" s="120">
        <f>'[3]PEPCO MD LP_MMGTL2AMS'!J748</f>
        <v>0</v>
      </c>
      <c r="U777" s="120">
        <f>'[3]PEPCO MD LP_MMGTL2AMS'!K748</f>
        <v>0</v>
      </c>
      <c r="V777" s="91"/>
    </row>
    <row r="778" spans="1:22" x14ac:dyDescent="0.2">
      <c r="A778" s="48">
        <f t="shared" si="23"/>
        <v>770</v>
      </c>
      <c r="B778" s="43">
        <v>21</v>
      </c>
      <c r="C778" s="43">
        <v>30</v>
      </c>
      <c r="D778" s="38" t="s">
        <v>629</v>
      </c>
      <c r="E778" s="44" t="s">
        <v>188</v>
      </c>
      <c r="F778" s="44" t="s">
        <v>37</v>
      </c>
      <c r="G778" s="44" t="s">
        <v>108</v>
      </c>
      <c r="H778" s="44" t="s">
        <v>42</v>
      </c>
      <c r="I778" s="44" t="s">
        <v>42</v>
      </c>
      <c r="J778" s="44" t="s">
        <v>44</v>
      </c>
      <c r="K778" s="44" t="s">
        <v>44</v>
      </c>
      <c r="L778" s="40">
        <v>1146</v>
      </c>
      <c r="M778" s="41">
        <v>41339</v>
      </c>
      <c r="N778" s="40" t="s">
        <v>110</v>
      </c>
      <c r="O778" s="42"/>
      <c r="P778" s="40"/>
      <c r="Q778" s="120">
        <f>'[3]PEPCO MD RC_3T7MS'!G748</f>
        <v>0</v>
      </c>
      <c r="R778" s="120">
        <f>'[3]PEPCO MD RC_3T7MS'!H748</f>
        <v>0</v>
      </c>
      <c r="S778" s="120">
        <f>'[3]PEPCO MD RC_3T7MS'!I748</f>
        <v>0</v>
      </c>
      <c r="T778" s="120">
        <f>'[3]PEPCO MD RC_3T7MS'!J748</f>
        <v>0</v>
      </c>
      <c r="U778" s="120">
        <f>'[3]PEPCO MD RC_3T7MS'!K748</f>
        <v>0</v>
      </c>
      <c r="V778" s="91"/>
    </row>
    <row r="779" spans="1:22" x14ac:dyDescent="0.2">
      <c r="A779" s="48">
        <f t="shared" ref="A779:A842" si="24">A778+1</f>
        <v>771</v>
      </c>
      <c r="B779" s="43">
        <v>21</v>
      </c>
      <c r="C779" s="43">
        <v>31</v>
      </c>
      <c r="D779" s="38" t="s">
        <v>630</v>
      </c>
      <c r="E779" s="44" t="s">
        <v>190</v>
      </c>
      <c r="F779" s="44" t="s">
        <v>37</v>
      </c>
      <c r="G779" s="44" t="s">
        <v>108</v>
      </c>
      <c r="H779" s="44" t="s">
        <v>45</v>
      </c>
      <c r="I779" s="44" t="s">
        <v>45</v>
      </c>
      <c r="J779" s="44" t="s">
        <v>6</v>
      </c>
      <c r="K779" s="44" t="s">
        <v>128</v>
      </c>
      <c r="L779" s="40">
        <v>1147</v>
      </c>
      <c r="M779" s="41">
        <v>41339</v>
      </c>
      <c r="N779" s="40" t="s">
        <v>110</v>
      </c>
      <c r="O779" s="42"/>
      <c r="P779" s="40"/>
      <c r="Q779" s="120">
        <f>'[3]Potomac Edison LP_GSCM_MMS'!G748</f>
        <v>0</v>
      </c>
      <c r="R779" s="120">
        <f>'[3]Potomac Edison LP_GSCM_MMS'!H748</f>
        <v>0</v>
      </c>
      <c r="S779" s="120">
        <f>'[3]Potomac Edison LP_GSCM_MMS'!I748</f>
        <v>0</v>
      </c>
      <c r="T779" s="120">
        <f>'[3]Potomac Edison LP_GSCM_MMS'!J748</f>
        <v>0</v>
      </c>
      <c r="U779" s="120">
        <f>'[3]Potomac Edison LP_GSCM_MMS'!K748</f>
        <v>0</v>
      </c>
      <c r="V779" s="91"/>
    </row>
    <row r="780" spans="1:22" x14ac:dyDescent="0.2">
      <c r="A780" s="48">
        <f t="shared" si="24"/>
        <v>772</v>
      </c>
      <c r="B780" s="43">
        <v>21</v>
      </c>
      <c r="C780" s="43">
        <v>32</v>
      </c>
      <c r="D780" s="38" t="s">
        <v>631</v>
      </c>
      <c r="E780" s="44" t="s">
        <v>192</v>
      </c>
      <c r="F780" s="44" t="s">
        <v>5</v>
      </c>
      <c r="G780" s="44" t="s">
        <v>108</v>
      </c>
      <c r="H780" s="44" t="s">
        <v>12</v>
      </c>
      <c r="I780" s="44" t="s">
        <v>12</v>
      </c>
      <c r="J780" s="44" t="s">
        <v>13</v>
      </c>
      <c r="K780" s="44" t="s">
        <v>117</v>
      </c>
      <c r="L780" s="40">
        <v>1148</v>
      </c>
      <c r="M780" s="41">
        <v>41339</v>
      </c>
      <c r="N780" s="40" t="s">
        <v>110</v>
      </c>
      <c r="O780" s="42"/>
      <c r="P780" s="40"/>
      <c r="Q780" s="120">
        <f>[3]PPL_RCGS1MS!G748</f>
        <v>0</v>
      </c>
      <c r="R780" s="120">
        <f>[3]PPL_RCGS1MS!H748</f>
        <v>0</v>
      </c>
      <c r="S780" s="120">
        <f>[3]PPL_RCGS1MS!I748</f>
        <v>0</v>
      </c>
      <c r="T780" s="120">
        <f>[3]PPL_RCGS1MS!J748</f>
        <v>0</v>
      </c>
      <c r="U780" s="120">
        <f>[3]PPL_RCGS1MS!K748</f>
        <v>0</v>
      </c>
      <c r="V780" s="91"/>
    </row>
    <row r="781" spans="1:22" x14ac:dyDescent="0.2">
      <c r="A781" s="48">
        <f t="shared" si="24"/>
        <v>773</v>
      </c>
      <c r="B781" s="43">
        <v>21</v>
      </c>
      <c r="C781" s="43">
        <v>33</v>
      </c>
      <c r="D781" s="38" t="s">
        <v>632</v>
      </c>
      <c r="E781" s="44" t="s">
        <v>194</v>
      </c>
      <c r="F781" s="44" t="s">
        <v>5</v>
      </c>
      <c r="G781" s="44" t="s">
        <v>108</v>
      </c>
      <c r="H781" s="44" t="s">
        <v>12</v>
      </c>
      <c r="I781" s="44" t="s">
        <v>12</v>
      </c>
      <c r="J781" s="44" t="s">
        <v>14</v>
      </c>
      <c r="K781" s="44" t="s">
        <v>123</v>
      </c>
      <c r="L781" s="40">
        <v>1149</v>
      </c>
      <c r="M781" s="41">
        <v>41339</v>
      </c>
      <c r="N781" s="40" t="s">
        <v>110</v>
      </c>
      <c r="O781" s="42"/>
      <c r="P781" s="40"/>
      <c r="Q781" s="120">
        <f>[3]PPL_RCGS3MS!G748</f>
        <v>0</v>
      </c>
      <c r="R781" s="120">
        <f>[3]PPL_RCGS3MS!H748</f>
        <v>0</v>
      </c>
      <c r="S781" s="120">
        <f>[3]PPL_RCGS3MS!I748</f>
        <v>0</v>
      </c>
      <c r="T781" s="120">
        <f>[3]PPL_RCGS3MS!J748</f>
        <v>0</v>
      </c>
      <c r="U781" s="120">
        <f>[3]PPL_RCGS3MS!K748</f>
        <v>0</v>
      </c>
      <c r="V781" s="91"/>
    </row>
    <row r="782" spans="1:22" x14ac:dyDescent="0.2">
      <c r="A782" s="48">
        <f t="shared" si="24"/>
        <v>774</v>
      </c>
      <c r="B782" s="43">
        <v>21</v>
      </c>
      <c r="C782" s="43">
        <v>34</v>
      </c>
      <c r="D782" s="38" t="s">
        <v>633</v>
      </c>
      <c r="E782" s="44" t="s">
        <v>196</v>
      </c>
      <c r="F782" s="44" t="s">
        <v>29</v>
      </c>
      <c r="G782" s="44" t="s">
        <v>108</v>
      </c>
      <c r="H782" s="44" t="s">
        <v>34</v>
      </c>
      <c r="I782" s="44" t="s">
        <v>34</v>
      </c>
      <c r="J782" s="44" t="s">
        <v>35</v>
      </c>
      <c r="K782" s="44" t="s">
        <v>197</v>
      </c>
      <c r="L782" s="40">
        <v>1150</v>
      </c>
      <c r="M782" s="41">
        <v>41339</v>
      </c>
      <c r="N782" s="40" t="s">
        <v>110</v>
      </c>
      <c r="O782" s="42"/>
      <c r="P782" s="40"/>
      <c r="Q782" s="120">
        <f>'[3]PSEG LP_GLP_MMS'!G748</f>
        <v>0</v>
      </c>
      <c r="R782" s="120">
        <f>'[3]PSEG LP_GLP_MMS'!H748</f>
        <v>0</v>
      </c>
      <c r="S782" s="120">
        <f>'[3]PSEG LP_GLP_MMS'!I748</f>
        <v>0</v>
      </c>
      <c r="T782" s="120">
        <f>'[3]PSEG LP_GLP_MMS'!J748</f>
        <v>0</v>
      </c>
      <c r="U782" s="120">
        <f>'[3]PSEG LP_GLP_MMS'!K748</f>
        <v>0</v>
      </c>
      <c r="V782" s="91"/>
    </row>
    <row r="783" spans="1:22" x14ac:dyDescent="0.2">
      <c r="A783" s="48">
        <f t="shared" si="24"/>
        <v>775</v>
      </c>
      <c r="B783" s="43">
        <v>21</v>
      </c>
      <c r="C783" s="43">
        <v>35</v>
      </c>
      <c r="D783" s="38" t="s">
        <v>634</v>
      </c>
      <c r="E783" s="44" t="s">
        <v>199</v>
      </c>
      <c r="F783" s="44" t="s">
        <v>29</v>
      </c>
      <c r="G783" s="44" t="s">
        <v>108</v>
      </c>
      <c r="H783" s="44" t="s">
        <v>34</v>
      </c>
      <c r="I783" s="44" t="s">
        <v>34</v>
      </c>
      <c r="J783" s="44" t="s">
        <v>36</v>
      </c>
      <c r="K783" s="44" t="s">
        <v>200</v>
      </c>
      <c r="L783" s="40">
        <v>1151</v>
      </c>
      <c r="M783" s="41">
        <v>41339</v>
      </c>
      <c r="N783" s="40" t="s">
        <v>110</v>
      </c>
      <c r="O783" s="42"/>
      <c r="P783" s="40"/>
      <c r="Q783" s="120">
        <f>'[3]PSEG LP_LPLMS'!G748</f>
        <v>0</v>
      </c>
      <c r="R783" s="120">
        <f>'[3]PSEG LP_LPLMS'!H748</f>
        <v>0</v>
      </c>
      <c r="S783" s="120">
        <f>'[3]PSEG LP_LPLMS'!I748</f>
        <v>0</v>
      </c>
      <c r="T783" s="120">
        <f>'[3]PSEG LP_LPLMS'!J748</f>
        <v>0</v>
      </c>
      <c r="U783" s="120">
        <f>'[3]PSEG LP_LPLMS'!K748</f>
        <v>0</v>
      </c>
      <c r="V783" s="91"/>
    </row>
    <row r="784" spans="1:22" x14ac:dyDescent="0.2">
      <c r="A784" s="48">
        <f t="shared" si="24"/>
        <v>776</v>
      </c>
      <c r="B784" s="43">
        <v>21</v>
      </c>
      <c r="C784" s="43">
        <v>36</v>
      </c>
      <c r="D784" s="38" t="s">
        <v>635</v>
      </c>
      <c r="E784" s="44" t="s">
        <v>202</v>
      </c>
      <c r="F784" s="44" t="s">
        <v>5</v>
      </c>
      <c r="G784" s="44" t="s">
        <v>108</v>
      </c>
      <c r="H784" s="44" t="s">
        <v>15</v>
      </c>
      <c r="I784" s="44" t="s">
        <v>203</v>
      </c>
      <c r="J784" s="44" t="s">
        <v>16</v>
      </c>
      <c r="K784" s="44" t="s">
        <v>128</v>
      </c>
      <c r="L784" s="40">
        <v>1152</v>
      </c>
      <c r="M784" s="41">
        <v>41339</v>
      </c>
      <c r="N784" s="40" t="s">
        <v>110</v>
      </c>
      <c r="O784" s="42"/>
      <c r="P784" s="40"/>
      <c r="Q784" s="120">
        <f>'[3]West Penn Power LP_GSCMMS'!G748</f>
        <v>0</v>
      </c>
      <c r="R784" s="120">
        <f>'[3]West Penn Power LP_GSCMMS'!H748</f>
        <v>0</v>
      </c>
      <c r="S784" s="120">
        <f>'[3]West Penn Power LP_GSCMMS'!I748</f>
        <v>0</v>
      </c>
      <c r="T784" s="120">
        <f>'[3]West Penn Power LP_GSCMMS'!J748</f>
        <v>0</v>
      </c>
      <c r="U784" s="120">
        <f>'[3]West Penn Power LP_GSCMMS'!K748</f>
        <v>0</v>
      </c>
      <c r="V784" s="91"/>
    </row>
    <row r="785" spans="1:22" x14ac:dyDescent="0.2">
      <c r="A785" s="48">
        <f t="shared" si="24"/>
        <v>777</v>
      </c>
      <c r="B785" s="20"/>
      <c r="C785" s="20"/>
      <c r="D785" s="20"/>
      <c r="Q785" s="121"/>
      <c r="R785" s="121"/>
      <c r="S785" s="121"/>
      <c r="T785" s="121"/>
      <c r="U785" s="121"/>
    </row>
    <row r="786" spans="1:22" x14ac:dyDescent="0.2">
      <c r="A786" s="48">
        <f t="shared" si="24"/>
        <v>778</v>
      </c>
      <c r="B786" s="43">
        <v>22</v>
      </c>
      <c r="C786" s="43">
        <v>1</v>
      </c>
      <c r="D786" s="38" t="s">
        <v>600</v>
      </c>
      <c r="E786" s="44" t="s">
        <v>107</v>
      </c>
      <c r="F786" s="44" t="s">
        <v>29</v>
      </c>
      <c r="G786" s="44" t="s">
        <v>108</v>
      </c>
      <c r="H786" s="44" t="s">
        <v>30</v>
      </c>
      <c r="I786" s="44" t="s">
        <v>30</v>
      </c>
      <c r="J786" s="44" t="s">
        <v>31</v>
      </c>
      <c r="K786" s="44" t="s">
        <v>109</v>
      </c>
      <c r="L786" s="40">
        <v>1117</v>
      </c>
      <c r="M786" s="41">
        <v>41339</v>
      </c>
      <c r="N786" s="40" t="s">
        <v>110</v>
      </c>
      <c r="O786" s="42"/>
      <c r="P786" s="40"/>
      <c r="Q786" s="120">
        <f>'[3]AECO LP_10V1_SMS'!G785</f>
        <v>0</v>
      </c>
      <c r="R786" s="120">
        <f>'[3]AECO LP_10V1_SMS'!H785</f>
        <v>0</v>
      </c>
      <c r="S786" s="120">
        <f>'[3]AECO LP_10V1_SMS'!I785</f>
        <v>0</v>
      </c>
      <c r="T786" s="120">
        <f>'[3]AECO LP_10V1_SMS'!J785</f>
        <v>0</v>
      </c>
      <c r="U786" s="120">
        <f>'[3]AECO LP_10V1_SMS'!K785</f>
        <v>0</v>
      </c>
      <c r="V786" s="91"/>
    </row>
    <row r="787" spans="1:22" x14ac:dyDescent="0.2">
      <c r="A787" s="48">
        <f t="shared" si="24"/>
        <v>779</v>
      </c>
      <c r="B787" s="43">
        <v>22</v>
      </c>
      <c r="C787" s="43">
        <v>2</v>
      </c>
      <c r="D787" s="38" t="s">
        <v>601</v>
      </c>
      <c r="E787" s="44" t="s">
        <v>112</v>
      </c>
      <c r="F787" s="44" t="s">
        <v>29</v>
      </c>
      <c r="G787" s="44" t="s">
        <v>108</v>
      </c>
      <c r="H787" s="44" t="s">
        <v>30</v>
      </c>
      <c r="I787" s="44" t="s">
        <v>30</v>
      </c>
      <c r="J787" s="44" t="s">
        <v>32</v>
      </c>
      <c r="K787" s="44" t="s">
        <v>113</v>
      </c>
      <c r="L787" s="40">
        <v>1118</v>
      </c>
      <c r="M787" s="41">
        <v>41339</v>
      </c>
      <c r="N787" s="40" t="s">
        <v>110</v>
      </c>
      <c r="O787" s="42"/>
      <c r="P787" s="40"/>
      <c r="Q787" s="120">
        <f>'[3]AECO LP_14V1_MMS'!G785</f>
        <v>0</v>
      </c>
      <c r="R787" s="120">
        <f>'[3]AECO LP_14V1_MMS'!H785</f>
        <v>0</v>
      </c>
      <c r="S787" s="120">
        <f>'[3]AECO LP_14V1_MMS'!I785</f>
        <v>0</v>
      </c>
      <c r="T787" s="120">
        <f>'[3]AECO LP_14V1_MMS'!J785</f>
        <v>0</v>
      </c>
      <c r="U787" s="120">
        <f>'[3]AECO LP_14V1_MMS'!K785</f>
        <v>0</v>
      </c>
      <c r="V787" s="91"/>
    </row>
    <row r="788" spans="1:22" x14ac:dyDescent="0.2">
      <c r="A788" s="48">
        <f t="shared" si="24"/>
        <v>780</v>
      </c>
      <c r="B788" s="43">
        <v>22</v>
      </c>
      <c r="C788" s="43">
        <v>3</v>
      </c>
      <c r="D788" s="38" t="s">
        <v>602</v>
      </c>
      <c r="E788" s="44" t="s">
        <v>115</v>
      </c>
      <c r="F788" s="44" t="s">
        <v>18</v>
      </c>
      <c r="G788" s="44" t="s">
        <v>108</v>
      </c>
      <c r="H788" s="44" t="s">
        <v>61</v>
      </c>
      <c r="I788" s="44" t="s">
        <v>116</v>
      </c>
      <c r="J788" s="44" t="s">
        <v>13</v>
      </c>
      <c r="K788" s="44" t="s">
        <v>117</v>
      </c>
      <c r="L788" s="40">
        <v>1119</v>
      </c>
      <c r="M788" s="41">
        <v>41339</v>
      </c>
      <c r="N788" s="40" t="s">
        <v>110</v>
      </c>
      <c r="O788" s="42"/>
      <c r="P788" s="40"/>
      <c r="Q788" s="120">
        <f>'[3]AEP_OH_CS - test CSGS1MS'!G785</f>
        <v>0</v>
      </c>
      <c r="R788" s="120">
        <f>'[3]AEP_OH_CS - test CSGS1MS'!H785</f>
        <v>0</v>
      </c>
      <c r="S788" s="120">
        <f>'[3]AEP_OH_CS - test CSGS1MS'!I785</f>
        <v>0</v>
      </c>
      <c r="T788" s="120">
        <f>'[3]AEP_OH_CS - test CSGS1MS'!J785</f>
        <v>0</v>
      </c>
      <c r="U788" s="120">
        <f>'[3]AEP_OH_CS - test CSGS1MS'!K785</f>
        <v>0</v>
      </c>
      <c r="V788" s="91"/>
    </row>
    <row r="789" spans="1:22" x14ac:dyDescent="0.2">
      <c r="A789" s="48">
        <f t="shared" si="24"/>
        <v>781</v>
      </c>
      <c r="B789" s="43">
        <v>22</v>
      </c>
      <c r="C789" s="43">
        <v>4</v>
      </c>
      <c r="D789" s="38" t="s">
        <v>603</v>
      </c>
      <c r="E789" s="44" t="s">
        <v>119</v>
      </c>
      <c r="F789" s="44" t="s">
        <v>18</v>
      </c>
      <c r="G789" s="44" t="s">
        <v>108</v>
      </c>
      <c r="H789" s="44" t="s">
        <v>61</v>
      </c>
      <c r="I789" s="44" t="s">
        <v>116</v>
      </c>
      <c r="J789" s="44" t="s">
        <v>19</v>
      </c>
      <c r="K789" s="44" t="s">
        <v>120</v>
      </c>
      <c r="L789" s="40">
        <v>1120</v>
      </c>
      <c r="M789" s="41">
        <v>41339</v>
      </c>
      <c r="N789" s="40" t="s">
        <v>110</v>
      </c>
      <c r="O789" s="42"/>
      <c r="P789" s="40"/>
      <c r="Q789" s="120">
        <f>'[3]AEP_OH_CS - test CSGS2UMS'!G785</f>
        <v>0</v>
      </c>
      <c r="R789" s="120">
        <f>'[3]AEP_OH_CS - test CSGS2UMS'!H785</f>
        <v>0</v>
      </c>
      <c r="S789" s="120">
        <f>'[3]AEP_OH_CS - test CSGS2UMS'!I785</f>
        <v>0</v>
      </c>
      <c r="T789" s="120">
        <f>'[3]AEP_OH_CS - test CSGS2UMS'!J785</f>
        <v>0</v>
      </c>
      <c r="U789" s="120">
        <f>'[3]AEP_OH_CS - test CSGS2UMS'!K785</f>
        <v>0</v>
      </c>
      <c r="V789" s="91"/>
    </row>
    <row r="790" spans="1:22" x14ac:dyDescent="0.2">
      <c r="A790" s="48">
        <f t="shared" si="24"/>
        <v>782</v>
      </c>
      <c r="B790" s="43">
        <v>22</v>
      </c>
      <c r="C790" s="43">
        <v>5</v>
      </c>
      <c r="D790" s="38" t="s">
        <v>604</v>
      </c>
      <c r="E790" s="44" t="s">
        <v>122</v>
      </c>
      <c r="F790" s="44" t="s">
        <v>18</v>
      </c>
      <c r="G790" s="44" t="s">
        <v>108</v>
      </c>
      <c r="H790" s="44" t="s">
        <v>61</v>
      </c>
      <c r="I790" s="44" t="s">
        <v>116</v>
      </c>
      <c r="J790" s="44" t="s">
        <v>14</v>
      </c>
      <c r="K790" s="44" t="s">
        <v>123</v>
      </c>
      <c r="L790" s="40">
        <v>1121</v>
      </c>
      <c r="M790" s="41">
        <v>41339</v>
      </c>
      <c r="N790" s="40" t="s">
        <v>110</v>
      </c>
      <c r="O790" s="42"/>
      <c r="P790" s="40"/>
      <c r="Q790" s="120">
        <f>'[3]AEP_OH_CS - test CSGS3UMS'!G785</f>
        <v>0</v>
      </c>
      <c r="R790" s="120">
        <f>'[3]AEP_OH_CS - test CSGS3UMS'!H785</f>
        <v>0</v>
      </c>
      <c r="S790" s="120">
        <f>'[3]AEP_OH_CS - test CSGS3UMS'!I785</f>
        <v>0</v>
      </c>
      <c r="T790" s="120">
        <f>'[3]AEP_OH_CS - test CSGS3UMS'!J785</f>
        <v>0</v>
      </c>
      <c r="U790" s="120">
        <f>'[3]AEP_OH_CS - test CSGS3UMS'!K785</f>
        <v>0</v>
      </c>
      <c r="V790" s="91"/>
    </row>
    <row r="791" spans="1:22" x14ac:dyDescent="0.2">
      <c r="A791" s="48">
        <f t="shared" si="24"/>
        <v>783</v>
      </c>
      <c r="B791" s="43">
        <v>22</v>
      </c>
      <c r="C791" s="43">
        <v>6</v>
      </c>
      <c r="D791" s="38" t="s">
        <v>605</v>
      </c>
      <c r="E791" s="44" t="s">
        <v>125</v>
      </c>
      <c r="F791" s="44" t="s">
        <v>23</v>
      </c>
      <c r="G791" s="44" t="s">
        <v>126</v>
      </c>
      <c r="H791" s="44" t="s">
        <v>127</v>
      </c>
      <c r="I791" s="44" t="s">
        <v>27</v>
      </c>
      <c r="J791" s="44" t="s">
        <v>28</v>
      </c>
      <c r="K791" s="44" t="s">
        <v>128</v>
      </c>
      <c r="L791" s="40">
        <v>1122</v>
      </c>
      <c r="M791" s="41">
        <v>41339</v>
      </c>
      <c r="N791" s="40" t="s">
        <v>110</v>
      </c>
      <c r="O791" s="42"/>
      <c r="P791" s="40"/>
      <c r="Q791" s="120">
        <f>'[3]Ameren RateZnIII LP DS2HHMS'!G785</f>
        <v>0</v>
      </c>
      <c r="R791" s="120">
        <f>'[3]Ameren RateZnIII LP DS2HHMS'!H785</f>
        <v>0</v>
      </c>
      <c r="S791" s="120">
        <f>'[3]Ameren RateZnIII LP DS2HHMS'!I785</f>
        <v>0</v>
      </c>
      <c r="T791" s="120">
        <f>'[3]Ameren RateZnIII LP DS2HHMS'!J785</f>
        <v>0</v>
      </c>
      <c r="U791" s="120">
        <f>'[3]Ameren RateZnIII LP DS2HHMS'!K785</f>
        <v>0</v>
      </c>
      <c r="V791" s="91"/>
    </row>
    <row r="792" spans="1:22" x14ac:dyDescent="0.2">
      <c r="A792" s="48">
        <f t="shared" si="24"/>
        <v>784</v>
      </c>
      <c r="B792" s="43">
        <v>22</v>
      </c>
      <c r="C792" s="43">
        <v>7</v>
      </c>
      <c r="D792" s="38" t="s">
        <v>606</v>
      </c>
      <c r="E792" s="44" t="s">
        <v>130</v>
      </c>
      <c r="F792" s="44" t="s">
        <v>37</v>
      </c>
      <c r="G792" s="44" t="s">
        <v>108</v>
      </c>
      <c r="H792" s="44" t="s">
        <v>38</v>
      </c>
      <c r="I792" s="44" t="s">
        <v>38</v>
      </c>
      <c r="J792" s="44" t="s">
        <v>40</v>
      </c>
      <c r="K792" s="44" t="s">
        <v>123</v>
      </c>
      <c r="L792" s="40">
        <v>1124</v>
      </c>
      <c r="M792" s="41">
        <v>41339</v>
      </c>
      <c r="N792" s="40" t="s">
        <v>110</v>
      </c>
      <c r="O792" s="42"/>
      <c r="P792" s="40"/>
      <c r="Q792" s="120">
        <f>'[3]BGE LP_GLMS'!G785</f>
        <v>0</v>
      </c>
      <c r="R792" s="120">
        <f>'[3]BGE LP_GLMS'!H785</f>
        <v>0</v>
      </c>
      <c r="S792" s="120">
        <f>'[3]BGE LP_GLMS'!I785</f>
        <v>0</v>
      </c>
      <c r="T792" s="120">
        <f>'[3]BGE LP_GLMS'!J785</f>
        <v>0</v>
      </c>
      <c r="U792" s="120">
        <f>'[3]BGE LP_GLMS'!K785</f>
        <v>0</v>
      </c>
      <c r="V792" s="91"/>
    </row>
    <row r="793" spans="1:22" x14ac:dyDescent="0.2">
      <c r="A793" s="48">
        <f t="shared" si="24"/>
        <v>785</v>
      </c>
      <c r="B793" s="43">
        <v>22</v>
      </c>
      <c r="C793" s="43">
        <v>8</v>
      </c>
      <c r="D793" s="38" t="s">
        <v>607</v>
      </c>
      <c r="E793" s="44" t="s">
        <v>132</v>
      </c>
      <c r="F793" s="44" t="s">
        <v>37</v>
      </c>
      <c r="G793" s="44" t="s">
        <v>108</v>
      </c>
      <c r="H793" s="44" t="s">
        <v>38</v>
      </c>
      <c r="I793" s="44" t="s">
        <v>38</v>
      </c>
      <c r="J793" s="44" t="s">
        <v>39</v>
      </c>
      <c r="K793" s="44" t="s">
        <v>120</v>
      </c>
      <c r="L793" s="40">
        <v>1123</v>
      </c>
      <c r="M793" s="41">
        <v>41339</v>
      </c>
      <c r="N793" s="40" t="s">
        <v>110</v>
      </c>
      <c r="O793" s="42"/>
      <c r="P793" s="40"/>
      <c r="Q793" s="120">
        <f>'[3]BGE LP_GMS'!G785</f>
        <v>0</v>
      </c>
      <c r="R793" s="120">
        <f>'[3]BGE LP_GMS'!H785</f>
        <v>0</v>
      </c>
      <c r="S793" s="120">
        <f>'[3]BGE LP_GMS'!I785</f>
        <v>0</v>
      </c>
      <c r="T793" s="120">
        <f>'[3]BGE LP_GMS'!J785</f>
        <v>0</v>
      </c>
      <c r="U793" s="120">
        <f>'[3]BGE LP_GMS'!K785</f>
        <v>0</v>
      </c>
      <c r="V793" s="91"/>
    </row>
    <row r="794" spans="1:22" x14ac:dyDescent="0.2">
      <c r="A794" s="48">
        <f t="shared" si="24"/>
        <v>786</v>
      </c>
      <c r="B794" s="43">
        <v>22</v>
      </c>
      <c r="C794" s="43">
        <v>9</v>
      </c>
      <c r="D794" s="38" t="s">
        <v>608</v>
      </c>
      <c r="E794" s="44" t="s">
        <v>134</v>
      </c>
      <c r="F794" s="44" t="s">
        <v>37</v>
      </c>
      <c r="G794" s="44" t="s">
        <v>108</v>
      </c>
      <c r="H794" s="44" t="s">
        <v>38</v>
      </c>
      <c r="I794" s="44" t="s">
        <v>38</v>
      </c>
      <c r="J794" s="44" t="s">
        <v>6</v>
      </c>
      <c r="K794" s="44" t="s">
        <v>117</v>
      </c>
      <c r="L794" s="40">
        <v>1125</v>
      </c>
      <c r="M794" s="41">
        <v>41339</v>
      </c>
      <c r="N794" s="40" t="s">
        <v>110</v>
      </c>
      <c r="O794" s="42"/>
      <c r="P794" s="40"/>
      <c r="Q794" s="120">
        <f>'[3]BGE LP_GSMS'!G785</f>
        <v>0</v>
      </c>
      <c r="R794" s="120">
        <f>'[3]BGE LP_GSMS'!H785</f>
        <v>0</v>
      </c>
      <c r="S794" s="120">
        <f>'[3]BGE LP_GSMS'!I785</f>
        <v>0</v>
      </c>
      <c r="T794" s="120">
        <f>'[3]BGE LP_GSMS'!J785</f>
        <v>0</v>
      </c>
      <c r="U794" s="120">
        <f>'[3]BGE LP_GSMS'!K785</f>
        <v>0</v>
      </c>
      <c r="V794" s="91"/>
    </row>
    <row r="795" spans="1:22" x14ac:dyDescent="0.2">
      <c r="A795" s="48">
        <f t="shared" si="24"/>
        <v>787</v>
      </c>
      <c r="B795" s="43">
        <v>22</v>
      </c>
      <c r="C795" s="43">
        <v>10</v>
      </c>
      <c r="D795" s="38" t="s">
        <v>609</v>
      </c>
      <c r="E795" s="44" t="s">
        <v>136</v>
      </c>
      <c r="F795" s="44" t="s">
        <v>23</v>
      </c>
      <c r="G795" s="44" t="s">
        <v>108</v>
      </c>
      <c r="H795" s="44" t="s">
        <v>137</v>
      </c>
      <c r="I795" s="44" t="s">
        <v>24</v>
      </c>
      <c r="J795" s="44" t="s">
        <v>25</v>
      </c>
      <c r="K795" s="44" t="s">
        <v>138</v>
      </c>
      <c r="L795" s="40">
        <v>1126</v>
      </c>
      <c r="M795" s="41">
        <v>41339</v>
      </c>
      <c r="N795" s="40" t="s">
        <v>110</v>
      </c>
      <c r="O795" s="42"/>
      <c r="P795" s="40"/>
      <c r="Q795" s="120">
        <f>'[3]ComEd - test LP_28MS'!G785</f>
        <v>0</v>
      </c>
      <c r="R795" s="120">
        <f>'[3]ComEd - test LP_28MS'!H785</f>
        <v>0</v>
      </c>
      <c r="S795" s="120">
        <f>'[3]ComEd - test LP_28MS'!I785</f>
        <v>0</v>
      </c>
      <c r="T795" s="120">
        <f>'[3]ComEd - test LP_28MS'!J785</f>
        <v>0</v>
      </c>
      <c r="U795" s="120">
        <f>'[3]ComEd - test LP_28MS'!K785</f>
        <v>0</v>
      </c>
      <c r="V795" s="91"/>
    </row>
    <row r="796" spans="1:22" x14ac:dyDescent="0.2">
      <c r="A796" s="48">
        <f t="shared" si="24"/>
        <v>788</v>
      </c>
      <c r="B796" s="43">
        <v>22</v>
      </c>
      <c r="C796" s="43">
        <v>11</v>
      </c>
      <c r="D796" s="38" t="s">
        <v>610</v>
      </c>
      <c r="E796" s="44" t="s">
        <v>140</v>
      </c>
      <c r="F796" s="44" t="s">
        <v>23</v>
      </c>
      <c r="G796" s="44" t="s">
        <v>108</v>
      </c>
      <c r="H796" s="44" t="s">
        <v>137</v>
      </c>
      <c r="I796" s="44" t="s">
        <v>24</v>
      </c>
      <c r="J796" s="44" t="s">
        <v>26</v>
      </c>
      <c r="K796" s="44" t="s">
        <v>141</v>
      </c>
      <c r="L796" s="40">
        <v>1127</v>
      </c>
      <c r="M796" s="41">
        <v>41339</v>
      </c>
      <c r="N796" s="40" t="s">
        <v>110</v>
      </c>
      <c r="O796" s="42"/>
      <c r="P796" s="40"/>
      <c r="Q796" s="120">
        <f>'[3]ComEd - test LP_29MS'!G785</f>
        <v>0</v>
      </c>
      <c r="R796" s="120">
        <f>'[3]ComEd - test LP_29MS'!H785</f>
        <v>0</v>
      </c>
      <c r="S796" s="120">
        <f>'[3]ComEd - test LP_29MS'!I785</f>
        <v>0</v>
      </c>
      <c r="T796" s="120">
        <f>'[3]ComEd - test LP_29MS'!J785</f>
        <v>0</v>
      </c>
      <c r="U796" s="120">
        <f>'[3]ComEd - test LP_29MS'!K785</f>
        <v>0</v>
      </c>
      <c r="V796" s="91"/>
    </row>
    <row r="797" spans="1:22" x14ac:dyDescent="0.2">
      <c r="A797" s="48">
        <f t="shared" si="24"/>
        <v>789</v>
      </c>
      <c r="B797" s="43">
        <v>22</v>
      </c>
      <c r="C797" s="43">
        <v>12</v>
      </c>
      <c r="D797" s="38" t="s">
        <v>611</v>
      </c>
      <c r="E797" s="44" t="s">
        <v>143</v>
      </c>
      <c r="F797" s="44" t="s">
        <v>18</v>
      </c>
      <c r="G797" s="44" t="s">
        <v>108</v>
      </c>
      <c r="H797" s="44" t="s">
        <v>94</v>
      </c>
      <c r="I797" s="44" t="s">
        <v>144</v>
      </c>
      <c r="J797" s="44" t="s">
        <v>20</v>
      </c>
      <c r="K797" s="44" t="s">
        <v>145</v>
      </c>
      <c r="L797" s="40">
        <v>1128</v>
      </c>
      <c r="M797" s="41">
        <v>41339</v>
      </c>
      <c r="N797" s="40" t="s">
        <v>110</v>
      </c>
      <c r="O797" s="42"/>
      <c r="P797" s="40"/>
      <c r="Q797" s="120">
        <f>[3]DAY_RC_843MS!G785</f>
        <v>0</v>
      </c>
      <c r="R797" s="120">
        <f>[3]DAY_RC_843MS!H785</f>
        <v>0</v>
      </c>
      <c r="S797" s="120">
        <f>[3]DAY_RC_843MS!I785</f>
        <v>0</v>
      </c>
      <c r="T797" s="120">
        <f>[3]DAY_RC_843MS!J785</f>
        <v>0</v>
      </c>
      <c r="U797" s="120">
        <f>[3]DAY_RC_843MS!K785</f>
        <v>0</v>
      </c>
      <c r="V797" s="91"/>
    </row>
    <row r="798" spans="1:22" x14ac:dyDescent="0.2">
      <c r="A798" s="48">
        <f t="shared" si="24"/>
        <v>790</v>
      </c>
      <c r="B798" s="43">
        <v>22</v>
      </c>
      <c r="C798" s="43">
        <v>13</v>
      </c>
      <c r="D798" s="38" t="s">
        <v>612</v>
      </c>
      <c r="E798" s="44" t="s">
        <v>147</v>
      </c>
      <c r="F798" s="44" t="s">
        <v>37</v>
      </c>
      <c r="G798" s="44" t="s">
        <v>108</v>
      </c>
      <c r="H798" s="44" t="s">
        <v>41</v>
      </c>
      <c r="I798" s="44" t="s">
        <v>41</v>
      </c>
      <c r="J798" s="44" t="s">
        <v>6</v>
      </c>
      <c r="K798" s="44" t="s">
        <v>128</v>
      </c>
      <c r="L798" s="40">
        <v>1129</v>
      </c>
      <c r="M798" s="41">
        <v>41339</v>
      </c>
      <c r="N798" s="40" t="s">
        <v>110</v>
      </c>
      <c r="O798" s="42"/>
      <c r="P798" s="40"/>
      <c r="Q798" s="120">
        <f>'[3]Delmarva MD LP_MDGS_MMS'!G785</f>
        <v>0</v>
      </c>
      <c r="R798" s="120">
        <f>'[3]Delmarva MD LP_MDGS_MMS'!H785</f>
        <v>0</v>
      </c>
      <c r="S798" s="120">
        <f>'[3]Delmarva MD LP_MDGS_MMS'!I785</f>
        <v>0</v>
      </c>
      <c r="T798" s="120">
        <f>'[3]Delmarva MD LP_MDGS_MMS'!J785</f>
        <v>0</v>
      </c>
      <c r="U798" s="120">
        <f>'[3]Delmarva MD LP_MDGS_MMS'!K785</f>
        <v>0</v>
      </c>
      <c r="V798" s="91"/>
    </row>
    <row r="799" spans="1:22" x14ac:dyDescent="0.2">
      <c r="A799" s="48">
        <f t="shared" si="24"/>
        <v>791</v>
      </c>
      <c r="B799" s="43">
        <v>22</v>
      </c>
      <c r="C799" s="43">
        <v>14</v>
      </c>
      <c r="D799" s="38" t="s">
        <v>613</v>
      </c>
      <c r="E799" s="44" t="s">
        <v>149</v>
      </c>
      <c r="F799" s="44" t="s">
        <v>5</v>
      </c>
      <c r="G799" s="44" t="s">
        <v>108</v>
      </c>
      <c r="H799" s="44" t="s">
        <v>46</v>
      </c>
      <c r="I799" s="44" t="s">
        <v>46</v>
      </c>
      <c r="J799" s="44" t="s">
        <v>6</v>
      </c>
      <c r="K799" s="44" t="s">
        <v>128</v>
      </c>
      <c r="L799" s="40">
        <v>1130</v>
      </c>
      <c r="M799" s="41">
        <v>41339</v>
      </c>
      <c r="N799" s="40" t="s">
        <v>110</v>
      </c>
      <c r="O799" s="42"/>
      <c r="P799" s="40"/>
      <c r="Q799" s="120">
        <f>'[3]DQE LP_GSGM_MMS'!G785</f>
        <v>0</v>
      </c>
      <c r="R799" s="120">
        <f>'[3]DQE LP_GSGM_MMS'!H785</f>
        <v>0</v>
      </c>
      <c r="S799" s="120">
        <f>'[3]DQE LP_GSGM_MMS'!I785</f>
        <v>0</v>
      </c>
      <c r="T799" s="120">
        <f>'[3]DQE LP_GSGM_MMS'!J785</f>
        <v>0</v>
      </c>
      <c r="U799" s="120">
        <f>'[3]DQE LP_GSGM_MMS'!K785</f>
        <v>0</v>
      </c>
      <c r="V799" s="91"/>
    </row>
    <row r="800" spans="1:22" x14ac:dyDescent="0.2">
      <c r="A800" s="48">
        <f t="shared" si="24"/>
        <v>792</v>
      </c>
      <c r="B800" s="43">
        <v>22</v>
      </c>
      <c r="C800" s="43">
        <v>15</v>
      </c>
      <c r="D800" s="38" t="s">
        <v>614</v>
      </c>
      <c r="E800" s="44" t="s">
        <v>151</v>
      </c>
      <c r="F800" s="44" t="s">
        <v>18</v>
      </c>
      <c r="G800" s="44" t="s">
        <v>108</v>
      </c>
      <c r="H800" s="44" t="s">
        <v>21</v>
      </c>
      <c r="I800" s="44" t="s">
        <v>152</v>
      </c>
      <c r="J800" s="44" t="s">
        <v>22</v>
      </c>
      <c r="K800" s="44" t="s">
        <v>128</v>
      </c>
      <c r="L800" s="40">
        <v>1131</v>
      </c>
      <c r="M800" s="41">
        <v>41339</v>
      </c>
      <c r="N800" s="40" t="s">
        <v>110</v>
      </c>
      <c r="O800" s="42"/>
      <c r="P800" s="40"/>
      <c r="Q800" s="120">
        <f>[3]Duke_OH_RC_DS01MS!G785</f>
        <v>0</v>
      </c>
      <c r="R800" s="120">
        <f>[3]Duke_OH_RC_DS01MS!H785</f>
        <v>0</v>
      </c>
      <c r="S800" s="120">
        <f>[3]Duke_OH_RC_DS01MS!I785</f>
        <v>0</v>
      </c>
      <c r="T800" s="120">
        <f>[3]Duke_OH_RC_DS01MS!J785</f>
        <v>0</v>
      </c>
      <c r="U800" s="120">
        <f>[3]Duke_OH_RC_DS01MS!K785</f>
        <v>0</v>
      </c>
      <c r="V800" s="91"/>
    </row>
    <row r="801" spans="1:22" x14ac:dyDescent="0.2">
      <c r="A801" s="48">
        <f t="shared" si="24"/>
        <v>793</v>
      </c>
      <c r="B801" s="43">
        <v>22</v>
      </c>
      <c r="C801" s="43">
        <v>16</v>
      </c>
      <c r="D801" s="38" t="s">
        <v>615</v>
      </c>
      <c r="E801" s="44" t="s">
        <v>154</v>
      </c>
      <c r="F801" s="44" t="s">
        <v>18</v>
      </c>
      <c r="G801" s="44" t="s">
        <v>108</v>
      </c>
      <c r="H801" s="44" t="s">
        <v>62</v>
      </c>
      <c r="I801" s="44" t="s">
        <v>155</v>
      </c>
      <c r="J801" s="44" t="s">
        <v>6</v>
      </c>
      <c r="K801" s="44" t="s">
        <v>128</v>
      </c>
      <c r="L801" s="40">
        <v>1132</v>
      </c>
      <c r="M801" s="41">
        <v>41339</v>
      </c>
      <c r="N801" s="40" t="s">
        <v>110</v>
      </c>
      <c r="O801" s="42"/>
      <c r="P801" s="40"/>
      <c r="Q801" s="120">
        <f>'[3]FE_OE - test RC_GSFMS'!G785</f>
        <v>0</v>
      </c>
      <c r="R801" s="120">
        <f>'[3]FE_OE - test RC_GSFMS'!H785</f>
        <v>0</v>
      </c>
      <c r="S801" s="120">
        <f>'[3]FE_OE - test RC_GSFMS'!I785</f>
        <v>0</v>
      </c>
      <c r="T801" s="120">
        <f>'[3]FE_OE - test RC_GSFMS'!J785</f>
        <v>0</v>
      </c>
      <c r="U801" s="120">
        <f>'[3]FE_OE - test RC_GSFMS'!K785</f>
        <v>0</v>
      </c>
      <c r="V801" s="91"/>
    </row>
    <row r="802" spans="1:22" x14ac:dyDescent="0.2">
      <c r="A802" s="48">
        <f t="shared" si="24"/>
        <v>794</v>
      </c>
      <c r="B802" s="43">
        <v>22</v>
      </c>
      <c r="C802" s="43">
        <v>17</v>
      </c>
      <c r="D802" s="38" t="s">
        <v>616</v>
      </c>
      <c r="E802" s="44" t="s">
        <v>157</v>
      </c>
      <c r="F802" s="44" t="s">
        <v>29</v>
      </c>
      <c r="G802" s="44" t="s">
        <v>108</v>
      </c>
      <c r="H802" s="44" t="s">
        <v>33</v>
      </c>
      <c r="I802" s="44" t="s">
        <v>33</v>
      </c>
      <c r="J802" s="44" t="s">
        <v>7</v>
      </c>
      <c r="K802" s="44" t="s">
        <v>123</v>
      </c>
      <c r="L802" s="40">
        <v>1133</v>
      </c>
      <c r="M802" s="41">
        <v>41339</v>
      </c>
      <c r="N802" s="40" t="s">
        <v>110</v>
      </c>
      <c r="O802" s="42"/>
      <c r="P802" s="40"/>
      <c r="Q802" s="120">
        <f>'[3]JCPL LP_GSCLMS'!G785</f>
        <v>0</v>
      </c>
      <c r="R802" s="120">
        <f>'[3]JCPL LP_GSCLMS'!H785</f>
        <v>0</v>
      </c>
      <c r="S802" s="120">
        <f>'[3]JCPL LP_GSCLMS'!I785</f>
        <v>0</v>
      </c>
      <c r="T802" s="120">
        <f>'[3]JCPL LP_GSCLMS'!J785</f>
        <v>0</v>
      </c>
      <c r="U802" s="120">
        <f>'[3]JCPL LP_GSCLMS'!K785</f>
        <v>0</v>
      </c>
      <c r="V802" s="91"/>
    </row>
    <row r="803" spans="1:22" x14ac:dyDescent="0.2">
      <c r="A803" s="48">
        <f t="shared" si="24"/>
        <v>795</v>
      </c>
      <c r="B803" s="43">
        <v>22</v>
      </c>
      <c r="C803" s="43">
        <v>18</v>
      </c>
      <c r="D803" s="38" t="s">
        <v>617</v>
      </c>
      <c r="E803" s="44" t="s">
        <v>159</v>
      </c>
      <c r="F803" s="44" t="s">
        <v>29</v>
      </c>
      <c r="G803" s="44" t="s">
        <v>108</v>
      </c>
      <c r="H803" s="44" t="s">
        <v>33</v>
      </c>
      <c r="I803" s="44" t="s">
        <v>33</v>
      </c>
      <c r="J803" s="44" t="s">
        <v>8</v>
      </c>
      <c r="K803" s="44" t="s">
        <v>120</v>
      </c>
      <c r="L803" s="40">
        <v>1134</v>
      </c>
      <c r="M803" s="41">
        <v>41339</v>
      </c>
      <c r="N803" s="40" t="s">
        <v>110</v>
      </c>
      <c r="O803" s="42"/>
      <c r="P803" s="40"/>
      <c r="Q803" s="120">
        <f>'[3]JCPL LP_GSCMMS'!G785</f>
        <v>0</v>
      </c>
      <c r="R803" s="120">
        <f>'[3]JCPL LP_GSCMMS'!H785</f>
        <v>0</v>
      </c>
      <c r="S803" s="120">
        <f>'[3]JCPL LP_GSCMMS'!I785</f>
        <v>0</v>
      </c>
      <c r="T803" s="120">
        <f>'[3]JCPL LP_GSCMMS'!J785</f>
        <v>0</v>
      </c>
      <c r="U803" s="120">
        <f>'[3]JCPL LP_GSCMMS'!K785</f>
        <v>0</v>
      </c>
      <c r="V803" s="91"/>
    </row>
    <row r="804" spans="1:22" x14ac:dyDescent="0.2">
      <c r="A804" s="48">
        <f t="shared" si="24"/>
        <v>796</v>
      </c>
      <c r="B804" s="43">
        <v>22</v>
      </c>
      <c r="C804" s="43">
        <v>19</v>
      </c>
      <c r="D804" s="38" t="s">
        <v>618</v>
      </c>
      <c r="E804" s="44" t="s">
        <v>161</v>
      </c>
      <c r="F804" s="44" t="s">
        <v>29</v>
      </c>
      <c r="G804" s="44" t="s">
        <v>108</v>
      </c>
      <c r="H804" s="44" t="s">
        <v>33</v>
      </c>
      <c r="I804" s="44" t="s">
        <v>33</v>
      </c>
      <c r="J804" s="44" t="s">
        <v>9</v>
      </c>
      <c r="K804" s="44" t="s">
        <v>117</v>
      </c>
      <c r="L804" s="40">
        <v>1135</v>
      </c>
      <c r="M804" s="41">
        <v>41339</v>
      </c>
      <c r="N804" s="40" t="s">
        <v>110</v>
      </c>
      <c r="O804" s="42"/>
      <c r="P804" s="40"/>
      <c r="Q804" s="120">
        <f>'[3]JCPL LP_GSCSMS'!G785</f>
        <v>0</v>
      </c>
      <c r="R804" s="120">
        <f>'[3]JCPL LP_GSCSMS'!H785</f>
        <v>0</v>
      </c>
      <c r="S804" s="120">
        <f>'[3]JCPL LP_GSCSMS'!I785</f>
        <v>0</v>
      </c>
      <c r="T804" s="120">
        <f>'[3]JCPL LP_GSCSMS'!J785</f>
        <v>0</v>
      </c>
      <c r="U804" s="120">
        <f>'[3]JCPL LP_GSCSMS'!K785</f>
        <v>0</v>
      </c>
      <c r="V804" s="91"/>
    </row>
    <row r="805" spans="1:22" x14ac:dyDescent="0.2">
      <c r="A805" s="48">
        <f t="shared" si="24"/>
        <v>797</v>
      </c>
      <c r="B805" s="43">
        <v>22</v>
      </c>
      <c r="C805" s="43">
        <v>20</v>
      </c>
      <c r="D805" s="38" t="s">
        <v>619</v>
      </c>
      <c r="E805" s="44" t="s">
        <v>163</v>
      </c>
      <c r="F805" s="44" t="s">
        <v>5</v>
      </c>
      <c r="G805" s="44" t="s">
        <v>108</v>
      </c>
      <c r="H805" s="44" t="s">
        <v>164</v>
      </c>
      <c r="I805" s="44" t="s">
        <v>165</v>
      </c>
      <c r="J805" s="44" t="s">
        <v>7</v>
      </c>
      <c r="K805" s="44" t="s">
        <v>123</v>
      </c>
      <c r="L805" s="40">
        <v>1137</v>
      </c>
      <c r="M805" s="41">
        <v>41339</v>
      </c>
      <c r="N805" s="40" t="s">
        <v>110</v>
      </c>
      <c r="O805" s="42"/>
      <c r="P805" s="40"/>
      <c r="Q805" s="120">
        <f>'[3]MetEd RC_GSLFMS'!G785</f>
        <v>0</v>
      </c>
      <c r="R805" s="120">
        <f>'[3]MetEd RC_GSLFMS'!H785</f>
        <v>0</v>
      </c>
      <c r="S805" s="120">
        <f>'[3]MetEd RC_GSLFMS'!I785</f>
        <v>0</v>
      </c>
      <c r="T805" s="120">
        <f>'[3]MetEd RC_GSLFMS'!J785</f>
        <v>0</v>
      </c>
      <c r="U805" s="120">
        <f>'[3]MetEd RC_GSLFMS'!K785</f>
        <v>0</v>
      </c>
      <c r="V805" s="91"/>
    </row>
    <row r="806" spans="1:22" x14ac:dyDescent="0.2">
      <c r="A806" s="48">
        <f t="shared" si="24"/>
        <v>798</v>
      </c>
      <c r="B806" s="43">
        <v>22</v>
      </c>
      <c r="C806" s="43">
        <v>21</v>
      </c>
      <c r="D806" s="38" t="s">
        <v>620</v>
      </c>
      <c r="E806" s="44" t="s">
        <v>167</v>
      </c>
      <c r="F806" s="44" t="s">
        <v>5</v>
      </c>
      <c r="G806" s="44" t="s">
        <v>108</v>
      </c>
      <c r="H806" s="44" t="s">
        <v>164</v>
      </c>
      <c r="I806" s="44" t="s">
        <v>165</v>
      </c>
      <c r="J806" s="44" t="s">
        <v>8</v>
      </c>
      <c r="K806" s="44" t="s">
        <v>120</v>
      </c>
      <c r="L806" s="40">
        <v>1136</v>
      </c>
      <c r="M806" s="41">
        <v>41339</v>
      </c>
      <c r="N806" s="40" t="s">
        <v>110</v>
      </c>
      <c r="O806" s="42"/>
      <c r="P806" s="40"/>
      <c r="Q806" s="120">
        <f>'[3]MetEd RC_GSDFMS'!G785</f>
        <v>0</v>
      </c>
      <c r="R806" s="120">
        <f>'[3]MetEd RC_GSDFMS'!H785</f>
        <v>0</v>
      </c>
      <c r="S806" s="120">
        <f>'[3]MetEd RC_GSDFMS'!I785</f>
        <v>0</v>
      </c>
      <c r="T806" s="120">
        <f>'[3]MetEd RC_GSDFMS'!J785</f>
        <v>0</v>
      </c>
      <c r="U806" s="120">
        <f>'[3]MetEd RC_GSDFMS'!K785</f>
        <v>0</v>
      </c>
      <c r="V806" s="91"/>
    </row>
    <row r="807" spans="1:22" x14ac:dyDescent="0.2">
      <c r="A807" s="48">
        <f t="shared" si="24"/>
        <v>799</v>
      </c>
      <c r="B807" s="43">
        <v>22</v>
      </c>
      <c r="C807" s="43">
        <v>22</v>
      </c>
      <c r="D807" s="38" t="s">
        <v>621</v>
      </c>
      <c r="E807" s="44" t="s">
        <v>169</v>
      </c>
      <c r="F807" s="44" t="s">
        <v>5</v>
      </c>
      <c r="G807" s="44" t="s">
        <v>108</v>
      </c>
      <c r="H807" s="44" t="s">
        <v>164</v>
      </c>
      <c r="I807" s="44" t="s">
        <v>165</v>
      </c>
      <c r="J807" s="44" t="s">
        <v>9</v>
      </c>
      <c r="K807" s="44" t="s">
        <v>117</v>
      </c>
      <c r="L807" s="40">
        <v>1138</v>
      </c>
      <c r="M807" s="41">
        <v>41339</v>
      </c>
      <c r="N807" s="40" t="s">
        <v>110</v>
      </c>
      <c r="O807" s="42"/>
      <c r="P807" s="40"/>
      <c r="Q807" s="120">
        <f>'[3]MetEd RC_GSSFMS'!G785</f>
        <v>0</v>
      </c>
      <c r="R807" s="120">
        <f>'[3]MetEd RC_GSSFMS'!H785</f>
        <v>0</v>
      </c>
      <c r="S807" s="120">
        <f>'[3]MetEd RC_GSSFMS'!I785</f>
        <v>0</v>
      </c>
      <c r="T807" s="120">
        <f>'[3]MetEd RC_GSSFMS'!J785</f>
        <v>0</v>
      </c>
      <c r="U807" s="120">
        <f>'[3]MetEd RC_GSSFMS'!K785</f>
        <v>0</v>
      </c>
      <c r="V807" s="91"/>
    </row>
    <row r="808" spans="1:22" x14ac:dyDescent="0.2">
      <c r="A808" s="48">
        <f t="shared" si="24"/>
        <v>800</v>
      </c>
      <c r="B808" s="43">
        <v>22</v>
      </c>
      <c r="C808" s="43">
        <v>23</v>
      </c>
      <c r="D808" s="38" t="s">
        <v>622</v>
      </c>
      <c r="E808" s="44" t="s">
        <v>171</v>
      </c>
      <c r="F808" s="44" t="s">
        <v>5</v>
      </c>
      <c r="G808" s="44" t="s">
        <v>108</v>
      </c>
      <c r="H808" s="44" t="s">
        <v>11</v>
      </c>
      <c r="I808" s="44" t="s">
        <v>11</v>
      </c>
      <c r="J808" s="44" t="s">
        <v>6</v>
      </c>
      <c r="K808" s="44" t="s">
        <v>128</v>
      </c>
      <c r="L808" s="40">
        <v>1139</v>
      </c>
      <c r="M808" s="41">
        <v>41339</v>
      </c>
      <c r="N808" s="40" t="s">
        <v>110</v>
      </c>
      <c r="O808" s="42"/>
      <c r="P808" s="40"/>
      <c r="Q808" s="120">
        <f>'[3]PECO LP_GSMS'!G785</f>
        <v>0</v>
      </c>
      <c r="R808" s="120">
        <f>'[3]PECO LP_GSMS'!H785</f>
        <v>0</v>
      </c>
      <c r="S808" s="120">
        <f>'[3]PECO LP_GSMS'!I785</f>
        <v>0</v>
      </c>
      <c r="T808" s="120">
        <f>'[3]PECO LP_GSMS'!J785</f>
        <v>0</v>
      </c>
      <c r="U808" s="120">
        <f>'[3]PECO LP_GSMS'!K785</f>
        <v>0</v>
      </c>
      <c r="V808" s="91"/>
    </row>
    <row r="809" spans="1:22" x14ac:dyDescent="0.2">
      <c r="A809" s="48">
        <f t="shared" si="24"/>
        <v>801</v>
      </c>
      <c r="B809" s="43">
        <v>22</v>
      </c>
      <c r="C809" s="43">
        <v>24</v>
      </c>
      <c r="D809" s="38" t="s">
        <v>623</v>
      </c>
      <c r="E809" s="44" t="s">
        <v>173</v>
      </c>
      <c r="F809" s="44" t="s">
        <v>5</v>
      </c>
      <c r="G809" s="44" t="s">
        <v>108</v>
      </c>
      <c r="H809" s="44" t="s">
        <v>10</v>
      </c>
      <c r="I809" s="44" t="s">
        <v>174</v>
      </c>
      <c r="J809" s="44" t="s">
        <v>7</v>
      </c>
      <c r="K809" s="44" t="s">
        <v>123</v>
      </c>
      <c r="L809" s="40">
        <v>1140</v>
      </c>
      <c r="M809" s="41">
        <v>41339</v>
      </c>
      <c r="N809" s="40" t="s">
        <v>110</v>
      </c>
      <c r="O809" s="42"/>
      <c r="P809" s="40"/>
      <c r="Q809" s="120">
        <f>'[3]Penelec RC_GSLFMS'!G785</f>
        <v>0</v>
      </c>
      <c r="R809" s="120">
        <f>'[3]Penelec RC_GSLFMS'!H785</f>
        <v>0</v>
      </c>
      <c r="S809" s="120">
        <f>'[3]Penelec RC_GSLFMS'!I785</f>
        <v>0</v>
      </c>
      <c r="T809" s="120">
        <f>'[3]Penelec RC_GSLFMS'!J785</f>
        <v>0</v>
      </c>
      <c r="U809" s="120">
        <f>'[3]Penelec RC_GSLFMS'!K785</f>
        <v>0</v>
      </c>
      <c r="V809" s="91"/>
    </row>
    <row r="810" spans="1:22" x14ac:dyDescent="0.2">
      <c r="A810" s="48">
        <f t="shared" si="24"/>
        <v>802</v>
      </c>
      <c r="B810" s="43">
        <v>22</v>
      </c>
      <c r="C810" s="43">
        <v>25</v>
      </c>
      <c r="D810" s="38" t="s">
        <v>624</v>
      </c>
      <c r="E810" s="44" t="s">
        <v>176</v>
      </c>
      <c r="F810" s="44" t="s">
        <v>5</v>
      </c>
      <c r="G810" s="44" t="s">
        <v>108</v>
      </c>
      <c r="H810" s="44" t="s">
        <v>10</v>
      </c>
      <c r="I810" s="44" t="s">
        <v>174</v>
      </c>
      <c r="J810" s="44" t="s">
        <v>8</v>
      </c>
      <c r="K810" s="44" t="s">
        <v>120</v>
      </c>
      <c r="L810" s="40">
        <v>1141</v>
      </c>
      <c r="M810" s="41">
        <v>41339</v>
      </c>
      <c r="N810" s="40" t="s">
        <v>110</v>
      </c>
      <c r="O810" s="42"/>
      <c r="P810" s="40"/>
      <c r="Q810" s="120">
        <f>'[3]Penelec RC_GSMFMS'!G785</f>
        <v>0</v>
      </c>
      <c r="R810" s="120">
        <f>'[3]Penelec RC_GSMFMS'!H785</f>
        <v>0</v>
      </c>
      <c r="S810" s="120">
        <f>'[3]Penelec RC_GSMFMS'!I785</f>
        <v>0</v>
      </c>
      <c r="T810" s="120">
        <f>'[3]Penelec RC_GSMFMS'!J785</f>
        <v>0</v>
      </c>
      <c r="U810" s="120">
        <f>'[3]Penelec RC_GSMFMS'!K785</f>
        <v>0</v>
      </c>
      <c r="V810" s="91"/>
    </row>
    <row r="811" spans="1:22" x14ac:dyDescent="0.2">
      <c r="A811" s="48">
        <f t="shared" si="24"/>
        <v>803</v>
      </c>
      <c r="B811" s="43">
        <v>22</v>
      </c>
      <c r="C811" s="43">
        <v>26</v>
      </c>
      <c r="D811" s="38" t="s">
        <v>625</v>
      </c>
      <c r="E811" s="44" t="s">
        <v>178</v>
      </c>
      <c r="F811" s="44" t="s">
        <v>5</v>
      </c>
      <c r="G811" s="44" t="s">
        <v>108</v>
      </c>
      <c r="H811" s="44" t="s">
        <v>10</v>
      </c>
      <c r="I811" s="44" t="s">
        <v>174</v>
      </c>
      <c r="J811" s="44" t="s">
        <v>9</v>
      </c>
      <c r="K811" s="44" t="s">
        <v>117</v>
      </c>
      <c r="L811" s="40">
        <v>1142</v>
      </c>
      <c r="M811" s="41">
        <v>41339</v>
      </c>
      <c r="N811" s="40" t="s">
        <v>110</v>
      </c>
      <c r="O811" s="42"/>
      <c r="P811" s="40"/>
      <c r="Q811" s="120">
        <f>'[3]Penelec RC_GSSFMS'!G785</f>
        <v>0</v>
      </c>
      <c r="R811" s="120">
        <f>'[3]Penelec RC_GSSFMS'!H785</f>
        <v>0</v>
      </c>
      <c r="S811" s="120">
        <f>'[3]Penelec RC_GSSFMS'!I785</f>
        <v>0</v>
      </c>
      <c r="T811" s="120">
        <f>'[3]Penelec RC_GSSFMS'!J785</f>
        <v>0</v>
      </c>
      <c r="U811" s="120">
        <f>'[3]Penelec RC_GSSFMS'!K785</f>
        <v>0</v>
      </c>
      <c r="V811" s="91"/>
    </row>
    <row r="812" spans="1:22" x14ac:dyDescent="0.2">
      <c r="A812" s="48">
        <f t="shared" si="24"/>
        <v>804</v>
      </c>
      <c r="B812" s="43">
        <v>22</v>
      </c>
      <c r="C812" s="43">
        <v>27</v>
      </c>
      <c r="D812" s="38" t="s">
        <v>626</v>
      </c>
      <c r="E812" s="44" t="s">
        <v>180</v>
      </c>
      <c r="F812" s="44" t="s">
        <v>5</v>
      </c>
      <c r="G812" s="44" t="s">
        <v>108</v>
      </c>
      <c r="H812" s="44" t="s">
        <v>91</v>
      </c>
      <c r="I812" s="44" t="s">
        <v>181</v>
      </c>
      <c r="J812" s="44" t="s">
        <v>6</v>
      </c>
      <c r="K812" s="44" t="s">
        <v>128</v>
      </c>
      <c r="L812" s="40">
        <v>1143</v>
      </c>
      <c r="M812" s="41">
        <v>41339</v>
      </c>
      <c r="N812" s="40" t="s">
        <v>110</v>
      </c>
      <c r="O812" s="42"/>
      <c r="P812" s="40"/>
      <c r="Q812" s="120">
        <f>'[3]Penn Power RC_GMDMS'!G785</f>
        <v>0</v>
      </c>
      <c r="R812" s="120">
        <f>'[3]Penn Power RC_GMDMS'!H785</f>
        <v>0</v>
      </c>
      <c r="S812" s="120">
        <f>'[3]Penn Power RC_GMDMS'!I785</f>
        <v>0</v>
      </c>
      <c r="T812" s="120">
        <f>'[3]Penn Power RC_GMDMS'!J785</f>
        <v>0</v>
      </c>
      <c r="U812" s="120">
        <f>'[3]Penn Power RC_GMDMS'!K785</f>
        <v>0</v>
      </c>
      <c r="V812" s="91"/>
    </row>
    <row r="813" spans="1:22" x14ac:dyDescent="0.2">
      <c r="A813" s="48">
        <f t="shared" si="24"/>
        <v>805</v>
      </c>
      <c r="B813" s="43">
        <v>22</v>
      </c>
      <c r="C813" s="43">
        <v>28</v>
      </c>
      <c r="D813" s="38" t="s">
        <v>627</v>
      </c>
      <c r="E813" s="44" t="s">
        <v>183</v>
      </c>
      <c r="F813" s="44" t="s">
        <v>37</v>
      </c>
      <c r="G813" s="44" t="s">
        <v>108</v>
      </c>
      <c r="H813" s="44" t="s">
        <v>42</v>
      </c>
      <c r="I813" s="44" t="s">
        <v>42</v>
      </c>
      <c r="J813" s="44" t="s">
        <v>6</v>
      </c>
      <c r="K813" s="44" t="s">
        <v>128</v>
      </c>
      <c r="L813" s="40">
        <v>1144</v>
      </c>
      <c r="M813" s="41">
        <v>41339</v>
      </c>
      <c r="N813" s="40" t="s">
        <v>110</v>
      </c>
      <c r="O813" s="42"/>
      <c r="P813" s="40"/>
      <c r="Q813" s="120">
        <f>'[3]PEPCO MD LP_MDNDMS'!G785</f>
        <v>0</v>
      </c>
      <c r="R813" s="120">
        <f>'[3]PEPCO MD LP_MDNDMS'!H785</f>
        <v>0</v>
      </c>
      <c r="S813" s="120">
        <f>'[3]PEPCO MD LP_MDNDMS'!I785</f>
        <v>0</v>
      </c>
      <c r="T813" s="120">
        <f>'[3]PEPCO MD LP_MDNDMS'!J785</f>
        <v>0</v>
      </c>
      <c r="U813" s="120">
        <f>'[3]PEPCO MD LP_MDNDMS'!K785</f>
        <v>0</v>
      </c>
      <c r="V813" s="91"/>
    </row>
    <row r="814" spans="1:22" x14ac:dyDescent="0.2">
      <c r="A814" s="48">
        <f t="shared" si="24"/>
        <v>806</v>
      </c>
      <c r="B814" s="43">
        <v>22</v>
      </c>
      <c r="C814" s="43">
        <v>29</v>
      </c>
      <c r="D814" s="38" t="s">
        <v>628</v>
      </c>
      <c r="E814" s="44" t="s">
        <v>185</v>
      </c>
      <c r="F814" s="44" t="s">
        <v>37</v>
      </c>
      <c r="G814" s="44" t="s">
        <v>108</v>
      </c>
      <c r="H814" s="44" t="s">
        <v>42</v>
      </c>
      <c r="I814" s="44" t="s">
        <v>42</v>
      </c>
      <c r="J814" s="44" t="s">
        <v>43</v>
      </c>
      <c r="K814" s="44" t="s">
        <v>186</v>
      </c>
      <c r="L814" s="40">
        <v>1145</v>
      </c>
      <c r="M814" s="41">
        <v>41339</v>
      </c>
      <c r="N814" s="40" t="s">
        <v>110</v>
      </c>
      <c r="O814" s="42"/>
      <c r="P814" s="40"/>
      <c r="Q814" s="120">
        <f>'[3]PEPCO MD LP_MMGTL2AMS'!G785</f>
        <v>0</v>
      </c>
      <c r="R814" s="120">
        <f>'[3]PEPCO MD LP_MMGTL2AMS'!H785</f>
        <v>0</v>
      </c>
      <c r="S814" s="120">
        <f>'[3]PEPCO MD LP_MMGTL2AMS'!I785</f>
        <v>0</v>
      </c>
      <c r="T814" s="120">
        <f>'[3]PEPCO MD LP_MMGTL2AMS'!J785</f>
        <v>0</v>
      </c>
      <c r="U814" s="120">
        <f>'[3]PEPCO MD LP_MMGTL2AMS'!K785</f>
        <v>0</v>
      </c>
      <c r="V814" s="91"/>
    </row>
    <row r="815" spans="1:22" x14ac:dyDescent="0.2">
      <c r="A815" s="48">
        <f t="shared" si="24"/>
        <v>807</v>
      </c>
      <c r="B815" s="43">
        <v>22</v>
      </c>
      <c r="C815" s="43">
        <v>30</v>
      </c>
      <c r="D815" s="38" t="s">
        <v>629</v>
      </c>
      <c r="E815" s="44" t="s">
        <v>188</v>
      </c>
      <c r="F815" s="44" t="s">
        <v>37</v>
      </c>
      <c r="G815" s="44" t="s">
        <v>108</v>
      </c>
      <c r="H815" s="44" t="s">
        <v>42</v>
      </c>
      <c r="I815" s="44" t="s">
        <v>42</v>
      </c>
      <c r="J815" s="44" t="s">
        <v>44</v>
      </c>
      <c r="K815" s="44" t="s">
        <v>44</v>
      </c>
      <c r="L815" s="40">
        <v>1146</v>
      </c>
      <c r="M815" s="41">
        <v>41339</v>
      </c>
      <c r="N815" s="40" t="s">
        <v>110</v>
      </c>
      <c r="O815" s="42"/>
      <c r="P815" s="40"/>
      <c r="Q815" s="120">
        <f>'[3]PEPCO MD RC_3T7MS'!G785</f>
        <v>0</v>
      </c>
      <c r="R815" s="120">
        <f>'[3]PEPCO MD RC_3T7MS'!H785</f>
        <v>0</v>
      </c>
      <c r="S815" s="120">
        <f>'[3]PEPCO MD RC_3T7MS'!I785</f>
        <v>0</v>
      </c>
      <c r="T815" s="120">
        <f>'[3]PEPCO MD RC_3T7MS'!J785</f>
        <v>0</v>
      </c>
      <c r="U815" s="120">
        <f>'[3]PEPCO MD RC_3T7MS'!K785</f>
        <v>0</v>
      </c>
      <c r="V815" s="91"/>
    </row>
    <row r="816" spans="1:22" x14ac:dyDescent="0.2">
      <c r="A816" s="48">
        <f t="shared" si="24"/>
        <v>808</v>
      </c>
      <c r="B816" s="43">
        <v>22</v>
      </c>
      <c r="C816" s="43">
        <v>31</v>
      </c>
      <c r="D816" s="38" t="s">
        <v>630</v>
      </c>
      <c r="E816" s="44" t="s">
        <v>190</v>
      </c>
      <c r="F816" s="44" t="s">
        <v>37</v>
      </c>
      <c r="G816" s="44" t="s">
        <v>108</v>
      </c>
      <c r="H816" s="44" t="s">
        <v>45</v>
      </c>
      <c r="I816" s="44" t="s">
        <v>45</v>
      </c>
      <c r="J816" s="44" t="s">
        <v>6</v>
      </c>
      <c r="K816" s="44" t="s">
        <v>128</v>
      </c>
      <c r="L816" s="40">
        <v>1147</v>
      </c>
      <c r="M816" s="41">
        <v>41339</v>
      </c>
      <c r="N816" s="40" t="s">
        <v>110</v>
      </c>
      <c r="O816" s="42"/>
      <c r="P816" s="40"/>
      <c r="Q816" s="120">
        <f>'[3]Potomac Edison LP_GSCM_MMS'!G785</f>
        <v>0</v>
      </c>
      <c r="R816" s="120">
        <f>'[3]Potomac Edison LP_GSCM_MMS'!H785</f>
        <v>0</v>
      </c>
      <c r="S816" s="120">
        <f>'[3]Potomac Edison LP_GSCM_MMS'!I785</f>
        <v>0</v>
      </c>
      <c r="T816" s="120">
        <f>'[3]Potomac Edison LP_GSCM_MMS'!J785</f>
        <v>0</v>
      </c>
      <c r="U816" s="120">
        <f>'[3]Potomac Edison LP_GSCM_MMS'!K785</f>
        <v>0</v>
      </c>
      <c r="V816" s="91"/>
    </row>
    <row r="817" spans="1:22" x14ac:dyDescent="0.2">
      <c r="A817" s="48">
        <f t="shared" si="24"/>
        <v>809</v>
      </c>
      <c r="B817" s="43">
        <v>22</v>
      </c>
      <c r="C817" s="43">
        <v>32</v>
      </c>
      <c r="D817" s="38" t="s">
        <v>631</v>
      </c>
      <c r="E817" s="44" t="s">
        <v>192</v>
      </c>
      <c r="F817" s="44" t="s">
        <v>5</v>
      </c>
      <c r="G817" s="44" t="s">
        <v>108</v>
      </c>
      <c r="H817" s="44" t="s">
        <v>12</v>
      </c>
      <c r="I817" s="44" t="s">
        <v>12</v>
      </c>
      <c r="J817" s="44" t="s">
        <v>13</v>
      </c>
      <c r="K817" s="44" t="s">
        <v>117</v>
      </c>
      <c r="L817" s="40">
        <v>1148</v>
      </c>
      <c r="M817" s="41">
        <v>41339</v>
      </c>
      <c r="N817" s="40" t="s">
        <v>110</v>
      </c>
      <c r="O817" s="42"/>
      <c r="P817" s="40"/>
      <c r="Q817" s="120">
        <f>[3]PPL_RCGS1MS!G785</f>
        <v>0</v>
      </c>
      <c r="R817" s="120">
        <f>[3]PPL_RCGS1MS!H785</f>
        <v>0</v>
      </c>
      <c r="S817" s="120">
        <f>[3]PPL_RCGS1MS!I785</f>
        <v>0</v>
      </c>
      <c r="T817" s="120">
        <f>[3]PPL_RCGS1MS!J785</f>
        <v>0</v>
      </c>
      <c r="U817" s="120">
        <f>[3]PPL_RCGS1MS!K785</f>
        <v>0</v>
      </c>
      <c r="V817" s="91"/>
    </row>
    <row r="818" spans="1:22" x14ac:dyDescent="0.2">
      <c r="A818" s="48">
        <f t="shared" si="24"/>
        <v>810</v>
      </c>
      <c r="B818" s="43">
        <v>22</v>
      </c>
      <c r="C818" s="43">
        <v>33</v>
      </c>
      <c r="D818" s="38" t="s">
        <v>632</v>
      </c>
      <c r="E818" s="44" t="s">
        <v>194</v>
      </c>
      <c r="F818" s="44" t="s">
        <v>5</v>
      </c>
      <c r="G818" s="44" t="s">
        <v>108</v>
      </c>
      <c r="H818" s="44" t="s">
        <v>12</v>
      </c>
      <c r="I818" s="44" t="s">
        <v>12</v>
      </c>
      <c r="J818" s="44" t="s">
        <v>14</v>
      </c>
      <c r="K818" s="44" t="s">
        <v>123</v>
      </c>
      <c r="L818" s="40">
        <v>1149</v>
      </c>
      <c r="M818" s="41">
        <v>41339</v>
      </c>
      <c r="N818" s="40" t="s">
        <v>110</v>
      </c>
      <c r="O818" s="42"/>
      <c r="P818" s="40"/>
      <c r="Q818" s="120">
        <f>[3]PPL_RCGS3MS!G785</f>
        <v>0</v>
      </c>
      <c r="R818" s="120">
        <f>[3]PPL_RCGS3MS!H785</f>
        <v>0</v>
      </c>
      <c r="S818" s="120">
        <f>[3]PPL_RCGS3MS!I785</f>
        <v>0</v>
      </c>
      <c r="T818" s="120">
        <f>[3]PPL_RCGS3MS!J785</f>
        <v>0</v>
      </c>
      <c r="U818" s="120">
        <f>[3]PPL_RCGS3MS!K785</f>
        <v>0</v>
      </c>
      <c r="V818" s="91"/>
    </row>
    <row r="819" spans="1:22" x14ac:dyDescent="0.2">
      <c r="A819" s="48">
        <f t="shared" si="24"/>
        <v>811</v>
      </c>
      <c r="B819" s="43">
        <v>22</v>
      </c>
      <c r="C819" s="43">
        <v>34</v>
      </c>
      <c r="D819" s="38" t="s">
        <v>633</v>
      </c>
      <c r="E819" s="44" t="s">
        <v>196</v>
      </c>
      <c r="F819" s="44" t="s">
        <v>29</v>
      </c>
      <c r="G819" s="44" t="s">
        <v>108</v>
      </c>
      <c r="H819" s="44" t="s">
        <v>34</v>
      </c>
      <c r="I819" s="44" t="s">
        <v>34</v>
      </c>
      <c r="J819" s="44" t="s">
        <v>35</v>
      </c>
      <c r="K819" s="44" t="s">
        <v>197</v>
      </c>
      <c r="L819" s="40">
        <v>1150</v>
      </c>
      <c r="M819" s="41">
        <v>41339</v>
      </c>
      <c r="N819" s="40" t="s">
        <v>110</v>
      </c>
      <c r="O819" s="42"/>
      <c r="P819" s="40"/>
      <c r="Q819" s="120">
        <f>'[3]PSEG LP_GLP_MMS'!G785</f>
        <v>0</v>
      </c>
      <c r="R819" s="120">
        <f>'[3]PSEG LP_GLP_MMS'!H785</f>
        <v>0</v>
      </c>
      <c r="S819" s="120">
        <f>'[3]PSEG LP_GLP_MMS'!I785</f>
        <v>0</v>
      </c>
      <c r="T819" s="120">
        <f>'[3]PSEG LP_GLP_MMS'!J785</f>
        <v>0</v>
      </c>
      <c r="U819" s="120">
        <f>'[3]PSEG LP_GLP_MMS'!K785</f>
        <v>0</v>
      </c>
      <c r="V819" s="91"/>
    </row>
    <row r="820" spans="1:22" x14ac:dyDescent="0.2">
      <c r="A820" s="48">
        <f t="shared" si="24"/>
        <v>812</v>
      </c>
      <c r="B820" s="43">
        <v>22</v>
      </c>
      <c r="C820" s="43">
        <v>35</v>
      </c>
      <c r="D820" s="38" t="s">
        <v>634</v>
      </c>
      <c r="E820" s="44" t="s">
        <v>199</v>
      </c>
      <c r="F820" s="44" t="s">
        <v>29</v>
      </c>
      <c r="G820" s="44" t="s">
        <v>108</v>
      </c>
      <c r="H820" s="44" t="s">
        <v>34</v>
      </c>
      <c r="I820" s="44" t="s">
        <v>34</v>
      </c>
      <c r="J820" s="44" t="s">
        <v>36</v>
      </c>
      <c r="K820" s="44" t="s">
        <v>200</v>
      </c>
      <c r="L820" s="40">
        <v>1151</v>
      </c>
      <c r="M820" s="41">
        <v>41339</v>
      </c>
      <c r="N820" s="40" t="s">
        <v>110</v>
      </c>
      <c r="O820" s="42"/>
      <c r="P820" s="40"/>
      <c r="Q820" s="120">
        <f>'[3]PSEG LP_LPLMS'!G785</f>
        <v>0</v>
      </c>
      <c r="R820" s="120">
        <f>'[3]PSEG LP_LPLMS'!H785</f>
        <v>0</v>
      </c>
      <c r="S820" s="120">
        <f>'[3]PSEG LP_LPLMS'!I785</f>
        <v>0</v>
      </c>
      <c r="T820" s="120">
        <f>'[3]PSEG LP_LPLMS'!J785</f>
        <v>0</v>
      </c>
      <c r="U820" s="120">
        <f>'[3]PSEG LP_LPLMS'!K785</f>
        <v>0</v>
      </c>
      <c r="V820" s="91"/>
    </row>
    <row r="821" spans="1:22" x14ac:dyDescent="0.2">
      <c r="A821" s="48">
        <f t="shared" si="24"/>
        <v>813</v>
      </c>
      <c r="B821" s="43">
        <v>22</v>
      </c>
      <c r="C821" s="43">
        <v>36</v>
      </c>
      <c r="D821" s="38" t="s">
        <v>635</v>
      </c>
      <c r="E821" s="44" t="s">
        <v>202</v>
      </c>
      <c r="F821" s="44" t="s">
        <v>5</v>
      </c>
      <c r="G821" s="44" t="s">
        <v>108</v>
      </c>
      <c r="H821" s="44" t="s">
        <v>15</v>
      </c>
      <c r="I821" s="44" t="s">
        <v>203</v>
      </c>
      <c r="J821" s="44" t="s">
        <v>16</v>
      </c>
      <c r="K821" s="44" t="s">
        <v>128</v>
      </c>
      <c r="L821" s="40">
        <v>1152</v>
      </c>
      <c r="M821" s="41">
        <v>41339</v>
      </c>
      <c r="N821" s="40" t="s">
        <v>110</v>
      </c>
      <c r="O821" s="42"/>
      <c r="P821" s="40"/>
      <c r="Q821" s="120">
        <f>'[3]West Penn Power LP_GSCMMS'!G785</f>
        <v>0</v>
      </c>
      <c r="R821" s="120">
        <f>'[3]West Penn Power LP_GSCMMS'!H785</f>
        <v>0</v>
      </c>
      <c r="S821" s="120">
        <f>'[3]West Penn Power LP_GSCMMS'!I785</f>
        <v>0</v>
      </c>
      <c r="T821" s="120">
        <f>'[3]West Penn Power LP_GSCMMS'!J785</f>
        <v>0</v>
      </c>
      <c r="U821" s="120">
        <f>'[3]West Penn Power LP_GSCMMS'!K785</f>
        <v>0</v>
      </c>
      <c r="V821" s="91"/>
    </row>
    <row r="822" spans="1:22" x14ac:dyDescent="0.2">
      <c r="A822" s="48">
        <f t="shared" si="24"/>
        <v>814</v>
      </c>
      <c r="B822" s="20"/>
      <c r="C822" s="20"/>
      <c r="D822" s="20"/>
      <c r="Q822" s="121"/>
      <c r="R822" s="121"/>
      <c r="S822" s="121"/>
      <c r="T822" s="121"/>
      <c r="U822" s="121"/>
    </row>
    <row r="823" spans="1:22" x14ac:dyDescent="0.2">
      <c r="A823" s="48">
        <f t="shared" si="24"/>
        <v>815</v>
      </c>
      <c r="B823" s="43">
        <v>23</v>
      </c>
      <c r="C823" s="43">
        <v>1</v>
      </c>
      <c r="D823" s="38" t="s">
        <v>600</v>
      </c>
      <c r="E823" s="44" t="s">
        <v>107</v>
      </c>
      <c r="F823" s="44" t="s">
        <v>29</v>
      </c>
      <c r="G823" s="44" t="s">
        <v>108</v>
      </c>
      <c r="H823" s="44" t="s">
        <v>30</v>
      </c>
      <c r="I823" s="44" t="s">
        <v>30</v>
      </c>
      <c r="J823" s="44" t="s">
        <v>31</v>
      </c>
      <c r="K823" s="44" t="s">
        <v>109</v>
      </c>
      <c r="L823" s="40">
        <v>1117</v>
      </c>
      <c r="M823" s="41">
        <v>41339</v>
      </c>
      <c r="N823" s="40" t="s">
        <v>110</v>
      </c>
      <c r="O823" s="42"/>
      <c r="P823" s="40"/>
      <c r="Q823" s="120">
        <f>'[3]AECO LP_10V1_SMS'!G822</f>
        <v>0</v>
      </c>
      <c r="R823" s="120">
        <f>'[3]AECO LP_10V1_SMS'!H822</f>
        <v>0</v>
      </c>
      <c r="S823" s="120">
        <f>'[3]AECO LP_10V1_SMS'!I822</f>
        <v>0</v>
      </c>
      <c r="T823" s="120">
        <f>'[3]AECO LP_10V1_SMS'!J822</f>
        <v>0</v>
      </c>
      <c r="U823" s="120">
        <f>'[3]AECO LP_10V1_SMS'!K822</f>
        <v>0</v>
      </c>
      <c r="V823" s="91"/>
    </row>
    <row r="824" spans="1:22" x14ac:dyDescent="0.2">
      <c r="A824" s="48">
        <f t="shared" si="24"/>
        <v>816</v>
      </c>
      <c r="B824" s="43">
        <v>23</v>
      </c>
      <c r="C824" s="43">
        <v>2</v>
      </c>
      <c r="D824" s="38" t="s">
        <v>601</v>
      </c>
      <c r="E824" s="44" t="s">
        <v>112</v>
      </c>
      <c r="F824" s="44" t="s">
        <v>29</v>
      </c>
      <c r="G824" s="44" t="s">
        <v>108</v>
      </c>
      <c r="H824" s="44" t="s">
        <v>30</v>
      </c>
      <c r="I824" s="44" t="s">
        <v>30</v>
      </c>
      <c r="J824" s="44" t="s">
        <v>32</v>
      </c>
      <c r="K824" s="44" t="s">
        <v>113</v>
      </c>
      <c r="L824" s="40">
        <v>1118</v>
      </c>
      <c r="M824" s="41">
        <v>41339</v>
      </c>
      <c r="N824" s="40" t="s">
        <v>110</v>
      </c>
      <c r="O824" s="42"/>
      <c r="P824" s="40"/>
      <c r="Q824" s="120">
        <f>'[3]AECO LP_14V1_MMS'!G822</f>
        <v>0</v>
      </c>
      <c r="R824" s="120">
        <f>'[3]AECO LP_14V1_MMS'!H822</f>
        <v>0</v>
      </c>
      <c r="S824" s="120">
        <f>'[3]AECO LP_14V1_MMS'!I822</f>
        <v>0</v>
      </c>
      <c r="T824" s="120">
        <f>'[3]AECO LP_14V1_MMS'!J822</f>
        <v>0</v>
      </c>
      <c r="U824" s="120">
        <f>'[3]AECO LP_14V1_MMS'!K822</f>
        <v>0</v>
      </c>
      <c r="V824" s="91"/>
    </row>
    <row r="825" spans="1:22" x14ac:dyDescent="0.2">
      <c r="A825" s="48">
        <f t="shared" si="24"/>
        <v>817</v>
      </c>
      <c r="B825" s="43">
        <v>23</v>
      </c>
      <c r="C825" s="43">
        <v>3</v>
      </c>
      <c r="D825" s="38" t="s">
        <v>602</v>
      </c>
      <c r="E825" s="44" t="s">
        <v>115</v>
      </c>
      <c r="F825" s="44" t="s">
        <v>18</v>
      </c>
      <c r="G825" s="44" t="s">
        <v>108</v>
      </c>
      <c r="H825" s="44" t="s">
        <v>61</v>
      </c>
      <c r="I825" s="44" t="s">
        <v>116</v>
      </c>
      <c r="J825" s="44" t="s">
        <v>13</v>
      </c>
      <c r="K825" s="44" t="s">
        <v>117</v>
      </c>
      <c r="L825" s="40">
        <v>1119</v>
      </c>
      <c r="M825" s="41">
        <v>41339</v>
      </c>
      <c r="N825" s="40" t="s">
        <v>110</v>
      </c>
      <c r="O825" s="42"/>
      <c r="P825" s="40"/>
      <c r="Q825" s="120">
        <f>'[3]AEP_OH_CS - test CSGS1MS'!G822</f>
        <v>0</v>
      </c>
      <c r="R825" s="120">
        <f>'[3]AEP_OH_CS - test CSGS1MS'!H822</f>
        <v>0</v>
      </c>
      <c r="S825" s="120">
        <f>'[3]AEP_OH_CS - test CSGS1MS'!I822</f>
        <v>0</v>
      </c>
      <c r="T825" s="120">
        <f>'[3]AEP_OH_CS - test CSGS1MS'!J822</f>
        <v>0</v>
      </c>
      <c r="U825" s="120">
        <f>'[3]AEP_OH_CS - test CSGS1MS'!K822</f>
        <v>0</v>
      </c>
      <c r="V825" s="91"/>
    </row>
    <row r="826" spans="1:22" x14ac:dyDescent="0.2">
      <c r="A826" s="48">
        <f t="shared" si="24"/>
        <v>818</v>
      </c>
      <c r="B826" s="43">
        <v>23</v>
      </c>
      <c r="C826" s="43">
        <v>4</v>
      </c>
      <c r="D826" s="38" t="s">
        <v>603</v>
      </c>
      <c r="E826" s="44" t="s">
        <v>119</v>
      </c>
      <c r="F826" s="44" t="s">
        <v>18</v>
      </c>
      <c r="G826" s="44" t="s">
        <v>108</v>
      </c>
      <c r="H826" s="44" t="s">
        <v>61</v>
      </c>
      <c r="I826" s="44" t="s">
        <v>116</v>
      </c>
      <c r="J826" s="44" t="s">
        <v>19</v>
      </c>
      <c r="K826" s="44" t="s">
        <v>120</v>
      </c>
      <c r="L826" s="40">
        <v>1120</v>
      </c>
      <c r="M826" s="41">
        <v>41339</v>
      </c>
      <c r="N826" s="40" t="s">
        <v>110</v>
      </c>
      <c r="O826" s="42"/>
      <c r="P826" s="40"/>
      <c r="Q826" s="120">
        <f>'[3]AEP_OH_CS - test CSGS2UMS'!G822</f>
        <v>0</v>
      </c>
      <c r="R826" s="120">
        <f>'[3]AEP_OH_CS - test CSGS2UMS'!H822</f>
        <v>0</v>
      </c>
      <c r="S826" s="120">
        <f>'[3]AEP_OH_CS - test CSGS2UMS'!I822</f>
        <v>0</v>
      </c>
      <c r="T826" s="120">
        <f>'[3]AEP_OH_CS - test CSGS2UMS'!J822</f>
        <v>0</v>
      </c>
      <c r="U826" s="120">
        <f>'[3]AEP_OH_CS - test CSGS2UMS'!K822</f>
        <v>0</v>
      </c>
      <c r="V826" s="91"/>
    </row>
    <row r="827" spans="1:22" x14ac:dyDescent="0.2">
      <c r="A827" s="48">
        <f t="shared" si="24"/>
        <v>819</v>
      </c>
      <c r="B827" s="43">
        <v>23</v>
      </c>
      <c r="C827" s="43">
        <v>5</v>
      </c>
      <c r="D827" s="38" t="s">
        <v>604</v>
      </c>
      <c r="E827" s="44" t="s">
        <v>122</v>
      </c>
      <c r="F827" s="44" t="s">
        <v>18</v>
      </c>
      <c r="G827" s="44" t="s">
        <v>108</v>
      </c>
      <c r="H827" s="44" t="s">
        <v>61</v>
      </c>
      <c r="I827" s="44" t="s">
        <v>116</v>
      </c>
      <c r="J827" s="44" t="s">
        <v>14</v>
      </c>
      <c r="K827" s="44" t="s">
        <v>123</v>
      </c>
      <c r="L827" s="40">
        <v>1121</v>
      </c>
      <c r="M827" s="41">
        <v>41339</v>
      </c>
      <c r="N827" s="40" t="s">
        <v>110</v>
      </c>
      <c r="O827" s="42"/>
      <c r="P827" s="40"/>
      <c r="Q827" s="120">
        <f>'[3]AEP_OH_CS - test CSGS3UMS'!G822</f>
        <v>0</v>
      </c>
      <c r="R827" s="120">
        <f>'[3]AEP_OH_CS - test CSGS3UMS'!H822</f>
        <v>0</v>
      </c>
      <c r="S827" s="120">
        <f>'[3]AEP_OH_CS - test CSGS3UMS'!I822</f>
        <v>0</v>
      </c>
      <c r="T827" s="120">
        <f>'[3]AEP_OH_CS - test CSGS3UMS'!J822</f>
        <v>0</v>
      </c>
      <c r="U827" s="120">
        <f>'[3]AEP_OH_CS - test CSGS3UMS'!K822</f>
        <v>0</v>
      </c>
      <c r="V827" s="91"/>
    </row>
    <row r="828" spans="1:22" x14ac:dyDescent="0.2">
      <c r="A828" s="48">
        <f t="shared" si="24"/>
        <v>820</v>
      </c>
      <c r="B828" s="43">
        <v>23</v>
      </c>
      <c r="C828" s="43">
        <v>6</v>
      </c>
      <c r="D828" s="38" t="s">
        <v>605</v>
      </c>
      <c r="E828" s="44" t="s">
        <v>125</v>
      </c>
      <c r="F828" s="44" t="s">
        <v>23</v>
      </c>
      <c r="G828" s="44" t="s">
        <v>126</v>
      </c>
      <c r="H828" s="44" t="s">
        <v>127</v>
      </c>
      <c r="I828" s="44" t="s">
        <v>27</v>
      </c>
      <c r="J828" s="44" t="s">
        <v>28</v>
      </c>
      <c r="K828" s="44" t="s">
        <v>128</v>
      </c>
      <c r="L828" s="40">
        <v>1122</v>
      </c>
      <c r="M828" s="41">
        <v>41339</v>
      </c>
      <c r="N828" s="40" t="s">
        <v>110</v>
      </c>
      <c r="O828" s="42"/>
      <c r="P828" s="40"/>
      <c r="Q828" s="120">
        <f>'[3]Ameren RateZnIII LP DS2HHMS'!G822</f>
        <v>0</v>
      </c>
      <c r="R828" s="120">
        <f>'[3]Ameren RateZnIII LP DS2HHMS'!H822</f>
        <v>0</v>
      </c>
      <c r="S828" s="120">
        <f>'[3]Ameren RateZnIII LP DS2HHMS'!I822</f>
        <v>0</v>
      </c>
      <c r="T828" s="120">
        <f>'[3]Ameren RateZnIII LP DS2HHMS'!J822</f>
        <v>0</v>
      </c>
      <c r="U828" s="120">
        <f>'[3]Ameren RateZnIII LP DS2HHMS'!K822</f>
        <v>0</v>
      </c>
      <c r="V828" s="91"/>
    </row>
    <row r="829" spans="1:22" x14ac:dyDescent="0.2">
      <c r="A829" s="48">
        <f t="shared" si="24"/>
        <v>821</v>
      </c>
      <c r="B829" s="43">
        <v>23</v>
      </c>
      <c r="C829" s="43">
        <v>7</v>
      </c>
      <c r="D829" s="38" t="s">
        <v>606</v>
      </c>
      <c r="E829" s="44" t="s">
        <v>130</v>
      </c>
      <c r="F829" s="44" t="s">
        <v>37</v>
      </c>
      <c r="G829" s="44" t="s">
        <v>108</v>
      </c>
      <c r="H829" s="44" t="s">
        <v>38</v>
      </c>
      <c r="I829" s="44" t="s">
        <v>38</v>
      </c>
      <c r="J829" s="44" t="s">
        <v>40</v>
      </c>
      <c r="K829" s="44" t="s">
        <v>123</v>
      </c>
      <c r="L829" s="40">
        <v>1124</v>
      </c>
      <c r="M829" s="41">
        <v>41339</v>
      </c>
      <c r="N829" s="40" t="s">
        <v>110</v>
      </c>
      <c r="O829" s="42"/>
      <c r="P829" s="40"/>
      <c r="Q829" s="120">
        <f>'[3]BGE LP_GLMS'!G822</f>
        <v>0</v>
      </c>
      <c r="R829" s="120">
        <f>'[3]BGE LP_GLMS'!H822</f>
        <v>0</v>
      </c>
      <c r="S829" s="120">
        <f>'[3]BGE LP_GLMS'!I822</f>
        <v>0</v>
      </c>
      <c r="T829" s="120">
        <f>'[3]BGE LP_GLMS'!J822</f>
        <v>0</v>
      </c>
      <c r="U829" s="120">
        <f>'[3]BGE LP_GLMS'!K822</f>
        <v>0</v>
      </c>
      <c r="V829" s="91"/>
    </row>
    <row r="830" spans="1:22" x14ac:dyDescent="0.2">
      <c r="A830" s="48">
        <f t="shared" si="24"/>
        <v>822</v>
      </c>
      <c r="B830" s="43">
        <v>23</v>
      </c>
      <c r="C830" s="43">
        <v>8</v>
      </c>
      <c r="D830" s="38" t="s">
        <v>607</v>
      </c>
      <c r="E830" s="44" t="s">
        <v>132</v>
      </c>
      <c r="F830" s="44" t="s">
        <v>37</v>
      </c>
      <c r="G830" s="44" t="s">
        <v>108</v>
      </c>
      <c r="H830" s="44" t="s">
        <v>38</v>
      </c>
      <c r="I830" s="44" t="s">
        <v>38</v>
      </c>
      <c r="J830" s="44" t="s">
        <v>39</v>
      </c>
      <c r="K830" s="44" t="s">
        <v>120</v>
      </c>
      <c r="L830" s="40">
        <v>1123</v>
      </c>
      <c r="M830" s="41">
        <v>41339</v>
      </c>
      <c r="N830" s="40" t="s">
        <v>110</v>
      </c>
      <c r="O830" s="42"/>
      <c r="P830" s="40"/>
      <c r="Q830" s="120">
        <f>'[3]BGE LP_GMS'!G822</f>
        <v>0</v>
      </c>
      <c r="R830" s="120">
        <f>'[3]BGE LP_GMS'!H822</f>
        <v>0</v>
      </c>
      <c r="S830" s="120">
        <f>'[3]BGE LP_GMS'!I822</f>
        <v>0</v>
      </c>
      <c r="T830" s="120">
        <f>'[3]BGE LP_GMS'!J822</f>
        <v>0</v>
      </c>
      <c r="U830" s="120">
        <f>'[3]BGE LP_GMS'!K822</f>
        <v>0</v>
      </c>
      <c r="V830" s="91"/>
    </row>
    <row r="831" spans="1:22" x14ac:dyDescent="0.2">
      <c r="A831" s="48">
        <f t="shared" si="24"/>
        <v>823</v>
      </c>
      <c r="B831" s="43">
        <v>23</v>
      </c>
      <c r="C831" s="43">
        <v>9</v>
      </c>
      <c r="D831" s="38" t="s">
        <v>608</v>
      </c>
      <c r="E831" s="44" t="s">
        <v>134</v>
      </c>
      <c r="F831" s="44" t="s">
        <v>37</v>
      </c>
      <c r="G831" s="44" t="s">
        <v>108</v>
      </c>
      <c r="H831" s="44" t="s">
        <v>38</v>
      </c>
      <c r="I831" s="44" t="s">
        <v>38</v>
      </c>
      <c r="J831" s="44" t="s">
        <v>6</v>
      </c>
      <c r="K831" s="44" t="s">
        <v>117</v>
      </c>
      <c r="L831" s="40">
        <v>1125</v>
      </c>
      <c r="M831" s="41">
        <v>41339</v>
      </c>
      <c r="N831" s="40" t="s">
        <v>110</v>
      </c>
      <c r="O831" s="42"/>
      <c r="P831" s="40"/>
      <c r="Q831" s="120">
        <f>'[3]BGE LP_GSMS'!G822</f>
        <v>0</v>
      </c>
      <c r="R831" s="120">
        <f>'[3]BGE LP_GSMS'!H822</f>
        <v>0</v>
      </c>
      <c r="S831" s="120">
        <f>'[3]BGE LP_GSMS'!I822</f>
        <v>0</v>
      </c>
      <c r="T831" s="120">
        <f>'[3]BGE LP_GSMS'!J822</f>
        <v>0</v>
      </c>
      <c r="U831" s="120">
        <f>'[3]BGE LP_GSMS'!K822</f>
        <v>0</v>
      </c>
      <c r="V831" s="91"/>
    </row>
    <row r="832" spans="1:22" x14ac:dyDescent="0.2">
      <c r="A832" s="48">
        <f t="shared" si="24"/>
        <v>824</v>
      </c>
      <c r="B832" s="43">
        <v>23</v>
      </c>
      <c r="C832" s="43">
        <v>10</v>
      </c>
      <c r="D832" s="38" t="s">
        <v>609</v>
      </c>
      <c r="E832" s="44" t="s">
        <v>136</v>
      </c>
      <c r="F832" s="44" t="s">
        <v>23</v>
      </c>
      <c r="G832" s="44" t="s">
        <v>108</v>
      </c>
      <c r="H832" s="44" t="s">
        <v>137</v>
      </c>
      <c r="I832" s="44" t="s">
        <v>24</v>
      </c>
      <c r="J832" s="44" t="s">
        <v>25</v>
      </c>
      <c r="K832" s="44" t="s">
        <v>138</v>
      </c>
      <c r="L832" s="40">
        <v>1126</v>
      </c>
      <c r="M832" s="41">
        <v>41339</v>
      </c>
      <c r="N832" s="40" t="s">
        <v>110</v>
      </c>
      <c r="O832" s="42"/>
      <c r="P832" s="40"/>
      <c r="Q832" s="120">
        <f>'[3]ComEd - test LP_28MS'!G822</f>
        <v>0</v>
      </c>
      <c r="R832" s="120">
        <f>'[3]ComEd - test LP_28MS'!H822</f>
        <v>0</v>
      </c>
      <c r="S832" s="120">
        <f>'[3]ComEd - test LP_28MS'!I822</f>
        <v>0</v>
      </c>
      <c r="T832" s="120">
        <f>'[3]ComEd - test LP_28MS'!J822</f>
        <v>0</v>
      </c>
      <c r="U832" s="120">
        <f>'[3]ComEd - test LP_28MS'!K822</f>
        <v>0</v>
      </c>
      <c r="V832" s="91"/>
    </row>
    <row r="833" spans="1:22" x14ac:dyDescent="0.2">
      <c r="A833" s="48">
        <f t="shared" si="24"/>
        <v>825</v>
      </c>
      <c r="B833" s="43">
        <v>23</v>
      </c>
      <c r="C833" s="43">
        <v>11</v>
      </c>
      <c r="D833" s="38" t="s">
        <v>610</v>
      </c>
      <c r="E833" s="44" t="s">
        <v>140</v>
      </c>
      <c r="F833" s="44" t="s">
        <v>23</v>
      </c>
      <c r="G833" s="44" t="s">
        <v>108</v>
      </c>
      <c r="H833" s="44" t="s">
        <v>137</v>
      </c>
      <c r="I833" s="44" t="s">
        <v>24</v>
      </c>
      <c r="J833" s="44" t="s">
        <v>26</v>
      </c>
      <c r="K833" s="44" t="s">
        <v>141</v>
      </c>
      <c r="L833" s="40">
        <v>1127</v>
      </c>
      <c r="M833" s="41">
        <v>41339</v>
      </c>
      <c r="N833" s="40" t="s">
        <v>110</v>
      </c>
      <c r="O833" s="42"/>
      <c r="P833" s="40"/>
      <c r="Q833" s="120">
        <f>'[3]ComEd - test LP_29MS'!G822</f>
        <v>0</v>
      </c>
      <c r="R833" s="120">
        <f>'[3]ComEd - test LP_29MS'!H822</f>
        <v>0</v>
      </c>
      <c r="S833" s="120">
        <f>'[3]ComEd - test LP_29MS'!I822</f>
        <v>0</v>
      </c>
      <c r="T833" s="120">
        <f>'[3]ComEd - test LP_29MS'!J822</f>
        <v>0</v>
      </c>
      <c r="U833" s="120">
        <f>'[3]ComEd - test LP_29MS'!K822</f>
        <v>0</v>
      </c>
      <c r="V833" s="91"/>
    </row>
    <row r="834" spans="1:22" x14ac:dyDescent="0.2">
      <c r="A834" s="48">
        <f t="shared" si="24"/>
        <v>826</v>
      </c>
      <c r="B834" s="43">
        <v>23</v>
      </c>
      <c r="C834" s="43">
        <v>12</v>
      </c>
      <c r="D834" s="38" t="s">
        <v>611</v>
      </c>
      <c r="E834" s="44" t="s">
        <v>143</v>
      </c>
      <c r="F834" s="44" t="s">
        <v>18</v>
      </c>
      <c r="G834" s="44" t="s">
        <v>108</v>
      </c>
      <c r="H834" s="44" t="s">
        <v>94</v>
      </c>
      <c r="I834" s="44" t="s">
        <v>144</v>
      </c>
      <c r="J834" s="44" t="s">
        <v>20</v>
      </c>
      <c r="K834" s="44" t="s">
        <v>145</v>
      </c>
      <c r="L834" s="40">
        <v>1128</v>
      </c>
      <c r="M834" s="41">
        <v>41339</v>
      </c>
      <c r="N834" s="40" t="s">
        <v>110</v>
      </c>
      <c r="O834" s="42"/>
      <c r="P834" s="40"/>
      <c r="Q834" s="120">
        <f>[3]DAY_RC_843MS!G822</f>
        <v>0</v>
      </c>
      <c r="R834" s="120">
        <f>[3]DAY_RC_843MS!H822</f>
        <v>0</v>
      </c>
      <c r="S834" s="120">
        <f>[3]DAY_RC_843MS!I822</f>
        <v>0</v>
      </c>
      <c r="T834" s="120">
        <f>[3]DAY_RC_843MS!J822</f>
        <v>0</v>
      </c>
      <c r="U834" s="120">
        <f>[3]DAY_RC_843MS!K822</f>
        <v>0</v>
      </c>
      <c r="V834" s="91"/>
    </row>
    <row r="835" spans="1:22" x14ac:dyDescent="0.2">
      <c r="A835" s="48">
        <f t="shared" si="24"/>
        <v>827</v>
      </c>
      <c r="B835" s="43">
        <v>23</v>
      </c>
      <c r="C835" s="43">
        <v>13</v>
      </c>
      <c r="D835" s="38" t="s">
        <v>612</v>
      </c>
      <c r="E835" s="44" t="s">
        <v>147</v>
      </c>
      <c r="F835" s="44" t="s">
        <v>37</v>
      </c>
      <c r="G835" s="44" t="s">
        <v>108</v>
      </c>
      <c r="H835" s="44" t="s">
        <v>41</v>
      </c>
      <c r="I835" s="44" t="s">
        <v>41</v>
      </c>
      <c r="J835" s="44" t="s">
        <v>6</v>
      </c>
      <c r="K835" s="44" t="s">
        <v>128</v>
      </c>
      <c r="L835" s="40">
        <v>1129</v>
      </c>
      <c r="M835" s="41">
        <v>41339</v>
      </c>
      <c r="N835" s="40" t="s">
        <v>110</v>
      </c>
      <c r="O835" s="42"/>
      <c r="P835" s="40"/>
      <c r="Q835" s="120">
        <f>'[3]Delmarva MD LP_MDGS_MMS'!G822</f>
        <v>0</v>
      </c>
      <c r="R835" s="120">
        <f>'[3]Delmarva MD LP_MDGS_MMS'!H822</f>
        <v>0</v>
      </c>
      <c r="S835" s="120">
        <f>'[3]Delmarva MD LP_MDGS_MMS'!I822</f>
        <v>0</v>
      </c>
      <c r="T835" s="120">
        <f>'[3]Delmarva MD LP_MDGS_MMS'!J822</f>
        <v>0</v>
      </c>
      <c r="U835" s="120">
        <f>'[3]Delmarva MD LP_MDGS_MMS'!K822</f>
        <v>0</v>
      </c>
      <c r="V835" s="91"/>
    </row>
    <row r="836" spans="1:22" x14ac:dyDescent="0.2">
      <c r="A836" s="48">
        <f t="shared" si="24"/>
        <v>828</v>
      </c>
      <c r="B836" s="43">
        <v>23</v>
      </c>
      <c r="C836" s="43">
        <v>14</v>
      </c>
      <c r="D836" s="38" t="s">
        <v>613</v>
      </c>
      <c r="E836" s="44" t="s">
        <v>149</v>
      </c>
      <c r="F836" s="44" t="s">
        <v>5</v>
      </c>
      <c r="G836" s="44" t="s">
        <v>108</v>
      </c>
      <c r="H836" s="44" t="s">
        <v>46</v>
      </c>
      <c r="I836" s="44" t="s">
        <v>46</v>
      </c>
      <c r="J836" s="44" t="s">
        <v>6</v>
      </c>
      <c r="K836" s="44" t="s">
        <v>128</v>
      </c>
      <c r="L836" s="40">
        <v>1130</v>
      </c>
      <c r="M836" s="41">
        <v>41339</v>
      </c>
      <c r="N836" s="40" t="s">
        <v>110</v>
      </c>
      <c r="O836" s="42"/>
      <c r="P836" s="40"/>
      <c r="Q836" s="120">
        <f>'[3]DQE LP_GSGM_MMS'!G822</f>
        <v>0</v>
      </c>
      <c r="R836" s="120">
        <f>'[3]DQE LP_GSGM_MMS'!H822</f>
        <v>0</v>
      </c>
      <c r="S836" s="120">
        <f>'[3]DQE LP_GSGM_MMS'!I822</f>
        <v>0</v>
      </c>
      <c r="T836" s="120">
        <f>'[3]DQE LP_GSGM_MMS'!J822</f>
        <v>0</v>
      </c>
      <c r="U836" s="120">
        <f>'[3]DQE LP_GSGM_MMS'!K822</f>
        <v>0</v>
      </c>
      <c r="V836" s="91"/>
    </row>
    <row r="837" spans="1:22" x14ac:dyDescent="0.2">
      <c r="A837" s="48">
        <f t="shared" si="24"/>
        <v>829</v>
      </c>
      <c r="B837" s="43">
        <v>23</v>
      </c>
      <c r="C837" s="43">
        <v>15</v>
      </c>
      <c r="D837" s="38" t="s">
        <v>614</v>
      </c>
      <c r="E837" s="44" t="s">
        <v>151</v>
      </c>
      <c r="F837" s="44" t="s">
        <v>18</v>
      </c>
      <c r="G837" s="44" t="s">
        <v>108</v>
      </c>
      <c r="H837" s="44" t="s">
        <v>21</v>
      </c>
      <c r="I837" s="44" t="s">
        <v>152</v>
      </c>
      <c r="J837" s="44" t="s">
        <v>22</v>
      </c>
      <c r="K837" s="44" t="s">
        <v>128</v>
      </c>
      <c r="L837" s="40">
        <v>1131</v>
      </c>
      <c r="M837" s="41">
        <v>41339</v>
      </c>
      <c r="N837" s="40" t="s">
        <v>110</v>
      </c>
      <c r="O837" s="42"/>
      <c r="P837" s="40"/>
      <c r="Q837" s="120">
        <f>[3]Duke_OH_RC_DS01MS!G822</f>
        <v>0</v>
      </c>
      <c r="R837" s="120">
        <f>[3]Duke_OH_RC_DS01MS!H822</f>
        <v>0</v>
      </c>
      <c r="S837" s="120">
        <f>[3]Duke_OH_RC_DS01MS!I822</f>
        <v>0</v>
      </c>
      <c r="T837" s="120">
        <f>[3]Duke_OH_RC_DS01MS!J822</f>
        <v>0</v>
      </c>
      <c r="U837" s="120">
        <f>[3]Duke_OH_RC_DS01MS!K822</f>
        <v>0</v>
      </c>
      <c r="V837" s="91"/>
    </row>
    <row r="838" spans="1:22" x14ac:dyDescent="0.2">
      <c r="A838" s="48">
        <f t="shared" si="24"/>
        <v>830</v>
      </c>
      <c r="B838" s="43">
        <v>23</v>
      </c>
      <c r="C838" s="43">
        <v>16</v>
      </c>
      <c r="D838" s="38" t="s">
        <v>615</v>
      </c>
      <c r="E838" s="44" t="s">
        <v>154</v>
      </c>
      <c r="F838" s="44" t="s">
        <v>18</v>
      </c>
      <c r="G838" s="44" t="s">
        <v>108</v>
      </c>
      <c r="H838" s="44" t="s">
        <v>62</v>
      </c>
      <c r="I838" s="44" t="s">
        <v>155</v>
      </c>
      <c r="J838" s="44" t="s">
        <v>6</v>
      </c>
      <c r="K838" s="44" t="s">
        <v>128</v>
      </c>
      <c r="L838" s="40">
        <v>1132</v>
      </c>
      <c r="M838" s="41">
        <v>41339</v>
      </c>
      <c r="N838" s="40" t="s">
        <v>110</v>
      </c>
      <c r="O838" s="42"/>
      <c r="P838" s="40"/>
      <c r="Q838" s="120">
        <f>'[3]FE_OE - test RC_GSFMS'!G822</f>
        <v>0</v>
      </c>
      <c r="R838" s="120">
        <f>'[3]FE_OE - test RC_GSFMS'!H822</f>
        <v>0</v>
      </c>
      <c r="S838" s="120">
        <f>'[3]FE_OE - test RC_GSFMS'!I822</f>
        <v>0</v>
      </c>
      <c r="T838" s="120">
        <f>'[3]FE_OE - test RC_GSFMS'!J822</f>
        <v>0</v>
      </c>
      <c r="U838" s="120">
        <f>'[3]FE_OE - test RC_GSFMS'!K822</f>
        <v>0</v>
      </c>
      <c r="V838" s="91"/>
    </row>
    <row r="839" spans="1:22" x14ac:dyDescent="0.2">
      <c r="A839" s="48">
        <f t="shared" si="24"/>
        <v>831</v>
      </c>
      <c r="B839" s="43">
        <v>23</v>
      </c>
      <c r="C839" s="43">
        <v>17</v>
      </c>
      <c r="D839" s="38" t="s">
        <v>616</v>
      </c>
      <c r="E839" s="44" t="s">
        <v>157</v>
      </c>
      <c r="F839" s="44" t="s">
        <v>29</v>
      </c>
      <c r="G839" s="44" t="s">
        <v>108</v>
      </c>
      <c r="H839" s="44" t="s">
        <v>33</v>
      </c>
      <c r="I839" s="44" t="s">
        <v>33</v>
      </c>
      <c r="J839" s="44" t="s">
        <v>7</v>
      </c>
      <c r="K839" s="44" t="s">
        <v>123</v>
      </c>
      <c r="L839" s="40">
        <v>1133</v>
      </c>
      <c r="M839" s="41">
        <v>41339</v>
      </c>
      <c r="N839" s="40" t="s">
        <v>110</v>
      </c>
      <c r="O839" s="42"/>
      <c r="P839" s="40"/>
      <c r="Q839" s="120">
        <f>'[3]JCPL LP_GSCLMS'!G822</f>
        <v>0</v>
      </c>
      <c r="R839" s="120">
        <f>'[3]JCPL LP_GSCLMS'!H822</f>
        <v>0</v>
      </c>
      <c r="S839" s="120">
        <f>'[3]JCPL LP_GSCLMS'!I822</f>
        <v>0</v>
      </c>
      <c r="T839" s="120">
        <f>'[3]JCPL LP_GSCLMS'!J822</f>
        <v>0</v>
      </c>
      <c r="U839" s="120">
        <f>'[3]JCPL LP_GSCLMS'!K822</f>
        <v>0</v>
      </c>
      <c r="V839" s="91"/>
    </row>
    <row r="840" spans="1:22" x14ac:dyDescent="0.2">
      <c r="A840" s="48">
        <f t="shared" si="24"/>
        <v>832</v>
      </c>
      <c r="B840" s="43">
        <v>23</v>
      </c>
      <c r="C840" s="43">
        <v>18</v>
      </c>
      <c r="D840" s="38" t="s">
        <v>617</v>
      </c>
      <c r="E840" s="44" t="s">
        <v>159</v>
      </c>
      <c r="F840" s="44" t="s">
        <v>29</v>
      </c>
      <c r="G840" s="44" t="s">
        <v>108</v>
      </c>
      <c r="H840" s="44" t="s">
        <v>33</v>
      </c>
      <c r="I840" s="44" t="s">
        <v>33</v>
      </c>
      <c r="J840" s="44" t="s">
        <v>8</v>
      </c>
      <c r="K840" s="44" t="s">
        <v>120</v>
      </c>
      <c r="L840" s="40">
        <v>1134</v>
      </c>
      <c r="M840" s="41">
        <v>41339</v>
      </c>
      <c r="N840" s="40" t="s">
        <v>110</v>
      </c>
      <c r="O840" s="42"/>
      <c r="P840" s="40"/>
      <c r="Q840" s="120">
        <f>'[3]JCPL LP_GSCMMS'!G822</f>
        <v>0</v>
      </c>
      <c r="R840" s="120">
        <f>'[3]JCPL LP_GSCMMS'!H822</f>
        <v>0</v>
      </c>
      <c r="S840" s="120">
        <f>'[3]JCPL LP_GSCMMS'!I822</f>
        <v>0</v>
      </c>
      <c r="T840" s="120">
        <f>'[3]JCPL LP_GSCMMS'!J822</f>
        <v>0</v>
      </c>
      <c r="U840" s="120">
        <f>'[3]JCPL LP_GSCMMS'!K822</f>
        <v>0</v>
      </c>
      <c r="V840" s="91"/>
    </row>
    <row r="841" spans="1:22" x14ac:dyDescent="0.2">
      <c r="A841" s="48">
        <f t="shared" si="24"/>
        <v>833</v>
      </c>
      <c r="B841" s="43">
        <v>23</v>
      </c>
      <c r="C841" s="43">
        <v>19</v>
      </c>
      <c r="D841" s="38" t="s">
        <v>618</v>
      </c>
      <c r="E841" s="44" t="s">
        <v>161</v>
      </c>
      <c r="F841" s="44" t="s">
        <v>29</v>
      </c>
      <c r="G841" s="44" t="s">
        <v>108</v>
      </c>
      <c r="H841" s="44" t="s">
        <v>33</v>
      </c>
      <c r="I841" s="44" t="s">
        <v>33</v>
      </c>
      <c r="J841" s="44" t="s">
        <v>9</v>
      </c>
      <c r="K841" s="44" t="s">
        <v>117</v>
      </c>
      <c r="L841" s="40">
        <v>1135</v>
      </c>
      <c r="M841" s="41">
        <v>41339</v>
      </c>
      <c r="N841" s="40" t="s">
        <v>110</v>
      </c>
      <c r="O841" s="42"/>
      <c r="P841" s="40"/>
      <c r="Q841" s="120">
        <f>'[3]JCPL LP_GSCSMS'!G822</f>
        <v>0</v>
      </c>
      <c r="R841" s="120">
        <f>'[3]JCPL LP_GSCSMS'!H822</f>
        <v>0</v>
      </c>
      <c r="S841" s="120">
        <f>'[3]JCPL LP_GSCSMS'!I822</f>
        <v>0</v>
      </c>
      <c r="T841" s="120">
        <f>'[3]JCPL LP_GSCSMS'!J822</f>
        <v>0</v>
      </c>
      <c r="U841" s="120">
        <f>'[3]JCPL LP_GSCSMS'!K822</f>
        <v>0</v>
      </c>
      <c r="V841" s="91"/>
    </row>
    <row r="842" spans="1:22" x14ac:dyDescent="0.2">
      <c r="A842" s="48">
        <f t="shared" si="24"/>
        <v>834</v>
      </c>
      <c r="B842" s="43">
        <v>23</v>
      </c>
      <c r="C842" s="43">
        <v>20</v>
      </c>
      <c r="D842" s="38" t="s">
        <v>619</v>
      </c>
      <c r="E842" s="44" t="s">
        <v>163</v>
      </c>
      <c r="F842" s="44" t="s">
        <v>5</v>
      </c>
      <c r="G842" s="44" t="s">
        <v>108</v>
      </c>
      <c r="H842" s="44" t="s">
        <v>164</v>
      </c>
      <c r="I842" s="44" t="s">
        <v>165</v>
      </c>
      <c r="J842" s="44" t="s">
        <v>7</v>
      </c>
      <c r="K842" s="44" t="s">
        <v>123</v>
      </c>
      <c r="L842" s="40">
        <v>1137</v>
      </c>
      <c r="M842" s="41">
        <v>41339</v>
      </c>
      <c r="N842" s="40" t="s">
        <v>110</v>
      </c>
      <c r="O842" s="42"/>
      <c r="P842" s="40"/>
      <c r="Q842" s="120">
        <f>'[3]MetEd RC_GSLFMS'!G822</f>
        <v>0</v>
      </c>
      <c r="R842" s="120">
        <f>'[3]MetEd RC_GSLFMS'!H822</f>
        <v>0</v>
      </c>
      <c r="S842" s="120">
        <f>'[3]MetEd RC_GSLFMS'!I822</f>
        <v>0</v>
      </c>
      <c r="T842" s="120">
        <f>'[3]MetEd RC_GSLFMS'!J822</f>
        <v>0</v>
      </c>
      <c r="U842" s="120">
        <f>'[3]MetEd RC_GSLFMS'!K822</f>
        <v>0</v>
      </c>
      <c r="V842" s="91"/>
    </row>
    <row r="843" spans="1:22" x14ac:dyDescent="0.2">
      <c r="A843" s="48">
        <f t="shared" ref="A843:A895" si="25">A842+1</f>
        <v>835</v>
      </c>
      <c r="B843" s="43">
        <v>23</v>
      </c>
      <c r="C843" s="43">
        <v>21</v>
      </c>
      <c r="D843" s="38" t="s">
        <v>620</v>
      </c>
      <c r="E843" s="44" t="s">
        <v>167</v>
      </c>
      <c r="F843" s="44" t="s">
        <v>5</v>
      </c>
      <c r="G843" s="44" t="s">
        <v>108</v>
      </c>
      <c r="H843" s="44" t="s">
        <v>164</v>
      </c>
      <c r="I843" s="44" t="s">
        <v>165</v>
      </c>
      <c r="J843" s="44" t="s">
        <v>8</v>
      </c>
      <c r="K843" s="44" t="s">
        <v>120</v>
      </c>
      <c r="L843" s="40">
        <v>1136</v>
      </c>
      <c r="M843" s="41">
        <v>41339</v>
      </c>
      <c r="N843" s="40" t="s">
        <v>110</v>
      </c>
      <c r="O843" s="42"/>
      <c r="P843" s="40"/>
      <c r="Q843" s="120">
        <f>'[3]MetEd RC_GSDFMS'!G822</f>
        <v>0</v>
      </c>
      <c r="R843" s="120">
        <f>'[3]MetEd RC_GSDFMS'!H822</f>
        <v>0</v>
      </c>
      <c r="S843" s="120">
        <f>'[3]MetEd RC_GSDFMS'!I822</f>
        <v>0</v>
      </c>
      <c r="T843" s="120">
        <f>'[3]MetEd RC_GSDFMS'!J822</f>
        <v>0</v>
      </c>
      <c r="U843" s="120">
        <f>'[3]MetEd RC_GSDFMS'!K822</f>
        <v>0</v>
      </c>
      <c r="V843" s="91"/>
    </row>
    <row r="844" spans="1:22" x14ac:dyDescent="0.2">
      <c r="A844" s="48">
        <f t="shared" si="25"/>
        <v>836</v>
      </c>
      <c r="B844" s="43">
        <v>23</v>
      </c>
      <c r="C844" s="43">
        <v>22</v>
      </c>
      <c r="D844" s="38" t="s">
        <v>621</v>
      </c>
      <c r="E844" s="44" t="s">
        <v>169</v>
      </c>
      <c r="F844" s="44" t="s">
        <v>5</v>
      </c>
      <c r="G844" s="44" t="s">
        <v>108</v>
      </c>
      <c r="H844" s="44" t="s">
        <v>164</v>
      </c>
      <c r="I844" s="44" t="s">
        <v>165</v>
      </c>
      <c r="J844" s="44" t="s">
        <v>9</v>
      </c>
      <c r="K844" s="44" t="s">
        <v>117</v>
      </c>
      <c r="L844" s="40">
        <v>1138</v>
      </c>
      <c r="M844" s="41">
        <v>41339</v>
      </c>
      <c r="N844" s="40" t="s">
        <v>110</v>
      </c>
      <c r="O844" s="42"/>
      <c r="P844" s="40"/>
      <c r="Q844" s="120">
        <f>'[3]MetEd RC_GSSFMS'!G822</f>
        <v>0</v>
      </c>
      <c r="R844" s="120">
        <f>'[3]MetEd RC_GSSFMS'!H822</f>
        <v>0</v>
      </c>
      <c r="S844" s="120">
        <f>'[3]MetEd RC_GSSFMS'!I822</f>
        <v>0</v>
      </c>
      <c r="T844" s="120">
        <f>'[3]MetEd RC_GSSFMS'!J822</f>
        <v>0</v>
      </c>
      <c r="U844" s="120">
        <f>'[3]MetEd RC_GSSFMS'!K822</f>
        <v>0</v>
      </c>
      <c r="V844" s="91"/>
    </row>
    <row r="845" spans="1:22" x14ac:dyDescent="0.2">
      <c r="A845" s="48">
        <f t="shared" si="25"/>
        <v>837</v>
      </c>
      <c r="B845" s="43">
        <v>23</v>
      </c>
      <c r="C845" s="43">
        <v>23</v>
      </c>
      <c r="D845" s="38" t="s">
        <v>622</v>
      </c>
      <c r="E845" s="44" t="s">
        <v>171</v>
      </c>
      <c r="F845" s="44" t="s">
        <v>5</v>
      </c>
      <c r="G845" s="44" t="s">
        <v>108</v>
      </c>
      <c r="H845" s="44" t="s">
        <v>11</v>
      </c>
      <c r="I845" s="44" t="s">
        <v>11</v>
      </c>
      <c r="J845" s="44" t="s">
        <v>6</v>
      </c>
      <c r="K845" s="44" t="s">
        <v>128</v>
      </c>
      <c r="L845" s="40">
        <v>1139</v>
      </c>
      <c r="M845" s="41">
        <v>41339</v>
      </c>
      <c r="N845" s="40" t="s">
        <v>110</v>
      </c>
      <c r="O845" s="42"/>
      <c r="P845" s="40"/>
      <c r="Q845" s="120">
        <f>'[3]PECO LP_GSMS'!G822</f>
        <v>0</v>
      </c>
      <c r="R845" s="120">
        <f>'[3]PECO LP_GSMS'!H822</f>
        <v>0</v>
      </c>
      <c r="S845" s="120">
        <f>'[3]PECO LP_GSMS'!I822</f>
        <v>0</v>
      </c>
      <c r="T845" s="120">
        <f>'[3]PECO LP_GSMS'!J822</f>
        <v>0</v>
      </c>
      <c r="U845" s="120">
        <f>'[3]PECO LP_GSMS'!K822</f>
        <v>0</v>
      </c>
      <c r="V845" s="91"/>
    </row>
    <row r="846" spans="1:22" x14ac:dyDescent="0.2">
      <c r="A846" s="48">
        <f t="shared" si="25"/>
        <v>838</v>
      </c>
      <c r="B846" s="43">
        <v>23</v>
      </c>
      <c r="C846" s="43">
        <v>24</v>
      </c>
      <c r="D846" s="38" t="s">
        <v>623</v>
      </c>
      <c r="E846" s="44" t="s">
        <v>173</v>
      </c>
      <c r="F846" s="44" t="s">
        <v>5</v>
      </c>
      <c r="G846" s="44" t="s">
        <v>108</v>
      </c>
      <c r="H846" s="44" t="s">
        <v>10</v>
      </c>
      <c r="I846" s="44" t="s">
        <v>174</v>
      </c>
      <c r="J846" s="44" t="s">
        <v>7</v>
      </c>
      <c r="K846" s="44" t="s">
        <v>123</v>
      </c>
      <c r="L846" s="40">
        <v>1140</v>
      </c>
      <c r="M846" s="41">
        <v>41339</v>
      </c>
      <c r="N846" s="40" t="s">
        <v>110</v>
      </c>
      <c r="O846" s="42"/>
      <c r="P846" s="40"/>
      <c r="Q846" s="120">
        <f>'[3]Penelec RC_GSLFMS'!G822</f>
        <v>0</v>
      </c>
      <c r="R846" s="120">
        <f>'[3]Penelec RC_GSLFMS'!H822</f>
        <v>0</v>
      </c>
      <c r="S846" s="120">
        <f>'[3]Penelec RC_GSLFMS'!I822</f>
        <v>0</v>
      </c>
      <c r="T846" s="120">
        <f>'[3]Penelec RC_GSLFMS'!J822</f>
        <v>0</v>
      </c>
      <c r="U846" s="120">
        <f>'[3]Penelec RC_GSLFMS'!K822</f>
        <v>0</v>
      </c>
      <c r="V846" s="91"/>
    </row>
    <row r="847" spans="1:22" x14ac:dyDescent="0.2">
      <c r="A847" s="48">
        <f t="shared" si="25"/>
        <v>839</v>
      </c>
      <c r="B847" s="43">
        <v>23</v>
      </c>
      <c r="C847" s="43">
        <v>25</v>
      </c>
      <c r="D847" s="38" t="s">
        <v>624</v>
      </c>
      <c r="E847" s="44" t="s">
        <v>176</v>
      </c>
      <c r="F847" s="44" t="s">
        <v>5</v>
      </c>
      <c r="G847" s="44" t="s">
        <v>108</v>
      </c>
      <c r="H847" s="44" t="s">
        <v>10</v>
      </c>
      <c r="I847" s="44" t="s">
        <v>174</v>
      </c>
      <c r="J847" s="44" t="s">
        <v>8</v>
      </c>
      <c r="K847" s="44" t="s">
        <v>120</v>
      </c>
      <c r="L847" s="40">
        <v>1141</v>
      </c>
      <c r="M847" s="41">
        <v>41339</v>
      </c>
      <c r="N847" s="40" t="s">
        <v>110</v>
      </c>
      <c r="O847" s="42"/>
      <c r="P847" s="40"/>
      <c r="Q847" s="120">
        <f>'[3]Penelec RC_GSMFMS'!G822</f>
        <v>0</v>
      </c>
      <c r="R847" s="120">
        <f>'[3]Penelec RC_GSMFMS'!H822</f>
        <v>0</v>
      </c>
      <c r="S847" s="120">
        <f>'[3]Penelec RC_GSMFMS'!I822</f>
        <v>0</v>
      </c>
      <c r="T847" s="120">
        <f>'[3]Penelec RC_GSMFMS'!J822</f>
        <v>0</v>
      </c>
      <c r="U847" s="120">
        <f>'[3]Penelec RC_GSMFMS'!K822</f>
        <v>0</v>
      </c>
      <c r="V847" s="91"/>
    </row>
    <row r="848" spans="1:22" x14ac:dyDescent="0.2">
      <c r="A848" s="48">
        <f t="shared" si="25"/>
        <v>840</v>
      </c>
      <c r="B848" s="43">
        <v>23</v>
      </c>
      <c r="C848" s="43">
        <v>26</v>
      </c>
      <c r="D848" s="38" t="s">
        <v>625</v>
      </c>
      <c r="E848" s="44" t="s">
        <v>178</v>
      </c>
      <c r="F848" s="44" t="s">
        <v>5</v>
      </c>
      <c r="G848" s="44" t="s">
        <v>108</v>
      </c>
      <c r="H848" s="44" t="s">
        <v>10</v>
      </c>
      <c r="I848" s="44" t="s">
        <v>174</v>
      </c>
      <c r="J848" s="44" t="s">
        <v>9</v>
      </c>
      <c r="K848" s="44" t="s">
        <v>117</v>
      </c>
      <c r="L848" s="40">
        <v>1142</v>
      </c>
      <c r="M848" s="41">
        <v>41339</v>
      </c>
      <c r="N848" s="40" t="s">
        <v>110</v>
      </c>
      <c r="O848" s="42"/>
      <c r="P848" s="40"/>
      <c r="Q848" s="120">
        <f>'[3]Penelec RC_GSSFMS'!G822</f>
        <v>0</v>
      </c>
      <c r="R848" s="120">
        <f>'[3]Penelec RC_GSSFMS'!H822</f>
        <v>0</v>
      </c>
      <c r="S848" s="120">
        <f>'[3]Penelec RC_GSSFMS'!I822</f>
        <v>0</v>
      </c>
      <c r="T848" s="120">
        <f>'[3]Penelec RC_GSSFMS'!J822</f>
        <v>0</v>
      </c>
      <c r="U848" s="120">
        <f>'[3]Penelec RC_GSSFMS'!K822</f>
        <v>0</v>
      </c>
      <c r="V848" s="91"/>
    </row>
    <row r="849" spans="1:22" x14ac:dyDescent="0.2">
      <c r="A849" s="48">
        <f t="shared" si="25"/>
        <v>841</v>
      </c>
      <c r="B849" s="43">
        <v>23</v>
      </c>
      <c r="C849" s="43">
        <v>27</v>
      </c>
      <c r="D849" s="38" t="s">
        <v>626</v>
      </c>
      <c r="E849" s="44" t="s">
        <v>180</v>
      </c>
      <c r="F849" s="44" t="s">
        <v>5</v>
      </c>
      <c r="G849" s="44" t="s">
        <v>108</v>
      </c>
      <c r="H849" s="44" t="s">
        <v>91</v>
      </c>
      <c r="I849" s="44" t="s">
        <v>181</v>
      </c>
      <c r="J849" s="44" t="s">
        <v>6</v>
      </c>
      <c r="K849" s="44" t="s">
        <v>128</v>
      </c>
      <c r="L849" s="40">
        <v>1143</v>
      </c>
      <c r="M849" s="41">
        <v>41339</v>
      </c>
      <c r="N849" s="40" t="s">
        <v>110</v>
      </c>
      <c r="O849" s="42"/>
      <c r="P849" s="40"/>
      <c r="Q849" s="120">
        <f>'[3]Penn Power RC_GMDMS'!G822</f>
        <v>0</v>
      </c>
      <c r="R849" s="120">
        <f>'[3]Penn Power RC_GMDMS'!H822</f>
        <v>0</v>
      </c>
      <c r="S849" s="120">
        <f>'[3]Penn Power RC_GMDMS'!I822</f>
        <v>0</v>
      </c>
      <c r="T849" s="120">
        <f>'[3]Penn Power RC_GMDMS'!J822</f>
        <v>0</v>
      </c>
      <c r="U849" s="120">
        <f>'[3]Penn Power RC_GMDMS'!K822</f>
        <v>0</v>
      </c>
      <c r="V849" s="91"/>
    </row>
    <row r="850" spans="1:22" x14ac:dyDescent="0.2">
      <c r="A850" s="48">
        <f t="shared" si="25"/>
        <v>842</v>
      </c>
      <c r="B850" s="43">
        <v>23</v>
      </c>
      <c r="C850" s="43">
        <v>28</v>
      </c>
      <c r="D850" s="38" t="s">
        <v>627</v>
      </c>
      <c r="E850" s="44" t="s">
        <v>183</v>
      </c>
      <c r="F850" s="44" t="s">
        <v>37</v>
      </c>
      <c r="G850" s="44" t="s">
        <v>108</v>
      </c>
      <c r="H850" s="44" t="s">
        <v>42</v>
      </c>
      <c r="I850" s="44" t="s">
        <v>42</v>
      </c>
      <c r="J850" s="44" t="s">
        <v>6</v>
      </c>
      <c r="K850" s="44" t="s">
        <v>128</v>
      </c>
      <c r="L850" s="40">
        <v>1144</v>
      </c>
      <c r="M850" s="41">
        <v>41339</v>
      </c>
      <c r="N850" s="40" t="s">
        <v>110</v>
      </c>
      <c r="O850" s="42"/>
      <c r="P850" s="40"/>
      <c r="Q850" s="120">
        <f>'[3]PEPCO MD LP_MDNDMS'!G822</f>
        <v>0</v>
      </c>
      <c r="R850" s="120">
        <f>'[3]PEPCO MD LP_MDNDMS'!H822</f>
        <v>0</v>
      </c>
      <c r="S850" s="120">
        <f>'[3]PEPCO MD LP_MDNDMS'!I822</f>
        <v>0</v>
      </c>
      <c r="T850" s="120">
        <f>'[3]PEPCO MD LP_MDNDMS'!J822</f>
        <v>0</v>
      </c>
      <c r="U850" s="120">
        <f>'[3]PEPCO MD LP_MDNDMS'!K822</f>
        <v>0</v>
      </c>
      <c r="V850" s="91"/>
    </row>
    <row r="851" spans="1:22" x14ac:dyDescent="0.2">
      <c r="A851" s="48">
        <f t="shared" si="25"/>
        <v>843</v>
      </c>
      <c r="B851" s="43">
        <v>23</v>
      </c>
      <c r="C851" s="43">
        <v>29</v>
      </c>
      <c r="D851" s="38" t="s">
        <v>628</v>
      </c>
      <c r="E851" s="44" t="s">
        <v>185</v>
      </c>
      <c r="F851" s="44" t="s">
        <v>37</v>
      </c>
      <c r="G851" s="44" t="s">
        <v>108</v>
      </c>
      <c r="H851" s="44" t="s">
        <v>42</v>
      </c>
      <c r="I851" s="44" t="s">
        <v>42</v>
      </c>
      <c r="J851" s="44" t="s">
        <v>43</v>
      </c>
      <c r="K851" s="44" t="s">
        <v>186</v>
      </c>
      <c r="L851" s="40">
        <v>1145</v>
      </c>
      <c r="M851" s="41">
        <v>41339</v>
      </c>
      <c r="N851" s="40" t="s">
        <v>110</v>
      </c>
      <c r="O851" s="42"/>
      <c r="P851" s="40"/>
      <c r="Q851" s="120">
        <f>'[3]PEPCO MD LP_MMGTL2AMS'!G822</f>
        <v>0</v>
      </c>
      <c r="R851" s="120">
        <f>'[3]PEPCO MD LP_MMGTL2AMS'!H822</f>
        <v>0</v>
      </c>
      <c r="S851" s="120">
        <f>'[3]PEPCO MD LP_MMGTL2AMS'!I822</f>
        <v>0</v>
      </c>
      <c r="T851" s="120">
        <f>'[3]PEPCO MD LP_MMGTL2AMS'!J822</f>
        <v>0</v>
      </c>
      <c r="U851" s="120">
        <f>'[3]PEPCO MD LP_MMGTL2AMS'!K822</f>
        <v>0</v>
      </c>
      <c r="V851" s="91"/>
    </row>
    <row r="852" spans="1:22" x14ac:dyDescent="0.2">
      <c r="A852" s="48">
        <f t="shared" si="25"/>
        <v>844</v>
      </c>
      <c r="B852" s="43">
        <v>23</v>
      </c>
      <c r="C852" s="43">
        <v>30</v>
      </c>
      <c r="D852" s="38" t="s">
        <v>629</v>
      </c>
      <c r="E852" s="44" t="s">
        <v>188</v>
      </c>
      <c r="F852" s="44" t="s">
        <v>37</v>
      </c>
      <c r="G852" s="44" t="s">
        <v>108</v>
      </c>
      <c r="H852" s="44" t="s">
        <v>42</v>
      </c>
      <c r="I852" s="44" t="s">
        <v>42</v>
      </c>
      <c r="J852" s="44" t="s">
        <v>44</v>
      </c>
      <c r="K852" s="44" t="s">
        <v>44</v>
      </c>
      <c r="L852" s="40">
        <v>1146</v>
      </c>
      <c r="M852" s="41">
        <v>41339</v>
      </c>
      <c r="N852" s="40" t="s">
        <v>110</v>
      </c>
      <c r="O852" s="42"/>
      <c r="P852" s="40"/>
      <c r="Q852" s="120">
        <f>'[3]PEPCO MD RC_3T7MS'!G822</f>
        <v>0</v>
      </c>
      <c r="R852" s="120">
        <f>'[3]PEPCO MD RC_3T7MS'!H822</f>
        <v>0</v>
      </c>
      <c r="S852" s="120">
        <f>'[3]PEPCO MD RC_3T7MS'!I822</f>
        <v>0</v>
      </c>
      <c r="T852" s="120">
        <f>'[3]PEPCO MD RC_3T7MS'!J822</f>
        <v>0</v>
      </c>
      <c r="U852" s="120">
        <f>'[3]PEPCO MD RC_3T7MS'!K822</f>
        <v>0</v>
      </c>
      <c r="V852" s="91"/>
    </row>
    <row r="853" spans="1:22" x14ac:dyDescent="0.2">
      <c r="A853" s="48">
        <f t="shared" si="25"/>
        <v>845</v>
      </c>
      <c r="B853" s="43">
        <v>23</v>
      </c>
      <c r="C853" s="43">
        <v>31</v>
      </c>
      <c r="D853" s="38" t="s">
        <v>630</v>
      </c>
      <c r="E853" s="44" t="s">
        <v>190</v>
      </c>
      <c r="F853" s="44" t="s">
        <v>37</v>
      </c>
      <c r="G853" s="44" t="s">
        <v>108</v>
      </c>
      <c r="H853" s="44" t="s">
        <v>45</v>
      </c>
      <c r="I853" s="44" t="s">
        <v>45</v>
      </c>
      <c r="J853" s="44" t="s">
        <v>6</v>
      </c>
      <c r="K853" s="44" t="s">
        <v>128</v>
      </c>
      <c r="L853" s="40">
        <v>1147</v>
      </c>
      <c r="M853" s="41">
        <v>41339</v>
      </c>
      <c r="N853" s="40" t="s">
        <v>110</v>
      </c>
      <c r="O853" s="42"/>
      <c r="P853" s="40"/>
      <c r="Q853" s="120">
        <f>'[3]Potomac Edison LP_GSCM_MMS'!G822</f>
        <v>0</v>
      </c>
      <c r="R853" s="120">
        <f>'[3]Potomac Edison LP_GSCM_MMS'!H822</f>
        <v>0</v>
      </c>
      <c r="S853" s="120">
        <f>'[3]Potomac Edison LP_GSCM_MMS'!I822</f>
        <v>0</v>
      </c>
      <c r="T853" s="120">
        <f>'[3]Potomac Edison LP_GSCM_MMS'!J822</f>
        <v>0</v>
      </c>
      <c r="U853" s="120">
        <f>'[3]Potomac Edison LP_GSCM_MMS'!K822</f>
        <v>0</v>
      </c>
      <c r="V853" s="91"/>
    </row>
    <row r="854" spans="1:22" x14ac:dyDescent="0.2">
      <c r="A854" s="48">
        <f t="shared" si="25"/>
        <v>846</v>
      </c>
      <c r="B854" s="43">
        <v>23</v>
      </c>
      <c r="C854" s="43">
        <v>32</v>
      </c>
      <c r="D854" s="38" t="s">
        <v>631</v>
      </c>
      <c r="E854" s="44" t="s">
        <v>192</v>
      </c>
      <c r="F854" s="44" t="s">
        <v>5</v>
      </c>
      <c r="G854" s="44" t="s">
        <v>108</v>
      </c>
      <c r="H854" s="44" t="s">
        <v>12</v>
      </c>
      <c r="I854" s="44" t="s">
        <v>12</v>
      </c>
      <c r="J854" s="44" t="s">
        <v>13</v>
      </c>
      <c r="K854" s="44" t="s">
        <v>117</v>
      </c>
      <c r="L854" s="40">
        <v>1148</v>
      </c>
      <c r="M854" s="41">
        <v>41339</v>
      </c>
      <c r="N854" s="40" t="s">
        <v>110</v>
      </c>
      <c r="O854" s="42"/>
      <c r="P854" s="40"/>
      <c r="Q854" s="120">
        <f>[3]PPL_RCGS1MS!G822</f>
        <v>0</v>
      </c>
      <c r="R854" s="120">
        <f>[3]PPL_RCGS1MS!H822</f>
        <v>0</v>
      </c>
      <c r="S854" s="120">
        <f>[3]PPL_RCGS1MS!I822</f>
        <v>0</v>
      </c>
      <c r="T854" s="120">
        <f>[3]PPL_RCGS1MS!J822</f>
        <v>0</v>
      </c>
      <c r="U854" s="120">
        <f>[3]PPL_RCGS1MS!K822</f>
        <v>0</v>
      </c>
      <c r="V854" s="91"/>
    </row>
    <row r="855" spans="1:22" x14ac:dyDescent="0.2">
      <c r="A855" s="48">
        <f t="shared" si="25"/>
        <v>847</v>
      </c>
      <c r="B855" s="43">
        <v>23</v>
      </c>
      <c r="C855" s="43">
        <v>33</v>
      </c>
      <c r="D855" s="38" t="s">
        <v>632</v>
      </c>
      <c r="E855" s="44" t="s">
        <v>194</v>
      </c>
      <c r="F855" s="44" t="s">
        <v>5</v>
      </c>
      <c r="G855" s="44" t="s">
        <v>108</v>
      </c>
      <c r="H855" s="44" t="s">
        <v>12</v>
      </c>
      <c r="I855" s="44" t="s">
        <v>12</v>
      </c>
      <c r="J855" s="44" t="s">
        <v>14</v>
      </c>
      <c r="K855" s="44" t="s">
        <v>123</v>
      </c>
      <c r="L855" s="40">
        <v>1149</v>
      </c>
      <c r="M855" s="41">
        <v>41339</v>
      </c>
      <c r="N855" s="40" t="s">
        <v>110</v>
      </c>
      <c r="O855" s="42"/>
      <c r="P855" s="40"/>
      <c r="Q855" s="120">
        <f>[3]PPL_RCGS3MS!G822</f>
        <v>0</v>
      </c>
      <c r="R855" s="120">
        <f>[3]PPL_RCGS3MS!H822</f>
        <v>0</v>
      </c>
      <c r="S855" s="120">
        <f>[3]PPL_RCGS3MS!I822</f>
        <v>0</v>
      </c>
      <c r="T855" s="120">
        <f>[3]PPL_RCGS3MS!J822</f>
        <v>0</v>
      </c>
      <c r="U855" s="120">
        <f>[3]PPL_RCGS3MS!K822</f>
        <v>0</v>
      </c>
      <c r="V855" s="91"/>
    </row>
    <row r="856" spans="1:22" x14ac:dyDescent="0.2">
      <c r="A856" s="48">
        <f t="shared" si="25"/>
        <v>848</v>
      </c>
      <c r="B856" s="43">
        <v>23</v>
      </c>
      <c r="C856" s="43">
        <v>34</v>
      </c>
      <c r="D856" s="38" t="s">
        <v>633</v>
      </c>
      <c r="E856" s="44" t="s">
        <v>196</v>
      </c>
      <c r="F856" s="44" t="s">
        <v>29</v>
      </c>
      <c r="G856" s="44" t="s">
        <v>108</v>
      </c>
      <c r="H856" s="44" t="s">
        <v>34</v>
      </c>
      <c r="I856" s="44" t="s">
        <v>34</v>
      </c>
      <c r="J856" s="44" t="s">
        <v>35</v>
      </c>
      <c r="K856" s="44" t="s">
        <v>197</v>
      </c>
      <c r="L856" s="40">
        <v>1150</v>
      </c>
      <c r="M856" s="41">
        <v>41339</v>
      </c>
      <c r="N856" s="40" t="s">
        <v>110</v>
      </c>
      <c r="O856" s="42"/>
      <c r="P856" s="40"/>
      <c r="Q856" s="120">
        <f>'[3]PSEG LP_GLP_MMS'!G822</f>
        <v>0</v>
      </c>
      <c r="R856" s="120">
        <f>'[3]PSEG LP_GLP_MMS'!H822</f>
        <v>0</v>
      </c>
      <c r="S856" s="120">
        <f>'[3]PSEG LP_GLP_MMS'!I822</f>
        <v>0</v>
      </c>
      <c r="T856" s="120">
        <f>'[3]PSEG LP_GLP_MMS'!J822</f>
        <v>0</v>
      </c>
      <c r="U856" s="120">
        <f>'[3]PSEG LP_GLP_MMS'!K822</f>
        <v>0</v>
      </c>
      <c r="V856" s="91"/>
    </row>
    <row r="857" spans="1:22" x14ac:dyDescent="0.2">
      <c r="A857" s="48">
        <f t="shared" si="25"/>
        <v>849</v>
      </c>
      <c r="B857" s="43">
        <v>23</v>
      </c>
      <c r="C857" s="43">
        <v>35</v>
      </c>
      <c r="D857" s="38" t="s">
        <v>634</v>
      </c>
      <c r="E857" s="44" t="s">
        <v>199</v>
      </c>
      <c r="F857" s="44" t="s">
        <v>29</v>
      </c>
      <c r="G857" s="44" t="s">
        <v>108</v>
      </c>
      <c r="H857" s="44" t="s">
        <v>34</v>
      </c>
      <c r="I857" s="44" t="s">
        <v>34</v>
      </c>
      <c r="J857" s="44" t="s">
        <v>36</v>
      </c>
      <c r="K857" s="44" t="s">
        <v>200</v>
      </c>
      <c r="L857" s="40">
        <v>1151</v>
      </c>
      <c r="M857" s="41">
        <v>41339</v>
      </c>
      <c r="N857" s="40" t="s">
        <v>110</v>
      </c>
      <c r="O857" s="42"/>
      <c r="P857" s="40"/>
      <c r="Q857" s="120">
        <f>'[3]PSEG LP_LPLMS'!G822</f>
        <v>0</v>
      </c>
      <c r="R857" s="120">
        <f>'[3]PSEG LP_LPLMS'!H822</f>
        <v>0</v>
      </c>
      <c r="S857" s="120">
        <f>'[3]PSEG LP_LPLMS'!I822</f>
        <v>0</v>
      </c>
      <c r="T857" s="120">
        <f>'[3]PSEG LP_LPLMS'!J822</f>
        <v>0</v>
      </c>
      <c r="U857" s="120">
        <f>'[3]PSEG LP_LPLMS'!K822</f>
        <v>0</v>
      </c>
      <c r="V857" s="91"/>
    </row>
    <row r="858" spans="1:22" x14ac:dyDescent="0.2">
      <c r="A858" s="48">
        <f t="shared" si="25"/>
        <v>850</v>
      </c>
      <c r="B858" s="43">
        <v>23</v>
      </c>
      <c r="C858" s="43">
        <v>36</v>
      </c>
      <c r="D858" s="38" t="s">
        <v>635</v>
      </c>
      <c r="E858" s="44" t="s">
        <v>202</v>
      </c>
      <c r="F858" s="44" t="s">
        <v>5</v>
      </c>
      <c r="G858" s="44" t="s">
        <v>108</v>
      </c>
      <c r="H858" s="44" t="s">
        <v>15</v>
      </c>
      <c r="I858" s="44" t="s">
        <v>203</v>
      </c>
      <c r="J858" s="44" t="s">
        <v>16</v>
      </c>
      <c r="K858" s="44" t="s">
        <v>128</v>
      </c>
      <c r="L858" s="40">
        <v>1152</v>
      </c>
      <c r="M858" s="41">
        <v>41339</v>
      </c>
      <c r="N858" s="40" t="s">
        <v>110</v>
      </c>
      <c r="O858" s="42"/>
      <c r="P858" s="40"/>
      <c r="Q858" s="120">
        <f>'[3]West Penn Power LP_GSCMMS'!G822</f>
        <v>0</v>
      </c>
      <c r="R858" s="120">
        <f>'[3]West Penn Power LP_GSCMMS'!H822</f>
        <v>0</v>
      </c>
      <c r="S858" s="120">
        <f>'[3]West Penn Power LP_GSCMMS'!I822</f>
        <v>0</v>
      </c>
      <c r="T858" s="120">
        <f>'[3]West Penn Power LP_GSCMMS'!J822</f>
        <v>0</v>
      </c>
      <c r="U858" s="120">
        <f>'[3]West Penn Power LP_GSCMMS'!K822</f>
        <v>0</v>
      </c>
      <c r="V858" s="91"/>
    </row>
    <row r="859" spans="1:22" x14ac:dyDescent="0.2">
      <c r="A859" s="48">
        <f t="shared" si="25"/>
        <v>851</v>
      </c>
      <c r="B859" s="20"/>
      <c r="C859" s="20"/>
      <c r="D859" s="20"/>
      <c r="Q859" s="121"/>
      <c r="R859" s="121"/>
      <c r="S859" s="121"/>
      <c r="T859" s="121"/>
      <c r="U859" s="121"/>
    </row>
    <row r="860" spans="1:22" x14ac:dyDescent="0.2">
      <c r="A860" s="48">
        <f t="shared" si="25"/>
        <v>852</v>
      </c>
      <c r="B860" s="43">
        <v>24</v>
      </c>
      <c r="C860" s="43">
        <v>1</v>
      </c>
      <c r="D860" s="38" t="s">
        <v>600</v>
      </c>
      <c r="E860" s="44" t="s">
        <v>107</v>
      </c>
      <c r="F860" s="44" t="s">
        <v>29</v>
      </c>
      <c r="G860" s="44" t="s">
        <v>108</v>
      </c>
      <c r="H860" s="44" t="s">
        <v>30</v>
      </c>
      <c r="I860" s="44" t="s">
        <v>30</v>
      </c>
      <c r="J860" s="44" t="s">
        <v>31</v>
      </c>
      <c r="K860" s="44" t="s">
        <v>109</v>
      </c>
      <c r="L860" s="40">
        <v>1117</v>
      </c>
      <c r="M860" s="41">
        <v>41339</v>
      </c>
      <c r="N860" s="40" t="s">
        <v>110</v>
      </c>
      <c r="O860" s="42"/>
      <c r="P860" s="40"/>
      <c r="Q860" s="120">
        <f>'[3]AECO LP_10V1_SMS'!G859</f>
        <v>0</v>
      </c>
      <c r="R860" s="120">
        <f>'[3]AECO LP_10V1_SMS'!H859</f>
        <v>0</v>
      </c>
      <c r="S860" s="120">
        <f>'[3]AECO LP_10V1_SMS'!I859</f>
        <v>0</v>
      </c>
      <c r="T860" s="120">
        <f>'[3]AECO LP_10V1_SMS'!J859</f>
        <v>0</v>
      </c>
      <c r="U860" s="120">
        <f>'[3]AECO LP_10V1_SMS'!K859</f>
        <v>0</v>
      </c>
      <c r="V860" s="91"/>
    </row>
    <row r="861" spans="1:22" x14ac:dyDescent="0.2">
      <c r="A861" s="48">
        <f t="shared" si="25"/>
        <v>853</v>
      </c>
      <c r="B861" s="43">
        <v>24</v>
      </c>
      <c r="C861" s="43">
        <v>2</v>
      </c>
      <c r="D861" s="38" t="s">
        <v>601</v>
      </c>
      <c r="E861" s="44" t="s">
        <v>112</v>
      </c>
      <c r="F861" s="44" t="s">
        <v>29</v>
      </c>
      <c r="G861" s="44" t="s">
        <v>108</v>
      </c>
      <c r="H861" s="44" t="s">
        <v>30</v>
      </c>
      <c r="I861" s="44" t="s">
        <v>30</v>
      </c>
      <c r="J861" s="44" t="s">
        <v>32</v>
      </c>
      <c r="K861" s="44" t="s">
        <v>113</v>
      </c>
      <c r="L861" s="40">
        <v>1118</v>
      </c>
      <c r="M861" s="41">
        <v>41339</v>
      </c>
      <c r="N861" s="40" t="s">
        <v>110</v>
      </c>
      <c r="O861" s="42"/>
      <c r="P861" s="40"/>
      <c r="Q861" s="120">
        <f>'[3]AECO LP_14V1_MMS'!G859</f>
        <v>0</v>
      </c>
      <c r="R861" s="120">
        <f>'[3]AECO LP_14V1_MMS'!H859</f>
        <v>0</v>
      </c>
      <c r="S861" s="120">
        <f>'[3]AECO LP_14V1_MMS'!I859</f>
        <v>0</v>
      </c>
      <c r="T861" s="120">
        <f>'[3]AECO LP_14V1_MMS'!J859</f>
        <v>0</v>
      </c>
      <c r="U861" s="120">
        <f>'[3]AECO LP_14V1_MMS'!K859</f>
        <v>0</v>
      </c>
      <c r="V861" s="91"/>
    </row>
    <row r="862" spans="1:22" x14ac:dyDescent="0.2">
      <c r="A862" s="48">
        <f t="shared" si="25"/>
        <v>854</v>
      </c>
      <c r="B862" s="43">
        <v>24</v>
      </c>
      <c r="C862" s="43">
        <v>3</v>
      </c>
      <c r="D862" s="38" t="s">
        <v>602</v>
      </c>
      <c r="E862" s="44" t="s">
        <v>115</v>
      </c>
      <c r="F862" s="44" t="s">
        <v>18</v>
      </c>
      <c r="G862" s="44" t="s">
        <v>108</v>
      </c>
      <c r="H862" s="44" t="s">
        <v>61</v>
      </c>
      <c r="I862" s="44" t="s">
        <v>116</v>
      </c>
      <c r="J862" s="44" t="s">
        <v>13</v>
      </c>
      <c r="K862" s="44" t="s">
        <v>117</v>
      </c>
      <c r="L862" s="40">
        <v>1119</v>
      </c>
      <c r="M862" s="41">
        <v>41339</v>
      </c>
      <c r="N862" s="40" t="s">
        <v>110</v>
      </c>
      <c r="O862" s="42"/>
      <c r="P862" s="40"/>
      <c r="Q862" s="120">
        <f>'[3]AEP_OH_CS - test CSGS1MS'!G859</f>
        <v>0</v>
      </c>
      <c r="R862" s="120">
        <f>'[3]AEP_OH_CS - test CSGS1MS'!H859</f>
        <v>0</v>
      </c>
      <c r="S862" s="120">
        <f>'[3]AEP_OH_CS - test CSGS1MS'!I859</f>
        <v>0</v>
      </c>
      <c r="T862" s="120">
        <f>'[3]AEP_OH_CS - test CSGS1MS'!J859</f>
        <v>0</v>
      </c>
      <c r="U862" s="120">
        <f>'[3]AEP_OH_CS - test CSGS1MS'!K859</f>
        <v>0</v>
      </c>
      <c r="V862" s="91"/>
    </row>
    <row r="863" spans="1:22" x14ac:dyDescent="0.2">
      <c r="A863" s="48">
        <f t="shared" si="25"/>
        <v>855</v>
      </c>
      <c r="B863" s="43">
        <v>24</v>
      </c>
      <c r="C863" s="43">
        <v>4</v>
      </c>
      <c r="D863" s="38" t="s">
        <v>603</v>
      </c>
      <c r="E863" s="44" t="s">
        <v>119</v>
      </c>
      <c r="F863" s="44" t="s">
        <v>18</v>
      </c>
      <c r="G863" s="44" t="s">
        <v>108</v>
      </c>
      <c r="H863" s="44" t="s">
        <v>61</v>
      </c>
      <c r="I863" s="44" t="s">
        <v>116</v>
      </c>
      <c r="J863" s="44" t="s">
        <v>19</v>
      </c>
      <c r="K863" s="44" t="s">
        <v>120</v>
      </c>
      <c r="L863" s="40">
        <v>1120</v>
      </c>
      <c r="M863" s="41">
        <v>41339</v>
      </c>
      <c r="N863" s="40" t="s">
        <v>110</v>
      </c>
      <c r="O863" s="42"/>
      <c r="P863" s="40"/>
      <c r="Q863" s="120">
        <f>'[3]AEP_OH_CS - test CSGS2UMS'!G859</f>
        <v>0</v>
      </c>
      <c r="R863" s="120">
        <f>'[3]AEP_OH_CS - test CSGS2UMS'!H859</f>
        <v>0</v>
      </c>
      <c r="S863" s="120">
        <f>'[3]AEP_OH_CS - test CSGS2UMS'!I859</f>
        <v>0</v>
      </c>
      <c r="T863" s="120">
        <f>'[3]AEP_OH_CS - test CSGS2UMS'!J859</f>
        <v>0</v>
      </c>
      <c r="U863" s="120">
        <f>'[3]AEP_OH_CS - test CSGS2UMS'!K859</f>
        <v>0</v>
      </c>
      <c r="V863" s="91"/>
    </row>
    <row r="864" spans="1:22" x14ac:dyDescent="0.2">
      <c r="A864" s="48">
        <f t="shared" si="25"/>
        <v>856</v>
      </c>
      <c r="B864" s="43">
        <v>24</v>
      </c>
      <c r="C864" s="43">
        <v>5</v>
      </c>
      <c r="D864" s="38" t="s">
        <v>604</v>
      </c>
      <c r="E864" s="44" t="s">
        <v>122</v>
      </c>
      <c r="F864" s="44" t="s">
        <v>18</v>
      </c>
      <c r="G864" s="44" t="s">
        <v>108</v>
      </c>
      <c r="H864" s="44" t="s">
        <v>61</v>
      </c>
      <c r="I864" s="44" t="s">
        <v>116</v>
      </c>
      <c r="J864" s="44" t="s">
        <v>14</v>
      </c>
      <c r="K864" s="44" t="s">
        <v>123</v>
      </c>
      <c r="L864" s="40">
        <v>1121</v>
      </c>
      <c r="M864" s="41">
        <v>41339</v>
      </c>
      <c r="N864" s="40" t="s">
        <v>110</v>
      </c>
      <c r="O864" s="42"/>
      <c r="P864" s="40"/>
      <c r="Q864" s="120">
        <f>'[3]AEP_OH_CS - test CSGS3UMS'!G859</f>
        <v>0</v>
      </c>
      <c r="R864" s="120">
        <f>'[3]AEP_OH_CS - test CSGS3UMS'!H859</f>
        <v>0</v>
      </c>
      <c r="S864" s="120">
        <f>'[3]AEP_OH_CS - test CSGS3UMS'!I859</f>
        <v>0</v>
      </c>
      <c r="T864" s="120">
        <f>'[3]AEP_OH_CS - test CSGS3UMS'!J859</f>
        <v>0</v>
      </c>
      <c r="U864" s="120">
        <f>'[3]AEP_OH_CS - test CSGS3UMS'!K859</f>
        <v>0</v>
      </c>
      <c r="V864" s="91"/>
    </row>
    <row r="865" spans="1:22" x14ac:dyDescent="0.2">
      <c r="A865" s="48">
        <f t="shared" si="25"/>
        <v>857</v>
      </c>
      <c r="B865" s="43">
        <v>24</v>
      </c>
      <c r="C865" s="43">
        <v>6</v>
      </c>
      <c r="D865" s="38" t="s">
        <v>605</v>
      </c>
      <c r="E865" s="44" t="s">
        <v>125</v>
      </c>
      <c r="F865" s="44" t="s">
        <v>23</v>
      </c>
      <c r="G865" s="44" t="s">
        <v>126</v>
      </c>
      <c r="H865" s="44" t="s">
        <v>127</v>
      </c>
      <c r="I865" s="44" t="s">
        <v>27</v>
      </c>
      <c r="J865" s="44" t="s">
        <v>28</v>
      </c>
      <c r="K865" s="44" t="s">
        <v>128</v>
      </c>
      <c r="L865" s="40">
        <v>1122</v>
      </c>
      <c r="M865" s="41">
        <v>41339</v>
      </c>
      <c r="N865" s="40" t="s">
        <v>110</v>
      </c>
      <c r="O865" s="42"/>
      <c r="P865" s="40"/>
      <c r="Q865" s="120">
        <f>'[3]Ameren RateZnIII LP DS2HHMS'!G859</f>
        <v>0</v>
      </c>
      <c r="R865" s="120">
        <f>'[3]Ameren RateZnIII LP DS2HHMS'!H859</f>
        <v>0</v>
      </c>
      <c r="S865" s="120">
        <f>'[3]Ameren RateZnIII LP DS2HHMS'!I859</f>
        <v>0</v>
      </c>
      <c r="T865" s="120">
        <f>'[3]Ameren RateZnIII LP DS2HHMS'!J859</f>
        <v>0</v>
      </c>
      <c r="U865" s="120">
        <f>'[3]Ameren RateZnIII LP DS2HHMS'!K859</f>
        <v>0</v>
      </c>
      <c r="V865" s="91"/>
    </row>
    <row r="866" spans="1:22" x14ac:dyDescent="0.2">
      <c r="A866" s="48">
        <f t="shared" si="25"/>
        <v>858</v>
      </c>
      <c r="B866" s="43">
        <v>24</v>
      </c>
      <c r="C866" s="43">
        <v>7</v>
      </c>
      <c r="D866" s="38" t="s">
        <v>606</v>
      </c>
      <c r="E866" s="44" t="s">
        <v>130</v>
      </c>
      <c r="F866" s="44" t="s">
        <v>37</v>
      </c>
      <c r="G866" s="44" t="s">
        <v>108</v>
      </c>
      <c r="H866" s="44" t="s">
        <v>38</v>
      </c>
      <c r="I866" s="44" t="s">
        <v>38</v>
      </c>
      <c r="J866" s="44" t="s">
        <v>40</v>
      </c>
      <c r="K866" s="44" t="s">
        <v>123</v>
      </c>
      <c r="L866" s="40">
        <v>1124</v>
      </c>
      <c r="M866" s="41">
        <v>41339</v>
      </c>
      <c r="N866" s="40" t="s">
        <v>110</v>
      </c>
      <c r="O866" s="42"/>
      <c r="P866" s="40"/>
      <c r="Q866" s="120">
        <f>'[3]BGE LP_GLMS'!G859</f>
        <v>0</v>
      </c>
      <c r="R866" s="120">
        <f>'[3]BGE LP_GLMS'!H859</f>
        <v>0</v>
      </c>
      <c r="S866" s="120">
        <f>'[3]BGE LP_GLMS'!I859</f>
        <v>0</v>
      </c>
      <c r="T866" s="120">
        <f>'[3]BGE LP_GLMS'!J859</f>
        <v>0</v>
      </c>
      <c r="U866" s="120">
        <f>'[3]BGE LP_GLMS'!K859</f>
        <v>0</v>
      </c>
      <c r="V866" s="91"/>
    </row>
    <row r="867" spans="1:22" x14ac:dyDescent="0.2">
      <c r="A867" s="48">
        <f t="shared" si="25"/>
        <v>859</v>
      </c>
      <c r="B867" s="43">
        <v>24</v>
      </c>
      <c r="C867" s="43">
        <v>8</v>
      </c>
      <c r="D867" s="38" t="s">
        <v>607</v>
      </c>
      <c r="E867" s="44" t="s">
        <v>132</v>
      </c>
      <c r="F867" s="44" t="s">
        <v>37</v>
      </c>
      <c r="G867" s="44" t="s">
        <v>108</v>
      </c>
      <c r="H867" s="44" t="s">
        <v>38</v>
      </c>
      <c r="I867" s="44" t="s">
        <v>38</v>
      </c>
      <c r="J867" s="44" t="s">
        <v>39</v>
      </c>
      <c r="K867" s="44" t="s">
        <v>120</v>
      </c>
      <c r="L867" s="40">
        <v>1123</v>
      </c>
      <c r="M867" s="41">
        <v>41339</v>
      </c>
      <c r="N867" s="40" t="s">
        <v>110</v>
      </c>
      <c r="O867" s="42"/>
      <c r="P867" s="40"/>
      <c r="Q867" s="120">
        <f>'[3]BGE LP_GMS'!G859</f>
        <v>0</v>
      </c>
      <c r="R867" s="120">
        <f>'[3]BGE LP_GMS'!H859</f>
        <v>0</v>
      </c>
      <c r="S867" s="120">
        <f>'[3]BGE LP_GMS'!I859</f>
        <v>0</v>
      </c>
      <c r="T867" s="120">
        <f>'[3]BGE LP_GMS'!J859</f>
        <v>0</v>
      </c>
      <c r="U867" s="120">
        <f>'[3]BGE LP_GMS'!K859</f>
        <v>0</v>
      </c>
      <c r="V867" s="91"/>
    </row>
    <row r="868" spans="1:22" x14ac:dyDescent="0.2">
      <c r="A868" s="48">
        <f t="shared" si="25"/>
        <v>860</v>
      </c>
      <c r="B868" s="43">
        <v>24</v>
      </c>
      <c r="C868" s="43">
        <v>9</v>
      </c>
      <c r="D868" s="38" t="s">
        <v>608</v>
      </c>
      <c r="E868" s="44" t="s">
        <v>134</v>
      </c>
      <c r="F868" s="44" t="s">
        <v>37</v>
      </c>
      <c r="G868" s="44" t="s">
        <v>108</v>
      </c>
      <c r="H868" s="44" t="s">
        <v>38</v>
      </c>
      <c r="I868" s="44" t="s">
        <v>38</v>
      </c>
      <c r="J868" s="44" t="s">
        <v>6</v>
      </c>
      <c r="K868" s="44" t="s">
        <v>117</v>
      </c>
      <c r="L868" s="40">
        <v>1125</v>
      </c>
      <c r="M868" s="41">
        <v>41339</v>
      </c>
      <c r="N868" s="40" t="s">
        <v>110</v>
      </c>
      <c r="O868" s="42"/>
      <c r="P868" s="40"/>
      <c r="Q868" s="120">
        <f>'[3]BGE LP_GSMS'!G859</f>
        <v>0</v>
      </c>
      <c r="R868" s="120">
        <f>'[3]BGE LP_GSMS'!H859</f>
        <v>0</v>
      </c>
      <c r="S868" s="120">
        <f>'[3]BGE LP_GSMS'!I859</f>
        <v>0</v>
      </c>
      <c r="T868" s="120">
        <f>'[3]BGE LP_GSMS'!J859</f>
        <v>0</v>
      </c>
      <c r="U868" s="120">
        <f>'[3]BGE LP_GSMS'!K859</f>
        <v>0</v>
      </c>
      <c r="V868" s="91"/>
    </row>
    <row r="869" spans="1:22" x14ac:dyDescent="0.2">
      <c r="A869" s="48">
        <f t="shared" si="25"/>
        <v>861</v>
      </c>
      <c r="B869" s="43">
        <v>24</v>
      </c>
      <c r="C869" s="43">
        <v>10</v>
      </c>
      <c r="D869" s="38" t="s">
        <v>609</v>
      </c>
      <c r="E869" s="44" t="s">
        <v>136</v>
      </c>
      <c r="F869" s="44" t="s">
        <v>23</v>
      </c>
      <c r="G869" s="44" t="s">
        <v>108</v>
      </c>
      <c r="H869" s="44" t="s">
        <v>137</v>
      </c>
      <c r="I869" s="44" t="s">
        <v>24</v>
      </c>
      <c r="J869" s="44" t="s">
        <v>25</v>
      </c>
      <c r="K869" s="44" t="s">
        <v>138</v>
      </c>
      <c r="L869" s="40">
        <v>1126</v>
      </c>
      <c r="M869" s="41">
        <v>41339</v>
      </c>
      <c r="N869" s="40" t="s">
        <v>110</v>
      </c>
      <c r="O869" s="42"/>
      <c r="P869" s="40"/>
      <c r="Q869" s="120">
        <f>'[3]ComEd - test LP_28MS'!G859</f>
        <v>0</v>
      </c>
      <c r="R869" s="120">
        <f>'[3]ComEd - test LP_28MS'!H859</f>
        <v>0</v>
      </c>
      <c r="S869" s="120">
        <f>'[3]ComEd - test LP_28MS'!I859</f>
        <v>0</v>
      </c>
      <c r="T869" s="120">
        <f>'[3]ComEd - test LP_28MS'!J859</f>
        <v>0</v>
      </c>
      <c r="U869" s="120">
        <f>'[3]ComEd - test LP_28MS'!K859</f>
        <v>0</v>
      </c>
      <c r="V869" s="91"/>
    </row>
    <row r="870" spans="1:22" x14ac:dyDescent="0.2">
      <c r="A870" s="48">
        <f t="shared" si="25"/>
        <v>862</v>
      </c>
      <c r="B870" s="43">
        <v>24</v>
      </c>
      <c r="C870" s="43">
        <v>11</v>
      </c>
      <c r="D870" s="38" t="s">
        <v>610</v>
      </c>
      <c r="E870" s="44" t="s">
        <v>140</v>
      </c>
      <c r="F870" s="44" t="s">
        <v>23</v>
      </c>
      <c r="G870" s="44" t="s">
        <v>108</v>
      </c>
      <c r="H870" s="44" t="s">
        <v>137</v>
      </c>
      <c r="I870" s="44" t="s">
        <v>24</v>
      </c>
      <c r="J870" s="44" t="s">
        <v>26</v>
      </c>
      <c r="K870" s="44" t="s">
        <v>141</v>
      </c>
      <c r="L870" s="40">
        <v>1127</v>
      </c>
      <c r="M870" s="41">
        <v>41339</v>
      </c>
      <c r="N870" s="40" t="s">
        <v>110</v>
      </c>
      <c r="O870" s="42"/>
      <c r="P870" s="40"/>
      <c r="Q870" s="120">
        <f>'[3]ComEd - test LP_29MS'!G859</f>
        <v>0</v>
      </c>
      <c r="R870" s="120">
        <f>'[3]ComEd - test LP_29MS'!H859</f>
        <v>0</v>
      </c>
      <c r="S870" s="120">
        <f>'[3]ComEd - test LP_29MS'!I859</f>
        <v>0</v>
      </c>
      <c r="T870" s="120">
        <f>'[3]ComEd - test LP_29MS'!J859</f>
        <v>0</v>
      </c>
      <c r="U870" s="120">
        <f>'[3]ComEd - test LP_29MS'!K859</f>
        <v>0</v>
      </c>
      <c r="V870" s="91"/>
    </row>
    <row r="871" spans="1:22" x14ac:dyDescent="0.2">
      <c r="A871" s="48">
        <f t="shared" si="25"/>
        <v>863</v>
      </c>
      <c r="B871" s="43">
        <v>24</v>
      </c>
      <c r="C871" s="43">
        <v>12</v>
      </c>
      <c r="D871" s="38" t="s">
        <v>611</v>
      </c>
      <c r="E871" s="44" t="s">
        <v>143</v>
      </c>
      <c r="F871" s="44" t="s">
        <v>18</v>
      </c>
      <c r="G871" s="44" t="s">
        <v>108</v>
      </c>
      <c r="H871" s="44" t="s">
        <v>94</v>
      </c>
      <c r="I871" s="44" t="s">
        <v>144</v>
      </c>
      <c r="J871" s="44" t="s">
        <v>20</v>
      </c>
      <c r="K871" s="44" t="s">
        <v>145</v>
      </c>
      <c r="L871" s="40">
        <v>1128</v>
      </c>
      <c r="M871" s="41">
        <v>41339</v>
      </c>
      <c r="N871" s="40" t="s">
        <v>110</v>
      </c>
      <c r="O871" s="42"/>
      <c r="P871" s="40"/>
      <c r="Q871" s="120">
        <f>[3]DAY_RC_843MS!G859</f>
        <v>0</v>
      </c>
      <c r="R871" s="120">
        <f>[3]DAY_RC_843MS!H859</f>
        <v>0</v>
      </c>
      <c r="S871" s="120">
        <f>[3]DAY_RC_843MS!I859</f>
        <v>0</v>
      </c>
      <c r="T871" s="120">
        <f>[3]DAY_RC_843MS!J859</f>
        <v>0</v>
      </c>
      <c r="U871" s="120">
        <f>[3]DAY_RC_843MS!K859</f>
        <v>0</v>
      </c>
      <c r="V871" s="91"/>
    </row>
    <row r="872" spans="1:22" x14ac:dyDescent="0.2">
      <c r="A872" s="48">
        <f t="shared" si="25"/>
        <v>864</v>
      </c>
      <c r="B872" s="43">
        <v>24</v>
      </c>
      <c r="C872" s="43">
        <v>13</v>
      </c>
      <c r="D872" s="38" t="s">
        <v>612</v>
      </c>
      <c r="E872" s="44" t="s">
        <v>147</v>
      </c>
      <c r="F872" s="44" t="s">
        <v>37</v>
      </c>
      <c r="G872" s="44" t="s">
        <v>108</v>
      </c>
      <c r="H872" s="44" t="s">
        <v>41</v>
      </c>
      <c r="I872" s="44" t="s">
        <v>41</v>
      </c>
      <c r="J872" s="44" t="s">
        <v>6</v>
      </c>
      <c r="K872" s="44" t="s">
        <v>128</v>
      </c>
      <c r="L872" s="40">
        <v>1129</v>
      </c>
      <c r="M872" s="41">
        <v>41339</v>
      </c>
      <c r="N872" s="40" t="s">
        <v>110</v>
      </c>
      <c r="O872" s="42"/>
      <c r="P872" s="40"/>
      <c r="Q872" s="120">
        <f>'[3]Delmarva MD LP_MDGS_MMS'!G859</f>
        <v>0</v>
      </c>
      <c r="R872" s="120">
        <f>'[3]Delmarva MD LP_MDGS_MMS'!H859</f>
        <v>0</v>
      </c>
      <c r="S872" s="120">
        <f>'[3]Delmarva MD LP_MDGS_MMS'!I859</f>
        <v>0</v>
      </c>
      <c r="T872" s="120">
        <f>'[3]Delmarva MD LP_MDGS_MMS'!J859</f>
        <v>0</v>
      </c>
      <c r="U872" s="120">
        <f>'[3]Delmarva MD LP_MDGS_MMS'!K859</f>
        <v>0</v>
      </c>
      <c r="V872" s="91"/>
    </row>
    <row r="873" spans="1:22" x14ac:dyDescent="0.2">
      <c r="A873" s="48">
        <f t="shared" si="25"/>
        <v>865</v>
      </c>
      <c r="B873" s="43">
        <v>24</v>
      </c>
      <c r="C873" s="43">
        <v>14</v>
      </c>
      <c r="D873" s="38" t="s">
        <v>613</v>
      </c>
      <c r="E873" s="44" t="s">
        <v>149</v>
      </c>
      <c r="F873" s="44" t="s">
        <v>5</v>
      </c>
      <c r="G873" s="44" t="s">
        <v>108</v>
      </c>
      <c r="H873" s="44" t="s">
        <v>46</v>
      </c>
      <c r="I873" s="44" t="s">
        <v>46</v>
      </c>
      <c r="J873" s="44" t="s">
        <v>6</v>
      </c>
      <c r="K873" s="44" t="s">
        <v>128</v>
      </c>
      <c r="L873" s="40">
        <v>1130</v>
      </c>
      <c r="M873" s="41">
        <v>41339</v>
      </c>
      <c r="N873" s="40" t="s">
        <v>110</v>
      </c>
      <c r="O873" s="42"/>
      <c r="P873" s="40"/>
      <c r="Q873" s="120">
        <f>'[3]DQE LP_GSGM_MMS'!G859</f>
        <v>0</v>
      </c>
      <c r="R873" s="120">
        <f>'[3]DQE LP_GSGM_MMS'!H859</f>
        <v>0</v>
      </c>
      <c r="S873" s="120">
        <f>'[3]DQE LP_GSGM_MMS'!I859</f>
        <v>0</v>
      </c>
      <c r="T873" s="120">
        <f>'[3]DQE LP_GSGM_MMS'!J859</f>
        <v>0</v>
      </c>
      <c r="U873" s="120">
        <f>'[3]DQE LP_GSGM_MMS'!K859</f>
        <v>0</v>
      </c>
      <c r="V873" s="91"/>
    </row>
    <row r="874" spans="1:22" x14ac:dyDescent="0.2">
      <c r="A874" s="48">
        <f t="shared" si="25"/>
        <v>866</v>
      </c>
      <c r="B874" s="43">
        <v>24</v>
      </c>
      <c r="C874" s="43">
        <v>15</v>
      </c>
      <c r="D874" s="38" t="s">
        <v>614</v>
      </c>
      <c r="E874" s="44" t="s">
        <v>151</v>
      </c>
      <c r="F874" s="44" t="s">
        <v>18</v>
      </c>
      <c r="G874" s="44" t="s">
        <v>108</v>
      </c>
      <c r="H874" s="44" t="s">
        <v>21</v>
      </c>
      <c r="I874" s="44" t="s">
        <v>152</v>
      </c>
      <c r="J874" s="44" t="s">
        <v>22</v>
      </c>
      <c r="K874" s="44" t="s">
        <v>128</v>
      </c>
      <c r="L874" s="40">
        <v>1131</v>
      </c>
      <c r="M874" s="41">
        <v>41339</v>
      </c>
      <c r="N874" s="40" t="s">
        <v>110</v>
      </c>
      <c r="O874" s="42"/>
      <c r="P874" s="40"/>
      <c r="Q874" s="120">
        <f>[3]Duke_OH_RC_DS01MS!G859</f>
        <v>0</v>
      </c>
      <c r="R874" s="120">
        <f>[3]Duke_OH_RC_DS01MS!H859</f>
        <v>0</v>
      </c>
      <c r="S874" s="120">
        <f>[3]Duke_OH_RC_DS01MS!I859</f>
        <v>0</v>
      </c>
      <c r="T874" s="120">
        <f>[3]Duke_OH_RC_DS01MS!J859</f>
        <v>0</v>
      </c>
      <c r="U874" s="120">
        <f>[3]Duke_OH_RC_DS01MS!K859</f>
        <v>0</v>
      </c>
      <c r="V874" s="91"/>
    </row>
    <row r="875" spans="1:22" x14ac:dyDescent="0.2">
      <c r="A875" s="48">
        <f t="shared" si="25"/>
        <v>867</v>
      </c>
      <c r="B875" s="43">
        <v>24</v>
      </c>
      <c r="C875" s="43">
        <v>16</v>
      </c>
      <c r="D875" s="38" t="s">
        <v>615</v>
      </c>
      <c r="E875" s="44" t="s">
        <v>154</v>
      </c>
      <c r="F875" s="44" t="s">
        <v>18</v>
      </c>
      <c r="G875" s="44" t="s">
        <v>108</v>
      </c>
      <c r="H875" s="44" t="s">
        <v>62</v>
      </c>
      <c r="I875" s="44" t="s">
        <v>155</v>
      </c>
      <c r="J875" s="44" t="s">
        <v>6</v>
      </c>
      <c r="K875" s="44" t="s">
        <v>128</v>
      </c>
      <c r="L875" s="40">
        <v>1132</v>
      </c>
      <c r="M875" s="41">
        <v>41339</v>
      </c>
      <c r="N875" s="40" t="s">
        <v>110</v>
      </c>
      <c r="O875" s="42"/>
      <c r="P875" s="40"/>
      <c r="Q875" s="120">
        <f>'[3]FE_OE - test RC_GSFMS'!G859</f>
        <v>0</v>
      </c>
      <c r="R875" s="120">
        <f>'[3]FE_OE - test RC_GSFMS'!H859</f>
        <v>0</v>
      </c>
      <c r="S875" s="120">
        <f>'[3]FE_OE - test RC_GSFMS'!I859</f>
        <v>0</v>
      </c>
      <c r="T875" s="120">
        <f>'[3]FE_OE - test RC_GSFMS'!J859</f>
        <v>0</v>
      </c>
      <c r="U875" s="120">
        <f>'[3]FE_OE - test RC_GSFMS'!K859</f>
        <v>0</v>
      </c>
      <c r="V875" s="91"/>
    </row>
    <row r="876" spans="1:22" x14ac:dyDescent="0.2">
      <c r="A876" s="48">
        <f t="shared" si="25"/>
        <v>868</v>
      </c>
      <c r="B876" s="43">
        <v>24</v>
      </c>
      <c r="C876" s="43">
        <v>17</v>
      </c>
      <c r="D876" s="38" t="s">
        <v>616</v>
      </c>
      <c r="E876" s="44" t="s">
        <v>157</v>
      </c>
      <c r="F876" s="44" t="s">
        <v>29</v>
      </c>
      <c r="G876" s="44" t="s">
        <v>108</v>
      </c>
      <c r="H876" s="44" t="s">
        <v>33</v>
      </c>
      <c r="I876" s="44" t="s">
        <v>33</v>
      </c>
      <c r="J876" s="44" t="s">
        <v>7</v>
      </c>
      <c r="K876" s="44" t="s">
        <v>123</v>
      </c>
      <c r="L876" s="40">
        <v>1133</v>
      </c>
      <c r="M876" s="41">
        <v>41339</v>
      </c>
      <c r="N876" s="40" t="s">
        <v>110</v>
      </c>
      <c r="O876" s="42"/>
      <c r="P876" s="40"/>
      <c r="Q876" s="120">
        <f>'[3]JCPL LP_GSCLMS'!G859</f>
        <v>0</v>
      </c>
      <c r="R876" s="120">
        <f>'[3]JCPL LP_GSCLMS'!H859</f>
        <v>0</v>
      </c>
      <c r="S876" s="120">
        <f>'[3]JCPL LP_GSCLMS'!I859</f>
        <v>0</v>
      </c>
      <c r="T876" s="120">
        <f>'[3]JCPL LP_GSCLMS'!J859</f>
        <v>0</v>
      </c>
      <c r="U876" s="120">
        <f>'[3]JCPL LP_GSCLMS'!K859</f>
        <v>0</v>
      </c>
      <c r="V876" s="91"/>
    </row>
    <row r="877" spans="1:22" x14ac:dyDescent="0.2">
      <c r="A877" s="48">
        <f t="shared" si="25"/>
        <v>869</v>
      </c>
      <c r="B877" s="43">
        <v>24</v>
      </c>
      <c r="C877" s="43">
        <v>18</v>
      </c>
      <c r="D877" s="38" t="s">
        <v>617</v>
      </c>
      <c r="E877" s="44" t="s">
        <v>159</v>
      </c>
      <c r="F877" s="44" t="s">
        <v>29</v>
      </c>
      <c r="G877" s="44" t="s">
        <v>108</v>
      </c>
      <c r="H877" s="44" t="s">
        <v>33</v>
      </c>
      <c r="I877" s="44" t="s">
        <v>33</v>
      </c>
      <c r="J877" s="44" t="s">
        <v>8</v>
      </c>
      <c r="K877" s="44" t="s">
        <v>120</v>
      </c>
      <c r="L877" s="40">
        <v>1134</v>
      </c>
      <c r="M877" s="41">
        <v>41339</v>
      </c>
      <c r="N877" s="40" t="s">
        <v>110</v>
      </c>
      <c r="O877" s="42"/>
      <c r="P877" s="40"/>
      <c r="Q877" s="120">
        <f>'[3]JCPL LP_GSCMMS'!G859</f>
        <v>0</v>
      </c>
      <c r="R877" s="120">
        <f>'[3]JCPL LP_GSCMMS'!H859</f>
        <v>0</v>
      </c>
      <c r="S877" s="120">
        <f>'[3]JCPL LP_GSCMMS'!I859</f>
        <v>0</v>
      </c>
      <c r="T877" s="120">
        <f>'[3]JCPL LP_GSCMMS'!J859</f>
        <v>0</v>
      </c>
      <c r="U877" s="120">
        <f>'[3]JCPL LP_GSCMMS'!K859</f>
        <v>0</v>
      </c>
      <c r="V877" s="91"/>
    </row>
    <row r="878" spans="1:22" x14ac:dyDescent="0.2">
      <c r="A878" s="48">
        <f t="shared" si="25"/>
        <v>870</v>
      </c>
      <c r="B878" s="43">
        <v>24</v>
      </c>
      <c r="C878" s="43">
        <v>19</v>
      </c>
      <c r="D878" s="38" t="s">
        <v>618</v>
      </c>
      <c r="E878" s="44" t="s">
        <v>161</v>
      </c>
      <c r="F878" s="44" t="s">
        <v>29</v>
      </c>
      <c r="G878" s="44" t="s">
        <v>108</v>
      </c>
      <c r="H878" s="44" t="s">
        <v>33</v>
      </c>
      <c r="I878" s="44" t="s">
        <v>33</v>
      </c>
      <c r="J878" s="44" t="s">
        <v>9</v>
      </c>
      <c r="K878" s="44" t="s">
        <v>117</v>
      </c>
      <c r="L878" s="40">
        <v>1135</v>
      </c>
      <c r="M878" s="41">
        <v>41339</v>
      </c>
      <c r="N878" s="40" t="s">
        <v>110</v>
      </c>
      <c r="O878" s="42"/>
      <c r="P878" s="40"/>
      <c r="Q878" s="120">
        <f>'[3]JCPL LP_GSCSMS'!G859</f>
        <v>0</v>
      </c>
      <c r="R878" s="120">
        <f>'[3]JCPL LP_GSCSMS'!H859</f>
        <v>0</v>
      </c>
      <c r="S878" s="120">
        <f>'[3]JCPL LP_GSCSMS'!I859</f>
        <v>0</v>
      </c>
      <c r="T878" s="120">
        <f>'[3]JCPL LP_GSCSMS'!J859</f>
        <v>0</v>
      </c>
      <c r="U878" s="120">
        <f>'[3]JCPL LP_GSCSMS'!K859</f>
        <v>0</v>
      </c>
      <c r="V878" s="91"/>
    </row>
    <row r="879" spans="1:22" x14ac:dyDescent="0.2">
      <c r="A879" s="48">
        <f t="shared" si="25"/>
        <v>871</v>
      </c>
      <c r="B879" s="43">
        <v>24</v>
      </c>
      <c r="C879" s="43">
        <v>20</v>
      </c>
      <c r="D879" s="38" t="s">
        <v>619</v>
      </c>
      <c r="E879" s="44" t="s">
        <v>163</v>
      </c>
      <c r="F879" s="44" t="s">
        <v>5</v>
      </c>
      <c r="G879" s="44" t="s">
        <v>108</v>
      </c>
      <c r="H879" s="44" t="s">
        <v>164</v>
      </c>
      <c r="I879" s="44" t="s">
        <v>165</v>
      </c>
      <c r="J879" s="44" t="s">
        <v>7</v>
      </c>
      <c r="K879" s="44" t="s">
        <v>123</v>
      </c>
      <c r="L879" s="40">
        <v>1137</v>
      </c>
      <c r="M879" s="41">
        <v>41339</v>
      </c>
      <c r="N879" s="40" t="s">
        <v>110</v>
      </c>
      <c r="O879" s="42"/>
      <c r="P879" s="40"/>
      <c r="Q879" s="120">
        <f>'[3]MetEd RC_GSLFMS'!G859</f>
        <v>0</v>
      </c>
      <c r="R879" s="120">
        <f>'[3]MetEd RC_GSLFMS'!H859</f>
        <v>0</v>
      </c>
      <c r="S879" s="120">
        <f>'[3]MetEd RC_GSLFMS'!I859</f>
        <v>0</v>
      </c>
      <c r="T879" s="120">
        <f>'[3]MetEd RC_GSLFMS'!J859</f>
        <v>0</v>
      </c>
      <c r="U879" s="120">
        <f>'[3]MetEd RC_GSLFMS'!K859</f>
        <v>0</v>
      </c>
      <c r="V879" s="91"/>
    </row>
    <row r="880" spans="1:22" x14ac:dyDescent="0.2">
      <c r="A880" s="48">
        <f t="shared" si="25"/>
        <v>872</v>
      </c>
      <c r="B880" s="43">
        <v>24</v>
      </c>
      <c r="C880" s="43">
        <v>21</v>
      </c>
      <c r="D880" s="38" t="s">
        <v>620</v>
      </c>
      <c r="E880" s="44" t="s">
        <v>167</v>
      </c>
      <c r="F880" s="44" t="s">
        <v>5</v>
      </c>
      <c r="G880" s="44" t="s">
        <v>108</v>
      </c>
      <c r="H880" s="44" t="s">
        <v>164</v>
      </c>
      <c r="I880" s="44" t="s">
        <v>165</v>
      </c>
      <c r="J880" s="44" t="s">
        <v>8</v>
      </c>
      <c r="K880" s="44" t="s">
        <v>120</v>
      </c>
      <c r="L880" s="40">
        <v>1136</v>
      </c>
      <c r="M880" s="41">
        <v>41339</v>
      </c>
      <c r="N880" s="40" t="s">
        <v>110</v>
      </c>
      <c r="O880" s="42"/>
      <c r="P880" s="40"/>
      <c r="Q880" s="120">
        <f>'[3]MetEd RC_GSDFMS'!G859</f>
        <v>0</v>
      </c>
      <c r="R880" s="120">
        <f>'[3]MetEd RC_GSDFMS'!H859</f>
        <v>0</v>
      </c>
      <c r="S880" s="120">
        <f>'[3]MetEd RC_GSDFMS'!I859</f>
        <v>0</v>
      </c>
      <c r="T880" s="120">
        <f>'[3]MetEd RC_GSDFMS'!J859</f>
        <v>0</v>
      </c>
      <c r="U880" s="120">
        <f>'[3]MetEd RC_GSDFMS'!K859</f>
        <v>0</v>
      </c>
      <c r="V880" s="91"/>
    </row>
    <row r="881" spans="1:22" x14ac:dyDescent="0.2">
      <c r="A881" s="48">
        <f t="shared" si="25"/>
        <v>873</v>
      </c>
      <c r="B881" s="43">
        <v>24</v>
      </c>
      <c r="C881" s="43">
        <v>22</v>
      </c>
      <c r="D881" s="38" t="s">
        <v>621</v>
      </c>
      <c r="E881" s="44" t="s">
        <v>169</v>
      </c>
      <c r="F881" s="44" t="s">
        <v>5</v>
      </c>
      <c r="G881" s="44" t="s">
        <v>108</v>
      </c>
      <c r="H881" s="44" t="s">
        <v>164</v>
      </c>
      <c r="I881" s="44" t="s">
        <v>165</v>
      </c>
      <c r="J881" s="44" t="s">
        <v>9</v>
      </c>
      <c r="K881" s="44" t="s">
        <v>117</v>
      </c>
      <c r="L881" s="40">
        <v>1138</v>
      </c>
      <c r="M881" s="41">
        <v>41339</v>
      </c>
      <c r="N881" s="40" t="s">
        <v>110</v>
      </c>
      <c r="O881" s="42"/>
      <c r="P881" s="40"/>
      <c r="Q881" s="120">
        <f>'[3]MetEd RC_GSSFMS'!G859</f>
        <v>0</v>
      </c>
      <c r="R881" s="120">
        <f>'[3]MetEd RC_GSSFMS'!H859</f>
        <v>0</v>
      </c>
      <c r="S881" s="120">
        <f>'[3]MetEd RC_GSSFMS'!I859</f>
        <v>0</v>
      </c>
      <c r="T881" s="120">
        <f>'[3]MetEd RC_GSSFMS'!J859</f>
        <v>0</v>
      </c>
      <c r="U881" s="120">
        <f>'[3]MetEd RC_GSSFMS'!K859</f>
        <v>0</v>
      </c>
      <c r="V881" s="91"/>
    </row>
    <row r="882" spans="1:22" x14ac:dyDescent="0.2">
      <c r="A882" s="48">
        <f t="shared" si="25"/>
        <v>874</v>
      </c>
      <c r="B882" s="43">
        <v>24</v>
      </c>
      <c r="C882" s="43">
        <v>23</v>
      </c>
      <c r="D882" s="38" t="s">
        <v>622</v>
      </c>
      <c r="E882" s="44" t="s">
        <v>171</v>
      </c>
      <c r="F882" s="44" t="s">
        <v>5</v>
      </c>
      <c r="G882" s="44" t="s">
        <v>108</v>
      </c>
      <c r="H882" s="44" t="s">
        <v>11</v>
      </c>
      <c r="I882" s="44" t="s">
        <v>11</v>
      </c>
      <c r="J882" s="44" t="s">
        <v>6</v>
      </c>
      <c r="K882" s="44" t="s">
        <v>128</v>
      </c>
      <c r="L882" s="40">
        <v>1139</v>
      </c>
      <c r="M882" s="41">
        <v>41339</v>
      </c>
      <c r="N882" s="40" t="s">
        <v>110</v>
      </c>
      <c r="O882" s="42"/>
      <c r="P882" s="40"/>
      <c r="Q882" s="120">
        <f>'[3]PECO LP_GSMS'!G859</f>
        <v>0</v>
      </c>
      <c r="R882" s="120">
        <f>'[3]PECO LP_GSMS'!H859</f>
        <v>0</v>
      </c>
      <c r="S882" s="120">
        <f>'[3]PECO LP_GSMS'!I859</f>
        <v>0</v>
      </c>
      <c r="T882" s="120">
        <f>'[3]PECO LP_GSMS'!J859</f>
        <v>0</v>
      </c>
      <c r="U882" s="120">
        <f>'[3]PECO LP_GSMS'!K859</f>
        <v>0</v>
      </c>
      <c r="V882" s="91"/>
    </row>
    <row r="883" spans="1:22" x14ac:dyDescent="0.2">
      <c r="A883" s="48">
        <f t="shared" si="25"/>
        <v>875</v>
      </c>
      <c r="B883" s="43">
        <v>24</v>
      </c>
      <c r="C883" s="43">
        <v>24</v>
      </c>
      <c r="D883" s="38" t="s">
        <v>623</v>
      </c>
      <c r="E883" s="44" t="s">
        <v>173</v>
      </c>
      <c r="F883" s="44" t="s">
        <v>5</v>
      </c>
      <c r="G883" s="44" t="s">
        <v>108</v>
      </c>
      <c r="H883" s="44" t="s">
        <v>10</v>
      </c>
      <c r="I883" s="44" t="s">
        <v>174</v>
      </c>
      <c r="J883" s="44" t="s">
        <v>7</v>
      </c>
      <c r="K883" s="44" t="s">
        <v>123</v>
      </c>
      <c r="L883" s="40">
        <v>1140</v>
      </c>
      <c r="M883" s="41">
        <v>41339</v>
      </c>
      <c r="N883" s="40" t="s">
        <v>110</v>
      </c>
      <c r="O883" s="42"/>
      <c r="P883" s="40"/>
      <c r="Q883" s="120">
        <f>'[3]Penelec RC_GSLFMS'!G859</f>
        <v>0</v>
      </c>
      <c r="R883" s="120">
        <f>'[3]Penelec RC_GSLFMS'!H859</f>
        <v>0</v>
      </c>
      <c r="S883" s="120">
        <f>'[3]Penelec RC_GSLFMS'!I859</f>
        <v>0</v>
      </c>
      <c r="T883" s="120">
        <f>'[3]Penelec RC_GSLFMS'!J859</f>
        <v>0</v>
      </c>
      <c r="U883" s="120">
        <f>'[3]Penelec RC_GSLFMS'!K859</f>
        <v>0</v>
      </c>
      <c r="V883" s="91"/>
    </row>
    <row r="884" spans="1:22" x14ac:dyDescent="0.2">
      <c r="A884" s="48">
        <f t="shared" si="25"/>
        <v>876</v>
      </c>
      <c r="B884" s="43">
        <v>24</v>
      </c>
      <c r="C884" s="43">
        <v>25</v>
      </c>
      <c r="D884" s="38" t="s">
        <v>624</v>
      </c>
      <c r="E884" s="44" t="s">
        <v>176</v>
      </c>
      <c r="F884" s="44" t="s">
        <v>5</v>
      </c>
      <c r="G884" s="44" t="s">
        <v>108</v>
      </c>
      <c r="H884" s="44" t="s">
        <v>10</v>
      </c>
      <c r="I884" s="44" t="s">
        <v>174</v>
      </c>
      <c r="J884" s="44" t="s">
        <v>8</v>
      </c>
      <c r="K884" s="44" t="s">
        <v>120</v>
      </c>
      <c r="L884" s="40">
        <v>1141</v>
      </c>
      <c r="M884" s="41">
        <v>41339</v>
      </c>
      <c r="N884" s="40" t="s">
        <v>110</v>
      </c>
      <c r="O884" s="42"/>
      <c r="P884" s="40"/>
      <c r="Q884" s="120">
        <f>'[3]Penelec RC_GSMFMS'!G859</f>
        <v>0</v>
      </c>
      <c r="R884" s="120">
        <f>'[3]Penelec RC_GSMFMS'!H859</f>
        <v>0</v>
      </c>
      <c r="S884" s="120">
        <f>'[3]Penelec RC_GSMFMS'!I859</f>
        <v>0</v>
      </c>
      <c r="T884" s="120">
        <f>'[3]Penelec RC_GSMFMS'!J859</f>
        <v>0</v>
      </c>
      <c r="U884" s="120">
        <f>'[3]Penelec RC_GSMFMS'!K859</f>
        <v>0</v>
      </c>
      <c r="V884" s="91"/>
    </row>
    <row r="885" spans="1:22" x14ac:dyDescent="0.2">
      <c r="A885" s="48">
        <f t="shared" si="25"/>
        <v>877</v>
      </c>
      <c r="B885" s="43">
        <v>24</v>
      </c>
      <c r="C885" s="43">
        <v>26</v>
      </c>
      <c r="D885" s="38" t="s">
        <v>625</v>
      </c>
      <c r="E885" s="44" t="s">
        <v>178</v>
      </c>
      <c r="F885" s="44" t="s">
        <v>5</v>
      </c>
      <c r="G885" s="44" t="s">
        <v>108</v>
      </c>
      <c r="H885" s="44" t="s">
        <v>10</v>
      </c>
      <c r="I885" s="44" t="s">
        <v>174</v>
      </c>
      <c r="J885" s="44" t="s">
        <v>9</v>
      </c>
      <c r="K885" s="44" t="s">
        <v>117</v>
      </c>
      <c r="L885" s="40">
        <v>1142</v>
      </c>
      <c r="M885" s="41">
        <v>41339</v>
      </c>
      <c r="N885" s="40" t="s">
        <v>110</v>
      </c>
      <c r="O885" s="42"/>
      <c r="P885" s="40"/>
      <c r="Q885" s="120">
        <f>'[3]Penelec RC_GSSFMS'!G859</f>
        <v>0</v>
      </c>
      <c r="R885" s="120">
        <f>'[3]Penelec RC_GSSFMS'!H859</f>
        <v>0</v>
      </c>
      <c r="S885" s="120">
        <f>'[3]Penelec RC_GSSFMS'!I859</f>
        <v>0</v>
      </c>
      <c r="T885" s="120">
        <f>'[3]Penelec RC_GSSFMS'!J859</f>
        <v>0</v>
      </c>
      <c r="U885" s="120">
        <f>'[3]Penelec RC_GSSFMS'!K859</f>
        <v>0</v>
      </c>
      <c r="V885" s="91"/>
    </row>
    <row r="886" spans="1:22" x14ac:dyDescent="0.2">
      <c r="A886" s="48">
        <f t="shared" si="25"/>
        <v>878</v>
      </c>
      <c r="B886" s="43">
        <v>24</v>
      </c>
      <c r="C886" s="43">
        <v>27</v>
      </c>
      <c r="D886" s="38" t="s">
        <v>626</v>
      </c>
      <c r="E886" s="44" t="s">
        <v>180</v>
      </c>
      <c r="F886" s="44" t="s">
        <v>5</v>
      </c>
      <c r="G886" s="44" t="s">
        <v>108</v>
      </c>
      <c r="H886" s="44" t="s">
        <v>91</v>
      </c>
      <c r="I886" s="44" t="s">
        <v>181</v>
      </c>
      <c r="J886" s="44" t="s">
        <v>6</v>
      </c>
      <c r="K886" s="44" t="s">
        <v>128</v>
      </c>
      <c r="L886" s="40">
        <v>1143</v>
      </c>
      <c r="M886" s="41">
        <v>41339</v>
      </c>
      <c r="N886" s="40" t="s">
        <v>110</v>
      </c>
      <c r="O886" s="42"/>
      <c r="P886" s="40"/>
      <c r="Q886" s="120">
        <f>'[3]Penn Power RC_GMDMS'!G859</f>
        <v>0</v>
      </c>
      <c r="R886" s="120">
        <f>'[3]Penn Power RC_GMDMS'!H859</f>
        <v>0</v>
      </c>
      <c r="S886" s="120">
        <f>'[3]Penn Power RC_GMDMS'!I859</f>
        <v>0</v>
      </c>
      <c r="T886" s="120">
        <f>'[3]Penn Power RC_GMDMS'!J859</f>
        <v>0</v>
      </c>
      <c r="U886" s="120">
        <f>'[3]Penn Power RC_GMDMS'!K859</f>
        <v>0</v>
      </c>
      <c r="V886" s="91"/>
    </row>
    <row r="887" spans="1:22" x14ac:dyDescent="0.2">
      <c r="A887" s="48">
        <f t="shared" si="25"/>
        <v>879</v>
      </c>
      <c r="B887" s="43">
        <v>24</v>
      </c>
      <c r="C887" s="43">
        <v>28</v>
      </c>
      <c r="D887" s="38" t="s">
        <v>627</v>
      </c>
      <c r="E887" s="44" t="s">
        <v>183</v>
      </c>
      <c r="F887" s="44" t="s">
        <v>37</v>
      </c>
      <c r="G887" s="44" t="s">
        <v>108</v>
      </c>
      <c r="H887" s="44" t="s">
        <v>42</v>
      </c>
      <c r="I887" s="44" t="s">
        <v>42</v>
      </c>
      <c r="J887" s="44" t="s">
        <v>6</v>
      </c>
      <c r="K887" s="44" t="s">
        <v>128</v>
      </c>
      <c r="L887" s="40">
        <v>1144</v>
      </c>
      <c r="M887" s="41">
        <v>41339</v>
      </c>
      <c r="N887" s="40" t="s">
        <v>110</v>
      </c>
      <c r="O887" s="42"/>
      <c r="P887" s="40"/>
      <c r="Q887" s="120">
        <f>'[3]PEPCO MD LP_MDNDMS'!G859</f>
        <v>0</v>
      </c>
      <c r="R887" s="120">
        <f>'[3]PEPCO MD LP_MDNDMS'!H859</f>
        <v>0</v>
      </c>
      <c r="S887" s="120">
        <f>'[3]PEPCO MD LP_MDNDMS'!I859</f>
        <v>0</v>
      </c>
      <c r="T887" s="120">
        <f>'[3]PEPCO MD LP_MDNDMS'!J859</f>
        <v>0</v>
      </c>
      <c r="U887" s="120">
        <f>'[3]PEPCO MD LP_MDNDMS'!K859</f>
        <v>0</v>
      </c>
      <c r="V887" s="91"/>
    </row>
    <row r="888" spans="1:22" x14ac:dyDescent="0.2">
      <c r="A888" s="48">
        <f t="shared" si="25"/>
        <v>880</v>
      </c>
      <c r="B888" s="43">
        <v>24</v>
      </c>
      <c r="C888" s="43">
        <v>29</v>
      </c>
      <c r="D888" s="38" t="s">
        <v>628</v>
      </c>
      <c r="E888" s="44" t="s">
        <v>185</v>
      </c>
      <c r="F888" s="44" t="s">
        <v>37</v>
      </c>
      <c r="G888" s="44" t="s">
        <v>108</v>
      </c>
      <c r="H888" s="44" t="s">
        <v>42</v>
      </c>
      <c r="I888" s="44" t="s">
        <v>42</v>
      </c>
      <c r="J888" s="44" t="s">
        <v>43</v>
      </c>
      <c r="K888" s="44" t="s">
        <v>186</v>
      </c>
      <c r="L888" s="40">
        <v>1145</v>
      </c>
      <c r="M888" s="41">
        <v>41339</v>
      </c>
      <c r="N888" s="40" t="s">
        <v>110</v>
      </c>
      <c r="O888" s="42"/>
      <c r="P888" s="40"/>
      <c r="Q888" s="120">
        <f>'[3]PEPCO MD LP_MMGTL2AMS'!G859</f>
        <v>0</v>
      </c>
      <c r="R888" s="120">
        <f>'[3]PEPCO MD LP_MMGTL2AMS'!H859</f>
        <v>0</v>
      </c>
      <c r="S888" s="120">
        <f>'[3]PEPCO MD LP_MMGTL2AMS'!I859</f>
        <v>0</v>
      </c>
      <c r="T888" s="120">
        <f>'[3]PEPCO MD LP_MMGTL2AMS'!J859</f>
        <v>0</v>
      </c>
      <c r="U888" s="120">
        <f>'[3]PEPCO MD LP_MMGTL2AMS'!K859</f>
        <v>0</v>
      </c>
      <c r="V888" s="91"/>
    </row>
    <row r="889" spans="1:22" x14ac:dyDescent="0.2">
      <c r="A889" s="48">
        <f t="shared" si="25"/>
        <v>881</v>
      </c>
      <c r="B889" s="43">
        <v>24</v>
      </c>
      <c r="C889" s="43">
        <v>30</v>
      </c>
      <c r="D889" s="38" t="s">
        <v>629</v>
      </c>
      <c r="E889" s="44" t="s">
        <v>188</v>
      </c>
      <c r="F889" s="44" t="s">
        <v>37</v>
      </c>
      <c r="G889" s="44" t="s">
        <v>108</v>
      </c>
      <c r="H889" s="44" t="s">
        <v>42</v>
      </c>
      <c r="I889" s="44" t="s">
        <v>42</v>
      </c>
      <c r="J889" s="44" t="s">
        <v>44</v>
      </c>
      <c r="K889" s="44" t="s">
        <v>44</v>
      </c>
      <c r="L889" s="40">
        <v>1146</v>
      </c>
      <c r="M889" s="41">
        <v>41339</v>
      </c>
      <c r="N889" s="40" t="s">
        <v>110</v>
      </c>
      <c r="O889" s="42"/>
      <c r="P889" s="40"/>
      <c r="Q889" s="120">
        <f>'[3]PEPCO MD RC_3T7MS'!G859</f>
        <v>0</v>
      </c>
      <c r="R889" s="120">
        <f>'[3]PEPCO MD RC_3T7MS'!H859</f>
        <v>0</v>
      </c>
      <c r="S889" s="120">
        <f>'[3]PEPCO MD RC_3T7MS'!I859</f>
        <v>0</v>
      </c>
      <c r="T889" s="120">
        <f>'[3]PEPCO MD RC_3T7MS'!J859</f>
        <v>0</v>
      </c>
      <c r="U889" s="120">
        <f>'[3]PEPCO MD RC_3T7MS'!K859</f>
        <v>0</v>
      </c>
      <c r="V889" s="91"/>
    </row>
    <row r="890" spans="1:22" x14ac:dyDescent="0.2">
      <c r="A890" s="48">
        <f t="shared" si="25"/>
        <v>882</v>
      </c>
      <c r="B890" s="43">
        <v>24</v>
      </c>
      <c r="C890" s="43">
        <v>31</v>
      </c>
      <c r="D890" s="38" t="s">
        <v>630</v>
      </c>
      <c r="E890" s="44" t="s">
        <v>190</v>
      </c>
      <c r="F890" s="44" t="s">
        <v>37</v>
      </c>
      <c r="G890" s="44" t="s">
        <v>108</v>
      </c>
      <c r="H890" s="44" t="s">
        <v>45</v>
      </c>
      <c r="I890" s="44" t="s">
        <v>45</v>
      </c>
      <c r="J890" s="44" t="s">
        <v>6</v>
      </c>
      <c r="K890" s="44" t="s">
        <v>128</v>
      </c>
      <c r="L890" s="40">
        <v>1147</v>
      </c>
      <c r="M890" s="41">
        <v>41339</v>
      </c>
      <c r="N890" s="40" t="s">
        <v>110</v>
      </c>
      <c r="O890" s="42"/>
      <c r="P890" s="40"/>
      <c r="Q890" s="120">
        <f>'[3]Potomac Edison LP_GSCM_MMS'!G859</f>
        <v>0</v>
      </c>
      <c r="R890" s="120">
        <f>'[3]Potomac Edison LP_GSCM_MMS'!H859</f>
        <v>0</v>
      </c>
      <c r="S890" s="120">
        <f>'[3]Potomac Edison LP_GSCM_MMS'!I859</f>
        <v>0</v>
      </c>
      <c r="T890" s="120">
        <f>'[3]Potomac Edison LP_GSCM_MMS'!J859</f>
        <v>0</v>
      </c>
      <c r="U890" s="120">
        <f>'[3]Potomac Edison LP_GSCM_MMS'!K859</f>
        <v>0</v>
      </c>
      <c r="V890" s="91"/>
    </row>
    <row r="891" spans="1:22" x14ac:dyDescent="0.2">
      <c r="A891" s="48">
        <f t="shared" si="25"/>
        <v>883</v>
      </c>
      <c r="B891" s="43">
        <v>24</v>
      </c>
      <c r="C891" s="43">
        <v>32</v>
      </c>
      <c r="D891" s="38" t="s">
        <v>631</v>
      </c>
      <c r="E891" s="44" t="s">
        <v>192</v>
      </c>
      <c r="F891" s="44" t="s">
        <v>5</v>
      </c>
      <c r="G891" s="44" t="s">
        <v>108</v>
      </c>
      <c r="H891" s="44" t="s">
        <v>12</v>
      </c>
      <c r="I891" s="44" t="s">
        <v>12</v>
      </c>
      <c r="J891" s="44" t="s">
        <v>13</v>
      </c>
      <c r="K891" s="44" t="s">
        <v>117</v>
      </c>
      <c r="L891" s="40">
        <v>1148</v>
      </c>
      <c r="M891" s="41">
        <v>41339</v>
      </c>
      <c r="N891" s="40" t="s">
        <v>110</v>
      </c>
      <c r="O891" s="42"/>
      <c r="P891" s="40"/>
      <c r="Q891" s="120">
        <f>[3]PPL_RCGS1MS!G859</f>
        <v>0</v>
      </c>
      <c r="R891" s="120">
        <f>[3]PPL_RCGS1MS!H859</f>
        <v>0</v>
      </c>
      <c r="S891" s="120">
        <f>[3]PPL_RCGS1MS!I859</f>
        <v>0</v>
      </c>
      <c r="T891" s="120">
        <f>[3]PPL_RCGS1MS!J859</f>
        <v>0</v>
      </c>
      <c r="U891" s="120">
        <f>[3]PPL_RCGS1MS!K859</f>
        <v>0</v>
      </c>
      <c r="V891" s="91"/>
    </row>
    <row r="892" spans="1:22" x14ac:dyDescent="0.2">
      <c r="A892" s="48">
        <f t="shared" si="25"/>
        <v>884</v>
      </c>
      <c r="B892" s="43">
        <v>24</v>
      </c>
      <c r="C892" s="43">
        <v>33</v>
      </c>
      <c r="D892" s="38" t="s">
        <v>632</v>
      </c>
      <c r="E892" s="44" t="s">
        <v>194</v>
      </c>
      <c r="F892" s="44" t="s">
        <v>5</v>
      </c>
      <c r="G892" s="44" t="s">
        <v>108</v>
      </c>
      <c r="H892" s="44" t="s">
        <v>12</v>
      </c>
      <c r="I892" s="44" t="s">
        <v>12</v>
      </c>
      <c r="J892" s="44" t="s">
        <v>14</v>
      </c>
      <c r="K892" s="44" t="s">
        <v>123</v>
      </c>
      <c r="L892" s="40">
        <v>1149</v>
      </c>
      <c r="M892" s="41">
        <v>41339</v>
      </c>
      <c r="N892" s="40" t="s">
        <v>110</v>
      </c>
      <c r="O892" s="42"/>
      <c r="P892" s="40"/>
      <c r="Q892" s="120">
        <f>[3]PPL_RCGS3MS!G859</f>
        <v>0</v>
      </c>
      <c r="R892" s="120">
        <f>[3]PPL_RCGS3MS!H859</f>
        <v>0</v>
      </c>
      <c r="S892" s="120">
        <f>[3]PPL_RCGS3MS!I859</f>
        <v>0</v>
      </c>
      <c r="T892" s="120">
        <f>[3]PPL_RCGS3MS!J859</f>
        <v>0</v>
      </c>
      <c r="U892" s="120">
        <f>[3]PPL_RCGS3MS!K859</f>
        <v>0</v>
      </c>
      <c r="V892" s="91"/>
    </row>
    <row r="893" spans="1:22" x14ac:dyDescent="0.2">
      <c r="A893" s="48">
        <f t="shared" si="25"/>
        <v>885</v>
      </c>
      <c r="B893" s="43">
        <v>24</v>
      </c>
      <c r="C893" s="43">
        <v>34</v>
      </c>
      <c r="D893" s="38" t="s">
        <v>633</v>
      </c>
      <c r="E893" s="44" t="s">
        <v>196</v>
      </c>
      <c r="F893" s="44" t="s">
        <v>29</v>
      </c>
      <c r="G893" s="44" t="s">
        <v>108</v>
      </c>
      <c r="H893" s="44" t="s">
        <v>34</v>
      </c>
      <c r="I893" s="44" t="s">
        <v>34</v>
      </c>
      <c r="J893" s="44" t="s">
        <v>35</v>
      </c>
      <c r="K893" s="44" t="s">
        <v>197</v>
      </c>
      <c r="L893" s="40">
        <v>1150</v>
      </c>
      <c r="M893" s="41">
        <v>41339</v>
      </c>
      <c r="N893" s="40" t="s">
        <v>110</v>
      </c>
      <c r="O893" s="42"/>
      <c r="P893" s="40"/>
      <c r="Q893" s="120">
        <f>'[3]PSEG LP_GLP_MMS'!G859</f>
        <v>0</v>
      </c>
      <c r="R893" s="120">
        <f>'[3]PSEG LP_GLP_MMS'!H859</f>
        <v>0</v>
      </c>
      <c r="S893" s="120">
        <f>'[3]PSEG LP_GLP_MMS'!I859</f>
        <v>0</v>
      </c>
      <c r="T893" s="120">
        <f>'[3]PSEG LP_GLP_MMS'!J859</f>
        <v>0</v>
      </c>
      <c r="U893" s="120">
        <f>'[3]PSEG LP_GLP_MMS'!K859</f>
        <v>0</v>
      </c>
      <c r="V893" s="91"/>
    </row>
    <row r="894" spans="1:22" x14ac:dyDescent="0.2">
      <c r="A894" s="48">
        <f t="shared" si="25"/>
        <v>886</v>
      </c>
      <c r="B894" s="43">
        <v>24</v>
      </c>
      <c r="C894" s="43">
        <v>35</v>
      </c>
      <c r="D894" s="38" t="s">
        <v>634</v>
      </c>
      <c r="E894" s="44" t="s">
        <v>199</v>
      </c>
      <c r="F894" s="44" t="s">
        <v>29</v>
      </c>
      <c r="G894" s="44" t="s">
        <v>108</v>
      </c>
      <c r="H894" s="44" t="s">
        <v>34</v>
      </c>
      <c r="I894" s="44" t="s">
        <v>34</v>
      </c>
      <c r="J894" s="44" t="s">
        <v>36</v>
      </c>
      <c r="K894" s="44" t="s">
        <v>200</v>
      </c>
      <c r="L894" s="40">
        <v>1151</v>
      </c>
      <c r="M894" s="41">
        <v>41339</v>
      </c>
      <c r="N894" s="40" t="s">
        <v>110</v>
      </c>
      <c r="O894" s="42"/>
      <c r="P894" s="40"/>
      <c r="Q894" s="120">
        <f>'[3]PSEG LP_LPLMS'!G859</f>
        <v>0</v>
      </c>
      <c r="R894" s="120">
        <f>'[3]PSEG LP_LPLMS'!H859</f>
        <v>0</v>
      </c>
      <c r="S894" s="120">
        <f>'[3]PSEG LP_LPLMS'!I859</f>
        <v>0</v>
      </c>
      <c r="T894" s="120">
        <f>'[3]PSEG LP_LPLMS'!J859</f>
        <v>0</v>
      </c>
      <c r="U894" s="120">
        <f>'[3]PSEG LP_LPLMS'!K859</f>
        <v>0</v>
      </c>
      <c r="V894" s="91"/>
    </row>
    <row r="895" spans="1:22" x14ac:dyDescent="0.2">
      <c r="A895" s="48">
        <f t="shared" si="25"/>
        <v>887</v>
      </c>
      <c r="B895" s="43">
        <v>24</v>
      </c>
      <c r="C895" s="43">
        <v>36</v>
      </c>
      <c r="D895" s="38" t="s">
        <v>635</v>
      </c>
      <c r="E895" s="44" t="s">
        <v>202</v>
      </c>
      <c r="F895" s="44" t="s">
        <v>5</v>
      </c>
      <c r="G895" s="44" t="s">
        <v>108</v>
      </c>
      <c r="H895" s="44" t="s">
        <v>15</v>
      </c>
      <c r="I895" s="44" t="s">
        <v>203</v>
      </c>
      <c r="J895" s="44" t="s">
        <v>16</v>
      </c>
      <c r="K895" s="44" t="s">
        <v>128</v>
      </c>
      <c r="L895" s="40">
        <v>1152</v>
      </c>
      <c r="M895" s="41">
        <v>41339</v>
      </c>
      <c r="N895" s="40" t="s">
        <v>110</v>
      </c>
      <c r="O895" s="42"/>
      <c r="P895" s="40"/>
      <c r="Q895" s="120">
        <f>'[3]West Penn Power LP_GSCMMS'!G859</f>
        <v>0</v>
      </c>
      <c r="R895" s="120">
        <f>'[3]West Penn Power LP_GSCMMS'!H859</f>
        <v>0</v>
      </c>
      <c r="S895" s="120">
        <f>'[3]West Penn Power LP_GSCMMS'!I859</f>
        <v>0</v>
      </c>
      <c r="T895" s="120">
        <f>'[3]West Penn Power LP_GSCMMS'!J859</f>
        <v>0</v>
      </c>
      <c r="U895" s="120">
        <f>'[3]West Penn Power LP_GSCMMS'!K859</f>
        <v>0</v>
      </c>
      <c r="V895" s="91"/>
    </row>
  </sheetData>
  <sheetProtection algorithmName="SHA-512" hashValue="KMBdukoE4vJ0jWt+Zi/OgIhY8lJtMKq0ZTjYpVvH5k5pAqzh1o/F1j4qoPZ65frv6VtkD4lt2daNJ4ZbPs3CBg==" saltValue="Uq77pLLUowBaAIXWv1+rXA==" spinCount="100000" sheet="1" scenarios="1" autoFilter="0"/>
  <autoFilter ref="A8:V895"/>
  <mergeCells count="4">
    <mergeCell ref="P2:Q2"/>
    <mergeCell ref="P3:Q3"/>
    <mergeCell ref="P4:Q4"/>
    <mergeCell ref="P5:Q5"/>
  </mergeCells>
  <conditionalFormatting sqref="Q9:V895">
    <cfRule type="cellIs" dxfId="2" priority="3" operator="equal">
      <formula>9999</formula>
    </cfRule>
  </conditionalFormatting>
  <conditionalFormatting sqref="Q9:U895">
    <cfRule type="cellIs" dxfId="1" priority="2" operator="equal">
      <formula>9999</formula>
    </cfRule>
  </conditionalFormatting>
  <conditionalFormatting sqref="Q9:U895">
    <cfRule type="cellIs" dxfId="0" priority="1" operator="equal">
      <formula>9999</formula>
    </cfRule>
  </conditionalFormatting>
  <pageMargins left="0" right="0" top="0" bottom="0.3" header="0" footer="0"/>
  <pageSetup scale="70" orientation="landscape" horizontalDpi="300" verticalDpi="300" r:id="rId1"/>
  <headerFooter>
    <oddFooter>&amp;LPage &amp;P of &amp;N        &amp;D  &amp;T&amp;R&amp;F &amp;F      &amp;A</oddFoot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16</vt:i4>
      </vt:variant>
    </vt:vector>
  </HeadingPairs>
  <TitlesOfParts>
    <vt:vector size="28" baseType="lpstr">
      <vt:lpstr>Matrix</vt:lpstr>
      <vt:lpstr>PA</vt:lpstr>
      <vt:lpstr>OH</vt:lpstr>
      <vt:lpstr>IL</vt:lpstr>
      <vt:lpstr>NJ</vt:lpstr>
      <vt:lpstr>MD</vt:lpstr>
      <vt:lpstr>Matrix_prices</vt:lpstr>
      <vt:lpstr>PA_prices</vt:lpstr>
      <vt:lpstr>OH_prices</vt:lpstr>
      <vt:lpstr>IL_prices</vt:lpstr>
      <vt:lpstr>NJ_prices</vt:lpstr>
      <vt:lpstr>MD_prices</vt:lpstr>
      <vt:lpstr>IL!Print_Area</vt:lpstr>
      <vt:lpstr>LMPMain!Print_Area</vt:lpstr>
      <vt:lpstr>Main!Print_Area</vt:lpstr>
      <vt:lpstr>Matrix!Print_Area</vt:lpstr>
      <vt:lpstr>MD!Print_Area</vt:lpstr>
      <vt:lpstr>NJ!Print_Area</vt:lpstr>
      <vt:lpstr>OH!Print_Area</vt:lpstr>
      <vt:lpstr>PA!Print_Area</vt:lpstr>
      <vt:lpstr>IL!Print_Titles</vt:lpstr>
      <vt:lpstr>LMPMain!Print_Titles</vt:lpstr>
      <vt:lpstr>Main!Print_Titles</vt:lpstr>
      <vt:lpstr>Matrix!Print_Titles</vt:lpstr>
      <vt:lpstr>MD!Print_Titles</vt:lpstr>
      <vt:lpstr>NJ!Print_Titles</vt:lpstr>
      <vt:lpstr>OH!Print_Titles</vt:lpstr>
      <vt:lpstr>PA!Print_Titles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Odysseus</dc:creator>
  <cp:lastModifiedBy>SA Database</cp:lastModifiedBy>
  <dcterms:created xsi:type="dcterms:W3CDTF">2013-05-19T23:42:34Z</dcterms:created>
  <dcterms:modified xsi:type="dcterms:W3CDTF">2016-01-04T22:38:17Z</dcterms:modified>
</cp:coreProperties>
</file>